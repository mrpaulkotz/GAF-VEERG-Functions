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htdocs\zneagcrc\GAF-VEERG-Functions\Excel\Batch processing\1103_20260612\"/>
    </mc:Choice>
  </mc:AlternateContent>
  <xr:revisionPtr revIDLastSave="0" documentId="13_ncr:1_{F293F037-2CC2-4FBD-BCA6-A3E6A2ED7A24}" xr6:coauthVersionLast="47" xr6:coauthVersionMax="47" xr10:uidLastSave="{00000000-0000-0000-0000-000000000000}"/>
  <bookViews>
    <workbookView xWindow="1020" yWindow="0" windowWidth="37140" windowHeight="20475" activeTab="3" xr2:uid="{992023F3-CAB7-4E5B-A348-08D563A0EF40}"/>
  </bookViews>
  <sheets>
    <sheet name="Home" sheetId="71" r:id="rId1"/>
    <sheet name="Overview" sheetId="100" r:id="rId2"/>
    <sheet name="Results" sheetId="13" r:id="rId3"/>
    <sheet name="Input - Site" sheetId="15" r:id="rId4"/>
    <sheet name="Input - Feedlot" sheetId="70" r:id="rId5"/>
    <sheet name="3.1.1.1-2 Enteric Methane" sheetId="69" r:id="rId6"/>
    <sheet name="Constants - Feedlot" sheetId="79" r:id="rId7"/>
    <sheet name="Constants - Common" sheetId="104" r:id="rId8"/>
    <sheet name="Constants - Livestock" sheetId="43" r:id="rId9"/>
    <sheet name="Acknowledgements" sheetId="72" r:id="rId10"/>
    <sheet name="Tab template" sheetId="74" r:id="rId11"/>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7">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7">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7">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7">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7">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EntericMethane_Feedlot_Equations.VEERG_3_1_1_1__1_TotalAnnualMethaneFromEntericFermentation">_xlfn.LAMBDA(_xlpm.D_j,_xlpm.M_j,_xlpm.N_j, (_xlpm.D_j * _xlpm.M_j * _xlpm.N_j) * 10 ^ -3)</definedName>
    <definedName name="EntericMethane_Feedlot_Equations.VEERG_3_1_1_1__1_TotalAnnualMethaneFromEntericFermentation_Arguments">_xlfn.LAMBDA(_xlfn.MAKEARRAY(3, 4, _xlfn.LAMBDA(_xlpm.r,_xlpm.c, INDEX({"D_j","duration of stay of each cattle lot","days","Input";"M_j","daily methane production","kg CH4/head/day","Calculated from 3.1.1.1, (2)";"N_j","numbers of feedlot cattle in each cattle lot","head","Input"}, _xlpm.r, _xlpm.c))))</definedName>
    <definedName name="EntericMethane_Feedlot_Equations.VEERG_3_1_1_1__1_TotalAnnualMethaneFromEntericFermentation_LatexEquation">_xlfn.LAMBDA("E_{enteric}=\sum\nolimits_j(D_j\times M_j\times N_j)\times 10^{-3}")</definedName>
    <definedName name="EntericMethane_Feedlot_Equations.VEERG_3_1_1_1__1_TotalAnnualMethaneFromEntericFermentation_NIRReference">_xlfn.LAMBDA("")</definedName>
    <definedName name="EntericMethane_Feedlot_Equations.VEERG_3_1_1_1__1_TotalAnnualMethaneFromEntericFermentation_Source">_xlfn.LAMBDA("VEERG 2026: 3.1.1.1, Equation (1)")</definedName>
    <definedName name="EntericMethane_Feedlot_Equations.VEERG_3_1_1_1__1_TotalAnnualMethaneFromEntericFermentation_Title">_xlfn.LAMBDA("Total annual methane production from enteric fermentation in feedlot beef cattle")</definedName>
    <definedName name="EntericMethane_Feedlot_Equations.VEERG_3_1_1_1__1_TotalAnnualMethaneFromEntericFermentation_Unit">_xlfn.LAMBDA("t CH4")</definedName>
    <definedName name="EntericMethane_Feedlot_Equations.VEERG_3_1_1_1__1_TotalAnnualMethaneFromEntericFermentation_Variable">_xlfn.LAMBDA("E_enteric")</definedName>
    <definedName name="EntericMethane_Feedlot_Equations.VEERG_3_1_1_1__2_DailyEntericMethaneProduction">_xlfn.LAMBDA(_xlpm.I_j,_xlpm.EE_j,_xlpm.NDF_j, (5.11 * _xlpm.I_j - 4 * _xlpm.EE_j + 2.26 * _xlpm.NDF_j) * 10 ^ -3)</definedName>
    <definedName name="EntericMethane_Feedlot_Equations.VEERG_3_1_1_1__2_DailyEntericMethaneProduction_Arguments">_xlfn.LAMBDA(_xlfn.MAKEARRAY(3, 4, _xlfn.LAMBDA(_xlpm.r,_xlpm.c, INDEX({"I_j","dry matter intake","kg DM/head/day","Input";"EE_j","ether extract as a percentage of I_j","per cent","Input";"NDF_j","neutral detergent fibre as a percentage of I_j","per cent","Input"}, _xlpm.r, _xlpm.c))))</definedName>
    <definedName name="EntericMethane_Feedlot_Equations.VEERG_3_1_1_1__2_DailyEntericMethaneProduction_LatexEquation">_xlfn.LAMBDA("M_j=(5.11\times I_j-4.00\times EE_j+2.26\times NDF_j)\times 10^{-3}")</definedName>
    <definedName name="EntericMethane_Feedlot_Equations.VEERG_3_1_1_1__2_DailyEntericMethaneProduction_NIRReference">_xlfn.LAMBDA("Almeida et al. (2025)")</definedName>
    <definedName name="EntericMethane_Feedlot_Equations.VEERG_3_1_1_1__2_DailyEntericMethaneProduction_Source">_xlfn.LAMBDA("VEERG 2026: 3.1.1.1, Equation (2)")</definedName>
    <definedName name="EntericMethane_Feedlot_Equations.VEERG_3_1_1_1__2_DailyEntericMethaneProduction_Title">_xlfn.LAMBDA("Daily production of enteric methane")</definedName>
    <definedName name="EntericMethane_Feedlot_Equations.VEERG_3_1_1_1__2_DailyEntericMethaneProduction_Unit">_xlfn.LAMBDA("kg CH4/head/day")</definedName>
    <definedName name="EntericMethane_Feedlot_Equations.VEERG_3_1_1_1__2_DailyEntericMethaneProduction_Variable">_xlfn.LAMBDA("M_j")</definedName>
    <definedName name="Fertiliser_Equations_InorganicCO2.VEERG_5_1_1_3__2_MassOfUreaInInorganicFertiliser_Arguments">_xlfn.LAMBDA(_xlfn.MAKEARRAY(2, 3, _xlfn.LAMBDA(_xlpm.r,_xlpm.c, INDEX({"TM_jf","total mass of inorganic fertiliser type f applied to production system j : kg","Input";"FU_f","fraction of urea in fertiliser type f : kg urea/kg","Lookup"}, _xlpm.r, _xlpm.c))))</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Input_Feedlot_AverageHead_Domestic">'Input - Feedlot'!$E$8</definedName>
    <definedName name="Input_Feedlot_AverageHead_LongFed">'Input - Feedlot'!$G$8</definedName>
    <definedName name="Input_Feedlot_AverageHead_MidFed">'Input - Feedlot'!$F$8</definedName>
    <definedName name="Input_Feedlot_DurationOfStay_Domestic">'Input - Feedlot'!$E$9</definedName>
    <definedName name="Input_Feedlot_DurationOfStay_LongFed">'Input - Feedlot'!$G$9</definedName>
    <definedName name="Input_Feedlot_DurationOfStay_MidFed">'Input - Feedlot'!$F$9</definedName>
    <definedName name="Input_Feedlot_EtherExtract_Domestic">'Input - Feedlot'!$E$20</definedName>
    <definedName name="Input_Feedlot_EtherExtract_LongFed">'Input - Feedlot'!$G$20</definedName>
    <definedName name="Input_Feedlot_EtherExtract_MidFed">'Input - Feedlot'!$F$20</definedName>
    <definedName name="Input_Feedlot_FeedIntake_Domestic">'Input - Feedlot'!$E$19</definedName>
    <definedName name="Input_Feedlot_FeedIntake_LongFed">'Input - Feedlot'!$G$19</definedName>
    <definedName name="Input_Feedlot_FeedIntake_MidFed">'Input - Feedlot'!$F$19</definedName>
    <definedName name="Input_Feedlot_NDF_Domestic">'Input - Feedlot'!$E$21</definedName>
    <definedName name="Input_Feedlot_NDF_LongFed">'Input - Feedlot'!$G$21</definedName>
    <definedName name="Input_Feedlot_NDF_MidFed">'Input - Feedlot'!$F$21</definedName>
    <definedName name="Input_Site_FarmName">'Input - Site'!$E$7</definedName>
    <definedName name="Input_Site_ReportingEntityName">'Input - Site'!$E$8</definedName>
    <definedName name="Input_Site_StartDate">'Input - Site'!$E$12</definedName>
    <definedName name="Range_LivestockStartingValues">#REF!</definedName>
    <definedName name="SourceData_Feedlot.SourceData_Feedlot_AnimalCharacteristics_Data">_xlfn.LAMBDA(_xlfn.MAKEARRAY(10, 7, _xlfn.LAMBDA(_xlpm.r,_xlpm.c, INDEX({"Feedlot type","Characteristic","Unit","2005-2009","2010-2014","2015-2019","2020-2023";"Domestic","Days on feed","days",70,70,70,75;"Domestic","Feed intake","kg DM/day",10,10,10.4,10.4;"Domestic","N retention","per cent of intake",21.1,20.4,20.4,20.4;"Mid-fed","Days on feed","days",115,115,120,150;"Mid-fed","Feed intake","kg DM/day",11.2,10.8,10.8,10.8;"Mid-fed","N retention","per cent of intake",12.5,12.7,12.7,12.7;"Long-fed","Days on feed","days",250,250,250,250;"Long-fed","Feed intake","kg DM/day",9,8.5,8.2,8.2;"Long-fed","N retention","per cent of intake",6.6,7,7,7}, _xlpm.r, _xlpm.c))))</definedName>
    <definedName name="SourceData_Feedlot.SourceData_Feedlot_AnimalCharacteristics_Source">_xlfn.LAMBDA("VEERG 2026: Table A.1.1.2: Beef feedlot cattle - Animal characteristics")</definedName>
    <definedName name="SourceData_Feedlot.SourceData_Feedlot_AnimalCharacteristics_Title">_xlfn.LAMBDA("Beef feedlot cattle - Animal characteristics")</definedName>
    <definedName name="SourceData_Feedlot.SourceData_Feedlot_AnimalCharacteristics_Unit">_xlfn.LAMBDA("")</definedName>
    <definedName name="SourceData_Feedlot.SourceData_Feedlot_AnimalCharacteristics_Variation">_xlfn.LAMBDA(_xlfn.MAKEARRAY(3, 1, _xlfn.LAMBDA(_xlpm.r,_xlpm.c, INDEX({"VARIATION ON SOURCE:";"Moved feedlot types to a separate column to aid lookup.";"Named 'characteristic' column - original has header 'Unit' which covers two columns)"}, _xlpm.r, _xlpm.c))))</definedName>
    <definedName name="SourceData_Feedlot.SourceData_Feedlot_AshContent_Data">_xlfn.LAMBDA(0.16)</definedName>
    <definedName name="SourceData_Feedlot.SourceData_Feedlot_AshContent_Source">_xlfn.LAMBDA("VEERG 2026: 4.1.2.3 CONSTANTS")</definedName>
    <definedName name="SourceData_Feedlot.SourceData_Feedlot_AshContent_Title">_xlfn.LAMBDA("Ash content of manure.")</definedName>
    <definedName name="SourceData_Feedlot.SourceData_Feedlot_AshContent_Unit">_xlfn.LAMBDA("Fraction")</definedName>
    <definedName name="SourceData_Feedlot.SourceData_Feedlot_AshContent_Variable">_xlfn.LAMBDA("A")</definedName>
    <definedName name="SourceData_Feedlot.SourceData_Feedlot_AshContent_Variation">_xlfn.LAMBDA("")</definedName>
    <definedName name="SourceData_Feedlot.SourceData_Feedlot_DietProperties_Data">_xlfn.LAMBDA(_xlfn.MAKEARRAY(13, 8, _xlfn.LAMBDA(_xlpm.r,_xlpm.c, INDEX({"Feedlot type","Nutrient analysis","Unit","2005-2009","2010-2014","2015-2019","2020-2023","Converted to fraction";"Domestic","Dry matter digestibility","fraction",0.81,0.81,0.81,0.81,0.81;"Domestic","Crude protein","fraction",0.14,0.14,0.14,0.14,0.14;"Domestic","NDF","per cent",23,22,22,22,0.22;"Domestic","Ether Extract","per cent",4.5,4.5,4.8,4.8,0.048;"Mid-fed","Dry matter digestibility","fraction",0.81,0.81,0.81,0.81,0.81;"Mid-fed","Crude protein","fraction",0.13,0.125,0.12,0.12,0.12;"Mid-fed","NDF","per cent",24,22,22,22,0.22;"Mid-fed","Ether Extract","per cent",5,5,5,5,0.05;"Long-Fed","Dry matter digestibility","fraction",0.81,0.81,0.81,0.81,0.81;"Long-Fed","Crude protein","fraction",0.13,0.125,0.12,0.12,0.12;"Long-Fed","NDF","per cent",24,24,24,24,0.24;"Long-Fed","Ether Extract","per cent",5,5,5.5,5.5,0.055}, _xlpm.r, _xlpm.c))))</definedName>
    <definedName name="SourceData_Feedlot.SourceData_Feedlot_DietProperties_Source">_xlfn.LAMBDA("VEERG 2026: Table A.1.1.3: Beef feedlot cattle - Diet properties")</definedName>
    <definedName name="SourceData_Feedlot.SourceData_Feedlot_DietProperties_Title">_xlfn.LAMBDA("Beef feedlot cattle - Diet properties")</definedName>
    <definedName name="SourceData_Feedlot.SourceData_Feedlot_DietProperties_Unit">_xlfn.LAMBDA("")</definedName>
    <definedName name="SourceData_Feedlot.SourceData_Feedlot_DietProperties_Variation">_xlfn.LAMBDA(_xlfn.MAKEARRAY(3, 1, _xlfn.LAMBDA(_xlpm.r,_xlpm.c, INDEX({"VARIATION ON SOURCE:";"Added 'Converted to fraction column and converted NDF and Ether extract values to fractions.";"Moved feedlot types to a separate column to aid lookup."}, _xlpm.r, _xlpm.c))))</definedName>
    <definedName name="SourceData_Feedlot.SourceData_Feedlot_DurationOfStay_Data">_xlfn.LAMBDA(_xlfn.MAKEARRAY(4, 2, _xlfn.LAMBDA(_xlpm.r,_xlpm.c, INDEX({"Feedlot type","Length of Stay";"Domestic","1-80 days";"Mid-fed","81-200 days";"Long-fed","201+ days"}, _xlpm.r, _xlpm.c))))</definedName>
    <definedName name="SourceData_Feedlot.SourceData_Feedlot_DurationOfStay_Source">_xlfn.LAMBDA("VEERG 2026: Table A.1.1.1: Beef feedlot cattle - Duration of stay (days)")</definedName>
    <definedName name="SourceData_Feedlot.SourceData_Feedlot_DurationOfStay_Title">_xlfn.LAMBDA("Beef feedlot cattle - Duration of stay (days)")</definedName>
    <definedName name="SourceData_Feedlot.SourceData_Feedlot_DurationOfStay_Unit">_xlfn.LAMBDA("")</definedName>
    <definedName name="SourceData_Feedlot.SourceData_Feedlot_DurationOfStay_Variation">_xlfn.LAMBDA("")</definedName>
    <definedName name="SourceData_Feedlot.SourceData_Feedlot_FracNVolatilised_Data">_xlfn.LAMBDA(_xlfn.MAKEARRAY(6, 4, _xlfn.LAMBDA(_xlpm.r,_xlpm.c, INDEX({"Treatment stage T","MMS m","FracGASMmT (kg NH3-N + NOx-N)/kg N","NIR definition";"Primary","Dry lot (Feedpad)",0.6,"Drylot (feed pad)";"Secondary","Solid Storage (Stockpile)",0.25,"Solid storage";"Secondary","Composting (Passive Windrow)",0.4,"Composting (passive windrow)";"Secondary","Direct Application to soil",0,"Direct application";"Tertiary","Uncovered anaerobic lagoon (Effluent pond)",0.35,"Anaerobic lagoon"}, _xlpm.r, _xlpm.c))))</definedName>
    <definedName name="SourceData_Feedlot.SourceData_Feedlot_FracNVolatilised_Source">_xlfn.LAMBDA("VEERG 2026: Table A.1.1.6: Beef feedlot cattle - Fraction of N volatilised by MMS (FracGASMmT)")</definedName>
    <definedName name="SourceData_Feedlot.SourceData_Feedlot_FracNVolatilised_Title">_xlfn.LAMBDA("Feedlot - Fraction of N volatilised by MMS (FracGASMmT)")</definedName>
    <definedName name="SourceData_Feedlot.SourceData_Feedlot_FracNVolatilised_Unit">_xlfn.LAMBDA("")</definedName>
    <definedName name="SourceData_Feedlot.SourceData_Feedlot_FracNVolatilised_Variation">_xlfn.LAMBDA(_xlfn.MAKEARRAY(2, 1, _xlfn.LAMBDA(_xlpm.r,_xlpm.c, INDEX({"VARIATION ON SOURCE:";"Added 'NIR definition' column with MMS names that match NIR definitions."}, _xlpm.r, _xlpm.c))))</definedName>
    <definedName name="SourceData_Feedlot.SourceData_Feedlot_LivestockClasses">_xlfn.LAMBDA(_xlfn.MAKEARRAY(3, 1, _xlfn.LAMBDA(_xlpm.r,_xlpm.c, INDEX({"Domestic";"Export mid fed";"Export long fed"}, _xlpm.r, _xlpm.c))))</definedName>
    <definedName name="SourceData_Feedlot.SourceData_Feedlot_MCF_Data">_xlfn.LAMBDA(_xlfn.MAKEARRAY(6, 11, _xlfn.LAMBDA(_xlpm.r,_xlpm.c, INDEX({"Treatment stage T","MMS m","NSW","ACT","QLD","NT","SA","VIC","WA","TAS","NIR definition";"Primary","Dry lot (Feedpad)",0.01,0.01,0.03,0.03,0.01,0.01,0.01,0.01,"Drylot (feed pad)";"Secondary","Solid Storage (Stockpile)",0.02,0.02,0.02,0.02,0.02,0.02,0.02,0.02,"Solid storage";"Secondary","Composting (Passive Windrow)",0.01,0.01,0.01,0.01,0.01,0.01,0.01,0.01,"Composting (passive windrow)";"Secondary","Direct Application to soil",0,0,0,0,0,0,0,0,"Direct application";"Tertiary","Uncovered anaerobic lagoon (Effluent pond)",0.75,0.75,0.77,0.77,0.75,0.75,0.77,0.75,"Anaerobic lagoon"}, _xlpm.r, _xlpm.c))))</definedName>
    <definedName name="SourceData_Feedlot.SourceData_Feedlot_MCF_Source">_xlfn.LAMBDA("VEERG 2026: Table A.1.1.4: Beef feedlot cattle - MCFs (fraction) (MCFimT)")</definedName>
    <definedName name="SourceData_Feedlot.SourceData_Feedlot_MCF_Title">_xlfn.LAMBDA("Feedlot - MCFs")</definedName>
    <definedName name="SourceData_Feedlot.SourceData_Feedlot_MCF_Unit">_xlfn.LAMBDA("")</definedName>
    <definedName name="SourceData_Feedlot.SourceData_Feedlot_MCF_Variation">_xlfn.LAMBDA(_xlfn.MAKEARRAY(4, 1, _xlfn.LAMBDA(_xlpm.r,_xlpm.c, INDEX({"VARIATION ON SOURCE:";"Duplicated NSW values for ACT";"Added NT column that duplicates QLD values as per advice from source data provider.";"Added TAS column that duplicates VIC values as per advice from source data provider.";"Added 'NIR definition' column with MMS names that match NIR definitions."}, _xlpm.r, _xlpm.c))))</definedName>
    <definedName name="SourceData_Feedlot.SourceData_Feedlot_MethaneEmissionsPotential_Data">_xlfn.LAMBDA(0.19)</definedName>
    <definedName name="SourceData_Feedlot.SourceData_Feedlot_MethaneEmissionsPotential_Source">_xlfn.LAMBDA("VEERG 2026: 4.1.2.3 CONSTANTS")</definedName>
    <definedName name="SourceData_Feedlot.SourceData_Feedlot_MethaneEmissionsPotential_Title">_xlfn.LAMBDA("Methane emissions potential.")</definedName>
    <definedName name="SourceData_Feedlot.SourceData_Feedlot_MethaneEmissionsPotential_Unit">_xlfn.LAMBDA("m3 CH4 / kg VS")</definedName>
    <definedName name="SourceData_Feedlot.SourceData_Feedlot_MethaneEmissionsPotential_Variable">_xlfn.LAMBDA("B0")</definedName>
    <definedName name="SourceData_Feedlot.SourceData_Feedlot_MethaneEmissionsPotential_Variation">_xlfn.LAMBDA("")</definedName>
    <definedName name="SourceData_Feedlot.SourceData_Feedlot_MMSm1T3_Data">_xlfn.LAMBDA(0.02)</definedName>
    <definedName name="SourceData_Feedlot.SourceData_Feedlot_MMSm1T3_Source">_xlfn.LAMBDA("VEERG 2026: 4.1.2.3 CONSTANTS")</definedName>
    <definedName name="SourceData_Feedlot.SourceData_Feedlot_MMSm1T3_Title">_xlfn.LAMBDA("Fraction of volatile solids to each tertiary system assumed that 2 per cent is run - off from the feed pad.")</definedName>
    <definedName name="SourceData_Feedlot.SourceData_Feedlot_MMSm1T3_Unit">_xlfn.LAMBDA("Fraction")</definedName>
    <definedName name="SourceData_Feedlot.SourceData_Feedlot_MMSm1T3_Variable">_xlfn.LAMBDA("MMSm1T3")</definedName>
    <definedName name="SourceData_Feedlot.SourceData_Feedlot_MMSm1T3_Variation">_xlfn.LAMBDA("")</definedName>
    <definedName name="SourceData_Feedlot.SourceData_Feedlot_NitrousOxideEFs_Data">_xlfn.LAMBDA(_xlfn.MAKEARRAY(6, 4, _xlfn.LAMBDA(_xlpm.r,_xlpm.c, INDEX({"Treatment stage T","MMS m","EFmT (kg N2O-N/kg N)","NIR definition";"Primary","Dry lot (Feedpad)",0.0054,"Drylot (feed pad)";"Secondary","Solid Storage (Stockpile)",0.005,"Solid storage";"Secondary","Composting (Passive Windrow)",0.01,"Composting (passive windrow)";"Secondary","Direct Application to soil",0,"Direct application";"Tertiary","Uncovered anaerobic lagoon (Effluent Pond)",0,"Anaerobic lagoon"}, _xlpm.r, _xlpm.c))))</definedName>
    <definedName name="SourceData_Feedlot.SourceData_Feedlot_NitrousOxideEFs_Source">_xlfn.LAMBDA("VEERG 2026: Table A.1.1.5: Beef feedlot cattle - Nitrous oxide EFs (EFmT)")</definedName>
    <definedName name="SourceData_Feedlot.SourceData_Feedlot_NitrousOxideEFs_Title">_xlfn.LAMBDA("Feedlot - Nitrous oxide EFs")</definedName>
    <definedName name="SourceData_Feedlot.SourceData_Feedlot_NitrousOxideEFs_Unit">_xlfn.LAMBDA("")</definedName>
    <definedName name="SourceData_Feedlot.SourceData_Feedlot_NitrousOxideEFs_Variation">_xlfn.LAMBDA(_xlfn.MAKEARRAY(2, 1, _xlfn.LAMBDA(_xlpm.r,_xlpm.c, INDEX({"VARIATION ON SOURCE:";"Added 'NIR definition' column with MMS names that match NIR definitions."}, _xlpm.r, _xlpm.c))))</definedName>
    <definedName name="SourceData_Feedlot.SourceData_Feedlot_Stage1MMSOptions">_xlfn.LAMBDA(_xlfn.MAKEARRAY(1, 1, _xlfn.LAMBDA(_xlpm.r,_xlpm.c, INDEX({"Drylot (feed pad)"}, _xlpm.r, _xlpm.c))))</definedName>
    <definedName name="SourceData_Feedlot.SourceData_Feedlot_Stage2MMSOptions">_xlfn.LAMBDA(_xlfn.MAKEARRAY(4, 1, _xlfn.LAMBDA(_xlpm.r,_xlpm.c, INDEX({"Solid storage";"Composting (passive windrow)";"Direct application";"No MMS"}, _xlpm.r, _xlpm.c))))</definedName>
    <definedName name="SourceData_Feedlot.SourceData_Feedlot_Stage3MMSOptions">_xlfn.LAMBDA(_xlfn.MAKEARRAY(1, 1, _xlfn.LAMBDA(_xlpm.r,_xlpm.c, INDEX({"Anaerobic lagoon"}, _xlpm.r, _xlpm.c))))</definedName>
    <definedName name="SourceData_Feedlot.SourceData_Feedlot_VSL_Data">_xlfn.LAMBDA(0.5)</definedName>
    <definedName name="SourceData_Feedlot.SourceData_Feedlot_VSL_Source">_xlfn.LAMBDA("VEERG 2026: 4.1.2.3 CONSTANTS")</definedName>
    <definedName name="SourceData_Feedlot.SourceData_Feedlot_VSL_Title">_xlfn.LAMBDA("Feedlot - Fraction of volatile solids lost during storage in the primary system")</definedName>
    <definedName name="SourceData_Feedlot.SourceData_Feedlot_VSL_Unit">_xlfn.LAMBDA("Fraction")</definedName>
    <definedName name="SourceData_Feedlot.SourceData_Feedlot_VSL_Variable">_xlfn.LAMBDA("VSL")</definedName>
    <definedName name="SourceData_Feedlot.SourceData_Feedlot_VSL_Variation">_xlfn.LAMBDA("")</definedName>
    <definedName name="Step1">#REF!</definedName>
    <definedName name="Step2">#REF!</definedName>
    <definedName name="Step3">#REF!</definedName>
    <definedName name="VEERG_3_1_1_1__1_TotalAnnualMethaneFromEntericFermentation_Result">'3.1.1.1-2 Enteric Methane'!$E$67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59" i="104" l="1" a="1"/>
  <c r="E259" i="104" s="1"/>
  <c r="D259" i="104" a="1"/>
  <c r="D259" i="104" s="1"/>
  <c r="E258" i="104" a="1"/>
  <c r="E258" i="104" s="1"/>
  <c r="D258" i="104" a="1"/>
  <c r="D258" i="104" s="1"/>
  <c r="D256" i="104"/>
  <c r="D256" i="104" a="1"/>
  <c r="D255" i="104" a="1"/>
  <c r="D255" i="104" s="1"/>
  <c r="D254" i="104" a="1"/>
  <c r="D254" i="104" s="1"/>
  <c r="D253" i="104" a="1"/>
  <c r="D253" i="104" s="1"/>
  <c r="S250" i="104" a="1"/>
  <c r="S250" i="104" s="1"/>
  <c r="R250" i="104" a="1"/>
  <c r="R250" i="104" s="1"/>
  <c r="Q250" i="104" a="1"/>
  <c r="Q250" i="104" s="1"/>
  <c r="P250" i="104" a="1"/>
  <c r="P250" i="104" s="1"/>
  <c r="O250" i="104" a="1"/>
  <c r="O250" i="104" s="1"/>
  <c r="N250" i="104" a="1"/>
  <c r="N250" i="104" s="1"/>
  <c r="M250" i="104" a="1"/>
  <c r="M250" i="104" s="1"/>
  <c r="L250" i="104" a="1"/>
  <c r="L250" i="104" s="1"/>
  <c r="K250" i="104" a="1"/>
  <c r="K250" i="104" s="1"/>
  <c r="J250" i="104" a="1"/>
  <c r="J250" i="104" s="1"/>
  <c r="I250" i="104" a="1"/>
  <c r="I250" i="104" s="1"/>
  <c r="H250" i="104" a="1"/>
  <c r="H250" i="104" s="1"/>
  <c r="G250" i="104" a="1"/>
  <c r="G250" i="104" s="1"/>
  <c r="F250" i="104" a="1"/>
  <c r="F250" i="104" s="1"/>
  <c r="E250" i="104" a="1"/>
  <c r="E250" i="104" s="1"/>
  <c r="D250" i="104" a="1"/>
  <c r="D250" i="104" s="1"/>
  <c r="S249" i="104" a="1"/>
  <c r="S249" i="104" s="1"/>
  <c r="R249" i="104" a="1"/>
  <c r="R249" i="104" s="1"/>
  <c r="Q249" i="104" a="1"/>
  <c r="Q249" i="104" s="1"/>
  <c r="P249" i="104" a="1"/>
  <c r="P249" i="104" s="1"/>
  <c r="O249" i="104" a="1"/>
  <c r="O249" i="104" s="1"/>
  <c r="N249" i="104" a="1"/>
  <c r="N249" i="104" s="1"/>
  <c r="M249" i="104" a="1"/>
  <c r="M249" i="104" s="1"/>
  <c r="L249" i="104" a="1"/>
  <c r="L249" i="104" s="1"/>
  <c r="K249" i="104" a="1"/>
  <c r="K249" i="104" s="1"/>
  <c r="J249" i="104" a="1"/>
  <c r="J249" i="104" s="1"/>
  <c r="I249" i="104" a="1"/>
  <c r="I249" i="104" s="1"/>
  <c r="H249" i="104" a="1"/>
  <c r="H249" i="104" s="1"/>
  <c r="G249" i="104" a="1"/>
  <c r="G249" i="104" s="1"/>
  <c r="F249" i="104" a="1"/>
  <c r="F249" i="104" s="1"/>
  <c r="E249" i="104" a="1"/>
  <c r="E249" i="104" s="1"/>
  <c r="D249" i="104" a="1"/>
  <c r="D249" i="104" s="1"/>
  <c r="S248" i="104" a="1"/>
  <c r="S248" i="104" s="1"/>
  <c r="R248" i="104" a="1"/>
  <c r="R248" i="104" s="1"/>
  <c r="Q248" i="104" a="1"/>
  <c r="Q248" i="104" s="1"/>
  <c r="P248" i="104" a="1"/>
  <c r="P248" i="104" s="1"/>
  <c r="O248" i="104" a="1"/>
  <c r="O248" i="104" s="1"/>
  <c r="N248" i="104" a="1"/>
  <c r="N248" i="104" s="1"/>
  <c r="M248" i="104" a="1"/>
  <c r="M248" i="104" s="1"/>
  <c r="L248" i="104" a="1"/>
  <c r="L248" i="104" s="1"/>
  <c r="K248" i="104" a="1"/>
  <c r="K248" i="104" s="1"/>
  <c r="J248" i="104" a="1"/>
  <c r="J248" i="104" s="1"/>
  <c r="I248" i="104" a="1"/>
  <c r="I248" i="104" s="1"/>
  <c r="H248" i="104" a="1"/>
  <c r="H248" i="104" s="1"/>
  <c r="G248" i="104" a="1"/>
  <c r="G248" i="104" s="1"/>
  <c r="F248" i="104" a="1"/>
  <c r="F248" i="104" s="1"/>
  <c r="E248" i="104" a="1"/>
  <c r="E248" i="104" s="1"/>
  <c r="D248" i="104" a="1"/>
  <c r="D248" i="104" s="1"/>
  <c r="S247" i="104" a="1"/>
  <c r="S247" i="104" s="1"/>
  <c r="R247" i="104" a="1"/>
  <c r="R247" i="104" s="1"/>
  <c r="Q247" i="104" a="1"/>
  <c r="Q247" i="104" s="1"/>
  <c r="P247" i="104" a="1"/>
  <c r="P247" i="104" s="1"/>
  <c r="O247" i="104" a="1"/>
  <c r="O247" i="104" s="1"/>
  <c r="N247" i="104" a="1"/>
  <c r="N247" i="104" s="1"/>
  <c r="M247" i="104" a="1"/>
  <c r="M247" i="104" s="1"/>
  <c r="L247" i="104" a="1"/>
  <c r="L247" i="104" s="1"/>
  <c r="K247" i="104" a="1"/>
  <c r="K247" i="104" s="1"/>
  <c r="J247" i="104" a="1"/>
  <c r="J247" i="104" s="1"/>
  <c r="I247" i="104" a="1"/>
  <c r="I247" i="104" s="1"/>
  <c r="H247" i="104" a="1"/>
  <c r="H247" i="104" s="1"/>
  <c r="G247" i="104" a="1"/>
  <c r="G247" i="104" s="1"/>
  <c r="F247" i="104" a="1"/>
  <c r="F247" i="104" s="1"/>
  <c r="E247" i="104" a="1"/>
  <c r="E247" i="104" s="1"/>
  <c r="D247" i="104" a="1"/>
  <c r="D247" i="104" s="1"/>
  <c r="S246" i="104" a="1"/>
  <c r="S246" i="104" s="1"/>
  <c r="R246" i="104" a="1"/>
  <c r="R246" i="104" s="1"/>
  <c r="Q246" i="104" a="1"/>
  <c r="Q246" i="104" s="1"/>
  <c r="P246" i="104" a="1"/>
  <c r="P246" i="104" s="1"/>
  <c r="O246" i="104" a="1"/>
  <c r="O246" i="104" s="1"/>
  <c r="N246" i="104" a="1"/>
  <c r="N246" i="104" s="1"/>
  <c r="M246" i="104" a="1"/>
  <c r="M246" i="104" s="1"/>
  <c r="L246" i="104" a="1"/>
  <c r="L246" i="104" s="1"/>
  <c r="K246" i="104" a="1"/>
  <c r="K246" i="104" s="1"/>
  <c r="J246" i="104" a="1"/>
  <c r="J246" i="104" s="1"/>
  <c r="I246" i="104" a="1"/>
  <c r="I246" i="104" s="1"/>
  <c r="H246" i="104" a="1"/>
  <c r="H246" i="104" s="1"/>
  <c r="G246" i="104" a="1"/>
  <c r="G246" i="104" s="1"/>
  <c r="F246" i="104" a="1"/>
  <c r="F246" i="104" s="1"/>
  <c r="E246" i="104" a="1"/>
  <c r="E246" i="104" s="1"/>
  <c r="D246" i="104" a="1"/>
  <c r="D246" i="104" s="1"/>
  <c r="S245" i="104" a="1"/>
  <c r="S245" i="104" s="1"/>
  <c r="R245" i="104" a="1"/>
  <c r="R245" i="104" s="1"/>
  <c r="Q245" i="104" a="1"/>
  <c r="Q245" i="104" s="1"/>
  <c r="P245" i="104" a="1"/>
  <c r="P245" i="104" s="1"/>
  <c r="O245" i="104" a="1"/>
  <c r="O245" i="104" s="1"/>
  <c r="N245" i="104" a="1"/>
  <c r="N245" i="104" s="1"/>
  <c r="M245" i="104" a="1"/>
  <c r="M245" i="104" s="1"/>
  <c r="L245" i="104" a="1"/>
  <c r="L245" i="104" s="1"/>
  <c r="K245" i="104" a="1"/>
  <c r="K245" i="104" s="1"/>
  <c r="J245" i="104" a="1"/>
  <c r="J245" i="104" s="1"/>
  <c r="I245" i="104" a="1"/>
  <c r="I245" i="104" s="1"/>
  <c r="H245" i="104" a="1"/>
  <c r="H245" i="104" s="1"/>
  <c r="G245" i="104" a="1"/>
  <c r="G245" i="104" s="1"/>
  <c r="F245" i="104" a="1"/>
  <c r="F245" i="104" s="1"/>
  <c r="E245" i="104" a="1"/>
  <c r="E245" i="104" s="1"/>
  <c r="D245" i="104" a="1"/>
  <c r="D245" i="104" s="1"/>
  <c r="S244" i="104" a="1"/>
  <c r="S244" i="104" s="1"/>
  <c r="R244" i="104" a="1"/>
  <c r="R244" i="104" s="1"/>
  <c r="Q244" i="104" a="1"/>
  <c r="Q244" i="104" s="1"/>
  <c r="P244" i="104" a="1"/>
  <c r="P244" i="104" s="1"/>
  <c r="O244" i="104" a="1"/>
  <c r="O244" i="104" s="1"/>
  <c r="N244" i="104" a="1"/>
  <c r="N244" i="104" s="1"/>
  <c r="M244" i="104" a="1"/>
  <c r="M244" i="104" s="1"/>
  <c r="L244" i="104" a="1"/>
  <c r="L244" i="104" s="1"/>
  <c r="K244" i="104" a="1"/>
  <c r="K244" i="104" s="1"/>
  <c r="J244" i="104" a="1"/>
  <c r="J244" i="104" s="1"/>
  <c r="I244" i="104" a="1"/>
  <c r="I244" i="104" s="1"/>
  <c r="H244" i="104" a="1"/>
  <c r="H244" i="104" s="1"/>
  <c r="G244" i="104" a="1"/>
  <c r="G244" i="104" s="1"/>
  <c r="F244" i="104" a="1"/>
  <c r="F244" i="104" s="1"/>
  <c r="E244" i="104" a="1"/>
  <c r="E244" i="104" s="1"/>
  <c r="D244" i="104" a="1"/>
  <c r="D244" i="104" s="1"/>
  <c r="S243" i="104" a="1"/>
  <c r="S243" i="104" s="1"/>
  <c r="R243" i="104" a="1"/>
  <c r="R243" i="104" s="1"/>
  <c r="Q243" i="104" a="1"/>
  <c r="Q243" i="104" s="1"/>
  <c r="P243" i="104" a="1"/>
  <c r="P243" i="104" s="1"/>
  <c r="O243" i="104" a="1"/>
  <c r="O243" i="104" s="1"/>
  <c r="N243" i="104" a="1"/>
  <c r="N243" i="104" s="1"/>
  <c r="M243" i="104" a="1"/>
  <c r="M243" i="104" s="1"/>
  <c r="L243" i="104" a="1"/>
  <c r="L243" i="104" s="1"/>
  <c r="K243" i="104" a="1"/>
  <c r="K243" i="104" s="1"/>
  <c r="J243" i="104" a="1"/>
  <c r="J243" i="104" s="1"/>
  <c r="I243" i="104" a="1"/>
  <c r="I243" i="104" s="1"/>
  <c r="H243" i="104" a="1"/>
  <c r="H243" i="104" s="1"/>
  <c r="G243" i="104" a="1"/>
  <c r="G243" i="104" s="1"/>
  <c r="F243" i="104" a="1"/>
  <c r="F243" i="104" s="1"/>
  <c r="E243" i="104" a="1"/>
  <c r="E243" i="104" s="1"/>
  <c r="D243" i="104" a="1"/>
  <c r="D243" i="104" s="1"/>
  <c r="S242" i="104" a="1"/>
  <c r="S242" i="104" s="1"/>
  <c r="R242" i="104" a="1"/>
  <c r="R242" i="104" s="1"/>
  <c r="Q242" i="104" a="1"/>
  <c r="Q242" i="104" s="1"/>
  <c r="P242" i="104" a="1"/>
  <c r="P242" i="104" s="1"/>
  <c r="O242" i="104" a="1"/>
  <c r="O242" i="104" s="1"/>
  <c r="N242" i="104" a="1"/>
  <c r="N242" i="104" s="1"/>
  <c r="M242" i="104" a="1"/>
  <c r="M242" i="104" s="1"/>
  <c r="L242" i="104" a="1"/>
  <c r="L242" i="104" s="1"/>
  <c r="K242" i="104" a="1"/>
  <c r="K242" i="104" s="1"/>
  <c r="J242" i="104" a="1"/>
  <c r="J242" i="104" s="1"/>
  <c r="I242" i="104" a="1"/>
  <c r="I242" i="104" s="1"/>
  <c r="H242" i="104" a="1"/>
  <c r="H242" i="104" s="1"/>
  <c r="G242" i="104" a="1"/>
  <c r="G242" i="104" s="1"/>
  <c r="F242" i="104" a="1"/>
  <c r="F242" i="104" s="1"/>
  <c r="E242" i="104" a="1"/>
  <c r="E242" i="104" s="1"/>
  <c r="D242" i="104" a="1"/>
  <c r="D242" i="104" s="1"/>
  <c r="S241" i="104" a="1"/>
  <c r="S241" i="104" s="1"/>
  <c r="R241" i="104" a="1"/>
  <c r="R241" i="104" s="1"/>
  <c r="Q241" i="104" a="1"/>
  <c r="Q241" i="104" s="1"/>
  <c r="P241" i="104" a="1"/>
  <c r="P241" i="104" s="1"/>
  <c r="O241" i="104" a="1"/>
  <c r="O241" i="104" s="1"/>
  <c r="N241" i="104" a="1"/>
  <c r="N241" i="104" s="1"/>
  <c r="M241" i="104" a="1"/>
  <c r="M241" i="104" s="1"/>
  <c r="L241" i="104" a="1"/>
  <c r="L241" i="104" s="1"/>
  <c r="K241" i="104" a="1"/>
  <c r="K241" i="104" s="1"/>
  <c r="J241" i="104" a="1"/>
  <c r="J241" i="104" s="1"/>
  <c r="I241" i="104" a="1"/>
  <c r="I241" i="104" s="1"/>
  <c r="H241" i="104" a="1"/>
  <c r="H241" i="104" s="1"/>
  <c r="G241" i="104" a="1"/>
  <c r="G241" i="104" s="1"/>
  <c r="F241" i="104" a="1"/>
  <c r="F241" i="104" s="1"/>
  <c r="E241" i="104" a="1"/>
  <c r="E241" i="104" s="1"/>
  <c r="D241" i="104" a="1"/>
  <c r="D241" i="104" s="1"/>
  <c r="S240" i="104" a="1"/>
  <c r="S240" i="104" s="1"/>
  <c r="R240" i="104" a="1"/>
  <c r="R240" i="104" s="1"/>
  <c r="Q240" i="104" a="1"/>
  <c r="Q240" i="104" s="1"/>
  <c r="P240" i="104" a="1"/>
  <c r="P240" i="104" s="1"/>
  <c r="O240" i="104" a="1"/>
  <c r="O240" i="104" s="1"/>
  <c r="N240" i="104" a="1"/>
  <c r="N240" i="104" s="1"/>
  <c r="M240" i="104" a="1"/>
  <c r="M240" i="104" s="1"/>
  <c r="L240" i="104" a="1"/>
  <c r="L240" i="104" s="1"/>
  <c r="K240" i="104" a="1"/>
  <c r="K240" i="104" s="1"/>
  <c r="J240" i="104" a="1"/>
  <c r="J240" i="104" s="1"/>
  <c r="I240" i="104" a="1"/>
  <c r="I240" i="104" s="1"/>
  <c r="H240" i="104" a="1"/>
  <c r="H240" i="104" s="1"/>
  <c r="G240" i="104" a="1"/>
  <c r="G240" i="104" s="1"/>
  <c r="F240" i="104" a="1"/>
  <c r="F240" i="104" s="1"/>
  <c r="E240" i="104" a="1"/>
  <c r="E240" i="104" s="1"/>
  <c r="D240" i="104" a="1"/>
  <c r="D240" i="104" s="1"/>
  <c r="S239" i="104" a="1"/>
  <c r="S239" i="104" s="1"/>
  <c r="R239" i="104" a="1"/>
  <c r="R239" i="104" s="1"/>
  <c r="Q239" i="104" a="1"/>
  <c r="Q239" i="104" s="1"/>
  <c r="P239" i="104" a="1"/>
  <c r="P239" i="104" s="1"/>
  <c r="O239" i="104" a="1"/>
  <c r="O239" i="104" s="1"/>
  <c r="N239" i="104" a="1"/>
  <c r="N239" i="104" s="1"/>
  <c r="M239" i="104" a="1"/>
  <c r="M239" i="104" s="1"/>
  <c r="L239" i="104" a="1"/>
  <c r="L239" i="104" s="1"/>
  <c r="K239" i="104" a="1"/>
  <c r="K239" i="104" s="1"/>
  <c r="J239" i="104" a="1"/>
  <c r="J239" i="104" s="1"/>
  <c r="I239" i="104" a="1"/>
  <c r="I239" i="104" s="1"/>
  <c r="H239" i="104" a="1"/>
  <c r="H239" i="104" s="1"/>
  <c r="G239" i="104" a="1"/>
  <c r="G239" i="104" s="1"/>
  <c r="F239" i="104" a="1"/>
  <c r="F239" i="104" s="1"/>
  <c r="E239" i="104" a="1"/>
  <c r="E239" i="104" s="1"/>
  <c r="D239" i="104" a="1"/>
  <c r="D239" i="104" s="1"/>
  <c r="S238" i="104" a="1"/>
  <c r="S238" i="104" s="1"/>
  <c r="R238" i="104" a="1"/>
  <c r="R238" i="104" s="1"/>
  <c r="Q238" i="104" a="1"/>
  <c r="Q238" i="104" s="1"/>
  <c r="P238" i="104" a="1"/>
  <c r="P238" i="104" s="1"/>
  <c r="O238" i="104" a="1"/>
  <c r="O238" i="104" s="1"/>
  <c r="N238" i="104" a="1"/>
  <c r="N238" i="104" s="1"/>
  <c r="M238" i="104" a="1"/>
  <c r="M238" i="104" s="1"/>
  <c r="L238" i="104" a="1"/>
  <c r="L238" i="104" s="1"/>
  <c r="K238" i="104" a="1"/>
  <c r="K238" i="104" s="1"/>
  <c r="J238" i="104" a="1"/>
  <c r="J238" i="104" s="1"/>
  <c r="I238" i="104" a="1"/>
  <c r="I238" i="104" s="1"/>
  <c r="H238" i="104" a="1"/>
  <c r="H238" i="104" s="1"/>
  <c r="G238" i="104" a="1"/>
  <c r="G238" i="104" s="1"/>
  <c r="F238" i="104" a="1"/>
  <c r="F238" i="104" s="1"/>
  <c r="E238" i="104" a="1"/>
  <c r="E238" i="104" s="1"/>
  <c r="D238" i="104" a="1"/>
  <c r="D238" i="104" s="1"/>
  <c r="S237" i="104" a="1"/>
  <c r="S237" i="104" s="1"/>
  <c r="R237" i="104" a="1"/>
  <c r="R237" i="104" s="1"/>
  <c r="Q237" i="104" a="1"/>
  <c r="Q237" i="104" s="1"/>
  <c r="P237" i="104" a="1"/>
  <c r="P237" i="104" s="1"/>
  <c r="O237" i="104" a="1"/>
  <c r="O237" i="104" s="1"/>
  <c r="N237" i="104" a="1"/>
  <c r="N237" i="104" s="1"/>
  <c r="M237" i="104" a="1"/>
  <c r="M237" i="104" s="1"/>
  <c r="L237" i="104" a="1"/>
  <c r="L237" i="104" s="1"/>
  <c r="K237" i="104" a="1"/>
  <c r="K237" i="104" s="1"/>
  <c r="J237" i="104" a="1"/>
  <c r="J237" i="104" s="1"/>
  <c r="I237" i="104" a="1"/>
  <c r="I237" i="104" s="1"/>
  <c r="H237" i="104" a="1"/>
  <c r="H237" i="104" s="1"/>
  <c r="G237" i="104" a="1"/>
  <c r="G237" i="104" s="1"/>
  <c r="F237" i="104" a="1"/>
  <c r="F237" i="104" s="1"/>
  <c r="E237" i="104" a="1"/>
  <c r="E237" i="104" s="1"/>
  <c r="D237" i="104" a="1"/>
  <c r="D237" i="104" s="1"/>
  <c r="S236" i="104" a="1"/>
  <c r="S236" i="104" s="1"/>
  <c r="R236" i="104" a="1"/>
  <c r="R236" i="104" s="1"/>
  <c r="Q236" i="104" a="1"/>
  <c r="Q236" i="104" s="1"/>
  <c r="P236" i="104" a="1"/>
  <c r="P236" i="104" s="1"/>
  <c r="O236" i="104" a="1"/>
  <c r="O236" i="104" s="1"/>
  <c r="N236" i="104" a="1"/>
  <c r="N236" i="104" s="1"/>
  <c r="M236" i="104" a="1"/>
  <c r="M236" i="104" s="1"/>
  <c r="L236" i="104" a="1"/>
  <c r="L236" i="104" s="1"/>
  <c r="K236" i="104" a="1"/>
  <c r="K236" i="104" s="1"/>
  <c r="J236" i="104" a="1"/>
  <c r="J236" i="104" s="1"/>
  <c r="I236" i="104" a="1"/>
  <c r="I236" i="104" s="1"/>
  <c r="H236" i="104" a="1"/>
  <c r="H236" i="104" s="1"/>
  <c r="G236" i="104" a="1"/>
  <c r="G236" i="104" s="1"/>
  <c r="F236" i="104" a="1"/>
  <c r="F236" i="104" s="1"/>
  <c r="E236" i="104" a="1"/>
  <c r="E236" i="104" s="1"/>
  <c r="D236" i="104" a="1"/>
  <c r="D236" i="104" s="1"/>
  <c r="S235" i="104" a="1"/>
  <c r="S235" i="104" s="1"/>
  <c r="R235" i="104" a="1"/>
  <c r="R235" i="104" s="1"/>
  <c r="Q235" i="104" a="1"/>
  <c r="Q235" i="104" s="1"/>
  <c r="P235" i="104" a="1"/>
  <c r="P235" i="104" s="1"/>
  <c r="O235" i="104" a="1"/>
  <c r="O235" i="104" s="1"/>
  <c r="N235" i="104" a="1"/>
  <c r="N235" i="104" s="1"/>
  <c r="M235" i="104" a="1"/>
  <c r="M235" i="104" s="1"/>
  <c r="L235" i="104" a="1"/>
  <c r="L235" i="104" s="1"/>
  <c r="K235" i="104" a="1"/>
  <c r="K235" i="104" s="1"/>
  <c r="J235" i="104" a="1"/>
  <c r="J235" i="104" s="1"/>
  <c r="I235" i="104" a="1"/>
  <c r="I235" i="104" s="1"/>
  <c r="H235" i="104" a="1"/>
  <c r="H235" i="104" s="1"/>
  <c r="G235" i="104" a="1"/>
  <c r="G235" i="104" s="1"/>
  <c r="F235" i="104" a="1"/>
  <c r="F235" i="104" s="1"/>
  <c r="E235" i="104" a="1"/>
  <c r="E235" i="104" s="1"/>
  <c r="D235" i="104" a="1"/>
  <c r="D235" i="104" s="1"/>
  <c r="S234" i="104" a="1"/>
  <c r="S234" i="104" s="1"/>
  <c r="R234" i="104" a="1"/>
  <c r="R234" i="104" s="1"/>
  <c r="Q234" i="104" a="1"/>
  <c r="Q234" i="104" s="1"/>
  <c r="P234" i="104" a="1"/>
  <c r="P234" i="104" s="1"/>
  <c r="O234" i="104" a="1"/>
  <c r="O234" i="104" s="1"/>
  <c r="N234" i="104" a="1"/>
  <c r="N234" i="104" s="1"/>
  <c r="M234" i="104" a="1"/>
  <c r="M234" i="104" s="1"/>
  <c r="L234" i="104" a="1"/>
  <c r="L234" i="104" s="1"/>
  <c r="K234" i="104" a="1"/>
  <c r="K234" i="104" s="1"/>
  <c r="J234" i="104" a="1"/>
  <c r="J234" i="104" s="1"/>
  <c r="I234" i="104" a="1"/>
  <c r="I234" i="104" s="1"/>
  <c r="H234" i="104" a="1"/>
  <c r="H234" i="104" s="1"/>
  <c r="G234" i="104" a="1"/>
  <c r="G234" i="104" s="1"/>
  <c r="F234" i="104" a="1"/>
  <c r="F234" i="104" s="1"/>
  <c r="E234" i="104" a="1"/>
  <c r="E234" i="104" s="1"/>
  <c r="D234" i="104" a="1"/>
  <c r="D234" i="104" s="1"/>
  <c r="S233" i="104" a="1"/>
  <c r="S233" i="104" s="1"/>
  <c r="R233" i="104" a="1"/>
  <c r="R233" i="104" s="1"/>
  <c r="Q233" i="104" a="1"/>
  <c r="Q233" i="104" s="1"/>
  <c r="P233" i="104" a="1"/>
  <c r="P233" i="104" s="1"/>
  <c r="O233" i="104" a="1"/>
  <c r="O233" i="104" s="1"/>
  <c r="N233" i="104" a="1"/>
  <c r="N233" i="104" s="1"/>
  <c r="M233" i="104" a="1"/>
  <c r="M233" i="104" s="1"/>
  <c r="L233" i="104" a="1"/>
  <c r="L233" i="104" s="1"/>
  <c r="K233" i="104" a="1"/>
  <c r="K233" i="104" s="1"/>
  <c r="J233" i="104" a="1"/>
  <c r="J233" i="104" s="1"/>
  <c r="I233" i="104" a="1"/>
  <c r="I233" i="104" s="1"/>
  <c r="H233" i="104" a="1"/>
  <c r="H233" i="104" s="1"/>
  <c r="G233" i="104" a="1"/>
  <c r="G233" i="104" s="1"/>
  <c r="F233" i="104" a="1"/>
  <c r="F233" i="104" s="1"/>
  <c r="E233" i="104" a="1"/>
  <c r="E233" i="104" s="1"/>
  <c r="D233" i="104" a="1"/>
  <c r="D233" i="104" s="1"/>
  <c r="S232" i="104" a="1"/>
  <c r="S232" i="104" s="1"/>
  <c r="R232" i="104" a="1"/>
  <c r="R232" i="104" s="1"/>
  <c r="Q232" i="104" a="1"/>
  <c r="Q232" i="104" s="1"/>
  <c r="P232" i="104" a="1"/>
  <c r="P232" i="104" s="1"/>
  <c r="O232" i="104" a="1"/>
  <c r="O232" i="104" s="1"/>
  <c r="N232" i="104" a="1"/>
  <c r="N232" i="104" s="1"/>
  <c r="M232" i="104" a="1"/>
  <c r="M232" i="104" s="1"/>
  <c r="L232" i="104" a="1"/>
  <c r="L232" i="104" s="1"/>
  <c r="K232" i="104" a="1"/>
  <c r="K232" i="104" s="1"/>
  <c r="J232" i="104" a="1"/>
  <c r="J232" i="104" s="1"/>
  <c r="I232" i="104" a="1"/>
  <c r="I232" i="104" s="1"/>
  <c r="H232" i="104" a="1"/>
  <c r="H232" i="104" s="1"/>
  <c r="G232" i="104" a="1"/>
  <c r="G232" i="104" s="1"/>
  <c r="F232" i="104" a="1"/>
  <c r="F232" i="104" s="1"/>
  <c r="E232" i="104" a="1"/>
  <c r="E232" i="104" s="1"/>
  <c r="D232" i="104" a="1"/>
  <c r="D232" i="104" s="1"/>
  <c r="D229" i="104" a="1"/>
  <c r="D229" i="104" s="1"/>
  <c r="D228" i="104" a="1"/>
  <c r="D228" i="104" s="1"/>
  <c r="D227" i="104"/>
  <c r="D227" i="104" a="1"/>
  <c r="E224" i="104" a="1"/>
  <c r="E224" i="104" s="1"/>
  <c r="D224" i="104" a="1"/>
  <c r="D224" i="104" s="1"/>
  <c r="E223" i="104" a="1"/>
  <c r="E223" i="104" s="1"/>
  <c r="D223" i="104" a="1"/>
  <c r="D223" i="104" s="1"/>
  <c r="E222" i="104" a="1"/>
  <c r="E222" i="104" s="1"/>
  <c r="D222" i="104" a="1"/>
  <c r="D222" i="104" s="1"/>
  <c r="E221" i="104" a="1"/>
  <c r="E221" i="104" s="1"/>
  <c r="D221" i="104" a="1"/>
  <c r="D221" i="104" s="1"/>
  <c r="E220" i="104" a="1"/>
  <c r="E220" i="104" s="1"/>
  <c r="D220" i="104" a="1"/>
  <c r="D220" i="104" s="1"/>
  <c r="E219" i="104" a="1"/>
  <c r="E219" i="104" s="1"/>
  <c r="D219" i="104" a="1"/>
  <c r="D219" i="104" s="1"/>
  <c r="E218" i="104" a="1"/>
  <c r="E218" i="104" s="1"/>
  <c r="D218" i="104" a="1"/>
  <c r="D218" i="104" s="1"/>
  <c r="E217" i="104" a="1"/>
  <c r="E217" i="104" s="1"/>
  <c r="D217" i="104" a="1"/>
  <c r="D217" i="104" s="1"/>
  <c r="E216" i="104" a="1"/>
  <c r="E216" i="104" s="1"/>
  <c r="D216" i="104" a="1"/>
  <c r="D216" i="104" s="1"/>
  <c r="E215" i="104" a="1"/>
  <c r="E215" i="104" s="1"/>
  <c r="D215" i="104" a="1"/>
  <c r="D215" i="104" s="1"/>
  <c r="E214" i="104" a="1"/>
  <c r="E214" i="104" s="1"/>
  <c r="D214" i="104" a="1"/>
  <c r="D214" i="104" s="1"/>
  <c r="E213" i="104" a="1"/>
  <c r="E213" i="104" s="1"/>
  <c r="D213" i="104" a="1"/>
  <c r="D213" i="104" s="1"/>
  <c r="D211" i="104" a="1"/>
  <c r="D211" i="104" s="1"/>
  <c r="E208" i="104" a="1"/>
  <c r="E208" i="104" s="1"/>
  <c r="D208" i="104" a="1"/>
  <c r="D208" i="104" s="1"/>
  <c r="E207" i="104" a="1"/>
  <c r="E207" i="104" s="1"/>
  <c r="D207" i="104" a="1"/>
  <c r="D207" i="104" s="1"/>
  <c r="D205" i="104" a="1"/>
  <c r="D205" i="104" s="1"/>
  <c r="D204" i="104" a="1"/>
  <c r="D204" i="104" s="1"/>
  <c r="D203" i="104" a="1"/>
  <c r="D203" i="104" s="1"/>
  <c r="D202" i="104" a="1"/>
  <c r="D202" i="104" s="1"/>
  <c r="H199" i="104" a="1"/>
  <c r="H199" i="104" s="1"/>
  <c r="G199" i="104" a="1"/>
  <c r="G199" i="104" s="1"/>
  <c r="F199" i="104" a="1"/>
  <c r="F199" i="104" s="1"/>
  <c r="E199" i="104" a="1"/>
  <c r="E199" i="104" s="1"/>
  <c r="D199" i="104" a="1"/>
  <c r="D199" i="104" s="1"/>
  <c r="H198" i="104" a="1"/>
  <c r="H198" i="104" s="1"/>
  <c r="G198" i="104" a="1"/>
  <c r="G198" i="104" s="1"/>
  <c r="F198" i="104" a="1"/>
  <c r="F198" i="104" s="1"/>
  <c r="E198" i="104" a="1"/>
  <c r="E198" i="104" s="1"/>
  <c r="D198" i="104" a="1"/>
  <c r="D198" i="104" s="1"/>
  <c r="H197" i="104" a="1"/>
  <c r="H197" i="104" s="1"/>
  <c r="G197" i="104" a="1"/>
  <c r="G197" i="104" s="1"/>
  <c r="F197" i="104" a="1"/>
  <c r="F197" i="104" s="1"/>
  <c r="E197" i="104" a="1"/>
  <c r="E197" i="104" s="1"/>
  <c r="D197" i="104" a="1"/>
  <c r="D197" i="104" s="1"/>
  <c r="H196" i="104" a="1"/>
  <c r="H196" i="104" s="1"/>
  <c r="G196" i="104" a="1"/>
  <c r="G196" i="104" s="1"/>
  <c r="F196" i="104" a="1"/>
  <c r="F196" i="104" s="1"/>
  <c r="E196" i="104" a="1"/>
  <c r="E196" i="104" s="1"/>
  <c r="D196" i="104" a="1"/>
  <c r="D196" i="104" s="1"/>
  <c r="H195" i="104" a="1"/>
  <c r="H195" i="104" s="1"/>
  <c r="G195" i="104" a="1"/>
  <c r="G195" i="104" s="1"/>
  <c r="F195" i="104" a="1"/>
  <c r="F195" i="104" s="1"/>
  <c r="E195" i="104" a="1"/>
  <c r="E195" i="104" s="1"/>
  <c r="D195" i="104" a="1"/>
  <c r="D195" i="104" s="1"/>
  <c r="H194" i="104" a="1"/>
  <c r="H194" i="104" s="1"/>
  <c r="G194" i="104" a="1"/>
  <c r="G194" i="104" s="1"/>
  <c r="F194" i="104" a="1"/>
  <c r="F194" i="104" s="1"/>
  <c r="E194" i="104" a="1"/>
  <c r="E194" i="104" s="1"/>
  <c r="D194" i="104" a="1"/>
  <c r="D194" i="104" s="1"/>
  <c r="H193" i="104" a="1"/>
  <c r="H193" i="104" s="1"/>
  <c r="G193" i="104" a="1"/>
  <c r="G193" i="104" s="1"/>
  <c r="F193" i="104" a="1"/>
  <c r="F193" i="104" s="1"/>
  <c r="E193" i="104" a="1"/>
  <c r="E193" i="104" s="1"/>
  <c r="D193" i="104" a="1"/>
  <c r="D193" i="104" s="1"/>
  <c r="H192" i="104" a="1"/>
  <c r="H192" i="104" s="1"/>
  <c r="G192" i="104" a="1"/>
  <c r="G192" i="104" s="1"/>
  <c r="F192" i="104" a="1"/>
  <c r="F192" i="104" s="1"/>
  <c r="E192" i="104" a="1"/>
  <c r="E192" i="104" s="1"/>
  <c r="D192" i="104" a="1"/>
  <c r="D192" i="104" s="1"/>
  <c r="H191" i="104" a="1"/>
  <c r="H191" i="104" s="1"/>
  <c r="G191" i="104" a="1"/>
  <c r="G191" i="104" s="1"/>
  <c r="F191" i="104" a="1"/>
  <c r="F191" i="104" s="1"/>
  <c r="E191" i="104" a="1"/>
  <c r="E191" i="104" s="1"/>
  <c r="D191" i="104" a="1"/>
  <c r="D191" i="104" s="1"/>
  <c r="H190" i="104" a="1"/>
  <c r="H190" i="104" s="1"/>
  <c r="G190" i="104" a="1"/>
  <c r="G190" i="104" s="1"/>
  <c r="F190" i="104" a="1"/>
  <c r="F190" i="104" s="1"/>
  <c r="E190" i="104" a="1"/>
  <c r="E190" i="104" s="1"/>
  <c r="D190" i="104" a="1"/>
  <c r="D190" i="104" s="1"/>
  <c r="H189" i="104" a="1"/>
  <c r="H189" i="104" s="1"/>
  <c r="G189" i="104" a="1"/>
  <c r="G189" i="104" s="1"/>
  <c r="F189" i="104" a="1"/>
  <c r="F189" i="104" s="1"/>
  <c r="E189" i="104" a="1"/>
  <c r="E189" i="104" s="1"/>
  <c r="D189" i="104" a="1"/>
  <c r="D189" i="104" s="1"/>
  <c r="H188" i="104" a="1"/>
  <c r="H188" i="104" s="1"/>
  <c r="G188" i="104" a="1"/>
  <c r="G188" i="104" s="1"/>
  <c r="F188" i="104" a="1"/>
  <c r="F188" i="104" s="1"/>
  <c r="G28" i="79" s="1"/>
  <c r="E188" i="104" a="1"/>
  <c r="E188" i="104" s="1"/>
  <c r="D188" i="104" a="1"/>
  <c r="D188" i="104" s="1"/>
  <c r="H187" i="104" a="1"/>
  <c r="H187" i="104" s="1"/>
  <c r="G187" i="104" a="1"/>
  <c r="G187" i="104" s="1"/>
  <c r="F187" i="104" a="1"/>
  <c r="F187" i="104" s="1"/>
  <c r="G29" i="79" s="1"/>
  <c r="E187" i="104" a="1"/>
  <c r="E187" i="104" s="1"/>
  <c r="D187" i="104" a="1"/>
  <c r="D187" i="104" s="1"/>
  <c r="D181" i="104" a="1"/>
  <c r="D181" i="104" s="1"/>
  <c r="D180" i="104" a="1"/>
  <c r="D180" i="104" s="1"/>
  <c r="D179" i="104" a="1"/>
  <c r="D179" i="104" s="1"/>
  <c r="D178" i="104" a="1"/>
  <c r="D178" i="104" s="1"/>
  <c r="E175" i="104" a="1"/>
  <c r="E175" i="104" s="1"/>
  <c r="D175" i="104" a="1"/>
  <c r="D175" i="104" s="1"/>
  <c r="D174" i="104" a="1"/>
  <c r="D174" i="104" s="1"/>
  <c r="D173" i="104" a="1"/>
  <c r="D173" i="104" s="1"/>
  <c r="D170" i="104" a="1"/>
  <c r="D170" i="104" s="1"/>
  <c r="D169" i="104" a="1"/>
  <c r="D169" i="104" s="1"/>
  <c r="D168" i="104"/>
  <c r="D168" i="104" a="1"/>
  <c r="D167" i="104" a="1"/>
  <c r="D167" i="104" s="1"/>
  <c r="D164" i="104" a="1"/>
  <c r="D164" i="104" s="1"/>
  <c r="D163" i="104" a="1"/>
  <c r="D163" i="104" s="1"/>
  <c r="D162" i="104" a="1"/>
  <c r="D162" i="104" s="1"/>
  <c r="D161" i="104" a="1"/>
  <c r="D161" i="104" s="1"/>
  <c r="E158" i="104" a="1"/>
  <c r="E158" i="104" s="1"/>
  <c r="D158" i="104" a="1"/>
  <c r="D158" i="104" s="1"/>
  <c r="E157" i="104" a="1"/>
  <c r="E157" i="104" s="1"/>
  <c r="D157" i="104" a="1"/>
  <c r="D157" i="104" s="1"/>
  <c r="E156" i="104" a="1"/>
  <c r="E156" i="104" s="1"/>
  <c r="D156" i="104" a="1"/>
  <c r="D156" i="104" s="1"/>
  <c r="E155" i="104" a="1"/>
  <c r="E155" i="104" s="1"/>
  <c r="D155" i="104" a="1"/>
  <c r="D155" i="104" s="1"/>
  <c r="E154" i="104" a="1"/>
  <c r="E154" i="104" s="1"/>
  <c r="D154" i="104" a="1"/>
  <c r="D154" i="104" s="1"/>
  <c r="D151" i="104" a="1"/>
  <c r="D151" i="104" s="1"/>
  <c r="D150" i="104" a="1"/>
  <c r="D150" i="104" s="1"/>
  <c r="E147" i="104" a="1"/>
  <c r="E147" i="104" s="1"/>
  <c r="D147" i="104" a="1"/>
  <c r="D147" i="104" s="1"/>
  <c r="E146" i="104" a="1"/>
  <c r="E146" i="104" s="1"/>
  <c r="D146" i="104" a="1"/>
  <c r="D146" i="104" s="1"/>
  <c r="E145" i="104" a="1"/>
  <c r="E145" i="104" s="1"/>
  <c r="D145" i="104" a="1"/>
  <c r="D145" i="104" s="1"/>
  <c r="E144" i="104" a="1"/>
  <c r="E144" i="104" s="1"/>
  <c r="D144" i="104" a="1"/>
  <c r="D144" i="104" s="1"/>
  <c r="E143" i="104" a="1"/>
  <c r="E143" i="104" s="1"/>
  <c r="D143" i="104" a="1"/>
  <c r="D143" i="104" s="1"/>
  <c r="D141" i="104" a="1"/>
  <c r="D141" i="104" s="1"/>
  <c r="D140" i="104" a="1"/>
  <c r="D140" i="104" s="1"/>
  <c r="D139" i="104" a="1"/>
  <c r="D139" i="104" s="1"/>
  <c r="E136" i="104" a="1"/>
  <c r="E136" i="104" s="1"/>
  <c r="D136" i="104" a="1"/>
  <c r="D136" i="104" s="1"/>
  <c r="E135" i="104" a="1"/>
  <c r="E135" i="104" s="1"/>
  <c r="D135" i="104" a="1"/>
  <c r="D135" i="104" s="1"/>
  <c r="D133" i="104" a="1"/>
  <c r="D133" i="104" s="1"/>
  <c r="D132" i="104" a="1"/>
  <c r="D132" i="104" s="1"/>
  <c r="E129" i="104" a="1"/>
  <c r="E129" i="104" s="1"/>
  <c r="D129" i="104" a="1"/>
  <c r="D129" i="104" s="1"/>
  <c r="E128" i="104" a="1"/>
  <c r="E128" i="104" s="1"/>
  <c r="D128" i="104" a="1"/>
  <c r="D128" i="104" s="1"/>
  <c r="D125" i="104" a="1"/>
  <c r="D125" i="104" s="1"/>
  <c r="D124" i="104" a="1"/>
  <c r="D124" i="104" s="1"/>
  <c r="G121" i="104" a="1"/>
  <c r="G121" i="104" s="1"/>
  <c r="F121" i="104" a="1"/>
  <c r="F121" i="104" s="1"/>
  <c r="E121" i="104" a="1"/>
  <c r="E121" i="104" s="1"/>
  <c r="D121" i="104" a="1"/>
  <c r="D121" i="104" s="1"/>
  <c r="G120" i="104" a="1"/>
  <c r="G120" i="104" s="1"/>
  <c r="F120" i="104" a="1"/>
  <c r="F120" i="104" s="1"/>
  <c r="E120" i="104" a="1"/>
  <c r="E120" i="104" s="1"/>
  <c r="D120" i="104" a="1"/>
  <c r="D120" i="104" s="1"/>
  <c r="D117" i="104" a="1"/>
  <c r="D117" i="104" s="1"/>
  <c r="D116" i="104" a="1"/>
  <c r="D116" i="104" s="1"/>
  <c r="D115" i="104" a="1"/>
  <c r="D115" i="104" s="1"/>
  <c r="G112" i="104" a="1"/>
  <c r="G112" i="104" s="1"/>
  <c r="F112" i="104" a="1"/>
  <c r="F112" i="104" s="1"/>
  <c r="E112" i="104" a="1"/>
  <c r="E112" i="104" s="1"/>
  <c r="D112" i="104" a="1"/>
  <c r="D112" i="104" s="1"/>
  <c r="G111" i="104" a="1"/>
  <c r="G111" i="104" s="1"/>
  <c r="F111" i="104" a="1"/>
  <c r="F111" i="104" s="1"/>
  <c r="E111" i="104" a="1"/>
  <c r="E111" i="104" s="1"/>
  <c r="D111" i="104" a="1"/>
  <c r="D111" i="104" s="1"/>
  <c r="G110" i="104" a="1"/>
  <c r="G110" i="104" s="1"/>
  <c r="F110" i="104" a="1"/>
  <c r="F110" i="104" s="1"/>
  <c r="E110" i="104" a="1"/>
  <c r="E110" i="104" s="1"/>
  <c r="D110" i="104" a="1"/>
  <c r="D110" i="104" s="1"/>
  <c r="D107" i="104" a="1"/>
  <c r="D107" i="104" s="1"/>
  <c r="D106" i="104" a="1"/>
  <c r="D106" i="104" s="1"/>
  <c r="D105" i="104" a="1"/>
  <c r="D105" i="104" s="1"/>
  <c r="D99" i="104" a="1"/>
  <c r="D99" i="104" s="1"/>
  <c r="S97" i="104" a="1"/>
  <c r="S97" i="104" s="1"/>
  <c r="R97" i="104" a="1"/>
  <c r="R97" i="104" s="1"/>
  <c r="Q97" i="104" a="1"/>
  <c r="Q97" i="104" s="1"/>
  <c r="P97" i="104" a="1"/>
  <c r="P97" i="104" s="1"/>
  <c r="O97" i="104" a="1"/>
  <c r="O97" i="104" s="1"/>
  <c r="N97" i="104" a="1"/>
  <c r="N97" i="104" s="1"/>
  <c r="M97" i="104" a="1"/>
  <c r="M97" i="104" s="1"/>
  <c r="L97" i="104" a="1"/>
  <c r="L97" i="104" s="1"/>
  <c r="K97" i="104" a="1"/>
  <c r="K97" i="104" s="1"/>
  <c r="J97" i="104" a="1"/>
  <c r="J97" i="104" s="1"/>
  <c r="I97" i="104" a="1"/>
  <c r="I97" i="104" s="1"/>
  <c r="H97" i="104" a="1"/>
  <c r="H97" i="104" s="1"/>
  <c r="G97" i="104" a="1"/>
  <c r="G97" i="104" s="1"/>
  <c r="F97" i="104" a="1"/>
  <c r="F97" i="104" s="1"/>
  <c r="E97" i="104" a="1"/>
  <c r="E97" i="104" s="1"/>
  <c r="D97" i="104" a="1"/>
  <c r="D97" i="104" s="1"/>
  <c r="S96" i="104" a="1"/>
  <c r="S96" i="104" s="1"/>
  <c r="R96" i="104" a="1"/>
  <c r="R96" i="104" s="1"/>
  <c r="Q96" i="104" a="1"/>
  <c r="Q96" i="104" s="1"/>
  <c r="P96" i="104" a="1"/>
  <c r="P96" i="104" s="1"/>
  <c r="O96" i="104" a="1"/>
  <c r="O96" i="104" s="1"/>
  <c r="N96" i="104" a="1"/>
  <c r="N96" i="104" s="1"/>
  <c r="M96" i="104" a="1"/>
  <c r="M96" i="104" s="1"/>
  <c r="L96" i="104" a="1"/>
  <c r="L96" i="104" s="1"/>
  <c r="K96" i="104" a="1"/>
  <c r="K96" i="104" s="1"/>
  <c r="J96" i="104" a="1"/>
  <c r="J96" i="104" s="1"/>
  <c r="I96" i="104" a="1"/>
  <c r="I96" i="104" s="1"/>
  <c r="H96" i="104" a="1"/>
  <c r="H96" i="104" s="1"/>
  <c r="G96" i="104" a="1"/>
  <c r="G96" i="104" s="1"/>
  <c r="F96" i="104" a="1"/>
  <c r="F96" i="104" s="1"/>
  <c r="E96" i="104" a="1"/>
  <c r="E96" i="104" s="1"/>
  <c r="D96" i="104" a="1"/>
  <c r="D96" i="104" s="1"/>
  <c r="S95" i="104" a="1"/>
  <c r="S95" i="104" s="1"/>
  <c r="R95" i="104" a="1"/>
  <c r="R95" i="104" s="1"/>
  <c r="Q95" i="104" a="1"/>
  <c r="Q95" i="104" s="1"/>
  <c r="P95" i="104" a="1"/>
  <c r="P95" i="104" s="1"/>
  <c r="O95" i="104" a="1"/>
  <c r="O95" i="104" s="1"/>
  <c r="N95" i="104" a="1"/>
  <c r="N95" i="104" s="1"/>
  <c r="M95" i="104" a="1"/>
  <c r="M95" i="104" s="1"/>
  <c r="L95" i="104" a="1"/>
  <c r="L95" i="104" s="1"/>
  <c r="K95" i="104" a="1"/>
  <c r="K95" i="104" s="1"/>
  <c r="J95" i="104" a="1"/>
  <c r="J95" i="104" s="1"/>
  <c r="I95" i="104" a="1"/>
  <c r="I95" i="104" s="1"/>
  <c r="H95" i="104" a="1"/>
  <c r="H95" i="104" s="1"/>
  <c r="G95" i="104" a="1"/>
  <c r="G95" i="104" s="1"/>
  <c r="F95" i="104" a="1"/>
  <c r="F95" i="104" s="1"/>
  <c r="E95" i="104" a="1"/>
  <c r="E95" i="104" s="1"/>
  <c r="D95" i="104" a="1"/>
  <c r="D95" i="104" s="1"/>
  <c r="S94" i="104" a="1"/>
  <c r="S94" i="104" s="1"/>
  <c r="R94" i="104" a="1"/>
  <c r="R94" i="104" s="1"/>
  <c r="Q94" i="104" a="1"/>
  <c r="Q94" i="104" s="1"/>
  <c r="P94" i="104" a="1"/>
  <c r="P94" i="104" s="1"/>
  <c r="O94" i="104" a="1"/>
  <c r="O94" i="104" s="1"/>
  <c r="N94" i="104" a="1"/>
  <c r="N94" i="104" s="1"/>
  <c r="M94" i="104" a="1"/>
  <c r="M94" i="104" s="1"/>
  <c r="L94" i="104" a="1"/>
  <c r="L94" i="104" s="1"/>
  <c r="K94" i="104" a="1"/>
  <c r="K94" i="104" s="1"/>
  <c r="J94" i="104" a="1"/>
  <c r="J94" i="104" s="1"/>
  <c r="I94" i="104" a="1"/>
  <c r="I94" i="104" s="1"/>
  <c r="H94" i="104" a="1"/>
  <c r="H94" i="104" s="1"/>
  <c r="G94" i="104" a="1"/>
  <c r="G94" i="104" s="1"/>
  <c r="F94" i="104" a="1"/>
  <c r="F94" i="104" s="1"/>
  <c r="E94" i="104" a="1"/>
  <c r="E94" i="104" s="1"/>
  <c r="D94" i="104" a="1"/>
  <c r="D94" i="104" s="1"/>
  <c r="S93" i="104" a="1"/>
  <c r="S93" i="104" s="1"/>
  <c r="R93" i="104" a="1"/>
  <c r="R93" i="104" s="1"/>
  <c r="Q93" i="104" a="1"/>
  <c r="Q93" i="104" s="1"/>
  <c r="P93" i="104" a="1"/>
  <c r="P93" i="104" s="1"/>
  <c r="O93" i="104" a="1"/>
  <c r="O93" i="104" s="1"/>
  <c r="N93" i="104" a="1"/>
  <c r="N93" i="104" s="1"/>
  <c r="M93" i="104" a="1"/>
  <c r="M93" i="104" s="1"/>
  <c r="L93" i="104" a="1"/>
  <c r="L93" i="104" s="1"/>
  <c r="K93" i="104" a="1"/>
  <c r="K93" i="104" s="1"/>
  <c r="J93" i="104" a="1"/>
  <c r="J93" i="104" s="1"/>
  <c r="I93" i="104" a="1"/>
  <c r="I93" i="104" s="1"/>
  <c r="H93" i="104" a="1"/>
  <c r="H93" i="104" s="1"/>
  <c r="G93" i="104" a="1"/>
  <c r="G93" i="104" s="1"/>
  <c r="F93" i="104" a="1"/>
  <c r="F93" i="104" s="1"/>
  <c r="E93" i="104" a="1"/>
  <c r="E93" i="104" s="1"/>
  <c r="D93" i="104" a="1"/>
  <c r="D93" i="104" s="1"/>
  <c r="S92" i="104" a="1"/>
  <c r="S92" i="104" s="1"/>
  <c r="R92" i="104" a="1"/>
  <c r="R92" i="104" s="1"/>
  <c r="Q92" i="104" a="1"/>
  <c r="Q92" i="104" s="1"/>
  <c r="P92" i="104" a="1"/>
  <c r="P92" i="104" s="1"/>
  <c r="O92" i="104" a="1"/>
  <c r="O92" i="104" s="1"/>
  <c r="N92" i="104" a="1"/>
  <c r="N92" i="104" s="1"/>
  <c r="M92" i="104" a="1"/>
  <c r="M92" i="104" s="1"/>
  <c r="L92" i="104" a="1"/>
  <c r="L92" i="104" s="1"/>
  <c r="K92" i="104" a="1"/>
  <c r="K92" i="104" s="1"/>
  <c r="J92" i="104" a="1"/>
  <c r="J92" i="104" s="1"/>
  <c r="I92" i="104" a="1"/>
  <c r="I92" i="104" s="1"/>
  <c r="H92" i="104" a="1"/>
  <c r="H92" i="104" s="1"/>
  <c r="G92" i="104" a="1"/>
  <c r="G92" i="104" s="1"/>
  <c r="F92" i="104" a="1"/>
  <c r="F92" i="104" s="1"/>
  <c r="E92" i="104" a="1"/>
  <c r="E92" i="104" s="1"/>
  <c r="D92" i="104" a="1"/>
  <c r="D92" i="104" s="1"/>
  <c r="S91" i="104" a="1"/>
  <c r="S91" i="104" s="1"/>
  <c r="R91" i="104" a="1"/>
  <c r="R91" i="104" s="1"/>
  <c r="Q91" i="104" a="1"/>
  <c r="Q91" i="104" s="1"/>
  <c r="P91" i="104" a="1"/>
  <c r="P91" i="104" s="1"/>
  <c r="O91" i="104" a="1"/>
  <c r="O91" i="104" s="1"/>
  <c r="N91" i="104" a="1"/>
  <c r="N91" i="104" s="1"/>
  <c r="M91" i="104" a="1"/>
  <c r="M91" i="104" s="1"/>
  <c r="L91" i="104" a="1"/>
  <c r="L91" i="104" s="1"/>
  <c r="K91" i="104" a="1"/>
  <c r="K91" i="104" s="1"/>
  <c r="J91" i="104" a="1"/>
  <c r="J91" i="104" s="1"/>
  <c r="I91" i="104" a="1"/>
  <c r="I91" i="104" s="1"/>
  <c r="H91" i="104" a="1"/>
  <c r="H91" i="104" s="1"/>
  <c r="G91" i="104" a="1"/>
  <c r="G91" i="104" s="1"/>
  <c r="F91" i="104" a="1"/>
  <c r="F91" i="104" s="1"/>
  <c r="E91" i="104" a="1"/>
  <c r="E91" i="104" s="1"/>
  <c r="D91" i="104" a="1"/>
  <c r="D91" i="104" s="1"/>
  <c r="S90" i="104" a="1"/>
  <c r="S90" i="104" s="1"/>
  <c r="R90" i="104" a="1"/>
  <c r="R90" i="104" s="1"/>
  <c r="Q90" i="104" a="1"/>
  <c r="Q90" i="104" s="1"/>
  <c r="P90" i="104" a="1"/>
  <c r="P90" i="104" s="1"/>
  <c r="O90" i="104" a="1"/>
  <c r="O90" i="104" s="1"/>
  <c r="N90" i="104" a="1"/>
  <c r="N90" i="104" s="1"/>
  <c r="M90" i="104" a="1"/>
  <c r="M90" i="104" s="1"/>
  <c r="L90" i="104" a="1"/>
  <c r="L90" i="104" s="1"/>
  <c r="K90" i="104" a="1"/>
  <c r="K90" i="104" s="1"/>
  <c r="J90" i="104" a="1"/>
  <c r="J90" i="104" s="1"/>
  <c r="I90" i="104" a="1"/>
  <c r="I90" i="104" s="1"/>
  <c r="H90" i="104" a="1"/>
  <c r="H90" i="104" s="1"/>
  <c r="G90" i="104" a="1"/>
  <c r="G90" i="104" s="1"/>
  <c r="F90" i="104" a="1"/>
  <c r="F90" i="104" s="1"/>
  <c r="E90" i="104" a="1"/>
  <c r="E90" i="104" s="1"/>
  <c r="D90" i="104" a="1"/>
  <c r="D90" i="104" s="1"/>
  <c r="D83" i="104" a="1"/>
  <c r="D83" i="104" s="1"/>
  <c r="D82" i="104" a="1"/>
  <c r="D82" i="104" s="1"/>
  <c r="D81" i="104" a="1"/>
  <c r="D81" i="104" s="1"/>
  <c r="E77" i="104" a="1"/>
  <c r="E77" i="104" s="1"/>
  <c r="D77" i="104" a="1"/>
  <c r="D77" i="104" s="1"/>
  <c r="E76" i="104" a="1"/>
  <c r="E76" i="104" s="1"/>
  <c r="D76" i="104" a="1"/>
  <c r="D76" i="104" s="1"/>
  <c r="E75" i="104" a="1"/>
  <c r="E75" i="104" s="1"/>
  <c r="D75" i="104" a="1"/>
  <c r="D75" i="104" s="1"/>
  <c r="E74" i="104" a="1"/>
  <c r="E74" i="104" s="1"/>
  <c r="D74" i="104" a="1"/>
  <c r="D74" i="104" s="1"/>
  <c r="E73" i="104" a="1"/>
  <c r="E73" i="104" s="1"/>
  <c r="D73" i="104" a="1"/>
  <c r="D73" i="104" s="1"/>
  <c r="E72" i="104" a="1"/>
  <c r="E72" i="104" s="1"/>
  <c r="D72" i="104" a="1"/>
  <c r="D72" i="104" s="1"/>
  <c r="E71" i="104" a="1"/>
  <c r="E71" i="104" s="1"/>
  <c r="D71" i="104" a="1"/>
  <c r="D71" i="104" s="1"/>
  <c r="E70" i="104" a="1"/>
  <c r="E70" i="104" s="1"/>
  <c r="D70" i="104" a="1"/>
  <c r="D70" i="104" s="1"/>
  <c r="E69" i="104" a="1"/>
  <c r="E69" i="104" s="1"/>
  <c r="D69" i="104" a="1"/>
  <c r="D69" i="104" s="1"/>
  <c r="E68" i="104" a="1"/>
  <c r="E68" i="104" s="1"/>
  <c r="D68" i="104" a="1"/>
  <c r="D68" i="104" s="1"/>
  <c r="E67" i="104" a="1"/>
  <c r="E67" i="104" s="1"/>
  <c r="D67" i="104" a="1"/>
  <c r="D67" i="104" s="1"/>
  <c r="E66" i="104" a="1"/>
  <c r="E66" i="104" s="1"/>
  <c r="D66" i="104" a="1"/>
  <c r="D66" i="104" s="1"/>
  <c r="E65" i="104" a="1"/>
  <c r="E65" i="104" s="1"/>
  <c r="D65" i="104" a="1"/>
  <c r="D65" i="104" s="1"/>
  <c r="E64" i="104" a="1"/>
  <c r="E64" i="104" s="1"/>
  <c r="D64" i="104" a="1"/>
  <c r="D64" i="104" s="1"/>
  <c r="D59" i="104" a="1"/>
  <c r="D59" i="104" s="1"/>
  <c r="D58" i="104" a="1"/>
  <c r="D58" i="104" s="1"/>
  <c r="D57" i="104" a="1"/>
  <c r="D57" i="104" s="1"/>
  <c r="G54" i="104" a="1"/>
  <c r="G54" i="104" s="1"/>
  <c r="F54" i="104" a="1"/>
  <c r="F54" i="104" s="1"/>
  <c r="E54" i="104" a="1"/>
  <c r="E54" i="104" s="1"/>
  <c r="D54" i="104" a="1"/>
  <c r="D54" i="104" s="1"/>
  <c r="G53" i="104" a="1"/>
  <c r="G53" i="104" s="1"/>
  <c r="F53" i="104" a="1"/>
  <c r="F53" i="104" s="1"/>
  <c r="E53" i="104" a="1"/>
  <c r="E53" i="104" s="1"/>
  <c r="D53" i="104" a="1"/>
  <c r="D53" i="104" s="1"/>
  <c r="G52" i="104" a="1"/>
  <c r="G52" i="104" s="1"/>
  <c r="F52" i="104" a="1"/>
  <c r="F52" i="104" s="1"/>
  <c r="E52" i="104" a="1"/>
  <c r="E52" i="104" s="1"/>
  <c r="D52" i="104" a="1"/>
  <c r="D52" i="104" s="1"/>
  <c r="G51" i="104" a="1"/>
  <c r="G51" i="104" s="1"/>
  <c r="F51" i="104" a="1"/>
  <c r="F51" i="104" s="1"/>
  <c r="E51" i="104" a="1"/>
  <c r="E51" i="104" s="1"/>
  <c r="D51" i="104" a="1"/>
  <c r="D51" i="104" s="1"/>
  <c r="G50" i="104" a="1"/>
  <c r="G50" i="104" s="1"/>
  <c r="F50" i="104" a="1"/>
  <c r="F50" i="104" s="1"/>
  <c r="E50" i="104" a="1"/>
  <c r="E50" i="104" s="1"/>
  <c r="D50" i="104" a="1"/>
  <c r="D50" i="104" s="1"/>
  <c r="G49" i="104" a="1"/>
  <c r="G49" i="104" s="1"/>
  <c r="F49" i="104" a="1"/>
  <c r="F49" i="104" s="1"/>
  <c r="E49" i="104" a="1"/>
  <c r="E49" i="104" s="1"/>
  <c r="D49" i="104" a="1"/>
  <c r="D49" i="104" s="1"/>
  <c r="G48" i="104" a="1"/>
  <c r="G48" i="104" s="1"/>
  <c r="F48" i="104" a="1"/>
  <c r="F48" i="104" s="1"/>
  <c r="E48" i="104" a="1"/>
  <c r="E48" i="104" s="1"/>
  <c r="D48" i="104" a="1"/>
  <c r="D48" i="104" s="1"/>
  <c r="D46" i="104" a="1"/>
  <c r="D46" i="104" s="1"/>
  <c r="D45" i="104" a="1"/>
  <c r="D45" i="104" s="1"/>
  <c r="E43" i="104" a="1"/>
  <c r="E43" i="104" s="1"/>
  <c r="D43" i="104" a="1"/>
  <c r="D43" i="104" s="1"/>
  <c r="E42" i="104" a="1"/>
  <c r="E42" i="104" s="1"/>
  <c r="D42" i="104" a="1"/>
  <c r="D42" i="104" s="1"/>
  <c r="E41" i="104" a="1"/>
  <c r="E41" i="104" s="1"/>
  <c r="D41" i="104" a="1"/>
  <c r="D41" i="104" s="1"/>
  <c r="E40" i="104" a="1"/>
  <c r="E40" i="104" s="1"/>
  <c r="D40" i="104" a="1"/>
  <c r="D40" i="104" s="1"/>
  <c r="E39" i="104" a="1"/>
  <c r="E39" i="104" s="1"/>
  <c r="D39" i="104" a="1"/>
  <c r="D39" i="104" s="1"/>
  <c r="E38" i="104" a="1"/>
  <c r="E38" i="104" s="1"/>
  <c r="D38" i="104" a="1"/>
  <c r="D38" i="104" s="1"/>
  <c r="E37" i="104" a="1"/>
  <c r="E37" i="104" s="1"/>
  <c r="D37" i="104" a="1"/>
  <c r="D37" i="104" s="1"/>
  <c r="P70" i="69" s="1"/>
  <c r="D35" i="104" a="1"/>
  <c r="D35" i="104" s="1"/>
  <c r="D34" i="104" a="1"/>
  <c r="D34" i="104" s="1"/>
  <c r="D30" i="104" a="1"/>
  <c r="D30" i="104" s="1"/>
  <c r="D29" i="104" a="1"/>
  <c r="D29" i="104" s="1"/>
  <c r="D28" i="104" a="1"/>
  <c r="D28" i="104" s="1"/>
  <c r="D27" i="104" a="1"/>
  <c r="D27" i="104" s="1"/>
  <c r="D26" i="104" a="1"/>
  <c r="D26" i="104" s="1"/>
  <c r="D25" i="104" a="1"/>
  <c r="D25" i="104" s="1"/>
  <c r="D24" i="104" a="1"/>
  <c r="D24" i="104" s="1"/>
  <c r="D23" i="104" a="1"/>
  <c r="D23" i="104" s="1"/>
  <c r="D22" i="104" a="1"/>
  <c r="D22" i="104" s="1"/>
  <c r="D21" i="104" a="1"/>
  <c r="D21" i="104" s="1"/>
  <c r="D19" i="104" a="1"/>
  <c r="D19" i="104" s="1"/>
  <c r="D18" i="104" a="1"/>
  <c r="D18" i="104" s="1"/>
  <c r="F14" i="104" a="1"/>
  <c r="F14" i="104" s="1"/>
  <c r="E14" i="104" a="1"/>
  <c r="E14" i="104" s="1"/>
  <c r="D14" i="104" a="1"/>
  <c r="D14" i="104" s="1"/>
  <c r="F13" i="104" a="1"/>
  <c r="F13" i="104" s="1"/>
  <c r="E13" i="104" a="1"/>
  <c r="E13" i="104" s="1"/>
  <c r="D13" i="104" a="1"/>
  <c r="D13" i="104" s="1"/>
  <c r="F12" i="104" a="1"/>
  <c r="F12" i="104" s="1"/>
  <c r="E12" i="104" a="1"/>
  <c r="E12" i="104" s="1"/>
  <c r="D12" i="104" a="1"/>
  <c r="D12" i="104" s="1"/>
  <c r="F11" i="104" a="1"/>
  <c r="F11" i="104" s="1"/>
  <c r="E11" i="104" a="1"/>
  <c r="E11" i="104" s="1"/>
  <c r="D11" i="104" a="1"/>
  <c r="D11" i="104" s="1"/>
  <c r="F10" i="104" a="1"/>
  <c r="F10" i="104" s="1"/>
  <c r="E10" i="104" a="1"/>
  <c r="E10" i="104" s="1"/>
  <c r="D10" i="104" a="1"/>
  <c r="D10" i="104" s="1"/>
  <c r="F9" i="104" a="1"/>
  <c r="F9" i="104" s="1"/>
  <c r="E9" i="104" a="1"/>
  <c r="E9" i="104" s="1"/>
  <c r="D9" i="104" a="1"/>
  <c r="D9" i="104" s="1"/>
  <c r="F8" i="104" a="1"/>
  <c r="F8" i="104" s="1"/>
  <c r="E8" i="104" a="1"/>
  <c r="E8" i="104" s="1"/>
  <c r="D8" i="104" a="1"/>
  <c r="D8" i="104" s="1"/>
  <c r="F7" i="104" a="1"/>
  <c r="F7" i="104" s="1"/>
  <c r="E7" i="104" a="1"/>
  <c r="E7" i="104" s="1"/>
  <c r="D7" i="104" a="1"/>
  <c r="D7" i="104" s="1"/>
  <c r="D5" i="104" a="1"/>
  <c r="D5" i="104" s="1"/>
  <c r="A18" i="43"/>
  <c r="A17" i="43"/>
  <c r="A16" i="43"/>
  <c r="A15" i="43"/>
  <c r="A12" i="43"/>
  <c r="A9" i="43"/>
  <c r="A8" i="43"/>
  <c r="A5" i="43"/>
  <c r="A4" i="43"/>
  <c r="A3" i="43"/>
  <c r="A18" i="79"/>
  <c r="A17" i="79"/>
  <c r="A16" i="79"/>
  <c r="A15" i="79"/>
  <c r="A12" i="79"/>
  <c r="A9" i="79"/>
  <c r="A8" i="79"/>
  <c r="A5" i="79"/>
  <c r="A4" i="79"/>
  <c r="A3" i="79"/>
  <c r="A18" i="69"/>
  <c r="A17" i="69"/>
  <c r="A16" i="69"/>
  <c r="A15" i="69"/>
  <c r="A12" i="69"/>
  <c r="A9" i="69"/>
  <c r="A8" i="69"/>
  <c r="A5" i="69"/>
  <c r="A4" i="69"/>
  <c r="A3" i="69"/>
  <c r="A18" i="70"/>
  <c r="A17" i="70"/>
  <c r="A16" i="70"/>
  <c r="A15" i="70"/>
  <c r="A12" i="70"/>
  <c r="A9" i="70"/>
  <c r="A8" i="70"/>
  <c r="A5" i="70"/>
  <c r="A4" i="70"/>
  <c r="A3" i="70"/>
  <c r="A18" i="15"/>
  <c r="A17" i="15"/>
  <c r="A16" i="15"/>
  <c r="A15" i="15"/>
  <c r="A12" i="15"/>
  <c r="A9" i="15"/>
  <c r="A8" i="15"/>
  <c r="A5" i="15"/>
  <c r="A4" i="15"/>
  <c r="A3" i="15"/>
  <c r="A18" i="100"/>
  <c r="A17" i="100"/>
  <c r="A16" i="100"/>
  <c r="A15" i="100"/>
  <c r="A12" i="100"/>
  <c r="A9" i="100"/>
  <c r="A8" i="100"/>
  <c r="A5" i="100"/>
  <c r="A4" i="100"/>
  <c r="A3" i="100"/>
  <c r="A12" i="13"/>
  <c r="A18" i="13"/>
  <c r="A17" i="13"/>
  <c r="A16" i="13"/>
  <c r="A15" i="13"/>
  <c r="I49" i="69" a="1"/>
  <c r="I49" i="69" s="1"/>
  <c r="G48" i="69" a="1"/>
  <c r="G48" i="69" s="1"/>
  <c r="D48" i="69" a="1"/>
  <c r="D48" i="69" s="1"/>
  <c r="E46" i="69" a="1"/>
  <c r="E46" i="69" s="1"/>
  <c r="E45" i="69" a="1"/>
  <c r="E45" i="69" s="1"/>
  <c r="D40" i="69" a="1"/>
  <c r="D40" i="69" s="1"/>
  <c r="D39" i="69" a="1"/>
  <c r="D39" i="69" s="1"/>
  <c r="I15" i="69" a="1"/>
  <c r="I15" i="69" s="1"/>
  <c r="G13" i="69" a="1"/>
  <c r="G13" i="69" s="1"/>
  <c r="G20" i="69" s="1"/>
  <c r="D13" i="69" a="1"/>
  <c r="D13" i="69" s="1"/>
  <c r="E11" i="69" a="1"/>
  <c r="E11" i="69" s="1"/>
  <c r="P35" i="69" s="1"/>
  <c r="E10" i="69" a="1"/>
  <c r="E10" i="69" s="1"/>
  <c r="D6" i="69" a="1"/>
  <c r="D6" i="69" s="1"/>
  <c r="D5" i="69" a="1"/>
  <c r="D5" i="69" s="1"/>
  <c r="E41" i="69" a="1"/>
  <c r="E7" i="69" a="1"/>
  <c r="G70" i="69" l="1"/>
  <c r="H52" i="104"/>
  <c r="H49" i="104"/>
  <c r="H50" i="104"/>
  <c r="H54" i="104"/>
  <c r="H48" i="104"/>
  <c r="H51" i="104"/>
  <c r="H53" i="104"/>
  <c r="E41" i="69"/>
  <c r="P20" i="69"/>
  <c r="P30" i="69"/>
  <c r="P25" i="69"/>
  <c r="G30" i="69"/>
  <c r="G25" i="69"/>
  <c r="E7" i="69"/>
  <c r="A9" i="13"/>
  <c r="A8" i="13"/>
  <c r="A5" i="13"/>
  <c r="A4" i="13"/>
  <c r="A3" i="13"/>
  <c r="I50" i="69" l="1" a="1"/>
  <c r="I50" i="69" s="1"/>
  <c r="I48" i="69" a="1"/>
  <c r="I48" i="69" s="1"/>
  <c r="G55" i="69"/>
  <c r="G60" i="69" l="1"/>
  <c r="I14" i="69" a="1"/>
  <c r="I14" i="69" s="1"/>
  <c r="I13" i="69" a="1"/>
  <c r="I13" i="69" s="1"/>
  <c r="O72" i="69" l="1" a="1"/>
  <c r="O72" i="69" s="1"/>
  <c r="M69" i="69" a="1"/>
  <c r="M69" i="69" s="1"/>
  <c r="D117" i="79" l="1" a="1"/>
  <c r="D117" i="79" s="1"/>
  <c r="E117" i="79" a="1"/>
  <c r="E117" i="79" s="1"/>
  <c r="F117" i="79" a="1"/>
  <c r="F117" i="79" s="1"/>
  <c r="G117" i="79" a="1"/>
  <c r="G117" i="79" s="1"/>
  <c r="D116" i="79" a="1"/>
  <c r="D116" i="79" s="1"/>
  <c r="E116" i="79" a="1"/>
  <c r="E116" i="79" s="1"/>
  <c r="F116" i="79" a="1"/>
  <c r="F116" i="79" s="1"/>
  <c r="G116" i="79" a="1"/>
  <c r="G116" i="79" s="1"/>
  <c r="D115" i="79" a="1"/>
  <c r="D115" i="79" s="1"/>
  <c r="E115" i="79" a="1"/>
  <c r="E115" i="79" s="1"/>
  <c r="F115" i="79" a="1"/>
  <c r="F115" i="79" s="1"/>
  <c r="G115" i="79" a="1"/>
  <c r="G115" i="79" s="1"/>
  <c r="D114" i="79" a="1"/>
  <c r="D114" i="79" s="1"/>
  <c r="E114" i="79" a="1"/>
  <c r="E114" i="79" s="1"/>
  <c r="F114" i="79" a="1"/>
  <c r="F114" i="79" s="1"/>
  <c r="G114" i="79" a="1"/>
  <c r="G114" i="79" s="1"/>
  <c r="G113" i="79" a="1"/>
  <c r="G113" i="79" s="1"/>
  <c r="F113" i="79" a="1"/>
  <c r="F113" i="79" s="1"/>
  <c r="E113" i="79" a="1"/>
  <c r="E113" i="79" s="1"/>
  <c r="D113" i="79" a="1"/>
  <c r="D113" i="79" s="1"/>
  <c r="D109" i="79" a="1"/>
  <c r="D109" i="79" s="1"/>
  <c r="D110" i="79" a="1"/>
  <c r="D110" i="79" s="1"/>
  <c r="D108" i="79" a="1"/>
  <c r="D108" i="79" s="1"/>
  <c r="G105" i="79" a="1"/>
  <c r="G105" i="79" s="1"/>
  <c r="D105" i="79" a="1"/>
  <c r="D105" i="79" s="1"/>
  <c r="E105" i="79" a="1"/>
  <c r="E105" i="79" s="1"/>
  <c r="F105" i="79" a="1"/>
  <c r="F105" i="79" s="1"/>
  <c r="G104" i="79" a="1"/>
  <c r="G104" i="79" s="1"/>
  <c r="D104" i="79" a="1"/>
  <c r="D104" i="79" s="1"/>
  <c r="E104" i="79" a="1"/>
  <c r="E104" i="79" s="1"/>
  <c r="F104" i="79" a="1"/>
  <c r="F104" i="79" s="1"/>
  <c r="G103" i="79" a="1"/>
  <c r="G103" i="79" s="1"/>
  <c r="D103" i="79" a="1"/>
  <c r="D103" i="79" s="1"/>
  <c r="E103" i="79" a="1"/>
  <c r="E103" i="79" s="1"/>
  <c r="F103" i="79" a="1"/>
  <c r="F103" i="79" s="1"/>
  <c r="G102" i="79" a="1"/>
  <c r="G102" i="79" s="1"/>
  <c r="G101" i="79" a="1"/>
  <c r="G101" i="79" s="1"/>
  <c r="D102" i="79" a="1"/>
  <c r="D102" i="79" s="1"/>
  <c r="E102" i="79" a="1"/>
  <c r="E102" i="79" s="1"/>
  <c r="F102" i="79" a="1"/>
  <c r="F102" i="79" s="1"/>
  <c r="F101" i="79" a="1"/>
  <c r="F101" i="79" s="1"/>
  <c r="E101" i="79" a="1"/>
  <c r="E101" i="79" s="1"/>
  <c r="D101" i="79" a="1"/>
  <c r="D101" i="79" s="1"/>
  <c r="D97" i="79" a="1"/>
  <c r="D97" i="79" s="1"/>
  <c r="D98" i="79" a="1"/>
  <c r="D98" i="79" s="1"/>
  <c r="D96" i="79" a="1"/>
  <c r="D96" i="79" s="1"/>
  <c r="D41" i="79" a="1"/>
  <c r="D41" i="79" s="1"/>
  <c r="E41" i="79" a="1"/>
  <c r="E41" i="79" s="1"/>
  <c r="D40" i="79" a="1"/>
  <c r="D40" i="79" s="1"/>
  <c r="E40" i="79" a="1"/>
  <c r="E40" i="79" s="1"/>
  <c r="E39" i="79" a="1"/>
  <c r="E39" i="79" s="1"/>
  <c r="D39" i="79" a="1"/>
  <c r="D39" i="79" s="1"/>
  <c r="D37" i="79" a="1"/>
  <c r="D37" i="79" s="1"/>
  <c r="D36" i="79" a="1"/>
  <c r="D36" i="79" s="1"/>
  <c r="D58" i="79" a="1"/>
  <c r="D58" i="79" s="1"/>
  <c r="E58" i="79" a="1"/>
  <c r="E58" i="79" s="1"/>
  <c r="F58" i="79" a="1"/>
  <c r="F58" i="79" s="1"/>
  <c r="G58" i="79" a="1"/>
  <c r="G58" i="79" s="1"/>
  <c r="H58" i="79" a="1"/>
  <c r="H58" i="79" s="1"/>
  <c r="I58" i="79" a="1"/>
  <c r="I58" i="79" s="1"/>
  <c r="J58" i="79" a="1"/>
  <c r="J58" i="79" s="1"/>
  <c r="D57" i="79" a="1"/>
  <c r="D57" i="79" s="1"/>
  <c r="E57" i="79" a="1"/>
  <c r="E57" i="79" s="1"/>
  <c r="F57" i="79" a="1"/>
  <c r="F57" i="79" s="1"/>
  <c r="G57" i="79" a="1"/>
  <c r="G57" i="79" s="1"/>
  <c r="H57" i="79" a="1"/>
  <c r="H57" i="79" s="1"/>
  <c r="I57" i="79" a="1"/>
  <c r="I57" i="79" s="1"/>
  <c r="J57" i="79" a="1"/>
  <c r="J57" i="79" s="1"/>
  <c r="D56" i="79" a="1"/>
  <c r="D56" i="79" s="1"/>
  <c r="E56" i="79" a="1"/>
  <c r="E56" i="79" s="1"/>
  <c r="F56" i="79" a="1"/>
  <c r="F56" i="79" s="1"/>
  <c r="G56" i="79" a="1"/>
  <c r="G56" i="79" s="1"/>
  <c r="H56" i="79" a="1"/>
  <c r="H56" i="79" s="1"/>
  <c r="I56" i="79" a="1"/>
  <c r="I56" i="79" s="1"/>
  <c r="J56" i="79" a="1"/>
  <c r="J56" i="79" s="1"/>
  <c r="D55" i="79" a="1"/>
  <c r="D55" i="79" s="1"/>
  <c r="E55" i="79" a="1"/>
  <c r="E55" i="79" s="1"/>
  <c r="F55" i="79" a="1"/>
  <c r="F55" i="79" s="1"/>
  <c r="G55" i="79" a="1"/>
  <c r="G55" i="79" s="1"/>
  <c r="H55" i="79" a="1"/>
  <c r="H55" i="79" s="1"/>
  <c r="I55" i="79" a="1"/>
  <c r="I55" i="79" s="1"/>
  <c r="J55" i="79" a="1"/>
  <c r="J55" i="79" s="1"/>
  <c r="D54" i="79" a="1"/>
  <c r="D54" i="79" s="1"/>
  <c r="E54" i="79" a="1"/>
  <c r="E54" i="79" s="1"/>
  <c r="F54" i="79" a="1"/>
  <c r="F54" i="79" s="1"/>
  <c r="G54" i="79" a="1"/>
  <c r="G54" i="79" s="1"/>
  <c r="H54" i="79" a="1"/>
  <c r="H54" i="79" s="1"/>
  <c r="I54" i="79" a="1"/>
  <c r="I54" i="79" s="1"/>
  <c r="J54" i="79" a="1"/>
  <c r="J54" i="79" s="1"/>
  <c r="D53" i="79" a="1"/>
  <c r="D53" i="79" s="1"/>
  <c r="E53" i="79" a="1"/>
  <c r="E53" i="79" s="1"/>
  <c r="F53" i="79" a="1"/>
  <c r="F53" i="79" s="1"/>
  <c r="G53" i="79" a="1"/>
  <c r="G53" i="79" s="1"/>
  <c r="H53" i="79" a="1"/>
  <c r="H53" i="79" s="1"/>
  <c r="I53" i="79" a="1"/>
  <c r="I53" i="79" s="1"/>
  <c r="J53" i="79" a="1"/>
  <c r="J53" i="79" s="1"/>
  <c r="D52" i="79" a="1"/>
  <c r="D52" i="79" s="1"/>
  <c r="E52" i="79" a="1"/>
  <c r="E52" i="79" s="1"/>
  <c r="F52" i="79" a="1"/>
  <c r="F52" i="79" s="1"/>
  <c r="G52" i="79" a="1"/>
  <c r="G52" i="79" s="1"/>
  <c r="H52" i="79" a="1"/>
  <c r="H52" i="79" s="1"/>
  <c r="I52" i="79" a="1"/>
  <c r="I52" i="79" s="1"/>
  <c r="J52" i="79" a="1"/>
  <c r="J52" i="79" s="1"/>
  <c r="D51" i="79" a="1"/>
  <c r="D51" i="79" s="1"/>
  <c r="E51" i="79" a="1"/>
  <c r="E51" i="79" s="1"/>
  <c r="F51" i="79" a="1"/>
  <c r="F51" i="79" s="1"/>
  <c r="G51" i="79" a="1"/>
  <c r="G51" i="79" s="1"/>
  <c r="H51" i="79" a="1"/>
  <c r="H51" i="79" s="1"/>
  <c r="I51" i="79" a="1"/>
  <c r="I51" i="79" s="1"/>
  <c r="J51" i="79" a="1"/>
  <c r="J51" i="79" s="1"/>
  <c r="J50" i="79" a="1"/>
  <c r="J50" i="79" s="1"/>
  <c r="I50" i="79" a="1"/>
  <c r="I50" i="79" s="1"/>
  <c r="H50" i="79" a="1"/>
  <c r="H50" i="79" s="1"/>
  <c r="G50" i="79" a="1"/>
  <c r="G50" i="79" s="1"/>
  <c r="F50" i="79" a="1"/>
  <c r="F50" i="79" s="1"/>
  <c r="E50" i="79" a="1"/>
  <c r="E50" i="79" s="1"/>
  <c r="D50" i="79" a="1"/>
  <c r="D50" i="79" s="1"/>
  <c r="D45" i="79" a="1"/>
  <c r="D45" i="79" s="1"/>
  <c r="D46" i="79" a="1"/>
  <c r="D46" i="79" s="1"/>
  <c r="D44" i="79" a="1"/>
  <c r="D44" i="79" s="1"/>
  <c r="D61" i="79" a="1"/>
  <c r="D61" i="79" s="1"/>
  <c r="D62" i="79" a="1"/>
  <c r="D62" i="79" s="1"/>
  <c r="D63" i="79" a="1"/>
  <c r="D63" i="79" s="1"/>
  <c r="D67" i="79" a="1"/>
  <c r="D67" i="79" s="1"/>
  <c r="E67" i="79" a="1"/>
  <c r="E67" i="79" s="1"/>
  <c r="F67" i="79" a="1"/>
  <c r="F67" i="79" s="1"/>
  <c r="G67" i="79" a="1"/>
  <c r="G67" i="79" s="1"/>
  <c r="H67" i="79" a="1"/>
  <c r="H67" i="79" s="1"/>
  <c r="I67" i="79" a="1"/>
  <c r="I67" i="79" s="1"/>
  <c r="J67" i="79" a="1"/>
  <c r="J67" i="79" s="1"/>
  <c r="D68" i="79" a="1"/>
  <c r="D68" i="79" s="1"/>
  <c r="E68" i="79" a="1"/>
  <c r="E68" i="79" s="1"/>
  <c r="F68" i="79" a="1"/>
  <c r="F68" i="79" s="1"/>
  <c r="G68" i="79" a="1"/>
  <c r="G68" i="79" s="1"/>
  <c r="H68" i="79" a="1"/>
  <c r="H68" i="79" s="1"/>
  <c r="I68" i="79" a="1"/>
  <c r="I68" i="79" s="1"/>
  <c r="J68" i="79" a="1"/>
  <c r="J68" i="79" s="1"/>
  <c r="D69" i="79" a="1"/>
  <c r="D69" i="79" s="1"/>
  <c r="E69" i="79" a="1"/>
  <c r="E69" i="79" s="1"/>
  <c r="F69" i="79" a="1"/>
  <c r="F69" i="79" s="1"/>
  <c r="G69" i="79" a="1"/>
  <c r="G69" i="79" s="1"/>
  <c r="H69" i="79" a="1"/>
  <c r="H69" i="79" s="1"/>
  <c r="I69" i="79" a="1"/>
  <c r="I69" i="79" s="1"/>
  <c r="J69" i="79" a="1"/>
  <c r="J69" i="79" s="1"/>
  <c r="D70" i="79" a="1"/>
  <c r="D70" i="79" s="1"/>
  <c r="E70" i="79" a="1"/>
  <c r="E70" i="79" s="1"/>
  <c r="F70" i="79" a="1"/>
  <c r="F70" i="79" s="1"/>
  <c r="G70" i="79" a="1"/>
  <c r="G70" i="79" s="1"/>
  <c r="H70" i="79" a="1"/>
  <c r="H70" i="79" s="1"/>
  <c r="I70" i="79" a="1"/>
  <c r="I70" i="79" s="1"/>
  <c r="J70" i="79" a="1"/>
  <c r="J70" i="79" s="1"/>
  <c r="D71" i="79" a="1"/>
  <c r="D71" i="79" s="1"/>
  <c r="E71" i="79" a="1"/>
  <c r="E71" i="79" s="1"/>
  <c r="F71" i="79" a="1"/>
  <c r="F71" i="79" s="1"/>
  <c r="G71" i="79" a="1"/>
  <c r="G71" i="79" s="1"/>
  <c r="H71" i="79" a="1"/>
  <c r="H71" i="79" s="1"/>
  <c r="I71" i="79" a="1"/>
  <c r="I71" i="79" s="1"/>
  <c r="J71" i="79" a="1"/>
  <c r="J71" i="79" s="1"/>
  <c r="D72" i="79" a="1"/>
  <c r="D72" i="79" s="1"/>
  <c r="E72" i="79" a="1"/>
  <c r="E72" i="79" s="1"/>
  <c r="F72" i="79" a="1"/>
  <c r="F72" i="79" s="1"/>
  <c r="G72" i="79" a="1"/>
  <c r="G72" i="79" s="1"/>
  <c r="H72" i="79" a="1"/>
  <c r="H72" i="79" s="1"/>
  <c r="I72" i="79" a="1"/>
  <c r="I72" i="79" s="1"/>
  <c r="J72" i="79" a="1"/>
  <c r="J72" i="79" s="1"/>
  <c r="D73" i="79" a="1"/>
  <c r="D73" i="79" s="1"/>
  <c r="E73" i="79" a="1"/>
  <c r="E73" i="79" s="1"/>
  <c r="F73" i="79" a="1"/>
  <c r="F73" i="79" s="1"/>
  <c r="G73" i="79" a="1"/>
  <c r="G73" i="79" s="1"/>
  <c r="H73" i="79" a="1"/>
  <c r="H73" i="79" s="1"/>
  <c r="I73" i="79" a="1"/>
  <c r="I73" i="79" s="1"/>
  <c r="J73" i="79" a="1"/>
  <c r="J73" i="79" s="1"/>
  <c r="D74" i="79" a="1"/>
  <c r="D74" i="79" s="1"/>
  <c r="E74" i="79" a="1"/>
  <c r="E74" i="79" s="1"/>
  <c r="F74" i="79" a="1"/>
  <c r="F74" i="79" s="1"/>
  <c r="G74" i="79" a="1"/>
  <c r="G74" i="79" s="1"/>
  <c r="H74" i="79" a="1"/>
  <c r="H74" i="79" s="1"/>
  <c r="I74" i="79" a="1"/>
  <c r="I74" i="79" s="1"/>
  <c r="J74" i="79" a="1"/>
  <c r="J74" i="79" s="1"/>
  <c r="D75" i="79" a="1"/>
  <c r="D75" i="79" s="1"/>
  <c r="E75" i="79" a="1"/>
  <c r="E75" i="79" s="1"/>
  <c r="F75" i="79" a="1"/>
  <c r="F75" i="79" s="1"/>
  <c r="G75" i="79" a="1"/>
  <c r="G75" i="79" s="1"/>
  <c r="H75" i="79" a="1"/>
  <c r="H75" i="79" s="1"/>
  <c r="I75" i="79" a="1"/>
  <c r="I75" i="79" s="1"/>
  <c r="J75" i="79" a="1"/>
  <c r="J75" i="79" s="1"/>
  <c r="D76" i="79" a="1"/>
  <c r="D76" i="79" s="1"/>
  <c r="E76" i="79" a="1"/>
  <c r="E76" i="79" s="1"/>
  <c r="F76" i="79" a="1"/>
  <c r="F76" i="79" s="1"/>
  <c r="G76" i="79" a="1"/>
  <c r="G76" i="79" s="1"/>
  <c r="H76" i="79" a="1"/>
  <c r="H76" i="79" s="1"/>
  <c r="I76" i="79" a="1"/>
  <c r="I76" i="79" s="1"/>
  <c r="J76" i="79" a="1"/>
  <c r="J76" i="79" s="1"/>
  <c r="D77" i="79" a="1"/>
  <c r="D77" i="79" s="1"/>
  <c r="E77" i="79" a="1"/>
  <c r="E77" i="79" s="1"/>
  <c r="F77" i="79" a="1"/>
  <c r="F77" i="79" s="1"/>
  <c r="G77" i="79" a="1"/>
  <c r="G77" i="79" s="1"/>
  <c r="H77" i="79" a="1"/>
  <c r="H77" i="79" s="1"/>
  <c r="I77" i="79" a="1"/>
  <c r="I77" i="79" s="1"/>
  <c r="J77" i="79" a="1"/>
  <c r="J77" i="79" s="1"/>
  <c r="D78" i="79" a="1"/>
  <c r="D78" i="79" s="1"/>
  <c r="E78" i="79" a="1"/>
  <c r="E78" i="79" s="1"/>
  <c r="F78" i="79" a="1"/>
  <c r="F78" i="79" s="1"/>
  <c r="G78" i="79" a="1"/>
  <c r="G78" i="79" s="1"/>
  <c r="H78" i="79" a="1"/>
  <c r="H78" i="79" s="1"/>
  <c r="I78" i="79" a="1"/>
  <c r="I78" i="79" s="1"/>
  <c r="J78" i="79" a="1"/>
  <c r="J78" i="79" s="1"/>
  <c r="N93" i="79" a="1"/>
  <c r="N93" i="79" s="1"/>
  <c r="M93" i="79" a="1"/>
  <c r="M93" i="79" s="1"/>
  <c r="L93" i="79" a="1"/>
  <c r="L93" i="79" s="1"/>
  <c r="K93" i="79" a="1"/>
  <c r="K93" i="79" s="1"/>
  <c r="J93" i="79" a="1"/>
  <c r="J93" i="79" s="1"/>
  <c r="I93" i="79" a="1"/>
  <c r="I93" i="79" s="1"/>
  <c r="H93" i="79" a="1"/>
  <c r="H93" i="79" s="1"/>
  <c r="G93" i="79" a="1"/>
  <c r="G93" i="79" s="1"/>
  <c r="F93" i="79" a="1"/>
  <c r="F93" i="79" s="1"/>
  <c r="E93" i="79" a="1"/>
  <c r="E93" i="79" s="1"/>
  <c r="D93" i="79" a="1"/>
  <c r="D93" i="79" s="1"/>
  <c r="N92" i="79" a="1"/>
  <c r="N92" i="79" s="1"/>
  <c r="M92" i="79" a="1"/>
  <c r="M92" i="79" s="1"/>
  <c r="L92" i="79" a="1"/>
  <c r="L92" i="79" s="1"/>
  <c r="K92" i="79" a="1"/>
  <c r="K92" i="79" s="1"/>
  <c r="J92" i="79" a="1"/>
  <c r="J92" i="79" s="1"/>
  <c r="I92" i="79" a="1"/>
  <c r="I92" i="79" s="1"/>
  <c r="H92" i="79" a="1"/>
  <c r="H92" i="79" s="1"/>
  <c r="G92" i="79" a="1"/>
  <c r="G92" i="79" s="1"/>
  <c r="F92" i="79" a="1"/>
  <c r="F92" i="79" s="1"/>
  <c r="E92" i="79" a="1"/>
  <c r="E92" i="79" s="1"/>
  <c r="D92" i="79" a="1"/>
  <c r="D92" i="79" s="1"/>
  <c r="N91" i="79" a="1"/>
  <c r="N91" i="79" s="1"/>
  <c r="M91" i="79" a="1"/>
  <c r="M91" i="79" s="1"/>
  <c r="L91" i="79" a="1"/>
  <c r="L91" i="79" s="1"/>
  <c r="K91" i="79" a="1"/>
  <c r="K91" i="79" s="1"/>
  <c r="J91" i="79" a="1"/>
  <c r="J91" i="79" s="1"/>
  <c r="I91" i="79" a="1"/>
  <c r="I91" i="79" s="1"/>
  <c r="H91" i="79" a="1"/>
  <c r="H91" i="79" s="1"/>
  <c r="G91" i="79" a="1"/>
  <c r="G91" i="79" s="1"/>
  <c r="F91" i="79" a="1"/>
  <c r="F91" i="79" s="1"/>
  <c r="E91" i="79" a="1"/>
  <c r="E91" i="79" s="1"/>
  <c r="D91" i="79" a="1"/>
  <c r="D91" i="79" s="1"/>
  <c r="N90" i="79" a="1"/>
  <c r="N90" i="79" s="1"/>
  <c r="M90" i="79" a="1"/>
  <c r="M90" i="79" s="1"/>
  <c r="L90" i="79" a="1"/>
  <c r="L90" i="79" s="1"/>
  <c r="K90" i="79" a="1"/>
  <c r="K90" i="79" s="1"/>
  <c r="J90" i="79" a="1"/>
  <c r="J90" i="79" s="1"/>
  <c r="I90" i="79" a="1"/>
  <c r="I90" i="79" s="1"/>
  <c r="H90" i="79" a="1"/>
  <c r="H90" i="79" s="1"/>
  <c r="G90" i="79" a="1"/>
  <c r="G90" i="79" s="1"/>
  <c r="F90" i="79" a="1"/>
  <c r="F90" i="79" s="1"/>
  <c r="E90" i="79" a="1"/>
  <c r="E90" i="79" s="1"/>
  <c r="D90" i="79" a="1"/>
  <c r="D90" i="79" s="1"/>
  <c r="N89" i="79" a="1"/>
  <c r="N89" i="79" s="1"/>
  <c r="M89" i="79" a="1"/>
  <c r="M89" i="79" s="1"/>
  <c r="L89" i="79" a="1"/>
  <c r="L89" i="79" s="1"/>
  <c r="K89" i="79" a="1"/>
  <c r="K89" i="79" s="1"/>
  <c r="J89" i="79" a="1"/>
  <c r="J89" i="79" s="1"/>
  <c r="I89" i="79" a="1"/>
  <c r="I89" i="79" s="1"/>
  <c r="H89" i="79" a="1"/>
  <c r="H89" i="79" s="1"/>
  <c r="G89" i="79" a="1"/>
  <c r="G89" i="79" s="1"/>
  <c r="F89" i="79" a="1"/>
  <c r="F89" i="79" s="1"/>
  <c r="E89" i="79" a="1"/>
  <c r="E89" i="79" s="1"/>
  <c r="D89" i="79" a="1"/>
  <c r="D89" i="79" s="1"/>
  <c r="D83" i="79" a="1"/>
  <c r="D83" i="79" s="1"/>
  <c r="D82" i="79" a="1"/>
  <c r="D82" i="79" s="1"/>
  <c r="D81" i="79" a="1"/>
  <c r="D81" i="79" s="1"/>
  <c r="F22" i="79" a="1"/>
  <c r="F22" i="79" s="1"/>
  <c r="E22" i="79" a="1"/>
  <c r="E22" i="79" s="1"/>
  <c r="D22" i="79" a="1"/>
  <c r="D22" i="79" s="1"/>
  <c r="D21" i="79" a="1"/>
  <c r="D21" i="79" s="1"/>
  <c r="D20" i="79" a="1"/>
  <c r="D20" i="79" s="1"/>
  <c r="F17" i="79" a="1"/>
  <c r="F17" i="79" s="1"/>
  <c r="E17" i="79" a="1"/>
  <c r="E17" i="79" s="1"/>
  <c r="D17" i="79" a="1"/>
  <c r="D17" i="79" s="1"/>
  <c r="D16" i="79" a="1"/>
  <c r="D16" i="79" s="1"/>
  <c r="D15" i="79" a="1"/>
  <c r="D15" i="79" s="1"/>
  <c r="F12" i="79" a="1"/>
  <c r="F12" i="79" s="1"/>
  <c r="E12" i="79" a="1"/>
  <c r="E12" i="79" s="1"/>
  <c r="D12" i="79" a="1"/>
  <c r="D12" i="79" s="1"/>
  <c r="D11" i="79" a="1"/>
  <c r="D11" i="79" s="1"/>
  <c r="D10" i="79" a="1"/>
  <c r="D10" i="79" s="1"/>
  <c r="F7" i="79" a="1"/>
  <c r="F7" i="79" s="1"/>
  <c r="E7" i="79" a="1"/>
  <c r="E7" i="79" s="1"/>
  <c r="D7" i="79" a="1"/>
  <c r="D7" i="79" s="1"/>
  <c r="D6" i="79" a="1"/>
  <c r="D6" i="79" s="1"/>
  <c r="D5" i="79" a="1"/>
  <c r="D5" i="79" s="1"/>
  <c r="A39" i="74"/>
  <c r="A38" i="74"/>
  <c r="A37" i="74"/>
  <c r="A36" i="74"/>
  <c r="A33" i="74"/>
  <c r="A30" i="74"/>
  <c r="A29" i="74"/>
  <c r="A28" i="74"/>
  <c r="A27" i="74"/>
  <c r="A26" i="74"/>
  <c r="A25" i="74"/>
  <c r="A24" i="74"/>
  <c r="A19" i="74"/>
  <c r="A18" i="74"/>
  <c r="A15" i="74"/>
  <c r="A14" i="74"/>
  <c r="A13" i="74"/>
  <c r="A12" i="74"/>
  <c r="A11" i="74"/>
  <c r="A10" i="74"/>
  <c r="A9" i="74"/>
  <c r="A8" i="74"/>
  <c r="A7" i="74"/>
  <c r="A4" i="74"/>
  <c r="G14" i="70" l="1" a="1"/>
  <c r="G14" i="70" s="1"/>
  <c r="E15" i="70" a="1"/>
  <c r="E15" i="70" s="1"/>
  <c r="F14" i="70" a="1"/>
  <c r="F14" i="70" s="1"/>
  <c r="E14" i="70" a="1"/>
  <c r="E14" i="70" s="1"/>
  <c r="O30" i="69"/>
  <c r="G15" i="70" a="1"/>
  <c r="G15" i="70" s="1"/>
  <c r="E16" i="70" a="1"/>
  <c r="E16" i="70" s="1"/>
  <c r="D30" i="69" s="1"/>
  <c r="F16" i="70" a="1"/>
  <c r="F16" i="70" s="1"/>
  <c r="E30" i="69" s="1"/>
  <c r="G16" i="70" a="1"/>
  <c r="G16" i="70" s="1"/>
  <c r="F30" i="69" s="1"/>
  <c r="M25" i="69"/>
  <c r="M30" i="69"/>
  <c r="N30" i="69"/>
  <c r="F15" i="70" a="1"/>
  <c r="F15" i="70" s="1"/>
  <c r="N25" i="69"/>
  <c r="O25" i="69"/>
  <c r="D69" i="69" a="1"/>
  <c r="D69" i="69" s="1"/>
  <c r="F72" i="69" a="1"/>
  <c r="F72" i="69" s="1"/>
  <c r="M20" i="69" l="1"/>
  <c r="M35" i="69" s="1" a="1"/>
  <c r="M35" i="69" s="1"/>
  <c r="N20" i="69"/>
  <c r="N35" i="69" s="1" a="1"/>
  <c r="N35" i="69" s="1"/>
  <c r="O20" i="69"/>
  <c r="O35" i="69" s="1" a="1"/>
  <c r="O35" i="69" s="1"/>
  <c r="O65" i="69" l="1" a="1"/>
  <c r="O65" i="69" s="1"/>
  <c r="N65" i="69" a="1"/>
  <c r="N65" i="69" s="1"/>
  <c r="M65" i="69" a="1"/>
  <c r="M65" i="69" s="1"/>
  <c r="F60" i="69"/>
  <c r="E60" i="69"/>
  <c r="D60" i="69"/>
  <c r="F55" i="69"/>
  <c r="E55" i="69"/>
  <c r="D55" i="69"/>
  <c r="G35" i="69" l="1"/>
  <c r="P65" i="69"/>
  <c r="H69" i="69"/>
  <c r="Q69" i="69"/>
  <c r="G65" i="69"/>
  <c r="O67" i="69"/>
  <c r="F67" i="69"/>
  <c r="G7" i="13" s="1"/>
  <c r="F25" i="69"/>
  <c r="E25" i="69"/>
  <c r="D25" i="69"/>
  <c r="F20" i="69"/>
  <c r="F35" i="69" s="1" a="1"/>
  <c r="F35" i="69" s="1"/>
  <c r="F65" i="69" s="1" a="1"/>
  <c r="F65" i="69" s="1"/>
  <c r="E20" i="69"/>
  <c r="E35" i="69" s="1" a="1"/>
  <c r="E35" i="69" s="1"/>
  <c r="E65" i="69" s="1" a="1"/>
  <c r="E65" i="69" s="1"/>
  <c r="D20" i="69"/>
  <c r="D35" i="69" s="1" a="1"/>
  <c r="D35" i="69" s="1"/>
  <c r="D65" i="69" s="1" a="1"/>
  <c r="D65" i="69" s="1"/>
  <c r="F27" i="43" l="1" a="1"/>
  <c r="F27" i="43" s="1"/>
  <c r="E27" i="43" a="1"/>
  <c r="E27" i="43" s="1"/>
  <c r="D27" i="43" a="1"/>
  <c r="D27" i="43" s="1"/>
  <c r="F26" i="43" a="1"/>
  <c r="F26" i="43" s="1"/>
  <c r="E31" i="79" s="1"/>
  <c r="E26" i="43" a="1"/>
  <c r="E26" i="43" s="1"/>
  <c r="D31" i="79" s="1"/>
  <c r="D26" i="43" a="1"/>
  <c r="D26" i="43" s="1"/>
  <c r="F25" i="43" a="1"/>
  <c r="F25" i="43" s="1"/>
  <c r="E25" i="43" a="1"/>
  <c r="E25" i="43" s="1"/>
  <c r="D25" i="43" a="1"/>
  <c r="D25" i="43" s="1"/>
  <c r="F24" i="43" a="1"/>
  <c r="F24" i="43" s="1"/>
  <c r="E24" i="43" a="1"/>
  <c r="E24" i="43" s="1"/>
  <c r="D24" i="43" a="1"/>
  <c r="D24" i="43" s="1"/>
  <c r="F23" i="43" a="1"/>
  <c r="F23" i="43" s="1"/>
  <c r="E23" i="43" a="1"/>
  <c r="E23" i="43" s="1"/>
  <c r="D23" i="43" a="1"/>
  <c r="D23" i="43" s="1"/>
  <c r="F22" i="43" a="1"/>
  <c r="F22" i="43" s="1"/>
  <c r="E22" i="43" a="1"/>
  <c r="E22" i="43" s="1"/>
  <c r="D22" i="43" a="1"/>
  <c r="D22" i="43" s="1"/>
  <c r="F21" i="43" a="1"/>
  <c r="F21" i="43" s="1"/>
  <c r="E21" i="43" a="1"/>
  <c r="E21" i="43" s="1"/>
  <c r="D21" i="43" a="1"/>
  <c r="D21" i="43" s="1"/>
  <c r="F20" i="43" a="1"/>
  <c r="F20" i="43" s="1"/>
  <c r="E20" i="43" a="1"/>
  <c r="E20" i="43" s="1"/>
  <c r="D20" i="43" a="1"/>
  <c r="D20" i="43" s="1"/>
  <c r="F19" i="43" a="1"/>
  <c r="F19" i="43" s="1"/>
  <c r="E19" i="43" a="1"/>
  <c r="E19" i="43" s="1"/>
  <c r="D19" i="43" a="1"/>
  <c r="D19" i="43" s="1"/>
  <c r="F18" i="43" a="1"/>
  <c r="F18" i="43" s="1"/>
  <c r="E18" i="43" a="1"/>
  <c r="E18" i="43" s="1"/>
  <c r="D18" i="43" a="1"/>
  <c r="D18" i="43" s="1"/>
  <c r="F17" i="43" a="1"/>
  <c r="F17" i="43" s="1"/>
  <c r="E30" i="79" s="1"/>
  <c r="E17" i="43" a="1"/>
  <c r="E17" i="43" s="1"/>
  <c r="D17" i="43" a="1"/>
  <c r="D17" i="43" s="1"/>
  <c r="F16" i="43" a="1"/>
  <c r="F16" i="43" s="1"/>
  <c r="E28" i="79" s="1"/>
  <c r="E16" i="43" a="1"/>
  <c r="E16" i="43" s="1"/>
  <c r="D28" i="79" s="1"/>
  <c r="D16" i="43" a="1"/>
  <c r="D16" i="43" s="1"/>
  <c r="F15" i="43" a="1"/>
  <c r="F15" i="43" s="1"/>
  <c r="E29" i="79" s="1"/>
  <c r="E15" i="43" a="1"/>
  <c r="E15" i="43" s="1"/>
  <c r="D15" i="43" a="1"/>
  <c r="D15" i="43" s="1"/>
  <c r="F14" i="43" a="1"/>
  <c r="F14" i="43" s="1"/>
  <c r="E14" i="43" a="1"/>
  <c r="E14" i="43" s="1"/>
  <c r="D14" i="43" a="1"/>
  <c r="D14" i="43" s="1"/>
  <c r="F13" i="43" a="1"/>
  <c r="F13" i="43" s="1"/>
  <c r="E13" i="43" a="1"/>
  <c r="E13" i="43" s="1"/>
  <c r="D13" i="43" a="1"/>
  <c r="D13" i="43" s="1"/>
  <c r="F12" i="43" a="1"/>
  <c r="F12" i="43" s="1"/>
  <c r="E12" i="43" a="1"/>
  <c r="E12" i="43" s="1"/>
  <c r="D12" i="43" a="1"/>
  <c r="D12" i="43" s="1"/>
  <c r="F11" i="43" a="1"/>
  <c r="F11" i="43" s="1"/>
  <c r="E11" i="43" a="1"/>
  <c r="E11" i="43" s="1"/>
  <c r="D11" i="43" a="1"/>
  <c r="D11" i="43" s="1"/>
  <c r="F10" i="43" a="1"/>
  <c r="F10" i="43" s="1"/>
  <c r="E32" i="79" s="1"/>
  <c r="E10" i="43" a="1"/>
  <c r="E10" i="43" s="1"/>
  <c r="D32" i="79" s="1"/>
  <c r="D10" i="43" a="1"/>
  <c r="D10" i="43" s="1"/>
  <c r="D8" i="43" a="1"/>
  <c r="D8" i="43" s="1"/>
  <c r="D7" i="43" a="1"/>
  <c r="D7" i="43" s="1"/>
  <c r="D6" i="43" a="1"/>
  <c r="D6" i="43" s="1"/>
  <c r="D29" i="79" l="1"/>
  <c r="D30" i="79"/>
  <c r="E67" i="69" l="1"/>
  <c r="G69" i="69" s="1"/>
  <c r="E72" i="69" s="1" a="1"/>
  <c r="E72" i="69" s="1"/>
  <c r="H7" i="13" s="1"/>
  <c r="H8" i="13" s="1"/>
  <c r="N67" i="69"/>
  <c r="P69" i="69" s="1"/>
  <c r="N72" i="69" s="1" a="1"/>
  <c r="N72" i="69" s="1"/>
  <c r="I7" i="13" s="1"/>
  <c r="I8" i="13" s="1"/>
  <c r="E7" i="13" l="1"/>
  <c r="F7" i="13"/>
  <c r="E13" i="15"/>
  <c r="D8" i="70" l="1"/>
  <c r="D9" i="70"/>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<sst xmlns="http://schemas.openxmlformats.org/spreadsheetml/2006/main" count="287" uniqueCount="188">
  <si>
    <t>Home</t>
  </si>
  <si>
    <t>N2O MMS</t>
  </si>
  <si>
    <t>Sources &amp; acknowledgements</t>
  </si>
  <si>
    <t>INPUTS</t>
  </si>
  <si>
    <t>APPENDICES</t>
  </si>
  <si>
    <t>Emissions breakdown</t>
  </si>
  <si>
    <t>Farm name</t>
  </si>
  <si>
    <t>Climate zone</t>
  </si>
  <si>
    <t>Your business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</si>
  <si>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</si>
  <si>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Unit</t>
  </si>
  <si>
    <t>Manure management system</t>
  </si>
  <si>
    <t>State/Territory</t>
  </si>
  <si>
    <t>Common Name</t>
  </si>
  <si>
    <t>Abbreviation</t>
  </si>
  <si>
    <t>SA 4 Name</t>
  </si>
  <si>
    <t>Function name</t>
  </si>
  <si>
    <t>Gas</t>
  </si>
  <si>
    <t>CO2-e factor</t>
  </si>
  <si>
    <t>Variable</t>
  </si>
  <si>
    <t>Conversion factor</t>
  </si>
  <si>
    <t>Conversion factor 1</t>
  </si>
  <si>
    <t>Conversion factor 2</t>
  </si>
  <si>
    <t>Conversion factor combined</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</si>
  <si>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</si>
  <si>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</si>
  <si>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</si>
  <si>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</si>
  <si>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</si>
  <si>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</si>
  <si>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</si>
  <si>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</si>
  <si>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</si>
  <si>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</si>
  <si>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</si>
  <si>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</si>
  <si>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</si>
  <si>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</si>
  <si>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</si>
  <si>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</si>
  <si>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</si>
  <si>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</si>
  <si>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Temperature Zone</t>
  </si>
  <si>
    <t>Min MAT</t>
  </si>
  <si>
    <t>Max MAT</t>
  </si>
  <si>
    <t>Rainfall Zone</t>
  </si>
  <si>
    <t>Annual rainfall</t>
  </si>
  <si>
    <t>Leaching Zone</t>
  </si>
  <si>
    <t>Leaching criteria</t>
  </si>
  <si>
    <t>MMS</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</si>
  <si>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</si>
  <si>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</si>
  <si>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</si>
  <si>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Reporting entity name</t>
  </si>
  <si>
    <t>Freight and transport</t>
  </si>
  <si>
    <t>Enteric methane</t>
  </si>
  <si>
    <t>CALCULATIONS</t>
  </si>
  <si>
    <t>Constants - Common</t>
  </si>
  <si>
    <t>Waste</t>
  </si>
  <si>
    <t>Constants - Livestock</t>
  </si>
  <si>
    <t>Symbol</t>
  </si>
  <si>
    <t>Symbol and MMS</t>
  </si>
  <si>
    <t>ACT</t>
  </si>
  <si>
    <t>NSW</t>
  </si>
  <si>
    <t>NT</t>
  </si>
  <si>
    <t>QLD</t>
  </si>
  <si>
    <t>SA</t>
  </si>
  <si>
    <t>TAS</t>
  </si>
  <si>
    <t>VIC</t>
  </si>
  <si>
    <t>WA</t>
  </si>
  <si>
    <t>💡An 'Emissions accounting period' is a 12 month period where the business can report on the emissions, and is typically the same as the business' financial accounting period.</t>
  </si>
  <si>
    <t>Input - Site</t>
  </si>
  <si>
    <t>Is in leaching zone</t>
  </si>
  <si>
    <t>FracWET</t>
  </si>
  <si>
    <t>Emissions calculation period start date</t>
  </si>
  <si>
    <t>Emissions calculation period end date</t>
  </si>
  <si>
    <t>NIR definition</t>
  </si>
  <si>
    <t>Intake</t>
  </si>
  <si>
    <t>MMS m</t>
  </si>
  <si>
    <t>kg dry matter / head  day</t>
  </si>
  <si>
    <t>Treatment stage T</t>
  </si>
  <si>
    <t>Feedlot manure management systems</t>
  </si>
  <si>
    <t>Herd movement</t>
  </si>
  <si>
    <t>Duration of stay</t>
  </si>
  <si>
    <t>head</t>
  </si>
  <si>
    <t>Table_D_j</t>
  </si>
  <si>
    <t>Table_N_j</t>
  </si>
  <si>
    <t>Number of head in each group</t>
  </si>
  <si>
    <t>Feedlot type</t>
  </si>
  <si>
    <t>Nutrient analysis</t>
  </si>
  <si>
    <t>2010-2014</t>
  </si>
  <si>
    <t>2015-2019</t>
  </si>
  <si>
    <t>2020-2023</t>
  </si>
  <si>
    <t>Source Data - Feedlot</t>
  </si>
  <si>
    <t>Domestic</t>
  </si>
  <si>
    <t>Mid-fed</t>
  </si>
  <si>
    <t>Long-fed</t>
  </si>
  <si>
    <t>2020-2023 Converted to fraction</t>
  </si>
  <si>
    <t>Characteristic</t>
  </si>
  <si>
    <t>2005-2009</t>
  </si>
  <si>
    <t>Feed intake</t>
  </si>
  <si>
    <t>Length of stay</t>
  </si>
  <si>
    <t>EF mT</t>
  </si>
  <si>
    <t>FracGASMmT</t>
  </si>
  <si>
    <t>M1_Table_I_j</t>
  </si>
  <si>
    <t>M2_Table_I_j</t>
  </si>
  <si>
    <t>Method 1</t>
  </si>
  <si>
    <t>Method 2</t>
  </si>
  <si>
    <t>Dry matter intake (Method 1)</t>
  </si>
  <si>
    <t>Dry matter intake (Method 2)</t>
  </si>
  <si>
    <r>
      <t>E</t>
    </r>
    <r>
      <rPr>
        <vertAlign val="subscript"/>
        <sz val="12"/>
        <color theme="1" tint="0.24994659260841701"/>
        <rFont val="Times New Roman"/>
        <family val="1"/>
      </rPr>
      <t>CO2e</t>
    </r>
    <r>
      <rPr>
        <sz val="12"/>
        <color theme="1" tint="0.24994659260841701"/>
        <rFont val="Times New Roman"/>
        <family val="1"/>
      </rPr>
      <t xml:space="preserve"> (Method 1)</t>
    </r>
  </si>
  <si>
    <r>
      <t>E</t>
    </r>
    <r>
      <rPr>
        <vertAlign val="subscript"/>
        <sz val="12"/>
        <color theme="1" tint="0.24994659260841701"/>
        <rFont val="Times New Roman"/>
        <family val="1"/>
      </rPr>
      <t>CO2e</t>
    </r>
    <r>
      <rPr>
        <sz val="12"/>
        <color theme="1" tint="0.24994659260841701"/>
        <rFont val="Times New Roman"/>
        <family val="1"/>
      </rPr>
      <t xml:space="preserve"> (Method 2)</t>
    </r>
  </si>
  <si>
    <t>Scope 1 source</t>
  </si>
  <si>
    <t>Production system j</t>
  </si>
  <si>
    <t>EFN2O</t>
  </si>
  <si>
    <t>Production system only</t>
  </si>
  <si>
    <t>Irrigation method</t>
  </si>
  <si>
    <t>Feedlot crop or pasture production systems</t>
  </si>
  <si>
    <t>Production system</t>
  </si>
  <si>
    <t>Irrigation methods</t>
  </si>
  <si>
    <t>Not irrigated</t>
  </si>
  <si>
    <t>Drip irrigation</t>
  </si>
  <si>
    <t>Sprinkler irrigation</t>
  </si>
  <si>
    <t>Surface irrigation</t>
  </si>
  <si>
    <t>Other irrigation</t>
  </si>
  <si>
    <t>Total</t>
  </si>
  <si>
    <t>GHG Unit</t>
  </si>
  <si>
    <t>CO2-e unit</t>
  </si>
  <si>
    <t>Method 1 default values (Do not edit)</t>
  </si>
  <si>
    <t>Method 2 custom values (Edit if known)</t>
  </si>
  <si>
    <t>Irrigation type i</t>
  </si>
  <si>
    <t>EFPRP</t>
  </si>
  <si>
    <t>Month</t>
  </si>
  <si>
    <t>Season</t>
  </si>
  <si>
    <t>Acknowledgements</t>
  </si>
  <si>
    <t>GHG emissions method 1</t>
  </si>
  <si>
    <t>GHG emissions method 2</t>
  </si>
  <si>
    <t>CO2-e emissions method 1</t>
  </si>
  <si>
    <t>t CO2e</t>
  </si>
  <si>
    <t>CO2-e emissions method 2</t>
  </si>
  <si>
    <t>Direct application</t>
  </si>
  <si>
    <t>days</t>
  </si>
  <si>
    <t>fraction</t>
  </si>
  <si>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</si>
  <si>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</si>
  <si>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</si>
  <si>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</si>
  <si>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</si>
  <si>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</si>
  <si>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</si>
  <si>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</si>
  <si>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</si>
  <si>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</si>
  <si>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</si>
  <si>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</si>
  <si>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Pasture range and paddock</t>
  </si>
  <si>
    <t>MAT raw</t>
  </si>
  <si>
    <t xml:space="preserve">    Click on a box to go to the corresponding calculation.</t>
  </si>
  <si>
    <t>3.1.1.1-2 Enteric Methane</t>
  </si>
  <si>
    <t>Ether extract</t>
  </si>
  <si>
    <t>NDF</t>
  </si>
  <si>
    <t>M1_Table_EE_j</t>
  </si>
  <si>
    <t>Ether extract (Method 1)</t>
  </si>
  <si>
    <t>M1_Table_NDF_j</t>
  </si>
  <si>
    <t>Neutral detergent fibre (Method 1)</t>
  </si>
  <si>
    <t>M1_Table_M_j</t>
  </si>
  <si>
    <t>Daily production of enteric methane (Method 1)</t>
  </si>
  <si>
    <t>M2_Table_M_j</t>
  </si>
  <si>
    <t>Daily production of enteric methane (Method 2)</t>
  </si>
  <si>
    <t>M2_Table_EE_j</t>
  </si>
  <si>
    <t>Ether extract (Method 2)</t>
  </si>
  <si>
    <t>M2_Table_NDF_j</t>
  </si>
  <si>
    <t>Neutral detergent fibre (Method 2)</t>
  </si>
  <si>
    <r>
      <t>E</t>
    </r>
    <r>
      <rPr>
        <b/>
        <vertAlign val="subscript"/>
        <sz val="16"/>
        <color theme="1" tint="0.24994659260841701"/>
        <rFont val="Times New Roman"/>
        <family val="1"/>
      </rPr>
      <t>enteric</t>
    </r>
    <r>
      <rPr>
        <b/>
        <sz val="16"/>
        <color theme="1" tint="0.24994659260841701"/>
        <rFont val="Times New Roman"/>
        <family val="1"/>
      </rPr>
      <t xml:space="preserve"> (Method 1)</t>
    </r>
  </si>
  <si>
    <r>
      <t>E</t>
    </r>
    <r>
      <rPr>
        <b/>
        <vertAlign val="subscript"/>
        <sz val="16"/>
        <color theme="1" tint="0.24994659260841701"/>
        <rFont val="Times New Roman"/>
        <family val="1"/>
      </rPr>
      <t>enteric</t>
    </r>
    <r>
      <rPr>
        <b/>
        <sz val="16"/>
        <color theme="1" tint="0.24994659260841701"/>
        <rFont val="Times New Roman"/>
        <family val="1"/>
      </rPr>
      <t xml:space="preserve"> (Method 2)</t>
    </r>
  </si>
  <si>
    <t>3.1: Enteric Methane: Beef feedlot: Overview</t>
  </si>
  <si>
    <t>3.1 Enteric Methane: Beef Feedlot: Results</t>
  </si>
  <si>
    <t>💡 Below is a diagram that maps the equations used to calculate emissions and how they interact with each other.</t>
  </si>
  <si>
    <t>3.1.1.1-2 Enteric Methane Beef Feedlot</t>
  </si>
  <si>
    <t>Input - Feedlot</t>
  </si>
  <si>
    <t>Climate Zone</t>
  </si>
  <si>
    <t>EFNi &amp; EFN2Oi</t>
  </si>
  <si>
    <t>M2_Table_E_CH4</t>
  </si>
  <si>
    <t>Methane emissions for each group, MMS and treatment stage (Method 2)</t>
  </si>
  <si>
    <t>M1_Table_E_CH4</t>
  </si>
  <si>
    <t>Methane emissions for each group, MMS and treatment stage (Method 1)</t>
  </si>
  <si>
    <t>My test farm</t>
  </si>
  <si>
    <t>My test Farms Pty Ltd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</si>
</sst>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s>
  <fonts count="61"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sz val="11"/>
      <color theme="1"/>
      <name val="Times New Roman"/>
      <family val="2"/>
      <scheme val="minor"/>
    </font>
    <font>
      <b/>
      <vertAlign val="subscript"/>
      <sz val="16"/>
      <color theme="1" tint="0.24994659260841701"/>
      <name val="Times New Roman"/>
      <family val="1"/>
    </font>
    <font>
      <b/>
      <sz val="20"/>
      <color theme="4" tint="-0.249977111117893"/>
      <name val="Times New Roman"/>
      <family val="1"/>
    </font>
    <font>
      <i/>
      <sz val="10"/>
      <color theme="5" tint="-0.499984740745262"/>
      <name val="Times New Roman"/>
      <family val="1"/>
    </font>
    <font>
      <i/>
      <sz val="10"/>
      <color theme="6" tint="-0.499984740745262"/>
      <name val="Times New Roman"/>
      <family val="1"/>
    </font>
    <font>
      <u/>
      <sz val="10"/>
      <color theme="1" tint="0.34998626667073579"/>
      <name val="Times New Roman"/>
      <family val="1"/>
    </font>
    <font>
      <b/>
      <sz val="20"/>
      <color theme="3" tint="9.9978637043366805E-2"/>
      <name val="Times New Roman"/>
      <family val="1"/>
    </font>
  </fonts>
  <fills count="16">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theme="9" tint="0.59999389629810485"/>
        <bgColor indexed="64"/>
      </patternFill>
    </fill>
    <fill>
      <patternFill patternType="solid">
        <fgColor rgb="FFDCECD0"/>
        <bgColor indexed="64"/>
      </patternFill>
    </fill>
  </fills>
  <borders count="22">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diagonal/>
    </border>
    <border>
      <left style="thin">
        <color theme="3" tint="0.749961851863155"/>
      </left>
      <right style="thin">
        <color theme="3" tint="0.749961851863155"/>
      </right>
      <top/>
      <bottom style="thin">
        <color theme="3" tint="0.749961851863155"/>
      </bottom>
      <diagonal/>
    </border>
  </borders>
  <cellStyleXfs count="68">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6" fillId="4" borderId="0">
      <alignment horizontal="left" vertical="center"/>
    </xf>
    <xf numFmtId="0" fontId="41" fillId="4" borderId="0">
      <alignment vertical="center"/>
    </xf>
    <xf numFmtId="0" fontId="3" fillId="4" borderId="0">
      <alignment horizontal="left" vertical="center"/>
    </xf>
    <xf numFmtId="0" fontId="38"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3" fillId="13" borderId="8">
      <alignment horizontal="left" vertical="center"/>
    </xf>
    <xf numFmtId="43" fontId="10" fillId="0" borderId="0" applyFont="0" applyFill="0" applyBorder="0" applyAlignment="0" applyProtection="0"/>
    <xf numFmtId="3" fontId="33" fillId="4" borderId="2">
      <alignment horizontal="center" vertical="center"/>
    </xf>
    <xf numFmtId="168" fontId="2" fillId="0" borderId="2">
      <alignment horizontal="center" vertical="center"/>
    </xf>
    <xf numFmtId="0" fontId="34" fillId="0" borderId="0"/>
    <xf numFmtId="0" fontId="10" fillId="0" borderId="0"/>
    <xf numFmtId="0" fontId="34" fillId="0" borderId="0"/>
    <xf numFmtId="166" fontId="33" fillId="4" borderId="2">
      <alignment horizontal="center" vertical="center"/>
    </xf>
    <xf numFmtId="4" fontId="33" fillId="4" borderId="2">
      <alignment horizontal="center" vertical="center"/>
    </xf>
    <xf numFmtId="0" fontId="52" fillId="4" borderId="0">
      <alignment horizontal="left" vertical="center"/>
    </xf>
    <xf numFmtId="0" fontId="37" fillId="4" borderId="0" applyNumberFormat="0">
      <alignment horizontal="center" vertical="center"/>
    </xf>
    <xf numFmtId="165" fontId="33" fillId="4" borderId="2">
      <alignment horizontal="center" vertical="center"/>
    </xf>
    <xf numFmtId="0" fontId="32" fillId="4" borderId="0">
      <alignment horizontal="left" vertical="center"/>
    </xf>
    <xf numFmtId="169" fontId="33" fillId="4" borderId="2">
      <alignment horizontal="center" vertical="center"/>
    </xf>
    <xf numFmtId="0" fontId="33" fillId="4" borderId="2">
      <alignment horizontal="center" vertical="center"/>
    </xf>
    <xf numFmtId="0" fontId="6" fillId="4" borderId="0">
      <alignment horizontal="left" vertical="center"/>
    </xf>
    <xf numFmtId="0" fontId="40" fillId="4" borderId="0">
      <alignment horizontal="left" vertical="center"/>
    </xf>
    <xf numFmtId="0" fontId="10" fillId="0" borderId="0"/>
    <xf numFmtId="0" fontId="2" fillId="0" borderId="2">
      <alignment horizontal="center" vertical="center"/>
    </xf>
    <xf numFmtId="0" fontId="46" fillId="4" borderId="0">
      <alignment horizontal="left" vertical="center"/>
    </xf>
    <xf numFmtId="0" fontId="47" fillId="4" borderId="0">
      <alignment horizontal="left" vertical="center"/>
    </xf>
    <xf numFmtId="0" fontId="53" fillId="4" borderId="0">
      <alignment horizontal="left" vertical="center"/>
    </xf>
    <xf numFmtId="0" fontId="45" fillId="11" borderId="0">
      <alignment horizontal="center" vertical="center"/>
    </xf>
    <xf numFmtId="0" fontId="22" fillId="11" borderId="0">
      <alignment horizontal="left" vertical="center" indent="1"/>
    </xf>
    <xf numFmtId="0" fontId="57" fillId="14" borderId="2">
      <alignment horizontal="center" vertical="center"/>
    </xf>
    <xf numFmtId="0" fontId="58" fillId="15" borderId="2">
      <alignment horizontal="center" vertical="center"/>
    </xf>
    <xf numFmtId="0" fontId="33" fillId="4" borderId="2">
      <alignment horizontal="left" vertical="center"/>
    </xf>
    <xf numFmtId="0" fontId="59" fillId="4" borderId="2">
      <alignment horizontal="left" vertical="center"/>
    </xf>
  </cellStyleXfs>
  <cellXfs count="115">
    <xf numFmtId="0" fontId="0" fillId="0" borderId="0" xfId="0"/>
    <xf numFmtId="0" fontId="38"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1" fillId="4" borderId="0" xfId="6">
      <alignment vertical="center"/>
    </xf>
    <xf numFmtId="0" fontId="36"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4">
      <alignment horizontal="left" vertical="center"/>
    </xf>
    <xf numFmtId="0" fontId="12" fillId="4" borderId="0" xfId="30">
      <alignment vertical="center"/>
    </xf>
    <xf numFmtId="0" fontId="17" fillId="7" borderId="0" xfId="31">
      <alignment vertical="center"/>
    </xf>
    <xf numFmtId="0" fontId="2" fillId="9" borderId="0" xfId="7" applyFont="1" applyFill="1" applyAlignment="1">
      <alignment horizontal="left" vertical="center" indent="1"/>
    </xf>
    <xf numFmtId="0" fontId="2" fillId="0" borderId="0" xfId="34">
      <alignment horizontal="left" vertical="center" indent="1"/>
    </xf>
    <xf numFmtId="0" fontId="19" fillId="9" borderId="5" xfId="35">
      <alignment horizontal="left" vertical="center" indent="1"/>
    </xf>
    <xf numFmtId="0" fontId="20" fillId="9" borderId="5" xfId="35" applyFont="1">
      <alignment horizontal="left" vertical="center" indent="1"/>
    </xf>
    <xf numFmtId="0" fontId="21" fillId="9" borderId="5" xfId="35" applyFont="1">
      <alignment horizontal="left" vertical="center" indent="1"/>
    </xf>
    <xf numFmtId="0" fontId="22" fillId="5" borderId="0" xfId="37">
      <alignment horizontal="left" vertical="center" indent="1"/>
    </xf>
    <xf numFmtId="0" fontId="22" fillId="8" borderId="0" xfId="38">
      <alignment horizontal="left" vertical="center" indent="1"/>
    </xf>
    <xf numFmtId="0" fontId="43" fillId="13" borderId="8" xfId="40">
      <alignment horizontal="left" vertical="center"/>
    </xf>
    <xf numFmtId="0" fontId="0" fillId="4" borderId="0" xfId="0" applyFill="1"/>
    <xf numFmtId="2" fontId="30"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29" fillId="4" borderId="0" xfId="0" applyFont="1" applyFill="1"/>
    <xf numFmtId="2" fontId="30" fillId="4" borderId="0" xfId="0" applyNumberFormat="1" applyFont="1" applyFill="1"/>
    <xf numFmtId="0" fontId="6" fillId="4" borderId="0" xfId="12" applyAlignment="1">
      <alignment horizontal="left" indent="1"/>
    </xf>
    <xf numFmtId="0" fontId="30" fillId="4" borderId="1" xfId="0" applyFont="1" applyFill="1" applyBorder="1"/>
    <xf numFmtId="0" fontId="38" fillId="4" borderId="0" xfId="8" applyAlignment="1">
      <alignment horizontal="right" vertical="center"/>
    </xf>
    <xf numFmtId="0" fontId="2" fillId="0" borderId="2" xfId="14">
      <alignment horizontal="center" vertical="center"/>
    </xf>
    <xf numFmtId="0" fontId="27" fillId="4" borderId="0" xfId="7" applyFont="1" applyAlignment="1">
      <alignment horizontal="center" vertical="center"/>
    </xf>
    <xf numFmtId="166" fontId="27"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13" fillId="6" borderId="0" xfId="29">
      <alignment horizontal="center" vertical="center"/>
      <protection locked="0"/>
    </xf>
    <xf numFmtId="0" fontId="36" fillId="0" borderId="0" xfId="5" applyFill="1">
      <alignment horizontal="left" vertical="center"/>
    </xf>
    <xf numFmtId="0" fontId="41" fillId="0" borderId="0" xfId="6" applyFill="1">
      <alignment vertical="center"/>
    </xf>
    <xf numFmtId="0" fontId="38" fillId="0" borderId="0" xfId="8" applyFill="1">
      <alignment horizontal="left" vertical="center"/>
    </xf>
    <xf numFmtId="0" fontId="9" fillId="0" borderId="0" xfId="12" applyFont="1" applyFill="1" applyAlignment="1">
      <alignment horizontal="left" vertical="center"/>
    </xf>
    <xf numFmtId="0" fontId="35" fillId="0" borderId="0" xfId="0" applyFont="1"/>
    <xf numFmtId="0" fontId="38" fillId="4" borderId="1" xfId="8" applyBorder="1">
      <alignment horizontal="left" vertical="center"/>
    </xf>
    <xf numFmtId="4" fontId="26" fillId="0" borderId="0" xfId="17" applyFont="1" applyBorder="1">
      <alignment horizontal="center"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3" fillId="4" borderId="2" xfId="54">
      <alignment horizontal="center" vertical="center"/>
    </xf>
    <xf numFmtId="0" fontId="39" fillId="4" borderId="0" xfId="8" applyFont="1">
      <alignment horizontal="left" vertical="center"/>
    </xf>
    <xf numFmtId="0" fontId="6" fillId="4" borderId="0" xfId="55">
      <alignment horizontal="left" vertical="center"/>
    </xf>
    <xf numFmtId="0" fontId="40" fillId="4" borderId="0" xfId="56">
      <alignment horizontal="left" vertical="center"/>
    </xf>
    <xf numFmtId="0" fontId="10" fillId="0" borderId="0" xfId="57"/>
    <xf numFmtId="0" fontId="33" fillId="4" borderId="2" xfId="54" applyAlignment="1">
      <alignment horizontal="left" vertical="center"/>
    </xf>
    <xf numFmtId="0" fontId="33" fillId="4" borderId="7" xfId="54" applyBorder="1" applyAlignment="1">
      <alignment horizontal="left" vertical="center"/>
    </xf>
    <xf numFmtId="0" fontId="0" fillId="4" borderId="0" xfId="7" applyFont="1">
      <alignment horizontal="left" vertical="center"/>
    </xf>
    <xf numFmtId="0" fontId="13" fillId="6" borderId="0" xfId="28">
      <alignment horizontal="left" vertical="center" indent="1"/>
    </xf>
    <xf numFmtId="168" fontId="2" fillId="0" borderId="2" xfId="43">
      <alignment horizontal="center" vertical="center"/>
    </xf>
    <xf numFmtId="0" fontId="2" fillId="0" borderId="0" xfId="7" applyFont="1" applyFill="1" applyAlignment="1">
      <alignment horizontal="left" vertical="center" indent="1"/>
    </xf>
    <xf numFmtId="0" fontId="2" fillId="0" borderId="2" xfId="58">
      <alignment horizontal="center" vertical="center"/>
    </xf>
    <xf numFmtId="0" fontId="42" fillId="0" borderId="0" xfId="34" applyFont="1">
      <alignment horizontal="left" vertical="center" indent="1"/>
    </xf>
    <xf numFmtId="0" fontId="11" fillId="0" borderId="0" xfId="32"/>
    <xf numFmtId="0" fontId="22" fillId="10" borderId="0" xfId="36">
      <alignment horizontal="left" vertical="center" indent="1"/>
    </xf>
    <xf numFmtId="0" fontId="3" fillId="4" borderId="3" xfId="7" applyBorder="1">
      <alignment horizontal="left" vertical="center"/>
    </xf>
    <xf numFmtId="166" fontId="33" fillId="4" borderId="2" xfId="42" applyNumberFormat="1">
      <alignment horizontal="center" vertical="center"/>
    </xf>
    <xf numFmtId="0" fontId="27" fillId="4" borderId="0" xfId="0" applyFont="1" applyFill="1" applyAlignment="1">
      <alignment horizontal="center" vertical="center"/>
    </xf>
    <xf numFmtId="0" fontId="28" fillId="4" borderId="0" xfId="0" applyFont="1" applyFill="1" applyAlignment="1">
      <alignment horizontal="center" vertical="center"/>
    </xf>
    <xf numFmtId="0" fontId="28" fillId="4" borderId="0" xfId="0" applyFont="1" applyFill="1" applyAlignment="1">
      <alignment horizontal="left" vertical="center"/>
    </xf>
    <xf numFmtId="14" fontId="3" fillId="4" borderId="0" xfId="7" applyNumberFormat="1">
      <alignment horizontal="left" vertical="center"/>
    </xf>
    <xf numFmtId="0" fontId="18" fillId="4" borderId="0" xfId="33" applyFill="1" applyBorder="1"/>
    <xf numFmtId="166" fontId="2" fillId="4" borderId="0" xfId="18" applyNumberFormat="1" applyFill="1" applyBorder="1">
      <alignment horizontal="center" vertical="center"/>
    </xf>
    <xf numFmtId="167" fontId="3" fillId="4" borderId="0" xfId="41" applyNumberFormat="1" applyFont="1" applyFill="1" applyBorder="1" applyAlignment="1">
      <alignment horizontal="center" vertical="center"/>
    </xf>
    <xf numFmtId="0" fontId="31" fillId="4" borderId="0" xfId="0" applyFont="1" applyFill="1"/>
    <xf numFmtId="0" fontId="43" fillId="13" borderId="10" xfId="40" applyBorder="1">
      <alignment horizontal="left" vertical="center"/>
    </xf>
    <xf numFmtId="0" fontId="43" fillId="13" borderId="12" xfId="40" applyBorder="1">
      <alignment horizontal="left" vertical="center"/>
    </xf>
    <xf numFmtId="0" fontId="43" fillId="13" borderId="14" xfId="40" applyBorder="1">
      <alignment horizontal="left" vertical="center"/>
    </xf>
    <xf numFmtId="0" fontId="43" fillId="13" borderId="13" xfId="40" applyBorder="1">
      <alignment horizontal="left" vertical="center"/>
    </xf>
    <xf numFmtId="0" fontId="43" fillId="13" borderId="15" xfId="40" applyBorder="1">
      <alignment horizontal="left" vertical="center"/>
    </xf>
    <xf numFmtId="0" fontId="43" fillId="13" borderId="17" xfId="40" applyBorder="1">
      <alignment horizontal="left" vertical="center"/>
    </xf>
    <xf numFmtId="0" fontId="43" fillId="13" borderId="11" xfId="40" applyBorder="1">
      <alignment horizontal="left" vertical="center"/>
    </xf>
    <xf numFmtId="0" fontId="43" fillId="13" borderId="16" xfId="40" applyBorder="1">
      <alignment horizontal="left" vertical="center"/>
    </xf>
    <xf numFmtId="0" fontId="43" fillId="13" borderId="18" xfId="40" applyBorder="1">
      <alignment horizontal="left" vertical="center"/>
    </xf>
    <xf numFmtId="0" fontId="0" fillId="0" borderId="0" xfId="1" applyFont="1" applyFill="1">
      <alignment horizontal="left" vertical="center" indent="1"/>
      <protection locked="0"/>
    </xf>
    <xf numFmtId="0" fontId="47" fillId="4" borderId="0" xfId="60">
      <alignment horizontal="left" vertical="center"/>
    </xf>
    <xf numFmtId="0" fontId="46" fillId="4" borderId="0" xfId="59">
      <alignment horizontal="left" vertical="center"/>
    </xf>
    <xf numFmtId="3" fontId="2" fillId="0" borderId="2" xfId="18">
      <alignment horizontal="center" vertical="center"/>
    </xf>
    <xf numFmtId="3" fontId="33" fillId="4" borderId="2" xfId="54" applyNumberFormat="1">
      <alignment horizontal="center" vertical="center"/>
    </xf>
    <xf numFmtId="0" fontId="48" fillId="4" borderId="1" xfId="8" applyFont="1" applyBorder="1">
      <alignment horizontal="left" vertical="center"/>
    </xf>
    <xf numFmtId="0" fontId="49" fillId="4" borderId="1" xfId="8" applyFont="1" applyBorder="1">
      <alignment horizontal="left" vertical="center"/>
    </xf>
    <xf numFmtId="0" fontId="50" fillId="4" borderId="1" xfId="55" applyFont="1" applyBorder="1">
      <alignment horizontal="left" vertical="center"/>
    </xf>
    <xf numFmtId="0" fontId="33" fillId="4" borderId="19" xfId="54" applyBorder="1">
      <alignment horizontal="center" vertical="center"/>
    </xf>
    <xf numFmtId="0" fontId="6" fillId="4" borderId="1" xfId="55" applyBorder="1">
      <alignment horizontal="left" vertical="center"/>
    </xf>
    <xf numFmtId="0" fontId="53" fillId="4" borderId="0" xfId="61">
      <alignment horizontal="left" vertical="center"/>
    </xf>
    <xf numFmtId="0" fontId="54" fillId="2" borderId="0" xfId="8" applyFont="1" applyFill="1">
      <alignment horizontal="left" vertical="center"/>
    </xf>
    <xf numFmtId="0" fontId="43" fillId="13" borderId="9" xfId="40" applyBorder="1">
      <alignment horizontal="left" vertical="center"/>
    </xf>
    <xf numFmtId="9" fontId="8" fillId="4" borderId="0" xfId="11">
      <alignment horizontal="center" vertical="center"/>
    </xf>
    <xf numFmtId="164" fontId="8" fillId="4" borderId="0" xfId="10">
      <alignment horizontal="center" vertical="center"/>
    </xf>
    <xf numFmtId="2" fontId="30" fillId="4" borderId="1" xfId="0" applyNumberFormat="1" applyFont="1" applyFill="1" applyBorder="1" applyAlignment="1">
      <alignment horizontal="center"/>
    </xf>
    <xf numFmtId="0" fontId="45" fillId="11" borderId="0" xfId="62">
      <alignment horizontal="center" vertical="center"/>
    </xf>
    <xf numFmtId="0" fontId="22" fillId="11" borderId="0" xfId="63">
      <alignment horizontal="left" vertical="center" indent="1"/>
    </xf>
    <xf numFmtId="0" fontId="56" fillId="0" borderId="0" xfId="2" applyFont="1"/>
    <xf numFmtId="0" fontId="57" fillId="14" borderId="2" xfId="64">
      <alignment horizontal="center" vertical="center"/>
    </xf>
    <xf numFmtId="0" fontId="58" fillId="15" borderId="2" xfId="65">
      <alignment horizontal="center" vertical="center"/>
    </xf>
    <xf numFmtId="0" fontId="33" fillId="4" borderId="2" xfId="66">
      <alignment horizontal="left" vertical="center"/>
    </xf>
    <xf numFmtId="0" fontId="59" fillId="4" borderId="2" xfId="67">
      <alignment horizontal="left" vertical="center"/>
    </xf>
    <xf numFmtId="0" fontId="33" fillId="4" borderId="6" xfId="66" applyBorder="1">
      <alignment horizontal="left" vertical="center"/>
    </xf>
    <xf numFmtId="0" fontId="33" fillId="4" borderId="7" xfId="66" applyBorder="1">
      <alignment horizontal="left" vertical="center"/>
    </xf>
    <xf numFmtId="0" fontId="60" fillId="9" borderId="0" xfId="32" applyFont="1" applyFill="1"/>
    <xf numFmtId="0" fontId="38" fillId="9" borderId="0" xfId="8" applyFill="1">
      <alignment horizontal="left" vertical="center"/>
    </xf>
    <xf numFmtId="0" fontId="17" fillId="11" borderId="0" xfId="31" applyFill="1">
      <alignment vertical="center"/>
    </xf>
    <xf numFmtId="0" fontId="43" fillId="13" borderId="20" xfId="40" applyBorder="1">
      <alignment horizontal="left" vertical="center"/>
    </xf>
    <xf numFmtId="0" fontId="44" fillId="13" borderId="21" xfId="40" applyFont="1" applyBorder="1">
      <alignment horizontal="left" vertical="center"/>
    </xf>
    <xf numFmtId="0" fontId="43" fillId="13" borderId="21" xfId="40" applyBorder="1">
      <alignment horizontal="left" vertical="center"/>
    </xf>
  </cellXfs>
  <cellStyles count="68">
    <cellStyle name="Alert" xfId="61" xr:uid="{34EFE908-8095-4010-8F93-8CFE88055637}"/>
    <cellStyle name="Arguments" xfId="66" xr:uid="{A98BE7F9-9AF1-41BC-93A1-04622A5983FD}"/>
    <cellStyle name="Arguments hyperlink" xfId="67" xr:uid="{5B3BC2F2-D301-4F3B-B97E-D17F59423576}"/>
    <cellStyle name="Block heading" xfId="5" xr:uid="{74527274-3B4A-494A-B37C-EA50686E114C}"/>
    <cellStyle name="Block subheading" xfId="49" xr:uid="{34E62905-A3E0-4883-B81A-BDB58FC88DA7}"/>
    <cellStyle name="Code" xfId="24" xr:uid="{99B3520F-01DD-4F8E-A8D0-24EAA04E90EB}"/>
    <cellStyle name="Comma" xfId="41" builtinId="3"/>
    <cellStyle name="Content bold" xfId="7" xr:uid="{468A1381-682E-4BF1-945B-DF2E2BCA4419}"/>
    <cellStyle name="Content bold total" xfId="27" xr:uid="{17159E75-EF9F-42B8-8195-E83583796F67}"/>
    <cellStyle name="Content hidden" xfId="52"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3" builtinId="8"/>
    <cellStyle name="Information tip" xfId="40" xr:uid="{7D200D09-32E3-4546-9822-1B93AD118A74}"/>
    <cellStyle name="Information variation" xfId="56" xr:uid="{205494A3-14DD-4E6A-BDD3-5C5A864D6FA7}"/>
    <cellStyle name="Input block subheading" xfId="30" xr:uid="{A9FEBDB0-0992-4E30-96E5-9F9CAE92E3FB}"/>
    <cellStyle name="Input date" xfId="43" xr:uid="{A1D72D5E-DCF3-445F-8FC0-A147E105D774}"/>
    <cellStyle name="Input date calculated" xfId="47" xr:uid="{5A42AD0E-F665-46A9-9757-6B6A4BE7013E}"/>
    <cellStyle name="Input number 2 decimal places" xfId="17" xr:uid="{F9671E40-5700-4055-A6D2-272CF9DB620E}"/>
    <cellStyle name="Input number 2 decimal places calculated" xfId="48" xr:uid="{C04BA53C-14E1-48A5-99A3-C9FD44741A2A}"/>
    <cellStyle name="Input number 3 decimal places calculated" xfId="51" xr:uid="{637E6039-0A01-48EF-8C15-C29A497EF449}"/>
    <cellStyle name="Input number 3 decimal places disabled" xfId="22" xr:uid="{6B1B6177-B1C0-4190-858F-6E4C823402C3}"/>
    <cellStyle name="Input number 6 decimal places calculated" xfId="53" xr:uid="{CE70A7A2-3CEE-4689-8FF6-8EB6FCE0A94C}"/>
    <cellStyle name="Input number general" xfId="58" xr:uid="{D8583F7D-F13A-4EA8-BAA6-B42739FDBDDB}"/>
    <cellStyle name="Input number general calculated" xfId="54" xr:uid="{34755FEB-6E4E-4BD7-A478-DF7299A7A914}"/>
    <cellStyle name="Input number no decimals" xfId="18" xr:uid="{B33B4FB5-F3F4-4036-B2DD-663B694E2A90}"/>
    <cellStyle name="Input number no decimals calculated" xfId="42" xr:uid="{5A48F48F-03B2-410E-887B-2A9297006BAF}"/>
    <cellStyle name="Input number no decimals disabled" xfId="23" xr:uid="{7ABDCB2D-7703-4392-9553-5620789B1E19}"/>
    <cellStyle name="Input number percent disabled" xfId="21" xr:uid="{D0E8B42E-13A8-477C-99CB-5FF73C5BBAA4}"/>
    <cellStyle name="Input page heading" xfId="32" xr:uid="{74FB9B3B-4B5B-4B7F-A54C-22E0724783C8}"/>
    <cellStyle name="Input page section heading" xfId="31" xr:uid="{1A05B367-BE5D-4E2B-9831-A28D5CFAC8EC}"/>
    <cellStyle name="Input percent" xfId="16" xr:uid="{923E56A7-7902-46CD-9AA8-0D69F2E1ECA1}"/>
    <cellStyle name="Input select" xfId="15" xr:uid="{3CF2E653-7F22-4996-ABB9-95CA16698B1F}"/>
    <cellStyle name="Input select disabled" xfId="20" xr:uid="{5CE680CC-504C-444D-8337-CF97D9BB5A78}"/>
    <cellStyle name="Input table column header" xfId="29" xr:uid="{EF98B018-1246-451D-91C2-97FCD443EDC9}"/>
    <cellStyle name="Input table header" xfId="28" xr:uid="{04872377-9FDD-4D5A-91FC-B9D8DA1E8E91}"/>
    <cellStyle name="Input text" xfId="14" xr:uid="{4C71A4C5-ADD8-4A09-A7FE-940DA96821F6}"/>
    <cellStyle name="Input text calculated" xfId="50" xr:uid="{43DCF082-1F0D-4E07-9785-CAF41B37CFCC}"/>
    <cellStyle name="Input text disabled" xfId="19" xr:uid="{79E76B35-E5FF-43A1-B0D0-016F346F8B97}"/>
    <cellStyle name="Menu link child" xfId="39" xr:uid="{609090D3-DE1E-48FE-A8AA-233CE9B146E0}"/>
    <cellStyle name="Menu link default" xfId="34" xr:uid="{11B84453-1DD4-492A-B241-FE6AD4CB25FA}"/>
    <cellStyle name="Menu link selected" xfId="36" xr:uid="{B16EBA6F-62C4-483F-8E15-B20D06ABF61F}"/>
    <cellStyle name="Menu link selected equations" xfId="38" xr:uid="{7AFCC545-C221-4BAC-933E-19109D0FB654}"/>
    <cellStyle name="Menu link selected input" xfId="37" xr:uid="{17D327F4-9149-4DAC-85BB-811698090830}"/>
    <cellStyle name="Menu link selected results" xfId="63" xr:uid="{0DC56464-F1A3-42A3-BF89-514E2163E7F0}"/>
    <cellStyle name="Menu section title" xfId="35" xr:uid="{E2117B15-AE58-4F76-B13B-671D455A4107}"/>
    <cellStyle name="Normal" xfId="0" builtinId="0"/>
    <cellStyle name="Normal 2" xfId="57" xr:uid="{FE64FEFB-54C6-42B4-AA7F-D49670F5ED19}"/>
    <cellStyle name="Normal 2 2" xfId="46" xr:uid="{B8803ACE-513D-4EEF-BBE0-0BB76AE7D7F4}"/>
    <cellStyle name="Normal 4" xfId="44" xr:uid="{99CD1B63-5040-4067-BBD7-470030C57E5D}"/>
    <cellStyle name="Normal 5" xfId="45" xr:uid="{C95BEC9B-545D-4D75-A129-77179ED2BD99}"/>
    <cellStyle name="Number diplsay percent" xfId="11" xr:uid="{2A2547EE-93B6-4F82-A56A-1A45D8712142}"/>
    <cellStyle name="Number display decimal" xfId="10" xr:uid="{D6C655C7-D21F-4B70-8143-4C163C43FE08}"/>
    <cellStyle name="Number display decimal total" xfId="26" xr:uid="{A9378C0C-CCAE-43D1-BC2C-BD4A9766DA0D}"/>
    <cellStyle name="Page heading" xfId="2" xr:uid="{255E304E-A5AB-40F0-8E3A-91C132147F10}"/>
    <cellStyle name="Page section heading" xfId="4" xr:uid="{B654AFF3-28A2-43B8-AE91-E7D2C159A294}"/>
    <cellStyle name="Page source" xfId="3" xr:uid="{35DF92BD-4909-4EA7-B1E6-C0EDAAEB1713}"/>
    <cellStyle name="Results table column header" xfId="62" xr:uid="{A846043F-10AE-4BED-BAA6-90407C977915}"/>
    <cellStyle name="Table description" xfId="60" xr:uid="{8BD2F353-2E3C-42FF-89E9-616E85DC18C5}"/>
    <cellStyle name="Table name" xfId="59" xr:uid="{D56F17A4-9740-44B6-BDDB-150E2C950B8B}"/>
    <cellStyle name="Unit" xfId="12" xr:uid="{90B9E191-F5E0-43AB-A245-D6CA23D4ADFC}"/>
    <cellStyle name="Unit no indent" xfId="55" xr:uid="{2829D020-DAD8-4B7D-9262-450720E27D2B}"/>
    <cellStyle name="Unit total" xfId="25" xr:uid="{65428923-3DAD-47B6-8DDF-0EBD05E7C55B}"/>
    <cellStyle name="Variable type input" xfId="64" xr:uid="{515940C5-98BF-44F7-AAB8-0D7808DD5C6C}"/>
    <cellStyle name="Variable type other" xfId="65" xr:uid="{5D88A237-9D54-45E0-A48E-F67D0639FDE2}"/>
  </cellStyles>
  <dxfs count="76">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i val="0"/>
        <strike val="0"/>
        <condense val="0"/>
        <extend val="0"/>
        <outline val="0"/>
        <shadow val="0"/>
        <u val="none"/>
        <vertAlign val="baseline"/>
        <sz val="11"/>
        <color theme="1"/>
        <name val="Times New Roman"/>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75"/>
      <tableStyleElement type="headerRow" dxfId="74"/>
      <tableStyleElement type="totalRow" dxfId="73"/>
      <tableStyleElement type="firstColumn" dxfId="72"/>
      <tableStyleElement type="firstRowStripe" dxfId="71"/>
      <tableStyleElement type="secondRowStripe" dxfId="70"/>
    </tableStyle>
    <tableStyle name="Equation table" pivot="0" count="6" xr9:uid="{B247698E-E41D-4CCD-AA0A-C14817E9DE65}">
      <tableStyleElement type="wholeTable" dxfId="69"/>
      <tableStyleElement type="headerRow" dxfId="68"/>
      <tableStyleElement type="totalRow" dxfId="67"/>
      <tableStyleElement type="firstColumn" dxfId="66"/>
      <tableStyleElement type="firstRowStripe" dxfId="65"/>
      <tableStyleElement type="secondRowStripe" dxfId="64"/>
    </tableStyle>
    <tableStyle name="Table Style 1" pivot="0" count="0" xr9:uid="{97B370DB-5463-4A31-9160-5A96BD6A559D}"/>
  </tableStyles>
  <colors>
    <mruColors>
      <color rgb="FF0C769E"/>
      <color rgb="FFC44340"/>
      <color rgb="FF008000"/>
      <color rgb="FFFFCCCC"/>
      <color rgb="FFC4433F"/>
      <color rgb="FFE9F2FB"/>
      <color rgb="FF183C1B"/>
      <color rgb="FFB2D498"/>
      <color rgb="FFCC6600"/>
      <color rgb="FF4F47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microsoft.com/office/2017/06/relationships/rdRichValueStructure" Target="richData/rdrichvaluestructure.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theme" Target="theme/theme1.xml"/><Relationship Id="rId17" Type="http://schemas.microsoft.com/office/2017/06/relationships/rdRichValue" Target="richData/rdrichvalue.xml"/><Relationship Id="rId2" Type="http://schemas.openxmlformats.org/officeDocument/2006/relationships/worksheet" Target="worksheets/sheet2.xml"/><Relationship Id="rId16" Type="http://schemas.microsoft.com/office/2022/10/relationships/richValueRel" Target="richData/richValueRel.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sheetMetadata" Target="metadata.xml"/><Relationship Id="rId23" Type="http://schemas.openxmlformats.org/officeDocument/2006/relationships/customXml" Target="../customXml/item3.xml"/><Relationship Id="rId10" Type="http://schemas.openxmlformats.org/officeDocument/2006/relationships/worksheet" Target="worksheets/sheet10.xml"/><Relationship Id="rId19" Type="http://schemas.microsoft.com/office/2017/06/relationships/rdRichValueTypes" Target="richData/rdRichValueTyp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 Id="rId22"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hyperlink" Target="#'3.1.1.1-2 Enteric Methane'!D39"/><Relationship Id="rId1" Type="http://schemas.openxmlformats.org/officeDocument/2006/relationships/hyperlink" Target="#'3.1.1.1-2 Enteric Methane'!D5"/></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3</xdr:col>
      <xdr:colOff>417799</xdr:colOff>
      <xdr:row>7</xdr:row>
      <xdr:rowOff>3136</xdr:rowOff>
    </xdr:from>
    <xdr:ext cx="1928078" cy="505267"/>
    <xdr:sp macro="" textlink="">
      <xdr:nvSpPr>
        <xdr:cNvPr id="2" name="TextBox 1">
          <a:extLst>
            <a:ext uri="{FF2B5EF4-FFF2-40B4-BE49-F238E27FC236}">
              <a16:creationId xmlns:a16="http://schemas.microsoft.com/office/drawing/2014/main" id="{3B503452-64E4-4041-812B-B7191D6DC263}"/>
            </a:ext>
          </a:extLst>
        </xdr:cNvPr>
        <xdr:cNvSpPr txBox="1"/>
      </xdr:nvSpPr>
      <xdr:spPr>
        <a:xfrm>
          <a:off x="3094324" y="1870036"/>
          <a:ext cx="192807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3.1.1.1-2 Enteric Methane</a:t>
          </a:r>
        </a:p>
      </xdr:txBody>
    </xdr:sp>
    <xdr:clientData/>
  </xdr:oneCellAnchor>
  <xdr:twoCellAnchor>
    <xdr:from>
      <xdr:col>3</xdr:col>
      <xdr:colOff>576200</xdr:colOff>
      <xdr:row>9</xdr:row>
      <xdr:rowOff>101310</xdr:rowOff>
    </xdr:from>
    <xdr:to>
      <xdr:col>6</xdr:col>
      <xdr:colOff>256679</xdr:colOff>
      <xdr:row>12</xdr:row>
      <xdr:rowOff>78361</xdr:rowOff>
    </xdr:to>
    <xdr:sp macro="" textlink="'3.1.1.1-2 Enteric Methane'!D5">
      <xdr:nvSpPr>
        <xdr:cNvPr id="16" name="TextBox 15">
          <a:hlinkClick xmlns:r="http://schemas.openxmlformats.org/officeDocument/2006/relationships" r:id="rId1"/>
          <a:extLst>
            <a:ext uri="{FF2B5EF4-FFF2-40B4-BE49-F238E27FC236}">
              <a16:creationId xmlns:a16="http://schemas.microsoft.com/office/drawing/2014/main" id="{A391DA18-C458-4E43-BCCB-7D7FA0C9843E}"/>
            </a:ext>
          </a:extLst>
        </xdr:cNvPr>
        <xdr:cNvSpPr txBox="1"/>
      </xdr:nvSpPr>
      <xdr:spPr>
        <a:xfrm>
          <a:off x="3252725" y="2463510"/>
          <a:ext cx="1509279" cy="720001"/>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9E89661-89DA-46FA-86B0-CDCD39DC2349}" type="TxLink">
            <a:rPr lang="en-US" sz="1000" b="0" i="0" u="none" strike="noStrike">
              <a:solidFill>
                <a:srgbClr val="0C769E"/>
              </a:solidFill>
              <a:latin typeface="Times New Roman"/>
              <a:cs typeface="Times New Roman"/>
            </a:rPr>
            <a:pPr algn="ctr"/>
            <a:t>Daily production of enteric methane</a:t>
          </a:fld>
          <a:endParaRPr lang="en-AU" sz="1000">
            <a:solidFill>
              <a:srgbClr val="0C769E"/>
            </a:solidFill>
          </a:endParaRPr>
        </a:p>
      </xdr:txBody>
    </xdr:sp>
    <xdr:clientData/>
  </xdr:twoCellAnchor>
  <xdr:twoCellAnchor>
    <xdr:from>
      <xdr:col>3</xdr:col>
      <xdr:colOff>576200</xdr:colOff>
      <xdr:row>15</xdr:row>
      <xdr:rowOff>54910</xdr:rowOff>
    </xdr:from>
    <xdr:to>
      <xdr:col>6</xdr:col>
      <xdr:colOff>256679</xdr:colOff>
      <xdr:row>18</xdr:row>
      <xdr:rowOff>27010</xdr:rowOff>
    </xdr:to>
    <xdr:sp macro="" textlink="'3.1.1.1-2 Enteric Methane'!D39">
      <xdr:nvSpPr>
        <xdr:cNvPr id="20" name="TextBox 19">
          <a:hlinkClick xmlns:r="http://schemas.openxmlformats.org/officeDocument/2006/relationships" r:id="rId2"/>
          <a:extLst>
            <a:ext uri="{FF2B5EF4-FFF2-40B4-BE49-F238E27FC236}">
              <a16:creationId xmlns:a16="http://schemas.microsoft.com/office/drawing/2014/main" id="{050A7C22-4BD7-4D52-9D6E-89987EDCC59C}"/>
            </a:ext>
          </a:extLst>
        </xdr:cNvPr>
        <xdr:cNvSpPr txBox="1"/>
      </xdr:nvSpPr>
      <xdr:spPr>
        <a:xfrm>
          <a:off x="3252725" y="3903010"/>
          <a:ext cx="1509279" cy="71505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2A649BA-C7BB-479F-AEE4-BC8BDC600D58}" type="TxLink">
            <a:rPr lang="en-US" sz="1000" b="1" i="0" u="none" strike="noStrike">
              <a:solidFill>
                <a:srgbClr val="0C769E"/>
              </a:solidFill>
              <a:latin typeface="Times New Roman"/>
              <a:cs typeface="Times New Roman"/>
            </a:rPr>
            <a:pPr algn="ctr"/>
            <a:t>Total annual methane production from enteric fermentation in feedlot beef cattle</a:t>
          </a:fld>
          <a:endParaRPr lang="en-AU" sz="1000" b="1">
            <a:solidFill>
              <a:srgbClr val="0C769E"/>
            </a:solidFill>
          </a:endParaRPr>
        </a:p>
      </xdr:txBody>
    </xdr:sp>
    <xdr:clientData/>
  </xdr:twoCellAnchor>
  <xdr:twoCellAnchor>
    <xdr:from>
      <xdr:col>5</xdr:col>
      <xdr:colOff>105291</xdr:colOff>
      <xdr:row>12</xdr:row>
      <xdr:rowOff>84710</xdr:rowOff>
    </xdr:from>
    <xdr:to>
      <xdr:col>5</xdr:col>
      <xdr:colOff>117991</xdr:colOff>
      <xdr:row>15</xdr:row>
      <xdr:rowOff>61259</xdr:rowOff>
    </xdr:to>
    <xdr:cxnSp macro="">
      <xdr:nvCxnSpPr>
        <xdr:cNvPr id="7" name="Connector: Curved 6">
          <a:extLst>
            <a:ext uri="{FF2B5EF4-FFF2-40B4-BE49-F238E27FC236}">
              <a16:creationId xmlns:a16="http://schemas.microsoft.com/office/drawing/2014/main" id="{EEA36610-345A-E469-2064-F09BCE8567FD}"/>
            </a:ext>
          </a:extLst>
        </xdr:cNvPr>
        <xdr:cNvCxnSpPr>
          <a:stCxn id="16" idx="2"/>
          <a:endCxn id="20" idx="0"/>
        </xdr:cNvCxnSpPr>
      </xdr:nvCxnSpPr>
      <xdr:spPr>
        <a:xfrm rot="5400000">
          <a:off x="3647616" y="3543260"/>
          <a:ext cx="719499" cy="1270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10</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3</xdr:col>
      <xdr:colOff>38100</xdr:colOff>
      <xdr:row>7</xdr:row>
      <xdr:rowOff>138112</xdr:rowOff>
    </xdr:from>
    <xdr:ext cx="3209853" cy="194990"/>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C850359A-9E4D-0696-A03E-D3F4FB62C4B4}"/>
                </a:ext>
              </a:extLst>
            </xdr:cNvPr>
            <xdr:cNvSpPr txBox="1"/>
          </xdr:nvSpPr>
          <xdr:spPr>
            <a:xfrm>
              <a:off x="2714625" y="2005012"/>
              <a:ext cx="3209853"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5.11×</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−4.00×</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+2.26×</m:t>
                        </m:r>
                        <m:r>
                          <a:rPr lang="en-AU" sz="1100" i="1">
                            <a:latin typeface="Cambria Math" panose="02040503050406030204" pitchFamily="18" charset="0"/>
                          </a:rPr>
                          <m:t>𝑁𝐷</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 name="TextBox 1">
              <a:extLst>
                <a:ext uri="{FF2B5EF4-FFF2-40B4-BE49-F238E27FC236}">
                  <a16:creationId xmlns:a16="http://schemas.microsoft.com/office/drawing/2014/main" id="{C850359A-9E4D-0696-A03E-D3F4FB62C4B4}"/>
                </a:ext>
              </a:extLst>
            </xdr:cNvPr>
            <xdr:cNvSpPr txBox="1"/>
          </xdr:nvSpPr>
          <xdr:spPr>
            <a:xfrm>
              <a:off x="2714625" y="2005012"/>
              <a:ext cx="3209853"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𝑀_𝑗=(5.11×𝐼_𝑗−4.00×𝐸𝐸_𝑗+2.26×𝑁𝐷𝐹_𝑗 )×10^(−3)</a:t>
              </a:r>
              <a:endParaRPr lang="en-AU" sz="1100"/>
            </a:p>
          </xdr:txBody>
        </xdr:sp>
      </mc:Fallback>
    </mc:AlternateContent>
    <xdr:clientData/>
  </xdr:oneCellAnchor>
  <xdr:oneCellAnchor>
    <xdr:from>
      <xdr:col>3</xdr:col>
      <xdr:colOff>14287</xdr:colOff>
      <xdr:row>41</xdr:row>
      <xdr:rowOff>133350</xdr:rowOff>
    </xdr:from>
    <xdr:ext cx="2256130" cy="33207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DBB4D879-97D2-23CB-EF78-EF8C318CF022}"/>
                </a:ext>
              </a:extLst>
            </xdr:cNvPr>
            <xdr:cNvSpPr txBox="1"/>
          </xdr:nvSpPr>
          <xdr:spPr>
            <a:xfrm>
              <a:off x="2690812" y="10420350"/>
              <a:ext cx="225613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𝑒𝑛𝑡𝑒𝑟𝑖𝑐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sub>
                            </m:sSub>
                          </m:e>
                        </m:d>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DBB4D879-97D2-23CB-EF78-EF8C318CF022}"/>
                </a:ext>
              </a:extLst>
            </xdr:cNvPr>
            <xdr:cNvSpPr txBox="1"/>
          </xdr:nvSpPr>
          <xdr:spPr>
            <a:xfrm>
              <a:off x="2690812" y="10420350"/>
              <a:ext cx="225613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𝐸_𝑒𝑛𝑡𝑒𝑟𝑖𝑐=∑10_𝑗▒(𝐷_𝑗×𝑀_𝑗×𝑁_𝑗 ) ×10^(−3)</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7" xr:uid="{3166EBA0-AB26-48BA-9789-AEA997D57851}" name="Table_SourceData_Feedlot_MCF" displayName="Table_SourceData_Feedlot_MCF" ref="D88:N93" totalsRowShown="0">
  <autoFilter ref="D88:N93" xr:uid="{3166EBA0-AB26-48BA-9789-AEA997D5785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3885FE93-299E-44EB-B503-99C305BD6F41}" name="Treatment stage T">
      <calculatedColumnFormula array="1">Common_InputFunctions.Utility_DisplayArrayInTable(SourceData_Feedlot.SourceData_Feedlot_MCF_Data(), Table_SourceData_Feedlot_MCF[[#Headers],[Treatment stage T]], 0)</calculatedColumnFormula>
    </tableColumn>
    <tableColumn id="2" xr3:uid="{D0E12F95-AC29-47D0-913A-0A0B02931616}" name="MMS m" dataDxfId="63" dataCellStyle="Content normal">
      <calculatedColumnFormula array="1">Common_InputFunctions.Utility_DisplayArrayInTable(SourceData_Feedlot.SourceData_Feedlot_MCF_Data(), Table_SourceData_Feedlot_MCF[[#Headers],[Treatment stage T]], 0)</calculatedColumnFormula>
    </tableColumn>
    <tableColumn id="3" xr3:uid="{E17BE7AB-8FAD-4B5C-9F86-E70E6A00B9B1}" name="NSW" dataDxfId="62" dataCellStyle="Content normal">
      <calculatedColumnFormula array="1">Common_InputFunctions.Utility_DisplayArrayInTable(SourceData_Feedlot.SourceData_Feedlot_MCF_Data(), Table_SourceData_Feedlot_MCF[[#Headers],[Treatment stage T]], 0)</calculatedColumnFormula>
    </tableColumn>
    <tableColumn id="4" xr3:uid="{D4C6F922-2719-4479-B7CC-26C5286F73ED}" name="ACT" dataDxfId="61" dataCellStyle="Content normal">
      <calculatedColumnFormula array="1">Common_InputFunctions.Utility_DisplayArrayInTable(SourceData_Feedlot.SourceData_Feedlot_MCF_Data(), Table_SourceData_Feedlot_MCF[[#Headers],[Treatment stage T]], 0)</calculatedColumnFormula>
    </tableColumn>
    <tableColumn id="5" xr3:uid="{5034DCA1-F046-43BC-A94F-832832E6D634}" name="QLD" dataDxfId="60" dataCellStyle="Content normal">
      <calculatedColumnFormula array="1">Common_InputFunctions.Utility_DisplayArrayInTable(SourceData_Feedlot.SourceData_Feedlot_MCF_Data(), Table_SourceData_Feedlot_MCF[[#Headers],[Treatment stage T]], 0)</calculatedColumnFormula>
    </tableColumn>
    <tableColumn id="6" xr3:uid="{186521AB-DFC2-4E3B-A674-A5382DCC5ACD}" name="NT" dataDxfId="59" dataCellStyle="Content normal">
      <calculatedColumnFormula array="1">Common_InputFunctions.Utility_DisplayArrayInTable(SourceData_Feedlot.SourceData_Feedlot_MCF_Data(), Table_SourceData_Feedlot_MCF[[#Headers],[Treatment stage T]], 0)</calculatedColumnFormula>
    </tableColumn>
    <tableColumn id="7" xr3:uid="{95F9E197-F85F-424A-B68D-774604116729}" name="SA" dataDxfId="58" dataCellStyle="Content normal">
      <calculatedColumnFormula array="1">Common_InputFunctions.Utility_DisplayArrayInTable(SourceData_Feedlot.SourceData_Feedlot_MCF_Data(), Table_SourceData_Feedlot_MCF[[#Headers],[Treatment stage T]], 0)</calculatedColumnFormula>
    </tableColumn>
    <tableColumn id="8" xr3:uid="{A6DDF652-660B-4C41-982D-FECC3B1142AF}" name="VIC" dataDxfId="57" dataCellStyle="Content normal">
      <calculatedColumnFormula array="1">Common_InputFunctions.Utility_DisplayArrayInTable(SourceData_Feedlot.SourceData_Feedlot_MCF_Data(), Table_SourceData_Feedlot_MCF[[#Headers],[Treatment stage T]], 0)</calculatedColumnFormula>
    </tableColumn>
    <tableColumn id="9" xr3:uid="{5163E1D2-D984-4DBA-95A9-1667F628B2D9}" name="WA" dataDxfId="56" dataCellStyle="Content normal">
      <calculatedColumnFormula array="1">Common_InputFunctions.Utility_DisplayArrayInTable(SourceData_Feedlot.SourceData_Feedlot_MCF_Data(), Table_SourceData_Feedlot_MCF[[#Headers],[Treatment stage T]], 0)</calculatedColumnFormula>
    </tableColumn>
    <tableColumn id="10" xr3:uid="{A0E67108-978C-4849-A310-69F8E4739C6D}" name="TAS" dataDxfId="55" dataCellStyle="Content normal">
      <calculatedColumnFormula array="1">Common_InputFunctions.Utility_DisplayArrayInTable(SourceData_Feedlot.SourceData_Feedlot_MCF_Data(), Table_SourceData_Feedlot_MCF[[#Headers],[Treatment stage T]], 0)</calculatedColumnFormula>
    </tableColumn>
    <tableColumn id="11" xr3:uid="{27E929DD-0554-43B8-A58C-34B0A39F2EBA}" name="NIR definition" dataDxfId="54" dataCellStyle="Content normal">
      <calculatedColumnFormula array="1">Common_InputFunctions.Utility_DisplayArrayInTable(SourceData_Feedlot.SourceData_Feedlot_MCF_Data(), Table_SourceData_Feedlot_MCF[[#Headers],[Treatment stage T]], 0)</calculatedColumnFormula>
    </tableColumn>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D5C443B2-EDE2-4250-B2EE-016878D19AD9}" name="Table_SourceData_FeedlotMMS" displayName="Table_SourceData_FeedlotMMS" ref="D27:E32" totalsRowShown="0">
  <autoFilter ref="D27:E32" xr:uid="{D5C443B2-EDE2-4250-B2EE-016878D19AD9}">
    <filterColumn colId="0" hiddenButton="1"/>
    <filterColumn colId="1" hiddenButton="1"/>
  </autoFilter>
  <tableColumns count="2">
    <tableColumn id="1" xr3:uid="{F2B173A3-CADE-4DCA-988D-39EE2392D8DB}" name="MMS"/>
    <tableColumn id="2" xr3:uid="{67006656-167A-4452-9820-88D798B88ADD}" name="Symbol and MMS" dataDxfId="53" dataCellStyle="Content normal"/>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B318E90-60C0-4182-A7EC-FD8430FACD15}" name="Table_SourceData_Feedlot_DietProperties" displayName="Table_SourceData_Feedlot_DietProperties" ref="D66:J78" totalsRowShown="0">
  <autoFilter ref="D66:J78" xr:uid="{8B318E90-60C0-4182-A7EC-FD8430FACD15}">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FDCB848C-205F-48EA-BACF-F54BCD324E05}" name="Feedlot type">
      <calculatedColumnFormula array="1">Common_InputFunctions.Utility_DisplayArrayInTable(SourceData_Feedlot.SourceData_Feedlot_DietProperties_Data(), Table_SourceData_Feedlot_DietProperties[[#Headers],[Feedlot type]], 0)</calculatedColumnFormula>
    </tableColumn>
    <tableColumn id="2" xr3:uid="{3306F917-B06C-4CC9-B1B1-D97D858E6DAA}" name="Nutrient analysis" dataDxfId="52" dataCellStyle="Content normal">
      <calculatedColumnFormula array="1">Common_InputFunctions.Utility_DisplayArrayInTable(SourceData_Feedlot.SourceData_Feedlot_DietProperties_Data(), Table_SourceData_Feedlot_DietProperties[[#Headers],[Feedlot type]], 0)</calculatedColumnFormula>
    </tableColumn>
    <tableColumn id="3" xr3:uid="{F162F7C2-B0FA-499A-BD58-855C4DF97FA8}" name="Unit" dataDxfId="51" dataCellStyle="Content normal">
      <calculatedColumnFormula array="1">Common_InputFunctions.Utility_DisplayArrayInTable(SourceData_Feedlot.SourceData_Feedlot_DietProperties_Data(), Table_SourceData_Feedlot_DietProperties[[#Headers],[Feedlot type]], 0)</calculatedColumnFormula>
    </tableColumn>
    <tableColumn id="4" xr3:uid="{D395A9F5-9A85-4032-A7C1-EC470516DD87}" name="2010-2014" dataDxfId="50" dataCellStyle="Content normal">
      <calculatedColumnFormula array="1">Common_InputFunctions.Utility_DisplayArrayInTable(SourceData_Feedlot.SourceData_Feedlot_DietProperties_Data(), Table_SourceData_Feedlot_DietProperties[[#Headers],[Feedlot type]], 0)</calculatedColumnFormula>
    </tableColumn>
    <tableColumn id="5" xr3:uid="{B149E561-7044-4839-B850-C751ABC364C9}" name="2015-2019" dataDxfId="49" dataCellStyle="Content normal">
      <calculatedColumnFormula array="1">Common_InputFunctions.Utility_DisplayArrayInTable(SourceData_Feedlot.SourceData_Feedlot_DietProperties_Data(), Table_SourceData_Feedlot_DietProperties[[#Headers],[Feedlot type]], 0)</calculatedColumnFormula>
    </tableColumn>
    <tableColumn id="6" xr3:uid="{ECEB8E53-4880-43AE-9D36-F969D05BCB18}" name="2020-2023" dataDxfId="48" dataCellStyle="Content normal">
      <calculatedColumnFormula array="1">Common_InputFunctions.Utility_DisplayArrayInTable(SourceData_Feedlot.SourceData_Feedlot_DietProperties_Data(), Table_SourceData_Feedlot_DietProperties[[#Headers],[Feedlot type]], 0)</calculatedColumnFormula>
    </tableColumn>
    <tableColumn id="7" xr3:uid="{3B7FAEA4-08D7-48B2-9062-7D93639222CC}" name="2020-2023 Converted to fraction" dataDxfId="47" dataCellStyle="Content normal">
      <calculatedColumnFormula array="1">Common_InputFunctions.Utility_DisplayArrayInTable(SourceData_Feedlot.SourceData_Feedlot_DietProperties_Data(), Table_SourceData_Feedlot_DietProperties[[#Headers],[Feedlot type]], 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F6817C83-F195-4AEF-95F6-F63A097B09DF}" name="Table_SourceData_Feedlot_AnimalCharacteristics" displayName="Table_SourceData_Feedlot_AnimalCharacteristics" ref="D49:J58" totalsRowShown="0">
  <autoFilter ref="D49:J58" xr:uid="{F6817C83-F195-4AEF-95F6-F63A097B09DF}">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96F6B4E3-E1EE-445F-9BCE-628B89FC3727}" name="Feedlot type">
      <calculatedColumnFormula array="1">Common_InputFunctions.Utility_DisplayArrayInTable(SourceData_Feedlot.SourceData_Feedlot_AnimalCharacteristics_Data(), Table_SourceData_Feedlot_AnimalCharacteristics[[#Headers],[Feedlot type]], 0)</calculatedColumnFormula>
    </tableColumn>
    <tableColumn id="2" xr3:uid="{6B651FD0-BCF6-4081-8A93-6B21A1D6CA99}" name="Characteristic" dataDxfId="46"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3" xr3:uid="{3F266A2B-76EA-4E95-B049-75B8E4AB351F}" name="Unit" dataDxfId="45"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4" xr3:uid="{15472767-3F72-4A65-88AC-C3242A8E1662}" name="2005-2009" dataDxfId="44"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5" xr3:uid="{5F74A8B9-7EFB-4457-8ADA-5E1ABA9DA889}" name="2010-2014" dataDxfId="43"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6" xr3:uid="{E54F2812-2E8B-41EB-98A8-46890B5B4E13}" name="2015-2019" dataDxfId="42"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7" xr3:uid="{88EEE0E3-F5D0-41DF-80EF-59472377C29A}" name="2020-2023" dataDxfId="41"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BC14F7E2-67E4-43CB-A279-981A74F5A716}" name="Table_SourceData_Feedlot_LengthOfStay" displayName="Table_SourceData_Feedlot_LengthOfStay" ref="D38:E41" totalsRowShown="0">
  <autoFilter ref="D38:E41" xr:uid="{BC14F7E2-67E4-43CB-A279-981A74F5A716}">
    <filterColumn colId="0" hiddenButton="1"/>
    <filterColumn colId="1" hiddenButton="1"/>
  </autoFilter>
  <tableColumns count="2">
    <tableColumn id="1" xr3:uid="{9D472457-4D8B-44ED-9567-B889D058C2F1}" name="Feedlot type">
      <calculatedColumnFormula array="1">Common_InputFunctions.Utility_DisplayArrayInTable(SourceData_Feedlot.SourceData_Feedlot_DurationOfStay_Data(), Table_SourceData_Feedlot_LengthOfStay[[#Headers],[Feedlot type]], 0)</calculatedColumnFormula>
    </tableColumn>
    <tableColumn id="2" xr3:uid="{DA3DA009-634B-4C70-926B-C8FB255EB4DC}" name="Length of stay" dataDxfId="40" dataCellStyle="Content normal">
      <calculatedColumnFormula array="1">Common_InputFunctions.Utility_DisplayArrayInTable(SourceData_Feedlot.SourceData_Feedlot_DurationOfStay_Data(), Table_SourceData_Feedlot_LengthOfStay[[#Headers],[Feedlot type]], 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3CEB4578-E7E8-4AF2-A03C-33ADCE6CD603}" name="Table_SourceData_Feedlot_NO2EFs" displayName="Table_SourceData_Feedlot_NO2EFs" ref="D100:G105" totalsRowShown="0">
  <autoFilter ref="D100:G105" xr:uid="{3CEB4578-E7E8-4AF2-A03C-33ADCE6CD603}">
    <filterColumn colId="0" hiddenButton="1"/>
    <filterColumn colId="1" hiddenButton="1"/>
    <filterColumn colId="2" hiddenButton="1"/>
    <filterColumn colId="3" hiddenButton="1"/>
  </autoFilter>
  <tableColumns count="4">
    <tableColumn id="1" xr3:uid="{C80C08D8-3F48-4E18-98E3-9B53ACB6C6D9}" name="Treatment stage T">
      <calculatedColumnFormula array="1">Common_InputFunctions.Utility_DisplayArrayInTable(SourceData_Feedlot.SourceData_Feedlot_NitrousOxideEFs_Data(), Table_SourceData_Feedlot_NO2EFs[[#Headers],[Treatment stage T]], 0)</calculatedColumnFormula>
    </tableColumn>
    <tableColumn id="2" xr3:uid="{2BCD8589-5CB8-4ED1-AF2B-2866CEF779A8}" name="MMS m" dataDxfId="39" dataCellStyle="Content normal">
      <calculatedColumnFormula array="1">Common_InputFunctions.Utility_DisplayArrayInTable(SourceData_Feedlot.SourceData_Feedlot_NitrousOxideEFs_Data(), Table_SourceData_Feedlot_NO2EFs[[#Headers],[Treatment stage T]], 0)</calculatedColumnFormula>
    </tableColumn>
    <tableColumn id="3" xr3:uid="{51E876CD-83B6-49C8-85DD-E2F427A3DCD0}" name="EF mT" dataDxfId="38" dataCellStyle="Content normal">
      <calculatedColumnFormula array="1">Common_InputFunctions.Utility_DisplayArrayInTable(SourceData_Feedlot.SourceData_Feedlot_NitrousOxideEFs_Data(), Table_SourceData_Feedlot_NO2EFs[[#Headers],[Treatment stage T]], 0)</calculatedColumnFormula>
    </tableColumn>
    <tableColumn id="4" xr3:uid="{BEDEE6BB-8013-495A-8D74-2C8D37558C98}" name="NIR definition" dataDxfId="37" dataCellStyle="Content normal">
      <calculatedColumnFormula array="1">Common_InputFunctions.Utility_DisplayArrayInTable(SourceData_Feedlot.SourceData_Feedlot_NitrousOxideEFs_Data(), Table_SourceData_Feedlot_NO2EFs[[#Headers],[Treatment stage T]], 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100A8309-C0D3-4638-A47B-72840A042D9A}" name="Table_SourceData_Feedlot_FracGASMmT" displayName="Table_SourceData_Feedlot_FracGASMmT" ref="D112:G117" totalsRowShown="0" headerRowDxfId="36" headerRowCellStyle="Content normal" dataCellStyle="Content normal">
  <autoFilter ref="D112:G117" xr:uid="{100A8309-C0D3-4638-A47B-72840A042D9A}">
    <filterColumn colId="0" hiddenButton="1"/>
    <filterColumn colId="1" hiddenButton="1"/>
    <filterColumn colId="2" hiddenButton="1"/>
    <filterColumn colId="3" hiddenButton="1"/>
  </autoFilter>
  <tableColumns count="4">
    <tableColumn id="1" xr3:uid="{C942D71F-5344-4EC8-8256-848EACA75914}" name="Treatment stage T" dataCellStyle="Content normal">
      <calculatedColumnFormula array="1">Common_InputFunctions.Utility_DisplayArrayInTable(SourceData_Feedlot.SourceData_Feedlot_FracNVolatilised_Data(), Table_SourceData_Feedlot_FracGASMmT[[#Headers],[Treatment stage T]], 0)</calculatedColumnFormula>
    </tableColumn>
    <tableColumn id="2" xr3:uid="{2E6FFC59-11A3-4321-8787-BFA864D074E6}" name="MMS m" dataCellStyle="Content normal">
      <calculatedColumnFormula array="1">Common_InputFunctions.Utility_DisplayArrayInTable(SourceData_Feedlot.SourceData_Feedlot_FracNVolatilised_Data(), Table_SourceData_Feedlot_FracGASMmT[[#Headers],[Treatment stage T]], 0)</calculatedColumnFormula>
    </tableColumn>
    <tableColumn id="3" xr3:uid="{D988373F-1DDE-4103-A79F-7BFD8CB1A36F}" name="FracGASMmT" dataCellStyle="Content normal">
      <calculatedColumnFormula array="1">Common_InputFunctions.Utility_DisplayArrayInTable(SourceData_Feedlot.SourceData_Feedlot_FracNVolatilised_Data(), Table_SourceData_Feedlot_FracGASMmT[[#Headers],[Treatment stage T]], 0)</calculatedColumnFormula>
    </tableColumn>
    <tableColumn id="4" xr3:uid="{792AD32E-175F-4DB9-BD9C-D3841F52A638}" name="NIR definition" dataCellStyle="Content normal">
      <calculatedColumnFormula array="1">Common_InputFunctions.Utility_DisplayArrayInTable(SourceData_Feedlot.SourceData_Feedlot_FracNVolatilised_Data(), Table_SourceData_Feedlot_FracGASMmT[[#Headers],[Treatment stage T]], 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F3FE3A-A0B5-47E7-85B2-8426FB75A7C8}" name="Table_SourceData_Feedlot_CropProdSystems" displayName="Table_SourceData_Feedlot_CropProdSystems" ref="G27:G29" totalsRowShown="0">
  <autoFilter ref="G27:G29" xr:uid="{B6F3FE3A-A0B5-47E7-85B2-8426FB75A7C8}">
    <filterColumn colId="0" hiddenButton="1"/>
  </autoFilter>
  <tableColumns count="1">
    <tableColumn id="1" xr3:uid="{488F257E-D7D8-4266-96A1-1EA0C5DDDD42}" name="Production system">
      <calculatedColumnFormula>#REF!</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E172B77-CEA3-430C-84BC-392A64D0B8FF}" name="Table_SourceData_Feedlot_IrrigationMethods" displayName="Table_SourceData_Feedlot_IrrigationMethods" ref="J27:J32" totalsRowShown="0">
  <autoFilter ref="J27:J32" xr:uid="{FE172B77-CEA3-430C-84BC-392A64D0B8FF}">
    <filterColumn colId="0" hiddenButton="1"/>
  </autoFilter>
  <tableColumns count="1">
    <tableColumn id="1" xr3:uid="{A9C33016-6229-4481-B099-D67C87E2584C}" name="Irrigation method"/>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160F4D5-69C3-498B-8768-94305C20B0A7}"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51475CB9-98D1-4367-81FE-766354D03859}" name="State/Territory">
      <calculatedColumnFormula array="1">Common_InputFunctions.Utility_DisplayArrayInTable(Common_SourceData.Common_SourceData_AustralianStatesTerritories_Data(),Table_AustralianStates[[#Headers],[State/Territory]],0)</calculatedColumnFormula>
    </tableColumn>
    <tableColumn id="2" xr3:uid="{E5F4A4C1-F79D-42CE-8C7B-73B43952AF82}" name="Common Name">
      <calculatedColumnFormula array="1">Common_InputFunctions.Utility_DisplayArrayInTable(Common_SourceData.Common_SourceData_AustralianStatesTerritories_Data(),Table_AustralianStates[[#Headers],[State/Territory]],0)</calculatedColumnFormula>
    </tableColumn>
    <tableColumn id="3" xr3:uid="{1ED2BE90-6504-4529-96D4-F2168C2206DB}"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AE790257-56EE-4D3A-9E9F-63BBBD489E9B}" name="Table_WASA4Areas" displayName="Table_WASA4Areas" ref="D20:D30" totalsRowShown="0">
  <autoFilter ref="D20:D30" xr:uid="{5FA81339-C6C8-4D36-BEEA-6C4AEDD9E676}">
    <filterColumn colId="0" hiddenButton="1"/>
  </autoFilter>
  <tableColumns count="1">
    <tableColumn id="1" xr3:uid="{4834DA3C-E2C6-46A6-8B67-669901690AE1}"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C748BD76-E957-4735-8DCC-4AA536F7251B}" name="Table_GWPData" displayName="Table_GWPData" ref="D36:E43" totalsRowShown="0">
  <autoFilter ref="D36:E43" xr:uid="{B8E87A66-3E41-4AD3-925D-01EE21B43D7A}">
    <filterColumn colId="0" hiddenButton="1"/>
    <filterColumn colId="1" hiddenButton="1"/>
  </autoFilter>
  <tableColumns count="2">
    <tableColumn id="1" xr3:uid="{BC533CA1-A19D-4D88-851F-C6B55789EEF0}" name="Gas">
      <calculatedColumnFormula array="1">Common_InputFunctions.Utility_DisplayArrayInTable(Common_SourceData.Common_SourceData_GWP_Data(), Table_GWPData[[#Headers],[Gas]], 0)</calculatedColumnFormula>
    </tableColumn>
    <tableColumn id="2" xr3:uid="{0744ED04-F9F9-4292-9C48-DCEC4CDB7B4B}"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4DA84FD9-456A-4D76-8824-68BDCA1A0242}"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DE8A5F5D-380F-444B-895F-03A04F993303}" name="Gas">
      <calculatedColumnFormula array="1">Common_InputFunctions.Utility_DisplayArrayInTable(Common_SourceData.Common_SourceData_ConvertGasElementalToMolecular_Data(),Table_GasToMolecularConversionFactor[[#Headers],[Gas]], 0)</calculatedColumnFormula>
    </tableColumn>
    <tableColumn id="5" xr3:uid="{04DD10EA-0C74-4AE3-847F-091B6E17E288}" name="Conversion factor">
      <calculatedColumnFormula array="1">Common_InputFunctions.Utility_DisplayArrayInTable(Common_SourceData.Common_SourceData_ConvertGasElementalToMolecular_Data(),Table_GasToMolecularConversionFactor[[#Headers],[Gas]], 0)</calculatedColumnFormula>
    </tableColumn>
    <tableColumn id="2" xr3:uid="{B3B93DCD-8572-498D-8FD9-DE5161A70238}" name="Conversion factor 1">
      <calculatedColumnFormula array="1">Common_InputFunctions.Utility_DisplayArrayInTable(Common_SourceData.Common_SourceData_ConvertGasElementalToMolecular_Data(),Table_GasToMolecularConversionFactor[[#Headers],[Gas]], 0)</calculatedColumnFormula>
    </tableColumn>
    <tableColumn id="3" xr3:uid="{4AEFFF08-7C7F-45E3-BC84-7908AF11C801}" name="Conversion factor 2">
      <calculatedColumnFormula array="1">Common_InputFunctions.Utility_DisplayArrayInTable(Common_SourceData.Common_SourceData_ConvertGasElementalToMolecular_Data(),Table_GasToMolecularConversionFactor[[#Headers],[Gas]], 0)</calculatedColumnFormula>
    </tableColumn>
    <tableColumn id="4" xr3:uid="{C1AE1CC4-4B45-4D28-ACD1-DCB5A0BDE3F5}"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FE2FCFF0-2F5D-46AD-A562-2B5CA89C224F}"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BB64EF18-D941-4F52-A1B2-667BE97CB825}"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98934DD4-8710-4F12-95E3-FF8487499DD5}" name="MAT" totalsRowDxfId="35" totalsRowCellStyle="Content bold">
      <calculatedColumnFormula array="1">Common_InputFunctions.Utility_DisplayArrayInTable(Common_SourceData.Common_SourceData_ClimateZones_Data(), Table_SourceData_ClimateZones[[#Headers],[Climate zone]], 0)</calculatedColumnFormula>
    </tableColumn>
    <tableColumn id="3" xr3:uid="{06CB93CF-EB6F-4172-85A6-ABDCD87EBE4A}" name="MAP" totalsRowDxfId="34" totalsRowCellStyle="Content bold">
      <calculatedColumnFormula array="1">Common_InputFunctions.Utility_DisplayArrayInTable(Common_SourceData.Common_SourceData_ClimateZones_Data(), Table_SourceData_ClimateZones[[#Headers],[Climate zone]], 0)</calculatedColumnFormula>
    </tableColumn>
    <tableColumn id="4" xr3:uid="{9031FFF8-3C81-4F0A-BD57-02808D6AA1A2}" name="Frost days per year" totalsRowDxfId="33" totalsRowCellStyle="Content bold">
      <calculatedColumnFormula array="1">Common_InputFunctions.Utility_DisplayArrayInTable(Common_SourceData.Common_SourceData_ClimateZones_Data(), Table_SourceData_ClimateZones[[#Headers],[Climate zone]], 0)</calculatedColumnFormula>
    </tableColumn>
    <tableColumn id="5" xr3:uid="{BEBBB14D-687E-40D7-8A5C-830F1BF21708}" name="Elevation" totalsRowDxfId="32" totalsRowCellStyle="Content bold">
      <calculatedColumnFormula array="1">Common_InputFunctions.Utility_DisplayArrayInTable(Common_SourceData.Common_SourceData_ClimateZones_Data(), Table_SourceData_ClimateZones[[#Headers],[Climate zone]], 0)</calculatedColumnFormula>
    </tableColumn>
    <tableColumn id="6" xr3:uid="{59D992F0-26FC-4409-8EFD-219C6E95F62E}" name="MAP:PET" totalsRowDxfId="31" totalsRowCellStyle="Content bold">
      <calculatedColumnFormula array="1">Common_InputFunctions.Utility_DisplayArrayInTable(Common_SourceData.Common_SourceData_ClimateZones_Data(), Table_SourceData_ClimateZones[[#Headers],[Climate zone]], 0)</calculatedColumnFormula>
    </tableColumn>
    <tableColumn id="7" xr3:uid="{9E1C5BA7-00D4-456C-BD35-A1A477A849E3}" name="Min temp" totalsRowDxfId="30" totalsRowCellStyle="Content bold">
      <calculatedColumnFormula array="1">Common_InputFunctions.Utility_DisplayArrayInTable(Common_SourceData.Common_SourceData_ClimateZones_Data(), Table_SourceData_ClimateZones[[#Headers],[Climate zone]], 0)</calculatedColumnFormula>
    </tableColumn>
    <tableColumn id="8" xr3:uid="{B7E08E46-7D40-4A1B-85A5-2CBC68950E27}" name="Max temp" totalsRowDxfId="29" totalsRowCellStyle="Content bold">
      <calculatedColumnFormula array="1">Common_InputFunctions.Utility_DisplayArrayInTable(Common_SourceData.Common_SourceData_ClimateZones_Data(), Table_SourceData_ClimateZones[[#Headers],[Climate zone]], 0)</calculatedColumnFormula>
    </tableColumn>
    <tableColumn id="9" xr3:uid="{8DB33ADB-7FE8-4683-A42A-7B517C31FB73}" name="Min rainfall" totalsRowDxfId="28" totalsRowCellStyle="Content bold">
      <calculatedColumnFormula array="1">Common_InputFunctions.Utility_DisplayArrayInTable(Common_SourceData.Common_SourceData_ClimateZones_Data(), Table_SourceData_ClimateZones[[#Headers],[Climate zone]], 0)</calculatedColumnFormula>
    </tableColumn>
    <tableColumn id="10" xr3:uid="{66872F0F-8733-4F0D-BAA4-7FB3E232EC5B}" name="Max rainfall" totalsRowDxfId="27" totalsRowCellStyle="Content bold">
      <calculatedColumnFormula array="1">Common_InputFunctions.Utility_DisplayArrayInTable(Common_SourceData.Common_SourceData_ClimateZones_Data(), Table_SourceData_ClimateZones[[#Headers],[Climate zone]], 0)</calculatedColumnFormula>
    </tableColumn>
    <tableColumn id="11" xr3:uid="{5BE2D3A3-9488-4CDA-A5C9-C914DE17BBDA}" name="Min frost days" totalsRowDxfId="26" totalsRowCellStyle="Content bold">
      <calculatedColumnFormula array="1">Common_InputFunctions.Utility_DisplayArrayInTable(Common_SourceData.Common_SourceData_ClimateZones_Data(), Table_SourceData_ClimateZones[[#Headers],[Climate zone]], 0)</calculatedColumnFormula>
    </tableColumn>
    <tableColumn id="15" xr3:uid="{87A2B35F-81EF-49FE-8E1C-DF65C2C68825}" name="Max frost days" totalsRowDxfId="25" totalsRowCellStyle="Content bold">
      <calculatedColumnFormula array="1">Common_InputFunctions.Utility_DisplayArrayInTable(Common_SourceData.Common_SourceData_ClimateZones_Data(), Table_SourceData_ClimateZones[[#Headers],[Climate zone]], 0)</calculatedColumnFormula>
    </tableColumn>
    <tableColumn id="12" xr3:uid="{511CC549-5A99-4B0F-A28E-3A5AB574B811}" name="Min elevation" totalsRowDxfId="24" totalsRowCellStyle="Content bold">
      <calculatedColumnFormula array="1">Common_InputFunctions.Utility_DisplayArrayInTable(Common_SourceData.Common_SourceData_ClimateZones_Data(), Table_SourceData_ClimateZones[[#Headers],[Climate zone]], 0)</calculatedColumnFormula>
    </tableColumn>
    <tableColumn id="16" xr3:uid="{9C4D55D3-27D4-4F56-AA8B-6A3586706EBF}" name="Max elevation" totalsRowDxfId="23" totalsRowCellStyle="Content bold">
      <calculatedColumnFormula array="1">Common_InputFunctions.Utility_DisplayArrayInTable(Common_SourceData.Common_SourceData_ClimateZones_Data(), Table_SourceData_ClimateZones[[#Headers],[Climate zone]], 0)</calculatedColumnFormula>
    </tableColumn>
    <tableColumn id="13" xr3:uid="{96690360-D247-477E-86B7-F95A760E53DE}" name="Min MAP:PET" totalsRowDxfId="22" totalsRowCellStyle="Content bold">
      <calculatedColumnFormula array="1">Common_InputFunctions.Utility_DisplayArrayInTable(Common_SourceData.Common_SourceData_ClimateZones_Data(), Table_SourceData_ClimateZones[[#Headers],[Climate zone]], 0)</calculatedColumnFormula>
    </tableColumn>
    <tableColumn id="17" xr3:uid="{ADA6D733-164A-4027-9A96-8515CB5C69FD}" name="Max MAP:PET" totalsRowDxfId="21"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84F274C9-B9BB-4501-85EC-CEB9C416829E}"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AD84D891-CBE0-4BBE-A645-C24CA6B914EA}"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BF4189CF-7E91-483C-B1DA-119B7CA28079}" name="Wet or Dry Zone" totalsRowDxfId="20"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C652E3F2-AB22-4ACF-92AA-A6AEB37E80BD}"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C3C0E923-E589-4E34-8701-DB8EC6258A11}" name="Temperature Zone">
      <calculatedColumnFormula array="1">Common_InputFunctions.Utility_DisplayArrayInTable(Common_SourceData.Common_SourceData_TemperatureZones_Data(),Table_SourceData_TemperatureZones[[#Headers],[Temperature Zone]],0)</calculatedColumnFormula>
    </tableColumn>
    <tableColumn id="2" xr3:uid="{2B796427-73F3-481B-866C-FC3D56EAC122}" name="MAT">
      <calculatedColumnFormula array="1">Common_InputFunctions.Utility_DisplayArrayInTable(Common_SourceData.Common_SourceData_TemperatureZones_Data(),Table_SourceData_TemperatureZones[[#Headers],[Temperature Zone]],0)</calculatedColumnFormula>
    </tableColumn>
    <tableColumn id="3" xr3:uid="{72A35A9F-A175-428E-B2EB-AC78527D302C}" name="Min MAT">
      <calculatedColumnFormula array="1">Common_InputFunctions.Utility_DisplayArrayInTable(Common_SourceData.Common_SourceData_TemperatureZones_Data(),Table_SourceData_TemperatureZones[[#Headers],[Temperature Zone]],0)</calculatedColumnFormula>
    </tableColumn>
    <tableColumn id="4" xr3:uid="{CD803C3A-FF96-4FB2-82D8-DF68F7FD4FAF}"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B1B19C0A-7DDB-4C72-962E-11F810EE97D9}"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169E5E8D-C34D-47F5-B252-308C64B2880E}" name="Rainfall Zone">
      <calculatedColumnFormula array="1">Common_InputFunctions.Utility_DisplayArrayInTable(Common_SourceData.Common_SourceData_RainfallZones_Data(),Table_SourceData_RainfallZones[[#Headers],[Rainfall Zone]],0)</calculatedColumnFormula>
    </tableColumn>
    <tableColumn id="2" xr3:uid="{8CFE46F1-75D3-4205-9E55-D423C5463F3F}" name="Annual rainfall">
      <calculatedColumnFormula array="1">Common_InputFunctions.Utility_DisplayArrayInTable(Common_SourceData.Common_SourceData_RainfallZones_Data(),Table_SourceData_RainfallZones[[#Headers],[Rainfall Zone]],0)</calculatedColumnFormula>
    </tableColumn>
    <tableColumn id="3" xr3:uid="{4B1B458B-AD21-49F5-8369-2CD9ED4BD265}" name="Min rainfall">
      <calculatedColumnFormula array="1">Common_InputFunctions.Utility_DisplayArrayInTable(Common_SourceData.Common_SourceData_RainfallZones_Data(),Table_SourceData_RainfallZones[[#Headers],[Rainfall Zone]],0)</calculatedColumnFormula>
    </tableColumn>
    <tableColumn id="4" xr3:uid="{AF4E98C3-D944-414B-AF4E-208AC435F00D}"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AC9C6153-67ED-43A0-BB11-3152817F4A35}"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B82FB12E-F809-4A9A-B37A-85414450FA6F}" name="Leaching Zone">
      <calculatedColumnFormula array="1">Common_InputFunctions.Utility_DisplayArrayInTable(Common_SourceData.Common_SourceData_LeachingZones_Data(), Table_SourceData_LeachingZones[[#Headers],[Leaching Zone]], 0)</calculatedColumnFormula>
    </tableColumn>
    <tableColumn id="2" xr3:uid="{0FD0F4F6-7D42-4B2D-8796-FBB825513B17}"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1164EC0D-8973-4934-B8F1-FE2B07D75D6D}"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FEDF6BC1-FBEA-43D1-BAB8-589DC6D872BB}" name="Data source">
      <calculatedColumnFormula array="1">Common_InputFunctions.Utility_DisplayArrayInTable(Common_SourceData.Common_SourceData_DataScores_Scope3_Data(), Table_SourceData_DataScores_Scope3[[#Headers],[Data source]], 0)</calculatedColumnFormula>
    </tableColumn>
    <tableColumn id="2" xr3:uid="{79475CCF-6312-464A-BB69-601104A11DDF}"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EAACEA5C-382D-4B14-A21A-584728A7A10A}" name="Table_SourceData_FracWET" displayName="Table_SourceData_FracWET" ref="D134:E136" totalsRowShown="0">
  <autoFilter ref="D134:E136" xr:uid="{308E99BE-FE1F-47A4-B2CA-97217277C4E9}">
    <filterColumn colId="0" hiddenButton="1"/>
    <filterColumn colId="1" hiddenButton="1"/>
  </autoFilter>
  <tableColumns count="2">
    <tableColumn id="1" xr3:uid="{1E665611-2A06-4990-943E-3A4799B10AB6}" name="Is in leaching zone">
      <calculatedColumnFormula array="1">Common_InputFunctions.Utility_DisplayArrayInTable(Common_SourceData.Common_SourceData_FracWET_Data(),Table_SourceData_FracWET[[#Headers],[Is in leaching zone]],0)</calculatedColumnFormula>
    </tableColumn>
    <tableColumn id="2" xr3:uid="{134E4DE7-4018-49B4-A248-DB8DC2091153}" name="FracWET" dataDxfId="19">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4954D004-F7FF-487B-8ECC-8B6762D91454}"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6A40F661-DD2F-48D3-BEE9-E870DCD60A1F}" name="Production system j">
      <calculatedColumnFormula array="1">Common_InputFunctions.Utility_DisplayArrayInTable(Common_SourceData.Common_SourceData_EFN2O_Data(), Table_SourceData_Common_EFN2O[[#Headers],[Production system j]], 0)</calculatedColumnFormula>
    </tableColumn>
    <tableColumn id="2" xr3:uid="{DA9A0C1F-9EF4-45CB-83CE-2B2305C02ED1}" name="EFN2O">
      <calculatedColumnFormula array="1">Common_InputFunctions.Utility_DisplayArrayInTable(Common_SourceData.Common_SourceData_EFN2O_Data(), Table_SourceData_Common_EFN2O[[#Headers],[Production system j]], 0)</calculatedColumnFormula>
    </tableColumn>
    <tableColumn id="3" xr3:uid="{962D76BC-C77F-4BA9-B913-0F026AA43412}" name="Production system only">
      <calculatedColumnFormula array="1">Common_InputFunctions.Utility_DisplayArrayInTable(Common_SourceData.Common_SourceData_EFN2O_Data(), Table_SourceData_Common_EFN2O[[#Headers],[Production system j]], 0)</calculatedColumnFormula>
    </tableColumn>
    <tableColumn id="4" xr3:uid="{A3125B9E-6342-4A8E-8C3E-42B994D345EF}" name="Irrigation method">
      <calculatedColumnFormula array="1">Common_InputFunctions.Utility_DisplayArrayInTable(Common_SourceData.Common_SourceData_EFN2O_Data(), Table_SourceData_Common_EFN2O[[#Headers],[Production system j]], 0)</calculatedColumnFormula>
    </tableColumn>
    <tableColumn id="5" xr3:uid="{95E9A13E-A6A1-455A-A238-C6E400DACCB6}"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BA81D7DF-D521-47CD-9997-D2FA82C20439}"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73A046A8-F626-4FF3-907F-4B0DAD89B65D}" name="Irrigation type i">
      <calculatedColumnFormula array="1">Common_InputFunctions.Utility_DisplayArrayInTable(Common_SourceData.Common_SourceData_FracWETIrrigation_Data(), Table_SourceData_FracWETIrrigation[[#Headers],[Irrigation type i]], 0)</calculatedColumnFormula>
    </tableColumn>
    <tableColumn id="2" xr3:uid="{EC56680E-26F7-4CD4-9B4E-8D94050B8B3A}" name="FracWET" dataDxfId="18"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6BF6CDDB-DBF7-4904-BC00-BEC1CE565B2A}"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DBA7DA6D-4FD9-48B7-8692-976739B5EBFA}"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8856FD95-9BF9-4137-9F2E-6A19B9836C4C}" name="EFPRP" dataDxfId="17"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2768C421-456F-43F8-B739-653A2BE4EBEA}"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1FF9A772-EFFC-444F-BBE8-44684CE6962C}" name="Month">
      <calculatedColumnFormula array="1">Common_InputFunctions.Utility_DisplayArrayInTable(Common_SourceData.Common_SourceData_MonthsToSeasons_Data(), Table_SourceData_Common_MonthToSeason[[#Headers],[Month]], 0)</calculatedColumnFormula>
    </tableColumn>
    <tableColumn id="2" xr3:uid="{421B5A67-A1A2-4019-8983-556D10F00BD3}" name="Season" dataDxfId="16"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A0E07D5C-E8D0-4C56-A75B-4F8F7065DEC4}"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56135E2F-47ED-4165-BCE8-E09A9339B6EA}"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4A87C324-8830-481A-BA66-519246FF91B8}" name="MAT (ºC)" dataDxfId="1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98192B9B-A9EF-4BCA-8213-AD89F4FB17D1}" name="Anaerobic lagoon" dataDxfId="1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5DF4811D-6FFB-47B7-9A7A-BD1A91562CF1}" name="Digester / covered lagoons" dataDxfId="1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9C930055-7DE9-48EA-9192-907B77F27A47}" name="Liquid systems" dataDxfId="1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E7D04A66-911D-48C0-B67E-E2E95C60F3DB}" name="Daily spread" dataDxfId="1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09CE292C-B840-4D27-8590-8257B11311C1}" name="Composting (passive windrow)" dataDxfId="1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1227B547-816D-47AC-A539-76F90520D98E}" name="Solid storage" dataDxfId="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BB1F7993-5EA3-44BA-AD58-97AAE49863D8}" name="Pit storage" dataDxfId="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DB863BF6-1410-4A46-8164-4B2A89B2BDC4}" name="Deep litter" dataDxfId="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DED0BC85-C592-41E0-B3A6-CFF080241C64}" name="Poultry manure with bedding" dataDxfId="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4306A651-7FD4-4E5E-9FDA-21CC5A7F4900}" name="Poultry manure without bedding" dataDxfId="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04EBB78D-AEC6-4FC6-9C0E-0A40C564C66F}" name="Direct processing" dataDxfId="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B1AEE62D-B3E4-4300-8533-926546EAB1D2}" name="Direct application" dataDxfId="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E101CAF7-41B1-4308-B1E9-17F4ED339B8B}" name="Pasture range and paddock" dataDxfId="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FC26A283-2E03-4AEC-B940-7DE455FCC417}" name="MAT raw" dataDxfId="1"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2CE6C831-099B-49FD-A2C5-4C34BCDB4A39}"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225AAD2A-CB71-4DC4-987D-F99C09AD1EEA}"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7A889B50-9EC8-44AA-9CB8-C6FD4BE457A4}" name="EFNi &amp; EFN2Oi" dataDxfId="0"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FA4B4DF7-A993-40F2-870A-87A35A1D1CD3}" name="Symbol">
      <calculatedColumnFormula array="1">InputFunctions_Utilities.Utility_DisplayArrayInTable(CommonLivestock_SourceData.SourceData_Livestock_Common_SymbolsMMS_Data(),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InputFunctions_Utilities.Utility_DisplayArrayInTable(CommonLivestock_SourceData.SourceData_Livestock_Common_SymbolsMMS_Data(), Table_Data_MMSSymbols[[#Headers],[Symbol]], 0)</calculatedColumnFormula>
    </tableColumn>
    <tableColumn id="3" xr3:uid="{58D0574C-2490-473B-A8E1-317E3A493B21}" name="Symbol and MMS">
      <calculatedColumnFormula array="1">InputFunctions_Utilities.Utility_DisplayArrayInTable(CommonLivestock_SourceData.SourceData_Livestock_Common_SymbolsMMS_Data(),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82"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8" Type="http://schemas.openxmlformats.org/officeDocument/2006/relationships/table" Target="../tables/table8.xml"/><Relationship Id="rId3" Type="http://schemas.openxmlformats.org/officeDocument/2006/relationships/table" Target="../tables/table3.xml"/><Relationship Id="rId7" Type="http://schemas.openxmlformats.org/officeDocument/2006/relationships/table" Target="../tables/table7.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 Id="rId9" Type="http://schemas.openxmlformats.org/officeDocument/2006/relationships/table" Target="../tables/table9.xml"/></Relationships>
</file>

<file path=xl/worksheets/_rels/sheet8.xml.rels><?xml version="1.0" encoding="UTF-8" standalone="yes"?>
<Relationships xmlns="http://schemas.openxmlformats.org/package/2006/relationships"><Relationship Id="rId8" Type="http://schemas.openxmlformats.org/officeDocument/2006/relationships/table" Target="../tables/table16.xml"/><Relationship Id="rId13" Type="http://schemas.openxmlformats.org/officeDocument/2006/relationships/table" Target="../tables/table21.xml"/><Relationship Id="rId18" Type="http://schemas.openxmlformats.org/officeDocument/2006/relationships/table" Target="../tables/table26.xml"/><Relationship Id="rId3" Type="http://schemas.openxmlformats.org/officeDocument/2006/relationships/table" Target="../tables/table11.xml"/><Relationship Id="rId7" Type="http://schemas.openxmlformats.org/officeDocument/2006/relationships/table" Target="../tables/table15.xml"/><Relationship Id="rId12" Type="http://schemas.openxmlformats.org/officeDocument/2006/relationships/table" Target="../tables/table20.xml"/><Relationship Id="rId17" Type="http://schemas.openxmlformats.org/officeDocument/2006/relationships/table" Target="../tables/table25.xml"/><Relationship Id="rId2" Type="http://schemas.openxmlformats.org/officeDocument/2006/relationships/table" Target="../tables/table10.xml"/><Relationship Id="rId16" Type="http://schemas.openxmlformats.org/officeDocument/2006/relationships/table" Target="../tables/table24.xml"/><Relationship Id="rId1" Type="http://schemas.openxmlformats.org/officeDocument/2006/relationships/printerSettings" Target="../printerSettings/printerSettings3.bin"/><Relationship Id="rId6" Type="http://schemas.openxmlformats.org/officeDocument/2006/relationships/table" Target="../tables/table14.xml"/><Relationship Id="rId11" Type="http://schemas.openxmlformats.org/officeDocument/2006/relationships/table" Target="../tables/table19.xml"/><Relationship Id="rId5" Type="http://schemas.openxmlformats.org/officeDocument/2006/relationships/table" Target="../tables/table13.xml"/><Relationship Id="rId15" Type="http://schemas.openxmlformats.org/officeDocument/2006/relationships/table" Target="../tables/table23.xml"/><Relationship Id="rId10" Type="http://schemas.openxmlformats.org/officeDocument/2006/relationships/table" Target="../tables/table18.xml"/><Relationship Id="rId4" Type="http://schemas.openxmlformats.org/officeDocument/2006/relationships/table" Target="../tables/table12.xml"/><Relationship Id="rId9" Type="http://schemas.openxmlformats.org/officeDocument/2006/relationships/table" Target="../tables/table17.xml"/><Relationship Id="rId14" Type="http://schemas.openxmlformats.org/officeDocument/2006/relationships/table" Target="../tables/table22.xml"/></Relationships>
</file>

<file path=xl/worksheets/_rels/sheet9.xml.rels><?xml version="1.0" encoding="UTF-8" standalone="yes"?>
<Relationships xmlns="http://schemas.openxmlformats.org/package/2006/relationships"><Relationship Id="rId2" Type="http://schemas.openxmlformats.org/officeDocument/2006/relationships/table" Target="../tables/table27.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election activeCell="Z27" sqref="Z27"/>
    </sheetView>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58DA9-14A0-4A7B-BE9B-F61C0C2C127D}">
  <dimension ref="A1:BL82"/>
  <sheetViews>
    <sheetView showGridLines="0" zoomScaleNormal="100" workbookViewId="0"/>
  </sheetViews>
  <sheetFormatPr defaultRowHeight="15" x14ac:dyDescent="0.25"/>
  <cols>
    <col min="1" max="1" width="30.7109375" customWidth="1"/>
    <col min="2" max="3" width="4.7109375" customWidth="1"/>
  </cols>
  <sheetData>
    <row r="1" spans="1:64" ht="30" customHeight="1" x14ac:dyDescent="0.35">
      <c r="A1" s="63" t="e" vm="1">
        <v>#VALUE!</v>
      </c>
      <c r="C1" s="109" t="s">
        <v>175</v>
      </c>
      <c r="D1" s="110"/>
      <c r="E1" s="110"/>
      <c r="F1" s="110"/>
      <c r="G1" s="110"/>
      <c r="H1" s="110"/>
      <c r="I1" s="110"/>
      <c r="J1" s="110"/>
      <c r="K1" s="110"/>
      <c r="L1" s="110"/>
      <c r="M1" s="110"/>
      <c r="N1" s="110"/>
      <c r="O1" s="110"/>
      <c r="P1" s="110"/>
      <c r="Q1" s="110"/>
      <c r="R1" s="110"/>
      <c r="S1" s="110"/>
      <c r="T1" s="110"/>
      <c r="U1" s="110"/>
      <c r="V1" s="110"/>
      <c r="W1" s="110"/>
      <c r="X1" s="110"/>
      <c r="Y1" s="110"/>
      <c r="Z1" s="110"/>
      <c r="AA1" s="110"/>
      <c r="AB1" s="110"/>
      <c r="AC1" s="110"/>
      <c r="AD1" s="110"/>
      <c r="AE1" s="110"/>
      <c r="AF1" s="110"/>
      <c r="AG1" s="110"/>
    </row>
    <row r="2" spans="1:64" ht="20.100000000000001" customHeight="1" x14ac:dyDescent="0.25">
      <c r="A2" s="9"/>
      <c r="C2" s="110"/>
      <c r="D2" s="110"/>
      <c r="E2" s="110"/>
      <c r="F2" s="110"/>
      <c r="G2" s="110"/>
      <c r="H2" s="110"/>
      <c r="I2" s="110"/>
      <c r="J2" s="110"/>
      <c r="K2" s="110"/>
      <c r="L2" s="110"/>
      <c r="M2" s="110"/>
      <c r="N2" s="110"/>
      <c r="O2" s="110"/>
      <c r="P2" s="110"/>
      <c r="Q2" s="110"/>
      <c r="R2" s="110"/>
      <c r="S2" s="110"/>
      <c r="T2" s="110"/>
      <c r="U2" s="110"/>
      <c r="V2" s="110"/>
      <c r="W2" s="110"/>
      <c r="X2" s="110"/>
      <c r="Y2" s="110"/>
      <c r="Z2" s="110"/>
      <c r="AA2" s="110"/>
      <c r="AB2" s="110"/>
      <c r="AC2" s="110"/>
      <c r="AD2" s="110"/>
      <c r="AE2" s="110"/>
      <c r="AF2" s="110"/>
      <c r="AG2" s="110"/>
    </row>
    <row r="3" spans="1:64" ht="20.100000000000001" customHeight="1" x14ac:dyDescent="0.25">
      <c r="A3" s="17" t="str">
        <f>HYPERLINK("#'Home'!A1", "Home")</f>
        <v>Home</v>
      </c>
      <c r="C3" s="111"/>
      <c r="D3" s="111"/>
      <c r="E3" s="111"/>
      <c r="F3" s="111"/>
      <c r="G3" s="111"/>
      <c r="H3" s="111"/>
      <c r="I3" s="111"/>
      <c r="J3" s="111"/>
      <c r="K3" s="111"/>
      <c r="L3" s="111"/>
      <c r="M3" s="111"/>
      <c r="N3" s="111"/>
      <c r="O3" s="111"/>
      <c r="P3" s="111"/>
      <c r="Q3" s="111"/>
      <c r="R3" s="111"/>
      <c r="S3" s="111"/>
      <c r="T3" s="111"/>
      <c r="U3" s="111"/>
      <c r="V3" s="111"/>
      <c r="W3" s="111"/>
      <c r="X3" s="111"/>
      <c r="Y3" s="111"/>
      <c r="Z3" s="111"/>
      <c r="AA3" s="111"/>
      <c r="AB3" s="111"/>
      <c r="AC3" s="111"/>
      <c r="AD3" s="111"/>
      <c r="AE3" s="111"/>
      <c r="AF3" s="111"/>
      <c r="AG3" s="111"/>
      <c r="AH3" s="111"/>
      <c r="AI3" s="111"/>
      <c r="AJ3" s="111"/>
      <c r="AK3" s="111"/>
      <c r="AL3" s="111"/>
      <c r="AM3" s="111"/>
      <c r="AN3" s="111"/>
      <c r="AO3" s="111"/>
      <c r="AP3" s="111"/>
      <c r="AQ3" s="111"/>
      <c r="AR3" s="111"/>
      <c r="AS3" s="111"/>
      <c r="AT3" s="111"/>
      <c r="AU3" s="111"/>
      <c r="AV3" s="111"/>
      <c r="AW3" s="111"/>
      <c r="AX3" s="111"/>
      <c r="AY3" s="111"/>
      <c r="AZ3" s="111"/>
      <c r="BA3" s="111"/>
      <c r="BB3" s="111"/>
      <c r="BC3" s="111"/>
      <c r="BD3" s="111"/>
      <c r="BE3" s="111"/>
      <c r="BF3" s="111"/>
      <c r="BG3" s="111"/>
      <c r="BH3" s="111"/>
      <c r="BI3" s="111"/>
      <c r="BJ3" s="111"/>
      <c r="BK3" s="111"/>
      <c r="BL3" s="111"/>
    </row>
    <row r="4" spans="1:64" ht="20.100000000000001" customHeight="1" x14ac:dyDescent="0.25">
      <c r="A4" s="101" t="str">
        <f>HYPERLINK("#'Overview'!A1", "Overview")</f>
        <v>Overview</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24"/>
      <c r="AI4" s="24"/>
      <c r="AJ4" s="24"/>
      <c r="AK4" s="24"/>
      <c r="AL4" s="24"/>
      <c r="AM4" s="24"/>
      <c r="AN4" s="24"/>
      <c r="AO4" s="24"/>
      <c r="AP4" s="24"/>
      <c r="AQ4" s="24"/>
      <c r="AR4" s="24"/>
      <c r="AS4" s="24"/>
      <c r="AT4" s="24"/>
      <c r="AU4" s="24"/>
      <c r="AV4" s="24"/>
      <c r="AW4" s="24"/>
      <c r="AX4" s="24"/>
      <c r="AY4" s="24"/>
      <c r="AZ4" s="24"/>
      <c r="BA4" s="24"/>
      <c r="BB4" s="24"/>
      <c r="BC4" s="24"/>
      <c r="BD4" s="24"/>
      <c r="BE4" s="24"/>
      <c r="BF4" s="24"/>
      <c r="BG4" s="24"/>
      <c r="BH4" s="24"/>
      <c r="BI4" s="24"/>
      <c r="BJ4" s="24"/>
      <c r="BK4" s="24"/>
      <c r="BL4" s="24"/>
    </row>
    <row r="5" spans="1:64" ht="20.100000000000001" customHeight="1" x14ac:dyDescent="0.25">
      <c r="A5" s="17" t="str">
        <f>HYPERLINK("#'Results'!A1", "Results")</f>
        <v>Results</v>
      </c>
      <c r="C5" s="1"/>
      <c r="D5" s="112" t="s">
        <v>177</v>
      </c>
      <c r="E5" s="112"/>
      <c r="F5" s="112"/>
      <c r="G5" s="112"/>
      <c r="H5" s="112"/>
      <c r="I5" s="96"/>
      <c r="J5" s="79"/>
      <c r="K5" s="79"/>
      <c r="L5" s="79"/>
      <c r="M5" s="79"/>
      <c r="N5" s="79"/>
      <c r="O5" s="75"/>
      <c r="P5" s="1"/>
      <c r="Q5" s="1"/>
      <c r="R5" s="1"/>
      <c r="S5" s="1"/>
      <c r="T5" s="1"/>
      <c r="U5" s="1"/>
      <c r="V5" s="1"/>
      <c r="W5" s="1"/>
      <c r="X5" s="1"/>
      <c r="Y5" s="1"/>
      <c r="Z5" s="1"/>
      <c r="AA5" s="1"/>
      <c r="AB5" s="1"/>
      <c r="AC5" s="1"/>
      <c r="AD5" s="1"/>
      <c r="AE5" s="1"/>
      <c r="AF5" s="1"/>
      <c r="AG5" s="1"/>
      <c r="AH5" s="24"/>
      <c r="AI5" s="24"/>
      <c r="AJ5" s="24"/>
      <c r="AK5" s="24"/>
      <c r="AL5" s="24"/>
      <c r="AM5" s="24"/>
      <c r="AN5" s="24"/>
      <c r="AO5" s="24"/>
      <c r="AP5" s="24"/>
      <c r="AQ5" s="24"/>
      <c r="AR5" s="24"/>
      <c r="AS5" s="24"/>
      <c r="AT5" s="24"/>
      <c r="AU5" s="24"/>
      <c r="AV5" s="24"/>
      <c r="AW5" s="24"/>
      <c r="AX5" s="24"/>
      <c r="AY5" s="24"/>
      <c r="AZ5" s="24"/>
      <c r="BA5" s="24"/>
      <c r="BB5" s="24"/>
      <c r="BC5" s="24"/>
      <c r="BD5" s="24"/>
      <c r="BE5" s="24"/>
      <c r="BF5" s="24"/>
      <c r="BG5" s="24"/>
      <c r="BH5" s="24"/>
      <c r="BI5" s="24"/>
      <c r="BJ5" s="24"/>
      <c r="BK5" s="24"/>
      <c r="BL5" s="24"/>
    </row>
    <row r="6" spans="1:64" ht="20.100000000000001" customHeight="1" x14ac:dyDescent="0.25">
      <c r="A6" s="16"/>
      <c r="C6" s="1"/>
      <c r="D6" s="113" t="s">
        <v>157</v>
      </c>
      <c r="E6" s="114"/>
      <c r="F6" s="114"/>
      <c r="G6" s="114"/>
      <c r="H6" s="114"/>
      <c r="I6" s="81"/>
      <c r="J6" s="78"/>
      <c r="K6" s="78"/>
      <c r="L6" s="78"/>
      <c r="M6" s="78"/>
      <c r="N6" s="78"/>
      <c r="O6" s="76"/>
      <c r="P6" s="1"/>
      <c r="Q6" s="1"/>
      <c r="R6" s="1"/>
      <c r="S6" s="1"/>
      <c r="T6" s="1"/>
      <c r="U6" s="1"/>
      <c r="V6" s="1"/>
      <c r="W6" s="1"/>
      <c r="X6" s="1"/>
      <c r="Y6" s="1"/>
      <c r="Z6" s="1"/>
      <c r="AA6" s="1"/>
      <c r="AB6" s="1"/>
      <c r="AC6" s="1"/>
      <c r="AD6" s="1"/>
      <c r="AE6" s="1"/>
      <c r="AF6" s="1"/>
      <c r="AG6" s="1"/>
      <c r="AH6" s="24"/>
      <c r="AI6" s="24"/>
      <c r="AJ6" s="24"/>
      <c r="AK6" s="24"/>
      <c r="AL6" s="24"/>
      <c r="AM6" s="24"/>
      <c r="AN6" s="24"/>
      <c r="AO6" s="24"/>
      <c r="AP6" s="24"/>
      <c r="AQ6" s="24"/>
      <c r="AR6" s="24"/>
      <c r="AS6" s="24"/>
      <c r="AT6" s="24"/>
      <c r="AU6" s="24"/>
      <c r="AV6" s="24"/>
      <c r="AW6" s="24"/>
      <c r="AX6" s="24"/>
      <c r="AY6" s="24"/>
      <c r="AZ6" s="24"/>
      <c r="BA6" s="24"/>
      <c r="BB6" s="24"/>
      <c r="BC6" s="24"/>
      <c r="BD6" s="24"/>
      <c r="BE6" s="24"/>
      <c r="BF6" s="24"/>
      <c r="BG6" s="24"/>
      <c r="BH6" s="24"/>
      <c r="BI6" s="24"/>
      <c r="BJ6" s="24"/>
      <c r="BK6" s="24"/>
      <c r="BL6" s="24"/>
    </row>
    <row r="7" spans="1:64" ht="20.100000000000001" customHeight="1" x14ac:dyDescent="0.25">
      <c r="A7" s="20" t="s">
        <v>3</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24"/>
      <c r="AI7" s="24"/>
      <c r="AJ7" s="24"/>
      <c r="AK7" s="24"/>
      <c r="AL7" s="24"/>
      <c r="AM7" s="24"/>
      <c r="AN7" s="24"/>
      <c r="AO7" s="24"/>
      <c r="AP7" s="24"/>
      <c r="AQ7" s="24"/>
      <c r="AR7" s="24"/>
      <c r="AS7" s="24"/>
      <c r="AT7" s="24"/>
      <c r="AU7" s="24"/>
      <c r="AV7" s="24"/>
      <c r="AW7" s="24"/>
      <c r="AX7" s="24"/>
      <c r="AY7" s="24"/>
      <c r="AZ7" s="24"/>
      <c r="BA7" s="24"/>
      <c r="BB7" s="24"/>
      <c r="BC7" s="24"/>
      <c r="BD7" s="24"/>
      <c r="BE7" s="24"/>
      <c r="BF7" s="24"/>
      <c r="BG7" s="24"/>
      <c r="BH7" s="24"/>
      <c r="BI7" s="24"/>
      <c r="BJ7" s="24"/>
      <c r="BK7" s="24"/>
      <c r="BL7" s="24"/>
    </row>
    <row r="8" spans="1:64" ht="20.100000000000001" customHeight="1" x14ac:dyDescent="0.25">
      <c r="A8" s="17" t="str">
        <f>HYPERLINK("#'Input - Site'!A1", "Site")</f>
        <v>Site</v>
      </c>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24"/>
      <c r="AI8" s="24"/>
      <c r="AJ8" s="24"/>
      <c r="AK8" s="24"/>
      <c r="AL8" s="24"/>
      <c r="AM8" s="24"/>
      <c r="AN8" s="24"/>
      <c r="AO8" s="24"/>
      <c r="AP8" s="24"/>
      <c r="AQ8" s="24"/>
      <c r="AR8" s="24"/>
      <c r="AS8" s="24"/>
      <c r="AT8" s="24"/>
      <c r="AU8" s="24"/>
      <c r="AV8" s="24"/>
      <c r="AW8" s="24"/>
      <c r="AX8" s="24"/>
      <c r="AY8" s="24"/>
      <c r="AZ8" s="24"/>
      <c r="BA8" s="24"/>
      <c r="BB8" s="24"/>
      <c r="BC8" s="24"/>
      <c r="BD8" s="24"/>
      <c r="BE8" s="24"/>
      <c r="BF8" s="24"/>
      <c r="BG8" s="24"/>
      <c r="BH8" s="24"/>
      <c r="BI8" s="24"/>
      <c r="BJ8" s="24"/>
      <c r="BK8" s="24"/>
      <c r="BL8" s="24"/>
    </row>
    <row r="9" spans="1:64" ht="20.100000000000001" customHeight="1" x14ac:dyDescent="0.25">
      <c r="A9" s="17" t="str">
        <f>HYPERLINK("#'Input - Feedlot'!A1", "Feedlot")</f>
        <v>Feedlot</v>
      </c>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24"/>
      <c r="AI9" s="24"/>
      <c r="AJ9" s="24"/>
      <c r="AK9" s="24"/>
      <c r="AL9" s="24"/>
      <c r="AM9" s="24"/>
      <c r="AN9" s="24"/>
      <c r="AO9" s="24"/>
      <c r="AP9" s="24"/>
      <c r="AQ9" s="24"/>
      <c r="AR9" s="24"/>
      <c r="AS9" s="24"/>
      <c r="AT9" s="24"/>
      <c r="AU9" s="24"/>
      <c r="AV9" s="24"/>
      <c r="AW9" s="24"/>
      <c r="AX9" s="24"/>
      <c r="AY9" s="24"/>
      <c r="AZ9" s="24"/>
      <c r="BA9" s="24"/>
      <c r="BB9" s="24"/>
      <c r="BC9" s="24"/>
      <c r="BD9" s="24"/>
      <c r="BE9" s="24"/>
      <c r="BF9" s="24"/>
      <c r="BG9" s="24"/>
      <c r="BH9" s="24"/>
      <c r="BI9" s="24"/>
      <c r="BJ9" s="24"/>
      <c r="BK9" s="24"/>
      <c r="BL9" s="24"/>
    </row>
    <row r="10" spans="1:64" ht="20.100000000000001" customHeight="1" x14ac:dyDescent="0.25">
      <c r="A10" s="17"/>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24"/>
      <c r="AI10" s="24"/>
      <c r="AJ10" s="24"/>
      <c r="AK10" s="24"/>
      <c r="AL10" s="24"/>
      <c r="AM10" s="24"/>
      <c r="AN10" s="24"/>
      <c r="AO10" s="24"/>
      <c r="AP10" s="24"/>
      <c r="AQ10" s="24"/>
      <c r="AR10" s="24"/>
      <c r="AS10" s="24"/>
      <c r="AT10" s="24"/>
      <c r="AU10" s="24"/>
      <c r="AV10" s="24"/>
      <c r="AW10" s="24"/>
      <c r="AX10" s="24"/>
      <c r="AY10" s="24"/>
      <c r="AZ10" s="24"/>
      <c r="BA10" s="24"/>
      <c r="BB10" s="24"/>
      <c r="BC10" s="24"/>
      <c r="BD10" s="24"/>
      <c r="BE10" s="24"/>
      <c r="BF10" s="24"/>
      <c r="BG10" s="24"/>
      <c r="BH10" s="24"/>
      <c r="BI10" s="24"/>
      <c r="BJ10" s="24"/>
      <c r="BK10" s="24"/>
      <c r="BL10" s="24"/>
    </row>
    <row r="11" spans="1:64" ht="20.100000000000001" customHeight="1" x14ac:dyDescent="0.25">
      <c r="A11" s="19" t="s">
        <v>56</v>
      </c>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24"/>
      <c r="AI11" s="24"/>
      <c r="AJ11" s="24"/>
      <c r="AK11" s="24"/>
      <c r="AL11" s="24"/>
      <c r="AM11" s="24"/>
      <c r="AN11" s="24"/>
      <c r="AO11" s="24"/>
      <c r="AP11" s="24"/>
      <c r="AQ11" s="24"/>
      <c r="AR11" s="24"/>
      <c r="AS11" s="24"/>
      <c r="AT11" s="24"/>
      <c r="AU11" s="24"/>
      <c r="AV11" s="24"/>
      <c r="AW11" s="24"/>
      <c r="AX11" s="24"/>
      <c r="AY11" s="24"/>
      <c r="AZ11" s="24"/>
      <c r="BA11" s="24"/>
      <c r="BB11" s="24"/>
      <c r="BC11" s="24"/>
      <c r="BD11" s="24"/>
      <c r="BE11" s="24"/>
      <c r="BF11" s="24"/>
      <c r="BG11" s="24"/>
      <c r="BH11" s="24"/>
      <c r="BI11" s="24"/>
      <c r="BJ11" s="24"/>
      <c r="BK11" s="24"/>
      <c r="BL11" s="24"/>
    </row>
    <row r="12" spans="1:64" ht="20.100000000000001" customHeight="1" x14ac:dyDescent="0.25">
      <c r="A12" s="17" t="str">
        <f>HYPERLINK("#'3.1.1.1-2 Enteric Methane'!A1", "3.1.1.1-2 Enteric Methane")</f>
        <v>3.1.1.1-2 Enteric Methane</v>
      </c>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24"/>
      <c r="AI12" s="24"/>
      <c r="AJ12" s="24"/>
      <c r="AK12" s="24"/>
      <c r="AL12" s="24"/>
      <c r="AM12" s="24"/>
      <c r="AN12" s="24"/>
      <c r="AO12" s="24"/>
      <c r="AP12" s="24"/>
      <c r="AQ12" s="24"/>
      <c r="AR12" s="24"/>
      <c r="AS12" s="24"/>
      <c r="AT12" s="24"/>
      <c r="AU12" s="24"/>
      <c r="AV12" s="24"/>
      <c r="AW12" s="24"/>
      <c r="AX12" s="24"/>
      <c r="AY12" s="24"/>
      <c r="AZ12" s="24"/>
      <c r="BA12" s="24"/>
      <c r="BB12" s="24"/>
      <c r="BC12" s="24"/>
      <c r="BD12" s="24"/>
      <c r="BE12" s="24"/>
      <c r="BF12" s="24"/>
      <c r="BG12" s="24"/>
      <c r="BH12" s="24"/>
      <c r="BI12" s="24"/>
      <c r="BJ12" s="24"/>
      <c r="BK12" s="24"/>
      <c r="BL12" s="24"/>
    </row>
    <row r="13" spans="1:64" ht="20.100000000000001" customHeight="1" x14ac:dyDescent="0.25">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24"/>
      <c r="AI13" s="24"/>
      <c r="AJ13" s="24"/>
      <c r="AK13" s="24"/>
      <c r="AL13" s="24"/>
      <c r="AM13" s="24"/>
      <c r="AN13" s="24"/>
      <c r="AO13" s="24"/>
      <c r="AP13" s="24"/>
      <c r="AQ13" s="24"/>
      <c r="AR13" s="24"/>
      <c r="AS13" s="24"/>
      <c r="AT13" s="24"/>
      <c r="AU13" s="24"/>
      <c r="AV13" s="24"/>
      <c r="AW13" s="24"/>
      <c r="AX13" s="24"/>
      <c r="AY13" s="24"/>
      <c r="AZ13" s="24"/>
      <c r="BA13" s="24"/>
      <c r="BB13" s="24"/>
      <c r="BC13" s="24"/>
      <c r="BD13" s="24"/>
      <c r="BE13" s="24"/>
      <c r="BF13" s="24"/>
      <c r="BG13" s="24"/>
      <c r="BH13" s="24"/>
      <c r="BI13" s="24"/>
      <c r="BJ13" s="24"/>
      <c r="BK13" s="24"/>
      <c r="BL13" s="24"/>
    </row>
    <row r="14" spans="1:64" ht="20.100000000000001" customHeight="1" x14ac:dyDescent="0.25">
      <c r="A14" s="18" t="s">
        <v>4</v>
      </c>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24"/>
      <c r="AI14" s="24"/>
      <c r="AJ14" s="24"/>
      <c r="AK14" s="24"/>
      <c r="AL14" s="24"/>
      <c r="AM14" s="24"/>
      <c r="AN14" s="24"/>
      <c r="AO14" s="24"/>
      <c r="AP14" s="24"/>
      <c r="AQ14" s="24"/>
      <c r="AR14" s="24"/>
      <c r="AS14" s="24"/>
      <c r="AT14" s="24"/>
      <c r="AU14" s="24"/>
      <c r="AV14" s="24"/>
      <c r="AW14" s="24"/>
      <c r="AX14" s="24"/>
      <c r="AY14" s="24"/>
      <c r="AZ14" s="24"/>
      <c r="BA14" s="24"/>
      <c r="BB14" s="24"/>
      <c r="BC14" s="24"/>
      <c r="BD14" s="24"/>
      <c r="BE14" s="24"/>
      <c r="BF14" s="24"/>
      <c r="BG14" s="24"/>
      <c r="BH14" s="24"/>
      <c r="BI14" s="24"/>
      <c r="BJ14" s="24"/>
      <c r="BK14" s="24"/>
      <c r="BL14" s="24"/>
    </row>
    <row r="15" spans="1:64" ht="20.100000000000001" customHeight="1" x14ac:dyDescent="0.25">
      <c r="A15" s="17" t="str">
        <f>HYPERLINK("#'Constants - Feedlot'!A1", "Constants - Feedlot")</f>
        <v>Constants - Feedlot</v>
      </c>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24"/>
      <c r="AI15" s="24"/>
      <c r="AJ15" s="24"/>
      <c r="AK15" s="24"/>
      <c r="AL15" s="24"/>
      <c r="AM15" s="24"/>
      <c r="AN15" s="24"/>
      <c r="AO15" s="24"/>
      <c r="AP15" s="24"/>
      <c r="AQ15" s="24"/>
      <c r="AR15" s="24"/>
      <c r="AS15" s="24"/>
      <c r="AT15" s="24"/>
      <c r="AU15" s="24"/>
      <c r="AV15" s="24"/>
      <c r="AW15" s="24"/>
      <c r="AX15" s="24"/>
      <c r="AY15" s="24"/>
      <c r="AZ15" s="24"/>
      <c r="BA15" s="24"/>
      <c r="BB15" s="24"/>
      <c r="BC15" s="24"/>
      <c r="BD15" s="24"/>
      <c r="BE15" s="24"/>
      <c r="BF15" s="24"/>
      <c r="BG15" s="24"/>
      <c r="BH15" s="24"/>
      <c r="BI15" s="24"/>
      <c r="BJ15" s="24"/>
      <c r="BK15" s="24"/>
      <c r="BL15" s="24"/>
    </row>
    <row r="16" spans="1:64" ht="20.100000000000001" customHeight="1" x14ac:dyDescent="0.25">
      <c r="A16" s="17" t="str">
        <f>HYPERLINK("#'Constants - Livestock'!A1", "Constants - Livestock")</f>
        <v>Constants - Livestock</v>
      </c>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24"/>
      <c r="AI16" s="24"/>
      <c r="AJ16" s="24"/>
      <c r="AK16" s="24"/>
      <c r="AL16" s="24"/>
      <c r="AM16" s="24"/>
      <c r="AN16" s="24"/>
      <c r="AO16" s="24"/>
      <c r="AP16" s="24"/>
      <c r="AQ16" s="24"/>
      <c r="AR16" s="24"/>
      <c r="AS16" s="24"/>
      <c r="AT16" s="24"/>
      <c r="AU16" s="24"/>
      <c r="AV16" s="24"/>
      <c r="AW16" s="24"/>
      <c r="AX16" s="24"/>
      <c r="AY16" s="24"/>
      <c r="AZ16" s="24"/>
      <c r="BA16" s="24"/>
      <c r="BB16" s="24"/>
      <c r="BC16" s="24"/>
      <c r="BD16" s="24"/>
      <c r="BE16" s="24"/>
      <c r="BF16" s="24"/>
      <c r="BG16" s="24"/>
      <c r="BH16" s="24"/>
      <c r="BI16" s="24"/>
      <c r="BJ16" s="24"/>
      <c r="BK16" s="24"/>
      <c r="BL16" s="24"/>
    </row>
    <row r="17" spans="1:64" ht="20.100000000000001" customHeight="1" x14ac:dyDescent="0.25">
      <c r="A17" s="17" t="str">
        <f>HYPERLINK("#'Constants - Common'!A1", "Constants - Common")</f>
        <v>Constants - Common</v>
      </c>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24"/>
      <c r="AI17" s="24"/>
      <c r="AJ17" s="24"/>
      <c r="AK17" s="24"/>
      <c r="AL17" s="24"/>
      <c r="AM17" s="24"/>
      <c r="AN17" s="24"/>
      <c r="AO17" s="24"/>
      <c r="AP17" s="24"/>
      <c r="AQ17" s="24"/>
      <c r="AR17" s="24"/>
      <c r="AS17" s="24"/>
      <c r="AT17" s="24"/>
      <c r="AU17" s="24"/>
      <c r="AV17" s="24"/>
      <c r="AW17" s="24"/>
      <c r="AX17" s="24"/>
      <c r="AY17" s="24"/>
      <c r="AZ17" s="24"/>
      <c r="BA17" s="24"/>
      <c r="BB17" s="24"/>
      <c r="BC17" s="24"/>
      <c r="BD17" s="24"/>
      <c r="BE17" s="24"/>
      <c r="BF17" s="24"/>
      <c r="BG17" s="24"/>
      <c r="BH17" s="24"/>
      <c r="BI17" s="24"/>
      <c r="BJ17" s="24"/>
      <c r="BK17" s="24"/>
      <c r="BL17" s="24"/>
    </row>
    <row r="18" spans="1:64" ht="20.100000000000001" customHeight="1" x14ac:dyDescent="0.25">
      <c r="A18" s="17" t="str">
        <f>HYPERLINK("#'Acknowledgements'!A1", "Acknowledgements")</f>
        <v>Acknowledgements</v>
      </c>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24"/>
      <c r="AI18" s="24"/>
      <c r="AJ18" s="24"/>
      <c r="AK18" s="24"/>
      <c r="AL18" s="24"/>
      <c r="AM18" s="24"/>
      <c r="AN18" s="24"/>
      <c r="AO18" s="24"/>
      <c r="AP18" s="24"/>
      <c r="AQ18" s="24"/>
      <c r="AR18" s="24"/>
      <c r="AS18" s="24"/>
      <c r="AT18" s="24"/>
      <c r="AU18" s="24"/>
      <c r="AV18" s="24"/>
      <c r="AW18" s="24"/>
      <c r="AX18" s="24"/>
      <c r="AY18" s="24"/>
      <c r="AZ18" s="24"/>
      <c r="BA18" s="24"/>
      <c r="BB18" s="24"/>
      <c r="BC18" s="24"/>
      <c r="BD18" s="24"/>
      <c r="BE18" s="24"/>
      <c r="BF18" s="24"/>
      <c r="BG18" s="24"/>
      <c r="BH18" s="24"/>
      <c r="BI18" s="24"/>
      <c r="BJ18" s="24"/>
      <c r="BK18" s="24"/>
      <c r="BL18" s="24"/>
    </row>
    <row r="19" spans="1:64" ht="20.100000000000001" customHeight="1" x14ac:dyDescent="0.25">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24"/>
      <c r="AI19" s="24"/>
      <c r="AJ19" s="24"/>
      <c r="AK19" s="24"/>
      <c r="AL19" s="24"/>
      <c r="AM19" s="24"/>
      <c r="AN19" s="24"/>
      <c r="AO19" s="24"/>
      <c r="AP19" s="24"/>
      <c r="AQ19" s="24"/>
      <c r="AR19" s="24"/>
      <c r="AS19" s="24"/>
      <c r="AT19" s="24"/>
      <c r="AU19" s="24"/>
      <c r="AV19" s="24"/>
      <c r="AW19" s="24"/>
      <c r="AX19" s="24"/>
      <c r="AY19" s="24"/>
      <c r="AZ19" s="24"/>
      <c r="BA19" s="24"/>
      <c r="BB19" s="24"/>
      <c r="BC19" s="24"/>
      <c r="BD19" s="24"/>
      <c r="BE19" s="24"/>
      <c r="BF19" s="24"/>
      <c r="BG19" s="24"/>
      <c r="BH19" s="24"/>
      <c r="BI19" s="24"/>
      <c r="BJ19" s="24"/>
      <c r="BK19" s="24"/>
      <c r="BL19" s="24"/>
    </row>
    <row r="20" spans="1:64" ht="20.100000000000001" customHeight="1" x14ac:dyDescent="0.25">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24"/>
      <c r="AI20" s="24"/>
      <c r="AJ20" s="24"/>
      <c r="AK20" s="24"/>
      <c r="AL20" s="24"/>
      <c r="AM20" s="24"/>
      <c r="AN20" s="24"/>
      <c r="AO20" s="24"/>
      <c r="AP20" s="24"/>
      <c r="AQ20" s="24"/>
      <c r="AR20" s="24"/>
      <c r="AS20" s="24"/>
      <c r="AT20" s="24"/>
      <c r="AU20" s="24"/>
      <c r="AV20" s="24"/>
      <c r="AW20" s="24"/>
      <c r="AX20" s="24"/>
      <c r="AY20" s="24"/>
      <c r="AZ20" s="24"/>
      <c r="BA20" s="24"/>
      <c r="BB20" s="24"/>
      <c r="BC20" s="24"/>
      <c r="BD20" s="24"/>
      <c r="BE20" s="24"/>
      <c r="BF20" s="24"/>
      <c r="BG20" s="24"/>
      <c r="BH20" s="24"/>
      <c r="BI20" s="24"/>
      <c r="BJ20" s="24"/>
      <c r="BK20" s="24"/>
      <c r="BL20" s="24"/>
    </row>
    <row r="21" spans="1:64" ht="20.100000000000001" customHeight="1" x14ac:dyDescent="0.25">
      <c r="A21" s="17"/>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24"/>
      <c r="AI21" s="24"/>
      <c r="AJ21" s="24"/>
      <c r="AK21" s="24"/>
      <c r="AL21" s="24"/>
      <c r="AM21" s="24"/>
      <c r="AN21" s="24"/>
      <c r="AO21" s="24"/>
      <c r="AP21" s="24"/>
      <c r="AQ21" s="24"/>
      <c r="AR21" s="24"/>
      <c r="AS21" s="24"/>
      <c r="AT21" s="24"/>
      <c r="AU21" s="24"/>
      <c r="AV21" s="24"/>
      <c r="AW21" s="24"/>
      <c r="AX21" s="24"/>
      <c r="AY21" s="24"/>
      <c r="AZ21" s="24"/>
      <c r="BA21" s="24"/>
      <c r="BB21" s="24"/>
      <c r="BC21" s="24"/>
      <c r="BD21" s="24"/>
      <c r="BE21" s="24"/>
      <c r="BF21" s="24"/>
      <c r="BG21" s="24"/>
      <c r="BH21" s="24"/>
      <c r="BI21" s="24"/>
      <c r="BJ21" s="24"/>
      <c r="BK21" s="24"/>
      <c r="BL21" s="24"/>
    </row>
    <row r="22" spans="1:64" ht="20.100000000000001" customHeight="1" x14ac:dyDescent="0.25">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24"/>
      <c r="AI22" s="24"/>
      <c r="AJ22" s="24"/>
      <c r="AK22" s="24"/>
      <c r="AL22" s="24"/>
      <c r="AM22" s="24"/>
      <c r="AN22" s="24"/>
      <c r="AO22" s="24"/>
      <c r="AP22" s="24"/>
      <c r="AQ22" s="24"/>
      <c r="AR22" s="24"/>
      <c r="AS22" s="24"/>
      <c r="AT22" s="24"/>
      <c r="AU22" s="24"/>
      <c r="AV22" s="24"/>
      <c r="AW22" s="24"/>
      <c r="AX22" s="24"/>
      <c r="AY22" s="24"/>
      <c r="AZ22" s="24"/>
      <c r="BA22" s="24"/>
      <c r="BB22" s="24"/>
      <c r="BC22" s="24"/>
      <c r="BD22" s="24"/>
      <c r="BE22" s="24"/>
      <c r="BF22" s="24"/>
      <c r="BG22" s="24"/>
      <c r="BH22" s="24"/>
      <c r="BI22" s="24"/>
      <c r="BJ22" s="24"/>
      <c r="BK22" s="24"/>
      <c r="BL22" s="24"/>
    </row>
    <row r="23" spans="1:64" ht="20.100000000000001" customHeight="1" x14ac:dyDescent="0.25">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24"/>
      <c r="AI23" s="24"/>
      <c r="AJ23" s="24"/>
      <c r="AK23" s="24"/>
      <c r="AL23" s="24"/>
      <c r="AM23" s="24"/>
      <c r="AN23" s="24"/>
      <c r="AO23" s="24"/>
      <c r="AP23" s="24"/>
      <c r="AQ23" s="24"/>
      <c r="AR23" s="24"/>
      <c r="AS23" s="24"/>
      <c r="AT23" s="24"/>
      <c r="AU23" s="24"/>
      <c r="AV23" s="24"/>
      <c r="AW23" s="24"/>
      <c r="AX23" s="24"/>
      <c r="AY23" s="24"/>
      <c r="AZ23" s="24"/>
      <c r="BA23" s="24"/>
      <c r="BB23" s="24"/>
      <c r="BC23" s="24"/>
      <c r="BD23" s="24"/>
      <c r="BE23" s="24"/>
      <c r="BF23" s="24"/>
      <c r="BG23" s="24"/>
      <c r="BH23" s="24"/>
      <c r="BI23" s="24"/>
      <c r="BJ23" s="24"/>
      <c r="BK23" s="24"/>
      <c r="BL23" s="24"/>
    </row>
    <row r="24" spans="1:64" ht="20.100000000000001" customHeight="1" x14ac:dyDescent="0.25">
      <c r="A24" s="17"/>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24"/>
      <c r="AI24" s="24"/>
      <c r="AJ24" s="24"/>
      <c r="AK24" s="24"/>
      <c r="AL24" s="24"/>
      <c r="AM24" s="24"/>
      <c r="AN24" s="24"/>
      <c r="AO24" s="24"/>
      <c r="AP24" s="24"/>
      <c r="AQ24" s="24"/>
      <c r="AR24" s="24"/>
      <c r="AS24" s="24"/>
      <c r="AT24" s="24"/>
      <c r="AU24" s="24"/>
      <c r="AV24" s="24"/>
      <c r="AW24" s="24"/>
      <c r="AX24" s="24"/>
      <c r="AY24" s="24"/>
      <c r="AZ24" s="24"/>
      <c r="BA24" s="24"/>
      <c r="BB24" s="24"/>
      <c r="BC24" s="24"/>
      <c r="BD24" s="24"/>
      <c r="BE24" s="24"/>
      <c r="BF24" s="24"/>
      <c r="BG24" s="24"/>
      <c r="BH24" s="24"/>
      <c r="BI24" s="24"/>
      <c r="BJ24" s="24"/>
      <c r="BK24" s="24"/>
      <c r="BL24" s="24"/>
    </row>
    <row r="25" spans="1:64" ht="20.100000000000001" customHeight="1" x14ac:dyDescent="0.25">
      <c r="A25" s="17"/>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24"/>
      <c r="AI25" s="24"/>
      <c r="AJ25" s="24"/>
      <c r="AK25" s="24"/>
      <c r="AL25" s="24"/>
      <c r="AM25" s="24"/>
      <c r="AN25" s="24"/>
      <c r="AO25" s="24"/>
      <c r="AP25" s="24"/>
      <c r="AQ25" s="24"/>
      <c r="AR25" s="24"/>
      <c r="AS25" s="24"/>
      <c r="AT25" s="24"/>
      <c r="AU25" s="24"/>
      <c r="AV25" s="24"/>
      <c r="AW25" s="24"/>
      <c r="AX25" s="24"/>
      <c r="AY25" s="24"/>
      <c r="AZ25" s="24"/>
      <c r="BA25" s="24"/>
      <c r="BB25" s="24"/>
      <c r="BC25" s="24"/>
      <c r="BD25" s="24"/>
      <c r="BE25" s="24"/>
      <c r="BF25" s="24"/>
      <c r="BG25" s="24"/>
      <c r="BH25" s="24"/>
      <c r="BI25" s="24"/>
      <c r="BJ25" s="24"/>
      <c r="BK25" s="24"/>
      <c r="BL25" s="24"/>
    </row>
    <row r="26" spans="1:64" ht="20.100000000000001" customHeight="1" x14ac:dyDescent="0.25">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24"/>
      <c r="AI26" s="24"/>
      <c r="AJ26" s="24"/>
      <c r="AK26" s="24"/>
      <c r="AL26" s="24"/>
      <c r="AM26" s="24"/>
      <c r="AN26" s="24"/>
      <c r="AO26" s="24"/>
      <c r="AP26" s="24"/>
      <c r="AQ26" s="24"/>
      <c r="AR26" s="24"/>
      <c r="AS26" s="24"/>
      <c r="AT26" s="24"/>
      <c r="AU26" s="24"/>
      <c r="AV26" s="24"/>
      <c r="AW26" s="24"/>
      <c r="AX26" s="24"/>
      <c r="AY26" s="24"/>
      <c r="AZ26" s="24"/>
      <c r="BA26" s="24"/>
      <c r="BB26" s="24"/>
      <c r="BC26" s="24"/>
      <c r="BD26" s="24"/>
      <c r="BE26" s="24"/>
      <c r="BF26" s="24"/>
      <c r="BG26" s="24"/>
      <c r="BH26" s="24"/>
      <c r="BI26" s="24"/>
      <c r="BJ26" s="24"/>
      <c r="BK26" s="24"/>
      <c r="BL26" s="24"/>
    </row>
    <row r="27" spans="1:64" ht="20.100000000000001" customHeight="1" x14ac:dyDescent="0.25">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24"/>
      <c r="AI27" s="24"/>
      <c r="AJ27" s="24"/>
      <c r="AK27" s="24"/>
      <c r="AL27" s="24"/>
      <c r="AM27" s="24"/>
      <c r="AN27" s="24"/>
      <c r="AO27" s="24"/>
      <c r="AP27" s="24"/>
      <c r="AQ27" s="24"/>
      <c r="AR27" s="24"/>
      <c r="AS27" s="24"/>
      <c r="AT27" s="24"/>
      <c r="AU27" s="24"/>
      <c r="AV27" s="24"/>
      <c r="AW27" s="24"/>
      <c r="AX27" s="24"/>
      <c r="AY27" s="24"/>
      <c r="AZ27" s="24"/>
      <c r="BA27" s="24"/>
      <c r="BB27" s="24"/>
      <c r="BC27" s="24"/>
      <c r="BD27" s="24"/>
      <c r="BE27" s="24"/>
      <c r="BF27" s="24"/>
      <c r="BG27" s="24"/>
      <c r="BH27" s="24"/>
      <c r="BI27" s="24"/>
      <c r="BJ27" s="24"/>
      <c r="BK27" s="24"/>
      <c r="BL27" s="24"/>
    </row>
    <row r="28" spans="1:64" ht="20.100000000000001" customHeight="1" x14ac:dyDescent="0.25">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24"/>
      <c r="AI28" s="24"/>
      <c r="AJ28" s="24"/>
      <c r="AK28" s="24"/>
      <c r="AL28" s="24"/>
      <c r="AM28" s="24"/>
      <c r="AN28" s="24"/>
      <c r="AO28" s="24"/>
      <c r="AP28" s="24"/>
      <c r="AQ28" s="24"/>
      <c r="AR28" s="24"/>
      <c r="AS28" s="24"/>
      <c r="AT28" s="24"/>
      <c r="AU28" s="24"/>
      <c r="AV28" s="24"/>
      <c r="AW28" s="24"/>
      <c r="AX28" s="24"/>
      <c r="AY28" s="24"/>
      <c r="AZ28" s="24"/>
      <c r="BA28" s="24"/>
      <c r="BB28" s="24"/>
      <c r="BC28" s="24"/>
      <c r="BD28" s="24"/>
      <c r="BE28" s="24"/>
      <c r="BF28" s="24"/>
      <c r="BG28" s="24"/>
      <c r="BH28" s="24"/>
      <c r="BI28" s="24"/>
      <c r="BJ28" s="24"/>
      <c r="BK28" s="24"/>
      <c r="BL28" s="24"/>
    </row>
    <row r="29" spans="1:64" ht="20.100000000000001" customHeight="1" x14ac:dyDescent="0.25">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24"/>
      <c r="AI29" s="24"/>
      <c r="AJ29" s="24"/>
      <c r="AK29" s="24"/>
      <c r="AL29" s="24"/>
      <c r="AM29" s="24"/>
      <c r="AN29" s="24"/>
      <c r="AO29" s="24"/>
      <c r="AP29" s="24"/>
      <c r="AQ29" s="24"/>
      <c r="AR29" s="24"/>
      <c r="AS29" s="24"/>
      <c r="AT29" s="24"/>
      <c r="AU29" s="24"/>
      <c r="AV29" s="24"/>
      <c r="AW29" s="24"/>
      <c r="AX29" s="24"/>
      <c r="AY29" s="24"/>
      <c r="AZ29" s="24"/>
      <c r="BA29" s="24"/>
      <c r="BB29" s="24"/>
      <c r="BC29" s="24"/>
      <c r="BD29" s="24"/>
      <c r="BE29" s="24"/>
      <c r="BF29" s="24"/>
      <c r="BG29" s="24"/>
      <c r="BH29" s="24"/>
      <c r="BI29" s="24"/>
      <c r="BJ29" s="24"/>
      <c r="BK29" s="24"/>
      <c r="BL29" s="24"/>
    </row>
    <row r="30" spans="1:64" ht="20.100000000000001" customHeight="1" x14ac:dyDescent="0.25">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24"/>
      <c r="AI30" s="24"/>
      <c r="AJ30" s="24"/>
      <c r="AK30" s="24"/>
      <c r="AL30" s="24"/>
      <c r="AM30" s="24"/>
      <c r="AN30" s="24"/>
      <c r="AO30" s="24"/>
      <c r="AP30" s="24"/>
      <c r="AQ30" s="24"/>
      <c r="AR30" s="24"/>
      <c r="AS30" s="24"/>
      <c r="AT30" s="24"/>
      <c r="AU30" s="24"/>
      <c r="AV30" s="24"/>
      <c r="AW30" s="24"/>
      <c r="AX30" s="24"/>
      <c r="AY30" s="24"/>
      <c r="AZ30" s="24"/>
      <c r="BA30" s="24"/>
      <c r="BB30" s="24"/>
      <c r="BC30" s="24"/>
      <c r="BD30" s="24"/>
      <c r="BE30" s="24"/>
      <c r="BF30" s="24"/>
      <c r="BG30" s="24"/>
      <c r="BH30" s="24"/>
      <c r="BI30" s="24"/>
      <c r="BJ30" s="24"/>
      <c r="BK30" s="24"/>
      <c r="BL30" s="24"/>
    </row>
    <row r="31" spans="1:64" ht="20.100000000000001" customHeight="1" x14ac:dyDescent="0.25">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24"/>
      <c r="AI31" s="24"/>
      <c r="AJ31" s="24"/>
      <c r="AK31" s="24"/>
      <c r="AL31" s="24"/>
      <c r="AM31" s="24"/>
      <c r="AN31" s="24"/>
      <c r="AO31" s="24"/>
      <c r="AP31" s="24"/>
      <c r="AQ31" s="24"/>
      <c r="AR31" s="24"/>
      <c r="AS31" s="24"/>
      <c r="AT31" s="24"/>
      <c r="AU31" s="24"/>
      <c r="AV31" s="24"/>
      <c r="AW31" s="24"/>
      <c r="AX31" s="24"/>
      <c r="AY31" s="24"/>
      <c r="AZ31" s="24"/>
      <c r="BA31" s="24"/>
      <c r="BB31" s="24"/>
      <c r="BC31" s="24"/>
      <c r="BD31" s="24"/>
      <c r="BE31" s="24"/>
      <c r="BF31" s="24"/>
      <c r="BG31" s="24"/>
      <c r="BH31" s="24"/>
      <c r="BI31" s="24"/>
      <c r="BJ31" s="24"/>
      <c r="BK31" s="24"/>
      <c r="BL31" s="24"/>
    </row>
    <row r="32" spans="1:64" ht="20.100000000000001" customHeight="1" x14ac:dyDescent="0.25">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24"/>
      <c r="AI32" s="24"/>
      <c r="AJ32" s="24"/>
      <c r="AK32" s="24"/>
      <c r="AL32" s="24"/>
      <c r="AM32" s="24"/>
      <c r="AN32" s="24"/>
      <c r="AO32" s="24"/>
      <c r="AP32" s="24"/>
      <c r="AQ32" s="24"/>
      <c r="AR32" s="24"/>
      <c r="AS32" s="24"/>
      <c r="AT32" s="24"/>
      <c r="AU32" s="24"/>
      <c r="AV32" s="24"/>
      <c r="AW32" s="24"/>
      <c r="AX32" s="24"/>
      <c r="AY32" s="24"/>
      <c r="AZ32" s="24"/>
      <c r="BA32" s="24"/>
      <c r="BB32" s="24"/>
      <c r="BC32" s="24"/>
      <c r="BD32" s="24"/>
      <c r="BE32" s="24"/>
      <c r="BF32" s="24"/>
      <c r="BG32" s="24"/>
      <c r="BH32" s="24"/>
      <c r="BI32" s="24"/>
      <c r="BJ32" s="24"/>
      <c r="BK32" s="24"/>
      <c r="BL32" s="24"/>
    </row>
    <row r="33" spans="3:64" ht="20.100000000000001" customHeight="1" x14ac:dyDescent="0.25">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24"/>
      <c r="AI33" s="24"/>
      <c r="AJ33" s="24"/>
      <c r="AK33" s="24"/>
      <c r="AL33" s="24"/>
      <c r="AM33" s="24"/>
      <c r="AN33" s="24"/>
      <c r="AO33" s="24"/>
      <c r="AP33" s="24"/>
      <c r="AQ33" s="24"/>
      <c r="AR33" s="24"/>
      <c r="AS33" s="24"/>
      <c r="AT33" s="24"/>
      <c r="AU33" s="24"/>
      <c r="AV33" s="24"/>
      <c r="AW33" s="24"/>
      <c r="AX33" s="24"/>
      <c r="AY33" s="24"/>
      <c r="AZ33" s="24"/>
      <c r="BA33" s="24"/>
      <c r="BB33" s="24"/>
      <c r="BC33" s="24"/>
      <c r="BD33" s="24"/>
      <c r="BE33" s="24"/>
      <c r="BF33" s="24"/>
      <c r="BG33" s="24"/>
      <c r="BH33" s="24"/>
      <c r="BI33" s="24"/>
      <c r="BJ33" s="24"/>
      <c r="BK33" s="24"/>
      <c r="BL33" s="24"/>
    </row>
    <row r="34" spans="3:64" ht="20.100000000000001" customHeight="1" x14ac:dyDescent="0.25">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24"/>
      <c r="AI34" s="24"/>
      <c r="AJ34" s="24"/>
      <c r="AK34" s="24"/>
      <c r="AL34" s="24"/>
      <c r="AM34" s="24"/>
      <c r="AN34" s="24"/>
      <c r="AO34" s="24"/>
      <c r="AP34" s="24"/>
      <c r="AQ34" s="24"/>
      <c r="AR34" s="24"/>
      <c r="AS34" s="24"/>
      <c r="AT34" s="24"/>
      <c r="AU34" s="24"/>
      <c r="AV34" s="24"/>
      <c r="AW34" s="24"/>
      <c r="AX34" s="24"/>
      <c r="AY34" s="24"/>
      <c r="AZ34" s="24"/>
      <c r="BA34" s="24"/>
      <c r="BB34" s="24"/>
      <c r="BC34" s="24"/>
      <c r="BD34" s="24"/>
      <c r="BE34" s="24"/>
      <c r="BF34" s="24"/>
      <c r="BG34" s="24"/>
      <c r="BH34" s="24"/>
      <c r="BI34" s="24"/>
      <c r="BJ34" s="24"/>
      <c r="BK34" s="24"/>
      <c r="BL34" s="24"/>
    </row>
    <row r="35" spans="3:64" ht="20.100000000000001" customHeight="1" x14ac:dyDescent="0.25">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24"/>
      <c r="AI35" s="24"/>
      <c r="AJ35" s="24"/>
      <c r="AK35" s="24"/>
      <c r="AL35" s="24"/>
      <c r="AM35" s="24"/>
      <c r="AN35" s="24"/>
      <c r="AO35" s="24"/>
      <c r="AP35" s="24"/>
      <c r="AQ35" s="24"/>
      <c r="AR35" s="24"/>
      <c r="AS35" s="24"/>
      <c r="AT35" s="24"/>
      <c r="AU35" s="24"/>
      <c r="AV35" s="24"/>
      <c r="AW35" s="24"/>
      <c r="AX35" s="24"/>
      <c r="AY35" s="24"/>
      <c r="AZ35" s="24"/>
      <c r="BA35" s="24"/>
      <c r="BB35" s="24"/>
      <c r="BC35" s="24"/>
      <c r="BD35" s="24"/>
      <c r="BE35" s="24"/>
      <c r="BF35" s="24"/>
      <c r="BG35" s="24"/>
      <c r="BH35" s="24"/>
      <c r="BI35" s="24"/>
      <c r="BJ35" s="24"/>
      <c r="BK35" s="24"/>
      <c r="BL35" s="24"/>
    </row>
    <row r="36" spans="3:64" ht="20.100000000000001" customHeight="1" x14ac:dyDescent="0.25">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24"/>
      <c r="AI36" s="24"/>
      <c r="AJ36" s="24"/>
      <c r="AK36" s="24"/>
      <c r="AL36" s="24"/>
      <c r="AM36" s="24"/>
      <c r="AN36" s="24"/>
      <c r="AO36" s="24"/>
      <c r="AP36" s="24"/>
      <c r="AQ36" s="24"/>
      <c r="AR36" s="24"/>
      <c r="AS36" s="24"/>
      <c r="AT36" s="24"/>
      <c r="AU36" s="24"/>
      <c r="AV36" s="24"/>
      <c r="AW36" s="24"/>
      <c r="AX36" s="24"/>
      <c r="AY36" s="24"/>
      <c r="AZ36" s="24"/>
      <c r="BA36" s="24"/>
      <c r="BB36" s="24"/>
      <c r="BC36" s="24"/>
      <c r="BD36" s="24"/>
      <c r="BE36" s="24"/>
      <c r="BF36" s="24"/>
      <c r="BG36" s="24"/>
      <c r="BH36" s="24"/>
      <c r="BI36" s="24"/>
      <c r="BJ36" s="24"/>
      <c r="BK36" s="24"/>
      <c r="BL36" s="24"/>
    </row>
    <row r="37" spans="3:64" ht="20.100000000000001" customHeight="1" x14ac:dyDescent="0.25">
      <c r="C37" s="24"/>
      <c r="D37" s="24"/>
      <c r="E37" s="24"/>
      <c r="F37" s="24"/>
      <c r="G37" s="24"/>
      <c r="H37" s="24"/>
      <c r="I37" s="24"/>
      <c r="J37" s="24"/>
      <c r="K37" s="24"/>
      <c r="L37" s="24"/>
      <c r="M37" s="24"/>
      <c r="N37" s="24"/>
      <c r="O37" s="24"/>
      <c r="P37" s="24"/>
      <c r="Q37" s="24"/>
      <c r="R37" s="24"/>
      <c r="S37" s="24"/>
      <c r="T37" s="24"/>
      <c r="U37" s="24"/>
      <c r="V37" s="24"/>
      <c r="W37" s="24"/>
      <c r="X37" s="24"/>
      <c r="Y37" s="24"/>
      <c r="Z37" s="24"/>
      <c r="AA37" s="24"/>
      <c r="AB37" s="24"/>
      <c r="AC37" s="24"/>
      <c r="AD37" s="24"/>
      <c r="AE37" s="24"/>
      <c r="AF37" s="24"/>
      <c r="AG37" s="24"/>
      <c r="AH37" s="24"/>
      <c r="AI37" s="24"/>
      <c r="AJ37" s="24"/>
      <c r="AK37" s="24"/>
      <c r="AL37" s="24"/>
      <c r="AM37" s="24"/>
      <c r="AN37" s="24"/>
      <c r="AO37" s="24"/>
      <c r="AP37" s="24"/>
      <c r="AQ37" s="24"/>
      <c r="AR37" s="24"/>
      <c r="AS37" s="24"/>
      <c r="AT37" s="24"/>
      <c r="AU37" s="24"/>
      <c r="AV37" s="24"/>
      <c r="AW37" s="24"/>
      <c r="AX37" s="24"/>
      <c r="AY37" s="24"/>
      <c r="AZ37" s="24"/>
      <c r="BA37" s="24"/>
      <c r="BB37" s="24"/>
      <c r="BC37" s="24"/>
      <c r="BD37" s="24"/>
      <c r="BE37" s="24"/>
      <c r="BF37" s="24"/>
      <c r="BG37" s="24"/>
      <c r="BH37" s="24"/>
      <c r="BI37" s="24"/>
      <c r="BJ37" s="24"/>
      <c r="BK37" s="24"/>
      <c r="BL37" s="24"/>
    </row>
    <row r="38" spans="3:64" ht="20.100000000000001" customHeight="1" x14ac:dyDescent="0.25">
      <c r="C38" s="24"/>
      <c r="D38" s="24"/>
      <c r="E38" s="24"/>
      <c r="F38" s="24"/>
      <c r="G38" s="24"/>
      <c r="H38" s="24"/>
      <c r="I38" s="24"/>
      <c r="J38" s="24"/>
      <c r="K38" s="24"/>
      <c r="L38" s="24"/>
      <c r="M38" s="24"/>
      <c r="N38" s="24"/>
      <c r="O38" s="24"/>
      <c r="P38" s="24"/>
      <c r="Q38" s="24"/>
      <c r="R38" s="24"/>
      <c r="S38" s="24"/>
      <c r="T38" s="24"/>
      <c r="U38" s="24"/>
      <c r="V38" s="24"/>
      <c r="W38" s="24"/>
      <c r="X38" s="24"/>
      <c r="Y38" s="24"/>
      <c r="Z38" s="24"/>
      <c r="AA38" s="24"/>
      <c r="AB38" s="24"/>
      <c r="AC38" s="24"/>
      <c r="AD38" s="24"/>
      <c r="AE38" s="24"/>
      <c r="AF38" s="24"/>
      <c r="AG38" s="24"/>
      <c r="AH38" s="24"/>
      <c r="AI38" s="24"/>
      <c r="AJ38" s="24"/>
      <c r="AK38" s="24"/>
      <c r="AL38" s="24"/>
      <c r="AM38" s="24"/>
      <c r="AN38" s="24"/>
      <c r="AO38" s="24"/>
      <c r="AP38" s="24"/>
      <c r="AQ38" s="24"/>
      <c r="AR38" s="24"/>
      <c r="AS38" s="24"/>
      <c r="AT38" s="24"/>
      <c r="AU38" s="24"/>
      <c r="AV38" s="24"/>
      <c r="AW38" s="24"/>
      <c r="AX38" s="24"/>
      <c r="AY38" s="24"/>
      <c r="AZ38" s="24"/>
      <c r="BA38" s="24"/>
      <c r="BB38" s="24"/>
      <c r="BC38" s="24"/>
      <c r="BD38" s="24"/>
      <c r="BE38" s="24"/>
      <c r="BF38" s="24"/>
      <c r="BG38" s="24"/>
      <c r="BH38" s="24"/>
      <c r="BI38" s="24"/>
      <c r="BJ38" s="24"/>
      <c r="BK38" s="24"/>
      <c r="BL38" s="24"/>
    </row>
    <row r="39" spans="3:64" ht="20.100000000000001" customHeight="1" x14ac:dyDescent="0.25">
      <c r="C39" s="24"/>
      <c r="D39" s="24"/>
      <c r="E39" s="24"/>
      <c r="F39" s="24"/>
      <c r="G39" s="24"/>
      <c r="H39" s="24"/>
      <c r="I39" s="24"/>
      <c r="J39" s="24"/>
      <c r="K39" s="24"/>
      <c r="L39" s="24"/>
      <c r="M39" s="24"/>
      <c r="N39" s="24"/>
      <c r="O39" s="24"/>
      <c r="P39" s="24"/>
      <c r="Q39" s="24"/>
      <c r="R39" s="24"/>
      <c r="S39" s="24"/>
      <c r="T39" s="24"/>
      <c r="U39" s="24"/>
      <c r="V39" s="24"/>
      <c r="W39" s="24"/>
      <c r="X39" s="24"/>
      <c r="Y39" s="24"/>
      <c r="Z39" s="24"/>
      <c r="AA39" s="24"/>
      <c r="AB39" s="24"/>
      <c r="AC39" s="24"/>
      <c r="AD39" s="24"/>
      <c r="AE39" s="24"/>
      <c r="AF39" s="24"/>
      <c r="AG39" s="24"/>
      <c r="AH39" s="24"/>
      <c r="AI39" s="24"/>
      <c r="AJ39" s="24"/>
      <c r="AK39" s="24"/>
      <c r="AL39" s="24"/>
      <c r="AM39" s="24"/>
      <c r="AN39" s="24"/>
      <c r="AO39" s="24"/>
      <c r="AP39" s="24"/>
      <c r="AQ39" s="24"/>
      <c r="AR39" s="24"/>
      <c r="AS39" s="24"/>
      <c r="AT39" s="24"/>
      <c r="AU39" s="24"/>
      <c r="AV39" s="24"/>
      <c r="AW39" s="24"/>
      <c r="AX39" s="24"/>
      <c r="AY39" s="24"/>
      <c r="AZ39" s="24"/>
      <c r="BA39" s="24"/>
      <c r="BB39" s="24"/>
      <c r="BC39" s="24"/>
      <c r="BD39" s="24"/>
      <c r="BE39" s="24"/>
      <c r="BF39" s="24"/>
      <c r="BG39" s="24"/>
      <c r="BH39" s="24"/>
      <c r="BI39" s="24"/>
      <c r="BJ39" s="24"/>
      <c r="BK39" s="24"/>
      <c r="BL39" s="24"/>
    </row>
    <row r="40" spans="3:64" ht="20.100000000000001" customHeight="1" x14ac:dyDescent="0.25">
      <c r="C40" s="24"/>
      <c r="D40" s="24"/>
      <c r="E40" s="24"/>
      <c r="F40" s="24"/>
      <c r="G40" s="24"/>
      <c r="H40" s="24"/>
      <c r="I40" s="24"/>
      <c r="J40" s="24"/>
      <c r="K40" s="24"/>
      <c r="L40" s="24"/>
      <c r="M40" s="24"/>
      <c r="N40" s="24"/>
      <c r="O40" s="24"/>
      <c r="P40" s="24"/>
      <c r="Q40" s="24"/>
      <c r="R40" s="24"/>
      <c r="S40" s="24"/>
      <c r="T40" s="24"/>
      <c r="U40" s="24"/>
      <c r="V40" s="24"/>
      <c r="W40" s="24"/>
      <c r="X40" s="24"/>
      <c r="Y40" s="24"/>
      <c r="Z40" s="24"/>
      <c r="AA40" s="24"/>
      <c r="AB40" s="24"/>
      <c r="AC40" s="24"/>
      <c r="AD40" s="24"/>
      <c r="AE40" s="24"/>
      <c r="AF40" s="24"/>
      <c r="AG40" s="24"/>
      <c r="AH40" s="24"/>
      <c r="AI40" s="24"/>
      <c r="AJ40" s="24"/>
      <c r="AK40" s="24"/>
      <c r="AL40" s="24"/>
      <c r="AM40" s="24"/>
      <c r="AN40" s="24"/>
      <c r="AO40" s="24"/>
      <c r="AP40" s="24"/>
      <c r="AQ40" s="24"/>
      <c r="AR40" s="24"/>
      <c r="AS40" s="24"/>
      <c r="AT40" s="24"/>
      <c r="AU40" s="24"/>
      <c r="AV40" s="24"/>
      <c r="AW40" s="24"/>
      <c r="AX40" s="24"/>
      <c r="AY40" s="24"/>
      <c r="AZ40" s="24"/>
      <c r="BA40" s="24"/>
      <c r="BB40" s="24"/>
      <c r="BC40" s="24"/>
      <c r="BD40" s="24"/>
      <c r="BE40" s="24"/>
      <c r="BF40" s="24"/>
      <c r="BG40" s="24"/>
      <c r="BH40" s="24"/>
      <c r="BI40" s="24"/>
      <c r="BJ40" s="24"/>
      <c r="BK40" s="24"/>
      <c r="BL40" s="24"/>
    </row>
    <row r="41" spans="3:64" ht="20.100000000000001" customHeight="1" x14ac:dyDescent="0.25">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4"/>
      <c r="AG41" s="24"/>
      <c r="AH41" s="24"/>
      <c r="AI41" s="24"/>
      <c r="AJ41" s="24"/>
      <c r="AK41" s="24"/>
      <c r="AL41" s="24"/>
      <c r="AM41" s="24"/>
      <c r="AN41" s="24"/>
      <c r="AO41" s="24"/>
      <c r="AP41" s="24"/>
      <c r="AQ41" s="24"/>
      <c r="AR41" s="24"/>
      <c r="AS41" s="24"/>
      <c r="AT41" s="24"/>
      <c r="AU41" s="24"/>
      <c r="AV41" s="24"/>
      <c r="AW41" s="24"/>
      <c r="AX41" s="24"/>
      <c r="AY41" s="24"/>
      <c r="AZ41" s="24"/>
      <c r="BA41" s="24"/>
      <c r="BB41" s="24"/>
      <c r="BC41" s="24"/>
      <c r="BD41" s="24"/>
      <c r="BE41" s="24"/>
      <c r="BF41" s="24"/>
      <c r="BG41" s="24"/>
      <c r="BH41" s="24"/>
      <c r="BI41" s="24"/>
      <c r="BJ41" s="24"/>
      <c r="BK41" s="24"/>
      <c r="BL41" s="24"/>
    </row>
    <row r="42" spans="3:64" ht="20.100000000000001" customHeight="1" x14ac:dyDescent="0.25">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4"/>
      <c r="AG42" s="24"/>
      <c r="AH42" s="24"/>
      <c r="AI42" s="24"/>
      <c r="AJ42" s="24"/>
      <c r="AK42" s="24"/>
      <c r="AL42" s="24"/>
      <c r="AM42" s="24"/>
      <c r="AN42" s="24"/>
      <c r="AO42" s="24"/>
      <c r="AP42" s="24"/>
      <c r="AQ42" s="24"/>
      <c r="AR42" s="24"/>
      <c r="AS42" s="24"/>
      <c r="AT42" s="24"/>
      <c r="AU42" s="24"/>
      <c r="AV42" s="24"/>
      <c r="AW42" s="24"/>
      <c r="AX42" s="24"/>
      <c r="AY42" s="24"/>
      <c r="AZ42" s="24"/>
      <c r="BA42" s="24"/>
      <c r="BB42" s="24"/>
      <c r="BC42" s="24"/>
      <c r="BD42" s="24"/>
      <c r="BE42" s="24"/>
      <c r="BF42" s="24"/>
      <c r="BG42" s="24"/>
      <c r="BH42" s="24"/>
      <c r="BI42" s="24"/>
      <c r="BJ42" s="24"/>
      <c r="BK42" s="24"/>
      <c r="BL42" s="24"/>
    </row>
    <row r="43" spans="3:64" ht="20.100000000000001" customHeight="1" x14ac:dyDescent="0.25">
      <c r="C43" s="24"/>
      <c r="D43" s="24"/>
      <c r="E43" s="24"/>
      <c r="F43" s="24"/>
      <c r="G43" s="24"/>
      <c r="H43" s="24"/>
      <c r="I43" s="24"/>
      <c r="J43" s="24"/>
      <c r="K43" s="24"/>
      <c r="L43" s="24"/>
      <c r="M43" s="24"/>
      <c r="N43" s="24"/>
      <c r="O43" s="24"/>
      <c r="P43" s="24"/>
      <c r="Q43" s="24"/>
      <c r="R43" s="24"/>
      <c r="S43" s="24"/>
      <c r="T43" s="24"/>
      <c r="U43" s="24"/>
      <c r="V43" s="24"/>
      <c r="W43" s="24"/>
      <c r="X43" s="24"/>
      <c r="Y43" s="24"/>
      <c r="Z43" s="24"/>
      <c r="AA43" s="24"/>
      <c r="AB43" s="24"/>
      <c r="AC43" s="24"/>
      <c r="AD43" s="24"/>
      <c r="AE43" s="24"/>
      <c r="AF43" s="24"/>
      <c r="AG43" s="24"/>
      <c r="AH43" s="24"/>
      <c r="AI43" s="24"/>
      <c r="AJ43" s="24"/>
      <c r="AK43" s="24"/>
      <c r="AL43" s="24"/>
      <c r="AM43" s="24"/>
      <c r="AN43" s="24"/>
      <c r="AO43" s="24"/>
      <c r="AP43" s="24"/>
      <c r="AQ43" s="24"/>
      <c r="AR43" s="24"/>
      <c r="AS43" s="24"/>
      <c r="AT43" s="24"/>
      <c r="AU43" s="24"/>
      <c r="AV43" s="24"/>
      <c r="AW43" s="24"/>
      <c r="AX43" s="24"/>
      <c r="AY43" s="24"/>
      <c r="AZ43" s="24"/>
      <c r="BA43" s="24"/>
      <c r="BB43" s="24"/>
      <c r="BC43" s="24"/>
      <c r="BD43" s="24"/>
      <c r="BE43" s="24"/>
      <c r="BF43" s="24"/>
      <c r="BG43" s="24"/>
      <c r="BH43" s="24"/>
      <c r="BI43" s="24"/>
      <c r="BJ43" s="24"/>
      <c r="BK43" s="24"/>
      <c r="BL43" s="24"/>
    </row>
    <row r="44" spans="3:64" ht="20.100000000000001" customHeight="1" x14ac:dyDescent="0.25">
      <c r="C44" s="24"/>
      <c r="D44" s="24"/>
      <c r="E44" s="24"/>
      <c r="F44" s="24"/>
      <c r="G44" s="24"/>
      <c r="H44" s="24"/>
      <c r="I44" s="24"/>
      <c r="J44" s="24"/>
      <c r="K44" s="24"/>
      <c r="L44" s="24"/>
      <c r="M44" s="24"/>
      <c r="N44" s="24"/>
      <c r="O44" s="24"/>
      <c r="P44" s="24"/>
      <c r="Q44" s="24"/>
      <c r="R44" s="24"/>
      <c r="S44" s="24"/>
      <c r="T44" s="24"/>
      <c r="U44" s="24"/>
      <c r="V44" s="24"/>
      <c r="W44" s="24"/>
      <c r="X44" s="24"/>
      <c r="Y44" s="24"/>
      <c r="Z44" s="24"/>
      <c r="AA44" s="24"/>
      <c r="AB44" s="24"/>
      <c r="AC44" s="24"/>
      <c r="AD44" s="24"/>
      <c r="AE44" s="24"/>
      <c r="AF44" s="24"/>
      <c r="AG44" s="24"/>
      <c r="AH44" s="24"/>
      <c r="AI44" s="24"/>
      <c r="AJ44" s="24"/>
      <c r="AK44" s="24"/>
      <c r="AL44" s="24"/>
      <c r="AM44" s="24"/>
      <c r="AN44" s="24"/>
      <c r="AO44" s="24"/>
      <c r="AP44" s="24"/>
      <c r="AQ44" s="24"/>
      <c r="AR44" s="24"/>
      <c r="AS44" s="24"/>
      <c r="AT44" s="24"/>
      <c r="AU44" s="24"/>
      <c r="AV44" s="24"/>
      <c r="AW44" s="24"/>
      <c r="AX44" s="24"/>
      <c r="AY44" s="24"/>
      <c r="AZ44" s="24"/>
      <c r="BA44" s="24"/>
      <c r="BB44" s="24"/>
      <c r="BC44" s="24"/>
      <c r="BD44" s="24"/>
      <c r="BE44" s="24"/>
      <c r="BF44" s="24"/>
      <c r="BG44" s="24"/>
      <c r="BH44" s="24"/>
      <c r="BI44" s="24"/>
      <c r="BJ44" s="24"/>
      <c r="BK44" s="24"/>
      <c r="BL44" s="24"/>
    </row>
    <row r="45" spans="3:64" ht="20.100000000000001" customHeight="1" x14ac:dyDescent="0.25">
      <c r="C45" s="24"/>
      <c r="D45" s="24"/>
      <c r="E45" s="24"/>
      <c r="F45" s="24"/>
      <c r="G45" s="24"/>
      <c r="H45" s="24"/>
      <c r="I45" s="24"/>
      <c r="J45" s="24"/>
      <c r="K45" s="24"/>
      <c r="L45" s="24"/>
      <c r="M45" s="24"/>
      <c r="N45" s="24"/>
      <c r="O45" s="24"/>
      <c r="P45" s="24"/>
      <c r="Q45" s="24"/>
      <c r="R45" s="24"/>
      <c r="S45" s="24"/>
      <c r="T45" s="24"/>
      <c r="U45" s="24"/>
      <c r="V45" s="24"/>
      <c r="W45" s="24"/>
      <c r="X45" s="24"/>
      <c r="Y45" s="24"/>
      <c r="Z45" s="24"/>
      <c r="AA45" s="24"/>
      <c r="AB45" s="24"/>
      <c r="AC45" s="24"/>
      <c r="AD45" s="24"/>
      <c r="AE45" s="24"/>
      <c r="AF45" s="24"/>
      <c r="AG45" s="24"/>
      <c r="AH45" s="24"/>
      <c r="AI45" s="24"/>
      <c r="AJ45" s="24"/>
      <c r="AK45" s="24"/>
      <c r="AL45" s="24"/>
      <c r="AM45" s="24"/>
      <c r="AN45" s="24"/>
      <c r="AO45" s="24"/>
      <c r="AP45" s="24"/>
      <c r="AQ45" s="24"/>
      <c r="AR45" s="24"/>
      <c r="AS45" s="24"/>
      <c r="AT45" s="24"/>
      <c r="AU45" s="24"/>
      <c r="AV45" s="24"/>
      <c r="AW45" s="24"/>
      <c r="AX45" s="24"/>
      <c r="AY45" s="24"/>
      <c r="AZ45" s="24"/>
      <c r="BA45" s="24"/>
      <c r="BB45" s="24"/>
      <c r="BC45" s="24"/>
      <c r="BD45" s="24"/>
      <c r="BE45" s="24"/>
      <c r="BF45" s="24"/>
      <c r="BG45" s="24"/>
      <c r="BH45" s="24"/>
      <c r="BI45" s="24"/>
      <c r="BJ45" s="24"/>
      <c r="BK45" s="24"/>
      <c r="BL45" s="24"/>
    </row>
    <row r="46" spans="3:64" ht="20.100000000000001" customHeight="1" x14ac:dyDescent="0.25">
      <c r="C46" s="24"/>
      <c r="D46" s="24"/>
      <c r="E46" s="24"/>
      <c r="F46" s="24"/>
      <c r="G46" s="24"/>
      <c r="H46" s="24"/>
      <c r="I46" s="24"/>
      <c r="J46" s="24"/>
      <c r="K46" s="24"/>
      <c r="L46" s="24"/>
      <c r="M46" s="24"/>
      <c r="N46" s="24"/>
      <c r="O46" s="24"/>
      <c r="P46" s="24"/>
      <c r="Q46" s="24"/>
      <c r="R46" s="24"/>
      <c r="S46" s="24"/>
      <c r="T46" s="24"/>
      <c r="U46" s="24"/>
      <c r="V46" s="24"/>
      <c r="W46" s="24"/>
      <c r="X46" s="24"/>
      <c r="Y46" s="24"/>
      <c r="Z46" s="24"/>
      <c r="AA46" s="24"/>
      <c r="AB46" s="24"/>
      <c r="AC46" s="24"/>
      <c r="AD46" s="24"/>
      <c r="AE46" s="24"/>
      <c r="AF46" s="24"/>
      <c r="AG46" s="24"/>
      <c r="AH46" s="24"/>
      <c r="AI46" s="24"/>
      <c r="AJ46" s="24"/>
      <c r="AK46" s="24"/>
      <c r="AL46" s="24"/>
      <c r="AM46" s="24"/>
      <c r="AN46" s="24"/>
      <c r="AO46" s="24"/>
      <c r="AP46" s="24"/>
      <c r="AQ46" s="24"/>
      <c r="AR46" s="24"/>
      <c r="AS46" s="24"/>
      <c r="AT46" s="24"/>
      <c r="AU46" s="24"/>
      <c r="AV46" s="24"/>
      <c r="AW46" s="24"/>
      <c r="AX46" s="24"/>
      <c r="AY46" s="24"/>
      <c r="AZ46" s="24"/>
      <c r="BA46" s="24"/>
      <c r="BB46" s="24"/>
      <c r="BC46" s="24"/>
      <c r="BD46" s="24"/>
      <c r="BE46" s="24"/>
      <c r="BF46" s="24"/>
      <c r="BG46" s="24"/>
      <c r="BH46" s="24"/>
      <c r="BI46" s="24"/>
      <c r="BJ46" s="24"/>
      <c r="BK46" s="24"/>
      <c r="BL46" s="24"/>
    </row>
    <row r="47" spans="3:64" ht="20.100000000000001" customHeight="1" x14ac:dyDescent="0.25">
      <c r="C47" s="24"/>
      <c r="D47" s="24"/>
      <c r="E47" s="24"/>
      <c r="F47" s="24"/>
      <c r="G47" s="24"/>
      <c r="H47" s="24"/>
      <c r="I47" s="24"/>
      <c r="J47" s="24"/>
      <c r="K47" s="24"/>
      <c r="L47" s="24"/>
      <c r="M47" s="24"/>
      <c r="N47" s="24"/>
      <c r="O47" s="24"/>
      <c r="P47" s="24"/>
      <c r="Q47" s="24"/>
      <c r="R47" s="24"/>
      <c r="S47" s="24"/>
      <c r="T47" s="24"/>
      <c r="U47" s="24"/>
      <c r="V47" s="24"/>
      <c r="W47" s="24"/>
      <c r="X47" s="24"/>
      <c r="Y47" s="24"/>
      <c r="Z47" s="24"/>
      <c r="AA47" s="24"/>
      <c r="AB47" s="24"/>
      <c r="AC47" s="24"/>
      <c r="AD47" s="24"/>
      <c r="AE47" s="24"/>
      <c r="AF47" s="24"/>
      <c r="AG47" s="24"/>
      <c r="AH47" s="24"/>
      <c r="AI47" s="24"/>
      <c r="AJ47" s="24"/>
      <c r="AK47" s="24"/>
      <c r="AL47" s="24"/>
      <c r="AM47" s="24"/>
      <c r="AN47" s="24"/>
      <c r="AO47" s="24"/>
      <c r="AP47" s="24"/>
      <c r="AQ47" s="24"/>
      <c r="AR47" s="24"/>
      <c r="AS47" s="24"/>
      <c r="AT47" s="24"/>
      <c r="AU47" s="24"/>
      <c r="AV47" s="24"/>
      <c r="AW47" s="24"/>
      <c r="AX47" s="24"/>
      <c r="AY47" s="24"/>
      <c r="AZ47" s="24"/>
      <c r="BA47" s="24"/>
      <c r="BB47" s="24"/>
      <c r="BC47" s="24"/>
      <c r="BD47" s="24"/>
      <c r="BE47" s="24"/>
      <c r="BF47" s="24"/>
      <c r="BG47" s="24"/>
      <c r="BH47" s="24"/>
      <c r="BI47" s="24"/>
      <c r="BJ47" s="24"/>
      <c r="BK47" s="24"/>
      <c r="BL47" s="24"/>
    </row>
    <row r="48" spans="3:64" ht="20.100000000000001" customHeight="1" x14ac:dyDescent="0.25">
      <c r="C48" s="24"/>
      <c r="D48" s="24"/>
      <c r="E48" s="24"/>
      <c r="F48" s="24"/>
      <c r="G48" s="24"/>
      <c r="H48" s="24"/>
      <c r="I48" s="24"/>
      <c r="J48" s="24"/>
      <c r="K48" s="24"/>
      <c r="L48" s="24"/>
      <c r="M48" s="24"/>
      <c r="N48" s="24"/>
      <c r="O48" s="24"/>
      <c r="P48" s="24"/>
      <c r="Q48" s="24"/>
      <c r="R48" s="24"/>
      <c r="S48" s="24"/>
      <c r="T48" s="24"/>
      <c r="U48" s="24"/>
      <c r="V48" s="24"/>
      <c r="W48" s="24"/>
      <c r="X48" s="24"/>
      <c r="Y48" s="24"/>
      <c r="Z48" s="24"/>
      <c r="AA48" s="24"/>
      <c r="AB48" s="24"/>
      <c r="AC48" s="24"/>
      <c r="AD48" s="24"/>
      <c r="AE48" s="24"/>
      <c r="AF48" s="24"/>
      <c r="AG48" s="24"/>
      <c r="AH48" s="24"/>
      <c r="AI48" s="24"/>
      <c r="AJ48" s="24"/>
      <c r="AK48" s="24"/>
      <c r="AL48" s="24"/>
      <c r="AM48" s="24"/>
      <c r="AN48" s="24"/>
      <c r="AO48" s="24"/>
      <c r="AP48" s="24"/>
      <c r="AQ48" s="24"/>
      <c r="AR48" s="24"/>
      <c r="AS48" s="24"/>
      <c r="AT48" s="24"/>
      <c r="AU48" s="24"/>
      <c r="AV48" s="24"/>
      <c r="AW48" s="24"/>
      <c r="AX48" s="24"/>
      <c r="AY48" s="24"/>
      <c r="AZ48" s="24"/>
      <c r="BA48" s="24"/>
      <c r="BB48" s="24"/>
      <c r="BC48" s="24"/>
      <c r="BD48" s="24"/>
      <c r="BE48" s="24"/>
      <c r="BF48" s="24"/>
      <c r="BG48" s="24"/>
      <c r="BH48" s="24"/>
      <c r="BI48" s="24"/>
      <c r="BJ48" s="24"/>
      <c r="BK48" s="24"/>
      <c r="BL48" s="24"/>
    </row>
    <row r="49" spans="3:64" ht="20.100000000000001" customHeight="1" x14ac:dyDescent="0.25">
      <c r="C49" s="24"/>
      <c r="D49" s="24"/>
      <c r="E49" s="24"/>
      <c r="F49" s="24"/>
      <c r="G49" s="24"/>
      <c r="H49" s="24"/>
      <c r="I49" s="24"/>
      <c r="J49" s="24"/>
      <c r="K49" s="24"/>
      <c r="L49" s="24"/>
      <c r="M49" s="24"/>
      <c r="N49" s="24"/>
      <c r="O49" s="24"/>
      <c r="P49" s="24"/>
      <c r="Q49" s="24"/>
      <c r="R49" s="24"/>
      <c r="S49" s="24"/>
      <c r="T49" s="24"/>
      <c r="U49" s="24"/>
      <c r="V49" s="24"/>
      <c r="W49" s="24"/>
      <c r="X49" s="24"/>
      <c r="Y49" s="24"/>
      <c r="Z49" s="24"/>
      <c r="AA49" s="24"/>
      <c r="AB49" s="24"/>
      <c r="AC49" s="24"/>
      <c r="AD49" s="24"/>
      <c r="AE49" s="24"/>
      <c r="AF49" s="24"/>
      <c r="AG49" s="24"/>
      <c r="AH49" s="24"/>
      <c r="AI49" s="24"/>
      <c r="AJ49" s="24"/>
      <c r="AK49" s="24"/>
      <c r="AL49" s="24"/>
      <c r="AM49" s="24"/>
      <c r="AN49" s="24"/>
      <c r="AO49" s="24"/>
      <c r="AP49" s="24"/>
      <c r="AQ49" s="24"/>
      <c r="AR49" s="24"/>
      <c r="AS49" s="24"/>
      <c r="AT49" s="24"/>
      <c r="AU49" s="24"/>
      <c r="AV49" s="24"/>
      <c r="AW49" s="24"/>
      <c r="AX49" s="24"/>
      <c r="AY49" s="24"/>
      <c r="AZ49" s="24"/>
      <c r="BA49" s="24"/>
      <c r="BB49" s="24"/>
      <c r="BC49" s="24"/>
      <c r="BD49" s="24"/>
      <c r="BE49" s="24"/>
      <c r="BF49" s="24"/>
      <c r="BG49" s="24"/>
      <c r="BH49" s="24"/>
      <c r="BI49" s="24"/>
      <c r="BJ49" s="24"/>
      <c r="BK49" s="24"/>
      <c r="BL49" s="24"/>
    </row>
    <row r="50" spans="3:64" ht="20.100000000000001" customHeight="1" x14ac:dyDescent="0.25">
      <c r="C50" s="24"/>
      <c r="D50" s="24"/>
      <c r="E50" s="24"/>
      <c r="F50" s="24"/>
      <c r="G50" s="24"/>
      <c r="H50" s="24"/>
      <c r="I50" s="24"/>
      <c r="J50" s="24"/>
      <c r="K50" s="24"/>
      <c r="L50" s="24"/>
      <c r="M50" s="24"/>
      <c r="N50" s="24"/>
      <c r="O50" s="24"/>
      <c r="P50" s="24"/>
      <c r="Q50" s="24"/>
      <c r="R50" s="24"/>
      <c r="S50" s="24"/>
      <c r="T50" s="24"/>
      <c r="U50" s="24"/>
      <c r="V50" s="24"/>
      <c r="W50" s="24"/>
      <c r="X50" s="24"/>
      <c r="Y50" s="24"/>
      <c r="Z50" s="24"/>
      <c r="AA50" s="24"/>
      <c r="AB50" s="24"/>
      <c r="AC50" s="24"/>
      <c r="AD50" s="24"/>
      <c r="AE50" s="24"/>
      <c r="AF50" s="24"/>
      <c r="AG50" s="24"/>
      <c r="AH50" s="24"/>
      <c r="AI50" s="24"/>
      <c r="AJ50" s="24"/>
      <c r="AK50" s="24"/>
      <c r="AL50" s="24"/>
      <c r="AM50" s="24"/>
      <c r="AN50" s="24"/>
      <c r="AO50" s="24"/>
      <c r="AP50" s="24"/>
      <c r="AQ50" s="24"/>
      <c r="AR50" s="24"/>
      <c r="AS50" s="24"/>
      <c r="AT50" s="24"/>
      <c r="AU50" s="24"/>
      <c r="AV50" s="24"/>
      <c r="AW50" s="24"/>
      <c r="AX50" s="24"/>
      <c r="AY50" s="24"/>
      <c r="AZ50" s="24"/>
      <c r="BA50" s="24"/>
      <c r="BB50" s="24"/>
      <c r="BC50" s="24"/>
      <c r="BD50" s="24"/>
      <c r="BE50" s="24"/>
      <c r="BF50" s="24"/>
      <c r="BG50" s="24"/>
      <c r="BH50" s="24"/>
      <c r="BI50" s="24"/>
      <c r="BJ50" s="24"/>
      <c r="BK50" s="24"/>
      <c r="BL50" s="24"/>
    </row>
    <row r="51" spans="3:64" ht="20.100000000000001" customHeight="1" x14ac:dyDescent="0.25">
      <c r="C51" s="24"/>
      <c r="D51" s="24"/>
      <c r="E51" s="24"/>
      <c r="F51" s="24"/>
      <c r="G51" s="24"/>
      <c r="H51" s="24"/>
      <c r="I51" s="24"/>
      <c r="J51" s="24"/>
      <c r="K51" s="24"/>
      <c r="L51" s="24"/>
      <c r="M51" s="24"/>
      <c r="N51" s="24"/>
      <c r="O51" s="24"/>
      <c r="P51" s="24"/>
      <c r="Q51" s="24"/>
      <c r="R51" s="24"/>
      <c r="S51" s="24"/>
      <c r="T51" s="24"/>
      <c r="U51" s="24"/>
      <c r="V51" s="24"/>
      <c r="W51" s="24"/>
      <c r="X51" s="24"/>
      <c r="Y51" s="24"/>
      <c r="Z51" s="24"/>
      <c r="AA51" s="24"/>
      <c r="AB51" s="24"/>
      <c r="AC51" s="24"/>
      <c r="AD51" s="24"/>
      <c r="AE51" s="24"/>
      <c r="AF51" s="24"/>
      <c r="AG51" s="24"/>
      <c r="AH51" s="24"/>
      <c r="AI51" s="24"/>
      <c r="AJ51" s="24"/>
      <c r="AK51" s="24"/>
      <c r="AL51" s="24"/>
      <c r="AM51" s="24"/>
      <c r="AN51" s="24"/>
      <c r="AO51" s="24"/>
      <c r="AP51" s="24"/>
      <c r="AQ51" s="24"/>
      <c r="AR51" s="24"/>
      <c r="AS51" s="24"/>
      <c r="AT51" s="24"/>
      <c r="AU51" s="24"/>
      <c r="AV51" s="24"/>
      <c r="AW51" s="24"/>
      <c r="AX51" s="24"/>
      <c r="AY51" s="24"/>
      <c r="AZ51" s="24"/>
      <c r="BA51" s="24"/>
      <c r="BB51" s="24"/>
      <c r="BC51" s="24"/>
      <c r="BD51" s="24"/>
      <c r="BE51" s="24"/>
      <c r="BF51" s="24"/>
      <c r="BG51" s="24"/>
      <c r="BH51" s="24"/>
      <c r="BI51" s="24"/>
      <c r="BJ51" s="24"/>
      <c r="BK51" s="24"/>
      <c r="BL51" s="24"/>
    </row>
    <row r="52" spans="3:64" ht="20.100000000000001" customHeight="1" x14ac:dyDescent="0.25">
      <c r="C52" s="24"/>
      <c r="D52" s="24"/>
      <c r="E52" s="24"/>
      <c r="F52" s="24"/>
      <c r="G52" s="24"/>
      <c r="H52" s="24"/>
      <c r="I52" s="24"/>
      <c r="J52" s="24"/>
      <c r="K52" s="24"/>
      <c r="L52" s="24"/>
      <c r="M52" s="24"/>
      <c r="N52" s="24"/>
      <c r="O52" s="24"/>
      <c r="P52" s="24"/>
      <c r="Q52" s="24"/>
      <c r="R52" s="24"/>
      <c r="S52" s="24"/>
      <c r="T52" s="24"/>
      <c r="U52" s="24"/>
      <c r="V52" s="24"/>
      <c r="W52" s="24"/>
      <c r="X52" s="24"/>
      <c r="Y52" s="24"/>
      <c r="Z52" s="24"/>
      <c r="AA52" s="24"/>
      <c r="AB52" s="24"/>
      <c r="AC52" s="24"/>
      <c r="AD52" s="24"/>
      <c r="AE52" s="24"/>
      <c r="AF52" s="24"/>
      <c r="AG52" s="24"/>
      <c r="AH52" s="24"/>
      <c r="AI52" s="24"/>
      <c r="AJ52" s="24"/>
      <c r="AK52" s="24"/>
      <c r="AL52" s="24"/>
      <c r="AM52" s="24"/>
      <c r="AN52" s="24"/>
      <c r="AO52" s="24"/>
      <c r="AP52" s="24"/>
      <c r="AQ52" s="24"/>
      <c r="AR52" s="24"/>
      <c r="AS52" s="24"/>
      <c r="AT52" s="24"/>
      <c r="AU52" s="24"/>
      <c r="AV52" s="24"/>
      <c r="AW52" s="24"/>
      <c r="AX52" s="24"/>
      <c r="AY52" s="24"/>
      <c r="AZ52" s="24"/>
      <c r="BA52" s="24"/>
      <c r="BB52" s="24"/>
      <c r="BC52" s="24"/>
      <c r="BD52" s="24"/>
      <c r="BE52" s="24"/>
      <c r="BF52" s="24"/>
      <c r="BG52" s="24"/>
      <c r="BH52" s="24"/>
      <c r="BI52" s="24"/>
      <c r="BJ52" s="24"/>
      <c r="BK52" s="24"/>
      <c r="BL52" s="24"/>
    </row>
    <row r="53" spans="3:64" ht="20.100000000000001" customHeight="1" x14ac:dyDescent="0.25">
      <c r="C53" s="24"/>
      <c r="D53" s="24"/>
      <c r="E53" s="24"/>
      <c r="F53" s="24"/>
      <c r="G53" s="24"/>
      <c r="H53" s="24"/>
      <c r="I53" s="24"/>
      <c r="J53" s="24"/>
      <c r="K53" s="24"/>
      <c r="L53" s="24"/>
      <c r="M53" s="24"/>
      <c r="N53" s="24"/>
      <c r="O53" s="24"/>
      <c r="P53" s="24"/>
      <c r="Q53" s="24"/>
      <c r="R53" s="24"/>
      <c r="S53" s="24"/>
      <c r="T53" s="24"/>
      <c r="U53" s="24"/>
      <c r="V53" s="24"/>
      <c r="W53" s="24"/>
      <c r="X53" s="24"/>
      <c r="Y53" s="24"/>
      <c r="Z53" s="24"/>
      <c r="AA53" s="24"/>
      <c r="AB53" s="24"/>
      <c r="AC53" s="24"/>
      <c r="AD53" s="24"/>
      <c r="AE53" s="24"/>
      <c r="AF53" s="24"/>
      <c r="AG53" s="24"/>
      <c r="AH53" s="24"/>
      <c r="AI53" s="24"/>
      <c r="AJ53" s="24"/>
      <c r="AK53" s="24"/>
      <c r="AL53" s="24"/>
      <c r="AM53" s="24"/>
      <c r="AN53" s="24"/>
      <c r="AO53" s="24"/>
      <c r="AP53" s="24"/>
      <c r="AQ53" s="24"/>
      <c r="AR53" s="24"/>
      <c r="AS53" s="24"/>
      <c r="AT53" s="24"/>
      <c r="AU53" s="24"/>
      <c r="AV53" s="24"/>
      <c r="AW53" s="24"/>
      <c r="AX53" s="24"/>
      <c r="AY53" s="24"/>
      <c r="AZ53" s="24"/>
      <c r="BA53" s="24"/>
      <c r="BB53" s="24"/>
      <c r="BC53" s="24"/>
      <c r="BD53" s="24"/>
      <c r="BE53" s="24"/>
      <c r="BF53" s="24"/>
      <c r="BG53" s="24"/>
      <c r="BH53" s="24"/>
      <c r="BI53" s="24"/>
      <c r="BJ53" s="24"/>
      <c r="BK53" s="24"/>
      <c r="BL53" s="24"/>
    </row>
    <row r="54" spans="3:64" ht="20.100000000000001" customHeight="1" x14ac:dyDescent="0.25">
      <c r="C54" s="24"/>
      <c r="D54" s="24"/>
      <c r="E54" s="24"/>
      <c r="F54" s="24"/>
      <c r="G54" s="24"/>
      <c r="H54" s="24"/>
      <c r="I54" s="24"/>
      <c r="J54" s="24"/>
      <c r="K54" s="24"/>
      <c r="L54" s="24"/>
      <c r="M54" s="24"/>
      <c r="N54" s="24"/>
      <c r="O54" s="24"/>
      <c r="P54" s="24"/>
      <c r="Q54" s="24"/>
      <c r="R54" s="24"/>
      <c r="S54" s="24"/>
      <c r="T54" s="24"/>
      <c r="U54" s="24"/>
      <c r="V54" s="24"/>
      <c r="W54" s="24"/>
      <c r="X54" s="24"/>
      <c r="Y54" s="24"/>
      <c r="Z54" s="24"/>
      <c r="AA54" s="24"/>
      <c r="AB54" s="24"/>
      <c r="AC54" s="24"/>
      <c r="AD54" s="24"/>
      <c r="AE54" s="24"/>
      <c r="AF54" s="24"/>
      <c r="AG54" s="24"/>
      <c r="AH54" s="24"/>
      <c r="AI54" s="24"/>
      <c r="AJ54" s="24"/>
      <c r="AK54" s="24"/>
      <c r="AL54" s="24"/>
      <c r="AM54" s="24"/>
      <c r="AN54" s="24"/>
      <c r="AO54" s="24"/>
      <c r="AP54" s="24"/>
      <c r="AQ54" s="24"/>
      <c r="AR54" s="24"/>
      <c r="AS54" s="24"/>
      <c r="AT54" s="24"/>
      <c r="AU54" s="24"/>
      <c r="AV54" s="24"/>
      <c r="AW54" s="24"/>
      <c r="AX54" s="24"/>
      <c r="AY54" s="24"/>
      <c r="AZ54" s="24"/>
      <c r="BA54" s="24"/>
      <c r="BB54" s="24"/>
      <c r="BC54" s="24"/>
      <c r="BD54" s="24"/>
      <c r="BE54" s="24"/>
      <c r="BF54" s="24"/>
      <c r="BG54" s="24"/>
      <c r="BH54" s="24"/>
      <c r="BI54" s="24"/>
      <c r="BJ54" s="24"/>
      <c r="BK54" s="24"/>
      <c r="BL54" s="24"/>
    </row>
    <row r="55" spans="3:64" ht="20.100000000000001" customHeight="1" x14ac:dyDescent="0.25">
      <c r="C55" s="24"/>
      <c r="D55" s="24"/>
      <c r="E55" s="24"/>
      <c r="F55" s="24"/>
      <c r="G55" s="24"/>
      <c r="H55" s="24"/>
      <c r="I55" s="24"/>
      <c r="J55" s="24"/>
      <c r="K55" s="24"/>
      <c r="L55" s="24"/>
      <c r="M55" s="24"/>
      <c r="N55" s="24"/>
      <c r="O55" s="24"/>
      <c r="P55" s="24"/>
      <c r="Q55" s="24"/>
      <c r="R55" s="24"/>
      <c r="S55" s="24"/>
      <c r="T55" s="24"/>
      <c r="U55" s="24"/>
      <c r="V55" s="24"/>
      <c r="W55" s="24"/>
      <c r="X55" s="24"/>
      <c r="Y55" s="24"/>
      <c r="Z55" s="24"/>
      <c r="AA55" s="24"/>
      <c r="AB55" s="24"/>
      <c r="AC55" s="24"/>
      <c r="AD55" s="24"/>
      <c r="AE55" s="24"/>
      <c r="AF55" s="24"/>
      <c r="AG55" s="24"/>
      <c r="AH55" s="24"/>
      <c r="AI55" s="24"/>
      <c r="AJ55" s="24"/>
      <c r="AK55" s="24"/>
      <c r="AL55" s="24"/>
      <c r="AM55" s="24"/>
      <c r="AN55" s="24"/>
      <c r="AO55" s="24"/>
      <c r="AP55" s="24"/>
      <c r="AQ55" s="24"/>
      <c r="AR55" s="24"/>
      <c r="AS55" s="24"/>
      <c r="AT55" s="24"/>
      <c r="AU55" s="24"/>
      <c r="AV55" s="24"/>
      <c r="AW55" s="24"/>
      <c r="AX55" s="24"/>
      <c r="AY55" s="24"/>
      <c r="AZ55" s="24"/>
      <c r="BA55" s="24"/>
      <c r="BB55" s="24"/>
      <c r="BC55" s="24"/>
      <c r="BD55" s="24"/>
      <c r="BE55" s="24"/>
      <c r="BF55" s="24"/>
      <c r="BG55" s="24"/>
      <c r="BH55" s="24"/>
      <c r="BI55" s="24"/>
      <c r="BJ55" s="24"/>
      <c r="BK55" s="24"/>
      <c r="BL55" s="24"/>
    </row>
    <row r="56" spans="3:64" ht="20.100000000000001" customHeight="1" x14ac:dyDescent="0.25">
      <c r="C56" s="24"/>
      <c r="D56" s="24"/>
      <c r="E56" s="24"/>
      <c r="F56" s="24"/>
      <c r="G56" s="24"/>
      <c r="H56" s="24"/>
      <c r="I56" s="24"/>
      <c r="J56" s="24"/>
      <c r="K56" s="24"/>
      <c r="L56" s="24"/>
      <c r="M56" s="24"/>
      <c r="N56" s="24"/>
      <c r="O56" s="24"/>
      <c r="P56" s="24"/>
      <c r="Q56" s="24"/>
      <c r="R56" s="24"/>
      <c r="S56" s="24"/>
      <c r="T56" s="24"/>
      <c r="U56" s="24"/>
      <c r="V56" s="24"/>
      <c r="W56" s="24"/>
      <c r="X56" s="24"/>
      <c r="Y56" s="24"/>
      <c r="Z56" s="24"/>
      <c r="AA56" s="24"/>
      <c r="AB56" s="24"/>
      <c r="AC56" s="24"/>
      <c r="AD56" s="24"/>
      <c r="AE56" s="24"/>
      <c r="AF56" s="24"/>
      <c r="AG56" s="24"/>
      <c r="AH56" s="24"/>
      <c r="AI56" s="24"/>
      <c r="AJ56" s="24"/>
      <c r="AK56" s="24"/>
      <c r="AL56" s="24"/>
      <c r="AM56" s="24"/>
      <c r="AN56" s="24"/>
      <c r="AO56" s="24"/>
      <c r="AP56" s="24"/>
      <c r="AQ56" s="24"/>
      <c r="AR56" s="24"/>
      <c r="AS56" s="24"/>
      <c r="AT56" s="24"/>
      <c r="AU56" s="24"/>
      <c r="AV56" s="24"/>
      <c r="AW56" s="24"/>
      <c r="AX56" s="24"/>
      <c r="AY56" s="24"/>
      <c r="AZ56" s="24"/>
      <c r="BA56" s="24"/>
      <c r="BB56" s="24"/>
      <c r="BC56" s="24"/>
      <c r="BD56" s="24"/>
      <c r="BE56" s="24"/>
      <c r="BF56" s="24"/>
      <c r="BG56" s="24"/>
      <c r="BH56" s="24"/>
      <c r="BI56" s="24"/>
      <c r="BJ56" s="24"/>
      <c r="BK56" s="24"/>
      <c r="BL56" s="24"/>
    </row>
    <row r="57" spans="3:64" ht="20.100000000000001" customHeight="1" x14ac:dyDescent="0.25">
      <c r="C57" s="24"/>
      <c r="D57" s="24"/>
      <c r="E57" s="24"/>
      <c r="F57" s="24"/>
      <c r="G57" s="24"/>
      <c r="H57" s="24"/>
      <c r="I57" s="24"/>
      <c r="J57" s="24"/>
      <c r="K57" s="24"/>
      <c r="L57" s="24"/>
      <c r="M57" s="24"/>
      <c r="N57" s="24"/>
      <c r="O57" s="24"/>
      <c r="P57" s="24"/>
      <c r="Q57" s="24"/>
      <c r="R57" s="24"/>
      <c r="S57" s="24"/>
      <c r="T57" s="24"/>
      <c r="U57" s="24"/>
      <c r="V57" s="24"/>
      <c r="W57" s="24"/>
      <c r="X57" s="24"/>
      <c r="Y57" s="24"/>
      <c r="Z57" s="24"/>
      <c r="AA57" s="24"/>
      <c r="AB57" s="24"/>
      <c r="AC57" s="24"/>
      <c r="AD57" s="24"/>
      <c r="AE57" s="24"/>
      <c r="AF57" s="24"/>
      <c r="AG57" s="24"/>
      <c r="AH57" s="24"/>
      <c r="AI57" s="24"/>
      <c r="AJ57" s="24"/>
      <c r="AK57" s="24"/>
      <c r="AL57" s="24"/>
      <c r="AM57" s="24"/>
      <c r="AN57" s="24"/>
      <c r="AO57" s="24"/>
      <c r="AP57" s="24"/>
      <c r="AQ57" s="24"/>
      <c r="AR57" s="24"/>
      <c r="AS57" s="24"/>
      <c r="AT57" s="24"/>
      <c r="AU57" s="24"/>
      <c r="AV57" s="24"/>
      <c r="AW57" s="24"/>
      <c r="AX57" s="24"/>
      <c r="AY57" s="24"/>
      <c r="AZ57" s="24"/>
      <c r="BA57" s="24"/>
      <c r="BB57" s="24"/>
      <c r="BC57" s="24"/>
      <c r="BD57" s="24"/>
      <c r="BE57" s="24"/>
      <c r="BF57" s="24"/>
      <c r="BG57" s="24"/>
      <c r="BH57" s="24"/>
      <c r="BI57" s="24"/>
      <c r="BJ57" s="24"/>
      <c r="BK57" s="24"/>
      <c r="BL57" s="24"/>
    </row>
    <row r="58" spans="3:64" ht="20.100000000000001" customHeight="1" x14ac:dyDescent="0.25">
      <c r="C58" s="24"/>
      <c r="D58" s="24"/>
      <c r="E58" s="24"/>
      <c r="F58" s="24"/>
      <c r="G58" s="24"/>
      <c r="H58" s="24"/>
      <c r="I58" s="24"/>
      <c r="J58" s="24"/>
      <c r="K58" s="24"/>
      <c r="L58" s="24"/>
      <c r="M58" s="24"/>
      <c r="N58" s="24"/>
      <c r="O58" s="24"/>
      <c r="P58" s="24"/>
      <c r="Q58" s="24"/>
      <c r="R58" s="24"/>
      <c r="S58" s="24"/>
      <c r="T58" s="24"/>
      <c r="U58" s="24"/>
      <c r="V58" s="24"/>
      <c r="W58" s="24"/>
      <c r="X58" s="24"/>
      <c r="Y58" s="24"/>
      <c r="Z58" s="24"/>
      <c r="AA58" s="24"/>
      <c r="AB58" s="24"/>
      <c r="AC58" s="24"/>
      <c r="AD58" s="24"/>
      <c r="AE58" s="24"/>
      <c r="AF58" s="24"/>
      <c r="AG58" s="24"/>
      <c r="AH58" s="24"/>
      <c r="AI58" s="24"/>
      <c r="AJ58" s="24"/>
      <c r="AK58" s="24"/>
      <c r="AL58" s="24"/>
      <c r="AM58" s="24"/>
      <c r="AN58" s="24"/>
      <c r="AO58" s="24"/>
      <c r="AP58" s="24"/>
      <c r="AQ58" s="24"/>
      <c r="AR58" s="24"/>
      <c r="AS58" s="24"/>
      <c r="AT58" s="24"/>
      <c r="AU58" s="24"/>
      <c r="AV58" s="24"/>
      <c r="AW58" s="24"/>
      <c r="AX58" s="24"/>
      <c r="AY58" s="24"/>
      <c r="AZ58" s="24"/>
      <c r="BA58" s="24"/>
      <c r="BB58" s="24"/>
      <c r="BC58" s="24"/>
      <c r="BD58" s="24"/>
      <c r="BE58" s="24"/>
      <c r="BF58" s="24"/>
      <c r="BG58" s="24"/>
      <c r="BH58" s="24"/>
      <c r="BI58" s="24"/>
      <c r="BJ58" s="24"/>
      <c r="BK58" s="24"/>
      <c r="BL58" s="24"/>
    </row>
    <row r="59" spans="3:64" x14ac:dyDescent="0.25">
      <c r="C59" s="24"/>
      <c r="D59" s="24"/>
      <c r="E59" s="24"/>
      <c r="F59" s="24"/>
      <c r="G59" s="24"/>
      <c r="H59" s="24"/>
      <c r="I59" s="24"/>
      <c r="J59" s="24"/>
      <c r="K59" s="24"/>
      <c r="L59" s="24"/>
      <c r="M59" s="24"/>
      <c r="N59" s="24"/>
      <c r="O59" s="24"/>
      <c r="P59" s="24"/>
      <c r="Q59" s="24"/>
      <c r="R59" s="24"/>
      <c r="S59" s="24"/>
      <c r="T59" s="24"/>
      <c r="U59" s="24"/>
      <c r="V59" s="24"/>
      <c r="W59" s="24"/>
      <c r="X59" s="24"/>
      <c r="Y59" s="24"/>
      <c r="Z59" s="24"/>
      <c r="AA59" s="24"/>
      <c r="AB59" s="24"/>
      <c r="AC59" s="24"/>
      <c r="AD59" s="24"/>
      <c r="AE59" s="24"/>
      <c r="AF59" s="24"/>
      <c r="AG59" s="24"/>
      <c r="AH59" s="24"/>
      <c r="AI59" s="24"/>
      <c r="AJ59" s="24"/>
      <c r="AK59" s="24"/>
      <c r="AL59" s="24"/>
      <c r="AM59" s="24"/>
      <c r="AN59" s="24"/>
      <c r="AO59" s="24"/>
      <c r="AP59" s="24"/>
      <c r="AQ59" s="24"/>
      <c r="AR59" s="24"/>
      <c r="AS59" s="24"/>
      <c r="AT59" s="24"/>
      <c r="AU59" s="24"/>
      <c r="AV59" s="24"/>
      <c r="AW59" s="24"/>
      <c r="AX59" s="24"/>
      <c r="AY59" s="24"/>
      <c r="AZ59" s="24"/>
      <c r="BA59" s="24"/>
      <c r="BB59" s="24"/>
      <c r="BC59" s="24"/>
      <c r="BD59" s="24"/>
      <c r="BE59" s="24"/>
      <c r="BF59" s="24"/>
      <c r="BG59" s="24"/>
      <c r="BH59" s="24"/>
      <c r="BI59" s="24"/>
      <c r="BJ59" s="24"/>
      <c r="BK59" s="24"/>
      <c r="BL59" s="24"/>
    </row>
    <row r="60" spans="3:64" x14ac:dyDescent="0.25">
      <c r="C60" s="24"/>
      <c r="D60" s="24"/>
      <c r="E60" s="24"/>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c r="AE60" s="24"/>
      <c r="AF60" s="24"/>
      <c r="AG60" s="24"/>
      <c r="AH60" s="24"/>
      <c r="AI60" s="24"/>
      <c r="AJ60" s="24"/>
      <c r="AK60" s="24"/>
      <c r="AL60" s="24"/>
      <c r="AM60" s="24"/>
      <c r="AN60" s="24"/>
      <c r="AO60" s="24"/>
      <c r="AP60" s="24"/>
      <c r="AQ60" s="24"/>
      <c r="AR60" s="24"/>
      <c r="AS60" s="24"/>
      <c r="AT60" s="24"/>
      <c r="AU60" s="24"/>
      <c r="AV60" s="24"/>
      <c r="AW60" s="24"/>
      <c r="AX60" s="24"/>
      <c r="AY60" s="24"/>
      <c r="AZ60" s="24"/>
      <c r="BA60" s="24"/>
      <c r="BB60" s="24"/>
      <c r="BC60" s="24"/>
      <c r="BD60" s="24"/>
      <c r="BE60" s="24"/>
      <c r="BF60" s="24"/>
      <c r="BG60" s="24"/>
      <c r="BH60" s="24"/>
      <c r="BI60" s="24"/>
      <c r="BJ60" s="24"/>
      <c r="BK60" s="24"/>
      <c r="BL60" s="24"/>
    </row>
    <row r="61" spans="3:64" x14ac:dyDescent="0.25">
      <c r="C61" s="24"/>
      <c r="D61" s="24"/>
      <c r="E61" s="24"/>
      <c r="F61" s="24"/>
      <c r="G61" s="24"/>
      <c r="H61" s="24"/>
      <c r="I61" s="24"/>
      <c r="J61" s="24"/>
      <c r="K61" s="24"/>
      <c r="L61" s="24"/>
      <c r="M61" s="24"/>
      <c r="N61" s="24"/>
      <c r="O61" s="24"/>
      <c r="P61" s="24"/>
      <c r="Q61" s="24"/>
      <c r="R61" s="24"/>
      <c r="S61" s="24"/>
      <c r="T61" s="24"/>
      <c r="U61" s="24"/>
      <c r="V61" s="24"/>
      <c r="W61" s="24"/>
      <c r="X61" s="24"/>
      <c r="Y61" s="24"/>
      <c r="Z61" s="24"/>
      <c r="AA61" s="24"/>
      <c r="AB61" s="24"/>
      <c r="AC61" s="24"/>
      <c r="AD61" s="24"/>
      <c r="AE61" s="24"/>
      <c r="AF61" s="24"/>
      <c r="AG61" s="24"/>
      <c r="AH61" s="24"/>
      <c r="AI61" s="24"/>
      <c r="AJ61" s="24"/>
      <c r="AK61" s="24"/>
      <c r="AL61" s="24"/>
      <c r="AM61" s="24"/>
      <c r="AN61" s="24"/>
      <c r="AO61" s="24"/>
      <c r="AP61" s="24"/>
      <c r="AQ61" s="24"/>
      <c r="AR61" s="24"/>
      <c r="AS61" s="24"/>
      <c r="AT61" s="24"/>
      <c r="AU61" s="24"/>
      <c r="AV61" s="24"/>
      <c r="AW61" s="24"/>
      <c r="AX61" s="24"/>
      <c r="AY61" s="24"/>
      <c r="AZ61" s="24"/>
      <c r="BA61" s="24"/>
      <c r="BB61" s="24"/>
      <c r="BC61" s="24"/>
      <c r="BD61" s="24"/>
      <c r="BE61" s="24"/>
      <c r="BF61" s="24"/>
      <c r="BG61" s="24"/>
      <c r="BH61" s="24"/>
      <c r="BI61" s="24"/>
      <c r="BJ61" s="24"/>
      <c r="BK61" s="24"/>
      <c r="BL61" s="24"/>
    </row>
    <row r="62" spans="3:64" x14ac:dyDescent="0.25">
      <c r="C62" s="24"/>
      <c r="D62" s="24"/>
      <c r="E62" s="24"/>
      <c r="F62" s="24"/>
      <c r="G62" s="24"/>
      <c r="H62" s="24"/>
      <c r="I62" s="24"/>
      <c r="J62" s="24"/>
      <c r="K62" s="24"/>
      <c r="L62" s="24"/>
      <c r="M62" s="24"/>
      <c r="N62" s="24"/>
      <c r="O62" s="24"/>
      <c r="P62" s="24"/>
      <c r="Q62" s="24"/>
      <c r="R62" s="24"/>
      <c r="S62" s="24"/>
      <c r="T62" s="24"/>
      <c r="U62" s="24"/>
      <c r="V62" s="24"/>
      <c r="W62" s="24"/>
      <c r="X62" s="24"/>
      <c r="Y62" s="24"/>
      <c r="Z62" s="24"/>
      <c r="AA62" s="24"/>
      <c r="AB62" s="24"/>
      <c r="AC62" s="24"/>
      <c r="AD62" s="24"/>
      <c r="AE62" s="24"/>
      <c r="AF62" s="24"/>
      <c r="AG62" s="24"/>
      <c r="AH62" s="24"/>
      <c r="AI62" s="24"/>
      <c r="AJ62" s="24"/>
      <c r="AK62" s="24"/>
      <c r="AL62" s="24"/>
      <c r="AM62" s="24"/>
      <c r="AN62" s="24"/>
      <c r="AO62" s="24"/>
      <c r="AP62" s="24"/>
      <c r="AQ62" s="24"/>
      <c r="AR62" s="24"/>
      <c r="AS62" s="24"/>
      <c r="AT62" s="24"/>
      <c r="AU62" s="24"/>
      <c r="AV62" s="24"/>
      <c r="AW62" s="24"/>
      <c r="AX62" s="24"/>
      <c r="AY62" s="24"/>
      <c r="AZ62" s="24"/>
      <c r="BA62" s="24"/>
      <c r="BB62" s="24"/>
      <c r="BC62" s="24"/>
      <c r="BD62" s="24"/>
      <c r="BE62" s="24"/>
      <c r="BF62" s="24"/>
      <c r="BG62" s="24"/>
      <c r="BH62" s="24"/>
      <c r="BI62" s="24"/>
      <c r="BJ62" s="24"/>
      <c r="BK62" s="24"/>
      <c r="BL62" s="24"/>
    </row>
    <row r="63" spans="3:64" x14ac:dyDescent="0.25">
      <c r="C63" s="24"/>
      <c r="D63" s="24"/>
      <c r="E63" s="24"/>
      <c r="F63" s="24"/>
      <c r="G63" s="24"/>
      <c r="H63" s="24"/>
      <c r="I63" s="24"/>
      <c r="J63" s="24"/>
      <c r="K63" s="24"/>
      <c r="L63" s="24"/>
      <c r="M63" s="24"/>
      <c r="N63" s="24"/>
      <c r="O63" s="24"/>
      <c r="P63" s="24"/>
      <c r="Q63" s="24"/>
      <c r="R63" s="24"/>
      <c r="S63" s="24"/>
      <c r="T63" s="24"/>
      <c r="U63" s="24"/>
      <c r="V63" s="24"/>
      <c r="W63" s="24"/>
      <c r="X63" s="24"/>
      <c r="Y63" s="24"/>
      <c r="Z63" s="24"/>
      <c r="AA63" s="24"/>
      <c r="AB63" s="24"/>
      <c r="AC63" s="24"/>
      <c r="AD63" s="24"/>
      <c r="AE63" s="24"/>
      <c r="AF63" s="24"/>
      <c r="AG63" s="24"/>
      <c r="AH63" s="24"/>
      <c r="AI63" s="24"/>
      <c r="AJ63" s="24"/>
      <c r="AK63" s="24"/>
      <c r="AL63" s="24"/>
      <c r="AM63" s="24"/>
      <c r="AN63" s="24"/>
      <c r="AO63" s="24"/>
      <c r="AP63" s="24"/>
      <c r="AQ63" s="24"/>
      <c r="AR63" s="24"/>
      <c r="AS63" s="24"/>
      <c r="AT63" s="24"/>
      <c r="AU63" s="24"/>
      <c r="AV63" s="24"/>
      <c r="AW63" s="24"/>
      <c r="AX63" s="24"/>
      <c r="AY63" s="24"/>
      <c r="AZ63" s="24"/>
      <c r="BA63" s="24"/>
      <c r="BB63" s="24"/>
      <c r="BC63" s="24"/>
      <c r="BD63" s="24"/>
      <c r="BE63" s="24"/>
      <c r="BF63" s="24"/>
      <c r="BG63" s="24"/>
      <c r="BH63" s="24"/>
      <c r="BI63" s="24"/>
      <c r="BJ63" s="24"/>
      <c r="BK63" s="24"/>
      <c r="BL63" s="24"/>
    </row>
    <row r="64" spans="3:64" x14ac:dyDescent="0.25">
      <c r="C64" s="24"/>
      <c r="D64" s="24"/>
      <c r="E64" s="24"/>
      <c r="F64" s="24"/>
      <c r="G64" s="24"/>
      <c r="H64" s="24"/>
      <c r="I64" s="24"/>
      <c r="J64" s="24"/>
      <c r="K64" s="24"/>
      <c r="L64" s="24"/>
      <c r="M64" s="24"/>
      <c r="N64" s="24"/>
      <c r="O64" s="24"/>
      <c r="P64" s="24"/>
      <c r="Q64" s="24"/>
      <c r="R64" s="24"/>
      <c r="S64" s="24"/>
      <c r="T64" s="24"/>
      <c r="U64" s="24"/>
      <c r="V64" s="24"/>
      <c r="W64" s="24"/>
      <c r="X64" s="24"/>
      <c r="Y64" s="24"/>
      <c r="Z64" s="24"/>
      <c r="AA64" s="24"/>
      <c r="AB64" s="24"/>
      <c r="AC64" s="24"/>
      <c r="AD64" s="24"/>
      <c r="AE64" s="24"/>
      <c r="AF64" s="24"/>
      <c r="AG64" s="24"/>
      <c r="AH64" s="24"/>
      <c r="AI64" s="24"/>
      <c r="AJ64" s="24"/>
      <c r="AK64" s="24"/>
      <c r="AL64" s="24"/>
      <c r="AM64" s="24"/>
      <c r="AN64" s="24"/>
      <c r="AO64" s="24"/>
      <c r="AP64" s="24"/>
      <c r="AQ64" s="24"/>
      <c r="AR64" s="24"/>
      <c r="AS64" s="24"/>
      <c r="AT64" s="24"/>
      <c r="AU64" s="24"/>
      <c r="AV64" s="24"/>
      <c r="AW64" s="24"/>
      <c r="AX64" s="24"/>
      <c r="AY64" s="24"/>
      <c r="AZ64" s="24"/>
      <c r="BA64" s="24"/>
      <c r="BB64" s="24"/>
      <c r="BC64" s="24"/>
      <c r="BD64" s="24"/>
      <c r="BE64" s="24"/>
      <c r="BF64" s="24"/>
      <c r="BG64" s="24"/>
      <c r="BH64" s="24"/>
      <c r="BI64" s="24"/>
      <c r="BJ64" s="24"/>
      <c r="BK64" s="24"/>
      <c r="BL64" s="24"/>
    </row>
    <row r="65" spans="3:64" x14ac:dyDescent="0.25">
      <c r="C65" s="24"/>
      <c r="D65" s="24"/>
      <c r="E65" s="24"/>
      <c r="F65" s="24"/>
      <c r="G65" s="24"/>
      <c r="H65" s="24"/>
      <c r="I65" s="24"/>
      <c r="J65" s="24"/>
      <c r="K65" s="24"/>
      <c r="L65" s="24"/>
      <c r="M65" s="24"/>
      <c r="N65" s="24"/>
      <c r="O65" s="24"/>
      <c r="P65" s="24"/>
      <c r="Q65" s="24"/>
      <c r="R65" s="24"/>
      <c r="S65" s="24"/>
      <c r="T65" s="24"/>
      <c r="U65" s="24"/>
      <c r="V65" s="24"/>
      <c r="W65" s="24"/>
      <c r="X65" s="24"/>
      <c r="Y65" s="24"/>
      <c r="Z65" s="24"/>
      <c r="AA65" s="24"/>
      <c r="AB65" s="24"/>
      <c r="AC65" s="24"/>
      <c r="AD65" s="24"/>
      <c r="AE65" s="24"/>
      <c r="AF65" s="24"/>
      <c r="AG65" s="24"/>
      <c r="AH65" s="24"/>
      <c r="AI65" s="24"/>
      <c r="AJ65" s="24"/>
      <c r="AK65" s="24"/>
      <c r="AL65" s="24"/>
      <c r="AM65" s="24"/>
      <c r="AN65" s="24"/>
      <c r="AO65" s="24"/>
      <c r="AP65" s="24"/>
      <c r="AQ65" s="24"/>
      <c r="AR65" s="24"/>
      <c r="AS65" s="24"/>
      <c r="AT65" s="24"/>
      <c r="AU65" s="24"/>
      <c r="AV65" s="24"/>
      <c r="AW65" s="24"/>
      <c r="AX65" s="24"/>
      <c r="AY65" s="24"/>
      <c r="AZ65" s="24"/>
      <c r="BA65" s="24"/>
      <c r="BB65" s="24"/>
      <c r="BC65" s="24"/>
      <c r="BD65" s="24"/>
      <c r="BE65" s="24"/>
      <c r="BF65" s="24"/>
      <c r="BG65" s="24"/>
      <c r="BH65" s="24"/>
      <c r="BI65" s="24"/>
      <c r="BJ65" s="24"/>
      <c r="BK65" s="24"/>
      <c r="BL65" s="24"/>
    </row>
    <row r="66" spans="3:64" x14ac:dyDescent="0.25">
      <c r="C66" s="24"/>
      <c r="D66" s="24"/>
      <c r="E66" s="24"/>
      <c r="F66" s="24"/>
      <c r="G66" s="24"/>
      <c r="H66" s="24"/>
      <c r="I66" s="24"/>
      <c r="J66" s="24"/>
      <c r="K66" s="24"/>
      <c r="L66" s="24"/>
      <c r="M66" s="24"/>
      <c r="N66" s="24"/>
      <c r="O66" s="24"/>
      <c r="P66" s="24"/>
      <c r="Q66" s="24"/>
      <c r="R66" s="24"/>
      <c r="S66" s="24"/>
      <c r="T66" s="24"/>
      <c r="U66" s="24"/>
      <c r="V66" s="24"/>
      <c r="W66" s="24"/>
      <c r="X66" s="24"/>
      <c r="Y66" s="24"/>
      <c r="Z66" s="24"/>
      <c r="AA66" s="24"/>
      <c r="AB66" s="24"/>
      <c r="AC66" s="24"/>
      <c r="AD66" s="24"/>
      <c r="AE66" s="24"/>
      <c r="AF66" s="24"/>
      <c r="AG66" s="24"/>
      <c r="AH66" s="24"/>
      <c r="AI66" s="24"/>
      <c r="AJ66" s="24"/>
      <c r="AK66" s="24"/>
      <c r="AL66" s="24"/>
      <c r="AM66" s="24"/>
      <c r="AN66" s="24"/>
      <c r="AO66" s="24"/>
      <c r="AP66" s="24"/>
      <c r="AQ66" s="24"/>
      <c r="AR66" s="24"/>
      <c r="AS66" s="24"/>
      <c r="AT66" s="24"/>
      <c r="AU66" s="24"/>
      <c r="AV66" s="24"/>
      <c r="AW66" s="24"/>
      <c r="AX66" s="24"/>
      <c r="AY66" s="24"/>
      <c r="AZ66" s="24"/>
      <c r="BA66" s="24"/>
      <c r="BB66" s="24"/>
      <c r="BC66" s="24"/>
      <c r="BD66" s="24"/>
      <c r="BE66" s="24"/>
      <c r="BF66" s="24"/>
      <c r="BG66" s="24"/>
      <c r="BH66" s="24"/>
      <c r="BI66" s="24"/>
      <c r="BJ66" s="24"/>
      <c r="BK66" s="24"/>
      <c r="BL66" s="24"/>
    </row>
    <row r="67" spans="3:64" x14ac:dyDescent="0.25">
      <c r="C67" s="24"/>
      <c r="D67" s="24"/>
      <c r="E67" s="24"/>
      <c r="F67" s="24"/>
      <c r="G67" s="24"/>
      <c r="H67" s="24"/>
      <c r="I67" s="24"/>
      <c r="J67" s="24"/>
      <c r="K67" s="24"/>
      <c r="L67" s="24"/>
      <c r="M67" s="24"/>
      <c r="N67" s="24"/>
      <c r="O67" s="24"/>
      <c r="P67" s="24"/>
      <c r="Q67" s="24"/>
      <c r="R67" s="24"/>
      <c r="S67" s="24"/>
      <c r="T67" s="24"/>
      <c r="U67" s="24"/>
      <c r="V67" s="24"/>
      <c r="W67" s="24"/>
      <c r="X67" s="24"/>
      <c r="Y67" s="24"/>
      <c r="Z67" s="24"/>
      <c r="AA67" s="24"/>
      <c r="AB67" s="24"/>
      <c r="AC67" s="24"/>
      <c r="AD67" s="24"/>
      <c r="AE67" s="24"/>
      <c r="AF67" s="24"/>
      <c r="AG67" s="24"/>
      <c r="AH67" s="24"/>
      <c r="AI67" s="24"/>
      <c r="AJ67" s="24"/>
      <c r="AK67" s="24"/>
      <c r="AL67" s="24"/>
      <c r="AM67" s="24"/>
      <c r="AN67" s="24"/>
      <c r="AO67" s="24"/>
      <c r="AP67" s="24"/>
      <c r="AQ67" s="24"/>
      <c r="AR67" s="24"/>
      <c r="AS67" s="24"/>
      <c r="AT67" s="24"/>
      <c r="AU67" s="24"/>
      <c r="AV67" s="24"/>
      <c r="AW67" s="24"/>
      <c r="AX67" s="24"/>
      <c r="AY67" s="24"/>
      <c r="AZ67" s="24"/>
      <c r="BA67" s="24"/>
      <c r="BB67" s="24"/>
      <c r="BC67" s="24"/>
      <c r="BD67" s="24"/>
      <c r="BE67" s="24"/>
      <c r="BF67" s="24"/>
      <c r="BG67" s="24"/>
      <c r="BH67" s="24"/>
      <c r="BI67" s="24"/>
      <c r="BJ67" s="24"/>
      <c r="BK67" s="24"/>
      <c r="BL67" s="24"/>
    </row>
    <row r="68" spans="3:64" x14ac:dyDescent="0.25">
      <c r="C68" s="24"/>
      <c r="D68" s="24"/>
      <c r="E68" s="24"/>
      <c r="F68" s="24"/>
      <c r="G68" s="24"/>
      <c r="H68" s="24"/>
      <c r="I68" s="24"/>
      <c r="J68" s="24"/>
      <c r="K68" s="24"/>
      <c r="L68" s="24"/>
      <c r="M68" s="24"/>
      <c r="N68" s="24"/>
      <c r="O68" s="24"/>
      <c r="P68" s="24"/>
      <c r="Q68" s="24"/>
      <c r="R68" s="24"/>
      <c r="S68" s="24"/>
      <c r="T68" s="24"/>
      <c r="U68" s="24"/>
      <c r="V68" s="24"/>
      <c r="W68" s="24"/>
      <c r="X68" s="24"/>
      <c r="Y68" s="24"/>
      <c r="Z68" s="24"/>
      <c r="AA68" s="24"/>
      <c r="AB68" s="24"/>
      <c r="AC68" s="24"/>
      <c r="AD68" s="24"/>
      <c r="AE68" s="24"/>
      <c r="AF68" s="24"/>
      <c r="AG68" s="24"/>
      <c r="AH68" s="24"/>
      <c r="AI68" s="24"/>
      <c r="AJ68" s="24"/>
      <c r="AK68" s="24"/>
      <c r="AL68" s="24"/>
      <c r="AM68" s="24"/>
      <c r="AN68" s="24"/>
      <c r="AO68" s="24"/>
      <c r="AP68" s="24"/>
      <c r="AQ68" s="24"/>
      <c r="AR68" s="24"/>
      <c r="AS68" s="24"/>
      <c r="AT68" s="24"/>
      <c r="AU68" s="24"/>
      <c r="AV68" s="24"/>
      <c r="AW68" s="24"/>
      <c r="AX68" s="24"/>
      <c r="AY68" s="24"/>
      <c r="AZ68" s="24"/>
      <c r="BA68" s="24"/>
      <c r="BB68" s="24"/>
      <c r="BC68" s="24"/>
      <c r="BD68" s="24"/>
      <c r="BE68" s="24"/>
      <c r="BF68" s="24"/>
      <c r="BG68" s="24"/>
      <c r="BH68" s="24"/>
      <c r="BI68" s="24"/>
      <c r="BJ68" s="24"/>
      <c r="BK68" s="24"/>
      <c r="BL68" s="24"/>
    </row>
    <row r="69" spans="3:64" x14ac:dyDescent="0.25">
      <c r="C69" s="24"/>
      <c r="D69" s="24"/>
      <c r="E69" s="24"/>
      <c r="F69" s="24"/>
      <c r="G69" s="24"/>
      <c r="H69" s="24"/>
      <c r="I69" s="24"/>
      <c r="J69" s="24"/>
      <c r="K69" s="24"/>
      <c r="L69" s="24"/>
      <c r="M69" s="24"/>
      <c r="N69" s="24"/>
      <c r="O69" s="24"/>
      <c r="P69" s="24"/>
      <c r="Q69" s="24"/>
      <c r="R69" s="24"/>
      <c r="S69" s="24"/>
      <c r="T69" s="24"/>
      <c r="U69" s="24"/>
      <c r="V69" s="24"/>
      <c r="W69" s="24"/>
      <c r="X69" s="24"/>
      <c r="Y69" s="24"/>
      <c r="Z69" s="24"/>
      <c r="AA69" s="24"/>
      <c r="AB69" s="24"/>
      <c r="AC69" s="24"/>
      <c r="AD69" s="24"/>
      <c r="AE69" s="24"/>
      <c r="AF69" s="24"/>
      <c r="AG69" s="24"/>
      <c r="AH69" s="24"/>
      <c r="AI69" s="24"/>
      <c r="AJ69" s="24"/>
      <c r="AK69" s="24"/>
      <c r="AL69" s="24"/>
      <c r="AM69" s="24"/>
      <c r="AN69" s="24"/>
      <c r="AO69" s="24"/>
      <c r="AP69" s="24"/>
      <c r="AQ69" s="24"/>
      <c r="AR69" s="24"/>
      <c r="AS69" s="24"/>
      <c r="AT69" s="24"/>
      <c r="AU69" s="24"/>
      <c r="AV69" s="24"/>
      <c r="AW69" s="24"/>
      <c r="AX69" s="24"/>
      <c r="AY69" s="24"/>
      <c r="AZ69" s="24"/>
      <c r="BA69" s="24"/>
      <c r="BB69" s="24"/>
      <c r="BC69" s="24"/>
      <c r="BD69" s="24"/>
      <c r="BE69" s="24"/>
      <c r="BF69" s="24"/>
      <c r="BG69" s="24"/>
      <c r="BH69" s="24"/>
      <c r="BI69" s="24"/>
      <c r="BJ69" s="24"/>
      <c r="BK69" s="24"/>
      <c r="BL69" s="24"/>
    </row>
    <row r="70" spans="3:64" x14ac:dyDescent="0.25">
      <c r="C70" s="24"/>
      <c r="D70" s="24"/>
      <c r="E70" s="24"/>
      <c r="F70" s="24"/>
      <c r="G70" s="24"/>
      <c r="H70" s="24"/>
      <c r="I70" s="24"/>
      <c r="J70" s="24"/>
      <c r="K70" s="24"/>
      <c r="L70" s="24"/>
      <c r="M70" s="24"/>
      <c r="N70" s="24"/>
      <c r="O70" s="24"/>
      <c r="P70" s="24"/>
      <c r="Q70" s="24"/>
      <c r="R70" s="24"/>
      <c r="S70" s="24"/>
      <c r="T70" s="24"/>
      <c r="U70" s="24"/>
      <c r="V70" s="24"/>
      <c r="W70" s="24"/>
      <c r="X70" s="24"/>
      <c r="Y70" s="24"/>
      <c r="Z70" s="24"/>
      <c r="AA70" s="24"/>
      <c r="AB70" s="24"/>
      <c r="AC70" s="24"/>
      <c r="AD70" s="24"/>
      <c r="AE70" s="24"/>
      <c r="AF70" s="24"/>
      <c r="AG70" s="24"/>
      <c r="AH70" s="24"/>
      <c r="AI70" s="24"/>
      <c r="AJ70" s="24"/>
      <c r="AK70" s="24"/>
      <c r="AL70" s="24"/>
      <c r="AM70" s="24"/>
      <c r="AN70" s="24"/>
      <c r="AO70" s="24"/>
      <c r="AP70" s="24"/>
      <c r="AQ70" s="24"/>
      <c r="AR70" s="24"/>
      <c r="AS70" s="24"/>
      <c r="AT70" s="24"/>
      <c r="AU70" s="24"/>
      <c r="AV70" s="24"/>
      <c r="AW70" s="24"/>
      <c r="AX70" s="24"/>
      <c r="AY70" s="24"/>
      <c r="AZ70" s="24"/>
      <c r="BA70" s="24"/>
      <c r="BB70" s="24"/>
      <c r="BC70" s="24"/>
      <c r="BD70" s="24"/>
      <c r="BE70" s="24"/>
      <c r="BF70" s="24"/>
      <c r="BG70" s="24"/>
      <c r="BH70" s="24"/>
      <c r="BI70" s="24"/>
      <c r="BJ70" s="24"/>
      <c r="BK70" s="24"/>
      <c r="BL70" s="24"/>
    </row>
    <row r="71" spans="3:64" x14ac:dyDescent="0.25">
      <c r="C71" s="24"/>
      <c r="D71" s="24"/>
      <c r="E71" s="24"/>
      <c r="F71" s="24"/>
      <c r="G71" s="24"/>
      <c r="H71" s="24"/>
      <c r="I71" s="24"/>
      <c r="J71" s="24"/>
      <c r="K71" s="24"/>
      <c r="L71" s="24"/>
      <c r="M71" s="24"/>
      <c r="N71" s="24"/>
      <c r="O71" s="24"/>
      <c r="P71" s="24"/>
      <c r="Q71" s="24"/>
      <c r="R71" s="24"/>
      <c r="S71" s="24"/>
      <c r="T71" s="24"/>
      <c r="U71" s="24"/>
      <c r="V71" s="24"/>
      <c r="W71" s="24"/>
      <c r="X71" s="24"/>
      <c r="Y71" s="24"/>
      <c r="Z71" s="24"/>
      <c r="AA71" s="24"/>
      <c r="AB71" s="24"/>
      <c r="AC71" s="24"/>
      <c r="AD71" s="24"/>
      <c r="AE71" s="24"/>
      <c r="AF71" s="24"/>
      <c r="AG71" s="24"/>
      <c r="AH71" s="24"/>
      <c r="AI71" s="24"/>
      <c r="AJ71" s="24"/>
      <c r="AK71" s="24"/>
      <c r="AL71" s="24"/>
      <c r="AM71" s="24"/>
      <c r="AN71" s="24"/>
      <c r="AO71" s="24"/>
      <c r="AP71" s="24"/>
      <c r="AQ71" s="24"/>
      <c r="AR71" s="24"/>
      <c r="AS71" s="24"/>
      <c r="AT71" s="24"/>
      <c r="AU71" s="24"/>
      <c r="AV71" s="24"/>
      <c r="AW71" s="24"/>
      <c r="AX71" s="24"/>
      <c r="AY71" s="24"/>
      <c r="AZ71" s="24"/>
      <c r="BA71" s="24"/>
      <c r="BB71" s="24"/>
      <c r="BC71" s="24"/>
      <c r="BD71" s="24"/>
      <c r="BE71" s="24"/>
      <c r="BF71" s="24"/>
      <c r="BG71" s="24"/>
      <c r="BH71" s="24"/>
      <c r="BI71" s="24"/>
      <c r="BJ71" s="24"/>
      <c r="BK71" s="24"/>
      <c r="BL71" s="24"/>
    </row>
    <row r="72" spans="3:64" x14ac:dyDescent="0.25">
      <c r="C72" s="24"/>
      <c r="D72" s="24"/>
      <c r="E72" s="24"/>
      <c r="F72" s="24"/>
      <c r="G72" s="24"/>
      <c r="H72" s="24"/>
      <c r="I72" s="24"/>
      <c r="J72" s="24"/>
      <c r="K72" s="24"/>
      <c r="L72" s="24"/>
      <c r="M72" s="24"/>
      <c r="N72" s="24"/>
      <c r="O72" s="24"/>
      <c r="P72" s="24"/>
      <c r="Q72" s="24"/>
      <c r="R72" s="24"/>
      <c r="S72" s="24"/>
      <c r="T72" s="24"/>
      <c r="U72" s="24"/>
      <c r="V72" s="24"/>
      <c r="W72" s="24"/>
      <c r="X72" s="24"/>
      <c r="Y72" s="24"/>
      <c r="Z72" s="24"/>
      <c r="AA72" s="24"/>
      <c r="AB72" s="24"/>
      <c r="AC72" s="24"/>
      <c r="AD72" s="24"/>
      <c r="AE72" s="24"/>
      <c r="AF72" s="24"/>
      <c r="AG72" s="24"/>
      <c r="AH72" s="24"/>
      <c r="AI72" s="24"/>
      <c r="AJ72" s="24"/>
      <c r="AK72" s="24"/>
      <c r="AL72" s="24"/>
      <c r="AM72" s="24"/>
      <c r="AN72" s="24"/>
      <c r="AO72" s="24"/>
      <c r="AP72" s="24"/>
      <c r="AQ72" s="24"/>
      <c r="AR72" s="24"/>
      <c r="AS72" s="24"/>
      <c r="AT72" s="24"/>
      <c r="AU72" s="24"/>
      <c r="AV72" s="24"/>
      <c r="AW72" s="24"/>
      <c r="AX72" s="24"/>
      <c r="AY72" s="24"/>
      <c r="AZ72" s="24"/>
      <c r="BA72" s="24"/>
      <c r="BB72" s="24"/>
      <c r="BC72" s="24"/>
      <c r="BD72" s="24"/>
      <c r="BE72" s="24"/>
      <c r="BF72" s="24"/>
      <c r="BG72" s="24"/>
      <c r="BH72" s="24"/>
      <c r="BI72" s="24"/>
      <c r="BJ72" s="24"/>
      <c r="BK72" s="24"/>
      <c r="BL72" s="24"/>
    </row>
    <row r="73" spans="3:64" x14ac:dyDescent="0.25">
      <c r="C73" s="24"/>
      <c r="D73" s="24"/>
      <c r="E73" s="24"/>
      <c r="F73" s="24"/>
      <c r="G73" s="24"/>
      <c r="H73" s="24"/>
      <c r="I73" s="24"/>
      <c r="J73" s="24"/>
      <c r="K73" s="24"/>
      <c r="L73" s="24"/>
      <c r="M73" s="24"/>
      <c r="N73" s="24"/>
      <c r="O73" s="24"/>
      <c r="P73" s="24"/>
      <c r="Q73" s="24"/>
      <c r="R73" s="24"/>
      <c r="S73" s="24"/>
      <c r="T73" s="24"/>
      <c r="U73" s="24"/>
      <c r="V73" s="24"/>
      <c r="W73" s="24"/>
      <c r="X73" s="24"/>
      <c r="Y73" s="24"/>
      <c r="Z73" s="24"/>
      <c r="AA73" s="24"/>
      <c r="AB73" s="24"/>
      <c r="AC73" s="24"/>
      <c r="AD73" s="24"/>
      <c r="AE73" s="24"/>
      <c r="AF73" s="24"/>
      <c r="AG73" s="24"/>
      <c r="AH73" s="24"/>
      <c r="AI73" s="24"/>
      <c r="AJ73" s="24"/>
      <c r="AK73" s="24"/>
      <c r="AL73" s="24"/>
      <c r="AM73" s="24"/>
      <c r="AN73" s="24"/>
      <c r="AO73" s="24"/>
      <c r="AP73" s="24"/>
      <c r="AQ73" s="24"/>
      <c r="AR73" s="24"/>
      <c r="AS73" s="24"/>
      <c r="AT73" s="24"/>
      <c r="AU73" s="24"/>
      <c r="AV73" s="24"/>
      <c r="AW73" s="24"/>
      <c r="AX73" s="24"/>
      <c r="AY73" s="24"/>
      <c r="AZ73" s="24"/>
      <c r="BA73" s="24"/>
      <c r="BB73" s="24"/>
      <c r="BC73" s="24"/>
      <c r="BD73" s="24"/>
      <c r="BE73" s="24"/>
      <c r="BF73" s="24"/>
      <c r="BG73" s="24"/>
      <c r="BH73" s="24"/>
      <c r="BI73" s="24"/>
      <c r="BJ73" s="24"/>
      <c r="BK73" s="24"/>
      <c r="BL73" s="24"/>
    </row>
    <row r="74" spans="3:64" x14ac:dyDescent="0.25">
      <c r="C74" s="24"/>
      <c r="D74" s="24"/>
      <c r="E74" s="24"/>
      <c r="F74" s="24"/>
      <c r="G74" s="24"/>
      <c r="H74" s="24"/>
      <c r="I74" s="24"/>
      <c r="J74" s="24"/>
      <c r="K74" s="24"/>
      <c r="L74" s="24"/>
      <c r="M74" s="24"/>
      <c r="N74" s="24"/>
      <c r="O74" s="24"/>
      <c r="P74" s="24"/>
      <c r="Q74" s="24"/>
      <c r="R74" s="24"/>
      <c r="S74" s="24"/>
      <c r="T74" s="24"/>
      <c r="U74" s="24"/>
      <c r="V74" s="24"/>
      <c r="W74" s="24"/>
      <c r="X74" s="24"/>
      <c r="Y74" s="24"/>
      <c r="Z74" s="24"/>
      <c r="AA74" s="24"/>
      <c r="AB74" s="24"/>
      <c r="AC74" s="24"/>
      <c r="AD74" s="24"/>
      <c r="AE74" s="24"/>
      <c r="AF74" s="24"/>
      <c r="AG74" s="24"/>
      <c r="AH74" s="24"/>
      <c r="AI74" s="24"/>
      <c r="AJ74" s="24"/>
      <c r="AK74" s="24"/>
      <c r="AL74" s="24"/>
      <c r="AM74" s="24"/>
      <c r="AN74" s="24"/>
      <c r="AO74" s="24"/>
      <c r="AP74" s="24"/>
      <c r="AQ74" s="24"/>
      <c r="AR74" s="24"/>
      <c r="AS74" s="24"/>
      <c r="AT74" s="24"/>
      <c r="AU74" s="24"/>
      <c r="AV74" s="24"/>
      <c r="AW74" s="24"/>
      <c r="AX74" s="24"/>
      <c r="AY74" s="24"/>
      <c r="AZ74" s="24"/>
      <c r="BA74" s="24"/>
      <c r="BB74" s="24"/>
      <c r="BC74" s="24"/>
      <c r="BD74" s="24"/>
      <c r="BE74" s="24"/>
      <c r="BF74" s="24"/>
      <c r="BG74" s="24"/>
      <c r="BH74" s="24"/>
      <c r="BI74" s="24"/>
      <c r="BJ74" s="24"/>
      <c r="BK74" s="24"/>
      <c r="BL74" s="24"/>
    </row>
    <row r="75" spans="3:64" x14ac:dyDescent="0.25">
      <c r="C75" s="24"/>
      <c r="D75" s="24"/>
      <c r="E75" s="24"/>
      <c r="F75" s="24"/>
      <c r="G75" s="24"/>
      <c r="H75" s="24"/>
      <c r="I75" s="24"/>
      <c r="J75" s="24"/>
      <c r="K75" s="24"/>
      <c r="L75" s="24"/>
      <c r="M75" s="24"/>
      <c r="N75" s="24"/>
      <c r="O75" s="24"/>
      <c r="P75" s="24"/>
      <c r="Q75" s="24"/>
      <c r="R75" s="24"/>
      <c r="S75" s="24"/>
      <c r="T75" s="24"/>
      <c r="U75" s="24"/>
      <c r="V75" s="24"/>
      <c r="W75" s="24"/>
      <c r="X75" s="24"/>
      <c r="Y75" s="24"/>
      <c r="Z75" s="24"/>
      <c r="AA75" s="24"/>
      <c r="AB75" s="24"/>
      <c r="AC75" s="24"/>
      <c r="AD75" s="24"/>
      <c r="AE75" s="24"/>
      <c r="AF75" s="24"/>
      <c r="AG75" s="24"/>
      <c r="AH75" s="24"/>
      <c r="AI75" s="24"/>
      <c r="AJ75" s="24"/>
      <c r="AK75" s="24"/>
      <c r="AL75" s="24"/>
      <c r="AM75" s="24"/>
      <c r="AN75" s="24"/>
      <c r="AO75" s="24"/>
      <c r="AP75" s="24"/>
      <c r="AQ75" s="24"/>
      <c r="AR75" s="24"/>
      <c r="AS75" s="24"/>
      <c r="AT75" s="24"/>
      <c r="AU75" s="24"/>
      <c r="AV75" s="24"/>
      <c r="AW75" s="24"/>
      <c r="AX75" s="24"/>
      <c r="AY75" s="24"/>
      <c r="AZ75" s="24"/>
      <c r="BA75" s="24"/>
      <c r="BB75" s="24"/>
      <c r="BC75" s="24"/>
      <c r="BD75" s="24"/>
      <c r="BE75" s="24"/>
      <c r="BF75" s="24"/>
      <c r="BG75" s="24"/>
      <c r="BH75" s="24"/>
      <c r="BI75" s="24"/>
      <c r="BJ75" s="24"/>
      <c r="BK75" s="24"/>
      <c r="BL75" s="24"/>
    </row>
    <row r="76" spans="3:64" x14ac:dyDescent="0.25">
      <c r="C76" s="24"/>
      <c r="D76" s="24"/>
      <c r="E76" s="24"/>
      <c r="F76" s="24"/>
      <c r="G76" s="24"/>
      <c r="H76" s="24"/>
      <c r="I76" s="24"/>
      <c r="J76" s="24"/>
      <c r="K76" s="24"/>
      <c r="L76" s="24"/>
      <c r="M76" s="24"/>
      <c r="N76" s="24"/>
      <c r="O76" s="24"/>
      <c r="P76" s="24"/>
      <c r="Q76" s="24"/>
      <c r="R76" s="24"/>
      <c r="S76" s="24"/>
      <c r="T76" s="24"/>
      <c r="U76" s="24"/>
      <c r="V76" s="24"/>
      <c r="W76" s="24"/>
      <c r="X76" s="24"/>
      <c r="Y76" s="24"/>
      <c r="Z76" s="24"/>
      <c r="AA76" s="24"/>
      <c r="AB76" s="24"/>
      <c r="AC76" s="24"/>
      <c r="AD76" s="24"/>
      <c r="AE76" s="24"/>
      <c r="AF76" s="24"/>
      <c r="AG76" s="24"/>
      <c r="AH76" s="24"/>
      <c r="AI76" s="24"/>
      <c r="AJ76" s="24"/>
      <c r="AK76" s="24"/>
      <c r="AL76" s="24"/>
      <c r="AM76" s="24"/>
      <c r="AN76" s="24"/>
      <c r="AO76" s="24"/>
      <c r="AP76" s="24"/>
      <c r="AQ76" s="24"/>
      <c r="AR76" s="24"/>
      <c r="AS76" s="24"/>
      <c r="AT76" s="24"/>
      <c r="AU76" s="24"/>
      <c r="AV76" s="24"/>
      <c r="AW76" s="24"/>
      <c r="AX76" s="24"/>
      <c r="AY76" s="24"/>
      <c r="AZ76" s="24"/>
      <c r="BA76" s="24"/>
      <c r="BB76" s="24"/>
      <c r="BC76" s="24"/>
      <c r="BD76" s="24"/>
      <c r="BE76" s="24"/>
      <c r="BF76" s="24"/>
      <c r="BG76" s="24"/>
      <c r="BH76" s="24"/>
      <c r="BI76" s="24"/>
      <c r="BJ76" s="24"/>
      <c r="BK76" s="24"/>
      <c r="BL76" s="24"/>
    </row>
    <row r="77" spans="3:64" x14ac:dyDescent="0.25">
      <c r="C77" s="24"/>
      <c r="D77" s="24"/>
      <c r="E77" s="24"/>
      <c r="F77" s="24"/>
      <c r="G77" s="24"/>
      <c r="H77" s="24"/>
      <c r="I77" s="24"/>
      <c r="J77" s="24"/>
      <c r="K77" s="24"/>
      <c r="L77" s="24"/>
      <c r="M77" s="24"/>
      <c r="N77" s="24"/>
      <c r="O77" s="24"/>
      <c r="P77" s="24"/>
      <c r="Q77" s="24"/>
      <c r="R77" s="24"/>
      <c r="S77" s="24"/>
      <c r="T77" s="24"/>
      <c r="U77" s="24"/>
      <c r="V77" s="24"/>
      <c r="W77" s="24"/>
      <c r="X77" s="24"/>
      <c r="Y77" s="24"/>
      <c r="Z77" s="24"/>
      <c r="AA77" s="24"/>
      <c r="AB77" s="24"/>
      <c r="AC77" s="24"/>
      <c r="AD77" s="24"/>
      <c r="AE77" s="24"/>
      <c r="AF77" s="24"/>
      <c r="AG77" s="24"/>
      <c r="AH77" s="24"/>
      <c r="AI77" s="24"/>
      <c r="AJ77" s="24"/>
      <c r="AK77" s="24"/>
      <c r="AL77" s="24"/>
      <c r="AM77" s="24"/>
      <c r="AN77" s="24"/>
      <c r="AO77" s="24"/>
      <c r="AP77" s="24"/>
      <c r="AQ77" s="24"/>
      <c r="AR77" s="24"/>
      <c r="AS77" s="24"/>
      <c r="AT77" s="24"/>
      <c r="AU77" s="24"/>
      <c r="AV77" s="24"/>
      <c r="AW77" s="24"/>
      <c r="AX77" s="24"/>
      <c r="AY77" s="24"/>
      <c r="AZ77" s="24"/>
      <c r="BA77" s="24"/>
      <c r="BB77" s="24"/>
      <c r="BC77" s="24"/>
      <c r="BD77" s="24"/>
      <c r="BE77" s="24"/>
      <c r="BF77" s="24"/>
      <c r="BG77" s="24"/>
      <c r="BH77" s="24"/>
      <c r="BI77" s="24"/>
      <c r="BJ77" s="24"/>
      <c r="BK77" s="24"/>
      <c r="BL77" s="24"/>
    </row>
    <row r="78" spans="3:64" x14ac:dyDescent="0.25">
      <c r="C78" s="24"/>
      <c r="D78" s="24"/>
      <c r="E78" s="24"/>
      <c r="F78" s="24"/>
      <c r="G78" s="24"/>
      <c r="H78" s="24"/>
      <c r="I78" s="24"/>
      <c r="J78" s="24"/>
      <c r="K78" s="24"/>
      <c r="L78" s="24"/>
      <c r="M78" s="24"/>
      <c r="N78" s="24"/>
      <c r="O78" s="24"/>
      <c r="P78" s="24"/>
      <c r="Q78" s="24"/>
      <c r="R78" s="24"/>
      <c r="S78" s="24"/>
      <c r="T78" s="24"/>
      <c r="U78" s="24"/>
      <c r="V78" s="24"/>
      <c r="W78" s="24"/>
      <c r="X78" s="24"/>
      <c r="Y78" s="24"/>
      <c r="Z78" s="24"/>
      <c r="AA78" s="24"/>
      <c r="AB78" s="24"/>
      <c r="AC78" s="24"/>
      <c r="AD78" s="24"/>
      <c r="AE78" s="24"/>
      <c r="AF78" s="24"/>
      <c r="AG78" s="24"/>
      <c r="AH78" s="24"/>
      <c r="AI78" s="24"/>
      <c r="AJ78" s="24"/>
      <c r="AK78" s="24"/>
      <c r="AL78" s="24"/>
      <c r="AM78" s="24"/>
      <c r="AN78" s="24"/>
      <c r="AO78" s="24"/>
      <c r="AP78" s="24"/>
      <c r="AQ78" s="24"/>
      <c r="AR78" s="24"/>
      <c r="AS78" s="24"/>
      <c r="AT78" s="24"/>
      <c r="AU78" s="24"/>
      <c r="AV78" s="24"/>
      <c r="AW78" s="24"/>
      <c r="AX78" s="24"/>
      <c r="AY78" s="24"/>
      <c r="AZ78" s="24"/>
      <c r="BA78" s="24"/>
      <c r="BB78" s="24"/>
      <c r="BC78" s="24"/>
      <c r="BD78" s="24"/>
      <c r="BE78" s="24"/>
      <c r="BF78" s="24"/>
      <c r="BG78" s="24"/>
      <c r="BH78" s="24"/>
      <c r="BI78" s="24"/>
      <c r="BJ78" s="24"/>
      <c r="BK78" s="24"/>
      <c r="BL78" s="24"/>
    </row>
    <row r="79" spans="3:64" x14ac:dyDescent="0.25">
      <c r="C79" s="24"/>
      <c r="D79" s="24"/>
      <c r="E79" s="24"/>
      <c r="F79" s="24"/>
      <c r="G79" s="24"/>
      <c r="H79" s="24"/>
      <c r="I79" s="24"/>
      <c r="J79" s="24"/>
      <c r="K79" s="24"/>
      <c r="L79" s="24"/>
      <c r="M79" s="24"/>
      <c r="N79" s="24"/>
      <c r="O79" s="24"/>
      <c r="P79" s="24"/>
      <c r="Q79" s="24"/>
      <c r="R79" s="24"/>
      <c r="S79" s="24"/>
      <c r="T79" s="24"/>
      <c r="U79" s="24"/>
      <c r="V79" s="24"/>
      <c r="W79" s="24"/>
      <c r="X79" s="24"/>
      <c r="Y79" s="24"/>
      <c r="Z79" s="24"/>
      <c r="AA79" s="24"/>
      <c r="AB79" s="24"/>
      <c r="AC79" s="24"/>
      <c r="AD79" s="24"/>
      <c r="AE79" s="24"/>
      <c r="AF79" s="24"/>
      <c r="AG79" s="24"/>
      <c r="AH79" s="24"/>
      <c r="AI79" s="24"/>
      <c r="AJ79" s="24"/>
      <c r="AK79" s="24"/>
      <c r="AL79" s="24"/>
      <c r="AM79" s="24"/>
      <c r="AN79" s="24"/>
      <c r="AO79" s="24"/>
      <c r="AP79" s="24"/>
      <c r="AQ79" s="24"/>
      <c r="AR79" s="24"/>
      <c r="AS79" s="24"/>
      <c r="AT79" s="24"/>
      <c r="AU79" s="24"/>
      <c r="AV79" s="24"/>
      <c r="AW79" s="24"/>
      <c r="AX79" s="24"/>
      <c r="AY79" s="24"/>
      <c r="AZ79" s="24"/>
      <c r="BA79" s="24"/>
      <c r="BB79" s="24"/>
      <c r="BC79" s="24"/>
      <c r="BD79" s="24"/>
      <c r="BE79" s="24"/>
      <c r="BF79" s="24"/>
      <c r="BG79" s="24"/>
      <c r="BH79" s="24"/>
      <c r="BI79" s="24"/>
      <c r="BJ79" s="24"/>
      <c r="BK79" s="24"/>
      <c r="BL79" s="24"/>
    </row>
    <row r="80" spans="3:64" x14ac:dyDescent="0.25">
      <c r="C80" s="24"/>
      <c r="D80" s="24"/>
      <c r="E80" s="24"/>
      <c r="F80" s="24"/>
      <c r="G80" s="24"/>
      <c r="H80" s="24"/>
      <c r="I80" s="24"/>
      <c r="J80" s="24"/>
      <c r="K80" s="24"/>
      <c r="L80" s="24"/>
      <c r="M80" s="24"/>
      <c r="N80" s="24"/>
      <c r="O80" s="24"/>
      <c r="P80" s="24"/>
      <c r="Q80" s="24"/>
      <c r="R80" s="24"/>
      <c r="S80" s="24"/>
      <c r="T80" s="24"/>
      <c r="U80" s="24"/>
      <c r="V80" s="24"/>
      <c r="W80" s="24"/>
      <c r="X80" s="24"/>
      <c r="Y80" s="24"/>
      <c r="Z80" s="24"/>
      <c r="AA80" s="24"/>
      <c r="AB80" s="24"/>
      <c r="AC80" s="24"/>
      <c r="AD80" s="24"/>
      <c r="AE80" s="24"/>
      <c r="AF80" s="24"/>
      <c r="AG80" s="24"/>
      <c r="AH80" s="24"/>
      <c r="AI80" s="24"/>
      <c r="AJ80" s="24"/>
      <c r="AK80" s="24"/>
      <c r="AL80" s="24"/>
      <c r="AM80" s="24"/>
      <c r="AN80" s="24"/>
      <c r="AO80" s="24"/>
      <c r="AP80" s="24"/>
      <c r="AQ80" s="24"/>
      <c r="AR80" s="24"/>
      <c r="AS80" s="24"/>
      <c r="AT80" s="24"/>
      <c r="AU80" s="24"/>
      <c r="AV80" s="24"/>
      <c r="AW80" s="24"/>
      <c r="AX80" s="24"/>
      <c r="AY80" s="24"/>
      <c r="AZ80" s="24"/>
      <c r="BA80" s="24"/>
      <c r="BB80" s="24"/>
      <c r="BC80" s="24"/>
      <c r="BD80" s="24"/>
      <c r="BE80" s="24"/>
      <c r="BF80" s="24"/>
      <c r="BG80" s="24"/>
      <c r="BH80" s="24"/>
      <c r="BI80" s="24"/>
      <c r="BJ80" s="24"/>
      <c r="BK80" s="24"/>
      <c r="BL80" s="24"/>
    </row>
    <row r="81" spans="3:64" x14ac:dyDescent="0.25">
      <c r="C81" s="24"/>
      <c r="D81" s="24"/>
      <c r="E81" s="24"/>
      <c r="F81" s="24"/>
      <c r="G81" s="24"/>
      <c r="H81" s="24"/>
      <c r="I81" s="24"/>
      <c r="J81" s="24"/>
      <c r="K81" s="24"/>
      <c r="L81" s="24"/>
      <c r="M81" s="24"/>
      <c r="N81" s="24"/>
      <c r="O81" s="24"/>
      <c r="P81" s="24"/>
      <c r="Q81" s="24"/>
      <c r="R81" s="24"/>
      <c r="S81" s="24"/>
      <c r="T81" s="24"/>
      <c r="U81" s="24"/>
      <c r="V81" s="24"/>
      <c r="W81" s="24"/>
      <c r="X81" s="24"/>
      <c r="Y81" s="24"/>
      <c r="Z81" s="24"/>
      <c r="AA81" s="24"/>
      <c r="AB81" s="24"/>
      <c r="AC81" s="24"/>
      <c r="AD81" s="24"/>
      <c r="AE81" s="24"/>
      <c r="AF81" s="24"/>
      <c r="AG81" s="24"/>
      <c r="AH81" s="24"/>
      <c r="AI81" s="24"/>
      <c r="AJ81" s="24"/>
      <c r="AK81" s="24"/>
      <c r="AL81" s="24"/>
      <c r="AM81" s="24"/>
      <c r="AN81" s="24"/>
      <c r="AO81" s="24"/>
      <c r="AP81" s="24"/>
      <c r="AQ81" s="24"/>
      <c r="AR81" s="24"/>
      <c r="AS81" s="24"/>
      <c r="AT81" s="24"/>
      <c r="AU81" s="24"/>
      <c r="AV81" s="24"/>
      <c r="AW81" s="24"/>
      <c r="AX81" s="24"/>
      <c r="AY81" s="24"/>
      <c r="AZ81" s="24"/>
      <c r="BA81" s="24"/>
      <c r="BB81" s="24"/>
      <c r="BC81" s="24"/>
      <c r="BD81" s="24"/>
      <c r="BE81" s="24"/>
      <c r="BF81" s="24"/>
      <c r="BG81" s="24"/>
      <c r="BH81" s="24"/>
      <c r="BI81" s="24"/>
      <c r="BJ81" s="24"/>
      <c r="BK81" s="24"/>
      <c r="BL81" s="24"/>
    </row>
    <row r="82" spans="3:64" x14ac:dyDescent="0.25">
      <c r="C82" s="24"/>
      <c r="D82" s="24"/>
      <c r="E82" s="24"/>
      <c r="F82" s="24"/>
      <c r="G82" s="24"/>
      <c r="H82" s="24"/>
      <c r="I82" s="24"/>
      <c r="J82" s="24"/>
      <c r="K82" s="24"/>
      <c r="L82" s="24"/>
      <c r="M82" s="24"/>
      <c r="N82" s="24"/>
      <c r="O82" s="24"/>
      <c r="P82" s="24"/>
      <c r="Q82" s="24"/>
      <c r="R82" s="24"/>
      <c r="S82" s="24"/>
      <c r="T82" s="24"/>
      <c r="U82" s="24"/>
      <c r="V82" s="24"/>
      <c r="W82" s="24"/>
      <c r="X82" s="24"/>
      <c r="Y82" s="24"/>
      <c r="Z82" s="24"/>
      <c r="AA82" s="24"/>
      <c r="AB82" s="24"/>
      <c r="AC82" s="24"/>
      <c r="AD82" s="24"/>
      <c r="AE82" s="24"/>
      <c r="AF82" s="24"/>
      <c r="AG82" s="24"/>
      <c r="AH82" s="24"/>
      <c r="AI82" s="24"/>
      <c r="AJ82" s="24"/>
      <c r="AK82" s="24"/>
      <c r="AL82" s="24"/>
      <c r="AM82" s="24"/>
      <c r="AN82" s="24"/>
      <c r="AO82" s="24"/>
      <c r="AP82" s="24"/>
      <c r="AQ82" s="24"/>
      <c r="AR82" s="24"/>
      <c r="AS82" s="24"/>
      <c r="AT82" s="24"/>
      <c r="AU82" s="24"/>
      <c r="AV82" s="24"/>
      <c r="AW82" s="24"/>
      <c r="AX82" s="24"/>
      <c r="AY82" s="24"/>
      <c r="AZ82" s="24"/>
      <c r="BA82" s="24"/>
      <c r="BB82" s="24"/>
      <c r="BC82" s="24"/>
      <c r="BD82" s="24"/>
      <c r="BE82" s="24"/>
      <c r="BF82" s="24"/>
      <c r="BG82" s="24"/>
      <c r="BH82" s="24"/>
      <c r="BI82" s="24"/>
      <c r="BJ82" s="24"/>
      <c r="BK82" s="24"/>
      <c r="BL82" s="24"/>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L87"/>
  <sheetViews>
    <sheetView showGridLines="0" zoomScaleNormal="100" workbookViewId="0">
      <selection activeCell="I7" sqref="I7"/>
    </sheetView>
  </sheetViews>
  <sheetFormatPr defaultRowHeight="15" x14ac:dyDescent="0.25"/>
  <cols>
    <col min="1" max="1" width="30.7109375" customWidth="1"/>
    <col min="2" max="3" width="2.7109375" customWidth="1"/>
    <col min="4" max="4" width="54.28515625" customWidth="1"/>
    <col min="5" max="6" width="28.7109375" customWidth="1"/>
    <col min="7" max="7" width="32.85546875" customWidth="1"/>
    <col min="8" max="8" width="36.85546875" customWidth="1"/>
    <col min="9" max="10" width="31.5703125" customWidth="1"/>
    <col min="11" max="11" width="25.28515625" customWidth="1"/>
    <col min="12" max="12" width="7.42578125" customWidth="1"/>
    <col min="13" max="27" width="28.7109375" customWidth="1"/>
  </cols>
  <sheetData>
    <row r="1" spans="1:12" ht="30" customHeight="1" x14ac:dyDescent="0.35">
      <c r="A1" s="63" t="e" vm="1">
        <v>#VALUE!</v>
      </c>
      <c r="C1" s="102" t="s">
        <v>176</v>
      </c>
    </row>
    <row r="2" spans="1:12" ht="20.100000000000001" customHeight="1" x14ac:dyDescent="0.25">
      <c r="A2" s="9"/>
      <c r="C2" s="9"/>
    </row>
    <row r="3" spans="1:12" ht="20.100000000000001" customHeight="1" x14ac:dyDescent="0.25">
      <c r="A3" s="17" t="str">
        <f>HYPERLINK("#'Home'!A1", "Home")</f>
        <v>Home</v>
      </c>
      <c r="C3" s="24"/>
      <c r="D3" s="24"/>
      <c r="E3" s="24"/>
      <c r="F3" s="24"/>
      <c r="G3" s="24"/>
      <c r="H3" s="24"/>
      <c r="I3" s="24"/>
      <c r="J3" s="24"/>
      <c r="K3" s="24"/>
      <c r="L3" s="24"/>
    </row>
    <row r="4" spans="1:12" ht="20.100000000000001" customHeight="1" x14ac:dyDescent="0.25">
      <c r="A4" s="17" t="str">
        <f>HYPERLINK("#'Overview'!A1", "Overview")</f>
        <v>Overview</v>
      </c>
      <c r="C4" s="24"/>
      <c r="D4" s="6" t="s">
        <v>5</v>
      </c>
      <c r="E4" s="26"/>
      <c r="F4" s="26"/>
      <c r="G4" s="26"/>
      <c r="H4" s="6"/>
      <c r="I4" s="6"/>
      <c r="J4" s="6"/>
      <c r="K4" s="6"/>
      <c r="L4" s="27"/>
    </row>
    <row r="5" spans="1:12" ht="20.100000000000001" customHeight="1" x14ac:dyDescent="0.3">
      <c r="A5" s="101" t="str">
        <f>HYPERLINK("#'Results'!A1", "Results")</f>
        <v>Results</v>
      </c>
      <c r="C5" s="24"/>
      <c r="D5" s="28"/>
      <c r="E5" s="29"/>
      <c r="F5" s="29"/>
      <c r="G5" s="29"/>
      <c r="H5" s="26"/>
      <c r="I5" s="24"/>
      <c r="J5" s="24"/>
      <c r="K5" s="24"/>
      <c r="L5" s="24"/>
    </row>
    <row r="6" spans="1:12" ht="20.100000000000001" customHeight="1" x14ac:dyDescent="0.25">
      <c r="A6" s="16"/>
      <c r="C6" s="24"/>
      <c r="D6" s="100" t="s">
        <v>112</v>
      </c>
      <c r="E6" s="100" t="s">
        <v>135</v>
      </c>
      <c r="F6" s="100" t="s">
        <v>136</v>
      </c>
      <c r="G6" s="100" t="s">
        <v>126</v>
      </c>
      <c r="H6" s="100" t="s">
        <v>137</v>
      </c>
      <c r="I6" s="100" t="s">
        <v>139</v>
      </c>
      <c r="J6" s="100" t="s">
        <v>127</v>
      </c>
      <c r="K6" s="24"/>
      <c r="L6" s="24"/>
    </row>
    <row r="7" spans="1:12" ht="20.100000000000001" customHeight="1" x14ac:dyDescent="0.25">
      <c r="A7" s="20" t="s">
        <v>3</v>
      </c>
      <c r="C7" s="24"/>
      <c r="D7" s="1" t="s">
        <v>158</v>
      </c>
      <c r="E7" s="98">
        <f>'3.1.1.1-2 Enteric Methane'!E67</f>
        <v>36.995640000000009</v>
      </c>
      <c r="F7" s="98">
        <f>'3.1.1.1-2 Enteric Methane'!N67</f>
        <v>43.163800000000002</v>
      </c>
      <c r="G7" s="52" t="str">
        <f>'3.1.1.1-2 Enteric Methane'!F67</f>
        <v>t CH4</v>
      </c>
      <c r="H7" s="98">
        <f>'3.1.1.1-2 Enteric Methane'!E72</f>
        <v>1035.8779200000004</v>
      </c>
      <c r="I7" s="98">
        <f>'3.1.1.1-2 Enteric Methane'!N72</f>
        <v>1208.5864000000001</v>
      </c>
      <c r="J7" s="52" t="s">
        <v>138</v>
      </c>
      <c r="K7" s="24"/>
      <c r="L7" s="24"/>
    </row>
    <row r="8" spans="1:12" ht="20.100000000000001" customHeight="1" x14ac:dyDescent="0.3">
      <c r="A8" s="17" t="str">
        <f>HYPERLINK("#'Input - Site'!A1", "Site")</f>
        <v>Site</v>
      </c>
      <c r="C8" s="24"/>
      <c r="D8" s="31" t="s">
        <v>125</v>
      </c>
      <c r="E8" s="25"/>
      <c r="F8" s="31"/>
      <c r="G8" s="31"/>
      <c r="H8" s="99">
        <f>SUM(H7:H7)</f>
        <v>1035.8779200000004</v>
      </c>
      <c r="I8" s="99">
        <f>SUM(I7:I7)</f>
        <v>1208.5864000000001</v>
      </c>
      <c r="J8" s="93" t="s">
        <v>138</v>
      </c>
      <c r="K8" s="24"/>
      <c r="L8" s="24"/>
    </row>
    <row r="9" spans="1:12" ht="20.100000000000001" customHeight="1" x14ac:dyDescent="0.25">
      <c r="A9" s="17" t="str">
        <f>HYPERLINK("#'Input - Feedlot'!A1", "Feedlot")</f>
        <v>Feedlot</v>
      </c>
      <c r="C9" s="24"/>
      <c r="D9" s="1"/>
      <c r="E9" s="1"/>
      <c r="F9" s="1"/>
      <c r="G9" s="26"/>
      <c r="H9" s="24"/>
      <c r="I9" s="1"/>
      <c r="J9" s="1"/>
      <c r="K9" s="24"/>
      <c r="L9" s="24"/>
    </row>
    <row r="10" spans="1:12" ht="20.100000000000001" customHeight="1" x14ac:dyDescent="0.25">
      <c r="A10" s="17"/>
      <c r="C10" s="24"/>
      <c r="D10" s="1"/>
      <c r="E10" s="1"/>
      <c r="F10" s="1"/>
      <c r="G10" s="1"/>
      <c r="H10" s="1"/>
      <c r="I10" s="1"/>
      <c r="J10" s="1"/>
      <c r="K10" s="24"/>
      <c r="L10" s="24"/>
    </row>
    <row r="11" spans="1:12" ht="20.100000000000001" customHeight="1" x14ac:dyDescent="0.25">
      <c r="A11" s="19" t="s">
        <v>56</v>
      </c>
      <c r="C11" s="24"/>
      <c r="D11" s="1"/>
      <c r="E11" s="1"/>
      <c r="F11" s="1"/>
      <c r="G11" s="1"/>
      <c r="H11" s="1"/>
      <c r="I11" s="1"/>
      <c r="J11" s="1"/>
      <c r="K11" s="24"/>
      <c r="L11" s="24"/>
    </row>
    <row r="12" spans="1:12" ht="20.100000000000001" customHeight="1" x14ac:dyDescent="0.25">
      <c r="A12" s="17" t="str">
        <f>HYPERLINK("#'3.1.1.1-2 Enteric Methane'!A1", "3.1.1.1-2 Enteric Methane")</f>
        <v>3.1.1.1-2 Enteric Methane</v>
      </c>
      <c r="C12" s="24"/>
      <c r="D12" s="1"/>
      <c r="E12" s="1"/>
      <c r="F12" s="1"/>
      <c r="G12" s="1"/>
      <c r="H12" s="1"/>
      <c r="I12" s="1"/>
      <c r="J12" s="1"/>
      <c r="K12" s="24"/>
      <c r="L12" s="24"/>
    </row>
    <row r="13" spans="1:12" ht="20.100000000000001" customHeight="1" x14ac:dyDescent="0.25">
      <c r="C13" s="24"/>
      <c r="D13" s="1"/>
      <c r="E13" s="1"/>
      <c r="F13" s="1"/>
      <c r="G13" s="1"/>
      <c r="H13" s="1"/>
      <c r="I13" s="1"/>
      <c r="J13" s="1"/>
      <c r="K13" s="24"/>
      <c r="L13" s="24"/>
    </row>
    <row r="14" spans="1:12" ht="20.100000000000001" customHeight="1" x14ac:dyDescent="0.25">
      <c r="A14" s="18" t="s">
        <v>4</v>
      </c>
      <c r="C14" s="24"/>
      <c r="D14" s="1"/>
      <c r="E14" s="1"/>
      <c r="F14" s="1"/>
      <c r="G14" s="1"/>
      <c r="H14" s="1"/>
      <c r="I14" s="1"/>
      <c r="J14" s="1"/>
      <c r="K14" s="24"/>
      <c r="L14" s="24"/>
    </row>
    <row r="15" spans="1:12" ht="20.100000000000001" customHeight="1" x14ac:dyDescent="0.25">
      <c r="A15" s="17" t="str">
        <f>HYPERLINK("#'Constants - Feedlot'!A1", "Constants - Feedlot")</f>
        <v>Constants - Feedlot</v>
      </c>
      <c r="C15" s="24"/>
      <c r="D15" s="1"/>
      <c r="E15" s="1"/>
      <c r="F15" s="1"/>
      <c r="G15" s="1"/>
      <c r="H15" s="1"/>
      <c r="I15" s="1"/>
      <c r="J15" s="1"/>
      <c r="K15" s="24"/>
      <c r="L15" s="24"/>
    </row>
    <row r="16" spans="1:12" ht="20.100000000000001" customHeight="1" x14ac:dyDescent="0.25">
      <c r="A16" s="17" t="str">
        <f>HYPERLINK("#'Constants - Livestock'!A1", "Constants - Livestock")</f>
        <v>Constants - Livestock</v>
      </c>
      <c r="C16" s="24"/>
      <c r="D16" s="1"/>
      <c r="E16" s="1"/>
      <c r="F16" s="1"/>
      <c r="G16" s="1"/>
      <c r="H16" s="1"/>
      <c r="I16" s="1"/>
      <c r="J16" s="1"/>
      <c r="K16" s="24"/>
      <c r="L16" s="24"/>
    </row>
    <row r="17" spans="1:12" ht="20.100000000000001" customHeight="1" x14ac:dyDescent="0.25">
      <c r="A17" s="17" t="str">
        <f>HYPERLINK("#'Constants - Common'!A1", "Constants - Common")</f>
        <v>Constants - Common</v>
      </c>
      <c r="C17" s="24"/>
      <c r="D17" s="1"/>
      <c r="E17" s="1"/>
      <c r="F17" s="1"/>
      <c r="G17" s="1"/>
      <c r="H17" s="1"/>
      <c r="I17" s="1"/>
      <c r="J17" s="1"/>
      <c r="K17" s="24"/>
      <c r="L17" s="24"/>
    </row>
    <row r="18" spans="1:12" ht="20.100000000000001" customHeight="1" x14ac:dyDescent="0.25">
      <c r="A18" s="17" t="str">
        <f>HYPERLINK("#'Acknowledgements'!A1", "Acknowledgements")</f>
        <v>Acknowledgements</v>
      </c>
      <c r="C18" s="24"/>
      <c r="D18" s="1"/>
      <c r="E18" s="1"/>
      <c r="F18" s="1"/>
      <c r="G18" s="1"/>
      <c r="H18" s="1"/>
      <c r="I18" s="1"/>
      <c r="J18" s="1"/>
      <c r="K18" s="24"/>
      <c r="L18" s="24"/>
    </row>
    <row r="19" spans="1:12" ht="20.100000000000001" customHeight="1" x14ac:dyDescent="0.25">
      <c r="C19" s="24"/>
      <c r="D19" s="1"/>
      <c r="E19" s="1"/>
      <c r="F19" s="1"/>
      <c r="G19" s="1"/>
      <c r="H19" s="1"/>
      <c r="I19" s="1"/>
      <c r="J19" s="1"/>
      <c r="K19" s="24"/>
      <c r="L19" s="24"/>
    </row>
    <row r="20" spans="1:12" ht="20.100000000000001" customHeight="1" x14ac:dyDescent="0.25">
      <c r="C20" s="24"/>
      <c r="D20" s="1"/>
      <c r="E20" s="1"/>
      <c r="F20" s="1"/>
      <c r="G20" s="1"/>
      <c r="H20" s="1"/>
      <c r="I20" s="1"/>
      <c r="J20" s="1"/>
      <c r="K20" s="24"/>
      <c r="L20" s="24"/>
    </row>
    <row r="21" spans="1:12" ht="20.100000000000001" customHeight="1" x14ac:dyDescent="0.25">
      <c r="A21" s="17"/>
      <c r="C21" s="24"/>
      <c r="D21" s="1"/>
      <c r="E21" s="1"/>
      <c r="F21" s="1"/>
      <c r="G21" s="1"/>
      <c r="H21" s="1"/>
      <c r="I21" s="1"/>
      <c r="J21" s="1"/>
      <c r="K21" s="24"/>
      <c r="L21" s="24"/>
    </row>
    <row r="22" spans="1:12" ht="20.100000000000001" customHeight="1" x14ac:dyDescent="0.25">
      <c r="C22" s="24"/>
      <c r="D22" s="1"/>
      <c r="E22" s="1"/>
      <c r="F22" s="1"/>
      <c r="G22" s="1"/>
      <c r="H22" s="1"/>
      <c r="I22" s="1"/>
      <c r="J22" s="1"/>
      <c r="K22" s="24"/>
      <c r="L22" s="24"/>
    </row>
    <row r="23" spans="1:12" ht="20.100000000000001" customHeight="1" x14ac:dyDescent="0.25">
      <c r="C23" s="24"/>
      <c r="D23" s="1"/>
      <c r="E23" s="1"/>
      <c r="F23" s="1"/>
      <c r="G23" s="1"/>
      <c r="H23" s="1"/>
      <c r="I23" s="1"/>
      <c r="J23" s="1"/>
      <c r="K23" s="24"/>
      <c r="L23" s="24"/>
    </row>
    <row r="24" spans="1:12" ht="20.100000000000001" customHeight="1" x14ac:dyDescent="0.25">
      <c r="A24" s="17"/>
      <c r="C24" s="24"/>
      <c r="D24" s="1"/>
      <c r="E24" s="1"/>
      <c r="F24" s="1"/>
      <c r="G24" s="1"/>
      <c r="H24" s="1"/>
      <c r="I24" s="1"/>
      <c r="J24" s="1"/>
      <c r="K24" s="24"/>
      <c r="L24" s="24"/>
    </row>
    <row r="25" spans="1:12" ht="20.100000000000001" customHeight="1" x14ac:dyDescent="0.25">
      <c r="A25" s="17"/>
      <c r="C25" s="24"/>
      <c r="D25" s="1"/>
      <c r="E25" s="1"/>
      <c r="F25" s="1"/>
      <c r="G25" s="1"/>
      <c r="H25" s="1"/>
      <c r="I25" s="1"/>
      <c r="J25" s="1"/>
      <c r="K25" s="24"/>
      <c r="L25" s="24"/>
    </row>
    <row r="26" spans="1:12" ht="20.100000000000001" customHeight="1" x14ac:dyDescent="0.25">
      <c r="C26" s="24"/>
      <c r="D26" s="1"/>
      <c r="E26" s="1"/>
      <c r="F26" s="1"/>
      <c r="G26" s="1"/>
      <c r="H26" s="1"/>
      <c r="I26" s="1"/>
      <c r="J26" s="1"/>
      <c r="K26" s="24"/>
      <c r="L26" s="24"/>
    </row>
    <row r="27" spans="1:12" ht="20.100000000000001" customHeight="1" x14ac:dyDescent="0.25">
      <c r="C27" s="24"/>
      <c r="D27" s="1"/>
      <c r="E27" s="1"/>
      <c r="F27" s="1"/>
      <c r="G27" s="1"/>
      <c r="H27" s="1"/>
      <c r="I27" s="1"/>
      <c r="J27" s="1"/>
      <c r="K27" s="24"/>
      <c r="L27" s="24"/>
    </row>
    <row r="28" spans="1:12" ht="20.100000000000001" customHeight="1" x14ac:dyDescent="0.25">
      <c r="C28" s="24"/>
      <c r="D28" s="1"/>
      <c r="E28" s="1"/>
      <c r="F28" s="1"/>
      <c r="G28" s="1"/>
      <c r="H28" s="1"/>
      <c r="I28" s="1"/>
      <c r="J28" s="1"/>
      <c r="K28" s="24"/>
      <c r="L28" s="24"/>
    </row>
    <row r="29" spans="1:12" ht="20.100000000000001" customHeight="1" x14ac:dyDescent="0.25">
      <c r="C29" s="24"/>
      <c r="D29" s="1"/>
      <c r="E29" s="1"/>
      <c r="F29" s="1"/>
      <c r="G29" s="1"/>
      <c r="H29" s="24"/>
      <c r="I29" s="24"/>
      <c r="J29" s="24"/>
      <c r="K29" s="24"/>
      <c r="L29" s="24"/>
    </row>
    <row r="30" spans="1:12" ht="20.100000000000001" customHeight="1" x14ac:dyDescent="0.25">
      <c r="C30" s="24"/>
      <c r="D30" s="1"/>
      <c r="E30" s="1"/>
      <c r="F30" s="1"/>
      <c r="G30" s="1"/>
      <c r="H30" s="24"/>
      <c r="I30" s="24"/>
      <c r="J30" s="24"/>
      <c r="K30" s="24"/>
      <c r="L30" s="24"/>
    </row>
    <row r="31" spans="1:12" ht="20.100000000000001" customHeight="1" x14ac:dyDescent="0.25">
      <c r="C31" s="24"/>
      <c r="D31" s="1"/>
      <c r="E31" s="1"/>
      <c r="F31" s="1"/>
      <c r="G31" s="1"/>
      <c r="H31" s="24"/>
      <c r="I31" s="24"/>
      <c r="J31" s="24"/>
      <c r="K31" s="24"/>
      <c r="L31" s="24"/>
    </row>
    <row r="32" spans="1:12" ht="20.100000000000001" customHeight="1" x14ac:dyDescent="0.25">
      <c r="C32" s="24"/>
      <c r="D32" s="1"/>
      <c r="E32" s="1"/>
      <c r="F32" s="1"/>
      <c r="G32" s="1"/>
      <c r="H32" s="26"/>
      <c r="I32" s="24"/>
      <c r="J32" s="24"/>
      <c r="K32" s="24"/>
      <c r="L32" s="24"/>
    </row>
    <row r="33" spans="3:12" ht="20.100000000000001" customHeight="1" x14ac:dyDescent="0.3">
      <c r="C33" s="24"/>
      <c r="D33" s="1"/>
      <c r="E33" s="1"/>
      <c r="F33" s="1"/>
      <c r="G33" s="1"/>
      <c r="H33" s="29"/>
      <c r="I33" s="24"/>
      <c r="J33" s="24"/>
      <c r="K33" s="24"/>
      <c r="L33" s="24"/>
    </row>
    <row r="34" spans="3:12" ht="20.100000000000001" customHeight="1" x14ac:dyDescent="0.25">
      <c r="C34" s="24"/>
      <c r="D34" s="1"/>
      <c r="E34" s="1"/>
      <c r="F34" s="1"/>
      <c r="G34" s="1"/>
      <c r="H34" s="1"/>
      <c r="I34" s="24"/>
      <c r="J34" s="24"/>
      <c r="K34" s="24"/>
      <c r="L34" s="24"/>
    </row>
    <row r="35" spans="3:12" ht="20.100000000000001" customHeight="1" x14ac:dyDescent="0.25">
      <c r="C35" s="24"/>
      <c r="D35" s="1"/>
      <c r="E35" s="1"/>
      <c r="F35" s="1"/>
      <c r="G35" s="1"/>
      <c r="H35" s="1"/>
      <c r="I35" s="24"/>
      <c r="J35" s="24"/>
      <c r="K35" s="24"/>
      <c r="L35" s="24"/>
    </row>
    <row r="36" spans="3:12" ht="20.100000000000001" customHeight="1" x14ac:dyDescent="0.25">
      <c r="C36" s="24"/>
      <c r="D36" s="1"/>
      <c r="E36" s="1"/>
      <c r="F36" s="1"/>
      <c r="G36" s="1"/>
      <c r="H36" s="1"/>
      <c r="I36" s="24"/>
      <c r="J36" s="24"/>
      <c r="K36" s="24"/>
      <c r="L36" s="24"/>
    </row>
    <row r="37" spans="3:12" ht="20.100000000000001" customHeight="1" x14ac:dyDescent="0.25">
      <c r="C37" s="24"/>
      <c r="D37" s="1"/>
      <c r="E37" s="1"/>
      <c r="F37" s="1"/>
      <c r="G37" s="1"/>
      <c r="H37" s="1"/>
      <c r="I37" s="24"/>
      <c r="J37" s="24"/>
      <c r="K37" s="24"/>
      <c r="L37" s="24"/>
    </row>
    <row r="38" spans="3:12" ht="20.100000000000001" customHeight="1" x14ac:dyDescent="0.25">
      <c r="C38" s="24"/>
      <c r="D38" s="1"/>
      <c r="E38" s="1"/>
      <c r="F38" s="1"/>
      <c r="G38" s="1"/>
      <c r="H38" s="1"/>
      <c r="I38" s="97"/>
      <c r="J38" s="97"/>
      <c r="K38" s="97"/>
      <c r="L38" s="24"/>
    </row>
    <row r="39" spans="3:12" ht="20.100000000000001" customHeight="1" x14ac:dyDescent="0.25">
      <c r="C39" s="24"/>
      <c r="D39" s="1"/>
      <c r="E39" s="1"/>
      <c r="F39" s="1"/>
      <c r="G39" s="1"/>
      <c r="H39" s="1"/>
      <c r="I39" s="97"/>
      <c r="J39" s="97"/>
      <c r="K39" s="97"/>
      <c r="L39" s="24"/>
    </row>
    <row r="40" spans="3:12" ht="20.100000000000001" customHeight="1" x14ac:dyDescent="0.25">
      <c r="C40" s="24"/>
      <c r="D40" s="1"/>
      <c r="E40" s="1"/>
      <c r="F40" s="1"/>
      <c r="G40" s="1"/>
      <c r="H40" s="1"/>
      <c r="I40" s="97"/>
      <c r="J40" s="97"/>
      <c r="K40" s="97"/>
      <c r="L40" s="24"/>
    </row>
    <row r="41" spans="3:12" ht="20.100000000000001" customHeight="1" x14ac:dyDescent="0.25">
      <c r="C41" s="24"/>
      <c r="D41" s="1"/>
      <c r="E41" s="1"/>
      <c r="F41" s="1"/>
      <c r="G41" s="1"/>
      <c r="H41" s="1"/>
      <c r="I41" s="97"/>
      <c r="J41" s="97"/>
      <c r="K41" s="97"/>
      <c r="L41" s="24"/>
    </row>
    <row r="42" spans="3:12" ht="20.100000000000001" customHeight="1" x14ac:dyDescent="0.25">
      <c r="C42" s="24"/>
      <c r="D42" s="1"/>
      <c r="E42" s="1"/>
      <c r="F42" s="1"/>
      <c r="G42" s="1"/>
      <c r="H42" s="1"/>
      <c r="I42" s="97"/>
      <c r="J42" s="97"/>
      <c r="K42" s="97"/>
      <c r="L42" s="24"/>
    </row>
    <row r="43" spans="3:12" ht="20.100000000000001" customHeight="1" x14ac:dyDescent="0.25">
      <c r="C43" s="24"/>
      <c r="D43" s="1"/>
      <c r="E43" s="1"/>
      <c r="F43" s="1"/>
      <c r="G43" s="1"/>
      <c r="H43" s="1"/>
      <c r="I43" s="97"/>
      <c r="J43" s="97"/>
      <c r="K43" s="97"/>
      <c r="L43" s="24"/>
    </row>
    <row r="44" spans="3:12" ht="20.100000000000001" customHeight="1" x14ac:dyDescent="0.25">
      <c r="C44" s="24"/>
      <c r="D44" s="1"/>
      <c r="E44" s="1"/>
      <c r="F44" s="1"/>
      <c r="G44" s="1"/>
      <c r="H44" s="1"/>
      <c r="I44" s="97"/>
      <c r="J44" s="97"/>
      <c r="K44" s="97"/>
      <c r="L44" s="24"/>
    </row>
    <row r="45" spans="3:12" ht="20.100000000000001" customHeight="1" x14ac:dyDescent="0.25">
      <c r="C45" s="24"/>
      <c r="D45" s="1"/>
      <c r="E45" s="1"/>
      <c r="F45" s="1"/>
      <c r="G45" s="1"/>
      <c r="H45" s="1"/>
      <c r="I45" s="97"/>
      <c r="J45" s="97"/>
      <c r="K45" s="97"/>
      <c r="L45" s="24"/>
    </row>
    <row r="46" spans="3:12" ht="20.100000000000001" customHeight="1" x14ac:dyDescent="0.25">
      <c r="C46" s="24"/>
      <c r="D46" s="1"/>
      <c r="E46" s="1"/>
      <c r="F46" s="1"/>
      <c r="G46" s="1"/>
      <c r="H46" s="1"/>
      <c r="I46" s="97"/>
      <c r="J46" s="97"/>
      <c r="K46" s="97"/>
      <c r="L46" s="24"/>
    </row>
    <row r="47" spans="3:12" ht="20.100000000000001" customHeight="1" x14ac:dyDescent="0.25">
      <c r="C47" s="24"/>
      <c r="D47" s="1"/>
      <c r="E47" s="1"/>
      <c r="F47" s="1"/>
      <c r="G47" s="1"/>
      <c r="H47" s="1"/>
      <c r="I47" s="97"/>
      <c r="J47" s="97"/>
      <c r="K47" s="97"/>
      <c r="L47" s="24"/>
    </row>
    <row r="48" spans="3:12" ht="20.100000000000001" customHeight="1" x14ac:dyDescent="0.25">
      <c r="C48" s="24"/>
      <c r="D48" s="1"/>
      <c r="E48" s="1"/>
      <c r="F48" s="1"/>
      <c r="G48" s="1"/>
      <c r="H48" s="1"/>
      <c r="I48" s="97"/>
      <c r="J48" s="97"/>
      <c r="K48" s="97"/>
      <c r="L48" s="24"/>
    </row>
    <row r="49" spans="3:12" ht="20.100000000000001" customHeight="1" x14ac:dyDescent="0.25">
      <c r="C49" s="24"/>
      <c r="D49" s="1"/>
      <c r="E49" s="1"/>
      <c r="F49" s="1"/>
      <c r="G49" s="1"/>
      <c r="H49" s="97"/>
      <c r="I49" s="97"/>
      <c r="J49" s="97"/>
      <c r="K49" s="97"/>
      <c r="L49" s="24"/>
    </row>
    <row r="50" spans="3:12" ht="20.100000000000001" customHeight="1" x14ac:dyDescent="0.25">
      <c r="C50" s="24"/>
      <c r="D50" s="1"/>
      <c r="E50" s="1"/>
      <c r="F50" s="1"/>
      <c r="G50" s="1"/>
      <c r="H50" s="97"/>
      <c r="I50" s="97"/>
      <c r="J50" s="97"/>
      <c r="K50" s="97"/>
      <c r="L50" s="24"/>
    </row>
    <row r="51" spans="3:12" ht="20.100000000000001" customHeight="1" x14ac:dyDescent="0.25">
      <c r="C51" s="24"/>
      <c r="D51" s="1"/>
      <c r="E51" s="1"/>
      <c r="F51" s="1"/>
      <c r="G51" s="1"/>
      <c r="H51" s="97"/>
      <c r="I51" s="97"/>
      <c r="J51" s="97"/>
      <c r="K51" s="97"/>
      <c r="L51" s="24"/>
    </row>
    <row r="52" spans="3:12" ht="20.100000000000001" customHeight="1" x14ac:dyDescent="0.25">
      <c r="C52" s="24"/>
      <c r="D52" s="1"/>
      <c r="E52" s="1"/>
      <c r="F52" s="1"/>
      <c r="G52" s="1"/>
      <c r="H52" s="97"/>
      <c r="I52" s="97"/>
      <c r="J52" s="97"/>
      <c r="K52" s="97"/>
      <c r="L52" s="24"/>
    </row>
    <row r="53" spans="3:12" ht="20.100000000000001" customHeight="1" x14ac:dyDescent="0.25">
      <c r="C53" s="24"/>
      <c r="D53" s="1"/>
      <c r="E53" s="1"/>
      <c r="F53" s="1"/>
      <c r="G53" s="1"/>
      <c r="H53" s="97"/>
      <c r="I53" s="97"/>
      <c r="J53" s="97"/>
      <c r="K53" s="97"/>
      <c r="L53" s="24"/>
    </row>
    <row r="54" spans="3:12" ht="20.100000000000001" customHeight="1" x14ac:dyDescent="0.25">
      <c r="C54" s="24"/>
      <c r="D54" s="1"/>
      <c r="E54" s="1"/>
      <c r="F54" s="1"/>
      <c r="G54" s="1"/>
      <c r="H54" s="24"/>
      <c r="I54" s="24"/>
      <c r="J54" s="24"/>
      <c r="K54" s="24"/>
      <c r="L54" s="24"/>
    </row>
    <row r="55" spans="3:12" ht="20.100000000000001" customHeight="1" x14ac:dyDescent="0.25">
      <c r="C55" s="24"/>
      <c r="D55" s="1"/>
      <c r="E55" s="1"/>
      <c r="F55" s="1"/>
      <c r="G55" s="1"/>
      <c r="H55" s="24"/>
      <c r="I55" s="24"/>
      <c r="J55" s="24"/>
      <c r="K55" s="24"/>
      <c r="L55" s="24"/>
    </row>
    <row r="56" spans="3:12" ht="20.100000000000001" customHeight="1" x14ac:dyDescent="0.25">
      <c r="C56" s="24"/>
      <c r="D56" s="1"/>
      <c r="E56" s="1"/>
      <c r="F56" s="1"/>
      <c r="G56" s="1"/>
      <c r="H56" s="24"/>
      <c r="I56" s="24"/>
      <c r="J56" s="24"/>
      <c r="K56" s="24"/>
      <c r="L56" s="24"/>
    </row>
    <row r="57" spans="3:12" ht="20.100000000000001" customHeight="1" x14ac:dyDescent="0.25">
      <c r="C57" s="24"/>
      <c r="D57" s="1"/>
      <c r="E57" s="1"/>
      <c r="F57" s="1"/>
      <c r="G57" s="1"/>
      <c r="H57" s="24"/>
      <c r="I57" s="24"/>
      <c r="J57" s="24"/>
      <c r="K57" s="24"/>
      <c r="L57" s="24"/>
    </row>
    <row r="58" spans="3:12" ht="20.100000000000001" customHeight="1" x14ac:dyDescent="0.25">
      <c r="C58" s="24"/>
      <c r="D58" s="1"/>
      <c r="E58" s="32"/>
      <c r="F58" s="30"/>
      <c r="G58" s="24"/>
      <c r="H58" s="24"/>
      <c r="I58" s="24"/>
      <c r="J58" s="24"/>
      <c r="K58" s="24"/>
      <c r="L58" s="24"/>
    </row>
    <row r="59" spans="3:12" ht="20.100000000000001" customHeight="1" x14ac:dyDescent="0.25">
      <c r="C59" s="24"/>
      <c r="D59" s="1"/>
      <c r="E59" s="1"/>
      <c r="F59" s="1"/>
      <c r="G59" s="1"/>
      <c r="H59" s="1"/>
      <c r="I59" s="1"/>
      <c r="J59" s="1"/>
      <c r="K59" s="1"/>
      <c r="L59" s="24"/>
    </row>
    <row r="60" spans="3:12" ht="20.100000000000001" customHeight="1" x14ac:dyDescent="0.25">
      <c r="C60" s="24"/>
      <c r="D60" s="1"/>
      <c r="E60" s="1"/>
      <c r="F60" s="1"/>
      <c r="G60" s="1"/>
      <c r="H60" s="1"/>
      <c r="I60" s="1"/>
      <c r="J60" s="1"/>
      <c r="K60" s="1"/>
      <c r="L60" s="24"/>
    </row>
    <row r="61" spans="3:12" ht="20.100000000000001" customHeight="1" x14ac:dyDescent="0.25">
      <c r="C61" s="24"/>
      <c r="D61" s="1"/>
      <c r="E61" s="1"/>
      <c r="F61" s="1"/>
      <c r="G61" s="1"/>
      <c r="H61" s="1"/>
      <c r="I61" s="1"/>
      <c r="J61" s="1"/>
      <c r="K61" s="1"/>
      <c r="L61" s="24"/>
    </row>
    <row r="62" spans="3:12" ht="20.100000000000001" customHeight="1" x14ac:dyDescent="0.25">
      <c r="C62" s="24"/>
      <c r="D62" s="1"/>
      <c r="E62" s="1"/>
      <c r="F62" s="1"/>
      <c r="G62" s="1"/>
      <c r="H62" s="1"/>
      <c r="I62" s="1"/>
      <c r="J62" s="1"/>
      <c r="K62" s="1"/>
      <c r="L62" s="24"/>
    </row>
    <row r="63" spans="3:12" ht="20.100000000000001" customHeight="1" x14ac:dyDescent="0.25">
      <c r="C63" s="24"/>
      <c r="D63" s="1"/>
      <c r="E63" s="1"/>
      <c r="F63" s="1"/>
      <c r="G63" s="1"/>
      <c r="H63" s="1"/>
      <c r="I63" s="1"/>
      <c r="J63" s="1"/>
      <c r="K63" s="1"/>
      <c r="L63" s="24"/>
    </row>
    <row r="64" spans="3:12" ht="20.100000000000001" customHeight="1" x14ac:dyDescent="0.25">
      <c r="C64" s="24"/>
      <c r="D64" s="1"/>
      <c r="E64" s="1"/>
      <c r="F64" s="1"/>
      <c r="G64" s="1"/>
      <c r="H64" s="1"/>
      <c r="I64" s="1"/>
      <c r="J64" s="1"/>
      <c r="K64" s="1"/>
      <c r="L64" s="24"/>
    </row>
    <row r="65" spans="3:12" ht="20.100000000000001" customHeight="1" x14ac:dyDescent="0.25">
      <c r="C65" s="24"/>
      <c r="D65" s="1"/>
      <c r="E65" s="1"/>
      <c r="F65" s="1"/>
      <c r="G65" s="1"/>
      <c r="H65" s="1"/>
      <c r="I65" s="1"/>
      <c r="J65" s="1"/>
      <c r="K65" s="1"/>
      <c r="L65" s="24"/>
    </row>
    <row r="66" spans="3:12" ht="20.100000000000001" customHeight="1" x14ac:dyDescent="0.25">
      <c r="C66" s="24"/>
      <c r="D66" s="1"/>
      <c r="E66" s="1"/>
      <c r="F66" s="1"/>
      <c r="G66" s="1"/>
      <c r="H66" s="1"/>
      <c r="I66" s="1"/>
      <c r="J66" s="1"/>
      <c r="K66" s="1"/>
      <c r="L66" s="24"/>
    </row>
    <row r="67" spans="3:12" ht="20.100000000000001" customHeight="1" x14ac:dyDescent="0.25">
      <c r="C67" s="24"/>
      <c r="D67" s="1"/>
      <c r="E67" s="1"/>
      <c r="F67" s="1"/>
      <c r="G67" s="1"/>
      <c r="H67" s="1"/>
      <c r="I67" s="1"/>
      <c r="J67" s="1"/>
      <c r="K67" s="1"/>
      <c r="L67" s="24"/>
    </row>
    <row r="68" spans="3:12" ht="20.100000000000001" customHeight="1" x14ac:dyDescent="0.25">
      <c r="C68" s="24"/>
      <c r="D68" s="1"/>
      <c r="E68" s="1"/>
      <c r="F68" s="1"/>
      <c r="G68" s="1"/>
      <c r="H68" s="1"/>
      <c r="I68" s="1"/>
      <c r="J68" s="1"/>
      <c r="K68" s="1"/>
      <c r="L68" s="24"/>
    </row>
    <row r="69" spans="3:12" ht="20.100000000000001" customHeight="1" x14ac:dyDescent="0.25">
      <c r="C69" s="24"/>
      <c r="D69" s="1"/>
      <c r="E69" s="1"/>
      <c r="F69" s="1"/>
      <c r="G69" s="1"/>
      <c r="H69" s="1"/>
      <c r="I69" s="1"/>
      <c r="J69" s="1"/>
      <c r="K69" s="1"/>
      <c r="L69" s="24"/>
    </row>
    <row r="70" spans="3:12" ht="20.100000000000001" customHeight="1" x14ac:dyDescent="0.25">
      <c r="C70" s="24"/>
      <c r="D70" s="1"/>
      <c r="E70" s="1"/>
      <c r="F70" s="1"/>
      <c r="G70" s="1"/>
      <c r="H70" s="1"/>
      <c r="I70" s="1"/>
      <c r="J70" s="1"/>
      <c r="K70" s="1"/>
      <c r="L70" s="24"/>
    </row>
    <row r="71" spans="3:12" ht="20.100000000000001" customHeight="1" x14ac:dyDescent="0.25">
      <c r="C71" s="24"/>
      <c r="D71" s="1"/>
      <c r="E71" s="1"/>
      <c r="F71" s="1"/>
      <c r="G71" s="1"/>
      <c r="H71" s="1"/>
      <c r="I71" s="1"/>
      <c r="J71" s="1"/>
      <c r="K71" s="1"/>
      <c r="L71" s="24"/>
    </row>
    <row r="72" spans="3:12" ht="20.100000000000001" customHeight="1" x14ac:dyDescent="0.25">
      <c r="C72" s="24"/>
      <c r="D72" s="1"/>
      <c r="E72" s="1"/>
      <c r="F72" s="1"/>
      <c r="G72" s="1"/>
      <c r="H72" s="1"/>
      <c r="I72" s="1"/>
      <c r="J72" s="1"/>
      <c r="K72" s="1"/>
      <c r="L72" s="24"/>
    </row>
    <row r="73" spans="3:12" ht="20.100000000000001" customHeight="1" x14ac:dyDescent="0.25">
      <c r="C73" s="24"/>
      <c r="D73" s="1"/>
      <c r="E73" s="1"/>
      <c r="F73" s="1"/>
      <c r="G73" s="1"/>
      <c r="H73" s="1"/>
      <c r="I73" s="1"/>
      <c r="J73" s="1"/>
      <c r="K73" s="1"/>
      <c r="L73" s="24"/>
    </row>
    <row r="74" spans="3:12" ht="20.100000000000001" customHeight="1" x14ac:dyDescent="0.25">
      <c r="C74" s="24"/>
      <c r="D74" s="1"/>
      <c r="E74" s="1"/>
      <c r="F74" s="1"/>
      <c r="G74" s="1"/>
      <c r="H74" s="1"/>
      <c r="I74" s="1"/>
      <c r="J74" s="1"/>
      <c r="K74" s="1"/>
      <c r="L74" s="24"/>
    </row>
    <row r="75" spans="3:12" ht="20.100000000000001" customHeight="1" x14ac:dyDescent="0.25">
      <c r="C75" s="24"/>
      <c r="D75" s="1"/>
      <c r="E75" s="1"/>
      <c r="F75" s="1"/>
      <c r="G75" s="1"/>
      <c r="H75" s="1"/>
      <c r="I75" s="1"/>
      <c r="J75" s="1"/>
      <c r="K75" s="1"/>
      <c r="L75" s="24"/>
    </row>
    <row r="76" spans="3:12" ht="15.75" x14ac:dyDescent="0.25">
      <c r="C76" s="24"/>
      <c r="D76" s="1"/>
      <c r="E76" s="1"/>
      <c r="F76" s="1"/>
      <c r="G76" s="1"/>
      <c r="H76" s="1"/>
      <c r="I76" s="1"/>
      <c r="J76" s="1"/>
      <c r="K76" s="1"/>
      <c r="L76" s="24"/>
    </row>
    <row r="77" spans="3:12" ht="15.75" x14ac:dyDescent="0.25">
      <c r="C77" s="24"/>
      <c r="D77" s="1"/>
      <c r="E77" s="1"/>
      <c r="F77" s="1"/>
      <c r="G77" s="1"/>
      <c r="H77" s="1"/>
      <c r="I77" s="1"/>
      <c r="J77" s="1"/>
      <c r="K77" s="1"/>
      <c r="L77" s="24"/>
    </row>
    <row r="78" spans="3:12" ht="15.75" x14ac:dyDescent="0.25">
      <c r="C78" s="24"/>
      <c r="D78" s="1"/>
      <c r="E78" s="1"/>
      <c r="F78" s="1"/>
      <c r="G78" s="1"/>
      <c r="H78" s="1"/>
      <c r="I78" s="1"/>
      <c r="J78" s="1"/>
      <c r="K78" s="1"/>
      <c r="L78" s="24"/>
    </row>
    <row r="79" spans="3:12" ht="15.75" x14ac:dyDescent="0.25">
      <c r="C79" s="24"/>
      <c r="D79" s="1"/>
      <c r="E79" s="1"/>
      <c r="F79" s="1"/>
      <c r="G79" s="1"/>
      <c r="H79" s="1"/>
      <c r="I79" s="1"/>
      <c r="J79" s="1"/>
      <c r="K79" s="1"/>
      <c r="L79" s="24"/>
    </row>
    <row r="80" spans="3:12" ht="15.75" x14ac:dyDescent="0.25">
      <c r="C80" s="24"/>
      <c r="D80" s="1"/>
      <c r="E80" s="1"/>
      <c r="F80" s="1"/>
      <c r="G80" s="1"/>
      <c r="H80" s="1"/>
      <c r="I80" s="1"/>
      <c r="J80" s="1"/>
      <c r="K80" s="1"/>
      <c r="L80" s="24"/>
    </row>
    <row r="81" spans="3:12" ht="15.75" x14ac:dyDescent="0.25">
      <c r="C81" s="24"/>
      <c r="D81" s="1"/>
      <c r="E81" s="1"/>
      <c r="F81" s="1"/>
      <c r="G81" s="1"/>
      <c r="H81" s="1"/>
      <c r="I81" s="1"/>
      <c r="J81" s="1"/>
      <c r="K81" s="1"/>
      <c r="L81" s="24"/>
    </row>
    <row r="82" spans="3:12" ht="15.75" x14ac:dyDescent="0.25">
      <c r="C82" s="24"/>
      <c r="D82" s="1"/>
      <c r="E82" s="1"/>
      <c r="F82" s="1"/>
      <c r="G82" s="1"/>
      <c r="H82" s="1"/>
      <c r="I82" s="1"/>
      <c r="J82" s="1"/>
      <c r="K82" s="1"/>
      <c r="L82" s="24"/>
    </row>
    <row r="83" spans="3:12" ht="15.75" x14ac:dyDescent="0.25">
      <c r="C83" s="24"/>
      <c r="D83" s="1"/>
      <c r="E83" s="1"/>
      <c r="F83" s="1"/>
      <c r="G83" s="1"/>
      <c r="H83" s="1"/>
      <c r="I83" s="1"/>
      <c r="J83" s="1"/>
      <c r="K83" s="1"/>
      <c r="L83" s="24"/>
    </row>
    <row r="84" spans="3:12" ht="15.75" x14ac:dyDescent="0.25">
      <c r="C84" s="24"/>
      <c r="D84" s="1"/>
      <c r="E84" s="1"/>
      <c r="F84" s="1"/>
      <c r="G84" s="1"/>
      <c r="H84" s="1"/>
      <c r="I84" s="1"/>
      <c r="J84" s="1"/>
      <c r="K84" s="1"/>
      <c r="L84" s="24"/>
    </row>
    <row r="85" spans="3:12" ht="15.75" x14ac:dyDescent="0.25">
      <c r="C85" s="24"/>
      <c r="D85" s="1"/>
      <c r="E85" s="1"/>
      <c r="F85" s="1"/>
      <c r="G85" s="1"/>
      <c r="H85" s="1"/>
      <c r="I85" s="1"/>
      <c r="J85" s="1"/>
      <c r="K85" s="1"/>
      <c r="L85" s="24"/>
    </row>
    <row r="86" spans="3:12" x14ac:dyDescent="0.25">
      <c r="C86" s="24"/>
      <c r="D86" s="24"/>
      <c r="E86" s="24"/>
      <c r="F86" s="24"/>
      <c r="G86" s="24"/>
      <c r="H86" s="24"/>
      <c r="I86" s="24"/>
      <c r="J86" s="24"/>
      <c r="K86" s="24"/>
      <c r="L86" s="24"/>
    </row>
    <row r="87" spans="3:12" x14ac:dyDescent="0.25">
      <c r="C87" s="24"/>
      <c r="D87" s="24"/>
      <c r="E87" s="24"/>
      <c r="F87" s="24"/>
      <c r="G87" s="24"/>
      <c r="H87" s="24"/>
      <c r="I87" s="24"/>
      <c r="J87" s="24"/>
      <c r="K87" s="24"/>
      <c r="L87" s="24"/>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15"/>
  <sheetViews>
    <sheetView showGridLines="0" tabSelected="1" zoomScaleNormal="100" workbookViewId="0">
      <selection activeCell="E27" sqref="E27"/>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63" t="e" vm="1">
        <v>#VALUE!</v>
      </c>
      <c r="C1" s="12" t="s">
        <v>71</v>
      </c>
    </row>
    <row r="2" spans="1:24" s="7" customFormat="1" ht="20.100000000000001" customHeight="1" x14ac:dyDescent="0.25">
      <c r="A2" s="9"/>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HYPERLINK("#'Overview'!A1", "Overview")</f>
        <v>Overview</v>
      </c>
      <c r="C4" s="65"/>
      <c r="D4" s="65"/>
      <c r="E4" s="65"/>
      <c r="F4" s="65"/>
      <c r="G4" s="65"/>
      <c r="H4" s="65"/>
      <c r="I4" s="65"/>
      <c r="J4" s="65"/>
      <c r="K4" s="65"/>
    </row>
    <row r="5" spans="1:24" ht="20.100000000000001" customHeight="1" x14ac:dyDescent="0.25">
      <c r="A5" s="17" t="str">
        <f>HYPERLINK("#'Results'!A1", "Results")</f>
        <v>Results</v>
      </c>
      <c r="D5" s="6" t="s">
        <v>8</v>
      </c>
      <c r="N5" s="40"/>
    </row>
    <row r="6" spans="1:24" ht="20.100000000000001" customHeight="1" x14ac:dyDescent="0.25">
      <c r="D6" s="14"/>
      <c r="N6" s="41"/>
    </row>
    <row r="7" spans="1:24" ht="20.100000000000001" customHeight="1" x14ac:dyDescent="0.25">
      <c r="A7" s="20" t="s">
        <v>3</v>
      </c>
      <c r="D7" s="1" t="s">
        <v>6</v>
      </c>
      <c r="E7" s="33" t="s">
        <v>186</v>
      </c>
      <c r="F7" s="2"/>
    </row>
    <row r="8" spans="1:24" ht="20.100000000000001" customHeight="1" x14ac:dyDescent="0.25">
      <c r="A8" s="21" t="str">
        <f>HYPERLINK("#'Input - Site'!A1", "Site")</f>
        <v>Site</v>
      </c>
      <c r="D8" s="10" t="s">
        <v>53</v>
      </c>
      <c r="E8" s="33" t="s">
        <v>187</v>
      </c>
    </row>
    <row r="9" spans="1:24" ht="20.100000000000001" customHeight="1" x14ac:dyDescent="0.25">
      <c r="A9" s="17" t="str">
        <f>HYPERLINK("#'Input - Feedlot'!A1", "Feedlot")</f>
        <v>Feedlot</v>
      </c>
      <c r="N9" s="42"/>
    </row>
    <row r="10" spans="1:24" ht="20.100000000000001" customHeight="1" x14ac:dyDescent="0.25">
      <c r="A10" s="17"/>
      <c r="D10" s="82" t="s">
        <v>70</v>
      </c>
      <c r="E10" s="80"/>
      <c r="F10" s="83"/>
      <c r="G10" s="77"/>
      <c r="N10" s="42"/>
    </row>
    <row r="11" spans="1:24" ht="20.100000000000001" customHeight="1" x14ac:dyDescent="0.25">
      <c r="A11" s="19" t="s">
        <v>56</v>
      </c>
      <c r="N11" s="43"/>
    </row>
    <row r="12" spans="1:24" ht="20.100000000000001" customHeight="1" x14ac:dyDescent="0.25">
      <c r="A12" s="17" t="str">
        <f>HYPERLINK("#'3.1.1.1-2 Enteric Methane'!A1", "3.1.1.1-2 Enteric Methane")</f>
        <v>3.1.1.1-2 Enteric Methane</v>
      </c>
      <c r="D12" s="10" t="s">
        <v>74</v>
      </c>
      <c r="E12" s="59">
        <v>45658</v>
      </c>
      <c r="F12" s="2" t="s">
        <v>52</v>
      </c>
    </row>
    <row r="13" spans="1:24" ht="20.100000000000001" customHeight="1" x14ac:dyDescent="0.25">
      <c r="A13"/>
      <c r="D13" s="10" t="s">
        <v>75</v>
      </c>
      <c r="E13" s="66">
        <f>DATE(YEAR(E12)+1,MONTH(E12),DAY(E12))-1</f>
        <v>46022</v>
      </c>
      <c r="F13" s="2" t="s">
        <v>9</v>
      </c>
      <c r="N13" s="38"/>
      <c r="O13" s="38"/>
    </row>
    <row r="14" spans="1:24" ht="20.100000000000001" customHeight="1" x14ac:dyDescent="0.25">
      <c r="A14" s="18" t="s">
        <v>4</v>
      </c>
      <c r="N14" s="38"/>
      <c r="O14" s="38"/>
    </row>
    <row r="15" spans="1:24" ht="20.100000000000001" customHeight="1" x14ac:dyDescent="0.25">
      <c r="A15" s="17" t="str">
        <f>HYPERLINK("#'Constants - Feedlot'!A1", "Constants - Feedlot")</f>
        <v>Constants - Feedlot</v>
      </c>
      <c r="D15" s="34"/>
      <c r="E15" s="34"/>
      <c r="F15" s="34"/>
      <c r="G15" s="34"/>
      <c r="H15" s="34"/>
      <c r="I15" s="34"/>
      <c r="J15" s="34"/>
      <c r="K15" s="34"/>
      <c r="N15" s="38"/>
      <c r="O15" s="38"/>
    </row>
    <row r="16" spans="1:24" ht="20.100000000000001" customHeight="1" x14ac:dyDescent="0.25">
      <c r="A16" s="17" t="str">
        <f>HYPERLINK("#'Constants - Livestock'!A1", "Constants - Livestock")</f>
        <v>Constants - Livestock</v>
      </c>
      <c r="D16" s="34"/>
      <c r="E16" s="34"/>
      <c r="F16" s="34"/>
      <c r="G16" s="34"/>
      <c r="H16" s="34"/>
      <c r="I16" s="34"/>
      <c r="J16" s="34"/>
      <c r="K16" s="34"/>
      <c r="N16" s="38"/>
      <c r="O16" s="38"/>
    </row>
    <row r="17" spans="1:25" ht="20.100000000000001" customHeight="1" x14ac:dyDescent="0.25">
      <c r="A17" s="17" t="str">
        <f>HYPERLINK("#'Constants - Common'!A1", "Constants - Common")</f>
        <v>Constants - Common</v>
      </c>
      <c r="D17" s="34"/>
      <c r="E17" s="34"/>
      <c r="F17" s="34"/>
      <c r="G17" s="34"/>
      <c r="H17" s="34"/>
      <c r="I17" s="34"/>
      <c r="J17" s="34"/>
      <c r="K17" s="34"/>
    </row>
    <row r="18" spans="1:25" ht="20.100000000000001" customHeight="1" x14ac:dyDescent="0.25">
      <c r="A18" s="17" t="str">
        <f>HYPERLINK("#'Acknowledgements'!A1", "Acknowledgements")</f>
        <v>Acknowledgements</v>
      </c>
      <c r="D18" s="34"/>
      <c r="E18" s="34"/>
      <c r="F18" s="34"/>
      <c r="G18" s="34"/>
      <c r="H18" s="34"/>
      <c r="I18" s="34"/>
      <c r="J18" s="34"/>
      <c r="K18" s="34"/>
    </row>
    <row r="19" spans="1:25" ht="20.100000000000001" customHeight="1" x14ac:dyDescent="0.25">
      <c r="A19"/>
      <c r="D19" s="34"/>
      <c r="E19" s="34"/>
      <c r="F19" s="34"/>
      <c r="G19" s="34"/>
      <c r="H19" s="34"/>
      <c r="I19" s="34"/>
      <c r="J19" s="34"/>
      <c r="K19" s="34"/>
      <c r="N19" s="40"/>
    </row>
    <row r="20" spans="1:25" ht="20.100000000000001" customHeight="1" x14ac:dyDescent="0.25">
      <c r="A20"/>
      <c r="D20" s="34"/>
      <c r="E20" s="34"/>
      <c r="F20" s="34"/>
      <c r="G20" s="34"/>
      <c r="H20" s="34"/>
      <c r="I20" s="34"/>
      <c r="J20" s="34"/>
      <c r="K20" s="34"/>
      <c r="N20" s="41"/>
    </row>
    <row r="21" spans="1:25" ht="20.100000000000001" customHeight="1" x14ac:dyDescent="0.25">
      <c r="A21" s="17"/>
      <c r="D21" s="34"/>
      <c r="E21" s="34"/>
      <c r="F21" s="34"/>
      <c r="G21" s="34"/>
      <c r="H21" s="34"/>
      <c r="I21" s="34"/>
      <c r="J21" s="34"/>
      <c r="K21" s="34"/>
    </row>
    <row r="22" spans="1:25" ht="20.100000000000001" customHeight="1" x14ac:dyDescent="0.25">
      <c r="A22"/>
      <c r="D22" s="34"/>
      <c r="E22" s="34"/>
      <c r="F22" s="34"/>
      <c r="G22" s="34"/>
      <c r="H22" s="34"/>
      <c r="I22" s="34"/>
      <c r="J22" s="34"/>
      <c r="K22" s="34"/>
    </row>
    <row r="23" spans="1:25" ht="20.100000000000001" customHeight="1" x14ac:dyDescent="0.25">
      <c r="A23"/>
      <c r="D23" s="34"/>
      <c r="E23" s="34"/>
      <c r="F23" s="34"/>
      <c r="G23" s="34"/>
      <c r="H23" s="34"/>
      <c r="I23" s="34"/>
      <c r="J23" s="34"/>
      <c r="K23" s="34"/>
    </row>
    <row r="24" spans="1:25" ht="20.100000000000001" customHeight="1" x14ac:dyDescent="0.25">
      <c r="A24"/>
      <c r="D24" s="34"/>
      <c r="E24" s="34"/>
      <c r="F24" s="34"/>
      <c r="G24" s="34"/>
      <c r="H24" s="34"/>
      <c r="I24" s="34"/>
      <c r="J24" s="34"/>
      <c r="K24" s="34"/>
    </row>
    <row r="25" spans="1:25" ht="20.100000000000001" customHeight="1" x14ac:dyDescent="0.25">
      <c r="A25"/>
      <c r="D25" s="34"/>
      <c r="E25" s="34"/>
      <c r="F25" s="34"/>
      <c r="G25" s="34"/>
      <c r="H25" s="34"/>
      <c r="I25" s="34"/>
      <c r="J25" s="34"/>
      <c r="K25" s="34"/>
      <c r="N25" s="41"/>
    </row>
    <row r="26" spans="1:25" ht="20.100000000000001" customHeight="1" x14ac:dyDescent="0.25">
      <c r="A26"/>
      <c r="D26" s="34"/>
      <c r="E26" s="34"/>
      <c r="F26" s="34"/>
      <c r="G26" s="34"/>
      <c r="H26" s="34"/>
      <c r="I26" s="34"/>
      <c r="J26" s="34"/>
      <c r="K26" s="34"/>
    </row>
    <row r="27" spans="1:25" ht="20.100000000000001" customHeight="1" x14ac:dyDescent="0.25">
      <c r="A27"/>
      <c r="D27" s="34"/>
      <c r="E27" s="34"/>
      <c r="F27" s="34"/>
      <c r="G27" s="34"/>
      <c r="H27" s="34"/>
      <c r="I27" s="34"/>
      <c r="J27" s="34"/>
      <c r="K27" s="34"/>
    </row>
    <row r="28" spans="1:25" ht="20.100000000000001" customHeight="1" x14ac:dyDescent="0.25">
      <c r="A28"/>
      <c r="D28" s="34"/>
      <c r="E28" s="34"/>
      <c r="F28" s="34"/>
      <c r="G28" s="34"/>
      <c r="H28" s="34"/>
      <c r="I28" s="34"/>
      <c r="J28" s="34"/>
      <c r="K28" s="34"/>
    </row>
    <row r="29" spans="1:25" ht="20.100000000000001" customHeight="1" x14ac:dyDescent="0.25">
      <c r="A29"/>
      <c r="D29" s="34"/>
      <c r="E29" s="34"/>
      <c r="F29" s="34"/>
      <c r="G29" s="34"/>
      <c r="H29" s="34"/>
      <c r="I29" s="34"/>
      <c r="J29" s="34"/>
      <c r="K29" s="34"/>
    </row>
    <row r="30" spans="1:25" ht="20.100000000000001" customHeight="1" x14ac:dyDescent="0.25">
      <c r="A30"/>
      <c r="D30" s="34"/>
      <c r="E30" s="34"/>
      <c r="F30" s="34"/>
      <c r="G30" s="34"/>
      <c r="H30" s="34"/>
      <c r="I30" s="34"/>
      <c r="J30" s="34"/>
      <c r="K30" s="34"/>
      <c r="L30" s="47"/>
      <c r="M30" s="47"/>
      <c r="N30" s="47"/>
      <c r="O30" s="47"/>
      <c r="P30" s="47"/>
      <c r="Q30" s="47"/>
      <c r="R30" s="47"/>
      <c r="S30" s="47"/>
      <c r="T30" s="47"/>
      <c r="U30" s="47"/>
      <c r="V30" s="47"/>
      <c r="W30" s="47"/>
      <c r="X30" s="47"/>
      <c r="Y30" s="47"/>
    </row>
    <row r="31" spans="1:25" ht="20.100000000000001" customHeight="1" x14ac:dyDescent="0.25">
      <c r="A31"/>
      <c r="D31" s="34"/>
      <c r="E31" s="34"/>
      <c r="F31" s="34"/>
      <c r="G31" s="34"/>
      <c r="H31" s="34"/>
      <c r="I31" s="34"/>
      <c r="J31" s="34"/>
      <c r="K31" s="34"/>
      <c r="L31" s="46"/>
      <c r="M31" s="46"/>
      <c r="N31" s="46"/>
      <c r="O31" s="46"/>
      <c r="P31" s="46"/>
      <c r="Q31" s="46"/>
      <c r="R31" s="46"/>
      <c r="S31" s="46"/>
      <c r="T31" s="46"/>
      <c r="U31" s="46"/>
      <c r="V31" s="46"/>
      <c r="W31" s="46"/>
      <c r="X31" s="46"/>
      <c r="Y31" s="46"/>
    </row>
    <row r="32" spans="1:25" ht="20.100000000000001" customHeight="1" x14ac:dyDescent="0.25">
      <c r="A32"/>
      <c r="D32" s="34"/>
      <c r="E32" s="34"/>
      <c r="F32" s="34"/>
      <c r="G32" s="34"/>
      <c r="H32" s="34"/>
      <c r="I32" s="34"/>
      <c r="J32" s="34"/>
      <c r="K32" s="34"/>
      <c r="L32" s="46"/>
      <c r="M32" s="46"/>
      <c r="N32" s="46"/>
      <c r="O32" s="46"/>
      <c r="P32" s="46"/>
      <c r="Q32" s="46"/>
      <c r="R32" s="46"/>
      <c r="S32" s="46"/>
      <c r="T32" s="46"/>
      <c r="U32" s="46"/>
      <c r="V32" s="46"/>
      <c r="W32" s="46"/>
      <c r="X32" s="46"/>
      <c r="Y32" s="46"/>
    </row>
    <row r="33" spans="1:25" ht="20.100000000000001" customHeight="1" x14ac:dyDescent="0.25">
      <c r="A33"/>
      <c r="D33" s="34"/>
      <c r="E33" s="34"/>
      <c r="F33" s="34"/>
      <c r="G33" s="34"/>
      <c r="H33" s="34"/>
      <c r="I33" s="34"/>
      <c r="J33" s="34"/>
      <c r="K33" s="34"/>
      <c r="L33" s="46"/>
      <c r="M33" s="46"/>
      <c r="N33" s="46"/>
      <c r="O33" s="46"/>
      <c r="P33" s="46"/>
      <c r="Q33" s="46"/>
      <c r="R33" s="46"/>
      <c r="S33" s="46"/>
      <c r="T33" s="46"/>
      <c r="U33" s="46"/>
      <c r="V33" s="46"/>
      <c r="W33" s="46"/>
      <c r="X33" s="46"/>
      <c r="Y33" s="46"/>
    </row>
    <row r="34" spans="1:25" ht="20.100000000000001" customHeight="1" x14ac:dyDescent="0.25">
      <c r="A34"/>
      <c r="D34" s="34"/>
      <c r="E34" s="34"/>
      <c r="F34" s="34"/>
      <c r="G34" s="34"/>
      <c r="H34" s="34"/>
      <c r="I34" s="34"/>
      <c r="J34" s="34"/>
      <c r="K34" s="34"/>
      <c r="L34" s="46"/>
      <c r="M34" s="46"/>
      <c r="N34" s="46"/>
      <c r="O34" s="46"/>
      <c r="P34" s="46"/>
      <c r="Q34" s="46"/>
      <c r="R34" s="46"/>
      <c r="S34" s="46"/>
      <c r="T34" s="46"/>
      <c r="U34" s="46"/>
      <c r="V34" s="46"/>
      <c r="W34" s="46"/>
      <c r="X34" s="46"/>
      <c r="Y34" s="46"/>
    </row>
    <row r="35" spans="1:25" ht="20.100000000000001" customHeight="1" x14ac:dyDescent="0.25">
      <c r="A35"/>
      <c r="D35" s="34"/>
      <c r="E35" s="34"/>
      <c r="F35" s="34"/>
      <c r="G35" s="34"/>
      <c r="H35" s="34"/>
      <c r="I35" s="34"/>
      <c r="J35" s="34"/>
      <c r="K35" s="34"/>
      <c r="L35" s="46"/>
      <c r="M35" s="46"/>
      <c r="N35" s="46"/>
      <c r="O35" s="46"/>
      <c r="P35" s="46"/>
      <c r="Q35" s="46"/>
      <c r="R35" s="46"/>
      <c r="S35" s="46"/>
      <c r="T35" s="46"/>
      <c r="U35" s="46"/>
      <c r="V35" s="46"/>
      <c r="W35" s="46"/>
      <c r="X35" s="46"/>
      <c r="Y35" s="46"/>
    </row>
    <row r="36" spans="1:25" ht="20.100000000000001" customHeight="1" x14ac:dyDescent="0.25">
      <c r="A36"/>
      <c r="D36" s="34"/>
      <c r="E36" s="34"/>
      <c r="F36" s="34"/>
      <c r="G36" s="34"/>
      <c r="H36" s="34"/>
      <c r="I36" s="34"/>
      <c r="J36" s="34"/>
      <c r="K36" s="34"/>
      <c r="L36" s="46"/>
      <c r="M36" s="46"/>
      <c r="N36" s="46"/>
      <c r="O36" s="46"/>
      <c r="P36" s="46"/>
      <c r="Q36" s="46"/>
      <c r="R36" s="46"/>
      <c r="S36" s="46"/>
      <c r="T36" s="46"/>
      <c r="U36" s="46"/>
      <c r="V36" s="46"/>
      <c r="W36" s="46"/>
      <c r="X36" s="46"/>
      <c r="Y36" s="46"/>
    </row>
    <row r="37" spans="1:25" ht="20.100000000000001" customHeight="1" x14ac:dyDescent="0.25">
      <c r="A37"/>
      <c r="D37" s="34"/>
      <c r="E37" s="34"/>
      <c r="F37" s="34"/>
      <c r="G37" s="34"/>
      <c r="H37" s="34"/>
      <c r="I37" s="34"/>
      <c r="J37" s="34"/>
      <c r="K37" s="34"/>
      <c r="L37" s="46"/>
      <c r="M37" s="46"/>
      <c r="N37" s="46"/>
      <c r="O37" s="46"/>
      <c r="P37" s="46"/>
      <c r="Q37" s="46"/>
      <c r="R37" s="46"/>
      <c r="S37" s="46"/>
      <c r="T37" s="46"/>
      <c r="U37" s="46"/>
      <c r="V37" s="46"/>
      <c r="W37" s="46"/>
      <c r="X37" s="46"/>
      <c r="Y37" s="46"/>
    </row>
    <row r="38" spans="1:25" ht="20.100000000000001" customHeight="1" x14ac:dyDescent="0.25">
      <c r="A38"/>
      <c r="D38" s="34"/>
      <c r="E38" s="34"/>
      <c r="F38" s="34"/>
      <c r="G38" s="34"/>
      <c r="H38" s="34"/>
      <c r="I38" s="34"/>
      <c r="J38" s="34"/>
      <c r="K38" s="34"/>
      <c r="L38" s="46"/>
      <c r="M38" s="46"/>
      <c r="N38" s="46"/>
      <c r="O38" s="46"/>
      <c r="P38" s="46"/>
      <c r="Q38" s="46"/>
      <c r="R38" s="46"/>
      <c r="S38" s="46"/>
      <c r="T38" s="46"/>
      <c r="U38" s="46"/>
      <c r="V38" s="46"/>
      <c r="W38" s="46"/>
      <c r="X38" s="46"/>
      <c r="Y38" s="46"/>
    </row>
    <row r="39" spans="1:25" ht="20.100000000000001" customHeight="1" x14ac:dyDescent="0.25">
      <c r="A39"/>
      <c r="D39" s="34"/>
      <c r="E39" s="34"/>
      <c r="F39" s="34"/>
      <c r="G39" s="34"/>
      <c r="H39" s="34"/>
      <c r="I39" s="34"/>
      <c r="J39" s="34"/>
      <c r="K39" s="34"/>
      <c r="L39" s="46"/>
      <c r="M39" s="46"/>
      <c r="N39" s="46"/>
      <c r="O39" s="46"/>
      <c r="P39" s="46"/>
      <c r="Q39" s="46"/>
      <c r="R39" s="46"/>
      <c r="S39" s="46"/>
      <c r="T39" s="46"/>
      <c r="U39" s="46"/>
      <c r="V39" s="46"/>
      <c r="W39" s="46"/>
      <c r="X39" s="46"/>
      <c r="Y39" s="46"/>
    </row>
    <row r="40" spans="1:25" ht="20.100000000000001" customHeight="1" x14ac:dyDescent="0.25">
      <c r="A40"/>
      <c r="D40" s="34"/>
      <c r="E40" s="34"/>
      <c r="F40" s="34"/>
      <c r="G40" s="34"/>
      <c r="H40" s="34"/>
      <c r="I40" s="34"/>
      <c r="J40" s="34"/>
      <c r="K40" s="34"/>
      <c r="L40" s="48"/>
      <c r="M40" s="48"/>
      <c r="N40" s="48"/>
      <c r="O40" s="48"/>
      <c r="P40" s="48"/>
      <c r="Q40" s="48"/>
      <c r="R40" s="48"/>
      <c r="S40" s="48"/>
      <c r="T40" s="48"/>
      <c r="U40" s="48"/>
      <c r="V40" s="48"/>
      <c r="W40" s="48"/>
      <c r="X40" s="48"/>
      <c r="Y40" s="48"/>
    </row>
    <row r="41" spans="1:25" ht="20.100000000000001" customHeight="1" x14ac:dyDescent="0.25">
      <c r="A41"/>
      <c r="D41" s="34"/>
      <c r="E41" s="34"/>
      <c r="F41" s="34"/>
      <c r="G41" s="34"/>
      <c r="H41" s="34"/>
      <c r="I41" s="34"/>
      <c r="J41" s="34"/>
      <c r="K41" s="34"/>
    </row>
    <row r="42" spans="1:25" ht="20.100000000000001" customHeight="1" x14ac:dyDescent="0.25">
      <c r="A42"/>
      <c r="D42" s="34"/>
      <c r="E42" s="34"/>
      <c r="F42" s="34"/>
      <c r="G42" s="34"/>
      <c r="H42" s="34"/>
      <c r="I42" s="34"/>
      <c r="J42" s="34"/>
      <c r="K42" s="34"/>
    </row>
    <row r="43" spans="1:25" ht="20.100000000000001" customHeight="1" x14ac:dyDescent="0.25">
      <c r="A43"/>
      <c r="D43" s="34"/>
      <c r="E43" s="34"/>
      <c r="F43" s="34"/>
      <c r="G43" s="34"/>
      <c r="H43" s="34"/>
      <c r="I43" s="34"/>
      <c r="J43" s="34"/>
      <c r="K43" s="34"/>
    </row>
    <row r="44" spans="1:25" ht="20.100000000000001" customHeight="1" x14ac:dyDescent="0.25">
      <c r="D44" s="34"/>
      <c r="E44" s="34"/>
      <c r="F44" s="34"/>
      <c r="G44" s="34"/>
      <c r="H44" s="34"/>
      <c r="I44" s="34"/>
      <c r="J44" s="34"/>
      <c r="K44" s="34"/>
    </row>
    <row r="45" spans="1:25" ht="20.100000000000001" customHeight="1" x14ac:dyDescent="0.25">
      <c r="D45" s="34"/>
      <c r="E45" s="34"/>
      <c r="F45" s="34"/>
      <c r="G45" s="34"/>
      <c r="H45" s="34"/>
      <c r="I45" s="34"/>
      <c r="J45" s="34"/>
      <c r="K45" s="34"/>
    </row>
    <row r="46" spans="1:25" ht="20.100000000000001" customHeight="1" x14ac:dyDescent="0.25">
      <c r="D46" s="34"/>
      <c r="E46" s="34"/>
      <c r="F46" s="34"/>
      <c r="G46" s="34"/>
      <c r="H46" s="34"/>
      <c r="I46" s="34"/>
      <c r="J46" s="34"/>
      <c r="K46" s="34"/>
    </row>
    <row r="47" spans="1:25" ht="20.100000000000001" customHeight="1" x14ac:dyDescent="0.25">
      <c r="D47" s="34"/>
      <c r="E47" s="34"/>
      <c r="F47" s="34"/>
      <c r="G47" s="34"/>
      <c r="H47" s="34"/>
      <c r="I47" s="34"/>
      <c r="J47" s="34"/>
      <c r="K47" s="34"/>
    </row>
    <row r="48" spans="1:25" ht="20.100000000000001" customHeight="1" x14ac:dyDescent="0.25">
      <c r="D48" s="34"/>
      <c r="E48" s="34"/>
      <c r="F48" s="34"/>
      <c r="G48" s="34"/>
      <c r="H48" s="34"/>
      <c r="I48" s="34"/>
      <c r="J48" s="34"/>
      <c r="K48" s="34"/>
    </row>
    <row r="49" spans="4:8" ht="20.100000000000001" customHeight="1" x14ac:dyDescent="0.25">
      <c r="D49" s="34"/>
      <c r="E49" s="34"/>
      <c r="F49" s="35"/>
      <c r="G49" s="35"/>
      <c r="H49" s="34"/>
    </row>
    <row r="50" spans="4:8" ht="20.100000000000001" customHeight="1" x14ac:dyDescent="0.25">
      <c r="D50" s="34"/>
      <c r="E50" s="34"/>
      <c r="F50" s="35"/>
      <c r="G50" s="35"/>
      <c r="H50" s="34"/>
    </row>
    <row r="51" spans="4:8" ht="20.100000000000001" customHeight="1" x14ac:dyDescent="0.25">
      <c r="D51" s="67"/>
      <c r="E51" s="68"/>
      <c r="F51" s="68"/>
      <c r="G51" s="68"/>
      <c r="H51" s="69"/>
    </row>
    <row r="52" spans="4:8" ht="20.100000000000001" customHeight="1" x14ac:dyDescent="0.25"/>
    <row r="53" spans="4:8" ht="20.100000000000001" customHeight="1" x14ac:dyDescent="0.25"/>
    <row r="54" spans="4:8" ht="20.100000000000001" customHeight="1" x14ac:dyDescent="0.25">
      <c r="G54" s="70"/>
    </row>
    <row r="55" spans="4:8" ht="20.100000000000001" customHeight="1" x14ac:dyDescent="0.25">
      <c r="D55" s="6"/>
    </row>
    <row r="56" spans="4:8" ht="20.100000000000001" customHeight="1" x14ac:dyDescent="0.25"/>
    <row r="57" spans="4:8" ht="20.100000000000001" customHeight="1" x14ac:dyDescent="0.25">
      <c r="D57" s="23"/>
      <c r="F57" s="71"/>
    </row>
    <row r="58" spans="4:8" ht="20.100000000000001" customHeight="1" x14ac:dyDescent="0.25">
      <c r="D58" s="1"/>
      <c r="E58" s="72"/>
    </row>
    <row r="59" spans="4:8" ht="20.100000000000001" customHeight="1" x14ac:dyDescent="0.25">
      <c r="D59" s="1"/>
      <c r="E59" s="72"/>
    </row>
    <row r="60" spans="4:8" ht="20.100000000000001" customHeight="1" x14ac:dyDescent="0.25">
      <c r="D60" s="1"/>
      <c r="E60" s="73"/>
    </row>
    <row r="61" spans="4:8" ht="20.100000000000001" customHeight="1" x14ac:dyDescent="0.25">
      <c r="D61" s="1"/>
    </row>
    <row r="62" spans="4:8" ht="20.100000000000001" customHeight="1" x14ac:dyDescent="0.25"/>
    <row r="63" spans="4:8" ht="20.100000000000001" customHeight="1" x14ac:dyDescent="0.25">
      <c r="D63" s="23"/>
    </row>
    <row r="64" spans="4:8" ht="20.100000000000001" customHeight="1" x14ac:dyDescent="0.25">
      <c r="D64" s="1"/>
      <c r="E64" s="72"/>
    </row>
    <row r="65" spans="4:9" ht="20.100000000000001" customHeight="1" x14ac:dyDescent="0.25">
      <c r="D65" s="1"/>
      <c r="E65" s="72"/>
    </row>
    <row r="66" spans="4:9" ht="20.100000000000001" customHeight="1" x14ac:dyDescent="0.25">
      <c r="D66" s="1"/>
      <c r="E66" s="73"/>
    </row>
    <row r="67" spans="4:9" ht="20.100000000000001" customHeight="1" x14ac:dyDescent="0.25"/>
    <row r="68" spans="4:9" ht="20.100000000000001" customHeight="1" x14ac:dyDescent="0.25"/>
    <row r="69" spans="4:9" ht="20.100000000000001" customHeight="1" x14ac:dyDescent="0.25">
      <c r="D69" s="57"/>
      <c r="E69" s="57"/>
      <c r="F69" s="57"/>
      <c r="G69" s="57"/>
      <c r="H69" s="57"/>
      <c r="I69" s="57"/>
    </row>
    <row r="70" spans="4:9" ht="20.100000000000001" customHeight="1" x14ac:dyDescent="0.25">
      <c r="D70" s="57"/>
      <c r="E70" s="57"/>
      <c r="F70" s="57"/>
      <c r="G70" s="57"/>
      <c r="H70" s="57"/>
      <c r="I70" s="57"/>
    </row>
    <row r="71" spans="4:9" ht="20.100000000000001" customHeight="1" x14ac:dyDescent="0.25">
      <c r="D71" s="57"/>
      <c r="E71" s="57"/>
      <c r="F71" s="57"/>
      <c r="G71" s="57"/>
      <c r="H71" s="57"/>
      <c r="I71" s="57"/>
    </row>
    <row r="72" spans="4:9" ht="20.100000000000001" customHeight="1" x14ac:dyDescent="0.25">
      <c r="D72" s="57"/>
      <c r="E72" s="57"/>
      <c r="F72" s="57"/>
      <c r="G72" s="57"/>
      <c r="H72" s="57"/>
      <c r="I72" s="57"/>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74"/>
    </row>
    <row r="79" spans="4:9" ht="20.100000000000001" customHeight="1" x14ac:dyDescent="0.25">
      <c r="D79" s="74"/>
    </row>
    <row r="80" spans="4:9" ht="20.100000000000001" customHeight="1" x14ac:dyDescent="0.25">
      <c r="D80" s="74"/>
    </row>
    <row r="81" spans="4:4" ht="20.100000000000001" customHeight="1" x14ac:dyDescent="0.25">
      <c r="D81" s="74"/>
    </row>
    <row r="82" spans="4:4" ht="20.100000000000001" customHeight="1" x14ac:dyDescent="0.25">
      <c r="D82" s="74"/>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phoneticPr fontId="23"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U165"/>
  <sheetViews>
    <sheetView showGridLines="0" zoomScaleNormal="100" workbookViewId="0">
      <selection activeCell="G21" sqref="G21"/>
    </sheetView>
  </sheetViews>
  <sheetFormatPr defaultRowHeight="15.75" x14ac:dyDescent="0.25"/>
  <cols>
    <col min="1" max="1" width="30.7109375" customWidth="1"/>
    <col min="2" max="2" width="4.7109375" customWidth="1"/>
    <col min="3" max="3" width="4.7109375" style="1" customWidth="1"/>
    <col min="4" max="4" width="62.5703125" style="1" customWidth="1"/>
    <col min="5" max="7" width="30.7109375" style="1" customWidth="1"/>
    <col min="8" max="8" width="12.7109375" style="1" customWidth="1"/>
    <col min="9" max="11" width="30.7109375" style="1" customWidth="1"/>
    <col min="12" max="12" width="4.7109375" style="1" customWidth="1"/>
    <col min="13" max="13" width="4.7109375" customWidth="1"/>
    <col min="14" max="14" width="4.7109375" style="54" customWidth="1"/>
    <col min="15" max="20" width="30.7109375" style="54" customWidth="1"/>
    <col min="21" max="21" width="4.7109375" style="54" customWidth="1"/>
  </cols>
  <sheetData>
    <row r="1" spans="1:21" s="63" customFormat="1" ht="30" customHeight="1" x14ac:dyDescent="0.35">
      <c r="A1" s="63" t="e" vm="1">
        <v>#VALUE!</v>
      </c>
      <c r="C1" s="63" t="s">
        <v>179</v>
      </c>
      <c r="N1" s="54"/>
      <c r="O1" s="54"/>
      <c r="P1" s="54"/>
      <c r="Q1" s="54"/>
      <c r="R1" s="54"/>
      <c r="S1" s="54"/>
      <c r="T1" s="54"/>
      <c r="U1" s="54"/>
    </row>
    <row r="2" spans="1:21" s="9" customFormat="1" ht="20.100000000000001" customHeight="1" x14ac:dyDescent="0.25">
      <c r="N2" s="54"/>
      <c r="O2" s="54"/>
      <c r="P2" s="54"/>
      <c r="Q2" s="54"/>
      <c r="R2" s="54"/>
      <c r="S2" s="54"/>
      <c r="T2" s="54"/>
      <c r="U2" s="54"/>
    </row>
    <row r="3" spans="1:21" ht="20.100000000000001" customHeight="1" x14ac:dyDescent="0.25">
      <c r="A3" s="17" t="str">
        <f>HYPERLINK("#'Home'!A1", "Home")</f>
        <v>Home</v>
      </c>
      <c r="C3" s="15"/>
      <c r="D3" s="15"/>
      <c r="E3" s="15"/>
      <c r="F3" s="15"/>
      <c r="G3" s="15"/>
      <c r="H3" s="15"/>
      <c r="I3" s="15"/>
      <c r="J3" s="15"/>
      <c r="K3" s="15"/>
      <c r="L3" s="15"/>
    </row>
    <row r="4" spans="1:21" ht="20.100000000000001" customHeight="1" x14ac:dyDescent="0.25">
      <c r="A4" s="17" t="str">
        <f>HYPERLINK("#'Overview'!A1", "Overview")</f>
        <v>Overview</v>
      </c>
    </row>
    <row r="5" spans="1:21" ht="20.100000000000001" customHeight="1" x14ac:dyDescent="0.25">
      <c r="A5" s="17" t="str">
        <f>HYPERLINK("#'Results'!A1", "Results")</f>
        <v>Results</v>
      </c>
      <c r="D5" s="6" t="s">
        <v>82</v>
      </c>
    </row>
    <row r="6" spans="1:21" ht="20.100000000000001" customHeight="1" x14ac:dyDescent="0.25">
      <c r="A6" s="16"/>
    </row>
    <row r="7" spans="1:21" ht="20.100000000000001" customHeight="1" x14ac:dyDescent="0.25">
      <c r="A7" s="20" t="s">
        <v>3</v>
      </c>
      <c r="D7" s="58"/>
      <c r="E7" s="39" t="s">
        <v>94</v>
      </c>
      <c r="F7" s="39" t="s">
        <v>95</v>
      </c>
      <c r="G7" s="39" t="s">
        <v>96</v>
      </c>
    </row>
    <row r="8" spans="1:21" ht="20.100000000000001" customHeight="1" x14ac:dyDescent="0.25">
      <c r="A8" s="17" t="str">
        <f>HYPERLINK("#'Input - Site'!A1", "Site")</f>
        <v>Site</v>
      </c>
      <c r="D8" s="1" t="str">
        <f>"Average number of head between " &amp; TEXT('Input - Site'!$E$12, "dd mmm yy") &amp; " and " &amp; TEXT('Input - Site'!$E$13, "dd mmm yy")</f>
        <v>Average number of head between 01 Jan 25 and 31 Dec 25</v>
      </c>
      <c r="E8" s="87">
        <v>1000</v>
      </c>
      <c r="F8" s="87">
        <v>1000</v>
      </c>
      <c r="G8" s="87">
        <v>1000</v>
      </c>
      <c r="H8" s="2" t="s">
        <v>84</v>
      </c>
      <c r="I8" s="2"/>
      <c r="J8" s="2"/>
      <c r="K8" s="2"/>
    </row>
    <row r="9" spans="1:21" ht="20.100000000000001" customHeight="1" x14ac:dyDescent="0.25">
      <c r="A9" s="21" t="str">
        <f>HYPERLINK("#'Input - Feedlot'!A1", "Feedlot")</f>
        <v>Feedlot</v>
      </c>
      <c r="D9" s="1" t="str">
        <f>"Average duration of stay between " &amp; TEXT('Input - Site'!$E$12, "dd mmm yy") &amp; " and " &amp; TEXT('Input - Site'!$E$13, "dd mmm yy")</f>
        <v>Average duration of stay between 01 Jan 25 and 31 Dec 25</v>
      </c>
      <c r="E9" s="87">
        <v>90</v>
      </c>
      <c r="F9" s="87">
        <v>120</v>
      </c>
      <c r="G9" s="87">
        <v>260</v>
      </c>
      <c r="H9" s="2" t="s">
        <v>141</v>
      </c>
      <c r="I9" s="2"/>
      <c r="J9" s="2"/>
      <c r="K9" s="2"/>
    </row>
    <row r="10" spans="1:21" ht="20.100000000000001" customHeight="1" x14ac:dyDescent="0.25">
      <c r="A10" s="17"/>
    </row>
    <row r="11" spans="1:21" ht="20.100000000000001" customHeight="1" x14ac:dyDescent="0.25">
      <c r="A11" s="19" t="s">
        <v>56</v>
      </c>
      <c r="D11" s="6" t="s">
        <v>77</v>
      </c>
    </row>
    <row r="12" spans="1:21" ht="20.100000000000001" customHeight="1" x14ac:dyDescent="0.25">
      <c r="A12" s="17" t="str">
        <f>HYPERLINK("#'3.1.1.1-2 Enteric Methane'!A1", "3.1.1.1-2 Enteric Methane")</f>
        <v>3.1.1.1-2 Enteric Methane</v>
      </c>
    </row>
    <row r="13" spans="1:21" ht="20.100000000000001" customHeight="1" x14ac:dyDescent="0.25">
      <c r="D13" s="58" t="s">
        <v>128</v>
      </c>
      <c r="E13" s="39" t="s">
        <v>94</v>
      </c>
      <c r="F13" s="39" t="s">
        <v>95</v>
      </c>
      <c r="G13" s="39" t="s">
        <v>96</v>
      </c>
    </row>
    <row r="14" spans="1:21" ht="20.100000000000001" customHeight="1" x14ac:dyDescent="0.25">
      <c r="A14" s="18" t="s">
        <v>4</v>
      </c>
      <c r="D14" s="1" t="s">
        <v>100</v>
      </c>
      <c r="E14" s="50" cm="1">
        <f t="array" ref="E14">_xlfn.XLOOKUP(1, (Table_SourceData_Feedlot_AnimalCharacteristics[Feedlot type] = E$13) * (Table_SourceData_Feedlot_AnimalCharacteristics[Characteristic] = $D$14), Table_SourceData_Feedlot_AnimalCharacteristics[2020-2023], "Not Found")</f>
        <v>10.4</v>
      </c>
      <c r="F14" s="50" cm="1">
        <f t="array" ref="F14">_xlfn.XLOOKUP(1, (Table_SourceData_Feedlot_AnimalCharacteristics[Feedlot type] = F$13) * (Table_SourceData_Feedlot_AnimalCharacteristics[Characteristic] = $D$14), Table_SourceData_Feedlot_AnimalCharacteristics[2020-2023], "Not Found")</f>
        <v>10.8</v>
      </c>
      <c r="G14" s="50" cm="1">
        <f t="array" ref="G14">_xlfn.XLOOKUP(1, (Table_SourceData_Feedlot_AnimalCharacteristics[Feedlot type] = G$13) * (Table_SourceData_Feedlot_AnimalCharacteristics[Characteristic] = $D$14), Table_SourceData_Feedlot_AnimalCharacteristics[2020-2023], "Not Found")</f>
        <v>8.1999999999999993</v>
      </c>
      <c r="H14" s="2" t="s">
        <v>79</v>
      </c>
      <c r="I14" s="2"/>
      <c r="J14" s="2"/>
      <c r="K14" s="2"/>
    </row>
    <row r="15" spans="1:21" ht="20.100000000000001" customHeight="1" x14ac:dyDescent="0.25">
      <c r="A15" s="17" t="str">
        <f>HYPERLINK("#'Constants - Feedlot'!A1", "Constants - Feedlot")</f>
        <v>Constants - Feedlot</v>
      </c>
      <c r="D15" s="1" t="s">
        <v>159</v>
      </c>
      <c r="E15" s="50" cm="1">
        <f t="array" ref="E15">_xlfn.XLOOKUP(1, (Table_SourceData_Feedlot_DietProperties[Feedlot type] = E$13) * (Table_SourceData_Feedlot_DietProperties[Nutrient analysis] = $D$15), Table_SourceData_Feedlot_DietProperties[2020-2023 Converted to fraction], "Not Found")</f>
        <v>4.8</v>
      </c>
      <c r="F15" s="50" cm="1">
        <f t="array" ref="F15">_xlfn.XLOOKUP(1, (Table_SourceData_Feedlot_DietProperties[Feedlot type] = F$13) * (Table_SourceData_Feedlot_DietProperties[Nutrient analysis] = $D$15), Table_SourceData_Feedlot_DietProperties[2020-2023 Converted to fraction], "Not Found")</f>
        <v>5</v>
      </c>
      <c r="G15" s="50" cm="1">
        <f t="array" ref="G15">_xlfn.XLOOKUP(1, (Table_SourceData_Feedlot_DietProperties[Feedlot type] = G$13) * (Table_SourceData_Feedlot_DietProperties[Nutrient analysis] = $D$15), Table_SourceData_Feedlot_DietProperties[2020-2023 Converted to fraction], "Not Found")</f>
        <v>5.5</v>
      </c>
      <c r="H15" s="2" t="s">
        <v>142</v>
      </c>
      <c r="I15" s="2"/>
      <c r="J15" s="2"/>
      <c r="K15" s="2"/>
    </row>
    <row r="16" spans="1:21" ht="20.100000000000001" customHeight="1" x14ac:dyDescent="0.25">
      <c r="A16" s="17" t="str">
        <f>HYPERLINK("#'Constants - Livestock'!A1", "Constants - Livestock")</f>
        <v>Constants - Livestock</v>
      </c>
      <c r="D16" s="1" t="s">
        <v>160</v>
      </c>
      <c r="E16" s="50" cm="1">
        <f t="array" ref="E16">_xlfn.XLOOKUP(1, (Table_SourceData_Feedlot_DietProperties[Feedlot type] = E$13) * (Table_SourceData_Feedlot_DietProperties[Nutrient analysis] = $D$16), Table_SourceData_Feedlot_DietProperties[2020-2023 Converted to fraction], "Not Found")</f>
        <v>22</v>
      </c>
      <c r="F16" s="50" cm="1">
        <f t="array" ref="F16">_xlfn.XLOOKUP(1, (Table_SourceData_Feedlot_DietProperties[Feedlot type] = F$13) * (Table_SourceData_Feedlot_DietProperties[Nutrient analysis] = $D$16), Table_SourceData_Feedlot_DietProperties[2020-2023 Converted to fraction], "Not Found")</f>
        <v>22</v>
      </c>
      <c r="G16" s="50" cm="1">
        <f t="array" ref="G16">_xlfn.XLOOKUP(1, (Table_SourceData_Feedlot_DietProperties[Feedlot type] = G$13) * (Table_SourceData_Feedlot_DietProperties[Nutrient analysis] = $D$16), Table_SourceData_Feedlot_DietProperties[2020-2023 Converted to fraction], "Not Found")</f>
        <v>24</v>
      </c>
      <c r="H16" s="2" t="s">
        <v>142</v>
      </c>
      <c r="I16" s="2"/>
      <c r="J16" s="2"/>
      <c r="K16" s="2"/>
    </row>
    <row r="17" spans="1:11" ht="20.100000000000001" customHeight="1" x14ac:dyDescent="0.25">
      <c r="A17" s="17" t="str">
        <f>HYPERLINK("#'Constants - Common'!A1", "Constants - Common")</f>
        <v>Constants - Common</v>
      </c>
      <c r="J17" s="2"/>
      <c r="K17" s="2"/>
    </row>
    <row r="18" spans="1:11" ht="20.100000000000001" customHeight="1" x14ac:dyDescent="0.25">
      <c r="A18" s="17" t="str">
        <f>HYPERLINK("#'Acknowledgements'!A1", "Acknowledgements")</f>
        <v>Acknowledgements</v>
      </c>
      <c r="D18" s="58" t="s">
        <v>129</v>
      </c>
      <c r="E18" s="39" t="s">
        <v>94</v>
      </c>
      <c r="F18" s="39" t="s">
        <v>95</v>
      </c>
      <c r="G18" s="39" t="s">
        <v>96</v>
      </c>
    </row>
    <row r="19" spans="1:11" ht="20.100000000000001" customHeight="1" x14ac:dyDescent="0.25">
      <c r="D19" s="1" t="s">
        <v>100</v>
      </c>
      <c r="E19" s="61">
        <v>10.4</v>
      </c>
      <c r="F19" s="61">
        <v>11.2</v>
      </c>
      <c r="G19" s="61">
        <v>12</v>
      </c>
      <c r="H19" s="2" t="s">
        <v>79</v>
      </c>
      <c r="I19" s="2"/>
    </row>
    <row r="20" spans="1:11" ht="20.100000000000001" customHeight="1" x14ac:dyDescent="0.25">
      <c r="D20" s="1" t="s">
        <v>159</v>
      </c>
      <c r="E20" s="61">
        <v>4.9000000000000004</v>
      </c>
      <c r="F20" s="61">
        <v>5.0999999999999996</v>
      </c>
      <c r="G20" s="61">
        <v>5.6</v>
      </c>
      <c r="H20" s="2" t="s">
        <v>142</v>
      </c>
      <c r="I20" s="2"/>
      <c r="J20" s="2"/>
      <c r="K20" s="2"/>
    </row>
    <row r="21" spans="1:11" ht="20.100000000000001" customHeight="1" x14ac:dyDescent="0.25">
      <c r="A21" s="17"/>
      <c r="D21" s="1" t="s">
        <v>160</v>
      </c>
      <c r="E21" s="61">
        <v>23</v>
      </c>
      <c r="F21" s="61">
        <v>23</v>
      </c>
      <c r="G21" s="61">
        <v>25</v>
      </c>
      <c r="H21" s="2" t="s">
        <v>142</v>
      </c>
      <c r="I21" s="2"/>
      <c r="J21" s="2"/>
      <c r="K21" s="2"/>
    </row>
    <row r="22" spans="1:11" ht="20.100000000000001" customHeight="1" x14ac:dyDescent="0.25">
      <c r="J22" s="2"/>
      <c r="K22" s="2"/>
    </row>
    <row r="23" spans="1:11" ht="20.100000000000001" customHeight="1" x14ac:dyDescent="0.25">
      <c r="J23" s="2"/>
      <c r="K23" s="2"/>
    </row>
    <row r="24" spans="1:11" ht="20.100000000000001" customHeight="1" x14ac:dyDescent="0.25"/>
    <row r="25" spans="1:11" ht="20.100000000000001" customHeight="1" x14ac:dyDescent="0.25">
      <c r="A25" s="17"/>
      <c r="D25" s="6"/>
    </row>
    <row r="26" spans="1:11" ht="20.100000000000001" customHeight="1" x14ac:dyDescent="0.25">
      <c r="A26" s="17"/>
    </row>
    <row r="27" spans="1:11" ht="20.100000000000001" customHeight="1" x14ac:dyDescent="0.25">
      <c r="A27" s="17"/>
    </row>
    <row r="28" spans="1:11" ht="20.100000000000001" customHeight="1" x14ac:dyDescent="0.25">
      <c r="A28" s="17"/>
    </row>
    <row r="29" spans="1:11" ht="20.100000000000001" customHeight="1" x14ac:dyDescent="0.25">
      <c r="A29" s="17"/>
    </row>
    <row r="30" spans="1:11" ht="20.100000000000001" customHeight="1" x14ac:dyDescent="0.25">
      <c r="A30" s="17"/>
    </row>
    <row r="31" spans="1:11" ht="20.100000000000001" customHeight="1" x14ac:dyDescent="0.25">
      <c r="A31" s="62"/>
    </row>
    <row r="32" spans="1:11" ht="20.100000000000001" customHeight="1" x14ac:dyDescent="0.25">
      <c r="A32" s="62"/>
    </row>
    <row r="33" spans="1:11" ht="20.100000000000001" customHeight="1" x14ac:dyDescent="0.25">
      <c r="A33" s="17"/>
    </row>
    <row r="34" spans="1:11" ht="20.100000000000001" customHeight="1" x14ac:dyDescent="0.25"/>
    <row r="35" spans="1:11" ht="20.100000000000001" customHeight="1" x14ac:dyDescent="0.25"/>
    <row r="36" spans="1:11" ht="20.100000000000001" customHeight="1" x14ac:dyDescent="0.25"/>
    <row r="37" spans="1:11" ht="20.100000000000001" customHeight="1" x14ac:dyDescent="0.25"/>
    <row r="38" spans="1:11" ht="20.100000000000001" customHeight="1" x14ac:dyDescent="0.25"/>
    <row r="39" spans="1:11" ht="20.100000000000001" customHeight="1" x14ac:dyDescent="0.25">
      <c r="A39" s="17"/>
    </row>
    <row r="40" spans="1:11" ht="20.100000000000001" customHeight="1" x14ac:dyDescent="0.25"/>
    <row r="41" spans="1:11" ht="20.100000000000001" customHeight="1" x14ac:dyDescent="0.25">
      <c r="A41" s="44"/>
    </row>
    <row r="42" spans="1:11" ht="20.100000000000001" customHeight="1" x14ac:dyDescent="0.25"/>
    <row r="43" spans="1:11" ht="20.100000000000001" customHeight="1" x14ac:dyDescent="0.25"/>
    <row r="44" spans="1:11" ht="20.100000000000001" customHeight="1" x14ac:dyDescent="0.25"/>
    <row r="45" spans="1:11" ht="20.100000000000001" customHeight="1" x14ac:dyDescent="0.25">
      <c r="I45" s="2"/>
      <c r="J45" s="2"/>
      <c r="K45" s="2"/>
    </row>
    <row r="46" spans="1:11" ht="20.100000000000001" customHeight="1" x14ac:dyDescent="0.25"/>
    <row r="47" spans="1:11" ht="20.100000000000001" customHeight="1" x14ac:dyDescent="0.25"/>
    <row r="48" spans="1:11" ht="20.100000000000001" customHeight="1" x14ac:dyDescent="0.25"/>
    <row r="49" spans="4:11" ht="20.100000000000001" customHeight="1" x14ac:dyDescent="0.25">
      <c r="I49" s="2"/>
      <c r="J49" s="2"/>
      <c r="K49" s="2"/>
    </row>
    <row r="50" spans="4:11" ht="20.100000000000001" customHeight="1" x14ac:dyDescent="0.25">
      <c r="I50" s="2"/>
      <c r="J50" s="2"/>
      <c r="K50" s="2"/>
    </row>
    <row r="51" spans="4:11" ht="20.100000000000001" customHeight="1" x14ac:dyDescent="0.25">
      <c r="I51" s="2"/>
      <c r="J51" s="2"/>
      <c r="K51" s="2"/>
    </row>
    <row r="52" spans="4:11" ht="20.100000000000001" customHeight="1" x14ac:dyDescent="0.25"/>
    <row r="53" spans="4:11" ht="20.100000000000001" customHeight="1" x14ac:dyDescent="0.25"/>
    <row r="54" spans="4:11" ht="20.100000000000001" customHeight="1" x14ac:dyDescent="0.25">
      <c r="I54" s="2"/>
      <c r="J54" s="2"/>
      <c r="K54" s="2"/>
    </row>
    <row r="55" spans="4:11" ht="20.100000000000001" customHeight="1" x14ac:dyDescent="0.25">
      <c r="I55" s="2"/>
      <c r="J55" s="2"/>
      <c r="K55" s="2"/>
    </row>
    <row r="56" spans="4:11" ht="20.100000000000001" customHeight="1" x14ac:dyDescent="0.25">
      <c r="I56" s="2"/>
      <c r="J56" s="2"/>
      <c r="K56" s="2"/>
    </row>
    <row r="57" spans="4:11" ht="20.100000000000001" customHeight="1" x14ac:dyDescent="0.25">
      <c r="D57" s="94"/>
    </row>
    <row r="58" spans="4:11" ht="20.100000000000001" customHeight="1" x14ac:dyDescent="0.25"/>
    <row r="59" spans="4:11" ht="20.100000000000001" customHeight="1" x14ac:dyDescent="0.25"/>
    <row r="60" spans="4:11" ht="20.100000000000001" customHeight="1" x14ac:dyDescent="0.25"/>
    <row r="61" spans="4:11" ht="20.100000000000001" customHeight="1" x14ac:dyDescent="0.25"/>
    <row r="62" spans="4:11" ht="20.100000000000001" customHeight="1" x14ac:dyDescent="0.25"/>
    <row r="63" spans="4:11" ht="20.100000000000001" customHeight="1" x14ac:dyDescent="0.25"/>
    <row r="64" spans="4:11"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S183"/>
  <sheetViews>
    <sheetView showGridLines="0" zoomScaleNormal="100" workbookViewId="0">
      <selection activeCell="G20" sqref="G20"/>
    </sheetView>
  </sheetViews>
  <sheetFormatPr defaultRowHeight="15.75" x14ac:dyDescent="0.25"/>
  <cols>
    <col min="1" max="1" width="30.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18" width="30.7109375" style="1" customWidth="1"/>
    <col min="19" max="19" width="4.7109375" style="1" customWidth="1"/>
  </cols>
  <sheetData>
    <row r="1" spans="1:19" s="8" customFormat="1" ht="30" customHeight="1" x14ac:dyDescent="0.35">
      <c r="A1" s="63" t="e" vm="1">
        <v>#VALUE!</v>
      </c>
      <c r="C1" s="8" t="s">
        <v>178</v>
      </c>
      <c r="K1"/>
    </row>
    <row r="2" spans="1:19" s="9" customFormat="1" ht="20.100000000000001" customHeight="1" x14ac:dyDescent="0.25">
      <c r="K2"/>
    </row>
    <row r="3" spans="1:19" ht="20.100000000000001" customHeight="1" x14ac:dyDescent="0.25">
      <c r="A3" s="17" t="str">
        <f>HYPERLINK("#'Home'!A1", "Home")</f>
        <v>Home</v>
      </c>
      <c r="C3" s="4"/>
      <c r="D3" s="4" t="s">
        <v>106</v>
      </c>
      <c r="E3" s="4"/>
      <c r="F3" s="4"/>
      <c r="G3" s="4"/>
      <c r="H3" s="4"/>
      <c r="I3" s="4"/>
      <c r="J3" s="4"/>
      <c r="L3" s="4"/>
      <c r="M3" s="4" t="s">
        <v>107</v>
      </c>
      <c r="N3" s="4"/>
      <c r="O3" s="4"/>
      <c r="P3" s="4"/>
      <c r="Q3" s="4"/>
      <c r="R3" s="4"/>
      <c r="S3" s="4"/>
    </row>
    <row r="4" spans="1:19" ht="20.100000000000001" customHeight="1" x14ac:dyDescent="0.25">
      <c r="A4" s="17" t="str">
        <f>HYPERLINK("#'Overview'!A1", "Overview")</f>
        <v>Overview</v>
      </c>
    </row>
    <row r="5" spans="1:19" ht="20.100000000000001" customHeight="1" x14ac:dyDescent="0.25">
      <c r="A5" s="17" t="str">
        <f>HYPERLINK("#'Results'!A1", "Results")</f>
        <v>Results</v>
      </c>
      <c r="D5" s="6" t="str" cm="1">
        <f t="array" ref="D5">EntericMethane_Feedlot_Equations.VEERG_3_1_1_1__2_DailyEntericMethaneProduction_Title()</f>
        <v>Daily production of enteric methane</v>
      </c>
    </row>
    <row r="6" spans="1:19" ht="20.100000000000001" customHeight="1" x14ac:dyDescent="0.25">
      <c r="A6" s="16"/>
      <c r="D6" s="5" t="str" cm="1">
        <f t="array" ref="D6">EntericMethane_Feedlot_Equations.VEERG_3_1_1_1__2_DailyEntericMethaneProduction_Source()</f>
        <v>VEERG 2026: 3.1.1.1, Equation (2)</v>
      </c>
    </row>
    <row r="7" spans="1:19" ht="20.100000000000001" customHeight="1" x14ac:dyDescent="0.25">
      <c r="A7" s="20" t="s">
        <v>3</v>
      </c>
      <c r="D7" s="13" t="s">
        <v>16</v>
      </c>
      <c r="E7" s="13" t="str" cm="1">
        <f t="array" aca="1" ref="E7" ca="1">Common_InputFunctions.Utility_DisplayFunctionName(D35)</f>
        <v>=EntericMethane_Feedlot_Equations.VEERG_3_1_1_1__2_DailyEntericMethaneProduction</v>
      </c>
    </row>
    <row r="8" spans="1:19" ht="20.100000000000001" customHeight="1" x14ac:dyDescent="0.25">
      <c r="A8" s="17" t="str">
        <f>HYPERLINK("#'Input - Site'!A1", "Site")</f>
        <v>Site</v>
      </c>
    </row>
    <row r="9" spans="1:19" ht="20.100000000000001" customHeight="1" x14ac:dyDescent="0.25">
      <c r="A9" s="17" t="str">
        <f>HYPERLINK("#'Input - Feedlot'!A1", "Feedlot")</f>
        <v>Feedlot</v>
      </c>
    </row>
    <row r="10" spans="1:19" ht="20.100000000000001" customHeight="1" x14ac:dyDescent="0.25">
      <c r="A10" s="17"/>
      <c r="D10" s="51" t="s">
        <v>19</v>
      </c>
      <c r="E10" s="1" t="str" cm="1">
        <f t="array" ref="E10">EntericMethane_Feedlot_Equations.VEERG_3_1_1_1__2_DailyEntericMethaneProduction_Variable()</f>
        <v>M_j</v>
      </c>
    </row>
    <row r="11" spans="1:19" ht="20.100000000000001" customHeight="1" x14ac:dyDescent="0.25">
      <c r="A11" s="19" t="s">
        <v>56</v>
      </c>
      <c r="D11" s="51" t="s">
        <v>10</v>
      </c>
      <c r="E11" s="52" t="str" cm="1">
        <f t="array" ref="E11">EntericMethane_Feedlot_Equations.VEERG_3_1_1_1__2_DailyEntericMethaneProduction_Unit()</f>
        <v>kg CH4/head/day</v>
      </c>
    </row>
    <row r="12" spans="1:19" ht="20.100000000000001" customHeight="1" x14ac:dyDescent="0.25">
      <c r="A12" s="22" t="str">
        <f>HYPERLINK("#'3.1.1.1-2 Enteric Methane'!A1", "3.1.1.1-2 Enteric Methane")</f>
        <v>3.1.1.1-2 Enteric Methane</v>
      </c>
    </row>
    <row r="13" spans="1:19" ht="20.100000000000001" customHeight="1" x14ac:dyDescent="0.25">
      <c r="D13" s="105" t="str" cm="1">
        <f t="array" ref="D13:E15">_xlfn.CHOOSECOLS(EntericMethane_Feedlot_Equations.VEERG_3_1_1_1__2_DailyEntericMethaneProduction_Arguments(),1,2)</f>
        <v>I_j</v>
      </c>
      <c r="E13" s="108" t="str">
        <v>dry matter intake</v>
      </c>
      <c r="F13" s="107"/>
      <c r="G13" s="105" t="str" cm="1">
        <f t="array" ref="G13:H15">_xlfn.CHOOSECOLS(EntericMethane_Feedlot_Equations.VEERG_3_1_1_1__2_DailyEntericMethaneProduction_Arguments(),3,4)</f>
        <v>kg DM/head/day</v>
      </c>
      <c r="H13" s="103" t="str">
        <v>Input</v>
      </c>
      <c r="I13" s="106" t="str" cm="1">
        <f t="array" aca="1" ref="I13" ca="1">HYPERLINK(Common_InputFunctions.Utility_SourceHyperlink($D$17),$D$17)</f>
        <v>M1_Table_I_j</v>
      </c>
    </row>
    <row r="14" spans="1:19" ht="20.100000000000001" customHeight="1" x14ac:dyDescent="0.25">
      <c r="A14" s="18" t="s">
        <v>4</v>
      </c>
      <c r="D14" s="105" t="str">
        <v>EE_j</v>
      </c>
      <c r="E14" s="108" t="str">
        <v>ether extract as a percentage of I_j</v>
      </c>
      <c r="F14" s="107"/>
      <c r="G14" s="105" t="str">
        <v>per cent</v>
      </c>
      <c r="H14" s="103" t="str">
        <v>Input</v>
      </c>
      <c r="I14" s="106" t="str" cm="1">
        <f t="array" aca="1" ref="I14" ca="1">HYPERLINK(Common_InputFunctions.Utility_SourceHyperlink($D$22),$D$22)</f>
        <v>M1_Table_EE_j</v>
      </c>
    </row>
    <row r="15" spans="1:19" ht="20.100000000000001" customHeight="1" x14ac:dyDescent="0.25">
      <c r="A15" s="17" t="str">
        <f>HYPERLINK("#'Constants - Feedlot'!A1", "Constants - Feedlot")</f>
        <v>Constants - Feedlot</v>
      </c>
      <c r="D15" s="105" t="str">
        <v>NDF_j</v>
      </c>
      <c r="E15" s="108" t="str">
        <v>neutral detergent fibre as a percentage of I_j</v>
      </c>
      <c r="F15" s="107"/>
      <c r="G15" s="105" t="str">
        <v>per cent</v>
      </c>
      <c r="H15" s="103" t="str">
        <v>Input</v>
      </c>
      <c r="I15" s="106" t="str" cm="1">
        <f t="array" aca="1" ref="I15" ca="1">HYPERLINK(Common_InputFunctions.Utility_SourceHyperlink($D$27),$D$27)</f>
        <v>M1_Table_NDF_j</v>
      </c>
    </row>
    <row r="16" spans="1:19" ht="20.100000000000001" customHeight="1" x14ac:dyDescent="0.25">
      <c r="A16" s="17" t="str">
        <f>HYPERLINK("#'Constants - Livestock'!A1", "Constants - Livestock")</f>
        <v>Constants - Livestock</v>
      </c>
    </row>
    <row r="17" spans="1:16" ht="20.100000000000001" customHeight="1" x14ac:dyDescent="0.25">
      <c r="A17" s="17" t="str">
        <f>HYPERLINK("#'Constants - Common'!A1", "Constants - Common")</f>
        <v>Constants - Common</v>
      </c>
      <c r="D17" s="86" t="s">
        <v>104</v>
      </c>
      <c r="M17" s="86" t="s">
        <v>105</v>
      </c>
    </row>
    <row r="18" spans="1:16" ht="20.100000000000001" customHeight="1" x14ac:dyDescent="0.25">
      <c r="A18" s="17" t="str">
        <f>HYPERLINK("#'Acknowledgements'!A1", "Acknowledgements")</f>
        <v>Acknowledgements</v>
      </c>
      <c r="D18" s="85" t="s">
        <v>108</v>
      </c>
      <c r="M18" s="85" t="s">
        <v>109</v>
      </c>
    </row>
    <row r="19" spans="1:16" ht="20.100000000000001" customHeight="1" x14ac:dyDescent="0.25">
      <c r="D19" s="39" t="s">
        <v>94</v>
      </c>
      <c r="E19" s="39" t="s">
        <v>95</v>
      </c>
      <c r="F19" s="39" t="s">
        <v>96</v>
      </c>
      <c r="M19" s="39" t="s">
        <v>94</v>
      </c>
      <c r="N19" s="39" t="s">
        <v>95</v>
      </c>
      <c r="O19" s="39" t="s">
        <v>96</v>
      </c>
    </row>
    <row r="20" spans="1:16" ht="20.100000000000001" customHeight="1" x14ac:dyDescent="0.25">
      <c r="D20" s="50">
        <f>'Input - Feedlot'!$E$14</f>
        <v>10.4</v>
      </c>
      <c r="E20" s="50">
        <f>'Input - Feedlot'!$F$14</f>
        <v>10.8</v>
      </c>
      <c r="F20" s="50">
        <f>'Input - Feedlot'!$G$14</f>
        <v>8.1999999999999993</v>
      </c>
      <c r="G20" s="2" t="str">
        <f>$G$13</f>
        <v>kg DM/head/day</v>
      </c>
      <c r="M20" s="50">
        <f>'Input - Feedlot'!$E$19</f>
        <v>10.4</v>
      </c>
      <c r="N20" s="50">
        <f>'Input - Feedlot'!$F$19</f>
        <v>11.2</v>
      </c>
      <c r="O20" s="50">
        <f>'Input - Feedlot'!$G$19</f>
        <v>12</v>
      </c>
      <c r="P20" s="2" t="str">
        <f>$G$13</f>
        <v>kg DM/head/day</v>
      </c>
    </row>
    <row r="21" spans="1:16" ht="20.100000000000001" customHeight="1" x14ac:dyDescent="0.25">
      <c r="A21" s="17"/>
    </row>
    <row r="22" spans="1:16" ht="20.100000000000001" customHeight="1" x14ac:dyDescent="0.25">
      <c r="D22" s="86" t="s">
        <v>161</v>
      </c>
      <c r="M22" s="86" t="s">
        <v>169</v>
      </c>
    </row>
    <row r="23" spans="1:16" ht="20.100000000000001" customHeight="1" x14ac:dyDescent="0.25">
      <c r="D23" s="85" t="s">
        <v>162</v>
      </c>
      <c r="M23" s="85" t="s">
        <v>170</v>
      </c>
    </row>
    <row r="24" spans="1:16" ht="20.100000000000001" customHeight="1" x14ac:dyDescent="0.25">
      <c r="D24" s="39" t="s">
        <v>94</v>
      </c>
      <c r="E24" s="39" t="s">
        <v>95</v>
      </c>
      <c r="F24" s="39" t="s">
        <v>96</v>
      </c>
      <c r="M24" s="39" t="s">
        <v>94</v>
      </c>
      <c r="N24" s="39" t="s">
        <v>95</v>
      </c>
      <c r="O24" s="39" t="s">
        <v>96</v>
      </c>
    </row>
    <row r="25" spans="1:16" ht="20.100000000000001" customHeight="1" x14ac:dyDescent="0.25">
      <c r="A25" s="17"/>
      <c r="D25" s="50">
        <f>'Input - Feedlot'!$E$15</f>
        <v>4.8</v>
      </c>
      <c r="E25" s="50">
        <f>'Input - Feedlot'!$F$15</f>
        <v>5</v>
      </c>
      <c r="F25" s="50">
        <f>'Input - Feedlot'!$G$15</f>
        <v>5.5</v>
      </c>
      <c r="G25" s="2" t="str">
        <f>$G$14</f>
        <v>per cent</v>
      </c>
      <c r="M25" s="50">
        <f>'Input - Feedlot'!$E$20</f>
        <v>4.9000000000000004</v>
      </c>
      <c r="N25" s="50">
        <f>'Input - Feedlot'!$F$20</f>
        <v>5.0999999999999996</v>
      </c>
      <c r="O25" s="50">
        <f>'Input - Feedlot'!$G$20</f>
        <v>5.6</v>
      </c>
      <c r="P25" s="2" t="str">
        <f>$G$14</f>
        <v>per cent</v>
      </c>
    </row>
    <row r="26" spans="1:16" ht="20.100000000000001" customHeight="1" x14ac:dyDescent="0.25"/>
    <row r="27" spans="1:16" ht="20.100000000000001" customHeight="1" x14ac:dyDescent="0.25">
      <c r="D27" s="86" t="s">
        <v>163</v>
      </c>
      <c r="M27" s="86" t="s">
        <v>171</v>
      </c>
    </row>
    <row r="28" spans="1:16" ht="20.100000000000001" customHeight="1" x14ac:dyDescent="0.25">
      <c r="D28" s="85" t="s">
        <v>164</v>
      </c>
      <c r="M28" s="85" t="s">
        <v>172</v>
      </c>
    </row>
    <row r="29" spans="1:16" ht="20.100000000000001" customHeight="1" x14ac:dyDescent="0.25">
      <c r="D29" s="39" t="s">
        <v>94</v>
      </c>
      <c r="E29" s="39" t="s">
        <v>95</v>
      </c>
      <c r="F29" s="39" t="s">
        <v>96</v>
      </c>
      <c r="M29" s="39" t="s">
        <v>94</v>
      </c>
      <c r="N29" s="39" t="s">
        <v>95</v>
      </c>
      <c r="O29" s="39" t="s">
        <v>96</v>
      </c>
    </row>
    <row r="30" spans="1:16" ht="20.100000000000001" customHeight="1" x14ac:dyDescent="0.25">
      <c r="D30" s="50">
        <f>'Input - Feedlot'!$E$16</f>
        <v>22</v>
      </c>
      <c r="E30" s="50">
        <f>'Input - Feedlot'!$F$16</f>
        <v>22</v>
      </c>
      <c r="F30" s="50">
        <f>'Input - Feedlot'!$G$16</f>
        <v>24</v>
      </c>
      <c r="G30" s="2" t="str">
        <f>$G$15</f>
        <v>per cent</v>
      </c>
      <c r="M30" s="50">
        <f>'Input - Feedlot'!$E$21</f>
        <v>23</v>
      </c>
      <c r="N30" s="50">
        <f>'Input - Feedlot'!$F$21</f>
        <v>23</v>
      </c>
      <c r="O30" s="50">
        <f>'Input - Feedlot'!$G$21</f>
        <v>25</v>
      </c>
      <c r="P30" s="2" t="str">
        <f>$G$15</f>
        <v>per cent</v>
      </c>
    </row>
    <row r="31" spans="1:16" ht="20.100000000000001" customHeight="1" x14ac:dyDescent="0.25"/>
    <row r="32" spans="1:16" ht="20.100000000000001" customHeight="1" x14ac:dyDescent="0.25">
      <c r="D32" s="86" t="s">
        <v>165</v>
      </c>
      <c r="M32" s="86" t="s">
        <v>167</v>
      </c>
    </row>
    <row r="33" spans="3:18" ht="20.100000000000001" customHeight="1" x14ac:dyDescent="0.25">
      <c r="D33" s="85" t="s">
        <v>166</v>
      </c>
      <c r="M33" s="85" t="s">
        <v>168</v>
      </c>
    </row>
    <row r="34" spans="3:18" ht="20.100000000000001" customHeight="1" x14ac:dyDescent="0.25">
      <c r="D34" s="49" t="s">
        <v>94</v>
      </c>
      <c r="E34" s="49" t="s">
        <v>95</v>
      </c>
      <c r="F34" s="49" t="s">
        <v>96</v>
      </c>
      <c r="M34" s="49" t="s">
        <v>94</v>
      </c>
      <c r="N34" s="49" t="s">
        <v>95</v>
      </c>
      <c r="O34" s="49" t="s">
        <v>96</v>
      </c>
    </row>
    <row r="35" spans="3:18" ht="20.100000000000001" customHeight="1" x14ac:dyDescent="0.25">
      <c r="D35" s="50" cm="1">
        <f t="array" ref="D35">EntericMethane_Feedlot_Equations.VEERG_3_1_1_1__2_DailyEntericMethaneProduction(D20,D25,D30)</f>
        <v>8.3664000000000002E-2</v>
      </c>
      <c r="E35" s="50" cm="1">
        <f t="array" ref="E35">EntericMethane_Feedlot_Equations.VEERG_3_1_1_1__2_DailyEntericMethaneProduction(E20,E25,E30)</f>
        <v>8.4908000000000011E-2</v>
      </c>
      <c r="F35" s="50" cm="1">
        <f t="array" ref="F35">EntericMethane_Feedlot_Equations.VEERG_3_1_1_1__2_DailyEntericMethaneProduction(F20,F25,F30)</f>
        <v>7.4142E-2</v>
      </c>
      <c r="G35" s="2" t="str">
        <f>$E$11</f>
        <v>kg CH4/head/day</v>
      </c>
      <c r="M35" s="50" cm="1">
        <f t="array" ref="M35">EntericMethane_Feedlot_Equations.VEERG_3_1_1_1__2_DailyEntericMethaneProduction(M20,M25,M30)</f>
        <v>8.5524000000000003E-2</v>
      </c>
      <c r="N35" s="50" cm="1">
        <f t="array" ref="N35">EntericMethane_Feedlot_Equations.VEERG_3_1_1_1__2_DailyEntericMethaneProduction(N20,N25,N30)</f>
        <v>8.8812000000000002E-2</v>
      </c>
      <c r="O35" s="50" cm="1">
        <f t="array" ref="O35">EntericMethane_Feedlot_Equations.VEERG_3_1_1_1__2_DailyEntericMethaneProduction(O20,O25,O30)</f>
        <v>9.5420000000000005E-2</v>
      </c>
      <c r="P35" s="2" t="str">
        <f>$E$11</f>
        <v>kg CH4/head/day</v>
      </c>
    </row>
    <row r="36" spans="3:18" ht="20.100000000000001" customHeight="1" x14ac:dyDescent="0.25"/>
    <row r="37" spans="3:18" ht="20.100000000000001" customHeight="1" x14ac:dyDescent="0.25"/>
    <row r="38" spans="3:18" ht="20.100000000000001" customHeight="1" x14ac:dyDescent="0.25">
      <c r="C38" s="45"/>
      <c r="D38" s="45"/>
      <c r="E38" s="45"/>
      <c r="F38" s="45"/>
      <c r="G38" s="45"/>
      <c r="H38" s="45"/>
      <c r="I38" s="45"/>
      <c r="J38" s="45"/>
      <c r="L38" s="45"/>
      <c r="M38" s="45"/>
      <c r="N38" s="45"/>
      <c r="O38" s="45"/>
      <c r="P38" s="45"/>
      <c r="Q38" s="45"/>
      <c r="R38" s="45"/>
    </row>
    <row r="39" spans="3:18" ht="20.100000000000001" customHeight="1" x14ac:dyDescent="0.25">
      <c r="D39" s="6" t="str" cm="1">
        <f t="array" ref="D39">EntericMethane_Feedlot_Equations.VEERG_3_1_1_1__1_TotalAnnualMethaneFromEntericFermentation_Title()</f>
        <v>Total annual methane production from enteric fermentation in feedlot beef cattle</v>
      </c>
    </row>
    <row r="40" spans="3:18" ht="20.100000000000001" customHeight="1" x14ac:dyDescent="0.25">
      <c r="D40" s="5" t="str" cm="1">
        <f t="array" ref="D40">EntericMethane_Feedlot_Equations.VEERG_3_1_1_1__1_TotalAnnualMethaneFromEntericFermentation_Source()</f>
        <v>VEERG 2026: 3.1.1.1, Equation (1)</v>
      </c>
    </row>
    <row r="41" spans="3:18" ht="20.100000000000001" customHeight="1" x14ac:dyDescent="0.25">
      <c r="D41" s="13" t="s">
        <v>16</v>
      </c>
      <c r="E41" s="13" t="str" cm="1">
        <f t="array" aca="1" ref="E41" ca="1">Common_InputFunctions.Utility_DisplayFunctionName(D65)</f>
        <v>=EntericMethane_Feedlot_Equations.VEERG_3_1_1_1__1_TotalAnnualMethaneFromEntericFermentation</v>
      </c>
    </row>
    <row r="42" spans="3:18" ht="20.100000000000001" customHeight="1" x14ac:dyDescent="0.25"/>
    <row r="43" spans="3:18" ht="20.100000000000001" customHeight="1" x14ac:dyDescent="0.25">
      <c r="D43" s="6"/>
    </row>
    <row r="44" spans="3:18" ht="20.100000000000001" customHeight="1" x14ac:dyDescent="0.25"/>
    <row r="45" spans="3:18" ht="20.100000000000001" customHeight="1" x14ac:dyDescent="0.25">
      <c r="D45" s="51" t="s">
        <v>19</v>
      </c>
      <c r="E45" s="1" t="str" cm="1">
        <f t="array" ref="E45">EntericMethane_Feedlot_Equations.VEERG_3_1_1_1__1_TotalAnnualMethaneFromEntericFermentation_Variable()</f>
        <v>E_enteric</v>
      </c>
    </row>
    <row r="46" spans="3:18" ht="20.100000000000001" customHeight="1" x14ac:dyDescent="0.25">
      <c r="D46" s="51" t="s">
        <v>10</v>
      </c>
      <c r="E46" s="52" t="str" cm="1">
        <f t="array" ref="E46">EntericMethane_Feedlot_Equations.VEERG_3_1_1_1__1_TotalAnnualMethaneFromEntericFermentation_Unit()</f>
        <v>t CH4</v>
      </c>
    </row>
    <row r="47" spans="3:18" ht="20.100000000000001" customHeight="1" x14ac:dyDescent="0.25"/>
    <row r="48" spans="3:18" ht="20.100000000000001" customHeight="1" x14ac:dyDescent="0.25">
      <c r="D48" s="105" t="str" cm="1">
        <f t="array" ref="D48:E50">_xlfn.CHOOSECOLS(EntericMethane_Feedlot_Equations.VEERG_3_1_1_1__1_TotalAnnualMethaneFromEntericFermentation_Arguments(),1,2)</f>
        <v>D_j</v>
      </c>
      <c r="E48" s="108" t="str">
        <v>duration of stay of each cattle lot</v>
      </c>
      <c r="F48" s="107"/>
      <c r="G48" s="105" t="str" cm="1">
        <f t="array" ref="G48:H50">_xlfn.CHOOSECOLS(EntericMethane_Feedlot_Equations.VEERG_3_1_1_1__1_TotalAnnualMethaneFromEntericFermentation_Arguments(),3,4)</f>
        <v>days</v>
      </c>
      <c r="H48" s="103" t="str">
        <v>Input</v>
      </c>
      <c r="I48" s="106" t="str" cm="1">
        <f t="array" aca="1" ref="I48" ca="1">HYPERLINK(Common_InputFunctions.Utility_SourceHyperlink($D$52),$D$52)</f>
        <v>Table_D_j</v>
      </c>
    </row>
    <row r="49" spans="4:15" ht="20.100000000000001" customHeight="1" x14ac:dyDescent="0.25">
      <c r="D49" s="105" t="str">
        <v>M_j</v>
      </c>
      <c r="E49" s="108" t="str">
        <v>daily methane production</v>
      </c>
      <c r="F49" s="107"/>
      <c r="G49" s="105" t="str">
        <v>kg CH4/head/day</v>
      </c>
      <c r="H49" s="104" t="str">
        <v>Calculated from 3.1.1.1, (2)</v>
      </c>
      <c r="I49" s="106" t="str" cm="1">
        <f t="array" aca="1" ref="I49" ca="1">HYPERLINK(Common_InputFunctions.Utility_SourceHyperlink($D$32),$D$32)</f>
        <v>M1_Table_M_j</v>
      </c>
    </row>
    <row r="50" spans="4:15" ht="20.100000000000001" customHeight="1" x14ac:dyDescent="0.25">
      <c r="D50" s="105" t="str">
        <v>N_j</v>
      </c>
      <c r="E50" s="108" t="str">
        <v>numbers of feedlot cattle in each cattle lot</v>
      </c>
      <c r="F50" s="107"/>
      <c r="G50" s="105" t="str">
        <v>head</v>
      </c>
      <c r="H50" s="103" t="str">
        <v>Input</v>
      </c>
      <c r="I50" s="106" t="str" cm="1">
        <f t="array" aca="1" ref="I50" ca="1">HYPERLINK(Common_InputFunctions.Utility_SourceHyperlink($D$57),$D$57)</f>
        <v>Table_N_j</v>
      </c>
    </row>
    <row r="51" spans="4:15" ht="20.100000000000001" customHeight="1" x14ac:dyDescent="0.25"/>
    <row r="52" spans="4:15" ht="20.100000000000001" customHeight="1" x14ac:dyDescent="0.25">
      <c r="D52" s="86" t="s">
        <v>85</v>
      </c>
    </row>
    <row r="53" spans="4:15" ht="20.100000000000001" customHeight="1" x14ac:dyDescent="0.25">
      <c r="D53" s="85" t="s">
        <v>83</v>
      </c>
    </row>
    <row r="54" spans="4:15" ht="20.100000000000001" customHeight="1" x14ac:dyDescent="0.25">
      <c r="D54" s="39" t="s">
        <v>94</v>
      </c>
      <c r="E54" s="39" t="s">
        <v>95</v>
      </c>
      <c r="F54" s="39" t="s">
        <v>96</v>
      </c>
    </row>
    <row r="55" spans="4:15" ht="20.100000000000001" customHeight="1" x14ac:dyDescent="0.25">
      <c r="D55" s="88">
        <f>'Input - Feedlot'!$E$9</f>
        <v>90</v>
      </c>
      <c r="E55" s="88">
        <f>'Input - Feedlot'!$F$9</f>
        <v>120</v>
      </c>
      <c r="F55" s="88">
        <f>'Input - Feedlot'!$G$9</f>
        <v>260</v>
      </c>
      <c r="G55" s="2" t="str">
        <f>G48</f>
        <v>days</v>
      </c>
    </row>
    <row r="56" spans="4:15" ht="20.100000000000001" customHeight="1" x14ac:dyDescent="0.25"/>
    <row r="57" spans="4:15" ht="20.100000000000001" customHeight="1" x14ac:dyDescent="0.25">
      <c r="D57" s="86" t="s">
        <v>86</v>
      </c>
    </row>
    <row r="58" spans="4:15" ht="20.100000000000001" customHeight="1" x14ac:dyDescent="0.25">
      <c r="D58" s="85" t="s">
        <v>87</v>
      </c>
    </row>
    <row r="59" spans="4:15" ht="20.100000000000001" customHeight="1" x14ac:dyDescent="0.25">
      <c r="D59" s="39" t="s">
        <v>94</v>
      </c>
      <c r="E59" s="39" t="s">
        <v>95</v>
      </c>
      <c r="F59" s="39" t="s">
        <v>96</v>
      </c>
    </row>
    <row r="60" spans="4:15" ht="20.100000000000001" customHeight="1" x14ac:dyDescent="0.25">
      <c r="D60" s="88">
        <f>'Input - Feedlot'!$E$8</f>
        <v>1000</v>
      </c>
      <c r="E60" s="88">
        <f>'Input - Feedlot'!$F$8</f>
        <v>1000</v>
      </c>
      <c r="F60" s="88">
        <f>'Input - Feedlot'!$G$8</f>
        <v>1000</v>
      </c>
      <c r="G60" s="2" t="str">
        <f>G50</f>
        <v>head</v>
      </c>
    </row>
    <row r="61" spans="4:15" ht="20.100000000000001" customHeight="1" x14ac:dyDescent="0.25"/>
    <row r="62" spans="4:15" ht="20.100000000000001" customHeight="1" x14ac:dyDescent="0.25">
      <c r="D62" s="86" t="s">
        <v>184</v>
      </c>
      <c r="M62" s="86" t="s">
        <v>182</v>
      </c>
    </row>
    <row r="63" spans="4:15" ht="20.100000000000001" customHeight="1" x14ac:dyDescent="0.25">
      <c r="D63" s="85" t="s">
        <v>185</v>
      </c>
      <c r="M63" s="85" t="s">
        <v>183</v>
      </c>
    </row>
    <row r="64" spans="4:15" ht="20.100000000000001" customHeight="1" x14ac:dyDescent="0.25">
      <c r="D64" s="49" t="s">
        <v>94</v>
      </c>
      <c r="E64" s="49" t="s">
        <v>95</v>
      </c>
      <c r="F64" s="49" t="s">
        <v>96</v>
      </c>
      <c r="M64" s="49" t="s">
        <v>94</v>
      </c>
      <c r="N64" s="49" t="s">
        <v>95</v>
      </c>
      <c r="O64" s="49" t="s">
        <v>96</v>
      </c>
    </row>
    <row r="65" spans="4:17" ht="20.100000000000001" customHeight="1" x14ac:dyDescent="0.25">
      <c r="D65" s="50" cm="1">
        <f t="array" ref="D65">EntericMethane_Feedlot_Equations.VEERG_3_1_1_1__1_TotalAnnualMethaneFromEntericFermentation(D55,D35,D60)</f>
        <v>7.5297600000000005</v>
      </c>
      <c r="E65" s="50" cm="1">
        <f t="array" ref="E65">EntericMethane_Feedlot_Equations.VEERG_3_1_1_1__1_TotalAnnualMethaneFromEntericFermentation(E55,E35,E60)</f>
        <v>10.188960000000002</v>
      </c>
      <c r="F65" s="50" cm="1">
        <f t="array" ref="F65">EntericMethane_Feedlot_Equations.VEERG_3_1_1_1__1_TotalAnnualMethaneFromEntericFermentation(F55,F35,F60)</f>
        <v>19.276920000000004</v>
      </c>
      <c r="G65" s="2" t="str">
        <f>$E$46</f>
        <v>t CH4</v>
      </c>
      <c r="M65" s="50" cm="1">
        <f t="array" ref="M65">EntericMethane_Feedlot_Equations.VEERG_3_1_1_1__1_TotalAnnualMethaneFromEntericFermentation(D55,M35,D60)</f>
        <v>7.6971600000000002</v>
      </c>
      <c r="N65" s="50" cm="1">
        <f t="array" ref="N65">EntericMethane_Feedlot_Equations.VEERG_3_1_1_1__1_TotalAnnualMethaneFromEntericFermentation(E55,N35,E60)</f>
        <v>10.657440000000001</v>
      </c>
      <c r="O65" s="50" cm="1">
        <f t="array" ref="O65">EntericMethane_Feedlot_Equations.VEERG_3_1_1_1__1_TotalAnnualMethaneFromEntericFermentation(F55,O35,F60)</f>
        <v>24.809200000000001</v>
      </c>
      <c r="P65" s="2" t="str">
        <f>$E$46</f>
        <v>t CH4</v>
      </c>
    </row>
    <row r="66" spans="4:17" ht="20.100000000000001" customHeight="1" x14ac:dyDescent="0.25"/>
    <row r="67" spans="4:17" ht="20.100000000000001" customHeight="1" x14ac:dyDescent="0.25">
      <c r="D67" s="89" t="s">
        <v>173</v>
      </c>
      <c r="E67" s="90">
        <f>SUM(D65:F65)</f>
        <v>36.995640000000009</v>
      </c>
      <c r="F67" s="91" t="str">
        <f>$E$46</f>
        <v>t CH4</v>
      </c>
      <c r="M67" s="89" t="s">
        <v>174</v>
      </c>
      <c r="N67" s="90">
        <f>SUM(M65:O65)</f>
        <v>43.163800000000002</v>
      </c>
      <c r="O67" s="91" t="str">
        <f>$E$46</f>
        <v>t CH4</v>
      </c>
    </row>
    <row r="68" spans="4:17" ht="20.100000000000001" customHeight="1" x14ac:dyDescent="0.25"/>
    <row r="69" spans="4:17" ht="20.100000000000001" customHeight="1" x14ac:dyDescent="0.25">
      <c r="D69" s="55" t="str" cm="1">
        <f t="array" ref="D69:E70">Common_Equations.Common_ConvertCH4ToCO2e_Arguments()</f>
        <v>ECH4</v>
      </c>
      <c r="E69" s="56" t="str">
        <v>Methane emissions (t CH4)</v>
      </c>
      <c r="F69" s="92"/>
      <c r="G69" s="50">
        <f>E67</f>
        <v>36.995640000000009</v>
      </c>
      <c r="H69" s="2" t="str">
        <f>$E$46</f>
        <v>t CH4</v>
      </c>
      <c r="M69" s="55" t="str" cm="1">
        <f t="array" ref="M69:N70">Common_Equations.Common_ConvertCH4ToCO2e_Arguments()</f>
        <v>ECH4</v>
      </c>
      <c r="N69" s="56" t="str">
        <v>Methane emissions (t CH4)</v>
      </c>
      <c r="O69" s="92"/>
      <c r="P69" s="50">
        <f>N67</f>
        <v>43.163800000000002</v>
      </c>
      <c r="Q69" s="2" t="str">
        <f>$E$46</f>
        <v>t CH4</v>
      </c>
    </row>
    <row r="70" spans="4:17" ht="20.100000000000001" customHeight="1" x14ac:dyDescent="0.25">
      <c r="D70" s="55" t="str">
        <v>GWPCH4</v>
      </c>
      <c r="E70" s="56" t="str">
        <v>Global warming potential for methane (t CO2-e / t CH4)</v>
      </c>
      <c r="F70" s="92"/>
      <c r="G70" s="50">
        <f>Common_InputFunctions.Utility_LookupValueInTableNumber("CH4",Table_GWPData[Gas],Table_GWPData[CO2-e factor])</f>
        <v>28</v>
      </c>
      <c r="M70" s="55" t="str">
        <v>GWPCH4</v>
      </c>
      <c r="N70" s="56" t="str">
        <v>Global warming potential for methane (t CO2-e / t CH4)</v>
      </c>
      <c r="O70" s="92"/>
      <c r="P70" s="50">
        <f>Common_InputFunctions.Utility_LookupValueInTableNumber("CH4",Table_GWPData[Gas],Table_GWPData[CO2-e factor])</f>
        <v>28</v>
      </c>
    </row>
    <row r="71" spans="4:17" ht="20.100000000000001" customHeight="1" x14ac:dyDescent="0.25"/>
    <row r="72" spans="4:17" ht="20.100000000000001" customHeight="1" x14ac:dyDescent="0.25">
      <c r="D72" s="45" t="s">
        <v>110</v>
      </c>
      <c r="E72" s="45" cm="1">
        <f t="array" ref="E72">Common_Equations.Common_ConvertCH4ToCO2e(G69,G70)</f>
        <v>1035.8779200000004</v>
      </c>
      <c r="F72" s="93" t="str" cm="1">
        <f t="array" ref="F72">Common_Equations.Common_ConvertN2OToCO2e_Unit()</f>
        <v>t CO2e</v>
      </c>
      <c r="M72" s="45" t="s">
        <v>111</v>
      </c>
      <c r="N72" s="45" cm="1">
        <f t="array" ref="N72">Common_Equations.Common_ConvertCH4ToCO2e(P69,P70)</f>
        <v>1208.5864000000001</v>
      </c>
      <c r="O72" s="93" t="str" cm="1">
        <f t="array" ref="O72">Common_Equations.Common_ConvertN2OToCO2e_Unit()</f>
        <v>t CO2e</v>
      </c>
    </row>
    <row r="73" spans="4:17" ht="20.100000000000001" customHeight="1" x14ac:dyDescent="0.25"/>
    <row r="74" spans="4:17" ht="20.100000000000001" customHeight="1" x14ac:dyDescent="0.25"/>
    <row r="75" spans="4:17" ht="20.100000000000001" customHeight="1" x14ac:dyDescent="0.25"/>
    <row r="76" spans="4:17" ht="20.100000000000001" customHeight="1" x14ac:dyDescent="0.25"/>
    <row r="77" spans="4:17" ht="20.100000000000001" customHeight="1" x14ac:dyDescent="0.25"/>
    <row r="78" spans="4:17" ht="20.100000000000001" customHeight="1" x14ac:dyDescent="0.25"/>
    <row r="79" spans="4:17" ht="20.100000000000001" customHeight="1" x14ac:dyDescent="0.25"/>
    <row r="80" spans="4:17"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sheetData>
  <dataValidations disablePrompts="1" count="1">
    <dataValidation operator="equal" allowBlank="1" showInputMessage="1" showErrorMessage="1" sqref="E133:G133 E138:G138 D55:F55 D60:F60 N138:P138" xr:uid="{AF7BB680-B75F-4AE8-AA2D-EDF03FCB10D8}"/>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dimension ref="A1:V288"/>
  <sheetViews>
    <sheetView showGridLines="0" topLeftCell="A31" workbookViewId="0">
      <selection activeCell="I112" sqref="I112"/>
    </sheetView>
  </sheetViews>
  <sheetFormatPr defaultRowHeight="15.75" x14ac:dyDescent="0.25"/>
  <cols>
    <col min="1" max="1" width="30.7109375" customWidth="1"/>
    <col min="2" max="2" width="4.7109375" customWidth="1"/>
    <col min="3" max="3" width="4.7109375" style="1" customWidth="1"/>
    <col min="4" max="12" width="30.7109375" style="1" customWidth="1"/>
    <col min="13" max="13" width="30.7109375" customWidth="1"/>
    <col min="14" max="20" width="30.7109375" style="1" customWidth="1"/>
    <col min="21" max="21" width="4.7109375" style="1" customWidth="1"/>
  </cols>
  <sheetData>
    <row r="1" spans="1:21" s="8" customFormat="1" ht="30" customHeight="1" x14ac:dyDescent="0.35">
      <c r="A1" s="8" t="e" vm="1">
        <v>#VALUE!</v>
      </c>
      <c r="C1" s="8" t="s">
        <v>93</v>
      </c>
    </row>
    <row r="2" spans="1:21" s="9" customFormat="1" ht="20.100000000000001" customHeight="1" x14ac:dyDescent="0.25"/>
    <row r="3" spans="1:21" ht="20.100000000000001" customHeight="1" x14ac:dyDescent="0.25">
      <c r="A3" s="17" t="str">
        <f>HYPERLINK("#'Home'!A1", "Home")</f>
        <v>Home</v>
      </c>
      <c r="C3" s="4"/>
      <c r="D3" s="4"/>
      <c r="E3" s="4"/>
      <c r="F3" s="4"/>
      <c r="G3" s="4"/>
      <c r="H3" s="4"/>
      <c r="I3" s="4"/>
      <c r="J3" s="4"/>
      <c r="K3" s="4"/>
      <c r="L3" s="4"/>
      <c r="M3" s="4"/>
      <c r="N3" s="4"/>
      <c r="O3" s="4"/>
      <c r="P3" s="4"/>
      <c r="Q3" s="4"/>
      <c r="R3" s="4"/>
      <c r="S3" s="4"/>
      <c r="T3" s="4"/>
      <c r="U3" s="4"/>
    </row>
    <row r="4" spans="1:21" ht="20.100000000000001" customHeight="1" x14ac:dyDescent="0.25">
      <c r="A4" s="17" t="str">
        <f>HYPERLINK("#'Overview'!A1", "Overview")</f>
        <v>Overview</v>
      </c>
      <c r="M4" s="24"/>
    </row>
    <row r="5" spans="1:21" ht="20.100000000000001" customHeight="1" x14ac:dyDescent="0.25">
      <c r="A5" s="17" t="str">
        <f>HYPERLINK("#'Results'!A1", "Results")</f>
        <v>Results</v>
      </c>
      <c r="D5" s="6" t="str" cm="1">
        <f t="array" ref="D5">SourceData_Feedlot.SourceData_Feedlot_VSL_Title()</f>
        <v>Feedlot - Fraction of volatile solids lost during storage in the primary system</v>
      </c>
      <c r="M5" s="1"/>
    </row>
    <row r="6" spans="1:21" ht="20.100000000000001" customHeight="1" x14ac:dyDescent="0.25">
      <c r="A6" s="16"/>
      <c r="D6" s="5" t="str" cm="1">
        <f t="array" ref="D6">SourceData_Feedlot.SourceData_Feedlot_VSL_Source()</f>
        <v>VEERG 2026: 4.1.2.3 CONSTANTS</v>
      </c>
      <c r="M6" s="1"/>
    </row>
    <row r="7" spans="1:21" ht="20.100000000000001" customHeight="1" x14ac:dyDescent="0.25">
      <c r="A7" s="20" t="s">
        <v>3</v>
      </c>
      <c r="D7" s="51" t="str" cm="1">
        <f t="array" ref="D7">SourceData_Feedlot.SourceData_Feedlot_VSL_Variable()</f>
        <v>VSL</v>
      </c>
      <c r="E7" s="1" cm="1">
        <f t="array" ref="E7">SourceData_Feedlot.SourceData_Feedlot_VSL_Data()</f>
        <v>0.5</v>
      </c>
      <c r="F7" s="52" t="str" cm="1">
        <f t="array" ref="F7">SourceData_Feedlot.SourceData_Feedlot_VSL_Unit()</f>
        <v>Fraction</v>
      </c>
      <c r="M7" s="1"/>
    </row>
    <row r="8" spans="1:21" ht="20.100000000000001" customHeight="1" x14ac:dyDescent="0.25">
      <c r="A8" s="17" t="str">
        <f>HYPERLINK("#'Input - Site'!A1", "Site")</f>
        <v>Site</v>
      </c>
      <c r="M8" s="1"/>
    </row>
    <row r="9" spans="1:21" ht="20.100000000000001" customHeight="1" x14ac:dyDescent="0.25">
      <c r="A9" s="17" t="str">
        <f>HYPERLINK("#'Input - Feedlot'!A1", "Feedlot")</f>
        <v>Feedlot</v>
      </c>
      <c r="M9" s="1"/>
    </row>
    <row r="10" spans="1:21" ht="20.100000000000001" customHeight="1" x14ac:dyDescent="0.25">
      <c r="A10" s="17"/>
      <c r="D10" s="6" t="str" cm="1">
        <f t="array" ref="D10">SourceData_Feedlot.SourceData_Feedlot_MMSm1T3_Title()</f>
        <v>Fraction of volatile solids to each tertiary system assumed that 2 per cent is run - off from the feed pad.</v>
      </c>
      <c r="M10" s="1"/>
    </row>
    <row r="11" spans="1:21" ht="20.100000000000001" customHeight="1" x14ac:dyDescent="0.25">
      <c r="A11" s="19" t="s">
        <v>56</v>
      </c>
      <c r="D11" s="5" t="str" cm="1">
        <f t="array" ref="D11">SourceData_Feedlot.SourceData_Feedlot_MMSm1T3_Source()</f>
        <v>VEERG 2026: 4.1.2.3 CONSTANTS</v>
      </c>
      <c r="M11" s="1"/>
    </row>
    <row r="12" spans="1:21" ht="20.100000000000001" customHeight="1" x14ac:dyDescent="0.25">
      <c r="A12" s="17" t="str">
        <f>HYPERLINK("#'3.1.1.1-2 Enteric Methane'!A1", "3.1.1.1-2 Enteric Methane")</f>
        <v>3.1.1.1-2 Enteric Methane</v>
      </c>
      <c r="D12" s="51" t="str" cm="1">
        <f t="array" ref="D12">SourceData_Feedlot.SourceData_Feedlot_MMSm1T3_Variable()</f>
        <v>MMSm1T3</v>
      </c>
      <c r="E12" s="1" cm="1">
        <f t="array" ref="E12">SourceData_Feedlot.SourceData_Feedlot_MMSm1T3_Data()</f>
        <v>0.02</v>
      </c>
      <c r="F12" s="52" t="str" cm="1">
        <f t="array" ref="F12">SourceData_Feedlot.SourceData_Feedlot_MMSm1T3_Unit()</f>
        <v>Fraction</v>
      </c>
      <c r="M12" s="1"/>
    </row>
    <row r="13" spans="1:21" ht="20.100000000000001" customHeight="1" x14ac:dyDescent="0.25">
      <c r="M13" s="1"/>
    </row>
    <row r="14" spans="1:21" ht="20.100000000000001" customHeight="1" x14ac:dyDescent="0.25">
      <c r="A14" s="18" t="s">
        <v>4</v>
      </c>
      <c r="M14" s="1"/>
    </row>
    <row r="15" spans="1:21" ht="20.100000000000001" customHeight="1" x14ac:dyDescent="0.25">
      <c r="A15" s="64" t="str">
        <f>HYPERLINK("#'Constants - Feedlot'!A1", "Constants - Feedlot")</f>
        <v>Constants - Feedlot</v>
      </c>
      <c r="D15" s="6" t="str" cm="1">
        <f t="array" ref="D15">SourceData_Feedlot.SourceData_Feedlot_AshContent_Title()</f>
        <v>Ash content of manure.</v>
      </c>
      <c r="M15" s="1"/>
    </row>
    <row r="16" spans="1:21" ht="20.100000000000001" customHeight="1" x14ac:dyDescent="0.25">
      <c r="A16" s="17" t="str">
        <f>HYPERLINK("#'Constants - Livestock'!A1", "Constants - Livestock")</f>
        <v>Constants - Livestock</v>
      </c>
      <c r="D16" s="5" t="str" cm="1">
        <f t="array" ref="D16">SourceData_Feedlot.SourceData_Feedlot_AshContent_Source()</f>
        <v>VEERG 2026: 4.1.2.3 CONSTANTS</v>
      </c>
      <c r="M16" s="1"/>
    </row>
    <row r="17" spans="1:13" ht="20.100000000000001" customHeight="1" x14ac:dyDescent="0.25">
      <c r="A17" s="17" t="str">
        <f>HYPERLINK("#'Constants - Common'!A1", "Constants - Common")</f>
        <v>Constants - Common</v>
      </c>
      <c r="D17" s="51" t="str" cm="1">
        <f t="array" ref="D17">SourceData_Feedlot.SourceData_Feedlot_AshContent_Variable()</f>
        <v>A</v>
      </c>
      <c r="E17" s="1" cm="1">
        <f t="array" ref="E17">SourceData_Feedlot.SourceData_Feedlot_AshContent_Data()</f>
        <v>0.16</v>
      </c>
      <c r="F17" s="52" t="str" cm="1">
        <f t="array" ref="F17">SourceData_Feedlot.SourceData_Feedlot_AshContent_Unit()</f>
        <v>Fraction</v>
      </c>
      <c r="M17" s="1"/>
    </row>
    <row r="18" spans="1:13" ht="20.100000000000001" customHeight="1" x14ac:dyDescent="0.25">
      <c r="A18" s="17" t="str">
        <f>HYPERLINK("#'Acknowledgements'!A1", "Acknowledgements")</f>
        <v>Acknowledgements</v>
      </c>
      <c r="M18" s="1"/>
    </row>
    <row r="19" spans="1:13" ht="20.100000000000001" customHeight="1" x14ac:dyDescent="0.25">
      <c r="M19" s="1"/>
    </row>
    <row r="20" spans="1:13" ht="20.100000000000001" customHeight="1" x14ac:dyDescent="0.25">
      <c r="D20" s="6" t="str" cm="1">
        <f t="array" ref="D20">SourceData_Feedlot.SourceData_Feedlot_MethaneEmissionsPotential_Title()</f>
        <v>Methane emissions potential.</v>
      </c>
      <c r="M20" s="1"/>
    </row>
    <row r="21" spans="1:13" ht="20.100000000000001" customHeight="1" x14ac:dyDescent="0.25">
      <c r="A21" s="17"/>
      <c r="D21" s="5" t="str" cm="1">
        <f t="array" ref="D21">SourceData_Feedlot.SourceData_Feedlot_MethaneEmissionsPotential_Source()</f>
        <v>VEERG 2026: 4.1.2.3 CONSTANTS</v>
      </c>
      <c r="M21" s="1"/>
    </row>
    <row r="22" spans="1:13" ht="20.100000000000001" customHeight="1" x14ac:dyDescent="0.25">
      <c r="D22" s="51" t="str" cm="1">
        <f t="array" ref="D22">SourceData_Feedlot.SourceData_Feedlot_MethaneEmissionsPotential_Variable()</f>
        <v>B0</v>
      </c>
      <c r="E22" s="1" cm="1">
        <f t="array" ref="E22">SourceData_Feedlot.SourceData_Feedlot_MethaneEmissionsPotential_Data()</f>
        <v>0.19</v>
      </c>
      <c r="F22" s="52" t="str" cm="1">
        <f t="array" ref="F22">SourceData_Feedlot.SourceData_Feedlot_MethaneEmissionsPotential_Unit()</f>
        <v>m3 CH4 / kg VS</v>
      </c>
      <c r="M22" s="1"/>
    </row>
    <row r="23" spans="1:13" ht="20.100000000000001" customHeight="1" x14ac:dyDescent="0.25">
      <c r="M23" s="1"/>
    </row>
    <row r="24" spans="1:13" ht="20.100000000000001" customHeight="1" x14ac:dyDescent="0.25">
      <c r="M24" s="1"/>
    </row>
    <row r="25" spans="1:13" ht="20.100000000000001" customHeight="1" x14ac:dyDescent="0.25">
      <c r="A25" s="17"/>
      <c r="D25" s="6" t="s">
        <v>81</v>
      </c>
      <c r="G25" s="6" t="s">
        <v>117</v>
      </c>
      <c r="J25" s="6" t="s">
        <v>119</v>
      </c>
      <c r="M25" s="1"/>
    </row>
    <row r="26" spans="1:13" ht="20.100000000000001" customHeight="1" x14ac:dyDescent="0.25">
      <c r="M26" s="1"/>
    </row>
    <row r="27" spans="1:13" ht="20.100000000000001" customHeight="1" x14ac:dyDescent="0.25">
      <c r="D27" s="84" t="s">
        <v>49</v>
      </c>
      <c r="E27" s="37" t="s">
        <v>61</v>
      </c>
      <c r="G27" s="37" t="s">
        <v>118</v>
      </c>
      <c r="J27" s="37" t="s">
        <v>116</v>
      </c>
      <c r="M27" s="1"/>
    </row>
    <row r="28" spans="1:13" ht="20.100000000000001" customHeight="1" x14ac:dyDescent="0.25">
      <c r="D28" s="37" t="str">
        <f>'Constants - Livestock'!$E$16</f>
        <v>Drylot (feed pad)</v>
      </c>
      <c r="E28" s="37" t="str">
        <f>'Constants - Livestock'!$F$16</f>
        <v>Drylot (feed pad) (m=5)</v>
      </c>
      <c r="G28" s="37" t="str">
        <f>'Constants - Common'!$F$188</f>
        <v>Crop</v>
      </c>
      <c r="J28" s="37" t="s">
        <v>120</v>
      </c>
      <c r="M28" s="1"/>
    </row>
    <row r="29" spans="1:13" ht="20.100000000000001" customHeight="1" x14ac:dyDescent="0.25">
      <c r="D29" s="37" t="str">
        <f>'Constants - Livestock'!$E$15</f>
        <v>Solid storage</v>
      </c>
      <c r="E29" s="37" t="str">
        <f>'Constants - Livestock'!$F$15</f>
        <v>Solid storage (m=4)</v>
      </c>
      <c r="G29" s="1" t="str">
        <f>'Constants - Common'!$F$187</f>
        <v>Pasture</v>
      </c>
      <c r="J29" s="37" t="s">
        <v>121</v>
      </c>
      <c r="M29" s="1"/>
    </row>
    <row r="30" spans="1:13" ht="20.100000000000001" customHeight="1" x14ac:dyDescent="0.25">
      <c r="D30" s="37" t="str">
        <f>'Constants - Livestock'!$E$17</f>
        <v>Composting (passive windrow)</v>
      </c>
      <c r="E30" s="37" t="str">
        <f>'Constants - Livestock'!$F$17</f>
        <v>Composting (passive windrow) (m=6)</v>
      </c>
      <c r="J30" s="1" t="s">
        <v>122</v>
      </c>
      <c r="M30" s="1"/>
    </row>
    <row r="31" spans="1:13" ht="20.100000000000001" customHeight="1" x14ac:dyDescent="0.25">
      <c r="D31" s="37" t="str">
        <f>'Constants - Livestock'!$E$26</f>
        <v>Direct application</v>
      </c>
      <c r="E31" s="37" t="str">
        <f>'Constants - Livestock'!$F$26</f>
        <v>Direct application (m=13)</v>
      </c>
      <c r="J31" s="1" t="s">
        <v>123</v>
      </c>
      <c r="M31" s="1"/>
    </row>
    <row r="32" spans="1:13" ht="20.100000000000001" customHeight="1" x14ac:dyDescent="0.25">
      <c r="D32" s="1" t="str">
        <f>'Constants - Livestock'!$E$10</f>
        <v>Anaerobic lagoon</v>
      </c>
      <c r="E32" s="1" t="str">
        <f>'Constants - Livestock'!$F$10</f>
        <v>Anaerobic lagoon (m=1)</v>
      </c>
      <c r="J32" s="1" t="s">
        <v>124</v>
      </c>
      <c r="M32" s="1"/>
    </row>
    <row r="33" spans="4:13" ht="20.100000000000001" customHeight="1" x14ac:dyDescent="0.25">
      <c r="M33" s="1"/>
    </row>
    <row r="34" spans="4:13" ht="20.100000000000001" customHeight="1" x14ac:dyDescent="0.25">
      <c r="M34" s="1"/>
    </row>
    <row r="35" spans="4:13" ht="20.100000000000001" customHeight="1" x14ac:dyDescent="0.25">
      <c r="M35" s="1"/>
    </row>
    <row r="36" spans="4:13" ht="20.100000000000001" customHeight="1" x14ac:dyDescent="0.25">
      <c r="D36" s="6" t="str" cm="1">
        <f t="array" ref="D36">SourceData_Feedlot.SourceData_Feedlot_DurationOfStay_Title()</f>
        <v>Beef feedlot cattle - Duration of stay (days)</v>
      </c>
      <c r="M36" s="1"/>
    </row>
    <row r="37" spans="4:13" ht="20.100000000000001" customHeight="1" x14ac:dyDescent="0.25">
      <c r="D37" s="5" t="str" cm="1">
        <f t="array" ref="D37">SourceData_Feedlot.SourceData_Feedlot_DurationOfStay_Source()</f>
        <v>VEERG 2026: Table A.1.1.1: Beef feedlot cattle - Duration of stay (days)</v>
      </c>
      <c r="M37" s="1"/>
    </row>
    <row r="38" spans="4:13" ht="20.100000000000001" customHeight="1" x14ac:dyDescent="0.25">
      <c r="D38" s="37" t="s">
        <v>88</v>
      </c>
      <c r="E38" s="37" t="s">
        <v>101</v>
      </c>
      <c r="M38" s="1"/>
    </row>
    <row r="39" spans="4:13" ht="20.100000000000001" customHeight="1" x14ac:dyDescent="0.25">
      <c r="D39" s="37" t="str" cm="1">
        <f t="array" ref="D39">Common_InputFunctions.Utility_DisplayArrayInTable(SourceData_Feedlot.SourceData_Feedlot_DurationOfStay_Data(), Table_SourceData_Feedlot_LengthOfStay[[#Headers],[Feedlot type]], 0)</f>
        <v>Domestic</v>
      </c>
      <c r="E39" s="37" t="str" cm="1">
        <f t="array" ref="E39">Common_InputFunctions.Utility_DisplayArrayInTable(SourceData_Feedlot.SourceData_Feedlot_DurationOfStay_Data(), Table_SourceData_Feedlot_LengthOfStay[[#Headers],[Feedlot type]], 0)</f>
        <v>1-80 days</v>
      </c>
      <c r="M39" s="24"/>
    </row>
    <row r="40" spans="4:13" ht="20.100000000000001" customHeight="1" x14ac:dyDescent="0.25">
      <c r="D40" s="1" t="str" cm="1">
        <f t="array" ref="D40">Common_InputFunctions.Utility_DisplayArrayInTable(SourceData_Feedlot.SourceData_Feedlot_DurationOfStay_Data(), Table_SourceData_Feedlot_LengthOfStay[[#Headers],[Feedlot type]], 0)</f>
        <v>Mid-fed</v>
      </c>
      <c r="E40" s="37" t="str" cm="1">
        <f t="array" ref="E40">Common_InputFunctions.Utility_DisplayArrayInTable(SourceData_Feedlot.SourceData_Feedlot_DurationOfStay_Data(), Table_SourceData_Feedlot_LengthOfStay[[#Headers],[Feedlot type]], 0)</f>
        <v>81-200 days</v>
      </c>
      <c r="M40" s="24"/>
    </row>
    <row r="41" spans="4:13" ht="20.100000000000001" customHeight="1" x14ac:dyDescent="0.25">
      <c r="D41" s="1" t="str" cm="1">
        <f t="array" ref="D41">Common_InputFunctions.Utility_DisplayArrayInTable(SourceData_Feedlot.SourceData_Feedlot_DurationOfStay_Data(), Table_SourceData_Feedlot_LengthOfStay[[#Headers],[Feedlot type]], 0)</f>
        <v>Long-fed</v>
      </c>
      <c r="E41" s="37" t="str" cm="1">
        <f t="array" ref="E41">Common_InputFunctions.Utility_DisplayArrayInTable(SourceData_Feedlot.SourceData_Feedlot_DurationOfStay_Data(), Table_SourceData_Feedlot_LengthOfStay[[#Headers],[Feedlot type]], 0)</f>
        <v>201+ days</v>
      </c>
      <c r="M41" s="24"/>
    </row>
    <row r="42" spans="4:13" ht="20.100000000000001" customHeight="1" x14ac:dyDescent="0.25">
      <c r="M42" s="24"/>
    </row>
    <row r="43" spans="4:13" ht="20.100000000000001" customHeight="1" x14ac:dyDescent="0.25">
      <c r="M43" s="24"/>
    </row>
    <row r="44" spans="4:13" ht="20.100000000000001" customHeight="1" x14ac:dyDescent="0.25">
      <c r="D44" s="6" t="str" cm="1">
        <f t="array" ref="D44">SourceData_Feedlot.SourceData_Feedlot_AnimalCharacteristics_Title()</f>
        <v>Beef feedlot cattle - Animal characteristics</v>
      </c>
      <c r="M44" s="24"/>
    </row>
    <row r="45" spans="4:13" ht="20.100000000000001" customHeight="1" x14ac:dyDescent="0.25">
      <c r="D45" s="5" t="str" cm="1">
        <f t="array" ref="D45">SourceData_Feedlot.SourceData_Feedlot_AnimalCharacteristics_Source()</f>
        <v>VEERG 2026: Table A.1.1.2: Beef feedlot cattle - Animal characteristics</v>
      </c>
      <c r="M45" s="24"/>
    </row>
    <row r="46" spans="4:13" ht="20.100000000000001" customHeight="1" x14ac:dyDescent="0.25">
      <c r="D46" s="53" t="str" cm="1">
        <f t="array" ref="D46:D48">SourceData_Feedlot.SourceData_Feedlot_AnimalCharacteristics_Variation()</f>
        <v>VARIATION ON SOURCE:</v>
      </c>
      <c r="M46" s="24"/>
    </row>
    <row r="47" spans="4:13" ht="20.100000000000001" customHeight="1" x14ac:dyDescent="0.25">
      <c r="D47" s="53" t="str">
        <v>Moved feedlot types to a separate column to aid lookup.</v>
      </c>
      <c r="M47" s="24"/>
    </row>
    <row r="48" spans="4:13" ht="20.100000000000001" customHeight="1" x14ac:dyDescent="0.25">
      <c r="D48" s="53" t="str">
        <v>Named 'characteristic' column - original has header 'Unit' which covers two columns)</v>
      </c>
      <c r="M48" s="24"/>
    </row>
    <row r="49" spans="4:13" ht="20.100000000000001" customHeight="1" x14ac:dyDescent="0.25">
      <c r="D49" s="37" t="s">
        <v>88</v>
      </c>
      <c r="E49" s="37" t="s">
        <v>98</v>
      </c>
      <c r="F49" s="37" t="s">
        <v>10</v>
      </c>
      <c r="G49" s="37" t="s">
        <v>99</v>
      </c>
      <c r="H49" s="37" t="s">
        <v>90</v>
      </c>
      <c r="I49" s="37" t="s">
        <v>91</v>
      </c>
      <c r="J49" s="37" t="s">
        <v>92</v>
      </c>
      <c r="M49" s="24"/>
    </row>
    <row r="50" spans="4:13" ht="20.100000000000001" customHeight="1" x14ac:dyDescent="0.25">
      <c r="D50" s="37" t="str" cm="1">
        <f t="array" ref="D50">Common_InputFunctions.Utility_DisplayArrayInTable(SourceData_Feedlot.SourceData_Feedlot_AnimalCharacteristics_Data(), Table_SourceData_Feedlot_AnimalCharacteristics[[#Headers],[Feedlot type]], 0)</f>
        <v>Domestic</v>
      </c>
      <c r="E50" s="37" t="str" cm="1">
        <f t="array" ref="E50">Common_InputFunctions.Utility_DisplayArrayInTable(SourceData_Feedlot.SourceData_Feedlot_AnimalCharacteristics_Data(), Table_SourceData_Feedlot_AnimalCharacteristics[[#Headers],[Feedlot type]], 0)</f>
        <v>Days on feed</v>
      </c>
      <c r="F50" s="37" t="str" cm="1">
        <f t="array" ref="F50">Common_InputFunctions.Utility_DisplayArrayInTable(SourceData_Feedlot.SourceData_Feedlot_AnimalCharacteristics_Data(), Table_SourceData_Feedlot_AnimalCharacteristics[[#Headers],[Feedlot type]], 0)</f>
        <v>days</v>
      </c>
      <c r="G50" s="37" cm="1">
        <f t="array" ref="G50">Common_InputFunctions.Utility_DisplayArrayInTable(SourceData_Feedlot.SourceData_Feedlot_AnimalCharacteristics_Data(), Table_SourceData_Feedlot_AnimalCharacteristics[[#Headers],[Feedlot type]], 0)</f>
        <v>70</v>
      </c>
      <c r="H50" s="37" cm="1">
        <f t="array" ref="H50">Common_InputFunctions.Utility_DisplayArrayInTable(SourceData_Feedlot.SourceData_Feedlot_AnimalCharacteristics_Data(), Table_SourceData_Feedlot_AnimalCharacteristics[[#Headers],[Feedlot type]], 0)</f>
        <v>70</v>
      </c>
      <c r="I50" s="37" cm="1">
        <f t="array" ref="I50">Common_InputFunctions.Utility_DisplayArrayInTable(SourceData_Feedlot.SourceData_Feedlot_AnimalCharacteristics_Data(), Table_SourceData_Feedlot_AnimalCharacteristics[[#Headers],[Feedlot type]], 0)</f>
        <v>70</v>
      </c>
      <c r="J50" s="37" cm="1">
        <f t="array" ref="J50">Common_InputFunctions.Utility_DisplayArrayInTable(SourceData_Feedlot.SourceData_Feedlot_AnimalCharacteristics_Data(), Table_SourceData_Feedlot_AnimalCharacteristics[[#Headers],[Feedlot type]], 0)</f>
        <v>75</v>
      </c>
      <c r="M50" s="24"/>
    </row>
    <row r="51" spans="4:13" ht="20.100000000000001" customHeight="1" x14ac:dyDescent="0.25">
      <c r="D51" s="1" t="str" cm="1">
        <f t="array" ref="D51">Common_InputFunctions.Utility_DisplayArrayInTable(SourceData_Feedlot.SourceData_Feedlot_AnimalCharacteristics_Data(), Table_SourceData_Feedlot_AnimalCharacteristics[[#Headers],[Feedlot type]], 0)</f>
        <v>Domestic</v>
      </c>
      <c r="E51" s="37" t="str" cm="1">
        <f t="array" ref="E51">Common_InputFunctions.Utility_DisplayArrayInTable(SourceData_Feedlot.SourceData_Feedlot_AnimalCharacteristics_Data(), Table_SourceData_Feedlot_AnimalCharacteristics[[#Headers],[Feedlot type]], 0)</f>
        <v>Feed intake</v>
      </c>
      <c r="F51" s="37" t="str" cm="1">
        <f t="array" ref="F51">Common_InputFunctions.Utility_DisplayArrayInTable(SourceData_Feedlot.SourceData_Feedlot_AnimalCharacteristics_Data(), Table_SourceData_Feedlot_AnimalCharacteristics[[#Headers],[Feedlot type]], 0)</f>
        <v>kg DM/day</v>
      </c>
      <c r="G51" s="37" cm="1">
        <f t="array" ref="G51">Common_InputFunctions.Utility_DisplayArrayInTable(SourceData_Feedlot.SourceData_Feedlot_AnimalCharacteristics_Data(), Table_SourceData_Feedlot_AnimalCharacteristics[[#Headers],[Feedlot type]], 0)</f>
        <v>10</v>
      </c>
      <c r="H51" s="37" cm="1">
        <f t="array" ref="H51">Common_InputFunctions.Utility_DisplayArrayInTable(SourceData_Feedlot.SourceData_Feedlot_AnimalCharacteristics_Data(), Table_SourceData_Feedlot_AnimalCharacteristics[[#Headers],[Feedlot type]], 0)</f>
        <v>10</v>
      </c>
      <c r="I51" s="37" cm="1">
        <f t="array" ref="I51">Common_InputFunctions.Utility_DisplayArrayInTable(SourceData_Feedlot.SourceData_Feedlot_AnimalCharacteristics_Data(), Table_SourceData_Feedlot_AnimalCharacteristics[[#Headers],[Feedlot type]], 0)</f>
        <v>10.4</v>
      </c>
      <c r="J51" s="37" cm="1">
        <f t="array" ref="J51">Common_InputFunctions.Utility_DisplayArrayInTable(SourceData_Feedlot.SourceData_Feedlot_AnimalCharacteristics_Data(), Table_SourceData_Feedlot_AnimalCharacteristics[[#Headers],[Feedlot type]], 0)</f>
        <v>10.4</v>
      </c>
      <c r="M51" s="24"/>
    </row>
    <row r="52" spans="4:13" ht="20.100000000000001" customHeight="1" x14ac:dyDescent="0.25">
      <c r="D52" s="1" t="str" cm="1">
        <f t="array" ref="D52">Common_InputFunctions.Utility_DisplayArrayInTable(SourceData_Feedlot.SourceData_Feedlot_AnimalCharacteristics_Data(), Table_SourceData_Feedlot_AnimalCharacteristics[[#Headers],[Feedlot type]], 0)</f>
        <v>Domestic</v>
      </c>
      <c r="E52" s="37" t="str" cm="1">
        <f t="array" ref="E52">Common_InputFunctions.Utility_DisplayArrayInTable(SourceData_Feedlot.SourceData_Feedlot_AnimalCharacteristics_Data(), Table_SourceData_Feedlot_AnimalCharacteristics[[#Headers],[Feedlot type]], 0)</f>
        <v>N retention</v>
      </c>
      <c r="F52" s="37" t="str" cm="1">
        <f t="array" ref="F52">Common_InputFunctions.Utility_DisplayArrayInTable(SourceData_Feedlot.SourceData_Feedlot_AnimalCharacteristics_Data(), Table_SourceData_Feedlot_AnimalCharacteristics[[#Headers],[Feedlot type]], 0)</f>
        <v>per cent of intake</v>
      </c>
      <c r="G52" s="37" cm="1">
        <f t="array" ref="G52">Common_InputFunctions.Utility_DisplayArrayInTable(SourceData_Feedlot.SourceData_Feedlot_AnimalCharacteristics_Data(), Table_SourceData_Feedlot_AnimalCharacteristics[[#Headers],[Feedlot type]], 0)</f>
        <v>21.1</v>
      </c>
      <c r="H52" s="37" cm="1">
        <f t="array" ref="H52">Common_InputFunctions.Utility_DisplayArrayInTable(SourceData_Feedlot.SourceData_Feedlot_AnimalCharacteristics_Data(), Table_SourceData_Feedlot_AnimalCharacteristics[[#Headers],[Feedlot type]], 0)</f>
        <v>20.399999999999999</v>
      </c>
      <c r="I52" s="37" cm="1">
        <f t="array" ref="I52">Common_InputFunctions.Utility_DisplayArrayInTable(SourceData_Feedlot.SourceData_Feedlot_AnimalCharacteristics_Data(), Table_SourceData_Feedlot_AnimalCharacteristics[[#Headers],[Feedlot type]], 0)</f>
        <v>20.399999999999999</v>
      </c>
      <c r="J52" s="37" cm="1">
        <f t="array" ref="J52">Common_InputFunctions.Utility_DisplayArrayInTable(SourceData_Feedlot.SourceData_Feedlot_AnimalCharacteristics_Data(), Table_SourceData_Feedlot_AnimalCharacteristics[[#Headers],[Feedlot type]], 0)</f>
        <v>20.399999999999999</v>
      </c>
      <c r="M52" s="24"/>
    </row>
    <row r="53" spans="4:13" ht="20.100000000000001" customHeight="1" x14ac:dyDescent="0.25">
      <c r="D53" s="1" t="str" cm="1">
        <f t="array" ref="D53">Common_InputFunctions.Utility_DisplayArrayInTable(SourceData_Feedlot.SourceData_Feedlot_AnimalCharacteristics_Data(), Table_SourceData_Feedlot_AnimalCharacteristics[[#Headers],[Feedlot type]], 0)</f>
        <v>Mid-fed</v>
      </c>
      <c r="E53" s="37" t="str" cm="1">
        <f t="array" ref="E53">Common_InputFunctions.Utility_DisplayArrayInTable(SourceData_Feedlot.SourceData_Feedlot_AnimalCharacteristics_Data(), Table_SourceData_Feedlot_AnimalCharacteristics[[#Headers],[Feedlot type]], 0)</f>
        <v>Days on feed</v>
      </c>
      <c r="F53" s="37" t="str" cm="1">
        <f t="array" ref="F53">Common_InputFunctions.Utility_DisplayArrayInTable(SourceData_Feedlot.SourceData_Feedlot_AnimalCharacteristics_Data(), Table_SourceData_Feedlot_AnimalCharacteristics[[#Headers],[Feedlot type]], 0)</f>
        <v>days</v>
      </c>
      <c r="G53" s="37" cm="1">
        <f t="array" ref="G53">Common_InputFunctions.Utility_DisplayArrayInTable(SourceData_Feedlot.SourceData_Feedlot_AnimalCharacteristics_Data(), Table_SourceData_Feedlot_AnimalCharacteristics[[#Headers],[Feedlot type]], 0)</f>
        <v>115</v>
      </c>
      <c r="H53" s="37" cm="1">
        <f t="array" ref="H53">Common_InputFunctions.Utility_DisplayArrayInTable(SourceData_Feedlot.SourceData_Feedlot_AnimalCharacteristics_Data(), Table_SourceData_Feedlot_AnimalCharacteristics[[#Headers],[Feedlot type]], 0)</f>
        <v>115</v>
      </c>
      <c r="I53" s="37" cm="1">
        <f t="array" ref="I53">Common_InputFunctions.Utility_DisplayArrayInTable(SourceData_Feedlot.SourceData_Feedlot_AnimalCharacteristics_Data(), Table_SourceData_Feedlot_AnimalCharacteristics[[#Headers],[Feedlot type]], 0)</f>
        <v>120</v>
      </c>
      <c r="J53" s="37" cm="1">
        <f t="array" ref="J53">Common_InputFunctions.Utility_DisplayArrayInTable(SourceData_Feedlot.SourceData_Feedlot_AnimalCharacteristics_Data(), Table_SourceData_Feedlot_AnimalCharacteristics[[#Headers],[Feedlot type]], 0)</f>
        <v>150</v>
      </c>
      <c r="M53" s="24"/>
    </row>
    <row r="54" spans="4:13" ht="20.100000000000001" customHeight="1" x14ac:dyDescent="0.25">
      <c r="D54" s="1" t="str" cm="1">
        <f t="array" ref="D54">Common_InputFunctions.Utility_DisplayArrayInTable(SourceData_Feedlot.SourceData_Feedlot_AnimalCharacteristics_Data(), Table_SourceData_Feedlot_AnimalCharacteristics[[#Headers],[Feedlot type]], 0)</f>
        <v>Mid-fed</v>
      </c>
      <c r="E54" s="37" t="str" cm="1">
        <f t="array" ref="E54">Common_InputFunctions.Utility_DisplayArrayInTable(SourceData_Feedlot.SourceData_Feedlot_AnimalCharacteristics_Data(), Table_SourceData_Feedlot_AnimalCharacteristics[[#Headers],[Feedlot type]], 0)</f>
        <v>Feed intake</v>
      </c>
      <c r="F54" s="37" t="str" cm="1">
        <f t="array" ref="F54">Common_InputFunctions.Utility_DisplayArrayInTable(SourceData_Feedlot.SourceData_Feedlot_AnimalCharacteristics_Data(), Table_SourceData_Feedlot_AnimalCharacteristics[[#Headers],[Feedlot type]], 0)</f>
        <v>kg DM/day</v>
      </c>
      <c r="G54" s="37" cm="1">
        <f t="array" ref="G54">Common_InputFunctions.Utility_DisplayArrayInTable(SourceData_Feedlot.SourceData_Feedlot_AnimalCharacteristics_Data(), Table_SourceData_Feedlot_AnimalCharacteristics[[#Headers],[Feedlot type]], 0)</f>
        <v>11.2</v>
      </c>
      <c r="H54" s="37" cm="1">
        <f t="array" ref="H54">Common_InputFunctions.Utility_DisplayArrayInTable(SourceData_Feedlot.SourceData_Feedlot_AnimalCharacteristics_Data(), Table_SourceData_Feedlot_AnimalCharacteristics[[#Headers],[Feedlot type]], 0)</f>
        <v>10.8</v>
      </c>
      <c r="I54" s="37" cm="1">
        <f t="array" ref="I54">Common_InputFunctions.Utility_DisplayArrayInTable(SourceData_Feedlot.SourceData_Feedlot_AnimalCharacteristics_Data(), Table_SourceData_Feedlot_AnimalCharacteristics[[#Headers],[Feedlot type]], 0)</f>
        <v>10.8</v>
      </c>
      <c r="J54" s="37" cm="1">
        <f t="array" ref="J54">Common_InputFunctions.Utility_DisplayArrayInTable(SourceData_Feedlot.SourceData_Feedlot_AnimalCharacteristics_Data(), Table_SourceData_Feedlot_AnimalCharacteristics[[#Headers],[Feedlot type]], 0)</f>
        <v>10.8</v>
      </c>
      <c r="M54" s="24"/>
    </row>
    <row r="55" spans="4:13" ht="20.100000000000001" customHeight="1" x14ac:dyDescent="0.25">
      <c r="D55" s="1" t="str" cm="1">
        <f t="array" ref="D55">Common_InputFunctions.Utility_DisplayArrayInTable(SourceData_Feedlot.SourceData_Feedlot_AnimalCharacteristics_Data(), Table_SourceData_Feedlot_AnimalCharacteristics[[#Headers],[Feedlot type]], 0)</f>
        <v>Mid-fed</v>
      </c>
      <c r="E55" s="37" t="str" cm="1">
        <f t="array" ref="E55">Common_InputFunctions.Utility_DisplayArrayInTable(SourceData_Feedlot.SourceData_Feedlot_AnimalCharacteristics_Data(), Table_SourceData_Feedlot_AnimalCharacteristics[[#Headers],[Feedlot type]], 0)</f>
        <v>N retention</v>
      </c>
      <c r="F55" s="37" t="str" cm="1">
        <f t="array" ref="F55">Common_InputFunctions.Utility_DisplayArrayInTable(SourceData_Feedlot.SourceData_Feedlot_AnimalCharacteristics_Data(), Table_SourceData_Feedlot_AnimalCharacteristics[[#Headers],[Feedlot type]], 0)</f>
        <v>per cent of intake</v>
      </c>
      <c r="G55" s="37" cm="1">
        <f t="array" ref="G55">Common_InputFunctions.Utility_DisplayArrayInTable(SourceData_Feedlot.SourceData_Feedlot_AnimalCharacteristics_Data(), Table_SourceData_Feedlot_AnimalCharacteristics[[#Headers],[Feedlot type]], 0)</f>
        <v>12.5</v>
      </c>
      <c r="H55" s="37" cm="1">
        <f t="array" ref="H55">Common_InputFunctions.Utility_DisplayArrayInTable(SourceData_Feedlot.SourceData_Feedlot_AnimalCharacteristics_Data(), Table_SourceData_Feedlot_AnimalCharacteristics[[#Headers],[Feedlot type]], 0)</f>
        <v>12.7</v>
      </c>
      <c r="I55" s="37" cm="1">
        <f t="array" ref="I55">Common_InputFunctions.Utility_DisplayArrayInTable(SourceData_Feedlot.SourceData_Feedlot_AnimalCharacteristics_Data(), Table_SourceData_Feedlot_AnimalCharacteristics[[#Headers],[Feedlot type]], 0)</f>
        <v>12.7</v>
      </c>
      <c r="J55" s="37" cm="1">
        <f t="array" ref="J55">Common_InputFunctions.Utility_DisplayArrayInTable(SourceData_Feedlot.SourceData_Feedlot_AnimalCharacteristics_Data(), Table_SourceData_Feedlot_AnimalCharacteristics[[#Headers],[Feedlot type]], 0)</f>
        <v>12.7</v>
      </c>
      <c r="M55" s="24"/>
    </row>
    <row r="56" spans="4:13" ht="20.100000000000001" customHeight="1" x14ac:dyDescent="0.25">
      <c r="D56" s="1" t="str" cm="1">
        <f t="array" ref="D56">Common_InputFunctions.Utility_DisplayArrayInTable(SourceData_Feedlot.SourceData_Feedlot_AnimalCharacteristics_Data(), Table_SourceData_Feedlot_AnimalCharacteristics[[#Headers],[Feedlot type]], 0)</f>
        <v>Long-fed</v>
      </c>
      <c r="E56" s="37" t="str" cm="1">
        <f t="array" ref="E56">Common_InputFunctions.Utility_DisplayArrayInTable(SourceData_Feedlot.SourceData_Feedlot_AnimalCharacteristics_Data(), Table_SourceData_Feedlot_AnimalCharacteristics[[#Headers],[Feedlot type]], 0)</f>
        <v>Days on feed</v>
      </c>
      <c r="F56" s="37" t="str" cm="1">
        <f t="array" ref="F56">Common_InputFunctions.Utility_DisplayArrayInTable(SourceData_Feedlot.SourceData_Feedlot_AnimalCharacteristics_Data(), Table_SourceData_Feedlot_AnimalCharacteristics[[#Headers],[Feedlot type]], 0)</f>
        <v>days</v>
      </c>
      <c r="G56" s="37" cm="1">
        <f t="array" ref="G56">Common_InputFunctions.Utility_DisplayArrayInTable(SourceData_Feedlot.SourceData_Feedlot_AnimalCharacteristics_Data(), Table_SourceData_Feedlot_AnimalCharacteristics[[#Headers],[Feedlot type]], 0)</f>
        <v>250</v>
      </c>
      <c r="H56" s="37" cm="1">
        <f t="array" ref="H56">Common_InputFunctions.Utility_DisplayArrayInTable(SourceData_Feedlot.SourceData_Feedlot_AnimalCharacteristics_Data(), Table_SourceData_Feedlot_AnimalCharacteristics[[#Headers],[Feedlot type]], 0)</f>
        <v>250</v>
      </c>
      <c r="I56" s="37" cm="1">
        <f t="array" ref="I56">Common_InputFunctions.Utility_DisplayArrayInTable(SourceData_Feedlot.SourceData_Feedlot_AnimalCharacteristics_Data(), Table_SourceData_Feedlot_AnimalCharacteristics[[#Headers],[Feedlot type]], 0)</f>
        <v>250</v>
      </c>
      <c r="J56" s="37" cm="1">
        <f t="array" ref="J56">Common_InputFunctions.Utility_DisplayArrayInTable(SourceData_Feedlot.SourceData_Feedlot_AnimalCharacteristics_Data(), Table_SourceData_Feedlot_AnimalCharacteristics[[#Headers],[Feedlot type]], 0)</f>
        <v>250</v>
      </c>
      <c r="M56" s="24"/>
    </row>
    <row r="57" spans="4:13" ht="20.100000000000001" customHeight="1" x14ac:dyDescent="0.25">
      <c r="D57" s="1" t="str" cm="1">
        <f t="array" ref="D57">Common_InputFunctions.Utility_DisplayArrayInTable(SourceData_Feedlot.SourceData_Feedlot_AnimalCharacteristics_Data(), Table_SourceData_Feedlot_AnimalCharacteristics[[#Headers],[Feedlot type]], 0)</f>
        <v>Long-fed</v>
      </c>
      <c r="E57" s="37" t="str" cm="1">
        <f t="array" ref="E57">Common_InputFunctions.Utility_DisplayArrayInTable(SourceData_Feedlot.SourceData_Feedlot_AnimalCharacteristics_Data(), Table_SourceData_Feedlot_AnimalCharacteristics[[#Headers],[Feedlot type]], 0)</f>
        <v>Feed intake</v>
      </c>
      <c r="F57" s="37" t="str" cm="1">
        <f t="array" ref="F57">Common_InputFunctions.Utility_DisplayArrayInTable(SourceData_Feedlot.SourceData_Feedlot_AnimalCharacteristics_Data(), Table_SourceData_Feedlot_AnimalCharacteristics[[#Headers],[Feedlot type]], 0)</f>
        <v>kg DM/day</v>
      </c>
      <c r="G57" s="37" cm="1">
        <f t="array" ref="G57">Common_InputFunctions.Utility_DisplayArrayInTable(SourceData_Feedlot.SourceData_Feedlot_AnimalCharacteristics_Data(), Table_SourceData_Feedlot_AnimalCharacteristics[[#Headers],[Feedlot type]], 0)</f>
        <v>9</v>
      </c>
      <c r="H57" s="37" cm="1">
        <f t="array" ref="H57">Common_InputFunctions.Utility_DisplayArrayInTable(SourceData_Feedlot.SourceData_Feedlot_AnimalCharacteristics_Data(), Table_SourceData_Feedlot_AnimalCharacteristics[[#Headers],[Feedlot type]], 0)</f>
        <v>8.5</v>
      </c>
      <c r="I57" s="37" cm="1">
        <f t="array" ref="I57">Common_InputFunctions.Utility_DisplayArrayInTable(SourceData_Feedlot.SourceData_Feedlot_AnimalCharacteristics_Data(), Table_SourceData_Feedlot_AnimalCharacteristics[[#Headers],[Feedlot type]], 0)</f>
        <v>8.1999999999999993</v>
      </c>
      <c r="J57" s="37" cm="1">
        <f t="array" ref="J57">Common_InputFunctions.Utility_DisplayArrayInTable(SourceData_Feedlot.SourceData_Feedlot_AnimalCharacteristics_Data(), Table_SourceData_Feedlot_AnimalCharacteristics[[#Headers],[Feedlot type]], 0)</f>
        <v>8.1999999999999993</v>
      </c>
      <c r="M57" s="24"/>
    </row>
    <row r="58" spans="4:13" ht="20.100000000000001" customHeight="1" x14ac:dyDescent="0.25">
      <c r="D58" s="1" t="str" cm="1">
        <f t="array" ref="D58">Common_InputFunctions.Utility_DisplayArrayInTable(SourceData_Feedlot.SourceData_Feedlot_AnimalCharacteristics_Data(), Table_SourceData_Feedlot_AnimalCharacteristics[[#Headers],[Feedlot type]], 0)</f>
        <v>Long-fed</v>
      </c>
      <c r="E58" s="37" t="str" cm="1">
        <f t="array" ref="E58">Common_InputFunctions.Utility_DisplayArrayInTable(SourceData_Feedlot.SourceData_Feedlot_AnimalCharacteristics_Data(), Table_SourceData_Feedlot_AnimalCharacteristics[[#Headers],[Feedlot type]], 0)</f>
        <v>N retention</v>
      </c>
      <c r="F58" s="37" t="str" cm="1">
        <f t="array" ref="F58">Common_InputFunctions.Utility_DisplayArrayInTable(SourceData_Feedlot.SourceData_Feedlot_AnimalCharacteristics_Data(), Table_SourceData_Feedlot_AnimalCharacteristics[[#Headers],[Feedlot type]], 0)</f>
        <v>per cent of intake</v>
      </c>
      <c r="G58" s="37" cm="1">
        <f t="array" ref="G58">Common_InputFunctions.Utility_DisplayArrayInTable(SourceData_Feedlot.SourceData_Feedlot_AnimalCharacteristics_Data(), Table_SourceData_Feedlot_AnimalCharacteristics[[#Headers],[Feedlot type]], 0)</f>
        <v>6.6</v>
      </c>
      <c r="H58" s="37" cm="1">
        <f t="array" ref="H58">Common_InputFunctions.Utility_DisplayArrayInTable(SourceData_Feedlot.SourceData_Feedlot_AnimalCharacteristics_Data(), Table_SourceData_Feedlot_AnimalCharacteristics[[#Headers],[Feedlot type]], 0)</f>
        <v>7</v>
      </c>
      <c r="I58" s="37" cm="1">
        <f t="array" ref="I58">Common_InputFunctions.Utility_DisplayArrayInTable(SourceData_Feedlot.SourceData_Feedlot_AnimalCharacteristics_Data(), Table_SourceData_Feedlot_AnimalCharacteristics[[#Headers],[Feedlot type]], 0)</f>
        <v>7</v>
      </c>
      <c r="J58" s="37" cm="1">
        <f t="array" ref="J58">Common_InputFunctions.Utility_DisplayArrayInTable(SourceData_Feedlot.SourceData_Feedlot_AnimalCharacteristics_Data(), Table_SourceData_Feedlot_AnimalCharacteristics[[#Headers],[Feedlot type]], 0)</f>
        <v>7</v>
      </c>
      <c r="M58" s="24"/>
    </row>
    <row r="59" spans="4:13" ht="20.100000000000001" customHeight="1" x14ac:dyDescent="0.25">
      <c r="M59" s="24"/>
    </row>
    <row r="60" spans="4:13" ht="20.100000000000001" customHeight="1" x14ac:dyDescent="0.25">
      <c r="M60" s="24"/>
    </row>
    <row r="61" spans="4:13" ht="20.100000000000001" customHeight="1" x14ac:dyDescent="0.25">
      <c r="D61" s="6" t="str" cm="1">
        <f t="array" ref="D61">SourceData_Feedlot.SourceData_Feedlot_DietProperties_Title()</f>
        <v>Beef feedlot cattle - Diet properties</v>
      </c>
      <c r="M61" s="24"/>
    </row>
    <row r="62" spans="4:13" ht="20.100000000000001" customHeight="1" x14ac:dyDescent="0.25">
      <c r="D62" s="5" t="str" cm="1">
        <f t="array" ref="D62">SourceData_Feedlot.SourceData_Feedlot_DietProperties_Source()</f>
        <v>VEERG 2026: Table A.1.1.3: Beef feedlot cattle - Diet properties</v>
      </c>
      <c r="M62" s="24"/>
    </row>
    <row r="63" spans="4:13" ht="20.100000000000001" customHeight="1" x14ac:dyDescent="0.25">
      <c r="D63" s="53" t="str" cm="1">
        <f t="array" ref="D63:D65">SourceData_Feedlot.SourceData_Feedlot_DietProperties_Variation()</f>
        <v>VARIATION ON SOURCE:</v>
      </c>
      <c r="M63" s="24"/>
    </row>
    <row r="64" spans="4:13" ht="20.100000000000001" customHeight="1" x14ac:dyDescent="0.25">
      <c r="D64" s="53" t="str">
        <v>Added 'Converted to fraction column and converted NDF and Ether extract values to fractions.</v>
      </c>
      <c r="M64" s="24"/>
    </row>
    <row r="65" spans="4:13" ht="20.100000000000001" customHeight="1" x14ac:dyDescent="0.25">
      <c r="D65" s="53" t="str">
        <v>Moved feedlot types to a separate column to aid lookup.</v>
      </c>
      <c r="M65" s="24"/>
    </row>
    <row r="66" spans="4:13" ht="20.100000000000001" customHeight="1" x14ac:dyDescent="0.25">
      <c r="D66" s="37" t="s">
        <v>88</v>
      </c>
      <c r="E66" s="37" t="s">
        <v>89</v>
      </c>
      <c r="F66" s="37" t="s">
        <v>10</v>
      </c>
      <c r="G66" s="37" t="s">
        <v>90</v>
      </c>
      <c r="H66" s="37" t="s">
        <v>91</v>
      </c>
      <c r="I66" s="37" t="s">
        <v>92</v>
      </c>
      <c r="J66" s="37" t="s">
        <v>97</v>
      </c>
      <c r="M66" s="24"/>
    </row>
    <row r="67" spans="4:13" ht="20.100000000000001" customHeight="1" x14ac:dyDescent="0.25">
      <c r="D67" s="37" t="str" cm="1">
        <f t="array" ref="D67">Common_InputFunctions.Utility_DisplayArrayInTable(SourceData_Feedlot.SourceData_Feedlot_DietProperties_Data(), Table_SourceData_Feedlot_DietProperties[[#Headers],[Feedlot type]], 0)</f>
        <v>Domestic</v>
      </c>
      <c r="E67" s="37" t="str" cm="1">
        <f t="array" ref="E67">Common_InputFunctions.Utility_DisplayArrayInTable(SourceData_Feedlot.SourceData_Feedlot_DietProperties_Data(), Table_SourceData_Feedlot_DietProperties[[#Headers],[Feedlot type]], 0)</f>
        <v>Dry matter digestibility</v>
      </c>
      <c r="F67" s="37" t="str" cm="1">
        <f t="array" ref="F67">Common_InputFunctions.Utility_DisplayArrayInTable(SourceData_Feedlot.SourceData_Feedlot_DietProperties_Data(), Table_SourceData_Feedlot_DietProperties[[#Headers],[Feedlot type]], 0)</f>
        <v>fraction</v>
      </c>
      <c r="G67" s="37" cm="1">
        <f t="array" ref="G67">Common_InputFunctions.Utility_DisplayArrayInTable(SourceData_Feedlot.SourceData_Feedlot_DietProperties_Data(), Table_SourceData_Feedlot_DietProperties[[#Headers],[Feedlot type]], 0)</f>
        <v>0.81</v>
      </c>
      <c r="H67" s="37" cm="1">
        <f t="array" ref="H67">Common_InputFunctions.Utility_DisplayArrayInTable(SourceData_Feedlot.SourceData_Feedlot_DietProperties_Data(), Table_SourceData_Feedlot_DietProperties[[#Headers],[Feedlot type]], 0)</f>
        <v>0.81</v>
      </c>
      <c r="I67" s="37" cm="1">
        <f t="array" ref="I67">Common_InputFunctions.Utility_DisplayArrayInTable(SourceData_Feedlot.SourceData_Feedlot_DietProperties_Data(), Table_SourceData_Feedlot_DietProperties[[#Headers],[Feedlot type]], 0)</f>
        <v>0.81</v>
      </c>
      <c r="J67" s="37" cm="1">
        <f t="array" ref="J67">Common_InputFunctions.Utility_DisplayArrayInTable(SourceData_Feedlot.SourceData_Feedlot_DietProperties_Data(), Table_SourceData_Feedlot_DietProperties[[#Headers],[Feedlot type]], 0)</f>
        <v>0.81</v>
      </c>
      <c r="M67" s="24"/>
    </row>
    <row r="68" spans="4:13" ht="20.100000000000001" customHeight="1" x14ac:dyDescent="0.25">
      <c r="D68" s="1" t="str" cm="1">
        <f t="array" ref="D68">Common_InputFunctions.Utility_DisplayArrayInTable(SourceData_Feedlot.SourceData_Feedlot_DietProperties_Data(), Table_SourceData_Feedlot_DietProperties[[#Headers],[Feedlot type]], 0)</f>
        <v>Domestic</v>
      </c>
      <c r="E68" s="37" t="str" cm="1">
        <f t="array" ref="E68">Common_InputFunctions.Utility_DisplayArrayInTable(SourceData_Feedlot.SourceData_Feedlot_DietProperties_Data(), Table_SourceData_Feedlot_DietProperties[[#Headers],[Feedlot type]], 0)</f>
        <v>Crude protein</v>
      </c>
      <c r="F68" s="37" t="str" cm="1">
        <f t="array" ref="F68">Common_InputFunctions.Utility_DisplayArrayInTable(SourceData_Feedlot.SourceData_Feedlot_DietProperties_Data(), Table_SourceData_Feedlot_DietProperties[[#Headers],[Feedlot type]], 0)</f>
        <v>fraction</v>
      </c>
      <c r="G68" s="37" cm="1">
        <f t="array" ref="G68">Common_InputFunctions.Utility_DisplayArrayInTable(SourceData_Feedlot.SourceData_Feedlot_DietProperties_Data(), Table_SourceData_Feedlot_DietProperties[[#Headers],[Feedlot type]], 0)</f>
        <v>0.14000000000000001</v>
      </c>
      <c r="H68" s="37" cm="1">
        <f t="array" ref="H68">Common_InputFunctions.Utility_DisplayArrayInTable(SourceData_Feedlot.SourceData_Feedlot_DietProperties_Data(), Table_SourceData_Feedlot_DietProperties[[#Headers],[Feedlot type]], 0)</f>
        <v>0.14000000000000001</v>
      </c>
      <c r="I68" s="37" cm="1">
        <f t="array" ref="I68">Common_InputFunctions.Utility_DisplayArrayInTable(SourceData_Feedlot.SourceData_Feedlot_DietProperties_Data(), Table_SourceData_Feedlot_DietProperties[[#Headers],[Feedlot type]], 0)</f>
        <v>0.14000000000000001</v>
      </c>
      <c r="J68" s="37" cm="1">
        <f t="array" ref="J68">Common_InputFunctions.Utility_DisplayArrayInTable(SourceData_Feedlot.SourceData_Feedlot_DietProperties_Data(), Table_SourceData_Feedlot_DietProperties[[#Headers],[Feedlot type]], 0)</f>
        <v>0.14000000000000001</v>
      </c>
      <c r="M68" s="24"/>
    </row>
    <row r="69" spans="4:13" ht="20.100000000000001" customHeight="1" x14ac:dyDescent="0.25">
      <c r="D69" s="1" t="str" cm="1">
        <f t="array" ref="D69">Common_InputFunctions.Utility_DisplayArrayInTable(SourceData_Feedlot.SourceData_Feedlot_DietProperties_Data(), Table_SourceData_Feedlot_DietProperties[[#Headers],[Feedlot type]], 0)</f>
        <v>Domestic</v>
      </c>
      <c r="E69" s="37" t="str" cm="1">
        <f t="array" ref="E69">Common_InputFunctions.Utility_DisplayArrayInTable(SourceData_Feedlot.SourceData_Feedlot_DietProperties_Data(), Table_SourceData_Feedlot_DietProperties[[#Headers],[Feedlot type]], 0)</f>
        <v>NDF</v>
      </c>
      <c r="F69" s="37" t="str" cm="1">
        <f t="array" ref="F69">Common_InputFunctions.Utility_DisplayArrayInTable(SourceData_Feedlot.SourceData_Feedlot_DietProperties_Data(), Table_SourceData_Feedlot_DietProperties[[#Headers],[Feedlot type]], 0)</f>
        <v>per cent</v>
      </c>
      <c r="G69" s="37" cm="1">
        <f t="array" ref="G69">Common_InputFunctions.Utility_DisplayArrayInTable(SourceData_Feedlot.SourceData_Feedlot_DietProperties_Data(), Table_SourceData_Feedlot_DietProperties[[#Headers],[Feedlot type]], 0)</f>
        <v>23</v>
      </c>
      <c r="H69" s="37" cm="1">
        <f t="array" ref="H69">Common_InputFunctions.Utility_DisplayArrayInTable(SourceData_Feedlot.SourceData_Feedlot_DietProperties_Data(), Table_SourceData_Feedlot_DietProperties[[#Headers],[Feedlot type]], 0)</f>
        <v>22</v>
      </c>
      <c r="I69" s="37" cm="1">
        <f t="array" ref="I69">Common_InputFunctions.Utility_DisplayArrayInTable(SourceData_Feedlot.SourceData_Feedlot_DietProperties_Data(), Table_SourceData_Feedlot_DietProperties[[#Headers],[Feedlot type]], 0)</f>
        <v>22</v>
      </c>
      <c r="J69" s="37" cm="1">
        <f t="array" ref="J69">Common_InputFunctions.Utility_DisplayArrayInTable(SourceData_Feedlot.SourceData_Feedlot_DietProperties_Data(), Table_SourceData_Feedlot_DietProperties[[#Headers],[Feedlot type]], 0)</f>
        <v>22</v>
      </c>
      <c r="M69" s="24"/>
    </row>
    <row r="70" spans="4:13" ht="20.100000000000001" customHeight="1" x14ac:dyDescent="0.25">
      <c r="D70" s="1" t="str" cm="1">
        <f t="array" ref="D70">Common_InputFunctions.Utility_DisplayArrayInTable(SourceData_Feedlot.SourceData_Feedlot_DietProperties_Data(), Table_SourceData_Feedlot_DietProperties[[#Headers],[Feedlot type]], 0)</f>
        <v>Domestic</v>
      </c>
      <c r="E70" s="37" t="str" cm="1">
        <f t="array" ref="E70">Common_InputFunctions.Utility_DisplayArrayInTable(SourceData_Feedlot.SourceData_Feedlot_DietProperties_Data(), Table_SourceData_Feedlot_DietProperties[[#Headers],[Feedlot type]], 0)</f>
        <v>Ether Extract</v>
      </c>
      <c r="F70" s="37" t="str" cm="1">
        <f t="array" ref="F70">Common_InputFunctions.Utility_DisplayArrayInTable(SourceData_Feedlot.SourceData_Feedlot_DietProperties_Data(), Table_SourceData_Feedlot_DietProperties[[#Headers],[Feedlot type]], 0)</f>
        <v>per cent</v>
      </c>
      <c r="G70" s="37" cm="1">
        <f t="array" ref="G70">Common_InputFunctions.Utility_DisplayArrayInTable(SourceData_Feedlot.SourceData_Feedlot_DietProperties_Data(), Table_SourceData_Feedlot_DietProperties[[#Headers],[Feedlot type]], 0)</f>
        <v>4.5</v>
      </c>
      <c r="H70" s="37" cm="1">
        <f t="array" ref="H70">Common_InputFunctions.Utility_DisplayArrayInTable(SourceData_Feedlot.SourceData_Feedlot_DietProperties_Data(), Table_SourceData_Feedlot_DietProperties[[#Headers],[Feedlot type]], 0)</f>
        <v>4.5</v>
      </c>
      <c r="I70" s="37" cm="1">
        <f t="array" ref="I70">Common_InputFunctions.Utility_DisplayArrayInTable(SourceData_Feedlot.SourceData_Feedlot_DietProperties_Data(), Table_SourceData_Feedlot_DietProperties[[#Headers],[Feedlot type]], 0)</f>
        <v>4.8</v>
      </c>
      <c r="J70" s="37" cm="1">
        <f t="array" ref="J70">Common_InputFunctions.Utility_DisplayArrayInTable(SourceData_Feedlot.SourceData_Feedlot_DietProperties_Data(), Table_SourceData_Feedlot_DietProperties[[#Headers],[Feedlot type]], 0)</f>
        <v>4.8</v>
      </c>
      <c r="M70" s="24"/>
    </row>
    <row r="71" spans="4:13" ht="20.100000000000001" customHeight="1" x14ac:dyDescent="0.25">
      <c r="D71" s="1" t="str" cm="1">
        <f t="array" ref="D71">Common_InputFunctions.Utility_DisplayArrayInTable(SourceData_Feedlot.SourceData_Feedlot_DietProperties_Data(), Table_SourceData_Feedlot_DietProperties[[#Headers],[Feedlot type]], 0)</f>
        <v>Mid-fed</v>
      </c>
      <c r="E71" s="37" t="str" cm="1">
        <f t="array" ref="E71">Common_InputFunctions.Utility_DisplayArrayInTable(SourceData_Feedlot.SourceData_Feedlot_DietProperties_Data(), Table_SourceData_Feedlot_DietProperties[[#Headers],[Feedlot type]], 0)</f>
        <v>Dry matter digestibility</v>
      </c>
      <c r="F71" s="37" t="str" cm="1">
        <f t="array" ref="F71">Common_InputFunctions.Utility_DisplayArrayInTable(SourceData_Feedlot.SourceData_Feedlot_DietProperties_Data(), Table_SourceData_Feedlot_DietProperties[[#Headers],[Feedlot type]], 0)</f>
        <v>fraction</v>
      </c>
      <c r="G71" s="37" cm="1">
        <f t="array" ref="G71">Common_InputFunctions.Utility_DisplayArrayInTable(SourceData_Feedlot.SourceData_Feedlot_DietProperties_Data(), Table_SourceData_Feedlot_DietProperties[[#Headers],[Feedlot type]], 0)</f>
        <v>0.81</v>
      </c>
      <c r="H71" s="37" cm="1">
        <f t="array" ref="H71">Common_InputFunctions.Utility_DisplayArrayInTable(SourceData_Feedlot.SourceData_Feedlot_DietProperties_Data(), Table_SourceData_Feedlot_DietProperties[[#Headers],[Feedlot type]], 0)</f>
        <v>0.81</v>
      </c>
      <c r="I71" s="37" cm="1">
        <f t="array" ref="I71">Common_InputFunctions.Utility_DisplayArrayInTable(SourceData_Feedlot.SourceData_Feedlot_DietProperties_Data(), Table_SourceData_Feedlot_DietProperties[[#Headers],[Feedlot type]], 0)</f>
        <v>0.81</v>
      </c>
      <c r="J71" s="37" cm="1">
        <f t="array" ref="J71">Common_InputFunctions.Utility_DisplayArrayInTable(SourceData_Feedlot.SourceData_Feedlot_DietProperties_Data(), Table_SourceData_Feedlot_DietProperties[[#Headers],[Feedlot type]], 0)</f>
        <v>0.81</v>
      </c>
      <c r="M71" s="24"/>
    </row>
    <row r="72" spans="4:13" ht="20.100000000000001" customHeight="1" x14ac:dyDescent="0.25">
      <c r="D72" s="1" t="str" cm="1">
        <f t="array" ref="D72">Common_InputFunctions.Utility_DisplayArrayInTable(SourceData_Feedlot.SourceData_Feedlot_DietProperties_Data(), Table_SourceData_Feedlot_DietProperties[[#Headers],[Feedlot type]], 0)</f>
        <v>Mid-fed</v>
      </c>
      <c r="E72" s="37" t="str" cm="1">
        <f t="array" ref="E72">Common_InputFunctions.Utility_DisplayArrayInTable(SourceData_Feedlot.SourceData_Feedlot_DietProperties_Data(), Table_SourceData_Feedlot_DietProperties[[#Headers],[Feedlot type]], 0)</f>
        <v>Crude protein</v>
      </c>
      <c r="F72" s="37" t="str" cm="1">
        <f t="array" ref="F72">Common_InputFunctions.Utility_DisplayArrayInTable(SourceData_Feedlot.SourceData_Feedlot_DietProperties_Data(), Table_SourceData_Feedlot_DietProperties[[#Headers],[Feedlot type]], 0)</f>
        <v>fraction</v>
      </c>
      <c r="G72" s="37" cm="1">
        <f t="array" ref="G72">Common_InputFunctions.Utility_DisplayArrayInTable(SourceData_Feedlot.SourceData_Feedlot_DietProperties_Data(), Table_SourceData_Feedlot_DietProperties[[#Headers],[Feedlot type]], 0)</f>
        <v>0.13</v>
      </c>
      <c r="H72" s="37" cm="1">
        <f t="array" ref="H72">Common_InputFunctions.Utility_DisplayArrayInTable(SourceData_Feedlot.SourceData_Feedlot_DietProperties_Data(), Table_SourceData_Feedlot_DietProperties[[#Headers],[Feedlot type]], 0)</f>
        <v>0.125</v>
      </c>
      <c r="I72" s="37" cm="1">
        <f t="array" ref="I72">Common_InputFunctions.Utility_DisplayArrayInTable(SourceData_Feedlot.SourceData_Feedlot_DietProperties_Data(), Table_SourceData_Feedlot_DietProperties[[#Headers],[Feedlot type]], 0)</f>
        <v>0.12</v>
      </c>
      <c r="J72" s="37" cm="1">
        <f t="array" ref="J72">Common_InputFunctions.Utility_DisplayArrayInTable(SourceData_Feedlot.SourceData_Feedlot_DietProperties_Data(), Table_SourceData_Feedlot_DietProperties[[#Headers],[Feedlot type]], 0)</f>
        <v>0.12</v>
      </c>
      <c r="M72" s="24"/>
    </row>
    <row r="73" spans="4:13" ht="20.100000000000001" customHeight="1" x14ac:dyDescent="0.25">
      <c r="D73" s="1" t="str" cm="1">
        <f t="array" ref="D73">Common_InputFunctions.Utility_DisplayArrayInTable(SourceData_Feedlot.SourceData_Feedlot_DietProperties_Data(), Table_SourceData_Feedlot_DietProperties[[#Headers],[Feedlot type]], 0)</f>
        <v>Mid-fed</v>
      </c>
      <c r="E73" s="37" t="str" cm="1">
        <f t="array" ref="E73">Common_InputFunctions.Utility_DisplayArrayInTable(SourceData_Feedlot.SourceData_Feedlot_DietProperties_Data(), Table_SourceData_Feedlot_DietProperties[[#Headers],[Feedlot type]], 0)</f>
        <v>NDF</v>
      </c>
      <c r="F73" s="37" t="str" cm="1">
        <f t="array" ref="F73">Common_InputFunctions.Utility_DisplayArrayInTable(SourceData_Feedlot.SourceData_Feedlot_DietProperties_Data(), Table_SourceData_Feedlot_DietProperties[[#Headers],[Feedlot type]], 0)</f>
        <v>per cent</v>
      </c>
      <c r="G73" s="37" cm="1">
        <f t="array" ref="G73">Common_InputFunctions.Utility_DisplayArrayInTable(SourceData_Feedlot.SourceData_Feedlot_DietProperties_Data(), Table_SourceData_Feedlot_DietProperties[[#Headers],[Feedlot type]], 0)</f>
        <v>24</v>
      </c>
      <c r="H73" s="37" cm="1">
        <f t="array" ref="H73">Common_InputFunctions.Utility_DisplayArrayInTable(SourceData_Feedlot.SourceData_Feedlot_DietProperties_Data(), Table_SourceData_Feedlot_DietProperties[[#Headers],[Feedlot type]], 0)</f>
        <v>22</v>
      </c>
      <c r="I73" s="37" cm="1">
        <f t="array" ref="I73">Common_InputFunctions.Utility_DisplayArrayInTable(SourceData_Feedlot.SourceData_Feedlot_DietProperties_Data(), Table_SourceData_Feedlot_DietProperties[[#Headers],[Feedlot type]], 0)</f>
        <v>22</v>
      </c>
      <c r="J73" s="37" cm="1">
        <f t="array" ref="J73">Common_InputFunctions.Utility_DisplayArrayInTable(SourceData_Feedlot.SourceData_Feedlot_DietProperties_Data(), Table_SourceData_Feedlot_DietProperties[[#Headers],[Feedlot type]], 0)</f>
        <v>22</v>
      </c>
      <c r="M73" s="24"/>
    </row>
    <row r="74" spans="4:13" ht="20.100000000000001" customHeight="1" x14ac:dyDescent="0.25">
      <c r="D74" s="1" t="str" cm="1">
        <f t="array" ref="D74">Common_InputFunctions.Utility_DisplayArrayInTable(SourceData_Feedlot.SourceData_Feedlot_DietProperties_Data(), Table_SourceData_Feedlot_DietProperties[[#Headers],[Feedlot type]], 0)</f>
        <v>Mid-fed</v>
      </c>
      <c r="E74" s="37" t="str" cm="1">
        <f t="array" ref="E74">Common_InputFunctions.Utility_DisplayArrayInTable(SourceData_Feedlot.SourceData_Feedlot_DietProperties_Data(), Table_SourceData_Feedlot_DietProperties[[#Headers],[Feedlot type]], 0)</f>
        <v>Ether Extract</v>
      </c>
      <c r="F74" s="37" t="str" cm="1">
        <f t="array" ref="F74">Common_InputFunctions.Utility_DisplayArrayInTable(SourceData_Feedlot.SourceData_Feedlot_DietProperties_Data(), Table_SourceData_Feedlot_DietProperties[[#Headers],[Feedlot type]], 0)</f>
        <v>per cent</v>
      </c>
      <c r="G74" s="37" cm="1">
        <f t="array" ref="G74">Common_InputFunctions.Utility_DisplayArrayInTable(SourceData_Feedlot.SourceData_Feedlot_DietProperties_Data(), Table_SourceData_Feedlot_DietProperties[[#Headers],[Feedlot type]], 0)</f>
        <v>5</v>
      </c>
      <c r="H74" s="37" cm="1">
        <f t="array" ref="H74">Common_InputFunctions.Utility_DisplayArrayInTable(SourceData_Feedlot.SourceData_Feedlot_DietProperties_Data(), Table_SourceData_Feedlot_DietProperties[[#Headers],[Feedlot type]], 0)</f>
        <v>5</v>
      </c>
      <c r="I74" s="37" cm="1">
        <f t="array" ref="I74">Common_InputFunctions.Utility_DisplayArrayInTable(SourceData_Feedlot.SourceData_Feedlot_DietProperties_Data(), Table_SourceData_Feedlot_DietProperties[[#Headers],[Feedlot type]], 0)</f>
        <v>5</v>
      </c>
      <c r="J74" s="37" cm="1">
        <f t="array" ref="J74">Common_InputFunctions.Utility_DisplayArrayInTable(SourceData_Feedlot.SourceData_Feedlot_DietProperties_Data(), Table_SourceData_Feedlot_DietProperties[[#Headers],[Feedlot type]], 0)</f>
        <v>5</v>
      </c>
      <c r="M74" s="24"/>
    </row>
    <row r="75" spans="4:13" ht="20.100000000000001" customHeight="1" x14ac:dyDescent="0.25">
      <c r="D75" s="1" t="str" cm="1">
        <f t="array" ref="D75">Common_InputFunctions.Utility_DisplayArrayInTable(SourceData_Feedlot.SourceData_Feedlot_DietProperties_Data(), Table_SourceData_Feedlot_DietProperties[[#Headers],[Feedlot type]], 0)</f>
        <v>Long-Fed</v>
      </c>
      <c r="E75" s="37" t="str" cm="1">
        <f t="array" ref="E75">Common_InputFunctions.Utility_DisplayArrayInTable(SourceData_Feedlot.SourceData_Feedlot_DietProperties_Data(), Table_SourceData_Feedlot_DietProperties[[#Headers],[Feedlot type]], 0)</f>
        <v>Dry matter digestibility</v>
      </c>
      <c r="F75" s="37" t="str" cm="1">
        <f t="array" ref="F75">Common_InputFunctions.Utility_DisplayArrayInTable(SourceData_Feedlot.SourceData_Feedlot_DietProperties_Data(), Table_SourceData_Feedlot_DietProperties[[#Headers],[Feedlot type]], 0)</f>
        <v>fraction</v>
      </c>
      <c r="G75" s="37" cm="1">
        <f t="array" ref="G75">Common_InputFunctions.Utility_DisplayArrayInTable(SourceData_Feedlot.SourceData_Feedlot_DietProperties_Data(), Table_SourceData_Feedlot_DietProperties[[#Headers],[Feedlot type]], 0)</f>
        <v>0.81</v>
      </c>
      <c r="H75" s="37" cm="1">
        <f t="array" ref="H75">Common_InputFunctions.Utility_DisplayArrayInTable(SourceData_Feedlot.SourceData_Feedlot_DietProperties_Data(), Table_SourceData_Feedlot_DietProperties[[#Headers],[Feedlot type]], 0)</f>
        <v>0.81</v>
      </c>
      <c r="I75" s="37" cm="1">
        <f t="array" ref="I75">Common_InputFunctions.Utility_DisplayArrayInTable(SourceData_Feedlot.SourceData_Feedlot_DietProperties_Data(), Table_SourceData_Feedlot_DietProperties[[#Headers],[Feedlot type]], 0)</f>
        <v>0.81</v>
      </c>
      <c r="J75" s="37" cm="1">
        <f t="array" ref="J75">Common_InputFunctions.Utility_DisplayArrayInTable(SourceData_Feedlot.SourceData_Feedlot_DietProperties_Data(), Table_SourceData_Feedlot_DietProperties[[#Headers],[Feedlot type]], 0)</f>
        <v>0.81</v>
      </c>
      <c r="M75" s="24"/>
    </row>
    <row r="76" spans="4:13" ht="20.100000000000001" customHeight="1" x14ac:dyDescent="0.25">
      <c r="D76" s="1" t="str" cm="1">
        <f t="array" ref="D76">Common_InputFunctions.Utility_DisplayArrayInTable(SourceData_Feedlot.SourceData_Feedlot_DietProperties_Data(), Table_SourceData_Feedlot_DietProperties[[#Headers],[Feedlot type]], 0)</f>
        <v>Long-Fed</v>
      </c>
      <c r="E76" s="37" t="str" cm="1">
        <f t="array" ref="E76">Common_InputFunctions.Utility_DisplayArrayInTable(SourceData_Feedlot.SourceData_Feedlot_DietProperties_Data(), Table_SourceData_Feedlot_DietProperties[[#Headers],[Feedlot type]], 0)</f>
        <v>Crude protein</v>
      </c>
      <c r="F76" s="37" t="str" cm="1">
        <f t="array" ref="F76">Common_InputFunctions.Utility_DisplayArrayInTable(SourceData_Feedlot.SourceData_Feedlot_DietProperties_Data(), Table_SourceData_Feedlot_DietProperties[[#Headers],[Feedlot type]], 0)</f>
        <v>fraction</v>
      </c>
      <c r="G76" s="37" cm="1">
        <f t="array" ref="G76">Common_InputFunctions.Utility_DisplayArrayInTable(SourceData_Feedlot.SourceData_Feedlot_DietProperties_Data(), Table_SourceData_Feedlot_DietProperties[[#Headers],[Feedlot type]], 0)</f>
        <v>0.13</v>
      </c>
      <c r="H76" s="37" cm="1">
        <f t="array" ref="H76">Common_InputFunctions.Utility_DisplayArrayInTable(SourceData_Feedlot.SourceData_Feedlot_DietProperties_Data(), Table_SourceData_Feedlot_DietProperties[[#Headers],[Feedlot type]], 0)</f>
        <v>0.125</v>
      </c>
      <c r="I76" s="37" cm="1">
        <f t="array" ref="I76">Common_InputFunctions.Utility_DisplayArrayInTable(SourceData_Feedlot.SourceData_Feedlot_DietProperties_Data(), Table_SourceData_Feedlot_DietProperties[[#Headers],[Feedlot type]], 0)</f>
        <v>0.12</v>
      </c>
      <c r="J76" s="37" cm="1">
        <f t="array" ref="J76">Common_InputFunctions.Utility_DisplayArrayInTable(SourceData_Feedlot.SourceData_Feedlot_DietProperties_Data(), Table_SourceData_Feedlot_DietProperties[[#Headers],[Feedlot type]], 0)</f>
        <v>0.12</v>
      </c>
      <c r="M76" s="24"/>
    </row>
    <row r="77" spans="4:13" ht="20.100000000000001" customHeight="1" x14ac:dyDescent="0.25">
      <c r="D77" s="1" t="str" cm="1">
        <f t="array" ref="D77">Common_InputFunctions.Utility_DisplayArrayInTable(SourceData_Feedlot.SourceData_Feedlot_DietProperties_Data(), Table_SourceData_Feedlot_DietProperties[[#Headers],[Feedlot type]], 0)</f>
        <v>Long-Fed</v>
      </c>
      <c r="E77" s="37" t="str" cm="1">
        <f t="array" ref="E77">Common_InputFunctions.Utility_DisplayArrayInTable(SourceData_Feedlot.SourceData_Feedlot_DietProperties_Data(), Table_SourceData_Feedlot_DietProperties[[#Headers],[Feedlot type]], 0)</f>
        <v>NDF</v>
      </c>
      <c r="F77" s="37" t="str" cm="1">
        <f t="array" ref="F77">Common_InputFunctions.Utility_DisplayArrayInTable(SourceData_Feedlot.SourceData_Feedlot_DietProperties_Data(), Table_SourceData_Feedlot_DietProperties[[#Headers],[Feedlot type]], 0)</f>
        <v>per cent</v>
      </c>
      <c r="G77" s="37" cm="1">
        <f t="array" ref="G77">Common_InputFunctions.Utility_DisplayArrayInTable(SourceData_Feedlot.SourceData_Feedlot_DietProperties_Data(), Table_SourceData_Feedlot_DietProperties[[#Headers],[Feedlot type]], 0)</f>
        <v>24</v>
      </c>
      <c r="H77" s="37" cm="1">
        <f t="array" ref="H77">Common_InputFunctions.Utility_DisplayArrayInTable(SourceData_Feedlot.SourceData_Feedlot_DietProperties_Data(), Table_SourceData_Feedlot_DietProperties[[#Headers],[Feedlot type]], 0)</f>
        <v>24</v>
      </c>
      <c r="I77" s="37" cm="1">
        <f t="array" ref="I77">Common_InputFunctions.Utility_DisplayArrayInTable(SourceData_Feedlot.SourceData_Feedlot_DietProperties_Data(), Table_SourceData_Feedlot_DietProperties[[#Headers],[Feedlot type]], 0)</f>
        <v>24</v>
      </c>
      <c r="J77" s="37" cm="1">
        <f t="array" ref="J77">Common_InputFunctions.Utility_DisplayArrayInTable(SourceData_Feedlot.SourceData_Feedlot_DietProperties_Data(), Table_SourceData_Feedlot_DietProperties[[#Headers],[Feedlot type]], 0)</f>
        <v>24</v>
      </c>
      <c r="M77" s="24"/>
    </row>
    <row r="78" spans="4:13" ht="20.100000000000001" customHeight="1" x14ac:dyDescent="0.25">
      <c r="D78" s="1" t="str" cm="1">
        <f t="array" ref="D78">Common_InputFunctions.Utility_DisplayArrayInTable(SourceData_Feedlot.SourceData_Feedlot_DietProperties_Data(), Table_SourceData_Feedlot_DietProperties[[#Headers],[Feedlot type]], 0)</f>
        <v>Long-Fed</v>
      </c>
      <c r="E78" s="37" t="str" cm="1">
        <f t="array" ref="E78">Common_InputFunctions.Utility_DisplayArrayInTable(SourceData_Feedlot.SourceData_Feedlot_DietProperties_Data(), Table_SourceData_Feedlot_DietProperties[[#Headers],[Feedlot type]], 0)</f>
        <v>Ether Extract</v>
      </c>
      <c r="F78" s="37" t="str" cm="1">
        <f t="array" ref="F78">Common_InputFunctions.Utility_DisplayArrayInTable(SourceData_Feedlot.SourceData_Feedlot_DietProperties_Data(), Table_SourceData_Feedlot_DietProperties[[#Headers],[Feedlot type]], 0)</f>
        <v>per cent</v>
      </c>
      <c r="G78" s="37" cm="1">
        <f t="array" ref="G78">Common_InputFunctions.Utility_DisplayArrayInTable(SourceData_Feedlot.SourceData_Feedlot_DietProperties_Data(), Table_SourceData_Feedlot_DietProperties[[#Headers],[Feedlot type]], 0)</f>
        <v>5</v>
      </c>
      <c r="H78" s="37" cm="1">
        <f t="array" ref="H78">Common_InputFunctions.Utility_DisplayArrayInTable(SourceData_Feedlot.SourceData_Feedlot_DietProperties_Data(), Table_SourceData_Feedlot_DietProperties[[#Headers],[Feedlot type]], 0)</f>
        <v>5</v>
      </c>
      <c r="I78" s="37" cm="1">
        <f t="array" ref="I78">Common_InputFunctions.Utility_DisplayArrayInTable(SourceData_Feedlot.SourceData_Feedlot_DietProperties_Data(), Table_SourceData_Feedlot_DietProperties[[#Headers],[Feedlot type]], 0)</f>
        <v>5.5</v>
      </c>
      <c r="J78" s="37" cm="1">
        <f t="array" ref="J78">Common_InputFunctions.Utility_DisplayArrayInTable(SourceData_Feedlot.SourceData_Feedlot_DietProperties_Data(), Table_SourceData_Feedlot_DietProperties[[#Headers],[Feedlot type]], 0)</f>
        <v>5.5</v>
      </c>
      <c r="M78" s="24"/>
    </row>
    <row r="79" spans="4:13" ht="20.100000000000001" customHeight="1" x14ac:dyDescent="0.25">
      <c r="M79" s="24"/>
    </row>
    <row r="80" spans="4:13" ht="20.100000000000001" customHeight="1" x14ac:dyDescent="0.25">
      <c r="M80" s="24"/>
    </row>
    <row r="81" spans="4:14" ht="20.100000000000001" customHeight="1" x14ac:dyDescent="0.25">
      <c r="D81" s="6" t="str" cm="1">
        <f t="array" ref="D81">SourceData_Feedlot.SourceData_Feedlot_MCF_Title()</f>
        <v>Feedlot - MCFs</v>
      </c>
      <c r="M81" s="1"/>
    </row>
    <row r="82" spans="4:14" ht="20.100000000000001" customHeight="1" x14ac:dyDescent="0.25">
      <c r="D82" s="5" t="str" cm="1">
        <f t="array" ref="D82">SourceData_Feedlot.SourceData_Feedlot_MCF_Source()</f>
        <v>VEERG 2026: Table A.1.1.4: Beef feedlot cattle - MCFs (fraction) (MCFimT)</v>
      </c>
      <c r="M82" s="1"/>
    </row>
    <row r="83" spans="4:14" ht="20.100000000000001" customHeight="1" x14ac:dyDescent="0.25">
      <c r="D83" s="53" t="str" cm="1">
        <f t="array" ref="D83:D86">SourceData_Feedlot.SourceData_Feedlot_MCF_Variation()</f>
        <v>VARIATION ON SOURCE:</v>
      </c>
      <c r="M83" s="1"/>
    </row>
    <row r="84" spans="4:14" ht="20.100000000000001" customHeight="1" x14ac:dyDescent="0.25">
      <c r="D84" s="53" t="str">
        <v>Duplicated NSW values for ACT</v>
      </c>
      <c r="M84" s="1"/>
    </row>
    <row r="85" spans="4:14" ht="20.100000000000001" customHeight="1" x14ac:dyDescent="0.25">
      <c r="D85" s="53" t="str">
        <v>Added NT column that duplicates QLD values as per advice from source data provider.</v>
      </c>
      <c r="M85" s="1"/>
    </row>
    <row r="86" spans="4:14" ht="20.100000000000001" customHeight="1" x14ac:dyDescent="0.25">
      <c r="D86" s="53" t="str">
        <v>Added TAS column that duplicates VIC values as per advice from source data provider.</v>
      </c>
      <c r="M86" s="1"/>
    </row>
    <row r="87" spans="4:14" ht="20.100000000000001" customHeight="1" x14ac:dyDescent="0.25">
      <c r="M87" s="1"/>
    </row>
    <row r="88" spans="4:14" ht="20.100000000000001" customHeight="1" x14ac:dyDescent="0.25">
      <c r="D88" s="37" t="s">
        <v>80</v>
      </c>
      <c r="E88" s="37" t="s">
        <v>78</v>
      </c>
      <c r="F88" s="37" t="s">
        <v>63</v>
      </c>
      <c r="G88" s="37" t="s">
        <v>62</v>
      </c>
      <c r="H88" s="37" t="s">
        <v>65</v>
      </c>
      <c r="I88" s="37" t="s">
        <v>64</v>
      </c>
      <c r="J88" s="37" t="s">
        <v>66</v>
      </c>
      <c r="K88" s="37" t="s">
        <v>68</v>
      </c>
      <c r="L88" s="37" t="s">
        <v>69</v>
      </c>
      <c r="M88" s="37" t="s">
        <v>67</v>
      </c>
      <c r="N88" s="37" t="s">
        <v>76</v>
      </c>
    </row>
    <row r="89" spans="4:14" ht="20.100000000000001" customHeight="1" x14ac:dyDescent="0.25">
      <c r="D89" s="37" t="str" cm="1">
        <f t="array" ref="D89">Common_InputFunctions.Utility_DisplayArrayInTable(SourceData_Feedlot.SourceData_Feedlot_MCF_Data(), Table_SourceData_Feedlot_MCF[[#Headers],[Treatment stage T]], 0)</f>
        <v>Primary</v>
      </c>
      <c r="E89" s="37" t="str" cm="1">
        <f t="array" ref="E89">Common_InputFunctions.Utility_DisplayArrayInTable(SourceData_Feedlot.SourceData_Feedlot_MCF_Data(), Table_SourceData_Feedlot_MCF[[#Headers],[Treatment stage T]], 0)</f>
        <v>Dry lot (Feedpad)</v>
      </c>
      <c r="F89" s="37" cm="1">
        <f t="array" ref="F89">Common_InputFunctions.Utility_DisplayArrayInTable(SourceData_Feedlot.SourceData_Feedlot_MCF_Data(), Table_SourceData_Feedlot_MCF[[#Headers],[Treatment stage T]], 0)</f>
        <v>0.01</v>
      </c>
      <c r="G89" s="37" cm="1">
        <f t="array" ref="G89">Common_InputFunctions.Utility_DisplayArrayInTable(SourceData_Feedlot.SourceData_Feedlot_MCF_Data(), Table_SourceData_Feedlot_MCF[[#Headers],[Treatment stage T]], 0)</f>
        <v>0.01</v>
      </c>
      <c r="H89" s="37" cm="1">
        <f t="array" ref="H89">Common_InputFunctions.Utility_DisplayArrayInTable(SourceData_Feedlot.SourceData_Feedlot_MCF_Data(), Table_SourceData_Feedlot_MCF[[#Headers],[Treatment stage T]], 0)</f>
        <v>0.03</v>
      </c>
      <c r="I89" s="37" cm="1">
        <f t="array" ref="I89">Common_InputFunctions.Utility_DisplayArrayInTable(SourceData_Feedlot.SourceData_Feedlot_MCF_Data(), Table_SourceData_Feedlot_MCF[[#Headers],[Treatment stage T]], 0)</f>
        <v>0.03</v>
      </c>
      <c r="J89" s="37" cm="1">
        <f t="array" ref="J89">Common_InputFunctions.Utility_DisplayArrayInTable(SourceData_Feedlot.SourceData_Feedlot_MCF_Data(), Table_SourceData_Feedlot_MCF[[#Headers],[Treatment stage T]], 0)</f>
        <v>0.01</v>
      </c>
      <c r="K89" s="37" cm="1">
        <f t="array" ref="K89">Common_InputFunctions.Utility_DisplayArrayInTable(SourceData_Feedlot.SourceData_Feedlot_MCF_Data(), Table_SourceData_Feedlot_MCF[[#Headers],[Treatment stage T]], 0)</f>
        <v>0.01</v>
      </c>
      <c r="L89" s="37" cm="1">
        <f t="array" ref="L89">Common_InputFunctions.Utility_DisplayArrayInTable(SourceData_Feedlot.SourceData_Feedlot_MCF_Data(), Table_SourceData_Feedlot_MCF[[#Headers],[Treatment stage T]], 0)</f>
        <v>0.01</v>
      </c>
      <c r="M89" s="37" cm="1">
        <f t="array" ref="M89">Common_InputFunctions.Utility_DisplayArrayInTable(SourceData_Feedlot.SourceData_Feedlot_MCF_Data(), Table_SourceData_Feedlot_MCF[[#Headers],[Treatment stage T]], 0)</f>
        <v>0.01</v>
      </c>
      <c r="N89" s="37" t="str" cm="1">
        <f t="array" ref="N89">Common_InputFunctions.Utility_DisplayArrayInTable(SourceData_Feedlot.SourceData_Feedlot_MCF_Data(), Table_SourceData_Feedlot_MCF[[#Headers],[Treatment stage T]], 0)</f>
        <v>Drylot (feed pad)</v>
      </c>
    </row>
    <row r="90" spans="4:14" ht="20.100000000000001" customHeight="1" x14ac:dyDescent="0.25">
      <c r="D90" s="1" t="str" cm="1">
        <f t="array" ref="D90">Common_InputFunctions.Utility_DisplayArrayInTable(SourceData_Feedlot.SourceData_Feedlot_MCF_Data(), Table_SourceData_Feedlot_MCF[[#Headers],[Treatment stage T]], 0)</f>
        <v>Secondary</v>
      </c>
      <c r="E90" s="37" t="str" cm="1">
        <f t="array" ref="E90">Common_InputFunctions.Utility_DisplayArrayInTable(SourceData_Feedlot.SourceData_Feedlot_MCF_Data(), Table_SourceData_Feedlot_MCF[[#Headers],[Treatment stage T]], 0)</f>
        <v>Solid Storage (Stockpile)</v>
      </c>
      <c r="F90" s="37" cm="1">
        <f t="array" ref="F90">Common_InputFunctions.Utility_DisplayArrayInTable(SourceData_Feedlot.SourceData_Feedlot_MCF_Data(), Table_SourceData_Feedlot_MCF[[#Headers],[Treatment stage T]], 0)</f>
        <v>0.02</v>
      </c>
      <c r="G90" s="37" cm="1">
        <f t="array" ref="G90">Common_InputFunctions.Utility_DisplayArrayInTable(SourceData_Feedlot.SourceData_Feedlot_MCF_Data(), Table_SourceData_Feedlot_MCF[[#Headers],[Treatment stage T]], 0)</f>
        <v>0.02</v>
      </c>
      <c r="H90" s="37" cm="1">
        <f t="array" ref="H90">Common_InputFunctions.Utility_DisplayArrayInTable(SourceData_Feedlot.SourceData_Feedlot_MCF_Data(), Table_SourceData_Feedlot_MCF[[#Headers],[Treatment stage T]], 0)</f>
        <v>0.02</v>
      </c>
      <c r="I90" s="37" cm="1">
        <f t="array" ref="I90">Common_InputFunctions.Utility_DisplayArrayInTable(SourceData_Feedlot.SourceData_Feedlot_MCF_Data(), Table_SourceData_Feedlot_MCF[[#Headers],[Treatment stage T]], 0)</f>
        <v>0.02</v>
      </c>
      <c r="J90" s="37" cm="1">
        <f t="array" ref="J90">Common_InputFunctions.Utility_DisplayArrayInTable(SourceData_Feedlot.SourceData_Feedlot_MCF_Data(), Table_SourceData_Feedlot_MCF[[#Headers],[Treatment stage T]], 0)</f>
        <v>0.02</v>
      </c>
      <c r="K90" s="37" cm="1">
        <f t="array" ref="K90">Common_InputFunctions.Utility_DisplayArrayInTable(SourceData_Feedlot.SourceData_Feedlot_MCF_Data(), Table_SourceData_Feedlot_MCF[[#Headers],[Treatment stage T]], 0)</f>
        <v>0.02</v>
      </c>
      <c r="L90" s="37" cm="1">
        <f t="array" ref="L90">Common_InputFunctions.Utility_DisplayArrayInTable(SourceData_Feedlot.SourceData_Feedlot_MCF_Data(), Table_SourceData_Feedlot_MCF[[#Headers],[Treatment stage T]], 0)</f>
        <v>0.02</v>
      </c>
      <c r="M90" s="37" cm="1">
        <f t="array" ref="M90">Common_InputFunctions.Utility_DisplayArrayInTable(SourceData_Feedlot.SourceData_Feedlot_MCF_Data(), Table_SourceData_Feedlot_MCF[[#Headers],[Treatment stage T]], 0)</f>
        <v>0.02</v>
      </c>
      <c r="N90" s="37" t="str" cm="1">
        <f t="array" ref="N90">Common_InputFunctions.Utility_DisplayArrayInTable(SourceData_Feedlot.SourceData_Feedlot_MCF_Data(), Table_SourceData_Feedlot_MCF[[#Headers],[Treatment stage T]], 0)</f>
        <v>Solid storage</v>
      </c>
    </row>
    <row r="91" spans="4:14" ht="20.100000000000001" customHeight="1" x14ac:dyDescent="0.25">
      <c r="D91" s="1" t="str" cm="1">
        <f t="array" ref="D91">Common_InputFunctions.Utility_DisplayArrayInTable(SourceData_Feedlot.SourceData_Feedlot_MCF_Data(), Table_SourceData_Feedlot_MCF[[#Headers],[Treatment stage T]], 0)</f>
        <v>Secondary</v>
      </c>
      <c r="E91" s="37" t="str" cm="1">
        <f t="array" ref="E91">Common_InputFunctions.Utility_DisplayArrayInTable(SourceData_Feedlot.SourceData_Feedlot_MCF_Data(), Table_SourceData_Feedlot_MCF[[#Headers],[Treatment stage T]], 0)</f>
        <v>Composting (Passive Windrow)</v>
      </c>
      <c r="F91" s="37" cm="1">
        <f t="array" ref="F91">Common_InputFunctions.Utility_DisplayArrayInTable(SourceData_Feedlot.SourceData_Feedlot_MCF_Data(), Table_SourceData_Feedlot_MCF[[#Headers],[Treatment stage T]], 0)</f>
        <v>0.01</v>
      </c>
      <c r="G91" s="37" cm="1">
        <f t="array" ref="G91">Common_InputFunctions.Utility_DisplayArrayInTable(SourceData_Feedlot.SourceData_Feedlot_MCF_Data(), Table_SourceData_Feedlot_MCF[[#Headers],[Treatment stage T]], 0)</f>
        <v>0.01</v>
      </c>
      <c r="H91" s="37" cm="1">
        <f t="array" ref="H91">Common_InputFunctions.Utility_DisplayArrayInTable(SourceData_Feedlot.SourceData_Feedlot_MCF_Data(), Table_SourceData_Feedlot_MCF[[#Headers],[Treatment stage T]], 0)</f>
        <v>0.01</v>
      </c>
      <c r="I91" s="37" cm="1">
        <f t="array" ref="I91">Common_InputFunctions.Utility_DisplayArrayInTable(SourceData_Feedlot.SourceData_Feedlot_MCF_Data(), Table_SourceData_Feedlot_MCF[[#Headers],[Treatment stage T]], 0)</f>
        <v>0.01</v>
      </c>
      <c r="J91" s="37" cm="1">
        <f t="array" ref="J91">Common_InputFunctions.Utility_DisplayArrayInTable(SourceData_Feedlot.SourceData_Feedlot_MCF_Data(), Table_SourceData_Feedlot_MCF[[#Headers],[Treatment stage T]], 0)</f>
        <v>0.01</v>
      </c>
      <c r="K91" s="37" cm="1">
        <f t="array" ref="K91">Common_InputFunctions.Utility_DisplayArrayInTable(SourceData_Feedlot.SourceData_Feedlot_MCF_Data(), Table_SourceData_Feedlot_MCF[[#Headers],[Treatment stage T]], 0)</f>
        <v>0.01</v>
      </c>
      <c r="L91" s="37" cm="1">
        <f t="array" ref="L91">Common_InputFunctions.Utility_DisplayArrayInTable(SourceData_Feedlot.SourceData_Feedlot_MCF_Data(), Table_SourceData_Feedlot_MCF[[#Headers],[Treatment stage T]], 0)</f>
        <v>0.01</v>
      </c>
      <c r="M91" s="37" cm="1">
        <f t="array" ref="M91">Common_InputFunctions.Utility_DisplayArrayInTable(SourceData_Feedlot.SourceData_Feedlot_MCF_Data(), Table_SourceData_Feedlot_MCF[[#Headers],[Treatment stage T]], 0)</f>
        <v>0.01</v>
      </c>
      <c r="N91" s="37" t="str" cm="1">
        <f t="array" ref="N91">Common_InputFunctions.Utility_DisplayArrayInTable(SourceData_Feedlot.SourceData_Feedlot_MCF_Data(), Table_SourceData_Feedlot_MCF[[#Headers],[Treatment stage T]], 0)</f>
        <v>Composting (passive windrow)</v>
      </c>
    </row>
    <row r="92" spans="4:14" ht="20.100000000000001" customHeight="1" x14ac:dyDescent="0.25">
      <c r="D92" s="1" t="str" cm="1">
        <f t="array" ref="D92">Common_InputFunctions.Utility_DisplayArrayInTable(SourceData_Feedlot.SourceData_Feedlot_MCF_Data(), Table_SourceData_Feedlot_MCF[[#Headers],[Treatment stage T]], 0)</f>
        <v>Secondary</v>
      </c>
      <c r="E92" s="37" t="str" cm="1">
        <f t="array" ref="E92">Common_InputFunctions.Utility_DisplayArrayInTable(SourceData_Feedlot.SourceData_Feedlot_MCF_Data(), Table_SourceData_Feedlot_MCF[[#Headers],[Treatment stage T]], 0)</f>
        <v>Direct Application to soil</v>
      </c>
      <c r="F92" s="37" cm="1">
        <f t="array" ref="F92">Common_InputFunctions.Utility_DisplayArrayInTable(SourceData_Feedlot.SourceData_Feedlot_MCF_Data(), Table_SourceData_Feedlot_MCF[[#Headers],[Treatment stage T]], 0)</f>
        <v>0</v>
      </c>
      <c r="G92" s="37" cm="1">
        <f t="array" ref="G92">Common_InputFunctions.Utility_DisplayArrayInTable(SourceData_Feedlot.SourceData_Feedlot_MCF_Data(), Table_SourceData_Feedlot_MCF[[#Headers],[Treatment stage T]], 0)</f>
        <v>0</v>
      </c>
      <c r="H92" s="37" cm="1">
        <f t="array" ref="H92">Common_InputFunctions.Utility_DisplayArrayInTable(SourceData_Feedlot.SourceData_Feedlot_MCF_Data(), Table_SourceData_Feedlot_MCF[[#Headers],[Treatment stage T]], 0)</f>
        <v>0</v>
      </c>
      <c r="I92" s="37" cm="1">
        <f t="array" ref="I92">Common_InputFunctions.Utility_DisplayArrayInTable(SourceData_Feedlot.SourceData_Feedlot_MCF_Data(), Table_SourceData_Feedlot_MCF[[#Headers],[Treatment stage T]], 0)</f>
        <v>0</v>
      </c>
      <c r="J92" s="37" cm="1">
        <f t="array" ref="J92">Common_InputFunctions.Utility_DisplayArrayInTable(SourceData_Feedlot.SourceData_Feedlot_MCF_Data(), Table_SourceData_Feedlot_MCF[[#Headers],[Treatment stage T]], 0)</f>
        <v>0</v>
      </c>
      <c r="K92" s="37" cm="1">
        <f t="array" ref="K92">Common_InputFunctions.Utility_DisplayArrayInTable(SourceData_Feedlot.SourceData_Feedlot_MCF_Data(), Table_SourceData_Feedlot_MCF[[#Headers],[Treatment stage T]], 0)</f>
        <v>0</v>
      </c>
      <c r="L92" s="37" cm="1">
        <f t="array" ref="L92">Common_InputFunctions.Utility_DisplayArrayInTable(SourceData_Feedlot.SourceData_Feedlot_MCF_Data(), Table_SourceData_Feedlot_MCF[[#Headers],[Treatment stage T]], 0)</f>
        <v>0</v>
      </c>
      <c r="M92" s="37" cm="1">
        <f t="array" ref="M92">Common_InputFunctions.Utility_DisplayArrayInTable(SourceData_Feedlot.SourceData_Feedlot_MCF_Data(), Table_SourceData_Feedlot_MCF[[#Headers],[Treatment stage T]], 0)</f>
        <v>0</v>
      </c>
      <c r="N92" s="37" t="str" cm="1">
        <f t="array" ref="N92">Common_InputFunctions.Utility_DisplayArrayInTable(SourceData_Feedlot.SourceData_Feedlot_MCF_Data(), Table_SourceData_Feedlot_MCF[[#Headers],[Treatment stage T]], 0)</f>
        <v>Direct application</v>
      </c>
    </row>
    <row r="93" spans="4:14" ht="20.100000000000001" customHeight="1" x14ac:dyDescent="0.25">
      <c r="D93" s="1" t="str" cm="1">
        <f t="array" ref="D93">Common_InputFunctions.Utility_DisplayArrayInTable(SourceData_Feedlot.SourceData_Feedlot_MCF_Data(), Table_SourceData_Feedlot_MCF[[#Headers],[Treatment stage T]], 0)</f>
        <v>Tertiary</v>
      </c>
      <c r="E93" s="37" t="str" cm="1">
        <f t="array" ref="E93">Common_InputFunctions.Utility_DisplayArrayInTable(SourceData_Feedlot.SourceData_Feedlot_MCF_Data(), Table_SourceData_Feedlot_MCF[[#Headers],[Treatment stage T]], 0)</f>
        <v>Uncovered anaerobic lagoon (Effluent pond)</v>
      </c>
      <c r="F93" s="37" cm="1">
        <f t="array" ref="F93">Common_InputFunctions.Utility_DisplayArrayInTable(SourceData_Feedlot.SourceData_Feedlot_MCF_Data(), Table_SourceData_Feedlot_MCF[[#Headers],[Treatment stage T]], 0)</f>
        <v>0.75</v>
      </c>
      <c r="G93" s="37" cm="1">
        <f t="array" ref="G93">Common_InputFunctions.Utility_DisplayArrayInTable(SourceData_Feedlot.SourceData_Feedlot_MCF_Data(), Table_SourceData_Feedlot_MCF[[#Headers],[Treatment stage T]], 0)</f>
        <v>0.75</v>
      </c>
      <c r="H93" s="37" cm="1">
        <f t="array" ref="H93">Common_InputFunctions.Utility_DisplayArrayInTable(SourceData_Feedlot.SourceData_Feedlot_MCF_Data(), Table_SourceData_Feedlot_MCF[[#Headers],[Treatment stage T]], 0)</f>
        <v>0.77</v>
      </c>
      <c r="I93" s="37" cm="1">
        <f t="array" ref="I93">Common_InputFunctions.Utility_DisplayArrayInTable(SourceData_Feedlot.SourceData_Feedlot_MCF_Data(), Table_SourceData_Feedlot_MCF[[#Headers],[Treatment stage T]], 0)</f>
        <v>0.77</v>
      </c>
      <c r="J93" s="37" cm="1">
        <f t="array" ref="J93">Common_InputFunctions.Utility_DisplayArrayInTable(SourceData_Feedlot.SourceData_Feedlot_MCF_Data(), Table_SourceData_Feedlot_MCF[[#Headers],[Treatment stage T]], 0)</f>
        <v>0.75</v>
      </c>
      <c r="K93" s="37" cm="1">
        <f t="array" ref="K93">Common_InputFunctions.Utility_DisplayArrayInTable(SourceData_Feedlot.SourceData_Feedlot_MCF_Data(), Table_SourceData_Feedlot_MCF[[#Headers],[Treatment stage T]], 0)</f>
        <v>0.75</v>
      </c>
      <c r="L93" s="37" cm="1">
        <f t="array" ref="L93">Common_InputFunctions.Utility_DisplayArrayInTable(SourceData_Feedlot.SourceData_Feedlot_MCF_Data(), Table_SourceData_Feedlot_MCF[[#Headers],[Treatment stage T]], 0)</f>
        <v>0.77</v>
      </c>
      <c r="M93" s="37" cm="1">
        <f t="array" ref="M93">Common_InputFunctions.Utility_DisplayArrayInTable(SourceData_Feedlot.SourceData_Feedlot_MCF_Data(), Table_SourceData_Feedlot_MCF[[#Headers],[Treatment stage T]], 0)</f>
        <v>0.75</v>
      </c>
      <c r="N93" s="37" t="str" cm="1">
        <f t="array" ref="N93">Common_InputFunctions.Utility_DisplayArrayInTable(SourceData_Feedlot.SourceData_Feedlot_MCF_Data(), Table_SourceData_Feedlot_MCF[[#Headers],[Treatment stage T]], 0)</f>
        <v>Anaerobic lagoon</v>
      </c>
    </row>
    <row r="94" spans="4:14" ht="20.100000000000001" customHeight="1" x14ac:dyDescent="0.25">
      <c r="M94" s="24"/>
    </row>
    <row r="95" spans="4:14" ht="20.100000000000001" customHeight="1" x14ac:dyDescent="0.25">
      <c r="M95" s="24"/>
    </row>
    <row r="96" spans="4:14" ht="20.100000000000001" customHeight="1" x14ac:dyDescent="0.25">
      <c r="D96" s="6" t="str" cm="1">
        <f t="array" ref="D96">SourceData_Feedlot.SourceData_Feedlot_NitrousOxideEFs_Title()</f>
        <v>Feedlot - Nitrous oxide EFs</v>
      </c>
      <c r="M96" s="24"/>
    </row>
    <row r="97" spans="4:14" ht="20.100000000000001" customHeight="1" x14ac:dyDescent="0.25">
      <c r="D97" s="5" t="str" cm="1">
        <f t="array" ref="D97">SourceData_Feedlot.SourceData_Feedlot_NitrousOxideEFs_Source()</f>
        <v>VEERG 2026: Table A.1.1.5: Beef feedlot cattle - Nitrous oxide EFs (EFmT)</v>
      </c>
      <c r="M97" s="24"/>
    </row>
    <row r="98" spans="4:14" ht="20.100000000000001" customHeight="1" x14ac:dyDescent="0.25">
      <c r="D98" s="53" t="str" cm="1">
        <f t="array" ref="D98:D99">SourceData_Feedlot.SourceData_Feedlot_NitrousOxideEFs_Variation()</f>
        <v>VARIATION ON SOURCE:</v>
      </c>
      <c r="M98" s="24"/>
    </row>
    <row r="99" spans="4:14" ht="20.100000000000001" customHeight="1" x14ac:dyDescent="0.25">
      <c r="D99" s="53" t="str">
        <v>Added 'NIR definition' column with MMS names that match NIR definitions.</v>
      </c>
      <c r="M99" s="24"/>
    </row>
    <row r="100" spans="4:14" ht="20.100000000000001" customHeight="1" x14ac:dyDescent="0.25">
      <c r="D100" s="37" t="s">
        <v>80</v>
      </c>
      <c r="E100" s="37" t="s">
        <v>78</v>
      </c>
      <c r="F100" s="37" t="s">
        <v>102</v>
      </c>
      <c r="G100" s="37" t="s">
        <v>76</v>
      </c>
      <c r="M100" s="1"/>
      <c r="N100" s="24"/>
    </row>
    <row r="101" spans="4:14" ht="20.100000000000001" customHeight="1" x14ac:dyDescent="0.25">
      <c r="D101" s="37" t="str" cm="1">
        <f t="array" ref="D101">Common_InputFunctions.Utility_DisplayArrayInTable(SourceData_Feedlot.SourceData_Feedlot_NitrousOxideEFs_Data(), Table_SourceData_Feedlot_NO2EFs[[#Headers],[Treatment stage T]], 0)</f>
        <v>Primary</v>
      </c>
      <c r="E101" s="37" t="str" cm="1">
        <f t="array" ref="E101">Common_InputFunctions.Utility_DisplayArrayInTable(SourceData_Feedlot.SourceData_Feedlot_NitrousOxideEFs_Data(), Table_SourceData_Feedlot_NO2EFs[[#Headers],[Treatment stage T]], 0)</f>
        <v>Dry lot (Feedpad)</v>
      </c>
      <c r="F101" s="37" cm="1">
        <f t="array" ref="F101">Common_InputFunctions.Utility_DisplayArrayInTable(SourceData_Feedlot.SourceData_Feedlot_NitrousOxideEFs_Data(), Table_SourceData_Feedlot_NO2EFs[[#Headers],[Treatment stage T]], 0)</f>
        <v>5.4000000000000003E-3</v>
      </c>
      <c r="G101" s="37" t="str" cm="1">
        <f t="array" ref="G101">Common_InputFunctions.Utility_DisplayArrayInTable(SourceData_Feedlot.SourceData_Feedlot_NitrousOxideEFs_Data(), Table_SourceData_Feedlot_NO2EFs[[#Headers],[Treatment stage T]], 0)</f>
        <v>Drylot (feed pad)</v>
      </c>
      <c r="M101" s="1"/>
      <c r="N101" s="24"/>
    </row>
    <row r="102" spans="4:14" ht="20.100000000000001" customHeight="1" x14ac:dyDescent="0.25">
      <c r="D102" s="1" t="str" cm="1">
        <f t="array" ref="D102">Common_InputFunctions.Utility_DisplayArrayInTable(SourceData_Feedlot.SourceData_Feedlot_NitrousOxideEFs_Data(), Table_SourceData_Feedlot_NO2EFs[[#Headers],[Treatment stage T]], 0)</f>
        <v>Secondary</v>
      </c>
      <c r="E102" s="37" t="str" cm="1">
        <f t="array" ref="E102">Common_InputFunctions.Utility_DisplayArrayInTable(SourceData_Feedlot.SourceData_Feedlot_NitrousOxideEFs_Data(), Table_SourceData_Feedlot_NO2EFs[[#Headers],[Treatment stage T]], 0)</f>
        <v>Solid Storage (Stockpile)</v>
      </c>
      <c r="F102" s="37" cm="1">
        <f t="array" ref="F102">Common_InputFunctions.Utility_DisplayArrayInTable(SourceData_Feedlot.SourceData_Feedlot_NitrousOxideEFs_Data(), Table_SourceData_Feedlot_NO2EFs[[#Headers],[Treatment stage T]], 0)</f>
        <v>5.0000000000000001E-3</v>
      </c>
      <c r="G102" s="37" t="str" cm="1">
        <f t="array" ref="G102">Common_InputFunctions.Utility_DisplayArrayInTable(SourceData_Feedlot.SourceData_Feedlot_NitrousOxideEFs_Data(), Table_SourceData_Feedlot_NO2EFs[[#Headers],[Treatment stage T]], 0)</f>
        <v>Solid storage</v>
      </c>
      <c r="M102" s="1"/>
      <c r="N102" s="24"/>
    </row>
    <row r="103" spans="4:14" ht="20.100000000000001" customHeight="1" x14ac:dyDescent="0.25">
      <c r="D103" s="1" t="str" cm="1">
        <f t="array" ref="D103">Common_InputFunctions.Utility_DisplayArrayInTable(SourceData_Feedlot.SourceData_Feedlot_NitrousOxideEFs_Data(), Table_SourceData_Feedlot_NO2EFs[[#Headers],[Treatment stage T]], 0)</f>
        <v>Secondary</v>
      </c>
      <c r="E103" s="37" t="str" cm="1">
        <f t="array" ref="E103">Common_InputFunctions.Utility_DisplayArrayInTable(SourceData_Feedlot.SourceData_Feedlot_NitrousOxideEFs_Data(), Table_SourceData_Feedlot_NO2EFs[[#Headers],[Treatment stage T]], 0)</f>
        <v>Composting (Passive Windrow)</v>
      </c>
      <c r="F103" s="37" cm="1">
        <f t="array" ref="F103">Common_InputFunctions.Utility_DisplayArrayInTable(SourceData_Feedlot.SourceData_Feedlot_NitrousOxideEFs_Data(), Table_SourceData_Feedlot_NO2EFs[[#Headers],[Treatment stage T]], 0)</f>
        <v>0.01</v>
      </c>
      <c r="G103" s="37" t="str" cm="1">
        <f t="array" ref="G103">Common_InputFunctions.Utility_DisplayArrayInTable(SourceData_Feedlot.SourceData_Feedlot_NitrousOxideEFs_Data(), Table_SourceData_Feedlot_NO2EFs[[#Headers],[Treatment stage T]], 0)</f>
        <v>Composting (passive windrow)</v>
      </c>
      <c r="M103" s="24"/>
    </row>
    <row r="104" spans="4:14" ht="20.100000000000001" customHeight="1" x14ac:dyDescent="0.25">
      <c r="D104" s="1" t="str" cm="1">
        <f t="array" ref="D104">Common_InputFunctions.Utility_DisplayArrayInTable(SourceData_Feedlot.SourceData_Feedlot_NitrousOxideEFs_Data(), Table_SourceData_Feedlot_NO2EFs[[#Headers],[Treatment stage T]], 0)</f>
        <v>Secondary</v>
      </c>
      <c r="E104" s="37" t="str" cm="1">
        <f t="array" ref="E104">Common_InputFunctions.Utility_DisplayArrayInTable(SourceData_Feedlot.SourceData_Feedlot_NitrousOxideEFs_Data(), Table_SourceData_Feedlot_NO2EFs[[#Headers],[Treatment stage T]], 0)</f>
        <v>Direct Application to soil</v>
      </c>
      <c r="F104" s="37" cm="1">
        <f t="array" ref="F104">Common_InputFunctions.Utility_DisplayArrayInTable(SourceData_Feedlot.SourceData_Feedlot_NitrousOxideEFs_Data(), Table_SourceData_Feedlot_NO2EFs[[#Headers],[Treatment stage T]], 0)</f>
        <v>0</v>
      </c>
      <c r="G104" s="37" t="str" cm="1">
        <f t="array" ref="G104">Common_InputFunctions.Utility_DisplayArrayInTable(SourceData_Feedlot.SourceData_Feedlot_NitrousOxideEFs_Data(), Table_SourceData_Feedlot_NO2EFs[[#Headers],[Treatment stage T]], 0)</f>
        <v>Direct application</v>
      </c>
      <c r="M104" s="24"/>
    </row>
    <row r="105" spans="4:14" ht="20.100000000000001" customHeight="1" x14ac:dyDescent="0.25">
      <c r="D105" s="1" t="str" cm="1">
        <f t="array" ref="D105">Common_InputFunctions.Utility_DisplayArrayInTable(SourceData_Feedlot.SourceData_Feedlot_NitrousOxideEFs_Data(), Table_SourceData_Feedlot_NO2EFs[[#Headers],[Treatment stage T]], 0)</f>
        <v>Tertiary</v>
      </c>
      <c r="E105" s="37" t="str" cm="1">
        <f t="array" ref="E105">Common_InputFunctions.Utility_DisplayArrayInTable(SourceData_Feedlot.SourceData_Feedlot_NitrousOxideEFs_Data(), Table_SourceData_Feedlot_NO2EFs[[#Headers],[Treatment stage T]], 0)</f>
        <v>Uncovered anaerobic lagoon (Effluent Pond)</v>
      </c>
      <c r="F105" s="37" cm="1">
        <f t="array" ref="F105">Common_InputFunctions.Utility_DisplayArrayInTable(SourceData_Feedlot.SourceData_Feedlot_NitrousOxideEFs_Data(), Table_SourceData_Feedlot_NO2EFs[[#Headers],[Treatment stage T]], 0)</f>
        <v>0</v>
      </c>
      <c r="G105" s="37" t="str" cm="1">
        <f t="array" ref="G105">Common_InputFunctions.Utility_DisplayArrayInTable(SourceData_Feedlot.SourceData_Feedlot_NitrousOxideEFs_Data(), Table_SourceData_Feedlot_NO2EFs[[#Headers],[Treatment stage T]], 0)</f>
        <v>Anaerobic lagoon</v>
      </c>
      <c r="M105" s="24"/>
    </row>
    <row r="106" spans="4:14" ht="20.100000000000001" customHeight="1" x14ac:dyDescent="0.25">
      <c r="M106" s="24"/>
    </row>
    <row r="107" spans="4:14" ht="20.100000000000001" customHeight="1" x14ac:dyDescent="0.25">
      <c r="M107" s="24"/>
    </row>
    <row r="108" spans="4:14" ht="20.100000000000001" customHeight="1" x14ac:dyDescent="0.25">
      <c r="D108" s="6" t="str" cm="1">
        <f t="array" ref="D108">SourceData_Feedlot.SourceData_Feedlot_FracNVolatilised_Title()</f>
        <v>Feedlot - Fraction of N volatilised by MMS (FracGASMmT)</v>
      </c>
      <c r="M108" s="24"/>
    </row>
    <row r="109" spans="4:14" ht="20.100000000000001" customHeight="1" x14ac:dyDescent="0.25">
      <c r="D109" s="5" t="str" cm="1">
        <f t="array" ref="D109">SourceData_Feedlot.SourceData_Feedlot_FracNVolatilised_Source()</f>
        <v>VEERG 2026: Table A.1.1.6: Beef feedlot cattle - Fraction of N volatilised by MMS (FracGASMmT)</v>
      </c>
      <c r="M109" s="24"/>
    </row>
    <row r="110" spans="4:14" ht="20.100000000000001" customHeight="1" x14ac:dyDescent="0.25">
      <c r="D110" s="53" t="str" cm="1">
        <f t="array" ref="D110:D111">SourceData_Feedlot.SourceData_Feedlot_FracNVolatilised_Variation()</f>
        <v>VARIATION ON SOURCE:</v>
      </c>
      <c r="M110" s="24"/>
    </row>
    <row r="111" spans="4:14" ht="20.100000000000001" customHeight="1" x14ac:dyDescent="0.25">
      <c r="D111" s="53" t="str">
        <v>Added 'NIR definition' column with MMS names that match NIR definitions.</v>
      </c>
      <c r="M111" s="24"/>
    </row>
    <row r="112" spans="4:14" ht="20.100000000000001" customHeight="1" x14ac:dyDescent="0.25">
      <c r="D112" s="95" t="s">
        <v>80</v>
      </c>
      <c r="E112" s="95" t="s">
        <v>78</v>
      </c>
      <c r="F112" s="95" t="s">
        <v>103</v>
      </c>
      <c r="G112" s="95" t="s">
        <v>76</v>
      </c>
      <c r="M112" s="24"/>
    </row>
    <row r="113" spans="4:22" ht="20.100000000000001" customHeight="1" x14ac:dyDescent="0.25">
      <c r="D113" s="1" t="str" cm="1">
        <f t="array" ref="D113">Common_InputFunctions.Utility_DisplayArrayInTable(SourceData_Feedlot.SourceData_Feedlot_FracNVolatilised_Data(), Table_SourceData_Feedlot_FracGASMmT[[#Headers],[Treatment stage T]], 0)</f>
        <v>Primary</v>
      </c>
      <c r="E113" s="1" t="str" cm="1">
        <f t="array" ref="E113">Common_InputFunctions.Utility_DisplayArrayInTable(SourceData_Feedlot.SourceData_Feedlot_FracNVolatilised_Data(), Table_SourceData_Feedlot_FracGASMmT[[#Headers],[Treatment stage T]], 0)</f>
        <v>Dry lot (Feedpad)</v>
      </c>
      <c r="F113" s="1" cm="1">
        <f t="array" ref="F113">Common_InputFunctions.Utility_DisplayArrayInTable(SourceData_Feedlot.SourceData_Feedlot_FracNVolatilised_Data(), Table_SourceData_Feedlot_FracGASMmT[[#Headers],[Treatment stage T]], 0)</f>
        <v>0.6</v>
      </c>
      <c r="G113" s="1" t="str" cm="1">
        <f t="array" ref="G113">Common_InputFunctions.Utility_DisplayArrayInTable(SourceData_Feedlot.SourceData_Feedlot_FracNVolatilised_Data(), Table_SourceData_Feedlot_FracGASMmT[[#Headers],[Treatment stage T]], 0)</f>
        <v>Drylot (feed pad)</v>
      </c>
      <c r="M113" s="24"/>
    </row>
    <row r="114" spans="4:22" ht="20.100000000000001" customHeight="1" x14ac:dyDescent="0.25">
      <c r="D114" s="1" t="str" cm="1">
        <f t="array" ref="D114">Common_InputFunctions.Utility_DisplayArrayInTable(SourceData_Feedlot.SourceData_Feedlot_FracNVolatilised_Data(), Table_SourceData_Feedlot_FracGASMmT[[#Headers],[Treatment stage T]], 0)</f>
        <v>Secondary</v>
      </c>
      <c r="E114" s="1" t="str" cm="1">
        <f t="array" ref="E114">Common_InputFunctions.Utility_DisplayArrayInTable(SourceData_Feedlot.SourceData_Feedlot_FracNVolatilised_Data(), Table_SourceData_Feedlot_FracGASMmT[[#Headers],[Treatment stage T]], 0)</f>
        <v>Solid Storage (Stockpile)</v>
      </c>
      <c r="F114" s="1" cm="1">
        <f t="array" ref="F114">Common_InputFunctions.Utility_DisplayArrayInTable(SourceData_Feedlot.SourceData_Feedlot_FracNVolatilised_Data(), Table_SourceData_Feedlot_FracGASMmT[[#Headers],[Treatment stage T]], 0)</f>
        <v>0.25</v>
      </c>
      <c r="G114" s="1" t="str" cm="1">
        <f t="array" ref="G114">Common_InputFunctions.Utility_DisplayArrayInTable(SourceData_Feedlot.SourceData_Feedlot_FracNVolatilised_Data(), Table_SourceData_Feedlot_FracGASMmT[[#Headers],[Treatment stage T]], 0)</f>
        <v>Solid storage</v>
      </c>
      <c r="M114" s="24"/>
    </row>
    <row r="115" spans="4:22" ht="20.100000000000001" customHeight="1" x14ac:dyDescent="0.25">
      <c r="D115" s="1" t="str" cm="1">
        <f t="array" ref="D115">Common_InputFunctions.Utility_DisplayArrayInTable(SourceData_Feedlot.SourceData_Feedlot_FracNVolatilised_Data(), Table_SourceData_Feedlot_FracGASMmT[[#Headers],[Treatment stage T]], 0)</f>
        <v>Secondary</v>
      </c>
      <c r="E115" s="1" t="str" cm="1">
        <f t="array" ref="E115">Common_InputFunctions.Utility_DisplayArrayInTable(SourceData_Feedlot.SourceData_Feedlot_FracNVolatilised_Data(), Table_SourceData_Feedlot_FracGASMmT[[#Headers],[Treatment stage T]], 0)</f>
        <v>Composting (Passive Windrow)</v>
      </c>
      <c r="F115" s="1" cm="1">
        <f t="array" ref="F115">Common_InputFunctions.Utility_DisplayArrayInTable(SourceData_Feedlot.SourceData_Feedlot_FracNVolatilised_Data(), Table_SourceData_Feedlot_FracGASMmT[[#Headers],[Treatment stage T]], 0)</f>
        <v>0.4</v>
      </c>
      <c r="G115" s="1" t="str" cm="1">
        <f t="array" ref="G115">Common_InputFunctions.Utility_DisplayArrayInTable(SourceData_Feedlot.SourceData_Feedlot_FracNVolatilised_Data(), Table_SourceData_Feedlot_FracGASMmT[[#Headers],[Treatment stage T]], 0)</f>
        <v>Composting (passive windrow)</v>
      </c>
      <c r="M115" s="24"/>
      <c r="V115" s="1"/>
    </row>
    <row r="116" spans="4:22" ht="20.100000000000001" customHeight="1" x14ac:dyDescent="0.25">
      <c r="D116" s="1" t="str" cm="1">
        <f t="array" ref="D116">Common_InputFunctions.Utility_DisplayArrayInTable(SourceData_Feedlot.SourceData_Feedlot_FracNVolatilised_Data(), Table_SourceData_Feedlot_FracGASMmT[[#Headers],[Treatment stage T]], 0)</f>
        <v>Secondary</v>
      </c>
      <c r="E116" s="1" t="str" cm="1">
        <f t="array" ref="E116">Common_InputFunctions.Utility_DisplayArrayInTable(SourceData_Feedlot.SourceData_Feedlot_FracNVolatilised_Data(), Table_SourceData_Feedlot_FracGASMmT[[#Headers],[Treatment stage T]], 0)</f>
        <v>Direct Application to soil</v>
      </c>
      <c r="F116" s="1" cm="1">
        <f t="array" ref="F116">Common_InputFunctions.Utility_DisplayArrayInTable(SourceData_Feedlot.SourceData_Feedlot_FracNVolatilised_Data(), Table_SourceData_Feedlot_FracGASMmT[[#Headers],[Treatment stage T]], 0)</f>
        <v>0</v>
      </c>
      <c r="G116" s="1" t="str" cm="1">
        <f t="array" ref="G116">Common_InputFunctions.Utility_DisplayArrayInTable(SourceData_Feedlot.SourceData_Feedlot_FracNVolatilised_Data(), Table_SourceData_Feedlot_FracGASMmT[[#Headers],[Treatment stage T]], 0)</f>
        <v>Direct application</v>
      </c>
      <c r="M116" s="24"/>
      <c r="V116" s="1"/>
    </row>
    <row r="117" spans="4:22" ht="20.100000000000001" customHeight="1" x14ac:dyDescent="0.25">
      <c r="D117" s="1" t="str" cm="1">
        <f t="array" ref="D117">Common_InputFunctions.Utility_DisplayArrayInTable(SourceData_Feedlot.SourceData_Feedlot_FracNVolatilised_Data(), Table_SourceData_Feedlot_FracGASMmT[[#Headers],[Treatment stage T]], 0)</f>
        <v>Tertiary</v>
      </c>
      <c r="E117" s="1" t="str" cm="1">
        <f t="array" ref="E117">Common_InputFunctions.Utility_DisplayArrayInTable(SourceData_Feedlot.SourceData_Feedlot_FracNVolatilised_Data(), Table_SourceData_Feedlot_FracGASMmT[[#Headers],[Treatment stage T]], 0)</f>
        <v>Uncovered anaerobic lagoon (Effluent pond)</v>
      </c>
      <c r="F117" s="1" cm="1">
        <f t="array" ref="F117">Common_InputFunctions.Utility_DisplayArrayInTable(SourceData_Feedlot.SourceData_Feedlot_FracNVolatilised_Data(), Table_SourceData_Feedlot_FracGASMmT[[#Headers],[Treatment stage T]], 0)</f>
        <v>0.35</v>
      </c>
      <c r="G117" s="1" t="str" cm="1">
        <f t="array" ref="G117">Common_InputFunctions.Utility_DisplayArrayInTable(SourceData_Feedlot.SourceData_Feedlot_FracNVolatilised_Data(), Table_SourceData_Feedlot_FracGASMmT[[#Headers],[Treatment stage T]], 0)</f>
        <v>Anaerobic lagoon</v>
      </c>
      <c r="M117" s="24"/>
      <c r="V117" s="1"/>
    </row>
    <row r="118" spans="4:22" ht="20.100000000000001" customHeight="1" x14ac:dyDescent="0.25">
      <c r="M118" s="24"/>
    </row>
    <row r="119" spans="4:22" ht="20.100000000000001" customHeight="1" x14ac:dyDescent="0.25">
      <c r="M119" s="24"/>
    </row>
    <row r="120" spans="4:22" ht="20.100000000000001" customHeight="1" x14ac:dyDescent="0.25">
      <c r="M120" s="24"/>
    </row>
    <row r="121" spans="4:22" ht="20.100000000000001" customHeight="1" x14ac:dyDescent="0.25">
      <c r="M121" s="24"/>
    </row>
    <row r="122" spans="4:22" ht="20.100000000000001" customHeight="1" x14ac:dyDescent="0.25">
      <c r="M122" s="24"/>
    </row>
    <row r="123" spans="4:22" ht="20.100000000000001" customHeight="1" x14ac:dyDescent="0.25">
      <c r="M123" s="24"/>
    </row>
    <row r="124" spans="4:22" ht="20.100000000000001" customHeight="1" x14ac:dyDescent="0.25">
      <c r="M124" s="24"/>
    </row>
    <row r="125" spans="4:22" ht="20.100000000000001" customHeight="1" x14ac:dyDescent="0.25">
      <c r="M125" s="24"/>
    </row>
    <row r="126" spans="4:22" ht="20.100000000000001" customHeight="1" x14ac:dyDescent="0.25">
      <c r="M126" s="24"/>
    </row>
    <row r="127" spans="4:22" ht="20.100000000000001" customHeight="1" x14ac:dyDescent="0.25">
      <c r="M127" s="24"/>
    </row>
    <row r="128" spans="4:22" ht="20.100000000000001" customHeight="1" x14ac:dyDescent="0.25">
      <c r="M128" s="24"/>
    </row>
    <row r="129" spans="13:13" ht="20.100000000000001" customHeight="1" x14ac:dyDescent="0.25">
      <c r="M129" s="24"/>
    </row>
    <row r="130" spans="13:13" ht="20.100000000000001" customHeight="1" x14ac:dyDescent="0.25">
      <c r="M130" s="24"/>
    </row>
    <row r="131" spans="13:13" ht="20.100000000000001" customHeight="1" x14ac:dyDescent="0.25">
      <c r="M131" s="24"/>
    </row>
    <row r="132" spans="13:13" ht="20.100000000000001" customHeight="1" x14ac:dyDescent="0.25">
      <c r="M132" s="24"/>
    </row>
    <row r="133" spans="13:13" ht="20.100000000000001" customHeight="1" x14ac:dyDescent="0.25">
      <c r="M133" s="24"/>
    </row>
    <row r="134" spans="13:13" ht="20.100000000000001" customHeight="1" x14ac:dyDescent="0.25">
      <c r="M134" s="24"/>
    </row>
    <row r="135" spans="13:13" ht="20.100000000000001" customHeight="1" x14ac:dyDescent="0.25">
      <c r="M135" s="24"/>
    </row>
    <row r="136" spans="13:13" ht="20.100000000000001" customHeight="1" x14ac:dyDescent="0.25">
      <c r="M136" s="24"/>
    </row>
    <row r="137" spans="13:13" ht="20.100000000000001" customHeight="1" x14ac:dyDescent="0.25">
      <c r="M137" s="24"/>
    </row>
    <row r="138" spans="13:13" ht="20.100000000000001" customHeight="1" x14ac:dyDescent="0.25">
      <c r="M138" s="24"/>
    </row>
    <row r="139" spans="13:13" ht="20.100000000000001" customHeight="1" x14ac:dyDescent="0.25">
      <c r="M139" s="24"/>
    </row>
    <row r="140" spans="13:13" ht="20.100000000000001" customHeight="1" x14ac:dyDescent="0.25">
      <c r="M140" s="24"/>
    </row>
    <row r="141" spans="13:13" ht="20.100000000000001" customHeight="1" x14ac:dyDescent="0.25">
      <c r="M141" s="24"/>
    </row>
    <row r="142" spans="13:13" ht="20.100000000000001" customHeight="1" x14ac:dyDescent="0.25">
      <c r="M142" s="24"/>
    </row>
    <row r="143" spans="13:13" ht="20.100000000000001" customHeight="1" x14ac:dyDescent="0.25">
      <c r="M143" s="24"/>
    </row>
    <row r="144" spans="13:13" ht="20.100000000000001" customHeight="1" x14ac:dyDescent="0.25">
      <c r="M144" s="24"/>
    </row>
    <row r="145" spans="13:13" ht="20.100000000000001" customHeight="1" x14ac:dyDescent="0.25">
      <c r="M145" s="24"/>
    </row>
    <row r="146" spans="13:13" ht="20.100000000000001" customHeight="1" x14ac:dyDescent="0.25">
      <c r="M146" s="24"/>
    </row>
    <row r="147" spans="13:13" ht="20.100000000000001" customHeight="1" x14ac:dyDescent="0.25">
      <c r="M147" s="24"/>
    </row>
    <row r="148" spans="13:13" ht="20.100000000000001" customHeight="1" x14ac:dyDescent="0.25">
      <c r="M148" s="24"/>
    </row>
    <row r="149" spans="13:13" ht="20.100000000000001" customHeight="1" x14ac:dyDescent="0.25">
      <c r="M149" s="24"/>
    </row>
    <row r="150" spans="13:13" ht="20.100000000000001" customHeight="1" x14ac:dyDescent="0.25">
      <c r="M150" s="24"/>
    </row>
    <row r="151" spans="13:13" ht="20.100000000000001" customHeight="1" x14ac:dyDescent="0.25">
      <c r="M151" s="24"/>
    </row>
    <row r="152" spans="13:13" ht="20.100000000000001" customHeight="1" x14ac:dyDescent="0.25">
      <c r="M152" s="24"/>
    </row>
    <row r="153" spans="13:13" ht="20.100000000000001" customHeight="1" x14ac:dyDescent="0.25">
      <c r="M153" s="24"/>
    </row>
    <row r="154" spans="13:13" ht="20.100000000000001" customHeight="1" x14ac:dyDescent="0.25">
      <c r="M154" s="24"/>
    </row>
    <row r="155" spans="13:13" ht="20.100000000000001" customHeight="1" x14ac:dyDescent="0.25">
      <c r="M155" s="24"/>
    </row>
    <row r="156" spans="13:13" ht="20.100000000000001" customHeight="1" x14ac:dyDescent="0.25">
      <c r="M156" s="24"/>
    </row>
    <row r="157" spans="13:13" ht="20.100000000000001" customHeight="1" x14ac:dyDescent="0.25">
      <c r="M157" s="24"/>
    </row>
    <row r="158" spans="13:13" ht="20.100000000000001" customHeight="1" x14ac:dyDescent="0.25">
      <c r="M158" s="24"/>
    </row>
    <row r="159" spans="13:13" ht="20.100000000000001" customHeight="1" x14ac:dyDescent="0.25">
      <c r="M159" s="24"/>
    </row>
    <row r="160" spans="13:13" ht="20.100000000000001" customHeight="1" x14ac:dyDescent="0.25">
      <c r="M160" s="24"/>
    </row>
    <row r="161" spans="13:13" ht="20.100000000000001" customHeight="1" x14ac:dyDescent="0.25">
      <c r="M161" s="24"/>
    </row>
    <row r="162" spans="13:13" ht="20.100000000000001" customHeight="1" x14ac:dyDescent="0.25">
      <c r="M162" s="24"/>
    </row>
    <row r="163" spans="13:13" ht="20.100000000000001" customHeight="1" x14ac:dyDescent="0.25">
      <c r="M163" s="24"/>
    </row>
    <row r="164" spans="13:13" ht="20.100000000000001" customHeight="1" x14ac:dyDescent="0.25">
      <c r="M164" s="24"/>
    </row>
    <row r="165" spans="13:13" ht="20.100000000000001" customHeight="1" x14ac:dyDescent="0.25">
      <c r="M165" s="24"/>
    </row>
    <row r="166" spans="13:13" x14ac:dyDescent="0.25">
      <c r="M166" s="24"/>
    </row>
    <row r="167" spans="13:13" x14ac:dyDescent="0.25">
      <c r="M167" s="24"/>
    </row>
    <row r="168" spans="13:13" x14ac:dyDescent="0.25">
      <c r="M168" s="24"/>
    </row>
    <row r="169" spans="13:13" x14ac:dyDescent="0.25">
      <c r="M169" s="24"/>
    </row>
    <row r="170" spans="13:13" x14ac:dyDescent="0.25">
      <c r="M170" s="24"/>
    </row>
    <row r="171" spans="13:13" x14ac:dyDescent="0.25">
      <c r="M171" s="24"/>
    </row>
    <row r="172" spans="13:13" x14ac:dyDescent="0.25">
      <c r="M172" s="24"/>
    </row>
    <row r="173" spans="13:13" x14ac:dyDescent="0.25">
      <c r="M173" s="24"/>
    </row>
    <row r="174" spans="13:13" x14ac:dyDescent="0.25">
      <c r="M174" s="24"/>
    </row>
    <row r="175" spans="13:13" x14ac:dyDescent="0.25">
      <c r="M175" s="24"/>
    </row>
    <row r="176" spans="13:13" x14ac:dyDescent="0.25">
      <c r="M176" s="24"/>
    </row>
    <row r="177" spans="13:13" x14ac:dyDescent="0.25">
      <c r="M177" s="24"/>
    </row>
    <row r="178" spans="13:13" x14ac:dyDescent="0.25">
      <c r="M178" s="24"/>
    </row>
    <row r="179" spans="13:13" x14ac:dyDescent="0.25">
      <c r="M179" s="24"/>
    </row>
    <row r="180" spans="13:13" x14ac:dyDescent="0.25">
      <c r="M180" s="24"/>
    </row>
    <row r="181" spans="13:13" x14ac:dyDescent="0.25">
      <c r="M181" s="24"/>
    </row>
    <row r="182" spans="13:13" x14ac:dyDescent="0.25">
      <c r="M182" s="24"/>
    </row>
    <row r="183" spans="13:13" x14ac:dyDescent="0.25">
      <c r="M183" s="24"/>
    </row>
    <row r="184" spans="13:13" x14ac:dyDescent="0.25">
      <c r="M184" s="24"/>
    </row>
    <row r="185" spans="13:13" x14ac:dyDescent="0.25">
      <c r="M185" s="24"/>
    </row>
    <row r="186" spans="13:13" x14ac:dyDescent="0.25">
      <c r="M186" s="24"/>
    </row>
    <row r="187" spans="13:13" x14ac:dyDescent="0.25">
      <c r="M187" s="24"/>
    </row>
    <row r="188" spans="13:13" x14ac:dyDescent="0.25">
      <c r="M188" s="24"/>
    </row>
    <row r="189" spans="13:13" x14ac:dyDescent="0.25">
      <c r="M189" s="24"/>
    </row>
    <row r="190" spans="13:13" x14ac:dyDescent="0.25">
      <c r="M190" s="24"/>
    </row>
    <row r="191" spans="13:13" x14ac:dyDescent="0.25">
      <c r="M191" s="24"/>
    </row>
    <row r="192" spans="13:13" x14ac:dyDescent="0.25">
      <c r="M192" s="24"/>
    </row>
    <row r="193" spans="13:13" x14ac:dyDescent="0.25">
      <c r="M193" s="24"/>
    </row>
    <row r="194" spans="13:13" x14ac:dyDescent="0.25">
      <c r="M194" s="24"/>
    </row>
    <row r="195" spans="13:13" x14ac:dyDescent="0.25">
      <c r="M195" s="24"/>
    </row>
    <row r="196" spans="13:13" x14ac:dyDescent="0.25">
      <c r="M196" s="24"/>
    </row>
    <row r="197" spans="13:13" x14ac:dyDescent="0.25">
      <c r="M197" s="24"/>
    </row>
    <row r="198" spans="13:13" x14ac:dyDescent="0.25">
      <c r="M198" s="24"/>
    </row>
    <row r="199" spans="13:13" x14ac:dyDescent="0.25">
      <c r="M199" s="24"/>
    </row>
    <row r="200" spans="13:13" x14ac:dyDescent="0.25">
      <c r="M200" s="24"/>
    </row>
    <row r="201" spans="13:13" x14ac:dyDescent="0.25">
      <c r="M201" s="24"/>
    </row>
    <row r="202" spans="13:13" x14ac:dyDescent="0.25">
      <c r="M202" s="24"/>
    </row>
    <row r="203" spans="13:13" x14ac:dyDescent="0.25">
      <c r="M203" s="24"/>
    </row>
    <row r="204" spans="13:13" x14ac:dyDescent="0.25">
      <c r="M204" s="24"/>
    </row>
    <row r="205" spans="13:13" x14ac:dyDescent="0.25">
      <c r="M205" s="24"/>
    </row>
    <row r="206" spans="13:13" x14ac:dyDescent="0.25">
      <c r="M206" s="24"/>
    </row>
    <row r="207" spans="13:13" x14ac:dyDescent="0.25">
      <c r="M207" s="24"/>
    </row>
    <row r="208" spans="13:13" x14ac:dyDescent="0.25">
      <c r="M208" s="24"/>
    </row>
    <row r="209" spans="13:13" x14ac:dyDescent="0.25">
      <c r="M209" s="24"/>
    </row>
    <row r="210" spans="13:13" x14ac:dyDescent="0.25">
      <c r="M210" s="24"/>
    </row>
    <row r="211" spans="13:13" x14ac:dyDescent="0.25">
      <c r="M211" s="24"/>
    </row>
    <row r="212" spans="13:13" x14ac:dyDescent="0.25">
      <c r="M212" s="24"/>
    </row>
    <row r="213" spans="13:13" x14ac:dyDescent="0.25">
      <c r="M213" s="24"/>
    </row>
    <row r="214" spans="13:13" x14ac:dyDescent="0.25">
      <c r="M214" s="24"/>
    </row>
    <row r="215" spans="13:13" x14ac:dyDescent="0.25">
      <c r="M215" s="24"/>
    </row>
    <row r="216" spans="13:13" x14ac:dyDescent="0.25">
      <c r="M216" s="24"/>
    </row>
    <row r="217" spans="13:13" x14ac:dyDescent="0.25">
      <c r="M217" s="24"/>
    </row>
    <row r="218" spans="13:13" x14ac:dyDescent="0.25">
      <c r="M218" s="24"/>
    </row>
    <row r="219" spans="13:13" x14ac:dyDescent="0.25">
      <c r="M219" s="24"/>
    </row>
    <row r="220" spans="13:13" x14ac:dyDescent="0.25">
      <c r="M220" s="24"/>
    </row>
    <row r="221" spans="13:13" x14ac:dyDescent="0.25">
      <c r="M221" s="24"/>
    </row>
    <row r="222" spans="13:13" x14ac:dyDescent="0.25">
      <c r="M222" s="24"/>
    </row>
    <row r="223" spans="13:13" x14ac:dyDescent="0.25">
      <c r="M223" s="24"/>
    </row>
    <row r="224" spans="13:13" x14ac:dyDescent="0.25">
      <c r="M224" s="24"/>
    </row>
    <row r="225" spans="13:13" x14ac:dyDescent="0.25">
      <c r="M225" s="24"/>
    </row>
    <row r="226" spans="13:13" x14ac:dyDescent="0.25">
      <c r="M226" s="24"/>
    </row>
    <row r="227" spans="13:13" x14ac:dyDescent="0.25">
      <c r="M227" s="24"/>
    </row>
    <row r="228" spans="13:13" x14ac:dyDescent="0.25">
      <c r="M228" s="24"/>
    </row>
    <row r="229" spans="13:13" x14ac:dyDescent="0.25">
      <c r="M229" s="24"/>
    </row>
    <row r="230" spans="13:13" x14ac:dyDescent="0.25">
      <c r="M230" s="24"/>
    </row>
    <row r="231" spans="13:13" x14ac:dyDescent="0.25">
      <c r="M231" s="24"/>
    </row>
    <row r="232" spans="13:13" x14ac:dyDescent="0.25">
      <c r="M232" s="24"/>
    </row>
    <row r="233" spans="13:13" x14ac:dyDescent="0.25">
      <c r="M233" s="24"/>
    </row>
    <row r="234" spans="13:13" x14ac:dyDescent="0.25">
      <c r="M234" s="24"/>
    </row>
    <row r="235" spans="13:13" x14ac:dyDescent="0.25">
      <c r="M235" s="24"/>
    </row>
    <row r="236" spans="13:13" x14ac:dyDescent="0.25">
      <c r="M236" s="24"/>
    </row>
    <row r="237" spans="13:13" x14ac:dyDescent="0.25">
      <c r="M237" s="24"/>
    </row>
    <row r="238" spans="13:13" x14ac:dyDescent="0.25">
      <c r="M238" s="24"/>
    </row>
    <row r="239" spans="13:13" x14ac:dyDescent="0.25">
      <c r="M239" s="24"/>
    </row>
    <row r="240" spans="13:13" x14ac:dyDescent="0.25">
      <c r="M240" s="24"/>
    </row>
    <row r="241" spans="13:13" x14ac:dyDescent="0.25">
      <c r="M241" s="24"/>
    </row>
    <row r="242" spans="13:13" x14ac:dyDescent="0.25">
      <c r="M242" s="24"/>
    </row>
    <row r="243" spans="13:13" x14ac:dyDescent="0.25">
      <c r="M243" s="24"/>
    </row>
    <row r="244" spans="13:13" x14ac:dyDescent="0.25">
      <c r="M244" s="24"/>
    </row>
    <row r="245" spans="13:13" x14ac:dyDescent="0.25">
      <c r="M245" s="24"/>
    </row>
    <row r="246" spans="13:13" x14ac:dyDescent="0.25">
      <c r="M246" s="24"/>
    </row>
    <row r="247" spans="13:13" x14ac:dyDescent="0.25">
      <c r="M247" s="24"/>
    </row>
    <row r="248" spans="13:13" x14ac:dyDescent="0.25">
      <c r="M248" s="24"/>
    </row>
    <row r="249" spans="13:13" x14ac:dyDescent="0.25">
      <c r="M249" s="24"/>
    </row>
    <row r="250" spans="13:13" x14ac:dyDescent="0.25">
      <c r="M250" s="24"/>
    </row>
    <row r="251" spans="13:13" x14ac:dyDescent="0.25">
      <c r="M251" s="24"/>
    </row>
    <row r="252" spans="13:13" x14ac:dyDescent="0.25">
      <c r="M252" s="24"/>
    </row>
    <row r="253" spans="13:13" x14ac:dyDescent="0.25">
      <c r="M253" s="24"/>
    </row>
    <row r="254" spans="13:13" x14ac:dyDescent="0.25">
      <c r="M254" s="24"/>
    </row>
    <row r="255" spans="13:13" x14ac:dyDescent="0.25">
      <c r="M255" s="24"/>
    </row>
    <row r="256" spans="13:13" x14ac:dyDescent="0.25">
      <c r="M256" s="24"/>
    </row>
    <row r="257" spans="13:13" x14ac:dyDescent="0.25">
      <c r="M257" s="24"/>
    </row>
    <row r="258" spans="13:13" x14ac:dyDescent="0.25">
      <c r="M258" s="24"/>
    </row>
    <row r="259" spans="13:13" x14ac:dyDescent="0.25">
      <c r="M259" s="24"/>
    </row>
    <row r="260" spans="13:13" x14ac:dyDescent="0.25">
      <c r="M260" s="24"/>
    </row>
    <row r="261" spans="13:13" x14ac:dyDescent="0.25">
      <c r="M261" s="24"/>
    </row>
    <row r="262" spans="13:13" x14ac:dyDescent="0.25">
      <c r="M262" s="24"/>
    </row>
    <row r="263" spans="13:13" x14ac:dyDescent="0.25">
      <c r="M263" s="24"/>
    </row>
    <row r="264" spans="13:13" x14ac:dyDescent="0.25">
      <c r="M264" s="24"/>
    </row>
    <row r="265" spans="13:13" x14ac:dyDescent="0.25">
      <c r="M265" s="24"/>
    </row>
    <row r="266" spans="13:13" x14ac:dyDescent="0.25">
      <c r="M266" s="24"/>
    </row>
    <row r="267" spans="13:13" x14ac:dyDescent="0.25">
      <c r="M267" s="24"/>
    </row>
    <row r="268" spans="13:13" x14ac:dyDescent="0.25">
      <c r="M268" s="24"/>
    </row>
    <row r="269" spans="13:13" x14ac:dyDescent="0.25">
      <c r="M269" s="24"/>
    </row>
    <row r="270" spans="13:13" x14ac:dyDescent="0.25">
      <c r="M270" s="24"/>
    </row>
    <row r="271" spans="13:13" x14ac:dyDescent="0.25">
      <c r="M271" s="24"/>
    </row>
    <row r="272" spans="13:13" x14ac:dyDescent="0.25">
      <c r="M272" s="24"/>
    </row>
    <row r="273" spans="13:13" x14ac:dyDescent="0.25">
      <c r="M273" s="24"/>
    </row>
    <row r="274" spans="13:13" x14ac:dyDescent="0.25">
      <c r="M274" s="24"/>
    </row>
    <row r="275" spans="13:13" x14ac:dyDescent="0.25">
      <c r="M275" s="24"/>
    </row>
    <row r="276" spans="13:13" x14ac:dyDescent="0.25">
      <c r="M276" s="24"/>
    </row>
    <row r="277" spans="13:13" x14ac:dyDescent="0.25">
      <c r="M277" s="24"/>
    </row>
    <row r="278" spans="13:13" x14ac:dyDescent="0.25">
      <c r="M278" s="24"/>
    </row>
    <row r="279" spans="13:13" x14ac:dyDescent="0.25">
      <c r="M279" s="24"/>
    </row>
    <row r="280" spans="13:13" x14ac:dyDescent="0.25">
      <c r="M280" s="24"/>
    </row>
    <row r="281" spans="13:13" x14ac:dyDescent="0.25">
      <c r="M281" s="24"/>
    </row>
    <row r="282" spans="13:13" x14ac:dyDescent="0.25">
      <c r="M282" s="24"/>
    </row>
    <row r="283" spans="13:13" x14ac:dyDescent="0.25">
      <c r="M283" s="24"/>
    </row>
    <row r="284" spans="13:13" x14ac:dyDescent="0.25">
      <c r="M284" s="24"/>
    </row>
    <row r="285" spans="13:13" x14ac:dyDescent="0.25">
      <c r="M285" s="24"/>
    </row>
    <row r="286" spans="13:13" x14ac:dyDescent="0.25">
      <c r="M286" s="24"/>
    </row>
    <row r="287" spans="13:13" x14ac:dyDescent="0.25">
      <c r="M287" s="24"/>
    </row>
    <row r="288" spans="13:13" x14ac:dyDescent="0.25">
      <c r="M288" s="24"/>
    </row>
  </sheetData>
  <pageMargins left="0.7" right="0.7" top="0.75" bottom="0.75" header="0.3" footer="0.3"/>
  <tableParts count="9">
    <tablePart r:id="rId1"/>
    <tablePart r:id="rId2"/>
    <tablePart r:id="rId3"/>
    <tablePart r:id="rId4"/>
    <tablePart r:id="rId5"/>
    <tablePart r:id="rId6"/>
    <tablePart r:id="rId7"/>
    <tablePart r:id="rId8"/>
    <tablePart r:id="rId9"/>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D75BB2-1C48-48CB-B0A9-6744D232A85A}">
  <dimension ref="A1:BY259"/>
  <sheetViews>
    <sheetView showGridLines="0" topLeftCell="A86" zoomScale="85" zoomScaleNormal="85" workbookViewId="0">
      <selection activeCell="H102" sqref="H102"/>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57</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c r="D6" s="37" t="s">
        <v>12</v>
      </c>
      <c r="E6" s="37" t="s">
        <v>13</v>
      </c>
      <c r="F6" s="37" t="s">
        <v>14</v>
      </c>
    </row>
    <row r="7" spans="1:65" ht="20.100000000000001" customHeight="1" x14ac:dyDescent="0.25">
      <c r="A7"/>
      <c r="D7" s="37" t="str" cm="1">
        <f t="array" ref="D7">Common_InputFunctions.Utility_DisplayArrayInTable(Common_SourceData.Common_SourceData_AustralianStatesTerritories_Data(),Table_AustralianStates[[#Headers],[State/Territory]],0)</f>
        <v>New South Wales</v>
      </c>
      <c r="E7" s="37" t="str" cm="1">
        <f t="array" ref="E7">Common_InputFunctions.Utility_DisplayArrayInTable(Common_SourceData.Common_SourceData_AustralianStatesTerritories_Data(),Table_AustralianStates[[#Headers],[State/Territory]],0)</f>
        <v>New South Wales</v>
      </c>
      <c r="F7" s="37" t="str" cm="1">
        <f t="array" ref="F7">Common_InputFunctions.Utility_DisplayArrayInTable(Common_SourceData.Common_SourceData_AustralianStatesTerritories_Data(),Table_AustralianStates[[#Headers],[State/Territory]],0)</f>
        <v>NSW</v>
      </c>
    </row>
    <row r="8" spans="1:65" ht="20.100000000000001" customHeight="1" x14ac:dyDescent="0.25">
      <c r="A8"/>
      <c r="D8" s="37" t="str" cm="1">
        <f t="array" ref="D8">Common_InputFunctions.Utility_DisplayArrayInTable(Common_SourceData.Common_SourceData_AustralianStatesTerritories_Data(),Table_AustralianStates[[#Headers],[State/Territory]],0)</f>
        <v>Australian Capital Territory</v>
      </c>
      <c r="E8" s="37" t="str" cm="1">
        <f t="array" ref="E8">Common_InputFunctions.Utility_DisplayArrayInTable(Common_SourceData.Common_SourceData_AustralianStatesTerritories_Data(),Table_AustralianStates[[#Headers],[State/Territory]],0)</f>
        <v>ACT</v>
      </c>
      <c r="F8" s="37" t="str" cm="1">
        <f t="array" ref="F8">Common_InputFunctions.Utility_DisplayArrayInTable(Common_SourceData.Common_SourceData_AustralianStatesTerritories_Data(),Table_AustralianStates[[#Headers],[State/Territory]],0)</f>
        <v>ACT</v>
      </c>
    </row>
    <row r="9" spans="1:65" ht="20.100000000000001" customHeight="1" x14ac:dyDescent="0.25">
      <c r="A9"/>
      <c r="D9" s="37" t="str" cm="1">
        <f t="array" ref="D9">Common_InputFunctions.Utility_DisplayArrayInTable(Common_SourceData.Common_SourceData_AustralianStatesTerritories_Data(),Table_AustralianStates[[#Headers],[State/Territory]],0)</f>
        <v>Victoria</v>
      </c>
      <c r="E9" s="37" t="str" cm="1">
        <f t="array" ref="E9">Common_InputFunctions.Utility_DisplayArrayInTable(Common_SourceData.Common_SourceData_AustralianStatesTerritories_Data(),Table_AustralianStates[[#Headers],[State/Territory]],0)</f>
        <v>Victoria</v>
      </c>
      <c r="F9" s="37"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37" t="str" cm="1">
        <f t="array" ref="D10">Common_InputFunctions.Utility_DisplayArrayInTable(Common_SourceData.Common_SourceData_AustralianStatesTerritories_Data(),Table_AustralianStates[[#Headers],[State/Territory]],0)</f>
        <v>Queensland</v>
      </c>
      <c r="E10" s="37" t="str" cm="1">
        <f t="array" ref="E10">Common_InputFunctions.Utility_DisplayArrayInTable(Common_SourceData.Common_SourceData_AustralianStatesTerritories_Data(),Table_AustralianStates[[#Headers],[State/Territory]],0)</f>
        <v>Queensland</v>
      </c>
      <c r="F10" s="37"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7" t="str" cm="1">
        <f t="array" ref="D11">Common_InputFunctions.Utility_DisplayArrayInTable(Common_SourceData.Common_SourceData_AustralianStatesTerritories_Data(),Table_AustralianStates[[#Headers],[State/Territory]],0)</f>
        <v>South Australia</v>
      </c>
      <c r="E11" s="37" t="str" cm="1">
        <f t="array" ref="E11">Common_InputFunctions.Utility_DisplayArrayInTable(Common_SourceData.Common_SourceData_AustralianStatesTerritories_Data(),Table_AustralianStates[[#Headers],[State/Territory]],0)</f>
        <v>South Australia</v>
      </c>
      <c r="F11" s="37"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7" t="str" cm="1">
        <f t="array" ref="D12">Common_InputFunctions.Utility_DisplayArrayInTable(Common_SourceData.Common_SourceData_AustralianStatesTerritories_Data(),Table_AustralianStates[[#Headers],[State/Territory]],0)</f>
        <v>Western Australia</v>
      </c>
      <c r="E12" s="37" t="str" cm="1">
        <f t="array" ref="E12">Common_InputFunctions.Utility_DisplayArrayInTable(Common_SourceData.Common_SourceData_AustralianStatesTerritories_Data(),Table_AustralianStates[[#Headers],[State/Territory]],0)</f>
        <v>Western Australia</v>
      </c>
      <c r="F12" s="37"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37" t="str" cm="1">
        <f t="array" ref="D13">Common_InputFunctions.Utility_DisplayArrayInTable(Common_SourceData.Common_SourceData_AustralianStatesTerritories_Data(),Table_AustralianStates[[#Headers],[State/Territory]],0)</f>
        <v>Tasmania</v>
      </c>
      <c r="E13" s="37" t="str" cm="1">
        <f t="array" ref="E13">Common_InputFunctions.Utility_DisplayArrayInTable(Common_SourceData.Common_SourceData_AustralianStatesTerritories_Data(),Table_AustralianStates[[#Headers],[State/Territory]],0)</f>
        <v>Tasmania</v>
      </c>
      <c r="F13" s="37"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37" t="str" cm="1">
        <f t="array" ref="D14">Common_InputFunctions.Utility_DisplayArrayInTable(Common_SourceData.Common_SourceData_AustralianStatesTerritories_Data(),Table_AustralianStates[[#Headers],[State/Territory]],0)</f>
        <v>Northern Territory</v>
      </c>
      <c r="E14" s="37" t="str" cm="1">
        <f t="array" ref="E14">Common_InputFunctions.Utility_DisplayArrayInTable(Common_SourceData.Common_SourceData_AustralianStatesTerritories_Data(),Table_AustralianStates[[#Headers],[State/Territory]],0)</f>
        <v>Northern Territory</v>
      </c>
      <c r="F14" s="37"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37" t="s">
        <v>15</v>
      </c>
    </row>
    <row r="21" spans="1:4" ht="20.100000000000001" customHeight="1" x14ac:dyDescent="0.25">
      <c r="A21"/>
      <c r="D21" s="37" t="str" cm="1">
        <f t="array" ref="D21">Common_InputFunctions.Utility_DisplayArrayInTable(Common_SourceData.Common_SourceData_WASA4Areas_Data(), Table_WASA4Areas[[#Headers],[SA 4 Name]], 0)</f>
        <v>Bunbury</v>
      </c>
    </row>
    <row r="22" spans="1:4" ht="20.100000000000001" customHeight="1" x14ac:dyDescent="0.25">
      <c r="A22"/>
      <c r="D22" s="37" t="str" cm="1">
        <f t="array" ref="D22">Common_InputFunctions.Utility_DisplayArrayInTable(Common_SourceData.Common_SourceData_WASA4Areas_Data(), Table_WASA4Areas[[#Headers],[SA 4 Name]], 0)</f>
        <v>Mandurah</v>
      </c>
    </row>
    <row r="23" spans="1:4" ht="20.100000000000001" customHeight="1" x14ac:dyDescent="0.25">
      <c r="A23"/>
      <c r="D23" s="37" t="str" cm="1">
        <f t="array" ref="D23">Common_InputFunctions.Utility_DisplayArrayInTable(Common_SourceData.Common_SourceData_WASA4Areas_Data(), Table_WASA4Areas[[#Headers],[SA 4 Name]], 0)</f>
        <v>Perth - Inner</v>
      </c>
    </row>
    <row r="24" spans="1:4" ht="20.100000000000001" customHeight="1" x14ac:dyDescent="0.25">
      <c r="A24"/>
      <c r="D24" s="37" t="str" cm="1">
        <f t="array" ref="D24">Common_InputFunctions.Utility_DisplayArrayInTable(Common_SourceData.Common_SourceData_WASA4Areas_Data(), Table_WASA4Areas[[#Headers],[SA 4 Name]], 0)</f>
        <v>Perth - North East</v>
      </c>
    </row>
    <row r="25" spans="1:4" ht="20.100000000000001" customHeight="1" x14ac:dyDescent="0.25">
      <c r="A25"/>
      <c r="D25" s="37" t="str" cm="1">
        <f t="array" ref="D25">Common_InputFunctions.Utility_DisplayArrayInTable(Common_SourceData.Common_SourceData_WASA4Areas_Data(), Table_WASA4Areas[[#Headers],[SA 4 Name]], 0)</f>
        <v>Perth - North West</v>
      </c>
    </row>
    <row r="26" spans="1:4" ht="20.100000000000001" customHeight="1" x14ac:dyDescent="0.25">
      <c r="A26"/>
      <c r="D26" s="37" t="str" cm="1">
        <f t="array" ref="D26">Common_InputFunctions.Utility_DisplayArrayInTable(Common_SourceData.Common_SourceData_WASA4Areas_Data(), Table_WASA4Areas[[#Headers],[SA 4 Name]], 0)</f>
        <v>Perth - South East</v>
      </c>
    </row>
    <row r="27" spans="1:4" ht="20.100000000000001" customHeight="1" x14ac:dyDescent="0.25">
      <c r="A27"/>
      <c r="D27" s="37" t="str" cm="1">
        <f t="array" ref="D27">Common_InputFunctions.Utility_DisplayArrayInTable(Common_SourceData.Common_SourceData_WASA4Areas_Data(), Table_WASA4Areas[[#Headers],[SA 4 Name]], 0)</f>
        <v>Perth - South West</v>
      </c>
    </row>
    <row r="28" spans="1:4" ht="20.100000000000001" customHeight="1" x14ac:dyDescent="0.25">
      <c r="A28"/>
      <c r="D28" s="37"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7"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7"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7" t="s">
        <v>17</v>
      </c>
      <c r="E36" s="37" t="s">
        <v>18</v>
      </c>
    </row>
    <row r="37" spans="1:8" ht="20.100000000000001" customHeight="1" x14ac:dyDescent="0.25">
      <c r="A37"/>
      <c r="D37" s="37" t="str" cm="1">
        <f t="array" ref="D37">Common_InputFunctions.Utility_DisplayArrayInTable(Common_SourceData.Common_SourceData_GWP_Data(), Table_GWPData[[#Headers],[Gas]], 0)</f>
        <v>CO2</v>
      </c>
      <c r="E37" s="37" cm="1">
        <f t="array" ref="E37">Common_InputFunctions.Utility_DisplayArrayInTable(Common_SourceData.Common_SourceData_GWP_Data(), Table_GWPData[[#Headers],[Gas]], 0)</f>
        <v>1</v>
      </c>
    </row>
    <row r="38" spans="1:8" ht="20.100000000000001" customHeight="1" x14ac:dyDescent="0.25">
      <c r="A38"/>
      <c r="D38" s="37" t="str" cm="1">
        <f t="array" ref="D38">Common_InputFunctions.Utility_DisplayArrayInTable(Common_SourceData.Common_SourceData_GWP_Data(), Table_GWPData[[#Headers],[Gas]], 0)</f>
        <v>CH4</v>
      </c>
      <c r="E38" s="37" cm="1">
        <f t="array" ref="E38">Common_InputFunctions.Utility_DisplayArrayInTable(Common_SourceData.Common_SourceData_GWP_Data(), Table_GWPData[[#Headers],[Gas]], 0)</f>
        <v>28</v>
      </c>
    </row>
    <row r="39" spans="1:8" ht="20.100000000000001" customHeight="1" x14ac:dyDescent="0.25">
      <c r="A39"/>
      <c r="D39" s="37" t="str" cm="1">
        <f t="array" ref="D39">Common_InputFunctions.Utility_DisplayArrayInTable(Common_SourceData.Common_SourceData_GWP_Data(), Table_GWPData[[#Headers],[Gas]], 0)</f>
        <v>N2O</v>
      </c>
      <c r="E39" s="37" cm="1">
        <f t="array" ref="E39">Common_InputFunctions.Utility_DisplayArrayInTable(Common_SourceData.Common_SourceData_GWP_Data(), Table_GWPData[[#Headers],[Gas]], 0)</f>
        <v>265</v>
      </c>
    </row>
    <row r="40" spans="1:8" ht="20.100000000000001" customHeight="1" x14ac:dyDescent="0.25">
      <c r="A40"/>
      <c r="D40" s="37" t="str" cm="1">
        <f t="array" ref="D40">Common_InputFunctions.Utility_DisplayArrayInTable(Common_SourceData.Common_SourceData_GWP_Data(), Table_GWPData[[#Headers],[Gas]], 0)</f>
        <v>CF4</v>
      </c>
      <c r="E40" s="37" cm="1">
        <f t="array" ref="E40">Common_InputFunctions.Utility_DisplayArrayInTable(Common_SourceData.Common_SourceData_GWP_Data(), Table_GWPData[[#Headers],[Gas]], 0)</f>
        <v>6630</v>
      </c>
    </row>
    <row r="41" spans="1:8" ht="20.100000000000001" customHeight="1" x14ac:dyDescent="0.25">
      <c r="A41"/>
      <c r="D41" s="37" t="str" cm="1">
        <f t="array" ref="D41">Common_InputFunctions.Utility_DisplayArrayInTable(Common_SourceData.Common_SourceData_GWP_Data(), Table_GWPData[[#Headers],[Gas]], 0)</f>
        <v>C2F6</v>
      </c>
      <c r="E41" s="37" cm="1">
        <f t="array" ref="E41">Common_InputFunctions.Utility_DisplayArrayInTable(Common_SourceData.Common_SourceData_GWP_Data(), Table_GWPData[[#Headers],[Gas]], 0)</f>
        <v>12200</v>
      </c>
    </row>
    <row r="42" spans="1:8" ht="20.100000000000001" customHeight="1" x14ac:dyDescent="0.25">
      <c r="D42" s="37" t="str" cm="1">
        <f t="array" ref="D42">Common_InputFunctions.Utility_DisplayArrayInTable(Common_SourceData.Common_SourceData_GWP_Data(), Table_GWPData[[#Headers],[Gas]], 0)</f>
        <v>SF6</v>
      </c>
      <c r="E42" s="37" cm="1">
        <f t="array" ref="E42">Common_InputFunctions.Utility_DisplayArrayInTable(Common_SourceData.Common_SourceData_GWP_Data(), Table_GWPData[[#Headers],[Gas]], 0)</f>
        <v>22800</v>
      </c>
    </row>
    <row r="43" spans="1:8" ht="20.100000000000001" customHeight="1" x14ac:dyDescent="0.25">
      <c r="D43" s="37" t="str" cm="1">
        <f t="array" ref="D43">Common_InputFunctions.Utility_DisplayArrayInTable(Common_SourceData.Common_SourceData_GWP_Data(), Table_GWPData[[#Headers],[Gas]], 0)</f>
        <v>NF3</v>
      </c>
      <c r="E43" s="37"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6" t="str" cm="1">
        <f t="array" ref="D45">Common_SourceData.Common_SourceData_ConvertGasElementalToMolecular_Title()</f>
        <v>Factor to convert elemental mass of gas to molecular mass</v>
      </c>
    </row>
    <row r="46" spans="1:8" ht="20.100000000000001" customHeight="1" x14ac:dyDescent="0.25">
      <c r="D46" s="5" t="str" cm="1">
        <f t="array" ref="D46">Common_SourceData.Common_SourceData_ConvertGasElementalToMolecular_Source()</f>
        <v>XXXXXXX</v>
      </c>
    </row>
    <row r="47" spans="1:8" ht="20.100000000000001" customHeight="1" x14ac:dyDescent="0.25">
      <c r="D47" s="37" t="s">
        <v>17</v>
      </c>
      <c r="E47" s="37" t="s">
        <v>20</v>
      </c>
      <c r="F47" s="37" t="s">
        <v>21</v>
      </c>
      <c r="G47" s="37" t="s">
        <v>22</v>
      </c>
      <c r="H47" s="37" t="s">
        <v>23</v>
      </c>
    </row>
    <row r="48" spans="1:8" ht="20.100000000000001" customHeight="1" x14ac:dyDescent="0.25">
      <c r="D48" s="37" t="str" cm="1">
        <f t="array" ref="D48">Common_InputFunctions.Utility_DisplayArrayInTable(Common_SourceData.Common_SourceData_ConvertGasElementalToMolecular_Data(),Table_GasToMolecularConversionFactor[[#Headers],[Gas]], 0)</f>
        <v>CO2</v>
      </c>
      <c r="E48" s="37" t="str" cm="1">
        <f t="array" ref="E48">Common_InputFunctions.Utility_DisplayArrayInTable(Common_SourceData.Common_SourceData_ConvertGasElementalToMolecular_Data(),Table_GasToMolecularConversionFactor[[#Headers],[Gas]], 0)</f>
        <v>44/12</v>
      </c>
      <c r="F48" s="37" cm="1">
        <f t="array" ref="F48">Common_InputFunctions.Utility_DisplayArrayInTable(Common_SourceData.Common_SourceData_ConvertGasElementalToMolecular_Data(),Table_GasToMolecularConversionFactor[[#Headers],[Gas]], 0)</f>
        <v>44</v>
      </c>
      <c r="G48" s="37" cm="1">
        <f t="array" ref="G48">Common_InputFunctions.Utility_DisplayArrayInTable(Common_SourceData.Common_SourceData_ConvertGasElementalToMolecular_Data(),Table_GasToMolecularConversionFactor[[#Headers],[Gas]], 0)</f>
        <v>12</v>
      </c>
      <c r="H48" s="37">
        <f>Table_GasToMolecularConversionFactor[[#This Row],[Conversion factor 1]]/Table_GasToMolecularConversionFactor[[#This Row],[Conversion factor 2]]</f>
        <v>3.6666666666666665</v>
      </c>
    </row>
    <row r="49" spans="4:8" ht="20.100000000000001" customHeight="1" x14ac:dyDescent="0.25">
      <c r="D49" s="37" t="str" cm="1">
        <f t="array" ref="D49">Common_InputFunctions.Utility_DisplayArrayInTable(Common_SourceData.Common_SourceData_ConvertGasElementalToMolecular_Data(),Table_GasToMolecularConversionFactor[[#Headers],[Gas]], 0)</f>
        <v>CH4</v>
      </c>
      <c r="E49" s="37" t="str" cm="1">
        <f t="array" ref="E49">Common_InputFunctions.Utility_DisplayArrayInTable(Common_SourceData.Common_SourceData_ConvertGasElementalToMolecular_Data(),Table_GasToMolecularConversionFactor[[#Headers],[Gas]], 0)</f>
        <v>16/12</v>
      </c>
      <c r="F49" s="37" cm="1">
        <f t="array" ref="F49">Common_InputFunctions.Utility_DisplayArrayInTable(Common_SourceData.Common_SourceData_ConvertGasElementalToMolecular_Data(),Table_GasToMolecularConversionFactor[[#Headers],[Gas]], 0)</f>
        <v>16</v>
      </c>
      <c r="G49" s="37" cm="1">
        <f t="array" ref="G49">Common_InputFunctions.Utility_DisplayArrayInTable(Common_SourceData.Common_SourceData_ConvertGasElementalToMolecular_Data(),Table_GasToMolecularConversionFactor[[#Headers],[Gas]], 0)</f>
        <v>12</v>
      </c>
      <c r="H49" s="37">
        <f>Table_GasToMolecularConversionFactor[[#This Row],[Conversion factor 1]]/Table_GasToMolecularConversionFactor[[#This Row],[Conversion factor 2]]</f>
        <v>1.3333333333333333</v>
      </c>
    </row>
    <row r="50" spans="4:8" ht="20.100000000000001" customHeight="1" x14ac:dyDescent="0.25">
      <c r="D50" s="37" t="str" cm="1">
        <f t="array" ref="D50">Common_InputFunctions.Utility_DisplayArrayInTable(Common_SourceData.Common_SourceData_ConvertGasElementalToMolecular_Data(),Table_GasToMolecularConversionFactor[[#Headers],[Gas]], 0)</f>
        <v>N2O</v>
      </c>
      <c r="E50" s="37" t="str" cm="1">
        <f t="array" ref="E50">Common_InputFunctions.Utility_DisplayArrayInTable(Common_SourceData.Common_SourceData_ConvertGasElementalToMolecular_Data(),Table_GasToMolecularConversionFactor[[#Headers],[Gas]], 0)</f>
        <v>44/28</v>
      </c>
      <c r="F50" s="37" cm="1">
        <f t="array" ref="F50">Common_InputFunctions.Utility_DisplayArrayInTable(Common_SourceData.Common_SourceData_ConvertGasElementalToMolecular_Data(),Table_GasToMolecularConversionFactor[[#Headers],[Gas]], 0)</f>
        <v>44</v>
      </c>
      <c r="G50" s="37" cm="1">
        <f t="array" ref="G50">Common_InputFunctions.Utility_DisplayArrayInTable(Common_SourceData.Common_SourceData_ConvertGasElementalToMolecular_Data(),Table_GasToMolecularConversionFactor[[#Headers],[Gas]], 0)</f>
        <v>28</v>
      </c>
      <c r="H50" s="37">
        <f>Table_GasToMolecularConversionFactor[[#This Row],[Conversion factor 1]]/Table_GasToMolecularConversionFactor[[#This Row],[Conversion factor 2]]</f>
        <v>1.5714285714285714</v>
      </c>
    </row>
    <row r="51" spans="4:8" ht="20.100000000000001" customHeight="1" x14ac:dyDescent="0.25">
      <c r="D51" s="37" t="str" cm="1">
        <f t="array" ref="D51">Common_InputFunctions.Utility_DisplayArrayInTable(Common_SourceData.Common_SourceData_ConvertGasElementalToMolecular_Data(),Table_GasToMolecularConversionFactor[[#Headers],[Gas]], 0)</f>
        <v>Nox</v>
      </c>
      <c r="E51" s="37" t="str" cm="1">
        <f t="array" ref="E51">Common_InputFunctions.Utility_DisplayArrayInTable(Common_SourceData.Common_SourceData_ConvertGasElementalToMolecular_Data(),Table_GasToMolecularConversionFactor[[#Headers],[Gas]], 0)</f>
        <v>46/14</v>
      </c>
      <c r="F51" s="37" cm="1">
        <f t="array" ref="F51">Common_InputFunctions.Utility_DisplayArrayInTable(Common_SourceData.Common_SourceData_ConvertGasElementalToMolecular_Data(),Table_GasToMolecularConversionFactor[[#Headers],[Gas]], 0)</f>
        <v>46</v>
      </c>
      <c r="G51" s="37" cm="1">
        <f t="array" ref="G51">Common_InputFunctions.Utility_DisplayArrayInTable(Common_SourceData.Common_SourceData_ConvertGasElementalToMolecular_Data(),Table_GasToMolecularConversionFactor[[#Headers],[Gas]], 0)</f>
        <v>14</v>
      </c>
      <c r="H51" s="37">
        <f>Table_GasToMolecularConversionFactor[[#This Row],[Conversion factor 1]]/Table_GasToMolecularConversionFactor[[#This Row],[Conversion factor 2]]</f>
        <v>3.2857142857142856</v>
      </c>
    </row>
    <row r="52" spans="4:8" ht="20.100000000000001" customHeight="1" x14ac:dyDescent="0.25">
      <c r="D52" s="37" t="str" cm="1">
        <f t="array" ref="D52">Common_InputFunctions.Utility_DisplayArrayInTable(Common_SourceData.Common_SourceData_ConvertGasElementalToMolecular_Data(),Table_GasToMolecularConversionFactor[[#Headers],[Gas]], 0)</f>
        <v>CO</v>
      </c>
      <c r="E52" s="37" t="str" cm="1">
        <f t="array" ref="E52">Common_InputFunctions.Utility_DisplayArrayInTable(Common_SourceData.Common_SourceData_ConvertGasElementalToMolecular_Data(),Table_GasToMolecularConversionFactor[[#Headers],[Gas]], 0)</f>
        <v>28/12</v>
      </c>
      <c r="F52" s="37" cm="1">
        <f t="array" ref="F52">Common_InputFunctions.Utility_DisplayArrayInTable(Common_SourceData.Common_SourceData_ConvertGasElementalToMolecular_Data(),Table_GasToMolecularConversionFactor[[#Headers],[Gas]], 0)</f>
        <v>28</v>
      </c>
      <c r="G52" s="37" cm="1">
        <f t="array" ref="G52">Common_InputFunctions.Utility_DisplayArrayInTable(Common_SourceData.Common_SourceData_ConvertGasElementalToMolecular_Data(),Table_GasToMolecularConversionFactor[[#Headers],[Gas]], 0)</f>
        <v>12</v>
      </c>
      <c r="H52" s="37">
        <f>Table_GasToMolecularConversionFactor[[#This Row],[Conversion factor 1]]/Table_GasToMolecularConversionFactor[[#This Row],[Conversion factor 2]]</f>
        <v>2.3333333333333335</v>
      </c>
    </row>
    <row r="53" spans="4:8" ht="20.100000000000001" customHeight="1" x14ac:dyDescent="0.25">
      <c r="D53" s="37" t="str" cm="1">
        <f t="array" ref="D53">Common_InputFunctions.Utility_DisplayArrayInTable(Common_SourceData.Common_SourceData_ConvertGasElementalToMolecular_Data(),Table_GasToMolecularConversionFactor[[#Headers],[Gas]], 0)</f>
        <v>CO2 Lime</v>
      </c>
      <c r="E53" s="37" t="str" cm="1">
        <f t="array" ref="E53">Common_InputFunctions.Utility_DisplayArrayInTable(Common_SourceData.Common_SourceData_ConvertGasElementalToMolecular_Data(),Table_GasToMolecularConversionFactor[[#Headers],[Gas]], 0)</f>
        <v>44/12</v>
      </c>
      <c r="F53" s="37" cm="1">
        <f t="array" ref="F53">Common_InputFunctions.Utility_DisplayArrayInTable(Common_SourceData.Common_SourceData_ConvertGasElementalToMolecular_Data(),Table_GasToMolecularConversionFactor[[#Headers],[Gas]], 0)</f>
        <v>44</v>
      </c>
      <c r="G53" s="37" cm="1">
        <f t="array" ref="G53">Common_InputFunctions.Utility_DisplayArrayInTable(Common_SourceData.Common_SourceData_ConvertGasElementalToMolecular_Data(),Table_GasToMolecularConversionFactor[[#Headers],[Gas]], 0)</f>
        <v>12</v>
      </c>
      <c r="H53" s="37">
        <f>Table_GasToMolecularConversionFactor[[#This Row],[Conversion factor 1]]/Table_GasToMolecularConversionFactor[[#This Row],[Conversion factor 2]]</f>
        <v>3.6666666666666665</v>
      </c>
    </row>
    <row r="54" spans="4:8" ht="20.100000000000001" customHeight="1" x14ac:dyDescent="0.25">
      <c r="D54" s="37" t="str" cm="1">
        <f t="array" ref="D54">Common_InputFunctions.Utility_DisplayArrayInTable(Common_SourceData.Common_SourceData_ConvertGasElementalToMolecular_Data(),Table_GasToMolecularConversionFactor[[#Headers],[Gas]], 0)</f>
        <v>NMVOC</v>
      </c>
      <c r="E54" s="37" t="str" cm="1">
        <f t="array" ref="E54">Common_InputFunctions.Utility_DisplayArrayInTable(Common_SourceData.Common_SourceData_ConvertGasElementalToMolecular_Data(),Table_GasToMolecularConversionFactor[[#Headers],[Gas]], 0)</f>
        <v>14/12</v>
      </c>
      <c r="F54" s="37" cm="1">
        <f t="array" ref="F54">Common_InputFunctions.Utility_DisplayArrayInTable(Common_SourceData.Common_SourceData_ConvertGasElementalToMolecular_Data(),Table_GasToMolecularConversionFactor[[#Headers],[Gas]], 0)</f>
        <v>14</v>
      </c>
      <c r="G54" s="37" cm="1">
        <f t="array" ref="G54">Common_InputFunctions.Utility_DisplayArrayInTable(Common_SourceData.Common_SourceData_ConvertGasElementalToMolecular_Data(),Table_GasToMolecularConversionFactor[[#Headers],[Gas]], 0)</f>
        <v>12</v>
      </c>
      <c r="H54" s="37">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tr" cm="1">
        <f t="array" ref="D57">Common_SourceData.Common_SourceData_WetAndDryZones_Title()</f>
        <v>VEERG Australian wet and dry zones</v>
      </c>
    </row>
    <row r="58" spans="4:8" ht="20.100000000000001" customHeight="1" x14ac:dyDescent="0.25">
      <c r="D58" s="5" t="str" cm="1">
        <f t="array" ref="D58">Common_SourceData.Common_SourceData_WetAndDryZones_Source()</f>
        <v>VEERG 2026: Table 1.2: Translating climate zones to wet and dry zones</v>
      </c>
    </row>
    <row r="59" spans="4:8" ht="20.100000000000001" customHeight="1" x14ac:dyDescent="0.25">
      <c r="D59" s="53" t="str" cm="1">
        <f t="array" ref="D59:D61">"⚠️" &amp; Common_SourceData.Common_SourceData_WetAndDryZones_Variation()</f>
        <v>⚠️VARIATION OF SOURCE DATA:</v>
      </c>
    </row>
    <row r="60" spans="4:8" ht="20.100000000000001" customHeight="1" x14ac:dyDescent="0.25">
      <c r="D60" s="53" t="str">
        <v>⚠️Added warm / cool temperate moist / dry - low frost and high temp classes to accommodate climate scenarios excluded by VEERG criteria.</v>
      </c>
    </row>
    <row r="61" spans="4:8" ht="20.100000000000001" customHeight="1" x14ac:dyDescent="0.25">
      <c r="D61" s="53" t="str">
        <v>⚠️Fixed typo - Changed 'Fry' to 'Dry'.</v>
      </c>
    </row>
    <row r="62" spans="4:8" ht="20.100000000000001" customHeight="1" x14ac:dyDescent="0.25"/>
    <row r="63" spans="4:8" ht="20.100000000000001" customHeight="1" x14ac:dyDescent="0.25">
      <c r="D63" s="37" t="s">
        <v>7</v>
      </c>
      <c r="E63" s="37" t="s">
        <v>37</v>
      </c>
    </row>
    <row r="64" spans="4:8" ht="20.100000000000001" customHeight="1" x14ac:dyDescent="0.25">
      <c r="D64" s="37" t="str" cm="1">
        <f t="array" ref="D64">Common_InputFunctions.Utility_DisplayArrayInTable(Common_SourceData.Common_SourceData_WetAndDryZones_Data(), Table_SourceData_WetDryZones[[#Headers],[Climate zone]], 0)</f>
        <v>Tropical montane</v>
      </c>
      <c r="E64" s="37"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37" t="str" cm="1">
        <f t="array" ref="D65">Common_InputFunctions.Utility_DisplayArrayInTable(Common_SourceData.Common_SourceData_WetAndDryZones_Data(), Table_SourceData_WetDryZones[[#Headers],[Climate zone]], 0)</f>
        <v>Tropical wet</v>
      </c>
      <c r="E65" s="37"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37" t="str" cm="1">
        <f t="array" ref="D66">Common_InputFunctions.Utility_DisplayArrayInTable(Common_SourceData.Common_SourceData_WetAndDryZones_Data(), Table_SourceData_WetDryZones[[#Headers],[Climate zone]], 0)</f>
        <v>Tropical moist</v>
      </c>
      <c r="E66" s="37"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37" t="str" cm="1">
        <f t="array" ref="D67">Common_InputFunctions.Utility_DisplayArrayInTable(Common_SourceData.Common_SourceData_WetAndDryZones_Data(), Table_SourceData_WetDryZones[[#Headers],[Climate zone]], 0)</f>
        <v>Tropical dry</v>
      </c>
      <c r="E67" s="37"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37" t="str" cm="1">
        <f t="array" ref="D68">Common_InputFunctions.Utility_DisplayArrayInTable(Common_SourceData.Common_SourceData_WetAndDryZones_Data(), Table_SourceData_WetDryZones[[#Headers],[Climate zone]], 0)</f>
        <v>Warm temperate moist</v>
      </c>
      <c r="E68" s="37"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37" t="str" cm="1">
        <f t="array" ref="D69">Common_InputFunctions.Utility_DisplayArrayInTable(Common_SourceData.Common_SourceData_WetAndDryZones_Data(), Table_SourceData_WetDryZones[[#Headers],[Climate zone]], 0)</f>
        <v>Warm temperate dry</v>
      </c>
      <c r="E69" s="37"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37" t="str" cm="1">
        <f t="array" ref="D70">Common_InputFunctions.Utility_DisplayArrayInTable(Common_SourceData.Common_SourceData_WetAndDryZones_Data(), Table_SourceData_WetDryZones[[#Headers],[Climate zone]], 0)</f>
        <v>Cool temperate moist</v>
      </c>
      <c r="E70" s="37"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37" t="str" cm="1">
        <f t="array" ref="D71">Common_InputFunctions.Utility_DisplayArrayInTable(Common_SourceData.Common_SourceData_WetAndDryZones_Data(), Table_SourceData_WetDryZones[[#Headers],[Climate zone]], 0)</f>
        <v>Cool temperate dry</v>
      </c>
      <c r="E71" s="37"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37" t="str" cm="1">
        <f t="array" ref="D72">Common_InputFunctions.Utility_DisplayArrayInTable(Common_SourceData.Common_SourceData_WetAndDryZones_Data(), Table_SourceData_WetDryZones[[#Headers],[Climate zone]], 0)</f>
        <v>Warm temperate moist - low frost</v>
      </c>
      <c r="E72" s="37"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37" t="str" cm="1">
        <f t="array" ref="D73">Common_InputFunctions.Utility_DisplayArrayInTable(Common_SourceData.Common_SourceData_WetAndDryZones_Data(), Table_SourceData_WetDryZones[[#Headers],[Climate zone]], 0)</f>
        <v>Warm temperate dry - low frost</v>
      </c>
      <c r="E73" s="37"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37" t="str" cm="1">
        <f t="array" ref="D74">Common_InputFunctions.Utility_DisplayArrayInTable(Common_SourceData.Common_SourceData_WetAndDryZones_Data(), Table_SourceData_WetDryZones[[#Headers],[Climate zone]], 0)</f>
        <v>Warm temperate moist - high temp</v>
      </c>
      <c r="E74" s="37"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37" t="str" cm="1">
        <f t="array" ref="D75">Common_InputFunctions.Utility_DisplayArrayInTable(Common_SourceData.Common_SourceData_WetAndDryZones_Data(), Table_SourceData_WetDryZones[[#Headers],[Climate zone]], 0)</f>
        <v>Warm temperate dry - high temp</v>
      </c>
      <c r="E75" s="37"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37" t="str" cm="1">
        <f t="array" ref="D76">Common_InputFunctions.Utility_DisplayArrayInTable(Common_SourceData.Common_SourceData_WetAndDryZones_Data(), Table_SourceData_WetDryZones[[#Headers],[Climate zone]], 0)</f>
        <v>Cool temperate moist - low frost</v>
      </c>
      <c r="E76" s="37"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37" t="str" cm="1">
        <f t="array" ref="D77">Common_InputFunctions.Utility_DisplayArrayInTable(Common_SourceData.Common_SourceData_WetAndDryZones_Data(), Table_SourceData_WetDryZones[[#Headers],[Climate zone]], 0)</f>
        <v>Cool temperate dry - low frost</v>
      </c>
      <c r="E77" s="37"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tr" cm="1">
        <f t="array" ref="D81">Common_SourceData.Common_SourceData_ClimateZones_Title()</f>
        <v>VEERG Australian climate zones</v>
      </c>
    </row>
    <row r="82" spans="4:20" ht="20.100000000000001" customHeight="1" x14ac:dyDescent="0.25">
      <c r="D82" s="5" t="str" cm="1">
        <f t="array" ref="D82">Common_SourceData.Common_SourceData_ClimateZones_Source()</f>
        <v>VEERG 2026: Table 1.3: Climate and Rainfall zone classifications and definitions</v>
      </c>
    </row>
    <row r="83" spans="4:20" ht="20.100000000000001" customHeight="1" x14ac:dyDescent="0.25">
      <c r="D83" s="53" t="str" cm="1">
        <f t="array" ref="D83:D87">"⚠️" &amp; Common_SourceData.Common_SourceData_ClimateZones_Variation()</f>
        <v>⚠️VARIATION OF SOURCE DATA:</v>
      </c>
    </row>
    <row r="84" spans="4:20" ht="20.100000000000001" customHeight="1" x14ac:dyDescent="0.25">
      <c r="D84" s="53" t="str">
        <v>⚠️Added warm / cool temperate moist / dry - low frost and high temp classes to accommodate climate scenarios excluded by VEERG criteria.</v>
      </c>
    </row>
    <row r="85" spans="4:20" ht="20.100000000000001" customHeight="1" x14ac:dyDescent="0.25">
      <c r="D85" s="53" t="str">
        <v>⚠️Fixed typo in MAT value for warm temperate dry - changed 10 to 11.</v>
      </c>
    </row>
    <row r="86" spans="4:20" ht="20.100000000000001" customHeight="1" x14ac:dyDescent="0.25">
      <c r="D86" s="53" t="str">
        <v>⚠️Added min and max columns for MAT, MAP, frost days per year, elevation, MAP:PET to calculate zones from real climate data.</v>
      </c>
    </row>
    <row r="87" spans="4:20" ht="20.100000000000001" customHeight="1" x14ac:dyDescent="0.25">
      <c r="D87" s="53" t="str">
        <v>⚠️GAF accepts rainfall as a proxy for precipitation.</v>
      </c>
    </row>
    <row r="88" spans="4:20" ht="20.100000000000001" customHeight="1" x14ac:dyDescent="0.25"/>
    <row r="89" spans="4:20" ht="20.100000000000001" customHeight="1" x14ac:dyDescent="0.25">
      <c r="D89" s="37" t="s">
        <v>7</v>
      </c>
      <c r="E89" s="37" t="s">
        <v>25</v>
      </c>
      <c r="F89" s="37" t="s">
        <v>26</v>
      </c>
      <c r="G89" s="37" t="s">
        <v>27</v>
      </c>
      <c r="H89" s="37" t="s">
        <v>28</v>
      </c>
      <c r="I89" s="37" t="s">
        <v>29</v>
      </c>
      <c r="J89" s="37" t="s">
        <v>30</v>
      </c>
      <c r="K89" s="37" t="s">
        <v>31</v>
      </c>
      <c r="L89" s="37" t="s">
        <v>32</v>
      </c>
      <c r="M89" s="37" t="s">
        <v>33</v>
      </c>
      <c r="N89" s="37" t="s">
        <v>34</v>
      </c>
      <c r="O89" s="37" t="s">
        <v>38</v>
      </c>
      <c r="P89" s="37" t="s">
        <v>35</v>
      </c>
      <c r="Q89" s="37" t="s">
        <v>39</v>
      </c>
      <c r="R89" s="37" t="s">
        <v>36</v>
      </c>
      <c r="S89" s="37" t="s">
        <v>40</v>
      </c>
      <c r="T89" s="37"/>
    </row>
    <row r="90" spans="4:20" ht="20.100000000000001" customHeight="1" x14ac:dyDescent="0.25">
      <c r="D90" s="37" t="str" cm="1">
        <f t="array" ref="D90">Common_InputFunctions.Utility_DisplayArrayInTable(Common_SourceData.Common_SourceData_ClimateZones_Data(), Table_SourceData_ClimateZones[[#Headers],[Climate zone]], 0)</f>
        <v>Tropical montane</v>
      </c>
      <c r="E90" s="37" t="str" cm="1">
        <f t="array" ref="E90">Common_InputFunctions.Utility_DisplayArrayInTable(Common_SourceData.Common_SourceData_ClimateZones_Data(), Table_SourceData_ClimateZones[[#Headers],[Climate zone]], 0)</f>
        <v>&gt; 18 C</v>
      </c>
      <c r="F90" s="37" t="str" cm="1">
        <f t="array" ref="F90">Common_InputFunctions.Utility_DisplayArrayInTable(Common_SourceData.Common_SourceData_ClimateZones_Data(), Table_SourceData_ClimateZones[[#Headers],[Climate zone]], 0)</f>
        <v>Any</v>
      </c>
      <c r="G90" s="37" t="str" cm="1">
        <f t="array" ref="G90">Common_InputFunctions.Utility_DisplayArrayInTable(Common_SourceData.Common_SourceData_ClimateZones_Data(), Table_SourceData_ClimateZones[[#Headers],[Climate zone]], 0)</f>
        <v>≤ 7</v>
      </c>
      <c r="H90" s="37" t="str" cm="1">
        <f t="array" ref="H90">Common_InputFunctions.Utility_DisplayArrayInTable(Common_SourceData.Common_SourceData_ClimateZones_Data(), Table_SourceData_ClimateZones[[#Headers],[Climate zone]], 0)</f>
        <v>&gt; 1000 m</v>
      </c>
      <c r="I90" s="37" t="str" cm="1">
        <f t="array" ref="I90">Common_InputFunctions.Utility_DisplayArrayInTable(Common_SourceData.Common_SourceData_ClimateZones_Data(), Table_SourceData_ClimateZones[[#Headers],[Climate zone]], 0)</f>
        <v>Any</v>
      </c>
      <c r="J90" s="37" cm="1">
        <f t="array" ref="J90">Common_InputFunctions.Utility_DisplayArrayInTable(Common_SourceData.Common_SourceData_ClimateZones_Data(), Table_SourceData_ClimateZones[[#Headers],[Climate zone]], 0)</f>
        <v>18.001000000000001</v>
      </c>
      <c r="K90" s="37" cm="1">
        <f t="array" ref="K90">Common_InputFunctions.Utility_DisplayArrayInTable(Common_SourceData.Common_SourceData_ClimateZones_Data(), Table_SourceData_ClimateZones[[#Headers],[Climate zone]], 0)</f>
        <v>999999</v>
      </c>
      <c r="L90" s="37" cm="1">
        <f t="array" ref="L90">Common_InputFunctions.Utility_DisplayArrayInTable(Common_SourceData.Common_SourceData_ClimateZones_Data(), Table_SourceData_ClimateZones[[#Headers],[Climate zone]], 0)</f>
        <v>-999999</v>
      </c>
      <c r="M90" s="37" cm="1">
        <f t="array" ref="M90">Common_InputFunctions.Utility_DisplayArrayInTable(Common_SourceData.Common_SourceData_ClimateZones_Data(), Table_SourceData_ClimateZones[[#Headers],[Climate zone]], 0)</f>
        <v>999999</v>
      </c>
      <c r="N90" s="37" cm="1">
        <f t="array" ref="N90">Common_InputFunctions.Utility_DisplayArrayInTable(Common_SourceData.Common_SourceData_ClimateZones_Data(), Table_SourceData_ClimateZones[[#Headers],[Climate zone]], 0)</f>
        <v>-999999</v>
      </c>
      <c r="O90" s="37" cm="1">
        <f t="array" ref="O90">Common_InputFunctions.Utility_DisplayArrayInTable(Common_SourceData.Common_SourceData_ClimateZones_Data(), Table_SourceData_ClimateZones[[#Headers],[Climate zone]], 0)</f>
        <v>7</v>
      </c>
      <c r="P90" s="37" cm="1">
        <f t="array" ref="P90">Common_InputFunctions.Utility_DisplayArrayInTable(Common_SourceData.Common_SourceData_ClimateZones_Data(), Table_SourceData_ClimateZones[[#Headers],[Climate zone]], 0)</f>
        <v>1000</v>
      </c>
      <c r="Q90" s="37" cm="1">
        <f t="array" ref="Q90">Common_InputFunctions.Utility_DisplayArrayInTable(Common_SourceData.Common_SourceData_ClimateZones_Data(), Table_SourceData_ClimateZones[[#Headers],[Climate zone]], 0)</f>
        <v>999999</v>
      </c>
      <c r="R90" s="37" cm="1">
        <f t="array" ref="R90">Common_InputFunctions.Utility_DisplayArrayInTable(Common_SourceData.Common_SourceData_ClimateZones_Data(), Table_SourceData_ClimateZones[[#Headers],[Climate zone]], 0)</f>
        <v>-999999</v>
      </c>
      <c r="S90" s="37" cm="1">
        <f t="array" ref="S90">Common_InputFunctions.Utility_DisplayArrayInTable(Common_SourceData.Common_SourceData_ClimateZones_Data(), Table_SourceData_ClimateZones[[#Headers],[Climate zone]], 0)</f>
        <v>999999</v>
      </c>
      <c r="T90" s="37"/>
    </row>
    <row r="91" spans="4:20" ht="20.100000000000001" customHeight="1" x14ac:dyDescent="0.25">
      <c r="D91" s="37" t="str" cm="1">
        <f t="array" ref="D91">Common_InputFunctions.Utility_DisplayArrayInTable(Common_SourceData.Common_SourceData_ClimateZones_Data(), Table_SourceData_ClimateZones[[#Headers],[Climate zone]], 0)</f>
        <v>Tropical wet</v>
      </c>
      <c r="E91" s="37" t="str" cm="1">
        <f t="array" ref="E91">Common_InputFunctions.Utility_DisplayArrayInTable(Common_SourceData.Common_SourceData_ClimateZones_Data(), Table_SourceData_ClimateZones[[#Headers],[Climate zone]], 0)</f>
        <v>&gt; 18 C</v>
      </c>
      <c r="F91" s="37" t="str" cm="1">
        <f t="array" ref="F91">Common_InputFunctions.Utility_DisplayArrayInTable(Common_SourceData.Common_SourceData_ClimateZones_Data(), Table_SourceData_ClimateZones[[#Headers],[Climate zone]], 0)</f>
        <v>&gt; 2000 mm</v>
      </c>
      <c r="G91" s="37" t="str" cm="1">
        <f t="array" ref="G91">Common_InputFunctions.Utility_DisplayArrayInTable(Common_SourceData.Common_SourceData_ClimateZones_Data(), Table_SourceData_ClimateZones[[#Headers],[Climate zone]], 0)</f>
        <v>≤ 7</v>
      </c>
      <c r="H91" s="37" t="str" cm="1">
        <f t="array" ref="H91">Common_InputFunctions.Utility_DisplayArrayInTable(Common_SourceData.Common_SourceData_ClimateZones_Data(), Table_SourceData_ClimateZones[[#Headers],[Climate zone]], 0)</f>
        <v>≤ 1000 m</v>
      </c>
      <c r="I91" s="37" t="str" cm="1">
        <f t="array" ref="I91">Common_InputFunctions.Utility_DisplayArrayInTable(Common_SourceData.Common_SourceData_ClimateZones_Data(), Table_SourceData_ClimateZones[[#Headers],[Climate zone]], 0)</f>
        <v>Any</v>
      </c>
      <c r="J91" s="37" cm="1">
        <f t="array" ref="J91">Common_InputFunctions.Utility_DisplayArrayInTable(Common_SourceData.Common_SourceData_ClimateZones_Data(), Table_SourceData_ClimateZones[[#Headers],[Climate zone]], 0)</f>
        <v>18.001000000000001</v>
      </c>
      <c r="K91" s="37" cm="1">
        <f t="array" ref="K91">Common_InputFunctions.Utility_DisplayArrayInTable(Common_SourceData.Common_SourceData_ClimateZones_Data(), Table_SourceData_ClimateZones[[#Headers],[Climate zone]], 0)</f>
        <v>999999</v>
      </c>
      <c r="L91" s="37" cm="1">
        <f t="array" ref="L91">Common_InputFunctions.Utility_DisplayArrayInTable(Common_SourceData.Common_SourceData_ClimateZones_Data(), Table_SourceData_ClimateZones[[#Headers],[Climate zone]], 0)</f>
        <v>2000.001</v>
      </c>
      <c r="M91" s="37" cm="1">
        <f t="array" ref="M91">Common_InputFunctions.Utility_DisplayArrayInTable(Common_SourceData.Common_SourceData_ClimateZones_Data(), Table_SourceData_ClimateZones[[#Headers],[Climate zone]], 0)</f>
        <v>999999</v>
      </c>
      <c r="N91" s="37" cm="1">
        <f t="array" ref="N91">Common_InputFunctions.Utility_DisplayArrayInTable(Common_SourceData.Common_SourceData_ClimateZones_Data(), Table_SourceData_ClimateZones[[#Headers],[Climate zone]], 0)</f>
        <v>-999999</v>
      </c>
      <c r="O91" s="37" cm="1">
        <f t="array" ref="O91">Common_InputFunctions.Utility_DisplayArrayInTable(Common_SourceData.Common_SourceData_ClimateZones_Data(), Table_SourceData_ClimateZones[[#Headers],[Climate zone]], 0)</f>
        <v>7</v>
      </c>
      <c r="P91" s="37" cm="1">
        <f t="array" ref="P91">Common_InputFunctions.Utility_DisplayArrayInTable(Common_SourceData.Common_SourceData_ClimateZones_Data(), Table_SourceData_ClimateZones[[#Headers],[Climate zone]], 0)</f>
        <v>-999999</v>
      </c>
      <c r="Q91" s="37" cm="1">
        <f t="array" ref="Q91">Common_InputFunctions.Utility_DisplayArrayInTable(Common_SourceData.Common_SourceData_ClimateZones_Data(), Table_SourceData_ClimateZones[[#Headers],[Climate zone]], 0)</f>
        <v>999.99900000000002</v>
      </c>
      <c r="R91" s="37" cm="1">
        <f t="array" ref="R91">Common_InputFunctions.Utility_DisplayArrayInTable(Common_SourceData.Common_SourceData_ClimateZones_Data(), Table_SourceData_ClimateZones[[#Headers],[Climate zone]], 0)</f>
        <v>-999999</v>
      </c>
      <c r="S91" s="37" cm="1">
        <f t="array" ref="S91">Common_InputFunctions.Utility_DisplayArrayInTable(Common_SourceData.Common_SourceData_ClimateZones_Data(), Table_SourceData_ClimateZones[[#Headers],[Climate zone]], 0)</f>
        <v>999999</v>
      </c>
      <c r="T91" s="37"/>
    </row>
    <row r="92" spans="4:20" ht="20.100000000000001" customHeight="1" x14ac:dyDescent="0.25">
      <c r="D92" s="37" t="str" cm="1">
        <f t="array" ref="D92">Common_InputFunctions.Utility_DisplayArrayInTable(Common_SourceData.Common_SourceData_ClimateZones_Data(), Table_SourceData_ClimateZones[[#Headers],[Climate zone]], 0)</f>
        <v>Tropical moist</v>
      </c>
      <c r="E92" s="37" t="str" cm="1">
        <f t="array" ref="E92">Common_InputFunctions.Utility_DisplayArrayInTable(Common_SourceData.Common_SourceData_ClimateZones_Data(), Table_SourceData_ClimateZones[[#Headers],[Climate zone]], 0)</f>
        <v>&gt; 18 C</v>
      </c>
      <c r="F92" s="37" t="str" cm="1">
        <f t="array" ref="F92">Common_InputFunctions.Utility_DisplayArrayInTable(Common_SourceData.Common_SourceData_ClimateZones_Data(), Table_SourceData_ClimateZones[[#Headers],[Climate zone]], 0)</f>
        <v>&gt; 1000 mm - ≤ 2000 mm</v>
      </c>
      <c r="G92" s="37" t="str" cm="1">
        <f t="array" ref="G92">Common_InputFunctions.Utility_DisplayArrayInTable(Common_SourceData.Common_SourceData_ClimateZones_Data(), Table_SourceData_ClimateZones[[#Headers],[Climate zone]], 0)</f>
        <v>≤ 7</v>
      </c>
      <c r="H92" s="37" t="str" cm="1">
        <f t="array" ref="H92">Common_InputFunctions.Utility_DisplayArrayInTable(Common_SourceData.Common_SourceData_ClimateZones_Data(), Table_SourceData_ClimateZones[[#Headers],[Climate zone]], 0)</f>
        <v>≤ 1000 m</v>
      </c>
      <c r="I92" s="37" t="str" cm="1">
        <f t="array" ref="I92">Common_InputFunctions.Utility_DisplayArrayInTable(Common_SourceData.Common_SourceData_ClimateZones_Data(), Table_SourceData_ClimateZones[[#Headers],[Climate zone]], 0)</f>
        <v>Any</v>
      </c>
      <c r="J92" s="37" cm="1">
        <f t="array" ref="J92">Common_InputFunctions.Utility_DisplayArrayInTable(Common_SourceData.Common_SourceData_ClimateZones_Data(), Table_SourceData_ClimateZones[[#Headers],[Climate zone]], 0)</f>
        <v>18.001000000000001</v>
      </c>
      <c r="K92" s="37" cm="1">
        <f t="array" ref="K92">Common_InputFunctions.Utility_DisplayArrayInTable(Common_SourceData.Common_SourceData_ClimateZones_Data(), Table_SourceData_ClimateZones[[#Headers],[Climate zone]], 0)</f>
        <v>999999</v>
      </c>
      <c r="L92" s="37" cm="1">
        <f t="array" ref="L92">Common_InputFunctions.Utility_DisplayArrayInTable(Common_SourceData.Common_SourceData_ClimateZones_Data(), Table_SourceData_ClimateZones[[#Headers],[Climate zone]], 0)</f>
        <v>1000.001</v>
      </c>
      <c r="M92" s="37" cm="1">
        <f t="array" ref="M92">Common_InputFunctions.Utility_DisplayArrayInTable(Common_SourceData.Common_SourceData_ClimateZones_Data(), Table_SourceData_ClimateZones[[#Headers],[Climate zone]], 0)</f>
        <v>2000</v>
      </c>
      <c r="N92" s="37" cm="1">
        <f t="array" ref="N92">Common_InputFunctions.Utility_DisplayArrayInTable(Common_SourceData.Common_SourceData_ClimateZones_Data(), Table_SourceData_ClimateZones[[#Headers],[Climate zone]], 0)</f>
        <v>-999999</v>
      </c>
      <c r="O92" s="37" cm="1">
        <f t="array" ref="O92">Common_InputFunctions.Utility_DisplayArrayInTable(Common_SourceData.Common_SourceData_ClimateZones_Data(), Table_SourceData_ClimateZones[[#Headers],[Climate zone]], 0)</f>
        <v>7</v>
      </c>
      <c r="P92" s="37" cm="1">
        <f t="array" ref="P92">Common_InputFunctions.Utility_DisplayArrayInTable(Common_SourceData.Common_SourceData_ClimateZones_Data(), Table_SourceData_ClimateZones[[#Headers],[Climate zone]], 0)</f>
        <v>-999999</v>
      </c>
      <c r="Q92" s="37" cm="1">
        <f t="array" ref="Q92">Common_InputFunctions.Utility_DisplayArrayInTable(Common_SourceData.Common_SourceData_ClimateZones_Data(), Table_SourceData_ClimateZones[[#Headers],[Climate zone]], 0)</f>
        <v>999.99900000000002</v>
      </c>
      <c r="R92" s="37" cm="1">
        <f t="array" ref="R92">Common_InputFunctions.Utility_DisplayArrayInTable(Common_SourceData.Common_SourceData_ClimateZones_Data(), Table_SourceData_ClimateZones[[#Headers],[Climate zone]], 0)</f>
        <v>-999999</v>
      </c>
      <c r="S92" s="37" cm="1">
        <f t="array" ref="S92">Common_InputFunctions.Utility_DisplayArrayInTable(Common_SourceData.Common_SourceData_ClimateZones_Data(), Table_SourceData_ClimateZones[[#Headers],[Climate zone]], 0)</f>
        <v>999999</v>
      </c>
      <c r="T92" s="37"/>
    </row>
    <row r="93" spans="4:20" ht="20.100000000000001" customHeight="1" x14ac:dyDescent="0.25">
      <c r="D93" s="37" t="str" cm="1">
        <f t="array" ref="D93">Common_InputFunctions.Utility_DisplayArrayInTable(Common_SourceData.Common_SourceData_ClimateZones_Data(), Table_SourceData_ClimateZones[[#Headers],[Climate zone]], 0)</f>
        <v>Tropical dry</v>
      </c>
      <c r="E93" s="37" t="str" cm="1">
        <f t="array" ref="E93">Common_InputFunctions.Utility_DisplayArrayInTable(Common_SourceData.Common_SourceData_ClimateZones_Data(), Table_SourceData_ClimateZones[[#Headers],[Climate zone]], 0)</f>
        <v>&gt; 18 C</v>
      </c>
      <c r="F93" s="37" t="str" cm="1">
        <f t="array" ref="F93">Common_InputFunctions.Utility_DisplayArrayInTable(Common_SourceData.Common_SourceData_ClimateZones_Data(), Table_SourceData_ClimateZones[[#Headers],[Climate zone]], 0)</f>
        <v>≤ 1000 mm</v>
      </c>
      <c r="G93" s="37" t="str" cm="1">
        <f t="array" ref="G93">Common_InputFunctions.Utility_DisplayArrayInTable(Common_SourceData.Common_SourceData_ClimateZones_Data(), Table_SourceData_ClimateZones[[#Headers],[Climate zone]], 0)</f>
        <v>≤ 7</v>
      </c>
      <c r="H93" s="37" t="str" cm="1">
        <f t="array" ref="H93">Common_InputFunctions.Utility_DisplayArrayInTable(Common_SourceData.Common_SourceData_ClimateZones_Data(), Table_SourceData_ClimateZones[[#Headers],[Climate zone]], 0)</f>
        <v>≤ 1000 m</v>
      </c>
      <c r="I93" s="37" t="str" cm="1">
        <f t="array" ref="I93">Common_InputFunctions.Utility_DisplayArrayInTable(Common_SourceData.Common_SourceData_ClimateZones_Data(), Table_SourceData_ClimateZones[[#Headers],[Climate zone]], 0)</f>
        <v>Any</v>
      </c>
      <c r="J93" s="37" cm="1">
        <f t="array" ref="J93">Common_InputFunctions.Utility_DisplayArrayInTable(Common_SourceData.Common_SourceData_ClimateZones_Data(), Table_SourceData_ClimateZones[[#Headers],[Climate zone]], 0)</f>
        <v>18.001000000000001</v>
      </c>
      <c r="K93" s="37" cm="1">
        <f t="array" ref="K93">Common_InputFunctions.Utility_DisplayArrayInTable(Common_SourceData.Common_SourceData_ClimateZones_Data(), Table_SourceData_ClimateZones[[#Headers],[Climate zone]], 0)</f>
        <v>999999</v>
      </c>
      <c r="L93" s="37" cm="1">
        <f t="array" ref="L93">Common_InputFunctions.Utility_DisplayArrayInTable(Common_SourceData.Common_SourceData_ClimateZones_Data(), Table_SourceData_ClimateZones[[#Headers],[Climate zone]], 0)</f>
        <v>-999999</v>
      </c>
      <c r="M93" s="37" cm="1">
        <f t="array" ref="M93">Common_InputFunctions.Utility_DisplayArrayInTable(Common_SourceData.Common_SourceData_ClimateZones_Data(), Table_SourceData_ClimateZones[[#Headers],[Climate zone]], 0)</f>
        <v>1000</v>
      </c>
      <c r="N93" s="37" cm="1">
        <f t="array" ref="N93">Common_InputFunctions.Utility_DisplayArrayInTable(Common_SourceData.Common_SourceData_ClimateZones_Data(), Table_SourceData_ClimateZones[[#Headers],[Climate zone]], 0)</f>
        <v>-999999</v>
      </c>
      <c r="O93" s="37" cm="1">
        <f t="array" ref="O93">Common_InputFunctions.Utility_DisplayArrayInTable(Common_SourceData.Common_SourceData_ClimateZones_Data(), Table_SourceData_ClimateZones[[#Headers],[Climate zone]], 0)</f>
        <v>7</v>
      </c>
      <c r="P93" s="37" cm="1">
        <f t="array" ref="P93">Common_InputFunctions.Utility_DisplayArrayInTable(Common_SourceData.Common_SourceData_ClimateZones_Data(), Table_SourceData_ClimateZones[[#Headers],[Climate zone]], 0)</f>
        <v>-999999</v>
      </c>
      <c r="Q93" s="37" cm="1">
        <f t="array" ref="Q93">Common_InputFunctions.Utility_DisplayArrayInTable(Common_SourceData.Common_SourceData_ClimateZones_Data(), Table_SourceData_ClimateZones[[#Headers],[Climate zone]], 0)</f>
        <v>999.99900000000002</v>
      </c>
      <c r="R93" s="37" cm="1">
        <f t="array" ref="R93">Common_InputFunctions.Utility_DisplayArrayInTable(Common_SourceData.Common_SourceData_ClimateZones_Data(), Table_SourceData_ClimateZones[[#Headers],[Climate zone]], 0)</f>
        <v>-999999</v>
      </c>
      <c r="S93" s="37" cm="1">
        <f t="array" ref="S93">Common_InputFunctions.Utility_DisplayArrayInTable(Common_SourceData.Common_SourceData_ClimateZones_Data(), Table_SourceData_ClimateZones[[#Headers],[Climate zone]], 0)</f>
        <v>999999</v>
      </c>
      <c r="T93" s="37"/>
    </row>
    <row r="94" spans="4:20" ht="20.100000000000001" customHeight="1" x14ac:dyDescent="0.25">
      <c r="D94" s="37" t="str" cm="1">
        <f t="array" ref="D94">Common_InputFunctions.Utility_DisplayArrayInTable(Common_SourceData.Common_SourceData_ClimateZones_Data(), Table_SourceData_ClimateZones[[#Headers],[Climate zone]], 0)</f>
        <v>Warm temperate moist</v>
      </c>
      <c r="E94" s="37" t="str" cm="1">
        <f t="array" ref="E94">Common_InputFunctions.Utility_DisplayArrayInTable(Common_SourceData.Common_SourceData_ClimateZones_Data(), Table_SourceData_ClimateZones[[#Headers],[Climate zone]], 0)</f>
        <v>&gt; 10 C</v>
      </c>
      <c r="F94" s="37" t="str" cm="1">
        <f t="array" ref="F94">Common_InputFunctions.Utility_DisplayArrayInTable(Common_SourceData.Common_SourceData_ClimateZones_Data(), Table_SourceData_ClimateZones[[#Headers],[Climate zone]], 0)</f>
        <v>Any</v>
      </c>
      <c r="G94" s="37" t="str" cm="1">
        <f t="array" ref="G94">Common_InputFunctions.Utility_DisplayArrayInTable(Common_SourceData.Common_SourceData_ClimateZones_Data(), Table_SourceData_ClimateZones[[#Headers],[Climate zone]], 0)</f>
        <v>Any</v>
      </c>
      <c r="H94" s="37" t="str" cm="1">
        <f t="array" ref="H94">Common_InputFunctions.Utility_DisplayArrayInTable(Common_SourceData.Common_SourceData_ClimateZones_Data(), Table_SourceData_ClimateZones[[#Headers],[Climate zone]], 0)</f>
        <v>Any</v>
      </c>
      <c r="I94" s="37" t="str" cm="1">
        <f t="array" ref="I94">Common_InputFunctions.Utility_DisplayArrayInTable(Common_SourceData.Common_SourceData_ClimateZones_Data(), Table_SourceData_ClimateZones[[#Headers],[Climate zone]], 0)</f>
        <v>&gt; 1</v>
      </c>
      <c r="J94" s="37" cm="1">
        <f t="array" ref="J94">Common_InputFunctions.Utility_DisplayArrayInTable(Common_SourceData.Common_SourceData_ClimateZones_Data(), Table_SourceData_ClimateZones[[#Headers],[Climate zone]], 0)</f>
        <v>10.000999999999999</v>
      </c>
      <c r="K94" s="37" cm="1">
        <f t="array" ref="K94">Common_InputFunctions.Utility_DisplayArrayInTable(Common_SourceData.Common_SourceData_ClimateZones_Data(), Table_SourceData_ClimateZones[[#Headers],[Climate zone]], 0)</f>
        <v>999999</v>
      </c>
      <c r="L94" s="37" cm="1">
        <f t="array" ref="L94">Common_InputFunctions.Utility_DisplayArrayInTable(Common_SourceData.Common_SourceData_ClimateZones_Data(), Table_SourceData_ClimateZones[[#Headers],[Climate zone]], 0)</f>
        <v>-999999</v>
      </c>
      <c r="M94" s="37" cm="1">
        <f t="array" ref="M94">Common_InputFunctions.Utility_DisplayArrayInTable(Common_SourceData.Common_SourceData_ClimateZones_Data(), Table_SourceData_ClimateZones[[#Headers],[Climate zone]], 0)</f>
        <v>999999</v>
      </c>
      <c r="N94" s="37" cm="1">
        <f t="array" ref="N94">Common_InputFunctions.Utility_DisplayArrayInTable(Common_SourceData.Common_SourceData_ClimateZones_Data(), Table_SourceData_ClimateZones[[#Headers],[Climate zone]], 0)</f>
        <v>-999999</v>
      </c>
      <c r="O94" s="37" cm="1">
        <f t="array" ref="O94">Common_InputFunctions.Utility_DisplayArrayInTable(Common_SourceData.Common_SourceData_ClimateZones_Data(), Table_SourceData_ClimateZones[[#Headers],[Climate zone]], 0)</f>
        <v>999999</v>
      </c>
      <c r="P94" s="37" cm="1">
        <f t="array" ref="P94">Common_InputFunctions.Utility_DisplayArrayInTable(Common_SourceData.Common_SourceData_ClimateZones_Data(), Table_SourceData_ClimateZones[[#Headers],[Climate zone]], 0)</f>
        <v>-999999</v>
      </c>
      <c r="Q94" s="37" cm="1">
        <f t="array" ref="Q94">Common_InputFunctions.Utility_DisplayArrayInTable(Common_SourceData.Common_SourceData_ClimateZones_Data(), Table_SourceData_ClimateZones[[#Headers],[Climate zone]], 0)</f>
        <v>999999</v>
      </c>
      <c r="R94" s="37" cm="1">
        <f t="array" ref="R94">Common_InputFunctions.Utility_DisplayArrayInTable(Common_SourceData.Common_SourceData_ClimateZones_Data(), Table_SourceData_ClimateZones[[#Headers],[Climate zone]], 0)</f>
        <v>1.0009999999999999</v>
      </c>
      <c r="S94" s="37" cm="1">
        <f t="array" ref="S94">Common_InputFunctions.Utility_DisplayArrayInTable(Common_SourceData.Common_SourceData_ClimateZones_Data(), Table_SourceData_ClimateZones[[#Headers],[Climate zone]], 0)</f>
        <v>999999</v>
      </c>
      <c r="T94" s="37"/>
    </row>
    <row r="95" spans="4:20" ht="20.100000000000001" customHeight="1" x14ac:dyDescent="0.25">
      <c r="D95" s="37" t="str" cm="1">
        <f t="array" ref="D95">Common_InputFunctions.Utility_DisplayArrayInTable(Common_SourceData.Common_SourceData_ClimateZones_Data(), Table_SourceData_ClimateZones[[#Headers],[Climate zone]], 0)</f>
        <v>Warm temperate dry</v>
      </c>
      <c r="E95" s="37" t="str" cm="1">
        <f t="array" ref="E95">Common_InputFunctions.Utility_DisplayArrayInTable(Common_SourceData.Common_SourceData_ClimateZones_Data(), Table_SourceData_ClimateZones[[#Headers],[Climate zone]], 0)</f>
        <v>&gt; 10 C</v>
      </c>
      <c r="F95" s="37" t="str" cm="1">
        <f t="array" ref="F95">Common_InputFunctions.Utility_DisplayArrayInTable(Common_SourceData.Common_SourceData_ClimateZones_Data(), Table_SourceData_ClimateZones[[#Headers],[Climate zone]], 0)</f>
        <v>Any</v>
      </c>
      <c r="G95" s="37" t="str" cm="1">
        <f t="array" ref="G95">Common_InputFunctions.Utility_DisplayArrayInTable(Common_SourceData.Common_SourceData_ClimateZones_Data(), Table_SourceData_ClimateZones[[#Headers],[Climate zone]], 0)</f>
        <v>Any</v>
      </c>
      <c r="H95" s="37" t="str" cm="1">
        <f t="array" ref="H95">Common_InputFunctions.Utility_DisplayArrayInTable(Common_SourceData.Common_SourceData_ClimateZones_Data(), Table_SourceData_ClimateZones[[#Headers],[Climate zone]], 0)</f>
        <v>Any</v>
      </c>
      <c r="I95" s="37" t="str" cm="1">
        <f t="array" ref="I95">Common_InputFunctions.Utility_DisplayArrayInTable(Common_SourceData.Common_SourceData_ClimateZones_Data(), Table_SourceData_ClimateZones[[#Headers],[Climate zone]], 0)</f>
        <v>≤ 1</v>
      </c>
      <c r="J95" s="37" cm="1">
        <f t="array" ref="J95">Common_InputFunctions.Utility_DisplayArrayInTable(Common_SourceData.Common_SourceData_ClimateZones_Data(), Table_SourceData_ClimateZones[[#Headers],[Climate zone]], 0)</f>
        <v>10.000999999999999</v>
      </c>
      <c r="K95" s="37" cm="1">
        <f t="array" ref="K95">Common_InputFunctions.Utility_DisplayArrayInTable(Common_SourceData.Common_SourceData_ClimateZones_Data(), Table_SourceData_ClimateZones[[#Headers],[Climate zone]], 0)</f>
        <v>999999</v>
      </c>
      <c r="L95" s="37" cm="1">
        <f t="array" ref="L95">Common_InputFunctions.Utility_DisplayArrayInTable(Common_SourceData.Common_SourceData_ClimateZones_Data(), Table_SourceData_ClimateZones[[#Headers],[Climate zone]], 0)</f>
        <v>-999999</v>
      </c>
      <c r="M95" s="37" cm="1">
        <f t="array" ref="M95">Common_InputFunctions.Utility_DisplayArrayInTable(Common_SourceData.Common_SourceData_ClimateZones_Data(), Table_SourceData_ClimateZones[[#Headers],[Climate zone]], 0)</f>
        <v>999999</v>
      </c>
      <c r="N95" s="37" cm="1">
        <f t="array" ref="N95">Common_InputFunctions.Utility_DisplayArrayInTable(Common_SourceData.Common_SourceData_ClimateZones_Data(), Table_SourceData_ClimateZones[[#Headers],[Climate zone]], 0)</f>
        <v>-999999</v>
      </c>
      <c r="O95" s="37" cm="1">
        <f t="array" ref="O95">Common_InputFunctions.Utility_DisplayArrayInTable(Common_SourceData.Common_SourceData_ClimateZones_Data(), Table_SourceData_ClimateZones[[#Headers],[Climate zone]], 0)</f>
        <v>999999</v>
      </c>
      <c r="P95" s="37" cm="1">
        <f t="array" ref="P95">Common_InputFunctions.Utility_DisplayArrayInTable(Common_SourceData.Common_SourceData_ClimateZones_Data(), Table_SourceData_ClimateZones[[#Headers],[Climate zone]], 0)</f>
        <v>-999999</v>
      </c>
      <c r="Q95" s="37" cm="1">
        <f t="array" ref="Q95">Common_InputFunctions.Utility_DisplayArrayInTable(Common_SourceData.Common_SourceData_ClimateZones_Data(), Table_SourceData_ClimateZones[[#Headers],[Climate zone]], 0)</f>
        <v>999999</v>
      </c>
      <c r="R95" s="37" cm="1">
        <f t="array" ref="R95">Common_InputFunctions.Utility_DisplayArrayInTable(Common_SourceData.Common_SourceData_ClimateZones_Data(), Table_SourceData_ClimateZones[[#Headers],[Climate zone]], 0)</f>
        <v>-999999</v>
      </c>
      <c r="S95" s="37" cm="1">
        <f t="array" ref="S95">Common_InputFunctions.Utility_DisplayArrayInTable(Common_SourceData.Common_SourceData_ClimateZones_Data(), Table_SourceData_ClimateZones[[#Headers],[Climate zone]], 0)</f>
        <v>1</v>
      </c>
      <c r="T95" s="37"/>
    </row>
    <row r="96" spans="4:20" ht="20.100000000000001" customHeight="1" x14ac:dyDescent="0.25">
      <c r="D96" s="37" t="str" cm="1">
        <f t="array" ref="D96">Common_InputFunctions.Utility_DisplayArrayInTable(Common_SourceData.Common_SourceData_ClimateZones_Data(), Table_SourceData_ClimateZones[[#Headers],[Climate zone]], 0)</f>
        <v>Cool temperate moist</v>
      </c>
      <c r="E96" s="37" t="str" cm="1">
        <f t="array" ref="E96">Common_InputFunctions.Utility_DisplayArrayInTable(Common_SourceData.Common_SourceData_ClimateZones_Data(), Table_SourceData_ClimateZones[[#Headers],[Climate zone]], 0)</f>
        <v>&gt; 0 C - ≤ 10 C</v>
      </c>
      <c r="F96" s="37" t="str" cm="1">
        <f t="array" ref="F96">Common_InputFunctions.Utility_DisplayArrayInTable(Common_SourceData.Common_SourceData_ClimateZones_Data(), Table_SourceData_ClimateZones[[#Headers],[Climate zone]], 0)</f>
        <v>Any</v>
      </c>
      <c r="G96" s="37" t="str" cm="1">
        <f t="array" ref="G96">Common_InputFunctions.Utility_DisplayArrayInTable(Common_SourceData.Common_SourceData_ClimateZones_Data(), Table_SourceData_ClimateZones[[#Headers],[Climate zone]], 0)</f>
        <v>Any</v>
      </c>
      <c r="H96" s="37" t="str" cm="1">
        <f t="array" ref="H96">Common_InputFunctions.Utility_DisplayArrayInTable(Common_SourceData.Common_SourceData_ClimateZones_Data(), Table_SourceData_ClimateZones[[#Headers],[Climate zone]], 0)</f>
        <v>Any</v>
      </c>
      <c r="I96" s="37" t="str" cm="1">
        <f t="array" ref="I96">Common_InputFunctions.Utility_DisplayArrayInTable(Common_SourceData.Common_SourceData_ClimateZones_Data(), Table_SourceData_ClimateZones[[#Headers],[Climate zone]], 0)</f>
        <v>&gt; 1</v>
      </c>
      <c r="J96" s="37" cm="1">
        <f t="array" ref="J96">Common_InputFunctions.Utility_DisplayArrayInTable(Common_SourceData.Common_SourceData_ClimateZones_Data(), Table_SourceData_ClimateZones[[#Headers],[Climate zone]], 0)</f>
        <v>-999999</v>
      </c>
      <c r="K96" s="37" cm="1">
        <f t="array" ref="K96">Common_InputFunctions.Utility_DisplayArrayInTable(Common_SourceData.Common_SourceData_ClimateZones_Data(), Table_SourceData_ClimateZones[[#Headers],[Climate zone]], 0)</f>
        <v>10</v>
      </c>
      <c r="L96" s="37" cm="1">
        <f t="array" ref="L96">Common_InputFunctions.Utility_DisplayArrayInTable(Common_SourceData.Common_SourceData_ClimateZones_Data(), Table_SourceData_ClimateZones[[#Headers],[Climate zone]], 0)</f>
        <v>-999999</v>
      </c>
      <c r="M96" s="37" cm="1">
        <f t="array" ref="M96">Common_InputFunctions.Utility_DisplayArrayInTable(Common_SourceData.Common_SourceData_ClimateZones_Data(), Table_SourceData_ClimateZones[[#Headers],[Climate zone]], 0)</f>
        <v>999999</v>
      </c>
      <c r="N96" s="37" cm="1">
        <f t="array" ref="N96">Common_InputFunctions.Utility_DisplayArrayInTable(Common_SourceData.Common_SourceData_ClimateZones_Data(), Table_SourceData_ClimateZones[[#Headers],[Climate zone]], 0)</f>
        <v>-999999</v>
      </c>
      <c r="O96" s="37" cm="1">
        <f t="array" ref="O96">Common_InputFunctions.Utility_DisplayArrayInTable(Common_SourceData.Common_SourceData_ClimateZones_Data(), Table_SourceData_ClimateZones[[#Headers],[Climate zone]], 0)</f>
        <v>999999</v>
      </c>
      <c r="P96" s="37" cm="1">
        <f t="array" ref="P96">Common_InputFunctions.Utility_DisplayArrayInTable(Common_SourceData.Common_SourceData_ClimateZones_Data(), Table_SourceData_ClimateZones[[#Headers],[Climate zone]], 0)</f>
        <v>-999999</v>
      </c>
      <c r="Q96" s="37" cm="1">
        <f t="array" ref="Q96">Common_InputFunctions.Utility_DisplayArrayInTable(Common_SourceData.Common_SourceData_ClimateZones_Data(), Table_SourceData_ClimateZones[[#Headers],[Climate zone]], 0)</f>
        <v>999999</v>
      </c>
      <c r="R96" s="37" cm="1">
        <f t="array" ref="R96">Common_InputFunctions.Utility_DisplayArrayInTable(Common_SourceData.Common_SourceData_ClimateZones_Data(), Table_SourceData_ClimateZones[[#Headers],[Climate zone]], 0)</f>
        <v>1.0009999999999999</v>
      </c>
      <c r="S96" s="37" cm="1">
        <f t="array" ref="S96">Common_InputFunctions.Utility_DisplayArrayInTable(Common_SourceData.Common_SourceData_ClimateZones_Data(), Table_SourceData_ClimateZones[[#Headers],[Climate zone]], 0)</f>
        <v>999999</v>
      </c>
      <c r="T96" s="37"/>
    </row>
    <row r="97" spans="4:20" ht="20.100000000000001" customHeight="1" x14ac:dyDescent="0.25">
      <c r="D97" s="37" t="str" cm="1">
        <f t="array" ref="D97">Common_InputFunctions.Utility_DisplayArrayInTable(Common_SourceData.Common_SourceData_ClimateZones_Data(), Table_SourceData_ClimateZones[[#Headers],[Climate zone]], 0)</f>
        <v>Cool temperate dry</v>
      </c>
      <c r="E97" s="37" t="str" cm="1">
        <f t="array" ref="E97">Common_InputFunctions.Utility_DisplayArrayInTable(Common_SourceData.Common_SourceData_ClimateZones_Data(), Table_SourceData_ClimateZones[[#Headers],[Climate zone]], 0)</f>
        <v>&gt; 0 C - ≤ 10 C</v>
      </c>
      <c r="F97" s="37" t="str" cm="1">
        <f t="array" ref="F97">Common_InputFunctions.Utility_DisplayArrayInTable(Common_SourceData.Common_SourceData_ClimateZones_Data(), Table_SourceData_ClimateZones[[#Headers],[Climate zone]], 0)</f>
        <v>Any</v>
      </c>
      <c r="G97" s="37" t="str" cm="1">
        <f t="array" ref="G97">Common_InputFunctions.Utility_DisplayArrayInTable(Common_SourceData.Common_SourceData_ClimateZones_Data(), Table_SourceData_ClimateZones[[#Headers],[Climate zone]], 0)</f>
        <v>Any</v>
      </c>
      <c r="H97" s="37" t="str" cm="1">
        <f t="array" ref="H97">Common_InputFunctions.Utility_DisplayArrayInTable(Common_SourceData.Common_SourceData_ClimateZones_Data(), Table_SourceData_ClimateZones[[#Headers],[Climate zone]], 0)</f>
        <v>Any</v>
      </c>
      <c r="I97" s="37" t="str" cm="1">
        <f t="array" ref="I97">Common_InputFunctions.Utility_DisplayArrayInTable(Common_SourceData.Common_SourceData_ClimateZones_Data(), Table_SourceData_ClimateZones[[#Headers],[Climate zone]], 0)</f>
        <v>≤ 1</v>
      </c>
      <c r="J97" s="37" cm="1">
        <f t="array" ref="J97">Common_InputFunctions.Utility_DisplayArrayInTable(Common_SourceData.Common_SourceData_ClimateZones_Data(), Table_SourceData_ClimateZones[[#Headers],[Climate zone]], 0)</f>
        <v>-999999</v>
      </c>
      <c r="K97" s="37" cm="1">
        <f t="array" ref="K97">Common_InputFunctions.Utility_DisplayArrayInTable(Common_SourceData.Common_SourceData_ClimateZones_Data(), Table_SourceData_ClimateZones[[#Headers],[Climate zone]], 0)</f>
        <v>10</v>
      </c>
      <c r="L97" s="37" cm="1">
        <f t="array" ref="L97">Common_InputFunctions.Utility_DisplayArrayInTable(Common_SourceData.Common_SourceData_ClimateZones_Data(), Table_SourceData_ClimateZones[[#Headers],[Climate zone]], 0)</f>
        <v>-999999</v>
      </c>
      <c r="M97" s="37" cm="1">
        <f t="array" ref="M97">Common_InputFunctions.Utility_DisplayArrayInTable(Common_SourceData.Common_SourceData_ClimateZones_Data(), Table_SourceData_ClimateZones[[#Headers],[Climate zone]], 0)</f>
        <v>999999</v>
      </c>
      <c r="N97" s="37" cm="1">
        <f t="array" ref="N97">Common_InputFunctions.Utility_DisplayArrayInTable(Common_SourceData.Common_SourceData_ClimateZones_Data(), Table_SourceData_ClimateZones[[#Headers],[Climate zone]], 0)</f>
        <v>-999999</v>
      </c>
      <c r="O97" s="37" cm="1">
        <f t="array" ref="O97">Common_InputFunctions.Utility_DisplayArrayInTable(Common_SourceData.Common_SourceData_ClimateZones_Data(), Table_SourceData_ClimateZones[[#Headers],[Climate zone]], 0)</f>
        <v>999999</v>
      </c>
      <c r="P97" s="37" cm="1">
        <f t="array" ref="P97">Common_InputFunctions.Utility_DisplayArrayInTable(Common_SourceData.Common_SourceData_ClimateZones_Data(), Table_SourceData_ClimateZones[[#Headers],[Climate zone]], 0)</f>
        <v>-999999</v>
      </c>
      <c r="Q97" s="37" cm="1">
        <f t="array" ref="Q97">Common_InputFunctions.Utility_DisplayArrayInTable(Common_SourceData.Common_SourceData_ClimateZones_Data(), Table_SourceData_ClimateZones[[#Headers],[Climate zone]], 0)</f>
        <v>999999</v>
      </c>
      <c r="R97" s="37" cm="1">
        <f t="array" ref="R97">Common_InputFunctions.Utility_DisplayArrayInTable(Common_SourceData.Common_SourceData_ClimateZones_Data(), Table_SourceData_ClimateZones[[#Headers],[Climate zone]], 0)</f>
        <v>-999999</v>
      </c>
      <c r="S97" s="37" cm="1">
        <f t="array" ref="S97">Common_InputFunctions.Utility_DisplayArrayInTable(Common_SourceData.Common_SourceData_ClimateZones_Data(), Table_SourceData_ClimateZones[[#Headers],[Climate zone]], 0)</f>
        <v>1</v>
      </c>
      <c r="T97" s="37"/>
    </row>
    <row r="98" spans="4:20" ht="20.100000000000001" customHeight="1" x14ac:dyDescent="0.25"/>
    <row r="99" spans="4:20" ht="20.100000000000001" customHeight="1" x14ac:dyDescent="0.25">
      <c r="D99" s="52" t="str" cm="1">
        <f t="array" ref="D99:D102">Common_SourceData.Common_SourceData_ClimateZones_Appendices()</f>
        <v>Note:</v>
      </c>
    </row>
    <row r="100" spans="4:20" ht="20.100000000000001" customHeight="1" x14ac:dyDescent="0.25">
      <c r="D100" s="52" t="str">
        <v>MAT = mean annual temperature</v>
      </c>
    </row>
    <row r="101" spans="4:20" ht="20.100000000000001" customHeight="1" x14ac:dyDescent="0.25">
      <c r="D101" s="52" t="str">
        <v>MAP = mean annual precipitation</v>
      </c>
    </row>
    <row r="102" spans="4:20" ht="20.100000000000001" customHeight="1" x14ac:dyDescent="0.25">
      <c r="D102" s="52" t="str">
        <v>PET = potential evapotranspiration</v>
      </c>
    </row>
    <row r="103" spans="4:20" ht="20.100000000000001" customHeight="1" x14ac:dyDescent="0.25">
      <c r="D103" s="52"/>
    </row>
    <row r="104" spans="4:20" ht="20.100000000000001" customHeight="1" x14ac:dyDescent="0.25"/>
    <row r="105" spans="4:20" ht="20.100000000000001" customHeight="1" x14ac:dyDescent="0.25">
      <c r="D105" s="6" t="str" cm="1">
        <f t="array" ref="D105">Common_SourceData.Common_SourceData_TemperatureZones_Title()</f>
        <v>VEERG Australian temperature zones</v>
      </c>
    </row>
    <row r="106" spans="4:20" ht="20.100000000000001" customHeight="1" x14ac:dyDescent="0.25">
      <c r="D106" s="5" t="str" cm="1">
        <f t="array" ref="D106">Common_SourceData.Common_SourceData_TemperatureZones_Source()</f>
        <v>VEERG 2026: Table 1.3: Climate and Rainfall zone classifications and definitions</v>
      </c>
    </row>
    <row r="107" spans="4:20" ht="20.100000000000001" customHeight="1" x14ac:dyDescent="0.25">
      <c r="D107" s="53"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37" t="s">
        <v>42</v>
      </c>
      <c r="E109" s="37" t="s">
        <v>25</v>
      </c>
      <c r="F109" s="37" t="s">
        <v>43</v>
      </c>
      <c r="G109" s="37" t="s">
        <v>44</v>
      </c>
    </row>
    <row r="110" spans="4:20" ht="20.100000000000001" customHeight="1" x14ac:dyDescent="0.25">
      <c r="D110" s="37" t="str" cm="1">
        <f t="array" ref="D110">Common_InputFunctions.Utility_DisplayArrayInTable(Common_SourceData.Common_SourceData_TemperatureZones_Data(),Table_SourceData_TemperatureZones[[#Headers],[Temperature Zone]],0)</f>
        <v>Warm</v>
      </c>
      <c r="E110" s="37" t="str" cm="1">
        <f t="array" ref="E110">Common_InputFunctions.Utility_DisplayArrayInTable(Common_SourceData.Common_SourceData_TemperatureZones_Data(),Table_SourceData_TemperatureZones[[#Headers],[Temperature Zone]],0)</f>
        <v>≥ 26 C</v>
      </c>
      <c r="F110" s="37" cm="1">
        <f t="array" ref="F110">Common_InputFunctions.Utility_DisplayArrayInTable(Common_SourceData.Common_SourceData_TemperatureZones_Data(),Table_SourceData_TemperatureZones[[#Headers],[Temperature Zone]],0)</f>
        <v>26</v>
      </c>
      <c r="G110" s="37" cm="1">
        <f t="array" ref="G110">Common_InputFunctions.Utility_DisplayArrayInTable(Common_SourceData.Common_SourceData_TemperatureZones_Data(),Table_SourceData_TemperatureZones[[#Headers],[Temperature Zone]],0)</f>
        <v>999999</v>
      </c>
    </row>
    <row r="111" spans="4:20" ht="20.100000000000001" customHeight="1" x14ac:dyDescent="0.25">
      <c r="D111" s="37" t="str" cm="1">
        <f t="array" ref="D111">Common_InputFunctions.Utility_DisplayArrayInTable(Common_SourceData.Common_SourceData_TemperatureZones_Data(),Table_SourceData_TemperatureZones[[#Headers],[Temperature Zone]],0)</f>
        <v>Temperate</v>
      </c>
      <c r="E111" s="37" t="str" cm="1">
        <f t="array" ref="E111">Common_InputFunctions.Utility_DisplayArrayInTable(Common_SourceData.Common_SourceData_TemperatureZones_Data(),Table_SourceData_TemperatureZones[[#Headers],[Temperature Zone]],0)</f>
        <v>15 - 25 C</v>
      </c>
      <c r="F111" s="37" cm="1">
        <f t="array" ref="F111">Common_InputFunctions.Utility_DisplayArrayInTable(Common_SourceData.Common_SourceData_TemperatureZones_Data(),Table_SourceData_TemperatureZones[[#Headers],[Temperature Zone]],0)</f>
        <v>15</v>
      </c>
      <c r="G111" s="37"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37" t="str" cm="1">
        <f t="array" ref="D112">Common_InputFunctions.Utility_DisplayArrayInTable(Common_SourceData.Common_SourceData_TemperatureZones_Data(),Table_SourceData_TemperatureZones[[#Headers],[Temperature Zone]],0)</f>
        <v>Cool</v>
      </c>
      <c r="E112" s="37" t="str" cm="1">
        <f t="array" ref="E112">Common_InputFunctions.Utility_DisplayArrayInTable(Common_SourceData.Common_SourceData_TemperatureZones_Data(),Table_SourceData_TemperatureZones[[#Headers],[Temperature Zone]],0)</f>
        <v>≤ 14 C</v>
      </c>
      <c r="F112" s="37" cm="1">
        <f t="array" ref="F112">Common_InputFunctions.Utility_DisplayArrayInTable(Common_SourceData.Common_SourceData_TemperatureZones_Data(),Table_SourceData_TemperatureZones[[#Headers],[Temperature Zone]],0)</f>
        <v>-999999</v>
      </c>
      <c r="G112" s="37"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6" t="str" cm="1">
        <f t="array" ref="D115">Common_SourceData.Common_SourceData_RainfallZones_Title()</f>
        <v>VEERG Australian rainfall zones</v>
      </c>
      <c r="BN115" s="7"/>
    </row>
    <row r="116" spans="4:66" ht="20.100000000000001" customHeight="1" x14ac:dyDescent="0.25">
      <c r="D116" s="5" t="str" cm="1">
        <f t="array" ref="D116">Common_SourceData.Common_SourceData_RainfallZones_Source()</f>
        <v>VEERG 2026: Table 1.3: Climate and Rainfall zone classifications and definitions</v>
      </c>
      <c r="BN116" s="7"/>
    </row>
    <row r="117" spans="4:66" ht="20.100000000000001" customHeight="1" x14ac:dyDescent="0.25">
      <c r="D117" s="53"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37" t="s">
        <v>45</v>
      </c>
      <c r="E119" s="37" t="s">
        <v>46</v>
      </c>
      <c r="F119" s="37" t="s">
        <v>32</v>
      </c>
      <c r="G119" s="37" t="s">
        <v>33</v>
      </c>
      <c r="BN119" s="7"/>
    </row>
    <row r="120" spans="4:66" ht="20.100000000000001" customHeight="1" x14ac:dyDescent="0.25">
      <c r="D120" s="37" t="str" cm="1">
        <f t="array" ref="D120">Common_InputFunctions.Utility_DisplayArrayInTable(Common_SourceData.Common_SourceData_RainfallZones_Data(),Table_SourceData_RainfallZones[[#Headers],[Rainfall Zone]],0)</f>
        <v>High rainfall</v>
      </c>
      <c r="E120" s="37" t="str" cm="1">
        <f t="array" ref="E120">Common_InputFunctions.Utility_DisplayArrayInTable(Common_SourceData.Common_SourceData_RainfallZones_Data(),Table_SourceData_RainfallZones[[#Headers],[Rainfall Zone]],0)</f>
        <v>Annual rainfall &gt; 600mm</v>
      </c>
      <c r="F120" s="37" cm="1">
        <f t="array" ref="F120">Common_InputFunctions.Utility_DisplayArrayInTable(Common_SourceData.Common_SourceData_RainfallZones_Data(),Table_SourceData_RainfallZones[[#Headers],[Rainfall Zone]],0)</f>
        <v>600.00099999999998</v>
      </c>
      <c r="G120" s="37" cm="1">
        <f t="array" ref="G120">Common_InputFunctions.Utility_DisplayArrayInTable(Common_SourceData.Common_SourceData_RainfallZones_Data(),Table_SourceData_RainfallZones[[#Headers],[Rainfall Zone]],0)</f>
        <v>999999</v>
      </c>
      <c r="BN120" s="7"/>
    </row>
    <row r="121" spans="4:66" ht="20.100000000000001" customHeight="1" x14ac:dyDescent="0.25">
      <c r="D121" s="37" t="str" cm="1">
        <f t="array" ref="D121">Common_InputFunctions.Utility_DisplayArrayInTable(Common_SourceData.Common_SourceData_RainfallZones_Data(),Table_SourceData_RainfallZones[[#Headers],[Rainfall Zone]],0)</f>
        <v>Low rainfall</v>
      </c>
      <c r="E121" s="37" t="str" cm="1">
        <f t="array" ref="E121">Common_InputFunctions.Utility_DisplayArrayInTable(Common_SourceData.Common_SourceData_RainfallZones_Data(),Table_SourceData_RainfallZones[[#Headers],[Rainfall Zone]],0)</f>
        <v>Annual rainfall ≤ 600mm</v>
      </c>
      <c r="F121" s="37" cm="1">
        <f t="array" ref="F121">Common_InputFunctions.Utility_DisplayArrayInTable(Common_SourceData.Common_SourceData_RainfallZones_Data(),Table_SourceData_RainfallZones[[#Headers],[Rainfall Zone]],0)</f>
        <v>-999999</v>
      </c>
      <c r="G121" s="37" cm="1">
        <f t="array" ref="G121">Common_InputFunctions.Utility_DisplayArrayInTable(Common_SourceData.Common_SourceData_RainfallZones_Data(),Table_SourceData_RainfallZones[[#Headers],[Rainfall Zone]],0)</f>
        <v>600</v>
      </c>
      <c r="BN121" s="7"/>
    </row>
    <row r="122" spans="4:66" ht="20.100000000000001" customHeight="1" x14ac:dyDescent="0.25">
      <c r="BN122" s="7"/>
    </row>
    <row r="123" spans="4:66" ht="20.100000000000001" customHeight="1" x14ac:dyDescent="0.25"/>
    <row r="124" spans="4:66" ht="20.100000000000001" customHeight="1" x14ac:dyDescent="0.25">
      <c r="D124" s="6" t="str" cm="1">
        <f t="array" ref="D124">Common_SourceData.Common_SourceData_LeachingZones_Title()</f>
        <v>VEERG Australian leaching zones</v>
      </c>
    </row>
    <row r="125" spans="4:66" ht="20.100000000000001" customHeight="1" x14ac:dyDescent="0.25">
      <c r="D125" s="5"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37" t="s">
        <v>47</v>
      </c>
      <c r="E127" s="37" t="s">
        <v>48</v>
      </c>
    </row>
    <row r="128" spans="4:66" ht="20.100000000000001" customHeight="1" x14ac:dyDescent="0.25">
      <c r="D128" s="37" t="str" cm="1">
        <f t="array" ref="D128">Common_InputFunctions.Utility_DisplayArrayInTable(Common_SourceData.Common_SourceData_LeachingZones_Data(), Table_SourceData_LeachingZones[[#Headers],[Leaching Zone]], 0)</f>
        <v>Leaching occurs</v>
      </c>
      <c r="E128" s="37"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37" t="str" cm="1">
        <f t="array" ref="D129">Common_InputFunctions.Utility_DisplayArrayInTable(Common_SourceData.Common_SourceData_LeachingZones_Data(), Table_SourceData_LeachingZones[[#Headers],[Leaching Zone]], 0)</f>
        <v>Leaching does not occur</v>
      </c>
      <c r="E129" s="37"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6" t="str" cm="1">
        <f t="array" ref="D132">Common_SourceData.Common_SourceData_FracWET_Title()</f>
        <v>Fraction of N that is available for leaching and runoff</v>
      </c>
      <c r="E132" s="24"/>
    </row>
    <row r="133" spans="4:77" ht="20.100000000000001" customHeight="1" x14ac:dyDescent="0.25">
      <c r="D133" s="5" t="str" cm="1">
        <f t="array" ref="D133">Common_SourceData.Common_SourceData_FracWET_Source()</f>
        <v>VEERG 2026:5.5.2.3 Constant Parameters</v>
      </c>
      <c r="E133" s="24"/>
    </row>
    <row r="134" spans="4:77" ht="20.100000000000001" customHeight="1" x14ac:dyDescent="0.25">
      <c r="D134" t="s">
        <v>72</v>
      </c>
      <c r="E134" t="s">
        <v>73</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37"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4:77" ht="20.100000000000001" customHeight="1" x14ac:dyDescent="0.25">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4:77" ht="20.100000000000001" customHeight="1" x14ac:dyDescent="0.25">
      <c r="D141" s="53"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4:77" ht="20.100000000000001" customHeight="1" x14ac:dyDescent="0.25">
      <c r="D142" s="37" t="s">
        <v>130</v>
      </c>
      <c r="E142" s="37" t="s">
        <v>73</v>
      </c>
      <c r="BN142" s="7"/>
    </row>
    <row r="143" spans="4:77" ht="20.100000000000001" customHeight="1" x14ac:dyDescent="0.25">
      <c r="D143" s="37" t="str" cm="1">
        <f t="array" ref="D143">Common_InputFunctions.Utility_DisplayArrayInTable(Common_SourceData.Common_SourceData_FracWETIrrigation_Data(), Table_SourceData_FracWETIrrigation[[#Headers],[Irrigation type i]], 0)</f>
        <v>Not irrigated</v>
      </c>
      <c r="E143" s="37" cm="1">
        <f t="array" ref="E143">Common_InputFunctions.Utility_DisplayArrayInTable(Common_SourceData.Common_SourceData_FracWETIrrigation_Data(), Table_SourceData_FracWETIrrigation[[#Headers],[Irrigation type i]], 0)</f>
        <v>0</v>
      </c>
      <c r="BN143" s="7"/>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37" cm="1">
        <f t="array" ref="E144">Common_InputFunctions.Utility_DisplayArrayInTable(Common_SourceData.Common_SourceData_FracWETIrrigation_Data(), Table_SourceData_FracWETIrrigation[[#Headers],[Irrigation type i]], 0)</f>
        <v>0</v>
      </c>
      <c r="BN144" s="7"/>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37" cm="1">
        <f t="array" ref="E145">Common_InputFunctions.Utility_DisplayArrayInTable(Common_SourceData.Common_SourceData_FracWETIrrigation_Data(), Table_SourceData_FracWETIrrigation[[#Headers],[Irrigation type i]], 0)</f>
        <v>1</v>
      </c>
      <c r="BN145" s="7"/>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37" cm="1">
        <f t="array" ref="E146">Common_InputFunctions.Utility_DisplayArrayInTable(Common_SourceData.Common_SourceData_FracWETIrrigation_Data(), Table_SourceData_FracWETIrrigation[[#Headers],[Irrigation type i]], 0)</f>
        <v>1</v>
      </c>
      <c r="BN146" s="7"/>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37" cm="1">
        <f t="array" ref="E147">Common_InputFunctions.Utility_DisplayArrayInTable(Common_SourceData.Common_SourceData_FracWETIrrigation_Data(), Table_SourceData_FracWETIrrigation[[#Headers],[Irrigation type i]], 0)</f>
        <v>1</v>
      </c>
      <c r="BN147" s="7"/>
    </row>
    <row r="148" spans="4:66" ht="20.100000000000001" customHeight="1" x14ac:dyDescent="0.25">
      <c r="BN148" s="7"/>
    </row>
    <row r="149" spans="4:66" ht="20.100000000000001" customHeight="1" x14ac:dyDescent="0.25">
      <c r="BN149" s="7"/>
    </row>
    <row r="150" spans="4:66" ht="20.100000000000001" customHeight="1" x14ac:dyDescent="0.25">
      <c r="D150" s="6" t="str" cm="1">
        <f t="array" ref="D150">Common_SourceData.Common_SourceData_DataScores_Scope3_Title()</f>
        <v>Australian data scores for scope 3</v>
      </c>
      <c r="BN150" s="7"/>
    </row>
    <row r="151" spans="4:66" ht="20.100000000000001" customHeight="1" x14ac:dyDescent="0.25">
      <c r="D151" s="5" t="str" cm="1">
        <f t="array" ref="D151">Common_SourceData.Common_SourceData_DataScores_Scope3_Source()</f>
        <v>VEERG 2026: XXXXXXXX</v>
      </c>
      <c r="BN151" s="7"/>
    </row>
    <row r="152" spans="4:66" ht="20.100000000000001" customHeight="1" x14ac:dyDescent="0.25">
      <c r="BN152" s="7"/>
    </row>
    <row r="153" spans="4:66" ht="20.100000000000001" customHeight="1" x14ac:dyDescent="0.25">
      <c r="D153" s="37" t="s">
        <v>50</v>
      </c>
      <c r="E153" s="37" t="s">
        <v>51</v>
      </c>
      <c r="BC153" s="3"/>
      <c r="BD153" s="3"/>
      <c r="BE153" s="3"/>
      <c r="BF153" s="3"/>
      <c r="BG153" s="3"/>
      <c r="BH153" s="3"/>
      <c r="BI153" s="3"/>
      <c r="BJ153" s="3"/>
      <c r="BK153" s="3"/>
      <c r="BL153" s="3"/>
      <c r="BM153" s="3"/>
    </row>
    <row r="154" spans="4:66" ht="20.100000000000001" customHeight="1" x14ac:dyDescent="0.25">
      <c r="D154" s="37" t="str" cm="1">
        <f t="array" ref="D154">Common_InputFunctions.Utility_DisplayArrayInTable(Common_SourceData.Common_SourceData_DataScores_Scope3_Data(), Table_SourceData_DataScores_Scope3[[#Headers],[Data source]], 0)</f>
        <v>International scope 3 database</v>
      </c>
      <c r="E154" s="37"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4:66" ht="20.100000000000001" customHeight="1" x14ac:dyDescent="0.25">
      <c r="D155" s="37" t="str" cm="1">
        <f t="array" ref="D155">Common_InputFunctions.Utility_DisplayArrayInTable(Common_SourceData.Common_SourceData_DataScores_Scope3_Data(), Table_SourceData_DataScores_Scope3[[#Headers],[Data source]], 0)</f>
        <v>Australian scope 3 database</v>
      </c>
      <c r="E155" s="37"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4:66" ht="20.100000000000001" customHeight="1" x14ac:dyDescent="0.25">
      <c r="D156" s="37" t="str" cm="1">
        <f t="array" ref="D156">Common_InputFunctions.Utility_DisplayArrayInTable(Common_SourceData.Common_SourceData_DataScores_Scope3_Data(), Table_SourceData_DataScores_Scope3[[#Headers],[Data source]], 0)</f>
        <v>State or regional scope 3 database</v>
      </c>
      <c r="E156" s="37" cm="1">
        <f t="array" ref="E156">Common_InputFunctions.Utility_DisplayArrayInTable(Common_SourceData.Common_SourceData_DataScores_Scope3_Data(), Table_SourceData_DataScores_Scope3[[#Headers],[Data source]], 0)</f>
        <v>3</v>
      </c>
    </row>
    <row r="157" spans="4:66" ht="20.100000000000001" customHeight="1" x14ac:dyDescent="0.25">
      <c r="D157" s="37" t="str" cm="1">
        <f t="array" ref="D157">Common_InputFunctions.Utility_DisplayArrayInTable(Common_SourceData.Common_SourceData_DataScores_Scope3_Data(), Table_SourceData_DataScores_Scope3[[#Headers],[Data source]], 0)</f>
        <v>Emissions intensity calculated from approved method</v>
      </c>
      <c r="E157" s="37" cm="1">
        <f t="array" ref="E157">Common_InputFunctions.Utility_DisplayArrayInTable(Common_SourceData.Common_SourceData_DataScores_Scope3_Data(), Table_SourceData_DataScores_Scope3[[#Headers],[Data source]], 0)</f>
        <v>4</v>
      </c>
    </row>
    <row r="158" spans="4:66" ht="20.100000000000001" customHeight="1" x14ac:dyDescent="0.25">
      <c r="D158" s="37" t="str" cm="1">
        <f t="array" ref="D158">Common_InputFunctions.Utility_DisplayArrayInTable(Common_SourceData.Common_SourceData_DataScores_Scope3_Data(), Table_SourceData_DataScores_Scope3[[#Headers],[Data source]], 0)</f>
        <v>Verified credential matching ISO14067</v>
      </c>
      <c r="E158" s="37"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6" t="str" cm="1">
        <f t="array" ref="D161">Common_SourceData.Common_SourceData_FracLEACH_Title()</f>
        <v>Fraction of N that is available for leaching and runoff</v>
      </c>
      <c r="E161" s="24"/>
    </row>
    <row r="162" spans="4:68" ht="20.100000000000001" customHeight="1" x14ac:dyDescent="0.25">
      <c r="D162" s="5" t="str" cm="1">
        <f t="array" ref="D162">Common_SourceData.Common_SourceData_FracLEACH_Source()</f>
        <v>VEERG 2026:5.5.2.3 Constant Parameters</v>
      </c>
      <c r="E162" s="24"/>
    </row>
    <row r="163" spans="4:68" ht="20.100000000000001" customHeight="1" x14ac:dyDescent="0.25">
      <c r="D163" s="5" t="str" cm="1">
        <f t="array" ref="D163">Common_SourceData.Common_SourceData_FracLEACH_NIRReference()</f>
        <v>National Inventory Report Volume 1: Leaching and runoff (3.D.b.2)</v>
      </c>
      <c r="E163" s="24"/>
    </row>
    <row r="164" spans="4:68" ht="20.100000000000001" customHeight="1" x14ac:dyDescent="0.25">
      <c r="D164" s="24" t="str" cm="1">
        <f t="array" ref="D164:E164">Common_SourceData.Common_SourceData_FracLEACH_Data()</f>
        <v>FracLEACH</v>
      </c>
      <c r="E164" s="24">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2"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2" t="str" cm="1">
        <f t="array" ref="D180">Common_SourceData.Common_SourceData_EFN2O_Unit()</f>
        <v>(kg N2O-N / kg N</v>
      </c>
    </row>
    <row r="181" spans="4:68" ht="20.100000000000001" customHeight="1" x14ac:dyDescent="0.25">
      <c r="D181" s="53" t="str" cm="1">
        <f t="array" ref="D181:D185">Common_SourceData.Common_SourceData_EFN2O_Variation()</f>
        <v>VARIATION OF SOURCE DATA:</v>
      </c>
    </row>
    <row r="182" spans="4:68" ht="20.100000000000001" customHeight="1" x14ac:dyDescent="0.25">
      <c r="D182" s="53" t="str">
        <v>Removed duplicate 'Aquaculture' row.</v>
      </c>
    </row>
    <row r="183" spans="4:68" ht="20.100000000000001" customHeight="1" x14ac:dyDescent="0.25">
      <c r="D183" s="53" t="str">
        <v>Removed asterisks to aid lookup.</v>
      </c>
    </row>
    <row r="184" spans="4:68" ht="20.100000000000001" customHeight="1" x14ac:dyDescent="0.25">
      <c r="D184" s="53" t="str">
        <v>Added 'production system only', 'rainfall zone' and 'irrigation method' columns to aid lookup.</v>
      </c>
    </row>
    <row r="185" spans="4:68" ht="20.100000000000001" customHeight="1" x14ac:dyDescent="0.25">
      <c r="D185" s="53" t="str">
        <v>Duplicated 'non-irrigated pasture' row with same EF for low and high rainfall zones to aid lookup.</v>
      </c>
    </row>
    <row r="186" spans="4:68" ht="20.100000000000001" customHeight="1" x14ac:dyDescent="0.25">
      <c r="D186" s="37" t="s">
        <v>113</v>
      </c>
      <c r="E186" s="37" t="s">
        <v>114</v>
      </c>
      <c r="F186" s="37" t="s">
        <v>115</v>
      </c>
      <c r="G186" s="37" t="s">
        <v>116</v>
      </c>
      <c r="H186" s="37" t="s">
        <v>24</v>
      </c>
    </row>
    <row r="187" spans="4:68" ht="20.100000000000001" customHeight="1" x14ac:dyDescent="0.25">
      <c r="D187" s="37" t="str" cm="1">
        <f t="array" ref="D187">Common_InputFunctions.Utility_DisplayArrayInTable(Common_SourceData.Common_SourceData_EFN2O_Data(), Table_SourceData_Common_EFN2O[[#Headers],[Production system j]], 0)</f>
        <v>Irrigated pasture</v>
      </c>
      <c r="E187" s="37" cm="1">
        <f t="array" ref="E187">Common_InputFunctions.Utility_DisplayArrayInTable(Common_SourceData.Common_SourceData_EFN2O_Data(), Table_SourceData_Common_EFN2O[[#Headers],[Production system j]], 0)</f>
        <v>5.8999999999999999E-3</v>
      </c>
      <c r="F187" s="37" t="str" cm="1">
        <f t="array" ref="F187">Common_InputFunctions.Utility_DisplayArrayInTable(Common_SourceData.Common_SourceData_EFN2O_Data(), Table_SourceData_Common_EFN2O[[#Headers],[Production system j]], 0)</f>
        <v>Pasture</v>
      </c>
      <c r="G187" s="37" t="str" cm="1">
        <f t="array" ref="G187">Common_InputFunctions.Utility_DisplayArrayInTable(Common_SourceData.Common_SourceData_EFN2O_Data(), Table_SourceData_Common_EFN2O[[#Headers],[Production system j]], 0)</f>
        <v>Any</v>
      </c>
      <c r="H187" s="37" t="str" cm="1">
        <f t="array" ref="H187">Common_InputFunctions.Utility_DisplayArrayInTable(Common_SourceData.Common_SourceData_EFN2O_Data(), Table_SourceData_Common_EFN2O[[#Headers],[Production system j]], 0)</f>
        <v>Any</v>
      </c>
    </row>
    <row r="188" spans="4:68" ht="20.100000000000001" customHeight="1" x14ac:dyDescent="0.25">
      <c r="D188" s="37" t="str" cm="1">
        <f t="array" ref="D188">Common_InputFunctions.Utility_DisplayArrayInTable(Common_SourceData.Common_SourceData_EFN2O_Data(), Table_SourceData_Common_EFN2O[[#Headers],[Production system j]], 0)</f>
        <v>Irrigated crop</v>
      </c>
      <c r="E188" s="37" cm="1">
        <f t="array" ref="E188">Common_InputFunctions.Utility_DisplayArrayInTable(Common_SourceData.Common_SourceData_EFN2O_Data(), Table_SourceData_Common_EFN2O[[#Headers],[Production system j]], 0)</f>
        <v>7.0000000000000001E-3</v>
      </c>
      <c r="F188" s="37" t="str" cm="1">
        <f t="array" ref="F188">Common_InputFunctions.Utility_DisplayArrayInTable(Common_SourceData.Common_SourceData_EFN2O_Data(), Table_SourceData_Common_EFN2O[[#Headers],[Production system j]], 0)</f>
        <v>Crop</v>
      </c>
      <c r="G188" s="37" t="str" cm="1">
        <f t="array" ref="G188">Common_InputFunctions.Utility_DisplayArrayInTable(Common_SourceData.Common_SourceData_EFN2O_Data(), Table_SourceData_Common_EFN2O[[#Headers],[Production system j]], 0)</f>
        <v>Any</v>
      </c>
      <c r="H188" s="37" t="str" cm="1">
        <f t="array" ref="H188">Common_InputFunctions.Utility_DisplayArrayInTable(Common_SourceData.Common_SourceData_EFN2O_Data(), Table_SourceData_Common_EFN2O[[#Headers],[Production system j]], 0)</f>
        <v>Any</v>
      </c>
    </row>
    <row r="189" spans="4:68" ht="20.100000000000001" customHeight="1" x14ac:dyDescent="0.25">
      <c r="D189" s="37" t="str" cm="1">
        <f t="array" ref="D189">Common_InputFunctions.Utility_DisplayArrayInTable(Common_SourceData.Common_SourceData_EFN2O_Data(), Table_SourceData_Common_EFN2O[[#Headers],[Production system j]], 0)</f>
        <v>Non-irrigated pasture</v>
      </c>
      <c r="E189" s="37" cm="1">
        <f t="array" ref="E189">Common_InputFunctions.Utility_DisplayArrayInTable(Common_SourceData.Common_SourceData_EFN2O_Data(), Table_SourceData_Common_EFN2O[[#Headers],[Production system j]], 0)</f>
        <v>1.8E-3</v>
      </c>
      <c r="F189" s="37" t="str" cm="1">
        <f t="array" ref="F189">Common_InputFunctions.Utility_DisplayArrayInTable(Common_SourceData.Common_SourceData_EFN2O_Data(), Table_SourceData_Common_EFN2O[[#Headers],[Production system j]], 0)</f>
        <v>Pasture</v>
      </c>
      <c r="G189" s="37" t="str" cm="1">
        <f t="array" ref="G189">Common_InputFunctions.Utility_DisplayArrayInTable(Common_SourceData.Common_SourceData_EFN2O_Data(), Table_SourceData_Common_EFN2O[[#Headers],[Production system j]], 0)</f>
        <v>Not irrigated</v>
      </c>
      <c r="H189" s="37"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7" t="str" cm="1">
        <f t="array" ref="D190">Common_InputFunctions.Utility_DisplayArrayInTable(Common_SourceData.Common_SourceData_EFN2O_Data(), Table_SourceData_Common_EFN2O[[#Headers],[Production system j]], 0)</f>
        <v>Non-irrigated pasture</v>
      </c>
      <c r="E190" s="37" cm="1">
        <f t="array" ref="E190">Common_InputFunctions.Utility_DisplayArrayInTable(Common_SourceData.Common_SourceData_EFN2O_Data(), Table_SourceData_Common_EFN2O[[#Headers],[Production system j]], 0)</f>
        <v>1.8E-3</v>
      </c>
      <c r="F190" s="37" t="str" cm="1">
        <f t="array" ref="F190">Common_InputFunctions.Utility_DisplayArrayInTable(Common_SourceData.Common_SourceData_EFN2O_Data(), Table_SourceData_Common_EFN2O[[#Headers],[Production system j]], 0)</f>
        <v>Pasture</v>
      </c>
      <c r="G190" s="37" t="str" cm="1">
        <f t="array" ref="G190">Common_InputFunctions.Utility_DisplayArrayInTable(Common_SourceData.Common_SourceData_EFN2O_Data(), Table_SourceData_Common_EFN2O[[#Headers],[Production system j]], 0)</f>
        <v>Not irrigated</v>
      </c>
      <c r="H190" s="37"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7" t="str" cm="1">
        <f t="array" ref="D191">Common_InputFunctions.Utility_DisplayArrayInTable(Common_SourceData.Common_SourceData_EFN2O_Data(), Table_SourceData_Common_EFN2O[[#Headers],[Production system j]], 0)</f>
        <v>Non-irrigated crop (low rainfall)</v>
      </c>
      <c r="E191" s="37" cm="1">
        <f t="array" ref="E191">Common_InputFunctions.Utility_DisplayArrayInTable(Common_SourceData.Common_SourceData_EFN2O_Data(), Table_SourceData_Common_EFN2O[[#Headers],[Production system j]], 0)</f>
        <v>2.8999999999999998E-3</v>
      </c>
      <c r="F191" s="37" t="str" cm="1">
        <f t="array" ref="F191">Common_InputFunctions.Utility_DisplayArrayInTable(Common_SourceData.Common_SourceData_EFN2O_Data(), Table_SourceData_Common_EFN2O[[#Headers],[Production system j]], 0)</f>
        <v>Crop</v>
      </c>
      <c r="G191" s="37" t="str" cm="1">
        <f t="array" ref="G191">Common_InputFunctions.Utility_DisplayArrayInTable(Common_SourceData.Common_SourceData_EFN2O_Data(), Table_SourceData_Common_EFN2O[[#Headers],[Production system j]], 0)</f>
        <v>Not irrigated</v>
      </c>
      <c r="H191" s="37"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7" t="str" cm="1">
        <f t="array" ref="D192">Common_InputFunctions.Utility_DisplayArrayInTable(Common_SourceData.Common_SourceData_EFN2O_Data(), Table_SourceData_Common_EFN2O[[#Headers],[Production system j]], 0)</f>
        <v>Non-irrigated crop (high rainfall)</v>
      </c>
      <c r="E192" s="37" cm="1">
        <f t="array" ref="E192">Common_InputFunctions.Utility_DisplayArrayInTable(Common_SourceData.Common_SourceData_EFN2O_Data(), Table_SourceData_Common_EFN2O[[#Headers],[Production system j]], 0)</f>
        <v>8.0000000000000002E-3</v>
      </c>
      <c r="F192" s="37" t="str" cm="1">
        <f t="array" ref="F192">Common_InputFunctions.Utility_DisplayArrayInTable(Common_SourceData.Common_SourceData_EFN2O_Data(), Table_SourceData_Common_EFN2O[[#Headers],[Production system j]], 0)</f>
        <v>Crop</v>
      </c>
      <c r="G192" s="37" t="str" cm="1">
        <f t="array" ref="G192">Common_InputFunctions.Utility_DisplayArrayInTable(Common_SourceData.Common_SourceData_EFN2O_Data(), Table_SourceData_Common_EFN2O[[#Headers],[Production system j]], 0)</f>
        <v>Not irrigated</v>
      </c>
      <c r="H192" s="37"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7" t="str" cm="1">
        <f t="array" ref="D193">Common_InputFunctions.Utility_DisplayArrayInTable(Common_SourceData.Common_SourceData_EFN2O_Data(), Table_SourceData_Common_EFN2O[[#Headers],[Production system j]], 0)</f>
        <v>Sugar</v>
      </c>
      <c r="E193" s="37" cm="1">
        <f t="array" ref="E193">Common_InputFunctions.Utility_DisplayArrayInTable(Common_SourceData.Common_SourceData_EFN2O_Data(), Table_SourceData_Common_EFN2O[[#Headers],[Production system j]], 0)</f>
        <v>1.9900000000000001E-2</v>
      </c>
      <c r="F193" s="37" t="str" cm="1">
        <f t="array" ref="F193">Common_InputFunctions.Utility_DisplayArrayInTable(Common_SourceData.Common_SourceData_EFN2O_Data(), Table_SourceData_Common_EFN2O[[#Headers],[Production system j]], 0)</f>
        <v>Sugar</v>
      </c>
      <c r="G193" s="37" t="str" cm="1">
        <f t="array" ref="G193">Common_InputFunctions.Utility_DisplayArrayInTable(Common_SourceData.Common_SourceData_EFN2O_Data(), Table_SourceData_Common_EFN2O[[#Headers],[Production system j]], 0)</f>
        <v>Any</v>
      </c>
      <c r="H193" s="37" t="str" cm="1">
        <f t="array" ref="H193">Common_InputFunctions.Utility_DisplayArrayInTable(Common_SourceData.Common_SourceData_EFN2O_Data(), Table_SourceData_Common_EFN2O[[#Headers],[Production system j]], 0)</f>
        <v>Any</v>
      </c>
    </row>
    <row r="194" spans="4:8" ht="20.100000000000001" customHeight="1" x14ac:dyDescent="0.25">
      <c r="D194" s="37" t="str" cm="1">
        <f t="array" ref="D194">Common_InputFunctions.Utility_DisplayArrayInTable(Common_SourceData.Common_SourceData_EFN2O_Data(), Table_SourceData_Common_EFN2O[[#Headers],[Production system j]], 0)</f>
        <v>Cotton</v>
      </c>
      <c r="E194" s="37" cm="1">
        <f t="array" ref="E194">Common_InputFunctions.Utility_DisplayArrayInTable(Common_SourceData.Common_SourceData_EFN2O_Data(), Table_SourceData_Common_EFN2O[[#Headers],[Production system j]], 0)</f>
        <v>5.3E-3</v>
      </c>
      <c r="F194" s="37" t="str" cm="1">
        <f t="array" ref="F194">Common_InputFunctions.Utility_DisplayArrayInTable(Common_SourceData.Common_SourceData_EFN2O_Data(), Table_SourceData_Common_EFN2O[[#Headers],[Production system j]], 0)</f>
        <v>Cotton</v>
      </c>
      <c r="G194" s="37" t="str" cm="1">
        <f t="array" ref="G194">Common_InputFunctions.Utility_DisplayArrayInTable(Common_SourceData.Common_SourceData_EFN2O_Data(), Table_SourceData_Common_EFN2O[[#Headers],[Production system j]], 0)</f>
        <v>Any</v>
      </c>
      <c r="H194" s="37" t="str" cm="1">
        <f t="array" ref="H194">Common_InputFunctions.Utility_DisplayArrayInTable(Common_SourceData.Common_SourceData_EFN2O_Data(), Table_SourceData_Common_EFN2O[[#Headers],[Production system j]], 0)</f>
        <v>Any</v>
      </c>
    </row>
    <row r="195" spans="4:8" ht="20.100000000000001" customHeight="1" x14ac:dyDescent="0.25">
      <c r="D195" s="37" t="str" cm="1">
        <f t="array" ref="D195">Common_InputFunctions.Utility_DisplayArrayInTable(Common_SourceData.Common_SourceData_EFN2O_Data(), Table_SourceData_Common_EFN2O[[#Headers],[Production system j]], 0)</f>
        <v>Horticultural crops</v>
      </c>
      <c r="E195" s="37" cm="1">
        <f t="array" ref="E195">Common_InputFunctions.Utility_DisplayArrayInTable(Common_SourceData.Common_SourceData_EFN2O_Data(), Table_SourceData_Common_EFN2O[[#Headers],[Production system j]], 0)</f>
        <v>6.4000000000000003E-3</v>
      </c>
      <c r="F195" s="37" t="str" cm="1">
        <f t="array" ref="F195">Common_InputFunctions.Utility_DisplayArrayInTable(Common_SourceData.Common_SourceData_EFN2O_Data(), Table_SourceData_Common_EFN2O[[#Headers],[Production system j]], 0)</f>
        <v>Horticultural crops</v>
      </c>
      <c r="G195" s="37" t="str" cm="1">
        <f t="array" ref="G195">Common_InputFunctions.Utility_DisplayArrayInTable(Common_SourceData.Common_SourceData_EFN2O_Data(), Table_SourceData_Common_EFN2O[[#Headers],[Production system j]], 0)</f>
        <v>Any</v>
      </c>
      <c r="H195" s="37" t="str" cm="1">
        <f t="array" ref="H195">Common_InputFunctions.Utility_DisplayArrayInTable(Common_SourceData.Common_SourceData_EFN2O_Data(), Table_SourceData_Common_EFN2O[[#Headers],[Production system j]], 0)</f>
        <v>Any</v>
      </c>
    </row>
    <row r="196" spans="4:8" ht="20.100000000000001" customHeight="1" x14ac:dyDescent="0.25">
      <c r="D196" s="37" t="str" cm="1">
        <f t="array" ref="D196">Common_InputFunctions.Utility_DisplayArrayInTable(Common_SourceData.Common_SourceData_EFN2O_Data(), Table_SourceData_Common_EFN2O[[#Headers],[Production system j]], 0)</f>
        <v>Rice (continuous flooding)</v>
      </c>
      <c r="E196" s="37" cm="1">
        <f t="array" ref="E196">Common_InputFunctions.Utility_DisplayArrayInTable(Common_SourceData.Common_SourceData_EFN2O_Data(), Table_SourceData_Common_EFN2O[[#Headers],[Production system j]], 0)</f>
        <v>3.0000000000000001E-3</v>
      </c>
      <c r="F196" s="37" t="str" cm="1">
        <f t="array" ref="F196">Common_InputFunctions.Utility_DisplayArrayInTable(Common_SourceData.Common_SourceData_EFN2O_Data(), Table_SourceData_Common_EFN2O[[#Headers],[Production system j]], 0)</f>
        <v>Rice</v>
      </c>
      <c r="G196" s="37" t="str" cm="1">
        <f t="array" ref="G196">Common_InputFunctions.Utility_DisplayArrayInTable(Common_SourceData.Common_SourceData_EFN2O_Data(), Table_SourceData_Common_EFN2O[[#Headers],[Production system j]], 0)</f>
        <v>Continuous flooding</v>
      </c>
      <c r="H196" s="37" t="str" cm="1">
        <f t="array" ref="H196">Common_InputFunctions.Utility_DisplayArrayInTable(Common_SourceData.Common_SourceData_EFN2O_Data(), Table_SourceData_Common_EFN2O[[#Headers],[Production system j]], 0)</f>
        <v>Any</v>
      </c>
    </row>
    <row r="197" spans="4:8" x14ac:dyDescent="0.25">
      <c r="D197" s="37" t="str" cm="1">
        <f t="array" ref="D197">Common_InputFunctions.Utility_DisplayArrayInTable(Common_SourceData.Common_SourceData_EFN2O_Data(), Table_SourceData_Common_EFN2O[[#Headers],[Production system j]], 0)</f>
        <v>Rice (single and multiple drainage, or alternate wetting and drying)</v>
      </c>
      <c r="E197" s="37" cm="1">
        <f t="array" ref="E197">Common_InputFunctions.Utility_DisplayArrayInTable(Common_SourceData.Common_SourceData_EFN2O_Data(), Table_SourceData_Common_EFN2O[[#Headers],[Production system j]], 0)</f>
        <v>5.0000000000000001E-3</v>
      </c>
      <c r="F197" s="37" t="str" cm="1">
        <f t="array" ref="F197">Common_InputFunctions.Utility_DisplayArrayInTable(Common_SourceData.Common_SourceData_EFN2O_Data(), Table_SourceData_Common_EFN2O[[#Headers],[Production system j]], 0)</f>
        <v>Rice</v>
      </c>
      <c r="G197" s="37" t="str" cm="1">
        <f t="array" ref="G197">Common_InputFunctions.Utility_DisplayArrayInTable(Common_SourceData.Common_SourceData_EFN2O_Data(), Table_SourceData_Common_EFN2O[[#Headers],[Production system j]], 0)</f>
        <v>Single and multiple drainage, or alternate wetting and drying</v>
      </c>
      <c r="H197" s="37" t="str" cm="1">
        <f t="array" ref="H197">Common_InputFunctions.Utility_DisplayArrayInTable(Common_SourceData.Common_SourceData_EFN2O_Data(), Table_SourceData_Common_EFN2O[[#Headers],[Production system j]], 0)</f>
        <v>Any</v>
      </c>
    </row>
    <row r="198" spans="4:8" x14ac:dyDescent="0.25">
      <c r="D198" s="37" t="str" cm="1">
        <f t="array" ref="D198">Common_InputFunctions.Utility_DisplayArrayInTable(Common_SourceData.Common_SourceData_EFN2O_Data(), Table_SourceData_Common_EFN2O[[#Headers],[Production system j]], 0)</f>
        <v>Aquaculture</v>
      </c>
      <c r="E198" s="37" cm="1">
        <f t="array" ref="E198">Common_InputFunctions.Utility_DisplayArrayInTable(Common_SourceData.Common_SourceData_EFN2O_Data(), Table_SourceData_Common_EFN2O[[#Headers],[Production system j]], 0)</f>
        <v>2.5999999999999999E-3</v>
      </c>
      <c r="F198" s="37" t="str" cm="1">
        <f t="array" ref="F198">Common_InputFunctions.Utility_DisplayArrayInTable(Common_SourceData.Common_SourceData_EFN2O_Data(), Table_SourceData_Common_EFN2O[[#Headers],[Production system j]], 0)</f>
        <v>Aquaculture</v>
      </c>
      <c r="G198" s="37" t="str" cm="1">
        <f t="array" ref="G198">Common_InputFunctions.Utility_DisplayArrayInTable(Common_SourceData.Common_SourceData_EFN2O_Data(), Table_SourceData_Common_EFN2O[[#Headers],[Production system j]], 0)</f>
        <v>Any</v>
      </c>
      <c r="H198" s="37" t="str" cm="1">
        <f t="array" ref="H198">Common_InputFunctions.Utility_DisplayArrayInTable(Common_SourceData.Common_SourceData_EFN2O_Data(), Table_SourceData_Common_EFN2O[[#Headers],[Production system j]], 0)</f>
        <v>Any</v>
      </c>
    </row>
    <row r="199" spans="4:8" x14ac:dyDescent="0.25">
      <c r="D199" s="37" t="str" cm="1">
        <f t="array" ref="D199">Common_InputFunctions.Utility_DisplayArrayInTable(Common_SourceData.Common_SourceData_EFN2O_Data(), Table_SourceData_Common_EFN2O[[#Headers],[Production system j]], 0)</f>
        <v>Forestry</v>
      </c>
      <c r="E199" s="37" cm="1">
        <f t="array" ref="E199">Common_InputFunctions.Utility_DisplayArrayInTable(Common_SourceData.Common_SourceData_EFN2O_Data(), Table_SourceData_Common_EFN2O[[#Headers],[Production system j]], 0)</f>
        <v>1.8E-3</v>
      </c>
      <c r="F199" s="37" t="str" cm="1">
        <f t="array" ref="F199">Common_InputFunctions.Utility_DisplayArrayInTable(Common_SourceData.Common_SourceData_EFN2O_Data(), Table_SourceData_Common_EFN2O[[#Headers],[Production system j]], 0)</f>
        <v>Forestry</v>
      </c>
      <c r="G199" s="37" t="str" cm="1">
        <f t="array" ref="G199">Common_InputFunctions.Utility_DisplayArrayInTable(Common_SourceData.Common_SourceData_EFN2O_Data(), Table_SourceData_Common_EFN2O[[#Headers],[Production system j]], 0)</f>
        <v>Any</v>
      </c>
      <c r="H199" s="37"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3" t="str" cm="1">
        <f t="array" ref="D204">Common_SourceData.Common_SourceData_EFPastureRangeAndPaddock_Variation()</f>
        <v>VARIATION FROM SOURCE DATA: Changed 'Dry climate zones' to singular 'Dry climate zone' to aid lookup.</v>
      </c>
    </row>
    <row r="205" spans="4:8" x14ac:dyDescent="0.25">
      <c r="D205" s="52" t="str" cm="1">
        <f t="array" ref="D205">Common_SourceData.Common_SourceData_EFPastureRangeAndPaddock_Unit()</f>
        <v>kg N2O - N / kg N</v>
      </c>
    </row>
    <row r="206" spans="4:8" x14ac:dyDescent="0.25">
      <c r="D206" s="37" t="s">
        <v>7</v>
      </c>
      <c r="E206" s="37" t="s">
        <v>131</v>
      </c>
    </row>
    <row r="207" spans="4:8" x14ac:dyDescent="0.25">
      <c r="D207" s="37" t="str" cm="1">
        <f t="array" ref="D207">Common_InputFunctions.Utility_DisplayArrayInTable(Common_SourceData.Common_SourceData_EFPastureRangeAndPaddock_Data(), Table_SourceData_EFPastureRangeAndPaddock[[#Headers],[Climate zone]], 0)</f>
        <v>Wet climate zone</v>
      </c>
      <c r="E207" s="37"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7"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7" t="s">
        <v>132</v>
      </c>
      <c r="E212" s="37" t="s">
        <v>133</v>
      </c>
    </row>
    <row r="213" spans="4:5" x14ac:dyDescent="0.25">
      <c r="D213" s="37" t="str" cm="1">
        <f t="array" ref="D213">Common_InputFunctions.Utility_DisplayArrayInTable(Common_SourceData.Common_SourceData_MonthsToSeasons_Data(), Table_SourceData_Common_MonthToSeason[[#Headers],[Month]], 0)</f>
        <v>January</v>
      </c>
      <c r="E213" s="37"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7"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7"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7"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7"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7"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7"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7"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7"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7"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7"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7"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3"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7" t="s">
        <v>41</v>
      </c>
      <c r="E231" s="37" t="s">
        <v>143</v>
      </c>
      <c r="F231" s="36" t="s">
        <v>144</v>
      </c>
      <c r="G231" s="37" t="s">
        <v>145</v>
      </c>
      <c r="H231" s="37" t="s">
        <v>146</v>
      </c>
      <c r="I231" s="37" t="s">
        <v>147</v>
      </c>
      <c r="J231" s="37" t="s">
        <v>148</v>
      </c>
      <c r="K231" s="37" t="s">
        <v>149</v>
      </c>
      <c r="L231" s="37" t="s">
        <v>150</v>
      </c>
      <c r="M231" s="37" t="s">
        <v>151</v>
      </c>
      <c r="N231" s="37" t="s">
        <v>152</v>
      </c>
      <c r="O231" s="37" t="s">
        <v>153</v>
      </c>
      <c r="P231" s="37" t="s">
        <v>154</v>
      </c>
      <c r="Q231" s="37" t="s">
        <v>140</v>
      </c>
      <c r="R231" s="37" t="s">
        <v>155</v>
      </c>
      <c r="S231" s="37" t="s">
        <v>156</v>
      </c>
    </row>
    <row r="232" spans="4:19" x14ac:dyDescent="0.25">
      <c r="D232" s="37" t="str" cm="1">
        <f t="array" ref="D232">Common_InputFunctions.Utility_DisplayArrayInTable(Common_SourceData.Common_SourceData_MCFTemperatureZone_Data(),Table_SourceData_Common_MCFTemperatureZone[[#Headers],[Temperature zone]],0)</f>
        <v>Cool</v>
      </c>
      <c r="E232" s="37" t="str" cm="1">
        <f t="array" ref="E232">Common_InputFunctions.Utility_DisplayArrayInTable(Common_SourceData.Common_SourceData_MCFTemperatureZone_Data(),Table_SourceData_Common_MCFTemperatureZone[[#Headers],[Temperature zone]],0)</f>
        <v>≤10</v>
      </c>
      <c r="F232" s="37" cm="1">
        <f t="array" ref="F232">Common_InputFunctions.Utility_DisplayArrayInTable(Common_SourceData.Common_SourceData_MCFTemperatureZone_Data(),Table_SourceData_Common_MCFTemperatureZone[[#Headers],[Temperature zone]],0)</f>
        <v>0.66</v>
      </c>
      <c r="G232" s="37" cm="1">
        <f t="array" ref="G232">Common_InputFunctions.Utility_DisplayArrayInTable(Common_SourceData.Common_SourceData_MCFTemperatureZone_Data(),Table_SourceData_Common_MCFTemperatureZone[[#Headers],[Temperature zone]],0)</f>
        <v>0.1</v>
      </c>
      <c r="H232" s="37" cm="1">
        <f t="array" ref="H232">Common_InputFunctions.Utility_DisplayArrayInTable(Common_SourceData.Common_SourceData_MCFTemperatureZone_Data(),Table_SourceData_Common_MCFTemperatureZone[[#Headers],[Temperature zone]],0)</f>
        <v>0.1</v>
      </c>
      <c r="I232" s="37" cm="1">
        <f t="array" ref="I232">Common_InputFunctions.Utility_DisplayArrayInTable(Common_SourceData.Common_SourceData_MCFTemperatureZone_Data(),Table_SourceData_Common_MCFTemperatureZone[[#Headers],[Temperature zone]],0)</f>
        <v>1E-3</v>
      </c>
      <c r="J232" s="37" cm="1">
        <f t="array" ref="J232">Common_InputFunctions.Utility_DisplayArrayInTable(Common_SourceData.Common_SourceData_MCFTemperatureZone_Data(),Table_SourceData_Common_MCFTemperatureZone[[#Headers],[Temperature zone]],0)</f>
        <v>5.0000000000000001E-3</v>
      </c>
      <c r="K232" s="37" cm="1">
        <f t="array" ref="K232">Common_InputFunctions.Utility_DisplayArrayInTable(Common_SourceData.Common_SourceData_MCFTemperatureZone_Data(),Table_SourceData_Common_MCFTemperatureZone[[#Headers],[Temperature zone]],0)</f>
        <v>0.02</v>
      </c>
      <c r="L232" s="37" cm="1">
        <f t="array" ref="L232">Common_InputFunctions.Utility_DisplayArrayInTable(Common_SourceData.Common_SourceData_MCFTemperatureZone_Data(),Table_SourceData_Common_MCFTemperatureZone[[#Headers],[Temperature zone]],0)</f>
        <v>0.03</v>
      </c>
      <c r="M232" s="37" cm="1">
        <f t="array" ref="M232">Common_InputFunctions.Utility_DisplayArrayInTable(Common_SourceData.Common_SourceData_MCFTemperatureZone_Data(),Table_SourceData_Common_MCFTemperatureZone[[#Headers],[Temperature zone]],0)</f>
        <v>0.04</v>
      </c>
      <c r="N232" s="37" cm="1">
        <f t="array" ref="N232">Common_InputFunctions.Utility_DisplayArrayInTable(Common_SourceData.Common_SourceData_MCFTemperatureZone_Data(),Table_SourceData_Common_MCFTemperatureZone[[#Headers],[Temperature zone]],0)</f>
        <v>1.4999999999999999E-2</v>
      </c>
      <c r="O232" s="37" cm="1">
        <f t="array" ref="O232">Common_InputFunctions.Utility_DisplayArrayInTable(Common_SourceData.Common_SourceData_MCFTemperatureZone_Data(),Table_SourceData_Common_MCFTemperatureZone[[#Headers],[Temperature zone]],0)</f>
        <v>1.4999999999999999E-2</v>
      </c>
      <c r="P232" s="37" cm="1">
        <f t="array" ref="P232">Common_InputFunctions.Utility_DisplayArrayInTable(Common_SourceData.Common_SourceData_MCFTemperatureZone_Data(),Table_SourceData_Common_MCFTemperatureZone[[#Headers],[Temperature zone]],0)</f>
        <v>0</v>
      </c>
      <c r="Q232" s="37" cm="1">
        <f t="array" ref="Q232">Common_InputFunctions.Utility_DisplayArrayInTable(Common_SourceData.Common_SourceData_MCFTemperatureZone_Data(),Table_SourceData_Common_MCFTemperatureZone[[#Headers],[Temperature zone]],0)</f>
        <v>0</v>
      </c>
      <c r="R232" s="37" cm="1">
        <f t="array" ref="R232">Common_InputFunctions.Utility_DisplayArrayInTable(Common_SourceData.Common_SourceData_MCFTemperatureZone_Data(),Table_SourceData_Common_MCFTemperatureZone[[#Headers],[Temperature zone]],0)</f>
        <v>4.7000000000000002E-3</v>
      </c>
      <c r="S232" s="37"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7" cm="1">
        <f t="array" ref="E233">Common_InputFunctions.Utility_DisplayArrayInTable(Common_SourceData.Common_SourceData_MCFTemperatureZone_Data(),Table_SourceData_Common_MCFTemperatureZone[[#Headers],[Temperature zone]],0)</f>
        <v>11</v>
      </c>
      <c r="F233" s="37" cm="1">
        <f t="array" ref="F233">Common_InputFunctions.Utility_DisplayArrayInTable(Common_SourceData.Common_SourceData_MCFTemperatureZone_Data(),Table_SourceData_Common_MCFTemperatureZone[[#Headers],[Temperature zone]],0)</f>
        <v>0.68</v>
      </c>
      <c r="G233" s="37" cm="1">
        <f t="array" ref="G233">Common_InputFunctions.Utility_DisplayArrayInTable(Common_SourceData.Common_SourceData_MCFTemperatureZone_Data(),Table_SourceData_Common_MCFTemperatureZone[[#Headers],[Temperature zone]],0)</f>
        <v>0.1</v>
      </c>
      <c r="H233" s="37" cm="1">
        <f t="array" ref="H233">Common_InputFunctions.Utility_DisplayArrayInTable(Common_SourceData.Common_SourceData_MCFTemperatureZone_Data(),Table_SourceData_Common_MCFTemperatureZone[[#Headers],[Temperature zone]],0)</f>
        <v>0.11</v>
      </c>
      <c r="I233" s="37" cm="1">
        <f t="array" ref="I233">Common_InputFunctions.Utility_DisplayArrayInTable(Common_SourceData.Common_SourceData_MCFTemperatureZone_Data(),Table_SourceData_Common_MCFTemperatureZone[[#Headers],[Temperature zone]],0)</f>
        <v>1E-3</v>
      </c>
      <c r="J233" s="37" cm="1">
        <f t="array" ref="J233">Common_InputFunctions.Utility_DisplayArrayInTable(Common_SourceData.Common_SourceData_MCFTemperatureZone_Data(),Table_SourceData_Common_MCFTemperatureZone[[#Headers],[Temperature zone]],0)</f>
        <v>5.0000000000000001E-3</v>
      </c>
      <c r="K233" s="37" cm="1">
        <f t="array" ref="K233">Common_InputFunctions.Utility_DisplayArrayInTable(Common_SourceData.Common_SourceData_MCFTemperatureZone_Data(),Table_SourceData_Common_MCFTemperatureZone[[#Headers],[Temperature zone]],0)</f>
        <v>0.02</v>
      </c>
      <c r="L233" s="37" cm="1">
        <f t="array" ref="L233">Common_InputFunctions.Utility_DisplayArrayInTable(Common_SourceData.Common_SourceData_MCFTemperatureZone_Data(),Table_SourceData_Common_MCFTemperatureZone[[#Headers],[Temperature zone]],0)</f>
        <v>0.03</v>
      </c>
      <c r="M233" s="37" cm="1">
        <f t="array" ref="M233">Common_InputFunctions.Utility_DisplayArrayInTable(Common_SourceData.Common_SourceData_MCFTemperatureZone_Data(),Table_SourceData_Common_MCFTemperatureZone[[#Headers],[Temperature zone]],0)</f>
        <v>0.04</v>
      </c>
      <c r="N233" s="37" cm="1">
        <f t="array" ref="N233">Common_InputFunctions.Utility_DisplayArrayInTable(Common_SourceData.Common_SourceData_MCFTemperatureZone_Data(),Table_SourceData_Common_MCFTemperatureZone[[#Headers],[Temperature zone]],0)</f>
        <v>1.4999999999999999E-2</v>
      </c>
      <c r="O233" s="37" cm="1">
        <f t="array" ref="O233">Common_InputFunctions.Utility_DisplayArrayInTable(Common_SourceData.Common_SourceData_MCFTemperatureZone_Data(),Table_SourceData_Common_MCFTemperatureZone[[#Headers],[Temperature zone]],0)</f>
        <v>1.4999999999999999E-2</v>
      </c>
      <c r="P233" s="37" cm="1">
        <f t="array" ref="P233">Common_InputFunctions.Utility_DisplayArrayInTable(Common_SourceData.Common_SourceData_MCFTemperatureZone_Data(),Table_SourceData_Common_MCFTemperatureZone[[#Headers],[Temperature zone]],0)</f>
        <v>0</v>
      </c>
      <c r="Q233" s="37" cm="1">
        <f t="array" ref="Q233">Common_InputFunctions.Utility_DisplayArrayInTable(Common_SourceData.Common_SourceData_MCFTemperatureZone_Data(),Table_SourceData_Common_MCFTemperatureZone[[#Headers],[Temperature zone]],0)</f>
        <v>0</v>
      </c>
      <c r="R233" s="37" cm="1">
        <f t="array" ref="R233">Common_InputFunctions.Utility_DisplayArrayInTable(Common_SourceData.Common_SourceData_MCFTemperatureZone_Data(),Table_SourceData_Common_MCFTemperatureZone[[#Headers],[Temperature zone]],0)</f>
        <v>4.7000000000000002E-3</v>
      </c>
      <c r="S233" s="37"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7" cm="1">
        <f t="array" ref="E234">Common_InputFunctions.Utility_DisplayArrayInTable(Common_SourceData.Common_SourceData_MCFTemperatureZone_Data(),Table_SourceData_Common_MCFTemperatureZone[[#Headers],[Temperature zone]],0)</f>
        <v>12</v>
      </c>
      <c r="F234" s="37" cm="1">
        <f t="array" ref="F234">Common_InputFunctions.Utility_DisplayArrayInTable(Common_SourceData.Common_SourceData_MCFTemperatureZone_Data(),Table_SourceData_Common_MCFTemperatureZone[[#Headers],[Temperature zone]],0)</f>
        <v>0.7</v>
      </c>
      <c r="G234" s="37" cm="1">
        <f t="array" ref="G234">Common_InputFunctions.Utility_DisplayArrayInTable(Common_SourceData.Common_SourceData_MCFTemperatureZone_Data(),Table_SourceData_Common_MCFTemperatureZone[[#Headers],[Temperature zone]],0)</f>
        <v>0.1</v>
      </c>
      <c r="H234" s="37" cm="1">
        <f t="array" ref="H234">Common_InputFunctions.Utility_DisplayArrayInTable(Common_SourceData.Common_SourceData_MCFTemperatureZone_Data(),Table_SourceData_Common_MCFTemperatureZone[[#Headers],[Temperature zone]],0)</f>
        <v>0.13</v>
      </c>
      <c r="I234" s="37" cm="1">
        <f t="array" ref="I234">Common_InputFunctions.Utility_DisplayArrayInTable(Common_SourceData.Common_SourceData_MCFTemperatureZone_Data(),Table_SourceData_Common_MCFTemperatureZone[[#Headers],[Temperature zone]],0)</f>
        <v>1E-3</v>
      </c>
      <c r="J234" s="37" cm="1">
        <f t="array" ref="J234">Common_InputFunctions.Utility_DisplayArrayInTable(Common_SourceData.Common_SourceData_MCFTemperatureZone_Data(),Table_SourceData_Common_MCFTemperatureZone[[#Headers],[Temperature zone]],0)</f>
        <v>5.0000000000000001E-3</v>
      </c>
      <c r="K234" s="37" cm="1">
        <f t="array" ref="K234">Common_InputFunctions.Utility_DisplayArrayInTable(Common_SourceData.Common_SourceData_MCFTemperatureZone_Data(),Table_SourceData_Common_MCFTemperatureZone[[#Headers],[Temperature zone]],0)</f>
        <v>0.02</v>
      </c>
      <c r="L234" s="37" cm="1">
        <f t="array" ref="L234">Common_InputFunctions.Utility_DisplayArrayInTable(Common_SourceData.Common_SourceData_MCFTemperatureZone_Data(),Table_SourceData_Common_MCFTemperatureZone[[#Headers],[Temperature zone]],0)</f>
        <v>0.03</v>
      </c>
      <c r="M234" s="37" cm="1">
        <f t="array" ref="M234">Common_InputFunctions.Utility_DisplayArrayInTable(Common_SourceData.Common_SourceData_MCFTemperatureZone_Data(),Table_SourceData_Common_MCFTemperatureZone[[#Headers],[Temperature zone]],0)</f>
        <v>0.04</v>
      </c>
      <c r="N234" s="37" cm="1">
        <f t="array" ref="N234">Common_InputFunctions.Utility_DisplayArrayInTable(Common_SourceData.Common_SourceData_MCFTemperatureZone_Data(),Table_SourceData_Common_MCFTemperatureZone[[#Headers],[Temperature zone]],0)</f>
        <v>1.4999999999999999E-2</v>
      </c>
      <c r="O234" s="37" cm="1">
        <f t="array" ref="O234">Common_InputFunctions.Utility_DisplayArrayInTable(Common_SourceData.Common_SourceData_MCFTemperatureZone_Data(),Table_SourceData_Common_MCFTemperatureZone[[#Headers],[Temperature zone]],0)</f>
        <v>1.4999999999999999E-2</v>
      </c>
      <c r="P234" s="37" cm="1">
        <f t="array" ref="P234">Common_InputFunctions.Utility_DisplayArrayInTable(Common_SourceData.Common_SourceData_MCFTemperatureZone_Data(),Table_SourceData_Common_MCFTemperatureZone[[#Headers],[Temperature zone]],0)</f>
        <v>0</v>
      </c>
      <c r="Q234" s="37" cm="1">
        <f t="array" ref="Q234">Common_InputFunctions.Utility_DisplayArrayInTable(Common_SourceData.Common_SourceData_MCFTemperatureZone_Data(),Table_SourceData_Common_MCFTemperatureZone[[#Headers],[Temperature zone]],0)</f>
        <v>0</v>
      </c>
      <c r="R234" s="37" cm="1">
        <f t="array" ref="R234">Common_InputFunctions.Utility_DisplayArrayInTable(Common_SourceData.Common_SourceData_MCFTemperatureZone_Data(),Table_SourceData_Common_MCFTemperatureZone[[#Headers],[Temperature zone]],0)</f>
        <v>4.7000000000000002E-3</v>
      </c>
      <c r="S234" s="37"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7" cm="1">
        <f t="array" ref="E235">Common_InputFunctions.Utility_DisplayArrayInTable(Common_SourceData.Common_SourceData_MCFTemperatureZone_Data(),Table_SourceData_Common_MCFTemperatureZone[[#Headers],[Temperature zone]],0)</f>
        <v>13</v>
      </c>
      <c r="F235" s="37" cm="1">
        <f t="array" ref="F235">Common_InputFunctions.Utility_DisplayArrayInTable(Common_SourceData.Common_SourceData_MCFTemperatureZone_Data(),Table_SourceData_Common_MCFTemperatureZone[[#Headers],[Temperature zone]],0)</f>
        <v>0.71</v>
      </c>
      <c r="G235" s="37" cm="1">
        <f t="array" ref="G235">Common_InputFunctions.Utility_DisplayArrayInTable(Common_SourceData.Common_SourceData_MCFTemperatureZone_Data(),Table_SourceData_Common_MCFTemperatureZone[[#Headers],[Temperature zone]],0)</f>
        <v>0.1</v>
      </c>
      <c r="H235" s="37" cm="1">
        <f t="array" ref="H235">Common_InputFunctions.Utility_DisplayArrayInTable(Common_SourceData.Common_SourceData_MCFTemperatureZone_Data(),Table_SourceData_Common_MCFTemperatureZone[[#Headers],[Temperature zone]],0)</f>
        <v>0.14000000000000001</v>
      </c>
      <c r="I235" s="37" cm="1">
        <f t="array" ref="I235">Common_InputFunctions.Utility_DisplayArrayInTable(Common_SourceData.Common_SourceData_MCFTemperatureZone_Data(),Table_SourceData_Common_MCFTemperatureZone[[#Headers],[Temperature zone]],0)</f>
        <v>1E-3</v>
      </c>
      <c r="J235" s="37" cm="1">
        <f t="array" ref="J235">Common_InputFunctions.Utility_DisplayArrayInTable(Common_SourceData.Common_SourceData_MCFTemperatureZone_Data(),Table_SourceData_Common_MCFTemperatureZone[[#Headers],[Temperature zone]],0)</f>
        <v>5.0000000000000001E-3</v>
      </c>
      <c r="K235" s="37" cm="1">
        <f t="array" ref="K235">Common_InputFunctions.Utility_DisplayArrayInTable(Common_SourceData.Common_SourceData_MCFTemperatureZone_Data(),Table_SourceData_Common_MCFTemperatureZone[[#Headers],[Temperature zone]],0)</f>
        <v>0.02</v>
      </c>
      <c r="L235" s="37" cm="1">
        <f t="array" ref="L235">Common_InputFunctions.Utility_DisplayArrayInTable(Common_SourceData.Common_SourceData_MCFTemperatureZone_Data(),Table_SourceData_Common_MCFTemperatureZone[[#Headers],[Temperature zone]],0)</f>
        <v>0.03</v>
      </c>
      <c r="M235" s="37" cm="1">
        <f t="array" ref="M235">Common_InputFunctions.Utility_DisplayArrayInTable(Common_SourceData.Common_SourceData_MCFTemperatureZone_Data(),Table_SourceData_Common_MCFTemperatureZone[[#Headers],[Temperature zone]],0)</f>
        <v>0.04</v>
      </c>
      <c r="N235" s="37" cm="1">
        <f t="array" ref="N235">Common_InputFunctions.Utility_DisplayArrayInTable(Common_SourceData.Common_SourceData_MCFTemperatureZone_Data(),Table_SourceData_Common_MCFTemperatureZone[[#Headers],[Temperature zone]],0)</f>
        <v>1.4999999999999999E-2</v>
      </c>
      <c r="O235" s="37" cm="1">
        <f t="array" ref="O235">Common_InputFunctions.Utility_DisplayArrayInTable(Common_SourceData.Common_SourceData_MCFTemperatureZone_Data(),Table_SourceData_Common_MCFTemperatureZone[[#Headers],[Temperature zone]],0)</f>
        <v>1.4999999999999999E-2</v>
      </c>
      <c r="P235" s="37" cm="1">
        <f t="array" ref="P235">Common_InputFunctions.Utility_DisplayArrayInTable(Common_SourceData.Common_SourceData_MCFTemperatureZone_Data(),Table_SourceData_Common_MCFTemperatureZone[[#Headers],[Temperature zone]],0)</f>
        <v>0</v>
      </c>
      <c r="Q235" s="37" cm="1">
        <f t="array" ref="Q235">Common_InputFunctions.Utility_DisplayArrayInTable(Common_SourceData.Common_SourceData_MCFTemperatureZone_Data(),Table_SourceData_Common_MCFTemperatureZone[[#Headers],[Temperature zone]],0)</f>
        <v>0</v>
      </c>
      <c r="R235" s="37" cm="1">
        <f t="array" ref="R235">Common_InputFunctions.Utility_DisplayArrayInTable(Common_SourceData.Common_SourceData_MCFTemperatureZone_Data(),Table_SourceData_Common_MCFTemperatureZone[[#Headers],[Temperature zone]],0)</f>
        <v>4.7000000000000002E-3</v>
      </c>
      <c r="S235" s="37"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7" cm="1">
        <f t="array" ref="E236">Common_InputFunctions.Utility_DisplayArrayInTable(Common_SourceData.Common_SourceData_MCFTemperatureZone_Data(),Table_SourceData_Common_MCFTemperatureZone[[#Headers],[Temperature zone]],0)</f>
        <v>14</v>
      </c>
      <c r="F236" s="37" cm="1">
        <f t="array" ref="F236">Common_InputFunctions.Utility_DisplayArrayInTable(Common_SourceData.Common_SourceData_MCFTemperatureZone_Data(),Table_SourceData_Common_MCFTemperatureZone[[#Headers],[Temperature zone]],0)</f>
        <v>0.73</v>
      </c>
      <c r="G236" s="37" cm="1">
        <f t="array" ref="G236">Common_InputFunctions.Utility_DisplayArrayInTable(Common_SourceData.Common_SourceData_MCFTemperatureZone_Data(),Table_SourceData_Common_MCFTemperatureZone[[#Headers],[Temperature zone]],0)</f>
        <v>0.1</v>
      </c>
      <c r="H236" s="37" cm="1">
        <f t="array" ref="H236">Common_InputFunctions.Utility_DisplayArrayInTable(Common_SourceData.Common_SourceData_MCFTemperatureZone_Data(),Table_SourceData_Common_MCFTemperatureZone[[#Headers],[Temperature zone]],0)</f>
        <v>0.15</v>
      </c>
      <c r="I236" s="37" cm="1">
        <f t="array" ref="I236">Common_InputFunctions.Utility_DisplayArrayInTable(Common_SourceData.Common_SourceData_MCFTemperatureZone_Data(),Table_SourceData_Common_MCFTemperatureZone[[#Headers],[Temperature zone]],0)</f>
        <v>1E-3</v>
      </c>
      <c r="J236" s="37" cm="1">
        <f t="array" ref="J236">Common_InputFunctions.Utility_DisplayArrayInTable(Common_SourceData.Common_SourceData_MCFTemperatureZone_Data(),Table_SourceData_Common_MCFTemperatureZone[[#Headers],[Temperature zone]],0)</f>
        <v>5.0000000000000001E-3</v>
      </c>
      <c r="K236" s="37" cm="1">
        <f t="array" ref="K236">Common_InputFunctions.Utility_DisplayArrayInTable(Common_SourceData.Common_SourceData_MCFTemperatureZone_Data(),Table_SourceData_Common_MCFTemperatureZone[[#Headers],[Temperature zone]],0)</f>
        <v>0.02</v>
      </c>
      <c r="L236" s="37" cm="1">
        <f t="array" ref="L236">Common_InputFunctions.Utility_DisplayArrayInTable(Common_SourceData.Common_SourceData_MCFTemperatureZone_Data(),Table_SourceData_Common_MCFTemperatureZone[[#Headers],[Temperature zone]],0)</f>
        <v>0.03</v>
      </c>
      <c r="M236" s="37" cm="1">
        <f t="array" ref="M236">Common_InputFunctions.Utility_DisplayArrayInTable(Common_SourceData.Common_SourceData_MCFTemperatureZone_Data(),Table_SourceData_Common_MCFTemperatureZone[[#Headers],[Temperature zone]],0)</f>
        <v>0.04</v>
      </c>
      <c r="N236" s="37" cm="1">
        <f t="array" ref="N236">Common_InputFunctions.Utility_DisplayArrayInTable(Common_SourceData.Common_SourceData_MCFTemperatureZone_Data(),Table_SourceData_Common_MCFTemperatureZone[[#Headers],[Temperature zone]],0)</f>
        <v>1.4999999999999999E-2</v>
      </c>
      <c r="O236" s="37" cm="1">
        <f t="array" ref="O236">Common_InputFunctions.Utility_DisplayArrayInTable(Common_SourceData.Common_SourceData_MCFTemperatureZone_Data(),Table_SourceData_Common_MCFTemperatureZone[[#Headers],[Temperature zone]],0)</f>
        <v>1.4999999999999999E-2</v>
      </c>
      <c r="P236" s="37" cm="1">
        <f t="array" ref="P236">Common_InputFunctions.Utility_DisplayArrayInTable(Common_SourceData.Common_SourceData_MCFTemperatureZone_Data(),Table_SourceData_Common_MCFTemperatureZone[[#Headers],[Temperature zone]],0)</f>
        <v>0</v>
      </c>
      <c r="Q236" s="37" cm="1">
        <f t="array" ref="Q236">Common_InputFunctions.Utility_DisplayArrayInTable(Common_SourceData.Common_SourceData_MCFTemperatureZone_Data(),Table_SourceData_Common_MCFTemperatureZone[[#Headers],[Temperature zone]],0)</f>
        <v>0</v>
      </c>
      <c r="R236" s="37" cm="1">
        <f t="array" ref="R236">Common_InputFunctions.Utility_DisplayArrayInTable(Common_SourceData.Common_SourceData_MCFTemperatureZone_Data(),Table_SourceData_Common_MCFTemperatureZone[[#Headers],[Temperature zone]],0)</f>
        <v>4.7000000000000002E-3</v>
      </c>
      <c r="S236" s="37"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7" cm="1">
        <f t="array" ref="E237">Common_InputFunctions.Utility_DisplayArrayInTable(Common_SourceData.Common_SourceData_MCFTemperatureZone_Data(),Table_SourceData_Common_MCFTemperatureZone[[#Headers],[Temperature zone]],0)</f>
        <v>15</v>
      </c>
      <c r="F237" s="37" cm="1">
        <f t="array" ref="F237">Common_InputFunctions.Utility_DisplayArrayInTable(Common_SourceData.Common_SourceData_MCFTemperatureZone_Data(),Table_SourceData_Common_MCFTemperatureZone[[#Headers],[Temperature zone]],0)</f>
        <v>0.74</v>
      </c>
      <c r="G237" s="37" cm="1">
        <f t="array" ref="G237">Common_InputFunctions.Utility_DisplayArrayInTable(Common_SourceData.Common_SourceData_MCFTemperatureZone_Data(),Table_SourceData_Common_MCFTemperatureZone[[#Headers],[Temperature zone]],0)</f>
        <v>0.1</v>
      </c>
      <c r="H237" s="37" cm="1">
        <f t="array" ref="H237">Common_InputFunctions.Utility_DisplayArrayInTable(Common_SourceData.Common_SourceData_MCFTemperatureZone_Data(),Table_SourceData_Common_MCFTemperatureZone[[#Headers],[Temperature zone]],0)</f>
        <v>0.17</v>
      </c>
      <c r="I237" s="37" cm="1">
        <f t="array" ref="I237">Common_InputFunctions.Utility_DisplayArrayInTable(Common_SourceData.Common_SourceData_MCFTemperatureZone_Data(),Table_SourceData_Common_MCFTemperatureZone[[#Headers],[Temperature zone]],0)</f>
        <v>5.0000000000000001E-3</v>
      </c>
      <c r="J237" s="37" cm="1">
        <f t="array" ref="J237">Common_InputFunctions.Utility_DisplayArrayInTable(Common_SourceData.Common_SourceData_MCFTemperatureZone_Data(),Table_SourceData_Common_MCFTemperatureZone[[#Headers],[Temperature zone]],0)</f>
        <v>0.01</v>
      </c>
      <c r="K237" s="37" cm="1">
        <f t="array" ref="K237">Common_InputFunctions.Utility_DisplayArrayInTable(Common_SourceData.Common_SourceData_MCFTemperatureZone_Data(),Table_SourceData_Common_MCFTemperatureZone[[#Headers],[Temperature zone]],0)</f>
        <v>0.02</v>
      </c>
      <c r="L237" s="37" cm="1">
        <f t="array" ref="L237">Common_InputFunctions.Utility_DisplayArrayInTable(Common_SourceData.Common_SourceData_MCFTemperatureZone_Data(),Table_SourceData_Common_MCFTemperatureZone[[#Headers],[Temperature zone]],0)</f>
        <v>0.03</v>
      </c>
      <c r="M237" s="37" cm="1">
        <f t="array" ref="M237">Common_InputFunctions.Utility_DisplayArrayInTable(Common_SourceData.Common_SourceData_MCFTemperatureZone_Data(),Table_SourceData_Common_MCFTemperatureZone[[#Headers],[Temperature zone]],0)</f>
        <v>0.04</v>
      </c>
      <c r="N237" s="37" cm="1">
        <f t="array" ref="N237">Common_InputFunctions.Utility_DisplayArrayInTable(Common_SourceData.Common_SourceData_MCFTemperatureZone_Data(),Table_SourceData_Common_MCFTemperatureZone[[#Headers],[Temperature zone]],0)</f>
        <v>1.4999999999999999E-2</v>
      </c>
      <c r="O237" s="37" cm="1">
        <f t="array" ref="O237">Common_InputFunctions.Utility_DisplayArrayInTable(Common_SourceData.Common_SourceData_MCFTemperatureZone_Data(),Table_SourceData_Common_MCFTemperatureZone[[#Headers],[Temperature zone]],0)</f>
        <v>1.4999999999999999E-2</v>
      </c>
      <c r="P237" s="37" cm="1">
        <f t="array" ref="P237">Common_InputFunctions.Utility_DisplayArrayInTable(Common_SourceData.Common_SourceData_MCFTemperatureZone_Data(),Table_SourceData_Common_MCFTemperatureZone[[#Headers],[Temperature zone]],0)</f>
        <v>0</v>
      </c>
      <c r="Q237" s="37" cm="1">
        <f t="array" ref="Q237">Common_InputFunctions.Utility_DisplayArrayInTable(Common_SourceData.Common_SourceData_MCFTemperatureZone_Data(),Table_SourceData_Common_MCFTemperatureZone[[#Headers],[Temperature zone]],0)</f>
        <v>0</v>
      </c>
      <c r="R237" s="37" cm="1">
        <f t="array" ref="R237">Common_InputFunctions.Utility_DisplayArrayInTable(Common_SourceData.Common_SourceData_MCFTemperatureZone_Data(),Table_SourceData_Common_MCFTemperatureZone[[#Headers],[Temperature zone]],0)</f>
        <v>4.7000000000000002E-3</v>
      </c>
      <c r="S237" s="37"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7" cm="1">
        <f t="array" ref="E238">Common_InputFunctions.Utility_DisplayArrayInTable(Common_SourceData.Common_SourceData_MCFTemperatureZone_Data(),Table_SourceData_Common_MCFTemperatureZone[[#Headers],[Temperature zone]],0)</f>
        <v>16</v>
      </c>
      <c r="F238" s="37" cm="1">
        <f t="array" ref="F238">Common_InputFunctions.Utility_DisplayArrayInTable(Common_SourceData.Common_SourceData_MCFTemperatureZone_Data(),Table_SourceData_Common_MCFTemperatureZone[[#Headers],[Temperature zone]],0)</f>
        <v>0.75</v>
      </c>
      <c r="G238" s="37" cm="1">
        <f t="array" ref="G238">Common_InputFunctions.Utility_DisplayArrayInTable(Common_SourceData.Common_SourceData_MCFTemperatureZone_Data(),Table_SourceData_Common_MCFTemperatureZone[[#Headers],[Temperature zone]],0)</f>
        <v>0.1</v>
      </c>
      <c r="H238" s="37" cm="1">
        <f t="array" ref="H238">Common_InputFunctions.Utility_DisplayArrayInTable(Common_SourceData.Common_SourceData_MCFTemperatureZone_Data(),Table_SourceData_Common_MCFTemperatureZone[[#Headers],[Temperature zone]],0)</f>
        <v>0.18</v>
      </c>
      <c r="I238" s="37" cm="1">
        <f t="array" ref="I238">Common_InputFunctions.Utility_DisplayArrayInTable(Common_SourceData.Common_SourceData_MCFTemperatureZone_Data(),Table_SourceData_Common_MCFTemperatureZone[[#Headers],[Temperature zone]],0)</f>
        <v>5.0000000000000001E-3</v>
      </c>
      <c r="J238" s="37" cm="1">
        <f t="array" ref="J238">Common_InputFunctions.Utility_DisplayArrayInTable(Common_SourceData.Common_SourceData_MCFTemperatureZone_Data(),Table_SourceData_Common_MCFTemperatureZone[[#Headers],[Temperature zone]],0)</f>
        <v>0.01</v>
      </c>
      <c r="K238" s="37" cm="1">
        <f t="array" ref="K238">Common_InputFunctions.Utility_DisplayArrayInTable(Common_SourceData.Common_SourceData_MCFTemperatureZone_Data(),Table_SourceData_Common_MCFTemperatureZone[[#Headers],[Temperature zone]],0)</f>
        <v>0.02</v>
      </c>
      <c r="L238" s="37" cm="1">
        <f t="array" ref="L238">Common_InputFunctions.Utility_DisplayArrayInTable(Common_SourceData.Common_SourceData_MCFTemperatureZone_Data(),Table_SourceData_Common_MCFTemperatureZone[[#Headers],[Temperature zone]],0)</f>
        <v>0.03</v>
      </c>
      <c r="M238" s="37" cm="1">
        <f t="array" ref="M238">Common_InputFunctions.Utility_DisplayArrayInTable(Common_SourceData.Common_SourceData_MCFTemperatureZone_Data(),Table_SourceData_Common_MCFTemperatureZone[[#Headers],[Temperature zone]],0)</f>
        <v>0.04</v>
      </c>
      <c r="N238" s="37" cm="1">
        <f t="array" ref="N238">Common_InputFunctions.Utility_DisplayArrayInTable(Common_SourceData.Common_SourceData_MCFTemperatureZone_Data(),Table_SourceData_Common_MCFTemperatureZone[[#Headers],[Temperature zone]],0)</f>
        <v>1.4999999999999999E-2</v>
      </c>
      <c r="O238" s="37" cm="1">
        <f t="array" ref="O238">Common_InputFunctions.Utility_DisplayArrayInTable(Common_SourceData.Common_SourceData_MCFTemperatureZone_Data(),Table_SourceData_Common_MCFTemperatureZone[[#Headers],[Temperature zone]],0)</f>
        <v>1.4999999999999999E-2</v>
      </c>
      <c r="P238" s="37" cm="1">
        <f t="array" ref="P238">Common_InputFunctions.Utility_DisplayArrayInTable(Common_SourceData.Common_SourceData_MCFTemperatureZone_Data(),Table_SourceData_Common_MCFTemperatureZone[[#Headers],[Temperature zone]],0)</f>
        <v>0</v>
      </c>
      <c r="Q238" s="37" cm="1">
        <f t="array" ref="Q238">Common_InputFunctions.Utility_DisplayArrayInTable(Common_SourceData.Common_SourceData_MCFTemperatureZone_Data(),Table_SourceData_Common_MCFTemperatureZone[[#Headers],[Temperature zone]],0)</f>
        <v>0</v>
      </c>
      <c r="R238" s="37" cm="1">
        <f t="array" ref="R238">Common_InputFunctions.Utility_DisplayArrayInTable(Common_SourceData.Common_SourceData_MCFTemperatureZone_Data(),Table_SourceData_Common_MCFTemperatureZone[[#Headers],[Temperature zone]],0)</f>
        <v>4.7000000000000002E-3</v>
      </c>
      <c r="S238" s="37"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7" cm="1">
        <f t="array" ref="E239">Common_InputFunctions.Utility_DisplayArrayInTable(Common_SourceData.Common_SourceData_MCFTemperatureZone_Data(),Table_SourceData_Common_MCFTemperatureZone[[#Headers],[Temperature zone]],0)</f>
        <v>17</v>
      </c>
      <c r="F239" s="37" cm="1">
        <f t="array" ref="F239">Common_InputFunctions.Utility_DisplayArrayInTable(Common_SourceData.Common_SourceData_MCFTemperatureZone_Data(),Table_SourceData_Common_MCFTemperatureZone[[#Headers],[Temperature zone]],0)</f>
        <v>0.76</v>
      </c>
      <c r="G239" s="37" cm="1">
        <f t="array" ref="G239">Common_InputFunctions.Utility_DisplayArrayInTable(Common_SourceData.Common_SourceData_MCFTemperatureZone_Data(),Table_SourceData_Common_MCFTemperatureZone[[#Headers],[Temperature zone]],0)</f>
        <v>0.1</v>
      </c>
      <c r="H239" s="37" cm="1">
        <f t="array" ref="H239">Common_InputFunctions.Utility_DisplayArrayInTable(Common_SourceData.Common_SourceData_MCFTemperatureZone_Data(),Table_SourceData_Common_MCFTemperatureZone[[#Headers],[Temperature zone]],0)</f>
        <v>0.2</v>
      </c>
      <c r="I239" s="37" cm="1">
        <f t="array" ref="I239">Common_InputFunctions.Utility_DisplayArrayInTable(Common_SourceData.Common_SourceData_MCFTemperatureZone_Data(),Table_SourceData_Common_MCFTemperatureZone[[#Headers],[Temperature zone]],0)</f>
        <v>5.0000000000000001E-3</v>
      </c>
      <c r="J239" s="37" cm="1">
        <f t="array" ref="J239">Common_InputFunctions.Utility_DisplayArrayInTable(Common_SourceData.Common_SourceData_MCFTemperatureZone_Data(),Table_SourceData_Common_MCFTemperatureZone[[#Headers],[Temperature zone]],0)</f>
        <v>0.01</v>
      </c>
      <c r="K239" s="37" cm="1">
        <f t="array" ref="K239">Common_InputFunctions.Utility_DisplayArrayInTable(Common_SourceData.Common_SourceData_MCFTemperatureZone_Data(),Table_SourceData_Common_MCFTemperatureZone[[#Headers],[Temperature zone]],0)</f>
        <v>0.02</v>
      </c>
      <c r="L239" s="37" cm="1">
        <f t="array" ref="L239">Common_InputFunctions.Utility_DisplayArrayInTable(Common_SourceData.Common_SourceData_MCFTemperatureZone_Data(),Table_SourceData_Common_MCFTemperatureZone[[#Headers],[Temperature zone]],0)</f>
        <v>0.03</v>
      </c>
      <c r="M239" s="37" cm="1">
        <f t="array" ref="M239">Common_InputFunctions.Utility_DisplayArrayInTable(Common_SourceData.Common_SourceData_MCFTemperatureZone_Data(),Table_SourceData_Common_MCFTemperatureZone[[#Headers],[Temperature zone]],0)</f>
        <v>0.04</v>
      </c>
      <c r="N239" s="37" cm="1">
        <f t="array" ref="N239">Common_InputFunctions.Utility_DisplayArrayInTable(Common_SourceData.Common_SourceData_MCFTemperatureZone_Data(),Table_SourceData_Common_MCFTemperatureZone[[#Headers],[Temperature zone]],0)</f>
        <v>1.4999999999999999E-2</v>
      </c>
      <c r="O239" s="37" cm="1">
        <f t="array" ref="O239">Common_InputFunctions.Utility_DisplayArrayInTable(Common_SourceData.Common_SourceData_MCFTemperatureZone_Data(),Table_SourceData_Common_MCFTemperatureZone[[#Headers],[Temperature zone]],0)</f>
        <v>1.4999999999999999E-2</v>
      </c>
      <c r="P239" s="37" cm="1">
        <f t="array" ref="P239">Common_InputFunctions.Utility_DisplayArrayInTable(Common_SourceData.Common_SourceData_MCFTemperatureZone_Data(),Table_SourceData_Common_MCFTemperatureZone[[#Headers],[Temperature zone]],0)</f>
        <v>0</v>
      </c>
      <c r="Q239" s="37" cm="1">
        <f t="array" ref="Q239">Common_InputFunctions.Utility_DisplayArrayInTable(Common_SourceData.Common_SourceData_MCFTemperatureZone_Data(),Table_SourceData_Common_MCFTemperatureZone[[#Headers],[Temperature zone]],0)</f>
        <v>0</v>
      </c>
      <c r="R239" s="37" cm="1">
        <f t="array" ref="R239">Common_InputFunctions.Utility_DisplayArrayInTable(Common_SourceData.Common_SourceData_MCFTemperatureZone_Data(),Table_SourceData_Common_MCFTemperatureZone[[#Headers],[Temperature zone]],0)</f>
        <v>4.7000000000000002E-3</v>
      </c>
      <c r="S239" s="37"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7" cm="1">
        <f t="array" ref="E240">Common_InputFunctions.Utility_DisplayArrayInTable(Common_SourceData.Common_SourceData_MCFTemperatureZone_Data(),Table_SourceData_Common_MCFTemperatureZone[[#Headers],[Temperature zone]],0)</f>
        <v>18</v>
      </c>
      <c r="F240" s="37" cm="1">
        <f t="array" ref="F240">Common_InputFunctions.Utility_DisplayArrayInTable(Common_SourceData.Common_SourceData_MCFTemperatureZone_Data(),Table_SourceData_Common_MCFTemperatureZone[[#Headers],[Temperature zone]],0)</f>
        <v>0.77</v>
      </c>
      <c r="G240" s="37" cm="1">
        <f t="array" ref="G240">Common_InputFunctions.Utility_DisplayArrayInTable(Common_SourceData.Common_SourceData_MCFTemperatureZone_Data(),Table_SourceData_Common_MCFTemperatureZone[[#Headers],[Temperature zone]],0)</f>
        <v>0.1</v>
      </c>
      <c r="H240" s="37" cm="1">
        <f t="array" ref="H240">Common_InputFunctions.Utility_DisplayArrayInTable(Common_SourceData.Common_SourceData_MCFTemperatureZone_Data(),Table_SourceData_Common_MCFTemperatureZone[[#Headers],[Temperature zone]],0)</f>
        <v>0.22</v>
      </c>
      <c r="I240" s="37" cm="1">
        <f t="array" ref="I240">Common_InputFunctions.Utility_DisplayArrayInTable(Common_SourceData.Common_SourceData_MCFTemperatureZone_Data(),Table_SourceData_Common_MCFTemperatureZone[[#Headers],[Temperature zone]],0)</f>
        <v>5.0000000000000001E-3</v>
      </c>
      <c r="J240" s="37" cm="1">
        <f t="array" ref="J240">Common_InputFunctions.Utility_DisplayArrayInTable(Common_SourceData.Common_SourceData_MCFTemperatureZone_Data(),Table_SourceData_Common_MCFTemperatureZone[[#Headers],[Temperature zone]],0)</f>
        <v>0.01</v>
      </c>
      <c r="K240" s="37" cm="1">
        <f t="array" ref="K240">Common_InputFunctions.Utility_DisplayArrayInTable(Common_SourceData.Common_SourceData_MCFTemperatureZone_Data(),Table_SourceData_Common_MCFTemperatureZone[[#Headers],[Temperature zone]],0)</f>
        <v>0.02</v>
      </c>
      <c r="L240" s="37" cm="1">
        <f t="array" ref="L240">Common_InputFunctions.Utility_DisplayArrayInTable(Common_SourceData.Common_SourceData_MCFTemperatureZone_Data(),Table_SourceData_Common_MCFTemperatureZone[[#Headers],[Temperature zone]],0)</f>
        <v>0.03</v>
      </c>
      <c r="M240" s="37" cm="1">
        <f t="array" ref="M240">Common_InputFunctions.Utility_DisplayArrayInTable(Common_SourceData.Common_SourceData_MCFTemperatureZone_Data(),Table_SourceData_Common_MCFTemperatureZone[[#Headers],[Temperature zone]],0)</f>
        <v>0.04</v>
      </c>
      <c r="N240" s="37" cm="1">
        <f t="array" ref="N240">Common_InputFunctions.Utility_DisplayArrayInTable(Common_SourceData.Common_SourceData_MCFTemperatureZone_Data(),Table_SourceData_Common_MCFTemperatureZone[[#Headers],[Temperature zone]],0)</f>
        <v>1.4999999999999999E-2</v>
      </c>
      <c r="O240" s="37" cm="1">
        <f t="array" ref="O240">Common_InputFunctions.Utility_DisplayArrayInTable(Common_SourceData.Common_SourceData_MCFTemperatureZone_Data(),Table_SourceData_Common_MCFTemperatureZone[[#Headers],[Temperature zone]],0)</f>
        <v>1.4999999999999999E-2</v>
      </c>
      <c r="P240" s="37" cm="1">
        <f t="array" ref="P240">Common_InputFunctions.Utility_DisplayArrayInTable(Common_SourceData.Common_SourceData_MCFTemperatureZone_Data(),Table_SourceData_Common_MCFTemperatureZone[[#Headers],[Temperature zone]],0)</f>
        <v>0</v>
      </c>
      <c r="Q240" s="37" cm="1">
        <f t="array" ref="Q240">Common_InputFunctions.Utility_DisplayArrayInTable(Common_SourceData.Common_SourceData_MCFTemperatureZone_Data(),Table_SourceData_Common_MCFTemperatureZone[[#Headers],[Temperature zone]],0)</f>
        <v>0</v>
      </c>
      <c r="R240" s="37" cm="1">
        <f t="array" ref="R240">Common_InputFunctions.Utility_DisplayArrayInTable(Common_SourceData.Common_SourceData_MCFTemperatureZone_Data(),Table_SourceData_Common_MCFTemperatureZone[[#Headers],[Temperature zone]],0)</f>
        <v>4.7000000000000002E-3</v>
      </c>
      <c r="S240" s="37"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7" cm="1">
        <f t="array" ref="E241">Common_InputFunctions.Utility_DisplayArrayInTable(Common_SourceData.Common_SourceData_MCFTemperatureZone_Data(),Table_SourceData_Common_MCFTemperatureZone[[#Headers],[Temperature zone]],0)</f>
        <v>19</v>
      </c>
      <c r="F241" s="37" cm="1">
        <f t="array" ref="F241">Common_InputFunctions.Utility_DisplayArrayInTable(Common_SourceData.Common_SourceData_MCFTemperatureZone_Data(),Table_SourceData_Common_MCFTemperatureZone[[#Headers],[Temperature zone]],0)</f>
        <v>0.77</v>
      </c>
      <c r="G241" s="37" cm="1">
        <f t="array" ref="G241">Common_InputFunctions.Utility_DisplayArrayInTable(Common_SourceData.Common_SourceData_MCFTemperatureZone_Data(),Table_SourceData_Common_MCFTemperatureZone[[#Headers],[Temperature zone]],0)</f>
        <v>0.1</v>
      </c>
      <c r="H241" s="37" cm="1">
        <f t="array" ref="H241">Common_InputFunctions.Utility_DisplayArrayInTable(Common_SourceData.Common_SourceData_MCFTemperatureZone_Data(),Table_SourceData_Common_MCFTemperatureZone[[#Headers],[Temperature zone]],0)</f>
        <v>0.24</v>
      </c>
      <c r="I241" s="37" cm="1">
        <f t="array" ref="I241">Common_InputFunctions.Utility_DisplayArrayInTable(Common_SourceData.Common_SourceData_MCFTemperatureZone_Data(),Table_SourceData_Common_MCFTemperatureZone[[#Headers],[Temperature zone]],0)</f>
        <v>5.0000000000000001E-3</v>
      </c>
      <c r="J241" s="37" cm="1">
        <f t="array" ref="J241">Common_InputFunctions.Utility_DisplayArrayInTable(Common_SourceData.Common_SourceData_MCFTemperatureZone_Data(),Table_SourceData_Common_MCFTemperatureZone[[#Headers],[Temperature zone]],0)</f>
        <v>0.01</v>
      </c>
      <c r="K241" s="37" cm="1">
        <f t="array" ref="K241">Common_InputFunctions.Utility_DisplayArrayInTable(Common_SourceData.Common_SourceData_MCFTemperatureZone_Data(),Table_SourceData_Common_MCFTemperatureZone[[#Headers],[Temperature zone]],0)</f>
        <v>0.02</v>
      </c>
      <c r="L241" s="37" cm="1">
        <f t="array" ref="L241">Common_InputFunctions.Utility_DisplayArrayInTable(Common_SourceData.Common_SourceData_MCFTemperatureZone_Data(),Table_SourceData_Common_MCFTemperatureZone[[#Headers],[Temperature zone]],0)</f>
        <v>0.03</v>
      </c>
      <c r="M241" s="37" cm="1">
        <f t="array" ref="M241">Common_InputFunctions.Utility_DisplayArrayInTable(Common_SourceData.Common_SourceData_MCFTemperatureZone_Data(),Table_SourceData_Common_MCFTemperatureZone[[#Headers],[Temperature zone]],0)</f>
        <v>0.04</v>
      </c>
      <c r="N241" s="37" cm="1">
        <f t="array" ref="N241">Common_InputFunctions.Utility_DisplayArrayInTable(Common_SourceData.Common_SourceData_MCFTemperatureZone_Data(),Table_SourceData_Common_MCFTemperatureZone[[#Headers],[Temperature zone]],0)</f>
        <v>1.4999999999999999E-2</v>
      </c>
      <c r="O241" s="37" cm="1">
        <f t="array" ref="O241">Common_InputFunctions.Utility_DisplayArrayInTable(Common_SourceData.Common_SourceData_MCFTemperatureZone_Data(),Table_SourceData_Common_MCFTemperatureZone[[#Headers],[Temperature zone]],0)</f>
        <v>1.4999999999999999E-2</v>
      </c>
      <c r="P241" s="37" cm="1">
        <f t="array" ref="P241">Common_InputFunctions.Utility_DisplayArrayInTable(Common_SourceData.Common_SourceData_MCFTemperatureZone_Data(),Table_SourceData_Common_MCFTemperatureZone[[#Headers],[Temperature zone]],0)</f>
        <v>0</v>
      </c>
      <c r="Q241" s="37" cm="1">
        <f t="array" ref="Q241">Common_InputFunctions.Utility_DisplayArrayInTable(Common_SourceData.Common_SourceData_MCFTemperatureZone_Data(),Table_SourceData_Common_MCFTemperatureZone[[#Headers],[Temperature zone]],0)</f>
        <v>0</v>
      </c>
      <c r="R241" s="37" cm="1">
        <f t="array" ref="R241">Common_InputFunctions.Utility_DisplayArrayInTable(Common_SourceData.Common_SourceData_MCFTemperatureZone_Data(),Table_SourceData_Common_MCFTemperatureZone[[#Headers],[Temperature zone]],0)</f>
        <v>4.7000000000000002E-3</v>
      </c>
      <c r="S241" s="37"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7" cm="1">
        <f t="array" ref="E242">Common_InputFunctions.Utility_DisplayArrayInTable(Common_SourceData.Common_SourceData_MCFTemperatureZone_Data(),Table_SourceData_Common_MCFTemperatureZone[[#Headers],[Temperature zone]],0)</f>
        <v>20</v>
      </c>
      <c r="F242" s="37" cm="1">
        <f t="array" ref="F242">Common_InputFunctions.Utility_DisplayArrayInTable(Common_SourceData.Common_SourceData_MCFTemperatureZone_Data(),Table_SourceData_Common_MCFTemperatureZone[[#Headers],[Temperature zone]],0)</f>
        <v>0.78</v>
      </c>
      <c r="G242" s="37" cm="1">
        <f t="array" ref="G242">Common_InputFunctions.Utility_DisplayArrayInTable(Common_SourceData.Common_SourceData_MCFTemperatureZone_Data(),Table_SourceData_Common_MCFTemperatureZone[[#Headers],[Temperature zone]],0)</f>
        <v>0.1</v>
      </c>
      <c r="H242" s="37" cm="1">
        <f t="array" ref="H242">Common_InputFunctions.Utility_DisplayArrayInTable(Common_SourceData.Common_SourceData_MCFTemperatureZone_Data(),Table_SourceData_Common_MCFTemperatureZone[[#Headers],[Temperature zone]],0)</f>
        <v>0.26</v>
      </c>
      <c r="I242" s="37" cm="1">
        <f t="array" ref="I242">Common_InputFunctions.Utility_DisplayArrayInTable(Common_SourceData.Common_SourceData_MCFTemperatureZone_Data(),Table_SourceData_Common_MCFTemperatureZone[[#Headers],[Temperature zone]],0)</f>
        <v>5.0000000000000001E-3</v>
      </c>
      <c r="J242" s="37" cm="1">
        <f t="array" ref="J242">Common_InputFunctions.Utility_DisplayArrayInTable(Common_SourceData.Common_SourceData_MCFTemperatureZone_Data(),Table_SourceData_Common_MCFTemperatureZone[[#Headers],[Temperature zone]],0)</f>
        <v>0.01</v>
      </c>
      <c r="K242" s="37" cm="1">
        <f t="array" ref="K242">Common_InputFunctions.Utility_DisplayArrayInTable(Common_SourceData.Common_SourceData_MCFTemperatureZone_Data(),Table_SourceData_Common_MCFTemperatureZone[[#Headers],[Temperature zone]],0)</f>
        <v>0.02</v>
      </c>
      <c r="L242" s="37" cm="1">
        <f t="array" ref="L242">Common_InputFunctions.Utility_DisplayArrayInTable(Common_SourceData.Common_SourceData_MCFTemperatureZone_Data(),Table_SourceData_Common_MCFTemperatureZone[[#Headers],[Temperature zone]],0)</f>
        <v>0.03</v>
      </c>
      <c r="M242" s="37" cm="1">
        <f t="array" ref="M242">Common_InputFunctions.Utility_DisplayArrayInTable(Common_SourceData.Common_SourceData_MCFTemperatureZone_Data(),Table_SourceData_Common_MCFTemperatureZone[[#Headers],[Temperature zone]],0)</f>
        <v>0.04</v>
      </c>
      <c r="N242" s="37" cm="1">
        <f t="array" ref="N242">Common_InputFunctions.Utility_DisplayArrayInTable(Common_SourceData.Common_SourceData_MCFTemperatureZone_Data(),Table_SourceData_Common_MCFTemperatureZone[[#Headers],[Temperature zone]],0)</f>
        <v>1.4999999999999999E-2</v>
      </c>
      <c r="O242" s="37" cm="1">
        <f t="array" ref="O242">Common_InputFunctions.Utility_DisplayArrayInTable(Common_SourceData.Common_SourceData_MCFTemperatureZone_Data(),Table_SourceData_Common_MCFTemperatureZone[[#Headers],[Temperature zone]],0)</f>
        <v>1.4999999999999999E-2</v>
      </c>
      <c r="P242" s="37" cm="1">
        <f t="array" ref="P242">Common_InputFunctions.Utility_DisplayArrayInTable(Common_SourceData.Common_SourceData_MCFTemperatureZone_Data(),Table_SourceData_Common_MCFTemperatureZone[[#Headers],[Temperature zone]],0)</f>
        <v>0</v>
      </c>
      <c r="Q242" s="37" cm="1">
        <f t="array" ref="Q242">Common_InputFunctions.Utility_DisplayArrayInTable(Common_SourceData.Common_SourceData_MCFTemperatureZone_Data(),Table_SourceData_Common_MCFTemperatureZone[[#Headers],[Temperature zone]],0)</f>
        <v>0</v>
      </c>
      <c r="R242" s="37" cm="1">
        <f t="array" ref="R242">Common_InputFunctions.Utility_DisplayArrayInTable(Common_SourceData.Common_SourceData_MCFTemperatureZone_Data(),Table_SourceData_Common_MCFTemperatureZone[[#Headers],[Temperature zone]],0)</f>
        <v>4.7000000000000002E-3</v>
      </c>
      <c r="S242" s="37"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7" cm="1">
        <f t="array" ref="E243">Common_InputFunctions.Utility_DisplayArrayInTable(Common_SourceData.Common_SourceData_MCFTemperatureZone_Data(),Table_SourceData_Common_MCFTemperatureZone[[#Headers],[Temperature zone]],0)</f>
        <v>21</v>
      </c>
      <c r="F243" s="37" cm="1">
        <f t="array" ref="F243">Common_InputFunctions.Utility_DisplayArrayInTable(Common_SourceData.Common_SourceData_MCFTemperatureZone_Data(),Table_SourceData_Common_MCFTemperatureZone[[#Headers],[Temperature zone]],0)</f>
        <v>0.78</v>
      </c>
      <c r="G243" s="37" cm="1">
        <f t="array" ref="G243">Common_InputFunctions.Utility_DisplayArrayInTable(Common_SourceData.Common_SourceData_MCFTemperatureZone_Data(),Table_SourceData_Common_MCFTemperatureZone[[#Headers],[Temperature zone]],0)</f>
        <v>0.1</v>
      </c>
      <c r="H243" s="37" cm="1">
        <f t="array" ref="H243">Common_InputFunctions.Utility_DisplayArrayInTable(Common_SourceData.Common_SourceData_MCFTemperatureZone_Data(),Table_SourceData_Common_MCFTemperatureZone[[#Headers],[Temperature zone]],0)</f>
        <v>0.28999999999999998</v>
      </c>
      <c r="I243" s="37" cm="1">
        <f t="array" ref="I243">Common_InputFunctions.Utility_DisplayArrayInTable(Common_SourceData.Common_SourceData_MCFTemperatureZone_Data(),Table_SourceData_Common_MCFTemperatureZone[[#Headers],[Temperature zone]],0)</f>
        <v>5.0000000000000001E-3</v>
      </c>
      <c r="J243" s="37" cm="1">
        <f t="array" ref="J243">Common_InputFunctions.Utility_DisplayArrayInTable(Common_SourceData.Common_SourceData_MCFTemperatureZone_Data(),Table_SourceData_Common_MCFTemperatureZone[[#Headers],[Temperature zone]],0)</f>
        <v>0.01</v>
      </c>
      <c r="K243" s="37" cm="1">
        <f t="array" ref="K243">Common_InputFunctions.Utility_DisplayArrayInTable(Common_SourceData.Common_SourceData_MCFTemperatureZone_Data(),Table_SourceData_Common_MCFTemperatureZone[[#Headers],[Temperature zone]],0)</f>
        <v>0.02</v>
      </c>
      <c r="L243" s="37" cm="1">
        <f t="array" ref="L243">Common_InputFunctions.Utility_DisplayArrayInTable(Common_SourceData.Common_SourceData_MCFTemperatureZone_Data(),Table_SourceData_Common_MCFTemperatureZone[[#Headers],[Temperature zone]],0)</f>
        <v>0.03</v>
      </c>
      <c r="M243" s="37" cm="1">
        <f t="array" ref="M243">Common_InputFunctions.Utility_DisplayArrayInTable(Common_SourceData.Common_SourceData_MCFTemperatureZone_Data(),Table_SourceData_Common_MCFTemperatureZone[[#Headers],[Temperature zone]],0)</f>
        <v>0.04</v>
      </c>
      <c r="N243" s="37" cm="1">
        <f t="array" ref="N243">Common_InputFunctions.Utility_DisplayArrayInTable(Common_SourceData.Common_SourceData_MCFTemperatureZone_Data(),Table_SourceData_Common_MCFTemperatureZone[[#Headers],[Temperature zone]],0)</f>
        <v>1.4999999999999999E-2</v>
      </c>
      <c r="O243" s="37" cm="1">
        <f t="array" ref="O243">Common_InputFunctions.Utility_DisplayArrayInTable(Common_SourceData.Common_SourceData_MCFTemperatureZone_Data(),Table_SourceData_Common_MCFTemperatureZone[[#Headers],[Temperature zone]],0)</f>
        <v>1.4999999999999999E-2</v>
      </c>
      <c r="P243" s="37" cm="1">
        <f t="array" ref="P243">Common_InputFunctions.Utility_DisplayArrayInTable(Common_SourceData.Common_SourceData_MCFTemperatureZone_Data(),Table_SourceData_Common_MCFTemperatureZone[[#Headers],[Temperature zone]],0)</f>
        <v>0</v>
      </c>
      <c r="Q243" s="37" cm="1">
        <f t="array" ref="Q243">Common_InputFunctions.Utility_DisplayArrayInTable(Common_SourceData.Common_SourceData_MCFTemperatureZone_Data(),Table_SourceData_Common_MCFTemperatureZone[[#Headers],[Temperature zone]],0)</f>
        <v>0</v>
      </c>
      <c r="R243" s="37" cm="1">
        <f t="array" ref="R243">Common_InputFunctions.Utility_DisplayArrayInTable(Common_SourceData.Common_SourceData_MCFTemperatureZone_Data(),Table_SourceData_Common_MCFTemperatureZone[[#Headers],[Temperature zone]],0)</f>
        <v>4.7000000000000002E-3</v>
      </c>
      <c r="S243" s="37"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7" cm="1">
        <f t="array" ref="E244">Common_InputFunctions.Utility_DisplayArrayInTable(Common_SourceData.Common_SourceData_MCFTemperatureZone_Data(),Table_SourceData_Common_MCFTemperatureZone[[#Headers],[Temperature zone]],0)</f>
        <v>22</v>
      </c>
      <c r="F244" s="37" cm="1">
        <f t="array" ref="F244">Common_InputFunctions.Utility_DisplayArrayInTable(Common_SourceData.Common_SourceData_MCFTemperatureZone_Data(),Table_SourceData_Common_MCFTemperatureZone[[#Headers],[Temperature zone]],0)</f>
        <v>0.78</v>
      </c>
      <c r="G244" s="37" cm="1">
        <f t="array" ref="G244">Common_InputFunctions.Utility_DisplayArrayInTable(Common_SourceData.Common_SourceData_MCFTemperatureZone_Data(),Table_SourceData_Common_MCFTemperatureZone[[#Headers],[Temperature zone]],0)</f>
        <v>0.1</v>
      </c>
      <c r="H244" s="37" cm="1">
        <f t="array" ref="H244">Common_InputFunctions.Utility_DisplayArrayInTable(Common_SourceData.Common_SourceData_MCFTemperatureZone_Data(),Table_SourceData_Common_MCFTemperatureZone[[#Headers],[Temperature zone]],0)</f>
        <v>0.31</v>
      </c>
      <c r="I244" s="37" cm="1">
        <f t="array" ref="I244">Common_InputFunctions.Utility_DisplayArrayInTable(Common_SourceData.Common_SourceData_MCFTemperatureZone_Data(),Table_SourceData_Common_MCFTemperatureZone[[#Headers],[Temperature zone]],0)</f>
        <v>5.0000000000000001E-3</v>
      </c>
      <c r="J244" s="37" cm="1">
        <f t="array" ref="J244">Common_InputFunctions.Utility_DisplayArrayInTable(Common_SourceData.Common_SourceData_MCFTemperatureZone_Data(),Table_SourceData_Common_MCFTemperatureZone[[#Headers],[Temperature zone]],0)</f>
        <v>0.01</v>
      </c>
      <c r="K244" s="37" cm="1">
        <f t="array" ref="K244">Common_InputFunctions.Utility_DisplayArrayInTable(Common_SourceData.Common_SourceData_MCFTemperatureZone_Data(),Table_SourceData_Common_MCFTemperatureZone[[#Headers],[Temperature zone]],0)</f>
        <v>0.02</v>
      </c>
      <c r="L244" s="37" cm="1">
        <f t="array" ref="L244">Common_InputFunctions.Utility_DisplayArrayInTable(Common_SourceData.Common_SourceData_MCFTemperatureZone_Data(),Table_SourceData_Common_MCFTemperatureZone[[#Headers],[Temperature zone]],0)</f>
        <v>0.03</v>
      </c>
      <c r="M244" s="37" cm="1">
        <f t="array" ref="M244">Common_InputFunctions.Utility_DisplayArrayInTable(Common_SourceData.Common_SourceData_MCFTemperatureZone_Data(),Table_SourceData_Common_MCFTemperatureZone[[#Headers],[Temperature zone]],0)</f>
        <v>0.04</v>
      </c>
      <c r="N244" s="37" cm="1">
        <f t="array" ref="N244">Common_InputFunctions.Utility_DisplayArrayInTable(Common_SourceData.Common_SourceData_MCFTemperatureZone_Data(),Table_SourceData_Common_MCFTemperatureZone[[#Headers],[Temperature zone]],0)</f>
        <v>1.4999999999999999E-2</v>
      </c>
      <c r="O244" s="37" cm="1">
        <f t="array" ref="O244">Common_InputFunctions.Utility_DisplayArrayInTable(Common_SourceData.Common_SourceData_MCFTemperatureZone_Data(),Table_SourceData_Common_MCFTemperatureZone[[#Headers],[Temperature zone]],0)</f>
        <v>1.4999999999999999E-2</v>
      </c>
      <c r="P244" s="37" cm="1">
        <f t="array" ref="P244">Common_InputFunctions.Utility_DisplayArrayInTable(Common_SourceData.Common_SourceData_MCFTemperatureZone_Data(),Table_SourceData_Common_MCFTemperatureZone[[#Headers],[Temperature zone]],0)</f>
        <v>0</v>
      </c>
      <c r="Q244" s="37" cm="1">
        <f t="array" ref="Q244">Common_InputFunctions.Utility_DisplayArrayInTable(Common_SourceData.Common_SourceData_MCFTemperatureZone_Data(),Table_SourceData_Common_MCFTemperatureZone[[#Headers],[Temperature zone]],0)</f>
        <v>0</v>
      </c>
      <c r="R244" s="37" cm="1">
        <f t="array" ref="R244">Common_InputFunctions.Utility_DisplayArrayInTable(Common_SourceData.Common_SourceData_MCFTemperatureZone_Data(),Table_SourceData_Common_MCFTemperatureZone[[#Headers],[Temperature zone]],0)</f>
        <v>4.7000000000000002E-3</v>
      </c>
      <c r="S244" s="37"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7" cm="1">
        <f t="array" ref="E245">Common_InputFunctions.Utility_DisplayArrayInTable(Common_SourceData.Common_SourceData_MCFTemperatureZone_Data(),Table_SourceData_Common_MCFTemperatureZone[[#Headers],[Temperature zone]],0)</f>
        <v>23</v>
      </c>
      <c r="F245" s="37" cm="1">
        <f t="array" ref="F245">Common_InputFunctions.Utility_DisplayArrayInTable(Common_SourceData.Common_SourceData_MCFTemperatureZone_Data(),Table_SourceData_Common_MCFTemperatureZone[[#Headers],[Temperature zone]],0)</f>
        <v>0.79</v>
      </c>
      <c r="G245" s="37" cm="1">
        <f t="array" ref="G245">Common_InputFunctions.Utility_DisplayArrayInTable(Common_SourceData.Common_SourceData_MCFTemperatureZone_Data(),Table_SourceData_Common_MCFTemperatureZone[[#Headers],[Temperature zone]],0)</f>
        <v>0.1</v>
      </c>
      <c r="H245" s="37" cm="1">
        <f t="array" ref="H245">Common_InputFunctions.Utility_DisplayArrayInTable(Common_SourceData.Common_SourceData_MCFTemperatureZone_Data(),Table_SourceData_Common_MCFTemperatureZone[[#Headers],[Temperature zone]],0)</f>
        <v>0.34</v>
      </c>
      <c r="I245" s="37" cm="1">
        <f t="array" ref="I245">Common_InputFunctions.Utility_DisplayArrayInTable(Common_SourceData.Common_SourceData_MCFTemperatureZone_Data(),Table_SourceData_Common_MCFTemperatureZone[[#Headers],[Temperature zone]],0)</f>
        <v>5.0000000000000001E-3</v>
      </c>
      <c r="J245" s="37" cm="1">
        <f t="array" ref="J245">Common_InputFunctions.Utility_DisplayArrayInTable(Common_SourceData.Common_SourceData_MCFTemperatureZone_Data(),Table_SourceData_Common_MCFTemperatureZone[[#Headers],[Temperature zone]],0)</f>
        <v>0.01</v>
      </c>
      <c r="K245" s="37" cm="1">
        <f t="array" ref="K245">Common_InputFunctions.Utility_DisplayArrayInTable(Common_SourceData.Common_SourceData_MCFTemperatureZone_Data(),Table_SourceData_Common_MCFTemperatureZone[[#Headers],[Temperature zone]],0)</f>
        <v>0.02</v>
      </c>
      <c r="L245" s="37" cm="1">
        <f t="array" ref="L245">Common_InputFunctions.Utility_DisplayArrayInTable(Common_SourceData.Common_SourceData_MCFTemperatureZone_Data(),Table_SourceData_Common_MCFTemperatureZone[[#Headers],[Temperature zone]],0)</f>
        <v>0.03</v>
      </c>
      <c r="M245" s="37" cm="1">
        <f t="array" ref="M245">Common_InputFunctions.Utility_DisplayArrayInTable(Common_SourceData.Common_SourceData_MCFTemperatureZone_Data(),Table_SourceData_Common_MCFTemperatureZone[[#Headers],[Temperature zone]],0)</f>
        <v>0.04</v>
      </c>
      <c r="N245" s="37" cm="1">
        <f t="array" ref="N245">Common_InputFunctions.Utility_DisplayArrayInTable(Common_SourceData.Common_SourceData_MCFTemperatureZone_Data(),Table_SourceData_Common_MCFTemperatureZone[[#Headers],[Temperature zone]],0)</f>
        <v>1.4999999999999999E-2</v>
      </c>
      <c r="O245" s="37" cm="1">
        <f t="array" ref="O245">Common_InputFunctions.Utility_DisplayArrayInTable(Common_SourceData.Common_SourceData_MCFTemperatureZone_Data(),Table_SourceData_Common_MCFTemperatureZone[[#Headers],[Temperature zone]],0)</f>
        <v>1.4999999999999999E-2</v>
      </c>
      <c r="P245" s="37" cm="1">
        <f t="array" ref="P245">Common_InputFunctions.Utility_DisplayArrayInTable(Common_SourceData.Common_SourceData_MCFTemperatureZone_Data(),Table_SourceData_Common_MCFTemperatureZone[[#Headers],[Temperature zone]],0)</f>
        <v>0</v>
      </c>
      <c r="Q245" s="37" cm="1">
        <f t="array" ref="Q245">Common_InputFunctions.Utility_DisplayArrayInTable(Common_SourceData.Common_SourceData_MCFTemperatureZone_Data(),Table_SourceData_Common_MCFTemperatureZone[[#Headers],[Temperature zone]],0)</f>
        <v>0</v>
      </c>
      <c r="R245" s="37" cm="1">
        <f t="array" ref="R245">Common_InputFunctions.Utility_DisplayArrayInTable(Common_SourceData.Common_SourceData_MCFTemperatureZone_Data(),Table_SourceData_Common_MCFTemperatureZone[[#Headers],[Temperature zone]],0)</f>
        <v>4.7000000000000002E-3</v>
      </c>
      <c r="S245" s="37"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7" cm="1">
        <f t="array" ref="E246">Common_InputFunctions.Utility_DisplayArrayInTable(Common_SourceData.Common_SourceData_MCFTemperatureZone_Data(),Table_SourceData_Common_MCFTemperatureZone[[#Headers],[Temperature zone]],0)</f>
        <v>24</v>
      </c>
      <c r="F246" s="37" cm="1">
        <f t="array" ref="F246">Common_InputFunctions.Utility_DisplayArrayInTable(Common_SourceData.Common_SourceData_MCFTemperatureZone_Data(),Table_SourceData_Common_MCFTemperatureZone[[#Headers],[Temperature zone]],0)</f>
        <v>0.79</v>
      </c>
      <c r="G246" s="37" cm="1">
        <f t="array" ref="G246">Common_InputFunctions.Utility_DisplayArrayInTable(Common_SourceData.Common_SourceData_MCFTemperatureZone_Data(),Table_SourceData_Common_MCFTemperatureZone[[#Headers],[Temperature zone]],0)</f>
        <v>0.1</v>
      </c>
      <c r="H246" s="37" cm="1">
        <f t="array" ref="H246">Common_InputFunctions.Utility_DisplayArrayInTable(Common_SourceData.Common_SourceData_MCFTemperatureZone_Data(),Table_SourceData_Common_MCFTemperatureZone[[#Headers],[Temperature zone]],0)</f>
        <v>0.37</v>
      </c>
      <c r="I246" s="37" cm="1">
        <f t="array" ref="I246">Common_InputFunctions.Utility_DisplayArrayInTable(Common_SourceData.Common_SourceData_MCFTemperatureZone_Data(),Table_SourceData_Common_MCFTemperatureZone[[#Headers],[Temperature zone]],0)</f>
        <v>5.0000000000000001E-3</v>
      </c>
      <c r="J246" s="37" cm="1">
        <f t="array" ref="J246">Common_InputFunctions.Utility_DisplayArrayInTable(Common_SourceData.Common_SourceData_MCFTemperatureZone_Data(),Table_SourceData_Common_MCFTemperatureZone[[#Headers],[Temperature zone]],0)</f>
        <v>0.01</v>
      </c>
      <c r="K246" s="37" cm="1">
        <f t="array" ref="K246">Common_InputFunctions.Utility_DisplayArrayInTable(Common_SourceData.Common_SourceData_MCFTemperatureZone_Data(),Table_SourceData_Common_MCFTemperatureZone[[#Headers],[Temperature zone]],0)</f>
        <v>0.02</v>
      </c>
      <c r="L246" s="37" cm="1">
        <f t="array" ref="L246">Common_InputFunctions.Utility_DisplayArrayInTable(Common_SourceData.Common_SourceData_MCFTemperatureZone_Data(),Table_SourceData_Common_MCFTemperatureZone[[#Headers],[Temperature zone]],0)</f>
        <v>0.03</v>
      </c>
      <c r="M246" s="37" cm="1">
        <f t="array" ref="M246">Common_InputFunctions.Utility_DisplayArrayInTable(Common_SourceData.Common_SourceData_MCFTemperatureZone_Data(),Table_SourceData_Common_MCFTemperatureZone[[#Headers],[Temperature zone]],0)</f>
        <v>0.04</v>
      </c>
      <c r="N246" s="37" cm="1">
        <f t="array" ref="N246">Common_InputFunctions.Utility_DisplayArrayInTable(Common_SourceData.Common_SourceData_MCFTemperatureZone_Data(),Table_SourceData_Common_MCFTemperatureZone[[#Headers],[Temperature zone]],0)</f>
        <v>1.4999999999999999E-2</v>
      </c>
      <c r="O246" s="37" cm="1">
        <f t="array" ref="O246">Common_InputFunctions.Utility_DisplayArrayInTable(Common_SourceData.Common_SourceData_MCFTemperatureZone_Data(),Table_SourceData_Common_MCFTemperatureZone[[#Headers],[Temperature zone]],0)</f>
        <v>1.4999999999999999E-2</v>
      </c>
      <c r="P246" s="37" cm="1">
        <f t="array" ref="P246">Common_InputFunctions.Utility_DisplayArrayInTable(Common_SourceData.Common_SourceData_MCFTemperatureZone_Data(),Table_SourceData_Common_MCFTemperatureZone[[#Headers],[Temperature zone]],0)</f>
        <v>0</v>
      </c>
      <c r="Q246" s="37" cm="1">
        <f t="array" ref="Q246">Common_InputFunctions.Utility_DisplayArrayInTable(Common_SourceData.Common_SourceData_MCFTemperatureZone_Data(),Table_SourceData_Common_MCFTemperatureZone[[#Headers],[Temperature zone]],0)</f>
        <v>0</v>
      </c>
      <c r="R246" s="37" cm="1">
        <f t="array" ref="R246">Common_InputFunctions.Utility_DisplayArrayInTable(Common_SourceData.Common_SourceData_MCFTemperatureZone_Data(),Table_SourceData_Common_MCFTemperatureZone[[#Headers],[Temperature zone]],0)</f>
        <v>4.7000000000000002E-3</v>
      </c>
      <c r="S246" s="37"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7" cm="1">
        <f t="array" ref="E247">Common_InputFunctions.Utility_DisplayArrayInTable(Common_SourceData.Common_SourceData_MCFTemperatureZone_Data(),Table_SourceData_Common_MCFTemperatureZone[[#Headers],[Temperature zone]],0)</f>
        <v>25</v>
      </c>
      <c r="F247" s="37" cm="1">
        <f t="array" ref="F247">Common_InputFunctions.Utility_DisplayArrayInTable(Common_SourceData.Common_SourceData_MCFTemperatureZone_Data(),Table_SourceData_Common_MCFTemperatureZone[[#Headers],[Temperature zone]],0)</f>
        <v>0.79</v>
      </c>
      <c r="G247" s="37" cm="1">
        <f t="array" ref="G247">Common_InputFunctions.Utility_DisplayArrayInTable(Common_SourceData.Common_SourceData_MCFTemperatureZone_Data(),Table_SourceData_Common_MCFTemperatureZone[[#Headers],[Temperature zone]],0)</f>
        <v>0.1</v>
      </c>
      <c r="H247" s="37" cm="1">
        <f t="array" ref="H247">Common_InputFunctions.Utility_DisplayArrayInTable(Common_SourceData.Common_SourceData_MCFTemperatureZone_Data(),Table_SourceData_Common_MCFTemperatureZone[[#Headers],[Temperature zone]],0)</f>
        <v>0.41</v>
      </c>
      <c r="I247" s="37" cm="1">
        <f t="array" ref="I247">Common_InputFunctions.Utility_DisplayArrayInTable(Common_SourceData.Common_SourceData_MCFTemperatureZone_Data(),Table_SourceData_Common_MCFTemperatureZone[[#Headers],[Temperature zone]],0)</f>
        <v>5.0000000000000001E-3</v>
      </c>
      <c r="J247" s="37" cm="1">
        <f t="array" ref="J247">Common_InputFunctions.Utility_DisplayArrayInTable(Common_SourceData.Common_SourceData_MCFTemperatureZone_Data(),Table_SourceData_Common_MCFTemperatureZone[[#Headers],[Temperature zone]],0)</f>
        <v>0.01</v>
      </c>
      <c r="K247" s="37" cm="1">
        <f t="array" ref="K247">Common_InputFunctions.Utility_DisplayArrayInTable(Common_SourceData.Common_SourceData_MCFTemperatureZone_Data(),Table_SourceData_Common_MCFTemperatureZone[[#Headers],[Temperature zone]],0)</f>
        <v>0.02</v>
      </c>
      <c r="L247" s="37" cm="1">
        <f t="array" ref="L247">Common_InputFunctions.Utility_DisplayArrayInTable(Common_SourceData.Common_SourceData_MCFTemperatureZone_Data(),Table_SourceData_Common_MCFTemperatureZone[[#Headers],[Temperature zone]],0)</f>
        <v>0.03</v>
      </c>
      <c r="M247" s="37" cm="1">
        <f t="array" ref="M247">Common_InputFunctions.Utility_DisplayArrayInTable(Common_SourceData.Common_SourceData_MCFTemperatureZone_Data(),Table_SourceData_Common_MCFTemperatureZone[[#Headers],[Temperature zone]],0)</f>
        <v>0.04</v>
      </c>
      <c r="N247" s="37" cm="1">
        <f t="array" ref="N247">Common_InputFunctions.Utility_DisplayArrayInTable(Common_SourceData.Common_SourceData_MCFTemperatureZone_Data(),Table_SourceData_Common_MCFTemperatureZone[[#Headers],[Temperature zone]],0)</f>
        <v>1.4999999999999999E-2</v>
      </c>
      <c r="O247" s="37" cm="1">
        <f t="array" ref="O247">Common_InputFunctions.Utility_DisplayArrayInTable(Common_SourceData.Common_SourceData_MCFTemperatureZone_Data(),Table_SourceData_Common_MCFTemperatureZone[[#Headers],[Temperature zone]],0)</f>
        <v>1.4999999999999999E-2</v>
      </c>
      <c r="P247" s="37" cm="1">
        <f t="array" ref="P247">Common_InputFunctions.Utility_DisplayArrayInTable(Common_SourceData.Common_SourceData_MCFTemperatureZone_Data(),Table_SourceData_Common_MCFTemperatureZone[[#Headers],[Temperature zone]],0)</f>
        <v>0</v>
      </c>
      <c r="Q247" s="37" cm="1">
        <f t="array" ref="Q247">Common_InputFunctions.Utility_DisplayArrayInTable(Common_SourceData.Common_SourceData_MCFTemperatureZone_Data(),Table_SourceData_Common_MCFTemperatureZone[[#Headers],[Temperature zone]],0)</f>
        <v>0</v>
      </c>
      <c r="R247" s="37" cm="1">
        <f t="array" ref="R247">Common_InputFunctions.Utility_DisplayArrayInTable(Common_SourceData.Common_SourceData_MCFTemperatureZone_Data(),Table_SourceData_Common_MCFTemperatureZone[[#Headers],[Temperature zone]],0)</f>
        <v>4.7000000000000002E-3</v>
      </c>
      <c r="S247" s="37"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7" cm="1">
        <f t="array" ref="E248">Common_InputFunctions.Utility_DisplayArrayInTable(Common_SourceData.Common_SourceData_MCFTemperatureZone_Data(),Table_SourceData_Common_MCFTemperatureZone[[#Headers],[Temperature zone]],0)</f>
        <v>26</v>
      </c>
      <c r="F248" s="37" cm="1">
        <f t="array" ref="F248">Common_InputFunctions.Utility_DisplayArrayInTable(Common_SourceData.Common_SourceData_MCFTemperatureZone_Data(),Table_SourceData_Common_MCFTemperatureZone[[#Headers],[Temperature zone]],0)</f>
        <v>0.79</v>
      </c>
      <c r="G248" s="37" cm="1">
        <f t="array" ref="G248">Common_InputFunctions.Utility_DisplayArrayInTable(Common_SourceData.Common_SourceData_MCFTemperatureZone_Data(),Table_SourceData_Common_MCFTemperatureZone[[#Headers],[Temperature zone]],0)</f>
        <v>0.1</v>
      </c>
      <c r="H248" s="37" cm="1">
        <f t="array" ref="H248">Common_InputFunctions.Utility_DisplayArrayInTable(Common_SourceData.Common_SourceData_MCFTemperatureZone_Data(),Table_SourceData_Common_MCFTemperatureZone[[#Headers],[Temperature zone]],0)</f>
        <v>0.44</v>
      </c>
      <c r="I248" s="37" cm="1">
        <f t="array" ref="I248">Common_InputFunctions.Utility_DisplayArrayInTable(Common_SourceData.Common_SourceData_MCFTemperatureZone_Data(),Table_SourceData_Common_MCFTemperatureZone[[#Headers],[Temperature zone]],0)</f>
        <v>0.01</v>
      </c>
      <c r="J248" s="37" cm="1">
        <f t="array" ref="J248">Common_InputFunctions.Utility_DisplayArrayInTable(Common_SourceData.Common_SourceData_MCFTemperatureZone_Data(),Table_SourceData_Common_MCFTemperatureZone[[#Headers],[Temperature zone]],0)</f>
        <v>1.4999999999999999E-2</v>
      </c>
      <c r="K248" s="37" cm="1">
        <f t="array" ref="K248">Common_InputFunctions.Utility_DisplayArrayInTable(Common_SourceData.Common_SourceData_MCFTemperatureZone_Data(),Table_SourceData_Common_MCFTemperatureZone[[#Headers],[Temperature zone]],0)</f>
        <v>0.02</v>
      </c>
      <c r="L248" s="37" cm="1">
        <f t="array" ref="L248">Common_InputFunctions.Utility_DisplayArrayInTable(Common_SourceData.Common_SourceData_MCFTemperatureZone_Data(),Table_SourceData_Common_MCFTemperatureZone[[#Headers],[Temperature zone]],0)</f>
        <v>0.03</v>
      </c>
      <c r="M248" s="37" cm="1">
        <f t="array" ref="M248">Common_InputFunctions.Utility_DisplayArrayInTable(Common_SourceData.Common_SourceData_MCFTemperatureZone_Data(),Table_SourceData_Common_MCFTemperatureZone[[#Headers],[Temperature zone]],0)</f>
        <v>0.04</v>
      </c>
      <c r="N248" s="37" cm="1">
        <f t="array" ref="N248">Common_InputFunctions.Utility_DisplayArrayInTable(Common_SourceData.Common_SourceData_MCFTemperatureZone_Data(),Table_SourceData_Common_MCFTemperatureZone[[#Headers],[Temperature zone]],0)</f>
        <v>1.4999999999999999E-2</v>
      </c>
      <c r="O248" s="37" cm="1">
        <f t="array" ref="O248">Common_InputFunctions.Utility_DisplayArrayInTable(Common_SourceData.Common_SourceData_MCFTemperatureZone_Data(),Table_SourceData_Common_MCFTemperatureZone[[#Headers],[Temperature zone]],0)</f>
        <v>1.4999999999999999E-2</v>
      </c>
      <c r="P248" s="37" cm="1">
        <f t="array" ref="P248">Common_InputFunctions.Utility_DisplayArrayInTable(Common_SourceData.Common_SourceData_MCFTemperatureZone_Data(),Table_SourceData_Common_MCFTemperatureZone[[#Headers],[Temperature zone]],0)</f>
        <v>0</v>
      </c>
      <c r="Q248" s="37" cm="1">
        <f t="array" ref="Q248">Common_InputFunctions.Utility_DisplayArrayInTable(Common_SourceData.Common_SourceData_MCFTemperatureZone_Data(),Table_SourceData_Common_MCFTemperatureZone[[#Headers],[Temperature zone]],0)</f>
        <v>0</v>
      </c>
      <c r="R248" s="37" cm="1">
        <f t="array" ref="R248">Common_InputFunctions.Utility_DisplayArrayInTable(Common_SourceData.Common_SourceData_MCFTemperatureZone_Data(),Table_SourceData_Common_MCFTemperatureZone[[#Headers],[Temperature zone]],0)</f>
        <v>4.7000000000000002E-3</v>
      </c>
      <c r="S248" s="37"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7" cm="1">
        <f t="array" ref="E249">Common_InputFunctions.Utility_DisplayArrayInTable(Common_SourceData.Common_SourceData_MCFTemperatureZone_Data(),Table_SourceData_Common_MCFTemperatureZone[[#Headers],[Temperature zone]],0)</f>
        <v>27</v>
      </c>
      <c r="F249" s="37" cm="1">
        <f t="array" ref="F249">Common_InputFunctions.Utility_DisplayArrayInTable(Common_SourceData.Common_SourceData_MCFTemperatureZone_Data(),Table_SourceData_Common_MCFTemperatureZone[[#Headers],[Temperature zone]],0)</f>
        <v>0.8</v>
      </c>
      <c r="G249" s="37" cm="1">
        <f t="array" ref="G249">Common_InputFunctions.Utility_DisplayArrayInTable(Common_SourceData.Common_SourceData_MCFTemperatureZone_Data(),Table_SourceData_Common_MCFTemperatureZone[[#Headers],[Temperature zone]],0)</f>
        <v>0.1</v>
      </c>
      <c r="H249" s="37" cm="1">
        <f t="array" ref="H249">Common_InputFunctions.Utility_DisplayArrayInTable(Common_SourceData.Common_SourceData_MCFTemperatureZone_Data(),Table_SourceData_Common_MCFTemperatureZone[[#Headers],[Temperature zone]],0)</f>
        <v>0.48</v>
      </c>
      <c r="I249" s="37" cm="1">
        <f t="array" ref="I249">Common_InputFunctions.Utility_DisplayArrayInTable(Common_SourceData.Common_SourceData_MCFTemperatureZone_Data(),Table_SourceData_Common_MCFTemperatureZone[[#Headers],[Temperature zone]],0)</f>
        <v>0.01</v>
      </c>
      <c r="J249" s="37" cm="1">
        <f t="array" ref="J249">Common_InputFunctions.Utility_DisplayArrayInTable(Common_SourceData.Common_SourceData_MCFTemperatureZone_Data(),Table_SourceData_Common_MCFTemperatureZone[[#Headers],[Temperature zone]],0)</f>
        <v>1.4999999999999999E-2</v>
      </c>
      <c r="K249" s="37" cm="1">
        <f t="array" ref="K249">Common_InputFunctions.Utility_DisplayArrayInTable(Common_SourceData.Common_SourceData_MCFTemperatureZone_Data(),Table_SourceData_Common_MCFTemperatureZone[[#Headers],[Temperature zone]],0)</f>
        <v>0.02</v>
      </c>
      <c r="L249" s="37" cm="1">
        <f t="array" ref="L249">Common_InputFunctions.Utility_DisplayArrayInTable(Common_SourceData.Common_SourceData_MCFTemperatureZone_Data(),Table_SourceData_Common_MCFTemperatureZone[[#Headers],[Temperature zone]],0)</f>
        <v>0.03</v>
      </c>
      <c r="M249" s="37" cm="1">
        <f t="array" ref="M249">Common_InputFunctions.Utility_DisplayArrayInTable(Common_SourceData.Common_SourceData_MCFTemperatureZone_Data(),Table_SourceData_Common_MCFTemperatureZone[[#Headers],[Temperature zone]],0)</f>
        <v>0.04</v>
      </c>
      <c r="N249" s="37" cm="1">
        <f t="array" ref="N249">Common_InputFunctions.Utility_DisplayArrayInTable(Common_SourceData.Common_SourceData_MCFTemperatureZone_Data(),Table_SourceData_Common_MCFTemperatureZone[[#Headers],[Temperature zone]],0)</f>
        <v>1.4999999999999999E-2</v>
      </c>
      <c r="O249" s="37" cm="1">
        <f t="array" ref="O249">Common_InputFunctions.Utility_DisplayArrayInTable(Common_SourceData.Common_SourceData_MCFTemperatureZone_Data(),Table_SourceData_Common_MCFTemperatureZone[[#Headers],[Temperature zone]],0)</f>
        <v>1.4999999999999999E-2</v>
      </c>
      <c r="P249" s="37" cm="1">
        <f t="array" ref="P249">Common_InputFunctions.Utility_DisplayArrayInTable(Common_SourceData.Common_SourceData_MCFTemperatureZone_Data(),Table_SourceData_Common_MCFTemperatureZone[[#Headers],[Temperature zone]],0)</f>
        <v>0</v>
      </c>
      <c r="Q249" s="37" cm="1">
        <f t="array" ref="Q249">Common_InputFunctions.Utility_DisplayArrayInTable(Common_SourceData.Common_SourceData_MCFTemperatureZone_Data(),Table_SourceData_Common_MCFTemperatureZone[[#Headers],[Temperature zone]],0)</f>
        <v>0</v>
      </c>
      <c r="R249" s="37" cm="1">
        <f t="array" ref="R249">Common_InputFunctions.Utility_DisplayArrayInTable(Common_SourceData.Common_SourceData_MCFTemperatureZone_Data(),Table_SourceData_Common_MCFTemperatureZone[[#Headers],[Temperature zone]],0)</f>
        <v>4.7000000000000002E-3</v>
      </c>
      <c r="S249" s="37"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7" t="str" cm="1">
        <f t="array" ref="E250">Common_InputFunctions.Utility_DisplayArrayInTable(Common_SourceData.Common_SourceData_MCFTemperatureZone_Data(),Table_SourceData_Common_MCFTemperatureZone[[#Headers],[Temperature zone]],0)</f>
        <v>≥28</v>
      </c>
      <c r="F250" s="37" cm="1">
        <f t="array" ref="F250">Common_InputFunctions.Utility_DisplayArrayInTable(Common_SourceData.Common_SourceData_MCFTemperatureZone_Data(),Table_SourceData_Common_MCFTemperatureZone[[#Headers],[Temperature zone]],0)</f>
        <v>0.8</v>
      </c>
      <c r="G250" s="37" cm="1">
        <f t="array" ref="G250">Common_InputFunctions.Utility_DisplayArrayInTable(Common_SourceData.Common_SourceData_MCFTemperatureZone_Data(),Table_SourceData_Common_MCFTemperatureZone[[#Headers],[Temperature zone]],0)</f>
        <v>0.1</v>
      </c>
      <c r="H250" s="37" cm="1">
        <f t="array" ref="H250">Common_InputFunctions.Utility_DisplayArrayInTable(Common_SourceData.Common_SourceData_MCFTemperatureZone_Data(),Table_SourceData_Common_MCFTemperatureZone[[#Headers],[Temperature zone]],0)</f>
        <v>0.5</v>
      </c>
      <c r="I250" s="37" cm="1">
        <f t="array" ref="I250">Common_InputFunctions.Utility_DisplayArrayInTable(Common_SourceData.Common_SourceData_MCFTemperatureZone_Data(),Table_SourceData_Common_MCFTemperatureZone[[#Headers],[Temperature zone]],0)</f>
        <v>0.01</v>
      </c>
      <c r="J250" s="37" cm="1">
        <f t="array" ref="J250">Common_InputFunctions.Utility_DisplayArrayInTable(Common_SourceData.Common_SourceData_MCFTemperatureZone_Data(),Table_SourceData_Common_MCFTemperatureZone[[#Headers],[Temperature zone]],0)</f>
        <v>1.4999999999999999E-2</v>
      </c>
      <c r="K250" s="37" cm="1">
        <f t="array" ref="K250">Common_InputFunctions.Utility_DisplayArrayInTable(Common_SourceData.Common_SourceData_MCFTemperatureZone_Data(),Table_SourceData_Common_MCFTemperatureZone[[#Headers],[Temperature zone]],0)</f>
        <v>0.02</v>
      </c>
      <c r="L250" s="37" cm="1">
        <f t="array" ref="L250">Common_InputFunctions.Utility_DisplayArrayInTable(Common_SourceData.Common_SourceData_MCFTemperatureZone_Data(),Table_SourceData_Common_MCFTemperatureZone[[#Headers],[Temperature zone]],0)</f>
        <v>0.03</v>
      </c>
      <c r="M250" s="37" cm="1">
        <f t="array" ref="M250">Common_InputFunctions.Utility_DisplayArrayInTable(Common_SourceData.Common_SourceData_MCFTemperatureZone_Data(),Table_SourceData_Common_MCFTemperatureZone[[#Headers],[Temperature zone]],0)</f>
        <v>0.04</v>
      </c>
      <c r="N250" s="37" cm="1">
        <f t="array" ref="N250">Common_InputFunctions.Utility_DisplayArrayInTable(Common_SourceData.Common_SourceData_MCFTemperatureZone_Data(),Table_SourceData_Common_MCFTemperatureZone[[#Headers],[Temperature zone]],0)</f>
        <v>1.4999999999999999E-2</v>
      </c>
      <c r="O250" s="37" cm="1">
        <f t="array" ref="O250">Common_InputFunctions.Utility_DisplayArrayInTable(Common_SourceData.Common_SourceData_MCFTemperatureZone_Data(),Table_SourceData_Common_MCFTemperatureZone[[#Headers],[Temperature zone]],0)</f>
        <v>1.4999999999999999E-2</v>
      </c>
      <c r="P250" s="37" cm="1">
        <f t="array" ref="P250">Common_InputFunctions.Utility_DisplayArrayInTable(Common_SourceData.Common_SourceData_MCFTemperatureZone_Data(),Table_SourceData_Common_MCFTemperatureZone[[#Headers],[Temperature zone]],0)</f>
        <v>0</v>
      </c>
      <c r="Q250" s="37" cm="1">
        <f t="array" ref="Q250">Common_InputFunctions.Utility_DisplayArrayInTable(Common_SourceData.Common_SourceData_MCFTemperatureZone_Data(),Table_SourceData_Common_MCFTemperatureZone[[#Headers],[Temperature zone]],0)</f>
        <v>0</v>
      </c>
      <c r="R250" s="37" cm="1">
        <f t="array" ref="R250">Common_InputFunctions.Utility_DisplayArrayInTable(Common_SourceData.Common_SourceData_MCFTemperatureZone_Data(),Table_SourceData_Common_MCFTemperatureZone[[#Headers],[Temperature zone]],0)</f>
        <v>4.7000000000000002E-3</v>
      </c>
      <c r="S250" s="37"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52" t="str" cm="1">
        <f t="array" ref="D256">Common_SourceData.Common_SourceData_EFOrganicFertiliserAndCropResidues_Unit()</f>
        <v>kg N2O - N / kg N</v>
      </c>
    </row>
    <row r="257" spans="4:5" x14ac:dyDescent="0.25">
      <c r="D257" s="37" t="s">
        <v>180</v>
      </c>
      <c r="E257" s="37" t="s">
        <v>181</v>
      </c>
    </row>
    <row r="258" spans="4:5" x14ac:dyDescent="0.25">
      <c r="D258" s="37" t="str" cm="1">
        <f t="array" ref="D258">Common_InputFunctions.Utility_DisplayArrayInTable(Common_SourceData.Common_SourceData_EFOrganicFertiliserAndCropResidues_Data(), Table_SourceData_Common_EFOrganicFertCropResidues[[#Headers],[Climate Zone]], 0)</f>
        <v>Wet climate zone</v>
      </c>
      <c r="E258" s="37"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7"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dimension ref="A1:M63"/>
  <sheetViews>
    <sheetView showGridLines="0" workbookViewId="0">
      <selection activeCell="A15" sqref="A15"/>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60" t="e" vm="1">
        <v>#VALUE!</v>
      </c>
      <c r="C1" s="8" t="s">
        <v>59</v>
      </c>
      <c r="D1" s="8"/>
      <c r="E1" s="8"/>
      <c r="F1" s="8"/>
      <c r="G1" s="8"/>
      <c r="H1" s="8"/>
      <c r="I1" s="8"/>
      <c r="J1" s="8"/>
      <c r="K1" s="8"/>
      <c r="L1" s="8"/>
      <c r="M1" s="8"/>
    </row>
    <row r="2" spans="1:13" ht="20.100000000000001" customHeight="1" x14ac:dyDescent="0.25">
      <c r="A2" s="9"/>
      <c r="C2" s="9"/>
      <c r="D2" s="9"/>
      <c r="E2" s="9"/>
      <c r="F2" s="9"/>
      <c r="G2" s="9"/>
      <c r="H2" s="9"/>
      <c r="I2" s="9"/>
      <c r="J2" s="9"/>
      <c r="K2" s="9"/>
      <c r="L2" s="9"/>
      <c r="M2" s="9"/>
    </row>
    <row r="3" spans="1:13" ht="20.100000000000001" customHeight="1" x14ac:dyDescent="0.25">
      <c r="A3" s="17" t="str">
        <f>HYPERLINK("#'Home'!A1", "Home")</f>
        <v>Home</v>
      </c>
      <c r="C3" s="4"/>
      <c r="D3" s="4"/>
      <c r="E3" s="4"/>
      <c r="F3" s="4"/>
      <c r="G3" s="4"/>
      <c r="H3" s="4"/>
      <c r="I3" s="4"/>
      <c r="J3" s="4"/>
      <c r="K3" s="4"/>
      <c r="L3" s="4"/>
      <c r="M3" s="4"/>
    </row>
    <row r="4" spans="1:13" ht="20.100000000000001" customHeight="1" x14ac:dyDescent="0.25">
      <c r="A4" s="17" t="str">
        <f>HYPERLINK("#'Overview'!A1", "Overview")</f>
        <v>Overview</v>
      </c>
    </row>
    <row r="5" spans="1:13" ht="20.100000000000001" customHeight="1" x14ac:dyDescent="0.25">
      <c r="A5" s="17" t="str">
        <f>HYPERLINK("#'Results'!A1", "Results")</f>
        <v>Results</v>
      </c>
    </row>
    <row r="6" spans="1:13" ht="20.100000000000001" customHeight="1" x14ac:dyDescent="0.25">
      <c r="A6" s="16"/>
      <c r="D6" s="6" t="str" cm="1">
        <f t="array" ref="D6">CommonLivestock_SourceData.SourceData_Livestock_Common_SymbolsMMS_Title()</f>
        <v>Table 5.12 Additional symbols used in algorithms for manure related emissions</v>
      </c>
      <c r="E6" s="3"/>
      <c r="F6" s="3"/>
      <c r="G6" s="3"/>
      <c r="H6" s="3"/>
    </row>
    <row r="7" spans="1:13" ht="20.100000000000001" customHeight="1" x14ac:dyDescent="0.25">
      <c r="A7" s="20" t="s">
        <v>3</v>
      </c>
      <c r="D7" s="3" t="str" cm="1">
        <f t="array" ref="D7">CommonLivestock_SourceData.SourceData_Livestock_Common_SymbolsMMS_Vairable()</f>
        <v>MMS</v>
      </c>
      <c r="E7" s="3"/>
      <c r="F7" s="3"/>
      <c r="G7" s="3"/>
      <c r="H7" s="3"/>
    </row>
    <row r="8" spans="1:13" ht="20.100000000000001" customHeight="1" x14ac:dyDescent="0.25">
      <c r="A8" s="17" t="str">
        <f>HYPERLINK("#'Input - Site'!A1", "Site")</f>
        <v>Site</v>
      </c>
      <c r="D8" s="5" t="str" cm="1">
        <f t="array" ref="D8">CommonLivestock_SourceData.SourceData_Livestock_Common_SymbolsMMS_Source()</f>
        <v>National Inventory Report 2023 Volume 1: Table 5.12</v>
      </c>
      <c r="E8" s="3"/>
      <c r="F8" s="3"/>
      <c r="G8" s="3"/>
      <c r="H8" s="3"/>
    </row>
    <row r="9" spans="1:13" ht="20.100000000000001" customHeight="1" x14ac:dyDescent="0.25">
      <c r="A9" s="17" t="str">
        <f>HYPERLINK("#'Input - Feedlot'!A1", "Feedlot")</f>
        <v>Feedlot</v>
      </c>
      <c r="D9" s="36" t="s">
        <v>60</v>
      </c>
      <c r="E9" s="37" t="s">
        <v>11</v>
      </c>
      <c r="F9" s="37" t="s">
        <v>61</v>
      </c>
      <c r="G9" s="3"/>
    </row>
    <row r="10" spans="1:13" ht="20.100000000000001" customHeight="1" x14ac:dyDescent="0.25">
      <c r="A10" s="17"/>
      <c r="D10" s="36" t="str" cm="1">
        <f t="array" ref="D10">Common_InputFunctions.Utility_DisplayArrayInTable(CommonLivestock_SourceData.SourceData_Livestock_Common_SymbolsMMS_Data(), Table_Data_MMSSymbols[[#Headers],[Symbol]], 0)</f>
        <v>1</v>
      </c>
      <c r="E10" s="36" t="str" cm="1">
        <f t="array" ref="E10">Common_InputFunctions.Utility_DisplayArrayInTable(CommonLivestock_SourceData.SourceData_Livestock_Common_SymbolsMMS_Data(), Table_Data_MMSSymbols[[#Headers],[Symbol]], 0)</f>
        <v>Anaerobic lagoon</v>
      </c>
      <c r="F10" s="36" t="str" cm="1">
        <f t="array" ref="F10">Common_InputFunctions.Utility_DisplayArrayInTable(CommonLivestock_SourceData.SourceData_Livestock_Common_SymbolsMMS_Data(), Table_Data_MMSSymbols[[#Headers],[Symbol]], 0)</f>
        <v>Anaerobic lagoon (m=1)</v>
      </c>
      <c r="G10" s="3"/>
    </row>
    <row r="11" spans="1:13" ht="20.100000000000001" customHeight="1" x14ac:dyDescent="0.25">
      <c r="A11" s="19" t="s">
        <v>56</v>
      </c>
      <c r="D11" s="36" t="str" cm="1">
        <f t="array" ref="D11">Common_InputFunctions.Utility_DisplayArrayInTable(CommonLivestock_SourceData.SourceData_Livestock_Common_SymbolsMMS_Data(), Table_Data_MMSSymbols[[#Headers],[Symbol]], 0)</f>
        <v>2</v>
      </c>
      <c r="E11" s="36" t="str" cm="1">
        <f t="array" ref="E11">Common_InputFunctions.Utility_DisplayArrayInTable(CommonLivestock_SourceData.SourceData_Livestock_Common_SymbolsMMS_Data(), Table_Data_MMSSymbols[[#Headers],[Symbol]], 0)</f>
        <v>Liquid systems</v>
      </c>
      <c r="F11" s="36" t="str" cm="1">
        <f t="array" ref="F11">Common_InputFunctions.Utility_DisplayArrayInTable(CommonLivestock_SourceData.SourceData_Livestock_Common_SymbolsMMS_Data(), Table_Data_MMSSymbols[[#Headers],[Symbol]], 0)</f>
        <v>Liquid systems (m=2)</v>
      </c>
      <c r="G11" s="3"/>
    </row>
    <row r="12" spans="1:13" ht="20.100000000000001" customHeight="1" x14ac:dyDescent="0.25">
      <c r="A12" s="17" t="str">
        <f>HYPERLINK("#'3.1.1.1-2 Enteric Methane'!A1", "3.1.1.1-2 Enteric Methane")</f>
        <v>3.1.1.1-2 Enteric Methane</v>
      </c>
      <c r="D12" s="37" t="str" cm="1">
        <f t="array" ref="D12">Common_InputFunctions.Utility_DisplayArrayInTable(CommonLivestock_SourceData.SourceData_Livestock_Common_SymbolsMMS_Data(), Table_Data_MMSSymbols[[#Headers],[Symbol]], 0)</f>
        <v>3</v>
      </c>
      <c r="E12" s="37" t="str" cm="1">
        <f t="array" ref="E12">Common_InputFunctions.Utility_DisplayArrayInTable(CommonLivestock_SourceData.SourceData_Livestock_Common_SymbolsMMS_Data(), Table_Data_MMSSymbols[[#Headers],[Symbol]], 0)</f>
        <v>Daily spread</v>
      </c>
      <c r="F12" s="37" t="str" cm="1">
        <f t="array" ref="F12">Common_InputFunctions.Utility_DisplayArrayInTable(CommonLivestock_SourceData.SourceData_Livestock_Common_SymbolsMMS_Data(), Table_Data_MMSSymbols[[#Headers],[Symbol]], 0)</f>
        <v>Daily spread (m=3)</v>
      </c>
      <c r="G12" s="3"/>
    </row>
    <row r="13" spans="1:13" ht="20.100000000000001" customHeight="1" x14ac:dyDescent="0.25">
      <c r="D13" s="37" t="str" cm="1">
        <f t="array" ref="D13">Common_InputFunctions.Utility_DisplayArrayInTable(CommonLivestock_SourceData.SourceData_Livestock_Common_SymbolsMMS_Data(), Table_Data_MMSSymbols[[#Headers],[Symbol]], 0)</f>
        <v>3a</v>
      </c>
      <c r="E13" s="37" t="str" cm="1">
        <f t="array" ref="E13">Common_InputFunctions.Utility_DisplayArrayInTable(CommonLivestock_SourceData.SourceData_Livestock_Common_SymbolsMMS_Data(), Table_Data_MMSSymbols[[#Headers],[Symbol]], 0)</f>
        <v>Sump and dispersal system</v>
      </c>
      <c r="F13" s="37" t="str" cm="1">
        <f t="array" ref="F13">Common_InputFunctions.Utility_DisplayArrayInTable(CommonLivestock_SourceData.SourceData_Livestock_Common_SymbolsMMS_Data(), Table_Data_MMSSymbols[[#Headers],[Symbol]], 0)</f>
        <v>Sump and dispersal system (m=3a)</v>
      </c>
      <c r="G13" s="3"/>
    </row>
    <row r="14" spans="1:13" ht="20.100000000000001" customHeight="1" x14ac:dyDescent="0.25">
      <c r="A14" s="18" t="s">
        <v>4</v>
      </c>
      <c r="D14" s="37" t="str" cm="1">
        <f t="array" ref="D14">Common_InputFunctions.Utility_DisplayArrayInTable(CommonLivestock_SourceData.SourceData_Livestock_Common_SymbolsMMS_Data(), Table_Data_MMSSymbols[[#Headers],[Symbol]], 0)</f>
        <v>3b</v>
      </c>
      <c r="E14" s="37" t="str" cm="1">
        <f t="array" ref="E14">Common_InputFunctions.Utility_DisplayArrayInTable(CommonLivestock_SourceData.SourceData_Livestock_Common_SymbolsMMS_Data(), Table_Data_MMSSymbols[[#Headers],[Symbol]], 0)</f>
        <v>Drains to paddock</v>
      </c>
      <c r="F14" s="37" t="str" cm="1">
        <f t="array" ref="F14">Common_InputFunctions.Utility_DisplayArrayInTable(CommonLivestock_SourceData.SourceData_Livestock_Common_SymbolsMMS_Data(), Table_Data_MMSSymbols[[#Headers],[Symbol]], 0)</f>
        <v>Drains to paddock (m=3b)</v>
      </c>
      <c r="G14" s="3"/>
    </row>
    <row r="15" spans="1:13" ht="20.100000000000001" customHeight="1" x14ac:dyDescent="0.25">
      <c r="A15" s="17" t="str">
        <f>HYPERLINK("#'Constants - Feedlot'!A1", "Constants - Feedlot")</f>
        <v>Constants - Feedlot</v>
      </c>
      <c r="D15" s="37" t="str" cm="1">
        <f t="array" ref="D15">Common_InputFunctions.Utility_DisplayArrayInTable(CommonLivestock_SourceData.SourceData_Livestock_Common_SymbolsMMS_Data(), Table_Data_MMSSymbols[[#Headers],[Symbol]], 0)</f>
        <v>4</v>
      </c>
      <c r="E15" s="37" t="str" cm="1">
        <f t="array" ref="E15">Common_InputFunctions.Utility_DisplayArrayInTable(CommonLivestock_SourceData.SourceData_Livestock_Common_SymbolsMMS_Data(), Table_Data_MMSSymbols[[#Headers],[Symbol]], 0)</f>
        <v>Solid storage</v>
      </c>
      <c r="F15" s="37" t="str" cm="1">
        <f t="array" ref="F15">Common_InputFunctions.Utility_DisplayArrayInTable(CommonLivestock_SourceData.SourceData_Livestock_Common_SymbolsMMS_Data(), Table_Data_MMSSymbols[[#Headers],[Symbol]], 0)</f>
        <v>Solid storage (m=4)</v>
      </c>
      <c r="G15" s="3"/>
    </row>
    <row r="16" spans="1:13" ht="20.100000000000001" customHeight="1" x14ac:dyDescent="0.25">
      <c r="A16" s="64" t="str">
        <f>HYPERLINK("#'Constants - Livestock'!A1", "Constants - Livestock")</f>
        <v>Constants - Livestock</v>
      </c>
      <c r="D16" s="37" t="str" cm="1">
        <f t="array" ref="D16">Common_InputFunctions.Utility_DisplayArrayInTable(CommonLivestock_SourceData.SourceData_Livestock_Common_SymbolsMMS_Data(), Table_Data_MMSSymbols[[#Headers],[Symbol]], 0)</f>
        <v>5</v>
      </c>
      <c r="E16" s="37" t="str" cm="1">
        <f t="array" ref="E16">Common_InputFunctions.Utility_DisplayArrayInTable(CommonLivestock_SourceData.SourceData_Livestock_Common_SymbolsMMS_Data(), Table_Data_MMSSymbols[[#Headers],[Symbol]], 0)</f>
        <v>Drylot (feed pad)</v>
      </c>
      <c r="F16" s="37" t="str" cm="1">
        <f t="array" ref="F16">Common_InputFunctions.Utility_DisplayArrayInTable(CommonLivestock_SourceData.SourceData_Livestock_Common_SymbolsMMS_Data(), Table_Data_MMSSymbols[[#Headers],[Symbol]], 0)</f>
        <v>Drylot (feed pad) (m=5)</v>
      </c>
      <c r="G16" s="3"/>
    </row>
    <row r="17" spans="1:8" ht="20.100000000000001" customHeight="1" x14ac:dyDescent="0.25">
      <c r="A17" s="17" t="str">
        <f>HYPERLINK("#'Constants - Common'!A1", "Constants - Common")</f>
        <v>Constants - Common</v>
      </c>
      <c r="D17" s="37" t="str" cm="1">
        <f t="array" ref="D17">Common_InputFunctions.Utility_DisplayArrayInTable(CommonLivestock_SourceData.SourceData_Livestock_Common_SymbolsMMS_Data(), Table_Data_MMSSymbols[[#Headers],[Symbol]], 0)</f>
        <v>6</v>
      </c>
      <c r="E17" s="37" t="str" cm="1">
        <f t="array" ref="E17">Common_InputFunctions.Utility_DisplayArrayInTable(CommonLivestock_SourceData.SourceData_Livestock_Common_SymbolsMMS_Data(), Table_Data_MMSSymbols[[#Headers],[Symbol]], 0)</f>
        <v>Composting (passive windrow)</v>
      </c>
      <c r="F17" s="37" t="str" cm="1">
        <f t="array" ref="F17">Common_InputFunctions.Utility_DisplayArrayInTable(CommonLivestock_SourceData.SourceData_Livestock_Common_SymbolsMMS_Data(), Table_Data_MMSSymbols[[#Headers],[Symbol]], 0)</f>
        <v>Composting (passive windrow) (m=6)</v>
      </c>
      <c r="G17" s="3"/>
    </row>
    <row r="18" spans="1:8" ht="20.100000000000001" customHeight="1" x14ac:dyDescent="0.25">
      <c r="A18" s="17" t="str">
        <f>HYPERLINK("#'Acknowledgements'!A1", "Acknowledgements")</f>
        <v>Acknowledgements</v>
      </c>
      <c r="D18" s="37" t="str" cm="1">
        <f t="array" ref="D18">Common_InputFunctions.Utility_DisplayArrayInTable(CommonLivestock_SourceData.SourceData_Livestock_Common_SymbolsMMS_Data(), Table_Data_MMSSymbols[[#Headers],[Symbol]], 0)</f>
        <v>7</v>
      </c>
      <c r="E18" s="37" t="str" cm="1">
        <f t="array" ref="E18">Common_InputFunctions.Utility_DisplayArrayInTable(CommonLivestock_SourceData.SourceData_Livestock_Common_SymbolsMMS_Data(), Table_Data_MMSSymbols[[#Headers],[Symbol]], 0)</f>
        <v>Digester / covered lagoons</v>
      </c>
      <c r="F18" s="37" t="str" cm="1">
        <f t="array" ref="F18">Common_InputFunctions.Utility_DisplayArrayInTable(CommonLivestock_SourceData.SourceData_Livestock_Common_SymbolsMMS_Data(), Table_Data_MMSSymbols[[#Headers],[Symbol]], 0)</f>
        <v>Digester / covered lagoons (m=7)</v>
      </c>
      <c r="G18" s="3"/>
    </row>
    <row r="19" spans="1:8" ht="20.100000000000001" customHeight="1" x14ac:dyDescent="0.25">
      <c r="D19" s="37" t="str" cm="1">
        <f t="array" ref="D19">Common_InputFunctions.Utility_DisplayArrayInTable(CommonLivestock_SourceData.SourceData_Livestock_Common_SymbolsMMS_Data(), Table_Data_MMSSymbols[[#Headers],[Symbol]], 0)</f>
        <v>8</v>
      </c>
      <c r="E19" s="37" t="str" cm="1">
        <f t="array" ref="E19">Common_InputFunctions.Utility_DisplayArrayInTable(CommonLivestock_SourceData.SourceData_Livestock_Common_SymbolsMMS_Data(), Table_Data_MMSSymbols[[#Headers],[Symbol]], 0)</f>
        <v>Deep litter</v>
      </c>
      <c r="F19" s="37" t="str" cm="1">
        <f t="array" ref="F19">Common_InputFunctions.Utility_DisplayArrayInTable(CommonLivestock_SourceData.SourceData_Livestock_Common_SymbolsMMS_Data(), Table_Data_MMSSymbols[[#Headers],[Symbol]], 0)</f>
        <v>Deep litter (m=8)</v>
      </c>
      <c r="G19" s="3"/>
    </row>
    <row r="20" spans="1:8" ht="20.100000000000001" customHeight="1" x14ac:dyDescent="0.25">
      <c r="D20" s="37" t="str" cm="1">
        <f t="array" ref="D20">Common_InputFunctions.Utility_DisplayArrayInTable(CommonLivestock_SourceData.SourceData_Livestock_Common_SymbolsMMS_Data(), Table_Data_MMSSymbols[[#Headers],[Symbol]], 0)</f>
        <v>9</v>
      </c>
      <c r="E20" s="37" t="str" cm="1">
        <f t="array" ref="E20">Common_InputFunctions.Utility_DisplayArrayInTable(CommonLivestock_SourceData.SourceData_Livestock_Common_SymbolsMMS_Data(), Table_Data_MMSSymbols[[#Headers],[Symbol]], 0)</f>
        <v>Pit storage</v>
      </c>
      <c r="F20" s="37" t="str" cm="1">
        <f t="array" ref="F20">Common_InputFunctions.Utility_DisplayArrayInTable(CommonLivestock_SourceData.SourceData_Livestock_Common_SymbolsMMS_Data(), Table_Data_MMSSymbols[[#Headers],[Symbol]], 0)</f>
        <v>Pit storage (m=9)</v>
      </c>
      <c r="G20" s="3"/>
    </row>
    <row r="21" spans="1:8" ht="20.100000000000001" customHeight="1" x14ac:dyDescent="0.25">
      <c r="A21" s="17"/>
      <c r="D21" s="37" t="str" cm="1">
        <f t="array" ref="D21">Common_InputFunctions.Utility_DisplayArrayInTable(CommonLivestock_SourceData.SourceData_Livestock_Common_SymbolsMMS_Data(), Table_Data_MMSSymbols[[#Headers],[Symbol]], 0)</f>
        <v>10</v>
      </c>
      <c r="E21" s="37" t="str" cm="1">
        <f t="array" ref="E21">Common_InputFunctions.Utility_DisplayArrayInTable(CommonLivestock_SourceData.SourceData_Livestock_Common_SymbolsMMS_Data(), Table_Data_MMSSymbols[[#Headers],[Symbol]], 0)</f>
        <v>Poultry manure with bedding</v>
      </c>
      <c r="F21" s="37" t="str" cm="1">
        <f t="array" ref="F21">Common_InputFunctions.Utility_DisplayArrayInTable(CommonLivestock_SourceData.SourceData_Livestock_Common_SymbolsMMS_Data(), Table_Data_MMSSymbols[[#Headers],[Symbol]], 0)</f>
        <v>Poultry manure with bedding (m=10)</v>
      </c>
      <c r="G21" s="3"/>
    </row>
    <row r="22" spans="1:8" ht="20.100000000000001" customHeight="1" x14ac:dyDescent="0.25">
      <c r="D22" s="37" t="str" cm="1">
        <f t="array" ref="D22">Common_InputFunctions.Utility_DisplayArrayInTable(CommonLivestock_SourceData.SourceData_Livestock_Common_SymbolsMMS_Data(), Table_Data_MMSSymbols[[#Headers],[Symbol]], 0)</f>
        <v>11</v>
      </c>
      <c r="E22" s="37" t="str" cm="1">
        <f t="array" ref="E22">Common_InputFunctions.Utility_DisplayArrayInTable(CommonLivestock_SourceData.SourceData_Livestock_Common_SymbolsMMS_Data(), Table_Data_MMSSymbols[[#Headers],[Symbol]], 0)</f>
        <v>Poultry manure without bedding</v>
      </c>
      <c r="F22" s="37" t="str" cm="1">
        <f t="array" ref="F22">Common_InputFunctions.Utility_DisplayArrayInTable(CommonLivestock_SourceData.SourceData_Livestock_Common_SymbolsMMS_Data(), Table_Data_MMSSymbols[[#Headers],[Symbol]], 0)</f>
        <v>Poultry manure without bedding (m=11)</v>
      </c>
      <c r="G22" s="3"/>
    </row>
    <row r="23" spans="1:8" ht="20.100000000000001" customHeight="1" x14ac:dyDescent="0.25">
      <c r="D23" s="37" t="str" cm="1">
        <f t="array" ref="D23">Common_InputFunctions.Utility_DisplayArrayInTable(CommonLivestock_SourceData.SourceData_Livestock_Common_SymbolsMMS_Data(), Table_Data_MMSSymbols[[#Headers],[Symbol]], 0)</f>
        <v>11a</v>
      </c>
      <c r="E23" s="37" t="str" cm="1">
        <f t="array" ref="E23">Common_InputFunctions.Utility_DisplayArrayInTable(CommonLivestock_SourceData.SourceData_Livestock_Common_SymbolsMMS_Data(), Table_Data_MMSSymbols[[#Headers],[Symbol]], 0)</f>
        <v>Belt manure removal</v>
      </c>
      <c r="F23" s="37" t="str" cm="1">
        <f t="array" ref="F23">Common_InputFunctions.Utility_DisplayArrayInTable(CommonLivestock_SourceData.SourceData_Livestock_Common_SymbolsMMS_Data(), Table_Data_MMSSymbols[[#Headers],[Symbol]], 0)</f>
        <v>Belt manure removal (m=11a)</v>
      </c>
      <c r="G23" s="3"/>
    </row>
    <row r="24" spans="1:8" ht="20.100000000000001" customHeight="1" x14ac:dyDescent="0.25">
      <c r="A24" s="17"/>
      <c r="D24" s="37" t="str" cm="1">
        <f t="array" ref="D24">Common_InputFunctions.Utility_DisplayArrayInTable(CommonLivestock_SourceData.SourceData_Livestock_Common_SymbolsMMS_Data(), Table_Data_MMSSymbols[[#Headers],[Symbol]], 0)</f>
        <v>11b</v>
      </c>
      <c r="E24" s="37" t="str" cm="1">
        <f t="array" ref="E24">Common_InputFunctions.Utility_DisplayArrayInTable(CommonLivestock_SourceData.SourceData_Livestock_Common_SymbolsMMS_Data(), Table_Data_MMSSymbols[[#Headers],[Symbol]], 0)</f>
        <v>Manure stored in house</v>
      </c>
      <c r="F24" s="37" t="str" cm="1">
        <f t="array" ref="F24">Common_InputFunctions.Utility_DisplayArrayInTable(CommonLivestock_SourceData.SourceData_Livestock_Common_SymbolsMMS_Data(), Table_Data_MMSSymbols[[#Headers],[Symbol]], 0)</f>
        <v>Manure stored in house (m=11b)</v>
      </c>
      <c r="G24" s="3"/>
    </row>
    <row r="25" spans="1:8" ht="20.100000000000001" customHeight="1" x14ac:dyDescent="0.25">
      <c r="A25" s="17"/>
      <c r="D25" s="37" t="str" cm="1">
        <f t="array" ref="D25">Common_InputFunctions.Utility_DisplayArrayInTable(CommonLivestock_SourceData.SourceData_Livestock_Common_SymbolsMMS_Data(), Table_Data_MMSSymbols[[#Headers],[Symbol]], 0)</f>
        <v>12</v>
      </c>
      <c r="E25" s="37" t="str" cm="1">
        <f t="array" ref="E25">Common_InputFunctions.Utility_DisplayArrayInTable(CommonLivestock_SourceData.SourceData_Livestock_Common_SymbolsMMS_Data(), Table_Data_MMSSymbols[[#Headers],[Symbol]], 0)</f>
        <v>Direct processing</v>
      </c>
      <c r="F25" s="37" t="str" cm="1">
        <f t="array" ref="F25">Common_InputFunctions.Utility_DisplayArrayInTable(CommonLivestock_SourceData.SourceData_Livestock_Common_SymbolsMMS_Data(), Table_Data_MMSSymbols[[#Headers],[Symbol]], 0)</f>
        <v>Direct processing (m=12)</v>
      </c>
      <c r="G25" s="3"/>
    </row>
    <row r="26" spans="1:8" ht="20.100000000000001" customHeight="1" x14ac:dyDescent="0.25">
      <c r="D26" s="37" t="str" cm="1">
        <f t="array" ref="D26">Common_InputFunctions.Utility_DisplayArrayInTable(CommonLivestock_SourceData.SourceData_Livestock_Common_SymbolsMMS_Data(), Table_Data_MMSSymbols[[#Headers],[Symbol]], 0)</f>
        <v>13</v>
      </c>
      <c r="E26" s="37" t="str" cm="1">
        <f t="array" ref="E26">Common_InputFunctions.Utility_DisplayArrayInTable(CommonLivestock_SourceData.SourceData_Livestock_Common_SymbolsMMS_Data(), Table_Data_MMSSymbols[[#Headers],[Symbol]], 0)</f>
        <v>Direct application</v>
      </c>
      <c r="F26" s="37" t="str" cm="1">
        <f t="array" ref="F26">Common_InputFunctions.Utility_DisplayArrayInTable(CommonLivestock_SourceData.SourceData_Livestock_Common_SymbolsMMS_Data(), Table_Data_MMSSymbols[[#Headers],[Symbol]], 0)</f>
        <v>Direct application (m=13)</v>
      </c>
      <c r="G26" s="3"/>
    </row>
    <row r="27" spans="1:8" ht="20.100000000000001" customHeight="1" x14ac:dyDescent="0.25">
      <c r="D27" s="37" t="str" cm="1">
        <f t="array" ref="D27">Common_InputFunctions.Utility_DisplayArrayInTable(CommonLivestock_SourceData.SourceData_Livestock_Common_SymbolsMMS_Data(), Table_Data_MMSSymbols[[#Headers],[Symbol]], 0)</f>
        <v>14</v>
      </c>
      <c r="E27" s="37" t="str" cm="1">
        <f t="array" ref="E27">Common_InputFunctions.Utility_DisplayArrayInTable(CommonLivestock_SourceData.SourceData_Livestock_Common_SymbolsMMS_Data(), Table_Data_MMSSymbols[[#Headers],[Symbol]], 0)</f>
        <v>Pasture range and paddock</v>
      </c>
      <c r="F27" s="37" t="str" cm="1">
        <f t="array" ref="F27">Common_InputFunctions.Utility_DisplayArrayInTable(CommonLivestock_SourceData.SourceData_Livestock_Common_SymbolsMMS_Data(), Table_Data_MMSSymbols[[#Headers],[Symbol]], 0)</f>
        <v>Pasture range and paddock (m=14)</v>
      </c>
      <c r="G27" s="3"/>
    </row>
    <row r="28" spans="1:8" ht="20.100000000000001" customHeight="1" x14ac:dyDescent="0.25">
      <c r="G28" s="3"/>
      <c r="H28" s="3"/>
    </row>
    <row r="29" spans="1:8" ht="20.100000000000001" customHeight="1" x14ac:dyDescent="0.25"/>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sheetData>
  <pageMargins left="0.7" right="0.7" top="0.75" bottom="0.75" header="0.3" footer="0.3"/>
  <pageSetup paperSize="9"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A9DA-7B49-4536-9AC1-4BDE2DD493BF}">
  <dimension ref="A1"/>
  <sheetViews>
    <sheetView workbookViewId="0"/>
  </sheetViews>
  <sheetFormatPr defaultRowHeight="15" x14ac:dyDescent="0.25"/>
  <sheetData>
    <row r="1" spans="1:1" x14ac:dyDescent="0.25">
      <c r="A1" t="s">
        <v>134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83A6B-B8DF-40B8-B36B-2098F8DD980B}">
  <dimension ref="A1:U165"/>
  <sheetViews>
    <sheetView showGridLines="0" topLeftCell="A2" workbookViewId="0">
      <selection activeCell="F35" sqref="F35"/>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8" t="e" vm="1">
        <v>#VALUE!</v>
      </c>
    </row>
    <row r="2" spans="1:21" s="9" customFormat="1" ht="20.100000000000001" customHeight="1" x14ac:dyDescent="0.25"/>
    <row r="3" spans="1:21" ht="20.100000000000001" customHeight="1" x14ac:dyDescent="0.25">
      <c r="A3" s="17" t="s">
        <v>0</v>
      </c>
      <c r="C3" s="4"/>
      <c r="D3" s="4"/>
      <c r="E3" s="4"/>
      <c r="F3" s="4"/>
      <c r="G3" s="4"/>
      <c r="H3" s="4"/>
      <c r="I3" s="4"/>
      <c r="J3" s="4"/>
      <c r="K3" s="4"/>
      <c r="L3" s="4"/>
      <c r="N3" s="4"/>
      <c r="O3" s="4"/>
      <c r="P3" s="4"/>
      <c r="Q3" s="4"/>
      <c r="R3" s="4"/>
      <c r="S3" s="4"/>
      <c r="T3" s="4"/>
      <c r="U3" s="4"/>
    </row>
    <row r="4" spans="1:21" ht="20.100000000000001" customHeight="1" x14ac:dyDescent="0.25">
      <c r="A4" s="17" t="str">
        <f>HYPERLINK("#'Results'!A1", "Results")</f>
        <v>Results</v>
      </c>
    </row>
    <row r="5" spans="1:21" ht="20.100000000000001" customHeight="1" x14ac:dyDescent="0.25">
      <c r="A5" s="16"/>
    </row>
    <row r="6" spans="1:21" ht="20.100000000000001" customHeight="1" x14ac:dyDescent="0.25">
      <c r="A6" s="20" t="s">
        <v>3</v>
      </c>
    </row>
    <row r="7" spans="1:21" ht="20.100000000000001" customHeight="1" x14ac:dyDescent="0.25">
      <c r="A7" s="17" t="str">
        <f>HYPERLINK("#'Input - Site'!A1", "Site")</f>
        <v>Site</v>
      </c>
    </row>
    <row r="8" spans="1:21" ht="20.100000000000001" customHeight="1" x14ac:dyDescent="0.25">
      <c r="A8" s="17" t="str">
        <f>HYPERLINK("#'Input - Production'!A1", "Production and outputs")</f>
        <v>Production and outputs</v>
      </c>
    </row>
    <row r="9" spans="1:21" ht="20.100000000000001" customHeight="1" x14ac:dyDescent="0.25">
      <c r="A9" s="17" t="str">
        <f>HYPERLINK("#'Input - Herd - Dairy'!A1", "Herd - Dairy")</f>
        <v>Herd - Dairy</v>
      </c>
    </row>
    <row r="10" spans="1:21" ht="20.100000000000001" customHeight="1" x14ac:dyDescent="0.25">
      <c r="A10" s="17" t="str">
        <f>HYPERLINK("#'Input - Feed - Dairy'!A1", "Purchased feed - Livestock")</f>
        <v>Purchased feed - Livestock</v>
      </c>
    </row>
    <row r="11" spans="1:21" ht="20.100000000000001" customHeight="1" x14ac:dyDescent="0.25">
      <c r="A11" s="17" t="str">
        <f>HYPERLINK("#'Input - Herd - Feedlot'!A1", "Herd - Feedlot")</f>
        <v>Herd - Feedlot</v>
      </c>
    </row>
    <row r="12" spans="1:21" ht="20.100000000000001" customHeight="1" x14ac:dyDescent="0.25">
      <c r="A12" s="17" t="str">
        <f>HYPERLINK("#'Input - Pasture'!A1", "Pasture")</f>
        <v>Pasture</v>
      </c>
    </row>
    <row r="13" spans="1:21" ht="20.100000000000001" customHeight="1" x14ac:dyDescent="0.25">
      <c r="A13" s="17" t="str">
        <f>HYPERLINK("#'Input - Grains'!A1", "Crop - Grains")</f>
        <v>Crop - Grains</v>
      </c>
    </row>
    <row r="14" spans="1:21" ht="20.100000000000001" customHeight="1" x14ac:dyDescent="0.25">
      <c r="A14" s="17" t="str">
        <f>HYPERLINK("#'Input - Fert Lime Chem'!A1", "Fertiliser, Lime &amp; Chemicals")</f>
        <v>Fertiliser, Lime &amp; Chemicals</v>
      </c>
    </row>
    <row r="15" spans="1:21" ht="20.100000000000001" customHeight="1" x14ac:dyDescent="0.25">
      <c r="A15" s="17" t="str">
        <f>HYPERLINK("#'Input - Fuel &amp; Energy'!A1", "Electricity and fuel")</f>
        <v>Electricity and fuel</v>
      </c>
    </row>
    <row r="16" spans="1:21" ht="20.100000000000001" customHeight="1" x14ac:dyDescent="0.25">
      <c r="A16" s="62" t="s">
        <v>58</v>
      </c>
    </row>
    <row r="17" spans="1:1" ht="20.100000000000001" customHeight="1" x14ac:dyDescent="0.25">
      <c r="A17" s="62" t="s">
        <v>54</v>
      </c>
    </row>
    <row r="18" spans="1:1" ht="20.100000000000001" customHeight="1" x14ac:dyDescent="0.25">
      <c r="A18" s="17" t="str">
        <f>HYPERLINK("#'Input - Other Farm Inputs'!A1", "Other farm inputs")</f>
        <v>Other farm inputs</v>
      </c>
    </row>
    <row r="19" spans="1:1" ht="20.100000000000001" customHeight="1" x14ac:dyDescent="0.25">
      <c r="A19" s="17" t="str">
        <f>HYPERLINK("#'Input - Data quality'!A1", "Data quality")</f>
        <v>Data quality</v>
      </c>
    </row>
    <row r="20" spans="1:1" ht="20.100000000000001" customHeight="1" x14ac:dyDescent="0.25"/>
    <row r="21" spans="1:1" ht="20.100000000000001" customHeight="1" x14ac:dyDescent="0.25">
      <c r="A21" s="19" t="s">
        <v>56</v>
      </c>
    </row>
    <row r="22" spans="1:1" ht="20.100000000000001" customHeight="1" x14ac:dyDescent="0.25">
      <c r="A22" s="62" t="s">
        <v>1</v>
      </c>
    </row>
    <row r="23" spans="1:1" ht="20.100000000000001" customHeight="1" x14ac:dyDescent="0.25">
      <c r="A23" s="62" t="s">
        <v>55</v>
      </c>
    </row>
    <row r="24" spans="1:1" ht="20.100000000000001" customHeight="1" x14ac:dyDescent="0.25">
      <c r="A24" s="17" t="str">
        <f>HYPERLINK("#'Calcs - Fert Lime'!A1", "Fertiliser &amp; soil amendments")</f>
        <v>Fertiliser &amp; soil amendments</v>
      </c>
    </row>
    <row r="25" spans="1:1" ht="20.100000000000001" customHeight="1" x14ac:dyDescent="0.25">
      <c r="A25" s="17" t="str">
        <f>HYPERLINK("#'Calcs - Residue mgmt - Crop'!A1", "Residue management - Crop")</f>
        <v>Residue management - Crop</v>
      </c>
    </row>
    <row r="26" spans="1:1" ht="20.100000000000001" customHeight="1" x14ac:dyDescent="0.25">
      <c r="A26" s="17" t="str">
        <f>HYPERLINK("#'Calcs - Residue mgmt - Pasture'!A1", "Residue management - Pasture")</f>
        <v>Residue management - Pasture</v>
      </c>
    </row>
    <row r="27" spans="1:1" ht="20.100000000000001" customHeight="1" x14ac:dyDescent="0.25">
      <c r="A27" s="17" t="str">
        <f>HYPERLINK("#'Calcs - Field burning'!A1", "Field burning - Crop")</f>
        <v>Field burning - Crop</v>
      </c>
    </row>
    <row r="28" spans="1:1" ht="20.100000000000001" customHeight="1" x14ac:dyDescent="0.25">
      <c r="A28" s="17" t="str">
        <f>HYPERLINK("#'Calcs - Fuel'!A1", "Fuel")</f>
        <v>Fuel</v>
      </c>
    </row>
    <row r="29" spans="1:1" ht="20.100000000000001" customHeight="1" x14ac:dyDescent="0.25">
      <c r="A29" s="17" t="str">
        <f>HYPERLINK("#'Calcs - Electricity'!A1", "Electricity")</f>
        <v>Electricity</v>
      </c>
    </row>
    <row r="30" spans="1:1" ht="20.100000000000001" customHeight="1" x14ac:dyDescent="0.25">
      <c r="A30" s="17" t="str">
        <f>HYPERLINK("#'Calcs - Refrigerants'!A1", "Refrigerants")</f>
        <v>Refrigerants</v>
      </c>
    </row>
    <row r="31" spans="1:1" ht="20.100000000000001" customHeight="1" x14ac:dyDescent="0.25">
      <c r="A31" s="62" t="s">
        <v>58</v>
      </c>
    </row>
    <row r="32" spans="1:1" ht="20.100000000000001" customHeight="1" x14ac:dyDescent="0.25">
      <c r="A32" s="62" t="s">
        <v>54</v>
      </c>
    </row>
    <row r="33" spans="1:1" ht="20.100000000000001" customHeight="1" x14ac:dyDescent="0.25">
      <c r="A33" s="17" t="str">
        <f>HYPERLINK("#'Calcs - Scope 3'!A1", "Purchased goods scope 3")</f>
        <v>Purchased goods scope 3</v>
      </c>
    </row>
    <row r="34" spans="1:1" ht="20.100000000000001" customHeight="1" x14ac:dyDescent="0.25"/>
    <row r="35" spans="1:1" ht="20.100000000000001" customHeight="1" x14ac:dyDescent="0.25">
      <c r="A35" s="18" t="s">
        <v>4</v>
      </c>
    </row>
    <row r="36" spans="1:1" ht="20.100000000000001" customHeight="1" x14ac:dyDescent="0.25">
      <c r="A36" s="17" t="str">
        <f>HYPERLINK("#'Constants - Common'!A1", "Constants - Common")</f>
        <v>Constants - Common</v>
      </c>
    </row>
    <row r="37" spans="1:1" ht="20.100000000000001" customHeight="1" x14ac:dyDescent="0.25">
      <c r="A37" s="17" t="str">
        <f>HYPERLINK("#'Constants - Cropping'!A1", "Constants - Cropping")</f>
        <v>Constants - Cropping</v>
      </c>
    </row>
    <row r="38" spans="1:1" ht="20.100000000000001" customHeight="1" x14ac:dyDescent="0.25">
      <c r="A38" s="17" t="str">
        <f>HYPERLINK("#'Constants - Livestock'!A1", "Constants - Livestock")</f>
        <v>Constants - Livestock</v>
      </c>
    </row>
    <row r="39" spans="1:1" ht="20.100000000000001" customHeight="1" x14ac:dyDescent="0.25">
      <c r="A39" s="17" t="str">
        <f>HYPERLINK("#'Constants - Dairy'!A1", "Constants - Dairy")</f>
        <v>Constants - Dairy</v>
      </c>
    </row>
    <row r="40" spans="1:1" ht="20.100000000000001" customHeight="1" x14ac:dyDescent="0.25">
      <c r="A40" s="62" t="s">
        <v>2</v>
      </c>
    </row>
    <row r="41" spans="1:1" ht="20.100000000000001" customHeight="1" x14ac:dyDescent="0.25">
      <c r="A41" s="44"/>
    </row>
    <row r="42" spans="1:1" ht="20.100000000000001" customHeight="1" x14ac:dyDescent="0.25"/>
    <row r="43" spans="1:1" ht="20.100000000000001" customHeight="1" x14ac:dyDescent="0.25"/>
    <row r="44" spans="1:1" ht="20.100000000000001" customHeight="1" x14ac:dyDescent="0.25"/>
    <row r="45" spans="1:1" ht="20.100000000000001" customHeight="1" x14ac:dyDescent="0.25"/>
    <row r="46" spans="1:1" ht="20.100000000000001" customHeight="1" x14ac:dyDescent="0.25"/>
    <row r="47" spans="1:1" ht="20.100000000000001" customHeight="1" x14ac:dyDescent="0.25"/>
    <row r="48" spans="1:1"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XAB1ADAAMAAzAGMAdABcAHUAMAAwADMAZQBcAHUAMAAwADMAYwBzAFwAdQAwADAAMwBlAFwAIgAgAFwAdQAwADAAMgA2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FwAdQAwADAAMwBjAC8AcwBcAHUAMAAwADMAZQBcAHUAMAAwADMAYwBzAFwAdQAwADAAMwBlAFwAIgBcAG4AIAAgACAAIAAgACAAIAAgACkAIABcAHUAMAAwADIANgBcAG4AIAAgACAAIAAgACAAIAAgAFwAIgBcAHUAMAAwADMAYwAvAHMAXAB1ADAAMAAzAGUAXAB1ADAAMAAzAGMALwB0AFwAdQAwADAAMwBl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BcAHUAMAAwADMAYwA9AGEAdgBnAFQAZQBtAHAAKQAqAFwAbgAgACAAIAAgACAAIAAgACAAKABWAEEATABVAEUAKABtAGEAeABUAGUAbQBwAEEAcgByAGEAeQApAFwAdQAwADAAMwBlAD0AYQB2AGcAVABlAG0AcAApACoAXABuACAAIAAgACAAIAAgACAAIAAoAFYAQQBMAFUARQAoAG0AaQBuAFIAYQBpAG4AZgBhAGwAbABBAHIAcgBhAHkAKQBcAHUAMAAwADMAYwA9AGEAdgBnAFIAYQBpAG4AKQAqAFwAbgAgACAAIAAgACAAIAAgACAAKABWAEEATABVAEUAKABtAGEAeABSAGEAaQBuAGYAYQBsAGwAQQByAHIAYQB5ACkAXAB1ADAAMAAzAGUAPQBhAHYAZwBSAGEAaQBuACkAKgBcAG4AIAAgACAAIAAgACAAIAAgACgAVgBBAEwAVQBFACgAbQBpAG4ARgByAG8AcwB0AEEAcgByAGEAeQApAFwAdQAwADAAMwBjAD0AZgByAG8AcwB0AEQAYQB5AHMAKQAqAFwAbgAgACAAIAAgACAAIAAgACAAKABWAEEATABVAEUAKABtAGEAeABGAHIAbwBzAHQAQQByAHIAYQB5ACkAXAB1ADAAMAAzAGUAPQBmAHIAbwBzAHQARABhAHkAcwApACoAXABuACAAIAAgACAAIAAgACAAIAAoAFYAQQBMAFUARQAoAG0AaQBuAEUAbABlAHYAYQB0AGkAbwBuAEEAcgByAGEAeQApAFwAdQAwADAAMwBjAD0AZQBsAGUAdgApACoAXABuACAAIAAgACAAIAAgACAAIAAoAFYAQQBMAFUARQAoAG0AYQB4AEUAbABlAHYAYQB0AGkAbwBuAEEAcgByAGEAeQApAFwAdQAwADAAMwBlAD0AZQBsAGUAdgApACoAXABuACAAIAAgACAAIAAgACAAIAAoAFYAQQBMAFUARQAoAG0AaQBuAFAARQBUAEEAcgByAGEAeQApAFwAdQAwADAAMwBjAD0AbQBhAHAAXwBwAGUAdAApACoAXABuACAAIAAgACAAIAAgACAAIAAoAFYAQQBMAFUARQAoAG0AYQB4AFAARQBUAEEAcgByAGEAeQApAFwAdQAwADAAMwBl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XAB1ADAAMAAzAGMAPQBMAG8AbwBrAHUAcABWAGEAbAB1AGUAKQAqAFwAbgAgACAAIAAgACAAIAAgACAAKABWAEEATABVAEUAKABNAGEAeABBAHIAcgBhAHkAKQBcAHUAMAAwADMAZQ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XAB1ADAAMAAyADYAIABcACIAIAB0AG8AIABcACIAIABcAHUAMAAwADIANgAgAGUAbgBkAHMAVABlAHgAdAAgAFwAdQAwADAAMgA2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B1ADAAMAAyADcAXAAiACAAXAB1ADAAMAAyADYAIABzAGgAIABcAHUAMAAwADIANgAgAFwAIgBcAHUAMAAwADIANwAhAFwAIgAgAFwAdQAwADAAMgA2ACAAYQBkAGQAcgBcAG4AIAAgACkAXABuACkAOwBcAG4AXABuAFUAdABpAGwAaQB0AHkAXwBTAG8AdQByAGMAZQBIAHkAcABlAHIAbABpAG4AawBEAGkAZgBmAGUAcgBlAG4AdABTAGgAZQBlAHQ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CIAIABcAHUAMAAwADIAN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UAGUAbQBwAGUAcgBhAHQAdQByAGUALAAgAFwAbgAgACAAIAAgACAAIAAgACAAIAAgACAAIABNAEkATgAoAFQAZQBtAHAAZQByAGEAdAB1AHIAZQBBAHIAcgBhAHkAKQAsACAAXABuACAAIAAgACAAIAAgACAAIAAgACAAIAAgAE0AQQBYACgAVABlAG0AcABlAHIAYQB0AHUAcgBlAEEAcgByAGEAeQApAFwAbgAgACAAIAAgACAAIAAgACAAKQAsAFwAbgAgACAAIAAgACAAIAAgACAAVABlAG0AcABlAHIAYQB0AHUAcgBlAEEAcgByAGEAeQAsAFwAbgAgACAAIAAgACAAIAAgACAAWABMAE8ATwBLAFUAUAAoAE0ATQBTACwAIABNAE0AUwBBAHIAcgBhAHkALAAgAFIAZQB0AHUAcgBuAEEAcgByAGEAeQApAFwAbgAgACAAIAAgACkAXABuACkAOwBcAG4AXABuAFwAbgBVAHQAaQBsAGkAdAB5AF8AUgBlAHMAdQBsAHQAcwBJAHQAZQBtAEYAcgBvAG0ARQBxAHUAYQB0AGkAbwBuAFQAaQB0AGwAZQBBAG4AZABTAG8AdQByAGMAZQBcAG4APQBMAEEATQBCAEQAQQAoAFwAbgAgACAAIAAgAFQAaQB0AGwAZQBDAGUAbABsACwAIABTAG8AdQByAGMAZQBDAGUAbABsACwAXABuACAAIAAgACAAUwBVAEIAUwBUAEkAVABVAFQARQAoAEwARQBGAFQAKABTAG8AdQByAGMAZQBDAGUAbABsACwAIABGAEkATgBEACgAXAAiACwAXAAiACwAIABTAG8AdQByAGMAZQBDAGUAbABsACkAIAAtADEAKQAsACAAXAAiAFYARQBFAFIARwAgADIAMAAyADYAOgAgAFwAIgAsACAAXAAiAFwAIgApACAAXAB1ADAAMAAyADYAIABcACIAIABcACIAIABcAHUAMAAwADIANgAgAFQAaQB0AGwAZQBDAGUAbABsAFwAbgApADsAIgB9ACwAewAiAHAAYQB0AGgAIgA6ACIALwBwAHIAbwBqAGUAYwB0AHMALwBTAG8AdQByAGMAZQBEAGEAdABhAF8ARgBlAGUAZABsAG8AdAAiACwAIgB0AGUAeAB0ACIAOgAiAC8AKgAgAFwAbgAtAC0ALQAtAC0ALQAtAC0ALQAtAC0ALQAtAC0ALQAtAC0ALQAtAC0ALQAtAC0ALQAtAC0ALQAtAC0ALQAtAC0ALQAtAC0ALQAtAC0AXABuAFMAbwB1AHIAYwBlAEQAYQB0AGEAXwBGAGUAZQBkAGwAbwB0AF8AVgBTAEwAXABuAEYAcgBhAGMAdABpAG8AbgAgAG8AZgAgAHYAbwBsAGEAdABpAGwAZQAgAHMAbwBsAGkAZABzACAAbABvAHMAdAAgAGkAbgAgAHQAaABlACAAcAByAGkAbQBhAHIAeQAgAE0ATQBTAFwAbgAtAC0ALQAtAC0ALQAtAC0ALQAtAC0ALQAtAC0ALQAtAC0ALQAtAC0ALQAtAC0ALQAtAC0ALQAtAC0ALQAtAC0ALQAtAC0ALQAtAC0AXABuACoALwBcAG4AXABuAFMAbwB1AHIAYwBlAEQAYQB0AGEAXwBGAGUAZQBkAGwAbwB0AF8AVgBTAEwAXwBUAGkAdABsAGUAXABuACAAIAA9AEwAQQBNAEIARABBACgAXAAiAEYAZQBlAGQAbABvAHQAIAAtACAARgByAGEAYwB0AGkAbwBuACAAbwBmACAAdgBvAGwAYQB0AGkAbABlACAAcwBvAGwAaQBkAHMAIABsAG8AcwB0ACAAZAB1AHIAaQBuAGcAIABzAHQAbwByAGEAZwBlACAAaQBuACAAdABoAGUAIABwAHIAaQBtAGEAcgB5ACAAcwB5AHMAdABlAG0AXAAiACkAOwBcAG4AXABuAFMAbwB1AHIAYwBlAEQAYQB0AGEAXwBGAGUAZQBkAGwAbwB0AF8AVgBTAEwAXwBWAGEAcgBpAGEAYgBsAGUAXABuACAAIAA9AEwAQQBNAEIARABBACgAXAAiAFYAUwBMAFwAIgApADsAXABuAFwAbgBTAG8AdQByAGMAZQBEAGEAdABhAF8ARgBlAGUAZABsAG8AdABfAFYAUwBMAF8AVQBuAGkAdABcAG4AIAAgAD0ATABBAE0AQgBEAEEAKABcACIARgByAGEAYwB0AGkAbwBuAFwAIgApADsAXABuAFwAbgBTAG8AdQByAGMAZQBEAGEAdABhAF8ARgBlAGUAZABsAG8AdABfAFYAUwBMAF8AUwBvAHUAcgBjAGUAXABuACAAIAA9AEwAQQBNAEIARABBACgAXAAiAFYARQBFAFIARwAgADIAMAAyADYAOgAgADQALgAxAC4AMgAuADMAIABDAE8ATgBTAFQAQQBOAFQAUwBcACIAKQA7AFwAbgBcAG4AUwBvAHUAcgBjAGUARABhAHQAYQBfAEYAZQBlAGQAbABvAHQAXwBWAFMATABfAFYAYQByAGkAYQB0AGkAbwBuAFwAbgAgACAAPQBMAEEATQBCAEQAQQAoAFwAIgBcACIAKQA7AFwAbgBcAG4AUwBvAHUAcgBjAGUARABhAHQAYQBfAEYAZQBlAGQAbABvAHQAXwBWAFMATABfAEQAYQB0AGEAXABuACAAIAA9AEwAQQBNAEIARABBACgAMAAuADUAKQA7AFwAbgBcAG4ALwAqACAAXABuAC0ALQAtAC0ALQAtAC0ALQAtAC0ALQAtAC0ALQAtAC0ALQAtAC0ALQAtAC0ALQAtAC0ALQAtAC0ALQAtAC0ALQAtAC0ALQAtAC0ALQBcAG4AUwBvAHUAcgBjAGUARABhAHQAYQBfAEYAZQBlAGQAbABvAHQAXwBNAE0AUwBtADEAVAAzAFwAbgBGAHIAYQBjAHQAaQBvAG4AIABvAGYAIAB2AG8AbABhAHQAaQBsAGUAIABzAG8AbABpAGQAcwAgAHQAbwAgAGUAYQBjAGgAIAB0AGUAcgB0AGkAYQByAHkAIABzAHkAcwB0AGUAbQAgAGEAcwBzAHUAbQBlAGQAIAB0AGgAYQB0ACAAMgAgAHAAZQByACAAYwBlAG4AdAAgAGkAcwAgAHIAdQBuACAALQAgAG8AZgBmACAAZgByAG8AbQAgAHQAaABlACAAZgBlAGUAZAAgAHAAYQBkAC4AXABuAC0ALQAtAC0ALQAtAC0ALQAtAC0ALQAtAC0ALQAtAC0ALQAtAC0ALQAtAC0ALQAtAC0ALQAtAC0ALQAtAC0ALQAtAC0ALQAtAC0ALQBcAG4AKgAvAFwAbgBcAG4AUwBvAHUAcgBjAGUARABhAHQAYQBfAEYAZQBlAGQAbABvAHQAXwBNAE0AUwBtADEAVAAzAF8AVABpAHQAbABlAFwAbgAgACAAPQBMAEEATQBCAEQAQQAoAFwAIgBGAHIAYQBjAHQAaQBvAG4AIABvAGYAIAB2AG8AbABhAHQAaQBsAGUAIABzAG8AbABpAGQAcwAgAHQAbwAgAGUAYQBjAGgAIAB0AGUAcgB0AGkAYQByAHkAIABzAHkAcwB0AGUAbQAgAGEAcwBzAHUAbQBlAGQAIAB0AGgAYQB0ACAAMgAgAHAAZQByACAAYwBlAG4AdAAgAGkAcwAgAHIAdQBuACAALQAgAG8AZgBmACAAZgByAG8AbQAgAHQAaABlACAAZgBlAGUAZAAgAHAAYQBkAC4AXAAiACkAOwBcAG4AXABuAFMAbwB1AHIAYwBlAEQAYQB0AGEAXwBGAGUAZQBkAGwAbwB0AF8ATQBNAFMAbQAxAFQAMwBfAFYAYQByAGkAYQBiAGwAZQBcAG4AIAAgAD0ATABBAE0AQgBEAEEAKABcACIATQBNAFMAbQAxAFQAMwBcACIAKQA7AFwAbgBcAG4AUwBvAHUAcgBjAGUARABhAHQAYQBfAEYAZQBlAGQAbABvAHQAXwBNAE0AUwBtADEAVAAzAF8AVQBuAGkAdABcAG4AIAAgAD0ATABBAE0AQgBEAEEAKABcACIARgByAGEAYwB0AGkAbwBuAFwAIgApADsAXABuAFwAbgBTAG8AdQByAGMAZQBEAGEAdABhAF8ARgBlAGUAZABsAG8AdABfAE0ATQBTAG0AMQBUADMAXwBTAG8AdQByAGMAZQBcAG4AIAAgAD0ATABBAE0AQgBEAEEAKABcACIAVgBFAEUAUgBHACAAMgAwADIANgA6ACAANAAuADEALgAyAC4AMwAgAEMATwBOAFMAVABBAE4AVABTAFwAIgApADsAXABuAFwAbgBTAG8AdQByAGMAZQBEAGEAdABhAF8ARgBlAGUAZABsAG8AdABfAE0ATQBTAG0AMQBUADMAXwBWAGEAcgBpAGEAdABpAG8AbgBcAG4AIAAgAD0ATABBAE0AQgBEAEEAKABcACIAXAAiACkAOwBcAG4AXABuAFMAbwB1AHIAYwBlAEQAYQB0AGEAXwBGAGUAZQBkAGwAbwB0AF8ATQBNAFMAbQAxAFQAMwBfAEQAYQB0AGEAXABuACAAIAA9AEwAQQBNAEIARABBACgAMAAuADAAMgApADsAXABuAFwAbgAvACoAIABcAG4ALQAtAC0ALQAtAC0ALQAtAC0ALQAtAC0ALQAtAC0ALQAtAC0ALQAtAC0ALQAtAC0ALQAtAC0ALQAtAC0ALQAtAC0ALQAtAC0ALQAtAFwAbgBTAG8AdQByAGMAZQBEAGEAdABhAF8ARgBlAGUAZABsAG8AdABfAEEAcwBoAEMAbwBuAHQAZQBuAHQAXABuAEEAcwBoACAAYwBvAG4AdABlAG4AdAAgAG8AZgAgAG0AYQBuAHUAcgBlAC4AXABuAC0ALQAtAC0ALQAtAC0ALQAtAC0ALQAtAC0ALQAtAC0ALQAtAC0ALQAtAC0ALQAtAC0ALQAtAC0ALQAtAC0ALQAtAC0ALQAtAC0ALQBcAG4AKgAvAFwAbgBcAG4AUwBvAHUAcgBjAGUARABhAHQAYQBfAEYAZQBlAGQAbABvAHQAXwBBAHMAaABDAG8AbgB0AGUAbgB0AF8AVABpAHQAbABlAFwAbgAgACAAPQBMAEEATQBCAEQAQQAoAFwAIgBBAHMAaAAgAGMAbwBuAHQAZQBuAHQAIABvAGYAIABtAGEAbgB1AHIAZQAuAFwAIgApADsAXABuAFwAbgBTAG8AdQByAGMAZQBEAGEAdABhAF8ARgBlAGUAZABsAG8AdABfAEEAcwBoAEMAbwBuAHQAZQBuAHQAXwBWAGEAcgBpAGEAYgBsAGUAXABuACAAIAA9AEwAQQBNAEIARABBACgAXAAiAEEAXAAiACkAOwBcAG4AXABuAFMAbwB1AHIAYwBlAEQAYQB0AGEAXwBGAGUAZQBkAGwAbwB0AF8AQQBzAGgAQwBvAG4AdABlAG4AdABfAFUAbgBpAHQAXABuACAAIAA9AEwAQQBNAEIARABBACgAXAAiAEYAcgBhAGMAdABpAG8AbgBcACIAKQA7AFwAbgBcAG4AUwBvAHUAcgBjAGUARABhAHQAYQBfAEYAZQBlAGQAbABvAHQAXwBBAHMAaABDAG8AbgB0AGUAbgB0AF8AUwBvAHUAcgBjAGUAXABuACAAIAA9AEwAQQBNAEIARABBACgAXAAiAFYARQBFAFIARwAgADIAMAAyADYAOgAgADQALgAxAC4AMgAuADMAIABDAE8ATgBTAFQAQQBOAFQAUwBcACIAKQA7AFwAbgBcAG4AUwBvAHUAcgBjAGUARABhAHQAYQBfAEYAZQBlAGQAbABvAHQAXwBBAHMAaABDAG8AbgB0AGUAbgB0AF8AVgBhAHIAaQBhAHQAaQBvAG4AXABuACAAIAA9AEwAQQBNAEIARABBACgAXAAiAFwAIgApADsAXABuAFwAbgBTAG8AdQByAGMAZQBEAGEAdABhAF8ARgBlAGUAZABsAG8AdABfAEEAcwBoAEMAbwBuAHQAZQBuAHQAXwBEAGEAdABhAFwAbgAgACAAPQBMAEEATQBCAEQAQQAoADAALgAxADYAKQA7AFwAbgBcAG4ALwAqACAAXABuAC0ALQAtAC0ALQAtAC0ALQAtAC0ALQAtAC0ALQAtAC0ALQAtAC0ALQAtAC0ALQAtAC0ALQAtAC0ALQAtAC0ALQAtAC0ALQAtAC0ALQBcAG4AUwBvAHUAcgBjAGUARABhAHQAYQBfAEYAZQBlAGQAbABvAHQAXwBNAGUAdABoAGEAbgBlAEUAbQBpAHMAcwBpAG8AbgBzAFAAbwB0AGUAbgB0AGkAYQBsAFwAbgBNAGUAdABoAGEAbgBlACAAZQBtAGkAcwBzAGkAbwBuAHMAIABwAG8AdABlAG4AdABpAGEAbAAuAFwAbgAtAC0ALQAtAC0ALQAtAC0ALQAtAC0ALQAtAC0ALQAtAC0ALQAtAC0ALQAtAC0ALQAtAC0ALQAtAC0ALQAtAC0ALQAtAC0ALQAtAC0AXABuACoALwBcAG4AXABuAFMAbwB1AHIAYwBlAEQAYQB0AGEAXwBGAGUAZQBkAGwAbwB0AF8ATQBlAHQAaABhAG4AZQBFAG0AaQBzAHMAaQBvAG4AcwBQAG8AdABlAG4AdABpAGEAbABfAFQAaQB0AGwAZQBcAG4AIAAgAD0ATABBAE0AQgBEAEEAKABcACIATQBlAHQAaABhAG4AZQAgAGUAbQBpAHMAcwBpAG8AbgBzACAAcABvAHQAZQBuAHQAaQBhAGwALgBcACIAKQA7AFwAbgBcAG4AUwBvAHUAcgBjAGUARABhAHQAYQBfAEYAZQBlAGQAbABvAHQAXwBNAGUAdABoAGEAbgBlAEUAbQBpAHMAcwBpAG8AbgBzAFAAbwB0AGUAbgB0AGkAYQBsAF8AVgBhAHIAaQBhAGIAbABlAFwAbgAgACAAPQBMAEEATQBCAEQAQQAoAFwAIgBCADAAXAAiACkAOwBcAG4AXABuAFMAbwB1AHIAYwBlAEQAYQB0AGEAXwBGAGUAZQBkAGwAbwB0AF8ATQBlAHQAaABhAG4AZQBFAG0AaQBzAHMAaQBvAG4AcwBQAG8AdABlAG4AdABpAGEAbABfAFUAbgBpAHQAXABuACAAIAA9AEwAQQBNAEIARABBACgAXAAiAG0AMwAgAEMASAA0ACAALwAgAGsAZwAgAFYAUwBcACIAKQA7AFwAbgBcAG4AUwBvAHUAcgBjAGUARABhAHQAYQBfAEYAZQBlAGQAbABvAHQAXwBNAGUAdABoAGEAbgBlAEUAbQBpAHMAcwBpAG8AbgBzAFAAbwB0AGUAbgB0AGkAYQBsAF8AUwBvAHUAcgBjAGUAXABuACAAIAA9AEwAQQBNAEIARABBACgAXAAiAFYARQBFAFIARwAgADIAMAAyADYAOgAgADQALgAxAC4AMgAuADMAIABDAE8ATgBTAFQAQQBOAFQAUwBcACIAKQA7AFwAbgBcAG4AUwBvAHUAcgBjAGUARABhAHQAYQBfAEYAZQBlAGQAbABvAHQAXwBNAGUAdABoAGEAbgBlAEUAbQBpAHMAcwBpAG8AbgBzAFAAbwB0AGUAbgB0AGkAYQBsAF8AVgBhAHIAaQBhAHQAaQBvAG4AXABuACAAIAA9AEwAQQBNAEIARABBACgAXAAiAFwAIgApADsAXABuAFwAbgBTAG8AdQByAGMAZQBEAGEAdABhAF8ARgBlAGUAZABsAG8AdABfAE0AZQB0AGgAYQBuAGUARQBtAGkAcwBzAGkAbwBuAHMAUABvAHQAZQBuAHQAaQBhAGwAXwBEAGEAdABhAFwAbgAgACAAPQBMAEEATQBCAEQAQQAoADAALgAxADkAKQA7AFwAbgBcAG4AXABuAFMAbwB1AHIAYwBlAEQAYQB0AGEAXwBGAGUAZQBkAGwAbwB0AF8AUwB0AGEAZwBlADEATQBNAFMATwBwAHQAaQBvAG4AcwBcAG4AIAAgAD0ATABBAE0AQgBEAEEAKABcAG4AIAAgACAAIABNAEEASwBFAEEAUgBSAEEAWQAoADEALAAgADEALABcAG4AIAAgACAAIAAgACAATABBAE0AQgBEAEEAKAByACwAYwAsAFwAbgAgACAAIAAgACAAIAAgACAASQBOAEQARQBYACgAewBcAG4AIAAgACAAIAAgACAAIAAgACAAIABcACIARAByAHkAbABvAHQAIAAoAGYAZQBlAGQAIABwAGEAZAApAFwAIgBcAG4AIAAgACAAIAAgACAAIAAgAH0ALAAgAHIALAAgAGMAKQBcAG4AIAAgACAAIAAgACAAKQBcAG4AIAAgACAAIAApAFwAbgAgACAAKQA7AFwAbgBcAG4AUwBvAHUAcgBjAGUARABhAHQAYQBfAEYAZQBlAGQAbABvAHQAXwBTAHQAYQBnAGUAMgBNAE0AUwBPAHAAdABpAG8AbgBzAFwAbgAgACAAPQBMAEEATQBCAEQAQQAoAFwAbgAgACAAIAAgAE0AQQBLAEUAQQBSAFIAQQBZACgANAAsACAAMQAsAFwAbgAgACAAIAAgACAAIABMAEEATQBCAEQAQQAoAHIALABjACwAXABuACAAIAAgACAAIAAgACAAIABJAE4ARABFAFgAKAB7AFwAbgAgACAAIAAgACAAIAAgACAAIAAgAFwAIgBTAG8AbABpAGQAIABzAHQAbwByAGEAZwBlAFwAIgA7AFwAbgAgACAAIAAgACAAIAAgACAAIAAgAFwAIgBDAG8AbQBwAG8AcwB0AGkAbgBnACAAKABwAGEAcwBzAGkAdgBlACAAdwBpAG4AZAByAG8AdwApAFwAIgA7AFwAbgAgACAAIAAgACAAIAAgACAAIAAgAFwAIgBEAGkAcgBlAGMAdAAgAGEAcABwAGwAaQBjAGEAdABpAG8AbgBcACIAOwBcAG4AIAAgACAAIAAgACAAIAAgACAAIABcACIATgBvACAATQBNAFMAXAAiAFwAbgAgACAAIAAgACAAIAAgACAAfQAsACAAcgAsACAAYwApAFwAbgAgACAAIAAgACAAIAApAFwAbgAgACAAIAAgACkAXABuACAAIAApADsAXABuAFwAbgBTAG8AdQByAGMAZQBEAGEAdABhAF8ARgBlAGUAZABsAG8AdABfAFMAdABhAGcAZQAzAE0ATQBTAE8AcAB0AGkAbwBuAHMAXABuACAAIAA9AEwAQQBNAEIARABBACgAXABuACAAIAAgACAATQBBAEsARQBBAFIAUgBBAFkAKAAxACwAIAAxACwAXABuACAAIAAgACAAIAAgAEwAQQBNAEIARABBACgAcgAsAGMALABcAG4AIAAgACAAIAAgACAAIAAgAEkATgBEAEUAWAAoAHsAXABuACAAIAAgACAAIAAgACAAIAAgACAAXAAiAEEAbgBhAGUAcgBvAGIAaQBjACAAbABhAGcAbwBvAG4AXAAiAFwAbgAgACAAIAAgACAAIAAgACAAfQAsACAAcgAsACAAYwApAFwAbgAgACAAIAAgACAAIAApAFwAbgAgACAAIAAgACkAXABuACAAIAApADsAXABuAFwAbgBTAG8AdQByAGMAZQBEAGEAdABhAF8ARgBlAGUAZABsAG8AdABfAEwAaQB2AGUAcwB0AG8AYwBrAEMAbABhAHMAcwBlAHMAXABuACAAIAA9AEwAQQBNAEIARABBACgAXABuACAAIAAgACAATQBBAEsARQBBAFIAUgBBAFkAKAAzACwAIAAxACwAXABuACAAIAAgACAAIAAgAEwAQQBNAEIARABBACgAcgAsAGMALABcAG4AIAAgACAAIAAgACAAIAAgAEkATgBEAEUAWAAoAHsAXABuACAAIAAgACAAIAAgACAAIAAgACAAXAAiAEQAbwBtAGUAcwB0AGkAYwBcACIAOwAgAFwAbgAgACAAIAAgACAAIAAgACAAIAAgAFwAIgBFAHgAcABvAHIAdAAgAG0AaQBkACAAZgBlAGQAXAAiADsAIABcAG4AIAAgACAAIAAgACAAIAAgACAAIABcACIARQB4AHAAbwByAHQAIABsAG8AbgBnACAAZgBlAGQAXAAiAFwAbgAgACAAIAAgACAAIAAgACAAfQAsACAAcgAsACAAYwApAFwAbgAgACAAIAAgACAAIAApAFwAbgAgACAAIAAgACkAXABuACAAIAApADsAXABuAFwAbgBcAG4ALwAqACAAXABuAC0ALQAtAC0ALQAtAC0ALQAtAC0ALQAtAC0ALQAtAC0ALQAtAC0ALQAtAC0ALQAtAC0ALQAtAC0ALQAtAC0ALQAtAC0ALQAtAC0ALQBcAG4AUwBvAHUAcgBjAGUARABhAHQAYQBfAEYAZQBlAGQAbABvAHQAXwBEAHUAcgBhAHQAaQBvAG4ATwBmAFMAdABhAHkAXABuAFQAYQBiAGwAZQAgAEEALgAxAC4AMQAuADEAOgAgAEIAZQBlAGYAIABmAGUAZQBkAGwAbwB0ACAAYwBhAHQAdABsAGUAIAAtACAARAB1AHIAYQB0AGkAbwBuACAAbwBmACAAcwB0AGEAeQAgACgAZABhAHkAcwApAFwAbgAtAC0ALQAtAC0ALQAtAC0ALQAtAC0ALQAtAC0ALQAtAC0ALQAtAC0ALQAtAC0ALQAtAC0ALQAtAC0ALQAtAC0ALQAtAC0ALQAtAC0AXABuACoALwBcAG4AXABuAFMAbwB1AHIAYwBlAEQAYQB0AGEAXwBGAGUAZQBkAGwAbwB0AF8ARAB1AHIAYQB0AGkAbwBuAE8AZgBTAHQAYQB5AF8AVABpAHQAbABlAFwAbgAgACAAPQBMAEEATQBCAEQAQQAoAFwAIgBCAGUAZQBmACAAZgBlAGUAZABsAG8AdAAgAGMAYQB0AHQAbABlACAALQAgAEQAdQByAGEAdABpAG8AbgAgAG8AZgAgAHMAdABhAHkAIAAoAGQAYQB5AHMAKQBcACIAKQA7AFwAbgBcAG4AUwBvAHUAcgBjAGUARABhAHQAYQBfAEYAZQBlAGQAbABvAHQAXwBEAHUAcgBhAHQAaQBvAG4ATwBmAFMAdABhAHkAXwBVAG4AaQB0AFwAbgAgACAAPQBMAEEATQBCAEQAQQAoAFwAIgBcACIAKQA7AFwAbgBcAG4AUwBvAHUAcgBjAGUARABhAHQAYQBfAEYAZQBlAGQAbABvAHQAXwBEAHUAcgBhAHQAaQBvAG4ATwBmAFMAdABhAHkAXwBTAG8AdQByAGMAZQBcAG4AIAAgAD0ATABBAE0AQgBEAEEAKABcACIAVgBFAEUAUgBHACAAMgAwADIANgA6ACAAVABhAGIAbABlACAAQQAuADEALgAxAC4AMQA6ACAAQgBlAGUAZgAgAGYAZQBlAGQAbABvAHQAIABjAGEAdAB0AGwAZQAgAC0AIABEAHUAcgBhAHQAaQBvAG4AIABvAGYAIABzAHQAYQB5ACAAKABkAGEAeQBzACkAXAAiACkAOwBcAG4AXABuAFMAbwB1AHIAYwBlAEQAYQB0AGEAXwBGAGUAZQBkAGwAbwB0AF8ARAB1AHIAYQB0AGkAbwBuAE8AZgBTAHQAYQB5AF8AVgBhAHIAaQBhAHQAaQBvAG4AXABuACAAIAA9AEwAQQBNAEIARABBACgAXAAiAFwAIgApADsAXABuAFwAbgBTAG8AdQByAGMAZQBEAGEAdABhAF8ARgBlAGUAZABsAG8AdABfAEQAdQByAGEAdABpAG8AbgBPAGYAUwB0AGEAeQBfAEQAYQB0AGEAXABuACAAIAA9AEwAQQBNAEIARABBACgAXABuACAAIAAgACAATQBBAEsARQBBAFIAUgBBAFkAKAA0ACwAIAAyACwAIABcAG4AIAAgACAAIAAgACAATABBAE0AQgBEAEEAKAByACwAYwAsACAAXABuACAAIAAgACAAIAAgACAAIABJAE4ARABFAFgAKAB7AFwAbgAgACAAIAAgACAAIAAgACAAIAAgAFwAIgBGAGUAZQBkAGwAbwB0ACAAdAB5AHAAZQBcACIALAAgAFwAIgBMAGUAbgBnAHQAaAAgAG8AZgAgAFMAdABhAHkAXAAiADsAXABuACAAIAAgACAAIAAgACAAIAAgACAAXAAiAEQAbwBtAGUAcwB0AGkAYwBcACIALAAgAFwAIgAxAC0AOAAwACAAZABhAHkAcwBcACIAOwBcAG4AIAAgACAAIAAgACAAIAAgACAAIABcACIATQBpAGQALQBmAGUAZABcACIALAAgAFwAIgA4ADEALQAyADAAMAAgAGQAYQB5AHMAXAAiADsAXABuACAAIAAgACAAIAAgACAAIAAgACAAXAAiAEwAbwBuAGcALQBmAGUAZABcACIALAAgAFwAIgAyADAAMQArACAAZABhAHkAcwBcACIAXABuACAAIAAgACAAIAAgACAAIAB9ACwAIAByACwAIABjACkAXABuACAAIAAgACAAIAAgACkAXABuACAAIAAgACAAKQBcAG4AIAAgACkAOwBcAG4AXABuAFwAbgBcAG4ALwAqACAAXABuAC0ALQAtAC0ALQAtAC0ALQAtAC0ALQAtAC0ALQAtAC0ALQAtAC0ALQAtAC0ALQAtAC0ALQAtAC0ALQAtAC0ALQAtAC0ALQAtAC0ALQBcAG4AUwBvAHUAcgBjAGUARABhAHQAYQBfAEYAZQBlAGQAbABvAHQAXwBBAG4AaQBtAGEAbABDAGgAYQByAGEAYwB0AGUAcgBpAHMAdABpAGMAcwBcAG4AVABhAGIAbABlACAAQQAuADEALgAxAC4AMgA6ACAAQgBlAGUAZgAgAGYAZQBlAGQAbABvAHQAIABjAGEAdAB0AGwAZQAgAC0AIABBAG4AaQBtAGEAbAAgAGMAaABhAHIAYQBjAHQAZQByAGkAcwB0AGkAYwBzAFwAbgAtAC0ALQAtAC0ALQAtAC0ALQAtAC0ALQAtAC0ALQAtAC0ALQAtAC0ALQAtAC0ALQAtAC0ALQAtAC0ALQAtAC0ALQAtAC0ALQAtAC0AXABuACoALwBcAG4AXABuAFMAbwB1AHIAYwBlAEQAYQB0AGEAXwBGAGUAZQBkAGwAbwB0AF8AQQBuAGkAbQBhAGwAQwBoAGEAcgBhAGMAdABlAHIAaQBzAHQAaQBjAHMAXwBUAGkAdABsAGUAXABuACAAIAA9AEwAQQBNAEIARABBACgAXAAiAEIAZQBlAGYAIABmAGUAZQBkAGwAbwB0ACAAYwBhAHQAdABsAGUAIAAtACAAQQBuAGkAbQBhAGwAIABjAGgAYQByAGEAYwB0AGUAcgBpAHMAdABpAGMAcwBcACIAKQA7AFwAbgBcAG4AUwBvAHUAcgBjAGUARABhAHQAYQBfAEYAZQBlAGQAbABvAHQAXwBBAG4AaQBtAGEAbABDAGgAYQByAGEAYwB0AGUAcgBpAHMAdABpAGMAcwBfAFUAbgBpAHQAXABuACAAIAA9AEwAQQBNAEIARABBACgAXAAiAFwAIgApADsAXABuAFwAbgBTAG8AdQByAGMAZQBEAGEAdABhAF8ARgBlAGUAZABsAG8AdABfAEEAbgBpAG0AYQBsAEMAaABhAHIAYQBjAHQAZQByAGkAcwB0AGkAYwBzAF8AUwBvAHUAcgBjAGUAXABuACAAIAA9AEwAQQBNAEIARABBACgAXAAiAFYARQBFAFIARwAgADIAMAAyADYAOgAgAFQAYQBiAGwAZQAgAEEALgAxAC4AMQAuADIAOgAgAEIAZQBlAGYAIABmAGUAZQBkAGwAbwB0ACAAYwBhAHQAdABsAGUAIAAtACAAQQBuAGkAbQBhAGwAIABjAGgAYQByAGEAYwB0AGUAcgBpAHMAdABpAGMAcwBcACIAKQA7AFwAbgBcAG4AUwBvAHUAcgBjAGUARABhAHQAYQBfAEYAZQBlAGQAbABvAHQAXwBBAG4AaQBtAGEAbABDAGgAYQByAGEAYwB0AGUAcgBpAHMAdABpAGMAcwBfAFYAYQByAGkAYQB0AGkAbwBuAFwAbgAgACAAPQBMAEEATQBCAEQAQQAoAFwAbgAgACAAIAAgAE0AQQBLAEUAQQBSAFIAQQBZACgAMwAsACAAMQAsACAAXABuACAAIAAgACAAIAAgAEwAQQBNAEIARABBACgAcgAsAGMALAAgAFwAbgAgACAAIAAgACAAIAAgACAASQBOAEQARQBYACgAewBcAG4AIAAgACAAIAAgACAAIAAgACAAIABcACIAVgBBAFIASQBBAFQASQBPAE4AIABPAE4AIABTAE8AVQBSAEMARQA6AFwAIgA7AFwAbgAgACAAIAAgACAAIAAgACAAIAAgAFwAIgBNAG8AdgBlAGQAIABmAGUAZQBkAGwAbwB0ACAAdAB5AHAAZQBzACAAdABvACAAYQAgAHMAZQBwAGEAcgBhAHQAZQAgAGMAbwBsAHUAbQBuACAAdABvACAAYQBpAGQAIABsAG8AbwBrAHUAcAAuAFwAIgA7AFwAbgAgACAAIAAgACAAIAAgACAAIAAgAFwAIgBOAGEAbQBlAGQAIABcAHUAMAAwADIANwBjAGgAYQByAGEAYwB0AGUAcgBpAHMAdABpAGMAXAB1ADAAMAAyADcAIABjAG8AbAB1AG0AbgAgAC0AIABvAHIAaQBnAGkAbgBhAGwAIABoAGEAcwAgAGgAZQBhAGQAZQByACAAXAB1ADAAMAAyADcAVQBuAGkAdABcAHUAMAAwADIANwAgAHcAaABpAGMAaAAgAGMAbwB2AGUAcgBzACAAdAB3AG8AIABjAG8AbAB1AG0AbgBzACkAXAAiAFwAbgAgACAAIAAgACAAIAAgACAAfQAsACAAcgAsACAAYwApAFwAbgAgACAAIAAgACAAIAApAFwAbgAgACAAIAAgACkAXABuACAAIAApADsAXABuAFwAbgBTAG8AdQByAGMAZQBEAGEAdABhAF8ARgBlAGUAZABsAG8AdABfAEEAbgBpAG0AYQBsAEMAaABhAHIAYQBjAHQAZQByAGkAcwB0AGkAYwBzAF8ARABhAHQAYQBcAG4AIAAgAD0ATABBAE0AQgBEAEEAKABcAG4AIAAgACAAIABNAEEASwBFAEEAUgBSAEEAWQAoADEAMAAsACAANwAsACAAXABuACAAIAAgACAAIAAgAEwAQQBNAEIARABBACgAcgAsAGMALAAgAFwAbgAgACAAIAAgACAAIAAgACAASQBOAEQARQBYACgAewBcAG4AIAAgACAAIAAgACAAIAAgACAAIABcACIARgBlAGUAZABsAG8AdAAgAHQAeQBwAGUAXAAiACwAIABcACIAQwBoAGEAcgBhAGMAdABlAHIAaQBzAHQAaQBjAFwAIgAsACAAXAAiAFUAbgBpAHQAXAAiACwAIABcACIAMgAwADAANQAtADIAMAAwADkAXAAiACwAIABcACIAMgAwADEAMAAtADIAMAAxADQAXAAiACwAIABcACIAMgAwADEANQAtADIAMAAxADkAXAAiACwAIABcACIAMgAwADIAMAAtADIAMAAyADMAXAAiADsAXABuACAAIAAgACAAIAAgACAAIAAgACAAXAAiAEQAbwBtAGUAcwB0AGkAYwBcACIALAAgAFwAIgBEAGEAeQBzACAAbwBuACAAZgBlAGUAZABcACIALAAgAFwAIgBkAGEAeQBzAFwAIgAsACAANwAwACwAIAA3ADAALAAgADcAMAAsACAANwA1ADsAXABuACAAIAAgACAAIAAgACAAIAAgACAAXAAiAEQAbwBtAGUAcwB0AGkAYwBcACIALAAgAFwAIgBGAGUAZQBkACAAaQBuAHQAYQBrAGUAXAAiACwAIABcACIAawBnACAARABNAC8AZABhAHkAXAAiACwAIAAxADAALgAwACwAIAAxADAALgAwACwAIAAxADAALgA0ACwAIAAxADAALgA0ADsAXABuACAAIAAgACAAIAAgACAAIAAgACAAXAAiAEQAbwBtAGUAcwB0AGkAYwBcACIALAAgAFwAIgBOACAAcgBlAHQAZQBuAHQAaQBvAG4AXAAiACwAIABcACIAcABlAHIAIABjAGUAbgB0ACAAbwBmACAAaQBuAHQAYQBrAGUAXAAiACwAIAAyADEALgAxACwAIAAyADAALgA0ACwAIAAyADAALgA0ACwAIAAyADAALgA0ADsAXABuACAAIAAgACAAIAAgACAAIAAgACAAXAAiAE0AaQBkAC0AZgBlAGQAXAAiACwAIABcACIARABhAHkAcwAgAG8AbgAgAGYAZQBlAGQAXAAiACwAIABcACIAZABhAHkAcwBcACIALAAgADEAMQA1ACwAIAAxADEANQAsACAAMQAyADAALAAgADEANQAwADsAXABuACAAIAAgACAAIAAgACAAIAAgACAAXAAiAE0AaQBkAC0AZgBlAGQAXAAiACwAIABcACIARgBlAGUAZAAgAGkAbgB0AGEAawBlAFwAIgAsACAAXAAiAGsAZwAgAEQATQAvAGQAYQB5AFwAIgAsACAAMQAxAC4AMgAsACAAMQAwAC4AOAAsACAAMQAwAC4AOAAsACAAMQAwAC4AOAA7AFwAbgAgACAAIAAgACAAIAAgACAAIAAgAFwAIgBNAGkAZAAtAGYAZQBkAFwAIgAsACAAXAAiAE4AIAByAGUAdABlAG4AdABpAG8AbgBcACIALAAgAFwAIgBwAGUAcgAgAGMAZQBuAHQAIABvAGYAIABpAG4AdABhAGsAZQBcACIALAAgADEAMgAuADUALAAgADEAMgAuADcALAAgADEAMgAuADcALAAgADEAMgAuADcAOwBcAG4AIAAgACAAIAAgACAAIAAgACAAIABcACIATABvAG4AZwAtAGYAZQBkAFwAIgAsACAAXAAiAEQAYQB5AHMAIABvAG4AIABmAGUAZQBkAFwAIgAsACAAXAAiAGQAYQB5AHMAXAAiACwAIAAyADUAMAAsACAAMgA1ADAALAAgADIANQAwACwAIAAyADUAMAA7AFwAbgAgACAAIAAgACAAIAAgACAAIAAgAFwAIgBMAG8AbgBnAC0AZgBlAGQAXAAiACwAIABcACIARgBlAGUAZAAgAGkAbgB0AGEAawBlAFwAIgAsACAAXAAiAGsAZwAgAEQATQAvAGQAYQB5AFwAIgAsACAAOQAuADAALAAgADgALgA1ACwAIAA4AC4AMgAsACAAOAAuADIAOwBcAG4AIAAgACAAIAAgACAAIAAgACAAIABcACIATABvAG4AZwAtAGYAZQBkAFwAIgAsACAAXAAiAE4AIAByAGUAdABlAG4AdABpAG8AbgBcACIALAAgAFwAIgBwAGUAcgAgAGMAZQBuAHQAIABvAGYAIABpAG4AdABhAGsAZQBcACIALAAgADYALgA2ACwAIAA3AC4AMAAsACAANwAuADAALAAgADcALgAwAFwAbgAgACAAIAAgACAAIAAgACAAfQAsACAAcgAsACAAYwApAFwAbgAgACAAIAAgACAAIAApAFwAbgAgACAAIAAgACkAXABuACAAIAApADsAXABuAFwAbgBcAG4AXABuAFwAbgBcAG4AXABuAFwAbgAvACoAIABcAG4ALQAtAC0ALQAtAC0ALQAtAC0ALQAtAC0ALQAtAC0ALQAtAC0ALQAtAC0ALQAtAC0ALQAtAC0ALQAtAC0ALQAtAC0ALQAtAC0ALQAtAFwAbgBTAG8AdQByAGMAZQBEAGEAdABhAF8ARgBlAGUAZABsAG8AdABfAEQAaQBlAHQAUAByAG8AcABlAHIAdABpAGUAcwBcAG4AVABhAGIAbABlACAAQQAuADEALgAxAC4AMwA6ACAAQgBlAGUAZgAgAGYAZQBlAGQAbABvAHQAIABjAGEAdAB0AGwAZQAgAC0AIABEAGkAZQB0ACAAcAByAG8AcABlAHIAdABpAGUAcwBcAG4ALQAtAC0ALQAtAC0ALQAtAC0ALQAtAC0ALQAtAC0ALQAtAC0ALQAtAC0ALQAtAC0ALQAtAC0ALQAtAC0ALQAtAC0ALQAtAC0ALQAtAFwAbgAqAC8AXABuAFwAbgBTAG8AdQByAGMAZQBEAGEAdABhAF8ARgBlAGUAZABsAG8AdABfAEQAaQBlAHQAUAByAG8AcABlAHIAdABpAGUAcwBfAFQAaQB0AGwAZQBcAG4AIAAgAD0ATABBAE0AQgBEAEEAKABcACIAQgBlAGUAZgAgAGYAZQBlAGQAbABvAHQAIABjAGEAdAB0AGwAZQAgAC0AIABEAGkAZQB0ACAAcAByAG8AcABlAHIAdABpAGUAcwBcACIAKQA7AFwAbgBcAG4AUwBvAHUAcgBjAGUARABhAHQAYQBfAEYAZQBlAGQAbABvAHQAXwBEAGkAZQB0AFAAcgBvAHAAZQByAHQAaQBlAHMAXwBVAG4AaQB0AFwAbgAgACAAPQBMAEEATQBCAEQAQQAoAFwAIgBcACIAKQA7AFwAbgBcAG4AUwBvAHUAcgBjAGUARABhAHQAYQBfAEYAZQBlAGQAbABvAHQAXwBEAGkAZQB0AFAAcgBvAHAAZQByAHQAaQBlAHMAXwBTAG8AdQByAGMAZQBcAG4AIAAgAD0ATABBAE0AQgBEAEEAKABcACIAVgBFAEUAUgBHACAAMgAwADIANgA6ACAAVABhAGIAbABlACAAQQAuADEALgAxAC4AMwA6ACAAQgBlAGUAZgAgAGYAZQBlAGQAbABvAHQAIABjAGEAdAB0AGwAZQAgAC0AIABEAGkAZQB0ACAAcAByAG8AcABlAHIAdABpAGUAcwBcACIAKQA7AFwAbgBcAG4AUwBvAHUAcgBjAGUARABhAHQAYQBfAEYAZQBlAGQAbABvAHQAXwBEAGkAZQB0AFAAcgBvAHAAZQByAHQAaQBlAHMAXwBWAGEAcgBpAGEAdABpAG8AbgBcAG4AIAAgAD0ATABBAE0AQgBEAEEAKABcAG4AIAAgACAAIABNAEEASwBFAEEAUgBSAEEAWQAoADMALAAgADEALAAgAFwAbgAgACAAIAAgACAAIABMAEEATQBCAEQAQQAoAHIALABjACwAIABcAG4AIAAgACAAIAAgACAAIAAgAEkATgBEAEUAWAAoAHsAXABuACAAIAAgACAAIAAgACAAIAAgACAAXAAiAFYAQQBSAEkAQQBUAEkATwBOACAATwBOACAAUwBPAFUAUgBDAEUAOgBcACIAOwBcAG4AIAAgACAAIAAgACAAIAAgACAAIABcACIAQQBkAGQAZQBkACAAXAB1ADAAMAAyADcAQwBvAG4AdgBlAHIAdABlAGQAIAB0AG8AIABmAHIAYQBjAHQAaQBvAG4AIABjAG8AbAB1AG0AbgAgAGEAbgBkACAAYwBvAG4AdgBlAHIAdABlAGQAIABOAEQARgAgAGEAbgBkACAARQB0AGgAZQByACAAZQB4AHQAcgBhAGMAdAAgAHYAYQBsAHUAZQBzACAAdABvACAAZgByAGEAYwB0AGkAbwBuAHMALgBcACIAOwBcAG4AIAAgACAAIAAgACAAIAAgACAAIABcACIATQBvAHYAZQBkACAAZgBlAGUAZABsAG8AdAAgAHQAeQBwAGUAcwAgAHQAbwAgAGEAIABzAGUAcABhAHIAYQB0AGUAIABjAG8AbAB1AG0AbgAgAHQAbwAgAGEAaQBkACAAbABvAG8AawB1AHAALgBcACIAXABuACAAIAAgACAAIAAgACAAIAB9ACwAIAByACwAIABjACkAXABuACAAIAAgACAAIAAgACkAXABuACAAIAAgACAAKQBcAG4AIAAgACkAOwBcAG4AXABuAFMAbwB1AHIAYwBlAEQAYQB0AGEAXwBGAGUAZQBkAGwAbwB0AF8ARABpAGUAdABQAHIAbwBwAGUAcgB0AGkAZQBzAF8ARABhAHQAYQBcAG4AIAAgAD0ATABBAE0AQgBEAEEAKABcAG4AIAAgACAAIABNAEEASwBFAEEAUgBSAEEAWQAoADEAMwAsACAAOAAsACAAXABuACAAIAAgACAAIAAgAEwAQQBNAEIARABBACgAcgAsAGMALAAgAFwAbgAgACAAIAAgACAAIAAgACAASQBOAEQARQBYACgAewBcAG4AIAAgACAAIAAgACAAIAAgACAAIABcACIARgBlAGUAZABsAG8AdAAgAHQAeQBwAGUAXAAiACwAIABcACIATgB1AHQAcgBpAGUAbgB0ACAAYQBuAGEAbAB5AHMAaQBzAFwAIgAsACAAXAAiAFUAbgBpAHQAXAAiACwAIABcACIAMgAwADAANQAtADIAMAAwADkAXAAiACwAIABcACIAMgAwADEAMAAtADIAMAAxADQAXAAiACwAIABcACIAMgAwADEANQAtADIAMAAxADkAXAAiACwAIABcACIAMgAwADIAMAAtADIAMAAyADMAXAAiACwAIABcACIAQwBvAG4AdgBlAHIAdABlAGQAIAB0AG8AIABmAHIAYQBjAHQAaQBvAG4AXAAiADsAXABuACAAIAAgACAAIAAgACAAIAAgACAAXAAiAEQAbwBtAGUAcwB0AGkAYwBcACIALAAgAFwAIgBEAHIAeQAgAG0AYQB0AHQAZQByACAAZABpAGcAZQBzAHQAaQBiAGkAbABpAHQAeQBcACIALAAgAFwAIgBmAHIAYQBjAHQAaQBvAG4AXAAiACwAIAAwAC4AOAAxACwAIAAwAC4AOAAxACwAIAAwAC4AOAAxACwAIAAwAC4AOAAxACwAIAAwAC4AOAAxADsAXABuACAAIAAgACAAIAAgACAAIAAgACAAXAAiAEQAbwBtAGUAcwB0AGkAYwBcACIALAAgAFwAIgBDAHIAdQBkAGUAIABwAHIAbwB0AGUAaQBuAFwAIgAsACAAXAAiAGYAcgBhAGMAdABpAG8AbgBcACIALAAgADAALgAxADQALAAgADAALgAxADQALAAgADAALgAxADQALAAgADAALgAxADQALAAgADAALgAxADQAOwBcAG4AIAAgACAAIAAgACAAIAAgACAAIABcACIARABvAG0AZQBzAHQAaQBjAFwAIgAsACAAXAAiAE4ARABGAFwAIgAsACAAXAAiAHAAZQByACAAYwBlAG4AdABcACIALAAgADIAMwAuADAALAAgADIAMgAuADAALAAgADIAMgAuADAALAAgADIAMgAuADAALAAgADAALgAyADIAOwBcAG4AIAAgACAAIAAgACAAIAAgACAAIABcACIARABvAG0AZQBzAHQAaQBjAFwAIgAsACAAXAAiAEUAdABoAGUAcgAgAEUAeAB0AHIAYQBjAHQAXAAiACwAIABcACIAcABlAHIAIABjAGUAbgB0AFwAIgAsACAANAAuADUALAAgADQALgA1ACwAIAA0AC4AOAAsACAANAAuADgALAAgADAALgAwADQAOAA7AFwAbgAgACAAIAAgACAAIAAgACAAIAAgAFwAIgBNAGkAZAAtAGYAZQBkAFwAIgAsACAAXAAiAEQAcgB5ACAAbQBhAHQAdABlAHIAIABkAGkAZwBlAHMAdABpAGIAaQBsAGkAdAB5AFwAIgAsACAAXAAiAGYAcgBhAGMAdABpAG8AbgBcACIALAAgADAALgA4ADEALAAgADAALgA4ADEALAAgADAALgA4ADEALAAgADAALgA4ADEALAAgADAALgA4ADEAOwBcAG4AIAAgACAAIAAgACAAIAAgACAAIABcACIATQBpAGQALQBmAGUAZABcACIALAAgAFwAIgBDAHIAdQBkAGUAIABwAHIAbwB0AGUAaQBuAFwAIgAsACAAXAAiAGYAcgBhAGMAdABpAG8AbgBcACIALAAgADAALgAxADMALAAgADAALgAxADIANQAsACAAMAAuADEAMgAsACAAMAAuADEAMgAsACAAMAAuADEAMgA7AFwAbgAgACAAIAAgACAAIAAgACAAIAAgAFwAIgBNAGkAZAAtAGYAZQBkAFwAIgAsACAAXAAiAE4ARABGAFwAIgAsACAAXAAiAHAAZQByACAAYwBlAG4AdABcACIALAAgADIANAAuADAALAAgADIAMgAuADAALAAgADIAMgAuADAALAAgADIAMgAuADAALAAgADAALgAyADIAOwBcAG4AIAAgACAAIAAgACAAIAAgACAAIABcACIATQBpAGQALQBmAGUAZABcACIALAAgAFwAIgBFAHQAaABlAHIAIABFAHgAdAByAGEAYwB0AFwAIgAsACAAXAAiAHAAZQByACAAYwBlAG4AdABcACIALAAgADUALgAwACwAIAA1AC4AMAAsACAANQAuADAALAAgADUALgAwACwAIAAwAC4AMAA1ADsAXABuACAAIAAgACAAIAAgACAAIAAgACAAXAAiAEwAbwBuAGcALQBGAGUAZABcACIALAAgAFwAIgBEAHIAeQAgAG0AYQB0AHQAZQByACAAZABpAGcAZQBzAHQAaQBiAGkAbABpAHQAeQBcACIALAAgAFwAIgBmAHIAYQBjAHQAaQBvAG4AXAAiACwAIAAwAC4AOAAxACwAIAAwAC4AOAAxACwAIAAwAC4AOAAxACwAIAAwAC4AOAAxACwAIAAwAC4AOAAxADsAXABuACAAIAAgACAAIAAgACAAIAAgACAAXAAiAEwAbwBuAGcALQBGAGUAZABcACIALAAgAFwAIgBDAHIAdQBkAGUAIABwAHIAbwB0AGUAaQBuAFwAIgAsACAAXAAiAGYAcgBhAGMAdABpAG8AbgBcACIALAAgADAALgAxADMALAAgADAALgAxADIANQAsACAAMAAuADEAMgAsACAAMAAuADEAMgAsACAAMAAuADEAMgA7AFwAbgAgACAAIAAgACAAIAAgACAAIAAgAFwAIgBMAG8AbgBnAC0ARgBlAGQAXAAiACwAIABcACIATgBEAEYAXAAiACwAIABcACIAcABlAHIAIABjAGUAbgB0AFwAIgAsACAAMgA0AC4AMAAsACAAMgA0AC4AMAAsACAAMgA0AC4AMAAsACAAMgA0AC4AMAAsACAAMAAuADIANAA7AFwAbgAgACAAIAAgACAAIAAgACAAIAAgAFwAIgBMAG8AbgBnAC0ARgBlAGQAXAAiACwAIABcACIARQB0AGgAZQByACAARQB4AHQAcgBhAGMAdABcACIALAAgAFwAIgBwAGUAcgAgAGMAZQBuAHQAXAAiACwAIAA1AC4AMAAsACAANQAuADAALAAgADUALgA1ACwAIAA1AC4ANQAsACAAMAAuADAANQA1AFwAbgAgACAAIAAgACAAIAAgACAAfQAsACAAcgAsACAAYwApAFwAbgAgACAAIAAgACAAIAApAFwAbgAgACAAIAAgACkAXABuACAAIAApADsAXABuAFwAbgBcAG4ALwAqACAAXABuAC0ALQAtAC0ALQAtAC0ALQAtAC0ALQAtAC0ALQAtAC0ALQAtAC0ALQAtAC0ALQAtAC0ALQAtAC0ALQAtAC0ALQAtAC0ALQAtAC0ALQBcAG4AUwBvAHUAcgBjAGUARABhAHQAYQBfAEYAZQBlAGQAbABvAHQAXwBNAEMARgBcAG4AVABhAGIAbABlACAAQQAuADEALgAxAC4ANAA6ACAAQgBlAGUAZgAgAGYAZQBlAGQAbABvAHQAIABjAGEAdAB0AGwAZQAgAC0AIABNAEMARgBzACAAKABmAHIAYQBjAHQAaQBvAG4AKQAgACgATQBDAEYAaQBtAFQAKQBcAG4ALQAtAC0ALQAtAC0ALQAtAC0ALQAtAC0ALQAtAC0ALQAtAC0ALQAtAC0ALQAtAC0ALQAtAC0ALQAtAC0ALQAtAC0ALQAtAC0ALQAtAFwAbgAqAC8AXABuAFwAbgBTAG8AdQByAGMAZQBEAGEAdABhAF8ARgBlAGUAZABsAG8AdABfAE0AQwBGAF8AVABpAHQAbABlAFwAbgAgACAAPQBMAEEATQBCAEQAQQAoAFwAIgBGAGUAZQBkAGwAbwB0ACAALQAgAE0AQwBGAHMAXAAiACkAOwBcAG4AXABuAFMAbwB1AHIAYwBlAEQAYQB0AGEAXwBGAGUAZQBkAGwAbwB0AF8ATQBDAEYAXwBVAG4AaQB0AFwAbgAgACAAPQBMAEEATQBCAEQAQQAoAFwAIgBcACIAKQA7AFwAbgBcAG4AUwBvAHUAcgBjAGUARABhAHQAYQBfAEYAZQBlAGQAbABvAHQAXwBNAEMARgBfAFMAbwB1AHIAYwBlAFwAbgAgACAAPQBMAEEATQBCAEQAQQAoAFwAIgBWAEUARQBSAEcAIAAyADAAMgA2ADoAIABUAGEAYgBsAGUAIABBAC4AMQAuADEALgA0ADoAIABCAGUAZQBmACAAZgBlAGUAZABsAG8AdAAgAGMAYQB0AHQAbABlACAALQAgAE0AQwBGAHMAIAAoAGYAcgBhAGMAdABpAG8AbgApACAAKABNAEMARgBpAG0AVAApAFwAIgApADsAXABuAFwAbgBTAG8AdQByAGMAZQBEAGEAdABhAF8ARgBlAGUAZABsAG8AdABfAE0AQwBGAF8AVgBhAHIAaQBhAHQAaQBvAG4AXABuACAAIAA9AEwAQQBNAEIARABBACgAXABuACAAIAAgACAATQBBAEsARQBBAFIAUgBBAFkAKAA0ACwAIAAxACwAIABcAG4AIAAgACAAIAAgACAATABBAE0AQgBEAEEAKAByACwAYwAsACAAXABuACAAIAAgACAAIAAgACAAIABJAE4ARABFAFgAKAB7AFwAbgAgACAAIAAgACAAIAAgACAAIAAgAFwAIgBWAEEAUgBJAEEAVABJAE8ATgAgAE8ATgAgAFMATwBVAFIAQwBFADoAXAAiADsAXABuACAAIAAgACAAIAAgACAAIAAgACAAXAAiAEQAdQBwAGwAaQBjAGEAdABlAGQAIABOAFMAVwAgAHYAYQBsAHUAZQBzACAAZgBvAHIAIABBAEMAVABcACIAOwBcAG4AIAAgACAAIAAgACAAIAAgACAAIABcACIAQQBkAGQAZQBkACAATgBUACAAYwBvAGwAdQBtAG4AIAB0AGgAYQB0ACAAZAB1AHAAbABpAGMAYQB0AGUAcwAgAFEATABEACAAdgBhAGwAdQBlAHMAIABhAHMAIABwAGUAcgAgAGEAZAB2AGkAYwBlACAAZgByAG8AbQAgAHMAbwB1AHIAYwBlACAAZABhAHQAYQAgAHAAcgBvAHYAaQBkAGUAcgAuAFwAIgA7AFwAbgAgACAAIAAgACAAIAAgACAAIAAgAFwAIgBBAGQAZABlAGQAIABUAEEAUwAgAGMAbwBsAHUAbQBuACAAdABoAGEAdAAgAGQAdQBwAGwAaQBjAGEAdABlAHMAIABWAEkAQwAgAHYAYQBsAHUAZQBzACAAYQBzACAAcABlAHIAIABhAGQAdgBpAGMAZQAgAGYAcgBvAG0AIABzAG8AdQByAGMAZQAgAGQAYQB0AGEAIABwAHIAbwB2AGkAZABlAHIALgBcACIAOwBcAG4AIAAgACAAIAAgACAAIAAgACAAIABcACIAQQBkAGQAZQBkACAAXAB1ADAAMAAyADcATgBJAFIAIABkAGUAZgBpAG4AaQB0AGkAbwBuAFwAdQAwADAAMgA3ACAAYwBvAGwAdQBtAG4AIAB3AGkAdABoACAATQBNAFMAIABuAGEAbQBlAHMAIAB0AGgAYQB0ACAAbQBhAHQAYwBoACAATgBJAFIAIABkAGUAZgBpAG4AaQB0AGkAbwBuAHMALgBcACIAXABuACAAIAAgACAAIAAgACAAIAB9ACwAIAByACwAIABjACkAXABuACAAIAAgACAAIAAgACkAXABuACAAIAAgACAAKQBcAG4AIAAgACkAOwBcAG4AXABuAFMAbwB1AHIAYwBlAEQAYQB0AGEAXwBGAGUAZQBkAGwAbwB0AF8ATQBDAEYAXwBEAGEAdABhAFwAbgAgACAAPQBMAEEATQBCAEQAQQAoAFwAbgAgACAAIAAgAE0AQQBLAEUAQQBSAFIAQQBZACgANgAsACAAMQAxACwAIABcAG4AIAAgACAAIAAgACAATABBAE0AQgBEAEEAKAByACwAYwAsACAAXABuACAAIAAgACAAIAAgACAAIABJAE4ARABFAFgAKAB7AFwAbgAgACAAIAAgACAAIAAgACAAIAAgAFwAIgBUAHIAZQBhAHQAbQBlAG4AdAAgAHMAdABhAGcAZQAgAFQAXAAiACwAIABcACIATQBNAFMAIABtAFwAIgAsACAAXAAiAE4AUwBXAFwAIgAsACAAXAAiAEEAQwBUAFwAIgAsACAAXAAiAFEATABEAFwAIgAsACAAXAAiAE4AVABcACIALAAgAFwAIgBTAEEAXAAiACwAIABcACIAVgBJAEMAXAAiACwAIABcACIAVwBBAFwAIgAsACAAXAAiAFQAQQBTAFwAIgAsACAAXAAiAE4ASQBSACAAZABlAGYAaQBuAGkAdABpAG8AbgBcACIAOwBcAG4AIAAgACAAIAAgACAAIAAgACAAIABcACIAUAByAGkAbQBhAHIAeQBcACIALAAgAFwAIgBEAHIAeQAgAGwAbwB0ACAAKABGAGUAZQBkAHAAYQBkACkAXAAiACwAIAAwAC4AMAAxACwAIAAwAC4AMAAxACwAIAAwAC4AMAAzACwAIAAwAC4AMAAzACwAIAAwAC4AMAAxACwAIAAwAC4AMAAxACwAIAAwAC4AMAAxACwAIAAwAC4AMAAxACwAIABcACIARAByAHkAbABvAHQAIAAoAGYAZQBlAGQAIABwAGEAZAApAFwAIgA7ACAAXABuACAAIAAgACAAIAAgACAAIAAgACAAXAAiAFMAZQBjAG8AbgBkAGEAcgB5AFwAIgAsACAAXAAiAFMAbwBsAGkAZAAgAFMAdABvAHIAYQBnAGUAIAAoAFMAdABvAGMAawBwAGkAbABlACkAXAAiACwAIAAwAC4AMAAyACwAIAAwAC4AMAAyACwAIAAwAC4AMAAyACwAIAAwAC4AMAAyACwAIAAwAC4AMAAyACwAIAAwAC4AMAAyACwAIAAwAC4AMAAyACwAIAAwAC4AMAAyACwAIABcACIAUwBvAGwAaQBkACAAcwB0AG8AcgBhAGcAZQBcACIAOwAgAFwAbgAgACAAIAAgACAAIAAgACAAIAAgAFwAIgBTAGUAYwBvAG4AZABhAHIAeQBcACIALAAgAFwAIgBDAG8AbQBwAG8AcwB0AGkAbgBnACAAKABQAGEAcwBzAGkAdgBlACAAVwBpAG4AZAByAG8AdwApAFwAIgAsACAAMAAuADAAMQAsACAAMAAuADAAMQAsACAAMAAuADAAMQAsACAAMAAuADAAMQAsACAAMAAuADAAMQAsACAAMAAuADAAMQAsACAAMAAuADAAMQAsACAAMAAuADAAMQAsACAAXAAiAEMAbwBtAHAAbwBzAHQAaQBuAGcAIAAoAHAAYQBzAHMAaQB2AGUAIAB3AGkAbgBkAHIAbwB3ACkAXAAiADsAIABcAG4AIAAgACAAIAAgACAAIAAgACAAIABcACIAUwBlAGMAbwBuAGQAYQByAHkAXAAiACwAIABcACIARABpAHIAZQBjAHQAIABBAHAAcABsAGkAYwBhAHQAaQBvAG4AIAB0AG8AIABzAG8AaQBsAFwAIgAsACAAMAAsACAAMAAsACAAMAAsACAAMAAsACAAMAAsACAAMAAsACAAMAAsACAAMAAsACAAXAAiAEQAaQByAGUAYwB0ACAAYQBwAHAAbABpAGMAYQB0AGkAbwBuAFwAIgA7ACAAXABuACAAIAAgACAAIAAgACAAIAAgACAAXAAiAFQAZQByAHQAaQBhAHIAeQBcACIALAAgAFwAIgBVAG4AYwBvAHYAZQByAGUAZAAgAGEAbgBhAGUAcgBvAGIAaQBjACAAbABhAGcAbwBvAG4AIAAoAEUAZgBmAGwAdQBlAG4AdAAgAHAAbwBuAGQAKQBcACIALAAgADAALgA3ADUALAAgADAALgA3ADUALAAgADAALgA3ADcALAAgADAALgA3ADcALAAgADAALgA3ADUALAAgADAALgA3ADUALAAgADAALgA3ADcALAAgADAALgA3ADUALAAgAFwAIgBBAG4AYQBlAHIAbwBiAGkAYwAgAGwAYQBnAG8AbwBuAFwAIgBcAG4AIAAgACAAIAAgACAAIAAgAH0ALAAgAHIALAAgAGMAKQBcAG4AIAAgACAAIAAgACAAKQBcAG4AIAAgACAAIAApAFwAbgAgACAAKQA7AFwAbgBcAG4AXABuAFwAbgAvACoAIABcAG4ALQAtAC0ALQAtAC0ALQAtAC0ALQAtAC0ALQAtAC0ALQAtAC0ALQAtAC0ALQAtAC0ALQAtAC0ALQAtAC0ALQAtAC0ALQAtAC0ALQAtAFwAbgBTAG8AdQByAGMAZQBEAGEAdABhAF8ARgBlAGUAZABsAG8AdABfAE4AaQB0AHIAbwB1AHMATwB4AGkAZABlAEUARgBzAFwAbgBUAGEAYgBsAGUAIABBAC4AMQAuADEALgA1ADoAIABCAGUAZQBmACAAZgBlAGUAZABsAG8AdAAgAGMAYQB0AHQAbABlACAALQAgAE4AaQB0AHIAbwB1AHMAIABvAHgAaQBkAGUAIABFAEYAcwAgACgARQBGAG0AVAApAFwAbgAtAC0ALQAtAC0ALQAtAC0ALQAtAC0ALQAtAC0ALQAtAC0ALQAtAC0ALQAtAC0ALQAtAC0ALQAtAC0ALQAtAC0ALQAtAC0ALQAtAC0AXABuACoALwBcAG4AXABuAFMAbwB1AHIAYwBlAEQAYQB0AGEAXwBGAGUAZQBkAGwAbwB0AF8ATgBpAHQAcgBvAHUAcwBPAHgAaQBkAGUARQBGAHMAXwBUAGkAdABsAGUAXABuACAAIAA9AEwAQQBNAEIARABBACgAXAAiAEYAZQBlAGQAbABvAHQAIAAtACAATgBpAHQAcgBvAHUAcwAgAG8AeABpAGQAZQAgAEUARgBzAFwAIgApADsAXABuAFwAbgBTAG8AdQByAGMAZQBEAGEAdABhAF8ARgBlAGUAZABsAG8AdABfAE4AaQB0AHIAbwB1AHMATwB4AGkAZABlAEUARgBzAF8AVQBuAGkAdABcAG4AIAAgAD0ATABBAE0AQgBEAEEAKABcACIAXAAiACkAOwBcAG4AXABuAFMAbwB1AHIAYwBlAEQAYQB0AGEAXwBGAGUAZQBkAGwAbwB0AF8ATgBpAHQAcgBvAHUAcwBPAHgAaQBkAGUARQBGAHMAXwBTAG8AdQByAGMAZQBcAG4AIAAgAD0ATABBAE0AQgBEAEEAKABcACIAVgBFAEUAUgBHACAAMgAwADIANgA6ACAAVABhAGIAbABlACAAQQAuADEALgAxAC4ANQA6ACAAQgBlAGUAZgAgAGYAZQBlAGQAbABvAHQAIABjAGEAdAB0AGwAZQAgAC0AIABOAGkAdAByAG8AdQBzACAAbwB4AGkAZABlACAARQBGAHMAIAAoAEUARgBtAFQAKQBcACIAKQA7AFwAbgBcAG4AUwBvAHUAcgBjAGUARABhAHQAYQBfAEYAZQBlAGQAbABvAHQAXwBOAGkAdAByAG8AdQBzAE8AeABpAGQAZQBFAEYAcwBfAFYAYQByAGkAYQB0AGkAbwBuAFwAbgAgACAAPQBMAEEATQBCAEQAQQAoAFwAbgAgACAAIAAgAE0AQQBLAEUAQQBSAFIAQQBZACgAMgAsACAAMQAsACAAXABuACAAIAAgACAAIAAgAEwAQQBNAEIARABBACgAcgAsAGMALAAgAFwAbgAgACAAIAAgACAAIAAgACAASQBOAEQARQBYACgAewBcAG4AIAAgACAAIAAgACAAIAAgACAAIABcACIAVgBBAFIASQBBAFQASQBPAE4AIABPAE4AIABTAE8AVQBSAEMARQA6AFwAIgA7AFwAbgAgACAAIAAgACAAIAAgACAAIAAgAFwAIgBBAGQAZABlAGQAIABcAHUAMAAwADIANwBOAEkAUgAgAGQAZQBmAGkAbgBpAHQAaQBvAG4AXAB1ADAAMAAyADcAIABjAG8AbAB1AG0AbgAgAHcAaQB0AGgAIABNAE0AUwAgAG4AYQBtAGUAcwAgAHQAaABhAHQAIABtAGEAdABjAGgAIABOAEkAUgAgAGQAZQBmAGkAbgBpAHQAaQBvAG4AcwAuAFwAIgBcAG4AIAAgACAAIAAgACAAIAAgAH0ALAAgAHIALAAgAGMAKQBcAG4AIAAgACAAIAAgACAAKQBcAG4AIAAgACAAIAApAFwAbgAgACAAKQA7AFwAbgBcAG4AUwBvAHUAcgBjAGUARABhAHQAYQBfAEYAZQBlAGQAbABvAHQAXwBOAGkAdAByAG8AdQBzAE8AeABpAGQAZQBFAEYAcwBfAEQAYQB0AGEAXABuACAAIAA9AEwAQQBNAEIARABBACgAXABuACAAIAAgACAATQBBAEsARQBBAFIAUgBBAFkAKAA2ACwAIAA0ACwAIABcAG4AIAAgACAAIAAgACAATABBAE0AQgBEAEEAKAByACwAYwAsACAAXABuACAAIAAgACAAIAAgACAAIABJAE4ARABFAFgAKAB7AFwAbgAgACAAIAAgACAAIAAgACAAIAAgAFwAIgBUAHIAZQBhAHQAbQBlAG4AdAAgAHMAdABhAGcAZQAgAFQAXAAiACwAIABcACIATQBNAFMAIABtAFwAIgAsACAAXAAiAEUARgBtAFQAIAAoAGsAZwAgAE4AMgBPAC0ATgAvAGsAZwAgAE4AKQBcACIALAAgAFwAIgBOAEkAUgAgAGQAZQBmAGkAbgBpAHQAaQBvAG4AXAAiADsAXABuACAAIAAgACAAIAAgACAAIAAgACAAXAAiAFAAcgBpAG0AYQByAHkAXAAiACwAIABcACIARAByAHkAIABsAG8AdAAgACgARgBlAGUAZABwAGEAZAApAFwAIgAsACAAMAAuADAAMAA1ADQALAAgAFwAIgBEAHIAeQBsAG8AdAAgACgAZgBlAGUAZAAgAHAAYQBkACkAXAAiADsAXABuACAAIAAgACAAIAAgACAAIAAgACAAXAAiAFMAZQBjAG8AbgBkAGEAcgB5AFwAIgAsACAAXAAiAFMAbwBsAGkAZAAgAFMAdABvAHIAYQBnAGUAIAAoAFMAdABvAGMAawBwAGkAbABlACkAXAAiACwAIAAwAC4AMAAwADUALAAgAFwAIgBTAG8AbABpAGQAIABzAHQAbwByAGEAZwBlAFwAIgA7AFwAbgAgACAAIAAgACAAIAAgACAAIAAgAFwAIgBTAGUAYwBvAG4AZABhAHIAeQBcACIALAAgAFwAIgBDAG8AbQBwAG8AcwB0AGkAbgBnACAAKABQAGEAcwBzAGkAdgBlACAAVwBpAG4AZAByAG8AdwApAFwAIgAsACAAMAAuADAAMQAsACAAXAAiAEMAbwBtAHAAbwBzAHQAaQBuAGcAIAAoAHAAYQBzAHMAaQB2AGUAIAB3AGkAbgBkAHIAbwB3ACkAXAAiADsAXABuACAAIAAgACAAIAAgACAAIAAgACAAXAAiAFMAZQBjAG8AbgBkAGEAcgB5AFwAIgAsACAAXAAiAEQAaQByAGUAYwB0ACAAQQBwAHAAbABpAGMAYQB0AGkAbwBuACAAdABvACAAcwBvAGkAbABcACIALAAgADAALAAgAFwAIgBEAGkAcgBlAGMAdAAgAGEAcABwAGwAaQBjAGEAdABpAG8AbgBcACIAOwBcAG4AIAAgACAAIAAgACAAIAAgACAAIABcACIAVABlAHIAdABpAGEAcgB5AFwAIgAsACAAXAAiAFUAbgBjAG8AdgBlAHIAZQBkACAAYQBuAGEAZQByAG8AYgBpAGMAIABsAGEAZwBvAG8AbgAgACgARQBmAGYAbAB1AGUAbgB0ACAAUABvAG4AZAApAFwAIgAsACAAMAAsACAAXAAiAEEAbgBhAGUAcgBvAGIAaQBjACAAbABhAGcAbwBvAG4AXAAiAFwAbgAgACAAIAAgACAAIAAgACAAfQAsACAAcgAsACAAYwApAFwAbgAgACAAIAAgACAAIAApAFwAbgAgACAAIAAgACkAXABuACAAIAApADsAXABuAFwAbgBcAG4AXABuAC8AKgAgAFwAbgAtAC0ALQAtAC0ALQAtAC0ALQAtAC0ALQAtAC0ALQAtAC0ALQAtAC0ALQAtAC0ALQAtAC0ALQAtAC0ALQAtAC0ALQAtAC0ALQAtAC0AXABuAFMAbwB1AHIAYwBlAEQAYQB0AGEAXwBGAGUAZQBkAGwAbwB0AF8ARgByAGEAYwBOAFYAbwBsAGEAdABpAGwAaQBzAGUAZABcAG4AVABhAGIAbABlACAAQQAuADEALgAxAC4ANgA6ACAAQgBlAGUAZgAgAGYAZQBlAGQAbABvAHQAIABjAGEAdAB0AGwAZQAgAC0AIABGAHIAYQBjAHQAaQBvAG4AIABvAGYAIABOACAAdgBvAGwAYQB0AGkAbABpAHMAZQBkACAAYgB5ACAATQBNAFMAIAAoAEYAcgBhAGMARwBBAFMATQBtAFQAKQBcAG4ALQAtAC0ALQAtAC0ALQAtAC0ALQAtAC0ALQAtAC0ALQAtAC0ALQAtAC0ALQAtAC0ALQAtAC0ALQAtAC0ALQAtAC0ALQAtAC0ALQAtAFwAbgAqAC8AXABuAFwAbgBTAG8AdQByAGMAZQBEAGEAdABhAF8ARgBlAGUAZABsAG8AdABfAEYAcgBhAGMATgBWAG8AbABhAHQAaQBsAGkAcwBlAGQAXwBUAGkAdABsAGUAXABuACAAIAA9AEwAQQBNAEIARABBACgAXAAiAEYAZQBlAGQAbABvAHQAIAAtACAARgByAGEAYwB0AGkAbwBuACAAbwBmACAATgAgAHYAbwBsAGEAdABpAGwAaQBzAGUAZAAgAGIAeQAgAE0ATQBTACAAKABGAHIAYQBjAEcAQQBTAE0AbQBUACkAXAAiACkAOwBcAG4AXABuAFMAbwB1AHIAYwBlAEQAYQB0AGEAXwBGAGUAZQBkAGwAbwB0AF8ARgByAGEAYwBOAFYAbwBsAGEAdABpAGwAaQBzAGUAZABfAFUAbgBpAHQAXABuACAAIAA9AEwAQQBNAEIARABBACgAXAAiAFwAIgApADsAXABuAFwAbgBTAG8AdQByAGMAZQBEAGEAdABhAF8ARgBlAGUAZABsAG8AdABfAEYAcgBhAGMATgBWAG8AbABhAHQAaQBsAGkAcwBlAGQAXwBTAG8AdQByAGMAZQBcAG4AIAAgAD0ATABBAE0AQgBEAEEAKABcACIAVgBFAEUAUgBHACAAMgAwADIANgA6ACAAVABhAGIAbABlACAAQQAuADEALgAxAC4ANgA6ACAAQgBlAGUAZgAgAGYAZQBlAGQAbABvAHQAIABjAGEAdAB0AGwAZQAgAC0AIABGAHIAYQBjAHQAaQBvAG4AIABvAGYAIABOACAAdgBvAGwAYQB0AGkAbABpAHMAZQBkACAAYgB5ACAATQBNAFMAIAAoAEYAcgBhAGMARwBBAFMATQBtAFQAKQBcACIAKQA7AFwAbgBcAG4AUwBvAHUAcgBjAGUARABhAHQAYQBfAEYAZQBlAGQAbABvAHQAXwBGAHIAYQBjAE4AVgBvAGwAYQB0AGkAbABpAHMAZQBkAF8AVgBhAHIAaQBhAHQAaQBvAG4AXABuACAAIAA9AEwAQQBNAEIARABBACgAXABuACAAIAAgACAATQBBAEsARQBBAFIAUgBBAFkAKAAyACwAIAAxACwAIABcAG4AIAAgACAAIAAgACAATABBAE0AQgBEAEEAKAByACwAYwAsACAAXABuACAAIAAgACAAIAAgACAAIABJAE4ARABFAFgAKAB7AFwAbgAgACAAIAAgACAAIAAgACAAIAAgAFwAIgBWAEEAUgBJAEEAVABJAE8ATgAgAE8ATgAgAFMATwBVAFIAQwBFADoAXAAiADsAXABuACAAIAAgACAAIAAgACAAIAAgACAAXAAiAEEAZABkAGUAZAAgAFwAdQAwADAAMgA3AE4ASQBSACAAZABlAGYAaQBuAGkAdABpAG8AbgBcAHUAMAAwADIANwAgAGMAbwBsAHUAbQBuACAAdwBpAHQAaAAgAE0ATQBTACAAbgBhAG0AZQBzACAAdABoAGEAdAAgAG0AYQB0AGMAaAAgAE4ASQBSACAAZABlAGYAaQBuAGkAdABpAG8AbgBzAC4AXAAiAFwAbgAgACAAIAAgACAAIAAgACAAfQAsACAAcgAsACAAYwApAFwAbgAgACAAIAAgACAAIAApAFwAbgAgACAAIAAgACkAXABuACAAIAApADsAXABuAFwAbgBTAG8AdQByAGMAZQBEAGEAdABhAF8ARgBlAGUAZABsAG8AdABfAEYAcgBhAGMATgBWAG8AbABhAHQAaQBsAGkAcwBlAGQAXwBEAGEAdABhAFwAbgAgACAAPQBMAEEATQBCAEQAQQAoAFwAbgAgACAAIAAgAE0AQQBLAEUAQQBSAFIAQQBZACgANgAsACAANAAsACAAXABuACAAIAAgACAAIAAgAEwAQQBNAEIARABBACgAcgAsAGMALAAgAFwAbgAgACAAIAAgACAAIAAgACAASQBOAEQARQBYACgAewBcAG4AIAAgACAAIAAgACAAIAAgACAAIABcACIAVAByAGUAYQB0AG0AZQBuAHQAIABzAHQAYQBnAGUAIABUAFwAIgAsACAAXAAiAE0ATQBTACAAbQBcACIALAAgAFwAIgBGAHIAYQBjAEcAQQBTAE0AbQBUACAAKABrAGcAIABOAEgAMwAtAE4AIAArACAATgBPAHgALQBOACkALwBrAGcAIABOAFwAIgAsACAAXAAiAE4ASQBSACAAZABlAGYAaQBuAGkAdABpAG8AbgBcACIAOwBcAG4AIAAgACAAIAAgACAAIAAgACAAIABcACIAUAByAGkAbQBhAHIAeQBcACIALAAgAFwAIgBEAHIAeQAgAGwAbwB0ACAAKABGAGUAZQBkAHAAYQBkACkAXAAiACwAIAAwAC4ANgAsACAAXAAiAEQAcgB5AGwAbwB0ACAAKABmAGUAZQBkACAAcABhAGQAKQBcACIAOwBcAG4AIAAgACAAIAAgACAAIAAgACAAIABcACIAUwBlAGMAbwBuAGQAYQByAHkAXAAiACwAIABcACIAUwBvAGwAaQBkACAAUwB0AG8AcgBhAGcAZQAgACgAUwB0AG8AYwBrAHAAaQBsAGUAKQBcACIALAAgADAALgAyADUALAAgAFwAIgBTAG8AbABpAGQAIABzAHQAbwByAGEAZwBlAFwAIgA7AFwAbgAgACAAIAAgACAAIAAgACAAIAAgAFwAIgBTAGUAYwBvAG4AZABhAHIAeQBcACIALAAgAFwAIgBDAG8AbQBwAG8AcwB0AGkAbgBnACAAKABQAGEAcwBzAGkAdgBlACAAVwBpAG4AZAByAG8AdwApAFwAIgAsACAAMAAuADQALAAgAFwAIgBDAG8AbQBwAG8AcwB0AGkAbgBnACAAKABwAGEAcwBzAGkAdgBlACAAdwBpAG4AZAByAG8AdwApAFwAIgA7AFwAbgAgACAAIAAgACAAIAAgACAAIAAgAFwAIgBTAGUAYwBvAG4AZABhAHIAeQBcACIALAAgAFwAIgBEAGkAcgBlAGMAdAAgAEEAcABwAGwAaQBjAGEAdABpAG8AbgAgAHQAbwAgAHMAbwBpAGwAXAAiACwAIAAwACwAIABcACIARABpAHIAZQBjAHQAIABhAHAAcABsAGkAYwBhAHQAaQBvAG4AXAAiADsAXABuACAAIAAgACAAIAAgACAAIAAgACAAXAAiAFQAZQByAHQAaQBhAHIAeQBcACIALAAgAFwAIgBVAG4AYwBvAHYAZQByAGUAZAAgAGEAbgBhAGUAcgBvAGIAaQBjACAAbABhAGcAbwBvAG4AIAAoAEUAZgBmAGwAdQBlAG4AdAAgAHAAbwBuAGQAKQBcACIALAAgADAALgAzADUALAAgAFwAIgBBAG4AYQBlAHIAbwBiAGkAYwAgAGwAYQBnAG8AbwBuAFwAIgBcAG4AIAAgACAAIAAgACAAIAAgAH0ALAAgAHIALAAgAGMAKQBcAG4AIAAgACAAIAAgACAAKQBcAG4AIAAgACAAIAApAFwAbgAgACAAKQA7AFwAbgBcAG4AIgB9ACwAewAiAHAAYQB0AGgAIgA6ACIALwBwAHIAbwBqAGUAYwB0AHMALwBFAG4AdABlAHIAaQBjAE0AZQB0AGgAYQBuAGUAXwBGAGUAZQBkAGwAbwB0AF8ARQBxAHUAYQB0AGkAbwBuAHMAIgAsACIAdABlAHgAdAAiADoAIgAvACoAXABuAD0APQA9AD0APQA9AD0APQA9AD0APQA9AD0APQA9AD0APQA9AD0APQA9AD0APQA9AD0APQA9AD0APQA9AD0APQA9AD0APQA9AD0APQA9AD0APQA9AD0APQA9AD0APQA9AD0APQA9AD0APQA9AD0APQA9AD0APQA9AD0APQA9AD0APQA9AD0APQA9AD0APQA9AD0APQA9AD0AXABuADMALgAxADoAIABFAG4AdABlAHIAaQBjACAATQBlAHQAaABhAG4AZQAgAC0AIABGAGUAZQBkAGwAbwB0ACAAQgBlAGUAZgBcAG4APQA9AD0APQA9AD0APQA9AD0APQA9AD0APQA9AD0APQA9AD0APQA9AD0APQA9AD0APQA9AD0APQA9AD0APQA9AD0APQA9AD0APQA9AD0APQA9AD0APQA9AD0APQA9AD0APQA9AD0APQA9AD0APQA9AD0APQA9AD0APQA9AD0APQA9AD0APQA9AD0APQA9AD0APQA9AD0APQBcAG4AMwAuADEALgAxAC4AMQAgAE0AZQB0AGgAbwBkACAAMQAgAC0AIABFAG4AdABlAHIAaQBjACAAQgBlAGUAZgAgAEYAZQBlAGQAbABvAHQ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zAF8AMQBfADEAXwAxAF8AXwAxAF8AVABvAHQAYQBsAEEAbgBuAHUAYQBsAE0AZQB0AGgAYQBuAGUARgByAG8AbQBFAG4AdABlAHIAaQBjAEYAZQByAG0AZQBuAHQAYQB0AGkAbwBuAFwAbgBUAG8AdABhAGwAIABhAG4AbgB1AGEAbAAgAG0AZQB0AGgAYQBuAGUAIABwAHIAbwBkAHUAYwB0AGkAbwBuACAAZgByAG8AbQAgAGUAbgB0AGUAcgBpAGMAIABmAGUAcgBtAGUAbgB0AGEAdABpAG8AbgAgAGkAbgAgAGYAZQBlAGQAbABvAHQAIABiAGUAZQBmACAAYwBhAHQAdABsAGUAXABuAEUAXwBlAG4AdABlAHIAaQBjAFwAbgB0ACAAQwBIADQAXABuAEUAXwB7AGUAbgB0AGUAcgBpAGMAfQA9AFwAXABzAHUAbQBcAFwAbgBvAGwAaQBtAGkAdABzAF8AagAoAEQAXwBqAFwAXAB0AGkAbQBlAHMAIABNAF8AagBcAFwAdABpAG0AZQBzACAATgBfAGoAKQBcAFwAdABpAG0AZQBzACAAMQAwAF4AewAtADMAfQBcAG4ARABfAGoAIAA9ACAAZAB1AHIAYQB0AGkAbwBuACAAbwBmACAAcwB0AGEAeQAgAG8AZgAgAGUAYQBjAGgAIABjAGEAdAB0AGwAZQAgAGwAbwB0ACAAKABkAGEAeQBzACkAXABuAE0AXwBqACAAPQAgAGQAYQBpAGwAeQAgAG0AZQB0AGgAYQBuAGUAIABwAHIAbwBkAHUAYwB0AGkAbwBuACAAKABrAGcAIABDAEgANAAvAGgAZQBhAGQALwBkAGEAeQApAFwAbgBOAF8AagAgAD0AIABuAHUAbQBiAGUAcgBzACAAbwBmACAAZgBlAGUAZABsAG8AdAAgAGMAYQB0AHQAbABlACAAaQBuACAAZQBhAGMAaAAgAGMAYQB0AHQAbABlACAAbABvAHQAIAAoAGgAZQBhAGQAKQBcAG4ALQAtAC0ALQAtAC0ALQAtAC0ALQAtAC0ALQAtAC0ALQAtAC0ALQAtAC0ALQAtAC0ALQAtAC0ALQAtAC0ALQAtAC0ALQAtAC0ALQAtAFwAbgAqAC8AXABuAFwAbgBWAEUARQBSAEcAXwAzAF8AMQBfADEAXwAxAF8AXwAxAF8AVABvAHQAYQBsAEEAbgBuAHUAYQBsAE0AZQB0AGgAYQBuAGUARgByAG8AbQBFAG4AdABlAHIAaQBjAEYAZQByAG0AZQBuAHQAYQB0AGkAbwBuAFwAbgAgACAAPQBMAEEATQBCAEQAQQAoAFwAbgAgACAAIAAgAEQAXwBqACwAIABNAF8AagAsACAATgBfAGoALABcAG4AIAAgACAAIAAoAEQAXwBqACAAKgAgAE0AXwBqACAAKgAgAE4AXwBqACkAIAAqACAAMQAwACAAXgAgAC0AMwBcAG4AIAAgACkAOwBcAG4AXABuAFYARQBFAFIARwBfADMAXwAxAF8AMQBfADEAXwBfADEAXwBUAG8AdABhAGwAQQBuAG4AdQBhAGwATQBlAHQAaABhAG4AZQBGAHIAbwBtAEUAbgB0AGUAcgBpAGMARgBlAHIAbQBlAG4AdABhAHQAaQBvAG4AXwBUAGkAdABsAGUAXABuACAAIAA9AEwAQQBNAEIARABBACgAXAAiAFQAbwB0AGEAbAAgAGEAbgBuAHUAYQBsACAAbQBlAHQAaABhAG4AZQAgAHAAcgBvAGQAdQBjAHQAaQBvAG4AIABmAHIAbwBtACAAZQBuAHQAZQByAGkAYwAgAGYAZQByAG0AZQBuAHQAYQB0AGkAbwBuACAAaQBuACAAZgBlAGUAZABsAG8AdAAgAGIAZQBlAGYAIABjAGEAdAB0AGwAZQBcACIAKQA7AFwAbgBcAG4AVgBFAEUAUgBHAF8AMwBfADEAXwAxAF8AMQBfAF8AMQBfAFQAbwB0AGEAbABBAG4AbgB1AGEAbABNAGUAdABoAGEAbgBlAEYAcgBvAG0ARQBuAHQAZQByAGkAYwBGAGUAcgBtAGUAbgB0AGEAdABpAG8AbgBfAFYAYQByAGkAYQBiAGwAZQBcAG4AIAAgAD0ATABBAE0AQgBEAEEAKABcACIARQBfAGUAbgB0AGUAcgBpAGMAXAAiACkAOwBcAG4AXABuAFYARQBFAFIARwBfADMAXwAxAF8AMQBfADEAXwBfADEAXwBUAG8AdABhAGwAQQBuAG4AdQBhAGwATQBlAHQAaABhAG4AZQBGAHIAbwBtAEUAbgB0AGUAcgBpAGMARgBlAHIAbQBlAG4AdABhAHQAaQBvAG4AXwBVAG4AaQB0AFwAbgAgACAAPQBMAEEATQBCAEQAQQAoAFwAIgB0ACAAQwBIADQAXAAiACkAOwBcAG4AXABuAFYARQBFAFIARwBfADMAXwAxAF8AMQBfADEAXwBfADEAXwBUAG8AdABhAGwAQQBuAG4AdQBhAGwATQBlAHQAaABhAG4AZQBGAHIAbwBtAEUAbgB0AGUAcgBpAGMARgBlAHIAbQBlAG4AdABhAHQAaQBvAG4AXwBTAG8AdQByAGMAZQBcAG4AIAAgAD0ATABBAE0AQgBEAEEAKABcACIAVgBFAEUAUgBHACAAMgAwADIANgA6ACAAMwAuADEALgAxAC4AMQAsACAARQBxAHUAYQB0AGkAbwBuACAAKAAxACkAXAAiACkAOwBcAG4AXABuAFYARQBFAFIARwBfADMAXwAxAF8AMQBfADEAXwBfADEAXwBUAG8AdABhAGwAQQBuAG4AdQBhAGwATQBlAHQAaABhAG4AZQBGAHIAbwBtAEUAbgB0AGUAcgBpAGMARgBlAHIAbQBlAG4AdABhAHQAaQBvAG4AXwBOAEkAUgBSAGUAZgBlAHIAZQBuAGMAZQBcAG4AIAAgAD0ATABBAE0AQgBEAEEAKABcACIAXAAiACkAOwBcAG4AXABuAFYARQBFAFIARwBfADMAXwAxAF8AMQBfADEAXwBfADEAXwBUAG8AdABhAGwAQQBuAG4AdQBhAGwATQBlAHQAaABhAG4AZQBGAHIAbwBtAEUAbgB0AGUAcgBpAGMARgBlAHIAbQBlAG4AdABhAHQAaQBvAG4AXwBMAGEAdABlAHgARQBxAHUAYQB0AGkAbwBuAFwAbgAgACAAPQBMAEEATQBCAEQAQQAoAFwAIgBFAF8AewBlAG4AdABlAHIAaQBjAH0APQBcAFwAcwB1AG0AXABcAG4AbwBsAGkAbQBpAHQAcwBfAGoAKABEAF8AagBcAFwAdABpAG0AZQBzACAATQBfAGoAXABcAHQAaQBtAGUAcwAgAE4AXwBqACkAXABcAHQAaQBtAGUAcwAgADEAMABeAHsALQAzAH0AXAAiACkAOwBcAG4AXABuAFYARQBFAFIARwBfADMAXwAxAF8AMQBfADEAXwBfADEAXwBUAG8AdABhAGwAQQBuAG4AdQBhAGwATQBlAHQAaABhAG4AZQBGAHIAbwBtAEUAbgB0AGUAcgBpAGMARgBlAHIAbQBlAG4AdABhAHQAaQBvAG4AXwBBAHIAZwB1AG0AZQBuAHQAcwBcAG4AIAAgAD0ATABBAE0AQgBEAEEAKABcAG4AIAAgACAAIABNAEEASwBFAEEAUgBSAEEAWQAoADMALAAgADQALABcAG4AIAAgACAAIAAgACAATABBAE0AQgBEAEEAKAByACwAYwAsAFwAbgAgACAAIAAgACAAIAAgACAASQBOAEQARQBYACgAewBcAG4AIAAgACAAIAAgACAAIAAgACAAIABcACIARABfAGoAXAAiACwAIABcACIAZAB1AHIAYQB0AGkAbwBuACAAbwBmACAAcwB0AGEAeQAgAG8AZgAgAGUAYQBjAGgAIABjAGEAdAB0AGwAZQAgAGwAbwB0AFwAIgAsACAAXAAiAGQAYQB5AHMAXAAiACwAIABcACIASQBuAHAAdQB0AFwAIgA7AFwAbgAgACAAIAAgACAAIAAgACAAIAAgAFwAIgBNAF8AagBcACIALAAgAFwAIgBkAGEAaQBsAHkAIABtAGUAdABoAGEAbgBlACAAcAByAG8AZAB1AGMAdABpAG8AbgBcACIALAAgAFwAIgBrAGcAIABDAEgANAAvAGgAZQBhAGQALwBkAGEAeQBcACIALAAgAFwAIgBDAGEAbABjAHUAbABhAHQAZQBkACAAZgByAG8AbQAgADMALgAxAC4AMQAuADEALAAgACgAMgApAFwAIgA7AFwAbgAgACAAIAAgACAAIAAgACAAIAAgAFwAIgBOAF8AagBcACIALAAgAFwAIgBuAHUAbQBiAGUAcgBzACAAbwBmACAAZgBlAGUAZABsAG8AdAAgAGMAYQB0AHQAbABlACAAaQBuACAAZQBhAGMAaAAgAGMAYQB0AHQAbABlACAAbABvAHQAXAAiACwAIABcACIAaABlAGEAZA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wBfADEAXwAxAF8AMQBfAF8AMgBfAEQAYQBpAGwAeQBFAG4AdABlAHIAaQBjAE0AZQB0AGgAYQBuAGUAUAByAG8AZAB1AGMAdABpAG8AbgBcAG4ARABhAGkAbAB5ACAAcAByAG8AZAB1AGMAdABpAG8AbgAgAG8AZgAgAGUAbgB0AGUAcgBpAGMAIABtAGUAdABoAGEAbgBlAFwAbgBNAF8AagBcAG4AawBnACAAQwBIADQALwBoAGUAYQBkAC8AZABhAHkAXABuAE0AXwBqAD0AKAA1AC4AMQAxAFwAXAB0AGkAbQBlAHMAIABJAF8AagAtADQALgAwADAAXABcAHQAaQBtAGUAcwAgAEUARQBfAGoAKwAyAC4AMgA2AFwAXAB0AGkAbQBlAHMAIABOAEQARgBfAGoAKQBcAFwAdABpAG0AZQBzACAAMQAwAF4AewAtADMAfQBcAG4ASQBfAGoAIAA9ACAAZAByAHkAIABtAGEAdAB0AGUAcgAgAGkAbgB0AGEAawBlACAAKABrAGcAIABEAE0ALwBoAGUAYQBkAC8AZABhAHkAKQBcAG4ARQBFAF8AagAgAD0AIABlAHQAaABlAHIAIABlAHgAdAByAGEAYwB0ACAAYQBzACAAYQAgAHAAZQByAGMAZQBuAHQAYQBnAGUAIABvAGYAIABJAF8AagAgACgAcABlAHIAIABjAGUAbgB0ACkAXABuAE4ARABGAF8AagAgAD0AIABuAGUAdQB0AHIAYQBsACAAZABlAHQAZQByAGcAZQBuAHQAIABmAGkAYgByAGUAIABhAHMAIABhACAAcABlAHIAYwBlAG4AdABhAGcAZQAgAG8AZgAgAEkAXwBqACAAKABwAGUAcgAgAGMAZQBuAHQAKQBcAG4ALQAtAC0ALQAtAC0ALQAtAC0ALQAtAC0ALQAtAC0ALQAtAC0ALQAtAC0ALQAtAC0ALQAtAC0ALQAtAC0ALQAtAC0ALQAtAC0ALQAtAFwAbgAqAC8AXABuAFwAbgBWAEUARQBSAEcAXwAzAF8AMQBfADEAXwAxAF8AXwAyAF8ARABhAGkAbAB5AEUAbgB0AGUAcgBpAGMATQBlAHQAaABhAG4AZQBQAHIAbwBkAHUAYwB0AGkAbwBuAFwAbgAgACAAPQBMAEEATQBCAEQAQQAoAFwAbgAgACAAIAAgAEkAXwBqACwAIABFAEUAXwBqACwAIABOAEQARgBfAGoALABcAG4AIAAgACAAIAAoADUALgAxADEAIAAqACAASQBfAGoAIAAtACAANAAuADAAMAAgACoAIABFAEUAXwBqACAAKwAgADIALgAyADYAIAAqACAATgBEAEYAXwBqACkAIAAqACAAMQAwACAAXgAgAC0AMwBcAG4AIAAgACkAOwBcAG4AXABuAFYARQBFAFIARwBfADMAXwAxAF8AMQBfADEAXwBfADIAXwBEAGEAaQBsAHkARQBuAHQAZQByAGkAYwBNAGUAdABoAGEAbgBlAFAAcgBvAGQAdQBjAHQAaQBvAG4AXwBUAGkAdABsAGUAXABuACAAIAA9AEwAQQBNAEIARABBACgAXAAiAEQAYQBpAGwAeQAgAHAAcgBvAGQAdQBjAHQAaQBvAG4AIABvAGYAIABlAG4AdABlAHIAaQBjACAAbQBlAHQAaABhAG4AZQBcACIAKQA7AFwAbgBcAG4AVgBFAEUAUgBHAF8AMwBfADEAXwAxAF8AMQBfAF8AMgBfAEQAYQBpAGwAeQBFAG4AdABlAHIAaQBjAE0AZQB0AGgAYQBuAGUAUAByAG8AZAB1AGMAdABpAG8AbgBfAFYAYQByAGkAYQBiAGwAZQBcAG4AIAAgAD0ATABBAE0AQgBEAEEAKABcACIATQBfAGoAXAAiACkAOwBcAG4AXABuAFYARQBFAFIARwBfADMAXwAxAF8AMQBfADEAXwBfADIAXwBEAGEAaQBsAHkARQBuAHQAZQByAGkAYwBNAGUAdABoAGEAbgBlAFAAcgBvAGQAdQBjAHQAaQBvAG4AXwBVAG4AaQB0AFwAbgAgACAAPQBMAEEATQBCAEQAQQAoAFwAIgBrAGcAIABDAEgANAAvAGgAZQBhAGQALwBkAGEAeQBcACIAKQA7AFwAbgBcAG4AVgBFAEUAUgBHAF8AMwBfADEAXwAxAF8AMQBfAF8AMgBfAEQAYQBpAGwAeQBFAG4AdABlAHIAaQBjAE0AZQB0AGgAYQBuAGUAUAByAG8AZAB1AGMAdABpAG8AbgBfAFMAbwB1AHIAYwBlAFwAbgAgACAAPQBMAEEATQBCAEQAQQAoAFwAIgBWAEUARQBSAEcAIAAyADAAMgA2ADoAIAAzAC4AMQAuADEALgAxACwAIABFAHEAdQBhAHQAaQBvAG4AIAAoADIAKQBcACIAKQA7AFwAbgBcAG4AVgBFAEUAUgBHAF8AMwBfADEAXwAxAF8AMQBfAF8AMgBfAEQAYQBpAGwAeQBFAG4AdABlAHIAaQBjAE0AZQB0AGgAYQBuAGUAUAByAG8AZAB1AGMAdABpAG8AbgBfAE4ASQBSAFIAZQBmAGUAcgBlAG4AYwBlAFwAbgAgACAAPQBMAEEATQBCAEQAQQAoAFwAIgBBAGwAbQBlAGkAZABhACAAZQB0ACAAYQBsAC4AIAAoADIAMAAyADUAKQBcACIAKQA7AFwAbgBcAG4AVgBFAEUAUgBHAF8AMwBfADEAXwAxAF8AMQBfAF8AMgBfAEQAYQBpAGwAeQBFAG4AdABlAHIAaQBjAE0AZQB0AGgAYQBuAGUAUAByAG8AZAB1AGMAdABpAG8AbgBfAEwAYQB0AGUAeABFAHEAdQBhAHQAaQBvAG4AXABuACAAIAA9AEwAQQBNAEIARABBACgAXAAiAE0AXwBqAD0AKAA1AC4AMQAxAFwAXAB0AGkAbQBlAHMAIABJAF8AagAtADQALgAwADAAXABcAHQAaQBtAGUAcwAgAEUARQBfAGoAKwAyAC4AMgA2AFwAXAB0AGkAbQBlAHMAIABOAEQARgBfAGoAKQBcAFwAdABpAG0AZQBzACAAMQAwAF4AewAtADMAfQBcACIAKQA7AFwAbgBcAG4AVgBFAEUAUgBHAF8AMwBfADEAXwAxAF8AMQBfAF8AMgBfAEQAYQBpAGwAeQBFAG4AdABlAHIAaQBjAE0AZQB0AGgAYQBuAGUAUAByAG8AZAB1AGMAdABpAG8AbgBfAEEAcgBnAHUAbQBlAG4AdABzAFwAbgAgACAAPQBMAEEATQBCAEQAQQAoAFwAbgAgACAAIAAgAE0AQQBLAEUAQQBSAFIAQQBZACgAMwAsACAANAAsAFwAbgAgACAAIAAgACAAIABMAEEATQBCAEQAQQAoAHIALABjACwAXABuACAAIAAgACAAIAAgACAAIABJAE4ARABFAFgAKAB7AFwAbgAgACAAIAAgACAAIAAgACAAIAAgAFwAIgBJAF8AagBcACIALAAgAFwAIgBkAHIAeQAgAG0AYQB0AHQAZQByACAAaQBuAHQAYQBrAGUAXAAiACwAIABcACIAawBnACAARABNAC8AaABlAGEAZAAvAGQAYQB5AFwAIgAsACAAXAAiAEkAbgBwAHUAdABcACIAOwBcAG4AIAAgACAAIAAgACAAIAAgACAAIABcACIARQBFAF8AagBcACIALAAgAFwAIgBlAHQAaABlAHIAIABlAHgAdAByAGEAYwB0ACAAYQBzACAAYQAgAHAAZQByAGMAZQBuAHQAYQBnAGUAIABvAGYAIABJAF8AagBcACIALAAgAFwAIgBwAGUAcgAgAGMAZQBuAHQAXAAiACwAIABcACIASQBuAHAAdQB0AFwAIgA7AFwAbgAgACAAIAAgACAAIAAgACAAIAAgAFwAIgBOAEQARgBfAGoAXAAiACwAIABcACIAbgBlAHUAdAByAGEAbAAgAGQAZQB0AGUAcgBnAGUAbgB0ACAAZgBpAGIAcgBlACAAYQBzACAAYQAgAHAAZQByAGMAZQBuAHQAYQBnAGUAIABvAGYAIABJAF8AagBcACIALAAgAFwAIgBwAGUAcgAgAGMAZQBuAHQAXAAiACwAIABcACIASQBuAHAAdQB0AFwAIgBcAG4AIAAgACAAIAAgACAAIAAgAH0ALAAgAHIALAAgAGMAKQBcAG4AIAAgACAAIAAgACAAKQBcAG4AIAAgACAAIAApAFwAbgAgACAAKQA7AFwAbgAiAH0AXQAsACIAcAByAG8AagBlAGMAdABOAGEAbQBlAHMAIgA6AFs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EUAcQB1AGEAdABpAG8AbgBzAC4AQwBvAG0AbQBvAG4AXwBDAG8AbgB2AGUAcgB0AE4AMgBPAFQAbwBDAE8AMgBlACIALAAiAEMAbwBtAG0AbwBuAF8ARQBxAHUAYQB0AGkAbwBuAHMALgBDAG8AbQBtAG8AbgBfAEMAbwBuAHYAZQByAHQATgAyAE8AVABvAEMATwAyAGUAXwBUAGkAdABsAGUAIgAsACIAQwBvAG0AbQBvAG4AXwBFAHEAdQBhAHQAaQBvAG4AcwAuAEMAbwBtAG0AbwBuAF8AQwBvAG4AdgBlAHIAdABOADIATwBUAG8AQwBPADIAZQBfAFYAYQByAGkAYQBiAGwAZQAiACwAIgBDAG8AbQBtAG8AbgBfAEUAcQB1AGEAdABpAG8AbgBzAC4AQwBvAG0AbQBvAG4AXwBDAG8AbgB2AGUAcgB0AE4AMgBPAFQAbwBDAE8AMgBlAF8AVQBuAGkAdAAiACwAIgBDAG8AbQBtAG8AbgBfAEUAcQB1AGEAdABpAG8AbgBzAC4AQwBvAG0AbQBvAG4AXwBDAG8AbgB2AGUAcgB0AE4AMgBPAFQAbwBDAE8AMgBlAF8ATgBJAFIAUgBlAGYAZQByAGUAbgBjAGUAIgAsACIAQwBvAG0AbQBvAG4AXwBFAHEAdQBhAHQAaQBvAG4AcwAuAEMAbwBtAG0AbwBuAF8AQwBvAG4AdgBlAHIAdABOADIATwBUAG8AQwBPADIAZQBfAEwAYQB0AGUAeABFAHEAdQBhAHQAaQBvAG4AIgAsACIAQwBvAG0AbQBvAG4AXwBFAHEAdQBhAHQAaQBvAG4AcwAuAEMAbwBtAG0AbwBuAF8AQwBvAG4AdgBlAHIAdABOADIATwBUAG8AQwBPADIAZQBfAEEAcgBnAHUAbQBlAG4AdABzACIALAAiAEMAbwBtAG0AbwBuAF8ARQBxAHUAYQB0AGkAbwBuAHMALgBDAG8AbQBtAG8AbgBfAEMAbwBuAHYAZQByAHQAQwBIADQAVABvAEMATwAyAGUAIgAsACIAQwBvAG0AbQBvAG4AXwBFAHEAdQBhAHQAaQBvAG4AcwAuAEMAbwBtAG0AbwBuAF8AQwBvAG4AdgBlAHIAdABDAEgANABUAG8AQwBPADIAZQBfAFQAaQB0AGwAZQAiACwAIgBDAG8AbQBtAG8AbgBfAEUAcQB1AGEAdABpAG8AbgBzAC4AQwBvAG0AbQBvAG4AXwBDAG8AbgB2AGUAcgB0AEMASAA0AFQAbwBDAE8AMgBlAF8AVgBhAHIAaQBhAGIAbABlACIALAAiAEMAbwBtAG0AbwBuAF8ARQBxAHUAYQB0AGkAbwBuAHMALgBDAG8AbQBtAG8AbgBfAEMAbwBuAHYAZQByAHQAQwBIADQAVABvAEMATwAyAGUAXwBVAG4AaQB0ACIALAAiAEMAbwBtAG0AbwBuAF8ARQBxAHUAYQB0AGkAbwBuAHMALgBDAG8AbQBtAG8AbgBfAEMAbwBuAHYAZQByAHQAQwBIADQAVABvAEMATwAyAGUAXwBOAEkAUgBSAGUAZgBlAHIAZQBuAGMAZQAiACwAIgBDAG8AbQBtAG8AbgBfAEUAcQB1AGEAdABpAG8AbgBzAC4AQwBvAG0AbQBvAG4AXwBDAG8AbgB2AGUAcgB0AEMASAA0AFQAbwBDAE8AMgBlAF8ATABhAHQAZQB4AEUAcQB1AGEAdABpAG8AbgAiACwAIgBDAG8AbQBtAG8AbgBfAEUAcQB1AGEAdABpAG8AbgBzAC4AQwBvAG0AbQBvAG4AXwBDAG8AbgB2AGUAcgB0AEMASAA0AFQAbwBDAE8AMgBlAF8AQQByAGcAdQBtAGUAbgB0AHMAIgAsACIAQwBvAG0AbQBvAG4ATABpAHYAZQBzAHQAbwBjAGsAXwBTAG8AdQByAGMAZQBEAGEAdABhAC4AUwBvAHUAcgBjAGUARABhAHQAYQBfAEwAaQB2AGUAcwB0AG8AYwBrAF8AQwBvAG0AbQBvAG4AXwBGAHIAYQBjAFcARQBUAE0ATQBTAF8AVABpAHQAbABlACIALAAiAEMAbwBtAG0AbwBuAEwAaQB2AGUAcwB0AG8AYwBrAF8AUwBvAHUAcgBjAGUARABhAHQAYQAuAFMAbwB1AHIAYwBlAEQAYQB0AGEAXwBMAGkAdgBlAHMAdABvAGMAawBfAEMAbwBtAG0AbwBuAF8ARgByAGEAYwBXAEUAVABNAE0AUwBfAFUAbgBpAHQAIgAsACIAQwBvAG0AbQBvAG4ATABpAHYAZQBzAHQAbwBjAGsAXwBTAG8AdQByAGMAZQBEAGEAdABhAC4AUwBvAHUAcgBjAGUARABhAHQAYQBfAEwAaQB2AGUAcwB0AG8AYwBrAF8AQwBvAG0AbQBvAG4AXwBGAHIAYQBjAFcARQBUAE0ATQBTAF8AUwBvAHUAcgBjAGUAIgAsACIAQwBvAG0AbQBvAG4ATABpAHYAZQBzAHQAbwBjAGsAXwBTAG8AdQByAGMAZQBEAGEAdABhAC4AUwBvAHUAcgBjAGUARABhAHQAYQBfAEwAaQB2AGUAcwB0AG8AYwBrAF8AQwBvAG0AbQBvAG4AXwBGAHIAYQBjAFcARQBUAE0ATQBTAF8ARABhAHQAYQAiACwAIgBDAG8AbQBtAG8AbgBMAGkAdgBlAHMAdABvAGMAawBfAFMAbwB1AHIAYwBlAEQAYQB0AGEALgBTAG8AdQByAGMAZQBEAGEAdABhAF8ATABpAHYAZQBzAHQAbwBjAGsAXwBDAG8AbQBtAG8AbgBfAEYAcgBhAGMATABFAEEAQwBIAF8ATQBTAF8AVABpAHQAbABlACIALAAiAEMAbwBtAG0AbwBuAEwAaQB2AGUAcwB0AG8AYwBrAF8AUwBvAHUAcgBjAGUARABhAHQAYQAuAFMAbwB1AHIAYwBlAEQAYQB0AGEAXwBMAGkAdgBlAHMAdABvAGMAawBfAEMAbwBtAG0AbwBuAF8ARgByAGEAYwBMAEUAQQBDAEgAXwBNAFMAXwBVAG4AaQB0ACIALAAiAEMAbwBtAG0AbwBuAEwAaQB2AGUAcwB0AG8AYwBrAF8AUwBvAHUAcgBjAGUARABhAHQAYQAuAFMAbwB1AHIAYwBlAEQAYQB0AGEAXwBMAGkAdgBlAHMAdABvAGMAawBfAEMAbwBtAG0AbwBuAF8ARgByAGEAYwBMAEUAQQBDAEgAXwBNAFMAXwBTAG8AdQByAGMAZQAiACwAIgBDAG8AbQBtAG8AbgBMAGkAdgBlAHMAdABvAGMAawBfAFMAbwB1AHIAYwBlAEQAYQB0AGEALgBTAG8AdQByAGMAZQBEAGEAdABhAF8ATABpAHYAZQBzAHQAbwBjAGsAXwBDAG8AbQBtAG8AbgBfAEYAcgBhAGMATABFAEEAQwBIAF8ATQBTAF8ARABhAHQAYQAiACwAIgBDAG8AbQBtAG8AbgBMAGkAdgBlAHMAdABvAGMAawBfAFMAbwB1AHIAYwBlAEQAYQB0AGEALgBTAG8AdQByAGMAZQBEAGEAdABhAF8ATABpAHYAZQBzAHQAbwBjAGsAXwBDAG8AbQBtAG8AbgBfAFMAeQBtAGIAbwBsAHMATQBNAFMAXwBUAGkAdABsAGUAIgAsACIAQwBvAG0AbQBvAG4ATABpAHYAZQBzAHQAbwBjAGsAXwBTAG8AdQByAGMAZQBEAGEAdABhAC4AUwBvAHUAcgBjAGUARABhAHQAYQBfAEwAaQB2AGUAcwB0AG8AYwBrAF8AQwBvAG0AbQBvAG4AXwBTAHkAbQBiAG8AbABzAE0ATQBTAF8AVgBhAGkAcgBhAGIAbABlACIALAAiAEMAbwBtAG0AbwBuAEwAaQB2AGUAcwB0AG8AYwBrAF8AUwBvAHUAcgBjAGUARABhAHQAYQAuAFMAbwB1AHIAYwBlAEQAYQB0AGEAXwBMAGkAdgBlAHMAdABvAGMAawBfAEMAbwBtAG0AbwBuAF8AUwB5AG0AYgBvAGwAcwBNAE0AUwBfAFUAbgBpAHQAIgAsACIAQwBvAG0AbQBvAG4ATABpAHYAZQBzAHQAbwBjAGsAXwBTAG8AdQByAGMAZQBEAGEAdABhAC4AUwBvAHUAcgBjAGUARABhAHQAYQBfAEwAaQB2AGUAcwB0AG8AYwBrAF8AQwBvAG0AbQBvAG4AXwBTAHkAbQBiAG8AbABzAE0ATQBTAF8AUwBvAHUAcgBjAGUAIgAsACIAQwBvAG0AbQBvAG4ATABpAHYAZQBzAHQAbwBjAGsAXwBTAG8AdQByAGMAZQBEAGEAdABhAC4AUwBvAHUAcgBjAGUARABhAHQAYQBfAEwAaQB2AGUAcwB0AG8AYwBrAF8AQwBvAG0AbQBvAG4AXwBTAHkAbQBiAG8AbABzAE0ATQBTAF8ARABhAHQAYQAiACwAIgBDAG8AbQBtAG8AbgBfAEkAbgBwAHUAdABGAHUAbgBjAHQAaQBvAG4AcwAuAFUAdABpAGwAaQB0AHkAXwBHAGUAdABBAHIAcgBhAHkAVABhAGIAbABlAFIAbwB3AFMAdABhAHIAdABOAHUAbQBiAGUAcgAiACwAIgBDAG8AbQBtAG8AbgBfAEkAbgBwAHUAdABGAHUAbgBjAHQAaQBvAG4AcwAuAFUAdABpAGwAaQB0AHkAXwBHAGUAdABBAHIAcgBhAHkAVABhAGIAbABlAEMAbwBsAHUAbQBuAFMAdABhAHIAdABOAHUAbQBiAGUAcgAiACwAIgBDAG8AbQBtAG8AbgBfAEkAbgBwAHUAdABGAHUAbgBjAHQAaQBvAG4AcwAuAFUAdABpAGwAaQB0AHkAXwBEAGkAcwBwAGwAYQB5AEEAcgByAGEAeQBJAG4AVABhAGIAbABlACIALAAiAEMAbwBtAG0AbwBuAF8ASQBuAHAAdQB0AEYAdQBuAGMAdABpAG8AbgBzAC4AVQB0AGkAbABpAHQAeQBfAEwAbwBvAGsAdQBwAFYAYQBsAHUAZQBJAG4AVABhAGIAbABlACIALAAiAEMAbwBtAG0AbwBuAF8ASQBuAHAAdQB0AEYAdQBuAGMAdABpAG8AbgBzAC4AVQB0AGkAbABpAHQAeQBfAEwAbwBvAGsAdQBwAFYAYQBsAHUAZQBJAG4AVABhAGIAbABlAE4AdQBtAGIAZQByACIALAAiAEMAbwBtAG0AbwBuAF8ASQBuAHAAdQB0AEYAdQBuAGMAdABpAG8AbgBzAC4AVQB0AGkAbABpAHQAeQBfAEwAbwBvAGsAdQBwAFYAYQBsAHUAZQBJAG4AVABhAGIAbABlAFQAdwBvAEMAbwBsAHUAbQBuAHMAIgAsACIAQwBvAG0AbQBvAG4AXwBJAG4AcAB1AHQARgB1AG4AYwB0AGkAbwBuAHMALgBVAHQAaQBsAGkAdAB5AF8ATABvAG8AawB1AHAAVgBhAGwAdQBlAEkAbgBUAGEAYgBsAGUATwBuAGUAQwBvAGwAdQBtAG4AQQBuAGQASABlAGEAZABlAHIAIgAsACIAQwBvAG0AbQBvAG4AXwBJAG4AcAB1AHQARgB1AG4AYwB0AGkAbwBuAHMALgBVAHQAaQBsAGkAdAB5AF8AUwBwAGwAaQB0AFMAdAByAGkAbgBnAEkAbgB0AG8AQQByAHIAYQB5ACIALAAiAEMAbwBtAG0AbwBuAF8ASQBuAHAAdQB0AEYAdQBuAGMAdABpAG8AbgBzAC4AVQB0AGkAbABpAHQAeQBfAEcAZQB0AEMAbABpAG0AYQB0AGUAWgBvAG4AZQAiACwAIgBDAG8AbQBtAG8AbgBfAEkAbgBwAHUAdABGAHUAbgBjAHQAaQBvAG4AcwAuAFUAdABpAGwAaQB0AHkAXwBMAG8AbwBrAHUAcABJAHQAZQBtAEYAcgBvAG0ATQBpAG4ATQBhAHgAIgAsACIAQwBvAG0AbQBvAG4AXwBJAG4AcAB1AHQARgB1AG4AYwB0AGkAbwBuAHMALgBVAHQAaQBsAGkAdAB5AF8AUwB1AG0AUQB1AGEAbgB0AGkAdAB5AEYAcgBvAG0AQwByAGkAdABlAHIAaQBhACIALAAiAEMAbwBtAG0AbwBuAF8ASQBuAHAAdQB0AEYAdQBuAGMAdABpAG8AbgBzAC4AZwBlAHQATwB2AGUAcgBsAGEAcABwAGkAbgBnAFIAZQBwAG8AcgB0AGkAbgBnAEMAeQBjAGwAZQBzACIALAAiAEMAbwBtAG0AbwBuAF8ASQBuAHAAdQB0AEYAdQBuAGMAdABpAG8AbgBzAC4AZwBlAHQATwB2AGUAcgBsAGEAcABwAGkAbgBnAFIAZQBwAG8AcgB0AGkAbgBnAFAAZQByAGkAbwBkAHMAIgAsACIAQwBvAG0AbQBvAG4AXwBJAG4AcAB1AHQARgB1AG4AYwB0AGkAbwBuAHMALgBVAHQAaQBsAGkAdAB5AF8ARABpAHMAcABsAGEAeQBGAHUAbgBjAHQAaQBvAG4ATgBhAG0AZQAiACwAIgBDAG8AbQBtAG8AbgBfAEkAbgBwAHUAdABGAHUAbgBjAHQAaQBvAG4AcwAuAFUAdABpAGwAaQB0AHkAXwBMAG8AbwBrAHUAcABOADIATwBFAEYARgByAG8AbQBQAHIAbwBkAEkAcgByAGkAZwBhAHQAaQBvAG4AUgBhAGkAbgBmAGEAbABsACIALAAiAEMAbwBtAG0AbwBuAF8ASQBuAHAAdQB0AEYAdQBuAGMAdABpAG8AbgBzAC4AQwBvAG0AbQBvAG4AQwByAG8AcABwAGkAbgBnAF8ARwBlAHQARgByAGEAYwBXAEUAVAAiACwAIgBDAG8AbQBtAG8AbgBfAEkAbgBwAHUAdABGAHUAbgBjAHQAaQBvAG4AcwAuAFUAdABpAGwAaQB0AHkAXwBDAG8AbgB2AGUAcgB0AFMAdABhAHQAZQBDAG8AbQBtAG8AbgBOAGEAbQBlAFQAbwBBAGIAYgByAGUAdgBpAGEAdABpAG8AbgAiACwAIgBDAG8AbQBtAG8AbgBfAEkAbgBwAHUAdABGAHUAbgBjAHQAaQBvAG4AcwAuAFUAdABpAGwAaQB0AHkAXwBTAG8AdQByAGMAZQBIAHkAcABlAHIAbABpAG4AawAiACwAIgBDAG8AbQBtAG8AbgBfAEkAbgBwAHUAdABGAHUAbgBjAHQAaQBvAG4AcwAuAFUAdABpAGwAaQB0AHkAXwBEAGkAcwBwAGwAYQB5AEEAcgBnAHUAbQBlAG4AdABzAF8AMQBfADIAIgAsACIAQwBvAG0AbQBvAG4AXwBJAG4AcAB1AHQARgB1AG4AYwB0AGkAbwBuAHMALgBVAHQAaQBsAGkAdAB5AF8ARABpAHMAcABsAGEAeQBBAHIAZwB1AG0AZQBuAHQAcwBfADMAXwA0ACIALAAiAEMAbwBtAG0AbwBuAF8ASQBuAHAAdQB0AEYAdQBuAGMAdABpAG8AbgBzAC4AQwBvAG0AbQBvAG4AXwBHAGUAdABNAEMARgBUAGUAbQBwAGUAcgBhAHQAdQByAGUAWgBvAG4AZQAiACwAIgBTAG8AdQByAGMAZQBEAGEAdABhAF8ARgBlAGUAZABsAG8AdAAuAFMAbwB1AHIAYwBlAEQAYQB0AGEAXwBGAGUAZQBkAGwAbwB0AF8AVgBTAEwAXwBUAGkAdABsAGUAIgAsACIAUwBvAHUAcgBjAGUARABhAHQAYQBfAEYAZQBlAGQAbABvAHQALgBTAG8AdQByAGMAZQBEAGEAdABhAF8ARgBlAGUAZABsAG8AdABfAFYAUwBMAF8AVgBhAHIAaQBhAGIAbABlACIALAAiAFMAbwB1AHIAYwBlAEQAYQB0AGEAXwBGAGUAZQBkAGwAbwB0AC4AUwBvAHUAcgBjAGUARABhAHQAYQBfAEYAZQBlAGQAbABvAHQAXwBWAFMATABfAFUAbgBpAHQAIgAsACIAUwBvAHUAcgBjAGUARABhAHQAYQBfAEYAZQBlAGQAbABvAHQALgBTAG8AdQByAGMAZQBEAGEAdABhAF8ARgBlAGUAZABsAG8AdABfAFYAUwBMAF8AUwBvAHUAcgBjAGUAIgAsACIAUwBvAHUAcgBjAGUARABhAHQAYQBfAEYAZQBlAGQAbABvAHQALgBTAG8AdQByAGMAZQBEAGEAdABhAF8ARgBlAGUAZABsAG8AdABfAFYAUwBMAF8AVgBhAHIAaQBhAHQAaQBvAG4AIgAsACIAUwBvAHUAcgBjAGUARABhAHQAYQBfAEYAZQBlAGQAbABvAHQALgBTAG8AdQByAGMAZQBEAGEAdABhAF8ARgBlAGUAZABsAG8AdABfAFYAUwBMAF8ARABhAHQAYQAiACwAIgBTAG8AdQByAGMAZQBEAGEAdABhAF8ARgBlAGUAZABsAG8AdAAuAFMAbwB1AHIAYwBlAEQAYQB0AGEAXwBGAGUAZQBkAGwAbwB0AF8ATQBNAFMAbQAxAFQAMwBfAFQAaQB0AGwAZQAiACwAIgBTAG8AdQByAGMAZQBEAGEAdABhAF8ARgBlAGUAZABsAG8AdAAuAFMAbwB1AHIAYwBlAEQAYQB0AGEAXwBGAGUAZQBkAGwAbwB0AF8ATQBNAFMAbQAxAFQAMwBfAFYAYQByAGkAYQBiAGwAZQAiACwAIgBTAG8AdQByAGMAZQBEAGEAdABhAF8ARgBlAGUAZABsAG8AdAAuAFMAbwB1AHIAYwBlAEQAYQB0AGEAXwBGAGUAZQBkAGwAbwB0AF8ATQBNAFMAbQAxAFQAMwBfAFUAbgBpAHQAIgAsACIAUwBvAHUAcgBjAGUARABhAHQAYQBfAEYAZQBlAGQAbABvAHQALgBTAG8AdQByAGMAZQBEAGEAdABhAF8ARgBlAGUAZABsAG8AdABfAE0ATQBTAG0AMQBUADMAXwBTAG8AdQByAGMAZQAiACwAIgBTAG8AdQByAGMAZQBEAGEAdABhAF8ARgBlAGUAZABsAG8AdAAuAFMAbwB1AHIAYwBlAEQAYQB0AGEAXwBGAGUAZQBkAGwAbwB0AF8ATQBNAFMAbQAxAFQAMwBfAFYAYQByAGkAYQB0AGkAbwBuACIALAAiAFMAbwB1AHIAYwBlAEQAYQB0AGEAXwBGAGUAZQBkAGwAbwB0AC4AUwBvAHUAcgBjAGUARABhAHQAYQBfAEYAZQBlAGQAbABvAHQAXwBNAE0AUwBtADEAVAAzAF8ARABhAHQAYQAiACwAIgBTAG8AdQByAGMAZQBEAGEAdABhAF8ARgBlAGUAZABsAG8AdAAuAFMAbwB1AHIAYwBlAEQAYQB0AGEAXwBGAGUAZQBkAGwAbwB0AF8AQQBzAGgAQwBvAG4AdABlAG4AdABfAFQAaQB0AGwAZQAiACwAIgBTAG8AdQByAGMAZQBEAGEAdABhAF8ARgBlAGUAZABsAG8AdAAuAFMAbwB1AHIAYwBlAEQAYQB0AGEAXwBGAGUAZQBkAGwAbwB0AF8AQQBzAGgAQwBvAG4AdABlAG4AdABfAFYAYQByAGkAYQBiAGwAZQAiACwAIgBTAG8AdQByAGMAZQBEAGEAdABhAF8ARgBlAGUAZABsAG8AdAAuAFMAbwB1AHIAYwBlAEQAYQB0AGEAXwBGAGUAZQBkAGwAbwB0AF8AQQBzAGgAQwBvAG4AdABlAG4AdABfAFUAbgBpAHQAIgAsACIAUwBvAHUAcgBjAGUARABhAHQAYQBfAEYAZQBlAGQAbABvAHQALgBTAG8AdQByAGMAZQBEAGEAdABhAF8ARgBlAGUAZABsAG8AdABfAEEAcwBoAEMAbwBuAHQAZQBuAHQAXwBTAG8AdQByAGMAZQAiACwAIgBTAG8AdQByAGMAZQBEAGEAdABhAF8ARgBlAGUAZABsAG8AdAAuAFMAbwB1AHIAYwBlAEQAYQB0AGEAXwBGAGUAZQBkAGwAbwB0AF8AQQBzAGgAQwBvAG4AdABlAG4AdABfAFYAYQByAGkAYQB0AGkAbwBuACIALAAiAFMAbwB1AHIAYwBlAEQAYQB0AGEAXwBGAGUAZQBkAGwAbwB0AC4AUwBvAHUAcgBjAGUARABhAHQAYQBfAEYAZQBlAGQAbABvAHQAXwBBAHMAaABDAG8AbgB0AGUAbgB0AF8ARABhAHQAYQAiACwAIgBTAG8AdQByAGMAZQBEAGEAdABhAF8ARgBlAGUAZABsAG8AdAAuAFMAbwB1AHIAYwBlAEQAYQB0AGEAXwBGAGUAZQBkAGwAbwB0AF8ATQBlAHQAaABhAG4AZQBFAG0AaQBzAHMAaQBvAG4AcwBQAG8AdABlAG4AdABpAGEAbABfAFQAaQB0AGwAZQAiACwAIgBTAG8AdQByAGMAZQBEAGEAdABhAF8ARgBlAGUAZABsAG8AdAAuAFMAbwB1AHIAYwBlAEQAYQB0AGEAXwBGAGUAZQBkAGwAbwB0AF8ATQBlAHQAaABhAG4AZQBFAG0AaQBzAHMAaQBvAG4AcwBQAG8AdABlAG4AdABpAGEAbABfAFYAYQByAGkAYQBiAGwAZQAiACwAIgBTAG8AdQByAGMAZQBEAGEAdABhAF8ARgBlAGUAZABsAG8AdAAuAFMAbwB1AHIAYwBlAEQAYQB0AGEAXwBGAGUAZQBkAGwAbwB0AF8ATQBlAHQAaABhAG4AZQBFAG0AaQBzAHMAaQBvAG4AcwBQAG8AdABlAG4AdABpAGEAbABfAFUAbgBpAHQAIgAsACIAUwBvAHUAcgBjAGUARABhAHQAYQBfAEYAZQBlAGQAbABvAHQALgBTAG8AdQByAGMAZQBEAGEAdABhAF8ARgBlAGUAZABsAG8AdABfAE0AZQB0AGgAYQBuAGUARQBtAGkAcwBzAGkAbwBuAHMAUABvAHQAZQBuAHQAaQBhAGwAXwBTAG8AdQByAGMAZQAiACwAIgBTAG8AdQByAGMAZQBEAGEAdABhAF8ARgBlAGUAZABsAG8AdAAuAFMAbwB1AHIAYwBlAEQAYQB0AGEAXwBGAGUAZQBkAGwAbwB0AF8ATQBlAHQAaABhAG4AZQBFAG0AaQBzAHMAaQBvAG4AcwBQAG8AdABlAG4AdABpAGEAbABfAFYAYQByAGkAYQB0AGkAbwBuACIALAAiAFMAbwB1AHIAYwBlAEQAYQB0AGEAXwBGAGUAZQBkAGwAbwB0AC4AUwBvAHUAcgBjAGUARABhAHQAYQBfAEYAZQBlAGQAbABvAHQAXwBNAGUAdABoAGEAbgBlAEUAbQBpAHMAcwBpAG8AbgBzAFAAbwB0AGUAbgB0AGkAYQBsAF8ARABhAHQAYQAiACwAIgBTAG8AdQByAGMAZQBEAGEAdABhAF8ARgBlAGUAZABsAG8AdAAuAFMAbwB1AHIAYwBlAEQAYQB0AGEAXwBGAGUAZQBkAGwAbwB0AF8AUwB0AGEAZwBlADEATQBNAFMATwBwAHQAaQBvAG4AcwAiACwAIgBTAG8AdQByAGMAZQBEAGEAdABhAF8ARgBlAGUAZABsAG8AdAAuAFMAbwB1AHIAYwBlAEQAYQB0AGEAXwBGAGUAZQBkAGwAbwB0AF8AUwB0AGEAZwBlADIATQBNAFMATwBwAHQAaQBvAG4AcwAiACwAIgBTAG8AdQByAGMAZQBEAGEAdABhAF8ARgBlAGUAZABsAG8AdAAuAFMAbwB1AHIAYwBlAEQAYQB0AGEAXwBGAGUAZQBkAGwAbwB0AF8AUwB0AGEAZwBlADMATQBNAFMATwBwAHQAaQBvAG4AcwAiACwAIgBTAG8AdQByAGMAZQBEAGEAdABhAF8ARgBlAGUAZABsAG8AdAAuAFMAbwB1AHIAYwBlAEQAYQB0AGEAXwBGAGUAZQBkAGwAbwB0AF8ATABpAHYAZQBzAHQAbwBjAGsAQwBsAGEAcwBzAGUAcwAiACwAIgBTAG8AdQByAGMAZQBEAGEAdABhAF8ARgBlAGUAZABsAG8AdAAuAFMAbwB1AHIAYwBlAEQAYQB0AGEAXwBGAGUAZQBkAGwAbwB0AF8ARAB1AHIAYQB0AGkAbwBuAE8AZgBTAHQAYQB5AF8AVABpAHQAbABlACIALAAiAFMAbwB1AHIAYwBlAEQAYQB0AGEAXwBGAGUAZQBkAGwAbwB0AC4AUwBvAHUAcgBjAGUARABhAHQAYQBfAEYAZQBlAGQAbABvAHQAXwBEAHUAcgBhAHQAaQBvAG4ATwBmAFMAdABhAHkAXwBVAG4AaQB0ACIALAAiAFMAbwB1AHIAYwBlAEQAYQB0AGEAXwBGAGUAZQBkAGwAbwB0AC4AUwBvAHUAcgBjAGUARABhAHQAYQBfAEYAZQBlAGQAbABvAHQAXwBEAHUAcgBhAHQAaQBvAG4ATwBmAFMAdABhAHkAXwBTAG8AdQByAGMAZQAiACwAIgBTAG8AdQByAGMAZQBEAGEAdABhAF8ARgBlAGUAZABsAG8AdAAuAFMAbwB1AHIAYwBlAEQAYQB0AGEAXwBGAGUAZQBkAGwAbwB0AF8ARAB1AHIAYQB0AGkAbwBuAE8AZgBTAHQAYQB5AF8AVgBhAHIAaQBhAHQAaQBvAG4AIgAsACIAUwBvAHUAcgBjAGUARABhAHQAYQBfAEYAZQBlAGQAbABvAHQALgBTAG8AdQByAGMAZQBEAGEAdABhAF8ARgBlAGUAZABsAG8AdABfAEQAdQByAGEAdABpAG8AbgBPAGYAUwB0AGEAeQBfAEQAYQB0AGEAIgAsACIAUwBvAHUAcgBjAGUARABhAHQAYQBfAEYAZQBlAGQAbABvAHQALgBTAG8AdQByAGMAZQBEAGEAdABhAF8ARgBlAGUAZABsAG8AdABfAEEAbgBpAG0AYQBsAEMAaABhAHIAYQBjAHQAZQByAGkAcwB0AGkAYwBzAF8AVABpAHQAbABlACIALAAiAFMAbwB1AHIAYwBlAEQAYQB0AGEAXwBGAGUAZQBkAGwAbwB0AC4AUwBvAHUAcgBjAGUARABhAHQAYQBfAEYAZQBlAGQAbABvAHQAXwBBAG4AaQBtAGEAbABDAGgAYQByAGEAYwB0AGUAcgBpAHMAdABpAGMAcwBfAFUAbgBpAHQAIgAsACIAUwBvAHUAcgBjAGUARABhAHQAYQBfAEYAZQBlAGQAbABvAHQALgBTAG8AdQByAGMAZQBEAGEAdABhAF8ARgBlAGUAZABsAG8AdABfAEEAbgBpAG0AYQBsAEMAaABhAHIAYQBjAHQAZQByAGkAcwB0AGkAYwBzAF8AUwBvAHUAcgBjAGUAIgAsACIAUwBvAHUAcgBjAGUARABhAHQAYQBfAEYAZQBlAGQAbABvAHQALgBTAG8AdQByAGMAZQBEAGEAdABhAF8ARgBlAGUAZABsAG8AdABfAEEAbgBpAG0AYQBsAEMAaABhAHIAYQBjAHQAZQByAGkAcwB0AGkAYwBzAF8AVgBhAHIAaQBhAHQAaQBvAG4AIgAsACIAUwBvAHUAcgBjAGUARABhAHQAYQBfAEYAZQBlAGQAbABvAHQALgBTAG8AdQByAGMAZQBEAGEAdABhAF8ARgBlAGUAZABsAG8AdABfAEEAbgBpAG0AYQBsAEMAaABhAHIAYQBjAHQAZQByAGkAcwB0AGkAYwBzAF8ARABhAHQAYQAiACwAIgBTAG8AdQByAGMAZQBEAGEAdABhAF8ARgBlAGUAZABsAG8AdAAuAFMAbwB1AHIAYwBlAEQAYQB0AGEAXwBGAGUAZQBkAGwAbwB0AF8ARABpAGUAdABQAHIAbwBwAGUAcgB0AGkAZQBzAF8AVABpAHQAbABlACIALAAiAFMAbwB1AHIAYwBlAEQAYQB0AGEAXwBGAGUAZQBkAGwAbwB0AC4AUwBvAHUAcgBjAGUARABhAHQAYQBfAEYAZQBlAGQAbABvAHQAXwBEAGkAZQB0AFAAcgBvAHAAZQByAHQAaQBlAHMAXwBVAG4AaQB0ACIALAAiAFMAbwB1AHIAYwBlAEQAYQB0AGEAXwBGAGUAZQBkAGwAbwB0AC4AUwBvAHUAcgBjAGUARABhAHQAYQBfAEYAZQBlAGQAbABvAHQAXwBEAGkAZQB0AFAAcgBvAHAAZQByAHQAaQBlAHMAXwBTAG8AdQByAGMAZQAiACwAIgBTAG8AdQByAGMAZQBEAGEAdABhAF8ARgBlAGUAZABsAG8AdAAuAFMAbwB1AHIAYwBlAEQAYQB0AGEAXwBGAGUAZQBkAGwAbwB0AF8ARABpAGUAdABQAHIAbwBwAGUAcgB0AGkAZQBzAF8AVgBhAHIAaQBhAHQAaQBvAG4AIgAsACIAUwBvAHUAcgBjAGUARABhAHQAYQBfAEYAZQBlAGQAbABvAHQALgBTAG8AdQByAGMAZQBEAGEAdABhAF8ARgBlAGUAZABsAG8AdABfAEQAaQBlAHQAUAByAG8AcABlAHIAdABpAGUAcwBfAEQAYQB0AGEAIgAsACIAUwBvAHUAcgBjAGUARABhAHQAYQBfAEYAZQBlAGQAbABvAHQALgBTAG8AdQByAGMAZQBEAGEAdABhAF8ARgBlAGUAZABsAG8AdABfAE0AQwBGAF8AVABpAHQAbABlACIALAAiAFMAbwB1AHIAYwBlAEQAYQB0AGEAXwBGAGUAZQBkAGwAbwB0AC4AUwBvAHUAcgBjAGUARABhAHQAYQBfAEYAZQBlAGQAbABvAHQAXwBNAEMARgBfAFUAbgBpAHQAIgAsACIAUwBvAHUAcgBjAGUARABhAHQAYQBfAEYAZQBlAGQAbABvAHQALgBTAG8AdQByAGMAZQBEAGEAdABhAF8ARgBlAGUAZABsAG8AdABfAE0AQwBGAF8AUwBvAHUAcgBjAGUAIgAsACIAUwBvAHUAcgBjAGUARABhAHQAYQBfAEYAZQBlAGQAbABvAHQALgBTAG8AdQByAGMAZQBEAGEAdABhAF8ARgBlAGUAZABsAG8AdABfAE0AQwBGAF8AVgBhAHIAaQBhAHQAaQBvAG4AIgAsACIAUwBvAHUAcgBjAGUARABhAHQAYQBfAEYAZQBlAGQAbABvAHQALgBTAG8AdQByAGMAZQBEAGEAdABhAF8ARgBlAGUAZABsAG8AdABfAE0AQwBGAF8ARABhAHQAYQAiACwAIgBTAG8AdQByAGMAZQBEAGEAdABhAF8ARgBlAGUAZABsAG8AdAAuAFMAbwB1AHIAYwBlAEQAYQB0AGEAXwBGAGUAZQBkAGwAbwB0AF8ATgBpAHQAcgBvAHUAcwBPAHgAaQBkAGUARQBGAHMAXwBUAGkAdABsAGUAIgAsACIAUwBvAHUAcgBjAGUARABhAHQAYQBfAEYAZQBlAGQAbABvAHQALgBTAG8AdQByAGMAZQBEAGEAdABhAF8ARgBlAGUAZABsAG8AdABfAE4AaQB0AHIAbwB1AHMATwB4AGkAZABlAEUARgBzAF8AVQBuAGkAdAAiACwAIgBTAG8AdQByAGMAZQBEAGEAdABhAF8ARgBlAGUAZABsAG8AdAAuAFMAbwB1AHIAYwBlAEQAYQB0AGEAXwBGAGUAZQBkAGwAbwB0AF8ATgBpAHQAcgBvAHUAcwBPAHgAaQBkAGUARQBGAHMAXwBTAG8AdQByAGMAZQAiACwAIgBTAG8AdQByAGMAZQBEAGEAdABhAF8ARgBlAGUAZABsAG8AdAAuAFMAbwB1AHIAYwBlAEQAYQB0AGEAXwBGAGUAZQBkAGwAbwB0AF8ATgBpAHQAcgBvAHUAcwBPAHgAaQBkAGUARQBGAHMAXwBWAGEAcgBpAGEAdABpAG8AbgAiACwAIgBTAG8AdQByAGMAZQBEAGEAdABhAF8ARgBlAGUAZABsAG8AdAAuAFMAbwB1AHIAYwBlAEQAYQB0AGEAXwBGAGUAZQBkAGwAbwB0AF8ATgBpAHQAcgBvAHUAcwBPAHgAaQBkAGUARQBGAHMAXwBEAGEAdABhACIALAAiAFMAbwB1AHIAYwBlAEQAYQB0AGEAXwBGAGUAZQBkAGwAbwB0AC4AUwBvAHUAcgBjAGUARABhAHQAYQBfAEYAZQBlAGQAbABvAHQAXwBGAHIAYQBjAE4AVgBvAGwAYQB0AGkAbABpAHMAZQBkAF8AVABpAHQAbABlACIALAAiAFMAbwB1AHIAYwBlAEQAYQB0AGEAXwBGAGUAZQBkAGwAbwB0AC4AUwBvAHUAcgBjAGUARABhAHQAYQBfAEYAZQBlAGQAbABvAHQAXwBGAHIAYQBjAE4AVgBvAGwAYQB0AGkAbABpAHMAZQBkAF8AVQBuAGkAdAAiACwAIgBTAG8AdQByAGMAZQBEAGEAdABhAF8ARgBlAGUAZABsAG8AdAAuAFMAbwB1AHIAYwBlAEQAYQB0AGEAXwBGAGUAZQBkAGwAbwB0AF8ARgByAGEAYwBOAFYAbwBsAGEAdABpAGwAaQBzAGUAZABfAFMAbwB1AHIAYwBlACIALAAiAFMAbwB1AHIAYwBlAEQAYQB0AGEAXwBGAGUAZQBkAGwAbwB0AC4AUwBvAHUAcgBjAGUARABhAHQAYQBfAEYAZQBlAGQAbABvAHQAXwBGAHIAYQBjAE4AVgBvAGwAYQB0AGkAbABpAHMAZQBkAF8AVgBhAHIAaQBhAHQAaQBvAG4AIgAsACIAUwBvAHUAcgBjAGUARABhAHQAYQBfAEYAZQBlAGQAbABvAHQALgBTAG8AdQByAGMAZQBEAGEAdABhAF8ARgBlAGUAZABsAG8AdABfAEYAcgBhAGMATgBWAG8AbABhAHQAaQBsAGkAcwBlAGQAXwBEAGEAdABhACIALAAiAEUAbgB0AGUAcgBpAGMATQBlAHQAaABhAG4AZQBfAEYAZQBlAGQAbABvAHQAXwBFAHEAdQBhAHQAaQBvAG4AcwAuAFYARQBFAFIARwBfADMAXwAxAF8AMQBfADEAXwBfADEAXwBUAG8AdABhAGwAQQBuAG4AdQBhAGwATQBlAHQAaABhAG4AZQBGAHIAbwBtAEUAbgB0AGUAcgBpAGMARgBlAHIAbQBlAG4AdABhAHQAaQBvAG4AIgAsACIARQBuAHQAZQByAGkAYwBNAGUAdABoAGEAbgBlAF8ARgBlAGUAZABsAG8AdABfAEUAcQB1AGEAdABpAG8AbgBzAC4AVgBFAEUAUgBHAF8AMwBfADEAXwAxAF8AMQBfAF8AMQBfAFQAbwB0AGEAbABBAG4AbgB1AGEAbABNAGUAdABoAGEAbgBlAEYAcgBvAG0ARQBuAHQAZQByAGkAYwBGAGUAcgBtAGUAbgB0AGEAdABpAG8AbgBfAFQAaQB0AGwAZQAiACwAIgBFAG4AdABlAHIAaQBjAE0AZQB0AGgAYQBuAGUAXwBGAGUAZQBkAGwAbwB0AF8ARQBxAHUAYQB0AGkAbwBuAHMALgBWAEUARQBSAEcAXwAzAF8AMQBfADEAXwAxAF8AXwAxAF8AVABvAHQAYQBsAEEAbgBuAHUAYQBsAE0AZQB0AGgAYQBuAGUARgByAG8AbQBFAG4AdABlAHIAaQBjAEYAZQByAG0AZQBuAHQAYQB0AGkAbwBuAF8AVgBhAHIAaQBhAGIAbABlACIALAAiAEUAbgB0AGUAcgBpAGMATQBlAHQAaABhAG4AZQBfAEYAZQBlAGQAbABvAHQAXwBFAHEAdQBhAHQAaQBvAG4AcwAuAFYARQBFAFIARwBfADMAXwAxAF8AMQBfADEAXwBfADEAXwBUAG8AdABhAGwAQQBuAG4AdQBhAGwATQBlAHQAaABhAG4AZQBGAHIAbwBtAEUAbgB0AGUAcgBpAGMARgBlAHIAbQBlAG4AdABhAHQAaQBvAG4AXwBVAG4AaQB0ACIALAAiAEUAbgB0AGUAcgBpAGMATQBlAHQAaABhAG4AZQBfAEYAZQBlAGQAbABvAHQAXwBFAHEAdQBhAHQAaQBvAG4AcwAuAFYARQBFAFIARwBfADMAXwAxAF8AMQBfADEAXwBfADEAXwBUAG8AdABhAGwAQQBuAG4AdQBhAGwATQBlAHQAaABhAG4AZQBGAHIAbwBtAEUAbgB0AGUAcgBpAGMARgBlAHIAbQBlAG4AdABhAHQAaQBvAG4AXwBTAG8AdQByAGMAZQAiACwAIgBFAG4AdABlAHIAaQBjAE0AZQB0AGgAYQBuAGUAXwBGAGUAZQBkAGwAbwB0AF8ARQBxAHUAYQB0AGkAbwBuAHMALgBWAEUARQBSAEcAXwAzAF8AMQBfADEAXwAxAF8AXwAxAF8AVABvAHQAYQBsAEEAbgBuAHUAYQBsAE0AZQB0AGgAYQBuAGUARgByAG8AbQBFAG4AdABlAHIAaQBjAEYAZQByAG0AZQBuAHQAYQB0AGkAbwBuAF8ATgBJAFIAUgBlAGYAZQByAGUAbgBjAGUAIgAsACIARQBuAHQAZQByAGkAYwBNAGUAdABoAGEAbgBlAF8ARgBlAGUAZABsAG8AdABfAEUAcQB1AGEAdABpAG8AbgBzAC4AVgBFAEUAUgBHAF8AMwBfADEAXwAxAF8AMQBfAF8AMQBfAFQAbwB0AGEAbABBAG4AbgB1AGEAbABNAGUAdABoAGEAbgBlAEYAcgBvAG0ARQBuAHQAZQByAGkAYwBGAGUAcgBtAGUAbgB0AGEAdABpAG8AbgBfAEwAYQB0AGUAeABFAHEAdQBhAHQAaQBvAG4AIgAsACIARQBuAHQAZQByAGkAYwBNAGUAdABoAGEAbgBlAF8ARgBlAGUAZABsAG8AdABfAEUAcQB1AGEAdABpAG8AbgBzAC4AVgBFAEUAUgBHAF8AMwBfADEAXwAxAF8AMQBfAF8AMQBfAFQAbwB0AGEAbABBAG4AbgB1AGEAbABNAGUAdABoAGEAbgBlAEYAcgBvAG0ARQBuAHQAZQByAGkAYwBGAGUAcgBtAGUAbgB0AGEAdABpAG8AbgBfAEEAcgBnAHUAbQBlAG4AdABzACIALAAiAEUAbgB0AGUAcgBpAGMATQBlAHQAaABhAG4AZQBfAEYAZQBlAGQAbABvAHQAXwBFAHEAdQBhAHQAaQBvAG4AcwAuAFYARQBFAFIARwBfADMAXwAxAF8AMQBfADEAXwBfADIAXwBEAGEAaQBsAHkARQBuAHQAZQByAGkAYwBNAGUAdABoAGEAbgBlAFAAcgBvAGQAdQBjAHQAaQBvAG4AIgAsACIARQBuAHQAZQByAGkAYwBNAGUAdABoAGEAbgBlAF8ARgBlAGUAZABsAG8AdABfAEUAcQB1AGEAdABpAG8AbgBzAC4AVgBFAEUAUgBHAF8AMwBfADEAXwAxAF8AMQBfAF8AMgBfAEQAYQBpAGwAeQBFAG4AdABlAHIAaQBjAE0AZQB0AGgAYQBuAGUAUAByAG8AZAB1AGMAdABpAG8AbgBfAFQAaQB0AGwAZQAiACwAIgBFAG4AdABlAHIAaQBjAE0AZQB0AGgAYQBuAGUAXwBGAGUAZQBkAGwAbwB0AF8ARQBxAHUAYQB0AGkAbwBuAHMALgBWAEUARQBSAEcAXwAzAF8AMQBfADEAXwAxAF8AXwAyAF8ARABhAGkAbAB5AEUAbgB0AGUAcgBpAGMATQBlAHQAaABhAG4AZQBQAHIAbwBkAHUAYwB0AGkAbwBuAF8AVgBhAHIAaQBhAGIAbABlACIALAAiAEUAbgB0AGUAcgBpAGMATQBlAHQAaABhAG4AZQBfAEYAZQBlAGQAbABvAHQAXwBFAHEAdQBhAHQAaQBvAG4AcwAuAFYARQBFAFIARwBfADMAXwAxAF8AMQBfADEAXwBfADIAXwBEAGEAaQBsAHkARQBuAHQAZQByAGkAYwBNAGUAdABoAGEAbgBlAFAAcgBvAGQAdQBjAHQAaQBvAG4AXwBVAG4AaQB0ACIALAAiAEUAbgB0AGUAcgBpAGMATQBlAHQAaABhAG4AZQBfAEYAZQBlAGQAbABvAHQAXwBFAHEAdQBhAHQAaQBvAG4AcwAuAFYARQBFAFIARwBfADMAXwAxAF8AMQBfADEAXwBfADIAXwBEAGEAaQBsAHkARQBuAHQAZQByAGkAYwBNAGUAdABoAGEAbgBlAFAAcgBvAGQAdQBjAHQAaQBvAG4AXwBTAG8AdQByAGMAZQAiACwAIgBFAG4AdABlAHIAaQBjAE0AZQB0AGgAYQBuAGUAXwBGAGUAZQBkAGwAbwB0AF8ARQBxAHUAYQB0AGkAbwBuAHMALgBWAEUARQBSAEcAXwAzAF8AMQBfADEAXwAxAF8AXwAyAF8ARABhAGkAbAB5AEUAbgB0AGUAcgBpAGMATQBlAHQAaABhAG4AZQBQAHIAbwBkAHUAYwB0AGkAbwBuAF8ATgBJAFIAUgBlAGYAZQByAGUAbgBjAGUAIgAsACIARQBuAHQAZQByAGkAYwBNAGUAdABoAGEAbgBlAF8ARgBlAGUAZABsAG8AdABfAEUAcQB1AGEAdABpAG8AbgBzAC4AVgBFAEUAUgBHAF8AMwBfADEAXwAxAF8AMQBfAF8AMgBfAEQAYQBpAGwAeQBFAG4AdABlAHIAaQBjAE0AZQB0AGgAYQBuAGUAUAByAG8AZAB1AGMAdABpAG8AbgBfAEwAYQB0AGUAeABFAHEAdQBhAHQAaQBvAG4AIgAsACIARQBuAHQAZQByAGkAYwBNAGUAdABoAGEAbgBlAF8ARgBlAGUAZABsAG8AdABfAEUAcQB1AGEAdABpAG8AbgBzAC4AVgBFAEUAUgBHAF8AMwBfADEAXwAxAF8AMQBfAF8AMgBfAEQAYQBpAGwAeQBFAG4AdABlAHIAaQBjAE0AZQB0AGgAYQBuAGUAUAByAG8AZAB1AGMAdABpAG8AbgBfAEEAcgBnAHUAbQBlAG4AdABzACIAXQAsACIAbABvAGMAYQBsAGUAIgA6AHsAIgBsAGkAcwB0AFMAZQBwAGEAcgBhAHQAbwByACIAOgAiACwAIgAsACIAcgBvAHcAUwBlAHAAYQByAGEAdABvAHIAIgA6ACIAOwAiACwAIgBjAG8AbAB1AG0AbgBTAGUAcABhAHIAYQB0AG8AcgAiADoAIgAsACIALAAiAHQAaABvAHUAcwBhAG4AZABzAFMAZQBwAGEAcgBhAHQAbwByACIAOgAiACwAIgAsACIAdABoAG8AdQBzAGEAbgBkAHMAUABvAHMAaQB0AGkAbwBuAHMAIgA6AFsAMwBdACwAIgBkAGUAYwBpAG0AYQBsAFMAZQBwAGEAcgBhAHQAbwByACIAOgAiAC4AIgAsACIAZABhAHQAZQBPAHIAZABlAHIAIgA6ACIARABNAFkAIgAsACIAYwB1AHIAcgBlAG4AYwB5AFMAeQBtAGIAbwBsACIAOgAiACQAIgAsACIAaQBzAEMAdQByAHIAZQBuAGMAeQBTAHkAbQBiAG8AbABMAGUAYQBkACIAOgB0AHIAdQBlACwAIgBpAHMAQwB1AHIAcgBlAG4AYwB5AFMAZQBwAEIAeQBTAHAAYQBjAGUAIgA6AGYAYQBsAHMAZQAsACIAcgBvAHcATABlAHQAdABlAHIAIgA6ACIAUgAiACwAIgBjAG8AbAB1AG0AbgBMAGUAdAB0AGUAcgAiADoAIgBDACIALAAiAHIAYwBMAGUAZgB0AEIAcgBhAGMAawBlAHQAIgA6ACIAWwAiACwAIgByAGMAUgBpAGcAaAB0AEIAcgBhAGMAawBlAHQAIgA6ACIAXQAiACwAIgBzAHQAYQB0AGUAbQBlAG4AdABTAGUAcABhAHIAYQB0AG8AcgAiADoAIgA7ACIALAAiAGwAbwBjAGEAbABlAE4AYQBtAGUAIgA6ACIAZQBuAC0AdQBzACIAfQB9AA==</AFEJSONBlob>
</file>

<file path=customXml/item4.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3.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4.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19</vt:i4>
      </vt:variant>
    </vt:vector>
  </HeadingPairs>
  <TitlesOfParts>
    <vt:vector size="30" baseType="lpstr">
      <vt:lpstr>Home</vt:lpstr>
      <vt:lpstr>Overview</vt:lpstr>
      <vt:lpstr>Results</vt:lpstr>
      <vt:lpstr>Input - Site</vt:lpstr>
      <vt:lpstr>Input - Feedlot</vt:lpstr>
      <vt:lpstr>3.1.1.1-2 Enteric Methane</vt:lpstr>
      <vt:lpstr>Constants - Feedlot</vt:lpstr>
      <vt:lpstr>Constants - Common</vt:lpstr>
      <vt:lpstr>Constants - Livestock</vt:lpstr>
      <vt:lpstr>Acknowledgements</vt:lpstr>
      <vt:lpstr>Tab template</vt:lpstr>
      <vt:lpstr>Input_Feedlot_AverageHead_Domestic</vt:lpstr>
      <vt:lpstr>Input_Feedlot_AverageHead_LongFed</vt:lpstr>
      <vt:lpstr>Input_Feedlot_AverageHead_MidFed</vt:lpstr>
      <vt:lpstr>Input_Feedlot_DurationOfStay_Domestic</vt:lpstr>
      <vt:lpstr>Input_Feedlot_DurationOfStay_LongFed</vt:lpstr>
      <vt:lpstr>Input_Feedlot_DurationOfStay_MidFed</vt:lpstr>
      <vt:lpstr>Input_Feedlot_EtherExtract_Domestic</vt:lpstr>
      <vt:lpstr>Input_Feedlot_EtherExtract_LongFed</vt:lpstr>
      <vt:lpstr>Input_Feedlot_EtherExtract_MidFed</vt:lpstr>
      <vt:lpstr>Input_Feedlot_FeedIntake_Domestic</vt:lpstr>
      <vt:lpstr>Input_Feedlot_FeedIntake_LongFed</vt:lpstr>
      <vt:lpstr>Input_Feedlot_FeedIntake_MidFed</vt:lpstr>
      <vt:lpstr>Input_Feedlot_NDF_Domestic</vt:lpstr>
      <vt:lpstr>Input_Feedlot_NDF_LongFed</vt:lpstr>
      <vt:lpstr>Input_Feedlot_NDF_MidFed</vt:lpstr>
      <vt:lpstr>Input_Site_FarmName</vt:lpstr>
      <vt:lpstr>Input_Site_ReportingEntityName</vt:lpstr>
      <vt:lpstr>Input_Site_StartDate</vt:lpstr>
      <vt:lpstr>VEERG_3_1_1_1__1_TotalAnnualMethaneFromEntericFermentation_Result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2026-06-12T01:03:43Z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