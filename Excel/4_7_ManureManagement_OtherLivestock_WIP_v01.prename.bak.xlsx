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2CC90442-0B3A-4D2C-9068-B004843A827A}" xr6:coauthVersionLast="47" xr6:coauthVersionMax="47" xr10:uidLastSave="{00000000-0000-0000-0000-000000000000}"/>
  <bookViews>
    <workbookView xWindow="3900" yWindow="3900" windowWidth="28800" windowHeight="15345" firstSheet="8" activeTab="11" xr2:uid="{992023F3-CAB7-4E5B-A348-08D563A0EF40}"/>
  </bookViews>
  <sheets>
    <sheet name="Home" sheetId="71" r:id="rId1"/>
    <sheet name="Overview" sheetId="100" r:id="rId2"/>
    <sheet name="Results" sheetId="13" r:id="rId3"/>
    <sheet name="Input - Site" sheetId="15" r:id="rId4"/>
    <sheet name="Input - Other Livestock" sheetId="70" r:id="rId5"/>
    <sheet name="4.7.1.1-2 Manure Methane" sheetId="69" r:id="rId6"/>
    <sheet name="4.7.1.3-4 Soil Direct N2O" sheetId="102" r:id="rId7"/>
    <sheet name="4.7.1.5-6 Soil Atmos Deposition" sheetId="103" r:id="rId8"/>
    <sheet name="4.7.1.7-8 Soil Leaching Runoff" sheetId="104" r:id="rId9"/>
    <sheet name="Constants - Other Livestock" sheetId="79" r:id="rId10"/>
    <sheet name="Constants - Livestock" sheetId="43" r:id="rId11"/>
    <sheet name="Constants - Common" sheetId="106" r:id="rId12"/>
    <sheet name="Acknowledgements" sheetId="72" r:id="rId13"/>
  </sheets>
  <externalReferences>
    <externalReference r:id="rId14"/>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H4">'4.7.1.1-2 Manure Methane'!$N$103:$P$111</definedName>
    <definedName name="M1_Table_E_CH4_Consumer_1">'4.7.1.1-2 Manure Methane'!$D$103:$F$111</definedName>
    <definedName name="M1_Table_M_j_m">'4.7.1.1-2 Manure Methane'!$D$64:$F$72</definedName>
    <definedName name="M1_Table_MCF_i_m">'4.7.1.1-2 Manure Methane'!$D$58:$E$60</definedName>
    <definedName name="M2_Table_M_j_m">'4.7.1.1-2 Manure Methane'!$N$64:$P$72</definedName>
    <definedName name="M2_Table_MCF_i_m">'4.7.1.1-2 Manure Methane'!$N$58:$O$60</definedName>
    <definedName name="MMS_OtherLivestock_Methane_Equations.VEERG_4_7_1_1__1_TotalAnnualMethaneProductionFromManureManagementOtherLivestock">_xlfn.LAMBDA(_xlpm.N_j,_xlpm.M_jm, SUM(_xlpm.N_j * _xlpm.M_jm * 365) * 10 ^ -3)</definedName>
    <definedName name="MMS_OtherLivestock_Methane_Equations.VEERG_4_7_1_1__1_TotalAnnualMethaneProductionFromManureManagementOtherLivestock_Arguments">_xlfn.LAMBDA(_xlfn.MAKEARRAY(4, 4, _xlfn.LAMBDA(_xlpm.r,_xlpm.c, INDEX({"N_j","average annual number of livestock per livestock type j","head","Input";"M_jm","annual methane production from manure management","kg CH4/head/day","Calculated from 4.7.1.1, (2)";"j","livestock type","","Input";"m","manure management system","","Input"}, _xlpm.r, _xlpm.c))))</definedName>
    <definedName name="MMS_OtherLivestock_Methane_Equations.VEERG_4_7_1_1__1_TotalAnnualMethaneProductionFromManureManagementOtherLivestock_LatexEquation">_xlfn.LAMBDA("E_{CH4}=\sum\nolimits_j\sum\nolimits_m(N_j\times M_jm\times 365)\times 10^{-3}")</definedName>
    <definedName name="MMS_OtherLivestock_Methane_Equations.VEERG_4_7_1_1__1_TotalAnnualMethaneProductionFromManureManagementOtherLivestock_NIRReference">_xlfn.LAMBDA("")</definedName>
    <definedName name="MMS_OtherLivestock_Methane_Equations.VEERG_4_7_1_1__1_TotalAnnualMethaneProductionFromManureManagementOtherLivestock_Source">_xlfn.LAMBDA("VEERG 2026: 4.7.1.1, Equation (1)")</definedName>
    <definedName name="MMS_OtherLivestock_Methane_Equations.VEERG_4_7_1_1__1_TotalAnnualMethaneProductionFromManureManagementOtherLivestock_Title">_xlfn.LAMBDA("Total annual methane production from manure management of other livestock")</definedName>
    <definedName name="MMS_OtherLivestock_Methane_Equations.VEERG_4_7_1_1__1_TotalAnnualMethaneProductionFromManureManagementOtherLivestock_Unit">_xlfn.LAMBDA("t CH4")</definedName>
    <definedName name="MMS_OtherLivestock_Methane_Equations.VEERG_4_7_1_1__1_TotalAnnualMethaneProductionFromManureManagementOtherLivestock_Variable">_xlfn.LAMBDA("E_CH4")</definedName>
    <definedName name="MMS_OtherLivestock_Methane_Equations.VEERG_4_7_1_1__2_AnnualMethaneProductionFromManureManagement">_xlfn.LAMBDA(_xlpm.VS_j,_xlpm.B_O,_xlpm.MMS_m,_xlpm.MCF_im,_xlpm.rho, _xlpm.VS_j * _xlpm.B_O * _xlpm.MMS_m * _xlpm.MCF_im * _xlpm.rho)</definedName>
    <definedName name="MMS_OtherLivestock_Methane_Equations.VEERG_4_7_1_1__2_AnnualMethaneProductionFromManureManagement_Arguments">_xlfn.LAMBDA(_xlfn.MAKEARRAY(6, 4, _xlfn.LAMBDA(_xlpm.r,_xlpm.c, INDEX({"VS_j","volatile solid production","kg/head/day","Constant";"B_O","methane emissions potential","m3 CH4/kg VS","Constant";"MMS_m","fraction of waste in each manure management system","fraction","Constant";"MCF_im","methane conversion factor for state and manure management system","fraction","Constant";"rho","density of methane","kg/m3","Constant";"i","state","","Input"}, _xlpm.r, _xlpm.c))))</definedName>
    <definedName name="MMS_OtherLivestock_Methane_Equations.VEERG_4_7_1_1__2_AnnualMethaneProductionFromManureManagement_Arguments_Method2">_xlfn.LAMBDA(_xlfn.MAKEARRAY(6, 4, _xlfn.LAMBDA(_xlpm.r,_xlpm.c, INDEX({"VS_j","volatile solid production","kg/head/day","Constant";"B_O","methane emissions potential","m3 CH4/kg VS","Constant";"MMS_m","fraction of waste in each manure management system","fraction","Constant";"MCF_im","methane conversion factor for temperature zone and manure management system","fraction","Constant";"rho","density of methane","kg/m3","Constant";"i","mean annual temperature","degrees Celsius","Input"}, _xlpm.r, _xlpm.c))))</definedName>
    <definedName name="MMS_OtherLivestock_Methane_Equations.VEERG_4_7_1_1__2_AnnualMethaneProductionFromManureManagement_LatexEquation">_xlfn.LAMBDA("M_{jm}=VS_j\times B_O\times MMS_m\times MCF_{im}\times \rho")</definedName>
    <definedName name="MMS_OtherLivestock_Methane_Equations.VEERG_4_7_1_1__2_AnnualMethaneProductionFromManureManagement_NIRReference">_xlfn.LAMBDA("")</definedName>
    <definedName name="MMS_OtherLivestock_Methane_Equations.VEERG_4_7_1_1__2_AnnualMethaneProductionFromManureManagement_Source">_xlfn.LAMBDA("VEERG 2026: 4.7.1.1, Equation (2)")</definedName>
    <definedName name="MMS_OtherLivestock_Methane_Equations.VEERG_4_7_1_1__2_AnnualMethaneProductionFromManureManagement_Title">_xlfn.LAMBDA("Annual methane production from manure management")</definedName>
    <definedName name="MMS_OtherLivestock_Methane_Equations.VEERG_4_7_1_1__2_AnnualMethaneProductionFromManureManagement_Unit">_xlfn.LAMBDA("kg CH4/head/day")</definedName>
    <definedName name="MMS_OtherLivestock_Methane_Equations.VEERG_4_7_1_1__2_AnnualMethaneProductionFromManureManagement_Variable">_xlfn.LAMBDA("M_jm")</definedName>
    <definedName name="MMS_OtherLivestock_Soil_AtmosphericDeposition.VEERG_4_7_1_5__1_AtmosphericDepositionEmissionsFromPasture">_xlfn.LAMBDA(_xlpm.M_vol,_xlpm.EF_N2O,_xlpm.C_N2O, _xlpm.M_vol * _xlpm.EF_N2O * _xlpm.C_N2O * 10 ^ -3)</definedName>
    <definedName name="MMS_OtherLivestock_Soil_AtmosphericDeposition.VEERG_4_7_1_5__1_AtmosphericDepositionEmissionsFromPasture_Arguments">_xlfn.LAMBDA(_xlfn.MAKEARRAY(6, 4, _xlfn.LAMBDA(_xlpm.r,_xlpm.c, INDEX({"M_vol","mass of nitrogen volatilised from urine and faeces deposited on pasture","kg N","Calculated from 4.7.1.5, (2)";"EF_N2O","emission factor for atmospheric deposition","kg N2O-N/kg N","Constant";"C_N2O","factor to convert elemental mass of nitrous oxide to molecular mass","","Constant";"j","production system","","Input";"i","irrigation method","","Input";"r","rainfall zone","","Input"}, _xlpm.r, _xlpm.c))))</definedName>
    <definedName name="MMS_OtherLivestock_Soil_AtmosphericDeposition.VEERG_4_7_1_5__1_AtmosphericDepositionEmissionsFromPasture_LatexEquation">_xlfn.LAMBDA("E_{N2O,ad}=M_{vol}\times EF_{N2O}\times C_{N2O}\times 10^{-3}")</definedName>
    <definedName name="MMS_OtherLivestock_Soil_AtmosphericDeposition.VEERG_4_7_1_5__1_AtmosphericDepositionEmissionsFromPasture_NIRReference">_xlfn.LAMBDA("")</definedName>
    <definedName name="MMS_OtherLivestock_Soil_AtmosphericDeposition.VEERG_4_7_1_5__1_AtmosphericDepositionEmissionsFromPasture_Source">_xlfn.LAMBDA("VEERG 2026: 4.7.1.5, Equation (1)")</definedName>
    <definedName name="MMS_OtherLivestock_Soil_AtmosphericDeposition.VEERG_4_7_1_5__1_AtmosphericDepositionEmissionsFromPasture_Title">_xlfn.LAMBDA("Atmospheric deposition emissions from urine and dung deposited on pasture")</definedName>
    <definedName name="MMS_OtherLivestock_Soil_AtmosphericDeposition.VEERG_4_7_1_5__1_AtmosphericDepositionEmissionsFromPasture_Unit">_xlfn.LAMBDA("t N2O")</definedName>
    <definedName name="MMS_OtherLivestock_Soil_AtmosphericDeposition.VEERG_4_7_1_5__1_AtmosphericDepositionEmissionsFromPasture_Variable">_xlfn.LAMBDA("E_N2Oad")</definedName>
    <definedName name="MMS_OtherLivestock_Soil_AtmosphericDeposition.VEERG_4_7_1_5__2_MassOfNitrogenVolatilisedFromPasture">_xlfn.LAMBDA(_xlpm.AE,_xlpm.FracGASMsoil, _xlpm.AE * _xlpm.FracGASMsoil)</definedName>
    <definedName name="MMS_OtherLivestock_Soil_AtmosphericDeposition.VEERG_4_7_1_5__2_MassOfNitrogenVolatilisedFromPasture_Arguments">_xlfn.LAMBDA(_xlfn.MAKEARRAY(2, 4, _xlfn.LAMBDA(_xlpm.r,_xlpm.c, INDEX({"AE","annual nitrogen excreted by each livestock type","kg N/year","Calculated by 4.7.1.3, (2)";"FracGASMsoil","fraction of nitrogen volatilised from urine and faeces deposited on pasture","(kg NH3-N + NOx-N)/kg N","Constant"}, _xlpm.r, _xlpm.c))))</definedName>
    <definedName name="MMS_OtherLivestock_Soil_AtmosphericDeposition.VEERG_4_7_1_5__2_MassOfNitrogenVolatilisedFromPasture_LatexEquation">_xlfn.LAMBDA("M_{vol}=AE\times FracGASMsoil")</definedName>
    <definedName name="MMS_OtherLivestock_Soil_AtmosphericDeposition.VEERG_4_7_1_5__2_MassOfNitrogenVolatilisedFromPasture_NIRReference">_xlfn.LAMBDA("")</definedName>
    <definedName name="MMS_OtherLivestock_Soil_AtmosphericDeposition.VEERG_4_7_1_5__2_MassOfNitrogenVolatilisedFromPasture_Source">_xlfn.LAMBDA("VEERG 2026: 4.7.1.5, Equation (2)")</definedName>
    <definedName name="MMS_OtherLivestock_Soil_AtmosphericDeposition.VEERG_4_7_1_5__2_MassOfNitrogenVolatilisedFromPasture_Title">_xlfn.LAMBDA("Mass of nitrogen volatilised from urine and faeces deposited on pasture")</definedName>
    <definedName name="MMS_OtherLivestock_Soil_AtmosphericDeposition.VEERG_4_7_1_5__2_MassOfNitrogenVolatilisedFromPasture_Unit">_xlfn.LAMBDA("kg N")</definedName>
    <definedName name="MMS_OtherLivestock_Soil_AtmosphericDeposition.VEERG_4_7_1_5__2_MassOfNitrogenVolatilisedFromPasture_Variable">_xlfn.LAMBDA("M_vol")</definedName>
    <definedName name="MMS_OtherLivestock_Soil_LeachingAndRunoff.VEERG_4_7_1_7__1_LeachingAndRunoffEmissionsFromPasture">_xlfn.LAMBDA(_xlpm.M_leach,_xlpm.EF_leach,_xlpm.C_N2O, _xlpm.M_leach * _xlpm.EF_leach * _xlpm.C_N2O * 10 ^ -3)</definedName>
    <definedName name="MMS_OtherLivestock_Soil_LeachingAndRunoff.VEERG_4_7_1_7__1_LeachingAndRunoffEmissionsFromPasture_Arguments">_xlfn.LAMBDA(_xlfn.MAKEARRAY(3, 4, _xlfn.LAMBDA(_xlpm.r,_xlpm.c, INDEX({"M_leach","mass of nitrogen lost to leaching and runoff","kg N","Calculated from 4.7.1.7, (2)";"EF_leach","emission factor for leaching and runoff","kg N2O-N/kg N","Constant";"C_N2O","factor to convert elemental mass of nitrous oxide to molecular mass","","Constant"}, _xlpm.r, _xlpm.c))))</definedName>
    <definedName name="MMS_OtherLivestock_Soil_LeachingAndRunoff.VEERG_4_7_1_7__1_LeachingAndRunoffEmissionsFromPasture_LatexEquation">_xlfn.LAMBDA("E_{N2O,leach}=M_{leach}\times EF_{leach}\times C_{N2O}\times 10^{-3}")</definedName>
    <definedName name="MMS_OtherLivestock_Soil_LeachingAndRunoff.VEERG_4_7_1_7__1_LeachingAndRunoffEmissionsFromPasture_NIRReference">_xlfn.LAMBDA("")</definedName>
    <definedName name="MMS_OtherLivestock_Soil_LeachingAndRunoff.VEERG_4_7_1_7__1_LeachingAndRunoffEmissionsFromPasture_Source">_xlfn.LAMBDA("VEERG 2026: 4.7.1.7, Equation (1)")</definedName>
    <definedName name="MMS_OtherLivestock_Soil_LeachingAndRunoff.VEERG_4_7_1_7__1_LeachingAndRunoffEmissionsFromPasture_Title">_xlfn.LAMBDA("Leaching and runoff emissions from urine and dung deposited on pasture")</definedName>
    <definedName name="MMS_OtherLivestock_Soil_LeachingAndRunoff.VEERG_4_7_1_7__1_LeachingAndRunoffEmissionsFromPasture_Unit">_xlfn.LAMBDA("t N2O")</definedName>
    <definedName name="MMS_OtherLivestock_Soil_LeachingAndRunoff.VEERG_4_7_1_7__1_LeachingAndRunoffEmissionsFromPasture_Variable">_xlfn.LAMBDA("E_N2Oleach")</definedName>
    <definedName name="MMS_OtherLivestock_Soil_LeachingAndRunoff.VEERG_4_7_1_7__2_MassOfNitrogenLostToLeachingAndRunoff">_xlfn.LAMBDA(_xlpm.AE,_xlpm.FracWet,_xlpm.FracLEACH, _xlpm.AE * _xlpm.FracWet * _xlpm.FracLEACH)</definedName>
    <definedName name="MMS_OtherLivestock_Soil_LeachingAndRunoff.VEERG_4_7_1_7__2_MassOfNitrogenLostToLeachingAndRunoff_Arguments">_xlfn.LAMBDA(_xlfn.MAKEARRAY(6, 4, _xlfn.LAMBDA(_xlpm.r,_xlpm.c, INDEX({"AE","annual nitrogen excreted by each livestock type","kg N/year","Calculated by 4.7.1.3, (2)";"FracWet","fraction of nitrogen available for leaching and runoff","","Constant";"FracLEACH","fraction of all nitrogen that is lost through leaching and runoff","","Constant";"z","location in leaching zone","","Input";"j","production system","","Input";"ir","irrigation method","","Input"}, _xlpm.r, _xlpm.c))))</definedName>
    <definedName name="MMS_OtherLivestock_Soil_LeachingAndRunoff.VEERG_4_7_1_7__2_MassOfNitrogenLostToLeachingAndRunoff_LatexEquation">_xlfn.LAMBDA("M_{leach}=AE\times FracWet\times FracLEACH")</definedName>
    <definedName name="MMS_OtherLivestock_Soil_LeachingAndRunoff.VEERG_4_7_1_7__2_MassOfNitrogenLostToLeachingAndRunoff_NIRReference">_xlfn.LAMBDA("")</definedName>
    <definedName name="MMS_OtherLivestock_Soil_LeachingAndRunoff.VEERG_4_7_1_7__2_MassOfNitrogenLostToLeachingAndRunoff_Source">_xlfn.LAMBDA("VEERG 2026: 4.7.1.7, Equation (2)")</definedName>
    <definedName name="MMS_OtherLivestock_Soil_LeachingAndRunoff.VEERG_4_7_1_7__2_MassOfNitrogenLostToLeachingAndRunoff_Title">_xlfn.LAMBDA("Mass of nitrogen lost to leaching and runoff")</definedName>
    <definedName name="MMS_OtherLivestock_Soil_LeachingAndRunoff.VEERG_4_7_1_7__2_MassOfNitrogenLostToLeachingAndRunoff_Unit">_xlfn.LAMBDA("kg N")</definedName>
    <definedName name="MMS_OtherLivestock_Soil_LeachingAndRunoff.VEERG_4_7_1_7__2_MassOfNitrogenLostToLeachingAndRunoff_Variable">_xlfn.LAMBDA("M_leach")</definedName>
    <definedName name="MMS_OtherLivestock_Soil_N2ODirect.VEERG_4_7_1_3__1_DirectNitrousOxideEmissionsFromSoil">_xlfn.LAMBDA(_xlpm.AE,_xlpm.EF_PRP,_xlpm.C_N2O, _xlpm.AE * _xlpm.EF_PRP * _xlpm.C_N2O * 10 ^ -3)</definedName>
    <definedName name="MMS_OtherLivestock_Soil_N2ODirect.VEERG_4_7_1_3__1_DirectNitrousOxideEmissionsFromSoil_Arguments">_xlfn.LAMBDA(_xlfn.MAKEARRAY(4, 4, _xlfn.LAMBDA(_xlpm.r,_xlpm.c, INDEX({"AE","annual nitrogen excreted by each livestock type","kg N/year","Calculated from 4.7.1.3, (2)";"EF_PRP","emission factor for nitrous oxide from urine and dung deposited to soil","kg N2O-N/kg N deposited","Constant";"C_N2O","factor to convert elemental mass of nitrous oxide to molecular mass","","Constant";"z","wet or dry climate zone","","Input"}, _xlpm.r, _xlpm.c))))</definedName>
    <definedName name="MMS_OtherLivestock_Soil_N2ODirect.VEERG_4_7_1_3__1_DirectNitrousOxideEmissionsFromSoil_LatexEquation">_xlfn.LAMBDA("E_{N2O,dir}=AE\times EF_{PRP}\times C_{N2O}\times 10^{-3}")</definedName>
    <definedName name="MMS_OtherLivestock_Soil_N2ODirect.VEERG_4_7_1_3__1_DirectNitrousOxideEmissionsFromSoil_NIRReference">_xlfn.LAMBDA("")</definedName>
    <definedName name="MMS_OtherLivestock_Soil_N2ODirect.VEERG_4_7_1_3__1_DirectNitrousOxideEmissionsFromSoil_Source">_xlfn.LAMBDA("VEERG 2026: 4.7.1.3, Equation (1)")</definedName>
    <definedName name="MMS_OtherLivestock_Soil_N2ODirect.VEERG_4_7_1_3__1_DirectNitrousOxideEmissionsFromSoil_Title">_xlfn.LAMBDA("Direct nitrous oxide emissions from agricultural soils from deposition of urine and dung to pasture")</definedName>
    <definedName name="MMS_OtherLivestock_Soil_N2ODirect.VEERG_4_7_1_3__1_DirectNitrousOxideEmissionsFromSoil_Unit">_xlfn.LAMBDA("t N2O")</definedName>
    <definedName name="MMS_OtherLivestock_Soil_N2ODirect.VEERG_4_7_1_3__1_DirectNitrousOxideEmissionsFromSoil_Variable">_xlfn.LAMBDA("E_N2Odir")</definedName>
    <definedName name="MMS_OtherLivestock_Soil_N2ODirect.VEERG_4_7_1_3__2_AnnualNitrogenExcretedToPasture">_xlfn.LAMBDA(_xlpm.N_j,_xlpm.NE_j, _xlpm.N_j * _xlpm.NE_j * 365)</definedName>
    <definedName name="MMS_OtherLivestock_Soil_N2ODirect.VEERG_4_7_1_3__2_AnnualNitrogenExcretedToPasture_Arguments">_xlfn.LAMBDA(_xlfn.MAKEARRAY(3, 4, _xlfn.LAMBDA(_xlpm.r,_xlpm.c, INDEX({"N_j","number of livestock of each livestock type j","head","Input";"NE_j","nitrogen excreted by each livestock type j","kg N/head/day","Constant";"j","livestock type","","Input"}, _xlpm.r, _xlpm.c))))</definedName>
    <definedName name="MMS_OtherLivestock_Soil_N2ODirect.VEERG_4_7_1_3__2_AnnualNitrogenExcretedToPasture_LatexEquation">_xlfn.LAMBDA("AE=\sum\nolimits_j(N_j\times NE_j\times 365)")</definedName>
    <definedName name="MMS_OtherLivestock_Soil_N2ODirect.VEERG_4_7_1_3__2_AnnualNitrogenExcretedToPasture_NIRReference">_xlfn.LAMBDA("")</definedName>
    <definedName name="MMS_OtherLivestock_Soil_N2ODirect.VEERG_4_7_1_3__2_AnnualNitrogenExcretedToPasture_Source">_xlfn.LAMBDA("VEERG 2026: 4.7.1.3, Equation (2)")</definedName>
    <definedName name="MMS_OtherLivestock_Soil_N2ODirect.VEERG_4_7_1_3__2_AnnualNitrogenExcretedToPasture_Title">_xlfn.LAMBDA("Annual nitrogen excreted by livestock to pasture, range and paddock")</definedName>
    <definedName name="MMS_OtherLivestock_Soil_N2ODirect.VEERG_4_7_1_3__2_AnnualNitrogenExcretedToPasture_Unit">_xlfn.LAMBDA("kg N/year")</definedName>
    <definedName name="MMS_OtherLivestock_Soil_N2ODirect.VEERG_4_7_1_3__2_AnnualNitrogenExcretedToPasture_Variable">_xlfn.LAMBDA("AE")</definedName>
    <definedName name="Range_LivestockStartingValues">#REF!</definedName>
    <definedName name="SourceData_OtherLivestock.SourceData_OtherLivestock_AverageLiveweight_Data">_xlfn.LAMBDA(_xlfn.MAKEARRAY(11, 3, _xlfn.LAMBDA(_xlpm.r,_xlpm.c, INDEX({"Other Livestock Type j","Average Liveweight","Average Liveweight";"Buffalo",336,"-";"Goats",33,"28kg - low productivity systems";"Goats",33,"50kg - high productivity systems";"Deer",120,120;"Camels",217,570;"Alpacas","-",65;"Horses",377,550;"Mules/asses",130,245;"Emus/ostriches",120,120;"Reference","IPCC 2019 Table 10A.5 [2]","IPCC 2019 Table 10.10 [2]"}, _xlpm.r, _xlpm.c))))</definedName>
    <definedName name="SourceData_OtherLivestock.SourceData_OtherLivestock_AverageLiveweight_Source">_xlfn.LAMBDA("VEERG 2026: Table A.1.5.4")</definedName>
    <definedName name="SourceData_OtherLivestock.SourceData_OtherLivestock_AverageLiveweight_Title">_xlfn.LAMBDA("Other Livestock - Average Liveweights")</definedName>
    <definedName name="SourceData_OtherLivestock.SourceData_OtherLivestock_AverageLiveweight_Unit">_xlfn.LAMBDA("kg")</definedName>
    <definedName name="SourceData_OtherLivestock.SourceData_OtherLivestock_AverageLiveweight_Variable">_xlfn.LAMBDA("Wco")</definedName>
    <definedName name="SourceData_OtherLivestock.SourceData_OtherLivestock_AverageLiveweight_Variation">_xlfn.LAMBDA("")</definedName>
    <definedName name="SourceData_OtherLivestock.SourceData_OtherLivestock_EntericFermentationEmissionFactor_Data">_xlfn.LAMBDA(_xlfn.MAKEARRAY(9, 2, _xlfn.LAMBDA(_xlpm.r,_xlpm.c, INDEX({"Other Livestock Type","Mj";"Buffalo",68;"Goats",5;"Deer",20;"Camels",46;"Alpacas",8;"Horses",18;"Mules/asses",10;"Emus/ostriches",5}, _xlpm.r, _xlpm.c))))</definedName>
    <definedName name="SourceData_OtherLivestock.SourceData_OtherLivestock_EntericFermentationEmissionFactor_Source">_xlfn.LAMBDA("VEERG 2026: Table A.1.5.1")</definedName>
    <definedName name="SourceData_OtherLivestock.SourceData_OtherLivestock_EntericFermentationEmissionFactor_Title">_xlfn.LAMBDA("Other Livestock - Enteric fermentation emission factor for each other livestock type")</definedName>
    <definedName name="SourceData_OtherLivestock.SourceData_OtherLivestock_EntericFermentationEmissionFactor_Unit">_xlfn.LAMBDA("kg CH4 / head / year")</definedName>
    <definedName name="SourceData_OtherLivestock.SourceData_OtherLivestock_EntericFermentationEmissionFactor_Variable">_xlfn.LAMBDA("Mj")</definedName>
    <definedName name="SourceData_OtherLivestock.SourceData_OtherLivestock_EntericFermentationEmissionFactor_Variation">_xlfn.LAMBDA("")</definedName>
    <definedName name="SourceData_OtherLivestock.SourceData_OtherLivestock_FracGASMSoil_Data">_xlfn.LAMBDA(0.21)</definedName>
    <definedName name="SourceData_OtherLivestock.SourceData_OtherLivestock_FracGASMSoil_Source">_xlfn.LAMBDA("VEERG 2026: 4.7.2.3 CONSTANTS")</definedName>
    <definedName name="SourceData_OtherLivestock.SourceData_OtherLivestock_FracGASMSoil_Title">_xlfn.LAMBDA("Fraction of nitrogen volatilised from urine and faeces deposited on pasture")</definedName>
    <definedName name="SourceData_OtherLivestock.SourceData_OtherLivestock_FracGASMSoil_Unit">_xlfn.LAMBDA("(kg NH3-N + NOx-N)/kg N")</definedName>
    <definedName name="SourceData_OtherLivestock.SourceData_OtherLivestock_FracGASMSoil_Variable">_xlfn.LAMBDA("FracGASMsoil")</definedName>
    <definedName name="SourceData_OtherLivestock.SourceData_OtherLivestock_FracGASMSoil_Variation">_xlfn.LAMBDA("")</definedName>
    <definedName name="SourceData_OtherLivestock.SourceData_OtherLivestock_FractionWasteInMMS_Data">_xlfn.LAMBDA(_xlfn.MAKEARRAY(9, 3, _xlfn.LAMBDA(_xlpm.r,_xlpm.c, INDEX({"State","Pasture range and paddock","Uncovered Anaerobic lagoon";"ACT",99.66,0.34;"NSW",99.66,0.34;"NT",99.66,0.34;"QLD",99.66,0.34;"SA",99.66,0.34;"TAS",99.66,0.34;"VIC",99.66,0.34;"WA",99.66,0.34}, _xlpm.r, _xlpm.c))))</definedName>
    <definedName name="SourceData_OtherLivestock.SourceData_OtherLivestock_FractionWasteInMMS_Source">_xlfn.LAMBDA("VEERG 2026: Table A.1.5.5")</definedName>
    <definedName name="SourceData_OtherLivestock.SourceData_OtherLivestock_FractionWasteInMMS_Title">_xlfn.LAMBDA("Other Livestock - Fraction of waste in each manure management system")</definedName>
    <definedName name="SourceData_OtherLivestock.SourceData_OtherLivestock_FractionWasteInMMS_Unit">_xlfn.LAMBDA("fraction")</definedName>
    <definedName name="SourceData_OtherLivestock.SourceData_OtherLivestock_FractionWasteInMMS_Variable">_xlfn.LAMBDA("MMSm")</definedName>
    <definedName name="SourceData_OtherLivestock.SourceData_OtherLivestock_FractionWasteInMMS_Variation">_xlfn.LAMBDA("")</definedName>
    <definedName name="SourceData_OtherLivestock.SourceData_OtherLivestock_MethaneConversionFactor_Data">_xlfn.LAMBDA(_xlfn.MAKEARRAY(9, 3, _xlfn.LAMBDA(_xlpm.r,_xlpm.c, INDEX({"State","Pasture range and paddock","Uncovered Anaerobic lagoon";"ACT",0.0047,0.71;"NSW",0.0047,0.75;"NT",0.0047,0.8;"QLD",0.0047,0.78;"SA",0.0047,0.74;"TAS",0.0047,0.7;"VIC",0.0047,0.74;"WA",0.0047,0.76}, _xlpm.r, _xlpm.c))))</definedName>
    <definedName name="SourceData_OtherLivestock.SourceData_OtherLivestock_MethaneConversionFactor_Source">_xlfn.LAMBDA("VEERG 2026: Table A.1.5.6")</definedName>
    <definedName name="SourceData_OtherLivestock.SourceData_OtherLivestock_MethaneConversionFactor_Title">_xlfn.LAMBDA("Other Livestock - Methane conversion factor per region")</definedName>
    <definedName name="SourceData_OtherLivestock.SourceData_OtherLivestock_MethaneConversionFactor_Unit">_xlfn.LAMBDA("fraction")</definedName>
    <definedName name="SourceData_OtherLivestock.SourceData_OtherLivestock_MethaneConversionFactor_Variable">_xlfn.LAMBDA("MCFim")</definedName>
    <definedName name="SourceData_OtherLivestock.SourceData_OtherLivestock_MethaneConversionFactor_Variation">_xlfn.LAMBDA("")</definedName>
    <definedName name="SourceData_OtherLivestock.SourceData_OtherLivestock_MethaneEmissionsPotential_Data">_xlfn.LAMBDA(_xlfn.MAKEARRAY(9, 3, _xlfn.LAMBDA(_xlpm.r,_xlpm.c, INDEX({"Other Livestock Type","BO","Taken from";"Buffalo",0.19,"Feedlot, Pasture beef";"Goats",0.24,"Sheep";"Deer",0.24,"Sheep";"Camels",0.24,"Sheep";"Alpacas",0.24,"Sheep";"Horses",0.19,"Feedlot, Pasture beef";"Mules/asses",0.24,"Sheep";"Emus/ostriches",0.36,"Poultry - meat chickens"}, _xlpm.r, _xlpm.c))))</definedName>
    <definedName name="SourceData_OtherLivestock.SourceData_OtherLivestock_MethaneEmissionsPotential_Source">_xlfn.LAMBDA("VEERG 2026: Table A.1.5.X")</definedName>
    <definedName name="SourceData_OtherLivestock.SourceData_OtherLivestock_MethaneEmissionsPotential_Title">_xlfn.LAMBDA("Other Livestock - Methane emissions potential")</definedName>
    <definedName name="SourceData_OtherLivestock.SourceData_OtherLivestock_MethaneEmissionsPotential_Unit">_xlfn.LAMBDA("m3 CH4 / kg VS")</definedName>
    <definedName name="SourceData_OtherLivestock.SourceData_OtherLivestock_MethaneEmissionsPotential_Variable">_xlfn.LAMBDA("BO")</definedName>
    <definedName name="SourceData_OtherLivestock.SourceData_OtherLivestock_MethaneEmissionsPotential_Variation">_xlfn.LAMBDA("VARIATION ON SOURCE: There were no values in VEERG so this data has been generated by using documented BO values from other livestock")</definedName>
    <definedName name="SourceData_OtherLivestock.SourceData_OtherLivestock_NitrogenExcreted_Data">_xlfn.LAMBDA(_xlfn.MAKEARRAY(9, 2, _xlfn.LAMBDA(_xlpm.r,_xlpm.c, INDEX({"Other Livestock Type","NEj";"Buffalo",39.5;"Goats",7;"Deer",13.2;"Camels",39.5;"Alpacas",7;"Horses",39.5;"Mules/asses",13.2;"Emus/ostriches",7}, _xlpm.r, _xlpm.c))))</definedName>
    <definedName name="SourceData_OtherLivestock.SourceData_OtherLivestock_NitrogenExcreted_Source">_xlfn.LAMBDA("VEERG 2026: Table A.1.5.3")</definedName>
    <definedName name="SourceData_OtherLivestock.SourceData_OtherLivestock_NitrogenExcreted_Title">_xlfn.LAMBDA("Other Livestock - Nitrogen excreted per livestock type")</definedName>
    <definedName name="SourceData_OtherLivestock.SourceData_OtherLivestock_NitrogenExcreted_Unit">_xlfn.LAMBDA("kg N2O / head / year")</definedName>
    <definedName name="SourceData_OtherLivestock.SourceData_OtherLivestock_NitrogenExcreted_Variable">_xlfn.LAMBDA("NEj")</definedName>
    <definedName name="SourceData_OtherLivestock.SourceData_OtherLivestock_NitrogenExcreted_Variation">_xlfn.LAMBDA("")</definedName>
    <definedName name="SourceData_OtherLivestock.SourceData_OtherLivestock_VolatileSolidsProduced_Data">_xlfn.LAMBDA(_xlfn.MAKEARRAY(9, 2, _xlfn.LAMBDA(_xlpm.r,_xlpm.c, INDEX({"Other Livestock Type","VSj";"Buffalo",2.73;"Goats",0.34;"Deer",0.91;"Camels",2.73;"Alpacas",0.34;"Horses",2.73;"Mules/asses",0.91;"Emus/ostriches",0.34}, _xlpm.r, _xlpm.c))))</definedName>
    <definedName name="SourceData_OtherLivestock.SourceData_OtherLivestock_VolatileSolidsProduced_Source">_xlfn.LAMBDA("VEERG 2026: Table A.1.5.2")</definedName>
    <definedName name="SourceData_OtherLivestock.SourceData_OtherLivestock_VolatileSolidsProduced_Title">_xlfn.LAMBDA("Other Livestock - Volatile solids produced by each other livestock type")</definedName>
    <definedName name="SourceData_OtherLivestock.SourceData_OtherLivestock_VolatileSolidsProduced_Unit">_xlfn.LAMBDA("kg VS / head / day")</definedName>
    <definedName name="SourceData_OtherLivestock.SourceData_OtherLivestock_VolatileSolidsProduced_Variable">_xlfn.LAMBDA("VSj")</definedName>
    <definedName name="SourceData_OtherLivestock.SourceData_OtherLivestock_VolatileSolidsProduced_Variation">_xlfn.LAMBDA("")</definedName>
    <definedName name="Step1">#REF!</definedName>
    <definedName name="Step2">#REF!</definedName>
    <definedName name="Step3">#REF!</definedName>
    <definedName name="Table_AEj">'4.7.1.3-4 Soil Direct N2O'!$D$43:$E$51</definedName>
    <definedName name="Table_AEj_Consumer_1">'4.7.1.5-6 Soil Atmos Deposition'!$D$18:$E$26</definedName>
    <definedName name="Table_AEj_Consumer_2">'4.7.1.7-8 Soil Leaching Runoff'!$D$22:$E$30</definedName>
    <definedName name="Table_B_O">'4.7.1.1-2 Manure Methane'!$D$34:$E$42</definedName>
    <definedName name="Table_E_N2O_ad">'4.7.1.5-6 Soil Atmos Deposition'!$D$71:$E$79</definedName>
    <definedName name="Table_EF_N2O">'4.7.1.5-6 Soil Atmos Deposition'!$D$59:$H$67</definedName>
    <definedName name="Table_Frac_Wet">'4.7.1.7-8 Soil Leaching Runoff'!$D$34:$G$42</definedName>
    <definedName name="Table_M_leach">'4.7.1.7-8 Soil Leaching Runoff'!$D$46:$E$54</definedName>
    <definedName name="Table_M_vol">'4.7.1.5-6 Soil Atmos Deposition'!$D$30:$E$38</definedName>
    <definedName name="Table_MMS_m">'4.7.1.1-2 Manure Methane'!$D$46:$F$54</definedName>
    <definedName name="Table_N_j">'4.7.1.3-4 Soil Direct N2O'!$D$19:$E$27</definedName>
    <definedName name="Table_N_j_Consumer_1">'4.7.1.1-2 Manure Methane'!$D$91:$E$99</definedName>
    <definedName name="Table_NE_j">'4.7.1.3-4 Soil Direct N2O'!$D$31:$E$39</definedName>
    <definedName name="Table_VS_j">'4.7.1.1-2 Manure Methane'!$D$22:$E$30</definedName>
    <definedName name="X_Cell_OtherLivestock_Buffalo_CalculatedMMSAnaerobicLagoon">'Input - Other Livestock'!$E$14</definedName>
    <definedName name="X_Cell_OtherLivestock_Buffalo_CalculatedMMSPastureRangeAndPaddock">'Input - Other Livestock'!$E$13</definedName>
    <definedName name="X_Cell_OtherLivestock_Buffalo_FencedWater">'Input - Other Livestock'!$E$10</definedName>
    <definedName name="X_Cell_OtherLivestock_Buffalo_GrazingIrrigationMethod">'Input - Other Livestock'!$E$17</definedName>
    <definedName name="X_Cell_OtherLivestock_Buffalo_GrazingProductionSystem">'Input - Other Livestock'!$E$16</definedName>
    <definedName name="X_Cell_OtherLivestock_Deer_CalculatedMMSAnaerobicLagoon">'Input - Other Livestock'!$E$42</definedName>
    <definedName name="X_Cell_OtherLivestock_Deer_CalculatedMMSPastureRangeAndPaddock">'Input - Other Livestock'!$E$41</definedName>
    <definedName name="X_Cell_OtherLivestock_Deer_FencedWater">'Input - Other Livestock'!$E$38</definedName>
    <definedName name="X_Cell_OtherLivestock_Deer_GrazingIrrigationMethod">'Input - Other Livestock'!$E$45</definedName>
    <definedName name="X_Cell_OtherLivestock_Deer_GrazingProductionSystem">'Input - Other Livestock'!$E$44</definedName>
    <definedName name="X_Cell_OtherLivestock_Goats_CalculatedMMSAnaerobicLagoon">'Input - Other Livestock'!$E$28</definedName>
    <definedName name="X_Cell_OtherLivestock_Goats_CalculatedMMSPastureRangeAndPaddock">'Input - Other Livestock'!$E$27</definedName>
    <definedName name="X_Cell_OtherLivestock_Goats_FencedWater">'Input - Other Livestock'!$E$24</definedName>
    <definedName name="X_Cell_OtherLivestock_Goats_GrazingIrrigationMethod">'Input - Other Livestock'!$E$31</definedName>
    <definedName name="X_Cell_OtherLivestock_Goats_GrazingProductionSystem">'Input - Other Livestock'!$E$30</definedName>
    <definedName name="X_Cell_OtherLivestock_Others_Alpacas_CalculatedMMSAnaerobicLagoon">'Input - Other Livestock'!$F$56</definedName>
    <definedName name="X_Cell_OtherLivestock_Others_Alpacas_CalculatedMMSPastureRangeAndPaddock">'Input - Other Livestock'!$F$55</definedName>
    <definedName name="X_Cell_OtherLivestock_Others_Alpacas_FencedWater">'Input - Other Livestock'!$F$52</definedName>
    <definedName name="X_Cell_OtherLivestock_Others_Alpacas_GrazingIrrigationMethod">'Input - Other Livestock'!$F$59</definedName>
    <definedName name="X_Cell_OtherLivestock_Others_Alpacas_GrazingProductionSystem">'Input - Other Livestock'!$F$58</definedName>
    <definedName name="X_Cell_OtherLivestock_Others_Alpacas_Head">'Input - Other Livestock'!$F$50</definedName>
    <definedName name="X_Cell_OtherLivestock_Others_Camels_CalculatedMMSAnaerobicLagoon">'Input - Other Livestock'!$E$56</definedName>
    <definedName name="X_Cell_OtherLivestock_Others_Camels_CalculatedMMSPastureRangeAndPaddock">'Input - Other Livestock'!$E$55</definedName>
    <definedName name="X_Cell_OtherLivestock_Others_Camels_FencedWater">'Input - Other Livestock'!$E$52</definedName>
    <definedName name="X_Cell_OtherLivestock_Others_Camels_GrazingIrrigationMethod">'Input - Other Livestock'!$E$59</definedName>
    <definedName name="X_Cell_OtherLivestock_Others_Camels_GrazingProductionSystem">'Input - Other Livestock'!$E$58</definedName>
    <definedName name="X_Cell_OtherLivestock_Others_Camels_Head">'Input - Other Livestock'!$E$50</definedName>
    <definedName name="X_Cell_OtherLivestock_Others_Emus_CalculatedMMSAnaerobicLagoon">'Input - Other Livestock'!$I$56</definedName>
    <definedName name="X_Cell_OtherLivestock_Others_Emus_CalculatedMMSPastureRangeAndPaddock">'Input - Other Livestock'!$I$55</definedName>
    <definedName name="X_Cell_OtherLivestock_Others_Emus_FencedWater">'Input - Other Livestock'!$I$52</definedName>
    <definedName name="X_Cell_OtherLivestock_Others_Emus_GrazingIrrigationMethod">'Input - Other Livestock'!$I$59</definedName>
    <definedName name="X_Cell_OtherLivestock_Others_Emus_GrazingProductionSystem">'Input - Other Livestock'!$I$58</definedName>
    <definedName name="X_Cell_OtherLivestock_Others_Emus_Head">'Input - Other Livestock'!$I$50</definedName>
    <definedName name="X_Cell_OtherLivestock_Others_Horses_CalculatedMMSAnaerobicLagoon">'Input - Other Livestock'!$G$56</definedName>
    <definedName name="X_Cell_OtherLivestock_Others_Horses_CalculatedMMSPastureRangeAndPaddock">'Input - Other Livestock'!$G$55</definedName>
    <definedName name="X_Cell_OtherLivestock_Others_Horses_FencedWater">'Input - Other Livestock'!$G$52</definedName>
    <definedName name="X_Cell_OtherLivestock_Others_Horses_GrazingIrrigationMethod">'Input - Other Livestock'!$G$59</definedName>
    <definedName name="X_Cell_OtherLivestock_Others_Horses_GrazingProductionSystem">'Input - Other Livestock'!$G$58</definedName>
    <definedName name="X_Cell_OtherLivestock_Others_Horses_Head">'Input - Other Livestock'!$G$50</definedName>
    <definedName name="X_Cell_OtherLivestock_Others_Mules_CalculatedMMSAnaerobicLagoon">'Input - Other Livestock'!$H$56</definedName>
    <definedName name="X_Cell_OtherLivestock_Others_Mules_CalculatedMMSPastureRangeAndPaddock">'Input - Other Livestock'!$H$55</definedName>
    <definedName name="X_Cell_OtherLivestock_Others_Mules_FencedWater">'Input - Other Livestock'!$H$52</definedName>
    <definedName name="X_Cell_OtherLivestock_Others_Mules_GrazingIrrigationMethod">'Input - Other Livestock'!$H$59</definedName>
    <definedName name="X_Cell_OtherLivestock_Others_Mules_GrazingProductionSystem">'Input - Other Livestock'!$H$58</definedName>
    <definedName name="X_Cell_OtherLivestock_Others_Mules_Head">'Input - Other Livestock'!$H$50</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OtherLivestock_Buffalo_Head">'Input - Other Livestock'!$D$7:$H$8</definedName>
    <definedName name="X_Table_OtherLivestock_Deer_Head">'Input - Other Livestock'!$D$35:$H$36</definedName>
    <definedName name="X_Table_OtherLivestock_Goats_Head">'Input - Other Livestock'!$D$21:$J$22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2" i="79" l="1"/>
  <c r="D121" i="79"/>
  <c r="I69" i="104"/>
  <c r="I15" i="104"/>
  <c r="J17" i="69"/>
  <c r="O60" i="69"/>
  <c r="O59" i="69"/>
  <c r="I66" i="102"/>
  <c r="G42" i="104"/>
  <c r="G41" i="104"/>
  <c r="G40" i="104"/>
  <c r="G39" i="104"/>
  <c r="G38" i="104"/>
  <c r="G37" i="104"/>
  <c r="G36" i="104"/>
  <c r="G35" i="104"/>
  <c r="H67" i="103"/>
  <c r="H66" i="103"/>
  <c r="H65" i="103"/>
  <c r="H64" i="103"/>
  <c r="H63" i="103"/>
  <c r="H62" i="103"/>
  <c r="H61" i="103"/>
  <c r="H60" i="103"/>
  <c r="E30" i="15"/>
  <c r="E33" i="15"/>
  <c r="E32" i="15"/>
  <c r="E31" i="15"/>
  <c r="I70" i="104"/>
  <c r="I52" i="103"/>
  <c r="I67" i="102"/>
  <c r="G75" i="104"/>
  <c r="G84" i="103"/>
  <c r="G73" i="102"/>
  <c r="Q116" i="69"/>
  <c r="G116" i="69"/>
  <c r="J18" i="69"/>
  <c r="I56" i="70"/>
  <c r="H56" i="70"/>
  <c r="G56" i="70"/>
  <c r="F56" i="70"/>
  <c r="E56" i="70"/>
  <c r="I55" i="70"/>
  <c r="H55" i="70"/>
  <c r="G55" i="70"/>
  <c r="F55" i="70"/>
  <c r="E55" i="70"/>
  <c r="E42" i="70"/>
  <c r="E41" i="70"/>
  <c r="E28" i="70"/>
  <c r="E27" i="70"/>
  <c r="E14" i="70"/>
  <c r="E13" i="70"/>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a="1"/>
  <c r="D211" i="106" s="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a="1"/>
  <c r="D180" i="106" s="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a="1"/>
  <c r="D124" i="106" s="1"/>
  <c r="G121" i="106" a="1"/>
  <c r="G121" i="106" s="1"/>
  <c r="F121" i="106" a="1"/>
  <c r="F121" i="106" s="1"/>
  <c r="E121" i="106" a="1"/>
  <c r="E121" i="106" s="1"/>
  <c r="D121" i="106" a="1"/>
  <c r="D121" i="106" s="1"/>
  <c r="G120" i="106" a="1"/>
  <c r="G120" i="106" s="1"/>
  <c r="F120" i="106" a="1"/>
  <c r="F120" i="106" s="1"/>
  <c r="E120" i="106" a="1"/>
  <c r="E120" i="106" s="1"/>
  <c r="D120" i="106" a="1"/>
  <c r="D120" i="106" s="1"/>
  <c r="D117" i="106" a="1"/>
  <c r="D117" i="106" s="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a="1"/>
  <c r="D82" i="106" s="1"/>
  <c r="D81" i="106" a="1"/>
  <c r="D81" i="106" s="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a="1"/>
  <c r="D45" i="106" s="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I16" i="104"/>
  <c r="F42" i="104"/>
  <c r="E42" i="104"/>
  <c r="F41" i="104"/>
  <c r="E41" i="104"/>
  <c r="F40" i="104"/>
  <c r="E40" i="104"/>
  <c r="F39" i="104"/>
  <c r="E39" i="104"/>
  <c r="F38" i="104"/>
  <c r="E38" i="104"/>
  <c r="F37" i="104"/>
  <c r="E37" i="104"/>
  <c r="F36" i="104"/>
  <c r="E36" i="104"/>
  <c r="F35" i="104"/>
  <c r="E35" i="104"/>
  <c r="F67" i="103"/>
  <c r="F66" i="103"/>
  <c r="F65" i="103"/>
  <c r="F64" i="103"/>
  <c r="E67" i="103"/>
  <c r="E66" i="103"/>
  <c r="E65" i="103"/>
  <c r="E64" i="103"/>
  <c r="F63" i="103"/>
  <c r="E63" i="103"/>
  <c r="F62" i="103"/>
  <c r="F61" i="103"/>
  <c r="E62" i="103"/>
  <c r="E61" i="103"/>
  <c r="F60" i="103"/>
  <c r="E60" i="103"/>
  <c r="E27" i="102"/>
  <c r="E26" i="102"/>
  <c r="E25" i="102"/>
  <c r="E24" i="102"/>
  <c r="E23" i="102"/>
  <c r="E22" i="102"/>
  <c r="E21" i="102"/>
  <c r="E20" i="102"/>
  <c r="E99" i="69"/>
  <c r="E98" i="69"/>
  <c r="E97" i="69"/>
  <c r="E96" i="69"/>
  <c r="E95" i="69"/>
  <c r="E94" i="69"/>
  <c r="E93" i="69"/>
  <c r="E92" i="69"/>
  <c r="T18" i="69"/>
  <c r="D50" i="70"/>
  <c r="D36" i="70"/>
  <c r="D22" i="70"/>
  <c r="D8" i="70"/>
  <c r="A14" i="104"/>
  <c r="A14" i="79"/>
  <c r="A14" i="43"/>
  <c r="A14" i="100"/>
  <c r="A14" i="13"/>
  <c r="A14" i="15"/>
  <c r="A14" i="70"/>
  <c r="A14" i="69"/>
  <c r="A14" i="102"/>
  <c r="A14" i="103"/>
  <c r="A21" i="43"/>
  <c r="A20" i="43"/>
  <c r="A19" i="43"/>
  <c r="A18" i="43"/>
  <c r="A15" i="43"/>
  <c r="A13" i="43"/>
  <c r="A12" i="43"/>
  <c r="A9" i="43"/>
  <c r="A8" i="43"/>
  <c r="A5" i="43"/>
  <c r="A4" i="43"/>
  <c r="A3" i="43"/>
  <c r="A21" i="79"/>
  <c r="A20" i="79"/>
  <c r="A19" i="79"/>
  <c r="A18" i="79"/>
  <c r="A15" i="79"/>
  <c r="A13" i="79"/>
  <c r="A12" i="79"/>
  <c r="A9" i="79"/>
  <c r="A8" i="79"/>
  <c r="A5" i="79"/>
  <c r="A4" i="79"/>
  <c r="A3" i="79"/>
  <c r="A21" i="104"/>
  <c r="A20" i="104"/>
  <c r="A19" i="104"/>
  <c r="A18" i="104"/>
  <c r="A15" i="104"/>
  <c r="A13" i="104"/>
  <c r="A12" i="104"/>
  <c r="A9" i="104"/>
  <c r="A8" i="104"/>
  <c r="A5" i="104"/>
  <c r="A4" i="104"/>
  <c r="A3" i="104"/>
  <c r="A21" i="103"/>
  <c r="A20" i="103"/>
  <c r="A19" i="103"/>
  <c r="A18" i="103"/>
  <c r="A15" i="103"/>
  <c r="A13" i="103"/>
  <c r="A12" i="103"/>
  <c r="A9" i="103"/>
  <c r="A8" i="103"/>
  <c r="A5" i="103"/>
  <c r="A4" i="103"/>
  <c r="A3" i="103"/>
  <c r="A21" i="102"/>
  <c r="A20" i="102"/>
  <c r="A19" i="102"/>
  <c r="A18" i="102"/>
  <c r="A15" i="102"/>
  <c r="A13" i="102"/>
  <c r="A12" i="102"/>
  <c r="A9" i="102"/>
  <c r="A8" i="102"/>
  <c r="A5" i="102"/>
  <c r="A4" i="102"/>
  <c r="A3" i="102"/>
  <c r="A21" i="69"/>
  <c r="A20" i="69"/>
  <c r="A19" i="69"/>
  <c r="A18" i="69"/>
  <c r="A15" i="69"/>
  <c r="A13" i="69"/>
  <c r="A12" i="69"/>
  <c r="A9" i="69"/>
  <c r="A8" i="69"/>
  <c r="A5" i="69"/>
  <c r="A4" i="69"/>
  <c r="A3" i="69"/>
  <c r="A21" i="70"/>
  <c r="A20" i="70"/>
  <c r="A19" i="70"/>
  <c r="A18" i="70"/>
  <c r="A15" i="70"/>
  <c r="A13" i="70"/>
  <c r="A12" i="70"/>
  <c r="A9" i="70"/>
  <c r="A8" i="70"/>
  <c r="A5" i="70"/>
  <c r="A4" i="70"/>
  <c r="A3" i="70"/>
  <c r="A21" i="15"/>
  <c r="A20" i="15"/>
  <c r="A19" i="15"/>
  <c r="A18" i="15"/>
  <c r="A15" i="15"/>
  <c r="A13" i="15"/>
  <c r="A12" i="15"/>
  <c r="A9" i="15"/>
  <c r="A8" i="15"/>
  <c r="A5" i="15"/>
  <c r="A4" i="15"/>
  <c r="A3" i="15"/>
  <c r="A21" i="13"/>
  <c r="A20" i="13"/>
  <c r="A19" i="13"/>
  <c r="A18" i="13"/>
  <c r="A15" i="13"/>
  <c r="A13" i="13"/>
  <c r="A12" i="13"/>
  <c r="A9" i="13"/>
  <c r="A8" i="13"/>
  <c r="A5" i="13"/>
  <c r="A4" i="13"/>
  <c r="A3" i="13"/>
  <c r="A15" i="100"/>
  <c r="A13" i="100"/>
  <c r="A12" i="100"/>
  <c r="A18" i="100"/>
  <c r="A9" i="100"/>
  <c r="F77" i="104" a="1"/>
  <c r="F77" i="104" s="1"/>
  <c r="D74" i="104" a="1"/>
  <c r="D74" i="104" s="1"/>
  <c r="G68" i="104" a="1"/>
  <c r="G68" i="104" s="1"/>
  <c r="D68" i="104" a="1"/>
  <c r="D68" i="104" s="1"/>
  <c r="E66" i="104" a="1"/>
  <c r="E66" i="104" s="1"/>
  <c r="F72" i="104" s="1"/>
  <c r="E65" i="104" a="1"/>
  <c r="E65" i="104" s="1"/>
  <c r="D61" i="104" a="1"/>
  <c r="D61" i="104" s="1"/>
  <c r="D60" i="104" a="1"/>
  <c r="D60" i="104" s="1"/>
  <c r="I18" i="104" a="1"/>
  <c r="I18" i="104" s="1"/>
  <c r="I17" i="104" a="1"/>
  <c r="I17" i="104" s="1"/>
  <c r="I14" i="104" a="1"/>
  <c r="I14" i="104" s="1"/>
  <c r="I13" i="104" a="1"/>
  <c r="I13" i="104" s="1"/>
  <c r="G13" i="104" a="1"/>
  <c r="G13" i="104" s="1"/>
  <c r="D13" i="104" a="1"/>
  <c r="D13" i="104" s="1"/>
  <c r="E11" i="104" a="1"/>
  <c r="E11" i="104" s="1"/>
  <c r="F47" i="104" s="1"/>
  <c r="E10" i="104" a="1"/>
  <c r="E10" i="104" s="1"/>
  <c r="D6" i="104" a="1"/>
  <c r="D6" i="104" s="1"/>
  <c r="D5" i="104" a="1"/>
  <c r="D5" i="104" s="1"/>
  <c r="F72" i="103"/>
  <c r="F86" i="103" a="1"/>
  <c r="F86" i="103" s="1"/>
  <c r="D83" i="103" a="1"/>
  <c r="D83" i="103" s="1"/>
  <c r="I50" i="103" a="1"/>
  <c r="I50" i="103" s="1"/>
  <c r="I13" i="103" a="1"/>
  <c r="I13" i="103" s="1"/>
  <c r="I55" i="103" a="1"/>
  <c r="I55" i="103" s="1"/>
  <c r="I54" i="103" a="1"/>
  <c r="I54" i="103" s="1"/>
  <c r="I53" i="103" a="1"/>
  <c r="I53" i="103" s="1"/>
  <c r="I51" i="103" a="1"/>
  <c r="I51" i="103" s="1"/>
  <c r="G50" i="103" a="1"/>
  <c r="G50" i="103" s="1"/>
  <c r="D50" i="103" a="1"/>
  <c r="D50" i="103" s="1"/>
  <c r="E48" i="103" a="1"/>
  <c r="E48" i="103" s="1"/>
  <c r="F81" i="103" s="1"/>
  <c r="E47" i="103" a="1"/>
  <c r="E47" i="103" s="1"/>
  <c r="D43" i="103" a="1"/>
  <c r="D43" i="103" s="1"/>
  <c r="D42" i="103" a="1"/>
  <c r="D42" i="103" s="1"/>
  <c r="F115" i="79" a="1"/>
  <c r="F115" i="79" s="1"/>
  <c r="E115" i="79" a="1"/>
  <c r="E115" i="79" s="1"/>
  <c r="D115" i="79" a="1"/>
  <c r="D115" i="79" s="1"/>
  <c r="D114" i="79" a="1"/>
  <c r="D114" i="79" s="1"/>
  <c r="D113" i="79" a="1"/>
  <c r="D113" i="79" s="1"/>
  <c r="G13" i="103" a="1"/>
  <c r="G13" i="103" s="1"/>
  <c r="D13" i="103" a="1"/>
  <c r="D13" i="103" s="1"/>
  <c r="E11" i="103" a="1"/>
  <c r="E11" i="103" s="1"/>
  <c r="E10" i="103" a="1"/>
  <c r="E10" i="103" s="1"/>
  <c r="D6" i="103" a="1"/>
  <c r="D6" i="103" s="1"/>
  <c r="D5" i="103" a="1"/>
  <c r="D5" i="103" s="1"/>
  <c r="F75" i="102" a="1"/>
  <c r="F75" i="102" s="1"/>
  <c r="D72" i="102" a="1"/>
  <c r="D72" i="102" s="1"/>
  <c r="G65" i="102" a="1"/>
  <c r="G65" i="102" s="1"/>
  <c r="D65" i="102" a="1"/>
  <c r="D65" i="102" s="1"/>
  <c r="E63" i="102" a="1"/>
  <c r="E63" i="102" s="1"/>
  <c r="F70" i="102" s="1"/>
  <c r="E62" i="102" a="1"/>
  <c r="E62" i="102" s="1"/>
  <c r="D58" i="102" a="1"/>
  <c r="D58" i="102" s="1"/>
  <c r="D57" i="102" a="1"/>
  <c r="D57" i="102" s="1"/>
  <c r="I15" i="102" a="1"/>
  <c r="I15" i="102" s="1"/>
  <c r="G13" i="102" a="1"/>
  <c r="G13" i="102" s="1"/>
  <c r="D13" i="102" a="1"/>
  <c r="D13" i="102" s="1"/>
  <c r="E11" i="102" a="1"/>
  <c r="E11" i="102" s="1"/>
  <c r="F53" i="102" s="1"/>
  <c r="E10" i="102" a="1"/>
  <c r="E10" i="102" s="1"/>
  <c r="D6" i="102" a="1"/>
  <c r="D6" i="102" s="1"/>
  <c r="D5" i="102" a="1"/>
  <c r="D5" i="102" s="1"/>
  <c r="I14" i="102" a="1"/>
  <c r="I14" i="102" s="1"/>
  <c r="I13" i="102" a="1"/>
  <c r="I13" i="102" s="1"/>
  <c r="P118" i="69" a="1"/>
  <c r="P118" i="69" s="1"/>
  <c r="N115" i="69" a="1"/>
  <c r="N115" i="69" s="1"/>
  <c r="I87" i="69" a="1"/>
  <c r="I87" i="69" s="1"/>
  <c r="I85" i="69" a="1"/>
  <c r="I85" i="69" s="1"/>
  <c r="I86" i="69" a="1"/>
  <c r="I86" i="69" s="1"/>
  <c r="I84" i="69" a="1"/>
  <c r="I84" i="69" s="1"/>
  <c r="G84" i="69" a="1"/>
  <c r="G84" i="69" s="1"/>
  <c r="F92" i="69" s="1"/>
  <c r="D84" i="69" a="1"/>
  <c r="D84" i="69" s="1"/>
  <c r="E82" i="69" a="1"/>
  <c r="E82" i="69" s="1"/>
  <c r="F113" i="69" s="1"/>
  <c r="E81" i="69" a="1"/>
  <c r="E81" i="69" s="1"/>
  <c r="D77" i="69" a="1"/>
  <c r="D77" i="69" s="1"/>
  <c r="D76" i="69" a="1"/>
  <c r="D76" i="69" s="1"/>
  <c r="T16" i="69" a="1"/>
  <c r="T16" i="69" s="1"/>
  <c r="R13" i="69" a="1"/>
  <c r="R13" i="69" s="1"/>
  <c r="N13" i="69" a="1"/>
  <c r="N13" i="69" s="1"/>
  <c r="J16" i="69" a="1"/>
  <c r="J16" i="69" s="1"/>
  <c r="J15" i="69" a="1"/>
  <c r="J15" i="69" s="1"/>
  <c r="J14" i="69" a="1"/>
  <c r="J14" i="69" s="1"/>
  <c r="J13" i="69" a="1"/>
  <c r="J13" i="69" s="1"/>
  <c r="D99" i="79" a="1"/>
  <c r="D99" i="79" s="1"/>
  <c r="F110" i="79" a="1"/>
  <c r="F110" i="79" s="1"/>
  <c r="E110" i="79" a="1"/>
  <c r="E110" i="79" s="1"/>
  <c r="D110" i="79" a="1"/>
  <c r="D110" i="79" s="1"/>
  <c r="D39" i="102" s="1"/>
  <c r="F109" i="79" a="1"/>
  <c r="F109" i="79" s="1"/>
  <c r="E109" i="79" a="1"/>
  <c r="E109" i="79" s="1"/>
  <c r="D109" i="79" a="1"/>
  <c r="D109" i="79" s="1"/>
  <c r="D38" i="102" s="1"/>
  <c r="F108" i="79" a="1"/>
  <c r="F108" i="79" s="1"/>
  <c r="E108" i="79" a="1"/>
  <c r="E108" i="79" s="1"/>
  <c r="D108" i="79" a="1"/>
  <c r="D108" i="79" s="1"/>
  <c r="D37" i="102" s="1"/>
  <c r="F107" i="79" a="1"/>
  <c r="F107" i="79" s="1"/>
  <c r="E107" i="79" a="1"/>
  <c r="E107" i="79" s="1"/>
  <c r="D107" i="79" a="1"/>
  <c r="D107" i="79" s="1"/>
  <c r="D36" i="102" s="1"/>
  <c r="F106" i="79" a="1"/>
  <c r="F106" i="79" s="1"/>
  <c r="E106" i="79" a="1"/>
  <c r="E106" i="79" s="1"/>
  <c r="D106" i="79" a="1"/>
  <c r="D106" i="79" s="1"/>
  <c r="D35" i="102" s="1"/>
  <c r="F105" i="79" a="1"/>
  <c r="F105" i="79" s="1"/>
  <c r="E105" i="79" a="1"/>
  <c r="E105" i="79" s="1"/>
  <c r="D105" i="79" a="1"/>
  <c r="D105" i="79" s="1"/>
  <c r="D34" i="102" s="1"/>
  <c r="F104" i="79" a="1"/>
  <c r="F104" i="79" s="1"/>
  <c r="E104" i="79" a="1"/>
  <c r="E104" i="79" s="1"/>
  <c r="D104" i="79" a="1"/>
  <c r="D104" i="79" s="1"/>
  <c r="D33" i="102" s="1"/>
  <c r="F103" i="79" a="1"/>
  <c r="F103" i="79" s="1"/>
  <c r="E103" i="79" a="1"/>
  <c r="E103" i="79" s="1"/>
  <c r="E35" i="69" s="1"/>
  <c r="D103" i="79" a="1"/>
  <c r="D103" i="79" s="1"/>
  <c r="D35" i="69" s="1"/>
  <c r="D101" i="79" a="1"/>
  <c r="D101" i="79" s="1"/>
  <c r="D100" i="79" a="1"/>
  <c r="D100" i="79" s="1"/>
  <c r="D98" i="79" a="1"/>
  <c r="D98" i="79" s="1"/>
  <c r="D97" i="79" a="1"/>
  <c r="D97" i="79" s="1"/>
  <c r="E7" i="69" a="1"/>
  <c r="E7" i="103" a="1"/>
  <c r="E78" i="69" a="1"/>
  <c r="E7" i="104" a="1"/>
  <c r="E7" i="102" a="1"/>
  <c r="E62" i="104" a="1"/>
  <c r="E59" i="102" a="1"/>
  <c r="E44" i="103" a="1"/>
  <c r="H52" i="106" l="1"/>
  <c r="G64" i="103"/>
  <c r="I68" i="102"/>
  <c r="H49" i="106"/>
  <c r="H50" i="106"/>
  <c r="H48" i="106"/>
  <c r="H53" i="106"/>
  <c r="H51" i="106"/>
  <c r="F56" i="104"/>
  <c r="H54" i="106"/>
  <c r="Q104" i="69"/>
  <c r="I60" i="103"/>
  <c r="E7" i="103"/>
  <c r="E62" i="104"/>
  <c r="E7" i="104"/>
  <c r="I14" i="103"/>
  <c r="P113" i="69"/>
  <c r="R115" i="69"/>
  <c r="E44" i="103"/>
  <c r="F44" i="102"/>
  <c r="F23" i="104" s="1"/>
  <c r="G104" i="69"/>
  <c r="H115" i="69"/>
  <c r="E59" i="102"/>
  <c r="E7" i="102"/>
  <c r="F32" i="102"/>
  <c r="D37" i="69"/>
  <c r="E37" i="69"/>
  <c r="D38" i="69"/>
  <c r="E38" i="69"/>
  <c r="D39" i="69"/>
  <c r="E39" i="69"/>
  <c r="D40" i="69"/>
  <c r="E40" i="69"/>
  <c r="D41" i="69"/>
  <c r="E41" i="69"/>
  <c r="F20" i="102"/>
  <c r="D32" i="102"/>
  <c r="D42" i="69"/>
  <c r="E42" i="69"/>
  <c r="D36" i="69"/>
  <c r="E36" i="69"/>
  <c r="E78" i="69"/>
  <c r="E7" i="69"/>
  <c r="G66" i="103" l="1"/>
  <c r="G65" i="103"/>
  <c r="G67" i="103"/>
  <c r="G60" i="103"/>
  <c r="G61" i="103"/>
  <c r="G63" i="103"/>
  <c r="G62" i="103"/>
  <c r="F31" i="103"/>
  <c r="F19" i="103"/>
  <c r="H13" i="69" l="1" a="1"/>
  <c r="D13" i="69" a="1"/>
  <c r="D13" i="69" s="1"/>
  <c r="E11" i="69" a="1"/>
  <c r="E11" i="69" s="1"/>
  <c r="E10" i="69" a="1"/>
  <c r="E10" i="69" s="1"/>
  <c r="D6" i="69" a="1"/>
  <c r="D6" i="69" s="1"/>
  <c r="D5" i="69" a="1"/>
  <c r="D5" i="69" s="1"/>
  <c r="G65" i="69" l="1"/>
  <c r="Q65" i="69"/>
  <c r="F59" i="69"/>
  <c r="P59" i="69"/>
  <c r="H13" i="69"/>
  <c r="F23" i="69" s="1"/>
  <c r="G47" i="69"/>
  <c r="F35" i="69"/>
  <c r="F94" i="79" a="1"/>
  <c r="F94" i="79" s="1"/>
  <c r="E94" i="79" a="1"/>
  <c r="E94" i="79" s="1"/>
  <c r="D94" i="79" a="1"/>
  <c r="D94" i="79" s="1"/>
  <c r="F93" i="79" a="1"/>
  <c r="F93" i="79" s="1"/>
  <c r="E93" i="79" a="1"/>
  <c r="E93" i="79" s="1"/>
  <c r="D93" i="79" a="1"/>
  <c r="D93" i="79" s="1"/>
  <c r="F92" i="79" a="1"/>
  <c r="F92" i="79" s="1"/>
  <c r="E92" i="79" a="1"/>
  <c r="E92" i="79" s="1"/>
  <c r="D92" i="79" a="1"/>
  <c r="D92" i="79" s="1"/>
  <c r="F91" i="79" a="1"/>
  <c r="F91" i="79" s="1"/>
  <c r="E91" i="79" a="1"/>
  <c r="E91" i="79" s="1"/>
  <c r="D91" i="79" a="1"/>
  <c r="D91" i="79" s="1"/>
  <c r="F90" i="79" a="1"/>
  <c r="F90" i="79" s="1"/>
  <c r="E90" i="79" a="1"/>
  <c r="E90" i="79" s="1"/>
  <c r="D90" i="79" a="1"/>
  <c r="D90" i="79" s="1"/>
  <c r="F89" i="79" a="1"/>
  <c r="F89" i="79" s="1"/>
  <c r="E89" i="79" a="1"/>
  <c r="E89" i="79" s="1"/>
  <c r="D89" i="79" a="1"/>
  <c r="D89" i="79" s="1"/>
  <c r="F88" i="79" a="1"/>
  <c r="F88" i="79" s="1"/>
  <c r="E88" i="79" a="1"/>
  <c r="E88" i="79" s="1"/>
  <c r="D88" i="79" a="1"/>
  <c r="D88" i="79" s="1"/>
  <c r="F87" i="79" a="1"/>
  <c r="F87" i="79" s="1"/>
  <c r="E87" i="79" a="1"/>
  <c r="E87" i="79" s="1"/>
  <c r="D87" i="79" a="1"/>
  <c r="D87" i="79" s="1"/>
  <c r="D85" i="79" a="1"/>
  <c r="D85" i="79" s="1"/>
  <c r="D84" i="79" a="1"/>
  <c r="D84" i="79" s="1"/>
  <c r="D83" i="79" a="1"/>
  <c r="D83" i="79" s="1"/>
  <c r="D82" i="79" a="1"/>
  <c r="D82" i="79" s="1"/>
  <c r="F79" i="79" a="1"/>
  <c r="F79" i="79" s="1"/>
  <c r="E79" i="79" a="1"/>
  <c r="E79" i="79" s="1"/>
  <c r="D79" i="79" a="1"/>
  <c r="D79" i="79" s="1"/>
  <c r="F78" i="79" a="1"/>
  <c r="F78" i="79" s="1"/>
  <c r="E78" i="79" a="1"/>
  <c r="E78" i="79" s="1"/>
  <c r="D78" i="79" a="1"/>
  <c r="D78" i="79" s="1"/>
  <c r="F77" i="79" a="1"/>
  <c r="F77" i="79" s="1"/>
  <c r="E77" i="79" a="1"/>
  <c r="E77" i="79" s="1"/>
  <c r="D77" i="79" a="1"/>
  <c r="D77" i="79" s="1"/>
  <c r="F76" i="79" a="1"/>
  <c r="F76" i="79" s="1"/>
  <c r="E76" i="79" a="1"/>
  <c r="E76" i="79" s="1"/>
  <c r="D76" i="79" a="1"/>
  <c r="D76" i="79" s="1"/>
  <c r="F75" i="79" a="1"/>
  <c r="F75" i="79" s="1"/>
  <c r="E75" i="79" a="1"/>
  <c r="E75" i="79" s="1"/>
  <c r="D75" i="79" a="1"/>
  <c r="D75" i="79" s="1"/>
  <c r="F74" i="79" a="1"/>
  <c r="F74" i="79" s="1"/>
  <c r="E74" i="79" a="1"/>
  <c r="E74" i="79" s="1"/>
  <c r="D74" i="79" a="1"/>
  <c r="D74" i="79" s="1"/>
  <c r="F73" i="79" a="1"/>
  <c r="F73" i="79" s="1"/>
  <c r="E73" i="79" a="1"/>
  <c r="E73" i="79" s="1"/>
  <c r="D73" i="79" a="1"/>
  <c r="D73" i="79" s="1"/>
  <c r="F72" i="79" a="1"/>
  <c r="F72" i="79" s="1"/>
  <c r="E72" i="79" a="1"/>
  <c r="E72" i="79" s="1"/>
  <c r="D72" i="79" a="1"/>
  <c r="D72" i="79" s="1"/>
  <c r="D70" i="79" a="1"/>
  <c r="D70" i="79" s="1"/>
  <c r="D69" i="79" a="1"/>
  <c r="D69" i="79" s="1"/>
  <c r="D68" i="79" a="1"/>
  <c r="D68" i="79" s="1"/>
  <c r="D67" i="79" a="1"/>
  <c r="D67" i="79" s="1"/>
  <c r="F64" i="79" a="1"/>
  <c r="F64" i="79" s="1"/>
  <c r="E64" i="79" a="1"/>
  <c r="E64" i="79" s="1"/>
  <c r="D64" i="79" a="1"/>
  <c r="D64" i="79" s="1"/>
  <c r="F63" i="79" a="1"/>
  <c r="F63" i="79" s="1"/>
  <c r="E63" i="79" a="1"/>
  <c r="E63" i="79" s="1"/>
  <c r="D63" i="79" a="1"/>
  <c r="D63" i="79" s="1"/>
  <c r="F62" i="79" a="1"/>
  <c r="F62" i="79" s="1"/>
  <c r="E62" i="79" a="1"/>
  <c r="E62" i="79" s="1"/>
  <c r="D62" i="79" a="1"/>
  <c r="D62" i="79" s="1"/>
  <c r="F61" i="79" a="1"/>
  <c r="F61" i="79" s="1"/>
  <c r="E61" i="79" a="1"/>
  <c r="E61" i="79" s="1"/>
  <c r="D61" i="79" a="1"/>
  <c r="D61" i="79" s="1"/>
  <c r="F60" i="79" a="1"/>
  <c r="F60" i="79" s="1"/>
  <c r="E60" i="79" a="1"/>
  <c r="E60" i="79" s="1"/>
  <c r="D60" i="79" a="1"/>
  <c r="D60" i="79" s="1"/>
  <c r="F59" i="79" a="1"/>
  <c r="F59" i="79" s="1"/>
  <c r="E59" i="79" a="1"/>
  <c r="E59" i="79" s="1"/>
  <c r="D59" i="79" a="1"/>
  <c r="D59" i="79" s="1"/>
  <c r="F58" i="79" a="1"/>
  <c r="F58" i="79" s="1"/>
  <c r="E58" i="79" a="1"/>
  <c r="E58" i="79" s="1"/>
  <c r="D58" i="79" a="1"/>
  <c r="D58" i="79" s="1"/>
  <c r="F57" i="79" a="1"/>
  <c r="F57" i="79" s="1"/>
  <c r="E57" i="79" a="1"/>
  <c r="E57" i="79" s="1"/>
  <c r="D57" i="79" a="1"/>
  <c r="D57" i="79" s="1"/>
  <c r="F56" i="79" a="1"/>
  <c r="F56" i="79" s="1"/>
  <c r="E56" i="79" a="1"/>
  <c r="E56" i="79" s="1"/>
  <c r="D56" i="79" a="1"/>
  <c r="D56" i="79" s="1"/>
  <c r="F55" i="79" a="1"/>
  <c r="F55" i="79" s="1"/>
  <c r="E55" i="79" a="1"/>
  <c r="E55" i="79" s="1"/>
  <c r="D55" i="79" a="1"/>
  <c r="D55" i="79" s="1"/>
  <c r="D53" i="79" a="1"/>
  <c r="D53" i="79" s="1"/>
  <c r="D52" i="79" a="1"/>
  <c r="D52" i="79" s="1"/>
  <c r="D51" i="79" a="1"/>
  <c r="D51" i="79" s="1"/>
  <c r="D50" i="79" a="1"/>
  <c r="D50" i="79" s="1"/>
  <c r="E47" i="79" a="1"/>
  <c r="E47" i="79" s="1"/>
  <c r="D47" i="79" a="1"/>
  <c r="D47" i="79" s="1"/>
  <c r="E46" i="79" a="1"/>
  <c r="E46" i="79" s="1"/>
  <c r="D46" i="79" a="1"/>
  <c r="D46" i="79" s="1"/>
  <c r="E45" i="79" a="1"/>
  <c r="E45" i="79" s="1"/>
  <c r="D45" i="79" a="1"/>
  <c r="D45" i="79" s="1"/>
  <c r="E44" i="79" a="1"/>
  <c r="E44" i="79" s="1"/>
  <c r="D44" i="79" a="1"/>
  <c r="D44" i="79" s="1"/>
  <c r="E43" i="79" a="1"/>
  <c r="E43" i="79" s="1"/>
  <c r="D43" i="79" a="1"/>
  <c r="D43" i="79" s="1"/>
  <c r="E42" i="79" a="1"/>
  <c r="E42" i="79" s="1"/>
  <c r="D42" i="79" a="1"/>
  <c r="D42" i="79" s="1"/>
  <c r="E41" i="79" a="1"/>
  <c r="E41" i="79" s="1"/>
  <c r="D41" i="79" a="1"/>
  <c r="D41" i="79" s="1"/>
  <c r="E40" i="79" a="1"/>
  <c r="E40" i="79" s="1"/>
  <c r="D40" i="79" a="1"/>
  <c r="D40" i="79" s="1"/>
  <c r="D38" i="79" a="1"/>
  <c r="D38" i="79" s="1"/>
  <c r="D37" i="79" a="1"/>
  <c r="D37" i="79" s="1"/>
  <c r="D36" i="79" a="1"/>
  <c r="D36" i="79" s="1"/>
  <c r="D35" i="79" a="1"/>
  <c r="D35" i="79" s="1"/>
  <c r="E32" i="79" a="1"/>
  <c r="E32" i="79" s="1"/>
  <c r="D32" i="79" a="1"/>
  <c r="D32" i="79" s="1"/>
  <c r="E31" i="79" a="1"/>
  <c r="E31" i="79" s="1"/>
  <c r="D31" i="79" a="1"/>
  <c r="D31" i="79" s="1"/>
  <c r="E30" i="79" a="1"/>
  <c r="E30" i="79" s="1"/>
  <c r="D30" i="79" a="1"/>
  <c r="D30" i="79" s="1"/>
  <c r="E29" i="79" a="1"/>
  <c r="E29" i="79" s="1"/>
  <c r="D29" i="79" a="1"/>
  <c r="D29" i="79" s="1"/>
  <c r="E28" i="79" a="1"/>
  <c r="E28" i="79" s="1"/>
  <c r="D28" i="79" a="1"/>
  <c r="D28" i="79" s="1"/>
  <c r="E27" i="79" a="1"/>
  <c r="E27" i="79" s="1"/>
  <c r="D27" i="79" a="1"/>
  <c r="D27" i="79" s="1"/>
  <c r="E26" i="79" a="1"/>
  <c r="E26" i="79" s="1"/>
  <c r="D26" i="79" a="1"/>
  <c r="D26" i="79" s="1"/>
  <c r="E25" i="79" a="1"/>
  <c r="E25" i="79" s="1"/>
  <c r="D25" i="79" a="1"/>
  <c r="D25" i="79" s="1"/>
  <c r="D23" i="79" a="1"/>
  <c r="D23" i="79" s="1"/>
  <c r="D22" i="79" a="1"/>
  <c r="D22" i="79" s="1"/>
  <c r="D21" i="79" a="1"/>
  <c r="D21" i="79" s="1"/>
  <c r="D20" i="79" a="1"/>
  <c r="D20" i="79" s="1"/>
  <c r="E17" i="79" a="1"/>
  <c r="E17" i="79" s="1"/>
  <c r="D17" i="79" a="1"/>
  <c r="D17" i="79" s="1"/>
  <c r="E16" i="79" a="1"/>
  <c r="E16" i="79" s="1"/>
  <c r="D16" i="79" a="1"/>
  <c r="D16" i="79" s="1"/>
  <c r="E15" i="79" a="1"/>
  <c r="E15" i="79" s="1"/>
  <c r="D15" i="79" a="1"/>
  <c r="D15" i="79" s="1"/>
  <c r="E14" i="79" a="1"/>
  <c r="E14" i="79" s="1"/>
  <c r="D14" i="79" a="1"/>
  <c r="D14" i="79" s="1"/>
  <c r="E13" i="79" a="1"/>
  <c r="E13" i="79" s="1"/>
  <c r="D13" i="79" a="1"/>
  <c r="D13" i="79" s="1"/>
  <c r="E12" i="79" a="1"/>
  <c r="E12" i="79" s="1"/>
  <c r="D12" i="79" a="1"/>
  <c r="D12" i="79" s="1"/>
  <c r="E11" i="79" a="1"/>
  <c r="E11" i="79" s="1"/>
  <c r="D11" i="79" a="1"/>
  <c r="D11" i="79" s="1"/>
  <c r="E10" i="79" a="1"/>
  <c r="E10" i="79" s="1"/>
  <c r="D10" i="79" a="1"/>
  <c r="D10" i="79" s="1"/>
  <c r="D8" i="79" a="1"/>
  <c r="D8" i="79" s="1"/>
  <c r="D7" i="79" a="1"/>
  <c r="D7" i="79" s="1"/>
  <c r="D6" i="79" a="1"/>
  <c r="D6" i="79" s="1"/>
  <c r="D5" i="79" a="1"/>
  <c r="D5" i="79" s="1"/>
  <c r="E37" i="102" l="1" a="1"/>
  <c r="E37" i="102" s="1"/>
  <c r="E49" i="102" s="1" a="1"/>
  <c r="E49" i="102" s="1"/>
  <c r="E39" i="102" a="1"/>
  <c r="E39" i="102" s="1"/>
  <c r="E51" i="102" s="1" a="1"/>
  <c r="E51" i="102" s="1"/>
  <c r="E33" i="102" a="1"/>
  <c r="E33" i="102" s="1"/>
  <c r="E45" i="102" s="1" a="1"/>
  <c r="E45" i="102" s="1"/>
  <c r="E36" i="102" a="1"/>
  <c r="E36" i="102" s="1"/>
  <c r="E48" i="102" s="1" a="1"/>
  <c r="E48" i="102" s="1"/>
  <c r="E38" i="102" a="1"/>
  <c r="E38" i="102" s="1"/>
  <c r="E50" i="102" s="1" a="1"/>
  <c r="E50" i="102" s="1"/>
  <c r="E34" i="102" a="1"/>
  <c r="E34" i="102" s="1"/>
  <c r="E46" i="102" s="1" a="1"/>
  <c r="E46" i="102" s="1"/>
  <c r="E35" i="102" a="1"/>
  <c r="E35" i="102" s="1"/>
  <c r="E47" i="102" s="1" a="1"/>
  <c r="E47" i="102" s="1"/>
  <c r="E32" i="102" a="1"/>
  <c r="E32" i="102" s="1"/>
  <c r="E44" i="102" s="1" a="1"/>
  <c r="E44" i="102" s="1"/>
  <c r="D27" i="69"/>
  <c r="E25" i="69"/>
  <c r="E26" i="69"/>
  <c r="E27" i="69"/>
  <c r="D28" i="69"/>
  <c r="E28" i="69"/>
  <c r="E29" i="69"/>
  <c r="E23" i="69"/>
  <c r="D30" i="69"/>
  <c r="E30" i="69"/>
  <c r="D24" i="69"/>
  <c r="E24" i="69"/>
  <c r="D23" i="69"/>
  <c r="D25" i="69"/>
  <c r="D29" i="69"/>
  <c r="D26" i="69"/>
  <c r="A21" i="100"/>
  <c r="A20" i="100"/>
  <c r="A19" i="100"/>
  <c r="A8" i="100"/>
  <c r="A5" i="100"/>
  <c r="A4" i="100"/>
  <c r="A3" i="100"/>
  <c r="E26" i="104" l="1"/>
  <c r="E22" i="103"/>
  <c r="E34" i="103" s="1" a="1"/>
  <c r="E34" i="103" s="1"/>
  <c r="E29" i="104"/>
  <c r="E25" i="103"/>
  <c r="E37" i="103" s="1" a="1"/>
  <c r="E37" i="103" s="1"/>
  <c r="E24" i="104"/>
  <c r="E20" i="103"/>
  <c r="E32" i="103" s="1" a="1"/>
  <c r="E32" i="103" s="1"/>
  <c r="E26" i="103"/>
  <c r="E38" i="103" s="1" a="1"/>
  <c r="E38" i="103" s="1"/>
  <c r="E30" i="104"/>
  <c r="E28" i="104"/>
  <c r="E24" i="103"/>
  <c r="E36" i="103" s="1" a="1"/>
  <c r="E36" i="103" s="1"/>
  <c r="E23" i="104"/>
  <c r="E19" i="103"/>
  <c r="E31" i="103" s="1" a="1"/>
  <c r="E31" i="103" s="1"/>
  <c r="E25" i="104"/>
  <c r="E21" i="103"/>
  <c r="E33" i="103" s="1" a="1"/>
  <c r="E33" i="103" s="1"/>
  <c r="E27" i="104"/>
  <c r="E23" i="103"/>
  <c r="E35" i="103" s="1" a="1"/>
  <c r="E35" i="103" s="1"/>
  <c r="E53" i="102"/>
  <c r="E49" i="104" l="1" a="1"/>
  <c r="E49" i="104" s="1"/>
  <c r="E48" i="104" a="1"/>
  <c r="E48" i="104" s="1"/>
  <c r="I65" i="102"/>
  <c r="E51" i="104" l="1" a="1"/>
  <c r="E51" i="104" s="1"/>
  <c r="E47" i="104" a="1"/>
  <c r="E47" i="104" s="1"/>
  <c r="E52" i="104" a="1"/>
  <c r="E52" i="104" s="1"/>
  <c r="E50" i="104" a="1"/>
  <c r="E50" i="104" s="1"/>
  <c r="E53" i="104" a="1"/>
  <c r="E53" i="104" s="1"/>
  <c r="E54" i="104" a="1"/>
  <c r="E54" i="104" s="1"/>
  <c r="E75" i="103" a="1"/>
  <c r="E75" i="103" s="1"/>
  <c r="E70" i="102" a="1"/>
  <c r="E70" i="102" s="1"/>
  <c r="E50" i="69"/>
  <c r="E49" i="69"/>
  <c r="O67" i="69" s="1" a="1"/>
  <c r="O67" i="69" s="1"/>
  <c r="O106" i="69" s="1" a="1"/>
  <c r="O106" i="69" s="1"/>
  <c r="E52" i="69"/>
  <c r="E51" i="69"/>
  <c r="F49" i="69"/>
  <c r="E53" i="69"/>
  <c r="E60" i="69" a="1"/>
  <c r="E60" i="69" s="1"/>
  <c r="E59" i="69" a="1"/>
  <c r="E59" i="69" s="1"/>
  <c r="E48" i="69"/>
  <c r="F50" i="69"/>
  <c r="F53" i="69"/>
  <c r="F52" i="69"/>
  <c r="P70" i="69" s="1" a="1"/>
  <c r="P70" i="69" s="1"/>
  <c r="P109" i="69" s="1" a="1"/>
  <c r="P109" i="69" s="1"/>
  <c r="F48" i="69"/>
  <c r="F51" i="69"/>
  <c r="E47" i="69"/>
  <c r="E54" i="69"/>
  <c r="F47" i="69"/>
  <c r="F54" i="69"/>
  <c r="E56" i="104" l="1"/>
  <c r="I68" i="104" s="1"/>
  <c r="E72" i="104" s="1" a="1"/>
  <c r="E72" i="104" s="1"/>
  <c r="E10" i="13" s="1"/>
  <c r="F10" i="13" s="1"/>
  <c r="E79" i="103" a="1"/>
  <c r="E79" i="103" s="1"/>
  <c r="E73" i="103" a="1"/>
  <c r="E73" i="103" s="1"/>
  <c r="E77" i="103" a="1"/>
  <c r="E77" i="103" s="1"/>
  <c r="E72" i="103" a="1"/>
  <c r="E72" i="103" s="1"/>
  <c r="E74" i="103" a="1"/>
  <c r="E74" i="103" s="1"/>
  <c r="E76" i="103" a="1"/>
  <c r="E76" i="103" s="1"/>
  <c r="E78" i="103" a="1"/>
  <c r="E78" i="103" s="1"/>
  <c r="F70" i="69" a="1"/>
  <c r="F70" i="69" s="1"/>
  <c r="F109" i="69" s="1" a="1"/>
  <c r="F109" i="69" s="1"/>
  <c r="E8" i="13"/>
  <c r="F8" i="13" s="1"/>
  <c r="G72" i="102"/>
  <c r="E75" i="102" s="1" a="1"/>
  <c r="E75" i="102" s="1"/>
  <c r="H8" i="13" s="1"/>
  <c r="I8" i="13" s="1"/>
  <c r="E67" i="69" a="1"/>
  <c r="E67" i="69" s="1"/>
  <c r="E106" i="69" s="1" a="1"/>
  <c r="E106" i="69" s="1"/>
  <c r="O69" i="69" a="1"/>
  <c r="O69" i="69" s="1"/>
  <c r="O108" i="69" s="1" a="1"/>
  <c r="O108" i="69" s="1"/>
  <c r="E69" i="69" a="1"/>
  <c r="E69" i="69" s="1"/>
  <c r="E108" i="69" s="1" a="1"/>
  <c r="E108" i="69" s="1"/>
  <c r="F65" i="69" a="1"/>
  <c r="F65" i="69" s="1"/>
  <c r="F104" i="69" s="1" a="1"/>
  <c r="F104" i="69" s="1"/>
  <c r="P65" i="69" a="1"/>
  <c r="P65" i="69" s="1"/>
  <c r="P104" i="69" s="1" a="1"/>
  <c r="P104" i="69" s="1"/>
  <c r="P71" i="69" a="1"/>
  <c r="P71" i="69" s="1"/>
  <c r="P110" i="69" s="1" a="1"/>
  <c r="P110" i="69" s="1"/>
  <c r="F71" i="69" a="1"/>
  <c r="F71" i="69" s="1"/>
  <c r="F110" i="69" s="1" a="1"/>
  <c r="F110" i="69" s="1"/>
  <c r="E70" i="69" a="1"/>
  <c r="E70" i="69" s="1"/>
  <c r="E109" i="69" s="1" a="1"/>
  <c r="E109" i="69" s="1"/>
  <c r="O70" i="69" a="1"/>
  <c r="O70" i="69" s="1"/>
  <c r="O109" i="69" s="1" a="1"/>
  <c r="O109" i="69" s="1"/>
  <c r="F69" i="69" a="1"/>
  <c r="F69" i="69" s="1"/>
  <c r="F108" i="69" s="1" a="1"/>
  <c r="F108" i="69" s="1"/>
  <c r="P69" i="69" a="1"/>
  <c r="P69" i="69" s="1"/>
  <c r="P108" i="69" s="1" a="1"/>
  <c r="P108" i="69" s="1"/>
  <c r="O71" i="69" a="1"/>
  <c r="O71" i="69" s="1"/>
  <c r="O110" i="69" s="1" a="1"/>
  <c r="O110" i="69" s="1"/>
  <c r="E71" i="69" a="1"/>
  <c r="E71" i="69" s="1"/>
  <c r="E110" i="69" s="1" a="1"/>
  <c r="E110" i="69" s="1"/>
  <c r="P66" i="69" a="1"/>
  <c r="P66" i="69" s="1"/>
  <c r="P105" i="69" s="1" a="1"/>
  <c r="P105" i="69" s="1"/>
  <c r="F66" i="69" a="1"/>
  <c r="F66" i="69" s="1"/>
  <c r="F105" i="69" s="1" a="1"/>
  <c r="F105" i="69" s="1"/>
  <c r="P67" i="69" a="1"/>
  <c r="P67" i="69" s="1"/>
  <c r="P106" i="69" s="1" a="1"/>
  <c r="P106" i="69" s="1"/>
  <c r="F67" i="69" a="1"/>
  <c r="F67" i="69" s="1"/>
  <c r="F106" i="69" s="1" a="1"/>
  <c r="F106" i="69" s="1"/>
  <c r="P72" i="69" a="1"/>
  <c r="P72" i="69" s="1"/>
  <c r="P111" i="69" s="1" a="1"/>
  <c r="P111" i="69" s="1"/>
  <c r="F72" i="69" a="1"/>
  <c r="F72" i="69" s="1"/>
  <c r="F111" i="69" s="1" a="1"/>
  <c r="F111" i="69" s="1"/>
  <c r="O72" i="69" a="1"/>
  <c r="O72" i="69" s="1"/>
  <c r="O111" i="69" s="1" a="1"/>
  <c r="O111" i="69" s="1"/>
  <c r="E72" i="69" a="1"/>
  <c r="E72" i="69" s="1"/>
  <c r="E111" i="69" s="1" a="1"/>
  <c r="E111" i="69" s="1"/>
  <c r="P68" i="69" a="1"/>
  <c r="P68" i="69" s="1"/>
  <c r="P107" i="69" s="1" a="1"/>
  <c r="P107" i="69" s="1"/>
  <c r="F68" i="69" a="1"/>
  <c r="F68" i="69" s="1"/>
  <c r="F107" i="69" s="1" a="1"/>
  <c r="F107" i="69" s="1"/>
  <c r="E65" i="69" a="1"/>
  <c r="E65" i="69" s="1"/>
  <c r="E104" i="69" s="1" a="1"/>
  <c r="E104" i="69" s="1"/>
  <c r="O65" i="69" a="1"/>
  <c r="O65" i="69" s="1"/>
  <c r="O104" i="69" s="1" a="1"/>
  <c r="O104" i="69" s="1"/>
  <c r="O66" i="69" a="1"/>
  <c r="O66" i="69" s="1"/>
  <c r="O105" i="69" s="1" a="1"/>
  <c r="O105" i="69" s="1"/>
  <c r="E66" i="69" a="1"/>
  <c r="E66" i="69" s="1"/>
  <c r="E105" i="69" s="1" a="1"/>
  <c r="E105" i="69" s="1"/>
  <c r="O68" i="69" a="1"/>
  <c r="O68" i="69" s="1"/>
  <c r="O107" i="69" s="1" a="1"/>
  <c r="O107" i="69" s="1"/>
  <c r="E68" i="69" a="1"/>
  <c r="E68" i="69" s="1"/>
  <c r="E107" i="69" s="1" a="1"/>
  <c r="E107" i="69" s="1"/>
  <c r="G74" i="104" l="1"/>
  <c r="E77" i="104" s="1" a="1"/>
  <c r="E77" i="104" s="1"/>
  <c r="H10" i="13" s="1"/>
  <c r="I10" i="13" s="1"/>
  <c r="E81" i="103"/>
  <c r="E9" i="13" s="1"/>
  <c r="F9" i="13" s="1"/>
  <c r="E113" i="69"/>
  <c r="O113" i="69"/>
  <c r="D115" i="69" a="1"/>
  <c r="D115" i="69" s="1"/>
  <c r="F118" i="69" a="1"/>
  <c r="F118" i="69" s="1"/>
  <c r="G83" i="103" l="1"/>
  <c r="E86" i="103" s="1" a="1"/>
  <c r="E86" i="103" s="1"/>
  <c r="H9" i="13" s="1"/>
  <c r="I9" i="13" s="1"/>
  <c r="Q115" i="69"/>
  <c r="O118" i="69" s="1" a="1"/>
  <c r="O118" i="69" s="1"/>
  <c r="I7" i="13" s="1"/>
  <c r="F7" i="13"/>
  <c r="G7" i="13"/>
  <c r="I11" i="13" l="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E29" i="15" l="1"/>
  <c r="G115" i="69" l="1"/>
  <c r="E118" i="69" s="1" a="1"/>
  <c r="E118" i="69" s="1"/>
  <c r="H7" i="13" s="1"/>
  <c r="H11" i="13" s="1"/>
  <c r="E7" i="13" l="1"/>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<sst xmlns="http://schemas.openxmlformats.org/spreadsheetml/2006/main" count="562" uniqueCount="246">
  <si>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</si>
  <si>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</si>
  <si>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</si>
  <si>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</si>
  <si>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</si>
  <si>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</si>
  <si>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</si>
  <si>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</si>
  <si>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</si>
  <si>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</si>
  <si>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</si>
  <si>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</si>
  <si>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</si>
  <si>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</si>
  <si>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</si>
  <si>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</si>
  <si>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</si>
  <si>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</si>
  <si>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</si>
  <si>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</si>
  <si>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</si>
  <si>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</si>
  <si>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</si>
  <si>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</si>
  <si>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</si>
  <si>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</si>
  <si>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</si>
  <si>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</si>
  <si>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</si>
  <si>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</si>
  <si>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</si>
  <si>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</si>
  <si>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</si>
  <si>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</si>
  <si>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</si>
  <si>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</si>
  <si>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</si>
  <si>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</si>
  <si>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</si>
  <si>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</si>
  <si>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</si>
  <si>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</si>
  <si>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</si>
  <si>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</si>
  <si>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</si>
  <si>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</si>
  <si>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</si>
  <si>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</si>
  <si>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</si>
  <si>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</si>
  <si>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</si>
  <si>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</si>
  <si>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</si>
  <si>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</si>
  <si>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</si>
  <si>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</si>
  <si>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</si>
  <si>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</si>
  <si>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</si>
  <si>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</si>
  <si>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</si>
  <si>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</si>
  <si>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</si>
  <si>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</si>
  <si>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</si>
  <si>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</si>
  <si>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</si>
  <si>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</si>
  <si>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</si>
  <si>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</si>
  <si>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</si>
  <si>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</si>
  <si>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</si>
  <si>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</si>
  <si>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</si>
  <si>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</si>
  <si>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</si>
  <si>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</si>
  <si>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</si>
  <si>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</si>
  <si>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</si>
  <si>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</si>
  <si>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</si>
  <si>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</si>
  <si>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</si>
  <si>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New South Wales</t>
  </si>
  <si>
    <t>head</t>
  </si>
  <si>
    <t>Table_N_j</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</si>
  <si>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</si>
  <si>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</si>
  <si>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</si>
  <si>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</si>
  <si>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</si>
  <si>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</si>
  <si>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</si>
  <si>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</si>
  <si>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</si>
  <si>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</si>
  <si>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</si>
  <si>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</si>
  <si>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</si>
  <si>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</si>
  <si>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</si>
  <si>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</si>
  <si>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</si>
  <si>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</si>
  <si>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</si>
  <si>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</si>
  <si>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</si>
  <si>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</si>
  <si>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</si>
  <si>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GHG Unit</t>
  </si>
  <si>
    <t>CO2-e unit</t>
  </si>
  <si>
    <t>Irrigation type i</t>
  </si>
  <si>
    <t>EFPRP</t>
  </si>
  <si>
    <t>Month</t>
  </si>
  <si>
    <t>Season</t>
  </si>
  <si>
    <t>Acknowledgements</t>
  </si>
  <si>
    <t>GHG emissions method 1</t>
  </si>
  <si>
    <t>GHG emissions method 2</t>
  </si>
  <si>
    <t>CO2-e emissions method 1</t>
  </si>
  <si>
    <t>t CO2e</t>
  </si>
  <si>
    <t>CO2-e emissions method 2</t>
  </si>
  <si>
    <t>Direct application</t>
  </si>
  <si>
    <t>percent</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</si>
  <si>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</si>
  <si>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</si>
  <si>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</si>
  <si>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</si>
  <si>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</si>
  <si>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</si>
  <si>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</si>
  <si>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</si>
  <si>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</si>
  <si>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</si>
  <si>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</si>
  <si>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</si>
  <si>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</si>
  <si>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</si>
  <si>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Below is a diagram that maps the equations used to calculate emissions, how they interact with each other and how they align with dairy manure management processes.</t>
  </si>
  <si>
    <t xml:space="preserve">    Click on a box to go to the corresponding calculation.</t>
  </si>
  <si>
    <t>Other livestock type</t>
  </si>
  <si>
    <t>Mj</t>
  </si>
  <si>
    <t>VSj</t>
  </si>
  <si>
    <t>NEj</t>
  </si>
  <si>
    <t>Wco</t>
  </si>
  <si>
    <t>Wco2</t>
  </si>
  <si>
    <t>Uncovered anaerobic lagoon</t>
  </si>
  <si>
    <t>Input - MMS - Other Livestock</t>
  </si>
  <si>
    <t>No</t>
  </si>
  <si>
    <t>Percent in MMS</t>
  </si>
  <si>
    <t>Percent</t>
  </si>
  <si>
    <t>Buffalo</t>
  </si>
  <si>
    <t>Bulls</t>
  </si>
  <si>
    <t>Cows</t>
  </si>
  <si>
    <t>Steers</t>
  </si>
  <si>
    <t>Calves</t>
  </si>
  <si>
    <t>Goats</t>
  </si>
  <si>
    <t>Bucks / billy</t>
  </si>
  <si>
    <t>Wethers</t>
  </si>
  <si>
    <t>Maiden breeding does / nannies</t>
  </si>
  <si>
    <t>Breeding does / nannies</t>
  </si>
  <si>
    <t>Other</t>
  </si>
  <si>
    <t>Kids</t>
  </si>
  <si>
    <t>Deer</t>
  </si>
  <si>
    <t>Bucks</t>
  </si>
  <si>
    <t>Breeding does</t>
  </si>
  <si>
    <t>Other does</t>
  </si>
  <si>
    <t>Fawn</t>
  </si>
  <si>
    <t>Others</t>
  </si>
  <si>
    <t>Camels</t>
  </si>
  <si>
    <t>Alpacas</t>
  </si>
  <si>
    <t>Horses</t>
  </si>
  <si>
    <t>Mules / asses</t>
  </si>
  <si>
    <t>Emus / ostriches</t>
  </si>
  <si>
    <t>Are all dams and natural water sources fenced off so buffalo cannot access them?</t>
  </si>
  <si>
    <t>Are all dams and natural water sources fenced off so goats cannot access them?</t>
  </si>
  <si>
    <t>Are all dams and natural water sources fenced off so deer cannot access them?</t>
  </si>
  <si>
    <t>Are all dams and natural water sources fenced off so livestock cannot access them?</t>
  </si>
  <si>
    <t>Taken from</t>
  </si>
  <si>
    <t>BO</t>
  </si>
  <si>
    <t>Table_VS_j</t>
  </si>
  <si>
    <t>Volatile solid production</t>
  </si>
  <si>
    <t>Livestock type</t>
  </si>
  <si>
    <t>Table_B_O</t>
  </si>
  <si>
    <t>Methane emissions potential</t>
  </si>
  <si>
    <t>Table_MMS_m</t>
  </si>
  <si>
    <t>Fraction of waste in each manure management system</t>
  </si>
  <si>
    <t>Mules/asses</t>
  </si>
  <si>
    <t>Emus/ostriches</t>
  </si>
  <si>
    <t>M1_Table_MCF_i_m</t>
  </si>
  <si>
    <t>Methane conversion factor for state (Method 1)</t>
  </si>
  <si>
    <t>M2_Table_MCF_i_m</t>
  </si>
  <si>
    <t>Methane conversion factor for state (Method 2)</t>
  </si>
  <si>
    <t>M1_Table_M_j_m</t>
  </si>
  <si>
    <t>Annual methane production from manure management (Method 1)</t>
  </si>
  <si>
    <t>M2_Table_M_j_m</t>
  </si>
  <si>
    <t>Annual methane production from manure management (Method 2)</t>
  </si>
  <si>
    <t>Number of livestock</t>
  </si>
  <si>
    <t>M1_Table_E_CH4</t>
  </si>
  <si>
    <t>Annual methane production (Method 1)</t>
  </si>
  <si>
    <t>Table_NE_j</t>
  </si>
  <si>
    <t>Annual nitrogen excretion</t>
  </si>
  <si>
    <t>Table_AEj</t>
  </si>
  <si>
    <t>Nitrogen extreted per day</t>
  </si>
  <si>
    <t>AE</t>
  </si>
  <si>
    <t>t N2O</t>
  </si>
  <si>
    <t>Where did the livestock spend most of their time grazing?</t>
  </si>
  <si>
    <t>Pasture beefcrop or pasture production systems</t>
  </si>
  <si>
    <t>Where did the buffalo spend most of their time grazing?</t>
  </si>
  <si>
    <t>Where did the goats spend most of their time grazing?</t>
  </si>
  <si>
    <t>Where did the deer spend most of their time grazing?</t>
  </si>
  <si>
    <t>Table_EF_N2O</t>
  </si>
  <si>
    <t>Emission factor for atmospheric deposition</t>
  </si>
  <si>
    <t>Crop</t>
  </si>
  <si>
    <t>Table_M_vol</t>
  </si>
  <si>
    <t>Table_E_N2O_ad</t>
  </si>
  <si>
    <t>Atmospheric deposition emissions from urine and dung deposited on pasture</t>
  </si>
  <si>
    <t>Table_Frac_Wet</t>
  </si>
  <si>
    <t>Fraction of nitrogen available for leaching and runoff</t>
  </si>
  <si>
    <t>FracWet</t>
  </si>
  <si>
    <t>Table_M_leach</t>
  </si>
  <si>
    <t>Mass of nitrogen lost to leaching and runoff</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</si>
  <si>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</si>
  <si>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t>
    </r>
  </si>
  <si>
    <r>
      <t>M</t>
    </r>
    <r>
      <rPr>
        <b/>
        <vertAlign val="subscript"/>
        <sz val="11"/>
        <color rgb="FF183C1B"/>
        <rFont val="Times New Roman"/>
        <family val="1"/>
      </rPr>
      <t>leach</t>
    </r>
  </si>
  <si>
    <r>
      <t>AE</t>
    </r>
    <r>
      <rPr>
        <b/>
        <vertAlign val="subscript"/>
        <sz val="11"/>
        <color rgb="FF183C1B"/>
        <rFont val="Times New Roman"/>
        <family val="1"/>
      </rPr>
      <t>j</t>
    </r>
  </si>
  <si>
    <r>
      <t>EF</t>
    </r>
    <r>
      <rPr>
        <b/>
        <vertAlign val="subscript"/>
        <sz val="11"/>
        <color rgb="FF183C1B"/>
        <rFont val="Times New Roman"/>
        <family val="1"/>
      </rPr>
      <t>N2O</t>
    </r>
  </si>
  <si>
    <r>
      <t>M</t>
    </r>
    <r>
      <rPr>
        <b/>
        <vertAlign val="subscript"/>
        <sz val="11"/>
        <color rgb="FF183C1B"/>
        <rFont val="Times New Roman"/>
        <family val="1"/>
      </rPr>
      <t>vol</t>
    </r>
  </si>
  <si>
    <r>
      <t>NE</t>
    </r>
    <r>
      <rPr>
        <b/>
        <vertAlign val="subscript"/>
        <sz val="11"/>
        <color rgb="FF183C1B"/>
        <rFont val="Times New Roman"/>
        <family val="1"/>
      </rPr>
      <t>j</t>
    </r>
  </si>
  <si>
    <r>
      <t>N</t>
    </r>
    <r>
      <rPr>
        <b/>
        <vertAlign val="subscript"/>
        <sz val="11"/>
        <color rgb="FF533001"/>
        <rFont val="Times New Roman"/>
        <family val="1"/>
      </rPr>
      <t>j</t>
    </r>
  </si>
  <si>
    <r>
      <t>B</t>
    </r>
    <r>
      <rPr>
        <b/>
        <vertAlign val="subscript"/>
        <sz val="11"/>
        <color rgb="FF183C1B"/>
        <rFont val="Times New Roman"/>
        <family val="1"/>
      </rPr>
      <t>O</t>
    </r>
  </si>
  <si>
    <r>
      <t>VS</t>
    </r>
    <r>
      <rPr>
        <b/>
        <vertAlign val="subscript"/>
        <sz val="11"/>
        <color rgb="FF183C1B"/>
        <rFont val="Times New Roman"/>
        <family val="1"/>
      </rPr>
      <t>j</t>
    </r>
  </si>
  <si>
    <t>Source Data - Other Livestock</t>
  </si>
  <si>
    <t>4.7 Manure management: Other Livestock: Results</t>
  </si>
  <si>
    <t>4.7 Manure management: Other Livestock: Overview</t>
  </si>
  <si>
    <t>4.7.1.1-2 Manure Methane</t>
  </si>
  <si>
    <t>4.7.1.3-4 Manure Soil Direct N2O</t>
  </si>
  <si>
    <t>4.7.1.4-5 Manure Soil Atmospheric Deposition</t>
  </si>
  <si>
    <t>4.7.1.7-8 Manure Soil Leaching and Runoff</t>
  </si>
  <si>
    <t>4.7.1.7-8 Method 1 Soil atmospheric deposition</t>
  </si>
  <si>
    <t>4.7.1.1-2 Method 1 Manure methane</t>
  </si>
  <si>
    <t>4.7.1.3-4 Method 1 Soil direct N2O</t>
  </si>
  <si>
    <t>4.7.1.5-6 Method 1 Soil atmospheric deposition</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</si>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</sst>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14" borderId="2">
      <alignment horizontal="center" vertical="center"/>
    </xf>
    <xf numFmtId="0" fontId="61" fillId="15" borderId="2">
      <alignment horizontal="center" vertical="center"/>
    </xf>
    <xf numFmtId="0" fontId="35" fillId="4" borderId="2">
      <alignment horizontal="left" vertical="center"/>
    </xf>
    <xf numFmtId="0" fontId="62" fillId="4" borderId="2">
      <alignment horizontal="left" vertical="center"/>
    </xf>
  </cellStyleXfs>
  <cellXfs count="12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0" fontId="50" fillId="4" borderId="0" xfId="61">
      <alignment horizontal="left" vertical="center"/>
    </xf>
    <xf numFmtId="0" fontId="49" fillId="4" borderId="0" xfId="60">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22" fillId="11" borderId="0" xfId="64">
      <alignment horizontal="left" vertical="center" indent="1"/>
    </xf>
    <xf numFmtId="0" fontId="59" fillId="0" borderId="0" xfId="2" applyFont="1"/>
    <xf numFmtId="0" fontId="60" fillId="14" borderId="2" xfId="65">
      <alignment horizontal="center" vertical="center"/>
    </xf>
    <xf numFmtId="0" fontId="61" fillId="15" borderId="2" xfId="66">
      <alignment horizontal="center" vertical="center"/>
    </xf>
    <xf numFmtId="0" fontId="35" fillId="4" borderId="2" xfId="67">
      <alignment horizontal="left" vertical="center"/>
    </xf>
    <xf numFmtId="0" fontId="62"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35" fillId="4" borderId="19" xfId="67" applyBorder="1">
      <alignment horizontal="left" vertical="center"/>
    </xf>
    <xf numFmtId="0" fontId="40" fillId="9" borderId="0" xfId="8" applyFill="1">
      <alignment horizontal="left" vertical="center"/>
    </xf>
    <xf numFmtId="0" fontId="17" fillId="11" borderId="0" xfId="32" applyFill="1">
      <alignment vertical="center"/>
    </xf>
    <xf numFmtId="0" fontId="46" fillId="13" borderId="20" xfId="41" applyBorder="1">
      <alignment horizontal="left" vertical="center"/>
    </xf>
    <xf numFmtId="0" fontId="47" fillId="13" borderId="21" xfId="41" applyFont="1" applyBorder="1">
      <alignment horizontal="left" vertical="center"/>
    </xf>
    <xf numFmtId="0" fontId="46" fillId="13" borderId="21" xfId="41" applyBorder="1">
      <alignment horizontal="left" vertical="center"/>
    </xf>
    <xf numFmtId="170" fontId="35" fillId="4" borderId="2" xfId="14" applyNumberFormat="1" applyFont="1" applyFill="1" applyBorder="1" applyAlignment="1">
      <alignment horizontal="center"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1">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217774</xdr:colOff>
      <xdr:row>7</xdr:row>
      <xdr:rowOff>3135</xdr:rowOff>
    </xdr:from>
    <xdr:ext cx="1928078" cy="505267"/>
    <xdr:sp macro="" textlink="'4.7.1.1-2 Manure Methane'!C1">
      <xdr:nvSpPr>
        <xdr:cNvPr id="2" name="TextBox 1">
          <a:extLst>
            <a:ext uri="{FF2B5EF4-FFF2-40B4-BE49-F238E27FC236}">
              <a16:creationId xmlns:a16="http://schemas.microsoft.com/office/drawing/2014/main" id="{3B503452-64E4-4041-812B-B7191D6DC263}"/>
            </a:ext>
          </a:extLst>
        </xdr:cNvPr>
        <xdr:cNvSpPr txBox="1"/>
      </xdr:nvSpPr>
      <xdr:spPr>
        <a:xfrm>
          <a:off x="2894299" y="1870035"/>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1819D9-BE73-49E0-8414-E65561BAF014}" type="TxLink">
            <a:rPr lang="en-US" sz="1400" b="0" i="0" u="none" strike="noStrike">
              <a:solidFill>
                <a:srgbClr val="0C769E"/>
              </a:solidFill>
              <a:latin typeface="Times New Roman"/>
              <a:cs typeface="Times New Roman"/>
            </a:rPr>
            <a:pPr algn="ctr"/>
            <a:t>4.7.1.1-2 Manure Methane</a:t>
          </a:fld>
          <a:endParaRPr lang="en-AU" sz="1400" b="0">
            <a:solidFill>
              <a:srgbClr val="0C769E"/>
            </a:solidFill>
          </a:endParaRPr>
        </a:p>
      </xdr:txBody>
    </xdr:sp>
    <xdr:clientData/>
  </xdr:oneCellAnchor>
  <xdr:oneCellAnchor>
    <xdr:from>
      <xdr:col>7</xdr:col>
      <xdr:colOff>254730</xdr:colOff>
      <xdr:row>7</xdr:row>
      <xdr:rowOff>3136</xdr:rowOff>
    </xdr:from>
    <xdr:ext cx="1946138" cy="505267"/>
    <xdr:sp macro="" textlink="'4.7.1.3-4 Soil Direct N2O'!C1">
      <xdr:nvSpPr>
        <xdr:cNvPr id="4" name="TextBox 3">
          <a:extLst>
            <a:ext uri="{FF2B5EF4-FFF2-40B4-BE49-F238E27FC236}">
              <a16:creationId xmlns:a16="http://schemas.microsoft.com/office/drawing/2014/main" id="{C4257C06-9F2B-4941-8D4B-9A2D04E1F9C9}"/>
            </a:ext>
          </a:extLst>
        </xdr:cNvPr>
        <xdr:cNvSpPr txBox="1"/>
      </xdr:nvSpPr>
      <xdr:spPr>
        <a:xfrm>
          <a:off x="5369655"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0C66FB3-537F-47DC-A689-0DFF3B216FA0}" type="TxLink">
            <a:rPr lang="en-US" sz="1400" b="0" i="0" u="none" strike="noStrike">
              <a:solidFill>
                <a:srgbClr val="002060"/>
              </a:solidFill>
              <a:latin typeface="Times New Roman"/>
              <a:cs typeface="Times New Roman"/>
            </a:rPr>
            <a:pPr algn="ctr"/>
            <a:t>4.7.1.3-4 Manure Soil Direct N2O</a:t>
          </a:fld>
          <a:endParaRPr lang="en-AU" sz="1400" b="0">
            <a:solidFill>
              <a:srgbClr val="002060"/>
            </a:solidFill>
          </a:endParaRPr>
        </a:p>
      </xdr:txBody>
    </xdr:sp>
    <xdr:clientData/>
  </xdr:oneCellAnchor>
  <xdr:twoCellAnchor>
    <xdr:from>
      <xdr:col>7</xdr:col>
      <xdr:colOff>366215</xdr:colOff>
      <xdr:row>9</xdr:row>
      <xdr:rowOff>180108</xdr:rowOff>
    </xdr:from>
    <xdr:to>
      <xdr:col>10</xdr:col>
      <xdr:colOff>52136</xdr:colOff>
      <xdr:row>12</xdr:row>
      <xdr:rowOff>157158</xdr:rowOff>
    </xdr:to>
    <xdr:sp macro="" textlink="'4.7.1.3-4 Soil Direct N2O'!D5">
      <xdr:nvSpPr>
        <xdr:cNvPr id="5" name="TextBox 4">
          <a:extLst>
            <a:ext uri="{FF2B5EF4-FFF2-40B4-BE49-F238E27FC236}">
              <a16:creationId xmlns:a16="http://schemas.microsoft.com/office/drawing/2014/main" id="{1D9A1F2E-1D34-44C4-A814-116FF25706CF}"/>
            </a:ext>
          </a:extLst>
        </xdr:cNvPr>
        <xdr:cNvSpPr txBox="1"/>
      </xdr:nvSpPr>
      <xdr:spPr>
        <a:xfrm>
          <a:off x="5481140" y="2542308"/>
          <a:ext cx="1514721"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E1A144-81DD-4A29-B423-E3EE4C4DF570}" type="TxLink">
            <a:rPr lang="en-US" sz="1000" b="0" i="0" u="none" strike="noStrike">
              <a:solidFill>
                <a:srgbClr val="002060"/>
              </a:solidFill>
              <a:latin typeface="Times New Roman"/>
              <a:cs typeface="Times New Roman"/>
            </a:rPr>
            <a:pPr algn="ctr"/>
            <a:t>Annual nitrogen excreted by livestock to pasture, range and paddock</a:t>
          </a:fld>
          <a:endParaRPr lang="en-AU" sz="1000">
            <a:solidFill>
              <a:srgbClr val="002060"/>
            </a:solidFill>
          </a:endParaRPr>
        </a:p>
      </xdr:txBody>
    </xdr:sp>
    <xdr:clientData/>
  </xdr:twoCellAnchor>
  <xdr:oneCellAnchor>
    <xdr:from>
      <xdr:col>11</xdr:col>
      <xdr:colOff>150435</xdr:colOff>
      <xdr:row>6</xdr:row>
      <xdr:rowOff>242803</xdr:rowOff>
    </xdr:from>
    <xdr:ext cx="1905000" cy="711733"/>
    <xdr:sp macro="" textlink="'4.7.1.5-6 Soil Atmos Deposition'!C1">
      <xdr:nvSpPr>
        <xdr:cNvPr id="6" name="TextBox 5">
          <a:extLst>
            <a:ext uri="{FF2B5EF4-FFF2-40B4-BE49-F238E27FC236}">
              <a16:creationId xmlns:a16="http://schemas.microsoft.com/office/drawing/2014/main" id="{802EA2E0-B0F7-4C24-B5E1-096DFC74BC99}"/>
            </a:ext>
          </a:extLst>
        </xdr:cNvPr>
        <xdr:cNvSpPr txBox="1"/>
      </xdr:nvSpPr>
      <xdr:spPr>
        <a:xfrm>
          <a:off x="7703760" y="1862053"/>
          <a:ext cx="19050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F60719-CC31-45E8-92FC-49FEE7790297}" type="TxLink">
            <a:rPr lang="en-US" sz="1400" b="0" i="0" u="none" strike="noStrike">
              <a:solidFill>
                <a:srgbClr val="7030A0"/>
              </a:solidFill>
              <a:latin typeface="Times New Roman"/>
              <a:cs typeface="Times New Roman"/>
            </a:rPr>
            <a:pPr algn="ctr"/>
            <a:t>4.7.1.4-5 Manure Soil Atmospheric Deposition</a:t>
          </a:fld>
          <a:endParaRPr lang="en-AU" sz="1400" b="0">
            <a:solidFill>
              <a:srgbClr val="7030A0"/>
            </a:solidFill>
          </a:endParaRPr>
        </a:p>
      </xdr:txBody>
    </xdr:sp>
    <xdr:clientData/>
  </xdr:oneCellAnchor>
  <xdr:oneCellAnchor>
    <xdr:from>
      <xdr:col>15</xdr:col>
      <xdr:colOff>518155</xdr:colOff>
      <xdr:row>6</xdr:row>
      <xdr:rowOff>231736</xdr:rowOff>
    </xdr:from>
    <xdr:ext cx="1683647" cy="711733"/>
    <xdr:sp macro="" textlink="'4.7.1.7-8 Soil Leaching Runoff'!C1">
      <xdr:nvSpPr>
        <xdr:cNvPr id="8" name="TextBox 7">
          <a:extLst>
            <a:ext uri="{FF2B5EF4-FFF2-40B4-BE49-F238E27FC236}">
              <a16:creationId xmlns:a16="http://schemas.microsoft.com/office/drawing/2014/main" id="{3B546504-E89D-477B-AF73-C368EECD911A}"/>
            </a:ext>
          </a:extLst>
        </xdr:cNvPr>
        <xdr:cNvSpPr txBox="1"/>
      </xdr:nvSpPr>
      <xdr:spPr>
        <a:xfrm>
          <a:off x="10509880" y="185098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0B42E19-73B9-41B3-A8ED-28F470B1A627}" type="TxLink">
            <a:rPr lang="en-US" sz="1400" b="0" i="0" u="none" strike="noStrike">
              <a:solidFill>
                <a:srgbClr val="C00000"/>
              </a:solidFill>
              <a:latin typeface="Times New Roman"/>
              <a:cs typeface="Times New Roman"/>
            </a:rPr>
            <a:pPr algn="ctr"/>
            <a:t>4.7.1.7-8 Manure Soil Leaching and Runoff</a:t>
          </a:fld>
          <a:endParaRPr lang="en-AU" sz="1400" b="0">
            <a:solidFill>
              <a:srgbClr val="C00000"/>
            </a:solidFill>
          </a:endParaRPr>
        </a:p>
      </xdr:txBody>
    </xdr:sp>
    <xdr:clientData/>
  </xdr:oneCellAnchor>
  <xdr:twoCellAnchor>
    <xdr:from>
      <xdr:col>3</xdr:col>
      <xdr:colOff>389782</xdr:colOff>
      <xdr:row>9</xdr:row>
      <xdr:rowOff>187035</xdr:rowOff>
    </xdr:from>
    <xdr:to>
      <xdr:col>6</xdr:col>
      <xdr:colOff>70261</xdr:colOff>
      <xdr:row>12</xdr:row>
      <xdr:rowOff>164086</xdr:rowOff>
    </xdr:to>
    <xdr:sp macro="" textlink="'4.7.1.1-2 Manure Methane'!D5">
      <xdr:nvSpPr>
        <xdr:cNvPr id="16" name="TextBox 15">
          <a:extLst>
            <a:ext uri="{FF2B5EF4-FFF2-40B4-BE49-F238E27FC236}">
              <a16:creationId xmlns:a16="http://schemas.microsoft.com/office/drawing/2014/main" id="{A391DA18-C458-4E43-BCCB-7D7FA0C9843E}"/>
            </a:ext>
          </a:extLst>
        </xdr:cNvPr>
        <xdr:cNvSpPr txBox="1"/>
      </xdr:nvSpPr>
      <xdr:spPr>
        <a:xfrm>
          <a:off x="3066307" y="2549235"/>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70C9F3-5091-4865-AC1C-2631F8268E1F}" type="TxLink">
            <a:rPr lang="en-US" sz="1000" b="0" i="0" u="none" strike="noStrike">
              <a:solidFill>
                <a:srgbClr val="0C769E"/>
              </a:solidFill>
              <a:latin typeface="Times New Roman"/>
              <a:cs typeface="Times New Roman"/>
            </a:rPr>
            <a:pPr algn="ctr"/>
            <a:t>Annual methane production from manure management</a:t>
          </a:fld>
          <a:endParaRPr lang="en-AU" sz="1000">
            <a:solidFill>
              <a:srgbClr val="0C769E"/>
            </a:solidFill>
          </a:endParaRPr>
        </a:p>
      </xdr:txBody>
    </xdr:sp>
    <xdr:clientData/>
  </xdr:twoCellAnchor>
  <xdr:twoCellAnchor>
    <xdr:from>
      <xdr:col>3</xdr:col>
      <xdr:colOff>362568</xdr:colOff>
      <xdr:row>19</xdr:row>
      <xdr:rowOff>197785</xdr:rowOff>
    </xdr:from>
    <xdr:to>
      <xdr:col>6</xdr:col>
      <xdr:colOff>43047</xdr:colOff>
      <xdr:row>22</xdr:row>
      <xdr:rowOff>169885</xdr:rowOff>
    </xdr:to>
    <xdr:sp macro="" textlink="'4.7.1.1-2 Manure Methane'!D76">
      <xdr:nvSpPr>
        <xdr:cNvPr id="20" name="TextBox 19">
          <a:extLst>
            <a:ext uri="{FF2B5EF4-FFF2-40B4-BE49-F238E27FC236}">
              <a16:creationId xmlns:a16="http://schemas.microsoft.com/office/drawing/2014/main" id="{050A7C22-4BD7-4D52-9D6E-89987EDCC59C}"/>
            </a:ext>
          </a:extLst>
        </xdr:cNvPr>
        <xdr:cNvSpPr txBox="1"/>
      </xdr:nvSpPr>
      <xdr:spPr>
        <a:xfrm>
          <a:off x="3039093" y="5036485"/>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96A758-AA4C-437E-AD90-8445A56A6224}" type="TxLink">
            <a:rPr lang="en-US" sz="1000" b="1" i="0" u="none" strike="noStrike">
              <a:solidFill>
                <a:srgbClr val="0C769E"/>
              </a:solidFill>
              <a:latin typeface="Times New Roman"/>
              <a:cs typeface="Times New Roman"/>
            </a:rPr>
            <a:pPr algn="ctr"/>
            <a:t>Total annual methane production from manure management of other livestock</a:t>
          </a:fld>
          <a:endParaRPr lang="en-AU" sz="1000" b="1">
            <a:solidFill>
              <a:srgbClr val="0C769E"/>
            </a:solidFill>
          </a:endParaRPr>
        </a:p>
      </xdr:txBody>
    </xdr:sp>
    <xdr:clientData/>
  </xdr:twoCellAnchor>
  <xdr:twoCellAnchor>
    <xdr:from>
      <xdr:col>4</xdr:col>
      <xdr:colOff>507609</xdr:colOff>
      <xdr:row>12</xdr:row>
      <xdr:rowOff>164085</xdr:rowOff>
    </xdr:from>
    <xdr:to>
      <xdr:col>4</xdr:col>
      <xdr:colOff>534823</xdr:colOff>
      <xdr:row>19</xdr:row>
      <xdr:rowOff>197784</xdr:rowOff>
    </xdr:to>
    <xdr:cxnSp macro="">
      <xdr:nvCxnSpPr>
        <xdr:cNvPr id="24" name="Connector: Curved 23">
          <a:extLst>
            <a:ext uri="{FF2B5EF4-FFF2-40B4-BE49-F238E27FC236}">
              <a16:creationId xmlns:a16="http://schemas.microsoft.com/office/drawing/2014/main" id="{DC7C8163-CA33-4F29-8BC7-CA3B1B1A1E9F}"/>
            </a:ext>
          </a:extLst>
        </xdr:cNvPr>
        <xdr:cNvCxnSpPr>
          <a:cxnSpLocks/>
          <a:stCxn id="16" idx="2"/>
          <a:endCxn id="20" idx="0"/>
        </xdr:cNvCxnSpPr>
      </xdr:nvCxnSpPr>
      <xdr:spPr>
        <a:xfrm rot="5400000">
          <a:off x="2923716" y="4139253"/>
          <a:ext cx="1767249"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366215</xdr:colOff>
      <xdr:row>19</xdr:row>
      <xdr:rowOff>216216</xdr:rowOff>
    </xdr:from>
    <xdr:to>
      <xdr:col>10</xdr:col>
      <xdr:colOff>52136</xdr:colOff>
      <xdr:row>22</xdr:row>
      <xdr:rowOff>193267</xdr:rowOff>
    </xdr:to>
    <xdr:sp macro="" textlink="'4.7.1.3-4 Soil Direct N2O'!D57">
      <xdr:nvSpPr>
        <xdr:cNvPr id="28" name="TextBox 27">
          <a:extLst>
            <a:ext uri="{FF2B5EF4-FFF2-40B4-BE49-F238E27FC236}">
              <a16:creationId xmlns:a16="http://schemas.microsoft.com/office/drawing/2014/main" id="{9698555D-C7EC-4EA2-890F-C4B4DFF81AF8}"/>
            </a:ext>
          </a:extLst>
        </xdr:cNvPr>
        <xdr:cNvSpPr txBox="1"/>
      </xdr:nvSpPr>
      <xdr:spPr>
        <a:xfrm>
          <a:off x="5481140" y="5054916"/>
          <a:ext cx="1514721" cy="72000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179A8-B6ED-444A-A13B-9EAD2C2DD96C}" type="TxLink">
            <a:rPr lang="en-US" sz="1000" b="1" i="0" u="none" strike="noStrike">
              <a:solidFill>
                <a:srgbClr val="002060"/>
              </a:solidFill>
              <a:latin typeface="Times New Roman"/>
              <a:cs typeface="Times New Roman"/>
            </a:rPr>
            <a:pPr algn="ctr"/>
            <a:t>Direct nitrous oxide emissions from agricultural soils from deposition of urine and dung to pasture</a:t>
          </a:fld>
          <a:endParaRPr lang="en-AU" sz="1000" b="1">
            <a:solidFill>
              <a:srgbClr val="002060"/>
            </a:solidFill>
          </a:endParaRPr>
        </a:p>
      </xdr:txBody>
    </xdr:sp>
    <xdr:clientData/>
  </xdr:twoCellAnchor>
  <xdr:twoCellAnchor>
    <xdr:from>
      <xdr:col>8</xdr:col>
      <xdr:colOff>507626</xdr:colOff>
      <xdr:row>12</xdr:row>
      <xdr:rowOff>163508</xdr:rowOff>
    </xdr:from>
    <xdr:to>
      <xdr:col>8</xdr:col>
      <xdr:colOff>520326</xdr:colOff>
      <xdr:row>19</xdr:row>
      <xdr:rowOff>222566</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5342197" y="4158612"/>
          <a:ext cx="1792608"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607929</xdr:colOff>
      <xdr:row>18</xdr:row>
      <xdr:rowOff>161139</xdr:rowOff>
    </xdr:from>
    <xdr:to>
      <xdr:col>13</xdr:col>
      <xdr:colOff>1228</xdr:colOff>
      <xdr:row>19</xdr:row>
      <xdr:rowOff>234464</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8611816" y="4911227"/>
          <a:ext cx="320975"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567980</xdr:colOff>
      <xdr:row>15</xdr:row>
      <xdr:rowOff>187304</xdr:rowOff>
    </xdr:from>
    <xdr:to>
      <xdr:col>18</xdr:col>
      <xdr:colOff>251180</xdr:colOff>
      <xdr:row>18</xdr:row>
      <xdr:rowOff>176916</xdr:rowOff>
    </xdr:to>
    <xdr:sp macro="" textlink="'4.7.1.7-8 Soil Leaching Runoff'!D5">
      <xdr:nvSpPr>
        <xdr:cNvPr id="54" name="TextBox 53">
          <a:extLst>
            <a:ext uri="{FF2B5EF4-FFF2-40B4-BE49-F238E27FC236}">
              <a16:creationId xmlns:a16="http://schemas.microsoft.com/office/drawing/2014/main" id="{95ED6D80-A9CA-4BE0-8876-0A2123740055}"/>
            </a:ext>
          </a:extLst>
        </xdr:cNvPr>
        <xdr:cNvSpPr txBox="1"/>
      </xdr:nvSpPr>
      <xdr:spPr>
        <a:xfrm>
          <a:off x="10559705" y="4035404"/>
          <a:ext cx="1512000" cy="732562"/>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374314-469D-4FEE-A13F-1AAE719CA46F}" type="TxLink">
            <a:rPr lang="en-US" sz="1000" b="0" i="0" u="none" strike="noStrike">
              <a:solidFill>
                <a:srgbClr val="C00000"/>
              </a:solidFill>
              <a:latin typeface="Times New Roman"/>
              <a:cs typeface="Times New Roman"/>
            </a:rPr>
            <a:pPr algn="ctr"/>
            <a:t>Mass of nitrogen lost to leaching and runoff</a:t>
          </a:fld>
          <a:endParaRPr lang="en-AU" sz="1000" b="1">
            <a:solidFill>
              <a:srgbClr val="C00000"/>
            </a:solidFill>
          </a:endParaRPr>
        </a:p>
      </xdr:txBody>
    </xdr:sp>
    <xdr:clientData/>
  </xdr:twoCellAnchor>
  <xdr:twoCellAnchor>
    <xdr:from>
      <xdr:col>15</xdr:col>
      <xdr:colOff>584182</xdr:colOff>
      <xdr:row>20</xdr:row>
      <xdr:rowOff>8881</xdr:rowOff>
    </xdr:from>
    <xdr:to>
      <xdr:col>18</xdr:col>
      <xdr:colOff>274292</xdr:colOff>
      <xdr:row>22</xdr:row>
      <xdr:rowOff>228631</xdr:rowOff>
    </xdr:to>
    <xdr:sp macro="" textlink="'4.7.1.7-8 Soil Leaching Runoff'!D60">
      <xdr:nvSpPr>
        <xdr:cNvPr id="56" name="TextBox 55">
          <a:extLst>
            <a:ext uri="{FF2B5EF4-FFF2-40B4-BE49-F238E27FC236}">
              <a16:creationId xmlns:a16="http://schemas.microsoft.com/office/drawing/2014/main" id="{5FA3B127-61AF-470F-B0DC-C1C9FB586772}"/>
            </a:ext>
          </a:extLst>
        </xdr:cNvPr>
        <xdr:cNvSpPr txBox="1"/>
      </xdr:nvSpPr>
      <xdr:spPr>
        <a:xfrm>
          <a:off x="10575907" y="5095231"/>
          <a:ext cx="1518910" cy="71505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44C643-B55B-4F44-A52F-15E489C5DC43}" type="TxLink">
            <a:rPr lang="en-US" sz="1000" b="1" i="0" u="none" strike="noStrike">
              <a:solidFill>
                <a:srgbClr val="C00000"/>
              </a:solidFill>
              <a:latin typeface="Times New Roman"/>
              <a:cs typeface="Times New Roman"/>
            </a:rPr>
            <a:pPr algn="ctr"/>
            <a:t>Leaching and runoff emissions from urine and dung deposited on pasture</a:t>
          </a:fld>
          <a:endParaRPr lang="en-AU" sz="1000" b="1">
            <a:solidFill>
              <a:srgbClr val="C00000"/>
            </a:solidFill>
          </a:endParaRPr>
        </a:p>
      </xdr:txBody>
    </xdr:sp>
    <xdr:clientData/>
  </xdr:twoCellAnchor>
  <xdr:twoCellAnchor>
    <xdr:from>
      <xdr:col>20</xdr:col>
      <xdr:colOff>255813</xdr:colOff>
      <xdr:row>23</xdr:row>
      <xdr:rowOff>95372</xdr:rowOff>
    </xdr:from>
    <xdr:to>
      <xdr:col>23</xdr:col>
      <xdr:colOff>80443</xdr:colOff>
      <xdr:row>27</xdr:row>
      <xdr:rowOff>180975</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13295538" y="5924672"/>
          <a:ext cx="1653430" cy="107620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Portion of manure runoff into water</a:t>
          </a:r>
        </a:p>
      </xdr:txBody>
    </xdr:sp>
    <xdr:clientData/>
  </xdr:twoCellAnchor>
  <xdr:twoCellAnchor>
    <xdr:from>
      <xdr:col>21</xdr:col>
      <xdr:colOff>457199</xdr:colOff>
      <xdr:row>20</xdr:row>
      <xdr:rowOff>133350</xdr:rowOff>
    </xdr:from>
    <xdr:to>
      <xdr:col>21</xdr:col>
      <xdr:colOff>472928</xdr:colOff>
      <xdr:row>23</xdr:row>
      <xdr:rowOff>95371</xdr:rowOff>
    </xdr:to>
    <xdr:cxnSp macro="">
      <xdr:nvCxnSpPr>
        <xdr:cNvPr id="77" name="Connector: Curved 76">
          <a:extLst>
            <a:ext uri="{FF2B5EF4-FFF2-40B4-BE49-F238E27FC236}">
              <a16:creationId xmlns:a16="http://schemas.microsoft.com/office/drawing/2014/main" id="{45D3BFD0-5625-4B70-A13F-3755781F8A37}"/>
            </a:ext>
          </a:extLst>
        </xdr:cNvPr>
        <xdr:cNvCxnSpPr>
          <a:cxnSpLocks/>
          <a:stCxn id="12" idx="2"/>
          <a:endCxn id="66" idx="0"/>
        </xdr:cNvCxnSpPr>
      </xdr:nvCxnSpPr>
      <xdr:spPr>
        <a:xfrm rot="16200000" flipH="1">
          <a:off x="13761903" y="5564321"/>
          <a:ext cx="704971" cy="157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228599</xdr:colOff>
      <xdr:row>9</xdr:row>
      <xdr:rowOff>241093</xdr:rowOff>
    </xdr:from>
    <xdr:to>
      <xdr:col>23</xdr:col>
      <xdr:colOff>53228</xdr:colOff>
      <xdr:row>13</xdr:row>
      <xdr:rowOff>143122</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13268324" y="2603293"/>
          <a:ext cx="1653429" cy="89262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pasture range and paddock</a:t>
          </a:r>
          <a:endParaRPr lang="en-AU" sz="1400"/>
        </a:p>
      </xdr:txBody>
    </xdr:sp>
    <xdr:clientData/>
  </xdr:twoCellAnchor>
  <xdr:twoCellAnchor>
    <xdr:from>
      <xdr:col>21</xdr:col>
      <xdr:colOff>445714</xdr:colOff>
      <xdr:row>13</xdr:row>
      <xdr:rowOff>143121</xdr:rowOff>
    </xdr:from>
    <xdr:to>
      <xdr:col>21</xdr:col>
      <xdr:colOff>457199</xdr:colOff>
      <xdr:row>14</xdr:row>
      <xdr:rowOff>228600</xdr:rowOff>
    </xdr:to>
    <xdr:cxnSp macro="">
      <xdr:nvCxnSpPr>
        <xdr:cNvPr id="85" name="Connector: Curved 84">
          <a:extLst>
            <a:ext uri="{FF2B5EF4-FFF2-40B4-BE49-F238E27FC236}">
              <a16:creationId xmlns:a16="http://schemas.microsoft.com/office/drawing/2014/main" id="{1BC07B9E-FF90-42C1-8E3C-B5A95D054FED}"/>
            </a:ext>
          </a:extLst>
        </xdr:cNvPr>
        <xdr:cNvCxnSpPr>
          <a:cxnSpLocks/>
          <a:stCxn id="84" idx="2"/>
          <a:endCxn id="12" idx="0"/>
        </xdr:cNvCxnSpPr>
      </xdr:nvCxnSpPr>
      <xdr:spPr>
        <a:xfrm rot="16200000" flipH="1">
          <a:off x="13934217" y="3656743"/>
          <a:ext cx="333129" cy="114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19</xdr:col>
      <xdr:colOff>405615</xdr:colOff>
      <xdr:row>7</xdr:row>
      <xdr:rowOff>138598</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12835740" y="200549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11</xdr:col>
      <xdr:colOff>462889</xdr:colOff>
      <xdr:row>15</xdr:row>
      <xdr:rowOff>184088</xdr:rowOff>
    </xdr:from>
    <xdr:to>
      <xdr:col>14</xdr:col>
      <xdr:colOff>143368</xdr:colOff>
      <xdr:row>18</xdr:row>
      <xdr:rowOff>161140</xdr:rowOff>
    </xdr:to>
    <xdr:sp macro="" textlink="'4.7.1.5-6 Soil Atmos Deposition'!D5">
      <xdr:nvSpPr>
        <xdr:cNvPr id="53" name="TextBox 52">
          <a:extLst>
            <a:ext uri="{FF2B5EF4-FFF2-40B4-BE49-F238E27FC236}">
              <a16:creationId xmlns:a16="http://schemas.microsoft.com/office/drawing/2014/main" id="{BA71A6CA-D1BA-4D4D-990E-27D8C087EF33}"/>
            </a:ext>
          </a:extLst>
        </xdr:cNvPr>
        <xdr:cNvSpPr txBox="1"/>
      </xdr:nvSpPr>
      <xdr:spPr>
        <a:xfrm>
          <a:off x="8016214" y="4032188"/>
          <a:ext cx="1509279" cy="720002"/>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D5A4C-5C05-413A-BF47-D75D932ABE37}" type="TxLink">
            <a:rPr lang="en-US" sz="1000" b="0" i="0" u="none" strike="noStrike">
              <a:solidFill>
                <a:srgbClr val="7030A0"/>
              </a:solidFill>
              <a:latin typeface="Times New Roman"/>
              <a:cs typeface="Times New Roman"/>
            </a:rPr>
            <a:pPr algn="ctr"/>
            <a:t>Mass of nitrogen volatilised from urine and faeces deposited on pasture</a:t>
          </a:fld>
          <a:endParaRPr lang="en-AU" sz="1000">
            <a:solidFill>
              <a:srgbClr val="7030A0"/>
            </a:solidFill>
          </a:endParaRPr>
        </a:p>
      </xdr:txBody>
    </xdr:sp>
    <xdr:clientData/>
  </xdr:twoCellAnchor>
  <xdr:twoCellAnchor>
    <xdr:from>
      <xdr:col>11</xdr:col>
      <xdr:colOff>465788</xdr:colOff>
      <xdr:row>19</xdr:row>
      <xdr:rowOff>234465</xdr:rowOff>
    </xdr:from>
    <xdr:to>
      <xdr:col>14</xdr:col>
      <xdr:colOff>146267</xdr:colOff>
      <xdr:row>22</xdr:row>
      <xdr:rowOff>206565</xdr:rowOff>
    </xdr:to>
    <xdr:sp macro="" textlink="'4.7.1.5-6 Soil Atmos Deposition'!D42">
      <xdr:nvSpPr>
        <xdr:cNvPr id="55" name="TextBox 54">
          <a:extLst>
            <a:ext uri="{FF2B5EF4-FFF2-40B4-BE49-F238E27FC236}">
              <a16:creationId xmlns:a16="http://schemas.microsoft.com/office/drawing/2014/main" id="{D2D728C0-C301-4FC2-953C-540E832F0A32}"/>
            </a:ext>
          </a:extLst>
        </xdr:cNvPr>
        <xdr:cNvSpPr txBox="1"/>
      </xdr:nvSpPr>
      <xdr:spPr>
        <a:xfrm>
          <a:off x="8019113" y="5073165"/>
          <a:ext cx="1509279" cy="71505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A21617-D88C-4597-A988-7ED3F80C257F}" type="TxLink">
            <a:rPr lang="en-US" sz="1000" b="1" i="0" u="none" strike="noStrike">
              <a:solidFill>
                <a:srgbClr val="7030A0"/>
              </a:solidFill>
              <a:latin typeface="Times New Roman"/>
              <a:cs typeface="Times New Roman"/>
            </a:rPr>
            <a:pPr algn="ctr"/>
            <a:t>Atmospheric deposition emissions from urine and dung deposited on pasture</a:t>
          </a:fld>
          <a:endParaRPr lang="en-AU" sz="1000" b="1">
            <a:solidFill>
              <a:srgbClr val="7030A0"/>
            </a:solidFill>
          </a:endParaRPr>
        </a:p>
      </xdr:txBody>
    </xdr:sp>
    <xdr:clientData/>
  </xdr:twoCellAnchor>
  <xdr:twoCellAnchor>
    <xdr:from>
      <xdr:col>19</xdr:col>
      <xdr:colOff>561974</xdr:colOff>
      <xdr:row>14</xdr:row>
      <xdr:rowOff>228601</xdr:rowOff>
    </xdr:from>
    <xdr:to>
      <xdr:col>23</xdr:col>
      <xdr:colOff>352424</xdr:colOff>
      <xdr:row>20</xdr:row>
      <xdr:rowOff>133351</xdr:rowOff>
    </xdr:to>
    <xdr:sp macro="" textlink="">
      <xdr:nvSpPr>
        <xdr:cNvPr id="12" name="Diamond 11">
          <a:extLst>
            <a:ext uri="{FF2B5EF4-FFF2-40B4-BE49-F238E27FC236}">
              <a16:creationId xmlns:a16="http://schemas.microsoft.com/office/drawing/2014/main" id="{30DD02BF-8ABB-AB5A-4151-0D58D10041BC}"/>
            </a:ext>
          </a:extLst>
        </xdr:cNvPr>
        <xdr:cNvSpPr/>
      </xdr:nvSpPr>
      <xdr:spPr>
        <a:xfrm>
          <a:off x="12992099" y="3829051"/>
          <a:ext cx="2228850" cy="1390650"/>
        </a:xfrm>
        <a:prstGeom prst="diamond">
          <a:avLst/>
        </a:prstGeom>
        <a:solidFill>
          <a:schemeClr val="bg1"/>
        </a:solidFill>
        <a:ln>
          <a:solidFill>
            <a:srgbClr val="008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1100" i="1">
              <a:solidFill>
                <a:srgbClr val="008000"/>
              </a:solidFill>
              <a:effectLst/>
              <a:latin typeface="+mn-lt"/>
              <a:ea typeface="+mn-ea"/>
              <a:cs typeface="+mn-cs"/>
            </a:rPr>
            <a:t>Do livestock have access to natural waterways</a:t>
          </a:r>
          <a:r>
            <a:rPr lang="en-AU" sz="1100" i="0">
              <a:ln>
                <a:solidFill>
                  <a:srgbClr val="008000"/>
                </a:solidFill>
              </a:ln>
              <a:solidFill>
                <a:srgbClr val="008000"/>
              </a:solidFill>
              <a:effectLst/>
              <a:latin typeface="+mn-lt"/>
              <a:ea typeface="+mn-ea"/>
              <a:cs typeface="+mn-cs"/>
            </a:rPr>
            <a:t>?</a:t>
          </a:r>
          <a:endParaRPr lang="en-AU">
            <a:solidFill>
              <a:srgbClr val="008000"/>
            </a:solidFill>
            <a:effectLst/>
          </a:endParaRPr>
        </a:p>
      </xdr:txBody>
    </xdr:sp>
    <xdr:clientData/>
  </xdr:twoCellAnchor>
  <xdr:oneCellAnchor>
    <xdr:from>
      <xdr:col>21</xdr:col>
      <xdr:colOff>409574</xdr:colOff>
      <xdr:row>21</xdr:row>
      <xdr:rowOff>1</xdr:rowOff>
    </xdr:from>
    <xdr:ext cx="404021" cy="254493"/>
    <xdr:sp macro="" textlink="">
      <xdr:nvSpPr>
        <xdr:cNvPr id="22" name="TextBox 21">
          <a:extLst>
            <a:ext uri="{FF2B5EF4-FFF2-40B4-BE49-F238E27FC236}">
              <a16:creationId xmlns:a16="http://schemas.microsoft.com/office/drawing/2014/main" id="{8BD05E50-87FF-D027-8569-DDE73BE060C3}"/>
            </a:ext>
          </a:extLst>
        </xdr:cNvPr>
        <xdr:cNvSpPr txBox="1"/>
      </xdr:nvSpPr>
      <xdr:spPr>
        <a:xfrm>
          <a:off x="14058899" y="5334001"/>
          <a:ext cx="404021"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Yes</a:t>
          </a:r>
        </a:p>
      </xdr:txBody>
    </xdr:sp>
    <xdr:clientData/>
  </xdr:oneCellAnchor>
  <xdr:twoCellAnchor>
    <xdr:from>
      <xdr:col>8</xdr:col>
      <xdr:colOff>513975</xdr:colOff>
      <xdr:row>12</xdr:row>
      <xdr:rowOff>157158</xdr:rowOff>
    </xdr:from>
    <xdr:to>
      <xdr:col>12</xdr:col>
      <xdr:colOff>607928</xdr:colOff>
      <xdr:row>15</xdr:row>
      <xdr:rowOff>184088</xdr:rowOff>
    </xdr:to>
    <xdr:cxnSp macro="">
      <xdr:nvCxnSpPr>
        <xdr:cNvPr id="43" name="Connector: Curved 42">
          <a:extLst>
            <a:ext uri="{FF2B5EF4-FFF2-40B4-BE49-F238E27FC236}">
              <a16:creationId xmlns:a16="http://schemas.microsoft.com/office/drawing/2014/main" id="{DDC5B99D-4AFB-FE1D-EEBF-25051B709967}"/>
            </a:ext>
          </a:extLst>
        </xdr:cNvPr>
        <xdr:cNvCxnSpPr>
          <a:stCxn id="5" idx="2"/>
          <a:endCxn id="53" idx="0"/>
        </xdr:cNvCxnSpPr>
      </xdr:nvCxnSpPr>
      <xdr:spPr>
        <a:xfrm rot="16200000" flipH="1">
          <a:off x="7119737" y="2381071"/>
          <a:ext cx="769880" cy="253235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513976</xdr:colOff>
      <xdr:row>12</xdr:row>
      <xdr:rowOff>157158</xdr:rowOff>
    </xdr:from>
    <xdr:to>
      <xdr:col>17</xdr:col>
      <xdr:colOff>104780</xdr:colOff>
      <xdr:row>15</xdr:row>
      <xdr:rowOff>187304</xdr:rowOff>
    </xdr:to>
    <xdr:cxnSp macro="">
      <xdr:nvCxnSpPr>
        <xdr:cNvPr id="45" name="Connector: Curved 44">
          <a:extLst>
            <a:ext uri="{FF2B5EF4-FFF2-40B4-BE49-F238E27FC236}">
              <a16:creationId xmlns:a16="http://schemas.microsoft.com/office/drawing/2014/main" id="{1C6CE0D8-1B87-A411-4DEE-0D9FE7796896}"/>
            </a:ext>
          </a:extLst>
        </xdr:cNvPr>
        <xdr:cNvCxnSpPr>
          <a:stCxn id="5" idx="2"/>
          <a:endCxn id="54" idx="0"/>
        </xdr:cNvCxnSpPr>
      </xdr:nvCxnSpPr>
      <xdr:spPr>
        <a:xfrm rot="16200000" flipH="1">
          <a:off x="8390555" y="1110254"/>
          <a:ext cx="773096" cy="507720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104780</xdr:colOff>
      <xdr:row>18</xdr:row>
      <xdr:rowOff>176915</xdr:rowOff>
    </xdr:from>
    <xdr:to>
      <xdr:col>17</xdr:col>
      <xdr:colOff>124437</xdr:colOff>
      <xdr:row>20</xdr:row>
      <xdr:rowOff>8880</xdr:rowOff>
    </xdr:to>
    <xdr:cxnSp macro="">
      <xdr:nvCxnSpPr>
        <xdr:cNvPr id="48" name="Connector: Curved 47">
          <a:extLst>
            <a:ext uri="{FF2B5EF4-FFF2-40B4-BE49-F238E27FC236}">
              <a16:creationId xmlns:a16="http://schemas.microsoft.com/office/drawing/2014/main" id="{2F6D3500-4CB3-3F86-AA65-25002D28774F}"/>
            </a:ext>
          </a:extLst>
        </xdr:cNvPr>
        <xdr:cNvCxnSpPr>
          <a:stCxn id="54" idx="2"/>
          <a:endCxn id="56" idx="0"/>
        </xdr:cNvCxnSpPr>
      </xdr:nvCxnSpPr>
      <xdr:spPr>
        <a:xfrm rot="16200000" flipH="1">
          <a:off x="11161901" y="4921769"/>
          <a:ext cx="327265" cy="19657"/>
        </a:xfrm>
        <a:prstGeom prst="curvedConnector3">
          <a:avLst>
            <a:gd name="adj1" fmla="val 50000"/>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19050</xdr:colOff>
      <xdr:row>7</xdr:row>
      <xdr:rowOff>190500</xdr:rowOff>
    </xdr:from>
    <xdr:ext cx="2415790"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𝑂</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𝑀_𝑗𝑚=𝑉𝑆_𝑗×𝐵_𝑂×𝑀𝑀𝑆_𝑚×𝑀𝐶𝐹_𝑖𝑚×𝜌</a:t>
              </a:r>
              <a:endParaRPr lang="en-AU" sz="1100"/>
            </a:p>
          </xdr:txBody>
        </xdr:sp>
      </mc:Fallback>
    </mc:AlternateContent>
    <xdr:clientData/>
  </xdr:oneCellAnchor>
  <xdr:oneCellAnchor>
    <xdr:from>
      <xdr:col>3</xdr:col>
      <xdr:colOff>58270</xdr:colOff>
      <xdr:row>78</xdr:row>
      <xdr:rowOff>114300</xdr:rowOff>
    </xdr:from>
    <xdr:ext cx="2614755"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𝑚</m:t>
                                </m:r>
                                <m:r>
                                  <a:rPr lang="en-AU" sz="1100" i="1">
                                    <a:latin typeface="Cambria Math" panose="02040503050406030204" pitchFamily="18" charset="0"/>
                                  </a:rPr>
                                  <m:t>×365</m:t>
                                </m:r>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𝐸_𝐶𝐻4=∑10_𝑗▒∑10_𝑚▒(𝑁_𝑗×𝑀_𝑗 𝑚×365)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41462</xdr:colOff>
      <xdr:row>7</xdr:row>
      <xdr:rowOff>89647</xdr:rowOff>
    </xdr:from>
    <xdr:ext cx="169815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×365</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𝐴𝐸=∑10_𝑗▒(𝑁_𝑗×𝑁𝐸_𝑗×365) </a:t>
              </a:r>
              <a:endParaRPr lang="en-AU" sz="1100"/>
            </a:p>
          </xdr:txBody>
        </xdr:sp>
      </mc:Fallback>
    </mc:AlternateContent>
    <xdr:clientData/>
  </xdr:oneCellAnchor>
  <xdr:oneCellAnchor>
    <xdr:from>
      <xdr:col>3</xdr:col>
      <xdr:colOff>2241</xdr:colOff>
      <xdr:row>59</xdr:row>
      <xdr:rowOff>147917</xdr:rowOff>
    </xdr:from>
    <xdr:ext cx="2334870"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13446</xdr:colOff>
      <xdr:row>7</xdr:row>
      <xdr:rowOff>147919</xdr:rowOff>
    </xdr:from>
    <xdr:ext cx="1745413"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3</xdr:col>
      <xdr:colOff>24653</xdr:colOff>
      <xdr:row>44</xdr:row>
      <xdr:rowOff>136712</xdr:rowOff>
    </xdr:from>
    <xdr:ext cx="2410467"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47064</xdr:colOff>
      <xdr:row>7</xdr:row>
      <xdr:rowOff>125506</xdr:rowOff>
    </xdr:from>
    <xdr:ext cx="2421624"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3</xdr:col>
      <xdr:colOff>24652</xdr:colOff>
      <xdr:row>62</xdr:row>
      <xdr:rowOff>136711</xdr:rowOff>
    </xdr:from>
    <xdr:ext cx="2731838"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DBF8E-C122-4FF0-A00E-2CA6916F1435}" name="Table_SourceData_OtherLivestock_EntericEF" displayName="Table_SourceData_OtherLivestock_EntericEF" ref="D9:E17" totalsRowShown="0">
  <autoFilter ref="D9:E17" xr:uid="{6C3DBF8E-C122-4FF0-A00E-2CA6916F1435}">
    <filterColumn colId="0" hiddenButton="1"/>
    <filterColumn colId="1" hiddenButton="1"/>
  </autoFilter>
  <tableColumns count="2">
    <tableColumn id="1" xr3:uid="{C1BE61FE-4062-42B2-A2C3-5D1021EC5783}" name="Other livestock type">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 id="2" xr3:uid="{068A837D-7F3F-459D-A755-48E9682BAEAC}" name="Mj" dataDxfId="58" dataCellStyle="Content normal">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599DA1-A8E6-43AC-9BA5-F5F05D972680}" name="Table_SourceData_OtherLivestock_VolatileSolids" displayName="Table_SourceData_OtherLivestock_VolatileSolids" ref="D24:E32" totalsRowShown="0" dataDxfId="57" dataCellStyle="Content normal">
  <autoFilter ref="D24:E32" xr:uid="{50599DA1-A8E6-43AC-9BA5-F5F05D972680}">
    <filterColumn colId="0" hiddenButton="1"/>
    <filterColumn colId="1" hiddenButton="1"/>
  </autoFilter>
  <tableColumns count="2">
    <tableColumn id="1" xr3:uid="{224F01F5-9F04-424C-9B4C-94B1D666F42B}" name="Other livestock type" dataDxfId="56"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 id="2" xr3:uid="{D62AC0D1-1095-4EC7-994A-E2C80051C1F2}" name="VSj" dataDxfId="55"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DE3B07-3717-4AE7-8210-BEB8FBB5C09A}" name="Table_SourceData_OtherLivestock_NitrogenExcreted" displayName="Table_SourceData_OtherLivestock_NitrogenExcreted" ref="D39:E47" totalsRowShown="0" dataDxfId="54" dataCellStyle="Content normal">
  <autoFilter ref="D39:E47" xr:uid="{EFDE3B07-3717-4AE7-8210-BEB8FBB5C09A}">
    <filterColumn colId="0" hiddenButton="1"/>
    <filterColumn colId="1" hiddenButton="1"/>
  </autoFilter>
  <tableColumns count="2">
    <tableColumn id="1" xr3:uid="{99F8CB88-8A74-44CD-B1D3-22D4849941C6}" name="Other livestock type" dataDxfId="53"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 id="2" xr3:uid="{CD5FC568-A825-4281-84C4-C2307E67DC49}" name="NEj" dataDxfId="52"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51F12E-AA31-4EE1-8F93-A397BC98EF70}" name="Table_SourceData_OtherLivestock_AverageLiveweight" displayName="Table_SourceData_OtherLivestock_AverageLiveweight" ref="D54:F64" totalsRowShown="0" dataDxfId="51" dataCellStyle="Content normal">
  <autoFilter ref="D54:F64" xr:uid="{7551F12E-AA31-4EE1-8F93-A397BC98EF70}">
    <filterColumn colId="0" hiddenButton="1"/>
    <filterColumn colId="1" hiddenButton="1"/>
    <filterColumn colId="2" hiddenButton="1"/>
  </autoFilter>
  <tableColumns count="3">
    <tableColumn id="1" xr3:uid="{816644D3-41EE-45F6-A3CE-CACB3EB69547}" name="Other livestock type" dataDxfId="50"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2" xr3:uid="{53512804-9E08-42E2-B55E-1C89A4C09FEE}" name="Wco" dataDxfId="49"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3" xr3:uid="{0BB31A55-829C-489B-82D5-5810EC5F02C8}" name="Wco2" dataDxfId="48"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69C610-A352-421F-BE36-E6EDDE86179E}" name="Table_SourceData_OtherLivestock_FractionWasteInMMS" displayName="Table_SourceData_OtherLivestock_FractionWasteInMMS" ref="D71:F79" totalsRowShown="0" dataDxfId="47" dataCellStyle="Content normal">
  <autoFilter ref="D71:F79" xr:uid="{9A69C610-A352-421F-BE36-E6EDDE86179E}">
    <filterColumn colId="0" hiddenButton="1"/>
    <filterColumn colId="1" hiddenButton="1"/>
    <filterColumn colId="2" hiddenButton="1"/>
  </autoFilter>
  <tableColumns count="3">
    <tableColumn id="1" xr3:uid="{A6CB9AC6-F6CE-49B7-A982-F82076716CA3}" name="Other livestock type" dataDxfId="46"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2" xr3:uid="{8AFBE1CB-9936-4A35-A761-4DCB7B6BA889}" name="Pasture range and paddock" dataDxfId="45"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3" xr3:uid="{95A534B1-6D18-468E-ACD4-CB91F74DE859}" name="Uncovered anaerobic lagoon" dataDxfId="44"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A098EC4-878C-4F1B-9A39-76DE07EA3C35}" name="Table_SourceData_OtherLivestock_MCF" displayName="Table_SourceData_OtherLivestock_MCF" ref="D86:F94" totalsRowShown="0" dataDxfId="43" dataCellStyle="Content normal">
  <autoFilter ref="D86:F94" xr:uid="{5A098EC4-878C-4F1B-9A39-76DE07EA3C35}">
    <filterColumn colId="0" hiddenButton="1"/>
    <filterColumn colId="1" hiddenButton="1"/>
    <filterColumn colId="2" hiddenButton="1"/>
  </autoFilter>
  <tableColumns count="3">
    <tableColumn id="1" xr3:uid="{8D99AA70-8F55-4D11-BC0B-A089B4E9846C}" name="Other livestock type" dataDxfId="42"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2" xr3:uid="{8669BCCE-EDA0-482F-B818-E7495ADAD605}" name="Pasture range and paddock" dataDxfId="41"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3" xr3:uid="{F18CF34C-B873-434B-8D03-00492CEC1FC6}" name="Uncovered anaerobic lagoon" dataDxfId="40"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8FC34BB-AAD9-4D2A-8283-00CB77181C08}" name="Table_SourceData_OtherLivestock_MethaneEmissionsPotential" displayName="Table_SourceData_OtherLivestock_MethaneEmissionsPotential" ref="D102:F110" totalsRowShown="0" dataDxfId="39" dataCellStyle="Content normal">
  <autoFilter ref="D102:F110" xr:uid="{B8FC34BB-AAD9-4D2A-8283-00CB77181C08}">
    <filterColumn colId="0" hiddenButton="1"/>
    <filterColumn colId="1" hiddenButton="1"/>
    <filterColumn colId="2" hiddenButton="1"/>
  </autoFilter>
  <tableColumns count="3">
    <tableColumn id="1" xr3:uid="{5720D920-9C04-4E20-8D42-759F7E36C7D8}" name="Other livestock type" dataDxfId="38"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2" xr3:uid="{E9A32AB0-4663-4816-913A-79DAAFF08391}" name="BO" dataDxfId="37"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3" xr3:uid="{35962C17-3057-4CB9-8C5C-BED1CCB209DC}" name="Taken from" dataDxfId="36"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F07DDD-23D8-4736-97CF-A8FBCA38FE40}" name="Table_SourceData_OtherLivestock_CropProdSystems" displayName="Table_SourceData_OtherLivestock_CropProdSystems" ref="D120:D122" totalsRowShown="0">
  <autoFilter ref="D120:D122" xr:uid="{4EF07DDD-23D8-4736-97CF-A8FBCA38FE40}">
    <filterColumn colId="0" hiddenButton="1"/>
  </autoFilter>
  <tableColumns count="1">
    <tableColumn id="1" xr3:uid="{91758960-BAAD-433D-8E2E-334FBDB30D45}"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2AE1D71-7FBD-43D5-BC37-EB7C84E39237}" name="Table_SourceData_OtherLivestock_IrrigationMethods" displayName="Table_SourceData_OtherLivestock_IrrigationMethods" ref="G120:G125" totalsRowShown="0">
  <autoFilter ref="G120:G125" xr:uid="{D2AE1D71-7FBD-43D5-BC37-EB7C84E39237}">
    <filterColumn colId="0" hiddenButton="1"/>
  </autoFilter>
  <tableColumns count="1">
    <tableColumn id="1" xr3:uid="{F5B9240F-3E19-4723-A88C-ABEEB70A41C4}"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41FE641-FD24-4011-B6D1-271253F24CF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8F3C1AC-508B-4536-8239-134C3D148801}" name="State/Territory">
      <calculatedColumnFormula array="1">Common_InputFunctions.Utility_DisplayArrayInTable(Common_SourceData.Common_SourceData_AustralianStatesTerritories_Data(),Table_AustralianStates[[#Headers],[State/Territory]],0)</calculatedColumnFormula>
    </tableColumn>
    <tableColumn id="2" xr3:uid="{3EFD1E1D-D4DE-40E7-9831-479A587E5AB6}" name="Common Name">
      <calculatedColumnFormula array="1">Common_InputFunctions.Utility_DisplayArrayInTable(Common_SourceData.Common_SourceData_AustralianStatesTerritories_Data(),Table_AustralianStates[[#Headers],[State/Territory]],0)</calculatedColumnFormula>
    </tableColumn>
    <tableColumn id="3" xr3:uid="{395EFB98-1733-420D-99BF-6EC3EBCC985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E885029-CC59-48FA-B552-3934B9F87589}" name="Table_WASA4Areas" displayName="Table_WASA4Areas" ref="D20:D30" totalsRowShown="0">
  <autoFilter ref="D20:D30" xr:uid="{5FA81339-C6C8-4D36-BEEA-6C4AEDD9E676}">
    <filterColumn colId="0" hiddenButton="1"/>
  </autoFilter>
  <tableColumns count="1">
    <tableColumn id="1" xr3:uid="{65328C0F-FEAD-4BA9-982A-22B3DA1C8B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70570E6-5E1B-40F6-975E-69706A378F03}" name="Table_GWPData" displayName="Table_GWPData" ref="D36:E43" totalsRowShown="0">
  <autoFilter ref="D36:E43" xr:uid="{B8E87A66-3E41-4AD3-925D-01EE21B43D7A}">
    <filterColumn colId="0" hiddenButton="1"/>
    <filterColumn colId="1" hiddenButton="1"/>
  </autoFilter>
  <tableColumns count="2">
    <tableColumn id="1" xr3:uid="{5D42CBEF-9207-49EB-B3A6-867F5E16654B}" name="Gas">
      <calculatedColumnFormula array="1">Common_InputFunctions.Utility_DisplayArrayInTable(Common_SourceData.Common_SourceData_GWP_Data(), Table_GWPData[[#Headers],[Gas]], 0)</calculatedColumnFormula>
    </tableColumn>
    <tableColumn id="2" xr3:uid="{31D9DC9C-FD19-4007-B86F-237AA3FC23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C797D4E-0F11-48F8-92E3-531E551A179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7B56706-E8DD-4393-8C9E-48CA3456EB91}" name="Gas">
      <calculatedColumnFormula array="1">Common_InputFunctions.Utility_DisplayArrayInTable(Common_SourceData.Common_SourceData_ConvertGasElementalToMolecular_Data(),Table_GasToMolecularConversionFactor[[#Headers],[Gas]], 0)</calculatedColumnFormula>
    </tableColumn>
    <tableColumn id="5" xr3:uid="{A547F130-C66F-4B63-A2BD-84DA22458231}" name="Conversion factor">
      <calculatedColumnFormula array="1">Common_InputFunctions.Utility_DisplayArrayInTable(Common_SourceData.Common_SourceData_ConvertGasElementalToMolecular_Data(),Table_GasToMolecularConversionFactor[[#Headers],[Gas]], 0)</calculatedColumnFormula>
    </tableColumn>
    <tableColumn id="2" xr3:uid="{9BBF1D7B-03F9-4861-A935-EB760E38D57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86E9F79-3E7B-4D96-8772-BED366CCD8D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5E14761-F207-44E2-80E9-7496D68347D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F8716FB-75BA-4CFA-98D2-E5A394AA4FD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F756ECE-8D0E-46EB-AA15-851322033D3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4E36567-BBA2-4402-A05A-770FAF31C38A}"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D6E8900F-E2A4-4F43-862C-139252D3337C}"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4BAD5116-B162-449C-8438-48EE46F623C9}"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E3DBB9F9-9030-4FF2-93F7-1046C63305FF}"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D19E1AF7-C103-4465-827A-272966E9BB2B}"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5C718C43-26C6-43E1-B01C-9B8888AF5CD7}"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3F0FA349-758F-440D-8B9F-92BEDB006B3B}"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6FE4C191-1D7C-447A-807F-52BAA1F83C1B}"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C465259B-535A-4418-9C56-99040421033F}"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049DB580-CA31-478D-A316-B9826DC5976C}"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E28D5CDC-6CDE-40AC-BB69-B520E6BE9ECE}"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28DEE6A7-2DC0-4DF3-BA96-82E0B5206A88}"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3CEAC3FE-E190-4B17-A0E5-E93072D2EE0C}"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B2607A8A-4828-4A7F-8B59-AFDF70121EA9}"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EE9AE32D-CD32-49F5-8434-FED04B1C7173}"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E480793-0C84-4828-8E5A-1C1FEE1D5C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C589081-50C7-4011-B899-F7D6142FB1B3}"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9257959-AB83-4C24-830F-528097C2CA9C}"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EE2AED7-0B26-4BC6-88AE-00251A82554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DE50BA4-F469-4427-8A0D-5A3CEB07043F}" name="Temperature Zone">
      <calculatedColumnFormula array="1">Common_InputFunctions.Utility_DisplayArrayInTable(Common_SourceData.Common_SourceData_TemperatureZones_Data(),Table_SourceData_TemperatureZones[[#Headers],[Temperature Zone]],0)</calculatedColumnFormula>
    </tableColumn>
    <tableColumn id="2" xr3:uid="{8E68245D-BCA1-4649-B2EE-C522A8374FA9}" name="MAT">
      <calculatedColumnFormula array="1">Common_InputFunctions.Utility_DisplayArrayInTable(Common_SourceData.Common_SourceData_TemperatureZones_Data(),Table_SourceData_TemperatureZones[[#Headers],[Temperature Zone]],0)</calculatedColumnFormula>
    </tableColumn>
    <tableColumn id="3" xr3:uid="{B64B737B-2A04-483B-B501-A86581036C65}" name="Min MAT">
      <calculatedColumnFormula array="1">Common_InputFunctions.Utility_DisplayArrayInTable(Common_SourceData.Common_SourceData_TemperatureZones_Data(),Table_SourceData_TemperatureZones[[#Headers],[Temperature Zone]],0)</calculatedColumnFormula>
    </tableColumn>
    <tableColumn id="4" xr3:uid="{646A3698-41BB-45F3-83DA-ACD16CB207F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8D0DD2-CE02-4850-8FA0-D007CF04934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4ACFB07-6FFC-40E9-A276-405583193462}" name="Rainfall Zone">
      <calculatedColumnFormula array="1">Common_InputFunctions.Utility_DisplayArrayInTable(Common_SourceData.Common_SourceData_RainfallZones_Data(),Table_SourceData_RainfallZones[[#Headers],[Rainfall Zone]],0)</calculatedColumnFormula>
    </tableColumn>
    <tableColumn id="2" xr3:uid="{ADFC501F-3203-4414-AAA8-28B1FA2E0C2B}" name="Annual rainfall">
      <calculatedColumnFormula array="1">Common_InputFunctions.Utility_DisplayArrayInTable(Common_SourceData.Common_SourceData_RainfallZones_Data(),Table_SourceData_RainfallZones[[#Headers],[Rainfall Zone]],0)</calculatedColumnFormula>
    </tableColumn>
    <tableColumn id="3" xr3:uid="{124A4494-0696-49EF-9847-DF0516EDC25B}" name="Min rainfall">
      <calculatedColumnFormula array="1">Common_InputFunctions.Utility_DisplayArrayInTable(Common_SourceData.Common_SourceData_RainfallZones_Data(),Table_SourceData_RainfallZones[[#Headers],[Rainfall Zone]],0)</calculatedColumnFormula>
    </tableColumn>
    <tableColumn id="4" xr3:uid="{B6679ACD-E8EC-4022-AABD-258C8AE332F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3A63569-D178-4419-BAF4-DAB563E8787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5E2EC06-3B7D-4F01-9A59-DAB1590DE1F5}" name="Leaching Zone">
      <calculatedColumnFormula array="1">Common_InputFunctions.Utility_DisplayArrayInTable(Common_SourceData.Common_SourceData_LeachingZones_Data(), Table_SourceData_LeachingZones[[#Headers],[Leaching Zone]], 0)</calculatedColumnFormula>
    </tableColumn>
    <tableColumn id="2" xr3:uid="{27708231-DEF1-40F7-8D3F-36E0953E0D0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9DB5EE2-A508-4A8B-9D8A-E5174651F0F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7DEC54C-9713-4A0D-A35D-35AF849EA4BB}" name="Data source">
      <calculatedColumnFormula array="1">Common_InputFunctions.Utility_DisplayArrayInTable(Common_SourceData.Common_SourceData_DataScores_Scope3_Data(), Table_SourceData_DataScores_Scope3[[#Headers],[Data source]], 0)</calculatedColumnFormula>
    </tableColumn>
    <tableColumn id="2" xr3:uid="{B286ACBB-85D4-42E3-9839-DEBBE850C27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C34D716F-1DB3-439C-8DB0-DC72715090EB}" name="Table_SourceData_FracWET" displayName="Table_SourceData_FracWET" ref="D134:E136" totalsRowShown="0">
  <autoFilter ref="D134:E136" xr:uid="{308E99BE-FE1F-47A4-B2CA-97217277C4E9}">
    <filterColumn colId="0" hiddenButton="1"/>
    <filterColumn colId="1" hiddenButton="1"/>
  </autoFilter>
  <tableColumns count="2">
    <tableColumn id="1" xr3:uid="{42786E11-D892-4920-9A89-7DF8F5B57ECD}" name="Is in leaching zone">
      <calculatedColumnFormula array="1">Common_InputFunctions.Utility_DisplayArrayInTable(Common_SourceData.Common_SourceData_FracWET_Data(),Table_SourceData_FracWET[[#Headers],[Is in leaching zone]],0)</calculatedColumnFormula>
    </tableColumn>
    <tableColumn id="2" xr3:uid="{F8ACB435-9333-46C3-9CE1-E917C7F45FDD}"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2A5A179-062A-4094-9354-171B66E400C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B173F1-A248-4BD9-B9FC-86FA001CA6AE}" name="Production system j">
      <calculatedColumnFormula array="1">Common_InputFunctions.Utility_DisplayArrayInTable(Common_SourceData.Common_SourceData_EFN2O_Data(), Table_SourceData_Common_EFN2O[[#Headers],[Production system j]], 0)</calculatedColumnFormula>
    </tableColumn>
    <tableColumn id="2" xr3:uid="{C0ED70CC-0391-4E93-8763-68B04285CCDA}" name="EFN2O">
      <calculatedColumnFormula array="1">Common_InputFunctions.Utility_DisplayArrayInTable(Common_SourceData.Common_SourceData_EFN2O_Data(), Table_SourceData_Common_EFN2O[[#Headers],[Production system j]], 0)</calculatedColumnFormula>
    </tableColumn>
    <tableColumn id="3" xr3:uid="{B09AB8AB-845B-41E7-9A54-BA87DBCAD370}" name="Production system only">
      <calculatedColumnFormula array="1">Common_InputFunctions.Utility_DisplayArrayInTable(Common_SourceData.Common_SourceData_EFN2O_Data(), Table_SourceData_Common_EFN2O[[#Headers],[Production system j]], 0)</calculatedColumnFormula>
    </tableColumn>
    <tableColumn id="4" xr3:uid="{C5F8F664-9594-4D40-8521-3EFC9630D6D3}" name="Irrigation method">
      <calculatedColumnFormula array="1">Common_InputFunctions.Utility_DisplayArrayInTable(Common_SourceData.Common_SourceData_EFN2O_Data(), Table_SourceData_Common_EFN2O[[#Headers],[Production system j]], 0)</calculatedColumnFormula>
    </tableColumn>
    <tableColumn id="5" xr3:uid="{605547DF-3047-4079-AB74-0968F15FE28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3AEA724-B952-497E-A84F-3B5ECBE7B5C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CA22ABA-FF81-4B2A-8F64-49727B4BF401}" name="Irrigation type i">
      <calculatedColumnFormula array="1">Common_InputFunctions.Utility_DisplayArrayInTable(Common_SourceData.Common_SourceData_FracWETIrrigation_Data(), Table_SourceData_FracWETIrrigation[[#Headers],[Irrigation type i]], 0)</calculatedColumnFormula>
    </tableColumn>
    <tableColumn id="2" xr3:uid="{06CFAD91-F13C-4026-9DDC-82944352DBB0}"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9B038DC-D60B-4144-B7FE-A34C8C597FC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DFFE3A2-3C8A-4121-B340-0E2214EC5BA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C8D4993-4AE2-4BA6-861D-7C75168C934E}"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268719A-B09A-4A18-B85B-5C47B0058C67}"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57AFE4A-E50B-48C4-A78F-EDB3E2F5513D}" name="Month">
      <calculatedColumnFormula array="1">Common_InputFunctions.Utility_DisplayArrayInTable(Common_SourceData.Common_SourceData_MonthsToSeasons_Data(), Table_SourceData_Common_MonthToSeason[[#Headers],[Month]], 0)</calculatedColumnFormula>
    </tableColumn>
    <tableColumn id="2" xr3:uid="{2B6FAA2C-6699-4E65-8AF4-7FFB022E013A}"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262288B-DC8C-4220-A8EA-4666AC4AB5E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BE488E9-C88F-4D40-BFE4-2F14BFE204F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471337B-A383-48F1-9140-7A247CE94C8C}"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751CF7A-2A90-41C3-B0C7-75B6BE4418D9}"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A5FACFF-2A01-4823-AE11-C25A5DB63212}"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D3B111E-1B73-4EAA-ACFB-B1EA17DB2261}"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7E6E961-631F-4462-83C1-CBA267F81DBF}"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E5FC724-F551-44A5-B89F-454716A00746}"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4DCCEDE-8F03-4DCB-BD73-4137AA6BFB7B}"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D2CE3558-5412-4654-9F72-DA1821CDE596}"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07A79A9-61FE-48BF-BE48-0965C1DF8C73}"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8F5211C-781C-45BD-AF95-05B148C528F9}"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4A1334-E483-46FC-9EFD-C7408471DC4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CB4AF493-91F1-476F-AA2D-085C994C3162}"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D0E7416-BFEB-44E9-8544-61035BEA7B24}"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CBEB24B-DEDB-4F2B-B7E6-E6997FA2618D}"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F278C8D-7F75-44BF-809F-EC6F8B2D6E58}"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62AA56D9-3B2F-4E1B-88E7-49C1487718E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512BED0-98D7-41FD-B812-44719FDE3EC4}"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3340C7C-6E56-43EB-8AAB-D3E271491791}"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18" Type="http://schemas.openxmlformats.org/officeDocument/2006/relationships/table" Target="../tables/table27.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printerSettings" Target="../printerSettings/printerSettings7.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4" sqref="A4"/>
    </sheetView>
  </sheetViews>
  <sheetFormatPr defaultRowHeight="15" x14ac:dyDescent="0.25"/>
  <cols>
    <col min="1" max="1" width="30.7109375" customWidth="1"/>
    <col min="2" max="3" width="4.7109375" customWidth="1"/>
  </cols>
  <sheetData>
    <row r="1" spans="1:64" ht="30" customHeight="1" x14ac:dyDescent="0.35">
      <c r="A1" s="67" t="e" vm="1">
        <v>#VALUE!</v>
      </c>
      <c r="C1" s="114" t="s">
        <v>235</v>
      </c>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row>
    <row r="2" spans="1:64" ht="20.100000000000001" customHeight="1" x14ac:dyDescent="0.25">
      <c r="A2" s="9"/>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row>
    <row r="3" spans="1:64" ht="20.100000000000001" customHeight="1" x14ac:dyDescent="0.25">
      <c r="A3" s="17" t="str">
        <f>HYPERLINK("#'Home'!A1", "Home")</f>
        <v>Home</v>
      </c>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row>
    <row r="4" spans="1:64" ht="20.100000000000001" customHeight="1" x14ac:dyDescent="0.25">
      <c r="A4" s="11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24" t="s">
        <v>139</v>
      </c>
      <c r="E5" s="124"/>
      <c r="F5" s="124"/>
      <c r="G5" s="124"/>
      <c r="H5" s="124"/>
      <c r="I5" s="106"/>
      <c r="J5" s="91"/>
      <c r="K5" s="91"/>
      <c r="L5" s="91"/>
      <c r="M5" s="91"/>
      <c r="N5" s="91"/>
      <c r="O5" s="91"/>
      <c r="P5" s="91"/>
      <c r="Q5" s="91"/>
      <c r="R5" s="91"/>
      <c r="S5" s="91"/>
      <c r="T5" s="91"/>
      <c r="U5" s="91"/>
      <c r="V5" s="87"/>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25" t="s">
        <v>140</v>
      </c>
      <c r="E6" s="126"/>
      <c r="F6" s="126"/>
      <c r="G6" s="126"/>
      <c r="H6" s="126"/>
      <c r="I6" s="93"/>
      <c r="J6" s="90"/>
      <c r="K6" s="90"/>
      <c r="L6" s="90"/>
      <c r="M6" s="90"/>
      <c r="N6" s="90"/>
      <c r="O6" s="90"/>
      <c r="P6" s="90"/>
      <c r="Q6" s="90"/>
      <c r="R6" s="90"/>
      <c r="S6" s="90"/>
      <c r="T6" s="90"/>
      <c r="U6" s="90"/>
      <c r="V6" s="88"/>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Other Livestock'!A1", "Other Livestock")</f>
        <v>Other Livestock</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71</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HYPERLINK("#'4.7.1.1-2 Manure Methane'!A1", "4.7.1.1-2 Methane")</f>
        <v>4.7.1.1-2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HYPERLINK("#'4.7.1.3-4 Soil Direct N2O'!A1", "4.7.1.3-4 Soil Direct N2O")</f>
        <v>4.7.1.3-4 Soil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HYPERLINK("#'4.7.1.5-6 Soil Atmos Deposition'!A1", "4.7.1.5-6 Soil Atmos deposition")</f>
        <v>4.7.1.5-6 Soil Atmos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HYPERLINK("#'4.7.1.7-8 Soil Leaching Runoff'!A1", "4.7.1.8-9 Soil Leaching &amp; Runoff")</f>
        <v>4.7.1.8-9 Soil Leaching &amp;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2</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Other Livestock'!A1", "Constants - Other Livestock")</f>
        <v>Constants - Other Livestock</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7" t="e" vm="1">
        <v>#VALUE!</v>
      </c>
      <c r="C1" s="114" t="s">
        <v>234</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3</v>
      </c>
      <c r="E4" s="26"/>
      <c r="F4" s="26"/>
      <c r="G4" s="26"/>
      <c r="H4" s="6"/>
      <c r="I4" s="6"/>
      <c r="J4" s="6"/>
      <c r="K4" s="6"/>
      <c r="L4" s="27"/>
    </row>
    <row r="5" spans="1:12" ht="20.100000000000001" customHeight="1" x14ac:dyDescent="0.3">
      <c r="A5" s="113" t="str">
        <f>HYPERLINK("#'Results'!A1", "Results")</f>
        <v>Results</v>
      </c>
      <c r="C5" s="24"/>
      <c r="D5" s="28"/>
      <c r="E5" s="29"/>
      <c r="F5" s="29"/>
      <c r="G5" s="29"/>
      <c r="H5" s="26"/>
      <c r="I5" s="24"/>
      <c r="J5" s="24"/>
      <c r="K5" s="24"/>
      <c r="L5" s="24"/>
    </row>
    <row r="6" spans="1:12" ht="20.100000000000001" customHeight="1" x14ac:dyDescent="0.25">
      <c r="A6" s="16"/>
      <c r="C6" s="24"/>
      <c r="D6" s="112" t="s">
        <v>96</v>
      </c>
      <c r="E6" s="112" t="s">
        <v>118</v>
      </c>
      <c r="F6" s="112" t="s">
        <v>119</v>
      </c>
      <c r="G6" s="112" t="s">
        <v>111</v>
      </c>
      <c r="H6" s="112" t="s">
        <v>120</v>
      </c>
      <c r="I6" s="112" t="s">
        <v>122</v>
      </c>
      <c r="J6" s="112" t="s">
        <v>112</v>
      </c>
      <c r="K6" s="24"/>
      <c r="L6" s="24"/>
    </row>
    <row r="7" spans="1:12" ht="20.100000000000001" customHeight="1" x14ac:dyDescent="0.25">
      <c r="A7" s="20" t="s">
        <v>1</v>
      </c>
      <c r="C7" s="24"/>
      <c r="D7" s="1" t="s">
        <v>241</v>
      </c>
      <c r="E7" s="108">
        <f>'4.7.1.1-2 Manure Methane'!E113</f>
        <v>11.990348051537779</v>
      </c>
      <c r="F7" s="108">
        <f>'4.7.1.1-2 Manure Methane'!O113</f>
        <v>12.103057674611057</v>
      </c>
      <c r="G7" s="55" t="str">
        <f>'4.7.1.1-2 Manure Methane'!F113</f>
        <v>t CH4</v>
      </c>
      <c r="H7" s="108">
        <f>'4.7.1.1-2 Manure Methane'!E118</f>
        <v>335.72974544305782</v>
      </c>
      <c r="I7" s="108">
        <f>'4.7.1.1-2 Manure Methane'!O118</f>
        <v>338.8856148891096</v>
      </c>
      <c r="J7" s="55" t="s">
        <v>121</v>
      </c>
      <c r="K7" s="24"/>
      <c r="L7" s="24"/>
    </row>
    <row r="8" spans="1:12" ht="20.100000000000001" customHeight="1" x14ac:dyDescent="0.25">
      <c r="A8" s="17" t="str">
        <f>HYPERLINK("#'Input - Site'!A1", "Site")</f>
        <v>Site</v>
      </c>
      <c r="C8" s="24"/>
      <c r="D8" s="1" t="s">
        <v>242</v>
      </c>
      <c r="E8" s="108">
        <f>'4.7.1.3-4 Soil Direct N2O'!E70</f>
        <v>519.12802857142856</v>
      </c>
      <c r="F8" s="108">
        <f>E8</f>
        <v>519.12802857142856</v>
      </c>
      <c r="G8" s="55" t="s">
        <v>206</v>
      </c>
      <c r="H8" s="108">
        <f>'4.7.1.3-4 Soil Direct N2O'!E75</f>
        <v>137568.92757142856</v>
      </c>
      <c r="I8" s="108">
        <f>H8</f>
        <v>137568.92757142856</v>
      </c>
      <c r="J8" s="55" t="s">
        <v>121</v>
      </c>
      <c r="K8" s="24"/>
      <c r="L8" s="24"/>
    </row>
    <row r="9" spans="1:12" ht="20.100000000000001" customHeight="1" x14ac:dyDescent="0.25">
      <c r="A9" s="17" t="str">
        <f>HYPERLINK("#'Input - Other Livestock'!A1", "Other Livestock")</f>
        <v>Other Livestock</v>
      </c>
      <c r="C9" s="24"/>
      <c r="D9" s="1" t="s">
        <v>243</v>
      </c>
      <c r="E9" s="108">
        <f>'4.7.1.5-6 Soil Atmos Deposition'!E81</f>
        <v>186.11705144999996</v>
      </c>
      <c r="F9" s="108">
        <f>E9</f>
        <v>186.11705144999996</v>
      </c>
      <c r="G9" s="55" t="s">
        <v>206</v>
      </c>
      <c r="H9" s="108">
        <f>'4.7.1.5-6 Soil Atmos Deposition'!E86</f>
        <v>49321.018634249987</v>
      </c>
      <c r="I9" s="108">
        <f>H9</f>
        <v>49321.018634249987</v>
      </c>
      <c r="J9" s="55" t="s">
        <v>121</v>
      </c>
      <c r="K9" s="24"/>
      <c r="L9" s="24"/>
    </row>
    <row r="10" spans="1:12" ht="20.100000000000001" customHeight="1" x14ac:dyDescent="0.25">
      <c r="A10" s="17"/>
      <c r="C10" s="24"/>
      <c r="D10" s="1" t="s">
        <v>240</v>
      </c>
      <c r="E10" s="108">
        <f>'4.7.1.7-8 Soil Leaching Runoff'!E72</f>
        <v>3.0587417142857145</v>
      </c>
      <c r="F10" s="108">
        <f>E10</f>
        <v>3.0587417142857145</v>
      </c>
      <c r="G10" s="55" t="s">
        <v>206</v>
      </c>
      <c r="H10" s="108">
        <f>'4.7.1.7-8 Soil Leaching Runoff'!E77</f>
        <v>810.56655428571435</v>
      </c>
      <c r="I10" s="108">
        <f>H10</f>
        <v>810.56655428571435</v>
      </c>
      <c r="J10" s="55" t="s">
        <v>121</v>
      </c>
      <c r="K10" s="24"/>
      <c r="L10" s="24"/>
    </row>
    <row r="11" spans="1:12" ht="20.100000000000001" customHeight="1" x14ac:dyDescent="0.3">
      <c r="A11" s="19" t="s">
        <v>71</v>
      </c>
      <c r="C11" s="24"/>
      <c r="D11" s="31" t="s">
        <v>110</v>
      </c>
      <c r="E11" s="25"/>
      <c r="F11" s="31"/>
      <c r="G11" s="31"/>
      <c r="H11" s="111">
        <f>SUM(H7:H10)</f>
        <v>188036.24250540731</v>
      </c>
      <c r="I11" s="111">
        <f>SUM(I7:I10)</f>
        <v>188039.39837485336</v>
      </c>
      <c r="J11" s="105" t="s">
        <v>121</v>
      </c>
      <c r="K11" s="24"/>
      <c r="L11" s="24"/>
    </row>
    <row r="12" spans="1:12" ht="20.100000000000001" customHeight="1" x14ac:dyDescent="0.25">
      <c r="A12" s="17" t="str">
        <f>HYPERLINK("#'4.7.1.1-2 Manure Methane'!A1", "4.7.1.1-2 Methane")</f>
        <v>4.7.1.1-2 Methane</v>
      </c>
      <c r="C12" s="24"/>
      <c r="D12" s="1"/>
      <c r="E12" s="1"/>
      <c r="F12" s="1"/>
      <c r="G12" s="1"/>
      <c r="H12" s="1"/>
      <c r="I12" s="1"/>
      <c r="J12" s="1"/>
      <c r="K12" s="24"/>
      <c r="L12" s="24"/>
    </row>
    <row r="13" spans="1:12" ht="20.100000000000001" customHeight="1" x14ac:dyDescent="0.25">
      <c r="A13" s="17" t="str">
        <f>HYPERLINK("#'4.7.1.3-4 Soil Direct N2O'!A1", "4.7.1.3-4 Soil Direct N2O")</f>
        <v>4.7.1.3-4 Soil Direct N2O</v>
      </c>
      <c r="C13" s="24"/>
      <c r="D13" s="1"/>
      <c r="E13" s="1"/>
      <c r="F13" s="1"/>
      <c r="G13" s="1"/>
      <c r="H13" s="1"/>
      <c r="I13" s="1"/>
      <c r="J13" s="1"/>
      <c r="K13" s="24"/>
      <c r="L13" s="24"/>
    </row>
    <row r="14" spans="1:12" ht="20.100000000000001" customHeight="1" x14ac:dyDescent="0.25">
      <c r="A14" s="17" t="str">
        <f>HYPERLINK("#'4.7.1.5-6 Soil Atmos Deposition'!A1", "4.7.1.5-6 Soil Atmos deposition")</f>
        <v>4.7.1.5-6 Soil Atmos deposition</v>
      </c>
      <c r="C14" s="24"/>
      <c r="D14" s="1"/>
      <c r="E14" s="1"/>
      <c r="F14" s="1"/>
      <c r="G14" s="1"/>
      <c r="H14" s="1"/>
      <c r="I14" s="1"/>
      <c r="J14" s="1"/>
      <c r="K14" s="24"/>
      <c r="L14" s="24"/>
    </row>
    <row r="15" spans="1:12" ht="20.100000000000001" customHeight="1" x14ac:dyDescent="0.25">
      <c r="A15" s="17" t="str">
        <f>HYPERLINK("#'4.7.1.7-8 Soil Leaching Runoff'!A1", "4.7.1.8-9 Soil Leaching &amp; Runoff")</f>
        <v>4.7.1.8-9 Soil Leaching &amp; Runoff</v>
      </c>
      <c r="C15" s="24"/>
      <c r="D15" s="1"/>
      <c r="E15" s="1"/>
      <c r="F15" s="1"/>
      <c r="G15" s="1"/>
      <c r="H15" s="1"/>
      <c r="I15" s="1"/>
      <c r="J15" s="1"/>
      <c r="K15" s="24"/>
      <c r="L15" s="24"/>
    </row>
    <row r="16" spans="1:12" ht="20.100000000000001" customHeight="1" x14ac:dyDescent="0.25">
      <c r="C16" s="24"/>
      <c r="D16" s="1"/>
      <c r="E16" s="1"/>
      <c r="F16" s="1"/>
      <c r="G16" s="1"/>
      <c r="H16" s="1"/>
      <c r="I16" s="1"/>
      <c r="J16" s="1"/>
      <c r="K16" s="24"/>
      <c r="L16" s="24"/>
    </row>
    <row r="17" spans="1:12" ht="20.100000000000001" customHeight="1" x14ac:dyDescent="0.25">
      <c r="A17" s="18" t="s">
        <v>2</v>
      </c>
      <c r="C17" s="24"/>
      <c r="D17" s="1"/>
      <c r="E17" s="1"/>
      <c r="F17" s="1"/>
      <c r="G17" s="1"/>
      <c r="H17" s="1"/>
      <c r="I17" s="1"/>
      <c r="J17" s="1"/>
      <c r="K17" s="24"/>
      <c r="L17" s="24"/>
    </row>
    <row r="18" spans="1:12" ht="20.100000000000001" customHeight="1" x14ac:dyDescent="0.25">
      <c r="A18" s="17" t="str">
        <f>HYPERLINK("#'Constants - Other Livestock'!A1", "Constants - Other Livestock")</f>
        <v>Constants - Other Livestock</v>
      </c>
      <c r="C18" s="24"/>
      <c r="D18" s="1"/>
      <c r="E18" s="1"/>
      <c r="F18" s="1"/>
      <c r="G18" s="1"/>
      <c r="H18" s="1"/>
      <c r="I18" s="1"/>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07"/>
      <c r="J38" s="107"/>
      <c r="K38" s="107"/>
      <c r="L38" s="24"/>
    </row>
    <row r="39" spans="3:12" ht="20.100000000000001" customHeight="1" x14ac:dyDescent="0.25">
      <c r="C39" s="24"/>
      <c r="D39" s="1"/>
      <c r="E39" s="1"/>
      <c r="F39" s="1"/>
      <c r="G39" s="1"/>
      <c r="H39" s="1"/>
      <c r="I39" s="107"/>
      <c r="J39" s="107"/>
      <c r="K39" s="107"/>
      <c r="L39" s="24"/>
    </row>
    <row r="40" spans="3:12" ht="20.100000000000001" customHeight="1" x14ac:dyDescent="0.25">
      <c r="C40" s="24"/>
      <c r="D40" s="1"/>
      <c r="E40" s="1"/>
      <c r="F40" s="1"/>
      <c r="G40" s="1"/>
      <c r="H40" s="1"/>
      <c r="I40" s="107"/>
      <c r="J40" s="107"/>
      <c r="K40" s="107"/>
      <c r="L40" s="24"/>
    </row>
    <row r="41" spans="3:12" ht="20.100000000000001" customHeight="1" x14ac:dyDescent="0.25">
      <c r="C41" s="24"/>
      <c r="D41" s="1"/>
      <c r="E41" s="1"/>
      <c r="F41" s="1"/>
      <c r="G41" s="1"/>
      <c r="H41" s="1"/>
      <c r="I41" s="107"/>
      <c r="J41" s="107"/>
      <c r="K41" s="107"/>
      <c r="L41" s="24"/>
    </row>
    <row r="42" spans="3:12" ht="20.100000000000001" customHeight="1" x14ac:dyDescent="0.25">
      <c r="C42" s="24"/>
      <c r="D42" s="1"/>
      <c r="E42" s="1"/>
      <c r="F42" s="1"/>
      <c r="G42" s="1"/>
      <c r="H42" s="1"/>
      <c r="I42" s="107"/>
      <c r="J42" s="107"/>
      <c r="K42" s="107"/>
      <c r="L42" s="24"/>
    </row>
    <row r="43" spans="3:12" ht="20.100000000000001" customHeight="1" x14ac:dyDescent="0.25">
      <c r="C43" s="24"/>
      <c r="D43" s="1"/>
      <c r="E43" s="1"/>
      <c r="F43" s="1"/>
      <c r="G43" s="1"/>
      <c r="H43" s="1"/>
      <c r="I43" s="107"/>
      <c r="J43" s="107"/>
      <c r="K43" s="107"/>
      <c r="L43" s="24"/>
    </row>
    <row r="44" spans="3:12" ht="20.100000000000001" customHeight="1" x14ac:dyDescent="0.25">
      <c r="C44" s="24"/>
      <c r="D44" s="1"/>
      <c r="E44" s="1"/>
      <c r="F44" s="1"/>
      <c r="G44" s="1"/>
      <c r="H44" s="1"/>
      <c r="I44" s="107"/>
      <c r="J44" s="107"/>
      <c r="K44" s="107"/>
      <c r="L44" s="24"/>
    </row>
    <row r="45" spans="3:12" ht="20.100000000000001" customHeight="1" x14ac:dyDescent="0.25">
      <c r="C45" s="24"/>
      <c r="D45" s="1"/>
      <c r="E45" s="1"/>
      <c r="F45" s="1"/>
      <c r="G45" s="1"/>
      <c r="H45" s="1"/>
      <c r="I45" s="107"/>
      <c r="J45" s="107"/>
      <c r="K45" s="107"/>
      <c r="L45" s="24"/>
    </row>
    <row r="46" spans="3:12" ht="20.100000000000001" customHeight="1" x14ac:dyDescent="0.25">
      <c r="C46" s="24"/>
      <c r="D46" s="1"/>
      <c r="E46" s="1"/>
      <c r="F46" s="1"/>
      <c r="G46" s="1"/>
      <c r="H46" s="1"/>
      <c r="I46" s="107"/>
      <c r="J46" s="107"/>
      <c r="K46" s="107"/>
      <c r="L46" s="24"/>
    </row>
    <row r="47" spans="3:12" ht="20.100000000000001" customHeight="1" x14ac:dyDescent="0.25">
      <c r="C47" s="24"/>
      <c r="D47" s="1"/>
      <c r="E47" s="1"/>
      <c r="F47" s="1"/>
      <c r="G47" s="1"/>
      <c r="H47" s="1"/>
      <c r="I47" s="107"/>
      <c r="J47" s="107"/>
      <c r="K47" s="107"/>
      <c r="L47" s="24"/>
    </row>
    <row r="48" spans="3:12" ht="20.100000000000001" customHeight="1" x14ac:dyDescent="0.25">
      <c r="C48" s="24"/>
      <c r="D48" s="1"/>
      <c r="E48" s="1"/>
      <c r="F48" s="1"/>
      <c r="G48" s="1"/>
      <c r="H48" s="1"/>
      <c r="I48" s="107"/>
      <c r="J48" s="107"/>
      <c r="K48" s="107"/>
      <c r="L48" s="24"/>
    </row>
    <row r="49" spans="3:12" ht="20.100000000000001" customHeight="1" x14ac:dyDescent="0.25">
      <c r="C49" s="24"/>
      <c r="D49" s="1"/>
      <c r="E49" s="1"/>
      <c r="F49" s="1"/>
      <c r="G49" s="1"/>
      <c r="H49" s="107"/>
      <c r="I49" s="107"/>
      <c r="J49" s="107"/>
      <c r="K49" s="107"/>
      <c r="L49" s="24"/>
    </row>
    <row r="50" spans="3:12" ht="20.100000000000001" customHeight="1" x14ac:dyDescent="0.25">
      <c r="C50" s="24"/>
      <c r="D50" s="1"/>
      <c r="E50" s="1"/>
      <c r="F50" s="1"/>
      <c r="G50" s="1"/>
      <c r="H50" s="107"/>
      <c r="I50" s="107"/>
      <c r="J50" s="107"/>
      <c r="K50" s="107"/>
      <c r="L50" s="24"/>
    </row>
    <row r="51" spans="3:12" ht="20.100000000000001" customHeight="1" x14ac:dyDescent="0.25">
      <c r="C51" s="24"/>
      <c r="D51" s="1"/>
      <c r="E51" s="1"/>
      <c r="F51" s="1"/>
      <c r="G51" s="1"/>
      <c r="H51" s="107"/>
      <c r="I51" s="107"/>
      <c r="J51" s="107"/>
      <c r="K51" s="107"/>
      <c r="L51" s="24"/>
    </row>
    <row r="52" spans="3:12" ht="20.100000000000001" customHeight="1" x14ac:dyDescent="0.25">
      <c r="C52" s="24"/>
      <c r="D52" s="1"/>
      <c r="E52" s="1"/>
      <c r="F52" s="1"/>
      <c r="G52" s="1"/>
      <c r="H52" s="107"/>
      <c r="I52" s="107"/>
      <c r="J52" s="107"/>
      <c r="K52" s="107"/>
      <c r="L52" s="24"/>
    </row>
    <row r="53" spans="3:12" ht="20.100000000000001" customHeight="1" x14ac:dyDescent="0.25">
      <c r="C53" s="24"/>
      <c r="D53" s="1"/>
      <c r="E53" s="1"/>
      <c r="F53" s="1"/>
      <c r="G53" s="1"/>
      <c r="H53" s="107"/>
      <c r="I53" s="107"/>
      <c r="J53" s="107"/>
      <c r="K53" s="10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77</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69</v>
      </c>
      <c r="E8" s="35" t="s">
        <v>70</v>
      </c>
    </row>
    <row r="9" spans="1:24" ht="20.100000000000001" customHeight="1" x14ac:dyDescent="0.25">
      <c r="A9" s="17" t="str">
        <f>HYPERLINK("#'Input - Other Livestock'!A1", "Other Livestock")</f>
        <v>Other Livestock</v>
      </c>
      <c r="N9" s="45"/>
    </row>
    <row r="10" spans="1:24" ht="20.100000000000001" customHeight="1" x14ac:dyDescent="0.25">
      <c r="A10" s="17"/>
      <c r="D10" s="94" t="s">
        <v>76</v>
      </c>
      <c r="E10" s="92"/>
      <c r="F10" s="95"/>
      <c r="G10" s="89"/>
      <c r="N10" s="45"/>
    </row>
    <row r="11" spans="1:24" ht="20.100000000000001" customHeight="1" x14ac:dyDescent="0.25">
      <c r="A11" s="19" t="s">
        <v>71</v>
      </c>
      <c r="N11" s="46"/>
    </row>
    <row r="12" spans="1:24" ht="20.100000000000001" customHeight="1" x14ac:dyDescent="0.25">
      <c r="A12" s="17" t="str">
        <f>HYPERLINK("#'4.7.1.1-2 Manure Methane'!A1", "4.7.1.1-2 Methane")</f>
        <v>4.7.1.1-2 Methane</v>
      </c>
      <c r="D12" s="10" t="s">
        <v>82</v>
      </c>
      <c r="E12" s="64">
        <v>45292</v>
      </c>
      <c r="F12" s="2" t="s">
        <v>67</v>
      </c>
    </row>
    <row r="13" spans="1:24" ht="20.100000000000001" customHeight="1" x14ac:dyDescent="0.25">
      <c r="A13" s="17" t="str">
        <f>HYPERLINK("#'4.7.1.3-4 Soil Direct N2O'!A1", "4.7.1.3-4 Soil Direct N2O")</f>
        <v>4.7.1.3-4 Soil Direct N2O</v>
      </c>
      <c r="D13" s="10" t="s">
        <v>83</v>
      </c>
      <c r="E13" s="70">
        <f>DATE(YEAR(E12)+1,MONTH(E12),DAY(E12))-1</f>
        <v>45657</v>
      </c>
      <c r="F13" s="2" t="s">
        <v>15</v>
      </c>
      <c r="N13" s="40"/>
      <c r="O13" s="40"/>
    </row>
    <row r="14" spans="1:24" ht="20.100000000000001" customHeight="1" x14ac:dyDescent="0.25">
      <c r="A14" s="17" t="str">
        <f>HYPERLINK("#'4.7.1.5-6 Soil Atmos Deposition'!A1", "4.7.1.5-6 Soil Atmos deposition")</f>
        <v>4.7.1.5-6 Soil Atmos deposition</v>
      </c>
      <c r="N14" s="40"/>
      <c r="O14" s="40"/>
    </row>
    <row r="15" spans="1:24" ht="20.100000000000001" customHeight="1" x14ac:dyDescent="0.25">
      <c r="A15" s="17" t="str">
        <f>HYPERLINK("#'4.7.1.7-8 Soil Leaching Runoff'!A1", "4.7.1.8-9 Soil Leaching &amp; Runoff")</f>
        <v>4.7.1.8-9 Soil Leaching &amp; Runoff</v>
      </c>
      <c r="N15" s="40"/>
      <c r="O15" s="40"/>
    </row>
    <row r="16" spans="1:24" ht="20.100000000000001" customHeight="1" x14ac:dyDescent="0.25">
      <c r="A16"/>
      <c r="D16" s="6" t="s">
        <v>12</v>
      </c>
      <c r="N16" s="40"/>
      <c r="O16" s="40"/>
    </row>
    <row r="17" spans="1:25" ht="20.100000000000001" customHeight="1" x14ac:dyDescent="0.25">
      <c r="A17" s="18" t="s">
        <v>2</v>
      </c>
    </row>
    <row r="18" spans="1:25" ht="20.100000000000001" customHeight="1" x14ac:dyDescent="0.25">
      <c r="A18" s="17" t="str">
        <f>HYPERLINK("#'Constants - Other Livestock'!A1", "Constants - Other Livestock")</f>
        <v>Constants - Other Livestock</v>
      </c>
      <c r="D18" s="96" t="s">
        <v>14</v>
      </c>
      <c r="E18" s="91"/>
      <c r="F18" s="91"/>
      <c r="G18" s="87"/>
    </row>
    <row r="19" spans="1:25" ht="20.100000000000001" customHeight="1" x14ac:dyDescent="0.25">
      <c r="A19" s="17" t="str">
        <f>HYPERLINK("#'Constants - Livestock'!A1", "Constants - Livestock")</f>
        <v>Constants - Livestock</v>
      </c>
      <c r="D19" s="93" t="s">
        <v>68</v>
      </c>
      <c r="E19" s="90"/>
      <c r="F19" s="90"/>
      <c r="G19" s="88"/>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6</v>
      </c>
      <c r="E21" s="42" t="s">
        <v>85</v>
      </c>
      <c r="F21" s="2" t="s">
        <v>9</v>
      </c>
    </row>
    <row r="22" spans="1:25" ht="20.100000000000001" customHeight="1" x14ac:dyDescent="0.25">
      <c r="A22"/>
      <c r="D22" s="1" t="s">
        <v>22</v>
      </c>
      <c r="E22" s="42" t="s">
        <v>31</v>
      </c>
      <c r="F22" s="2" t="s">
        <v>9</v>
      </c>
      <c r="G22" s="1"/>
    </row>
    <row r="23" spans="1:25" ht="20.100000000000001" customHeight="1" x14ac:dyDescent="0.25">
      <c r="A23"/>
      <c r="D23" s="1" t="s">
        <v>7</v>
      </c>
      <c r="E23" s="42" t="s">
        <v>81</v>
      </c>
      <c r="F23" s="2" t="s">
        <v>9</v>
      </c>
    </row>
    <row r="24" spans="1:25" ht="20.100000000000001" customHeight="1" x14ac:dyDescent="0.25">
      <c r="A24" s="17"/>
      <c r="D24" s="1" t="s">
        <v>36</v>
      </c>
      <c r="E24" s="35">
        <v>307.7</v>
      </c>
      <c r="F24" s="2" t="s">
        <v>50</v>
      </c>
    </row>
    <row r="25" spans="1:25" ht="20.100000000000001" customHeight="1" x14ac:dyDescent="0.25">
      <c r="A25"/>
      <c r="D25" s="1" t="s">
        <v>58</v>
      </c>
      <c r="E25" s="35">
        <v>18</v>
      </c>
      <c r="F25" s="2" t="s">
        <v>10</v>
      </c>
      <c r="N25" s="44"/>
    </row>
    <row r="26" spans="1:25" ht="20.100000000000001" customHeight="1" x14ac:dyDescent="0.25">
      <c r="A26"/>
      <c r="D26" s="1" t="s">
        <v>59</v>
      </c>
      <c r="E26" s="35">
        <v>601</v>
      </c>
      <c r="F26" s="2" t="s">
        <v>11</v>
      </c>
    </row>
    <row r="27" spans="1:25" ht="20.100000000000001" customHeight="1" x14ac:dyDescent="0.25">
      <c r="A27"/>
      <c r="D27" s="10" t="s">
        <v>60</v>
      </c>
      <c r="E27" s="35">
        <v>1326</v>
      </c>
      <c r="F27" s="2" t="s">
        <v>11</v>
      </c>
    </row>
    <row r="28" spans="1:25" ht="20.100000000000001" customHeight="1" x14ac:dyDescent="0.25">
      <c r="A28"/>
      <c r="D28" s="1" t="s">
        <v>61</v>
      </c>
      <c r="E28" s="35">
        <v>7</v>
      </c>
      <c r="F28" s="2" t="s">
        <v>51</v>
      </c>
    </row>
    <row r="29" spans="1:25" ht="20.100000000000001" customHeight="1" x14ac:dyDescent="0.25">
      <c r="A29"/>
      <c r="D29" s="10" t="s">
        <v>57</v>
      </c>
      <c r="E29" s="53">
        <f>E26/E27</f>
        <v>0.45324283559577677</v>
      </c>
      <c r="F29" s="2"/>
    </row>
    <row r="30" spans="1:25" ht="20.100000000000001" customHeight="1" x14ac:dyDescent="0.25">
      <c r="A30"/>
      <c r="D30" s="10" t="s">
        <v>32</v>
      </c>
      <c r="E30" s="53" t="str">
        <f>Common_InputFunctions.Utility_LookupItemFromMinMax(E26,Table_SourceData_RainfallZones[Min rainfall],Table_SourceData_RainfallZones[Max rainfall],Table_SourceData_RainfallZones[Rainfall Zone])</f>
        <v>High rainfall</v>
      </c>
      <c r="G30" s="34"/>
      <c r="L30" s="50"/>
      <c r="M30" s="50"/>
      <c r="N30" s="50"/>
      <c r="O30" s="50"/>
      <c r="P30" s="50"/>
      <c r="Q30" s="50"/>
      <c r="R30" s="50"/>
      <c r="S30" s="50"/>
      <c r="T30" s="50"/>
      <c r="U30" s="50"/>
      <c r="V30" s="50"/>
      <c r="W30" s="50"/>
      <c r="X30" s="50"/>
      <c r="Y30" s="50"/>
    </row>
    <row r="31" spans="1:25" ht="20.100000000000001" customHeight="1" x14ac:dyDescent="0.25">
      <c r="A31"/>
      <c r="D31" s="1" t="s">
        <v>8</v>
      </c>
      <c r="E31" s="53"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78</v>
      </c>
      <c r="E32" s="53"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49</v>
      </c>
      <c r="E33" s="53" t="str">
        <f>Common_InputFunctions.Utility_LookupItemFromMinMax(E25,Table_SourceData_TemperatureZones[Min MAT],Table_SourceData_TemperatureZones[Max MAT],Table_SourceData_TemperatureZones[Temperature Zone])</f>
        <v>Temperate</v>
      </c>
      <c r="G33" s="71"/>
      <c r="L33" s="49"/>
      <c r="M33" s="49"/>
      <c r="N33" s="49"/>
      <c r="O33" s="49"/>
      <c r="P33" s="49"/>
      <c r="Q33" s="49"/>
      <c r="R33" s="49"/>
      <c r="S33" s="49"/>
      <c r="T33" s="49"/>
      <c r="U33" s="49"/>
      <c r="V33" s="49"/>
      <c r="W33" s="49"/>
      <c r="X33" s="49"/>
      <c r="Y33" s="49"/>
    </row>
    <row r="34" spans="1:25" ht="20.100000000000001" customHeight="1" x14ac:dyDescent="0.25">
      <c r="A34"/>
      <c r="J34" s="61"/>
      <c r="K34" s="74"/>
      <c r="L34" s="49"/>
      <c r="M34" s="49"/>
      <c r="N34" s="49"/>
      <c r="O34" s="49"/>
      <c r="P34" s="49"/>
      <c r="Q34" s="49"/>
      <c r="R34" s="49"/>
      <c r="S34" s="49"/>
      <c r="T34" s="49"/>
      <c r="U34" s="49"/>
      <c r="V34" s="49"/>
      <c r="W34" s="49"/>
      <c r="X34" s="49"/>
      <c r="Y34" s="49"/>
    </row>
    <row r="35" spans="1:25" ht="20.100000000000001" customHeight="1" x14ac:dyDescent="0.25">
      <c r="A35"/>
      <c r="J35" s="61"/>
      <c r="K35" s="74"/>
      <c r="L35" s="49"/>
      <c r="M35" s="49"/>
      <c r="N35" s="49"/>
      <c r="O35" s="49"/>
      <c r="P35" s="49"/>
      <c r="Q35" s="49"/>
      <c r="R35" s="49"/>
      <c r="S35" s="49"/>
      <c r="T35" s="49"/>
      <c r="U35" s="49"/>
      <c r="V35" s="49"/>
      <c r="W35" s="49"/>
      <c r="X35" s="49"/>
      <c r="Y35" s="49"/>
    </row>
    <row r="36" spans="1:25" ht="20.100000000000001" customHeight="1" x14ac:dyDescent="0.25">
      <c r="A36"/>
      <c r="D36" s="72"/>
      <c r="E36" s="72"/>
      <c r="F36" s="73"/>
      <c r="G36" s="61"/>
      <c r="H36" s="61"/>
      <c r="I36" s="62"/>
      <c r="J36" s="61"/>
      <c r="K36" s="74"/>
      <c r="L36" s="49"/>
      <c r="M36" s="49"/>
      <c r="N36" s="49"/>
      <c r="O36" s="49"/>
      <c r="P36" s="49"/>
      <c r="Q36" s="49"/>
      <c r="R36" s="49"/>
      <c r="S36" s="49"/>
      <c r="T36" s="49"/>
      <c r="U36" s="49"/>
      <c r="V36" s="49"/>
      <c r="W36" s="49"/>
      <c r="X36" s="49"/>
      <c r="Y36" s="49"/>
    </row>
    <row r="37" spans="1:25" ht="20.100000000000001" customHeight="1" x14ac:dyDescent="0.25">
      <c r="A37"/>
      <c r="D37" s="72"/>
      <c r="E37" s="72"/>
      <c r="F37" s="73"/>
      <c r="G37" s="61"/>
      <c r="H37" s="61"/>
      <c r="I37" s="62"/>
      <c r="J37" s="61"/>
      <c r="K37" s="74"/>
      <c r="L37" s="49"/>
      <c r="M37" s="49"/>
      <c r="N37" s="49"/>
      <c r="O37" s="49"/>
      <c r="P37" s="49"/>
      <c r="Q37" s="49"/>
      <c r="R37" s="49"/>
      <c r="S37" s="49"/>
      <c r="T37" s="49"/>
      <c r="U37" s="49"/>
      <c r="V37" s="49"/>
      <c r="W37" s="49"/>
      <c r="X37" s="49"/>
      <c r="Y37" s="49"/>
    </row>
    <row r="38" spans="1:25" ht="20.100000000000001" customHeight="1" x14ac:dyDescent="0.25">
      <c r="A38"/>
      <c r="D38" s="72"/>
      <c r="E38" s="72"/>
      <c r="F38" s="73"/>
      <c r="G38" s="61"/>
      <c r="H38" s="61"/>
      <c r="I38" s="62"/>
      <c r="J38" s="61"/>
      <c r="K38" s="74"/>
      <c r="L38" s="49"/>
      <c r="M38" s="49"/>
      <c r="N38" s="49"/>
      <c r="O38" s="49"/>
      <c r="P38" s="49"/>
      <c r="Q38" s="49"/>
      <c r="R38" s="49"/>
      <c r="S38" s="49"/>
      <c r="T38" s="49"/>
      <c r="U38" s="49"/>
      <c r="V38" s="49"/>
      <c r="W38" s="49"/>
      <c r="X38" s="49"/>
      <c r="Y38" s="49"/>
    </row>
    <row r="39" spans="1:25" ht="20.100000000000001" customHeight="1" x14ac:dyDescent="0.25">
      <c r="A39"/>
      <c r="D39" s="72"/>
      <c r="E39" s="72"/>
      <c r="F39" s="73"/>
      <c r="G39" s="61"/>
      <c r="H39" s="61"/>
      <c r="I39" s="62"/>
      <c r="J39" s="61"/>
      <c r="K39" s="74"/>
      <c r="L39" s="49"/>
      <c r="M39" s="49"/>
      <c r="N39" s="49"/>
      <c r="O39" s="49"/>
      <c r="P39" s="49"/>
      <c r="Q39" s="49"/>
      <c r="R39" s="49"/>
      <c r="S39" s="49"/>
      <c r="T39" s="49"/>
      <c r="U39" s="49"/>
      <c r="V39" s="49"/>
      <c r="W39" s="49"/>
      <c r="X39" s="49"/>
      <c r="Y39" s="49"/>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78"/>
      <c r="E47" s="78"/>
      <c r="F47" s="78"/>
      <c r="G47" s="78"/>
      <c r="H47" s="78"/>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G54" s="82"/>
    </row>
    <row r="55" spans="4:8" ht="20.100000000000001" customHeight="1" x14ac:dyDescent="0.25">
      <c r="D55" s="6"/>
    </row>
    <row r="56" spans="4:8" ht="20.100000000000001" customHeight="1" x14ac:dyDescent="0.25"/>
    <row r="57" spans="4:8" ht="20.100000000000001" customHeight="1" x14ac:dyDescent="0.25">
      <c r="D57" s="23"/>
      <c r="F57" s="83"/>
    </row>
    <row r="58" spans="4:8" ht="20.100000000000001" customHeight="1" x14ac:dyDescent="0.25">
      <c r="D58" s="1"/>
      <c r="E58" s="84"/>
    </row>
    <row r="59" spans="4:8" ht="20.100000000000001" customHeight="1" x14ac:dyDescent="0.25">
      <c r="D59" s="1"/>
      <c r="E59" s="84"/>
    </row>
    <row r="60" spans="4:8" ht="20.100000000000001" customHeight="1" x14ac:dyDescent="0.25">
      <c r="D60" s="1"/>
      <c r="E60" s="85"/>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4"/>
    </row>
    <row r="65" spans="4:9" ht="20.100000000000001" customHeight="1" x14ac:dyDescent="0.25">
      <c r="D65" s="1"/>
      <c r="E65" s="84"/>
    </row>
    <row r="66" spans="4:9" ht="20.100000000000001" customHeight="1" x14ac:dyDescent="0.25">
      <c r="D66" s="1"/>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opLeftCell="A29" zoomScaleNormal="100" workbookViewId="0">
      <selection activeCell="I50" sqref="I50"/>
    </sheetView>
  </sheetViews>
  <sheetFormatPr defaultRowHeight="15.75" x14ac:dyDescent="0.25"/>
  <cols>
    <col min="1" max="1" width="30.7109375" customWidth="1"/>
    <col min="2" max="2" width="4.7109375" customWidth="1"/>
    <col min="3" max="3" width="4.7109375" style="1" customWidth="1"/>
    <col min="4" max="4" width="73.28515625" style="1" customWidth="1"/>
    <col min="5" max="11" width="30.7109375" style="1" customWidth="1"/>
    <col min="12" max="12" width="4.7109375" style="1" customWidth="1"/>
    <col min="13" max="13" width="4.7109375" customWidth="1"/>
    <col min="14" max="14" width="4.7109375" style="57" customWidth="1"/>
    <col min="15" max="20" width="30.7109375" style="57" customWidth="1"/>
    <col min="21" max="21" width="4.7109375" style="57" customWidth="1"/>
  </cols>
  <sheetData>
    <row r="1" spans="1:21" s="67" customFormat="1" ht="30" customHeight="1" x14ac:dyDescent="0.35">
      <c r="A1" s="67" t="e" vm="1">
        <v>#VALUE!</v>
      </c>
      <c r="C1" s="67" t="s">
        <v>148</v>
      </c>
      <c r="N1" s="57"/>
      <c r="O1" s="57"/>
      <c r="P1" s="57"/>
      <c r="Q1" s="57"/>
      <c r="R1" s="57"/>
      <c r="S1" s="57"/>
      <c r="T1" s="57"/>
      <c r="U1" s="57"/>
    </row>
    <row r="2" spans="1:21" s="9" customFormat="1" ht="20.100000000000001" customHeight="1" x14ac:dyDescent="0.25">
      <c r="N2" s="57"/>
      <c r="O2" s="57"/>
      <c r="P2" s="57"/>
      <c r="Q2" s="57"/>
      <c r="R2" s="57"/>
      <c r="S2" s="57"/>
      <c r="T2" s="57"/>
      <c r="U2" s="57"/>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152</v>
      </c>
    </row>
    <row r="6" spans="1:21" ht="20.100000000000001" customHeight="1" x14ac:dyDescent="0.25">
      <c r="A6" s="16"/>
    </row>
    <row r="7" spans="1:21" ht="20.100000000000001" customHeight="1" x14ac:dyDescent="0.25">
      <c r="A7" s="20" t="s">
        <v>1</v>
      </c>
      <c r="D7" s="63"/>
      <c r="E7" s="41" t="s">
        <v>153</v>
      </c>
      <c r="F7" s="41" t="s">
        <v>154</v>
      </c>
      <c r="G7" s="41" t="s">
        <v>155</v>
      </c>
      <c r="H7" s="41" t="s">
        <v>156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99">
        <v>4300</v>
      </c>
      <c r="F8" s="99">
        <v>100</v>
      </c>
      <c r="G8" s="99">
        <v>100</v>
      </c>
      <c r="H8" s="99">
        <v>100</v>
      </c>
      <c r="I8" s="2" t="s">
        <v>86</v>
      </c>
      <c r="J8" s="2"/>
      <c r="K8" s="2"/>
    </row>
    <row r="9" spans="1:21" ht="20.100000000000001" customHeight="1" x14ac:dyDescent="0.25">
      <c r="A9" s="21" t="str">
        <f>HYPERLINK("#'Input - Other Livestock'!A1", "Other Livestock")</f>
        <v>Other Livestock</v>
      </c>
      <c r="J9" s="2"/>
      <c r="K9" s="2"/>
    </row>
    <row r="10" spans="1:21" ht="20.100000000000001" customHeight="1" x14ac:dyDescent="0.25">
      <c r="A10" s="17"/>
      <c r="D10" s="1" t="s">
        <v>175</v>
      </c>
      <c r="E10" s="42" t="s">
        <v>149</v>
      </c>
      <c r="F10" s="2" t="s">
        <v>9</v>
      </c>
    </row>
    <row r="11" spans="1:21" ht="20.100000000000001" customHeight="1" x14ac:dyDescent="0.25">
      <c r="A11" s="19" t="s">
        <v>71</v>
      </c>
    </row>
    <row r="12" spans="1:21" ht="20.100000000000001" customHeight="1" x14ac:dyDescent="0.25">
      <c r="A12" s="17" t="str">
        <f>HYPERLINK("#'4.7.1.1-2 Manure Methane'!A1", "4.7.1.1-2 Methane")</f>
        <v>4.7.1.1-2 Methane</v>
      </c>
      <c r="D12" s="63" t="s">
        <v>17</v>
      </c>
      <c r="E12" s="63" t="s">
        <v>150</v>
      </c>
    </row>
    <row r="13" spans="1:21" ht="20.100000000000001" customHeight="1" x14ac:dyDescent="0.25">
      <c r="A13" s="17" t="str">
        <f>HYPERLINK("#'4.7.1.3-4 Soil Direct N2O'!A1", "4.7.1.3-4 Soil Direct N2O")</f>
        <v>4.7.1.3-4 Soil Direct N2O</v>
      </c>
      <c r="D13" s="1" t="s">
        <v>137</v>
      </c>
      <c r="E13" s="127">
        <f>IF($E$10="Yes",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13" s="2" t="s">
        <v>151</v>
      </c>
    </row>
    <row r="14" spans="1:21" ht="20.100000000000001" customHeight="1" x14ac:dyDescent="0.25">
      <c r="A14" s="17" t="str">
        <f>HYPERLINK("#'4.7.1.5-6 Soil Atmos Deposition'!A1", "4.7.1.5-6 Soil Atmos deposition")</f>
        <v>4.7.1.5-6 Soil Atmos deposition</v>
      </c>
      <c r="D14" s="1" t="s">
        <v>126</v>
      </c>
      <c r="E14" s="127">
        <f>IF($E$10="Yes",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14" s="2" t="s">
        <v>151</v>
      </c>
    </row>
    <row r="15" spans="1:21" ht="20.100000000000001" customHeight="1" x14ac:dyDescent="0.25">
      <c r="A15" s="17" t="str">
        <f>HYPERLINK("#'4.7.1.7-8 Soil Leaching Runoff'!A1", "4.7.1.8-9 Soil Leaching &amp; Runoff")</f>
        <v>4.7.1.8-9 Soil Leaching &amp; Runoff</v>
      </c>
    </row>
    <row r="16" spans="1:21" ht="20.100000000000001" customHeight="1" x14ac:dyDescent="0.25">
      <c r="D16" s="1" t="s">
        <v>209</v>
      </c>
      <c r="E16" s="42" t="s">
        <v>101</v>
      </c>
      <c r="F16" s="2" t="s">
        <v>9</v>
      </c>
    </row>
    <row r="17" spans="1:11" ht="20.100000000000001" customHeight="1" x14ac:dyDescent="0.25">
      <c r="A17" s="18" t="s">
        <v>2</v>
      </c>
      <c r="E17" s="42" t="s">
        <v>104</v>
      </c>
      <c r="F17" s="2" t="s">
        <v>9</v>
      </c>
    </row>
    <row r="18" spans="1:11" ht="20.100000000000001" customHeight="1" x14ac:dyDescent="0.25">
      <c r="A18" s="17" t="str">
        <f>HYPERLINK("#'Constants - Other Livestock'!A1", "Constants - Other Livestock")</f>
        <v>Constants - Other Livestock</v>
      </c>
    </row>
    <row r="19" spans="1:11" ht="20.100000000000001" customHeight="1" x14ac:dyDescent="0.25">
      <c r="A19" s="17" t="str">
        <f>HYPERLINK("#'Constants - Livestock'!A1", "Constants - Livestock")</f>
        <v>Constants - Livestock</v>
      </c>
      <c r="D19" s="6" t="s">
        <v>157</v>
      </c>
    </row>
    <row r="20" spans="1:11" ht="20.100000000000001" customHeight="1" x14ac:dyDescent="0.25">
      <c r="A20" s="17" t="str">
        <f>HYPERLINK("#'Constants - Common'!A1", "Constants - Common")</f>
        <v>Constants - Common</v>
      </c>
    </row>
    <row r="21" spans="1:11" ht="20.100000000000001" customHeight="1" x14ac:dyDescent="0.25">
      <c r="A21" s="17" t="str">
        <f>HYPERLINK("#'Acknowledgements'!A1", "Acknowledgements")</f>
        <v>Acknowledgements</v>
      </c>
      <c r="D21" s="63"/>
      <c r="E21" s="41" t="s">
        <v>158</v>
      </c>
      <c r="F21" s="41" t="s">
        <v>159</v>
      </c>
      <c r="G21" s="41" t="s">
        <v>160</v>
      </c>
      <c r="H21" s="41" t="s">
        <v>161</v>
      </c>
      <c r="I21" s="41" t="s">
        <v>162</v>
      </c>
      <c r="J21" s="41" t="s">
        <v>163</v>
      </c>
    </row>
    <row r="22" spans="1:11" ht="20.100000000000001" customHeight="1" x14ac:dyDescent="0.25">
      <c r="D22" s="1" t="str">
        <f>"Average number of head between " &amp; TEXT('Input - Site'!$E$12, "dd mmm yy") &amp; " and " &amp; TEXT('Input - Site'!$E$13, "dd mmm yy")</f>
        <v>Average number of head between 01 Jan 24 and 31 Dec 24</v>
      </c>
      <c r="E22" s="99">
        <v>4300</v>
      </c>
      <c r="F22" s="99">
        <v>100</v>
      </c>
      <c r="G22" s="99">
        <v>100</v>
      </c>
      <c r="H22" s="99">
        <v>100</v>
      </c>
      <c r="I22" s="99">
        <v>100</v>
      </c>
      <c r="J22" s="99">
        <v>100</v>
      </c>
      <c r="K22" s="2" t="s">
        <v>86</v>
      </c>
    </row>
    <row r="23" spans="1:11" ht="20.100000000000001" customHeight="1" x14ac:dyDescent="0.25">
      <c r="J23" s="2"/>
      <c r="K23" s="2"/>
    </row>
    <row r="24" spans="1:11" ht="20.100000000000001" customHeight="1" x14ac:dyDescent="0.25">
      <c r="A24" s="17"/>
      <c r="D24" s="1" t="s">
        <v>176</v>
      </c>
      <c r="E24" s="42" t="s">
        <v>149</v>
      </c>
      <c r="F24" s="2" t="s">
        <v>9</v>
      </c>
      <c r="J24" s="2"/>
      <c r="K24" s="2"/>
    </row>
    <row r="25" spans="1:11" ht="20.100000000000001" customHeight="1" x14ac:dyDescent="0.25">
      <c r="A25" s="17"/>
      <c r="K25" s="2"/>
    </row>
    <row r="26" spans="1:11" ht="20.100000000000001" customHeight="1" x14ac:dyDescent="0.25">
      <c r="A26" s="17"/>
      <c r="D26" s="63" t="s">
        <v>17</v>
      </c>
      <c r="E26" s="63" t="s">
        <v>150</v>
      </c>
    </row>
    <row r="27" spans="1:11" ht="20.100000000000001" customHeight="1" x14ac:dyDescent="0.25">
      <c r="A27" s="17"/>
      <c r="D27" s="1" t="s">
        <v>137</v>
      </c>
      <c r="E27" s="127">
        <f>IF($E$24="Yes",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27" s="2" t="s">
        <v>151</v>
      </c>
    </row>
    <row r="28" spans="1:11" ht="20.100000000000001" customHeight="1" x14ac:dyDescent="0.25">
      <c r="A28" s="17"/>
      <c r="D28" s="1" t="s">
        <v>126</v>
      </c>
      <c r="E28" s="127">
        <f>IF($E$24="Yes",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28" s="2" t="s">
        <v>151</v>
      </c>
      <c r="K28" s="2"/>
    </row>
    <row r="29" spans="1:11" ht="20.100000000000001" customHeight="1" x14ac:dyDescent="0.25">
      <c r="A29" s="17"/>
      <c r="K29" s="2"/>
    </row>
    <row r="30" spans="1:11" ht="20.100000000000001" customHeight="1" x14ac:dyDescent="0.25">
      <c r="A30" s="17"/>
      <c r="D30" s="1" t="s">
        <v>210</v>
      </c>
      <c r="E30" s="42" t="s">
        <v>101</v>
      </c>
      <c r="F30" s="2" t="s">
        <v>9</v>
      </c>
      <c r="K30" s="2"/>
    </row>
    <row r="31" spans="1:11" ht="20.100000000000001" customHeight="1" x14ac:dyDescent="0.25">
      <c r="A31" s="66"/>
      <c r="E31" s="42" t="s">
        <v>104</v>
      </c>
      <c r="F31" s="2" t="s">
        <v>9</v>
      </c>
    </row>
    <row r="32" spans="1:11" ht="20.100000000000001" customHeight="1" x14ac:dyDescent="0.25">
      <c r="A32" s="66"/>
    </row>
    <row r="33" spans="1:11" ht="20.100000000000001" customHeight="1" x14ac:dyDescent="0.25">
      <c r="A33" s="17"/>
      <c r="D33" s="6" t="s">
        <v>164</v>
      </c>
      <c r="K33" s="2"/>
    </row>
    <row r="34" spans="1:11" ht="20.100000000000001" customHeight="1" x14ac:dyDescent="0.25"/>
    <row r="35" spans="1:11" ht="20.100000000000001" customHeight="1" x14ac:dyDescent="0.25">
      <c r="D35" s="63"/>
      <c r="E35" s="41" t="s">
        <v>165</v>
      </c>
      <c r="F35" s="41" t="s">
        <v>166</v>
      </c>
      <c r="G35" s="41" t="s">
        <v>167</v>
      </c>
      <c r="H35" s="41" t="s">
        <v>168</v>
      </c>
    </row>
    <row r="36" spans="1:11" ht="20.100000000000001" customHeight="1" x14ac:dyDescent="0.25">
      <c r="D36" s="1" t="str">
        <f>"Average number of head between " &amp; TEXT('Input - Site'!$E$12, "dd mmm yy") &amp; " and " &amp; TEXT('Input - Site'!$E$13, "dd mmm yy")</f>
        <v>Average number of head between 01 Jan 24 and 31 Dec 24</v>
      </c>
      <c r="E36" s="99">
        <v>4300</v>
      </c>
      <c r="F36" s="99">
        <v>100</v>
      </c>
      <c r="G36" s="99">
        <v>100</v>
      </c>
      <c r="H36" s="99">
        <v>100</v>
      </c>
      <c r="I36" s="2" t="s">
        <v>86</v>
      </c>
    </row>
    <row r="37" spans="1:11" ht="20.100000000000001" customHeight="1" x14ac:dyDescent="0.25"/>
    <row r="38" spans="1:11" ht="20.100000000000001" customHeight="1" x14ac:dyDescent="0.25">
      <c r="D38" s="1" t="s">
        <v>177</v>
      </c>
      <c r="E38" s="42" t="s">
        <v>149</v>
      </c>
      <c r="F38" s="2" t="s">
        <v>9</v>
      </c>
    </row>
    <row r="39" spans="1:11" ht="20.100000000000001" customHeight="1" x14ac:dyDescent="0.25">
      <c r="A39" s="17"/>
      <c r="J39" s="2"/>
    </row>
    <row r="40" spans="1:11" ht="20.100000000000001" customHeight="1" x14ac:dyDescent="0.25">
      <c r="D40" s="63" t="s">
        <v>17</v>
      </c>
      <c r="E40" s="63" t="s">
        <v>150</v>
      </c>
    </row>
    <row r="41" spans="1:11" ht="20.100000000000001" customHeight="1" x14ac:dyDescent="0.25">
      <c r="A41" s="47"/>
      <c r="D41" s="1" t="s">
        <v>137</v>
      </c>
      <c r="E41" s="127">
        <f>IF($E$38="Yes",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41" s="2" t="s">
        <v>151</v>
      </c>
    </row>
    <row r="42" spans="1:11" ht="20.100000000000001" customHeight="1" x14ac:dyDescent="0.25">
      <c r="D42" s="1" t="s">
        <v>126</v>
      </c>
      <c r="E42" s="127">
        <f>IF($E$38="Yes",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42" s="2" t="s">
        <v>151</v>
      </c>
      <c r="J42" s="2"/>
    </row>
    <row r="43" spans="1:11" ht="20.100000000000001" customHeight="1" x14ac:dyDescent="0.25">
      <c r="J43" s="2"/>
    </row>
    <row r="44" spans="1:11" ht="20.100000000000001" customHeight="1" x14ac:dyDescent="0.25">
      <c r="D44" s="1" t="s">
        <v>211</v>
      </c>
      <c r="E44" s="42" t="s">
        <v>101</v>
      </c>
      <c r="F44" s="2" t="s">
        <v>9</v>
      </c>
      <c r="J44" s="2"/>
    </row>
    <row r="45" spans="1:11" ht="20.100000000000001" customHeight="1" x14ac:dyDescent="0.25">
      <c r="E45" s="42" t="s">
        <v>104</v>
      </c>
      <c r="F45" s="2" t="s">
        <v>9</v>
      </c>
    </row>
    <row r="46" spans="1:11" ht="20.100000000000001" customHeight="1" x14ac:dyDescent="0.25"/>
    <row r="47" spans="1:11" ht="20.100000000000001" customHeight="1" x14ac:dyDescent="0.25">
      <c r="D47" s="6" t="s">
        <v>169</v>
      </c>
      <c r="J47" s="2"/>
      <c r="K47" s="2"/>
    </row>
    <row r="48" spans="1:11" ht="20.100000000000001" customHeight="1" x14ac:dyDescent="0.25">
      <c r="K48" s="2"/>
    </row>
    <row r="49" spans="4:11" ht="20.100000000000001" customHeight="1" x14ac:dyDescent="0.25">
      <c r="D49" s="63"/>
      <c r="E49" s="41" t="s">
        <v>170</v>
      </c>
      <c r="F49" s="41" t="s">
        <v>171</v>
      </c>
      <c r="G49" s="41" t="s">
        <v>172</v>
      </c>
      <c r="H49" s="41" t="s">
        <v>173</v>
      </c>
      <c r="I49" s="41" t="s">
        <v>174</v>
      </c>
    </row>
    <row r="50" spans="4:11" ht="20.100000000000001" customHeight="1" x14ac:dyDescent="0.25">
      <c r="D50" s="1" t="str">
        <f>"Average number of head between " &amp; TEXT('Input - Site'!$E$12, "dd mmm yy") &amp; " and " &amp; TEXT('Input - Site'!$E$13, "dd mmm yy")</f>
        <v>Average number of head between 01 Jan 24 and 31 Dec 24</v>
      </c>
      <c r="E50" s="99">
        <v>4300</v>
      </c>
      <c r="F50" s="99">
        <v>100</v>
      </c>
      <c r="G50" s="99">
        <v>100</v>
      </c>
      <c r="H50" s="99">
        <v>100</v>
      </c>
      <c r="I50" s="99">
        <v>100</v>
      </c>
      <c r="J50" s="2" t="s">
        <v>86</v>
      </c>
    </row>
    <row r="51" spans="4:11" ht="20.100000000000001" customHeight="1" x14ac:dyDescent="0.25"/>
    <row r="52" spans="4:11" ht="20.100000000000001" customHeight="1" x14ac:dyDescent="0.25">
      <c r="D52" s="1" t="s">
        <v>178</v>
      </c>
      <c r="E52" s="42" t="s">
        <v>149</v>
      </c>
      <c r="F52" s="42" t="s">
        <v>149</v>
      </c>
      <c r="G52" s="42" t="s">
        <v>149</v>
      </c>
      <c r="H52" s="42" t="s">
        <v>149</v>
      </c>
      <c r="I52" s="42" t="s">
        <v>149</v>
      </c>
      <c r="J52" s="2" t="s">
        <v>9</v>
      </c>
    </row>
    <row r="53" spans="4:11" ht="20.100000000000001" customHeight="1" x14ac:dyDescent="0.25">
      <c r="K53" s="2"/>
    </row>
    <row r="54" spans="4:11" ht="20.100000000000001" customHeight="1" x14ac:dyDescent="0.25">
      <c r="D54" s="63" t="s">
        <v>17</v>
      </c>
      <c r="E54" s="41" t="s">
        <v>170</v>
      </c>
      <c r="F54" s="41" t="s">
        <v>171</v>
      </c>
      <c r="G54" s="41" t="s">
        <v>172</v>
      </c>
      <c r="H54" s="41" t="s">
        <v>173</v>
      </c>
      <c r="I54" s="41" t="s">
        <v>174</v>
      </c>
      <c r="K54" s="2"/>
    </row>
    <row r="55" spans="4:11" ht="20.100000000000001" customHeight="1" x14ac:dyDescent="0.25">
      <c r="D55" s="1" t="s">
        <v>137</v>
      </c>
      <c r="E55" s="127">
        <f>IF($E$52="Yes",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55" s="127">
        <f>IF($F$52="Yes",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G55" s="127">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H55" s="127">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I55" s="127">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J55" s="2" t="s">
        <v>124</v>
      </c>
      <c r="K55" s="2"/>
    </row>
    <row r="56" spans="4:11" ht="20.100000000000001" customHeight="1" x14ac:dyDescent="0.25">
      <c r="D56" s="1" t="s">
        <v>126</v>
      </c>
      <c r="E56" s="127">
        <f>IF($E$52="Yes",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56" s="127">
        <f>IF($F$52="Yes",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G56" s="127">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H56" s="127">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I56" s="127">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J56" s="2" t="s">
        <v>124</v>
      </c>
    </row>
    <row r="57" spans="4:11" ht="20.100000000000001" customHeight="1" x14ac:dyDescent="0.25">
      <c r="I57" s="2"/>
      <c r="J57" s="2"/>
    </row>
    <row r="58" spans="4:11" ht="20.100000000000001" customHeight="1" x14ac:dyDescent="0.25">
      <c r="D58" s="1" t="s">
        <v>207</v>
      </c>
      <c r="E58" s="42" t="s">
        <v>101</v>
      </c>
      <c r="F58" s="42" t="s">
        <v>101</v>
      </c>
      <c r="G58" s="42" t="s">
        <v>214</v>
      </c>
      <c r="H58" s="42" t="s">
        <v>214</v>
      </c>
      <c r="I58" s="42" t="s">
        <v>101</v>
      </c>
      <c r="J58" s="2" t="s">
        <v>9</v>
      </c>
      <c r="K58" s="2"/>
    </row>
    <row r="59" spans="4:11" ht="20.100000000000001" customHeight="1" x14ac:dyDescent="0.25">
      <c r="E59" s="42" t="s">
        <v>105</v>
      </c>
      <c r="F59" s="42" t="s">
        <v>106</v>
      </c>
      <c r="G59" s="42" t="s">
        <v>104</v>
      </c>
      <c r="H59" s="42" t="s">
        <v>107</v>
      </c>
      <c r="I59" s="42" t="s">
        <v>104</v>
      </c>
      <c r="J59" s="2" t="s">
        <v>9</v>
      </c>
    </row>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3">
    <dataValidation type="list" allowBlank="1" showInputMessage="1" showErrorMessage="1" sqref="E10 E24 E38 E52:I52" xr:uid="{ABE6F181-36EF-4BE7-BF40-DC01A8EBEDC2}">
      <formula1>"Yes, No"</formula1>
    </dataValidation>
    <dataValidation type="list" allowBlank="1" showInputMessage="1" showErrorMessage="1" sqref="E16 E30 E44 E58:I58" xr:uid="{47188BDD-8008-4E39-9815-C8B51ACE1B73}">
      <formula1>INDIRECT("Table_SourceData_OtherLivestock_CropProdSystems[Production system]")</formula1>
    </dataValidation>
    <dataValidation type="list" allowBlank="1" showInputMessage="1" showErrorMessage="1" sqref="E17 E31 E45 E59:I59" xr:uid="{084D7279-A83C-482F-8EB4-21628242A8E7}">
      <formula1>INDIRECT("Table_SourceData_OtherLivestock_IrrigationMethods[Irrigation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183"/>
  <sheetViews>
    <sheetView showGridLines="0" topLeftCell="A101" zoomScaleNormal="100" workbookViewId="0">
      <selection activeCell="G116" sqref="G11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236</v>
      </c>
      <c r="L1"/>
    </row>
    <row r="2" spans="1:21" s="9" customFormat="1" ht="20.100000000000001" customHeight="1" x14ac:dyDescent="0.25">
      <c r="L2"/>
    </row>
    <row r="3" spans="1:21" ht="20.100000000000001" customHeight="1" x14ac:dyDescent="0.25">
      <c r="A3" s="17" t="str">
        <f>HYPERLINK("#'Home'!A1", "Home")</f>
        <v>Home</v>
      </c>
      <c r="C3" s="4"/>
      <c r="D3" s="4" t="s">
        <v>89</v>
      </c>
      <c r="E3" s="4"/>
      <c r="F3" s="4"/>
      <c r="G3" s="4"/>
      <c r="H3" s="4"/>
      <c r="I3" s="4"/>
      <c r="J3" s="4"/>
      <c r="K3" s="4"/>
      <c r="M3" s="4"/>
      <c r="N3" s="4" t="s">
        <v>90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MMS_OtherLivestock_Methane_Equations.VEERG_4_7_1_1__2_AnnualMethaneProductionFromManureManagement_Title()</f>
        <v>Annual methane production from manure management</v>
      </c>
    </row>
    <row r="6" spans="1:21" ht="20.100000000000001" customHeight="1" x14ac:dyDescent="0.25">
      <c r="A6" s="16"/>
      <c r="D6" s="5" t="str" cm="1">
        <f t="array" ref="D6">MMS_OtherLivestock_Methane_Equations.VEERG_4_7_1_1__2_AnnualMethaneProductionFromManureManagement_Source()</f>
        <v>VEERG 2026: 4.7.1.1, Equation (2)</v>
      </c>
    </row>
    <row r="7" spans="1:21" ht="20.100000000000001" customHeight="1" x14ac:dyDescent="0.25">
      <c r="A7" s="20" t="s">
        <v>1</v>
      </c>
      <c r="D7" s="13" t="s">
        <v>23</v>
      </c>
      <c r="E7" s="13" t="str" cm="1">
        <f t="array" aca="1" ref="E7" ca="1">Common_InputFunctions.Utility_DisplayFunctionName(E65)</f>
        <v>=MMS_OtherLivestock_Methane_Equations.VEERG_4_7_1_1__2_AnnualMethaneProductionFromManureManagement</v>
      </c>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26</v>
      </c>
      <c r="E10" s="1" t="str" cm="1">
        <f t="array" ref="E10">MMS_OtherLivestock_Methane_Equations.VEERG_4_7_1_1__2_AnnualMethaneProductionFromManureManagement_Variable()</f>
        <v>M_jm</v>
      </c>
    </row>
    <row r="11" spans="1:21" ht="20.100000000000001" customHeight="1" x14ac:dyDescent="0.25">
      <c r="A11" s="19" t="s">
        <v>71</v>
      </c>
      <c r="D11" s="54" t="s">
        <v>16</v>
      </c>
      <c r="E11" s="55" t="str" cm="1">
        <f t="array" ref="E11">MMS_OtherLivestock_Methane_Equations.VEERG_4_7_1_1__2_AnnualMethaneProductionFromManureManagement_Unit()</f>
        <v>kg CH4/head/day</v>
      </c>
    </row>
    <row r="12" spans="1:21" ht="20.100000000000001" customHeight="1" x14ac:dyDescent="0.25">
      <c r="A12" s="22" t="str">
        <f>HYPERLINK("#'4.7.1.1-2 Manure Methane'!A1", "4.7.1.1-2 Methane")</f>
        <v>4.7.1.1-2 Methane</v>
      </c>
    </row>
    <row r="13" spans="1:21" ht="20.100000000000001" customHeight="1" x14ac:dyDescent="0.25">
      <c r="A13" s="17" t="str">
        <f>HYPERLINK("#'4.7.1.3-4 Soil Direct N2O'!A1", "4.7.1.3-4 Soil Direct N2O")</f>
        <v>4.7.1.3-4 Soil Direct N2O</v>
      </c>
      <c r="D13" s="117" t="str" cm="1">
        <f t="array" ref="D13:E18">_xlfn.CHOOSECOLS(MMS_OtherLivestock_Methane_Equations.VEERG_4_7_1_1__2_AnnualMethaneProductionFromManureManagement_Arguments(),1,2)</f>
        <v>VS_j</v>
      </c>
      <c r="E13" s="120" t="str">
        <v>volatile solid production</v>
      </c>
      <c r="F13" s="121"/>
      <c r="G13" s="119"/>
      <c r="H13" s="117" t="str" cm="1">
        <f t="array" ref="H13:I18">_xlfn.CHOOSECOLS(MMS_OtherLivestock_Methane_Equations.VEERG_4_7_1_1__2_AnnualMethaneProductionFromManureManagement_Arguments(),3,4)</f>
        <v>kg/head/day</v>
      </c>
      <c r="I13" s="116" t="str">
        <v>Constant</v>
      </c>
      <c r="J13" s="118" t="str" cm="1">
        <f t="array" aca="1" ref="J13" ca="1">HYPERLINK(Common_InputFunctions.Utility_SourceHyperlink($D$20),$D$20)</f>
        <v>Table_VS_j</v>
      </c>
      <c r="N13" s="117" t="str" cm="1">
        <f t="array" ref="N13:O18">_xlfn.CHOOSECOLS(MMS_OtherLivestock_Methane_Equations.VEERG_4_7_1_1__2_AnnualMethaneProductionFromManureManagement_Arguments_Method2(),1,2)</f>
        <v>VS_j</v>
      </c>
      <c r="O13" s="120" t="str">
        <v>volatile solid production</v>
      </c>
      <c r="P13" s="121"/>
      <c r="Q13" s="119"/>
      <c r="R13" s="117" t="str" cm="1">
        <f t="array" ref="R13:S18">_xlfn.CHOOSECOLS(MMS_OtherLivestock_Methane_Equations.VEERG_4_7_1_1__2_AnnualMethaneProductionFromManureManagement_Arguments_Method2(),3,4)</f>
        <v>kg/head/day</v>
      </c>
      <c r="S13" s="116" t="str">
        <v>Constant</v>
      </c>
      <c r="T13" s="118"/>
    </row>
    <row r="14" spans="1:21" ht="20.100000000000001" customHeight="1" x14ac:dyDescent="0.25">
      <c r="A14" s="17" t="str">
        <f>HYPERLINK("#'4.7.1.5-6 Soil Atmos Deposition'!A1", "4.7.1.5-6 Soil Atmos deposition")</f>
        <v>4.7.1.5-6 Soil Atmos deposition</v>
      </c>
      <c r="D14" s="117" t="str">
        <v>B_O</v>
      </c>
      <c r="E14" s="120" t="str">
        <v>methane emissions potential</v>
      </c>
      <c r="F14" s="121"/>
      <c r="G14" s="119"/>
      <c r="H14" s="117" t="str">
        <v>m3 CH4/kg VS</v>
      </c>
      <c r="I14" s="116" t="str">
        <v>Constant</v>
      </c>
      <c r="J14" s="118" t="str" cm="1">
        <f t="array" aca="1" ref="J14" ca="1">HYPERLINK(Common_InputFunctions.Utility_SourceHyperlink($D$32),$D$32)</f>
        <v>Table_B_O</v>
      </c>
      <c r="N14" s="117" t="str">
        <v>B_O</v>
      </c>
      <c r="O14" s="120" t="str">
        <v>methane emissions potential</v>
      </c>
      <c r="P14" s="121"/>
      <c r="Q14" s="119"/>
      <c r="R14" s="117" t="str">
        <v>m3 CH4/kg VS</v>
      </c>
      <c r="S14" s="116" t="str">
        <v>Constant</v>
      </c>
      <c r="T14" s="118"/>
    </row>
    <row r="15" spans="1:21" ht="20.100000000000001" customHeight="1" x14ac:dyDescent="0.25">
      <c r="A15" s="17" t="str">
        <f>HYPERLINK("#'4.7.1.7-8 Soil Leaching Runoff'!A1", "4.7.1.8-9 Soil Leaching &amp; Runoff")</f>
        <v>4.7.1.8-9 Soil Leaching &amp; Runoff</v>
      </c>
      <c r="D15" s="117" t="str">
        <v>MMS_m</v>
      </c>
      <c r="E15" s="120" t="str">
        <v>fraction of waste in each manure management system</v>
      </c>
      <c r="F15" s="121"/>
      <c r="G15" s="119"/>
      <c r="H15" s="117" t="str">
        <v>fraction</v>
      </c>
      <c r="I15" s="116" t="str">
        <v>Constant</v>
      </c>
      <c r="J15" s="118" t="str" cm="1">
        <f t="array" aca="1" ref="J15" ca="1">HYPERLINK(Common_InputFunctions.Utility_SourceHyperlink($D$44),D44)</f>
        <v>Table_MMS_m</v>
      </c>
      <c r="N15" s="117" t="str">
        <v>MMS_m</v>
      </c>
      <c r="O15" s="120" t="str">
        <v>fraction of waste in each manure management system</v>
      </c>
      <c r="P15" s="121"/>
      <c r="Q15" s="119"/>
      <c r="R15" s="117" t="str">
        <v>fraction</v>
      </c>
      <c r="S15" s="116" t="str">
        <v>Constant</v>
      </c>
      <c r="T15" s="118"/>
    </row>
    <row r="16" spans="1:21" ht="20.100000000000001" customHeight="1" x14ac:dyDescent="0.25">
      <c r="D16" s="117" t="str">
        <v>MCF_im</v>
      </c>
      <c r="E16" s="120" t="str">
        <v>methane conversion factor for state and manure management system</v>
      </c>
      <c r="F16" s="121"/>
      <c r="G16" s="119"/>
      <c r="H16" s="117" t="str">
        <v>fraction</v>
      </c>
      <c r="I16" s="116" t="str">
        <v>Constant</v>
      </c>
      <c r="J16" s="118" t="str" cm="1">
        <f t="array" aca="1" ref="J16" ca="1">HYPERLINK(Common_InputFunctions.Utility_SourceHyperlink($D$56),$D$56)</f>
        <v>M1_Table_MCF_i_m</v>
      </c>
      <c r="N16" s="117" t="str">
        <v>MCF_im</v>
      </c>
      <c r="O16" s="120" t="str">
        <v>methane conversion factor for temperature zone and manure management system</v>
      </c>
      <c r="P16" s="121"/>
      <c r="Q16" s="119"/>
      <c r="R16" s="117" t="str">
        <v>fraction</v>
      </c>
      <c r="S16" s="116" t="str">
        <v>Constant</v>
      </c>
      <c r="T16" s="118" t="str" cm="1">
        <f t="array" aca="1" ref="T16" ca="1">HYPERLINK(Common_InputFunctions.Utility_SourceHyperlink($N$56),$N$56)</f>
        <v>M2_Table_MCF_i_m</v>
      </c>
    </row>
    <row r="17" spans="1:20" ht="20.100000000000001" customHeight="1" x14ac:dyDescent="0.25">
      <c r="A17" s="18" t="s">
        <v>2</v>
      </c>
      <c r="D17" s="117" t="str">
        <v>rho</v>
      </c>
      <c r="E17" s="120" t="str">
        <v>density of methane</v>
      </c>
      <c r="F17" s="121"/>
      <c r="G17" s="119"/>
      <c r="H17" s="117" t="str">
        <v>kg/m3</v>
      </c>
      <c r="I17" s="116" t="str">
        <v>Constant</v>
      </c>
      <c r="J17" s="117">
        <f>'Constants - Common'!$D$175</f>
        <v>0.6784</v>
      </c>
      <c r="N17" s="117" t="str">
        <v>rho</v>
      </c>
      <c r="O17" s="120" t="str">
        <v>density of methane</v>
      </c>
      <c r="P17" s="121"/>
      <c r="Q17" s="119"/>
      <c r="R17" s="117" t="str">
        <v>kg/m3</v>
      </c>
      <c r="S17" s="116" t="str">
        <v>Constant</v>
      </c>
      <c r="T17" s="117"/>
    </row>
    <row r="18" spans="1:20" ht="20.100000000000001" customHeight="1" x14ac:dyDescent="0.25">
      <c r="A18" s="17" t="str">
        <f>HYPERLINK("#'Constants - Other Livestock'!A1", "Constants - Other Livestock")</f>
        <v>Constants - Other Livestock</v>
      </c>
      <c r="D18" s="117" t="str">
        <v>i</v>
      </c>
      <c r="E18" s="120" t="str">
        <v>state</v>
      </c>
      <c r="F18" s="121"/>
      <c r="G18" s="119"/>
      <c r="H18" s="117" t="str">
        <v/>
      </c>
      <c r="I18" s="115" t="str">
        <v>Input</v>
      </c>
      <c r="J18" s="117" t="str">
        <f>Common_InputFunctions.Utility_ConvertStateCommonNameToAbbreviation(X_Cell_Site_State,Table_AustralianStates[Common Name],Table_AustralianStates[Abbreviation])</f>
        <v>NSW</v>
      </c>
      <c r="N18" s="117" t="str">
        <v>i</v>
      </c>
      <c r="O18" s="120" t="str">
        <v>mean annual temperature</v>
      </c>
      <c r="P18" s="121"/>
      <c r="Q18" s="119"/>
      <c r="R18" s="117" t="str">
        <v>degrees Celsius</v>
      </c>
      <c r="S18" s="115" t="str">
        <v>Input</v>
      </c>
      <c r="T18" s="117">
        <f>X_Cell_Site_AverageTemperature</f>
        <v>18</v>
      </c>
    </row>
    <row r="19" spans="1:20" ht="20.100000000000001" customHeight="1" x14ac:dyDescent="0.25">
      <c r="A19" s="17" t="str">
        <f>HYPERLINK("#'Constants - Livestock'!A1", "Constants - Livestock")</f>
        <v>Constants - Livestock</v>
      </c>
    </row>
    <row r="20" spans="1:20" ht="20.100000000000001" customHeight="1" x14ac:dyDescent="0.25">
      <c r="A20" s="17" t="str">
        <f>HYPERLINK("#'Constants - Common'!A1", "Constants - Common")</f>
        <v>Constants - Common</v>
      </c>
      <c r="D20" s="98" t="s">
        <v>181</v>
      </c>
    </row>
    <row r="21" spans="1:20" ht="20.100000000000001" customHeight="1" x14ac:dyDescent="0.25">
      <c r="A21" s="17" t="str">
        <f>HYPERLINK("#'Acknowledgements'!A1", "Acknowledgements")</f>
        <v>Acknowledgements</v>
      </c>
      <c r="D21" s="97" t="s">
        <v>182</v>
      </c>
    </row>
    <row r="22" spans="1:20" ht="20.100000000000001" customHeight="1" x14ac:dyDescent="0.25">
      <c r="D22" s="52" t="s">
        <v>183</v>
      </c>
      <c r="E22" s="52" t="s">
        <v>232</v>
      </c>
    </row>
    <row r="23" spans="1:20" ht="20.100000000000001" customHeight="1" x14ac:dyDescent="0.25">
      <c r="D23" s="53" t="str">
        <f>'Constants - Other Livestock'!D25</f>
        <v>Buffalo</v>
      </c>
      <c r="E23" s="53">
        <f>'Constants - Other Livestock'!E25</f>
        <v>2.73</v>
      </c>
      <c r="F23" s="2" t="str">
        <f>H13</f>
        <v>kg/head/day</v>
      </c>
    </row>
    <row r="24" spans="1:20" ht="20.100000000000001" customHeight="1" x14ac:dyDescent="0.25">
      <c r="A24" s="17"/>
      <c r="D24" s="53" t="str">
        <f>'Constants - Other Livestock'!D26</f>
        <v>Goats</v>
      </c>
      <c r="E24" s="53">
        <f>'Constants - Other Livestock'!E26</f>
        <v>0.34</v>
      </c>
    </row>
    <row r="25" spans="1:20" ht="20.100000000000001" customHeight="1" x14ac:dyDescent="0.25">
      <c r="D25" s="53" t="str">
        <f>'Constants - Other Livestock'!D27</f>
        <v>Deer</v>
      </c>
      <c r="E25" s="53">
        <f>'Constants - Other Livestock'!E27</f>
        <v>0.91</v>
      </c>
    </row>
    <row r="26" spans="1:20" ht="20.100000000000001" customHeight="1" x14ac:dyDescent="0.25">
      <c r="D26" s="53" t="str">
        <f>'Constants - Other Livestock'!D28</f>
        <v>Camels</v>
      </c>
      <c r="E26" s="53">
        <f>'Constants - Other Livestock'!E28</f>
        <v>2.73</v>
      </c>
    </row>
    <row r="27" spans="1:20" ht="20.100000000000001" customHeight="1" x14ac:dyDescent="0.25">
      <c r="D27" s="53" t="str">
        <f>'Constants - Other Livestock'!D29</f>
        <v>Alpacas</v>
      </c>
      <c r="E27" s="53">
        <f>'Constants - Other Livestock'!E29</f>
        <v>0.34</v>
      </c>
    </row>
    <row r="28" spans="1:20" ht="20.100000000000001" customHeight="1" x14ac:dyDescent="0.25">
      <c r="D28" s="53" t="str">
        <f>'Constants - Other Livestock'!D30</f>
        <v>Horses</v>
      </c>
      <c r="E28" s="53">
        <f>'Constants - Other Livestock'!E30</f>
        <v>2.73</v>
      </c>
    </row>
    <row r="29" spans="1:20" ht="20.100000000000001" customHeight="1" x14ac:dyDescent="0.25">
      <c r="D29" s="53" t="str">
        <f>'Constants - Other Livestock'!D31</f>
        <v>Mules/asses</v>
      </c>
      <c r="E29" s="53">
        <f>'Constants - Other Livestock'!E31</f>
        <v>0.91</v>
      </c>
    </row>
    <row r="30" spans="1:20" ht="20.100000000000001" customHeight="1" x14ac:dyDescent="0.25">
      <c r="D30" s="53" t="str">
        <f>'Constants - Other Livestock'!D32</f>
        <v>Emus/ostriches</v>
      </c>
      <c r="E30" s="53">
        <f>'Constants - Other Livestock'!E32</f>
        <v>0.34</v>
      </c>
    </row>
    <row r="31" spans="1:20" ht="20.100000000000001" customHeight="1" x14ac:dyDescent="0.25"/>
    <row r="32" spans="1:20" ht="20.100000000000001" customHeight="1" x14ac:dyDescent="0.25">
      <c r="D32" s="98" t="s">
        <v>184</v>
      </c>
    </row>
    <row r="33" spans="4:7" ht="20.100000000000001" customHeight="1" x14ac:dyDescent="0.25">
      <c r="D33" s="97" t="s">
        <v>185</v>
      </c>
    </row>
    <row r="34" spans="4:7" ht="20.100000000000001" customHeight="1" x14ac:dyDescent="0.25">
      <c r="D34" s="52" t="s">
        <v>183</v>
      </c>
      <c r="E34" s="52" t="s">
        <v>231</v>
      </c>
    </row>
    <row r="35" spans="4:7" ht="20.100000000000001" customHeight="1" x14ac:dyDescent="0.25">
      <c r="D35" s="53" t="str">
        <f>'Constants - Other Livestock'!D103</f>
        <v>Buffalo</v>
      </c>
      <c r="E35" s="53">
        <f>'Constants - Other Livestock'!E103</f>
        <v>0.19</v>
      </c>
      <c r="F35" s="2" t="str">
        <f>$H$14</f>
        <v>m3 CH4/kg VS</v>
      </c>
    </row>
    <row r="36" spans="4:7" ht="20.100000000000001" customHeight="1" x14ac:dyDescent="0.25">
      <c r="D36" s="53" t="str">
        <f>'Constants - Other Livestock'!D104</f>
        <v>Goats</v>
      </c>
      <c r="E36" s="53">
        <f>'Constants - Other Livestock'!E104</f>
        <v>0.24</v>
      </c>
    </row>
    <row r="37" spans="4:7" ht="20.100000000000001" customHeight="1" x14ac:dyDescent="0.25">
      <c r="D37" s="53" t="str">
        <f>'Constants - Other Livestock'!D105</f>
        <v>Deer</v>
      </c>
      <c r="E37" s="53">
        <f>'Constants - Other Livestock'!E105</f>
        <v>0.24</v>
      </c>
    </row>
    <row r="38" spans="4:7" ht="20.100000000000001" customHeight="1" x14ac:dyDescent="0.25">
      <c r="D38" s="53" t="str">
        <f>'Constants - Other Livestock'!D106</f>
        <v>Camels</v>
      </c>
      <c r="E38" s="53">
        <f>'Constants - Other Livestock'!E106</f>
        <v>0.24</v>
      </c>
    </row>
    <row r="39" spans="4:7" ht="20.100000000000001" customHeight="1" x14ac:dyDescent="0.25">
      <c r="D39" s="53" t="str">
        <f>'Constants - Other Livestock'!D107</f>
        <v>Alpacas</v>
      </c>
      <c r="E39" s="53">
        <f>'Constants - Other Livestock'!E107</f>
        <v>0.24</v>
      </c>
    </row>
    <row r="40" spans="4:7" ht="20.100000000000001" customHeight="1" x14ac:dyDescent="0.25">
      <c r="D40" s="53" t="str">
        <f>'Constants - Other Livestock'!D108</f>
        <v>Horses</v>
      </c>
      <c r="E40" s="53">
        <f>'Constants - Other Livestock'!E108</f>
        <v>0.19</v>
      </c>
    </row>
    <row r="41" spans="4:7" ht="20.100000000000001" customHeight="1" x14ac:dyDescent="0.25">
      <c r="D41" s="53" t="str">
        <f>'Constants - Other Livestock'!D109</f>
        <v>Mules/asses</v>
      </c>
      <c r="E41" s="53">
        <f>'Constants - Other Livestock'!E109</f>
        <v>0.24</v>
      </c>
    </row>
    <row r="42" spans="4:7" ht="20.100000000000001" customHeight="1" x14ac:dyDescent="0.25">
      <c r="D42" s="53" t="str">
        <f>'Constants - Other Livestock'!D110</f>
        <v>Emus/ostriches</v>
      </c>
      <c r="E42" s="53">
        <f>'Constants - Other Livestock'!E110</f>
        <v>0.36</v>
      </c>
    </row>
    <row r="43" spans="4:7" ht="20.100000000000001" customHeight="1" x14ac:dyDescent="0.25"/>
    <row r="44" spans="4:7" ht="20.100000000000001" customHeight="1" x14ac:dyDescent="0.25">
      <c r="D44" s="98" t="s">
        <v>186</v>
      </c>
    </row>
    <row r="45" spans="4:7" ht="20.100000000000001" customHeight="1" x14ac:dyDescent="0.25">
      <c r="D45" s="97" t="s">
        <v>187</v>
      </c>
    </row>
    <row r="46" spans="4:7" ht="20.100000000000001" customHeight="1" x14ac:dyDescent="0.25">
      <c r="D46" s="52" t="s">
        <v>183</v>
      </c>
      <c r="E46" s="52" t="s">
        <v>137</v>
      </c>
      <c r="F46" s="52" t="s">
        <v>126</v>
      </c>
    </row>
    <row r="47" spans="4:7" ht="20.100000000000001" customHeight="1" x14ac:dyDescent="0.25">
      <c r="D47" s="53" t="s">
        <v>152</v>
      </c>
      <c r="E47" s="53">
        <f>'Input - Other Livestock'!E13</f>
        <v>0.99659999999999993</v>
      </c>
      <c r="F47" s="53">
        <f>'Input - Other Livestock'!E14</f>
        <v>3.4000000000000002E-3</v>
      </c>
      <c r="G47" s="2" t="str">
        <f>$H$15</f>
        <v>fraction</v>
      </c>
    </row>
    <row r="48" spans="4:7" ht="20.100000000000001" customHeight="1" x14ac:dyDescent="0.25">
      <c r="D48" s="53" t="s">
        <v>157</v>
      </c>
      <c r="E48" s="53">
        <f>'Input - Other Livestock'!E27</f>
        <v>0.99659999999999993</v>
      </c>
      <c r="F48" s="53">
        <f>'Input - Other Livestock'!E28</f>
        <v>3.4000000000000002E-3</v>
      </c>
    </row>
    <row r="49" spans="4:16" ht="20.100000000000001" customHeight="1" x14ac:dyDescent="0.25">
      <c r="D49" s="53" t="s">
        <v>164</v>
      </c>
      <c r="E49" s="53">
        <f>'Input - Other Livestock'!E41</f>
        <v>0.99659999999999993</v>
      </c>
      <c r="F49" s="53">
        <f>'Input - Other Livestock'!E42</f>
        <v>3.4000000000000002E-3</v>
      </c>
    </row>
    <row r="50" spans="4:16" ht="20.100000000000001" customHeight="1" x14ac:dyDescent="0.25">
      <c r="D50" s="53" t="s">
        <v>170</v>
      </c>
      <c r="E50" s="53">
        <f>'Input - Other Livestock'!E55</f>
        <v>0.99659999999999993</v>
      </c>
      <c r="F50" s="53">
        <f>'Input - Other Livestock'!E56</f>
        <v>3.4000000000000002E-3</v>
      </c>
    </row>
    <row r="51" spans="4:16" ht="20.100000000000001" customHeight="1" x14ac:dyDescent="0.25">
      <c r="D51" s="53" t="s">
        <v>171</v>
      </c>
      <c r="E51" s="53">
        <f>'Input - Other Livestock'!F55</f>
        <v>0.99659999999999993</v>
      </c>
      <c r="F51" s="53">
        <f>'Input - Other Livestock'!F56</f>
        <v>3.4000000000000002E-3</v>
      </c>
    </row>
    <row r="52" spans="4:16" ht="20.100000000000001" customHeight="1" x14ac:dyDescent="0.25">
      <c r="D52" s="53" t="s">
        <v>172</v>
      </c>
      <c r="E52" s="53">
        <f>'Input - Other Livestock'!G55</f>
        <v>0.99659999999999993</v>
      </c>
      <c r="F52" s="53">
        <f>'Input - Other Livestock'!G56</f>
        <v>3.4000000000000002E-3</v>
      </c>
    </row>
    <row r="53" spans="4:16" ht="20.100000000000001" customHeight="1" x14ac:dyDescent="0.25">
      <c r="D53" s="53" t="s">
        <v>188</v>
      </c>
      <c r="E53" s="53">
        <f>'Input - Other Livestock'!H55</f>
        <v>0.99659999999999993</v>
      </c>
      <c r="F53" s="53">
        <f>'Input - Other Livestock'!H56</f>
        <v>3.4000000000000002E-3</v>
      </c>
    </row>
    <row r="54" spans="4:16" ht="20.100000000000001" customHeight="1" x14ac:dyDescent="0.25">
      <c r="D54" s="53" t="s">
        <v>189</v>
      </c>
      <c r="E54" s="53">
        <f>'Input - Other Livestock'!I55</f>
        <v>0.99659999999999993</v>
      </c>
      <c r="F54" s="53">
        <f>'Input - Other Livestock'!I56</f>
        <v>3.4000000000000002E-3</v>
      </c>
    </row>
    <row r="55" spans="4:16" ht="20.100000000000001" customHeight="1" x14ac:dyDescent="0.25"/>
    <row r="56" spans="4:16" ht="20.100000000000001" customHeight="1" x14ac:dyDescent="0.25">
      <c r="D56" s="98" t="s">
        <v>190</v>
      </c>
      <c r="N56" s="98" t="s">
        <v>192</v>
      </c>
    </row>
    <row r="57" spans="4:16" ht="20.100000000000001" customHeight="1" x14ac:dyDescent="0.25">
      <c r="D57" s="97" t="s">
        <v>191</v>
      </c>
      <c r="N57" s="97" t="s">
        <v>193</v>
      </c>
    </row>
    <row r="58" spans="4:16" ht="20.100000000000001" customHeight="1" x14ac:dyDescent="0.25">
      <c r="D58" s="52" t="s">
        <v>64</v>
      </c>
      <c r="E58" s="52" t="s">
        <v>84</v>
      </c>
      <c r="N58" s="52" t="s">
        <v>64</v>
      </c>
      <c r="O58" s="52" t="s">
        <v>84</v>
      </c>
    </row>
    <row r="59" spans="4:16" ht="20.100000000000001" customHeight="1" x14ac:dyDescent="0.25">
      <c r="D59" s="53" t="s">
        <v>137</v>
      </c>
      <c r="E59" s="53" cm="1">
        <f t="array" ref="E59">Common_InputFunctions.Utility_LookupValueInTableNumber($J$18,Table_SourceData_OtherLivestock_MCF[Other livestock type],Table_SourceData_OtherLivestock_MCF[Pasture range and paddock])</f>
        <v>4.7000000000000002E-3</v>
      </c>
      <c r="F59" s="2" t="str">
        <f>$H$16</f>
        <v>fraction</v>
      </c>
      <c r="N59" s="53" t="s">
        <v>137</v>
      </c>
      <c r="O59" s="53">
        <f>Common_InputFunctions.Common_GetMCFTemperatureZone($T$18,N59,Table_SourceData_Common_MCFTemperatureZone[MAT (ºC)],Table_SourceData_Common_MCFTemperatureZone[#Headers],Table_SourceData_Common_MCFTemperatureZone[])</f>
        <v>4.7000000000000002E-3</v>
      </c>
      <c r="P59" s="2" t="str">
        <f>$H$16</f>
        <v>fraction</v>
      </c>
    </row>
    <row r="60" spans="4:16" ht="20.100000000000001" customHeight="1" x14ac:dyDescent="0.25">
      <c r="D60" s="53" t="s">
        <v>126</v>
      </c>
      <c r="E60" s="53" cm="1">
        <f t="array" ref="E60">Common_InputFunctions.Utility_LookupValueInTableNumber($J$18,Table_SourceData_OtherLivestock_MCF[Other livestock type],Table_SourceData_OtherLivestock_MCF[Uncovered anaerobic lagoon])</f>
        <v>0.75</v>
      </c>
      <c r="N60" s="53" t="s">
        <v>126</v>
      </c>
      <c r="O60" s="53">
        <f>Common_InputFunctions.Common_GetMCFTemperatureZone($T$18,N60,Table_SourceData_Common_MCFTemperatureZone[MAT (ºC)],Table_SourceData_Common_MCFTemperatureZone[#Headers],Table_SourceData_Common_MCFTemperatureZone[])</f>
        <v>0.77</v>
      </c>
    </row>
    <row r="61" spans="4:16" ht="20.100000000000001" customHeight="1" x14ac:dyDescent="0.25"/>
    <row r="62" spans="4:16" ht="20.100000000000001" customHeight="1" x14ac:dyDescent="0.25">
      <c r="D62" s="98" t="s">
        <v>194</v>
      </c>
      <c r="N62" s="98" t="s">
        <v>196</v>
      </c>
    </row>
    <row r="63" spans="4:16" ht="20.100000000000001" customHeight="1" x14ac:dyDescent="0.25">
      <c r="D63" s="97" t="s">
        <v>195</v>
      </c>
      <c r="N63" s="97" t="s">
        <v>197</v>
      </c>
    </row>
    <row r="64" spans="4:16" ht="20.100000000000001" customHeight="1" x14ac:dyDescent="0.25">
      <c r="D64" s="52" t="s">
        <v>183</v>
      </c>
      <c r="E64" s="52" t="s">
        <v>137</v>
      </c>
      <c r="F64" s="52" t="s">
        <v>126</v>
      </c>
      <c r="N64" s="52" t="s">
        <v>183</v>
      </c>
      <c r="O64" s="52" t="s">
        <v>137</v>
      </c>
      <c r="P64" s="52" t="s">
        <v>126</v>
      </c>
    </row>
    <row r="65" spans="3:21" ht="20.100000000000001" customHeight="1" x14ac:dyDescent="0.25">
      <c r="D65" s="53" t="s">
        <v>152</v>
      </c>
      <c r="E65" s="53" cm="1">
        <f t="array" ref="E65">MMS_OtherLivestock_Methane_Equations.VEERG_4_7_1_1__2_AnnualMethaneProductionFromManureManagement($E23,$E35,E47,$E$59,$J$17)</f>
        <v>1.6482414364416005E-3</v>
      </c>
      <c r="F65" s="53" cm="1">
        <f t="array" ref="F65">MMS_OtherLivestock_Methane_Equations.VEERG_4_7_1_1__2_AnnualMethaneProductionFromManureManagement($E23,$E35,F47,$E$60,$J$17)</f>
        <v>8.9730950400000004E-4</v>
      </c>
      <c r="G65" s="2" t="str">
        <f>$E$11</f>
        <v>kg CH4/head/day</v>
      </c>
      <c r="N65" s="53" t="s">
        <v>152</v>
      </c>
      <c r="O65" s="53" cm="1">
        <f t="array" ref="O65">MMS_OtherLivestock_Methane_Equations.VEERG_4_7_1_1__2_AnnualMethaneProductionFromManureManagement($E23,$E35,E47,$O$59,$J$17)</f>
        <v>1.6482414364416005E-3</v>
      </c>
      <c r="P65" s="53" cm="1">
        <f t="array" ref="P65">MMS_OtherLivestock_Methane_Equations.VEERG_4_7_1_1__2_AnnualMethaneProductionFromManureManagement($E23,$E35,F47,$O$60,$J$17)</f>
        <v>9.2123775744000014E-4</v>
      </c>
      <c r="Q65" s="2" t="str">
        <f>$E$11</f>
        <v>kg CH4/head/day</v>
      </c>
    </row>
    <row r="66" spans="3:21" ht="20.100000000000001" customHeight="1" x14ac:dyDescent="0.25">
      <c r="D66" s="53" t="s">
        <v>157</v>
      </c>
      <c r="E66" s="53" cm="1">
        <f t="array" ref="E66">MMS_OtherLivestock_Methane_Equations.VEERG_4_7_1_1__2_AnnualMethaneProductionFromManureManagement($E24,$E36,E48,$E$59,$J$17)</f>
        <v>2.5929535610880004E-4</v>
      </c>
      <c r="F66" s="53" cm="1">
        <f t="array" ref="F66">MMS_OtherLivestock_Methane_Equations.VEERG_4_7_1_1__2_AnnualMethaneProductionFromManureManagement($E24,$E36,F48,$E$60,$J$17)</f>
        <v>1.4116147200000001E-4</v>
      </c>
      <c r="N66" s="53" t="s">
        <v>157</v>
      </c>
      <c r="O66" s="53" cm="1">
        <f t="array" ref="O66">MMS_OtherLivestock_Methane_Equations.VEERG_4_7_1_1__2_AnnualMethaneProductionFromManureManagement($E24,$E36,E48,$O$59,$J$17)</f>
        <v>2.5929535610880004E-4</v>
      </c>
      <c r="P66" s="53" cm="1">
        <f t="array" ref="P66">MMS_OtherLivestock_Methane_Equations.VEERG_4_7_1_1__2_AnnualMethaneProductionFromManureManagement($E24,$E36,F48,$O$60,$J$17)</f>
        <v>1.4492577792000002E-4</v>
      </c>
    </row>
    <row r="67" spans="3:21" ht="20.100000000000001" customHeight="1" x14ac:dyDescent="0.25">
      <c r="D67" s="53" t="s">
        <v>164</v>
      </c>
      <c r="E67" s="53" cm="1">
        <f t="array" ref="E67">MMS_OtherLivestock_Methane_Equations.VEERG_4_7_1_1__2_AnnualMethaneProductionFromManureManagement($E25,$E37,E49,$E$59,$J$17)</f>
        <v>6.9399639429120006E-4</v>
      </c>
      <c r="F67" s="53" cm="1">
        <f t="array" ref="F67">MMS_OtherLivestock_Methane_Equations.VEERG_4_7_1_1__2_AnnualMethaneProductionFromManureManagement($E25,$E37,F49,$E$60,$J$17)</f>
        <v>3.7781452800000003E-4</v>
      </c>
      <c r="N67" s="53" t="s">
        <v>164</v>
      </c>
      <c r="O67" s="53" cm="1">
        <f t="array" ref="O67">MMS_OtherLivestock_Methane_Equations.VEERG_4_7_1_1__2_AnnualMethaneProductionFromManureManagement($E25,$E37,E49,$O$59,$J$17)</f>
        <v>6.9399639429120006E-4</v>
      </c>
      <c r="P67" s="53" cm="1">
        <f t="array" ref="P67">MMS_OtherLivestock_Methane_Equations.VEERG_4_7_1_1__2_AnnualMethaneProductionFromManureManagement($E25,$E37,F49,$O$60,$J$17)</f>
        <v>3.8788958208000007E-4</v>
      </c>
    </row>
    <row r="68" spans="3:21" ht="20.100000000000001" customHeight="1" x14ac:dyDescent="0.25">
      <c r="D68" s="53" t="s">
        <v>170</v>
      </c>
      <c r="E68" s="53" cm="1">
        <f t="array" ref="E68">MMS_OtherLivestock_Methane_Equations.VEERG_4_7_1_1__2_AnnualMethaneProductionFromManureManagement($E26,$E38,E50,$E$59,$J$17)</f>
        <v>2.0819891828735997E-3</v>
      </c>
      <c r="F68" s="53" cm="1">
        <f t="array" ref="F68">MMS_OtherLivestock_Methane_Equations.VEERG_4_7_1_1__2_AnnualMethaneProductionFromManureManagement($E26,$E38,F50,$E$60,$J$17)</f>
        <v>1.1334435840000001E-3</v>
      </c>
      <c r="N68" s="53" t="s">
        <v>170</v>
      </c>
      <c r="O68" s="53" cm="1">
        <f t="array" ref="O68">MMS_OtherLivestock_Methane_Equations.VEERG_4_7_1_1__2_AnnualMethaneProductionFromManureManagement($E26,$E38,E50,$O$59,$J$17)</f>
        <v>2.0819891828735997E-3</v>
      </c>
      <c r="P68" s="53" cm="1">
        <f t="array" ref="P68">MMS_OtherLivestock_Methane_Equations.VEERG_4_7_1_1__2_AnnualMethaneProductionFromManureManagement($E26,$E38,F50,$O$60,$J$17)</f>
        <v>1.1636687462400002E-3</v>
      </c>
    </row>
    <row r="69" spans="3:21" ht="20.100000000000001" customHeight="1" x14ac:dyDescent="0.25">
      <c r="D69" s="53" t="s">
        <v>171</v>
      </c>
      <c r="E69" s="53" cm="1">
        <f t="array" ref="E69">MMS_OtherLivestock_Methane_Equations.VEERG_4_7_1_1__2_AnnualMethaneProductionFromManureManagement($E27,$E39,E51,$E$59,$J$17)</f>
        <v>2.5929535610880004E-4</v>
      </c>
      <c r="F69" s="53" cm="1">
        <f t="array" ref="F69">MMS_OtherLivestock_Methane_Equations.VEERG_4_7_1_1__2_AnnualMethaneProductionFromManureManagement($E27,$E39,F51,$E$60,$J$17)</f>
        <v>1.4116147200000001E-4</v>
      </c>
      <c r="N69" s="53" t="s">
        <v>171</v>
      </c>
      <c r="O69" s="53" cm="1">
        <f t="array" ref="O69">MMS_OtherLivestock_Methane_Equations.VEERG_4_7_1_1__2_AnnualMethaneProductionFromManureManagement($E27,$E39,E51,$O$59,$J$17)</f>
        <v>2.5929535610880004E-4</v>
      </c>
      <c r="P69" s="53" cm="1">
        <f t="array" ref="P69">MMS_OtherLivestock_Methane_Equations.VEERG_4_7_1_1__2_AnnualMethaneProductionFromManureManagement($E27,$E39,F51,$O$60,$J$17)</f>
        <v>1.4492577792000002E-4</v>
      </c>
    </row>
    <row r="70" spans="3:21" ht="20.100000000000001" customHeight="1" x14ac:dyDescent="0.25">
      <c r="D70" s="53" t="s">
        <v>172</v>
      </c>
      <c r="E70" s="53" cm="1">
        <f t="array" ref="E70">MMS_OtherLivestock_Methane_Equations.VEERG_4_7_1_1__2_AnnualMethaneProductionFromManureManagement($E28,$E40,E52,$E$59,$J$17)</f>
        <v>1.6482414364416005E-3</v>
      </c>
      <c r="F70" s="53" cm="1">
        <f t="array" ref="F70">MMS_OtherLivestock_Methane_Equations.VEERG_4_7_1_1__2_AnnualMethaneProductionFromManureManagement($E28,$E40,F52,$E$60,$J$17)</f>
        <v>8.9730950400000004E-4</v>
      </c>
      <c r="N70" s="53" t="s">
        <v>172</v>
      </c>
      <c r="O70" s="53" cm="1">
        <f t="array" ref="O70">MMS_OtherLivestock_Methane_Equations.VEERG_4_7_1_1__2_AnnualMethaneProductionFromManureManagement($E28,$E40,E52,$O$59,$J$17)</f>
        <v>1.6482414364416005E-3</v>
      </c>
      <c r="P70" s="53" cm="1">
        <f t="array" ref="P70">MMS_OtherLivestock_Methane_Equations.VEERG_4_7_1_1__2_AnnualMethaneProductionFromManureManagement($E28,$E40,F52,$O$60,$J$17)</f>
        <v>9.2123775744000014E-4</v>
      </c>
    </row>
    <row r="71" spans="3:21" ht="20.100000000000001" customHeight="1" x14ac:dyDescent="0.25">
      <c r="D71" s="53" t="s">
        <v>188</v>
      </c>
      <c r="E71" s="53" cm="1">
        <f t="array" ref="E71">MMS_OtherLivestock_Methane_Equations.VEERG_4_7_1_1__2_AnnualMethaneProductionFromManureManagement($E29,$E41,E53,$E$59,$J$17)</f>
        <v>6.9399639429120006E-4</v>
      </c>
      <c r="F71" s="53" cm="1">
        <f t="array" ref="F71">MMS_OtherLivestock_Methane_Equations.VEERG_4_7_1_1__2_AnnualMethaneProductionFromManureManagement($E29,$E41,F53,$E$60,$J$17)</f>
        <v>3.7781452800000003E-4</v>
      </c>
      <c r="N71" s="53" t="s">
        <v>188</v>
      </c>
      <c r="O71" s="53" cm="1">
        <f t="array" ref="O71">MMS_OtherLivestock_Methane_Equations.VEERG_4_7_1_1__2_AnnualMethaneProductionFromManureManagement($E29,$E41,E53,$O$59,$J$17)</f>
        <v>6.9399639429120006E-4</v>
      </c>
      <c r="P71" s="53" cm="1">
        <f t="array" ref="P71">MMS_OtherLivestock_Methane_Equations.VEERG_4_7_1_1__2_AnnualMethaneProductionFromManureManagement($E29,$E41,F53,$O$60,$J$17)</f>
        <v>3.8788958208000007E-4</v>
      </c>
    </row>
    <row r="72" spans="3:21" ht="20.100000000000001" customHeight="1" x14ac:dyDescent="0.25">
      <c r="D72" s="53" t="s">
        <v>189</v>
      </c>
      <c r="E72" s="53" cm="1">
        <f t="array" ref="E72">MMS_OtherLivestock_Methane_Equations.VEERG_4_7_1_1__2_AnnualMethaneProductionFromManureManagement($E30,$E42,E54,$E$59,$J$17)</f>
        <v>3.8894303416319999E-4</v>
      </c>
      <c r="F72" s="53" cm="1">
        <f t="array" ref="F72">MMS_OtherLivestock_Methane_Equations.VEERG_4_7_1_1__2_AnnualMethaneProductionFromManureManagement($E30,$E42,F54,$E$60,$J$17)</f>
        <v>2.1174220800000002E-4</v>
      </c>
      <c r="N72" s="53" t="s">
        <v>189</v>
      </c>
      <c r="O72" s="53" cm="1">
        <f t="array" ref="O72">MMS_OtherLivestock_Methane_Equations.VEERG_4_7_1_1__2_AnnualMethaneProductionFromManureManagement($E30,$E42,E54,$O$59,$J$17)</f>
        <v>3.8894303416319999E-4</v>
      </c>
      <c r="P72" s="53" cm="1">
        <f t="array" ref="P72">MMS_OtherLivestock_Methane_Equations.VEERG_4_7_1_1__2_AnnualMethaneProductionFromManureManagement($E30,$E42,F54,$O$60,$J$17)</f>
        <v>2.1738866688000001E-4</v>
      </c>
    </row>
    <row r="73" spans="3:21" ht="20.100000000000001" customHeight="1" x14ac:dyDescent="0.25"/>
    <row r="74" spans="3:21" ht="20.100000000000001" customHeight="1" x14ac:dyDescent="0.25"/>
    <row r="75" spans="3:21" ht="20.100000000000001" customHeight="1" x14ac:dyDescent="0.25">
      <c r="C75" s="48"/>
      <c r="D75" s="48"/>
      <c r="E75" s="48"/>
      <c r="F75" s="48"/>
      <c r="G75" s="48"/>
      <c r="H75" s="48"/>
      <c r="I75" s="48"/>
      <c r="J75" s="48"/>
      <c r="K75" s="48"/>
      <c r="M75" s="48"/>
      <c r="N75" s="48"/>
      <c r="O75" s="48"/>
      <c r="P75" s="48"/>
      <c r="Q75" s="48"/>
      <c r="R75" s="48"/>
      <c r="S75" s="48"/>
      <c r="T75" s="48"/>
      <c r="U75" s="48"/>
    </row>
    <row r="76" spans="3:21" ht="20.100000000000001" customHeight="1" x14ac:dyDescent="0.25">
      <c r="D76" s="6" t="str" cm="1">
        <f t="array" ref="D76">MMS_OtherLivestock_Methane_Equations.VEERG_4_7_1_1__1_TotalAnnualMethaneProductionFromManureManagementOtherLivestock_Title()</f>
        <v>Total annual methane production from manure management of other livestock</v>
      </c>
    </row>
    <row r="77" spans="3:21" ht="20.100000000000001" customHeight="1" x14ac:dyDescent="0.25">
      <c r="D77" s="5" t="str" cm="1">
        <f t="array" ref="D77">MMS_OtherLivestock_Methane_Equations.VEERG_4_7_1_1__1_TotalAnnualMethaneProductionFromManureManagementOtherLivestock_Source()</f>
        <v>VEERG 2026: 4.7.1.1, Equation (1)</v>
      </c>
    </row>
    <row r="78" spans="3:21" ht="20.100000000000001" customHeight="1" x14ac:dyDescent="0.25">
      <c r="D78" s="13" t="s">
        <v>23</v>
      </c>
      <c r="E78" s="13" t="str" cm="1">
        <f t="array" aca="1" ref="E78" ca="1">Common_InputFunctions.Utility_DisplayFunctionName(E104)</f>
        <v>=MMS_OtherLivestock_Methane_Equations.VEERG_4_7_1_1__1_TotalAnnualMethaneProductionFromManureManagementOtherLivestock</v>
      </c>
    </row>
    <row r="79" spans="3:21" ht="20.100000000000001" customHeight="1" x14ac:dyDescent="0.25"/>
    <row r="80" spans="3:21" ht="20.100000000000001" customHeight="1" x14ac:dyDescent="0.25"/>
    <row r="81" spans="4:9" ht="20.100000000000001" customHeight="1" x14ac:dyDescent="0.25">
      <c r="D81" s="54" t="s">
        <v>26</v>
      </c>
      <c r="E81" s="1" t="str" cm="1">
        <f t="array" ref="E81">MMS_OtherLivestock_Methane_Equations.VEERG_4_7_1_1__1_TotalAnnualMethaneProductionFromManureManagementOtherLivestock_Variable()</f>
        <v>E_CH4</v>
      </c>
    </row>
    <row r="82" spans="4:9" ht="20.100000000000001" customHeight="1" x14ac:dyDescent="0.25">
      <c r="D82" s="54" t="s">
        <v>16</v>
      </c>
      <c r="E82" s="55" t="str" cm="1">
        <f t="array" ref="E82">MMS_OtherLivestock_Methane_Equations.VEERG_4_7_1_1__1_TotalAnnualMethaneProductionFromManureManagementOtherLivestock_Unit()</f>
        <v>t CH4</v>
      </c>
    </row>
    <row r="83" spans="4:9" ht="20.100000000000001" customHeight="1" x14ac:dyDescent="0.25"/>
    <row r="84" spans="4:9" ht="20.100000000000001" customHeight="1" x14ac:dyDescent="0.25">
      <c r="D84" s="117" t="str" cm="1">
        <f t="array" ref="D84:E87">_xlfn.CHOOSECOLS(MMS_OtherLivestock_Methane_Equations.VEERG_4_7_1_1__1_TotalAnnualMethaneProductionFromManureManagementOtherLivestock_Arguments(),1,2)</f>
        <v>N_j</v>
      </c>
      <c r="E84" s="117" t="str">
        <v>average annual number of livestock per livestock type j</v>
      </c>
      <c r="F84" s="117"/>
      <c r="G84" s="117" t="str" cm="1">
        <f t="array" ref="G84:H87">_xlfn.CHOOSECOLS(MMS_OtherLivestock_Methane_Equations.VEERG_4_7_1_1__1_TotalAnnualMethaneProductionFromManureManagementOtherLivestock_Arguments(),3,4)</f>
        <v>head</v>
      </c>
      <c r="H84" s="115" t="str">
        <v>Input</v>
      </c>
      <c r="I84" s="118" t="str" cm="1">
        <f t="array" aca="1" ref="I84" ca="1">HYPERLINK(Common_InputFunctions.Utility_SourceHyperlink($D$89),$D$89)</f>
        <v>Table_N_j</v>
      </c>
    </row>
    <row r="85" spans="4:9" ht="20.100000000000001" customHeight="1" x14ac:dyDescent="0.25">
      <c r="D85" s="117" t="str">
        <v>M_jm</v>
      </c>
      <c r="E85" s="120" t="str">
        <v>annual methane production from manure management</v>
      </c>
      <c r="F85" s="119"/>
      <c r="G85" s="117" t="str">
        <v>kg CH4/head/day</v>
      </c>
      <c r="H85" s="116" t="str">
        <v>Calculated from 4.7.1.1, (2)</v>
      </c>
      <c r="I85" s="118" t="str" cm="1">
        <f t="array" aca="1" ref="I85" ca="1">HYPERLINK(Common_InputFunctions.Utility_SourceHyperlink($D$62),$D$62)</f>
        <v>M1_Table_M_j_m</v>
      </c>
    </row>
    <row r="86" spans="4:9" ht="20.100000000000001" customHeight="1" x14ac:dyDescent="0.25">
      <c r="D86" s="117" t="str">
        <v>j</v>
      </c>
      <c r="E86" s="120" t="str">
        <v>livestock type</v>
      </c>
      <c r="F86" s="119"/>
      <c r="G86" s="117" t="str">
        <v/>
      </c>
      <c r="H86" s="115" t="str">
        <v>Input</v>
      </c>
      <c r="I86" s="118" t="str" cm="1">
        <f t="array" aca="1" ref="I86" ca="1">HYPERLINK(Common_InputFunctions.Utility_SourceHyperlink($D$89),$D$89)</f>
        <v>Table_N_j</v>
      </c>
    </row>
    <row r="87" spans="4:9" ht="20.100000000000001" customHeight="1" x14ac:dyDescent="0.25">
      <c r="D87" s="117" t="str">
        <v>m</v>
      </c>
      <c r="E87" s="120" t="str">
        <v>manure management system</v>
      </c>
      <c r="F87" s="119"/>
      <c r="G87" s="117" t="str">
        <v/>
      </c>
      <c r="H87" s="115" t="str">
        <v>Input</v>
      </c>
      <c r="I87" s="118" t="str" cm="1">
        <f t="array" aca="1" ref="I87" ca="1">HYPERLINK(Common_InputFunctions.Utility_SourceHyperlink($D$62),$D$62)</f>
        <v>M1_Table_M_j_m</v>
      </c>
    </row>
    <row r="88" spans="4:9" ht="20.100000000000001" customHeight="1" x14ac:dyDescent="0.25"/>
    <row r="89" spans="4:9" ht="20.100000000000001" customHeight="1" x14ac:dyDescent="0.25">
      <c r="D89" s="98" t="s">
        <v>87</v>
      </c>
    </row>
    <row r="90" spans="4:9" ht="20.100000000000001" customHeight="1" x14ac:dyDescent="0.25">
      <c r="D90" s="97" t="s">
        <v>198</v>
      </c>
    </row>
    <row r="91" spans="4:9" ht="20.100000000000001" customHeight="1" x14ac:dyDescent="0.25">
      <c r="D91" s="41" t="s">
        <v>183</v>
      </c>
      <c r="E91" s="41" t="s">
        <v>230</v>
      </c>
    </row>
    <row r="92" spans="4:9" ht="20.100000000000001" customHeight="1" x14ac:dyDescent="0.25">
      <c r="D92" s="53" t="s">
        <v>152</v>
      </c>
      <c r="E92" s="100">
        <f>SUM(X_Table_OtherLivestock_Buffalo_Head)</f>
        <v>4600</v>
      </c>
      <c r="F92" s="2" t="str">
        <f>G84</f>
        <v>head</v>
      </c>
    </row>
    <row r="93" spans="4:9" ht="20.100000000000001" customHeight="1" x14ac:dyDescent="0.25">
      <c r="D93" s="53" t="s">
        <v>157</v>
      </c>
      <c r="E93" s="100">
        <f>SUM(X_Table_OtherLivestock_Goats_Head)</f>
        <v>4800</v>
      </c>
    </row>
    <row r="94" spans="4:9" ht="20.100000000000001" customHeight="1" x14ac:dyDescent="0.25">
      <c r="D94" s="53" t="s">
        <v>164</v>
      </c>
      <c r="E94" s="100">
        <f>SUM(X_Table_OtherLivestock_Deer_Head)</f>
        <v>4600</v>
      </c>
    </row>
    <row r="95" spans="4:9" ht="20.100000000000001" customHeight="1" x14ac:dyDescent="0.25">
      <c r="D95" s="53" t="s">
        <v>170</v>
      </c>
      <c r="E95" s="100">
        <f>X_Cell_OtherLivestock_Others_Camels_Head</f>
        <v>4300</v>
      </c>
    </row>
    <row r="96" spans="4:9" ht="20.100000000000001" customHeight="1" x14ac:dyDescent="0.25">
      <c r="D96" s="53" t="s">
        <v>171</v>
      </c>
      <c r="E96" s="100">
        <f>X_Cell_OtherLivestock_Others_Alpacas_Head</f>
        <v>100</v>
      </c>
    </row>
    <row r="97" spans="4:17" ht="20.100000000000001" customHeight="1" x14ac:dyDescent="0.25">
      <c r="D97" s="53" t="s">
        <v>172</v>
      </c>
      <c r="E97" s="100">
        <f>X_Cell_OtherLivestock_Others_Horses_Head</f>
        <v>100</v>
      </c>
    </row>
    <row r="98" spans="4:17" ht="20.100000000000001" customHeight="1" x14ac:dyDescent="0.25">
      <c r="D98" s="53" t="s">
        <v>188</v>
      </c>
      <c r="E98" s="100">
        <f>X_Cell_OtherLivestock_Others_Mules_Head</f>
        <v>100</v>
      </c>
    </row>
    <row r="99" spans="4:17" ht="20.100000000000001" customHeight="1" x14ac:dyDescent="0.25">
      <c r="D99" s="53" t="s">
        <v>189</v>
      </c>
      <c r="E99" s="100">
        <f>X_Cell_OtherLivestock_Others_Emus_Head</f>
        <v>100</v>
      </c>
    </row>
    <row r="100" spans="4:17" ht="20.100000000000001" customHeight="1" x14ac:dyDescent="0.25"/>
    <row r="101" spans="4:17" ht="20.100000000000001" customHeight="1" x14ac:dyDescent="0.25">
      <c r="D101" s="98" t="s">
        <v>199</v>
      </c>
      <c r="N101" s="98" t="s">
        <v>199</v>
      </c>
    </row>
    <row r="102" spans="4:17" ht="20.100000000000001" customHeight="1" x14ac:dyDescent="0.25">
      <c r="D102" s="97" t="s">
        <v>200</v>
      </c>
      <c r="N102" s="97" t="s">
        <v>200</v>
      </c>
    </row>
    <row r="103" spans="4:17" ht="20.100000000000001" customHeight="1" x14ac:dyDescent="0.25">
      <c r="D103" s="52" t="s">
        <v>183</v>
      </c>
      <c r="E103" s="52" t="s">
        <v>137</v>
      </c>
      <c r="F103" s="52" t="s">
        <v>126</v>
      </c>
      <c r="N103" s="52" t="s">
        <v>183</v>
      </c>
      <c r="O103" s="52" t="s">
        <v>137</v>
      </c>
      <c r="P103" s="52" t="s">
        <v>126</v>
      </c>
    </row>
    <row r="104" spans="4:17" ht="20.100000000000001" customHeight="1" x14ac:dyDescent="0.25">
      <c r="D104" s="53" t="s">
        <v>152</v>
      </c>
      <c r="E104" s="53" cm="1">
        <f t="array" ref="E104">MMS_OtherLivestock_Methane_Equations.VEERG_4_7_1_1__1_TotalAnnualMethaneProductionFromManureManagementOtherLivestock($E92,E65)</f>
        <v>2.7673973717854468</v>
      </c>
      <c r="F104" s="53" cm="1">
        <f t="array" ref="F104">MMS_OtherLivestock_Methane_Equations.VEERG_4_7_1_1__1_TotalAnnualMethaneProductionFromManureManagementOtherLivestock($E92,F65)</f>
        <v>1.5065826572160002</v>
      </c>
      <c r="G104" s="2" t="str">
        <f>$E$82</f>
        <v>t CH4</v>
      </c>
      <c r="N104" s="53" t="s">
        <v>152</v>
      </c>
      <c r="O104" s="53" cm="1">
        <f t="array" ref="O104">MMS_OtherLivestock_Methane_Equations.VEERG_4_7_1_1__1_TotalAnnualMethaneProductionFromManureManagementOtherLivestock($E92,O65)</f>
        <v>2.7673973717854468</v>
      </c>
      <c r="P104" s="53" cm="1">
        <f t="array" ref="P104">MMS_OtherLivestock_Methane_Equations.VEERG_4_7_1_1__1_TotalAnnualMethaneProductionFromManureManagementOtherLivestock($E92,P65)</f>
        <v>1.5467581947417601</v>
      </c>
      <c r="Q104" s="2" t="str">
        <f>$E$82</f>
        <v>t CH4</v>
      </c>
    </row>
    <row r="105" spans="4:17" ht="20.100000000000001" customHeight="1" x14ac:dyDescent="0.25">
      <c r="D105" s="53" t="s">
        <v>157</v>
      </c>
      <c r="E105" s="53" cm="1">
        <f t="array" ref="E105">MMS_OtherLivestock_Methane_Equations.VEERG_4_7_1_1__1_TotalAnnualMethaneProductionFromManureManagementOtherLivestock($E93,E66)</f>
        <v>0.45428546390261765</v>
      </c>
      <c r="F105" s="53" cm="1">
        <f t="array" ref="F105">MMS_OtherLivestock_Methane_Equations.VEERG_4_7_1_1__1_TotalAnnualMethaneProductionFromManureManagementOtherLivestock($E93,F66)</f>
        <v>0.24731489894400002</v>
      </c>
      <c r="N105" s="53" t="s">
        <v>157</v>
      </c>
      <c r="O105" s="53" cm="1">
        <f t="array" ref="O105">MMS_OtherLivestock_Methane_Equations.VEERG_4_7_1_1__1_TotalAnnualMethaneProductionFromManureManagementOtherLivestock($E93,O66)</f>
        <v>0.45428546390261765</v>
      </c>
      <c r="P105" s="53" cm="1">
        <f t="array" ref="P105">MMS_OtherLivestock_Methane_Equations.VEERG_4_7_1_1__1_TotalAnnualMethaneProductionFromManureManagementOtherLivestock($E93,P66)</f>
        <v>0.25390996291584</v>
      </c>
    </row>
    <row r="106" spans="4:17" ht="20.100000000000001" customHeight="1" x14ac:dyDescent="0.25">
      <c r="D106" s="53" t="s">
        <v>164</v>
      </c>
      <c r="E106" s="53" cm="1">
        <f t="array" ref="E106">MMS_OtherLivestock_Methane_Equations.VEERG_4_7_1_1__1_TotalAnnualMethaneProductionFromManureManagementOtherLivestock($E94,E67)</f>
        <v>1.1652199460149251</v>
      </c>
      <c r="F106" s="53" cm="1">
        <f t="array" ref="F106">MMS_OtherLivestock_Methane_Equations.VEERG_4_7_1_1__1_TotalAnnualMethaneProductionFromManureManagementOtherLivestock($E94,F67)</f>
        <v>0.6343505925120001</v>
      </c>
      <c r="N106" s="53" t="s">
        <v>164</v>
      </c>
      <c r="O106" s="53" cm="1">
        <f t="array" ref="O106">MMS_OtherLivestock_Methane_Equations.VEERG_4_7_1_1__1_TotalAnnualMethaneProductionFromManureManagementOtherLivestock($E94,O67)</f>
        <v>1.1652199460149251</v>
      </c>
      <c r="P106" s="53" cm="1">
        <f t="array" ref="P106">MMS_OtherLivestock_Methane_Equations.VEERG_4_7_1_1__1_TotalAnnualMethaneProductionFromManureManagementOtherLivestock($E94,P67)</f>
        <v>0.65126660831232008</v>
      </c>
    </row>
    <row r="107" spans="4:17" ht="20.100000000000001" customHeight="1" x14ac:dyDescent="0.25">
      <c r="D107" s="53" t="s">
        <v>170</v>
      </c>
      <c r="E107" s="53" cm="1">
        <f t="array" ref="E107">MMS_OtherLivestock_Methane_Equations.VEERG_4_7_1_1__1_TotalAnnualMethaneProductionFromManureManagementOtherLivestock($E95,E68)</f>
        <v>3.2676820225201144</v>
      </c>
      <c r="F107" s="53" cm="1">
        <f t="array" ref="F107">MMS_OtherLivestock_Methane_Equations.VEERG_4_7_1_1__1_TotalAnnualMethaneProductionFromManureManagementOtherLivestock($E95,F68)</f>
        <v>1.7789397050880003</v>
      </c>
      <c r="N107" s="53" t="s">
        <v>170</v>
      </c>
      <c r="O107" s="53" cm="1">
        <f t="array" ref="O107">MMS_OtherLivestock_Methane_Equations.VEERG_4_7_1_1__1_TotalAnnualMethaneProductionFromManureManagementOtherLivestock($E95,O68)</f>
        <v>3.2676820225201144</v>
      </c>
      <c r="P107" s="53" cm="1">
        <f t="array" ref="P107">MMS_OtherLivestock_Methane_Equations.VEERG_4_7_1_1__1_TotalAnnualMethaneProductionFromManureManagementOtherLivestock($E95,P68)</f>
        <v>1.8263780972236803</v>
      </c>
    </row>
    <row r="108" spans="4:17" ht="20.100000000000001" customHeight="1" x14ac:dyDescent="0.25">
      <c r="D108" s="53" t="s">
        <v>171</v>
      </c>
      <c r="E108" s="53" cm="1">
        <f t="array" ref="E108">MMS_OtherLivestock_Methane_Equations.VEERG_4_7_1_1__1_TotalAnnualMethaneProductionFromManureManagementOtherLivestock($E96,E69)</f>
        <v>9.464280497971201E-3</v>
      </c>
      <c r="F108" s="53" cm="1">
        <f t="array" ref="F108">MMS_OtherLivestock_Methane_Equations.VEERG_4_7_1_1__1_TotalAnnualMethaneProductionFromManureManagementOtherLivestock($E96,F69)</f>
        <v>5.1523937280000005E-3</v>
      </c>
      <c r="N108" s="53" t="s">
        <v>171</v>
      </c>
      <c r="O108" s="53" cm="1">
        <f t="array" ref="O108">MMS_OtherLivestock_Methane_Equations.VEERG_4_7_1_1__1_TotalAnnualMethaneProductionFromManureManagementOtherLivestock($E96,O69)</f>
        <v>9.464280497971201E-3</v>
      </c>
      <c r="P108" s="53" cm="1">
        <f t="array" ref="P108">MMS_OtherLivestock_Methane_Equations.VEERG_4_7_1_1__1_TotalAnnualMethaneProductionFromManureManagementOtherLivestock($E96,P69)</f>
        <v>5.2897908940800001E-3</v>
      </c>
    </row>
    <row r="109" spans="4:17" ht="20.100000000000001" customHeight="1" x14ac:dyDescent="0.25">
      <c r="D109" s="53" t="s">
        <v>172</v>
      </c>
      <c r="E109" s="53" cm="1">
        <f t="array" ref="E109">MMS_OtherLivestock_Methane_Equations.VEERG_4_7_1_1__1_TotalAnnualMethaneProductionFromManureManagementOtherLivestock($E97,E70)</f>
        <v>6.0160812430118414E-2</v>
      </c>
      <c r="F109" s="53" cm="1">
        <f t="array" ref="F109">MMS_OtherLivestock_Methane_Equations.VEERG_4_7_1_1__1_TotalAnnualMethaneProductionFromManureManagementOtherLivestock($E97,F70)</f>
        <v>3.2751796896000003E-2</v>
      </c>
      <c r="N109" s="53" t="s">
        <v>172</v>
      </c>
      <c r="O109" s="53" cm="1">
        <f t="array" ref="O109">MMS_OtherLivestock_Methane_Equations.VEERG_4_7_1_1__1_TotalAnnualMethaneProductionFromManureManagementOtherLivestock($E97,O70)</f>
        <v>6.0160812430118414E-2</v>
      </c>
      <c r="P109" s="53" cm="1">
        <f t="array" ref="P109">MMS_OtherLivestock_Methane_Equations.VEERG_4_7_1_1__1_TotalAnnualMethaneProductionFromManureManagementOtherLivestock($E97,P70)</f>
        <v>3.3625178146560013E-2</v>
      </c>
    </row>
    <row r="110" spans="4:17" ht="20.100000000000001" customHeight="1" x14ac:dyDescent="0.25">
      <c r="D110" s="53" t="s">
        <v>188</v>
      </c>
      <c r="E110" s="53" cm="1">
        <f t="array" ref="E110">MMS_OtherLivestock_Methane_Equations.VEERG_4_7_1_1__1_TotalAnnualMethaneProductionFromManureManagementOtherLivestock($E98,E71)</f>
        <v>2.5330868391628802E-2</v>
      </c>
      <c r="F110" s="53" cm="1">
        <f t="array" ref="F110">MMS_OtherLivestock_Methane_Equations.VEERG_4_7_1_1__1_TotalAnnualMethaneProductionFromManureManagementOtherLivestock($E98,F71)</f>
        <v>1.3790230272000003E-2</v>
      </c>
      <c r="N110" s="53" t="s">
        <v>188</v>
      </c>
      <c r="O110" s="53" cm="1">
        <f t="array" ref="O110">MMS_OtherLivestock_Methane_Equations.VEERG_4_7_1_1__1_TotalAnnualMethaneProductionFromManureManagementOtherLivestock($E98,O71)</f>
        <v>2.5330868391628802E-2</v>
      </c>
      <c r="P110" s="53" cm="1">
        <f t="array" ref="P110">MMS_OtherLivestock_Methane_Equations.VEERG_4_7_1_1__1_TotalAnnualMethaneProductionFromManureManagementOtherLivestock($E98,P71)</f>
        <v>1.4157969745920001E-2</v>
      </c>
    </row>
    <row r="111" spans="4:17" ht="20.100000000000001" customHeight="1" x14ac:dyDescent="0.25">
      <c r="D111" s="53" t="s">
        <v>189</v>
      </c>
      <c r="E111" s="53" cm="1">
        <f t="array" ref="E111">MMS_OtherLivestock_Methane_Equations.VEERG_4_7_1_1__1_TotalAnnualMethaneProductionFromManureManagementOtherLivestock($E99,E72)</f>
        <v>1.4196420746956798E-2</v>
      </c>
      <c r="F111" s="53" cm="1">
        <f t="array" ref="F111">MMS_OtherLivestock_Methane_Equations.VEERG_4_7_1_1__1_TotalAnnualMethaneProductionFromManureManagementOtherLivestock($E99,F72)</f>
        <v>7.7285905920000007E-3</v>
      </c>
      <c r="N111" s="53" t="s">
        <v>189</v>
      </c>
      <c r="O111" s="53" cm="1">
        <f t="array" ref="O111">MMS_OtherLivestock_Methane_Equations.VEERG_4_7_1_1__1_TotalAnnualMethaneProductionFromManureManagementOtherLivestock($E99,O72)</f>
        <v>1.4196420746956798E-2</v>
      </c>
      <c r="P111" s="53" cm="1">
        <f t="array" ref="P111">MMS_OtherLivestock_Methane_Equations.VEERG_4_7_1_1__1_TotalAnnualMethaneProductionFromManureManagementOtherLivestock($E99,P72)</f>
        <v>7.9346863411200001E-3</v>
      </c>
    </row>
    <row r="112" spans="4:17" ht="20.100000000000001" customHeight="1" x14ac:dyDescent="0.25"/>
    <row r="113" spans="4:18" ht="20.100000000000001" customHeight="1" x14ac:dyDescent="0.25">
      <c r="D113" s="101" t="s">
        <v>92</v>
      </c>
      <c r="E113" s="102">
        <f>SUM(E104:F111)</f>
        <v>11.990348051537779</v>
      </c>
      <c r="F113" s="103" t="str">
        <f>$E$82</f>
        <v>t CH4</v>
      </c>
      <c r="N113" s="101" t="s">
        <v>93</v>
      </c>
      <c r="O113" s="102">
        <f>SUM(O104:P111)</f>
        <v>12.103057674611057</v>
      </c>
      <c r="P113" s="103" t="str">
        <f>$E$82</f>
        <v>t CH4</v>
      </c>
    </row>
    <row r="114" spans="4:18" ht="20.100000000000001" customHeight="1" x14ac:dyDescent="0.25"/>
    <row r="115" spans="4:18" ht="20.100000000000001" customHeight="1" x14ac:dyDescent="0.25">
      <c r="D115" s="58" t="str" cm="1">
        <f t="array" ref="D115:E116">Common_Equations.Common_ConvertCH4ToCO2e_Arguments()</f>
        <v>ECH4</v>
      </c>
      <c r="E115" s="59" t="str">
        <v>Methane emissions (t CH4)</v>
      </c>
      <c r="F115" s="104"/>
      <c r="G115" s="53">
        <f>E113</f>
        <v>11.990348051537779</v>
      </c>
      <c r="H115" s="2" t="str">
        <f>$E$82</f>
        <v>t CH4</v>
      </c>
      <c r="N115" s="58" t="str" cm="1">
        <f t="array" ref="N115:O116">Common_Equations.Common_ConvertCH4ToCO2e_Arguments()</f>
        <v>ECH4</v>
      </c>
      <c r="O115" s="59" t="str">
        <v>Methane emissions (t CH4)</v>
      </c>
      <c r="P115" s="104"/>
      <c r="Q115" s="53">
        <f>O113</f>
        <v>12.103057674611057</v>
      </c>
      <c r="R115" s="2" t="str">
        <f>$E$82</f>
        <v>t CH4</v>
      </c>
    </row>
    <row r="116" spans="4:18" ht="20.100000000000001" customHeight="1" x14ac:dyDescent="0.25">
      <c r="D116" s="58" t="str">
        <v>GWPCH4</v>
      </c>
      <c r="E116" s="59" t="str">
        <v>Global warming potential for methane (t CO2-e / t CH4)</v>
      </c>
      <c r="F116" s="104"/>
      <c r="G116" s="53">
        <f>Common_InputFunctions.Utility_LookupValueInTableNumber("CH4",Table_GWPData[Gas],Table_GWPData[CO2-e factor])</f>
        <v>28</v>
      </c>
      <c r="N116" s="58" t="str">
        <v>GWPCH4</v>
      </c>
      <c r="O116" s="59" t="str">
        <v>Global warming potential for methane (t CO2-e / t CH4)</v>
      </c>
      <c r="P116" s="104"/>
      <c r="Q116" s="53">
        <f>Common_InputFunctions.Utility_LookupValueInTableNumber("CH4",Table_GWPData[Gas],Table_GWPData[CO2-e factor])</f>
        <v>28</v>
      </c>
    </row>
    <row r="117" spans="4:18" ht="20.100000000000001" customHeight="1" x14ac:dyDescent="0.25"/>
    <row r="118" spans="4:18" ht="20.100000000000001" customHeight="1" x14ac:dyDescent="0.25">
      <c r="D118" s="48" t="s">
        <v>94</v>
      </c>
      <c r="E118" s="48" cm="1">
        <f t="array" ref="E118">Common_Equations.Common_ConvertCH4ToCO2e(G115,G116)</f>
        <v>335.72974544305782</v>
      </c>
      <c r="F118" s="105" t="str" cm="1">
        <f t="array" ref="F118">Common_Equations.Common_ConvertN2OToCO2e_Unit()</f>
        <v>t CO2e</v>
      </c>
      <c r="N118" s="48" t="s">
        <v>95</v>
      </c>
      <c r="O118" s="48" cm="1">
        <f t="array" ref="O118">Common_Equations.Common_ConvertCH4ToCO2e(Q115,Q116)</f>
        <v>338.8856148891096</v>
      </c>
      <c r="P118" s="105" t="str" cm="1">
        <f t="array" ref="P118">Common_Equations.Common_ConvertN2OToCO2e_Unit()</f>
        <v>t CO2e</v>
      </c>
    </row>
    <row r="119" spans="4:18" ht="20.100000000000001" customHeight="1" x14ac:dyDescent="0.25"/>
    <row r="120" spans="4:18" ht="20.100000000000001" customHeight="1" x14ac:dyDescent="0.25"/>
    <row r="121" spans="4:18" ht="20.100000000000001" customHeight="1" x14ac:dyDescent="0.25"/>
    <row r="122" spans="4:18" ht="20.100000000000001" customHeight="1" x14ac:dyDescent="0.25"/>
    <row r="123" spans="4:18" ht="20.100000000000001" customHeight="1" x14ac:dyDescent="0.25"/>
    <row r="124" spans="4:18" ht="20.100000000000001" customHeight="1" x14ac:dyDescent="0.25"/>
    <row r="125" spans="4:18" ht="20.100000000000001" customHeight="1" x14ac:dyDescent="0.25"/>
    <row r="126" spans="4:18" ht="20.100000000000001" customHeight="1" x14ac:dyDescent="0.25"/>
    <row r="127" spans="4:18" ht="20.100000000000001" customHeight="1" x14ac:dyDescent="0.25"/>
    <row r="128" spans="4:1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AF7BB680-B75F-4AE8-AA2D-EDF03FCB10D8}"/>
  </dataValidations>
  <pageMargins left="0.7" right="0.7" top="0.75" bottom="0.75" header="0.3" footer="0.3"/>
  <pageSetup paperSize="9" orientation="portrait" r:id="rId1"/>
  <ignoredErrors>
    <ignoredError sqref="I85"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83A5C-7927-4EC6-AF32-4F9637A256E3}">
  <dimension ref="A1:U183"/>
  <sheetViews>
    <sheetView showGridLines="0" topLeftCell="A51" zoomScaleNormal="100" workbookViewId="0">
      <selection activeCell="G73" sqref="G7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237</v>
      </c>
      <c r="L1"/>
    </row>
    <row r="2" spans="1:21" s="9" customFormat="1" ht="20.100000000000001" customHeight="1" x14ac:dyDescent="0.25">
      <c r="L2"/>
    </row>
    <row r="3" spans="1:21" ht="20.100000000000001" customHeight="1" x14ac:dyDescent="0.25">
      <c r="A3" s="17" t="str">
        <f>HYPERLINK("#'Home'!A1", "Home")</f>
        <v>Home</v>
      </c>
      <c r="C3" s="4"/>
      <c r="D3" s="4" t="s">
        <v>89</v>
      </c>
      <c r="E3" s="4"/>
      <c r="F3" s="4"/>
      <c r="G3" s="4"/>
      <c r="H3" s="4"/>
      <c r="I3" s="4"/>
      <c r="J3" s="4"/>
      <c r="K3" s="4"/>
      <c r="M3" s="4"/>
      <c r="N3" s="4" t="s">
        <v>90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MMS_OtherLivestock_Soil_N2ODirect.VEERG_4_7_1_3__2_AnnualNitrogenExcretedToPasture_Title()</f>
        <v>Annual nitrogen excreted by livestock to pasture, range and paddock</v>
      </c>
    </row>
    <row r="6" spans="1:21" ht="20.100000000000001" customHeight="1" x14ac:dyDescent="0.25">
      <c r="A6" s="16"/>
      <c r="D6" s="5" t="str" cm="1">
        <f t="array" ref="D6">MMS_OtherLivestock_Soil_N2ODirect.VEERG_4_7_1_3__2_AnnualNitrogenExcretedToPasture_Source()</f>
        <v>VEERG 2026: 4.7.1.3, Equation (2)</v>
      </c>
    </row>
    <row r="7" spans="1:21" ht="20.100000000000001" customHeight="1" x14ac:dyDescent="0.25">
      <c r="A7" s="20" t="s">
        <v>1</v>
      </c>
      <c r="D7" s="13" t="s">
        <v>23</v>
      </c>
      <c r="E7" s="13" t="str" cm="1">
        <f t="array" aca="1" ref="E7" ca="1">Common_InputFunctions.Utility_DisplayFunctionName(E44)</f>
        <v>=MMS_OtherLivestock_Soil_N2ODirect.VEERG_4_7_1_3__2_AnnualNitrogenExcretedToPasture</v>
      </c>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26</v>
      </c>
      <c r="E10" s="1" t="str" cm="1">
        <f t="array" ref="E10">MMS_OtherLivestock_Soil_N2ODirect.VEERG_4_7_1_3__2_AnnualNitrogenExcretedToPasture_Variable()</f>
        <v>AE</v>
      </c>
    </row>
    <row r="11" spans="1:21" ht="20.100000000000001" customHeight="1" x14ac:dyDescent="0.25">
      <c r="A11" s="19" t="s">
        <v>71</v>
      </c>
      <c r="D11" s="54" t="s">
        <v>16</v>
      </c>
      <c r="E11" s="55" t="str" cm="1">
        <f t="array" ref="E11">MMS_OtherLivestock_Soil_N2ODirect.VEERG_4_7_1_3__2_AnnualNitrogenExcretedToPasture_Unit()</f>
        <v>kg N/year</v>
      </c>
    </row>
    <row r="12" spans="1:21" ht="20.100000000000001" customHeight="1" x14ac:dyDescent="0.25">
      <c r="A12" s="17" t="str">
        <f>HYPERLINK("#'4.7.1.1-2 Manure Methane'!A1", "4.7.1.1-2 Methane")</f>
        <v>4.7.1.1-2 Methane</v>
      </c>
    </row>
    <row r="13" spans="1:21" ht="20.100000000000001" customHeight="1" x14ac:dyDescent="0.25">
      <c r="A13" s="22" t="str">
        <f>HYPERLINK("#'4.7.1.3-4 Soil Direct N2O'!A1", "4.7.1.3-4 Soil Direct N2O")</f>
        <v>4.7.1.3-4 Soil Direct N2O</v>
      </c>
      <c r="D13" s="117" t="str" cm="1">
        <f t="array" ref="D13:E15">_xlfn.CHOOSECOLS(MMS_OtherLivestock_Soil_N2ODirect.VEERG_4_7_1_3__2_AnnualNitrogenExcretedToPasture_Arguments(),1,2)</f>
        <v>N_j</v>
      </c>
      <c r="E13" s="120" t="str">
        <v>number of livestock of each livestock type j</v>
      </c>
      <c r="F13" s="121"/>
      <c r="G13" s="117" t="str" cm="1">
        <f t="array" ref="G13:H15">_xlfn.CHOOSECOLS(MMS_OtherLivestock_Soil_N2ODirect.VEERG_4_7_1_3__2_AnnualNitrogenExcretedToPasture_Arguments(),3,4)</f>
        <v>head</v>
      </c>
      <c r="H13" s="115" t="str">
        <v>Input</v>
      </c>
      <c r="I13" s="118" t="str" cm="1">
        <f t="array" aca="1" ref="I13" ca="1">HYPERLINK(Common_InputFunctions.Utility_SourceHyperlink($D$17),$D$17)</f>
        <v>Table_N_j</v>
      </c>
    </row>
    <row r="14" spans="1:21" ht="20.100000000000001" customHeight="1" x14ac:dyDescent="0.25">
      <c r="A14" s="17" t="str">
        <f>HYPERLINK("#'4.7.1.5-6 Soil Atmos Deposition'!A1", "4.7.1.5-6 Soil Atmos deposition")</f>
        <v>4.7.1.5-6 Soil Atmos deposition</v>
      </c>
      <c r="D14" s="117" t="str">
        <v>NE_j</v>
      </c>
      <c r="E14" s="120" t="str">
        <v>nitrogen excreted by each livestock type j</v>
      </c>
      <c r="F14" s="121"/>
      <c r="G14" s="117" t="str">
        <v>kg N/head/day</v>
      </c>
      <c r="H14" s="116" t="str">
        <v>Constant</v>
      </c>
      <c r="I14" s="118" t="str" cm="1">
        <f t="array" aca="1" ref="I14" ca="1">HYPERLINK(Common_InputFunctions.Utility_SourceHyperlink($D$29),$D$29)</f>
        <v>Table_NE_j</v>
      </c>
    </row>
    <row r="15" spans="1:21" ht="20.100000000000001" customHeight="1" x14ac:dyDescent="0.25">
      <c r="A15" s="17" t="str">
        <f>HYPERLINK("#'4.7.1.7-8 Soil Leaching Runoff'!A1", "4.7.1.8-9 Soil Leaching &amp; Runoff")</f>
        <v>4.7.1.8-9 Soil Leaching &amp; Runoff</v>
      </c>
      <c r="D15" s="117" t="str">
        <v>j</v>
      </c>
      <c r="E15" s="120" t="str">
        <v>livestock type</v>
      </c>
      <c r="F15" s="121"/>
      <c r="G15" s="117" t="str">
        <v/>
      </c>
      <c r="H15" s="115" t="str">
        <v>Input</v>
      </c>
      <c r="I15" s="118" t="str" cm="1">
        <f t="array" aca="1" ref="I15" ca="1">HYPERLINK(Common_InputFunctions.Utility_SourceHyperlink($D$17),$D$17)</f>
        <v>Table_N_j</v>
      </c>
    </row>
    <row r="16" spans="1:21" ht="20.100000000000001" customHeight="1" x14ac:dyDescent="0.25"/>
    <row r="17" spans="1:6" ht="20.100000000000001" customHeight="1" x14ac:dyDescent="0.25">
      <c r="A17" s="18" t="s">
        <v>2</v>
      </c>
      <c r="D17" s="98" t="s">
        <v>87</v>
      </c>
    </row>
    <row r="18" spans="1:6" ht="20.100000000000001" customHeight="1" x14ac:dyDescent="0.25">
      <c r="A18" s="17" t="str">
        <f>HYPERLINK("#'Constants - Other Livestock'!A1", "Constants - Other Livestock")</f>
        <v>Constants - Other Livestock</v>
      </c>
      <c r="D18" s="97" t="s">
        <v>198</v>
      </c>
    </row>
    <row r="19" spans="1:6" ht="20.100000000000001" customHeight="1" x14ac:dyDescent="0.25">
      <c r="A19" s="17" t="str">
        <f>HYPERLINK("#'Constants - Livestock'!A1", "Constants - Livestock")</f>
        <v>Constants - Livestock</v>
      </c>
      <c r="D19" s="41" t="s">
        <v>183</v>
      </c>
      <c r="E19" s="41" t="s">
        <v>230</v>
      </c>
    </row>
    <row r="20" spans="1:6" ht="20.100000000000001" customHeight="1" x14ac:dyDescent="0.25">
      <c r="A20" s="17" t="str">
        <f>HYPERLINK("#'Constants - Common'!A1", "Constants - Common")</f>
        <v>Constants - Common</v>
      </c>
      <c r="D20" s="53" t="s">
        <v>152</v>
      </c>
      <c r="E20" s="100">
        <f>SUM(X_Table_OtherLivestock_Buffalo_Head)</f>
        <v>4600</v>
      </c>
      <c r="F20" s="2" t="str">
        <f>G13</f>
        <v>head</v>
      </c>
    </row>
    <row r="21" spans="1:6" ht="20.100000000000001" customHeight="1" x14ac:dyDescent="0.25">
      <c r="A21" s="17" t="str">
        <f>HYPERLINK("#'Acknowledgements'!A1", "Acknowledgements")</f>
        <v>Acknowledgements</v>
      </c>
      <c r="D21" s="53" t="s">
        <v>157</v>
      </c>
      <c r="E21" s="100">
        <f>SUM(X_Table_OtherLivestock_Goats_Head)</f>
        <v>4800</v>
      </c>
    </row>
    <row r="22" spans="1:6" ht="20.100000000000001" customHeight="1" x14ac:dyDescent="0.25">
      <c r="D22" s="53" t="s">
        <v>164</v>
      </c>
      <c r="E22" s="100">
        <f>SUM(X_Table_OtherLivestock_Deer_Head)</f>
        <v>4600</v>
      </c>
    </row>
    <row r="23" spans="1:6" ht="20.100000000000001" customHeight="1" x14ac:dyDescent="0.25">
      <c r="D23" s="53" t="s">
        <v>170</v>
      </c>
      <c r="E23" s="100">
        <f>X_Cell_OtherLivestock_Others_Camels_Head</f>
        <v>4300</v>
      </c>
    </row>
    <row r="24" spans="1:6" ht="20.100000000000001" customHeight="1" x14ac:dyDescent="0.25">
      <c r="A24" s="17"/>
      <c r="D24" s="53" t="s">
        <v>171</v>
      </c>
      <c r="E24" s="100">
        <f>X_Cell_OtherLivestock_Others_Alpacas_Head</f>
        <v>100</v>
      </c>
    </row>
    <row r="25" spans="1:6" ht="20.100000000000001" customHeight="1" x14ac:dyDescent="0.25">
      <c r="D25" s="53" t="s">
        <v>172</v>
      </c>
      <c r="E25" s="100">
        <f>X_Cell_OtherLivestock_Others_Horses_Head</f>
        <v>100</v>
      </c>
    </row>
    <row r="26" spans="1:6" ht="20.100000000000001" customHeight="1" x14ac:dyDescent="0.25">
      <c r="D26" s="53" t="s">
        <v>188</v>
      </c>
      <c r="E26" s="100">
        <f>X_Cell_OtherLivestock_Others_Mules_Head</f>
        <v>100</v>
      </c>
    </row>
    <row r="27" spans="1:6" ht="20.100000000000001" customHeight="1" x14ac:dyDescent="0.25">
      <c r="D27" s="53" t="s">
        <v>189</v>
      </c>
      <c r="E27" s="100">
        <f>X_Cell_OtherLivestock_Others_Emus_Head</f>
        <v>100</v>
      </c>
    </row>
    <row r="28" spans="1:6" ht="20.100000000000001" customHeight="1" x14ac:dyDescent="0.25"/>
    <row r="29" spans="1:6" ht="20.100000000000001" customHeight="1" x14ac:dyDescent="0.25">
      <c r="D29" s="98" t="s">
        <v>201</v>
      </c>
    </row>
    <row r="30" spans="1:6" ht="20.100000000000001" customHeight="1" x14ac:dyDescent="0.25">
      <c r="D30" s="97" t="s">
        <v>204</v>
      </c>
    </row>
    <row r="31" spans="1:6" ht="20.100000000000001" customHeight="1" x14ac:dyDescent="0.25">
      <c r="D31" s="52" t="s">
        <v>183</v>
      </c>
      <c r="E31" s="52" t="s">
        <v>229</v>
      </c>
    </row>
    <row r="32" spans="1:6" ht="20.100000000000001" customHeight="1" x14ac:dyDescent="0.25">
      <c r="D32" s="53" t="str">
        <f>'Constants - Other Livestock'!D103</f>
        <v>Buffalo</v>
      </c>
      <c r="E32" s="53" cm="1">
        <f t="array" ref="E32">Common_InputFunctions.Utility_LookupValueInTableNumber(D32,Table_SourceData_OtherLivestock_NitrogenExcreted[Other livestock type],Table_SourceData_OtherLivestock_NitrogenExcreted[NEj])</f>
        <v>39.5</v>
      </c>
      <c r="F32" s="2" t="str">
        <f>$G$14</f>
        <v>kg N/head/day</v>
      </c>
    </row>
    <row r="33" spans="4:6" ht="20.100000000000001" customHeight="1" x14ac:dyDescent="0.25">
      <c r="D33" s="53" t="str">
        <f>'Constants - Other Livestock'!D104</f>
        <v>Goats</v>
      </c>
      <c r="E33" s="53" cm="1">
        <f t="array" ref="E33">Common_InputFunctions.Utility_LookupValueInTableNumber(D33,Table_SourceData_OtherLivestock_NitrogenExcreted[Other livestock type],Table_SourceData_OtherLivestock_NitrogenExcreted[NEj])</f>
        <v>7</v>
      </c>
    </row>
    <row r="34" spans="4:6" ht="20.100000000000001" customHeight="1" x14ac:dyDescent="0.25">
      <c r="D34" s="53" t="str">
        <f>'Constants - Other Livestock'!D105</f>
        <v>Deer</v>
      </c>
      <c r="E34" s="53" cm="1">
        <f t="array" ref="E34">Common_InputFunctions.Utility_LookupValueInTableNumber(D34,Table_SourceData_OtherLivestock_NitrogenExcreted[Other livestock type],Table_SourceData_OtherLivestock_NitrogenExcreted[NEj])</f>
        <v>13.2</v>
      </c>
    </row>
    <row r="35" spans="4:6" ht="20.100000000000001" customHeight="1" x14ac:dyDescent="0.25">
      <c r="D35" s="53" t="str">
        <f>'Constants - Other Livestock'!D106</f>
        <v>Camels</v>
      </c>
      <c r="E35" s="53" cm="1">
        <f t="array" ref="E35">Common_InputFunctions.Utility_LookupValueInTableNumber(D35,Table_SourceData_OtherLivestock_NitrogenExcreted[Other livestock type],Table_SourceData_OtherLivestock_NitrogenExcreted[NEj])</f>
        <v>39.5</v>
      </c>
    </row>
    <row r="36" spans="4:6" ht="20.100000000000001" customHeight="1" x14ac:dyDescent="0.25">
      <c r="D36" s="53" t="str">
        <f>'Constants - Other Livestock'!D107</f>
        <v>Alpacas</v>
      </c>
      <c r="E36" s="53" cm="1">
        <f t="array" ref="E36">Common_InputFunctions.Utility_LookupValueInTableNumber(D36,Table_SourceData_OtherLivestock_NitrogenExcreted[Other livestock type],Table_SourceData_OtherLivestock_NitrogenExcreted[NEj])</f>
        <v>7</v>
      </c>
    </row>
    <row r="37" spans="4:6" ht="20.100000000000001" customHeight="1" x14ac:dyDescent="0.25">
      <c r="D37" s="53" t="str">
        <f>'Constants - Other Livestock'!D108</f>
        <v>Horses</v>
      </c>
      <c r="E37" s="53" cm="1">
        <f t="array" ref="E37">Common_InputFunctions.Utility_LookupValueInTableNumber(D37,Table_SourceData_OtherLivestock_NitrogenExcreted[Other livestock type],Table_SourceData_OtherLivestock_NitrogenExcreted[NEj])</f>
        <v>39.5</v>
      </c>
    </row>
    <row r="38" spans="4:6" ht="20.100000000000001" customHeight="1" x14ac:dyDescent="0.25">
      <c r="D38" s="53" t="str">
        <f>'Constants - Other Livestock'!D109</f>
        <v>Mules/asses</v>
      </c>
      <c r="E38" s="53" cm="1">
        <f t="array" ref="E38">Common_InputFunctions.Utility_LookupValueInTableNumber(D38,Table_SourceData_OtherLivestock_NitrogenExcreted[Other livestock type],Table_SourceData_OtherLivestock_NitrogenExcreted[NEj])</f>
        <v>13.2</v>
      </c>
    </row>
    <row r="39" spans="4:6" ht="20.100000000000001" customHeight="1" x14ac:dyDescent="0.25">
      <c r="D39" s="53" t="str">
        <f>'Constants - Other Livestock'!D110</f>
        <v>Emus/ostriches</v>
      </c>
      <c r="E39" s="53" cm="1">
        <f t="array" ref="E39">Common_InputFunctions.Utility_LookupValueInTableNumber(D39,Table_SourceData_OtherLivestock_NitrogenExcreted[Other livestock type],Table_SourceData_OtherLivestock_NitrogenExcreted[NEj])</f>
        <v>7</v>
      </c>
    </row>
    <row r="40" spans="4:6" ht="20.100000000000001" customHeight="1" x14ac:dyDescent="0.25"/>
    <row r="41" spans="4:6" ht="20.100000000000001" customHeight="1" x14ac:dyDescent="0.25">
      <c r="D41" s="98" t="s">
        <v>203</v>
      </c>
    </row>
    <row r="42" spans="4:6" ht="20.100000000000001" customHeight="1" x14ac:dyDescent="0.25">
      <c r="D42" s="97" t="s">
        <v>202</v>
      </c>
    </row>
    <row r="43" spans="4:6" ht="20.100000000000001" customHeight="1" x14ac:dyDescent="0.25">
      <c r="D43" s="52" t="s">
        <v>183</v>
      </c>
      <c r="E43" s="52" t="s">
        <v>226</v>
      </c>
    </row>
    <row r="44" spans="4:6" ht="20.100000000000001" customHeight="1" x14ac:dyDescent="0.25">
      <c r="D44" s="53" t="s">
        <v>152</v>
      </c>
      <c r="E44" s="53" cm="1">
        <f t="array" ref="E44">MMS_OtherLivestock_Soil_N2ODirect.VEERG_4_7_1_3__2_AnnualNitrogenExcretedToPasture(E20,E32)</f>
        <v>66320500</v>
      </c>
      <c r="F44" s="2" t="str">
        <f>$E$11</f>
        <v>kg N/year</v>
      </c>
    </row>
    <row r="45" spans="4:6" ht="20.100000000000001" customHeight="1" x14ac:dyDescent="0.25">
      <c r="D45" s="53" t="s">
        <v>157</v>
      </c>
      <c r="E45" s="53" cm="1">
        <f t="array" ref="E45">MMS_OtherLivestock_Soil_N2ODirect.VEERG_4_7_1_3__2_AnnualNitrogenExcretedToPasture(E21,E33)</f>
        <v>12264000</v>
      </c>
    </row>
    <row r="46" spans="4:6" ht="20.100000000000001" customHeight="1" x14ac:dyDescent="0.25">
      <c r="D46" s="53" t="s">
        <v>164</v>
      </c>
      <c r="E46" s="53" cm="1">
        <f t="array" ref="E46">MMS_OtherLivestock_Soil_N2ODirect.VEERG_4_7_1_3__2_AnnualNitrogenExcretedToPasture(E22,E34)</f>
        <v>22162800</v>
      </c>
    </row>
    <row r="47" spans="4:6" ht="20.100000000000001" customHeight="1" x14ac:dyDescent="0.25">
      <c r="D47" s="53" t="s">
        <v>170</v>
      </c>
      <c r="E47" s="53" cm="1">
        <f t="array" ref="E47">MMS_OtherLivestock_Soil_N2ODirect.VEERG_4_7_1_3__2_AnnualNitrogenExcretedToPasture(E23,E35)</f>
        <v>61995250</v>
      </c>
    </row>
    <row r="48" spans="4:6" ht="20.100000000000001" customHeight="1" x14ac:dyDescent="0.25">
      <c r="D48" s="53" t="s">
        <v>171</v>
      </c>
      <c r="E48" s="53" cm="1">
        <f t="array" ref="E48">MMS_OtherLivestock_Soil_N2ODirect.VEERG_4_7_1_3__2_AnnualNitrogenExcretedToPasture(E24,E36)</f>
        <v>255500</v>
      </c>
    </row>
    <row r="49" spans="3:11" ht="20.100000000000001" customHeight="1" x14ac:dyDescent="0.25">
      <c r="D49" s="53" t="s">
        <v>172</v>
      </c>
      <c r="E49" s="53" cm="1">
        <f t="array" ref="E49">MMS_OtherLivestock_Soil_N2ODirect.VEERG_4_7_1_3__2_AnnualNitrogenExcretedToPasture(E25,E37)</f>
        <v>1441750</v>
      </c>
    </row>
    <row r="50" spans="3:11" ht="20.100000000000001" customHeight="1" x14ac:dyDescent="0.25">
      <c r="D50" s="53" t="s">
        <v>188</v>
      </c>
      <c r="E50" s="53" cm="1">
        <f t="array" ref="E50">MMS_OtherLivestock_Soil_N2ODirect.VEERG_4_7_1_3__2_AnnualNitrogenExcretedToPasture(E26,E38)</f>
        <v>481800</v>
      </c>
    </row>
    <row r="51" spans="3:11" ht="20.100000000000001" customHeight="1" x14ac:dyDescent="0.25">
      <c r="D51" s="53" t="s">
        <v>189</v>
      </c>
      <c r="E51" s="53" cm="1">
        <f t="array" ref="E51">MMS_OtherLivestock_Soil_N2ODirect.VEERG_4_7_1_3__2_AnnualNitrogenExcretedToPasture(E27,E39)</f>
        <v>255500</v>
      </c>
    </row>
    <row r="52" spans="3:11" ht="20.100000000000001" customHeight="1" x14ac:dyDescent="0.25"/>
    <row r="53" spans="3:11" ht="20.100000000000001" customHeight="1" x14ac:dyDescent="0.25">
      <c r="D53" s="110" t="s">
        <v>205</v>
      </c>
      <c r="E53" s="48">
        <f>SUM(E44:E51)</f>
        <v>165177100</v>
      </c>
      <c r="F53" s="109" t="str">
        <f>$E$11</f>
        <v>kg N/year</v>
      </c>
    </row>
    <row r="54" spans="3:11" ht="20.100000000000001" customHeight="1" x14ac:dyDescent="0.25"/>
    <row r="55" spans="3:11" ht="20.100000000000001" customHeight="1" x14ac:dyDescent="0.25"/>
    <row r="56" spans="3:11" ht="20.100000000000001" customHeight="1" x14ac:dyDescent="0.25">
      <c r="C56" s="48"/>
      <c r="D56" s="48"/>
      <c r="E56" s="48"/>
      <c r="F56" s="48"/>
      <c r="G56" s="48"/>
      <c r="H56" s="48"/>
      <c r="I56" s="48"/>
      <c r="J56" s="48"/>
      <c r="K56" s="48"/>
    </row>
    <row r="57" spans="3:11" ht="20.100000000000001" customHeight="1" x14ac:dyDescent="0.25">
      <c r="D57" s="6" t="str" cm="1">
        <f t="array" ref="D57">MMS_OtherLivestock_Soil_N2ODirect.VEERG_4_7_1_3__1_DirectNitrousOxideEmissionsFromSoil_Title()</f>
        <v>Direct nitrous oxide emissions from agricultural soils from deposition of urine and dung to pasture</v>
      </c>
    </row>
    <row r="58" spans="3:11" ht="20.100000000000001" customHeight="1" x14ac:dyDescent="0.25">
      <c r="D58" s="5" t="str" cm="1">
        <f t="array" ref="D58">MMS_OtherLivestock_Soil_N2ODirect.VEERG_4_7_1_3__1_DirectNitrousOxideEmissionsFromSoil_Source()</f>
        <v>VEERG 2026: 4.7.1.3, Equation (1)</v>
      </c>
    </row>
    <row r="59" spans="3:11" ht="20.100000000000001" customHeight="1" x14ac:dyDescent="0.25">
      <c r="D59" s="13" t="s">
        <v>23</v>
      </c>
      <c r="E59" s="13" t="str" cm="1">
        <f t="array" aca="1" ref="E59" ca="1">Common_InputFunctions.Utility_DisplayFunctionName(E70)</f>
        <v>=MMS_OtherLivestock_Soil_N2ODirect.VEERG_4_7_1_3__1_DirectNitrousOxideEmissionsFromSoil</v>
      </c>
    </row>
    <row r="60" spans="3:11" ht="20.100000000000001" customHeight="1" x14ac:dyDescent="0.25"/>
    <row r="61" spans="3:11" ht="20.100000000000001" customHeight="1" x14ac:dyDescent="0.25"/>
    <row r="62" spans="3:11" ht="20.100000000000001" customHeight="1" x14ac:dyDescent="0.25">
      <c r="D62" s="54" t="s">
        <v>26</v>
      </c>
      <c r="E62" s="1" t="str" cm="1">
        <f t="array" ref="E62">MMS_OtherLivestock_Soil_N2ODirect.VEERG_4_7_1_3__1_DirectNitrousOxideEmissionsFromSoil_Variable()</f>
        <v>E_N2Odir</v>
      </c>
    </row>
    <row r="63" spans="3:11" ht="20.100000000000001" customHeight="1" x14ac:dyDescent="0.25">
      <c r="D63" s="54" t="s">
        <v>16</v>
      </c>
      <c r="E63" s="55" t="str" cm="1">
        <f t="array" ref="E63">MMS_OtherLivestock_Soil_N2ODirect.VEERG_4_7_1_3__1_DirectNitrousOxideEmissionsFromSoil_Unit()</f>
        <v>t N2O</v>
      </c>
    </row>
    <row r="64" spans="3:11" ht="20.100000000000001" customHeight="1" x14ac:dyDescent="0.25"/>
    <row r="65" spans="4:9" ht="20.100000000000001" customHeight="1" x14ac:dyDescent="0.25">
      <c r="D65" s="117" t="str" cm="1">
        <f t="array" ref="D65:E68">_xlfn.CHOOSECOLS(MMS_OtherLivestock_Soil_N2ODirect.VEERG_4_7_1_3__1_DirectNitrousOxideEmissionsFromSoil_Arguments(),1,2)</f>
        <v>AE</v>
      </c>
      <c r="E65" s="120" t="str">
        <v>annual nitrogen excreted by each livestock type</v>
      </c>
      <c r="F65" s="119"/>
      <c r="G65" s="117" t="str" cm="1">
        <f t="array" ref="G65:H68">_xlfn.CHOOSECOLS(MMS_OtherLivestock_Soil_N2ODirect.VEERG_4_7_1_3__1_DirectNitrousOxideEmissionsFromSoil_Arguments(),3,4)</f>
        <v>kg N/year</v>
      </c>
      <c r="H65" s="116" t="str">
        <v>Calculated from 4.7.1.3, (2)</v>
      </c>
      <c r="I65" s="117">
        <f>$E$53</f>
        <v>165177100</v>
      </c>
    </row>
    <row r="66" spans="4:9" ht="20.100000000000001" customHeight="1" x14ac:dyDescent="0.25">
      <c r="D66" s="117" t="str">
        <v>EF_PRP</v>
      </c>
      <c r="E66" s="120" t="str">
        <v>emission factor for nitrous oxide from urine and dung deposited to soil</v>
      </c>
      <c r="F66" s="119"/>
      <c r="G66" s="117" t="str">
        <v>kg N2O-N/kg N deposited</v>
      </c>
      <c r="H66" s="116" t="str">
        <v>Constant</v>
      </c>
      <c r="I66" s="117">
        <f>_xlfn.XLOOKUP(I68,Table_SourceData_EFPastureRangeAndPaddock[Climate zone],Table_SourceData_EFPastureRangeAndPaddock[EFPRP])</f>
        <v>2E-3</v>
      </c>
    </row>
    <row r="67" spans="4:9" ht="20.100000000000001" customHeight="1" x14ac:dyDescent="0.25">
      <c r="D67" s="117" t="str">
        <v>C_N2O</v>
      </c>
      <c r="E67" s="120" t="str">
        <v>factor to convert elemental mass of nitrous oxide to molecular mass</v>
      </c>
      <c r="F67" s="119"/>
      <c r="G67" s="117" t="str">
        <v/>
      </c>
      <c r="H67" s="116" t="str">
        <v>Constant</v>
      </c>
      <c r="I67" s="117">
        <f>Common_InputFunctions.Utility_LookupValueInTableNumber("N2O",Table_GasToMolecularConversionFactor[Gas],Table_GasToMolecularConversionFactor[Conversion factor combined])</f>
        <v>1.5714285714285714</v>
      </c>
    </row>
    <row r="68" spans="4:9" ht="20.100000000000001" customHeight="1" x14ac:dyDescent="0.25">
      <c r="D68" s="117" t="str">
        <v>z</v>
      </c>
      <c r="E68" s="120" t="str">
        <v>wet or dry climate zone</v>
      </c>
      <c r="F68" s="119"/>
      <c r="G68" s="117" t="str">
        <v/>
      </c>
      <c r="H68" s="115" t="str">
        <v>Input</v>
      </c>
      <c r="I68" s="117" t="str">
        <f>X_Cell_Site_WetOrDryClimateZone</f>
        <v>Dry climate zone</v>
      </c>
    </row>
    <row r="69" spans="4:9" ht="20.100000000000001" customHeight="1" x14ac:dyDescent="0.25"/>
    <row r="70" spans="4:9" ht="20.100000000000001" customHeight="1" x14ac:dyDescent="0.25">
      <c r="D70" s="101" t="s">
        <v>91</v>
      </c>
      <c r="E70" s="102" cm="1">
        <f t="array" ref="E70">MMS_OtherLivestock_Soil_N2ODirect.VEERG_4_7_1_3__1_DirectNitrousOxideEmissionsFromSoil(I65,I66,I67)</f>
        <v>519.12802857142856</v>
      </c>
      <c r="F70" s="103" t="str">
        <f>$E$63</f>
        <v>t N2O</v>
      </c>
    </row>
    <row r="71" spans="4:9" ht="20.100000000000001" customHeight="1" x14ac:dyDescent="0.25"/>
    <row r="72" spans="4:9" ht="20.100000000000001" customHeight="1" x14ac:dyDescent="0.25">
      <c r="D72" s="58" t="str" cm="1">
        <f t="array" ref="D72:E73">Common_Equations.Common_ConvertN2OToCO2e_Arguments()</f>
        <v>EN2O</v>
      </c>
      <c r="E72" s="59" t="str">
        <v>Nitrous oxide emissions (t N2O)</v>
      </c>
      <c r="F72" s="104"/>
      <c r="G72" s="53">
        <f>E70</f>
        <v>519.12802857142856</v>
      </c>
    </row>
    <row r="73" spans="4:9" ht="20.100000000000001" customHeight="1" x14ac:dyDescent="0.25">
      <c r="D73" s="58" t="str">
        <v>GWPN2O</v>
      </c>
      <c r="E73" s="59" t="str">
        <v>Global warming potential for nitrous oxide (t CO2-e / t N2O)</v>
      </c>
      <c r="F73" s="104"/>
      <c r="G73" s="53">
        <f>Common_InputFunctions.Utility_LookupValueInTableNumber("N2O",Table_GWPData[Gas],Table_GWPData[CO2-e factor])</f>
        <v>265</v>
      </c>
    </row>
    <row r="74" spans="4:9" ht="20.100000000000001" customHeight="1" x14ac:dyDescent="0.25"/>
    <row r="75" spans="4:9" ht="20.100000000000001" customHeight="1" x14ac:dyDescent="0.25">
      <c r="D75" s="48" t="s">
        <v>88</v>
      </c>
      <c r="E75" s="48" cm="1">
        <f t="array" ref="E75">Common_Equations.Common_ConvertN2OToCO2e(G72,G73)</f>
        <v>137568.92757142856</v>
      </c>
      <c r="F75" s="105" t="str" cm="1">
        <f t="array" ref="F75">Common_Equations.Common_ConvertN2OToCO2e_Unit()</f>
        <v>t CO2e</v>
      </c>
    </row>
    <row r="76" spans="4:9" ht="20.100000000000001" customHeight="1" x14ac:dyDescent="0.25"/>
    <row r="77" spans="4:9" ht="20.100000000000001" customHeight="1" x14ac:dyDescent="0.25"/>
    <row r="78" spans="4:9" ht="20.100000000000001" customHeight="1" x14ac:dyDescent="0.25"/>
    <row r="79" spans="4:9" ht="20.100000000000001" customHeight="1" x14ac:dyDescent="0.25"/>
    <row r="80" spans="4:9"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ABC13CDC-0614-490F-AB58-FBCB1F93E906}"/>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F629D-E7CC-4363-A4F2-A9E89B3EA331}">
  <dimension ref="A1:U183"/>
  <sheetViews>
    <sheetView showGridLines="0" topLeftCell="A58" zoomScale="85" zoomScaleNormal="85" workbookViewId="0">
      <selection activeCell="G84" sqref="G8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238</v>
      </c>
      <c r="L1"/>
    </row>
    <row r="2" spans="1:21" s="9" customFormat="1" ht="20.100000000000001" customHeight="1" x14ac:dyDescent="0.25">
      <c r="L2"/>
    </row>
    <row r="3" spans="1:21" ht="20.100000000000001" customHeight="1" x14ac:dyDescent="0.25">
      <c r="A3" s="17" t="str">
        <f>HYPERLINK("#'Home'!A1", "Home")</f>
        <v>Home</v>
      </c>
      <c r="C3" s="4"/>
      <c r="D3" s="4" t="s">
        <v>89</v>
      </c>
      <c r="E3" s="4"/>
      <c r="F3" s="4"/>
      <c r="G3" s="4"/>
      <c r="H3" s="4"/>
      <c r="I3" s="4"/>
      <c r="J3" s="4"/>
      <c r="K3" s="4"/>
      <c r="M3" s="4"/>
      <c r="N3" s="4" t="s">
        <v>90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MMS_OtherLivestock_Soil_AtmosphericDeposition.VEERG_4_7_1_5__2_MassOfNitrogenVolatilisedFromPasture_Title()</f>
        <v>Mass of nitrogen volatilised from urine and faeces deposited on pasture</v>
      </c>
    </row>
    <row r="6" spans="1:21" ht="20.100000000000001" customHeight="1" x14ac:dyDescent="0.25">
      <c r="A6" s="16"/>
      <c r="D6" s="5" t="str" cm="1">
        <f t="array" ref="D6">MMS_OtherLivestock_Soil_AtmosphericDeposition.VEERG_4_7_1_5__2_MassOfNitrogenVolatilisedFromPasture_Source()</f>
        <v>VEERG 2026: 4.7.1.5, Equation (2)</v>
      </c>
    </row>
    <row r="7" spans="1:21" ht="20.100000000000001" customHeight="1" x14ac:dyDescent="0.25">
      <c r="A7" s="20" t="s">
        <v>1</v>
      </c>
      <c r="D7" s="13" t="s">
        <v>23</v>
      </c>
      <c r="E7" s="13" t="str" cm="1">
        <f t="array" aca="1" ref="E7" ca="1">Common_InputFunctions.Utility_DisplayFunctionName(E31)</f>
        <v>=MMS_OtherLivestock_Soil_AtmosphericDeposition.VEERG_4_7_1_5__2_MassOfNitrogenVolatilisedFromPasture</v>
      </c>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26</v>
      </c>
      <c r="E10" s="1" t="str" cm="1">
        <f t="array" ref="E10">MMS_OtherLivestock_Soil_AtmosphericDeposition.VEERG_4_7_1_5__2_MassOfNitrogenVolatilisedFromPasture_Variable()</f>
        <v>M_vol</v>
      </c>
    </row>
    <row r="11" spans="1:21" ht="20.100000000000001" customHeight="1" x14ac:dyDescent="0.25">
      <c r="A11" s="19" t="s">
        <v>71</v>
      </c>
      <c r="D11" s="54" t="s">
        <v>16</v>
      </c>
      <c r="E11" s="55" t="str" cm="1">
        <f t="array" ref="E11">MMS_OtherLivestock_Soil_AtmosphericDeposition.VEERG_4_7_1_5__2_MassOfNitrogenVolatilisedFromPasture_Unit()</f>
        <v>kg N</v>
      </c>
    </row>
    <row r="12" spans="1:21" ht="20.100000000000001" customHeight="1" x14ac:dyDescent="0.25">
      <c r="A12" s="17" t="str">
        <f>HYPERLINK("#'4.7.1.1-2 Manure Methane'!A1", "4.7.1.1-2 Methane")</f>
        <v>4.7.1.1-2 Methane</v>
      </c>
    </row>
    <row r="13" spans="1:21" ht="20.100000000000001" customHeight="1" x14ac:dyDescent="0.25">
      <c r="A13" s="17" t="str">
        <f>HYPERLINK("#'4.7.1.3-4 Soil Direct N2O'!A1", "4.7.1.3-4 Soil Direct N2O")</f>
        <v>4.7.1.3-4 Soil Direct N2O</v>
      </c>
      <c r="D13" s="117" t="str" cm="1">
        <f t="array" ref="D13:E14">_xlfn.CHOOSECOLS(MMS_OtherLivestock_Soil_AtmosphericDeposition.VEERG_4_7_1_5__2_MassOfNitrogenVolatilisedFromPasture_Arguments(),1,2)</f>
        <v>AE</v>
      </c>
      <c r="E13" s="117" t="str">
        <v>annual nitrogen excreted by each livestock type</v>
      </c>
      <c r="F13" s="117"/>
      <c r="G13" s="117" t="str" cm="1">
        <f t="array" ref="G13:H14">_xlfn.CHOOSECOLS(MMS_OtherLivestock_Soil_AtmosphericDeposition.VEERG_4_7_1_5__2_MassOfNitrogenVolatilisedFromPasture_Arguments(),3,4)</f>
        <v>kg N/year</v>
      </c>
      <c r="H13" s="116" t="str">
        <v>Calculated by 4.7.1.3, (2)</v>
      </c>
      <c r="I13" s="117" t="str" cm="1">
        <f t="array" aca="1" ref="I13" ca="1">HYPERLINK(Common_InputFunctions.Utility_SourceHyperlink($D$16),$D$16)</f>
        <v>Table_AEj</v>
      </c>
    </row>
    <row r="14" spans="1:21" ht="20.100000000000001" customHeight="1" x14ac:dyDescent="0.25">
      <c r="A14" s="22" t="str">
        <f>HYPERLINK("#'4.7.1.5-6 Soil Atmos Deposition'!A1", "4.7.1.5-6 Soil Atmos deposition")</f>
        <v>4.7.1.5-6 Soil Atmos deposition</v>
      </c>
      <c r="D14" s="117" t="str">
        <v>FracGASMsoil</v>
      </c>
      <c r="E14" s="117" t="str">
        <v>fraction of nitrogen volatilised from urine and faeces deposited on pasture</v>
      </c>
      <c r="F14" s="117"/>
      <c r="G14" s="117" t="str">
        <v>(kg NH3-N + NOx-N)/kg N</v>
      </c>
      <c r="H14" s="116" t="str">
        <v>Constant</v>
      </c>
      <c r="I14" s="117">
        <f>'Constants - Other Livestock'!E115</f>
        <v>0.21</v>
      </c>
    </row>
    <row r="15" spans="1:21" ht="20.100000000000001" customHeight="1" x14ac:dyDescent="0.25">
      <c r="A15" s="17" t="str">
        <f>HYPERLINK("#'4.7.1.7-8 Soil Leaching Runoff'!A1", "4.7.1.8-9 Soil Leaching &amp; Runoff")</f>
        <v>4.7.1.8-9 Soil Leaching &amp; Runoff</v>
      </c>
    </row>
    <row r="16" spans="1:21" ht="20.100000000000001" customHeight="1" x14ac:dyDescent="0.25">
      <c r="D16" s="98" t="s">
        <v>203</v>
      </c>
    </row>
    <row r="17" spans="1:6" ht="20.100000000000001" customHeight="1" x14ac:dyDescent="0.25">
      <c r="A17" s="18" t="s">
        <v>2</v>
      </c>
      <c r="D17" s="97" t="s">
        <v>202</v>
      </c>
    </row>
    <row r="18" spans="1:6" ht="20.100000000000001" customHeight="1" x14ac:dyDescent="0.25">
      <c r="A18" s="17" t="str">
        <f>HYPERLINK("#'Constants - Other Livestock'!A1", "Constants - Other Livestock")</f>
        <v>Constants - Other Livestock</v>
      </c>
      <c r="D18" s="52" t="s">
        <v>183</v>
      </c>
      <c r="E18" s="52" t="s">
        <v>226</v>
      </c>
    </row>
    <row r="19" spans="1:6" ht="20.100000000000001" customHeight="1" x14ac:dyDescent="0.25">
      <c r="A19" s="17" t="str">
        <f>HYPERLINK("#'Constants - Livestock'!A1", "Constants - Livestock")</f>
        <v>Constants - Livestock</v>
      </c>
      <c r="D19" s="53" t="s">
        <v>152</v>
      </c>
      <c r="E19" s="53">
        <f>INDEX(Table_AEj,2,2)</f>
        <v>66320500</v>
      </c>
      <c r="F19" s="2" t="str">
        <f>'4.7.1.3-4 Soil Direct N2O'!$F$44</f>
        <v>kg N/year</v>
      </c>
    </row>
    <row r="20" spans="1:6" ht="20.100000000000001" customHeight="1" x14ac:dyDescent="0.25">
      <c r="A20" s="17" t="str">
        <f>HYPERLINK("#'Constants - Common'!A1", "Constants - Common")</f>
        <v>Constants - Common</v>
      </c>
      <c r="D20" s="53" t="s">
        <v>157</v>
      </c>
      <c r="E20" s="53">
        <f>INDEX(Table_AEj,3,2)</f>
        <v>12264000</v>
      </c>
    </row>
    <row r="21" spans="1:6" ht="20.100000000000001" customHeight="1" x14ac:dyDescent="0.25">
      <c r="A21" s="17" t="str">
        <f>HYPERLINK("#'Acknowledgements'!A1", "Acknowledgements")</f>
        <v>Acknowledgements</v>
      </c>
      <c r="D21" s="53" t="s">
        <v>164</v>
      </c>
      <c r="E21" s="53">
        <f>INDEX(Table_AEj,4,2)</f>
        <v>22162800</v>
      </c>
    </row>
    <row r="22" spans="1:6" ht="20.100000000000001" customHeight="1" x14ac:dyDescent="0.25">
      <c r="D22" s="53" t="s">
        <v>170</v>
      </c>
      <c r="E22" s="53">
        <f>INDEX(Table_AEj,5,2)</f>
        <v>61995250</v>
      </c>
    </row>
    <row r="23" spans="1:6" ht="20.100000000000001" customHeight="1" x14ac:dyDescent="0.25">
      <c r="D23" s="53" t="s">
        <v>171</v>
      </c>
      <c r="E23" s="53">
        <f>INDEX(Table_AEj,6,2)</f>
        <v>255500</v>
      </c>
    </row>
    <row r="24" spans="1:6" ht="20.100000000000001" customHeight="1" x14ac:dyDescent="0.25">
      <c r="A24" s="17"/>
      <c r="D24" s="53" t="s">
        <v>172</v>
      </c>
      <c r="E24" s="53">
        <f>INDEX(Table_AEj,7,2)</f>
        <v>1441750</v>
      </c>
    </row>
    <row r="25" spans="1:6" ht="20.100000000000001" customHeight="1" x14ac:dyDescent="0.25">
      <c r="D25" s="53" t="s">
        <v>188</v>
      </c>
      <c r="E25" s="53">
        <f>INDEX(Table_AEj,8,2)</f>
        <v>481800</v>
      </c>
    </row>
    <row r="26" spans="1:6" ht="20.100000000000001" customHeight="1" x14ac:dyDescent="0.25">
      <c r="D26" s="53" t="s">
        <v>189</v>
      </c>
      <c r="E26" s="53">
        <f>INDEX(Table_AEj,9,2)</f>
        <v>255500</v>
      </c>
    </row>
    <row r="27" spans="1:6" ht="20.100000000000001" customHeight="1" x14ac:dyDescent="0.25"/>
    <row r="28" spans="1:6" ht="20.100000000000001" customHeight="1" x14ac:dyDescent="0.25">
      <c r="D28" s="98" t="s">
        <v>215</v>
      </c>
    </row>
    <row r="29" spans="1:6" ht="20.100000000000001" customHeight="1" x14ac:dyDescent="0.25">
      <c r="D29" s="97" t="s">
        <v>202</v>
      </c>
    </row>
    <row r="30" spans="1:6" ht="20.100000000000001" customHeight="1" x14ac:dyDescent="0.25">
      <c r="D30" s="52" t="s">
        <v>183</v>
      </c>
      <c r="E30" s="52" t="s">
        <v>228</v>
      </c>
    </row>
    <row r="31" spans="1:6" ht="20.100000000000001" customHeight="1" x14ac:dyDescent="0.25">
      <c r="D31" s="53" t="s">
        <v>152</v>
      </c>
      <c r="E31" s="53" cm="1">
        <f t="array" ref="E31">MMS_OtherLivestock_Soil_AtmosphericDeposition.VEERG_4_7_1_5__2_MassOfNitrogenVolatilisedFromPasture(E19,$I$14)</f>
        <v>13927305</v>
      </c>
      <c r="F31" s="2" t="str">
        <f>'4.7.1.3-4 Soil Direct N2O'!$F$44</f>
        <v>kg N/year</v>
      </c>
    </row>
    <row r="32" spans="1:6" ht="20.100000000000001" customHeight="1" x14ac:dyDescent="0.25">
      <c r="D32" s="53" t="s">
        <v>157</v>
      </c>
      <c r="E32" s="53" cm="1">
        <f t="array" ref="E32">MMS_OtherLivestock_Soil_AtmosphericDeposition.VEERG_4_7_1_5__2_MassOfNitrogenVolatilisedFromPasture(E20,$I$14)</f>
        <v>2575440</v>
      </c>
    </row>
    <row r="33" spans="3:11" ht="20.100000000000001" customHeight="1" x14ac:dyDescent="0.25">
      <c r="D33" s="53" t="s">
        <v>164</v>
      </c>
      <c r="E33" s="53" cm="1">
        <f t="array" ref="E33">MMS_OtherLivestock_Soil_AtmosphericDeposition.VEERG_4_7_1_5__2_MassOfNitrogenVolatilisedFromPasture(E21,$I$14)</f>
        <v>4654188</v>
      </c>
    </row>
    <row r="34" spans="3:11" ht="20.100000000000001" customHeight="1" x14ac:dyDescent="0.25">
      <c r="D34" s="53" t="s">
        <v>170</v>
      </c>
      <c r="E34" s="53" cm="1">
        <f t="array" ref="E34">MMS_OtherLivestock_Soil_AtmosphericDeposition.VEERG_4_7_1_5__2_MassOfNitrogenVolatilisedFromPasture(E22,$I$14)</f>
        <v>13019002.5</v>
      </c>
    </row>
    <row r="35" spans="3:11" ht="20.100000000000001" customHeight="1" x14ac:dyDescent="0.25">
      <c r="D35" s="53" t="s">
        <v>171</v>
      </c>
      <c r="E35" s="53" cm="1">
        <f t="array" ref="E35">MMS_OtherLivestock_Soil_AtmosphericDeposition.VEERG_4_7_1_5__2_MassOfNitrogenVolatilisedFromPasture(E23,$I$14)</f>
        <v>53655</v>
      </c>
    </row>
    <row r="36" spans="3:11" ht="20.100000000000001" customHeight="1" x14ac:dyDescent="0.25">
      <c r="D36" s="53" t="s">
        <v>172</v>
      </c>
      <c r="E36" s="53" cm="1">
        <f t="array" ref="E36">MMS_OtherLivestock_Soil_AtmosphericDeposition.VEERG_4_7_1_5__2_MassOfNitrogenVolatilisedFromPasture(E24,$I$14)</f>
        <v>302767.5</v>
      </c>
    </row>
    <row r="37" spans="3:11" ht="20.100000000000001" customHeight="1" x14ac:dyDescent="0.25">
      <c r="D37" s="53" t="s">
        <v>188</v>
      </c>
      <c r="E37" s="53" cm="1">
        <f t="array" ref="E37">MMS_OtherLivestock_Soil_AtmosphericDeposition.VEERG_4_7_1_5__2_MassOfNitrogenVolatilisedFromPasture(E25,$I$14)</f>
        <v>101178</v>
      </c>
    </row>
    <row r="38" spans="3:11" ht="20.100000000000001" customHeight="1" x14ac:dyDescent="0.25">
      <c r="D38" s="53" t="s">
        <v>189</v>
      </c>
      <c r="E38" s="53" cm="1">
        <f t="array" ref="E38">MMS_OtherLivestock_Soil_AtmosphericDeposition.VEERG_4_7_1_5__2_MassOfNitrogenVolatilisedFromPasture(E26,$I$14)</f>
        <v>53655</v>
      </c>
    </row>
    <row r="39" spans="3:11" ht="20.100000000000001" customHeight="1" x14ac:dyDescent="0.25"/>
    <row r="40" spans="3:11" ht="20.100000000000001" customHeight="1" x14ac:dyDescent="0.25"/>
    <row r="41" spans="3:11" ht="20.100000000000001" customHeight="1" x14ac:dyDescent="0.25">
      <c r="C41" s="48"/>
      <c r="D41" s="48"/>
      <c r="E41" s="48"/>
      <c r="F41" s="48"/>
      <c r="G41" s="48"/>
      <c r="H41" s="48"/>
      <c r="I41" s="48"/>
      <c r="J41" s="48"/>
      <c r="K41" s="48"/>
    </row>
    <row r="42" spans="3:11" ht="20.100000000000001" customHeight="1" x14ac:dyDescent="0.25">
      <c r="D42" s="6" t="str" cm="1">
        <f t="array" ref="D42">MMS_OtherLivestock_Soil_AtmosphericDeposition.VEERG_4_7_1_5__1_AtmosphericDepositionEmissionsFromPasture_Title()</f>
        <v>Atmospheric deposition emissions from urine and dung deposited on pasture</v>
      </c>
    </row>
    <row r="43" spans="3:11" ht="20.100000000000001" customHeight="1" x14ac:dyDescent="0.25">
      <c r="D43" s="5" t="str" cm="1">
        <f t="array" ref="D43">MMS_OtherLivestock_Soil_AtmosphericDeposition.VEERG_4_7_1_5__1_AtmosphericDepositionEmissionsFromPasture_Source()</f>
        <v>VEERG 2026: 4.7.1.5, Equation (1)</v>
      </c>
    </row>
    <row r="44" spans="3:11" ht="20.100000000000001" customHeight="1" x14ac:dyDescent="0.25">
      <c r="D44" s="13" t="s">
        <v>23</v>
      </c>
      <c r="E44" s="13" t="str" cm="1">
        <f t="array" aca="1" ref="E44" ca="1">Common_InputFunctions.Utility_DisplayFunctionName(E72)</f>
        <v>=MMS_OtherLivestock_Soil_AtmosphericDeposition.VEERG_4_7_1_5__1_AtmosphericDepositionEmissionsFromPasture</v>
      </c>
    </row>
    <row r="45" spans="3:11" ht="20.100000000000001" customHeight="1" x14ac:dyDescent="0.25"/>
    <row r="46" spans="3:11" ht="20.100000000000001" customHeight="1" x14ac:dyDescent="0.25"/>
    <row r="47" spans="3:11" ht="20.100000000000001" customHeight="1" x14ac:dyDescent="0.25">
      <c r="D47" s="54" t="s">
        <v>26</v>
      </c>
      <c r="E47" s="1" t="str" cm="1">
        <f t="array" ref="E47">MMS_OtherLivestock_Soil_AtmosphericDeposition.VEERG_4_7_1_5__1_AtmosphericDepositionEmissionsFromPasture_Variable()</f>
        <v>E_N2Oad</v>
      </c>
    </row>
    <row r="48" spans="3:11" ht="20.100000000000001" customHeight="1" x14ac:dyDescent="0.25">
      <c r="D48" s="54" t="s">
        <v>16</v>
      </c>
      <c r="E48" s="55" t="str" cm="1">
        <f t="array" ref="E48">MMS_OtherLivestock_Soil_AtmosphericDeposition.VEERG_4_7_1_5__1_AtmosphericDepositionEmissionsFromPasture_Unit()</f>
        <v>t N2O</v>
      </c>
    </row>
    <row r="49" spans="4:9" ht="20.100000000000001" customHeight="1" x14ac:dyDescent="0.25"/>
    <row r="50" spans="4:9" ht="20.100000000000001" customHeight="1" x14ac:dyDescent="0.25">
      <c r="D50" s="117" t="str" cm="1">
        <f t="array" ref="D50:E55">_xlfn.CHOOSECOLS(MMS_OtherLivestock_Soil_AtmosphericDeposition.VEERG_4_7_1_5__1_AtmosphericDepositionEmissionsFromPasture_Arguments(),1,2)</f>
        <v>M_vol</v>
      </c>
      <c r="E50" s="120" t="str">
        <v>mass of nitrogen volatilised from urine and faeces deposited on pasture</v>
      </c>
      <c r="F50" s="119"/>
      <c r="G50" s="117" t="str" cm="1">
        <f t="array" ref="G50:H55">_xlfn.CHOOSECOLS(MMS_OtherLivestock_Soil_AtmosphericDeposition.VEERG_4_7_1_5__1_AtmosphericDepositionEmissionsFromPasture_Arguments(),3,4)</f>
        <v>kg N</v>
      </c>
      <c r="H50" s="116" t="str">
        <v>Calculated from 4.7.1.5, (2)</v>
      </c>
      <c r="I50" s="118" t="str" cm="1">
        <f t="array" aca="1" ref="I50" ca="1">HYPERLINK(Common_InputFunctions.Utility_SourceHyperlink($D$28),$D$28)</f>
        <v>Table_M_vol</v>
      </c>
    </row>
    <row r="51" spans="4:9" ht="20.100000000000001" customHeight="1" x14ac:dyDescent="0.25">
      <c r="D51" s="117" t="str">
        <v>EF_N2O</v>
      </c>
      <c r="E51" s="120" t="str">
        <v>emission factor for atmospheric deposition</v>
      </c>
      <c r="F51" s="119"/>
      <c r="G51" s="117" t="str">
        <v>kg N2O-N/kg N</v>
      </c>
      <c r="H51" s="116" t="str">
        <v>Constant</v>
      </c>
      <c r="I51" s="118" t="str" cm="1">
        <f t="array" aca="1" ref="I51" ca="1">HYPERLINK(Common_InputFunctions.Utility_SourceHyperlink($D$57),$D$57)</f>
        <v>Table_EF_N2O</v>
      </c>
    </row>
    <row r="52" spans="4:9" ht="20.100000000000001" customHeight="1" x14ac:dyDescent="0.25">
      <c r="D52" s="117" t="str">
        <v>C_N2O</v>
      </c>
      <c r="E52" s="120" t="str">
        <v>factor to convert elemental mass of nitrous oxide to molecular mass</v>
      </c>
      <c r="F52" s="119"/>
      <c r="G52" s="117" t="str">
        <v/>
      </c>
      <c r="H52" s="116" t="str">
        <v>Constant</v>
      </c>
      <c r="I52" s="117">
        <f>Common_InputFunctions.Utility_LookupValueInTableNumber("N2O",Table_GasToMolecularConversionFactor[Gas],Table_GasToMolecularConversionFactor[Conversion factor combined])</f>
        <v>1.5714285714285714</v>
      </c>
    </row>
    <row r="53" spans="4:9" ht="20.100000000000001" customHeight="1" x14ac:dyDescent="0.25">
      <c r="D53" s="117" t="str">
        <v>j</v>
      </c>
      <c r="E53" s="120" t="str">
        <v>production system</v>
      </c>
      <c r="F53" s="119"/>
      <c r="G53" s="117" t="str">
        <v/>
      </c>
      <c r="H53" s="115" t="str">
        <v>Input</v>
      </c>
      <c r="I53" s="118" t="str" cm="1">
        <f t="array" aca="1" ref="I53" ca="1">HYPERLINK(Common_InputFunctions.Utility_SourceHyperlink($D$57),$D$57)</f>
        <v>Table_EF_N2O</v>
      </c>
    </row>
    <row r="54" spans="4:9" ht="20.100000000000001" customHeight="1" x14ac:dyDescent="0.25">
      <c r="D54" s="117" t="str">
        <v>i</v>
      </c>
      <c r="E54" s="120" t="str">
        <v>irrigation method</v>
      </c>
      <c r="F54" s="119"/>
      <c r="G54" s="117" t="str">
        <v/>
      </c>
      <c r="H54" s="115" t="str">
        <v>Input</v>
      </c>
      <c r="I54" s="118" t="str" cm="1">
        <f t="array" aca="1" ref="I54" ca="1">HYPERLINK(Common_InputFunctions.Utility_SourceHyperlink($D$57),$D$57)</f>
        <v>Table_EF_N2O</v>
      </c>
    </row>
    <row r="55" spans="4:9" ht="20.100000000000001" customHeight="1" x14ac:dyDescent="0.25">
      <c r="D55" s="117" t="str">
        <v>r</v>
      </c>
      <c r="E55" s="120" t="str">
        <v>rainfall zone</v>
      </c>
      <c r="F55" s="119"/>
      <c r="G55" s="117" t="str">
        <v/>
      </c>
      <c r="H55" s="115" t="str">
        <v>Input</v>
      </c>
      <c r="I55" s="118" t="str" cm="1">
        <f t="array" aca="1" ref="I55" ca="1">HYPERLINK(Common_InputFunctions.Utility_SourceHyperlink($D$57),$D$57)</f>
        <v>Table_EF_N2O</v>
      </c>
    </row>
    <row r="56" spans="4:9" ht="20.100000000000001" customHeight="1" x14ac:dyDescent="0.25"/>
    <row r="57" spans="4:9" ht="20.100000000000001" customHeight="1" x14ac:dyDescent="0.25">
      <c r="D57" s="98" t="s">
        <v>212</v>
      </c>
    </row>
    <row r="58" spans="4:9" ht="20.100000000000001" customHeight="1" x14ac:dyDescent="0.25">
      <c r="D58" s="97" t="s">
        <v>213</v>
      </c>
    </row>
    <row r="59" spans="4:9" ht="20.100000000000001" customHeight="1" x14ac:dyDescent="0.25">
      <c r="D59" s="52" t="s">
        <v>183</v>
      </c>
      <c r="E59" s="41" t="s">
        <v>102</v>
      </c>
      <c r="F59" s="41" t="s">
        <v>100</v>
      </c>
      <c r="G59" s="41" t="s">
        <v>32</v>
      </c>
      <c r="H59" s="52" t="s">
        <v>227</v>
      </c>
    </row>
    <row r="60" spans="4:9" ht="20.100000000000001" customHeight="1" x14ac:dyDescent="0.25">
      <c r="D60" s="53" t="s">
        <v>152</v>
      </c>
      <c r="E60" s="53" t="str">
        <f>X_Cell_OtherLivestock_Buffalo_GrazingProductionSystem</f>
        <v>Pasture</v>
      </c>
      <c r="F60" s="53" t="str">
        <f>X_Cell_OtherLivestock_Buffalo_GrazingIrrigationMethod</f>
        <v>Not irrigated</v>
      </c>
      <c r="G60" s="53" t="str">
        <f t="shared" ref="G60:G67" si="0">X_Cell_Site_RainfallZone</f>
        <v>High rainfall</v>
      </c>
      <c r="H60" s="53">
        <f>Common_InputFunctions.Utility_LookupN2OEFFromProdIrrigationRainfall(E60,F60,G60,Table_SourceData_Common_EFN2O[Production system only],Table_SourceData_Common_EFN2O[Irrigation method],Table_SourceData_Common_EFN2O[Rainfall zone],Table_SourceData_Common_EFN2O[EFN2O])</f>
        <v>1.8E-3</v>
      </c>
      <c r="I60" s="2" t="str">
        <f>E48</f>
        <v>t N2O</v>
      </c>
    </row>
    <row r="61" spans="4:9" ht="20.100000000000001" customHeight="1" x14ac:dyDescent="0.25">
      <c r="D61" s="53" t="s">
        <v>157</v>
      </c>
      <c r="E61" s="53" t="str">
        <f>X_Cell_OtherLivestock_Goats_GrazingProductionSystem</f>
        <v>Pasture</v>
      </c>
      <c r="F61" s="53" t="str">
        <f>X_Cell_OtherLivestock_Goats_GrazingIrrigationMethod</f>
        <v>Not irrigated</v>
      </c>
      <c r="G61" s="53" t="str">
        <f t="shared" si="0"/>
        <v>High rainfall</v>
      </c>
      <c r="H61" s="53">
        <f>Common_InputFunctions.Utility_LookupN2OEFFromProdIrrigationRainfall(E61,F61,G61,Table_SourceData_Common_EFN2O[Production system only],Table_SourceData_Common_EFN2O[Irrigation method],Table_SourceData_Common_EFN2O[Rainfall zone],Table_SourceData_Common_EFN2O[EFN2O])</f>
        <v>1.8E-3</v>
      </c>
    </row>
    <row r="62" spans="4:9" ht="20.100000000000001" customHeight="1" x14ac:dyDescent="0.25">
      <c r="D62" s="53" t="s">
        <v>164</v>
      </c>
      <c r="E62" s="53" t="str">
        <f>X_Cell_OtherLivestock_Deer_GrazingProductionSystem</f>
        <v>Pasture</v>
      </c>
      <c r="F62" s="53" t="str">
        <f>X_Cell_OtherLivestock_Deer_GrazingIrrigationMethod</f>
        <v>Not irrigated</v>
      </c>
      <c r="G62" s="53" t="str">
        <f t="shared" si="0"/>
        <v>High rainfall</v>
      </c>
      <c r="H62" s="53">
        <f>Common_InputFunctions.Utility_LookupN2OEFFromProdIrrigationRainfall(E62,F62,G62,Table_SourceData_Common_EFN2O[Production system only],Table_SourceData_Common_EFN2O[Irrigation method],Table_SourceData_Common_EFN2O[Rainfall zone],Table_SourceData_Common_EFN2O[EFN2O])</f>
        <v>1.8E-3</v>
      </c>
    </row>
    <row r="63" spans="4:9" ht="20.100000000000001" customHeight="1" x14ac:dyDescent="0.25">
      <c r="D63" s="53" t="s">
        <v>170</v>
      </c>
      <c r="E63" s="53" t="str">
        <f>X_Cell_OtherLivestock_Others_Camels_GrazingProductionSystem</f>
        <v>Pasture</v>
      </c>
      <c r="F63" s="53" t="str">
        <f>X_Cell_OtherLivestock_Others_Camels_GrazingIrrigationMethod</f>
        <v>Drip irrigation</v>
      </c>
      <c r="G63" s="53" t="str">
        <f t="shared" si="0"/>
        <v>High rainfall</v>
      </c>
      <c r="H63" s="53">
        <f>Common_InputFunctions.Utility_LookupN2OEFFromProdIrrigationRainfall(E63,F63,G63,Table_SourceData_Common_EFN2O[Production system only],Table_SourceData_Common_EFN2O[Irrigation method],Table_SourceData_Common_EFN2O[Rainfall zone],Table_SourceData_Common_EFN2O[EFN2O])</f>
        <v>5.8999999999999999E-3</v>
      </c>
    </row>
    <row r="64" spans="4:9" ht="20.100000000000001" customHeight="1" x14ac:dyDescent="0.25">
      <c r="D64" s="53" t="s">
        <v>171</v>
      </c>
      <c r="E64" s="53" t="str">
        <f>X_Cell_OtherLivestock_Others_Alpacas_GrazingProductionSystem</f>
        <v>Pasture</v>
      </c>
      <c r="F64" s="53" t="str">
        <f>X_Cell_OtherLivestock_Others_Alpacas_GrazingIrrigationMethod</f>
        <v>Sprinkler irrigation</v>
      </c>
      <c r="G64" s="53" t="str">
        <f t="shared" si="0"/>
        <v>High rainfall</v>
      </c>
      <c r="H64" s="53">
        <f>Common_InputFunctions.Utility_LookupN2OEFFromProdIrrigationRainfall(E64,F64,G64,Table_SourceData_Common_EFN2O[Production system only],Table_SourceData_Common_EFN2O[Irrigation method],Table_SourceData_Common_EFN2O[Rainfall zone],Table_SourceData_Common_EFN2O[EFN2O])</f>
        <v>5.8999999999999999E-3</v>
      </c>
    </row>
    <row r="65" spans="4:8" ht="20.100000000000001" customHeight="1" x14ac:dyDescent="0.25">
      <c r="D65" s="53" t="s">
        <v>172</v>
      </c>
      <c r="E65" s="53" t="str">
        <f>X_Cell_OtherLivestock_Others_Horses_GrazingProductionSystem</f>
        <v>Crop</v>
      </c>
      <c r="F65" s="53" t="str">
        <f>X_Cell_OtherLivestock_Others_Horses_GrazingIrrigationMethod</f>
        <v>Not irrigated</v>
      </c>
      <c r="G65" s="53" t="str">
        <f t="shared" si="0"/>
        <v>High rainfall</v>
      </c>
      <c r="H65" s="53">
        <f>Common_InputFunctions.Utility_LookupN2OEFFromProdIrrigationRainfall(E65,F65,G65,Table_SourceData_Common_EFN2O[Production system only],Table_SourceData_Common_EFN2O[Irrigation method],Table_SourceData_Common_EFN2O[Rainfall zone],Table_SourceData_Common_EFN2O[EFN2O])</f>
        <v>8.0000000000000002E-3</v>
      </c>
    </row>
    <row r="66" spans="4:8" ht="20.100000000000001" customHeight="1" x14ac:dyDescent="0.25">
      <c r="D66" s="53" t="s">
        <v>188</v>
      </c>
      <c r="E66" s="53" t="str">
        <f>X_Cell_OtherLivestock_Others_Mules_GrazingProductionSystem</f>
        <v>Crop</v>
      </c>
      <c r="F66" s="53" t="str">
        <f>X_Cell_OtherLivestock_Others_Mules_GrazingIrrigationMethod</f>
        <v>Surface irrigation</v>
      </c>
      <c r="G66" s="53" t="str">
        <f t="shared" si="0"/>
        <v>High rainfall</v>
      </c>
      <c r="H66" s="53">
        <f>Common_InputFunctions.Utility_LookupN2OEFFromProdIrrigationRainfall(E66,F66,G66,Table_SourceData_Common_EFN2O[Production system only],Table_SourceData_Common_EFN2O[Irrigation method],Table_SourceData_Common_EFN2O[Rainfall zone],Table_SourceData_Common_EFN2O[EFN2O])</f>
        <v>7.0000000000000001E-3</v>
      </c>
    </row>
    <row r="67" spans="4:8" ht="20.100000000000001" customHeight="1" x14ac:dyDescent="0.25">
      <c r="D67" s="53" t="s">
        <v>189</v>
      </c>
      <c r="E67" s="53" t="str">
        <f>X_Cell_OtherLivestock_Others_Emus_GrazingProductionSystem</f>
        <v>Pasture</v>
      </c>
      <c r="F67" s="53" t="str">
        <f>X_Cell_OtherLivestock_Others_Emus_GrazingIrrigationMethod</f>
        <v>Not irrigated</v>
      </c>
      <c r="G67" s="53" t="str">
        <f t="shared" si="0"/>
        <v>High rainfall</v>
      </c>
      <c r="H67" s="53">
        <f>Common_InputFunctions.Utility_LookupN2OEFFromProdIrrigationRainfall(E67,F67,G67,Table_SourceData_Common_EFN2O[Production system only],Table_SourceData_Common_EFN2O[Irrigation method],Table_SourceData_Common_EFN2O[Rainfall zone],Table_SourceData_Common_EFN2O[EFN2O])</f>
        <v>1.8E-3</v>
      </c>
    </row>
    <row r="68" spans="4:8" ht="20.100000000000001" customHeight="1" x14ac:dyDescent="0.25"/>
    <row r="69" spans="4:8" ht="20.100000000000001" customHeight="1" x14ac:dyDescent="0.25">
      <c r="D69" s="98" t="s">
        <v>216</v>
      </c>
    </row>
    <row r="70" spans="4:8" ht="20.100000000000001" customHeight="1" x14ac:dyDescent="0.25">
      <c r="D70" s="97" t="s">
        <v>217</v>
      </c>
    </row>
    <row r="71" spans="4:8" ht="20.100000000000001" customHeight="1" x14ac:dyDescent="0.25">
      <c r="D71" s="52" t="s">
        <v>183</v>
      </c>
      <c r="E71" s="52" t="s">
        <v>102</v>
      </c>
    </row>
    <row r="72" spans="4:8" ht="20.100000000000001" customHeight="1" x14ac:dyDescent="0.25">
      <c r="D72" s="53" t="s">
        <v>152</v>
      </c>
      <c r="E72" s="53" cm="1">
        <f t="array" ref="E72">MMS_OtherLivestock_Soil_AtmosphericDeposition.VEERG_4_7_1_5__1_AtmosphericDepositionEmissionsFromPasture(E31,H60,$I$52)</f>
        <v>39.394376999999992</v>
      </c>
      <c r="F72" s="2" t="str">
        <f>$E$48</f>
        <v>t N2O</v>
      </c>
    </row>
    <row r="73" spans="4:8" ht="20.100000000000001" customHeight="1" x14ac:dyDescent="0.25">
      <c r="D73" s="53" t="s">
        <v>157</v>
      </c>
      <c r="E73" s="53" cm="1">
        <f t="array" ref="E73">MMS_OtherLivestock_Soil_AtmosphericDeposition.VEERG_4_7_1_5__1_AtmosphericDepositionEmissionsFromPasture(E32,H61,$I$52)</f>
        <v>7.2848159999999993</v>
      </c>
    </row>
    <row r="74" spans="4:8" ht="20.100000000000001" customHeight="1" x14ac:dyDescent="0.25">
      <c r="D74" s="53" t="s">
        <v>164</v>
      </c>
      <c r="E74" s="53" cm="1">
        <f t="array" ref="E74">MMS_OtherLivestock_Soil_AtmosphericDeposition.VEERG_4_7_1_5__1_AtmosphericDepositionEmissionsFromPasture(E33,H62,$I$52)</f>
        <v>13.164703199999998</v>
      </c>
    </row>
    <row r="75" spans="4:8" ht="20.100000000000001" customHeight="1" x14ac:dyDescent="0.25">
      <c r="D75" s="53" t="s">
        <v>170</v>
      </c>
      <c r="E75" s="53" cm="1">
        <f t="array" ref="E75">MMS_OtherLivestock_Soil_AtmosphericDeposition.VEERG_4_7_1_5__1_AtmosphericDepositionEmissionsFromPasture(E34,H63,$I$52)</f>
        <v>120.70475174999999</v>
      </c>
    </row>
    <row r="76" spans="4:8" ht="20.100000000000001" customHeight="1" x14ac:dyDescent="0.25">
      <c r="D76" s="53" t="s">
        <v>171</v>
      </c>
      <c r="E76" s="53" cm="1">
        <f t="array" ref="E76">MMS_OtherLivestock_Soil_AtmosphericDeposition.VEERG_4_7_1_5__1_AtmosphericDepositionEmissionsFromPasture(E35,H64,$I$52)</f>
        <v>0.49745850000000003</v>
      </c>
    </row>
    <row r="77" spans="4:8" ht="20.100000000000001" customHeight="1" x14ac:dyDescent="0.25">
      <c r="D77" s="53" t="s">
        <v>172</v>
      </c>
      <c r="E77" s="53" cm="1">
        <f t="array" ref="E77">MMS_OtherLivestock_Soil_AtmosphericDeposition.VEERG_4_7_1_5__1_AtmosphericDepositionEmissionsFromPasture(E36,H65,$I$52)</f>
        <v>3.8062199999999997</v>
      </c>
    </row>
    <row r="78" spans="4:8" ht="20.100000000000001" customHeight="1" x14ac:dyDescent="0.25">
      <c r="D78" s="53" t="s">
        <v>188</v>
      </c>
      <c r="E78" s="53" cm="1">
        <f t="array" ref="E78">MMS_OtherLivestock_Soil_AtmosphericDeposition.VEERG_4_7_1_5__1_AtmosphericDepositionEmissionsFromPasture(E37,H66,$I$52)</f>
        <v>1.1129579999999999</v>
      </c>
    </row>
    <row r="79" spans="4:8" ht="20.100000000000001" customHeight="1" x14ac:dyDescent="0.25">
      <c r="D79" s="53" t="s">
        <v>189</v>
      </c>
      <c r="E79" s="53" cm="1">
        <f t="array" ref="E79">MMS_OtherLivestock_Soil_AtmosphericDeposition.VEERG_4_7_1_5__1_AtmosphericDepositionEmissionsFromPasture(E38,H67,$I$52)</f>
        <v>0.15176699999999999</v>
      </c>
    </row>
    <row r="80" spans="4:8" ht="20.100000000000001" customHeight="1" x14ac:dyDescent="0.25"/>
    <row r="81" spans="4:7" ht="20.100000000000001" customHeight="1" x14ac:dyDescent="0.25">
      <c r="D81" s="101" t="s">
        <v>109</v>
      </c>
      <c r="E81" s="102">
        <f>SUM(E72:E79)</f>
        <v>186.11705144999996</v>
      </c>
      <c r="F81" s="103" t="str">
        <f>$E$48</f>
        <v>t N2O</v>
      </c>
    </row>
    <row r="82" spans="4:7" ht="20.100000000000001" customHeight="1" x14ac:dyDescent="0.25"/>
    <row r="83" spans="4:7" ht="20.100000000000001" customHeight="1" x14ac:dyDescent="0.25">
      <c r="D83" s="58" t="str" cm="1">
        <f t="array" ref="D83:E84">Common_Equations.Common_ConvertN2OToCO2e_Arguments()</f>
        <v>EN2O</v>
      </c>
      <c r="E83" s="59" t="str">
        <v>Nitrous oxide emissions (t N2O)</v>
      </c>
      <c r="F83" s="104"/>
      <c r="G83" s="53">
        <f>E81</f>
        <v>186.11705144999996</v>
      </c>
    </row>
    <row r="84" spans="4:7" ht="20.100000000000001" customHeight="1" x14ac:dyDescent="0.25">
      <c r="D84" s="58" t="str">
        <v>GWPN2O</v>
      </c>
      <c r="E84" s="59" t="str">
        <v>Global warming potential for nitrous oxide (t CO2-e / t N2O)</v>
      </c>
      <c r="F84" s="104"/>
      <c r="G84" s="53">
        <f>Common_InputFunctions.Utility_LookupValueInTableNumber("N2O", Table_GWPData[Gas],Table_GWPData[CO2-e factor])</f>
        <v>265</v>
      </c>
    </row>
    <row r="85" spans="4:7" ht="20.100000000000001" customHeight="1" x14ac:dyDescent="0.25"/>
    <row r="86" spans="4:7" ht="20.100000000000001" customHeight="1" x14ac:dyDescent="0.25">
      <c r="D86" s="48" t="s">
        <v>88</v>
      </c>
      <c r="E86" s="48" cm="1">
        <f t="array" ref="E86">Common_Equations.Common_ConvertN2OToCO2e(G83,G84)</f>
        <v>49321.018634249987</v>
      </c>
      <c r="F86" s="105" t="str" cm="1">
        <f t="array" ref="F86">Common_Equations.Common_ConvertN2OToCO2e_Unit()</f>
        <v>t CO2e</v>
      </c>
    </row>
    <row r="87" spans="4:7" ht="20.100000000000001" customHeight="1" x14ac:dyDescent="0.25"/>
    <row r="88" spans="4:7" ht="20.100000000000001" customHeight="1" x14ac:dyDescent="0.25"/>
    <row r="89" spans="4:7" ht="20.100000000000001" customHeight="1" x14ac:dyDescent="0.25"/>
    <row r="90" spans="4:7" ht="20.100000000000001" customHeight="1" x14ac:dyDescent="0.25"/>
    <row r="91" spans="4:7" ht="20.100000000000001" customHeight="1" x14ac:dyDescent="0.25"/>
    <row r="92" spans="4:7" ht="20.100000000000001" customHeight="1" x14ac:dyDescent="0.25"/>
    <row r="93" spans="4:7" ht="20.100000000000001" customHeight="1" x14ac:dyDescent="0.25"/>
    <row r="94" spans="4:7" ht="20.100000000000001" customHeight="1" x14ac:dyDescent="0.25"/>
    <row r="95" spans="4:7" ht="20.100000000000001" customHeight="1" x14ac:dyDescent="0.25"/>
    <row r="96" spans="4:7"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92F1D30F-69B7-43CA-8149-EE1344F53F5F}"/>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68A1-6101-411D-B813-7C0D9B5A9884}">
  <dimension ref="A1:U183"/>
  <sheetViews>
    <sheetView showGridLines="0" topLeftCell="A46" zoomScaleNormal="100" workbookViewId="0">
      <selection activeCell="G75" sqref="G7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239</v>
      </c>
      <c r="L1"/>
    </row>
    <row r="2" spans="1:21" s="9" customFormat="1" ht="20.100000000000001" customHeight="1" x14ac:dyDescent="0.25">
      <c r="L2"/>
    </row>
    <row r="3" spans="1:21" ht="20.100000000000001" customHeight="1" x14ac:dyDescent="0.25">
      <c r="A3" s="17" t="str">
        <f>HYPERLINK("#'Home'!A1", "Home")</f>
        <v>Home</v>
      </c>
      <c r="C3" s="4"/>
      <c r="D3" s="4" t="s">
        <v>89</v>
      </c>
      <c r="E3" s="4"/>
      <c r="F3" s="4"/>
      <c r="G3" s="4"/>
      <c r="H3" s="4"/>
      <c r="I3" s="4"/>
      <c r="J3" s="4"/>
      <c r="K3" s="4"/>
      <c r="M3" s="4"/>
      <c r="N3" s="4" t="s">
        <v>90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MMS_OtherLivestock_Soil_LeachingAndRunoff.VEERG_4_7_1_7__2_MassOfNitrogenLostToLeachingAndRunoff_Title()</f>
        <v>Mass of nitrogen lost to leaching and runoff</v>
      </c>
    </row>
    <row r="6" spans="1:21" ht="20.100000000000001" customHeight="1" x14ac:dyDescent="0.25">
      <c r="A6" s="16"/>
      <c r="D6" s="5" t="str" cm="1">
        <f t="array" ref="D6">MMS_OtherLivestock_Soil_LeachingAndRunoff.VEERG_4_7_1_7__2_MassOfNitrogenLostToLeachingAndRunoff_Source()</f>
        <v>VEERG 2026: 4.7.1.7, Equation (2)</v>
      </c>
    </row>
    <row r="7" spans="1:21" ht="20.100000000000001" customHeight="1" x14ac:dyDescent="0.25">
      <c r="A7" s="20" t="s">
        <v>1</v>
      </c>
      <c r="D7" s="13" t="s">
        <v>23</v>
      </c>
      <c r="E7" s="13" t="str" cm="1">
        <f t="array" aca="1" ref="E7" ca="1">Common_InputFunctions.Utility_DisplayFunctionName(E47)</f>
        <v>=MMS_OtherLivestock_Soil_LeachingAndRunoff.VEERG_4_7_1_7__2_MassOfNitrogenLostToLeachingAndRunoff</v>
      </c>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26</v>
      </c>
      <c r="E10" s="1" t="str" cm="1">
        <f t="array" ref="E10">MMS_OtherLivestock_Soil_LeachingAndRunoff.VEERG_4_7_1_7__2_MassOfNitrogenLostToLeachingAndRunoff_Variable()</f>
        <v>M_leach</v>
      </c>
    </row>
    <row r="11" spans="1:21" ht="20.100000000000001" customHeight="1" x14ac:dyDescent="0.25">
      <c r="A11" s="19" t="s">
        <v>71</v>
      </c>
      <c r="D11" s="54" t="s">
        <v>16</v>
      </c>
      <c r="E11" s="55" t="str" cm="1">
        <f t="array" ref="E11">MMS_OtherLivestock_Soil_LeachingAndRunoff.VEERG_4_7_1_7__2_MassOfNitrogenLostToLeachingAndRunoff_Unit()</f>
        <v>kg N</v>
      </c>
    </row>
    <row r="12" spans="1:21" ht="20.100000000000001" customHeight="1" x14ac:dyDescent="0.25">
      <c r="A12" s="17" t="str">
        <f>HYPERLINK("#'4.7.1.1-2 Manure Methane'!A1", "4.7.1.1-2 Methane")</f>
        <v>4.7.1.1-2 Methane</v>
      </c>
    </row>
    <row r="13" spans="1:21" ht="20.100000000000001" customHeight="1" x14ac:dyDescent="0.25">
      <c r="A13" s="17" t="str">
        <f>HYPERLINK("#'4.7.1.3-4 Soil Direct N2O'!A1", "4.7.1.3-4 Soil Direct N2O")</f>
        <v>4.7.1.3-4 Soil Direct N2O</v>
      </c>
      <c r="D13" s="117" t="str" cm="1">
        <f t="array" ref="D13:E18">_xlfn.CHOOSECOLS(MMS_OtherLivestock_Soil_LeachingAndRunoff.VEERG_4_7_1_7__2_MassOfNitrogenLostToLeachingAndRunoff_Arguments(),1,2)</f>
        <v>AE</v>
      </c>
      <c r="E13" s="120" t="str">
        <v>annual nitrogen excreted by each livestock type</v>
      </c>
      <c r="F13" s="119"/>
      <c r="G13" s="117" t="str" cm="1">
        <f t="array" ref="G13:H18">_xlfn.CHOOSECOLS(MMS_OtherLivestock_Soil_LeachingAndRunoff.VEERG_4_7_1_7__2_MassOfNitrogenLostToLeachingAndRunoff_Arguments(),3,4)</f>
        <v>kg N/year</v>
      </c>
      <c r="H13" s="116" t="str">
        <v>Calculated by 4.7.1.3, (2)</v>
      </c>
      <c r="I13" s="118" t="str" cm="1">
        <f t="array" aca="1" ref="I13" ca="1">HYPERLINK(Common_InputFunctions.Utility_SourceHyperlink($D$20),$D$20)</f>
        <v>Table_AEj</v>
      </c>
    </row>
    <row r="14" spans="1:21" ht="20.100000000000001" customHeight="1" x14ac:dyDescent="0.25">
      <c r="A14" s="17" t="str">
        <f>HYPERLINK("#'4.7.1.5-6 Soil Atmos Deposition'!A1", "4.7.1.5-6 Soil Atmos deposition")</f>
        <v>4.7.1.5-6 Soil Atmos deposition</v>
      </c>
      <c r="D14" s="117" t="str">
        <v>FracWet</v>
      </c>
      <c r="E14" s="120" t="str">
        <v>fraction of nitrogen available for leaching and runoff</v>
      </c>
      <c r="F14" s="119"/>
      <c r="G14" s="117" t="str">
        <v/>
      </c>
      <c r="H14" s="116" t="str">
        <v>Constant</v>
      </c>
      <c r="I14" s="118" t="str" cm="1">
        <f t="array" aca="1" ref="I14" ca="1">HYPERLINK(Common_InputFunctions.Utility_SourceHyperlink($D$32),$D$32)</f>
        <v>Table_Frac_Wet</v>
      </c>
    </row>
    <row r="15" spans="1:21" ht="20.100000000000001" customHeight="1" x14ac:dyDescent="0.25">
      <c r="A15" s="22" t="str">
        <f>HYPERLINK("#'4.7.1.7-8 Soil Leaching Runoff'!A1", "4.7.1.8-9 Soil Leaching &amp; Runoff")</f>
        <v>4.7.1.8-9 Soil Leaching &amp; Runoff</v>
      </c>
      <c r="D15" s="117" t="str">
        <v>FracLEACH</v>
      </c>
      <c r="E15" s="120" t="str">
        <v>fraction of all nitrogen that is lost through leaching and runoff</v>
      </c>
      <c r="F15" s="119"/>
      <c r="G15" s="117" t="str">
        <v/>
      </c>
      <c r="H15" s="116" t="str">
        <v>Constant</v>
      </c>
      <c r="I15" s="117">
        <f>'Constants - Common'!$E$164</f>
        <v>0.24</v>
      </c>
    </row>
    <row r="16" spans="1:21" ht="20.100000000000001" customHeight="1" x14ac:dyDescent="0.25">
      <c r="D16" s="117" t="str">
        <v>z</v>
      </c>
      <c r="E16" s="120" t="str">
        <v>location in leaching zone</v>
      </c>
      <c r="F16" s="119"/>
      <c r="G16" s="117" t="str">
        <v/>
      </c>
      <c r="H16" s="115" t="str">
        <v>Input</v>
      </c>
      <c r="I16" s="117" t="str">
        <f>X_Cell_Site_LeachingZone</f>
        <v>NO - Not in leaching zone</v>
      </c>
    </row>
    <row r="17" spans="1:9" ht="20.100000000000001" customHeight="1" x14ac:dyDescent="0.25">
      <c r="A17" s="18" t="s">
        <v>2</v>
      </c>
      <c r="D17" s="117" t="str">
        <v>j</v>
      </c>
      <c r="E17" s="120" t="str">
        <v>production system</v>
      </c>
      <c r="F17" s="119"/>
      <c r="G17" s="117" t="str">
        <v/>
      </c>
      <c r="H17" s="115" t="str">
        <v>Input</v>
      </c>
      <c r="I17" s="118" t="str" cm="1">
        <f t="array" aca="1" ref="I17" ca="1">HYPERLINK(Common_InputFunctions.Utility_SourceHyperlink($D$32),$D$32)</f>
        <v>Table_Frac_Wet</v>
      </c>
    </row>
    <row r="18" spans="1:9" ht="20.100000000000001" customHeight="1" x14ac:dyDescent="0.25">
      <c r="A18" s="17" t="str">
        <f>HYPERLINK("#'Constants - Other Livestock'!A1", "Constants - Other Livestock")</f>
        <v>Constants - Other Livestock</v>
      </c>
      <c r="D18" s="117" t="str">
        <v>ir</v>
      </c>
      <c r="E18" s="120" t="str">
        <v>irrigation method</v>
      </c>
      <c r="F18" s="119"/>
      <c r="G18" s="117" t="str">
        <v/>
      </c>
      <c r="H18" s="115" t="str">
        <v>Input</v>
      </c>
      <c r="I18" s="118" t="str" cm="1">
        <f t="array" aca="1" ref="I18" ca="1">HYPERLINK(Common_InputFunctions.Utility_SourceHyperlink($D$32),$D$32)</f>
        <v>Table_Frac_Wet</v>
      </c>
    </row>
    <row r="19" spans="1:9" ht="20.100000000000001" customHeight="1" x14ac:dyDescent="0.25">
      <c r="A19" s="17" t="str">
        <f>HYPERLINK("#'Constants - Livestock'!A1", "Constants - Livestock")</f>
        <v>Constants - Livestock</v>
      </c>
    </row>
    <row r="20" spans="1:9" ht="20.100000000000001" customHeight="1" x14ac:dyDescent="0.25">
      <c r="A20" s="17" t="str">
        <f>HYPERLINK("#'Constants - Common'!A1", "Constants - Common")</f>
        <v>Constants - Common</v>
      </c>
      <c r="D20" s="98" t="s">
        <v>203</v>
      </c>
    </row>
    <row r="21" spans="1:9" ht="20.100000000000001" customHeight="1" x14ac:dyDescent="0.25">
      <c r="A21" s="17" t="str">
        <f>HYPERLINK("#'Acknowledgements'!A1", "Acknowledgements")</f>
        <v>Acknowledgements</v>
      </c>
      <c r="D21" s="97" t="s">
        <v>202</v>
      </c>
    </row>
    <row r="22" spans="1:9" ht="20.100000000000001" customHeight="1" x14ac:dyDescent="0.25">
      <c r="D22" s="52" t="s">
        <v>183</v>
      </c>
      <c r="E22" s="52" t="s">
        <v>226</v>
      </c>
    </row>
    <row r="23" spans="1:9" ht="20.100000000000001" customHeight="1" x14ac:dyDescent="0.25">
      <c r="D23" s="53" t="s">
        <v>152</v>
      </c>
      <c r="E23" s="53">
        <f>INDEX(Table_AEj,2,2)</f>
        <v>66320500</v>
      </c>
      <c r="F23" s="2" t="str">
        <f>'4.7.1.3-4 Soil Direct N2O'!$F$44</f>
        <v>kg N/year</v>
      </c>
    </row>
    <row r="24" spans="1:9" ht="20.100000000000001" customHeight="1" x14ac:dyDescent="0.25">
      <c r="A24" s="17"/>
      <c r="D24" s="53" t="s">
        <v>157</v>
      </c>
      <c r="E24" s="53">
        <f>INDEX(Table_AEj,3,2)</f>
        <v>12264000</v>
      </c>
    </row>
    <row r="25" spans="1:9" ht="20.100000000000001" customHeight="1" x14ac:dyDescent="0.25">
      <c r="D25" s="53" t="s">
        <v>164</v>
      </c>
      <c r="E25" s="53">
        <f>INDEX(Table_AEj,4,2)</f>
        <v>22162800</v>
      </c>
    </row>
    <row r="26" spans="1:9" ht="20.100000000000001" customHeight="1" x14ac:dyDescent="0.25">
      <c r="D26" s="53" t="s">
        <v>170</v>
      </c>
      <c r="E26" s="53">
        <f>INDEX(Table_AEj,5,2)</f>
        <v>61995250</v>
      </c>
    </row>
    <row r="27" spans="1:9" ht="20.100000000000001" customHeight="1" x14ac:dyDescent="0.25">
      <c r="D27" s="53" t="s">
        <v>171</v>
      </c>
      <c r="E27" s="53">
        <f>INDEX(Table_AEj,6,2)</f>
        <v>255500</v>
      </c>
    </row>
    <row r="28" spans="1:9" ht="20.100000000000001" customHeight="1" x14ac:dyDescent="0.25">
      <c r="D28" s="53" t="s">
        <v>172</v>
      </c>
      <c r="E28" s="53">
        <f>INDEX(Table_AEj,7,2)</f>
        <v>1441750</v>
      </c>
    </row>
    <row r="29" spans="1:9" ht="20.100000000000001" customHeight="1" x14ac:dyDescent="0.25">
      <c r="D29" s="53" t="s">
        <v>188</v>
      </c>
      <c r="E29" s="53">
        <f>INDEX(Table_AEj,8,2)</f>
        <v>481800</v>
      </c>
    </row>
    <row r="30" spans="1:9" ht="20.100000000000001" customHeight="1" x14ac:dyDescent="0.25">
      <c r="D30" s="53" t="s">
        <v>189</v>
      </c>
      <c r="E30" s="53">
        <f>INDEX(Table_AEj,9,2)</f>
        <v>255500</v>
      </c>
    </row>
    <row r="31" spans="1:9" ht="20.100000000000001" customHeight="1" x14ac:dyDescent="0.25"/>
    <row r="32" spans="1:9" ht="20.100000000000001" customHeight="1" x14ac:dyDescent="0.25">
      <c r="D32" s="98" t="s">
        <v>218</v>
      </c>
    </row>
    <row r="33" spans="4:7" ht="20.100000000000001" customHeight="1" x14ac:dyDescent="0.25">
      <c r="D33" s="97" t="s">
        <v>219</v>
      </c>
    </row>
    <row r="34" spans="4:7" ht="20.100000000000001" customHeight="1" x14ac:dyDescent="0.25">
      <c r="D34" s="52" t="s">
        <v>183</v>
      </c>
      <c r="E34" s="41" t="s">
        <v>102</v>
      </c>
      <c r="F34" s="41" t="s">
        <v>100</v>
      </c>
      <c r="G34" s="52" t="s">
        <v>220</v>
      </c>
    </row>
    <row r="35" spans="4:7" ht="20.100000000000001" customHeight="1" x14ac:dyDescent="0.25">
      <c r="D35" s="53" t="s">
        <v>152</v>
      </c>
      <c r="E35" s="53" t="str">
        <f>X_Cell_OtherLivestock_Buffalo_GrazingProductionSystem</f>
        <v>Pasture</v>
      </c>
      <c r="F35" s="53" t="str">
        <f>X_Cell_OtherLivestock_Buffalo_GrazingIrrigationMethod</f>
        <v>Not irrigated</v>
      </c>
      <c r="G35" s="53">
        <f>Common_InputFunctions.CommonCropping_GetFracWET($I$16,F35,#REF!,#REF!,Table_SourceData_FracWETIrrigation[Irrigation type i],Table_SourceData_FracWETIrrigation[FracWET])</f>
        <v>0</v>
      </c>
    </row>
    <row r="36" spans="4:7" ht="20.100000000000001" customHeight="1" x14ac:dyDescent="0.25">
      <c r="D36" s="53" t="s">
        <v>157</v>
      </c>
      <c r="E36" s="53" t="str">
        <f>X_Cell_OtherLivestock_Goats_GrazingProductionSystem</f>
        <v>Pasture</v>
      </c>
      <c r="F36" s="53" t="str">
        <f>X_Cell_OtherLivestock_Goats_GrazingIrrigationMethod</f>
        <v>Not irrigated</v>
      </c>
      <c r="G36" s="53">
        <f>Common_InputFunctions.CommonCropping_GetFracWET($I$16,F36,#REF!,#REF!,Table_SourceData_FracWETIrrigation[Irrigation type i],Table_SourceData_FracWETIrrigation[FracWET])</f>
        <v>0</v>
      </c>
    </row>
    <row r="37" spans="4:7" ht="20.100000000000001" customHeight="1" x14ac:dyDescent="0.25">
      <c r="D37" s="53" t="s">
        <v>164</v>
      </c>
      <c r="E37" s="53" t="str">
        <f>X_Cell_OtherLivestock_Deer_GrazingProductionSystem</f>
        <v>Pasture</v>
      </c>
      <c r="F37" s="53" t="str">
        <f>X_Cell_OtherLivestock_Deer_GrazingIrrigationMethod</f>
        <v>Not irrigated</v>
      </c>
      <c r="G37" s="53">
        <f>Common_InputFunctions.CommonCropping_GetFracWET($I$16,F37,#REF!,#REF!,Table_SourceData_FracWETIrrigation[Irrigation type i],Table_SourceData_FracWETIrrigation[FracWET])</f>
        <v>0</v>
      </c>
    </row>
    <row r="38" spans="4:7" ht="20.100000000000001" customHeight="1" x14ac:dyDescent="0.25">
      <c r="D38" s="53" t="s">
        <v>170</v>
      </c>
      <c r="E38" s="53" t="str">
        <f>X_Cell_OtherLivestock_Others_Camels_GrazingProductionSystem</f>
        <v>Pasture</v>
      </c>
      <c r="F38" s="53" t="str">
        <f>X_Cell_OtherLivestock_Others_Camels_GrazingIrrigationMethod</f>
        <v>Drip irrigation</v>
      </c>
      <c r="G38" s="53">
        <f>Common_InputFunctions.CommonCropping_GetFracWET($I$16,F38,#REF!,#REF!,Table_SourceData_FracWETIrrigation[Irrigation type i],Table_SourceData_FracWETIrrigation[FracWET])</f>
        <v>0</v>
      </c>
    </row>
    <row r="39" spans="4:7" ht="20.100000000000001" customHeight="1" x14ac:dyDescent="0.25">
      <c r="D39" s="53" t="s">
        <v>171</v>
      </c>
      <c r="E39" s="53" t="str">
        <f>X_Cell_OtherLivestock_Others_Alpacas_GrazingProductionSystem</f>
        <v>Pasture</v>
      </c>
      <c r="F39" s="53" t="str">
        <f>X_Cell_OtherLivestock_Others_Alpacas_GrazingIrrigationMethod</f>
        <v>Sprinkler irrigation</v>
      </c>
      <c r="G39" s="53">
        <f>Common_InputFunctions.CommonCropping_GetFracWET($I$16,F39,#REF!,#REF!,Table_SourceData_FracWETIrrigation[Irrigation type i],Table_SourceData_FracWETIrrigation[FracWET])</f>
        <v>1</v>
      </c>
    </row>
    <row r="40" spans="4:7" ht="20.100000000000001" customHeight="1" x14ac:dyDescent="0.25">
      <c r="D40" s="53" t="s">
        <v>172</v>
      </c>
      <c r="E40" s="53" t="str">
        <f>X_Cell_OtherLivestock_Others_Horses_GrazingProductionSystem</f>
        <v>Crop</v>
      </c>
      <c r="F40" s="53" t="str">
        <f>X_Cell_OtherLivestock_Others_Horses_GrazingIrrigationMethod</f>
        <v>Not irrigated</v>
      </c>
      <c r="G40" s="53">
        <f>Common_InputFunctions.CommonCropping_GetFracWET($I$16,F40,#REF!,#REF!,Table_SourceData_FracWETIrrigation[Irrigation type i],Table_SourceData_FracWETIrrigation[FracWET])</f>
        <v>0</v>
      </c>
    </row>
    <row r="41" spans="4:7" ht="20.100000000000001" customHeight="1" x14ac:dyDescent="0.25">
      <c r="D41" s="53" t="s">
        <v>188</v>
      </c>
      <c r="E41" s="53" t="str">
        <f>X_Cell_OtherLivestock_Others_Mules_GrazingProductionSystem</f>
        <v>Crop</v>
      </c>
      <c r="F41" s="53" t="str">
        <f>X_Cell_OtherLivestock_Others_Mules_GrazingIrrigationMethod</f>
        <v>Surface irrigation</v>
      </c>
      <c r="G41" s="53">
        <f>Common_InputFunctions.CommonCropping_GetFracWET($I$16,F41,#REF!,#REF!,Table_SourceData_FracWETIrrigation[Irrigation type i],Table_SourceData_FracWETIrrigation[FracWET])</f>
        <v>1</v>
      </c>
    </row>
    <row r="42" spans="4:7" ht="20.100000000000001" customHeight="1" x14ac:dyDescent="0.25">
      <c r="D42" s="53" t="s">
        <v>189</v>
      </c>
      <c r="E42" s="53" t="str">
        <f>X_Cell_OtherLivestock_Others_Emus_GrazingProductionSystem</f>
        <v>Pasture</v>
      </c>
      <c r="F42" s="53" t="str">
        <f>X_Cell_OtherLivestock_Others_Emus_GrazingIrrigationMethod</f>
        <v>Not irrigated</v>
      </c>
      <c r="G42" s="53">
        <f>Common_InputFunctions.CommonCropping_GetFracWET($I$16,F42,#REF!,#REF!,Table_SourceData_FracWETIrrigation[Irrigation type i],Table_SourceData_FracWETIrrigation[FracWET])</f>
        <v>0</v>
      </c>
    </row>
    <row r="43" spans="4:7" ht="20.100000000000001" customHeight="1" x14ac:dyDescent="0.25"/>
    <row r="44" spans="4:7" ht="20.100000000000001" customHeight="1" x14ac:dyDescent="0.25">
      <c r="D44" s="98" t="s">
        <v>221</v>
      </c>
    </row>
    <row r="45" spans="4:7" ht="20.100000000000001" customHeight="1" x14ac:dyDescent="0.25">
      <c r="D45" s="97" t="s">
        <v>222</v>
      </c>
    </row>
    <row r="46" spans="4:7" ht="20.100000000000001" customHeight="1" x14ac:dyDescent="0.25">
      <c r="D46" s="52" t="s">
        <v>183</v>
      </c>
      <c r="E46" s="52" t="s">
        <v>225</v>
      </c>
    </row>
    <row r="47" spans="4:7" ht="20.100000000000001" customHeight="1" x14ac:dyDescent="0.25">
      <c r="D47" s="53" t="s">
        <v>152</v>
      </c>
      <c r="E47" s="53" cm="1">
        <f t="array" ref="E47">MMS_OtherLivestock_Soil_LeachingAndRunoff.VEERG_4_7_1_7__2_MassOfNitrogenLostToLeachingAndRunoff(E23,G35,$I$15)</f>
        <v>0</v>
      </c>
      <c r="F47" s="2" t="str">
        <f>$E$11</f>
        <v>kg N</v>
      </c>
    </row>
    <row r="48" spans="4:7" ht="20.100000000000001" customHeight="1" x14ac:dyDescent="0.25">
      <c r="D48" s="53" t="s">
        <v>157</v>
      </c>
      <c r="E48" s="53" cm="1">
        <f t="array" ref="E48">MMS_OtherLivestock_Soil_LeachingAndRunoff.VEERG_4_7_1_7__2_MassOfNitrogenLostToLeachingAndRunoff(E24,G36,$I$15)</f>
        <v>0</v>
      </c>
    </row>
    <row r="49" spans="3:11" ht="20.100000000000001" customHeight="1" x14ac:dyDescent="0.25">
      <c r="D49" s="53" t="s">
        <v>164</v>
      </c>
      <c r="E49" s="53" cm="1">
        <f t="array" ref="E49">MMS_OtherLivestock_Soil_LeachingAndRunoff.VEERG_4_7_1_7__2_MassOfNitrogenLostToLeachingAndRunoff(E25,G37,$I$15)</f>
        <v>0</v>
      </c>
    </row>
    <row r="50" spans="3:11" ht="20.100000000000001" customHeight="1" x14ac:dyDescent="0.25">
      <c r="D50" s="53" t="s">
        <v>170</v>
      </c>
      <c r="E50" s="53" cm="1">
        <f t="array" ref="E50">MMS_OtherLivestock_Soil_LeachingAndRunoff.VEERG_4_7_1_7__2_MassOfNitrogenLostToLeachingAndRunoff(E26,G38,$I$15)</f>
        <v>0</v>
      </c>
    </row>
    <row r="51" spans="3:11" ht="20.100000000000001" customHeight="1" x14ac:dyDescent="0.25">
      <c r="D51" s="53" t="s">
        <v>171</v>
      </c>
      <c r="E51" s="53" cm="1">
        <f t="array" ref="E51">MMS_OtherLivestock_Soil_LeachingAndRunoff.VEERG_4_7_1_7__2_MassOfNitrogenLostToLeachingAndRunoff(E27,G39,$I$15)</f>
        <v>61320</v>
      </c>
    </row>
    <row r="52" spans="3:11" ht="20.100000000000001" customHeight="1" x14ac:dyDescent="0.25">
      <c r="D52" s="53" t="s">
        <v>172</v>
      </c>
      <c r="E52" s="53" cm="1">
        <f t="array" ref="E52">MMS_OtherLivestock_Soil_LeachingAndRunoff.VEERG_4_7_1_7__2_MassOfNitrogenLostToLeachingAndRunoff(E28,G40,$I$15)</f>
        <v>0</v>
      </c>
    </row>
    <row r="53" spans="3:11" ht="20.100000000000001" customHeight="1" x14ac:dyDescent="0.25">
      <c r="D53" s="53" t="s">
        <v>188</v>
      </c>
      <c r="E53" s="53" cm="1">
        <f t="array" ref="E53">MMS_OtherLivestock_Soil_LeachingAndRunoff.VEERG_4_7_1_7__2_MassOfNitrogenLostToLeachingAndRunoff(E29,G41,$I$15)</f>
        <v>115632</v>
      </c>
    </row>
    <row r="54" spans="3:11" ht="20.100000000000001" customHeight="1" x14ac:dyDescent="0.25">
      <c r="D54" s="53" t="s">
        <v>189</v>
      </c>
      <c r="E54" s="53" cm="1">
        <f t="array" ref="E54">MMS_OtherLivestock_Soil_LeachingAndRunoff.VEERG_4_7_1_7__2_MassOfNitrogenLostToLeachingAndRunoff(E30,G42,$I$15)</f>
        <v>0</v>
      </c>
    </row>
    <row r="55" spans="3:11" ht="20.100000000000001" customHeight="1" x14ac:dyDescent="0.25"/>
    <row r="56" spans="3:11" ht="20.100000000000001" customHeight="1" x14ac:dyDescent="0.25">
      <c r="D56" s="110" t="s">
        <v>224</v>
      </c>
      <c r="E56" s="48">
        <f>SUM(E47:E54)</f>
        <v>176952</v>
      </c>
      <c r="F56" s="105" t="str">
        <f>$E$11</f>
        <v>kg N</v>
      </c>
    </row>
    <row r="57" spans="3:11" ht="20.100000000000001" customHeight="1" x14ac:dyDescent="0.25"/>
    <row r="58" spans="3:11" ht="20.100000000000001" customHeight="1" x14ac:dyDescent="0.25"/>
    <row r="59" spans="3:11" ht="20.100000000000001" customHeight="1" x14ac:dyDescent="0.25">
      <c r="C59" s="48"/>
      <c r="D59" s="48"/>
      <c r="E59" s="48"/>
      <c r="F59" s="48"/>
      <c r="G59" s="48"/>
      <c r="H59" s="48"/>
      <c r="I59" s="48"/>
      <c r="J59" s="48"/>
      <c r="K59" s="48"/>
    </row>
    <row r="60" spans="3:11" ht="20.100000000000001" customHeight="1" x14ac:dyDescent="0.25">
      <c r="D60" s="6" t="str" cm="1">
        <f t="array" ref="D60">MMS_OtherLivestock_Soil_LeachingAndRunoff.VEERG_4_7_1_7__1_LeachingAndRunoffEmissionsFromPasture_Title()</f>
        <v>Leaching and runoff emissions from urine and dung deposited on pasture</v>
      </c>
    </row>
    <row r="61" spans="3:11" ht="20.100000000000001" customHeight="1" x14ac:dyDescent="0.25">
      <c r="D61" s="5" t="str" cm="1">
        <f t="array" ref="D61">MMS_OtherLivestock_Soil_LeachingAndRunoff.VEERG_4_7_1_7__1_LeachingAndRunoffEmissionsFromPasture_Source()</f>
        <v>VEERG 2026: 4.7.1.7, Equation (1)</v>
      </c>
    </row>
    <row r="62" spans="3:11" ht="20.100000000000001" customHeight="1" x14ac:dyDescent="0.25">
      <c r="D62" s="13" t="s">
        <v>23</v>
      </c>
      <c r="E62" s="13" t="str" cm="1">
        <f t="array" aca="1" ref="E62" ca="1">Common_InputFunctions.Utility_DisplayFunctionName(E72)</f>
        <v>=MMS_OtherLivestock_Soil_LeachingAndRunoff.VEERG_4_7_1_7__1_LeachingAndRunoffEmissionsFromPasture</v>
      </c>
    </row>
    <row r="63" spans="3:11" ht="20.100000000000001" customHeight="1" x14ac:dyDescent="0.25"/>
    <row r="64" spans="3:11" ht="20.100000000000001" customHeight="1" x14ac:dyDescent="0.25"/>
    <row r="65" spans="4:9" ht="20.100000000000001" customHeight="1" x14ac:dyDescent="0.25">
      <c r="D65" s="54" t="s">
        <v>26</v>
      </c>
      <c r="E65" s="1" t="str" cm="1">
        <f t="array" ref="E65">MMS_OtherLivestock_Soil_LeachingAndRunoff.VEERG_4_7_1_7__1_LeachingAndRunoffEmissionsFromPasture_Variable()</f>
        <v>E_N2Oleach</v>
      </c>
    </row>
    <row r="66" spans="4:9" ht="20.100000000000001" customHeight="1" x14ac:dyDescent="0.25">
      <c r="D66" s="54" t="s">
        <v>16</v>
      </c>
      <c r="E66" s="1" t="str" cm="1">
        <f t="array" ref="E66">MMS_OtherLivestock_Soil_LeachingAndRunoff.VEERG_4_7_1_7__1_LeachingAndRunoffEmissionsFromPasture_Unit()</f>
        <v>t N2O</v>
      </c>
    </row>
    <row r="67" spans="4:9" ht="20.100000000000001" customHeight="1" x14ac:dyDescent="0.25"/>
    <row r="68" spans="4:9" ht="20.100000000000001" customHeight="1" x14ac:dyDescent="0.25">
      <c r="D68" s="117" t="str" cm="1">
        <f t="array" ref="D68:E70">_xlfn.CHOOSECOLS(MMS_OtherLivestock_Soil_LeachingAndRunoff.VEERG_4_7_1_7__1_LeachingAndRunoffEmissionsFromPasture_Arguments(),1,2)</f>
        <v>M_leach</v>
      </c>
      <c r="E68" s="120" t="str">
        <v>mass of nitrogen lost to leaching and runoff</v>
      </c>
      <c r="F68" s="119"/>
      <c r="G68" s="117" t="str" cm="1">
        <f t="array" ref="G68:H70">_xlfn.CHOOSECOLS(MMS_OtherLivestock_Soil_LeachingAndRunoff.VEERG_4_7_1_7__1_LeachingAndRunoffEmissionsFromPasture_Arguments(),3,4)</f>
        <v>kg N</v>
      </c>
      <c r="H68" s="116" t="str">
        <v>Calculated from 4.7.1.7, (2)</v>
      </c>
      <c r="I68" s="117">
        <f>E56</f>
        <v>176952</v>
      </c>
    </row>
    <row r="69" spans="4:9" ht="20.100000000000001" customHeight="1" x14ac:dyDescent="0.25">
      <c r="D69" s="117" t="str">
        <v>EF_leach</v>
      </c>
      <c r="E69" s="120" t="str">
        <v>emission factor for leaching and runoff</v>
      </c>
      <c r="F69" s="119"/>
      <c r="G69" s="117" t="str">
        <v>kg N2O-N/kg N</v>
      </c>
      <c r="H69" s="116" t="str">
        <v>Constant</v>
      </c>
      <c r="I69" s="117">
        <f>'Constants - Common'!$E$170</f>
        <v>1.0999999999999999E-2</v>
      </c>
    </row>
    <row r="70" spans="4:9" ht="20.100000000000001" customHeight="1" x14ac:dyDescent="0.25">
      <c r="D70" s="117" t="str">
        <v>C_N2O</v>
      </c>
      <c r="E70" s="120" t="str">
        <v>factor to convert elemental mass of nitrous oxide to molecular mass</v>
      </c>
      <c r="F70" s="119"/>
      <c r="G70" s="117" t="str">
        <v/>
      </c>
      <c r="H70" s="116" t="str">
        <v>Constant</v>
      </c>
      <c r="I70" s="117">
        <f>Common_InputFunctions.Utility_LookupValueInTableNumber("N2O",Table_GasToMolecularConversionFactor[Gas],Table_GasToMolecularConversionFactor[Conversion factor combined])</f>
        <v>1.5714285714285714</v>
      </c>
    </row>
    <row r="71" spans="4:9" ht="20.100000000000001" customHeight="1" x14ac:dyDescent="0.25"/>
    <row r="72" spans="4:9" ht="20.100000000000001" customHeight="1" x14ac:dyDescent="0.25">
      <c r="D72" s="101" t="s">
        <v>223</v>
      </c>
      <c r="E72" s="102" cm="1">
        <f t="array" ref="E72">MMS_OtherLivestock_Soil_LeachingAndRunoff.VEERG_4_7_1_7__1_LeachingAndRunoffEmissionsFromPasture(I68,I69,I70)</f>
        <v>3.0587417142857145</v>
      </c>
      <c r="F72" s="103" t="str">
        <f>E66</f>
        <v>t N2O</v>
      </c>
    </row>
    <row r="73" spans="4:9" ht="20.100000000000001" customHeight="1" x14ac:dyDescent="0.25"/>
    <row r="74" spans="4:9" ht="20.100000000000001" customHeight="1" x14ac:dyDescent="0.25">
      <c r="D74" s="58" t="str" cm="1">
        <f t="array" ref="D74:E75">Common_Equations.Common_ConvertN2OToCO2e_Arguments()</f>
        <v>EN2O</v>
      </c>
      <c r="E74" s="59" t="str">
        <v>Nitrous oxide emissions (t N2O)</v>
      </c>
      <c r="F74" s="104"/>
      <c r="G74" s="53">
        <f>E72</f>
        <v>3.0587417142857145</v>
      </c>
    </row>
    <row r="75" spans="4:9" ht="20.100000000000001" customHeight="1" x14ac:dyDescent="0.25">
      <c r="D75" s="58" t="str">
        <v>GWPN2O</v>
      </c>
      <c r="E75" s="59" t="str">
        <v>Global warming potential for nitrous oxide (t CO2-e / t N2O)</v>
      </c>
      <c r="F75" s="104"/>
      <c r="G75" s="53">
        <f>Common_InputFunctions.Utility_LookupValueInTableNumber("N2O",Table_GWPData[Gas],Table_GWPData[CO2-e factor])</f>
        <v>265</v>
      </c>
    </row>
    <row r="76" spans="4:9" ht="20.100000000000001" customHeight="1" x14ac:dyDescent="0.25"/>
    <row r="77" spans="4:9" ht="20.100000000000001" customHeight="1" x14ac:dyDescent="0.25">
      <c r="D77" s="48" t="s">
        <v>88</v>
      </c>
      <c r="E77" s="48" cm="1">
        <f t="array" ref="E77">Common_Equations.Common_ConvertN2OToCO2e(G74,G75)</f>
        <v>810.56655428571435</v>
      </c>
      <c r="F77" s="105" t="str" cm="1">
        <f t="array" ref="F77">Common_Equations.Common_ConvertN2OToCO2e_Unit()</f>
        <v>t CO2e</v>
      </c>
    </row>
    <row r="78" spans="4:9" ht="20.100000000000001" customHeight="1" x14ac:dyDescent="0.25"/>
    <row r="79" spans="4:9" ht="20.100000000000001" customHeight="1" x14ac:dyDescent="0.25"/>
    <row r="80" spans="4:9"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2CC044EF-4F59-4FC5-A5F1-66297A068BCA}"/>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U288"/>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1"/>
    </row>
    <row r="5" spans="1:21" ht="20.100000000000001" customHeight="1" x14ac:dyDescent="0.25">
      <c r="A5" s="17" t="str">
        <f>HYPERLINK("#'Results'!A1", "Results")</f>
        <v>Results</v>
      </c>
      <c r="D5" s="6" t="str" cm="1">
        <f t="array" ref="D5">SourceData_OtherLivestock.SourceData_OtherLivestock_EntericFermentationEmissionFactor_Title()</f>
        <v>Other Livestock - Enteric fermentation emission factor for each other livestock type</v>
      </c>
      <c r="M5" s="1"/>
    </row>
    <row r="6" spans="1:21" ht="20.100000000000001" customHeight="1" x14ac:dyDescent="0.25">
      <c r="A6" s="16"/>
      <c r="D6" s="5" t="str" cm="1">
        <f t="array" ref="D6">SourceData_OtherLivestock.SourceData_OtherLivestock_EntericFermentationEmissionFactor_Source()</f>
        <v>VEERG 2026: Table A.1.5.1</v>
      </c>
      <c r="M6" s="1"/>
    </row>
    <row r="7" spans="1:21" ht="20.100000000000001" customHeight="1" x14ac:dyDescent="0.25">
      <c r="A7" s="20" t="s">
        <v>1</v>
      </c>
      <c r="D7" s="1" t="str" cm="1">
        <f t="array" ref="D7">SourceData_OtherLivestock.SourceData_OtherLivestock_EntericFermentationEmissionFactor_Variable()</f>
        <v>Mj</v>
      </c>
      <c r="M7" s="1"/>
    </row>
    <row r="8" spans="1:21" ht="20.100000000000001" customHeight="1" x14ac:dyDescent="0.25">
      <c r="A8" s="17" t="str">
        <f>HYPERLINK("#'Input - Site'!A1", "Site")</f>
        <v>Site</v>
      </c>
      <c r="D8" s="55" t="str" cm="1">
        <f t="array" ref="D8">SourceData_OtherLivestock.SourceData_OtherLivestock_EntericFermentationEmissionFactor_Unit()</f>
        <v>kg CH4 / head / year</v>
      </c>
      <c r="M8" s="1"/>
    </row>
    <row r="9" spans="1:21" ht="20.100000000000001" customHeight="1" x14ac:dyDescent="0.25">
      <c r="A9" s="17" t="str">
        <f>HYPERLINK("#'Input - Other Livestock'!A1", "Other Livestock")</f>
        <v>Other Livestock</v>
      </c>
      <c r="D9" s="39" t="s">
        <v>141</v>
      </c>
      <c r="E9" s="39" t="s">
        <v>142</v>
      </c>
      <c r="M9" s="1"/>
    </row>
    <row r="10" spans="1:21" ht="20.100000000000001" customHeight="1" x14ac:dyDescent="0.25">
      <c r="A10" s="17"/>
      <c r="D10" s="39" t="str" cm="1">
        <f t="array" ref="D10">Common_InputFunctions.Utility_DisplayArrayInTable(SourceData_OtherLivestock.SourceData_OtherLivestock_EntericFermentationEmissionFactor_Data(),Table_SourceData_OtherLivestock_EntericEF[[#Headers],[Other livestock type]],0)</f>
        <v>Buffalo</v>
      </c>
      <c r="E10" s="39" cm="1">
        <f t="array" ref="E10">Common_InputFunctions.Utility_DisplayArrayInTable(SourceData_OtherLivestock.SourceData_OtherLivestock_EntericFermentationEmissionFactor_Data(),Table_SourceData_OtherLivestock_EntericEF[[#Headers],[Other livestock type]],0)</f>
        <v>68</v>
      </c>
      <c r="M10" s="1"/>
    </row>
    <row r="11" spans="1:21" ht="20.100000000000001" customHeight="1" x14ac:dyDescent="0.25">
      <c r="A11" s="19" t="s">
        <v>71</v>
      </c>
      <c r="D11" s="1" t="str" cm="1">
        <f t="array" ref="D11">Common_InputFunctions.Utility_DisplayArrayInTable(SourceData_OtherLivestock.SourceData_OtherLivestock_EntericFermentationEmissionFactor_Data(),Table_SourceData_OtherLivestock_EntericEF[[#Headers],[Other livestock type]],0)</f>
        <v>Goats</v>
      </c>
      <c r="E11" s="39" cm="1">
        <f t="array" ref="E11">Common_InputFunctions.Utility_DisplayArrayInTable(SourceData_OtherLivestock.SourceData_OtherLivestock_EntericFermentationEmissionFactor_Data(),Table_SourceData_OtherLivestock_EntericEF[[#Headers],[Other livestock type]],0)</f>
        <v>5</v>
      </c>
      <c r="M11" s="1"/>
    </row>
    <row r="12" spans="1:21" ht="20.100000000000001" customHeight="1" x14ac:dyDescent="0.25">
      <c r="A12" s="17" t="str">
        <f>HYPERLINK("#'4.7.1.1-2 Manure Methane'!A1", "4.7.1.1-2 Methane")</f>
        <v>4.7.1.1-2 Methane</v>
      </c>
      <c r="D12" s="1" t="str" cm="1">
        <f t="array" ref="D12">Common_InputFunctions.Utility_DisplayArrayInTable(SourceData_OtherLivestock.SourceData_OtherLivestock_EntericFermentationEmissionFactor_Data(),Table_SourceData_OtherLivestock_EntericEF[[#Headers],[Other livestock type]],0)</f>
        <v>Deer</v>
      </c>
      <c r="E12" s="39" cm="1">
        <f t="array" ref="E12">Common_InputFunctions.Utility_DisplayArrayInTable(SourceData_OtherLivestock.SourceData_OtherLivestock_EntericFermentationEmissionFactor_Data(),Table_SourceData_OtherLivestock_EntericEF[[#Headers],[Other livestock type]],0)</f>
        <v>20</v>
      </c>
      <c r="M12" s="1"/>
    </row>
    <row r="13" spans="1:21" ht="20.100000000000001" customHeight="1" x14ac:dyDescent="0.25">
      <c r="A13" s="17" t="str">
        <f>HYPERLINK("#'4.7.1.3-4 Soil Direct N2O'!A1", "4.7.1.3-4 Soil Direct N2O")</f>
        <v>4.7.1.3-4 Soil Direct N2O</v>
      </c>
      <c r="D13" s="1" t="str" cm="1">
        <f t="array" ref="D13">Common_InputFunctions.Utility_DisplayArrayInTable(SourceData_OtherLivestock.SourceData_OtherLivestock_EntericFermentationEmissionFactor_Data(),Table_SourceData_OtherLivestock_EntericEF[[#Headers],[Other livestock type]],0)</f>
        <v>Camels</v>
      </c>
      <c r="E13" s="39" cm="1">
        <f t="array" ref="E13">Common_InputFunctions.Utility_DisplayArrayInTable(SourceData_OtherLivestock.SourceData_OtherLivestock_EntericFermentationEmissionFactor_Data(),Table_SourceData_OtherLivestock_EntericEF[[#Headers],[Other livestock type]],0)</f>
        <v>46</v>
      </c>
      <c r="M13" s="1"/>
    </row>
    <row r="14" spans="1:21" ht="20.100000000000001" customHeight="1" x14ac:dyDescent="0.25">
      <c r="A14" s="17" t="str">
        <f>HYPERLINK("#'4.7.1.5-6 Soil Atmos Deposition'!A1", "4.7.1.5-6 Soil Atmos deposition")</f>
        <v>4.7.1.5-6 Soil Atmos deposition</v>
      </c>
      <c r="D14" s="1" t="str" cm="1">
        <f t="array" ref="D14">Common_InputFunctions.Utility_DisplayArrayInTable(SourceData_OtherLivestock.SourceData_OtherLivestock_EntericFermentationEmissionFactor_Data(),Table_SourceData_OtherLivestock_EntericEF[[#Headers],[Other livestock type]],0)</f>
        <v>Alpacas</v>
      </c>
      <c r="E14" s="39" cm="1">
        <f t="array" ref="E14">Common_InputFunctions.Utility_DisplayArrayInTable(SourceData_OtherLivestock.SourceData_OtherLivestock_EntericFermentationEmissionFactor_Data(),Table_SourceData_OtherLivestock_EntericEF[[#Headers],[Other livestock type]],0)</f>
        <v>8</v>
      </c>
      <c r="M14" s="1"/>
    </row>
    <row r="15" spans="1:21" ht="20.100000000000001" customHeight="1" x14ac:dyDescent="0.25">
      <c r="A15" s="17" t="str">
        <f>HYPERLINK("#'4.7.1.7-8 Soil Leaching Runoff'!A1", "4.7.1.8-9 Soil Leaching &amp; Runoff")</f>
        <v>4.7.1.8-9 Soil Leaching &amp; Runoff</v>
      </c>
      <c r="D15" s="1" t="str" cm="1">
        <f t="array" ref="D15">Common_InputFunctions.Utility_DisplayArrayInTable(SourceData_OtherLivestock.SourceData_OtherLivestock_EntericFermentationEmissionFactor_Data(),Table_SourceData_OtherLivestock_EntericEF[[#Headers],[Other livestock type]],0)</f>
        <v>Horses</v>
      </c>
      <c r="E15" s="39" cm="1">
        <f t="array" ref="E15">Common_InputFunctions.Utility_DisplayArrayInTable(SourceData_OtherLivestock.SourceData_OtherLivestock_EntericFermentationEmissionFactor_Data(),Table_SourceData_OtherLivestock_EntericEF[[#Headers],[Other livestock type]],0)</f>
        <v>18</v>
      </c>
      <c r="M15" s="1"/>
    </row>
    <row r="16" spans="1:21" ht="20.100000000000001" customHeight="1" x14ac:dyDescent="0.25">
      <c r="D16" s="1" t="str" cm="1">
        <f t="array" ref="D16">Common_InputFunctions.Utility_DisplayArrayInTable(SourceData_OtherLivestock.SourceData_OtherLivestock_EntericFermentationEmissionFactor_Data(),Table_SourceData_OtherLivestock_EntericEF[[#Headers],[Other livestock type]],0)</f>
        <v>Mules/asses</v>
      </c>
      <c r="E16" s="39" cm="1">
        <f t="array" ref="E16">Common_InputFunctions.Utility_DisplayArrayInTable(SourceData_OtherLivestock.SourceData_OtherLivestock_EntericFermentationEmissionFactor_Data(),Table_SourceData_OtherLivestock_EntericEF[[#Headers],[Other livestock type]],0)</f>
        <v>10</v>
      </c>
      <c r="M16" s="1"/>
    </row>
    <row r="17" spans="1:13" ht="20.100000000000001" customHeight="1" x14ac:dyDescent="0.25">
      <c r="A17" s="18" t="s">
        <v>2</v>
      </c>
      <c r="D17" s="1" t="str" cm="1">
        <f t="array" ref="D17">Common_InputFunctions.Utility_DisplayArrayInTable(SourceData_OtherLivestock.SourceData_OtherLivestock_EntericFermentationEmissionFactor_Data(),Table_SourceData_OtherLivestock_EntericEF[[#Headers],[Other livestock type]],0)</f>
        <v>Emus/ostriches</v>
      </c>
      <c r="E17" s="39" cm="1">
        <f t="array" ref="E17">Common_InputFunctions.Utility_DisplayArrayInTable(SourceData_OtherLivestock.SourceData_OtherLivestock_EntericFermentationEmissionFactor_Data(),Table_SourceData_OtherLivestock_EntericEF[[#Headers],[Other livestock type]],0)</f>
        <v>5</v>
      </c>
      <c r="M17" s="1"/>
    </row>
    <row r="18" spans="1:13" ht="20.100000000000001" customHeight="1" x14ac:dyDescent="0.25">
      <c r="A18" s="68" t="str">
        <f>HYPERLINK("#'Constants - Other Livestock'!A1", "Constants - Other Livestock")</f>
        <v>Constants - Other Livestock</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SourceData_OtherLivestock.SourceData_OtherLivestock_VolatileSolidsProduced_Title()</f>
        <v>Other Livestock - Volatile solids produced by each other livestock type</v>
      </c>
      <c r="M20" s="1"/>
    </row>
    <row r="21" spans="1:13" ht="20.100000000000001" customHeight="1" x14ac:dyDescent="0.25">
      <c r="A21" s="17" t="str">
        <f>HYPERLINK("#'Acknowledgements'!A1", "Acknowledgements")</f>
        <v>Acknowledgements</v>
      </c>
      <c r="D21" s="5" t="str" cm="1">
        <f t="array" ref="D21">SourceData_OtherLivestock.SourceData_OtherLivestock_VolatileSolidsProduced_Source()</f>
        <v>VEERG 2026: Table A.1.5.2</v>
      </c>
      <c r="M21" s="1"/>
    </row>
    <row r="22" spans="1:13" ht="20.100000000000001" customHeight="1" x14ac:dyDescent="0.25">
      <c r="D22" s="1" t="str" cm="1">
        <f t="array" ref="D22">SourceData_OtherLivestock.SourceData_OtherLivestock_VolatileSolidsProduced_Variable()</f>
        <v>VSj</v>
      </c>
      <c r="M22" s="1"/>
    </row>
    <row r="23" spans="1:13" ht="20.100000000000001" customHeight="1" x14ac:dyDescent="0.25">
      <c r="D23" s="55" t="str" cm="1">
        <f t="array" ref="D23">SourceData_OtherLivestock.SourceData_OtherLivestock_VolatileSolidsProduced_Unit()</f>
        <v>kg VS / head / day</v>
      </c>
      <c r="M23" s="1"/>
    </row>
    <row r="24" spans="1:13" ht="20.100000000000001" customHeight="1" x14ac:dyDescent="0.25">
      <c r="A24" s="17"/>
      <c r="D24" s="39" t="s">
        <v>141</v>
      </c>
      <c r="E24" s="39" t="s">
        <v>143</v>
      </c>
      <c r="M24" s="1"/>
    </row>
    <row r="25" spans="1:13" ht="20.100000000000001" customHeight="1" x14ac:dyDescent="0.25">
      <c r="D25" s="39" t="str" cm="1">
        <f t="array" ref="D25">Common_InputFunctions.Utility_DisplayArrayInTable(SourceData_OtherLivestock.SourceData_OtherLivestock_VolatileSolidsProduced_Data(),Table_SourceData_OtherLivestock_VolatileSolids[[#Headers],[Other livestock type]],0)</f>
        <v>Buffalo</v>
      </c>
      <c r="E25" s="39" cm="1">
        <f t="array" ref="E25">Common_InputFunctions.Utility_DisplayArrayInTable(SourceData_OtherLivestock.SourceData_OtherLivestock_VolatileSolidsProduced_Data(),Table_SourceData_OtherLivestock_VolatileSolids[[#Headers],[Other livestock type]],0)</f>
        <v>2.73</v>
      </c>
      <c r="M25" s="1"/>
    </row>
    <row r="26" spans="1:13" ht="20.100000000000001" customHeight="1" x14ac:dyDescent="0.25">
      <c r="D26" s="39" t="str" cm="1">
        <f t="array" ref="D26">Common_InputFunctions.Utility_DisplayArrayInTable(SourceData_OtherLivestock.SourceData_OtherLivestock_VolatileSolidsProduced_Data(),Table_SourceData_OtherLivestock_VolatileSolids[[#Headers],[Other livestock type]],0)</f>
        <v>Goats</v>
      </c>
      <c r="E26" s="39" cm="1">
        <f t="array" ref="E26">Common_InputFunctions.Utility_DisplayArrayInTable(SourceData_OtherLivestock.SourceData_OtherLivestock_VolatileSolidsProduced_Data(),Table_SourceData_OtherLivestock_VolatileSolids[[#Headers],[Other livestock type]],0)</f>
        <v>0.34</v>
      </c>
      <c r="M26" s="1"/>
    </row>
    <row r="27" spans="1:13" ht="20.100000000000001" customHeight="1" x14ac:dyDescent="0.25">
      <c r="D27" s="39" t="str" cm="1">
        <f t="array" ref="D27">Common_InputFunctions.Utility_DisplayArrayInTable(SourceData_OtherLivestock.SourceData_OtherLivestock_VolatileSolidsProduced_Data(),Table_SourceData_OtherLivestock_VolatileSolids[[#Headers],[Other livestock type]],0)</f>
        <v>Deer</v>
      </c>
      <c r="E27" s="39" cm="1">
        <f t="array" ref="E27">Common_InputFunctions.Utility_DisplayArrayInTable(SourceData_OtherLivestock.SourceData_OtherLivestock_VolatileSolidsProduced_Data(),Table_SourceData_OtherLivestock_VolatileSolids[[#Headers],[Other livestock type]],0)</f>
        <v>0.91</v>
      </c>
      <c r="M27" s="1"/>
    </row>
    <row r="28" spans="1:13" ht="20.100000000000001" customHeight="1" x14ac:dyDescent="0.25">
      <c r="D28" s="39" t="str" cm="1">
        <f t="array" ref="D28">Common_InputFunctions.Utility_DisplayArrayInTable(SourceData_OtherLivestock.SourceData_OtherLivestock_VolatileSolidsProduced_Data(),Table_SourceData_OtherLivestock_VolatileSolids[[#Headers],[Other livestock type]],0)</f>
        <v>Camels</v>
      </c>
      <c r="E28" s="39" cm="1">
        <f t="array" ref="E28">Common_InputFunctions.Utility_DisplayArrayInTable(SourceData_OtherLivestock.SourceData_OtherLivestock_VolatileSolidsProduced_Data(),Table_SourceData_OtherLivestock_VolatileSolids[[#Headers],[Other livestock type]],0)</f>
        <v>2.73</v>
      </c>
      <c r="M28" s="1"/>
    </row>
    <row r="29" spans="1:13" ht="20.100000000000001" customHeight="1" x14ac:dyDescent="0.25">
      <c r="D29" s="39" t="str" cm="1">
        <f t="array" ref="D29">Common_InputFunctions.Utility_DisplayArrayInTable(SourceData_OtherLivestock.SourceData_OtherLivestock_VolatileSolidsProduced_Data(),Table_SourceData_OtherLivestock_VolatileSolids[[#Headers],[Other livestock type]],0)</f>
        <v>Alpacas</v>
      </c>
      <c r="E29" s="39" cm="1">
        <f t="array" ref="E29">Common_InputFunctions.Utility_DisplayArrayInTable(SourceData_OtherLivestock.SourceData_OtherLivestock_VolatileSolidsProduced_Data(),Table_SourceData_OtherLivestock_VolatileSolids[[#Headers],[Other livestock type]],0)</f>
        <v>0.34</v>
      </c>
      <c r="M29" s="1"/>
    </row>
    <row r="30" spans="1:13" ht="20.100000000000001" customHeight="1" x14ac:dyDescent="0.25">
      <c r="D30" s="39" t="str" cm="1">
        <f t="array" ref="D30">Common_InputFunctions.Utility_DisplayArrayInTable(SourceData_OtherLivestock.SourceData_OtherLivestock_VolatileSolidsProduced_Data(),Table_SourceData_OtherLivestock_VolatileSolids[[#Headers],[Other livestock type]],0)</f>
        <v>Horses</v>
      </c>
      <c r="E30" s="39" cm="1">
        <f t="array" ref="E30">Common_InputFunctions.Utility_DisplayArrayInTable(SourceData_OtherLivestock.SourceData_OtherLivestock_VolatileSolidsProduced_Data(),Table_SourceData_OtherLivestock_VolatileSolids[[#Headers],[Other livestock type]],0)</f>
        <v>2.73</v>
      </c>
      <c r="M30" s="1"/>
    </row>
    <row r="31" spans="1:13" ht="20.100000000000001" customHeight="1" x14ac:dyDescent="0.25">
      <c r="D31" s="39" t="str" cm="1">
        <f t="array" ref="D31">Common_InputFunctions.Utility_DisplayArrayInTable(SourceData_OtherLivestock.SourceData_OtherLivestock_VolatileSolidsProduced_Data(),Table_SourceData_OtherLivestock_VolatileSolids[[#Headers],[Other livestock type]],0)</f>
        <v>Mules/asses</v>
      </c>
      <c r="E31" s="39" cm="1">
        <f t="array" ref="E31">Common_InputFunctions.Utility_DisplayArrayInTable(SourceData_OtherLivestock.SourceData_OtherLivestock_VolatileSolidsProduced_Data(),Table_SourceData_OtherLivestock_VolatileSolids[[#Headers],[Other livestock type]],0)</f>
        <v>0.91</v>
      </c>
      <c r="M31" s="1"/>
    </row>
    <row r="32" spans="1:13" ht="20.100000000000001" customHeight="1" x14ac:dyDescent="0.25">
      <c r="D32" s="39" t="str" cm="1">
        <f t="array" ref="D32">Common_InputFunctions.Utility_DisplayArrayInTable(SourceData_OtherLivestock.SourceData_OtherLivestock_VolatileSolidsProduced_Data(),Table_SourceData_OtherLivestock_VolatileSolids[[#Headers],[Other livestock type]],0)</f>
        <v>Emus/ostriches</v>
      </c>
      <c r="E32" s="39" cm="1">
        <f t="array" ref="E32">Common_InputFunctions.Utility_DisplayArrayInTable(SourceData_OtherLivestock.SourceData_OtherLivestock_VolatileSolidsProduced_Data(),Table_SourceData_OtherLivestock_VolatileSolids[[#Headers],[Other livestock type]],0)</f>
        <v>0.34</v>
      </c>
      <c r="M32" s="1"/>
    </row>
    <row r="33" spans="4:13" ht="20.100000000000001" customHeight="1" x14ac:dyDescent="0.25">
      <c r="M33" s="1"/>
    </row>
    <row r="34" spans="4:13" ht="20.100000000000001" customHeight="1" x14ac:dyDescent="0.25">
      <c r="M34" s="1"/>
    </row>
    <row r="35" spans="4:13" ht="20.100000000000001" customHeight="1" x14ac:dyDescent="0.25">
      <c r="D35" s="6" t="str" cm="1">
        <f t="array" ref="D35">SourceData_OtherLivestock.SourceData_OtherLivestock_NitrogenExcreted_Title()</f>
        <v>Other Livestock - Nitrogen excreted per livestock type</v>
      </c>
      <c r="M35" s="1"/>
    </row>
    <row r="36" spans="4:13" ht="20.100000000000001" customHeight="1" x14ac:dyDescent="0.25">
      <c r="D36" s="5" t="str" cm="1">
        <f t="array" ref="D36">SourceData_OtherLivestock.SourceData_OtherLivestock_NitrogenExcreted_Source()</f>
        <v>VEERG 2026: Table A.1.5.3</v>
      </c>
      <c r="M36" s="1"/>
    </row>
    <row r="37" spans="4:13" ht="20.100000000000001" customHeight="1" x14ac:dyDescent="0.25">
      <c r="D37" s="1" t="str" cm="1">
        <f t="array" ref="D37">SourceData_OtherLivestock.SourceData_OtherLivestock_NitrogenExcreted_Variable()</f>
        <v>NEj</v>
      </c>
      <c r="M37" s="1"/>
    </row>
    <row r="38" spans="4:13" ht="20.100000000000001" customHeight="1" x14ac:dyDescent="0.25">
      <c r="D38" s="55" t="str" cm="1">
        <f t="array" ref="D38">SourceData_OtherLivestock.SourceData_OtherLivestock_NitrogenExcreted_Unit()</f>
        <v>kg N2O / head / year</v>
      </c>
      <c r="M38" s="1"/>
    </row>
    <row r="39" spans="4:13" ht="20.100000000000001" customHeight="1" x14ac:dyDescent="0.25">
      <c r="D39" s="39" t="s">
        <v>141</v>
      </c>
      <c r="E39" s="39" t="s">
        <v>144</v>
      </c>
      <c r="M39" s="1"/>
    </row>
    <row r="40" spans="4:13" ht="20.100000000000001" customHeight="1" x14ac:dyDescent="0.25">
      <c r="D40" s="39" t="str" cm="1">
        <f t="array" ref="D40">Common_InputFunctions.Utility_DisplayArrayInTable(SourceData_OtherLivestock.SourceData_OtherLivestock_NitrogenExcreted_Data(),Table_SourceData_OtherLivestock_NitrogenExcreted[[#Headers],[Other livestock type]],0)</f>
        <v>Buffalo</v>
      </c>
      <c r="E40" s="39" cm="1">
        <f t="array" ref="E40">Common_InputFunctions.Utility_DisplayArrayInTable(SourceData_OtherLivestock.SourceData_OtherLivestock_NitrogenExcreted_Data(),Table_SourceData_OtherLivestock_NitrogenExcreted[[#Headers],[Other livestock type]],0)</f>
        <v>39.5</v>
      </c>
      <c r="M40" s="1"/>
    </row>
    <row r="41" spans="4:13" ht="20.100000000000001" customHeight="1" x14ac:dyDescent="0.25">
      <c r="D41" s="39" t="str" cm="1">
        <f t="array" ref="D41">Common_InputFunctions.Utility_DisplayArrayInTable(SourceData_OtherLivestock.SourceData_OtherLivestock_NitrogenExcreted_Data(),Table_SourceData_OtherLivestock_NitrogenExcreted[[#Headers],[Other livestock type]],0)</f>
        <v>Goats</v>
      </c>
      <c r="E41" s="39" cm="1">
        <f t="array" ref="E41">Common_InputFunctions.Utility_DisplayArrayInTable(SourceData_OtherLivestock.SourceData_OtherLivestock_NitrogenExcreted_Data(),Table_SourceData_OtherLivestock_NitrogenExcreted[[#Headers],[Other livestock type]],0)</f>
        <v>7</v>
      </c>
      <c r="M41" s="1"/>
    </row>
    <row r="42" spans="4:13" ht="20.100000000000001" customHeight="1" x14ac:dyDescent="0.25">
      <c r="D42" s="39" t="str" cm="1">
        <f t="array" ref="D42">Common_InputFunctions.Utility_DisplayArrayInTable(SourceData_OtherLivestock.SourceData_OtherLivestock_NitrogenExcreted_Data(),Table_SourceData_OtherLivestock_NitrogenExcreted[[#Headers],[Other livestock type]],0)</f>
        <v>Deer</v>
      </c>
      <c r="E42" s="39" cm="1">
        <f t="array" ref="E42">Common_InputFunctions.Utility_DisplayArrayInTable(SourceData_OtherLivestock.SourceData_OtherLivestock_NitrogenExcreted_Data(),Table_SourceData_OtherLivestock_NitrogenExcreted[[#Headers],[Other livestock type]],0)</f>
        <v>13.2</v>
      </c>
      <c r="M42" s="1"/>
    </row>
    <row r="43" spans="4:13" ht="20.100000000000001" customHeight="1" x14ac:dyDescent="0.25">
      <c r="D43" s="39" t="str" cm="1">
        <f t="array" ref="D43">Common_InputFunctions.Utility_DisplayArrayInTable(SourceData_OtherLivestock.SourceData_OtherLivestock_NitrogenExcreted_Data(),Table_SourceData_OtherLivestock_NitrogenExcreted[[#Headers],[Other livestock type]],0)</f>
        <v>Camels</v>
      </c>
      <c r="E43" s="39" cm="1">
        <f t="array" ref="E43">Common_InputFunctions.Utility_DisplayArrayInTable(SourceData_OtherLivestock.SourceData_OtherLivestock_NitrogenExcreted_Data(),Table_SourceData_OtherLivestock_NitrogenExcreted[[#Headers],[Other livestock type]],0)</f>
        <v>39.5</v>
      </c>
      <c r="M43" s="1"/>
    </row>
    <row r="44" spans="4:13" ht="20.100000000000001" customHeight="1" x14ac:dyDescent="0.25">
      <c r="D44" s="39" t="str" cm="1">
        <f t="array" ref="D44">Common_InputFunctions.Utility_DisplayArrayInTable(SourceData_OtherLivestock.SourceData_OtherLivestock_NitrogenExcreted_Data(),Table_SourceData_OtherLivestock_NitrogenExcreted[[#Headers],[Other livestock type]],0)</f>
        <v>Alpacas</v>
      </c>
      <c r="E44" s="39" cm="1">
        <f t="array" ref="E44">Common_InputFunctions.Utility_DisplayArrayInTable(SourceData_OtherLivestock.SourceData_OtherLivestock_NitrogenExcreted_Data(),Table_SourceData_OtherLivestock_NitrogenExcreted[[#Headers],[Other livestock type]],0)</f>
        <v>7</v>
      </c>
      <c r="M44" s="1"/>
    </row>
    <row r="45" spans="4:13" ht="20.100000000000001" customHeight="1" x14ac:dyDescent="0.25">
      <c r="D45" s="39" t="str" cm="1">
        <f t="array" ref="D45">Common_InputFunctions.Utility_DisplayArrayInTable(SourceData_OtherLivestock.SourceData_OtherLivestock_NitrogenExcreted_Data(),Table_SourceData_OtherLivestock_NitrogenExcreted[[#Headers],[Other livestock type]],0)</f>
        <v>Horses</v>
      </c>
      <c r="E45" s="39" cm="1">
        <f t="array" ref="E45">Common_InputFunctions.Utility_DisplayArrayInTable(SourceData_OtherLivestock.SourceData_OtherLivestock_NitrogenExcreted_Data(),Table_SourceData_OtherLivestock_NitrogenExcreted[[#Headers],[Other livestock type]],0)</f>
        <v>39.5</v>
      </c>
      <c r="M45" s="1"/>
    </row>
    <row r="46" spans="4:13" ht="20.100000000000001" customHeight="1" x14ac:dyDescent="0.25">
      <c r="D46" s="39" t="str" cm="1">
        <f t="array" ref="D46">Common_InputFunctions.Utility_DisplayArrayInTable(SourceData_OtherLivestock.SourceData_OtherLivestock_NitrogenExcreted_Data(),Table_SourceData_OtherLivestock_NitrogenExcreted[[#Headers],[Other livestock type]],0)</f>
        <v>Mules/asses</v>
      </c>
      <c r="E46" s="39" cm="1">
        <f t="array" ref="E46">Common_InputFunctions.Utility_DisplayArrayInTable(SourceData_OtherLivestock.SourceData_OtherLivestock_NitrogenExcreted_Data(),Table_SourceData_OtherLivestock_NitrogenExcreted[[#Headers],[Other livestock type]],0)</f>
        <v>13.2</v>
      </c>
      <c r="M46" s="1"/>
    </row>
    <row r="47" spans="4:13" ht="20.100000000000001" customHeight="1" x14ac:dyDescent="0.25">
      <c r="D47" s="39" t="str" cm="1">
        <f t="array" ref="D47">Common_InputFunctions.Utility_DisplayArrayInTable(SourceData_OtherLivestock.SourceData_OtherLivestock_NitrogenExcreted_Data(),Table_SourceData_OtherLivestock_NitrogenExcreted[[#Headers],[Other livestock type]],0)</f>
        <v>Emus/ostriches</v>
      </c>
      <c r="E47" s="39" cm="1">
        <f t="array" ref="E47">Common_InputFunctions.Utility_DisplayArrayInTable(SourceData_OtherLivestock.SourceData_OtherLivestock_NitrogenExcreted_Data(),Table_SourceData_OtherLivestock_NitrogenExcreted[[#Headers],[Other livestock type]],0)</f>
        <v>7</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SourceData_OtherLivestock.SourceData_OtherLivestock_AverageLiveweight_Title()</f>
        <v>Other Livestock - Average Liveweights</v>
      </c>
      <c r="M50" s="1"/>
    </row>
    <row r="51" spans="4:13" ht="20.100000000000001" customHeight="1" x14ac:dyDescent="0.25">
      <c r="D51" s="5" t="str" cm="1">
        <f t="array" ref="D51">SourceData_OtherLivestock.SourceData_OtherLivestock_AverageLiveweight_Source()</f>
        <v>VEERG 2026: Table A.1.5.4</v>
      </c>
      <c r="M51" s="1"/>
    </row>
    <row r="52" spans="4:13" ht="20.100000000000001" customHeight="1" x14ac:dyDescent="0.25">
      <c r="D52" s="1" t="str" cm="1">
        <f t="array" ref="D52">SourceData_OtherLivestock.SourceData_OtherLivestock_AverageLiveweight_Variable()</f>
        <v>Wco</v>
      </c>
      <c r="M52" s="1"/>
    </row>
    <row r="53" spans="4:13" ht="20.100000000000001" customHeight="1" x14ac:dyDescent="0.25">
      <c r="D53" s="55" t="str" cm="1">
        <f t="array" ref="D53">SourceData_OtherLivestock.SourceData_OtherLivestock_AverageLiveweight_Unit()</f>
        <v>kg</v>
      </c>
      <c r="M53" s="1"/>
    </row>
    <row r="54" spans="4:13" ht="20.100000000000001" customHeight="1" x14ac:dyDescent="0.25">
      <c r="D54" s="39" t="s">
        <v>141</v>
      </c>
      <c r="E54" s="39" t="s">
        <v>145</v>
      </c>
      <c r="F54" s="39" t="s">
        <v>146</v>
      </c>
      <c r="M54" s="1"/>
    </row>
    <row r="55" spans="4:13" ht="20.100000000000001" customHeight="1" x14ac:dyDescent="0.25">
      <c r="D55" s="39" t="str" cm="1">
        <f t="array" ref="D55">Common_InputFunctions.Utility_DisplayArrayInTable(SourceData_OtherLivestock.SourceData_OtherLivestock_AverageLiveweight_Data(),Table_SourceData_OtherLivestock_AverageLiveweight[[#Headers],[Other livestock type]],0)</f>
        <v>Buffalo</v>
      </c>
      <c r="E55" s="39" cm="1">
        <f t="array" ref="E55">Common_InputFunctions.Utility_DisplayArrayInTable(SourceData_OtherLivestock.SourceData_OtherLivestock_AverageLiveweight_Data(),Table_SourceData_OtherLivestock_AverageLiveweight[[#Headers],[Other livestock type]],0)</f>
        <v>336</v>
      </c>
      <c r="F55" s="39" t="str" cm="1">
        <f t="array" ref="F55">Common_InputFunctions.Utility_DisplayArrayInTable(SourceData_OtherLivestock.SourceData_OtherLivestock_AverageLiveweight_Data(),Table_SourceData_OtherLivestock_AverageLiveweight[[#Headers],[Other livestock type]],0)</f>
        <v>-</v>
      </c>
      <c r="M55" s="1"/>
    </row>
    <row r="56" spans="4:13" ht="20.100000000000001" customHeight="1" x14ac:dyDescent="0.25">
      <c r="D56" s="39" t="str" cm="1">
        <f t="array" ref="D56">Common_InputFunctions.Utility_DisplayArrayInTable(SourceData_OtherLivestock.SourceData_OtherLivestock_AverageLiveweight_Data(),Table_SourceData_OtherLivestock_AverageLiveweight[[#Headers],[Other livestock type]],0)</f>
        <v>Goats</v>
      </c>
      <c r="E56" s="39" cm="1">
        <f t="array" ref="E56">Common_InputFunctions.Utility_DisplayArrayInTable(SourceData_OtherLivestock.SourceData_OtherLivestock_AverageLiveweight_Data(),Table_SourceData_OtherLivestock_AverageLiveweight[[#Headers],[Other livestock type]],0)</f>
        <v>33</v>
      </c>
      <c r="F56" s="39" t="str" cm="1">
        <f t="array" ref="F56">Common_InputFunctions.Utility_DisplayArrayInTable(SourceData_OtherLivestock.SourceData_OtherLivestock_AverageLiveweight_Data(),Table_SourceData_OtherLivestock_AverageLiveweight[[#Headers],[Other livestock type]],0)</f>
        <v>28kg - low productivity systems</v>
      </c>
      <c r="M56" s="1"/>
    </row>
    <row r="57" spans="4:13" ht="20.100000000000001" customHeight="1" x14ac:dyDescent="0.25">
      <c r="D57" s="39" t="str" cm="1">
        <f t="array" ref="D57">Common_InputFunctions.Utility_DisplayArrayInTable(SourceData_OtherLivestock.SourceData_OtherLivestock_AverageLiveweight_Data(),Table_SourceData_OtherLivestock_AverageLiveweight[[#Headers],[Other livestock type]],0)</f>
        <v>Goats</v>
      </c>
      <c r="E57" s="39" cm="1">
        <f t="array" ref="E57">Common_InputFunctions.Utility_DisplayArrayInTable(SourceData_OtherLivestock.SourceData_OtherLivestock_AverageLiveweight_Data(),Table_SourceData_OtherLivestock_AverageLiveweight[[#Headers],[Other livestock type]],0)</f>
        <v>33</v>
      </c>
      <c r="F57" s="39" t="str" cm="1">
        <f t="array" ref="F57">Common_InputFunctions.Utility_DisplayArrayInTable(SourceData_OtherLivestock.SourceData_OtherLivestock_AverageLiveweight_Data(),Table_SourceData_OtherLivestock_AverageLiveweight[[#Headers],[Other livestock type]],0)</f>
        <v>50kg - high productivity systems</v>
      </c>
      <c r="M57" s="1"/>
    </row>
    <row r="58" spans="4:13" ht="20.100000000000001" customHeight="1" x14ac:dyDescent="0.25">
      <c r="D58" s="39" t="str" cm="1">
        <f t="array" ref="D58">Common_InputFunctions.Utility_DisplayArrayInTable(SourceData_OtherLivestock.SourceData_OtherLivestock_AverageLiveweight_Data(),Table_SourceData_OtherLivestock_AverageLiveweight[[#Headers],[Other livestock type]],0)</f>
        <v>Deer</v>
      </c>
      <c r="E58" s="39" cm="1">
        <f t="array" ref="E58">Common_InputFunctions.Utility_DisplayArrayInTable(SourceData_OtherLivestock.SourceData_OtherLivestock_AverageLiveweight_Data(),Table_SourceData_OtherLivestock_AverageLiveweight[[#Headers],[Other livestock type]],0)</f>
        <v>120</v>
      </c>
      <c r="F58" s="39" cm="1">
        <f t="array" ref="F58">Common_InputFunctions.Utility_DisplayArrayInTable(SourceData_OtherLivestock.SourceData_OtherLivestock_AverageLiveweight_Data(),Table_SourceData_OtherLivestock_AverageLiveweight[[#Headers],[Other livestock type]],0)</f>
        <v>120</v>
      </c>
      <c r="M58" s="1"/>
    </row>
    <row r="59" spans="4:13" ht="20.100000000000001" customHeight="1" x14ac:dyDescent="0.25">
      <c r="D59" s="39" t="str" cm="1">
        <f t="array" ref="D59">Common_InputFunctions.Utility_DisplayArrayInTable(SourceData_OtherLivestock.SourceData_OtherLivestock_AverageLiveweight_Data(),Table_SourceData_OtherLivestock_AverageLiveweight[[#Headers],[Other livestock type]],0)</f>
        <v>Camels</v>
      </c>
      <c r="E59" s="39" cm="1">
        <f t="array" ref="E59">Common_InputFunctions.Utility_DisplayArrayInTable(SourceData_OtherLivestock.SourceData_OtherLivestock_AverageLiveweight_Data(),Table_SourceData_OtherLivestock_AverageLiveweight[[#Headers],[Other livestock type]],0)</f>
        <v>217</v>
      </c>
      <c r="F59" s="39" cm="1">
        <f t="array" ref="F59">Common_InputFunctions.Utility_DisplayArrayInTable(SourceData_OtherLivestock.SourceData_OtherLivestock_AverageLiveweight_Data(),Table_SourceData_OtherLivestock_AverageLiveweight[[#Headers],[Other livestock type]],0)</f>
        <v>570</v>
      </c>
      <c r="M59" s="1"/>
    </row>
    <row r="60" spans="4:13" ht="20.100000000000001" customHeight="1" x14ac:dyDescent="0.25">
      <c r="D60" s="39" t="str" cm="1">
        <f t="array" ref="D60">Common_InputFunctions.Utility_DisplayArrayInTable(SourceData_OtherLivestock.SourceData_OtherLivestock_AverageLiveweight_Data(),Table_SourceData_OtherLivestock_AverageLiveweight[[#Headers],[Other livestock type]],0)</f>
        <v>Alpacas</v>
      </c>
      <c r="E60" s="39" t="str" cm="1">
        <f t="array" ref="E60">Common_InputFunctions.Utility_DisplayArrayInTable(SourceData_OtherLivestock.SourceData_OtherLivestock_AverageLiveweight_Data(),Table_SourceData_OtherLivestock_AverageLiveweight[[#Headers],[Other livestock type]],0)</f>
        <v>-</v>
      </c>
      <c r="F60" s="39" cm="1">
        <f t="array" ref="F60">Common_InputFunctions.Utility_DisplayArrayInTable(SourceData_OtherLivestock.SourceData_OtherLivestock_AverageLiveweight_Data(),Table_SourceData_OtherLivestock_AverageLiveweight[[#Headers],[Other livestock type]],0)</f>
        <v>65</v>
      </c>
      <c r="M60" s="1"/>
    </row>
    <row r="61" spans="4:13" ht="20.100000000000001" customHeight="1" x14ac:dyDescent="0.25">
      <c r="D61" s="39" t="str" cm="1">
        <f t="array" ref="D61">Common_InputFunctions.Utility_DisplayArrayInTable(SourceData_OtherLivestock.SourceData_OtherLivestock_AverageLiveweight_Data(),Table_SourceData_OtherLivestock_AverageLiveweight[[#Headers],[Other livestock type]],0)</f>
        <v>Horses</v>
      </c>
      <c r="E61" s="39" cm="1">
        <f t="array" ref="E61">Common_InputFunctions.Utility_DisplayArrayInTable(SourceData_OtherLivestock.SourceData_OtherLivestock_AverageLiveweight_Data(),Table_SourceData_OtherLivestock_AverageLiveweight[[#Headers],[Other livestock type]],0)</f>
        <v>377</v>
      </c>
      <c r="F61" s="39" cm="1">
        <f t="array" ref="F61">Common_InputFunctions.Utility_DisplayArrayInTable(SourceData_OtherLivestock.SourceData_OtherLivestock_AverageLiveweight_Data(),Table_SourceData_OtherLivestock_AverageLiveweight[[#Headers],[Other livestock type]],0)</f>
        <v>550</v>
      </c>
      <c r="M61" s="1"/>
    </row>
    <row r="62" spans="4:13" ht="20.100000000000001" customHeight="1" x14ac:dyDescent="0.25">
      <c r="D62" s="39" t="str" cm="1">
        <f t="array" ref="D62">Common_InputFunctions.Utility_DisplayArrayInTable(SourceData_OtherLivestock.SourceData_OtherLivestock_AverageLiveweight_Data(),Table_SourceData_OtherLivestock_AverageLiveweight[[#Headers],[Other livestock type]],0)</f>
        <v>Mules/asses</v>
      </c>
      <c r="E62" s="39" cm="1">
        <f t="array" ref="E62">Common_InputFunctions.Utility_DisplayArrayInTable(SourceData_OtherLivestock.SourceData_OtherLivestock_AverageLiveweight_Data(),Table_SourceData_OtherLivestock_AverageLiveweight[[#Headers],[Other livestock type]],0)</f>
        <v>130</v>
      </c>
      <c r="F62" s="39" cm="1">
        <f t="array" ref="F62">Common_InputFunctions.Utility_DisplayArrayInTable(SourceData_OtherLivestock.SourceData_OtherLivestock_AverageLiveweight_Data(),Table_SourceData_OtherLivestock_AverageLiveweight[[#Headers],[Other livestock type]],0)</f>
        <v>245</v>
      </c>
      <c r="M62" s="1"/>
    </row>
    <row r="63" spans="4:13" ht="20.100000000000001" customHeight="1" x14ac:dyDescent="0.25">
      <c r="D63" s="39" t="str" cm="1">
        <f t="array" ref="D63">Common_InputFunctions.Utility_DisplayArrayInTable(SourceData_OtherLivestock.SourceData_OtherLivestock_AverageLiveweight_Data(),Table_SourceData_OtherLivestock_AverageLiveweight[[#Headers],[Other livestock type]],0)</f>
        <v>Emus/ostriches</v>
      </c>
      <c r="E63" s="39" cm="1">
        <f t="array" ref="E63">Common_InputFunctions.Utility_DisplayArrayInTable(SourceData_OtherLivestock.SourceData_OtherLivestock_AverageLiveweight_Data(),Table_SourceData_OtherLivestock_AverageLiveweight[[#Headers],[Other livestock type]],0)</f>
        <v>120</v>
      </c>
      <c r="F63" s="39" cm="1">
        <f t="array" ref="F63">Common_InputFunctions.Utility_DisplayArrayInTable(SourceData_OtherLivestock.SourceData_OtherLivestock_AverageLiveweight_Data(),Table_SourceData_OtherLivestock_AverageLiveweight[[#Headers],[Other livestock type]],0)</f>
        <v>120</v>
      </c>
      <c r="M63" s="1"/>
    </row>
    <row r="64" spans="4:13" ht="20.100000000000001" customHeight="1" x14ac:dyDescent="0.25">
      <c r="D64" s="39" t="str" cm="1">
        <f t="array" ref="D64">Common_InputFunctions.Utility_DisplayArrayInTable(SourceData_OtherLivestock.SourceData_OtherLivestock_AverageLiveweight_Data(),Table_SourceData_OtherLivestock_AverageLiveweight[[#Headers],[Other livestock type]],0)</f>
        <v>Reference</v>
      </c>
      <c r="E64" s="39" t="str" cm="1">
        <f t="array" ref="E64">Common_InputFunctions.Utility_DisplayArrayInTable(SourceData_OtherLivestock.SourceData_OtherLivestock_AverageLiveweight_Data(),Table_SourceData_OtherLivestock_AverageLiveweight[[#Headers],[Other livestock type]],0)</f>
        <v>IPCC 2019 Table 10A.5 [2]</v>
      </c>
      <c r="F64" s="39" t="str" cm="1">
        <f t="array" ref="F64">Common_InputFunctions.Utility_DisplayArrayInTable(SourceData_OtherLivestock.SourceData_OtherLivestock_AverageLiveweight_Data(),Table_SourceData_OtherLivestock_AverageLiveweight[[#Headers],[Other livestock type]],0)</f>
        <v>IPCC 2019 Table 10.10 [2]</v>
      </c>
      <c r="M64" s="1"/>
    </row>
    <row r="65" spans="4:13" ht="20.100000000000001" customHeight="1" x14ac:dyDescent="0.25">
      <c r="M65" s="1"/>
    </row>
    <row r="66" spans="4:13" ht="20.100000000000001" customHeight="1" x14ac:dyDescent="0.25">
      <c r="M66" s="1"/>
    </row>
    <row r="67" spans="4:13" ht="20.100000000000001" customHeight="1" x14ac:dyDescent="0.25">
      <c r="D67" s="6" t="str" cm="1">
        <f t="array" ref="D67">SourceData_OtherLivestock.SourceData_OtherLivestock_FractionWasteInMMS_Title()</f>
        <v>Other Livestock - Fraction of waste in each manure management system</v>
      </c>
      <c r="M67" s="1"/>
    </row>
    <row r="68" spans="4:13" ht="20.100000000000001" customHeight="1" x14ac:dyDescent="0.25">
      <c r="D68" s="5" t="str" cm="1">
        <f t="array" ref="D68">SourceData_OtherLivestock.SourceData_OtherLivestock_FractionWasteInMMS_Source()</f>
        <v>VEERG 2026: Table A.1.5.5</v>
      </c>
      <c r="M68" s="1"/>
    </row>
    <row r="69" spans="4:13" ht="20.100000000000001" customHeight="1" x14ac:dyDescent="0.25">
      <c r="D69" s="1" t="str" cm="1">
        <f t="array" ref="D69">SourceData_OtherLivestock.SourceData_OtherLivestock_FractionWasteInMMS_Variable()</f>
        <v>MMSm</v>
      </c>
      <c r="M69" s="1"/>
    </row>
    <row r="70" spans="4:13" ht="20.100000000000001" customHeight="1" x14ac:dyDescent="0.25">
      <c r="D70" s="55" t="str" cm="1">
        <f t="array" ref="D70">SourceData_OtherLivestock.SourceData_OtherLivestock_FractionWasteInMMS_Unit()</f>
        <v>fraction</v>
      </c>
      <c r="M70" s="1"/>
    </row>
    <row r="71" spans="4:13" ht="20.100000000000001" customHeight="1" x14ac:dyDescent="0.25">
      <c r="D71" s="39" t="s">
        <v>141</v>
      </c>
      <c r="E71" s="39" t="s">
        <v>137</v>
      </c>
      <c r="F71" s="52" t="s">
        <v>147</v>
      </c>
      <c r="M71" s="1"/>
    </row>
    <row r="72" spans="4:13" ht="20.100000000000001" customHeight="1" x14ac:dyDescent="0.25">
      <c r="D72" s="39" t="str" cm="1">
        <f t="array" ref="D72">Common_InputFunctions.Utility_DisplayArrayInTable(SourceData_OtherLivestock.SourceData_OtherLivestock_FractionWasteInMMS_Data(),Table_SourceData_OtherLivestock_FractionWasteInMMS[[#Headers],[Other livestock type]],0)</f>
        <v>ACT</v>
      </c>
      <c r="E72" s="39" cm="1">
        <f t="array" ref="E72">Common_InputFunctions.Utility_DisplayArrayInTable(SourceData_OtherLivestock.SourceData_OtherLivestock_FractionWasteInMMS_Data(),Table_SourceData_OtherLivestock_FractionWasteInMMS[[#Headers],[Other livestock type]],0)</f>
        <v>99.66</v>
      </c>
      <c r="F72" s="39" cm="1">
        <f t="array" ref="F72">Common_InputFunctions.Utility_DisplayArrayInTable(SourceData_OtherLivestock.SourceData_OtherLivestock_FractionWasteInMMS_Data(),Table_SourceData_OtherLivestock_FractionWasteInMMS[[#Headers],[Other livestock type]],0)</f>
        <v>0.34</v>
      </c>
      <c r="M72" s="1"/>
    </row>
    <row r="73" spans="4:13" ht="20.100000000000001" customHeight="1" x14ac:dyDescent="0.25">
      <c r="D73" s="39" t="str" cm="1">
        <f t="array" ref="D73">Common_InputFunctions.Utility_DisplayArrayInTable(SourceData_OtherLivestock.SourceData_OtherLivestock_FractionWasteInMMS_Data(),Table_SourceData_OtherLivestock_FractionWasteInMMS[[#Headers],[Other livestock type]],0)</f>
        <v>NSW</v>
      </c>
      <c r="E73" s="39" cm="1">
        <f t="array" ref="E73">Common_InputFunctions.Utility_DisplayArrayInTable(SourceData_OtherLivestock.SourceData_OtherLivestock_FractionWasteInMMS_Data(),Table_SourceData_OtherLivestock_FractionWasteInMMS[[#Headers],[Other livestock type]],0)</f>
        <v>99.66</v>
      </c>
      <c r="F73" s="39" cm="1">
        <f t="array" ref="F73">Common_InputFunctions.Utility_DisplayArrayInTable(SourceData_OtherLivestock.SourceData_OtherLivestock_FractionWasteInMMS_Data(),Table_SourceData_OtherLivestock_FractionWasteInMMS[[#Headers],[Other livestock type]],0)</f>
        <v>0.34</v>
      </c>
      <c r="M73" s="1"/>
    </row>
    <row r="74" spans="4:13" ht="20.100000000000001" customHeight="1" x14ac:dyDescent="0.25">
      <c r="D74" s="39" t="str" cm="1">
        <f t="array" ref="D74">Common_InputFunctions.Utility_DisplayArrayInTable(SourceData_OtherLivestock.SourceData_OtherLivestock_FractionWasteInMMS_Data(),Table_SourceData_OtherLivestock_FractionWasteInMMS[[#Headers],[Other livestock type]],0)</f>
        <v>NT</v>
      </c>
      <c r="E74" s="39" cm="1">
        <f t="array" ref="E74">Common_InputFunctions.Utility_DisplayArrayInTable(SourceData_OtherLivestock.SourceData_OtherLivestock_FractionWasteInMMS_Data(),Table_SourceData_OtherLivestock_FractionWasteInMMS[[#Headers],[Other livestock type]],0)</f>
        <v>99.66</v>
      </c>
      <c r="F74" s="39" cm="1">
        <f t="array" ref="F74">Common_InputFunctions.Utility_DisplayArrayInTable(SourceData_OtherLivestock.SourceData_OtherLivestock_FractionWasteInMMS_Data(),Table_SourceData_OtherLivestock_FractionWasteInMMS[[#Headers],[Other livestock type]],0)</f>
        <v>0.34</v>
      </c>
      <c r="M74" s="1"/>
    </row>
    <row r="75" spans="4:13" ht="20.100000000000001" customHeight="1" x14ac:dyDescent="0.25">
      <c r="D75" s="39" t="str" cm="1">
        <f t="array" ref="D75">Common_InputFunctions.Utility_DisplayArrayInTable(SourceData_OtherLivestock.SourceData_OtherLivestock_FractionWasteInMMS_Data(),Table_SourceData_OtherLivestock_FractionWasteInMMS[[#Headers],[Other livestock type]],0)</f>
        <v>QLD</v>
      </c>
      <c r="E75" s="39" cm="1">
        <f t="array" ref="E75">Common_InputFunctions.Utility_DisplayArrayInTable(SourceData_OtherLivestock.SourceData_OtherLivestock_FractionWasteInMMS_Data(),Table_SourceData_OtherLivestock_FractionWasteInMMS[[#Headers],[Other livestock type]],0)</f>
        <v>99.66</v>
      </c>
      <c r="F75" s="39" cm="1">
        <f t="array" ref="F75">Common_InputFunctions.Utility_DisplayArrayInTable(SourceData_OtherLivestock.SourceData_OtherLivestock_FractionWasteInMMS_Data(),Table_SourceData_OtherLivestock_FractionWasteInMMS[[#Headers],[Other livestock type]],0)</f>
        <v>0.34</v>
      </c>
      <c r="M75" s="1"/>
    </row>
    <row r="76" spans="4:13" ht="20.100000000000001" customHeight="1" x14ac:dyDescent="0.25">
      <c r="D76" s="39" t="str" cm="1">
        <f t="array" ref="D76">Common_InputFunctions.Utility_DisplayArrayInTable(SourceData_OtherLivestock.SourceData_OtherLivestock_FractionWasteInMMS_Data(),Table_SourceData_OtherLivestock_FractionWasteInMMS[[#Headers],[Other livestock type]],0)</f>
        <v>SA</v>
      </c>
      <c r="E76" s="39" cm="1">
        <f t="array" ref="E76">Common_InputFunctions.Utility_DisplayArrayInTable(SourceData_OtherLivestock.SourceData_OtherLivestock_FractionWasteInMMS_Data(),Table_SourceData_OtherLivestock_FractionWasteInMMS[[#Headers],[Other livestock type]],0)</f>
        <v>99.66</v>
      </c>
      <c r="F76" s="39" cm="1">
        <f t="array" ref="F76">Common_InputFunctions.Utility_DisplayArrayInTable(SourceData_OtherLivestock.SourceData_OtherLivestock_FractionWasteInMMS_Data(),Table_SourceData_OtherLivestock_FractionWasteInMMS[[#Headers],[Other livestock type]],0)</f>
        <v>0.34</v>
      </c>
      <c r="M76" s="1"/>
    </row>
    <row r="77" spans="4:13" ht="20.100000000000001" customHeight="1" x14ac:dyDescent="0.25">
      <c r="D77" s="39" t="str" cm="1">
        <f t="array" ref="D77">Common_InputFunctions.Utility_DisplayArrayInTable(SourceData_OtherLivestock.SourceData_OtherLivestock_FractionWasteInMMS_Data(),Table_SourceData_OtherLivestock_FractionWasteInMMS[[#Headers],[Other livestock type]],0)</f>
        <v>TAS</v>
      </c>
      <c r="E77" s="39" cm="1">
        <f t="array" ref="E77">Common_InputFunctions.Utility_DisplayArrayInTable(SourceData_OtherLivestock.SourceData_OtherLivestock_FractionWasteInMMS_Data(),Table_SourceData_OtherLivestock_FractionWasteInMMS[[#Headers],[Other livestock type]],0)</f>
        <v>99.66</v>
      </c>
      <c r="F77" s="39" cm="1">
        <f t="array" ref="F77">Common_InputFunctions.Utility_DisplayArrayInTable(SourceData_OtherLivestock.SourceData_OtherLivestock_FractionWasteInMMS_Data(),Table_SourceData_OtherLivestock_FractionWasteInMMS[[#Headers],[Other livestock type]],0)</f>
        <v>0.34</v>
      </c>
      <c r="M77" s="1"/>
    </row>
    <row r="78" spans="4:13" ht="20.100000000000001" customHeight="1" x14ac:dyDescent="0.25">
      <c r="D78" s="39" t="str" cm="1">
        <f t="array" ref="D78">Common_InputFunctions.Utility_DisplayArrayInTable(SourceData_OtherLivestock.SourceData_OtherLivestock_FractionWasteInMMS_Data(),Table_SourceData_OtherLivestock_FractionWasteInMMS[[#Headers],[Other livestock type]],0)</f>
        <v>VIC</v>
      </c>
      <c r="E78" s="39" cm="1">
        <f t="array" ref="E78">Common_InputFunctions.Utility_DisplayArrayInTable(SourceData_OtherLivestock.SourceData_OtherLivestock_FractionWasteInMMS_Data(),Table_SourceData_OtherLivestock_FractionWasteInMMS[[#Headers],[Other livestock type]],0)</f>
        <v>99.66</v>
      </c>
      <c r="F78" s="39" cm="1">
        <f t="array" ref="F78">Common_InputFunctions.Utility_DisplayArrayInTable(SourceData_OtherLivestock.SourceData_OtherLivestock_FractionWasteInMMS_Data(),Table_SourceData_OtherLivestock_FractionWasteInMMS[[#Headers],[Other livestock type]],0)</f>
        <v>0.34</v>
      </c>
      <c r="M78" s="1"/>
    </row>
    <row r="79" spans="4:13" ht="20.100000000000001" customHeight="1" x14ac:dyDescent="0.25">
      <c r="D79" s="39" t="str" cm="1">
        <f t="array" ref="D79">Common_InputFunctions.Utility_DisplayArrayInTable(SourceData_OtherLivestock.SourceData_OtherLivestock_FractionWasteInMMS_Data(),Table_SourceData_OtherLivestock_FractionWasteInMMS[[#Headers],[Other livestock type]],0)</f>
        <v>WA</v>
      </c>
      <c r="E79" s="39" cm="1">
        <f t="array" ref="E79">Common_InputFunctions.Utility_DisplayArrayInTable(SourceData_OtherLivestock.SourceData_OtherLivestock_FractionWasteInMMS_Data(),Table_SourceData_OtherLivestock_FractionWasteInMMS[[#Headers],[Other livestock type]],0)</f>
        <v>99.66</v>
      </c>
      <c r="F79" s="39" cm="1">
        <f t="array" ref="F79">Common_InputFunctions.Utility_DisplayArrayInTable(SourceData_OtherLivestock.SourceData_OtherLivestock_FractionWasteInMMS_Data(),Table_SourceData_OtherLivestock_FractionWasteInMMS[[#Headers],[Other livestock type]],0)</f>
        <v>0.34</v>
      </c>
      <c r="M79" s="1"/>
    </row>
    <row r="80" spans="4:13" ht="20.100000000000001" customHeight="1" x14ac:dyDescent="0.25">
      <c r="M80" s="1"/>
    </row>
    <row r="81" spans="4:13" ht="20.100000000000001" customHeight="1" x14ac:dyDescent="0.25">
      <c r="M81" s="1"/>
    </row>
    <row r="82" spans="4:13" ht="20.100000000000001" customHeight="1" x14ac:dyDescent="0.25">
      <c r="D82" s="6" t="str" cm="1">
        <f t="array" ref="D82">SourceData_OtherLivestock.SourceData_OtherLivestock_MethaneConversionFactor_Title()</f>
        <v>Other Livestock - Methane conversion factor per region</v>
      </c>
      <c r="M82" s="1"/>
    </row>
    <row r="83" spans="4:13" ht="20.100000000000001" customHeight="1" x14ac:dyDescent="0.25">
      <c r="D83" s="5" t="str" cm="1">
        <f t="array" ref="D83">SourceData_OtherLivestock.SourceData_OtherLivestock_MethaneConversionFactor_Source()</f>
        <v>VEERG 2026: Table A.1.5.6</v>
      </c>
      <c r="M83" s="1"/>
    </row>
    <row r="84" spans="4:13" ht="20.100000000000001" customHeight="1" x14ac:dyDescent="0.25">
      <c r="D84" s="1" t="str" cm="1">
        <f t="array" ref="D84">SourceData_OtherLivestock.SourceData_OtherLivestock_MethaneConversionFactor_Variable()</f>
        <v>MCFim</v>
      </c>
      <c r="M84" s="1"/>
    </row>
    <row r="85" spans="4:13" ht="20.100000000000001" customHeight="1" x14ac:dyDescent="0.25">
      <c r="D85" s="55" t="str" cm="1">
        <f t="array" ref="D85">SourceData_OtherLivestock.SourceData_OtherLivestock_MethaneConversionFactor_Unit()</f>
        <v>fraction</v>
      </c>
      <c r="M85" s="1"/>
    </row>
    <row r="86" spans="4:13" ht="20.100000000000001" customHeight="1" x14ac:dyDescent="0.25">
      <c r="D86" s="39" t="s">
        <v>141</v>
      </c>
      <c r="E86" s="39" t="s">
        <v>137</v>
      </c>
      <c r="F86" s="52" t="s">
        <v>147</v>
      </c>
      <c r="M86" s="1"/>
    </row>
    <row r="87" spans="4:13" ht="20.100000000000001" customHeight="1" x14ac:dyDescent="0.25">
      <c r="D87" s="39" t="str" cm="1">
        <f t="array" ref="D87">Common_InputFunctions.Utility_DisplayArrayInTable(SourceData_OtherLivestock.SourceData_OtherLivestock_MethaneConversionFactor_Data(),Table_SourceData_OtherLivestock_MCF[[#Headers],[Other livestock type]],0)</f>
        <v>ACT</v>
      </c>
      <c r="E87" s="39" cm="1">
        <f t="array" ref="E87">Common_InputFunctions.Utility_DisplayArrayInTable(SourceData_OtherLivestock.SourceData_OtherLivestock_MethaneConversionFactor_Data(),Table_SourceData_OtherLivestock_MCF[[#Headers],[Other livestock type]],0)</f>
        <v>4.7000000000000002E-3</v>
      </c>
      <c r="F87" s="39" cm="1">
        <f t="array" ref="F87">Common_InputFunctions.Utility_DisplayArrayInTable(SourceData_OtherLivestock.SourceData_OtherLivestock_MethaneConversionFactor_Data(),Table_SourceData_OtherLivestock_MCF[[#Headers],[Other livestock type]],0)</f>
        <v>0.71</v>
      </c>
      <c r="M87" s="1"/>
    </row>
    <row r="88" spans="4:13" ht="20.100000000000001" customHeight="1" x14ac:dyDescent="0.25">
      <c r="D88" s="39" t="str" cm="1">
        <f t="array" ref="D88">Common_InputFunctions.Utility_DisplayArrayInTable(SourceData_OtherLivestock.SourceData_OtherLivestock_MethaneConversionFactor_Data(),Table_SourceData_OtherLivestock_MCF[[#Headers],[Other livestock type]],0)</f>
        <v>NSW</v>
      </c>
      <c r="E88" s="39" cm="1">
        <f t="array" ref="E88">Common_InputFunctions.Utility_DisplayArrayInTable(SourceData_OtherLivestock.SourceData_OtherLivestock_MethaneConversionFactor_Data(),Table_SourceData_OtherLivestock_MCF[[#Headers],[Other livestock type]],0)</f>
        <v>4.7000000000000002E-3</v>
      </c>
      <c r="F88" s="39" cm="1">
        <f t="array" ref="F88">Common_InputFunctions.Utility_DisplayArrayInTable(SourceData_OtherLivestock.SourceData_OtherLivestock_MethaneConversionFactor_Data(),Table_SourceData_OtherLivestock_MCF[[#Headers],[Other livestock type]],0)</f>
        <v>0.75</v>
      </c>
      <c r="M88" s="1"/>
    </row>
    <row r="89" spans="4:13" ht="20.100000000000001" customHeight="1" x14ac:dyDescent="0.25">
      <c r="D89" s="39" t="str" cm="1">
        <f t="array" ref="D89">Common_InputFunctions.Utility_DisplayArrayInTable(SourceData_OtherLivestock.SourceData_OtherLivestock_MethaneConversionFactor_Data(),Table_SourceData_OtherLivestock_MCF[[#Headers],[Other livestock type]],0)</f>
        <v>NT</v>
      </c>
      <c r="E89" s="39" cm="1">
        <f t="array" ref="E89">Common_InputFunctions.Utility_DisplayArrayInTable(SourceData_OtherLivestock.SourceData_OtherLivestock_MethaneConversionFactor_Data(),Table_SourceData_OtherLivestock_MCF[[#Headers],[Other livestock type]],0)</f>
        <v>4.7000000000000002E-3</v>
      </c>
      <c r="F89" s="39" cm="1">
        <f t="array" ref="F89">Common_InputFunctions.Utility_DisplayArrayInTable(SourceData_OtherLivestock.SourceData_OtherLivestock_MethaneConversionFactor_Data(),Table_SourceData_OtherLivestock_MCF[[#Headers],[Other livestock type]],0)</f>
        <v>0.8</v>
      </c>
      <c r="M89" s="1"/>
    </row>
    <row r="90" spans="4:13" ht="20.100000000000001" customHeight="1" x14ac:dyDescent="0.25">
      <c r="D90" s="39" t="str" cm="1">
        <f t="array" ref="D90">Common_InputFunctions.Utility_DisplayArrayInTable(SourceData_OtherLivestock.SourceData_OtherLivestock_MethaneConversionFactor_Data(),Table_SourceData_OtherLivestock_MCF[[#Headers],[Other livestock type]],0)</f>
        <v>QLD</v>
      </c>
      <c r="E90" s="39" cm="1">
        <f t="array" ref="E90">Common_InputFunctions.Utility_DisplayArrayInTable(SourceData_OtherLivestock.SourceData_OtherLivestock_MethaneConversionFactor_Data(),Table_SourceData_OtherLivestock_MCF[[#Headers],[Other livestock type]],0)</f>
        <v>4.7000000000000002E-3</v>
      </c>
      <c r="F90" s="39" cm="1">
        <f t="array" ref="F90">Common_InputFunctions.Utility_DisplayArrayInTable(SourceData_OtherLivestock.SourceData_OtherLivestock_MethaneConversionFactor_Data(),Table_SourceData_OtherLivestock_MCF[[#Headers],[Other livestock type]],0)</f>
        <v>0.78</v>
      </c>
      <c r="M90" s="1"/>
    </row>
    <row r="91" spans="4:13" ht="20.100000000000001" customHeight="1" x14ac:dyDescent="0.25">
      <c r="D91" s="39" t="str" cm="1">
        <f t="array" ref="D91">Common_InputFunctions.Utility_DisplayArrayInTable(SourceData_OtherLivestock.SourceData_OtherLivestock_MethaneConversionFactor_Data(),Table_SourceData_OtherLivestock_MCF[[#Headers],[Other livestock type]],0)</f>
        <v>SA</v>
      </c>
      <c r="E91" s="39" cm="1">
        <f t="array" ref="E91">Common_InputFunctions.Utility_DisplayArrayInTable(SourceData_OtherLivestock.SourceData_OtherLivestock_MethaneConversionFactor_Data(),Table_SourceData_OtherLivestock_MCF[[#Headers],[Other livestock type]],0)</f>
        <v>4.7000000000000002E-3</v>
      </c>
      <c r="F91" s="39" cm="1">
        <f t="array" ref="F91">Common_InputFunctions.Utility_DisplayArrayInTable(SourceData_OtherLivestock.SourceData_OtherLivestock_MethaneConversionFactor_Data(),Table_SourceData_OtherLivestock_MCF[[#Headers],[Other livestock type]],0)</f>
        <v>0.74</v>
      </c>
      <c r="M91" s="1"/>
    </row>
    <row r="92" spans="4:13" ht="20.100000000000001" customHeight="1" x14ac:dyDescent="0.25">
      <c r="D92" s="39" t="str" cm="1">
        <f t="array" ref="D92">Common_InputFunctions.Utility_DisplayArrayInTable(SourceData_OtherLivestock.SourceData_OtherLivestock_MethaneConversionFactor_Data(),Table_SourceData_OtherLivestock_MCF[[#Headers],[Other livestock type]],0)</f>
        <v>TAS</v>
      </c>
      <c r="E92" s="39" cm="1">
        <f t="array" ref="E92">Common_InputFunctions.Utility_DisplayArrayInTable(SourceData_OtherLivestock.SourceData_OtherLivestock_MethaneConversionFactor_Data(),Table_SourceData_OtherLivestock_MCF[[#Headers],[Other livestock type]],0)</f>
        <v>4.7000000000000002E-3</v>
      </c>
      <c r="F92" s="39" cm="1">
        <f t="array" ref="F92">Common_InputFunctions.Utility_DisplayArrayInTable(SourceData_OtherLivestock.SourceData_OtherLivestock_MethaneConversionFactor_Data(),Table_SourceData_OtherLivestock_MCF[[#Headers],[Other livestock type]],0)</f>
        <v>0.7</v>
      </c>
      <c r="M92" s="1"/>
    </row>
    <row r="93" spans="4:13" ht="20.100000000000001" customHeight="1" x14ac:dyDescent="0.25">
      <c r="D93" s="39" t="str" cm="1">
        <f t="array" ref="D93">Common_InputFunctions.Utility_DisplayArrayInTable(SourceData_OtherLivestock.SourceData_OtherLivestock_MethaneConversionFactor_Data(),Table_SourceData_OtherLivestock_MCF[[#Headers],[Other livestock type]],0)</f>
        <v>VIC</v>
      </c>
      <c r="E93" s="39" cm="1">
        <f t="array" ref="E93">Common_InputFunctions.Utility_DisplayArrayInTable(SourceData_OtherLivestock.SourceData_OtherLivestock_MethaneConversionFactor_Data(),Table_SourceData_OtherLivestock_MCF[[#Headers],[Other livestock type]],0)</f>
        <v>4.7000000000000002E-3</v>
      </c>
      <c r="F93" s="39" cm="1">
        <f t="array" ref="F93">Common_InputFunctions.Utility_DisplayArrayInTable(SourceData_OtherLivestock.SourceData_OtherLivestock_MethaneConversionFactor_Data(),Table_SourceData_OtherLivestock_MCF[[#Headers],[Other livestock type]],0)</f>
        <v>0.74</v>
      </c>
      <c r="M93" s="1"/>
    </row>
    <row r="94" spans="4:13" ht="20.100000000000001" customHeight="1" x14ac:dyDescent="0.25">
      <c r="D94" s="39" t="str" cm="1">
        <f t="array" ref="D94">Common_InputFunctions.Utility_DisplayArrayInTable(SourceData_OtherLivestock.SourceData_OtherLivestock_MethaneConversionFactor_Data(),Table_SourceData_OtherLivestock_MCF[[#Headers],[Other livestock type]],0)</f>
        <v>WA</v>
      </c>
      <c r="E94" s="39" cm="1">
        <f t="array" ref="E94">Common_InputFunctions.Utility_DisplayArrayInTable(SourceData_OtherLivestock.SourceData_OtherLivestock_MethaneConversionFactor_Data(),Table_SourceData_OtherLivestock_MCF[[#Headers],[Other livestock type]],0)</f>
        <v>4.7000000000000002E-3</v>
      </c>
      <c r="F94" s="39" cm="1">
        <f t="array" ref="F94">Common_InputFunctions.Utility_DisplayArrayInTable(SourceData_OtherLivestock.SourceData_OtherLivestock_MethaneConversionFactor_Data(),Table_SourceData_OtherLivestock_MCF[[#Headers],[Other livestock type]],0)</f>
        <v>0.76</v>
      </c>
      <c r="M94" s="1"/>
    </row>
    <row r="95" spans="4:13" ht="20.100000000000001" customHeight="1" x14ac:dyDescent="0.25">
      <c r="M95" s="1"/>
    </row>
    <row r="96" spans="4:13" ht="20.100000000000001" customHeight="1" x14ac:dyDescent="0.25">
      <c r="M96" s="1"/>
    </row>
    <row r="97" spans="4:13" ht="20.100000000000001" customHeight="1" x14ac:dyDescent="0.25">
      <c r="D97" s="6" t="str" cm="1">
        <f t="array" ref="D97">SourceData_OtherLivestock.SourceData_OtherLivestock_MethaneEmissionsPotential_Title()</f>
        <v>Other Livestock - Methane emissions potential</v>
      </c>
      <c r="M97" s="1"/>
    </row>
    <row r="98" spans="4:13" ht="20.100000000000001" customHeight="1" x14ac:dyDescent="0.25">
      <c r="D98" s="5" t="str" cm="1">
        <f t="array" ref="D98">SourceData_OtherLivestock.SourceData_OtherLivestock_MethaneEmissionsPotential_Source()</f>
        <v>VEERG 2026: Table A.1.5.X</v>
      </c>
      <c r="M98" s="1"/>
    </row>
    <row r="99" spans="4:13" ht="20.100000000000001" customHeight="1" x14ac:dyDescent="0.25">
      <c r="D99" s="56" t="str" cm="1">
        <f t="array" ref="D99">SourceData_OtherLivestock.SourceData_OtherLivestock_MethaneEmissionsPotential_Variation()</f>
        <v>VARIATION ON SOURCE: There were no values in VEERG so this data has been generated by using documented BO values from other livestock</v>
      </c>
      <c r="M99" s="1"/>
    </row>
    <row r="100" spans="4:13" ht="20.100000000000001" customHeight="1" x14ac:dyDescent="0.25">
      <c r="D100" s="1" t="str" cm="1">
        <f t="array" ref="D100">SourceData_OtherLivestock.SourceData_OtherLivestock_MethaneEmissionsPotential_Variable()</f>
        <v>BO</v>
      </c>
      <c r="M100" s="1"/>
    </row>
    <row r="101" spans="4:13" ht="20.100000000000001" customHeight="1" x14ac:dyDescent="0.25">
      <c r="D101" s="55" t="str" cm="1">
        <f t="array" ref="D101">SourceData_OtherLivestock.SourceData_OtherLivestock_MethaneEmissionsPotential_Unit()</f>
        <v>m3 CH4 / kg VS</v>
      </c>
      <c r="M101" s="1"/>
    </row>
    <row r="102" spans="4:13" ht="20.100000000000001" customHeight="1" x14ac:dyDescent="0.25">
      <c r="D102" s="39" t="s">
        <v>141</v>
      </c>
      <c r="E102" s="39" t="s">
        <v>180</v>
      </c>
      <c r="F102" s="52" t="s">
        <v>179</v>
      </c>
      <c r="M102" s="1"/>
    </row>
    <row r="103" spans="4:13" ht="20.100000000000001" customHeight="1" x14ac:dyDescent="0.25">
      <c r="D103" s="39" t="str" cm="1">
        <f t="array" ref="D103">Common_InputFunctions.Utility_DisplayArrayInTable(SourceData_OtherLivestock.SourceData_OtherLivestock_MethaneEmissionsPotential_Data(),Table_SourceData_OtherLivestock_MethaneEmissionsPotential[[#Headers],[Other livestock type]],0)</f>
        <v>Buffalo</v>
      </c>
      <c r="E103" s="39" cm="1">
        <f t="array" ref="E103">Common_InputFunctions.Utility_DisplayArrayInTable(SourceData_OtherLivestock.SourceData_OtherLivestock_MethaneEmissionsPotential_Data(),Table_SourceData_OtherLivestock_MethaneEmissionsPotential[[#Headers],[Other livestock type]],0)</f>
        <v>0.19</v>
      </c>
      <c r="F103" s="39" t="str" cm="1">
        <f t="array" ref="F103">Common_InputFunctions.Utility_DisplayArrayInTable(SourceData_OtherLivestock.SourceData_OtherLivestock_MethaneEmissionsPotential_Data(),Table_SourceData_OtherLivestock_MethaneEmissionsPotential[[#Headers],[Other livestock type]],0)</f>
        <v>Feedlot, Pasture beef</v>
      </c>
      <c r="M103" s="1"/>
    </row>
    <row r="104" spans="4:13" ht="20.100000000000001" customHeight="1" x14ac:dyDescent="0.25">
      <c r="D104" s="39" t="str" cm="1">
        <f t="array" ref="D104">Common_InputFunctions.Utility_DisplayArrayInTable(SourceData_OtherLivestock.SourceData_OtherLivestock_MethaneEmissionsPotential_Data(),Table_SourceData_OtherLivestock_MethaneEmissionsPotential[[#Headers],[Other livestock type]],0)</f>
        <v>Goats</v>
      </c>
      <c r="E104" s="39" cm="1">
        <f t="array" ref="E104">Common_InputFunctions.Utility_DisplayArrayInTable(SourceData_OtherLivestock.SourceData_OtherLivestock_MethaneEmissionsPotential_Data(),Table_SourceData_OtherLivestock_MethaneEmissionsPotential[[#Headers],[Other livestock type]],0)</f>
        <v>0.24</v>
      </c>
      <c r="F104" s="39" t="str" cm="1">
        <f t="array" ref="F104">Common_InputFunctions.Utility_DisplayArrayInTable(SourceData_OtherLivestock.SourceData_OtherLivestock_MethaneEmissionsPotential_Data(),Table_SourceData_OtherLivestock_MethaneEmissionsPotential[[#Headers],[Other livestock type]],0)</f>
        <v>Sheep</v>
      </c>
      <c r="M104" s="1"/>
    </row>
    <row r="105" spans="4:13" ht="20.100000000000001" customHeight="1" x14ac:dyDescent="0.25">
      <c r="D105" s="39" t="str" cm="1">
        <f t="array" ref="D105">Common_InputFunctions.Utility_DisplayArrayInTable(SourceData_OtherLivestock.SourceData_OtherLivestock_MethaneEmissionsPotential_Data(),Table_SourceData_OtherLivestock_MethaneEmissionsPotential[[#Headers],[Other livestock type]],0)</f>
        <v>Deer</v>
      </c>
      <c r="E105" s="39" cm="1">
        <f t="array" ref="E105">Common_InputFunctions.Utility_DisplayArrayInTable(SourceData_OtherLivestock.SourceData_OtherLivestock_MethaneEmissionsPotential_Data(),Table_SourceData_OtherLivestock_MethaneEmissionsPotential[[#Headers],[Other livestock type]],0)</f>
        <v>0.24</v>
      </c>
      <c r="F105" s="39" t="str" cm="1">
        <f t="array" ref="F105">Common_InputFunctions.Utility_DisplayArrayInTable(SourceData_OtherLivestock.SourceData_OtherLivestock_MethaneEmissionsPotential_Data(),Table_SourceData_OtherLivestock_MethaneEmissionsPotential[[#Headers],[Other livestock type]],0)</f>
        <v>Sheep</v>
      </c>
      <c r="M105" s="1"/>
    </row>
    <row r="106" spans="4:13" ht="20.100000000000001" customHeight="1" x14ac:dyDescent="0.25">
      <c r="D106" s="39" t="str" cm="1">
        <f t="array" ref="D106">Common_InputFunctions.Utility_DisplayArrayInTable(SourceData_OtherLivestock.SourceData_OtherLivestock_MethaneEmissionsPotential_Data(),Table_SourceData_OtherLivestock_MethaneEmissionsPotential[[#Headers],[Other livestock type]],0)</f>
        <v>Camels</v>
      </c>
      <c r="E106" s="39" cm="1">
        <f t="array" ref="E106">Common_InputFunctions.Utility_DisplayArrayInTable(SourceData_OtherLivestock.SourceData_OtherLivestock_MethaneEmissionsPotential_Data(),Table_SourceData_OtherLivestock_MethaneEmissionsPotential[[#Headers],[Other livestock type]],0)</f>
        <v>0.24</v>
      </c>
      <c r="F106" s="39" t="str" cm="1">
        <f t="array" ref="F106">Common_InputFunctions.Utility_DisplayArrayInTable(SourceData_OtherLivestock.SourceData_OtherLivestock_MethaneEmissionsPotential_Data(),Table_SourceData_OtherLivestock_MethaneEmissionsPotential[[#Headers],[Other livestock type]],0)</f>
        <v>Sheep</v>
      </c>
      <c r="M106" s="1"/>
    </row>
    <row r="107" spans="4:13" ht="20.100000000000001" customHeight="1" x14ac:dyDescent="0.25">
      <c r="D107" s="39" t="str" cm="1">
        <f t="array" ref="D107">Common_InputFunctions.Utility_DisplayArrayInTable(SourceData_OtherLivestock.SourceData_OtherLivestock_MethaneEmissionsPotential_Data(),Table_SourceData_OtherLivestock_MethaneEmissionsPotential[[#Headers],[Other livestock type]],0)</f>
        <v>Alpacas</v>
      </c>
      <c r="E107" s="39" cm="1">
        <f t="array" ref="E107">Common_InputFunctions.Utility_DisplayArrayInTable(SourceData_OtherLivestock.SourceData_OtherLivestock_MethaneEmissionsPotential_Data(),Table_SourceData_OtherLivestock_MethaneEmissionsPotential[[#Headers],[Other livestock type]],0)</f>
        <v>0.24</v>
      </c>
      <c r="F107" s="39" t="str" cm="1">
        <f t="array" ref="F107">Common_InputFunctions.Utility_DisplayArrayInTable(SourceData_OtherLivestock.SourceData_OtherLivestock_MethaneEmissionsPotential_Data(),Table_SourceData_OtherLivestock_MethaneEmissionsPotential[[#Headers],[Other livestock type]],0)</f>
        <v>Sheep</v>
      </c>
      <c r="M107" s="1"/>
    </row>
    <row r="108" spans="4:13" ht="20.100000000000001" customHeight="1" x14ac:dyDescent="0.25">
      <c r="D108" s="39" t="str" cm="1">
        <f t="array" ref="D108">Common_InputFunctions.Utility_DisplayArrayInTable(SourceData_OtherLivestock.SourceData_OtherLivestock_MethaneEmissionsPotential_Data(),Table_SourceData_OtherLivestock_MethaneEmissionsPotential[[#Headers],[Other livestock type]],0)</f>
        <v>Horses</v>
      </c>
      <c r="E108" s="39" cm="1">
        <f t="array" ref="E108">Common_InputFunctions.Utility_DisplayArrayInTable(SourceData_OtherLivestock.SourceData_OtherLivestock_MethaneEmissionsPotential_Data(),Table_SourceData_OtherLivestock_MethaneEmissionsPotential[[#Headers],[Other livestock type]],0)</f>
        <v>0.19</v>
      </c>
      <c r="F108" s="39" t="str" cm="1">
        <f t="array" ref="F108">Common_InputFunctions.Utility_DisplayArrayInTable(SourceData_OtherLivestock.SourceData_OtherLivestock_MethaneEmissionsPotential_Data(),Table_SourceData_OtherLivestock_MethaneEmissionsPotential[[#Headers],[Other livestock type]],0)</f>
        <v>Feedlot, Pasture beef</v>
      </c>
      <c r="M108" s="1"/>
    </row>
    <row r="109" spans="4:13" ht="20.100000000000001" customHeight="1" x14ac:dyDescent="0.25">
      <c r="D109" s="39" t="str" cm="1">
        <f t="array" ref="D109">Common_InputFunctions.Utility_DisplayArrayInTable(SourceData_OtherLivestock.SourceData_OtherLivestock_MethaneEmissionsPotential_Data(),Table_SourceData_OtherLivestock_MethaneEmissionsPotential[[#Headers],[Other livestock type]],0)</f>
        <v>Mules/asses</v>
      </c>
      <c r="E109" s="39" cm="1">
        <f t="array" ref="E109">Common_InputFunctions.Utility_DisplayArrayInTable(SourceData_OtherLivestock.SourceData_OtherLivestock_MethaneEmissionsPotential_Data(),Table_SourceData_OtherLivestock_MethaneEmissionsPotential[[#Headers],[Other livestock type]],0)</f>
        <v>0.24</v>
      </c>
      <c r="F109" s="39" t="str" cm="1">
        <f t="array" ref="F109">Common_InputFunctions.Utility_DisplayArrayInTable(SourceData_OtherLivestock.SourceData_OtherLivestock_MethaneEmissionsPotential_Data(),Table_SourceData_OtherLivestock_MethaneEmissionsPotential[[#Headers],[Other livestock type]],0)</f>
        <v>Sheep</v>
      </c>
      <c r="M109" s="1"/>
    </row>
    <row r="110" spans="4:13" ht="20.100000000000001" customHeight="1" x14ac:dyDescent="0.25">
      <c r="D110" s="39" t="str" cm="1">
        <f t="array" ref="D110">Common_InputFunctions.Utility_DisplayArrayInTable(SourceData_OtherLivestock.SourceData_OtherLivestock_MethaneEmissionsPotential_Data(),Table_SourceData_OtherLivestock_MethaneEmissionsPotential[[#Headers],[Other livestock type]],0)</f>
        <v>Emus/ostriches</v>
      </c>
      <c r="E110" s="39" cm="1">
        <f t="array" ref="E110">Common_InputFunctions.Utility_DisplayArrayInTable(SourceData_OtherLivestock.SourceData_OtherLivestock_MethaneEmissionsPotential_Data(),Table_SourceData_OtherLivestock_MethaneEmissionsPotential[[#Headers],[Other livestock type]],0)</f>
        <v>0.36</v>
      </c>
      <c r="F110" s="39" t="str" cm="1">
        <f t="array" ref="F110">Common_InputFunctions.Utility_DisplayArrayInTable(SourceData_OtherLivestock.SourceData_OtherLivestock_MethaneEmissionsPotential_Data(),Table_SourceData_OtherLivestock_MethaneEmissionsPotential[[#Headers],[Other livestock type]],0)</f>
        <v>Poultry - meat chickens</v>
      </c>
      <c r="M110" s="1"/>
    </row>
    <row r="111" spans="4:13" ht="20.100000000000001" customHeight="1" x14ac:dyDescent="0.25">
      <c r="M111" s="1"/>
    </row>
    <row r="112" spans="4:13" ht="20.100000000000001" customHeight="1" x14ac:dyDescent="0.25">
      <c r="M112" s="1"/>
    </row>
    <row r="113" spans="4:13" ht="20.100000000000001" customHeight="1" x14ac:dyDescent="0.25">
      <c r="D113" s="6" t="str" cm="1">
        <f t="array" ref="D113">SourceData_OtherLivestock.SourceData_OtherLivestock_FracGASMSoil_Title()</f>
        <v>Fraction of nitrogen volatilised from urine and faeces deposited on pasture</v>
      </c>
      <c r="M113" s="1"/>
    </row>
    <row r="114" spans="4:13" ht="20.100000000000001" customHeight="1" x14ac:dyDescent="0.25">
      <c r="D114" s="5" t="str" cm="1">
        <f t="array" ref="D114">SourceData_OtherLivestock.SourceData_OtherLivestock_FracGASMSoil_Source()</f>
        <v>VEERG 2026: 4.7.2.3 CONSTANTS</v>
      </c>
      <c r="M114" s="1"/>
    </row>
    <row r="115" spans="4:13" ht="20.100000000000001" customHeight="1" x14ac:dyDescent="0.25">
      <c r="D115" s="54" t="str" cm="1">
        <f t="array" ref="D115">SourceData_OtherLivestock.SourceData_OtherLivestock_FracGASMSoil_Variable()</f>
        <v>FracGASMsoil</v>
      </c>
      <c r="E115" s="1" cm="1">
        <f t="array" ref="E115">SourceData_OtherLivestock.SourceData_OtherLivestock_FracGASMSoil_Data()</f>
        <v>0.21</v>
      </c>
      <c r="F115" s="55" t="str" cm="1">
        <f t="array" ref="F115">SourceData_OtherLivestock.SourceData_OtherLivestock_FracGASMSoil_Unit()</f>
        <v>(kg NH3-N + NOx-N)/kg N</v>
      </c>
      <c r="M115" s="1"/>
    </row>
    <row r="116" spans="4:13" ht="20.100000000000001" customHeight="1" x14ac:dyDescent="0.25">
      <c r="M116" s="1"/>
    </row>
    <row r="117" spans="4:13" ht="20.100000000000001" customHeight="1" x14ac:dyDescent="0.25">
      <c r="M117" s="1"/>
    </row>
    <row r="118" spans="4:13" ht="20.100000000000001" customHeight="1" x14ac:dyDescent="0.25">
      <c r="D118" s="6" t="s">
        <v>208</v>
      </c>
      <c r="G118" s="6" t="s">
        <v>103</v>
      </c>
      <c r="M118" s="1"/>
    </row>
    <row r="119" spans="4:13" ht="20.100000000000001" customHeight="1" x14ac:dyDescent="0.25">
      <c r="M119" s="1"/>
    </row>
    <row r="120" spans="4:13" ht="20.100000000000001" customHeight="1" x14ac:dyDescent="0.25">
      <c r="D120" s="39" t="s">
        <v>102</v>
      </c>
      <c r="G120" s="39" t="s">
        <v>100</v>
      </c>
      <c r="M120" s="1"/>
    </row>
    <row r="121" spans="4:13" ht="20.100000000000001" customHeight="1" x14ac:dyDescent="0.25">
      <c r="D121" s="39" t="str">
        <f>'Constants - Common'!$F$187</f>
        <v>Pasture</v>
      </c>
      <c r="G121" s="39" t="s">
        <v>104</v>
      </c>
      <c r="M121" s="1"/>
    </row>
    <row r="122" spans="4:13" ht="20.100000000000001" customHeight="1" x14ac:dyDescent="0.25">
      <c r="D122" s="1" t="str">
        <f>'Constants - Common'!$F$188</f>
        <v>Crop</v>
      </c>
      <c r="G122" s="39" t="s">
        <v>105</v>
      </c>
      <c r="M122" s="1"/>
    </row>
    <row r="123" spans="4:13" ht="20.100000000000001" customHeight="1" x14ac:dyDescent="0.25">
      <c r="G123" s="1" t="s">
        <v>106</v>
      </c>
      <c r="M123" s="1"/>
    </row>
    <row r="124" spans="4:13" ht="20.100000000000001" customHeight="1" x14ac:dyDescent="0.25">
      <c r="G124" s="1" t="s">
        <v>107</v>
      </c>
      <c r="M124" s="1"/>
    </row>
    <row r="125" spans="4:13" ht="20.100000000000001" customHeight="1" x14ac:dyDescent="0.25">
      <c r="G125" s="1" t="s">
        <v>108</v>
      </c>
      <c r="M125" s="1"/>
    </row>
    <row r="126" spans="4:13" ht="20.100000000000001" customHeight="1" x14ac:dyDescent="0.25">
      <c r="M126" s="1"/>
    </row>
    <row r="127" spans="4:13" ht="20.100000000000001" customHeight="1" x14ac:dyDescent="0.25">
      <c r="M127" s="1"/>
    </row>
    <row r="128" spans="4:13" ht="20.100000000000001" customHeight="1" x14ac:dyDescent="0.25">
      <c r="M128" s="1"/>
    </row>
    <row r="129" spans="13:13" ht="20.100000000000001" customHeight="1" x14ac:dyDescent="0.25">
      <c r="M129" s="1"/>
    </row>
    <row r="130" spans="13:13" ht="20.100000000000001" customHeight="1" x14ac:dyDescent="0.25">
      <c r="M130" s="1"/>
    </row>
    <row r="131" spans="13:13" ht="20.100000000000001" customHeight="1" x14ac:dyDescent="0.25">
      <c r="M131" s="1"/>
    </row>
    <row r="132" spans="13:13" ht="20.100000000000001" customHeight="1" x14ac:dyDescent="0.25">
      <c r="M132" s="1"/>
    </row>
    <row r="133" spans="13:13" ht="20.100000000000001" customHeight="1" x14ac:dyDescent="0.25">
      <c r="M133" s="1"/>
    </row>
    <row r="134" spans="13:13" ht="20.100000000000001" customHeight="1" x14ac:dyDescent="0.25">
      <c r="M134" s="1"/>
    </row>
    <row r="135" spans="13:13" ht="20.100000000000001" customHeight="1" x14ac:dyDescent="0.25">
      <c r="M135" s="1"/>
    </row>
    <row r="136" spans="13:13" ht="20.100000000000001" customHeight="1" x14ac:dyDescent="0.25">
      <c r="M136" s="1"/>
    </row>
    <row r="137" spans="13:13" ht="20.100000000000001" customHeight="1" x14ac:dyDescent="0.25">
      <c r="M137" s="1"/>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73</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Other Livestock'!A1", "Other Livestock")</f>
        <v>Other Livestock</v>
      </c>
      <c r="D9" s="38" t="s">
        <v>74</v>
      </c>
      <c r="E9" s="39" t="s">
        <v>17</v>
      </c>
      <c r="F9" s="39" t="s">
        <v>75</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71</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HYPERLINK("#'4.7.1.1-2 Manure Methane'!A1", "4.7.1.1-2 Methane")</f>
        <v>4.7.1.1-2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HYPERLINK("#'4.7.1.3-4 Soil Direct N2O'!A1", "4.7.1.3-4 Soil Direct N2O")</f>
        <v>4.7.1.3-4 Soil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HYPERLINK("#'4.7.1.5-6 Soil Atmos Deposition'!A1", "4.7.1.5-6 Soil Atmos deposition")</f>
        <v>4.7.1.5-6 Soil Atmos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HYPERLINK("#'4.7.1.7-8 Soil Leaching Runoff'!A1", "4.7.1.8-9 Soil Leaching &amp; Runoff")</f>
        <v>4.7.1.8-9 Soil Leaching &amp;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2</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Other Livestock'!A1", "Constants - Other Livestock")</f>
        <v>Constants - Other Livestock</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68"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22857-35FF-4100-9097-32B1F6E6B9BB}">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18</v>
      </c>
      <c r="E6" s="39" t="s">
        <v>19</v>
      </c>
      <c r="F6" s="39" t="s">
        <v>20</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21</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24</v>
      </c>
      <c r="E36" s="39" t="s">
        <v>25</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24</v>
      </c>
      <c r="E47" s="39" t="s">
        <v>27</v>
      </c>
      <c r="F47" s="39" t="s">
        <v>28</v>
      </c>
      <c r="G47" s="39" t="s">
        <v>29</v>
      </c>
      <c r="H47" s="39" t="s">
        <v>30</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6" t="str" cm="1">
        <f t="array" ref="D59:D61">"⚠️" &amp; Common_SourceData.Common_SourceData_WetAndDryZones_Variation()</f>
        <v>⚠️VARIATION OF SOURCE DATA:</v>
      </c>
    </row>
    <row r="60" spans="4:8" ht="20.100000000000001" customHeight="1" x14ac:dyDescent="0.25">
      <c r="D60" s="56" t="str">
        <v>⚠️Added warm / cool temperate moist / dry - low frost and high temp classes to accommodate climate scenarios excluded by VEERG criteria.</v>
      </c>
    </row>
    <row r="61" spans="4:8" ht="20.100000000000001" customHeight="1" x14ac:dyDescent="0.25">
      <c r="D61" s="56" t="str">
        <v>⚠️Fixed typo - Changed 'Fry' to 'Dry'.</v>
      </c>
    </row>
    <row r="62" spans="4:8" ht="20.100000000000001" customHeight="1" x14ac:dyDescent="0.25"/>
    <row r="63" spans="4:8" ht="20.100000000000001" customHeight="1" x14ac:dyDescent="0.25">
      <c r="D63" s="39" t="s">
        <v>8</v>
      </c>
      <c r="E63" s="39" t="s">
        <v>45</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6" t="str" cm="1">
        <f t="array" ref="D83:D87">"⚠️" &amp; Common_SourceData.Common_SourceData_ClimateZones_Variation()</f>
        <v>⚠️VARIATION OF SOURCE DATA:</v>
      </c>
    </row>
    <row r="84" spans="4:20" ht="20.100000000000001" customHeight="1" x14ac:dyDescent="0.25">
      <c r="D84" s="56" t="str">
        <v>⚠️Added warm / cool temperate moist / dry - low frost and high temp classes to accommodate climate scenarios excluded by VEERG criteria.</v>
      </c>
    </row>
    <row r="85" spans="4:20" ht="20.100000000000001" customHeight="1" x14ac:dyDescent="0.25">
      <c r="D85" s="56" t="str">
        <v>⚠️Fixed typo in MAT value for warm temperate dry - changed 10 to 11.</v>
      </c>
    </row>
    <row r="86" spans="4:20" ht="20.100000000000001" customHeight="1" x14ac:dyDescent="0.25">
      <c r="D86" s="56" t="str">
        <v>⚠️Added min and max columns for MAT, MAP, frost days per year, elevation, MAP:PET to calculate zones from real climate data.</v>
      </c>
    </row>
    <row r="87" spans="4:20" ht="20.100000000000001" customHeight="1" x14ac:dyDescent="0.25">
      <c r="D87" s="56" t="str">
        <v>⚠️GAF accepts rainfall as a proxy for precipitation.</v>
      </c>
    </row>
    <row r="88" spans="4:20" ht="20.100000000000001" customHeight="1" x14ac:dyDescent="0.25"/>
    <row r="89" spans="4:20" ht="20.100000000000001" customHeight="1" x14ac:dyDescent="0.25">
      <c r="D89" s="39" t="s">
        <v>8</v>
      </c>
      <c r="E89" s="39" t="s">
        <v>33</v>
      </c>
      <c r="F89" s="39" t="s">
        <v>34</v>
      </c>
      <c r="G89" s="39" t="s">
        <v>35</v>
      </c>
      <c r="H89" s="39" t="s">
        <v>36</v>
      </c>
      <c r="I89" s="39" t="s">
        <v>37</v>
      </c>
      <c r="J89" s="39" t="s">
        <v>38</v>
      </c>
      <c r="K89" s="39" t="s">
        <v>39</v>
      </c>
      <c r="L89" s="39" t="s">
        <v>40</v>
      </c>
      <c r="M89" s="39" t="s">
        <v>41</v>
      </c>
      <c r="N89" s="39" t="s">
        <v>42</v>
      </c>
      <c r="O89" s="39" t="s">
        <v>46</v>
      </c>
      <c r="P89" s="39" t="s">
        <v>43</v>
      </c>
      <c r="Q89" s="39" t="s">
        <v>47</v>
      </c>
      <c r="R89" s="39" t="s">
        <v>44</v>
      </c>
      <c r="S89" s="39" t="s">
        <v>48</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5" t="str" cm="1">
        <f t="array" ref="D99:D102">Common_SourceData.Common_SourceData_ClimateZones_Appendices()</f>
        <v>Note:</v>
      </c>
    </row>
    <row r="100" spans="4:20" ht="20.100000000000001" customHeight="1" x14ac:dyDescent="0.25">
      <c r="D100" s="55" t="str">
        <v>MAT = mean annual temperature</v>
      </c>
    </row>
    <row r="101" spans="4:20" ht="20.100000000000001" customHeight="1" x14ac:dyDescent="0.25">
      <c r="D101" s="55" t="str">
        <v>MAP = mean annual precipitation</v>
      </c>
    </row>
    <row r="102" spans="4:20" ht="20.100000000000001" customHeight="1" x14ac:dyDescent="0.25">
      <c r="D102" s="55" t="str">
        <v>PET = potential evapotranspiration</v>
      </c>
    </row>
    <row r="103" spans="4:20" ht="20.100000000000001" customHeight="1" x14ac:dyDescent="0.25">
      <c r="D103" s="55"/>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6"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52</v>
      </c>
      <c r="E109" s="39" t="s">
        <v>33</v>
      </c>
      <c r="F109" s="39" t="s">
        <v>53</v>
      </c>
      <c r="G109" s="39" t="s">
        <v>54</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6"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55</v>
      </c>
      <c r="E119" s="39" t="s">
        <v>56</v>
      </c>
      <c r="F119" s="39" t="s">
        <v>40</v>
      </c>
      <c r="G119" s="39" t="s">
        <v>41</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62</v>
      </c>
      <c r="E127" s="39" t="s">
        <v>63</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79</v>
      </c>
      <c r="E134" t="s">
        <v>80</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113</v>
      </c>
      <c r="E142" s="39" t="s">
        <v>80</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65</v>
      </c>
      <c r="E153" s="39" t="s">
        <v>66</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9" t="s">
        <v>97</v>
      </c>
      <c r="E186" s="39" t="s">
        <v>98</v>
      </c>
      <c r="F186" s="39" t="s">
        <v>99</v>
      </c>
      <c r="G186" s="39" t="s">
        <v>100</v>
      </c>
      <c r="H186" s="39" t="s">
        <v>32</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9" t="s">
        <v>8</v>
      </c>
      <c r="E206" s="39" t="s">
        <v>114</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115</v>
      </c>
      <c r="E212" s="39" t="s">
        <v>116</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49</v>
      </c>
      <c r="E231" s="39" t="s">
        <v>125</v>
      </c>
      <c r="F231" s="38" t="s">
        <v>126</v>
      </c>
      <c r="G231" s="39" t="s">
        <v>127</v>
      </c>
      <c r="H231" s="39" t="s">
        <v>128</v>
      </c>
      <c r="I231" s="39" t="s">
        <v>129</v>
      </c>
      <c r="J231" s="39" t="s">
        <v>130</v>
      </c>
      <c r="K231" s="39" t="s">
        <v>131</v>
      </c>
      <c r="L231" s="39" t="s">
        <v>132</v>
      </c>
      <c r="M231" s="39" t="s">
        <v>133</v>
      </c>
      <c r="N231" s="39" t="s">
        <v>134</v>
      </c>
      <c r="O231" s="39" t="s">
        <v>135</v>
      </c>
      <c r="P231" s="39" t="s">
        <v>136</v>
      </c>
      <c r="Q231" s="39" t="s">
        <v>123</v>
      </c>
      <c r="R231" s="39" t="s">
        <v>137</v>
      </c>
      <c r="S231" s="39" t="s">
        <v>138</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5" x14ac:dyDescent="0.25">
      <c r="D257" s="39" t="s">
        <v>244</v>
      </c>
      <c r="E257" s="39" t="s">
        <v>245</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8AdABoAGUAcgBMAGkAdgBlAHMAdABvAGMAawAiACwAIgB0AGUAeAB0ACIAOgAiAFwAbgAvACoAIABcAG4ALQAtAC0ALQAtAC0ALQAtAC0ALQAtAC0ALQAtAC0ALQAtAC0ALQAtAC0ALQAtAC0ALQAtAC0ALQAtAC0ALQAtAC0ALQAtAC0ALQAtAFwAbgBTAG8AdQByAGMAZQBEAGEAdABhAF8ATwB0AGgAZQByAEwAaQB2AGUAcwB0AG8AYwBrAF8ARQBuAHQAZQByAGkAYwBGAGUAcgBtAGUAbgB0AGEAdABpAG8AbgBFAG0AaQBzAHMAaQBvAG4ARgBhAGMAdABvAHIAXABuAFQAYQBiAGwAZQAgAEEALgAxAC4ANQAuADEAOgAgAE8AdABoAGUAcgAgAEwAaQB2AGUAcwB0AG8AYwBrACAALQAgAEUAbgB0AGUAcgBpAGMAIABmAGUAcgBtAGUAbgB0AGEAdABpAG8AbgAgAGUAbQBpAHMAcwBpAG8AbgAgAGYAYQBjAHQAbwByACAAZgBvAHIAIABlAGEAYwBoACAAbwB0AGgAZQByACAAbABpAHYAZQBzAHQAbwBjAGsAIAB0AHkAcABlACAAKABrAGcAIABDAEgANAAvAGgAZQBhAGQALwB5AGUAYQByACkAIAAoAE0AagApAFwAbgAtAC0ALQAtAC0ALQAtAC0ALQAtAC0ALQAtAC0ALQAtAC0ALQAtAC0ALQAtAC0ALQAtAC0ALQAtAC0ALQAtAC0ALQAtAC0ALQAtAC0AXABuACoALwBcAG4AXABuAFMAbwB1AHIAYwBlAEQAYQB0AGEAXwBPAHQAaABlAHIATABpAHYAZQBzAHQAbwBjAGsAXwBFAG4AdABlAHIAaQBjAEYAZQByAG0AZQBuAHQAYQB0AGkAbwBuAEUAbQBpAHMAcwBpAG8AbgBGAGEAYwB0AG8AcgBfAFQAaQB0AGwAZQBcAG4AIAAgAD0ATABBAE0AQgBEAEEAKABcACIATwB0AGgAZQByACAATABpAHYAZQBzAHQAbwBjAGsAIAAtACAARQBuAHQAZQByAGkAYwAgAGYAZQByAG0AZQBuAHQAYQB0AGkAbwBuACAAZQBtAGkAcwBzAGkAbwBuACAAZgBhAGMAdABvAHIAIABmAG8AcgAgAGUAYQBjAGgAIABvAHQAaABlAHIAIABsAGkAdgBlAHMAdABvAGMAawAgAHQAeQBwAGUAXAAiACkAOwBcAG4AXABuAFMAbwB1AHIAYwBlAEQAYQB0AGEAXwBPAHQAaABlAHIATABpAHYAZQBzAHQAbwBjAGsAXwBFAG4AdABlAHIAaQBjAEYAZQByAG0AZQBuAHQAYQB0AGkAbwBuAEUAbQBpAHMAcwBpAG8AbgBGAGEAYwB0AG8AcgBfAFYAYQByAGkAYQBiAGwAZQBcAG4AIAAgAD0ATABBAE0AQgBEAEEAKABcACIATQBqAFwAIgApADsAXABuAFwAbgBTAG8AdQByAGMAZQBEAGEAdABhAF8ATwB0AGgAZQByAEwAaQB2AGUAcwB0AG8AYwBrAF8ARQBuAHQAZQByAGkAYwBGAGUAcgBtAGUAbgB0AGEAdABpAG8AbgBFAG0AaQBzAHMAaQBvAG4ARgBhAGMAdABvAHIAXwBVAG4AaQB0AFwAbgAgACAAPQBMAEEATQBCAEQAQQAoAFwAIgBrAGcAIABDAEgANAAgAC8AIABoAGUAYQBkACAALwAgAHkAZQBhAHIAXAAiACkAOwBcAG4AXABuAFMAbwB1AHIAYwBlAEQAYQB0AGEAXwBPAHQAaABlAHIATABpAHYAZQBzAHQAbwBjAGsAXwBFAG4AdABlAHIAaQBjAEYAZQByAG0AZQBuAHQAYQB0AGkAbwBuAEUAbQBpAHMAcwBpAG8AbgBGAGEAYwB0AG8AcgBfAFMAbwB1AHIAYwBlAFwAbgAgACAAPQBMAEEATQBCAEQAQQAoAFwAIgBWAEUARQBSAEcAIAAyADAAMgA2ADoAIABUAGEAYgBsAGUAIABBAC4AMQAuADUALgAxAFwAIgApADsAXABuAFwAbgBTAG8AdQByAGMAZQBEAGEAdABhAF8ATwB0AGgAZQByAEwAaQB2AGUAcwB0AG8AYwBrAF8ARQBuAHQAZQByAGkAYwBGAGUAcgBtAGUAbgB0AGEAdABpAG8AbgBFAG0AaQBzAHMAaQBvAG4ARgBhAGMAdABvAHIAXwBWAGEAcgBpAGEAdABpAG8AbgBcAG4AIAAgAD0ATABBAE0AQgBEAEEAKABcACIAXAAiACkAOwBcAG4AXABuAFMAbwB1AHIAYwBlAEQAYQB0AGEAXwBPAHQAaABlAHIATABpAHYAZQBzAHQAbwBjAGsAXwBFAG4AdABlAHIAaQBjAEYAZQByAG0AZQBuAHQAYQB0AGkAbwBuAEUAbQBpAHMAcwBpAG8AbgBGAGEAYwB0AG8Acg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NAGoAXAAiADsAXABuACAAIAAgACAAIAAgACAAIAAgACAAXAAiAEIAdQBmAGYAYQBsAG8AXAAiACwAIAA2ADgAOwBcAG4AIAAgACAAIAAgACAAIAAgACAAIABcACIARwBvAGEAdABzAFwAIgAsACAANQA7AFwAbgAgACAAIAAgACAAIAAgACAAIAAgAFwAIgBEAGUAZQByAFwAIgAsACAAMgAwADsAXABuACAAIAAgACAAIAAgACAAIAAgACAAXAAiAEMAYQBtAGUAbABzAFwAIgAsACAANAA2ADsAXABuACAAIAAgACAAIAAgACAAIAAgACAAXAAiAEEAbABwAGEAYwBhAHMAXAAiACwAIAA4ADsAXABuACAAIAAgACAAIAAgACAAIAAgACAAXAAiAEgAbwByAHMAZQBzAFwAIgAsACAAMQA4ADsAXABuACAAIAAgACAAIAAgACAAIAAgACAAXAAiAE0AdQBsAGUAcwAvAGEAcwBzAGUAcwBcACIALAAgADEAMAA7AFwAbgAgACAAIAAgACAAIAAgACAAIAAgAFwAIgBFAG0AdQBzAC8AbwBzAHQAcgBpAGMAaABlAHMAXAAiACwAIAA1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FYAbwBsAGEAdABpAGwAZQBTAG8AbABpAGQAcwBQAHIAbwBkAHUAYwBlAGQAXABuAFQAYQBiAGwAZQAgAEEALgAxAC4ANQAuADIAOgAgAE8AdABoAGUAcgAgAEwAaQB2AGUAcwB0AG8AYwBrACAALQAgAFYAbwBsAGEAdABpAGwAZQAgAHMAbwBsAGkAZABzACAAcAByAG8AZAB1AGMAZQBkACAAYgB5ACAAZQBhAGMAaAAgAG8AdABoAGUAcgAgAGwAaQB2AGUAcwB0AG8AYwBrACAAdAB5AHAAZQAgACgAawBnACAAVgBTAC8AaABlAGEAZAAvAGQAYQB5ACkAIAAoAFYAUwBqACkAXABuAC0ALQAtAC0ALQAtAC0ALQAtAC0ALQAtAC0ALQAtAC0ALQAtAC0ALQAtAC0ALQAtAC0ALQAtAC0ALQAtAC0ALQAtAC0ALQAtAC0ALQBcAG4AKgAvAFwAbgBcAG4AUwBvAHUAcgBjAGUARABhAHQAYQBfAE8AdABoAGUAcgBMAGkAdgBlAHMAdABvAGMAawBfAFYAbwBsAGEAdABpAGwAZQBTAG8AbABpAGQAcwBQAHIAbwBkAHUAYwBlAGQAXwBUAGkAdABsAGUAXABuACAAIAA9AEwAQQBNAEIARABBACgAXAAiAE8AdABoAGUAcgAgAEwAaQB2AGUAcwB0AG8AYwBrACAALQAgAFYAbwBsAGEAdABpAGwAZQAgAHMAbwBsAGkAZABzACAAcAByAG8AZAB1AGMAZQBkACAAYgB5ACAAZQBhAGMAaAAgAG8AdABoAGUAcgAgAGwAaQB2AGUAcwB0AG8AYwBrACAAdAB5AHAAZQBcACIAKQA7AFwAbgBcAG4AUwBvAHUAcgBjAGUARABhAHQAYQBfAE8AdABoAGUAcgBMAGkAdgBlAHMAdABvAGMAawBfAFYAbwBsAGEAdABpAGwAZQBTAG8AbABpAGQAcwBQAHIAbwBkAHUAYwBlAGQAXwBWAGEAcgBpAGEAYgBsAGUAXABuACAAIAA9AEwAQQBNAEIARABBACgAXAAiAFYAUwBqAFwAIgApADsAXABuAFwAbgBTAG8AdQByAGMAZQBEAGEAdABhAF8ATwB0AGgAZQByAEwAaQB2AGUAcwB0AG8AYwBrAF8AVgBvAGwAYQB0AGkAbABlAFMAbwBsAGkAZABzAFAAcgBvAGQAdQBjAGUAZABfAFUAbgBpAHQAXABuACAAIAA9AEwAQQBNAEIARABBACgAXAAiAGsAZwAgAFYAUwAgAC8AIABoAGUAYQBkACAALwAgAGQAYQB5AFwAIgApADsAXABuAFwAbgBTAG8AdQByAGMAZQBEAGEAdABhAF8ATwB0AGgAZQByAEwAaQB2AGUAcwB0AG8AYwBrAF8AVgBvAGwAYQB0AGkAbABlAFMAbwBsAGkAZABzAFAAcgBvAGQAdQBjAGUAZABfAFMAbwB1AHIAYwBlAFwAbgAgACAAPQBMAEEATQBCAEQAQQAoAFwAIgBWAEUARQBSAEcAIAAyADAAMgA2ADoAIABUAGEAYgBsAGUAIABBAC4AMQAuADUALgAyAFwAIgApADsAXABuAFwAbgBTAG8AdQByAGMAZQBEAGEAdABhAF8ATwB0AGgAZQByAEwAaQB2AGUAcwB0AG8AYwBrAF8AVgBvAGwAYQB0AGkAbABlAFMAbwBsAGkAZABzAFAAcgBvAGQAdQBjAGUAZABfAFYAYQByAGkAYQB0AGkAbwBuAFwAbgAgACAAPQBMAEEATQBCAEQAQQAoAFwAIgBcACIAKQA7AFwAbgBcAG4AUwBvAHUAcgBjAGUARABhAHQAYQBfAE8AdABoAGUAcgBMAGkAdgBlAHMAdABvAGMAawBfAFYAbwBsAGEAdABpAGwAZQBTAG8AbABpAGQAcwBQAHIAbwBkAHUAYwBlAGQAXwBEAGEAdABhAFwAbgAgACAAPQBMAEEATQBCAEQAQQAoAFwAbgAgACAAIAAgAE0AQQBLAEUAQQBSAFIAQQBZACgAOQAsACAAMgAsAFwAbgAgACAAIAAgACAAIABMAEEATQBCAEQAQQAoAHIALABjACwAXABuACAAIAAgACAAIAAgACAAIABJAE4ARABFAFgAKAB7AFwAbgAgACAAIAAgACAAIAAgACAAIAAgAFwAIgBPAHQAaABlAHIAIABMAGkAdgBlAHMAdABvAGMAawAgAFQAeQBwAGUAXAAiACwAIABcACIAVgBTAGoAXAAiADsAXABuACAAIAAgACAAIAAgACAAIAAgACAAXAAiAEIAdQBmAGYAYQBsAG8AXAAiACwAIAAyAC4ANwAzADsAXABuACAAIAAgACAAIAAgACAAIAAgACAAXAAiAEcAbwBhAHQAcwBcACIALAAgADAALgAzADQAOwBcAG4AIAAgACAAIAAgACAAIAAgACAAIABcACIARABlAGUAcgBcACIALAAgADAALgA5ADEAOwBcAG4AIAAgACAAIAAgACAAIAAgACAAIABcACIAQwBhAG0AZQBsAHMAXAAiACwAIAAyAC4ANwAzADsAXABuACAAIAAgACAAIAAgACAAIAAgACAAXAAiAEEAbABwAGEAYwBhAHMAXAAiACwAIAAwAC4AMwA0ADsAXABuACAAIAAgACAAIAAgACAAIAAgACAAXAAiAEgAbwByAHMAZQBzAFwAIgAsACAAMgAuADcAMwA7AFwAbgAgACAAIAAgACAAIAAgACAAIAAgAFwAIgBNAHUAbABlAHMALwBhAHMAcwBlAHMAXAAiACwAIAAwAC4AOQAxADsAXABuACAAIAAgACAAIAAgACAAIAAgACAAXAAiAEUAbQB1AHMALwBvAHMAdAByAGkAYwBoAGUAcwBcACIALAAgADAALgAzADQ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TgBpAHQAcgBvAGcAZQBuAEUAeABjAHIAZQB0AGUAZABcAG4AVABhAGIAbABlACAAQQAuADEALgA1AC4AMwA6ACAATwB0AGgAZQByACAATABpAHYAZQBzAHQAbwBjAGsAIAAtACAATgBpAHQAcgBvAGcAZQBuACAAZQB4AGMAcgBlAHQAZQBkACAAcABlAHIAIABsAGkAdgBlAHMAdABvAGMAawAgAHQAeQBwAGUAIAAoAGsAZwAgAE4AMgBPAC8AaABlAGEAZAAvAHkAZQBhAHIAKQAgACgATgBFAGoAKQBcAG4ALQAtAC0ALQAtAC0ALQAtAC0ALQAtAC0ALQAtAC0ALQAtAC0ALQAtAC0ALQAtAC0ALQAtAC0ALQAtAC0ALQAtAC0ALQAtAC0ALQAtAFwAbgAqAC8AXABuAFwAbgBTAG8AdQByAGMAZQBEAGEAdABhAF8ATwB0AGgAZQByAEwAaQB2AGUAcwB0AG8AYwBrAF8ATgBpAHQAcgBvAGcAZQBuAEUAeABjAHIAZQB0AGUAZABfAFQAaQB0AGwAZQBcAG4AIAAgAD0ATABBAE0AQgBEAEEAKABcACIATwB0AGgAZQByACAATABpAHYAZQBzAHQAbwBjAGsAIAAtACAATgBpAHQAcgBvAGcAZQBuACAAZQB4AGMAcgBlAHQAZQBkACAAcABlAHIAIABsAGkAdgBlAHMAdABvAGMAawAgAHQAeQBwAGUAXAAiACkAOwBcAG4AXABuAFMAbwB1AHIAYwBlAEQAYQB0AGEAXwBPAHQAaABlAHIATABpAHYAZQBzAHQAbwBjAGsAXwBOAGkAdAByAG8AZwBlAG4ARQB4AGMAcgBlAHQAZQBkAF8AVgBhAHIAaQBhAGIAbABlAFwAbgAgACAAPQBMAEEATQBCAEQAQQAoAFwAIgBOAEUAagBcACIAKQA7AFwAbgBcAG4AUwBvAHUAcgBjAGUARABhAHQAYQBfAE8AdABoAGUAcgBMAGkAdgBlAHMAdABvAGMAawBfAE4AaQB0AHIAbwBnAGUAbgBFAHgAYwByAGUAdABlAGQAXwBVAG4AaQB0AFwAbgAgACAAPQBMAEEATQBCAEQAQQAoAFwAIgBrAGcAIABOADIATwAgAC8AIABoAGUAYQBkACAALwAgAHkAZQBhAHIAXAAiACkAOwBcAG4AXABuAFMAbwB1AHIAYwBlAEQAYQB0AGEAXwBPAHQAaABlAHIATABpAHYAZQBzAHQAbwBjAGsAXwBOAGkAdAByAG8AZwBlAG4ARQB4AGMAcgBlAHQAZQBkAF8AUwBvAHUAcgBjAGUAXABuACAAIAA9AEwAQQBNAEIARABBACgAXAAiAFYARQBFAFIARwAgADIAMAAyADYAOgAgAFQAYQBiAGwAZQAgAEEALgAxAC4ANQAuADMAXAAiACkAOwBcAG4AXABuAFMAbwB1AHIAYwBlAEQAYQB0AGEAXwBPAHQAaABlAHIATABpAHYAZQBzAHQAbwBjAGsAXwBOAGkAdAByAG8AZwBlAG4ARQB4AGMAcgBlAHQAZQBkAF8AVgBhAHIAaQBhAHQAaQBvAG4AXABuACAAIAA9AEwAQQBNAEIARABBACgAXAAiAFwAIgApADsAXABuAFwAbgBTAG8AdQByAGMAZQBEAGEAdABhAF8ATwB0AGgAZQByAEwAaQB2AGUAcwB0AG8AYwBrAF8ATgBpAHQAcgBvAGcAZQBuAEUAeABjAHIAZQB0AGUAZA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OAEUAagBcACIAOwBcAG4AIAAgACAAIAAgACAAIAAgACAAIABcACIAQgB1AGYAZgBhAGwAbwBcACIALAAgADMAOQAuADUAOwBcAG4AIAAgACAAIAAgACAAIAAgACAAIABcACIARwBvAGEAdABzAFwAIgAsACAANwAuADAAOwBcAG4AIAAgACAAIAAgACAAIAAgACAAIABcACIARABlAGUAcgBcACIALAAgADEAMwAuADIAOwBcAG4AIAAgACAAIAAgACAAIAAgACAAIABcACIAQwBhAG0AZQBsAHMAXAAiACwAIAAzADkALgA1ADsAXABuACAAIAAgACAAIAAgACAAIAAgACAAXAAiAEEAbABwAGEAYwBhAHMAXAAiACwAIAA3AC4AMAA7AFwAbgAgACAAIAAgACAAIAAgACAAIAAgAFwAIgBIAG8AcgBzAGUAcwBcACIALAAgADMAOQAuADUAOwBcAG4AIAAgACAAIAAgACAAIAAgACAAIABcACIATQB1AGwAZQBzAC8AYQBzAHMAZQBzAFwAIgAsACAAMQAzAC4AMgA7AFwAbgAgACAAIAAgACAAIAAgACAAIAAgAFwAIgBFAG0AdQBzAC8AbwBzAHQAcgBpAGMAaABlAHMAXAAiACwAIAA3AC4AM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BAHYAZQByAGEAZwBlAEwAaQB2AGUAdwBlAGkAZwBoAHQAXABuAFQAYQBiAGwAZQAgAEEALgAxAC4ANQAuADQAOgAgAE8AdABoAGUAcgAgAEwAaQB2AGUAcwB0AG8AYwBrACAALQAgAEEAdgBlAHIAYQBnAGUAIABMAGkAdgBlAHcAZQBpAGcAaAB0AHMAIAAoAFcAYwBvACkAIAAoAGsAZwApACAAXABuAC0ALQAtAC0ALQAtAC0ALQAtAC0ALQAtAC0ALQAtAC0ALQAtAC0ALQAtAC0ALQAtAC0ALQAtAC0ALQAtAC0ALQAtAC0ALQAtAC0ALQBcAG4AKgAvAFwAbgBcAG4AUwBvAHUAcgBjAGUARABhAHQAYQBfAE8AdABoAGUAcgBMAGkAdgBlAHMAdABvAGMAawBfAEEAdgBlAHIAYQBnAGUATABpAHYAZQB3AGUAaQBnAGgAdABfAFQAaQB0AGwAZQBcAG4AIAAgAD0ATABBAE0AQgBEAEEAKABcACIATwB0AGgAZQByACAATABpAHYAZQBzAHQAbwBjAGsAIAAtACAAQQB2AGUAcgBhAGcAZQAgAEwAaQB2AGUAdwBlAGkAZwBoAHQAcwBcACIAKQA7AFwAbgBcAG4AUwBvAHUAcgBjAGUARABhAHQAYQBfAE8AdABoAGUAcgBMAGkAdgBlAHMAdABvAGMAawBfAEEAdgBlAHIAYQBnAGUATABpAHYAZQB3AGUAaQBnAGgAdABfAFYAYQByAGkAYQBiAGwAZQBcAG4AIAAgAD0ATABBAE0AQgBEAEEAKABcACIAVwBjAG8AXAAiACkAOwBcAG4AXABuAFMAbwB1AHIAYwBlAEQAYQB0AGEAXwBPAHQAaABlAHIATABpAHYAZQBzAHQAbwBjAGsAXwBBAHYAZQByAGEAZwBlAEwAaQB2AGUAdwBlAGkAZwBoAHQAXwBVAG4AaQB0AFwAbgAgACAAPQBMAEEATQBCAEQAQQAoAFwAIgBrAGcAXAAiACkAOwBcAG4AXABuAFMAbwB1AHIAYwBlAEQAYQB0AGEAXwBPAHQAaABlAHIATABpAHYAZQBzAHQAbwBjAGsAXwBBAHYAZQByAGEAZwBlAEwAaQB2AGUAdwBlAGkAZwBoAHQAXwBTAG8AdQByAGMAZQBcAG4AIAAgAD0ATABBAE0AQgBEAEEAKABcACIAVgBFAEUAUgBHACAAMgAwADIANgA6ACAAVABhAGIAbABlACAAQQAuADEALgA1AC4ANABcACIAKQA7AFwAbgBcAG4AUwBvAHUAcgBjAGUARABhAHQAYQBfAE8AdABoAGUAcgBMAGkAdgBlAHMAdABvAGMAawBfAEEAdgBlAHIAYQBnAGUATABpAHYAZQB3AGUAaQBnAGgAdABfAFYAYQByAGkAYQB0AGkAbwBuAFwAbgAgACAAPQBMAEEATQBCAEQAQQAoAFwAIgBcACIAKQA7AFwAbgBcAG4AUwBvAHUAcgBjAGUARABhAHQAYQBfAE8AdABoAGUAcgBMAGkAdgBlAHMAdABvAGMAawBfAEEAdgBlAHIAYQBnAGUATABpAHYAZQB3AGUAaQBnAGgAdABfAEQAYQB0AGEAXABuACAAIAA9AEwAQQBNAEIARABBACgAXABuACAAIAAgACAATQBBAEsARQBBAFIAUgBBAFkAKAAxADEALAAgADMALABcAG4AIAAgACAAIAAgACAATABBAE0AQgBEAEEAKAByACwAYwAsAFwAbgAgACAAIAAgACAAIAAgACAASQBOAEQARQBYACgAewBcAG4AIAAgACAAIAAgACAAIAAgACAAIABcACIATwB0AGgAZQByACAATABpAHYAZQBzAHQAbwBjAGsAIABUAHkAcABlACAAagBcACIALAAgAFwAIgBBAHYAZQByAGEAZwBlACAATABpAHYAZQB3AGUAaQBnAGgAdABcACIALAAgAFwAIgBBAHYAZQByAGEAZwBlACAATABpAHYAZQB3AGUAaQBnAGgAdABcACIAOwBcAG4AIAAgACAAIAAgACAAIAAgACAAIABcACIAQgB1AGYAZgBhAGwAbwBcACIALAAgADMAMwA2ACwAIABcACIALQBcACIAOwBcAG4AIAAgACAAIAAgACAAIAAgACAAIABcACIARwBvAGEAdABzAFwAIgAsACAAMwAzACwAIABcACIAMgA4AGsAZwAgAC0AIABsAG8AdwAgAHAAcgBvAGQAdQBjAHQAaQB2AGkAdAB5ACAAcwB5AHMAdABlAG0AcwBcACIAOwBcAG4AIAAgACAAIAAgACAAIAAgACAAIABcACIARwBvAGEAdABzAFwAIgAsACAAMwAzACwAIABcACIANQAwAGsAZwAgAC0AIABoAGkAZwBoACAAcAByAG8AZAB1AGMAdABpAHYAaQB0AHkAIABzAHkAcwB0AGUAbQBzAFwAIgA7AFwAbgAgACAAIAAgACAAIAAgACAAIAAgAFwAIgBEAGUAZQByAFwAIgAsACAAMQAyADAALAAgADEAMgAwADsAXABuACAAIAAgACAAIAAgACAAIAAgACAAXAAiAEMAYQBtAGUAbABzAFwAIgAsACAAMgAxADcALAAgADUANwAwADsAXABuACAAIAAgACAAIAAgACAAIAAgACAAXAAiAEEAbABwAGEAYwBhAHMAXAAiACwAIABcACIALQBcACIALAAgADYANQA7AFwAbgAgACAAIAAgACAAIAAgACAAIAAgAFwAIgBIAG8AcgBzAGUAcwBcACIALAAgADMANwA3ACwAIAA1ADUAMAA7AFwAbgAgACAAIAAgACAAIAAgACAAIAAgAFwAIgBNAHUAbABlAHMALwBhAHMAcwBlAHMAXAAiACwAIAAxADMAMAAsACAAMgA0ADUAOwBcAG4AIAAgACAAIAAgACAAIAAgACAAIABcACIARQBtAHUAcwAvAG8AcwB0AHIAaQBjAGgAZQBzAFwAIgAsACAAMQAyADAALAAgADEAMgAwADsAXABuACAAIAAgACAAIAAgACAAIAAgACAAXAAiAFIAZQBmAGUAcgBlAG4AYwBlAFwAIgAsACAAXAAiAEkAUABDAEMAIAAyADAAMQA5ACAAVABhAGIAbABlACAAMQAwAEEALgA1ACAAWwAyAF0AXAAiACwAIABcACIASQBQAEMAQwAgADIAMAAxADkAIABUAGEAYgBsAGUAIAAxADAALgAxADAAIABbADIAX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RgByAGEAYwB0AGkAbwBuAFcAYQBzAHQAZQBJAG4ATQBNAFMAXABuAFQAYQBiAGwAZQAgAEEALgAxAC4ANQAuADUAOgAgAE8AdABoAGUAcgAgAEwAaQB2AGUAcwB0AG8AYwBrACAALQAgAEYAcgBhAGMAdABpAG8AbgAgAG8AZgAgAHcAYQBzAHQAZQAgAGkAbg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TwB0AGgAZQByAEwAaQB2AGUAcwB0AG8AYwBrAF8ARgByAGEAYwB0AGkAbwBuAFcAYQBzAHQAZQBJAG4ATQBNAFMAXwBUAGkAdABsAGUAXABuACAAIAA9AEwAQQBNAEIARABBACgAXAAiAE8AdABoAGUAcgAgAEwAaQB2AGUAcwB0AG8AYwBrACAALQAgAEYAcgBhAGMAdABpAG8AbgAgAG8AZgAgAHcAYQBzAHQAZQAgAGkAbgAgAGUAYQBjAGgAIABtAGEAbgB1AHIAZQAgAG0AYQBuAGEAZwBlAG0AZQBuAHQAIABzAHkAcwB0AGUAbQBcACIAKQA7AFwAbgBcAG4AUwBvAHUAcgBjAGUARABhAHQAYQBfAE8AdABoAGUAcgBMAGkAdgBlAHMAdABvAGMAawBfAEYAcgBhAGMAdABpAG8AbgBXAGEAcwB0AGUASQBuAE0ATQBTAF8AVgBhAHIAaQBhAGIAbABlAFwAbgAgACAAPQBMAEEATQBCAEQAQQAoAFwAIgBNAE0AUwBtAFwAIgApADsAXABuAFwAbgBTAG8AdQByAGMAZQBEAGEAdABhAF8ATwB0AGgAZQByAEwAaQB2AGUAcwB0AG8AYwBrAF8ARgByAGEAYwB0AGkAbwBuAFcAYQBzAHQAZQBJAG4ATQBNAFMAXwBVAG4AaQB0AFwAbgAgACAAPQBMAEEATQBCAEQAQQAoAFwAIgBmAHIAYQBjAHQAaQBvAG4AXAAiACkAOwBcAG4AXABuAFMAbwB1AHIAYwBlAEQAYQB0AGEAXwBPAHQAaABlAHIATABpAHYAZQBzAHQAbwBjAGsAXwBGAHIAYQBjAHQAaQBvAG4AVwBhAHMAdABlAEkAbgBNAE0AUwBfAFMAbwB1AHIAYwBlAFwAbgAgACAAPQBMAEEATQBCAEQAQQAoAFwAIgBWAEUARQBSAEcAIAAyADAAMgA2ADoAIABUAGEAYgBsAGUAIABBAC4AMQAuADUALgA1AFwAIgApADsAXABuAFwAbgBTAG8AdQByAGMAZQBEAGEAdABhAF8ATwB0AGgAZQByAEwAaQB2AGUAcwB0AG8AYwBrAF8ARgByAGEAYwB0AGkAbwBuAFcAYQBzAHQAZQBJAG4ATQBNAFMAXwBWAGEAcgBpAGEAdABpAG8AbgBcAG4AIAAgAD0ATABBAE0AQgBEAEEAKABcACIAXAAiACkAOwBcAG4AXABuAFMAbwB1AHIAYwBlAEQAYQB0AGEAXwBPAHQAaABlAHIATABpAHYAZQBzAHQAbwBjAGsAXwBGAHIAYQBjAHQAaQBvAG4AVwBhAHMAdABlAEkAbgBNAE0AUwBfAEQAYQB0AGEAXABuACAAIAA9AEwAQQBNAEIARABBACgAXABuACAAIAAgACAATQBBAEsARQBBAFIAUgBBAFkAKAA5ACwAIAAzACwAXABuACAAIAAgACAAIAAgAEwAQQBNAEIARABBACgAcgAsAGMALABcAG4AIAAgACAAIAAgACAAIAAgAEkATgBEAEUAWAAoAHsAXABuACAAIAAgACAAIAAgACAAIAAgACAAXAAiAFMAdABhAHQAZQBcACIALAAgAFwAIgBQAGEAcwB0AHUAcgBlACAAcgBhAG4AZwBlACAAYQBuAGQAIABwAGEAZABkAG8AYwBrAFwAIgAsACAAXAAiAFUAbgBjAG8AdgBlAHIAZQBkACAAQQBuAGEAZQByAG8AYgBpAGMAIABsAGEAZwBvAG8AbgBcACIAOwBcAG4AIAAgACAAIAAgACAAIAAgACAAIABcACIAQQBDAFQAXAAiACwAIAAgADkAOQAuADYANgAsACAAIAAwAC4AMwA0ADsAXABuACAAIAAgACAAIAAgACAAIAAgACAAXAAiAE4AUwBXAFwAIgAsACAAIAA5ADkALgA2ADYALAAgACAAMAAuADMANAA7AFwAbgAgACAAIAAgACAAIAAgACAAIAAgAFwAIgBOAFQAXAAiACwAIAAgADkAOQAuADYANgAsACAAIAAwAC4AMwA0ADsAXABuACAAIAAgACAAIAAgACAAIAAgACAAXAAiAFEATABEAFwAIgAsACAAIAA5ADkALgA2ADYALAAgACAAMAAuADMANAA7AFwAbgAgACAAIAAgACAAIAAgACAAIAAgAFwAIgBTAEEAXAAiACwAIAAgADkAOQAuADYANgAsACAAIAAwAC4AMwA0ADsAXABuACAAIAAgACAAIAAgACAAIAAgACAAXAAiAFQAQQBTAFwAIgAsACAAIAA5ADkALgA2ADYALAAgACAAMAAuADMANAA7AFwAbgAgACAAIAAgACAAIAAgACAAIAAgAFwAIgBWAEkAQwBcACIALAAgACAAOQA5AC4ANgA2ACwAIAAgADAALgAzADQAOwBcAG4AIAAgACAAIAAgACAAIAAgACAAIABcACIAVwBBAFwAIgAsACAAIAA5ADkALgA2ADYALAAgACAAMAAuADMAN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NAGUAdABoAGEAbgBlAEMAbwBuAHYAZQByAHMAaQBvAG4ARgBhAGMAdABvAHIAXABuAFQAYQBiAGwAZQAgAEEALgAxAC4ANQAuADYAOgAgAE8AdABoAGUAcgAgAEwAaQB2AGUAcwB0AG8AYwBr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E8AdABoAGUAcgBMAGkAdgBlAHMAdABvAGMAawBfAE0AZQB0AGgAYQBuAGUAQwBvAG4AdgBlAHIAcwBpAG8AbgBGAGEAYwB0AG8AcgBfAFQAaQB0AGwAZQBcAG4AIAAgAD0ATABBAE0AQgBEAEEAKABcACIATwB0AGgAZQByACAATABpAHYAZQBzAHQAbwBjAGsAIAAtACAATQBlAHQAaABhAG4AZQAgAGMAbwBuAHYAZQByAHMAaQBvAG4AIABmAGEAYwB0AG8AcgAgAHAAZQByACAAcgBlAGcAaQBvAG4AXAAiACkAOwBcAG4AXABuAFMAbwB1AHIAYwBlAEQAYQB0AGEAXwBPAHQAaABlAHIATABpAHYAZQBzAHQAbwBjAGsAXwBNAGUAdABoAGEAbgBlAEMAbwBuAHYAZQByAHMAaQBvAG4ARgBhAGMAdABvAHIAXwBWAGEAcgBpAGEAYgBsAGUAXABuACAAIAA9AEwAQQBNAEIARABBACgAXAAiAE0AQwBGAGkAbQBcACIAKQA7AFwAbgBcAG4AUwBvAHUAcgBjAGUARABhAHQAYQBfAE8AdABoAGUAcgBMAGkAdgBlAHMAdABvAGMAawBfAE0AZQB0AGgAYQBuAGUAQwBvAG4AdgBlAHIAcwBpAG8AbgBGAGEAYwB0AG8AcgBfAFUAbgBpAHQAXABuACAAIAA9AEwAQQBNAEIARABBACgAXAAiAGYAcgBhAGMAdABpAG8AbgBcACIAKQA7AFwAbgBcAG4AUwBvAHUAcgBjAGUARABhAHQAYQBfAE8AdABoAGUAcgBMAGkAdgBlAHMAdABvAGMAawBfAE0AZQB0AGgAYQBuAGUAQwBvAG4AdgBlAHIAcwBpAG8AbgBGAGEAYwB0AG8AcgBfAFMAbwB1AHIAYwBlAFwAbgAgACAAPQBMAEEATQBCAEQAQQAoAFwAIgBWAEUARQBSAEcAIAAyADAAMgA2ADoAIABUAGEAYgBsAGUAIABBAC4AMQAuADUALgA2AFwAIgApADsAXABuAFwAbgBTAG8AdQByAGMAZQBEAGEAdABhAF8ATwB0AGgAZQByAEwAaQB2AGUAcwB0AG8AYwBrAF8ATQBlAHQAaABhAG4AZQBDAG8AbgB2AGUAcgBzAGkAbwBuAEYAYQBjAHQAbwByAF8AVgBhAHIAaQBhAHQAaQBvAG4AXABuACAAIAA9AEwAQQBNAEIARABBACgAXAAiAFwAIgApADsAXABuAFwAbgBTAG8AdQByAGMAZQBEAGEAdABhAF8ATwB0AGgAZQByAEwAaQB2AGUAcwB0AG8AYwBrAF8ATQBlAHQAaABhAG4AZQBDAG8AbgB2AGUAcgBzAGkAbwBuAEYAYQBjAHQAbwByAF8ARABhAHQAYQBcAG4AIAAgAD0ATABBAE0AQgBEAEEAKABcAG4AIAAgACAAIABNAEEASwBFAEEAUgBSAEEAWQAoADkALAAgADMALABcAG4AIAAgACAAIAAgACAATABBAE0AQgBEAEEAKAByACwAYwAsAFwAbgAgACAAIAAgACAAIAAgACAASQBOAEQARQBYACgAewBcAG4AIAAgACAAIAAgACAAIAAgACAAIABcACIAUwB0AGEAdABlAFwAIgAsACAAXAAiAFAAYQBzAHQAdQByAGUAIAByAGEAbgBnAGUAIABhAG4AZAAgAHAAYQBkAGQAbwBjAGsAXAAiACwAIABcACIAVQBuAGMAbwB2AGUAcgBlAGQAIABBAG4AYQBlAHIAbwBiAGkAYwAgAGwAYQBnAG8AbwBuAFwAIgA7AFwAbgAgACAAIAAgACAAIAAgACAAIAAgAFwAIgBBAEMAVABcACIALAAgACAAMAAuADAAMAA0ADcALAAgACAAMAAuADcAMQA7AFwAbgAgACAAIAAgACAAIAAgACAAIAAgAFwAIgBOAFMAVwBcACIALAAgACAAMAAuADAAMAA0ADcALAAgACAAMAAuADcANQA7AFwAbgAgACAAIAAgACAAIAAgACAAIAAgAFwAIgBOAFQAXAAiACwAIAAgADAALgAwADAANAA3ACwAIAAgADAALgA4ADAAOwBcAG4AIAAgACAAIAAgACAAIAAgACAAIABcACIAUQBMAEQAXAAiACwAIAAgADAALgAwADAANAA3ACwAIAAgADAALgA3ADgAOwBcAG4AIAAgACAAIAAgACAAIAAgACAAIABcACIAUwBBAFwAIgAsACAAIAAwAC4AMAAwADQANwAsACAAIAAwAC4ANwA0ADsAXABuACAAIAAgACAAIAAgACAAIAAgACAAXAAiAFQAQQBTAFwAIgAsACAAIAAwAC4AMAAwADQANwAsACAAIAAwAC4ANwAwADsAXABuACAAIAAgACAAIAAgACAAIAAgACAAXAAiAFYASQBDAFwAIgAsACAAIAAwAC4AMAAwADQANwAsACAAIAAwAC4ANwA0ADsAXABuACAAIAAgACAAIAAgACAAIAAgACAAXAAiAFcAQQBcACIALAAgACAAMAAuADAAMAA0ADcALAAgACAAMAAuADcANg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NAGUAdABoAGEAbgBlAEUAbQBpAHMAcwBpAG8AbgBzAFAAbwB0AGUAbgB0AGkAYQBsAFwAbgBUAGEAYgBsAGUAIABBAC4AMQAuADUALgBYADoAIABPAHQAaABlAHIAIABMAGkAdgBlAHMAdABvAGMAawAgAC0AIABNAGUAdABoAGEAbgBlACAAZQBtAGkAcwBzAGkAbwBuAHMAIABwAG8AdABlAG4AdABpAGEAbAAgACgAbQAzACAAQwBIADQAIAAvACAAawBnACAAVgBTACkAIAAoAEIATwApAFwAbgAtAC0ALQAtAC0ALQAtAC0ALQAtAC0ALQAtAC0ALQAtAC0ALQAtAC0ALQAtAC0ALQAtAC0ALQAtAC0ALQAtAC0ALQAtAC0ALQAtAC0AXABuACoALwBcAG4AXABuAFMAbwB1AHIAYwBlAEQAYQB0AGEAXwBPAHQAaABlAHIATABpAHYAZQBzAHQAbwBjAGsAXwBNAGUAdABoAGEAbgBlAEUAbQBpAHMAcwBpAG8AbgBzAFAAbwB0AGUAbgB0AGkAYQBsAF8AVABpAHQAbABlAFwAbgAgACAAPQBMAEEATQBCAEQAQQAoAFwAIgBPAHQAaABlAHIAIABMAGkAdgBlAHMAdABvAGMAawAgAC0AIABNAGUAdABoAGEAbgBlACAAZQBtAGkAcwBzAGkAbwBuAHMAIABwAG8AdABlAG4AdABpAGEAbABcACIAKQA7AFwAbgBcAG4AUwBvAHUAcgBjAGUARABhAHQAYQBfAE8AdABoAGUAcgBMAGkAdgBlAHMAdABvAGMAawBfAE0AZQB0AGgAYQBuAGUARQBtAGkAcwBzAGkAbwBuAHMAUABvAHQAZQBuAHQAaQBhAGwAXwBWAGEAcgBpAGEAYgBsAGUAXABuACAAIAA9AEwAQQBNAEIARABBACgAXAAiAEIATwBcACIAKQA7AFwAbgBcAG4AUwBvAHUAcgBjAGUARABhAHQAYQBfAE8AdABoAGUAcgBMAGkAdgBlAHMAdABvAGMAawBfAE0AZQB0AGgAYQBuAGUARQBtAGkAcwBzAGkAbwBuAHMAUABvAHQAZQBuAHQAaQBhAGwAXwBVAG4AaQB0AFwAbgAgACAAPQBMAEEATQBCAEQAQQAoAFwAIgBtADMAIABDAEgANAAgAC8AIABrAGcAIABWAFMAXAAiACkAOwBcAG4AXABuAFMAbwB1AHIAYwBlAEQAYQB0AGEAXwBPAHQAaABlAHIATABpAHYAZQBzAHQAbwBjAGsAXwBNAGUAdABoAGEAbgBlAEUAbQBpAHMAcwBpAG8AbgBzAFAAbwB0AGUAbgB0AGkAYQBsAF8AUwBvAHUAcgBjAGUAXABuACAAIAA9AEwAQQBNAEIARABBACgAXAAiAFYARQBFAFIARwAgADIAMAAyADYAOgAgAFQAYQBiAGwAZQAgAEEALgAxAC4ANQAuAFgAXAAiACkAOwBcAG4AXABuAFMAbwB1AHIAYwBlAEQAYQB0AGEAXwBPAHQAaABlAHIATABpAHYAZQBzAHQAbwBjAGsAXwBNAGUAdABoAGEAbgBlAEUAbQBpAHMAcwBpAG8AbgBzAFAAbwB0AGUAbgB0AGkAYQBsAF8AVgBhAHIAaQBhAHQAaQBvAG4AXABuACAAIAA9AEwAQQBNAEIARABBACgAXAAiAFYAQQBSAEkAQQBUAEkATwBOACAATwBOACAAUwBPAFUAUgBDAEUAOgAgAFQAaABlAHIAZQAgAHcAZQByAGUAIABuAG8AIAB2AGEAbAB1AGUAcwAgAGkAbgAgAFYARQBFAFIARwAgAHMAbwAgAHQAaABpAHMAIABkAGEAdABhACAAaABhAHMAIABiAGUAZQBuACAAZwBlAG4AZQByAGEAdABlAGQAIABiAHkAIAB1AHMAaQBuAGcAIABkAG8AYwB1AG0AZQBuAHQAZQBkACAAQgBPACAAdgBhAGwAdQBlAHMAIABmAHIAbwBtACAAbwB0AGgAZQByACAAbABpAHYAZQBzAHQAbwBjAGsAXAAiACkAOwBcAG4AXABuAFMAbwB1AHIAYwBlAEQAYQB0AGEAXwBPAHQAaABlAHIATABpAHYAZQBzAHQAbwBjAGsAXwBNAGUAdABoAGEAbgBlAEUAbQBpAHMAcwBpAG8AbgBzAFAAbwB0AGUAbgB0AGkAYQBsAF8ARABhAHQAYQBcAG4AIAAgAD0ATABBAE0AQgBEAEEAKABcAG4AIAAgACAAIABNAEEASwBFAEEAUgBSAEEAWQAoADkALAAgADMALABcAG4AIAAgACAAIAAgACAATABBAE0AQgBEAEEAKAByACwAYwAsAFwAbgAgACAAIAAgACAAIAAgACAASQBOAEQARQBYACgAewBcAG4AIAAgACAAIAAgACAAIAAgACAAIABcACIATwB0AGgAZQByACAATABpAHYAZQBzAHQAbwBjAGsAIABUAHkAcABlAFwAIgAsACAAXAAiAEIATwBcACIALAAgAFwAIgBUAGEAawBlAG4AIABmAHIAbwBtAFwAIgA7AFwAbgAgACAAIAAgACAAIAAgACAAIAAgAFwAIgBCAHUAZgBmAGEAbABvAFwAIgAsACAAMAAuADEAOQAsACAAXAAiAEYAZQBlAGQAbABvAHQALAAgAFAAYQBzAHQAdQByAGUAIABiAGUAZQBmAFwAIgA7AFwAbgAgACAAIAAgACAAIAAgACAAIAAgAFwAIgBHAG8AYQB0AHMAXAAiACwAIAAwAC4AMgA0ACwAIABcACIAUwBoAGUAZQBwAFwAIgA7AFwAbgAgACAAIAAgACAAIAAgACAAIAAgAFwAIgBEAGUAZQByAFwAIgAsACAAMAAuADIANAAsACAAXAAiAFMAaABlAGUAcABcACIAOwBcAG4AIAAgACAAIAAgACAAIAAgACAAIABcACIAQwBhAG0AZQBsAHMAXAAiACwAIAAwAC4AMgA0ACwAIABcACIAUwBoAGUAZQBwAFwAIgA7AFwAbgAgACAAIAAgACAAIAAgACAAIAAgAFwAIgBBAGwAcABhAGMAYQBzAFwAIgAsACAAMAAuADIANAAsACAAXAAiAFMAaABlAGUAcABcACIAOwBcAG4AIAAgACAAIAAgACAAIAAgACAAIABcACIASABvAHIAcwBlAHMAXAAiACwAIAAwAC4AMQA5ACwAIABcACIARgBlAGUAZABsAG8AdAAsACAAUABhAHMAdAB1AHIAZQAgAGIAZQBlAGYAXAAiADsAXABuACAAIAAgACAAIAAgACAAIAAgACAAXAAiAE0AdQBsAGUAcwAvAGEAcwBzAGUAcwBcACIALAAgADAALgAyADQALAAgAFwAIgBTAGgAZQBlAHAAXAAiADsAXABuACAAIAAgACAAIAAgACAAIAAgACAAXAAiAEUAbQB1AHMALwBvAHMAdAByAGkAYwBoAGUAcwBcACIALAAgADAALgAzADYALAAgAFwAIgBQAG8AdQBsAHQAcgB5ACAALQAgAG0AZQBhAHQAIABjAGgAaQBjAGsAZQ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TwB0AGgAZQByAEwAaQB2AGUAcwB0AG8AYwBr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TwB0AGgAZQByAEwAaQB2AGUAcwB0AG8AYwBrAF8ARgByAGEAYwBHAEEAUwBNAFMAbwBpAGwAXwBWAGEAcgBpAGEAYgBsAGUAXABuACAAIAA9AEwAQQBNAEIARABBACgAXAAiAEYAcgBhAGMARwBBAFMATQBzAG8AaQBsAFwAIgApADsAXABuAFwAbgBTAG8AdQByAGMAZQBEAGEAdABhAF8ATwB0AGgAZQByAEwAaQB2AGUAcwB0AG8AYwBrAF8ARgByAGEAYwBHAEEAUwBNAFMAbwBpAGwAXwBVAG4AaQB0AFwAbgAgACAAPQBMAEEATQBCAEQAQQAoAFwAIgAoAGsAZwAgAE4ASAAzAC0ATgAgACsAIABOAE8AeAAtAE4AKQAvAGsAZwAgAE4AXAAiACkAOwBcAG4AXABuAFMAbwB1AHIAYwBlAEQAYQB0AGEAXwBPAHQAaABlAHIATABpAHYAZQBzAHQAbwBjAGsAXwBGAHIAYQBjAEcAQQBTAE0AUwBvAGkAbABfAFMAbwB1AHIAYwBlAFwAbgAgACAAPQBMAEEATQBCAEQAQQAoAFwAIgBWAEUARQBSAEcAIAAyADAAMgA2ADoAIAA0AC4ANwAuADIALgAzACAAQwBPAE4AUwBUAEEATgBUAFMAXAAiACkAOwBcAG4AXABuAFMAbwB1AHIAYwBlAEQAYQB0AGEAXwBPAHQAaABlAHIATABpAHYAZQBzAHQAbwBjAGsAXwBGAHIAYQBjAEcAQQBTAE0AUwBvAGkAbABfAFYAYQByAGkAYQB0AGkAbwBuAFwAbgAgACAAPQBMAEEATQBCAEQAQQAoAFwAIgBcACIAKQA7AFwAbgBcAG4AUwBvAHUAcgBjAGUARABhAHQAYQBfAE8AdABoAGUAcgBMAGkAdgBlAHMAdABvAGMAawBfAEYAcgBhAGMARwBBAFMATQBTAG8AaQBsAF8ARABhAHQAYQBcAG4AIAAgAD0ATABBAE0AQgBEAEEAKAAwAC4AMgAxACkAOwBcAG4AXABuACIAfQAsAHsAIgBwAGEAdABoACIAOgAiAC8AcAByAG8AagBlAGMAdABzAC8ATQBNAFMAXwBPAHQAaABlAHIATABpAHYAZQBzAHQAbwBjAGs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3ADoAIABNAGEAbgB1AHIAZQAgAE0AYQBuAGEAZwBlAG0AZQBuAHQAIAAtACAATwB0AGgAZQByACAATABpAHYAZQBzAHQAbwBjAGsAXABuAD0APQA9AD0APQA9AD0APQA9AD0APQA9AD0APQA9AD0APQA9AD0APQA9AD0APQA9AD0APQA9AD0APQA9AD0APQA9AD0APQA9AD0APQA9AD0APQA9AD0APQA9AD0APQA9AD0APQA9AD0APQA9AD0APQA9AD0APQA9AD0APQA9AD0APQA9AD0APQA9AD0APQA9AD0APQA9AD0AXABuADQALgA3AC4AMQAuADEAIABNAGUAdABoAG8AZAAgADEAIAAtACAATQBhAG4AdQByAGUAIABNAGUAdABoAGEAbgBl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wBfADEAXwAxAF8AXwAxAF8AVABvAHQAYQBsAEEAbgBuAHUAYQBsAE0AZQB0AGgAYQBuAGUAUAByAG8AZAB1AGMAdABpAG8AbgBGAHIAbwBtAE0AYQBuAHUAcgBlAE0AYQBuAGEAZwBlAG0AZQBuAHQATwB0AGgAZQByAEwAaQB2AGUAcwB0AG8AYwBrAFwAbgBUAG8AdABhAGwAIABhAG4AbgB1AGEAbAAgAG0AZQB0AGgAYQBuAGUAIABwAHIAbwBkAHUAYwB0AGkAbwBuACAAZgByAG8AbQAgAG0AYQBuAHUAcgBlACAAbQBhAG4AYQBnAGUAbQBlAG4AdAAgAG8AZgAgAG8AdABoAGUAcgAgAGwAaQB2AGUAcwB0AG8AYwBrAFwAbgBFAF8AQwBIADQAXABuAHQAIABDAEgANABcAG4ARQBfAHsAQwBIADQAfQA9AFwAXABzAHUAbQBfAGoAXABcAHMAdQBtAF8AbQAoAE4AXwBqAFwAXAB0AGkAbQBlAHMAIABNAF8AagBtAFwAXAB0AGkAbQBlAHMAIAAzADYANQApAFwAXAB0AGkAbQBlAHMAIAAxADAAXgB7AC0AMwB9AFwAbgBOAF8AagAgAD0AIABhAHYAZQByAGEAZwBlACAAYQBuAG4AdQBhAGwAIABuAHUAbQBiAGUAcgAgAG8AZgAgAGwAaQB2AGUAcwB0AG8AYwBrACAAcABlAHIAIABsAGkAdgBlAHMAdABvAGMAawAgAHQAeQBwAGUAIABqACAAKABoAGUAYQBkACkAXABuAE0AXwBqAG0AIAA9ACAAYQBuAG4AdQBhAGwAIABtAGUAdABoAGEAbgBlACAAcAByAG8AZAB1AGMAdABpAG8AbgAgAGYAcgBvAG0AIABtAGEAbgB1AHIAZQAgAG0AYQBuAGEAZwBlAG0AZQBuAHQAIAAoAGsAZwAgAEMASAA0AC8AaABlAGEAZAAvAGQAYQB5ACkAXABuAC0ALQAtAC0ALQAtAC0ALQAtAC0ALQAtAC0ALQAtAC0ALQAtAC0ALQAtAC0ALQAtAC0ALQAtAC0ALQAtAC0ALQAtAC0ALQAtAC0ALQBcAG4AKgAvAFwAbgBcAG4AVgBFAEUAUgBHAF8ANABfADcAXwAxAF8AMQBfAF8AMQBfAFQAbwB0AGEAbABBAG4AbgB1AGEAbABNAGUAdABoAGEAbgBlAFAAcgBvAGQAdQBjAHQAaQBvAG4ARgByAG8AbQBNAGEAbgB1AHIAZQBNAGEAbgBhAGcAZQBtAGUAbgB0AE8AdABoAGUAcgBMAGkAdgBlAHMAdABvAGMAawBcAG4AIAAgAD0ATABBAE0AQgBEAEEAKABcAG4AIAAgACAAIABOAF8AagAsACAATQBfAGoAbQAsAFwAbgAgACAAIAAgAFMAVQBNACgATgBfAGoAIAAqACAATQBfAGoAbQAgACoAIAAzADYANQApACAAKgAgADEAMAAgAF4AIAAtADMAXABuACAAIAApADsAXABuAFwAbgBWAEUARQBSAEcAXwA0AF8ANwBfADEAXwAxAF8AXwAxAF8AVABvAHQAYQBsAEEAbgBuAHUAYQBsAE0AZQB0AGgAYQBuAGUAUAByAG8AZAB1AGMAdABpAG8AbgBGAHIAbwBtAE0AYQBuAHUAcgBlAE0AYQBuAGEAZwBlAG0AZQBuAHQATwB0AGgAZQByAEwAaQB2AGUAcwB0AG8AYwBrAF8AVABpAHQAbABlAFwAbgAgACAAPQBMAEEATQBCAEQAQQAoAFwAIgBUAG8AdABhAGwAIABhAG4AbgB1AGEAbAAgAG0AZQB0AGgAYQBuAGUAIABwAHIAbwBkAHUAYwB0AGkAbwBuACAAZgByAG8AbQAgAG0AYQBuAHUAcgBlACAAbQBhAG4AYQBnAGUAbQBlAG4AdAAgAG8AZgAgAG8AdABoAGUAcgAgAGwAaQB2AGUAcwB0AG8AYwBrAFwAIgApADsAXABuAFwAbgBWAEUARQBSAEcAXwA0AF8ANwBfADEAXwAxAF8AXwAxAF8AVABvAHQAYQBsAEEAbgBuAHUAYQBsAE0AZQB0AGgAYQBuAGUAUAByAG8AZAB1AGMAdABpAG8AbgBGAHIAbwBtAE0AYQBuAHUAcgBlAE0AYQBuAGEAZwBlAG0AZQBuAHQATwB0AGgAZQByAEwAaQB2AGUAcwB0AG8AYwBrAF8AVgBhAHIAaQBhAGIAbABlAFwAbgAgACAAPQBMAEEATQBCAEQAQQAoAFwAIgBFAF8AQwBIADQAXAAiACkAOwBcAG4AXABuAFYARQBFAFIARwBfADQAXwA3AF8AMQBfADEAXwBfADEAXwBUAG8AdABhAGwAQQBuAG4AdQBhAGwATQBlAHQAaABhAG4AZQBQAHIAbwBkAHUAYwB0AGkAbwBuAEYAcgBvAG0ATQBhAG4AdQByAGUATQBhAG4AYQBnAGUAbQBlAG4AdABPAHQAaABlAHIATABpAHYAZQBzAHQAbwBjAGsAXwBVAG4AaQB0AFwAbgAgACAAPQBMAEEATQBCAEQAQQAoAFwAIgB0ACAAQwBIADQAXAAiACkAOwBcAG4AXABuAFYARQBFAFIARwBfADQAXwA3AF8AMQBfADEAXwBfADEAXwBUAG8AdABhAGwAQQBuAG4AdQBhAGwATQBlAHQAaABhAG4AZQBQAHIAbwBkAHUAYwB0AGkAbwBuAEYAcgBvAG0ATQBhAG4AdQByAGUATQBhAG4AYQBnAGUAbQBlAG4AdABPAHQAaABlAHIATABpAHYAZQBzAHQAbwBjAGsAXwBTAG8AdQByAGMAZQBcAG4AIAAgAD0ATABBAE0AQgBEAEEAKABcACIAVgBFAEUAUgBHACAAMgAwADIANgA6ACAANAAuADcALgAxAC4AMQAsACAARQBxAHUAYQB0AGkAbwBuACAAKAAxACkAXAAiACkAOwBcAG4AXABuAFYARQBFAFIARwBfADQAXwA3AF8AMQBfADEAXwBfADEAXwBUAG8AdABhAGwAQQBuAG4AdQBhAGwATQBlAHQAaABhAG4AZQBQAHIAbwBkAHUAYwB0AGkAbwBuAEYAcgBvAG0ATQBhAG4AdQByAGUATQBhAG4AYQBnAGUAbQBlAG4AdABPAHQAaABlAHIATABpAHYAZQBzAHQAbwBjAGsAXwBOAEkAUgBSAGUAZgBlAHIAZQBuAGMAZQBcAG4AIAAgAD0ATABBAE0AQgBEAEEAKABcACIAXAAiACkAOwBcAG4AXABuAFYARQBFAFIARwBfADQAXwA3AF8AMQBfADEAXwBfADEAXwBUAG8AdABhAGwAQQBuAG4AdQBhAGwATQBlAHQAaABhAG4AZQBQAHIAbwBkAHUAYwB0AGkAbwBuAEYAcgBvAG0ATQBhAG4AdQByAGUATQBhAG4AYQBnAGUAbQBlAG4AdABPAHQAaABlAHIATABpAHYAZQBzAHQAbwBjAGsAXwBMAGEAdABlAHgARQBxAHUAYQB0AGkAbwBuAFwAbgAgACAAPQBMAEEATQBCAEQAQQAoAFwAIgBFAF8AewBDAEgANAB9AD0AXABcAHMAdQBtAFwAXABuAG8AbABpAG0AaQB0AHMAXwBqAFwAXABzAHUAbQBcAFwAbgBvAGwAaQBtAGkAdABzAF8AbQAoAE4AXwBqAFwAXAB0AGkAbQBlAHMAIABNAF8AagBtAFwAXAB0AGkAbQBlAHMAIAAzADYANQApAFwAXAB0AGkAbQBlAHMAIAAxADAAXgB7AC0AMwB9AFwAIgApADsAXABuAFwAbgBWAEUARQBSAEcAXwA0AF8ANwBfADEAXwAxAF8AXwAxAF8AVABvAHQAYQBsAEEAbgBuAHUAYQBsAE0AZQB0AGgAYQBuAGUAUAByAG8AZAB1AGMAdABpAG8AbgBGAHIAbwBtAE0AYQBuAHUAcgBlAE0AYQBuAGEAZwBlAG0AZQBuAHQATwB0AGgAZQByAEwAaQB2AGUAcwB0AG8AYwBrAF8AQQByAGcAdQBtAGUAbgB0AHMAXABuACAAIAA9AEwAQQBNAEIARABBACgAXABuACAAIAAgACAATQBBAEsARQBBAFIAUgBBAFkAKAA0ACwAIAA0ACwAXABuACAAIAAgACAAIAAgAEwAQQBNAEIARABBACgAcgAsAGMALABcAG4AIAAgACAAIAAgACAAIAAgAEkATgBEAEUAWAAoAHsAXABuACAAIAAgACAAIAAgACAAIAAgACAAXAAiAE4AXwBqAFwAIgAsACAAXAAiAGEAdgBlAHIAYQBnAGUAIABhAG4AbgB1AGEAbAAgAG4AdQBtAGIAZQByACAAbwBmACAAbABpAHYAZQBzAHQAbwBjAGsAIABwAGUAcgAgAGwAaQB2AGUAcwB0AG8AYwBrACAAdAB5AHAAZQAgAGoAXAAiACwAIABcACIAaABlAGEAZABcACIALAAgAFwAIgBJAG4AcAB1AHQAXAAiADsAXABuACAAIAAgACAAIAAgACAAIAAgACAAXAAiAE0AXwBqAG0AXAAiACwAIABcACIAYQBuAG4AdQBhAGwAIABtAGUAdABoAGEAbgBlACAAcAByAG8AZAB1AGMAdABpAG8AbgAgAGYAcgBvAG0AIABtAGEAbgB1AHIAZQAgAG0AYQBuAGEAZwBlAG0AZQBuAHQAXAAiACwAIABcACIAawBnACAAQwBIADQALwBoAGUAYQBkAC8AZABhAHkAXAAiACwAIABcACIAQwBhAGwAYwB1AGwAYQB0AGUAZAAgAGYAcgBvAG0AIAA0AC4ANwAuADEALgAxACwAIAAoADIAKQBcACIAOwBcAG4AIAAgACAAIAAgACAAIAAgACAAIABcACIAagBcACIALAAgAFwAIgBsAGkAdgBlAHMAdABvAGMAawAgAHQAeQBwAGUAXAAiACwAIABcACIAXAAiACwAIABcACIASQBuAHAAdQB0AFwAIgA7AFwAbgAgACAAIAAgACAAIAAgACAAIAAgAFwAIgBtAFwAIgAsACAAXAAiAG0AYQBuAHUAcgBlACAAbQBhAG4AYQBnAGUAbQBlAG4AdAAgAHMAeQBzAHQAZQ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wBfADEAXwAxAF8AXwAyAF8AQQBuAG4AdQBhAGwATQBlAHQAaABhAG4AZQBQAHIAbwBkAHUAYwB0AGkAbwBuAEYAcgBvAG0ATQBhAG4AdQByAGUATQBhAG4AYQBnAGUAbQBlAG4AdABcAG4AQQBuAG4AdQBhAGwAIABtAGUAdABoAGEAbgBlACAAcAByAG8AZAB1AGMAdABpAG8AbgAgAGYAcgBvAG0AIABtAGEAbgB1AHIAZQAgAG0AYQBuAGEAZwBlAG0AZQBuAHQAXABuAE0AXwBqAG0AXABuAGsAZwAgAEMASAA0AC8AaABlAGEAZAAvAGQAYQB5AFwAbgBNAF8AagBtAD0AVgBTAF8AagBcAFwAdABpAG0AZQBzACAAQgBfAE8AXABcAHQAaQBtAGUAcwAgAE0ATQBTAF8AbQBcAFwAdABpAG0AZQBzACAATQBDAEYAXwBpAG0AXABcAHQAaQBtAGUAcwAgAFwAXAByAGgAbwBcAG4AVgBTAF8AagAgAD0AIAB2AG8AbABhAHQAaQBsAGUAIABzAG8AbABpAGQAIABwAHIAbwBkAHUAYwB0AGkAbwBuACAAKABrAGcALwBoAGUAYQBkAC8AZABhAHkAKQBcAG4AQgBfAE8AIAA9ACAAbQBlAHQAaABhAG4AZ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G0AYQBuAHUAcgBlACAAbQBhAG4AYQBnAGUAbQBlAG4AdAAgAHMAeQBzAHQAZQBtAFwAbgByAGgAbwAgAD0AIABkAGUAbgBzAGkAdAB5ACAAbwBmACAAbQBlAHQAaABhAG4AZQAgACgAawBnAC8AbQAzACkAXABuAC0ALQAtAC0ALQAtAC0ALQAtAC0ALQAtAC0ALQAtAC0ALQAtAC0ALQAtAC0ALQAtAC0ALQAtAC0ALQAtAC0ALQAtAC0ALQAtAC0ALQBcAG4AKgAvAFwAbgBcAG4AVgBFAEUAUgBHAF8ANABfADcAXwAxAF8AMQBfAF8AMgBfAEEAbgBuAHUAYQBsAE0AZQB0AGgAYQBuAGUAUAByAG8AZAB1AGMAdABpAG8AbgBGAHIAbwBtAE0AYQBuAHUAcgBlAE0AYQBuAGEAZwBlAG0AZQBuAHQAXABuACAAIAA9AEwAQQBNAEIARABBACgAXABuACAAIAAgACAAVgBTAF8AagAsACAAQgBfAE8ALAAgAE0ATQBTAF8AbQAsACAATQBDAEYAXwBpAG0ALAAgAHIAaABvACwAXABuACAAIAAgACAAVgBTAF8AagAgACoAIABCAF8ATwAgACoAIABNAE0AUwBfAG0AIAAqACAATQBDAEYAXwBpAG0AIAAqACAAcgBoAG8AXABuACAAIAApADsAXABuAFwAbgBWAEUARQBSAEcAXwA0AF8ANwBfADEAXwAxAF8AXwAyAF8AQQBuAG4AdQBhAGwATQBlAHQAaABhAG4AZQBQAHIAbwBkAHUAYwB0AGkAbwBuAEYAcgBvAG0ATQBhAG4AdQByAGUATQBhAG4AYQBnAGUAbQBlAG4AdABfAFQAaQB0AGwAZQBcAG4AIAAgAD0ATABBAE0AQgBEAEEAKABcACIAQQBuAG4AdQBhAGwAIABtAGUAdABoAGEAbgBlACAAcAByAG8AZAB1AGMAdABpAG8AbgAgAGYAcgBvAG0AIABtAGEAbgB1AHIAZQAgAG0AYQBuAGEAZwBlAG0AZQBuAHQAXAAiACkAOwBcAG4AXABuAFYARQBFAFIARwBfADQAXwA3AF8AMQBfADEAXwBfADIAXwBBAG4AbgB1AGEAbABNAGUAdABoAGEAbgBlAFAAcgBvAGQAdQBjAHQAaQBvAG4ARgByAG8AbQBNAGEAbgB1AHIAZQBNAGEAbgBhAGcAZQBtAGUAbgB0AF8AVgBhAHIAaQBhAGIAbABlAFwAbgAgACAAPQBMAEEATQBCAEQAQQAoAFwAIgBNAF8AagBtAFwAIgApADsAXABuAFwAbgBWAEUARQBSAEcAXwA0AF8ANwBfADEAXwAxAF8AXwAyAF8AQQBuAG4AdQBhAGwATQBlAHQAaABhAG4AZQBQAHIAbwBkAHUAYwB0AGkAbwBuAEYAcgBvAG0ATQBhAG4AdQByAGUATQBhAG4AYQBnAGUAbQBlAG4AdABfAFUAbgBpAHQAXABuACAAIAA9AEwAQQBNAEIARABBACgAXAAiAGsAZwAgAEMASAA0AC8AaABlAGEAZAAvAGQAYQB5AFwAIgApADsAXABuAFwAbgBWAEUARQBSAEcAXwA0AF8ANwBfADEAXwAxAF8AXwAyAF8AQQBuAG4AdQBhAGwATQBlAHQAaABhAG4AZQBQAHIAbwBkAHUAYwB0AGkAbwBuAEYAcgBvAG0ATQBhAG4AdQByAGUATQBhAG4AYQBnAGUAbQBlAG4AdABfAFMAbwB1AHIAYwBlAFwAbgAgACAAPQBMAEEATQBCAEQAQQAoAFwAIgBWAEUARQBSAEcAIAAyADAAMgA2ADoAIAA0AC4ANwAuADEALgAxACwAIABFAHEAdQBhAHQAaQBvAG4AIAAoADIAKQBcACIAKQA7AFwAbgBcAG4AVgBFAEUAUgBHAF8ANABfADcAXwAxAF8AMQBfAF8AMgBfAEEAbgBuAHUAYQBsAE0AZQB0AGgAYQBuAGUAUAByAG8AZAB1AGMAdABpAG8AbgBGAHIAbwBtAE0AYQBuAHUAcgBlAE0AYQBuAGEAZwBlAG0AZQBuAHQAXwBOAEkAUgBSAGUAZgBlAHIAZQBuAGMAZQBcAG4AIAAgAD0ATABBAE0AQgBEAEEAKABcACIAXAAiACkAOwBcAG4AXABuAFYARQBFAFIARwBfADQAXwA3AF8AMQBfADEAXwBfADIAXwBBAG4AbgB1AGEAbABNAGUAdABoAGEAbgBlAFAAcgBvAGQAdQBjAHQAaQBvAG4ARgByAG8AbQBNAGEAbgB1AHIAZQBNAGEAbgBhAGcAZQBtAGUAbgB0AF8ATABhAHQAZQB4AEUAcQB1AGEAdABpAG8AbgBcAG4AIAAgAD0ATABBAE0AQgBEAEEAKABcACIATQBfAHsAagBtAH0APQBWAFMAXwBqAFwAXAB0AGkAbQBlAHMAIABCAF8ATwBcAFwAdABpAG0AZQBzACAATQBNAFMAXwBtAFwAXAB0AGkAbQBlAHMAIABNAEMARgBfAHsAaQBtAH0AXABcAHQAaQBtAGUAcwAgAFwAXAByAGgAbwBcACIAKQA7AFwAbgBcAG4AVgBFAEUAUgBHAF8ANABfADcAXwAxAF8AMQBfAF8AMgBfAEEAbgBuAHUAYQBsAE0AZQB0AGgAYQBuAGUAUAByAG8AZAB1AGMAdABpAG8AbgBGAHIAbwBtAE0AYQBuAHUAcgBlAE0AYQBuAGEAZwBlAG0AZQBuAHQAXwBBAHIAZwB1AG0AZQBuAHQAcwBcAG4AIAAgAD0ATABBAE0AQgBEAEEAKABcAG4AIAAgACAAIABNAEEASwBFAEEAUgBSAEEAWQAoADYALAAgADQALABcAG4AIAAgACAAIAAgACAATABBAE0AQgBEAEEAKAByACwAYwAsAFwAbgAgACAAIAAgACAAIAAgACAASQBOAEQARQBYACgAewBcAG4AIAAgACAAIAAgACAAIAAgACAAIABcACIAVgBTAF8AagBcACIALAAgAFwAIgB2AG8AbABhAHQAaQBsAGUAIABzAG8AbABpAGQAIABwAHIAbwBkAHUAYwB0AGkAbwBuAFwAIgAsACAAXAAiAGsAZwAvAGgAZQBhAGQALwBkAGEAeQBcACIALAAgAFwAIgBDAG8AbgBzAHQAYQBuAHQAXAAiADsAXABuACAAIAAgACAAIAAgACAAIAAgACAAXAAiAEIAXwBPAFwAIgAsACAAXAAiAG0AZQB0AGgAYQBuAGUAIA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QwBvAG4AcwB0AGEAbgB0AFwAIgA7AFwAbgAgACAAIAAgACAAIAAgACAAIAAgAFwAIgBNAEMARgBfAGkAbQBcACIALAAgAFwAIgBtAGUAdABoAGEAbgBlACAAYwBvAG4AdgBlAHIAcwBpAG8AbgAgAGYAYQBjAHQAbwByACAAZgBvAHIAIABzAHQAYQB0AGUAIABhAG4AZAAgAG0AYQBuAHUAcgBlACAAbQBhAG4AYQBnAGUAbQBlAG4AdAAgAHMAeQBzAHQAZ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3AF8AMQBfADEAXwBfADIAXwBBAG4AbgB1AGEAbABNAGUAdABoAGEAbgBlAFAAcgBvAGQAdQBjAHQAaQBvAG4ARgByAG8AbQBNAGEAbgB1AHIAZQBNAGEAbgBhAGcAZQBtAGUAbgB0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HYAbwBsAGEAdABpAGwAZQAgAHMAbwBsAGkAZAAgAHAAcgBvAGQAdQBjAHQAaQBvAG4AXAAiACwAIABcACIAawBnAC8AaABlAGEAZAAvAGQAYQB5AFwAIgAsACAAXAAiAEMAbwBuAHMAdABhAG4AdABcACIAOwBcAG4AIAAgACAAIAAgACAAIAAgACAAIABcACIAQgBfAE8AXAAiACwAIABcACIAbQBlAHQAaABhAG4AZQAg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DAG8AbgBzAHQAYQBuAHQAXAAiADsAXABuACAAIAAgACAAIAAgACAAIAAgACAAXAAiAE0AQwBGAF8AaQBtAFwAIgAsACAAXAAiAG0AZQB0AGgAYQBuAGUAIABjAG8AbgB2AGUAcgBzAGkAbwBuACAAZgBhAGMAdABvAHIAIABmAG8AcgAgAHQAZQBtAHAAZQByAGEAdAB1AHIAZQAgAHoAbwBuAGUAIABhAG4AZAAgAG0AYQBuAHUAcgBlACAAbQBhAG4AYQBnAGUAbQBlAG4AdAAgAHMAeQBzAHQAZ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bQBlAGEAbgAgAGEAbgBuAHUAYQBsACAAdABlAG0AcABlAHIAYQB0AHUAcgBlAFwAIgAsACAAXAAiAGQAZQBnAHIAZQBlAHMAIABDAGUAbABzAGkAdQBzAFwAIgAsACAAXAAiAEkAbgBwAHUAdABcACIAXABuACAAIAAgACAAIAAgACAAIAB9ACwAIAByACwAIABjACkAXABuACAAIAAgACAAIAAgACkAXABuACAAIAAgACAAKQBcAG4AIAAgACkAOwBcAG4AIgB9ACwAewAiAHAAYQB0AGgAIgA6ACIALwBwAHIAbwBqAGUAYwB0AHMALwBNAE0AUwBfAE8AdABoAGUAcgBMAGkAdgBlAHMAdABvAGMAawBfAFMAbwBpAGwAXwBOADIATwBEAGkAcgBlAGMAdAAiACwAIgB0AGUAeAB0ACIAOgAiAC8AKgBcAG4APQA9AD0APQA9AD0APQA9AD0APQA9AD0APQA9AD0APQA9AD0APQA9AD0APQA9AD0APQA9AD0APQA9AD0APQA9AD0APQA9AD0APQA9AD0APQA9AD0APQA9AD0APQA9AD0APQA9AD0APQA9AD0APQA9AD0APQA9AD0APQA9AD0APQA9AD0APQA9AD0APQA9AD0APQA9AD0APQBcAG4ANAAuADcAOgAgAE0AYQBuAHUAcgBlACAATQBhAG4AYQBnAGUAbQBlAG4AdAAgAC0AIABPAHQAaABlAHIAIABMAGkAdgBlAHMAdABvAGMAawBcAG4APQA9AD0APQA9AD0APQA9AD0APQA9AD0APQA9AD0APQA9AD0APQA9AD0APQA9AD0APQA9AD0APQA9AD0APQA9AD0APQA9AD0APQA9AD0APQA9AD0APQA9AD0APQA9AD0APQA9AD0APQA9AD0APQA9AD0APQA9AD0APQA9AD0APQA9AD0APQA9AD0APQA9AD0APQA9AD0APQBcAG4ANAAuADcALgAxAC4AMwAgAE0AZQB0AGgAbwBkACAAMQAgAC0AIABTAG8AaQBsACAARABpAHIAZQBjAHQAIABOADIATwAgAE8AdABoAGUAcgAgAEwAaQB2AGUAcwB0AG8AYwBr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cAXwAxAF8AMwBfAF8AMQBfAEQAaQByAGUAYwB0AE4AaQB0AHIAbwB1AHMATwB4AGkAZABlAEUAbQBpAHMAcwBpAG8AbgBzAEYAcgBvAG0AUwBvAGkAbABcAG4ARABpAHIAZQBjAHQAIABuAGkAdAByAG8AdQBzACAAbwB4AGkAZABlACAAZQBtAGkAcwBzAGkAbwBuAHMAIABmAHIAbwBtACAAYQBnAHIAaQBjAHUAbAB0AHUAcgBhAGwAIABzAG8AaQBsAHMAIABmAHIAbwBtACAAZABlAHAAbwBzAGkAdABpAG8AbgAgAG8AZgAgAHUAcgBpAG4AZQAgAGEAbgBkACAAZAB1AG4AZwAgAHQAbwAgAHAAYQBzAHQAdQByAGUAXABuAEUAXwBOADIATwBkAGkAcgBcAG4AdAAgAE4AMgBPAFwAbgBFAF8AewBOADIATwAsAGQAaQByAH0APQBBAEUAXABcAHQAaQBtAGUAcwAgAEUARgBfAHsAUABSAFAAfQBcAFwAdABpAG0AZQBzACAAQwBfAHsATgAyAE8AfQBcAFwAdABpAG0AZQBzACAAMQAwAF4AewAtADMAfQBcAG4AQQBFACAAPQAgAGEAbgBuAHUAYQBsACAAbgBpAHQAcgBvAGcAZQBuACAAZQB4AGMAcgBlAHQAZQBkACAAYgB5ACAAZQBhAGMAaAAgAGwAaQB2AGUAcwB0AG8AYwBrACAAdAB5AHAAZQAgACgAawBnACAATgAvAHkAZQBhAHI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cAXwAxAF8AMwBfAF8AMQBfAEQAaQByAGUAYwB0AE4AaQB0AHIAbwB1AHMATwB4AGkAZABlAEUAbQBpAHMAcwBpAG8AbgBzAEYAcgBvAG0AUwBvAGkAbABcAG4AIAAgAD0ATABBAE0AQgBEAEEAKABcAG4AIAAgACAAIABBAEUALAAgAEUARgBfAFAAUgBQACwAIABDAF8ATgAyAE8ALABcAG4AIAAgACAAIABBAEUAIAAqACAARQBGAF8AUABSAFAAIAAqACAAQwBfAE4AMgBPACAAKgAgADEAMAAgAF4AIAAtADMAXABuACAAIAApADsAXABuAFwAbgBWAEUARQBSAEcAXwA0AF8ANwBfADEAXwAzAF8AXwAxAF8ARABpAHIAZQBjAHQATgBpAHQAcgBvAHUAcwBPAHgAaQBkAGUARQBtAGkAcwBzAGkAbwBuAHMARgByAG8AbQBTAG8AaQBsAF8AVABpAHQAbABlAFwAbgAgACAAPQBMAEEATQBCAEQAQQAoAFwAIgBEAGkAcgBlAGMAdAAgAG4AaQB0AHIAbwB1AHMAIABvAHgAaQBkAGUAIABlAG0AaQBzAHMAaQBvAG4AcwAgAGYAcgBvAG0AIABhAGcAcgBpAGMAdQBsAHQAdQByAGEAbAAgAHMAbwBpAGwAcwAgAGYAcgBvAG0AIABkAGUAcABvAHMAaQB0AGkAbwBuACAAbwBmACAAdQByAGkAbgBlACAAYQBuAGQAIABkAHUAbgBnACAAdABvACAAcABhAHMAdAB1AHIAZQBcACIAKQA7AFwAbgBcAG4AVgBFAEUAUgBHAF8ANABfADcAXwAxAF8AMwBfAF8AMQBfAEQAaQByAGUAYwB0AE4AaQB0AHIAbwB1AHMATwB4AGkAZABlAEUAbQBpAHMAcwBpAG8AbgBzAEYAcgBvAG0AUwBvAGkAbABfAFYAYQByAGkAYQBiAGwAZQBcAG4AIAAgAD0ATABBAE0AQgBEAEEAKABcACIARQBfAE4AMgBPAGQAaQByAFwAIgApADsAXABuAFwAbgBWAEUARQBSAEcAXwA0AF8ANwBfADEAXwAzAF8AXwAxAF8ARABpAHIAZQBjAHQATgBpAHQAcgBvAHUAcwBPAHgAaQBkAGUARQBtAGkAcwBzAGkAbwBuAHMARgByAG8AbQBTAG8AaQBsAF8AVQBuAGkAdABcAG4AIAAgAD0ATABBAE0AQgBEAEEAKABcACIAdAAgAE4AMgBPAFwAIgApADsAXABuAFwAbgBWAEUARQBSAEcAXwA0AF8ANwBfADEAXwAzAF8AXwAxAF8ARABpAHIAZQBjAHQATgBpAHQAcgBvAHUAcwBPAHgAaQBkAGUARQBtAGkAcwBzAGkAbwBuAHMARgByAG8AbQBTAG8AaQBsAF8AUwBvAHUAcgBjAGUAXABuACAAIAA9AEwAQQBNAEIARABBACgAXAAiAFYARQBFAFIARwAgADIAMAAyADYAOgAgADQALgA3AC4AMQAuADMALAAgAEUAcQB1AGEAdABpAG8AbgAgACgAMQApAFwAIgApADsAXABuAFwAbgBWAEUARQBSAEcAXwA0AF8ANwBfADEAXwAzAF8AXwAxAF8ARABpAHIAZQBjAHQATgBpAHQAcgBvAHUAcwBPAHgAaQBkAGUARQBtAGkAcwBzAGkAbwBuAHMARgByAG8AbQBTAG8AaQBsAF8ATgBJAFIAUgBlAGYAZQByAGUAbgBjAGUAXABuACAAIAA9AEwAQQBNAEIARABBACgAXAAiAFwAIgApADsAXABuAFwAbgBWAEUARQBSAEcAXwA0AF8ANwBfADEAXwAzAF8AXwAxAF8ARABpAHIAZQBjAHQATgBpAHQAcgBvAHUAcwBPAHgAaQBkAGUARQBtAGkAcwBzAGkAbwBuAHMARgByAG8AbQBTAG8AaQBsAF8ATABhAHQAZQB4AEUAcQB1AGEAdABpAG8AbgBcAG4AIAAgAD0ATABBAE0AQgBEAEEAKABcACIARQBfAHsATgAyAE8ALABkAGkAcgB9AD0AQQBFAFwAXAB0AGkAbQBlAHMAIABFAEYAXwB7AFAAUgBQAH0AXABcAHQAaQBtAGUAcwAgAEMAXwB7AE4AMgBPAH0AXABcAHQAaQBtAGUAcwAgADEAMABeAHsALQAzAH0AXAAiACkAOwBcAG4AXABuAFYARQBFAFIARwBfADQAXwA3AF8AMQBfADMAXwBfADEAXwBEAGkAcgBlAGMAdABOAGkAdAByAG8AdQBzAE8AeABpAGQAZQBFAG0AaQBzAHMAaQBvAG4AcwBGAHIAbwBtAFMAbwBpAGwAXwBBAHIAZwB1AG0AZQBuAHQAcwBcAG4AIAAgAD0ATABBAE0AQgBEAEEAKABcAG4AIAAgACAAIABNAEEASwBFAEEAUgBSAEEAWQAoADQALAAgADQALABcAG4AIAAgACAAIAAgACAATABBAE0AQgBEAEEAKAByACwAYwAsAFwAbgAgACAAIAAgACAAIAAgACAASQBOAEQARQBYACgAewBcAG4AIAAgACAAIAAgACAAIAAgACAAIABcACIAQQBFAFwAIgAsACAAXAAiAGEAbgBuAHUAYQBsACAAbgBpAHQAcgBvAGcAZQBuACAAZQB4AGMAcgBlAHQAZQBkACAAYgB5ACAAZQBhAGMAaAAgAGwAaQB2AGUAcwB0AG8AYwBrACAAdAB5AHAAZQBcACIALAAgAFwAIgBrAGcAIABOAC8AeQBlAGEAcgBcACIALAAgAFwAIgBDAGEAbABjAHUAbABhAHQAZQBkACAAZgByAG8AbQAgADQALgA3AC4AMQAuADMALA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cAXwAxAF8AMwBfAF8AMgBfAEEAbgBuAHUAYQBsAE4AaQB0AHIAbwBnAGUAbgBFAHgAYwByAGUAdABlAGQAVABvAFAAYQBzAHQAdQByAGUAXABuAEEAbgBuAHUAYQBsACAAbgBpAHQAcgBvAGcAZQBuACAAZQB4AGMAcgBlAHQAZQBkACAAYgB5ACAAbABpAHYAZQBzAHQAbwBjAGsAIAB0AG8AIABwAGEAcwB0AHUAcgBlACwAIAByAGEAbgBnAGUAIABhAG4AZAAgAHAAYQBkAGQAbwBjAGsAXABuAEEARQBcAG4AawBnACAATgAvAHkAZQBhAHIAXABuAEEARQA9AFwAXABzAHUAbQBfAGoAKABOAF8AagBcAFwAdABpAG0AZQBzACAATgBFAF8AagBcAFwAdABpAG0AZQBzACAAMwA2ADUAKQBcAG4ATgBfAGoAIAA9ACAAbgB1AG0AYgBlAHIAIABvAGYAIABsAGkAdgBlAHMAdABvAGMAawAgAG8AZgAgAGUAYQBjAGgAIABsAGkAdgBlAHMAdABvAGMAawAgAHQAeQBwAGUAIABqACAAKABoAGUAYQBkACkAXABuAE4ARQBfAGoAIAA9ACAAbgBpAHQAcgBvAGcAZQBuACAAZQB4AGMAcgBlAHQAZQBkACAAYgB5ACAAZQBhAGMAaAAgAGwAaQB2AGUAcwB0AG8AYwBrACAAdAB5AHAAZQAgAGoAIAAoAGsAZwAgAE4ALwBoAGUAYQBkAC8AZABhAHkAKQBcAG4ALQAtAC0ALQAtAC0ALQAtAC0ALQAtAC0ALQAtAC0ALQAtAC0ALQAtAC0ALQAtAC0ALQAtAC0ALQAtAC0ALQAtAC0ALQAtAC0ALQAtAFwAbgAqAC8AXABuAFwAbgBWAEUARQBSAEcAXwA0AF8ANwBfADEAXwAzAF8AXwAyAF8AQQBuAG4AdQBhAGwATgBpAHQAcgBvAGcAZQBuAEUAeABjAHIAZQB0AGUAZABUAG8AUABhAHMAdAB1AHIAZQBcAG4AIAAgAD0ATABBAE0AQgBEAEEAKABcAG4AIAAgACAAIABOAF8AagAsACAATgBFAF8AagAsAFwAbgAgACAAIAAgAE4AXwBqACAAKgAgAE4ARQBfAGoAIAAqACAAMwA2ADUAXABuACAAIAApADsAXABuAFwAbgBWAEUARQBSAEcAXwA0AF8ANwBfADEAXwAzAF8AXwAyAF8AQQBuAG4AdQBhAGwATgBpAHQAcgBvAGcAZQBuAEUAeABjAHIAZQB0AGUAZABUAG8AUABhAHMAdAB1AHIAZQBfAFQAaQB0AGwAZQBcAG4AIAAgAD0ATABBAE0AQgBEAEEAKABcACIAQQBuAG4AdQBhAGwAIABuAGkAdAByAG8AZwBlAG4AIABlAHgAYwByAGUAdABlAGQAIABiAHkAIABsAGkAdgBlAHMAdABvAGMAawAgAHQAbwAgAHAAYQBzAHQAdQByAGUALAAgAHIAYQBuAGcAZQAgAGEAbgBkACAAcABhAGQAZABvAGMAawBcACIAKQA7AFwAbgBcAG4AVgBFAEUAUgBHAF8ANABfADcAXwAxAF8AMwBfAF8AMgBfAEEAbgBuAHUAYQBsAE4AaQB0AHIAbwBnAGUAbgBFAHgAYwByAGUAdABlAGQAVABvAFAAYQBzAHQAdQByAGUAXwBWAGEAcgBpAGEAYgBsAGUAXABuACAAIAA9AEwAQQBNAEIARABBACgAXAAiAEEARQBcACIAKQA7AFwAbgBcAG4AVgBFAEUAUgBHAF8ANABfADcAXwAxAF8AMwBfAF8AMgBfAEEAbgBuAHUAYQBsAE4AaQB0AHIAbwBnAGUAbgBFAHgAYwByAGUAdABlAGQAVABvAFAAYQBzAHQAdQByAGUAXwBVAG4AaQB0AFwAbgAgACAAPQBMAEEATQBCAEQAQQAoAFwAIgBrAGcAIABOAC8AeQBlAGEAcgBcACIAKQA7AFwAbgBcAG4AVgBFAEUAUgBHAF8ANABfADcAXwAxAF8AMwBfAF8AMgBfAEEAbgBuAHUAYQBsAE4AaQB0AHIAbwBnAGUAbgBFAHgAYwByAGUAdABlAGQAVABvAFAAYQBzAHQAdQByAGUAXwBTAG8AdQByAGMAZQBcAG4AIAAgAD0ATABBAE0AQgBEAEEAKABcACIAVgBFAEUAUgBHACAAMgAwADIANgA6ACAANAAuADcALgAxAC4AMwAsACAARQBxAHUAYQB0AGkAbwBuACAAKAAyACkAXAAiACkAOwBcAG4AXABuAFYARQBFAFIARwBfADQAXwA3AF8AMQBfADMAXwBfADIAXwBBAG4AbgB1AGEAbABOAGkAdAByAG8AZwBlAG4ARQB4AGMAcgBlAHQAZQBkAFQAbwBQAGEAcwB0AHUAcgBlAF8ATgBJAFIAUgBlAGYAZQByAGUAbgBjAGUAXABuACAAIAA9AEwAQQBNAEIARABBACgAXAAiAFwAIgApADsAXABuAFwAbgBWAEUARQBSAEcAXwA0AF8ANwBfADEAXwAzAF8AXwAyAF8AQQBuAG4AdQBhAGwATgBpAHQAcgBvAGcAZQBuAEUAeABjAHIAZQB0AGUAZABUAG8AUABhAHMAdAB1AHIAZQBfAEwAYQB0AGUAeABFAHEAdQBhAHQAaQBvAG4AXABuACAAIAA9AEwAQQBNAEIARABBACgAXAAiAEEARQA9AFwAXABzAHUAbQBcAFwAbgBvAGwAaQBtAGkAdABzAF8AagAoAE4AXwBqAFwAXAB0AGkAbQBlAHMAIABOAEUAXwBqAFwAXAB0AGkAbQBlAHMAIAAzADYANQApAFwAIgApADsAXABuAFwAbgBWAEUARQBSAEcAXwA0AF8ANwBfADEAXwAzAF8AXwAyAF8AQQBuAG4AdQBhAGwATgBpAHQAcgBvAGcAZQBuAEUAeABjAHIAZQB0AGUAZABUAG8AUABhAHMAdAB1AHIAZQBfAEEAcgBnAHUAbQBlAG4AdABzAFwAbgAgACAAPQBMAEEATQBCAEQAQQAoAFwAbgAgACAAIAAgAE0AQQBLAEUAQQBSAFIAQQBZACgAMwAsACAANAAsAFwAbgAgACAAIAAgACAAIABMAEEATQBCAEQAQQAoAHIALABjACwAXABuACAAIAAgACAAIAAgACAAIABJAE4ARABFAFgAKAB7AFwAbgAgACAAIAAgACAAIAAgACAAIAAgAFwAIgBOAF8AagBcACIALAAgAFwAIgBuAHUAbQBiAGUAcgAgAG8AZgAgAGwAaQB2AGUAcwB0AG8AYwBrACAAbwBmACAAZQBhAGMAaAAgAGwAaQB2AGUAcwB0AG8AYwBrACAAdAB5AHAAZQAgAGoAXAAiACwAIABcACIAaABlAGEAZABcACIALAAgAFwAIgBJAG4AcAB1AHQAXAAiADsAXABuACAAIAAgACAAIAAgACAAIAAgACAAXAAiAE4ARQBfAGoAXAAiACwAIABcACIAbgBpAHQAcgBvAGcAZQBuACAAZQB4AGMAcgBlAHQAZQBkACAAYgB5ACAAZQBhAGMAaAAgAGwAaQB2AGUAcwB0AG8AYwBrACAAdAB5AHAAZQAgAGoAXAAiACwAIABcACIAawBnACAATgAvAGgAZQBhAGQALwBkAGEAeQBcACIALAAgAFwAIgBDAG8AbgBzAHQAYQBuAHQAXAAiADsAXABuACAAIAAgACAAIAAgACAAIAAgACAAXAAiAGoAXAAiACwAIABcACIAbABpAHYAZQBzAHQAbwBjAGsAIAB0AHkAcABlAFwAIgAsACAAXAAiAFwAIgAsACAAXAAiAEkAbgBwAHUAdABcACIAXABuACAAIAAgACAAIAAgACAAIAB9ACwAIAByACwAIABjACkAXABuACAAIAAgACAAIAAgACkAXABuACAAIAAgACAAKQBcAG4AIAAgACkAOwBcAG4AIgB9ACwAewAiAHAAYQB0AGgAIgA6ACIALwBwAHIAbwBqAGUAYwB0AHMALwBNAE0AUwBfAE8AdABoAGUAcgBMAGkAdgBlAHMAdABvAGMAawBfAFMAbwBpAGwAXwBBAHQAbQBvAHMAcABoAGUAcgBpAGMARABlAHAAbwBzAGkAdABpAG8AbgAiACwAIgB0AGUAeAB0ACIAOgAiAC8AKgBcAG4APQA9AD0APQA9AD0APQA9AD0APQA9AD0APQA9AD0APQA9AD0APQA9AD0APQA9AD0APQA9AD0APQA9AD0APQA9AD0APQA9AD0APQA9AD0APQA9AD0APQA9AD0APQA9AD0APQA9AD0APQA9AD0APQA9AD0APQA9AD0APQA9AD0APQA9AD0APQA9AD0APQA9AD0APQA9AD0APQBcAG4ANAAuADcAOgAgAE0AYQBuAHUAcgBlACAATQBhAG4AYQBnAGUAbQBlAG4AdAAgAC0AIABPAHQAaABlAHIAIABMAGkAdgBlAHMAdABvAGMAawBcAG4APQA9AD0APQA9AD0APQA9AD0APQA9AD0APQA9AD0APQA9AD0APQA9AD0APQA9AD0APQA9AD0APQA9AD0APQA9AD0APQA9AD0APQA9AD0APQA9AD0APQA9AD0APQA9AD0APQA9AD0APQA9AD0APQA9AD0APQA9AD0APQA9AD0APQA9AD0APQA9AD0APQA9AD0APQA9AD0APQBcAG4ANAAuADcALgAxAC4ANQAgAE0AZQB0AGgAbwBkACAAMQAgAC0AIABTAG8AaQBsACAAQQB0AG0AbwBzAHAAaABlAHIAaQBjACAARABlAHAAbwBzAGkAdABpAG8AbgAgAE4AMgBP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wBfADEAXwA1AF8AXwAxAF8AQQB0AG0AbwBzAHAAaABlAHIAaQBjAEQAZQBwAG8AcwBpAHQAaQBvAG4ARQBtAGkAcwBzAGkAbwBuAHMARgByAG8AbQ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cAXwAxAF8ANQBfAF8AMQBfAEEAdABtAG8AcwBwAGgAZQByAGkAYwBEAGUAcABvAHMAaQB0AGkAbwBuAEUAbQBpAHMAcwBpAG8AbgBzAEYAcgBvAG0AUABhAHMAdAB1AHIAZQBcAG4AIAAgAD0ATABBAE0AQgBEAEEAKABcAG4AIAAgACAAIABNAF8AdgBvAGwALAAgAEUARgBfAE4AMgBPACwAIABDAF8ATgAyAE8ALABcAG4AIAAgACAAIABNAF8AdgBvAGwAIAAqACAARQBGAF8ATgAyAE8AIAAqACAAQwBfAE4AMgBPACAAKgAgADEAMAAgAF4AIAAtADMAXABuACAAIAApADsAXABuAFwAbgBWAEUARQBSAEcAXwA0AF8ANwBfADEAXwA1AF8AXwAxAF8AQQB0AG0AbwBzAHAAaABlAHIAaQBjAEQAZQBwAG8AcwBpAHQAaQBvAG4ARQBtAGkAcwBzAGkAbwBuAHMARgByAG8AbQ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NwBfADEAXwA1AF8AXwAxAF8AQQB0AG0AbwBzAHAAaABlAHIAaQBjAEQAZQBwAG8AcwBpAHQAaQBvAG4ARQBtAGkAcwBzAGkAbwBuAHMARgByAG8AbQBQAGEAcwB0AHUAcgBlAF8AVgBhAHIAaQBhAGIAbABlAFwAbgAgACAAPQBMAEEATQBCAEQAQQAoAFwAIgBFAF8ATgAyAE8AYQBkAFwAIgApADsAXABuAFwAbgBWAEUARQBSAEcAXwA0AF8ANwBfADEAXwA1AF8AXwAxAF8AQQB0AG0AbwBzAHAAaABlAHIAaQBjAEQAZQBwAG8AcwBpAHQAaQBvAG4ARQBtAGkAcwBzAGkAbwBuAHMARgByAG8AbQBQAGEAcwB0AHUAcgBlAF8AVQBuAGkAdABcAG4AIAAgAD0ATABBAE0AQgBEAEEAKABcACIAdAAgAE4AMgBPAFwAIgApADsAXABuAFwAbgBWAEUARQBSAEcAXwA0AF8ANwBfADEAXwA1AF8AXwAxAF8AQQB0AG0AbwBzAHAAaABlAHIAaQBjAEQAZQBwAG8AcwBpAHQAaQBvAG4ARQBtAGkAcwBzAGkAbwBuAHMARgByAG8AbQBQAGEAcwB0AHUAcgBlAF8AUwBvAHUAcgBjAGUAXABuACAAIAA9AEwAQQBNAEIARABBACgAXAAiAFYARQBFAFIARwAgADIAMAAyADYAOgAgADQALgA3AC4AMQAuADUALAAgAEUAcQB1AGEAdABpAG8AbgAgACgAMQApAFwAIgApADsAXABuAFwAbgBWAEUARQBSAEcAXwA0AF8ANwBfADEAXwA1AF8AXwAxAF8AQQB0AG0AbwBzAHAAaABlAHIAaQBjAEQAZQBwAG8AcwBpAHQAaQBvAG4ARQBtAGkAcwBzAGkAbwBuAHMARgByAG8AbQBQAGEAcwB0AHUAcgBlAF8ATgBJAFIAUgBlAGYAZQByAGUAbgBjAGUAXABuACAAIAA9AEwAQQBNAEIARABBACgAXAAiAFwAIgApADsAXABuAFwAbgBWAEUARQBSAEcAXwA0AF8ANwBfADEAXwA1AF8AXwAxAF8AQQB0AG0AbwBzAHAAaABlAHIAaQBjAEQAZQBwAG8AcwBpAHQAaQBvAG4ARQBtAGkAcwBzAGkAbwBuAHMARgByAG8AbQ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cAXwAxAF8ANQBfAF8AMQBfAEEAdABtAG8AcwBwAGgAZQByAGkAYwBEAGUAcABvAHMAaQB0AGkAbwBuAEUAbQBpAHMAcwBpAG8AbgBzAEYAcgBvAG0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NwAuADEALgA1ACwAIAAoADIAKQBcACIAOwBcAG4AIAAgACAAIAAgACAAIAAgACAAIABcACIARQBGAF8ATgAyAE8AXAAiACwAIABcACI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cAXwAxAF8ANQBfAF8AMgBfAE0AYQBzAHMATwBmAE4AaQB0AHIAbwBnAGUAbgBWAG8AbABhAHQAaQBsAGkAcwBlAGQARgByAG8AbQBQAGEAcwB0AHUAcgBlAFwAbgBNAGEAcwBzACAAbwBmACAAbgBpAHQAcgBvAGcAZQBuACAAdgBvAGwAYQB0AGkAbABpAHMAZQBkACAAZgByAG8AbQAgAHUAcgBpAG4AZQAgAGEAbgBkACAAZgBhAGUAYwBlAHMAIABkAGUAcABvAHMAaQB0AGUAZAAgAG8AbgAgAHAAYQBzAHQAdQByAGUAXABuAE0AXwB2AG8AbABcAG4AawBnACAATgBcAG4ATQBfAHsAdgBvAGwAfQA9AEEARQBcAFwAdABpAG0AZQBzACAARgByAGEAYwBHAEEAUwBNAHMAbwBpAGwAXABuAEEARQAgAD0AIABhAG4AbgB1AGEAbAAgAG4AaQB0AHIAbwBnAGUAbgAgAGUAeABjAHIAZQB0AGUAZAAgAGIAeQAgAGUAYQBjAGgAIABsAGkAdgBlAHMAdABvAGMAawAgAHQAeQBwAGUAIAAoAGsAZwAgAE4ALwB5AGUAYQBy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NwBfADEAXwA1AF8AXwAyAF8ATQBhAHMAcwBPAGYATgBpAHQAcgBvAGcAZQBuAFYAbwBsAGEAdABpAGwAaQBzAGUAZABGAHIAbwBtAFAAYQBzAHQAdQByAGUAXABuACAAIAA9AEwAQQBNAEIARABBACgAXABuACAAIAAgACAAQQBFACwAIABGAHIAYQBjAEcAQQBTAE0AcwBvAGkAbAAsAFwAbgAgACAAIAAgAEEARQAgACoAIABGAHIAYQBjAEcAQQBTAE0AcwBvAGkAbABcAG4AIAAgACkAOwBcAG4AXABuAFYARQBFAFIARwBfADQAXwA3AF8AMQBfADUAXwBfADIAXwBNAGEAcwBzAE8AZgBOAGkAdAByAG8AZwBlAG4AVgBvAGwAYQB0AGkAbABpAHMAZQBkAEYAcgBvAG0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NwBfADEAXwA1AF8AXwAyAF8ATQBhAHMAcwBPAGYATgBpAHQAcgBvAGcAZQBuAFYAbwBsAGEAdABpAGwAaQBzAGUAZABGAHIAbwBtAFAAYQBzAHQAdQByAGUAXwBWAGEAcgBpAGEAYgBsAGUAXABuACAAIAA9AEwAQQBNAEIARABBACgAXAAiAE0AXwB2AG8AbABcACIAKQA7AFwAbgBcAG4AVgBFAEUAUgBHAF8ANABfADcAXwAxAF8ANQBfAF8AMgBfAE0AYQBzAHMATwBmAE4AaQB0AHIAbwBnAGUAbgBWAG8AbABhAHQAaQBsAGkAcwBlAGQARgByAG8AbQBQAGEAcwB0AHUAcgBlAF8AVQBuAGkAdABcAG4AIAAgAD0ATABBAE0AQgBEAEEAKABcACIAawBnACAATgBcACIAKQA7AFwAbgBcAG4AVgBFAEUAUgBHAF8ANABfADcAXwAxAF8ANQBfAF8AMgBfAE0AYQBzAHMATwBmAE4AaQB0AHIAbwBnAGUAbgBWAG8AbABhAHQAaQBsAGkAcwBlAGQARgByAG8AbQBQAGEAcwB0AHUAcgBlAF8AUwBvAHUAcgBjAGUAXABuACAAIAA9AEwAQQBNAEIARABBACgAXAAiAFYARQBFAFIARwAgADIAMAAyADYAOgAgADQALgA3AC4AMQAuADUALAAgAEUAcQB1AGEAdABpAG8AbgAgACgAMgApAFwAIgApADsAXABuAFwAbgBWAEUARQBSAEcAXwA0AF8ANwBfADEAXwA1AF8AXwAyAF8ATQBhAHMAcwBPAGYATgBpAHQAcgBvAGcAZQBuAFYAbwBsAGEAdABpAGwAaQBzAGUAZABGAHIAbwBtAFAAYQBzAHQAdQByAGUAXwBOAEkAUgBSAGUAZgBlAHIAZQBuAGMAZQBcAG4AIAAgAD0ATABBAE0AQgBEAEEAKABcACIAXAAiACkAOwBcAG4AXABuAFYARQBFAFIARwBfADQAXwA3AF8AMQBfADUAXwBfADIAXwBNAGEAcwBzAE8AZgBOAGkAdAByAG8AZwBlAG4AVgBvAGwAYQB0AGkAbABpAHMAZQBkAEYAcgBvAG0AUABhAHMAdAB1AHIAZQBfAEwAYQB0AGUAeABFAHEAdQBhAHQAaQBvAG4AXABuACAAIAA9AEwAQQBNAEIARABBACgAXAAiAE0AXwB7AHYAbwBsAH0APQBBAEUAXABcAHQAaQBtAGUAcwAgAEYAcgBhAGMARwBBAFMATQBzAG8AaQBsAFwAIgApADsAXABuAFwAbgBWAEUARQBSAEcAXwA0AF8ANwBfADEAXwA1AF8AXwAyAF8ATQBhAHMAcwBPAGYATgBpAHQAcgBvAGcAZQBuAFYAbwBsAGEAdABpAGwAaQBzAGUAZABGAHIAbwBt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GEAbgBuAHUAYQBsACAAbgBpAHQAcgBvAGcAZQBuACAAZQB4AGMAcgBlAHQAZQBkACAAYgB5ACAAZQBhAGMAaAAgAGwAaQB2AGUAcwB0AG8AYwBrACAAdAB5AHAAZQBcACIALAAgAFwAIgBrAGcAIABOAC8AeQBlAGEAcgBcACIALAAgAFwAIgBDAGEAbABjAHUAbABhAHQAZQBkACAAYgB5ACAANAAuADcALgAxAC4AMwAs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PAHQAaABlAHIATABpAHYAZQBzAHQAbwBjAGs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NwA6ACAATQBhAG4AdQByAGUAIABNAGEAbgBhAGcAZQBtAGUAbgB0ACAALQAgAE8AdABoAGUAcgAgAEwAaQB2AGUAcwB0AG8AYwBrAFwAbgA9AD0APQA9AD0APQA9AD0APQA9AD0APQA9AD0APQA9AD0APQA9AD0APQA9AD0APQA9AD0APQA9AD0APQA9AD0APQA9AD0APQA9AD0APQA9AD0APQA9AD0APQA9AD0APQA9AD0APQA9AD0APQA9AD0APQA9AD0APQA9AD0APQA9AD0APQA9AD0APQA9AD0APQA9AD0APQA9AFwAbgA0AC4ANwAuADEALgA3ACAATQBlAHQAaABvAGQAIAAxACAALQAgAFMAbwBpAGwAIABMAGUAYQBjAGgAaQBuAGcAIABBAG4AZAAgAFIAdQBuAG8AZgBmACAATgAyAE8AIABPAHQAaABlAHIAIABMAGkAdgBlAHMAdABvAGMAa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3AF8AMQBfADcAXwBfADEAXwBMAGUAYQBjAGgAaQBuAGcAQQBuAGQAUgB1AG4AbwBmAGYARQBtAGkAcwBzAGkAbwBuAHMARgByAG8AbQ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fQBcAFwAdABpAG0AZQBzACAARQBGAF8AewBsAGUAYQBjAGgAfQBcAFwAdABpAG0AZQBzACAAQwBfAHsATgAyAE8AfQBcAFwAdABpAG0AZQBzACAAMQAwAF4AewAtADMAfQBcAG4ATQBfAGwAZQBhAGMAaAAgAD0AIABtAGEAcwBzACAAbwBmACAAbgBpAHQAcgBvAGcAZQBuACAAbABvAHMAdAAgAHQAbwAgAGwAZQBhAGMAaABpAG4AZwAgAGEAbgBkACAAcgB1AG4AbwBmAGY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3AF8AMQBfADcAXwBfADEAXwBMAGUAYQBjAGgAaQBuAGcAQQBuAGQAUgB1AG4AbwBmAGYARQBtAGkAcwBzAGkAbwBuAHMARgByAG8AbQ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NwBfADEAXwA3AF8AXwAxAF8ATABlAGEAYwBoAGkAbgBnAEEAbgBkAFIAdQBuAG8AZgBmAEUAbQBpAHMAcwBpAG8AbgBzAEYAcgBvAG0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cAXwAxAF8ANwBfAF8AMQBfAEwAZQBhAGMAaABpAG4AZwBBAG4AZABSAHUAbgBvAGYAZgBFAG0AaQBzAHMAaQBvAG4AcwBGAHIAbwBtAFAAYQBzAHQAdQByAGUAXwBWAGEAcgBpAGEAYgBsAGUAXABuACAAIAA9AEwAQQBNAEIARABBACgAXAAiAEUAXwBOADIATwBsAGUAYQBjAGgAXAAiACkAOwBcAG4AXABuAFYARQBFAFIARwBfADQAXwA3AF8AMQBfADcAXwBfADEAXwBMAGUAYQBjAGgAaQBuAGcAQQBuAGQAUgB1AG4AbwBmAGYARQBtAGkAcwBzAGkAbwBuAHMARgByAG8AbQBQAGEAcwB0AHUAcgBlAF8AVQBuAGkAdABcAG4AIAAgAD0ATABBAE0AQgBEAEEAKABcACIAdAAgAE4AMgBPAFwAIgApADsAXABuAFwAbgBWAEUARQBSAEcAXwA0AF8ANwBfADEAXwA3AF8AXwAxAF8ATABlAGEAYwBoAGkAbgBnAEEAbgBkAFIAdQBuAG8AZgBmAEUAbQBpAHMAcwBpAG8AbgBzAEYAcgBvAG0AUABhAHMAdAB1AHIAZQBfAFMAbwB1AHIAYwBlAFwAbgAgACAAPQBMAEEATQBCAEQAQQAoAFwAIgBWAEUARQBSAEcAIAAyADAAMgA2ADoAIAA0AC4ANwAuADEALgA3ACwAIABFAHEAdQBhAHQAaQBvAG4AIAAoADEAKQBcACIAKQA7AFwAbgBcAG4AVgBFAEUAUgBHAF8ANABfADcAXwAxAF8ANwBfAF8AMQBfAEwAZQBhAGMAaABpAG4AZwBBAG4AZABSAHUAbgBvAGYAZgBFAG0AaQBzAHMAaQBvAG4AcwBGAHIAbwBtAFAAYQBzAHQAdQByAGUAXwBOAEkAUgBSAGUAZgBlAHIAZQBuAGMAZQBcAG4AIAAgAD0ATABBAE0AQgBEAEEAKABcACIAXAAiACkAOwBcAG4AXABuAFYARQBFAFIARwBfADQAXwA3AF8AMQBfADcAXwBfADEAXwBMAGUAYQBjAGgAaQBuAGcAQQBuAGQAUgB1AG4AbwBmAGYARQBtAGkAcwBzAGkAbwBuAHMARgByAG8AbQ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NwBfADEAXwA3AF8AXwAxAF8ATABlAGEAYwBoAGkAbgBnAEEAbgBkAFIAdQBuAG8AZgBmAEUAbQBpAHMAcwBpAG8AbgBzAEYAcgBvAG0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wAIgAsACAAXAAiAG0AYQBzAHMAIABvAGYAIABuAGkAdAByAG8AZwBlAG4AIABsAG8AcwB0ACAAdABvACAAbABlAGEAYwBoAGkAbgBnACAAYQBuAGQAIAByAHUAbgBvAGYAZgBcACIALAAgAFwAIgBrAGcAIABOAFwAIgAsACAAXAAiAEMAYQBsAGMAdQBsAGEAdABlAGQAIABmAHIAbwBtACAANAAuADcALgAxAC4ANwAs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3AF8AMQBfADcAXwBfADIAXwBNAGEAcwBzAE8AZgBOAGkAdAByAG8AZwBlAG4ATABvAHMAdABUAG8ATABlAGEAYwBoAGkAbgBnAEEAbgBkAFIAdQBuAG8AZgBm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GEAbgBuAHUAYQBsACAAbgBpAHQAcgBvAGcAZQBuACAAZQB4AGMAcgBlAHQAZQBkACAAYgB5ACAAZQBhAGMAaAAgAGwAaQB2AGUAcwB0AG8AYwBrACAAdAB5AHAAZQAgACgAawBnACAATgAvAHkAZQBhAHIAKQBcAG4ARgByAGEAYwBXAGUAdAAgAD0AIABmAHIAYQBjAHQAaQBvAG4AIABvAGYAIABuAGkAdAByAG8AZwBlAG4AIABhAHYAYQBpAGwAYQBiAGwAZQAgAGYAbwByACAAbABlAGEAYwBoAGkAbgBnACAAYQBuAGQAIAByAHUAbgBvAGYAZgBcAG4ARgByAGEAYwBMAEUAQQBDAEgAIAA9ACAAZgByAGEAYwB0AGkAbwBuACAAbwBmACAAYQBsAGwAIABuAGkAdAByAG8AZwBlAG4AIAB0AGgAYQB0ACAAaQBzACAAbABvAHMAdAAgAHQAaAByAG8AdQBnAGgAIABsAGUAYQBjAGgAaQBuAGcAIABhAG4AZAAgAHIAdQBuAG8AZgBmAFwAbgAtAC0ALQAtAC0ALQAtAC0ALQAtAC0ALQAtAC0ALQAtAC0ALQAtAC0ALQAtAC0ALQAtAC0ALQAtAC0ALQAtAC0ALQAtAC0ALQAtAC0AXABuACoALwBcAG4AXABuAFYARQBFAFIARwBfADQAXwA3AF8AMQBfADcAXwBfADIAXwBNAGEAcwBzAE8AZgBOAGkAdAByAG8AZwBlAG4ATABvAHMAdABUAG8ATABlAGEAYwBoAGkAbgBnAEEAbgBkAFIAdQBuAG8AZgBmAFwAbgAgACAAPQBMAEEATQBCAEQAQQAoAFwAbgAgACAAIAAgAEEARQAsACAARgByAGEAYwBXAGUAdAAsACAARgByAGEAYwBMAEUAQQBDAEgALABcAG4AIAAgACAAIABBAEUAIAAqACAARgByAGEAYwBXAGUAdAAgACoAIABGAHIAYQBjAEwARQBBAEMASABcAG4AIAAgACkAOwBcAG4AXABuAFYARQBFAFIARwBfADQAXwA3AF8AMQBfADcAXwBfADIAXwBNAGEAcwBzAE8AZgBOAGkAdAByAG8AZwBlAG4ATABvAHMAdABUAG8ATABlAGEAYwBoAGkAbgBnAEEAbgBkAFIAdQBuAG8AZgBmAF8AVABpAHQAbABlAFwAbgAgACAAPQBMAEEATQBCAEQAQQAoAFwAIgBNAGEAcwBzACAAbwBmACAAbgBpAHQAcgBvAGcAZQBuACAAbABvAHMAdAAgAHQAbwAgAGwAZQBhAGMAaABpAG4AZwAgAGEAbgBkACAAcgB1AG4AbwBmAGYAXAAiACkAOwBcAG4AXABuAFYARQBFAFIARwBfADQAXwA3AF8AMQBfADcAXwBfADIAXwBNAGEAcwBzAE8AZgBOAGkAdAByAG8AZwBlAG4ATABvAHMAdABUAG8ATABlAGEAYwBoAGkAbgBnAEEAbgBkAFIAdQBuAG8AZgBmAF8AVgBhAHIAaQBhAGIAbABlAFwAbgAgACAAPQBMAEEATQBCAEQAQQAoAFwAIgBNAF8AbABlAGEAYwBoAFwAIgApADsAXABuAFwAbgBWAEUARQBSAEcAXwA0AF8ANwBfADEAXwA3AF8AXwAyAF8ATQBhAHMAcwBPAGYATgBpAHQAcgBvAGcAZQBuAEwAbwBzAHQAVABvAEwAZQBhAGMAaABpAG4AZwBBAG4AZABSAHUAbgBvAGYAZgBfAFUAbgBpAHQAXABuACAAIAA9AEwAQQBNAEIARABBACgAXAAiAGsAZwAgAE4AXAAiACkAOwBcAG4AXABuAFYARQBFAFIARwBfADQAXwA3AF8AMQBfADcAXwBfADIAXwBNAGEAcwBzAE8AZgBOAGkAdAByAG8AZwBlAG4ATABvAHMAdABUAG8ATABlAGEAYwBoAGkAbgBnAEEAbgBkAFIAdQBuAG8AZgBmAF8AUwBvAHUAcgBjAGUAXABuACAAIAA9AEwAQQBNAEIARABBACgAXAAiAFYARQBFAFIARwAgADIAMAAyADYAOgAgADQALgA3AC4AMQAuADcALAAgAEUAcQB1AGEAdABpAG8AbgAgACgAMgApAFwAIgApADsAXABuAFwAbgBWAEUARQBSAEcAXwA0AF8ANwBfADEAXwA3AF8AXwAyAF8ATQBhAHMAcwBPAGYATgBpAHQAcgBvAGcAZQBuAEwAbwBzAHQAVABvAEwAZQBhAGMAaABpAG4AZwBBAG4AZABSAHUAbgBvAGYAZgBfAE4ASQBSAFIAZQBmAGUAcgBlAG4AYwBlAFwAbgAgACAAPQBMAEEATQBCAEQAQQAoAFwAIgBcACIAKQA7AFwAbgBcAG4AVgBFAEUAUgBHAF8ANABfADcAXwAxAF8ANwBfAF8AMgBfAE0AYQBzAHMATwBmAE4AaQB0AHIAbwBnAGUAbgBMAG8AcwB0AFQAbwBMAGUAYQBjAGgAaQBuAGcAQQBuAGQAUgB1AG4AbwBmAGYAXwBMAGEAdABlAHgARQBxAHUAYQB0AGkAbwBuAFwAbgAgACAAPQBMAEEATQBCAEQAQQAoAFwAIgBNAF8AewBsAGUAYQBjAGgAfQA9AEEARQBcAFwAdABpAG0AZQBzACAARgByAGEAYwBXAGUAdABcAFwAdABpAG0AZQBzACAARgByAGEAYwBMAEUAQQBDAEgAXAAiACkAOwBcAG4AXABuAFYARQBFAFIARwBfADQAXwA3AF8AMQBfADcAXwBfADIAXwBNAGEAcwBzAE8AZgBOAGkAdAByAG8AZwBlAG4ATABvAHMAdABUAG8ATABlAGEAYwBoAGkAbgBnAEEAbgBkAFIAdQBuAG8AZgBmAF8AQQByAGcAdQBtAGUAbgB0AHMAXABuACAAIAA9AEwAQQBNAEIARABBACgAXABuACAAIAAgACAATQBBAEsARQBBAFIAUgBBAFkAKAA2ACwAIAA0ACwAXABuACAAIAAgACAAIAAgAEwAQQBNAEIARABBACgAcgAsAGMALABcAG4AIAAgACAAIAAgACAAIAAgAEkATgBEAEUAWAAoAHsAXABuACAAIAAgACAAIAAgACAAIAAgACAAXAAiAEEARQBcACIALAAgAFwAIgBhAG4AbgB1AGEAbAAgAG4AaQB0AHIAbwBnAGUAbgAgAGUAeABjAHIAZQB0AGUAZAAgAGIAeQAgAGUAYQBjAGgAIABsAGkAdgBlAHMAdABvAGMAawAgAHQAeQBwAGUAXAAiACwAIABcACIAawBnACAATgAvAHkAZQBhAHIAXAAiACwAIABcACIAQwBhAGwAYwB1AGwAYQB0AGUAZAAgAGIAeQAgADQALgA3AC4AMQAuADMALAAgACgAMgApAFwAIgA7AFwAbgAgACAAIAAgACAAIAAgACAAIAAgAFwAIgBGAHIAYQBjAFcAZQB0AFwAIgAsACAAXAAiAGYAcgBhAGMAdABpAG8AbgAgAG8AZgAgAG4AaQB0AHIAbwBnAGUAbgAgAGEAdgBhAGkAbABhAGIAbABlACAAZgBvAHIAIABsAGUAYQBjAGgAaQBuAGcAIABhAG4AZAAgAHIAdQBuAG8AZgBmAFwAIgAsACAAXAAiAFwAIgAsACAAXAAiAEMAbwBuAHMAdABhAG4AdABcACIAOwBcAG4AIAAgACAAIAAgACAAIAAgACAAIABcACIARgByAGEAYwBMAEUAQQBDAEgAXAAiACwAIABcACIAZgByAGEAYwB0AGkAbwBuACAAbwBmACAAYQBsAGwAIABuAGkAdAByAG8AZwBlAG4AIAB0AGgAYQB0ACAAaQBz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8AdABoAGUAcgBMAGkAdgBlAHMAdABvAGMAawAuAFMAbwB1AHIAYwBlAEQAYQB0AGEAXwBPAHQAaABlAHIATABpAHYAZQBzAHQAbwBjAGsAXwBFAG4AdABlAHIAaQBjAEYAZQByAG0AZQBuAHQAYQB0AGkAbwBuAEUAbQBpAHMAcwBpAG8AbgBGAGEAYwB0AG8AcgBfAFQAaQB0AGwAZQAiACwAIgBTAG8AdQByAGMAZQBEAGEAdABhAF8ATwB0AGgAZQByAEwAaQB2AGUAcwB0AG8AYwBrAC4AUwBvAHUAcgBjAGUARABhAHQAYQBfAE8AdABoAGUAcgBMAGkAdgBlAHMAdABvAGMAawBfAEUAbgB0AGUAcgBpAGMARgBlAHIAbQBlAG4AdABhAHQAaQBvAG4ARQBtAGkAcwBzAGkAbwBuAEYAYQBjAHQAbwByAF8AVgBhAHIAaQBhAGIAbABlACIALAAiAFMAbwB1AHIAYwBlAEQAYQB0AGEAXwBPAHQAaABlAHIATABpAHYAZQBzAHQAbwBjAGsALgBTAG8AdQByAGMAZQBEAGEAdABhAF8ATwB0AGgAZQByAEwAaQB2AGUAcwB0AG8AYwBrAF8ARQBuAHQAZQByAGkAYwBGAGUAcgBtAGUAbgB0AGEAdABpAG8AbgBFAG0AaQBzAHMAaQBvAG4ARgBhAGMAdABvAHIAXwBVAG4AaQB0ACIALAAiAFMAbwB1AHIAYwBlAEQAYQB0AGEAXwBPAHQAaABlAHIATABpAHYAZQBzAHQAbwBjAGsALgBTAG8AdQByAGMAZQBEAGEAdABhAF8ATwB0AGgAZQByAEwAaQB2AGUAcwB0AG8AYwBrAF8ARQBuAHQAZQByAGkAYwBGAGUAcgBtAGUAbgB0AGEAdABpAG8AbgBFAG0AaQBzAHMAaQBvAG4ARgBhAGMAdABvAHIAXwBTAG8AdQByAGMAZQAiACwAIgBTAG8AdQByAGMAZQBEAGEAdABhAF8ATwB0AGgAZQByAEwAaQB2AGUAcwB0AG8AYwBrAC4AUwBvAHUAcgBjAGUARABhAHQAYQBfAE8AdABoAGUAcgBMAGkAdgBlAHMAdABvAGMAawBfAEUAbgB0AGUAcgBpAGMARgBlAHIAbQBlAG4AdABhAHQAaQBvAG4ARQBtAGkAcwBzAGkAbwBuAEYAYQBjAHQAbwByAF8AVgBhAHIAaQBhAHQAaQBvAG4AIgAsACIAUwBvAHUAcgBjAGUARABhAHQAYQBfAE8AdABoAGUAcgBMAGkAdgBlAHMAdABvAGMAawAuAFMAbwB1AHIAYwBlAEQAYQB0AGEAXwBPAHQAaABlAHIATABpAHYAZQBzAHQAbwBjAGsAXwBFAG4AdABlAHIAaQBjAEYAZQByAG0AZQBuAHQAYQB0AGkAbwBuAEUAbQBpAHMAcwBpAG8AbgBGAGEAYwB0AG8AcgBfAEQAYQB0AGEAIgAsACIAUwBvAHUAcgBjAGUARABhAHQAYQBfAE8AdABoAGUAcgBMAGkAdgBlAHMAdABvAGMAawAuAFMAbwB1AHIAYwBlAEQAYQB0AGEAXwBPAHQAaABlAHIATABpAHYAZQBzAHQAbwBjAGsAXwBWAG8AbABhAHQAaQBsAGUAUwBvAGwAaQBkAHMAUAByAG8AZAB1AGMAZQBkAF8AVABpAHQAbABlACIALAAiAFMAbwB1AHIAYwBlAEQAYQB0AGEAXwBPAHQAaABlAHIATABpAHYAZQBzAHQAbwBjAGsALgBTAG8AdQByAGMAZQBEAGEAdABhAF8ATwB0AGgAZQByAEwAaQB2AGUAcwB0AG8AYwBrAF8AVgBvAGwAYQB0AGkAbABlAFMAbwBsAGkAZABzAFAAcgBvAGQAdQBjAGUAZABfAFYAYQByAGkAYQBiAGwAZQAiACwAIgBTAG8AdQByAGMAZQBEAGEAdABhAF8ATwB0AGgAZQByAEwAaQB2AGUAcwB0AG8AYwBrAC4AUwBvAHUAcgBjAGUARABhAHQAYQBfAE8AdABoAGUAcgBMAGkAdgBlAHMAdABvAGMAawBfAFYAbwBsAGEAdABpAGwAZQBTAG8AbABpAGQAcwBQAHIAbwBkAHUAYwBlAGQAXwBVAG4AaQB0ACIALAAiAFMAbwB1AHIAYwBlAEQAYQB0AGEAXwBPAHQAaABlAHIATABpAHYAZQBzAHQAbwBjAGsALgBTAG8AdQByAGMAZQBEAGEAdABhAF8ATwB0AGgAZQByAEwAaQB2AGUAcwB0AG8AYwBrAF8AVgBvAGwAYQB0AGkAbABlAFMAbwBsAGkAZABzAFAAcgBvAGQAdQBjAGUAZABfAFMAbwB1AHIAYwBlACIALAAiAFMAbwB1AHIAYwBlAEQAYQB0AGEAXwBPAHQAaABlAHIATABpAHYAZQBzAHQAbwBjAGsALgBTAG8AdQByAGMAZQBEAGEAdABhAF8ATwB0AGgAZQByAEwAaQB2AGUAcwB0AG8AYwBrAF8AVgBvAGwAYQB0AGkAbABlAFMAbwBsAGkAZABzAFAAcgBvAGQAdQBjAGUAZABfAFYAYQByAGkAYQB0AGkAbwBuACIALAAiAFMAbwB1AHIAYwBlAEQAYQB0AGEAXwBPAHQAaABlAHIATABpAHYAZQBzAHQAbwBjAGsALgBTAG8AdQByAGMAZQBEAGEAdABhAF8ATwB0AGgAZQByAEwAaQB2AGUAcwB0AG8AYwBrAF8AVgBvAGwAYQB0AGkAbABlAFMAbwBsAGkAZABzAFAAcgBvAGQAdQBjAGUAZABfAEQAYQB0AGEAIgAsACIAUwBvAHUAcgBjAGUARABhAHQAYQBfAE8AdABoAGUAcgBMAGkAdgBlAHMAdABvAGMAawAuAFMAbwB1AHIAYwBlAEQAYQB0AGEAXwBPAHQAaABlAHIATABpAHYAZQBzAHQAbwBjAGsAXwBOAGkAdAByAG8AZwBlAG4ARQB4AGMAcgBlAHQAZQBkAF8AVABpAHQAbABlACIALAAiAFMAbwB1AHIAYwBlAEQAYQB0AGEAXwBPAHQAaABlAHIATABpAHYAZQBzAHQAbwBjAGsALgBTAG8AdQByAGMAZQBEAGEAdABhAF8ATwB0AGgAZQByAEwAaQB2AGUAcwB0AG8AYwBrAF8ATgBpAHQAcgBvAGcAZQBuAEUAeABjAHIAZQB0AGUAZABfAFYAYQByAGkAYQBiAGwAZQAiACwAIgBTAG8AdQByAGMAZQBEAGEAdABhAF8ATwB0AGgAZQByAEwAaQB2AGUAcwB0AG8AYwBrAC4AUwBvAHUAcgBjAGUARABhAHQAYQBfAE8AdABoAGUAcgBMAGkAdgBlAHMAdABvAGMAawBfAE4AaQB0AHIAbwBnAGUAbgBFAHgAYwByAGUAdABlAGQAXwBVAG4AaQB0ACIALAAiAFMAbwB1AHIAYwBlAEQAYQB0AGEAXwBPAHQAaABlAHIATABpAHYAZQBzAHQAbwBjAGsALgBTAG8AdQByAGMAZQBEAGEAdABhAF8ATwB0AGgAZQByAEwAaQB2AGUAcwB0AG8AYwBrAF8ATgBpAHQAcgBvAGcAZQBuAEUAeABjAHIAZQB0AGUAZABfAFMAbwB1AHIAYwBlACIALAAiAFMAbwB1AHIAYwBlAEQAYQB0AGEAXwBPAHQAaABlAHIATABpAHYAZQBzAHQAbwBjAGsALgBTAG8AdQByAGMAZQBEAGEAdABhAF8ATwB0AGgAZQByAEwAaQB2AGUAcwB0AG8AYwBrAF8ATgBpAHQAcgBvAGcAZQBuAEUAeABjAHIAZQB0AGUAZABfAFYAYQByAGkAYQB0AGkAbwBuACIALAAiAFMAbwB1AHIAYwBlAEQAYQB0AGEAXwBPAHQAaABlAHIATABpAHYAZQBzAHQAbwBjAGsALgBTAG8AdQByAGMAZQBEAGEAdABhAF8ATwB0AGgAZQByAEwAaQB2AGUAcwB0AG8AYwBrAF8ATgBpAHQAcgBvAGcAZQBuAEUAeABjAHIAZQB0AGUAZABfAEQAYQB0AGEAIgAsACIAUwBvAHUAcgBjAGUARABhAHQAYQBfAE8AdABoAGUAcgBMAGkAdgBlAHMAdABvAGMAawAuAFMAbwB1AHIAYwBlAEQAYQB0AGEAXwBPAHQAaABlAHIATABpAHYAZQBzAHQAbwBjAGsAXwBBAHYAZQByAGEAZwBlAEwAaQB2AGUAdwBlAGkAZwBoAHQAXwBUAGkAdABsAGUAIgAsACIAUwBvAHUAcgBjAGUARABhAHQAYQBfAE8AdABoAGUAcgBMAGkAdgBlAHMAdABvAGMAawAuAFMAbwB1AHIAYwBlAEQAYQB0AGEAXwBPAHQAaABlAHIATABpAHYAZQBzAHQAbwBjAGsAXwBBAHYAZQByAGEAZwBlAEwAaQB2AGUAdwBlAGkAZwBoAHQAXwBWAGEAcgBpAGEAYgBsAGUAIgAsACIAUwBvAHUAcgBjAGUARABhAHQAYQBfAE8AdABoAGUAcgBMAGkAdgBlAHMAdABvAGMAawAuAFMAbwB1AHIAYwBlAEQAYQB0AGEAXwBPAHQAaABlAHIATABpAHYAZQBzAHQAbwBjAGsAXwBBAHYAZQByAGEAZwBlAEwAaQB2AGUAdwBlAGkAZwBoAHQAXwBVAG4AaQB0ACIALAAiAFMAbwB1AHIAYwBlAEQAYQB0AGEAXwBPAHQAaABlAHIATABpAHYAZQBzAHQAbwBjAGsALgBTAG8AdQByAGMAZQBEAGEAdABhAF8ATwB0AGgAZQByAEwAaQB2AGUAcwB0AG8AYwBrAF8AQQB2AGUAcgBhAGcAZQBMAGkAdgBlAHcAZQBpAGcAaAB0AF8AUwBvAHUAcgBjAGUAIgAsACIAUwBvAHUAcgBjAGUARABhAHQAYQBfAE8AdABoAGUAcgBMAGkAdgBlAHMAdABvAGMAawAuAFMAbwB1AHIAYwBlAEQAYQB0AGEAXwBPAHQAaABlAHIATABpAHYAZQBzAHQAbwBjAGsAXwBBAHYAZQByAGEAZwBlAEwAaQB2AGUAdwBlAGkAZwBoAHQAXwBWAGEAcgBpAGEAdABpAG8AbgAiACwAIgBTAG8AdQByAGMAZQBEAGEAdABhAF8ATwB0AGgAZQByAEwAaQB2AGUAcwB0AG8AYwBrAC4AUwBvAHUAcgBjAGUARABhAHQAYQBfAE8AdABoAGUAcgBMAGkAdgBlAHMAdABvAGMAawBfAEEAdgBlAHIAYQBnAGUATABpAHYAZQB3AGUAaQBnAGgAdABfAEQAYQB0AGEAIgAsACIAUwBvAHUAcgBjAGUARABhAHQAYQBfAE8AdABoAGUAcgBMAGkAdgBlAHMAdABvAGMAawAuAFMAbwB1AHIAYwBlAEQAYQB0AGEAXwBPAHQAaABlAHIATABpAHYAZQBzAHQAbwBjAGsAXwBGAHIAYQBjAHQAaQBvAG4AVwBhAHMAdABlAEkAbgBNAE0AUwBfAFQAaQB0AGwAZQAiACwAIgBTAG8AdQByAGMAZQBEAGEAdABhAF8ATwB0AGgAZQByAEwAaQB2AGUAcwB0AG8AYwBrAC4AUwBvAHUAcgBjAGUARABhAHQAYQBfAE8AdABoAGUAcgBMAGkAdgBlAHMAdABvAGMAawBfAEYAcgBhAGMAdABpAG8AbgBXAGEAcwB0AGUASQBuAE0ATQBTAF8AVgBhAHIAaQBhAGIAbABlACIALAAiAFMAbwB1AHIAYwBlAEQAYQB0AGEAXwBPAHQAaABlAHIATABpAHYAZQBzAHQAbwBjAGsALgBTAG8AdQByAGMAZQBEAGEAdABhAF8ATwB0AGgAZQByAEwAaQB2AGUAcwB0AG8AYwBrAF8ARgByAGEAYwB0AGkAbwBuAFcAYQBzAHQAZQBJAG4ATQBNAFMAXwBVAG4AaQB0ACIALAAiAFMAbwB1AHIAYwBlAEQAYQB0AGEAXwBPAHQAaABlAHIATABpAHYAZQBzAHQAbwBjAGsALgBTAG8AdQByAGMAZQBEAGEAdABhAF8ATwB0AGgAZQByAEwAaQB2AGUAcwB0AG8AYwBrAF8ARgByAGEAYwB0AGkAbwBuAFcAYQBzAHQAZQBJAG4ATQBNAFMAXwBTAG8AdQByAGMAZQAiACwAIgBTAG8AdQByAGMAZQBEAGEAdABhAF8ATwB0AGgAZQByAEwAaQB2AGUAcwB0AG8AYwBrAC4AUwBvAHUAcgBjAGUARABhAHQAYQBfAE8AdABoAGUAcgBMAGkAdgBlAHMAdABvAGMAawBfAEYAcgBhAGMAdABpAG8AbgBXAGEAcwB0AGUASQBuAE0ATQBTAF8AVgBhAHIAaQBhAHQAaQBvAG4AIgAsACIAUwBvAHUAcgBjAGUARABhAHQAYQBfAE8AdABoAGUAcgBMAGkAdgBlAHMAdABvAGMAawAuAFMAbwB1AHIAYwBlAEQAYQB0AGEAXwBPAHQAaABlAHIATABpAHYAZQBzAHQAbwBjAGsAXwBGAHIAYQBjAHQAaQBvAG4AVwBhAHMAdABlAEkAbgBNAE0AUwBfAEQAYQB0AGEAIgAsACIAUwBvAHUAcgBjAGUARABhAHQAYQBfAE8AdABoAGUAcgBMAGkAdgBlAHMAdABvAGMAawAuAFMAbwB1AHIAYwBlAEQAYQB0AGEAXwBPAHQAaABlAHIATABpAHYAZQBzAHQAbwBjAGsAXwBNAGUAdABoAGEAbgBlAEMAbwBuAHYAZQByAHMAaQBvAG4ARgBhAGMAdABvAHIAXwBUAGkAdABsAGUAIgAsACIAUwBvAHUAcgBjAGUARABhAHQAYQBfAE8AdABoAGUAcgBMAGkAdgBlAHMAdABvAGMAawAuAFMAbwB1AHIAYwBlAEQAYQB0AGEAXwBPAHQAaABlAHIATABpAHYAZQBzAHQAbwBjAGsAXwBNAGUAdABoAGEAbgBlAEMAbwBuAHYAZQByAHMAaQBvAG4ARgBhAGMAdABvAHIAXwBWAGEAcgBpAGEAYgBsAGUAIgAsACIAUwBvAHUAcgBjAGUARABhAHQAYQBfAE8AdABoAGUAcgBMAGkAdgBlAHMAdABvAGMAawAuAFMAbwB1AHIAYwBlAEQAYQB0AGEAXwBPAHQAaABlAHIATABpAHYAZQBzAHQAbwBjAGsAXwBNAGUAdABoAGEAbgBlAEMAbwBuAHYAZQByAHMAaQBvAG4ARgBhAGMAdABvAHIAXwBVAG4AaQB0ACIALAAiAFMAbwB1AHIAYwBlAEQAYQB0AGEAXwBPAHQAaABlAHIATABpAHYAZQBzAHQAbwBjAGsALgBTAG8AdQByAGMAZQBEAGEAdABhAF8ATwB0AGgAZQByAEwAaQB2AGUAcwB0AG8AYwBrAF8ATQBlAHQAaABhAG4AZQBDAG8AbgB2AGUAcgBzAGkAbwBuAEYAYQBjAHQAbwByAF8AUwBvAHUAcgBjAGUAIgAsACIAUwBvAHUAcgBjAGUARABhAHQAYQBfAE8AdABoAGUAcgBMAGkAdgBlAHMAdABvAGMAawAuAFMAbwB1AHIAYwBlAEQAYQB0AGEAXwBPAHQAaABlAHIATABpAHYAZQBzAHQAbwBjAGsAXwBNAGUAdABoAGEAbgBlAEMAbwBuAHYAZQByAHMAaQBvAG4ARgBhAGMAdABvAHIAXwBWAGEAcgBpAGEAdABpAG8AbgAiACwAIgBTAG8AdQByAGMAZQBEAGEAdABhAF8ATwB0AGgAZQByAEwAaQB2AGUAcwB0AG8AYwBrAC4AUwBvAHUAcgBjAGUARABhAHQAYQBfAE8AdABoAGUAcgBMAGkAdgBlAHMAdABvAGMAawBfAE0AZQB0AGgAYQBuAGUAQwBvAG4AdgBlAHIAcwBpAG8AbgBGAGEAYwB0AG8AcgBfAEQAYQB0AGEAIgAsACIAUwBvAHUAcgBjAGUARABhAHQAYQBfAE8AdABoAGUAcgBMAGkAdgBlAHMAdABvAGMAawAuAFMAbwB1AHIAYwBlAEQAYQB0AGEAXwBPAHQAaABlAHIATABpAHYAZQBzAHQAbwBjAGsAXwBNAGUAdABoAGEAbgBlAEUAbQBpAHMAcwBpAG8AbgBzAFAAbwB0AGUAbgB0AGkAYQBsAF8AVABpAHQAbABlACIALAAiAFMAbwB1AHIAYwBlAEQAYQB0AGEAXwBPAHQAaABlAHIATABpAHYAZQBzAHQAbwBjAGsALgBTAG8AdQByAGMAZQBEAGEAdABhAF8ATwB0AGgAZQByAEwAaQB2AGUAcwB0AG8AYwBrAF8ATQBlAHQAaABhAG4AZQBFAG0AaQBzAHMAaQBvAG4AcwBQAG8AdABlAG4AdABpAGEAbABfAFYAYQByAGkAYQBiAGwAZQAiACwAIgBTAG8AdQByAGMAZQBEAGEAdABhAF8ATwB0AGgAZQByAEwAaQB2AGUAcwB0AG8AYwBrAC4AUwBvAHUAcgBjAGUARABhAHQAYQBfAE8AdABoAGUAcgBMAGkAdgBlAHMAdABvAGMAawBfAE0AZQB0AGgAYQBuAGUARQBtAGkAcwBzAGkAbwBuAHMAUABvAHQAZQBuAHQAaQBhAGwAXwBVAG4AaQB0ACIALAAiAFMAbwB1AHIAYwBlAEQAYQB0AGEAXwBPAHQAaABlAHIATABpAHYAZQBzAHQAbwBjAGsALgBTAG8AdQByAGMAZQBEAGEAdABhAF8ATwB0AGgAZQByAEwAaQB2AGUAcwB0AG8AYwBrAF8ATQBlAHQAaABhAG4AZQBFAG0AaQBzAHMAaQBvAG4AcwBQAG8AdABlAG4AdABpAGEAbABfAFMAbwB1AHIAYwBlACIALAAiAFMAbwB1AHIAYwBlAEQAYQB0AGEAXwBPAHQAaABlAHIATABpAHYAZQBzAHQAbwBjAGsALgBTAG8AdQByAGMAZQBEAGEAdABhAF8ATwB0AGgAZQByAEwAaQB2AGUAcwB0AG8AYwBrAF8ATQBlAHQAaABhAG4AZQBFAG0AaQBzAHMAaQBvAG4AcwBQAG8AdABlAG4AdABpAGEAbABfAFYAYQByAGkAYQB0AGkAbwBuACIALAAiAFMAbwB1AHIAYwBlAEQAYQB0AGEAXwBPAHQAaABlAHIATABpAHYAZQBzAHQAbwBjAGsALgBTAG8AdQByAGMAZQBEAGEAdABhAF8ATwB0AGgAZQByAEwAaQB2AGUAcwB0AG8AYwBrAF8ATQBlAHQAaABhAG4AZQBFAG0AaQBzAHMAaQBvAG4AcwBQAG8AdABlAG4AdABpAGEAbABfAEQAYQB0AGEAIgAsACIAUwBvAHUAcgBjAGUARABhAHQAYQBfAE8AdABoAGUAcgBMAGkAdgBlAHMAdABvAGMAawAuAFMAbwB1AHIAYwBlAEQAYQB0AGEAXwBPAHQAaABlAHIATABpAHYAZQBzAHQAbwBjAGsAXwBGAHIAYQBjAEcAQQBTAE0AUwBvAGkAbABfAFQAaQB0AGwAZQAiACwAIgBTAG8AdQByAGMAZQBEAGEAdABhAF8ATwB0AGgAZQByAEwAaQB2AGUAcwB0AG8AYwBrAC4AUwBvAHUAcgBjAGUARABhAHQAYQBfAE8AdABoAGUAcgBMAGkAdgBlAHMAdABvAGMAawBfAEYAcgBhAGMARwBBAFMATQBTAG8AaQBsAF8AVgBhAHIAaQBhAGIAbABlACIALAAiAFMAbwB1AHIAYwBlAEQAYQB0AGEAXwBPAHQAaABlAHIATABpAHYAZQBzAHQAbwBjAGsALgBTAG8AdQByAGMAZQBEAGEAdABhAF8ATwB0AGgAZQByAEwAaQB2AGUAcwB0AG8AYwBrAF8ARgByAGEAYwBHAEEAUwBNAFMAbwBpAGwAXwBVAG4AaQB0ACIALAAiAFMAbwB1AHIAYwBlAEQAYQB0AGEAXwBPAHQAaABlAHIATABpAHYAZQBzAHQAbwBjAGsALgBTAG8AdQByAGMAZQBEAGEAdABhAF8ATwB0AGgAZQByAEwAaQB2AGUAcwB0AG8AYwBrAF8ARgByAGEAYwBHAEEAUwBNAFMAbwBpAGwAXwBTAG8AdQByAGMAZQAiACwAIgBTAG8AdQByAGMAZQBEAGEAdABhAF8ATwB0AGgAZQByAEwAaQB2AGUAcwB0AG8AYwBrAC4AUwBvAHUAcgBjAGUARABhAHQAYQBfAE8AdABoAGUAcgBMAGkAdgBlAHMAdABvAGMAawBfAEYAcgBhAGMARwBBAFMATQBTAG8AaQBsAF8AVgBhAHIAaQBhAHQAaQBvAG4AIgAsACIAUwBvAHUAcgBjAGUARABhAHQAYQBfAE8AdABoAGUAcgBMAGkAdgBlAHMAdABvAGMAawAuAFMAbwB1AHIAYwBlAEQAYQB0AGEAXwBPAHQAaABlAHIATABpAHYAZQBzAHQAbwBjAGsAXwBGAHIAYQBjAEcAQQBTAE0AUwBvAGkAbABfAEQAYQB0AGE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BfAFQAaQB0AGw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WAGEAcgBpAGEAYgBsAGU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VQBuAGkAdA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TAG8AdQByAGM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OAEkAUgBSAGUAZgBlAHIAZQBuAGM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MAGEAdABlAHgARQBxAHUAYQB0AGkAbwBu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BfAEEAcgBnAHUAbQBlAG4AdABzACIALAAiAE0ATQBTAF8ATwB0AGgAZQByAEwAaQB2AGUAcwB0AG8AYwBrAF8ATQBlAHQAaABhAG4AZQBfAEUAcQB1AGEAdABpAG8AbgBzAC4AVgBFAEUAUgBHAF8ANABfADcAXwAxAF8AMQBfAF8AMgBfAEEAbgBuAHUAYQBsAE0AZQB0AGgAYQBuAGUAUAByAG8AZAB1AGMAdABpAG8AbgBGAHIAbwBtAE0AYQBuAHUAcgBlAE0AYQBuAGEAZwBlAG0AZQBuAHQAIgAsACIATQBNAFMAXwBPAHQAaABlAHIATABpAHYAZQBzAHQAbwBjAGsAXwBNAGUAdABoAGEAbgBlAF8ARQBxAHUAYQB0AGkAbwBuAHMALgBWAEUARQBSAEcAXwA0AF8ANwBfADEAXwAxAF8AXwAyAF8AQQBuAG4AdQBhAGwATQBlAHQAaABhAG4AZQBQAHIAbwBkAHUAYwB0AGkAbwBuAEYAcgBvAG0ATQBhAG4AdQByAGUATQBhAG4AYQBnAGUAbQBlAG4AdABfAFQAaQB0AGwAZQAiACwAIgBNAE0AUwBfAE8AdABoAGUAcgBMAGkAdgBlAHMAdABvAGMAawBfAE0AZQB0AGgAYQBuAGUAXwBFAHEAdQBhAHQAaQBvAG4AcwAuAFYARQBFAFIARwBfADQAXwA3AF8AMQBfADEAXwBfADIAXwBBAG4AbgB1AGEAbABNAGUAdABoAGEAbgBlAFAAcgBvAGQAdQBjAHQAaQBvAG4ARgByAG8AbQBNAGEAbgB1AHIAZQBNAGEAbgBhAGcAZQBtAGUAbgB0AF8AVgBhAHIAaQBhAGIAbABlACIALAAiAE0ATQBTAF8ATwB0AGgAZQByAEwAaQB2AGUAcwB0AG8AYwBrAF8ATQBlAHQAaABhAG4AZQBfAEUAcQB1AGEAdABpAG8AbgBzAC4AVgBFAEUAUgBHAF8ANABfADcAXwAxAF8AMQBfAF8AMgBfAEEAbgBuAHUAYQBsAE0AZQB0AGgAYQBuAGUAUAByAG8AZAB1AGMAdABpAG8AbgBGAHIAbwBtAE0AYQBuAHUAcgBlAE0AYQBuAGEAZwBlAG0AZQBuAHQAXwBVAG4AaQB0ACIALAAiAE0ATQBTAF8ATwB0AGgAZQByAEwAaQB2AGUAcwB0AG8AYwBrAF8ATQBlAHQAaABhAG4AZQBfAEUAcQB1AGEAdABpAG8AbgBzAC4AVgBFAEUAUgBHAF8ANABfADcAXwAxAF8AMQBfAF8AMgBfAEEAbgBuAHUAYQBsAE0AZQB0AGgAYQBuAGUAUAByAG8AZAB1AGMAdABpAG8AbgBGAHIAbwBtAE0AYQBuAHUAcgBlAE0AYQBuAGEAZwBlAG0AZQBuAHQAXwBTAG8AdQByAGMAZQAiACwAIgBNAE0AUwBfAE8AdABoAGUAcgBMAGkAdgBlAHMAdABvAGMAawBfAE0AZQB0AGgAYQBuAGUAXwBFAHEAdQBhAHQAaQBvAG4AcwAuAFYARQBFAFIARwBfADQAXwA3AF8AMQBfADEAXwBfADIAXwBBAG4AbgB1AGEAbABNAGUAdABoAGEAbgBlAFAAcgBvAGQAdQBjAHQAaQBvAG4ARgByAG8AbQBNAGEAbgB1AHIAZQBNAGEAbgBhAGcAZQBtAGUAbgB0AF8ATgBJAFIAUgBlAGYAZQByAGUAbgBjAGUAIgAsACIATQBNAFMAXwBPAHQAaABlAHIATABpAHYAZQBzAHQAbwBjAGsAXwBNAGUAdABoAGEAbgBlAF8ARQBxAHUAYQB0AGkAbwBuAHMALgBWAEUARQBSAEcAXwA0AF8ANwBfADEAXwAxAF8AXwAyAF8AQQBuAG4AdQBhAGwATQBlAHQAaABhAG4AZQBQAHIAbwBkAHUAYwB0AGkAbwBuAEYAcgBvAG0ATQBhAG4AdQByAGUATQBhAG4AYQBnAGUAbQBlAG4AdABfAEwAYQB0AGUAeABFAHEAdQBhAHQAaQBvAG4AIgAsACIATQBNAFMAXwBPAHQAaABlAHIATABpAHYAZQBzAHQAbwBjAGsAXwBNAGUAdABoAGEAbgBlAF8ARQBxAHUAYQB0AGkAbwBuAHMALgBWAEUARQBSAEcAXwA0AF8ANwBfADEAXwAxAF8AXwAyAF8AQQBuAG4AdQBhAGwATQBlAHQAaABhAG4AZQBQAHIAbwBkAHUAYwB0AGkAbwBuAEYAcgBvAG0ATQBhAG4AdQByAGUATQBhAG4AYQBnAGUAbQBlAG4AdABfAEEAcgBnAHUAbQBlAG4AdABzACIALAAiAE0ATQBTAF8ATwB0AGgAZQByAEwAaQB2AGUAcwB0AG8AYwBrAF8ATQBlAHQAaABhAG4AZQBfAEUAcQB1AGEAdABpAG8AbgBzAC4AVgBFAEUAUgBHAF8ANABfADcAXwAxAF8AMQBfAF8AMgBfAEEAbgBuAHUAYQBsAE0AZQB0AGgAYQBuAGUAUAByAG8AZAB1AGMAdABpAG8AbgBGAHIAbwBtAE0AYQBuAHUAcgBlAE0AYQBuAGEAZwBlAG0AZQBuAHQAXwBBAHIAZwB1AG0AZQBuAHQAcwBfAE0AZQB0AGgAbwBkADIAIgAsACIATQBNAFMAXwBPAHQAaABlAHIATABpAHYAZQBzAHQAbwBjAGsAXwBTAG8AaQBsAF8ATgAyAE8ARABpAHIAZQBjAHQALgBWAEUARQBSAEcAXwA0AF8ANwBfADEAXwAzAF8AXwAxAF8ARABpAHIAZQBjAHQATgBpAHQAcgBvAHUAcwBPAHgAaQBkAGUARQBtAGkAcwBzAGkAbwBuAHMARgByAG8AbQBTAG8AaQBsACIALAAiAE0ATQBTAF8ATwB0AGgAZQByAEwAaQB2AGUAcwB0AG8AYwBrAF8AUwBvAGkAbABfAE4AMgBPAEQAaQByAGUAYwB0AC4AVgBFAEUAUgBHAF8ANABfADcAXwAxAF8AMwBfAF8AMQBfAEQAaQByAGUAYwB0AE4AaQB0AHIAbwB1AHMATwB4AGkAZABlAEUAbQBpAHMAcwBpAG8AbgBzAEYAcgBvAG0AUwBvAGkAbABfAFQAaQB0AGwAZQAiACwAIgBNAE0AUwBfAE8AdABoAGUAcgBMAGkAdgBlAHMAdABvAGMAawBfAFMAbwBpAGwAXwBOADIATwBEAGkAcgBlAGMAdAAuAFYARQBFAFIARwBfADQAXwA3AF8AMQBfADMAXwBfADEAXwBEAGkAcgBlAGMAdABOAGkAdAByAG8AdQBzAE8AeABpAGQAZQBFAG0AaQBzAHMAaQBvAG4AcwBGAHIAbwBtAFMAbwBpAGwAXwBWAGEAcgBpAGEAYgBsAGUAIgAsACIATQBNAFMAXwBPAHQAaABlAHIATABpAHYAZQBzAHQAbwBjAGsAXwBTAG8AaQBsAF8ATgAyAE8ARABpAHIAZQBjAHQALgBWAEUARQBSAEcAXwA0AF8ANwBfADEAXwAzAF8AXwAxAF8ARABpAHIAZQBjAHQATgBpAHQAcgBvAHUAcwBPAHgAaQBkAGUARQBtAGkAcwBzAGkAbwBuAHMARgByAG8AbQBTAG8AaQBsAF8AVQBuAGkAdAAiACwAIgBNAE0AUwBfAE8AdABoAGUAcgBMAGkAdgBlAHMAdABvAGMAawBfAFMAbwBpAGwAXwBOADIATwBEAGkAcgBlAGMAdAAuAFYARQBFAFIARwBfADQAXwA3AF8AMQBfADMAXwBfADEAXwBEAGkAcgBlAGMAdABOAGkAdAByAG8AdQBzAE8AeABpAGQAZQBFAG0AaQBzAHMAaQBvAG4AcwBGAHIAbwBtAFMAbwBpAGwAXwBTAG8AdQByAGMAZQAiACwAIgBNAE0AUwBfAE8AdABoAGUAcgBMAGkAdgBlAHMAdABvAGMAawBfAFMAbwBpAGwAXwBOADIATwBEAGkAcgBlAGMAdAAuAFYARQBFAFIARwBfADQAXwA3AF8AMQBfADMAXwBfADEAXwBEAGkAcgBlAGMAdABOAGkAdAByAG8AdQBzAE8AeABpAGQAZQBFAG0AaQBzAHMAaQBvAG4AcwBGAHIAbwBtAFMAbwBpAGwAXwBOAEkAUgBSAGUAZgBlAHIAZQBuAGMAZQAiACwAIgBNAE0AUwBfAE8AdABoAGUAcgBMAGkAdgBlAHMAdABvAGMAawBfAFMAbwBpAGwAXwBOADIATwBEAGkAcgBlAGMAdAAuAFYARQBFAFIARwBfADQAXwA3AF8AMQBfADMAXwBfADEAXwBEAGkAcgBlAGMAdABOAGkAdAByAG8AdQBzAE8AeABpAGQAZQBFAG0AaQBzAHMAaQBvAG4AcwBGAHIAbwBtAFMAbwBpAGwAXwBMAGEAdABlAHgARQBxAHUAYQB0AGkAbwBuACIALAAiAE0ATQBTAF8ATwB0AGgAZQByAEwAaQB2AGUAcwB0AG8AYwBrAF8AUwBvAGkAbABfAE4AMgBPAEQAaQByAGUAYwB0AC4AVgBFAEUAUgBHAF8ANABfADcAXwAxAF8AMwBfAF8AMQBfAEQAaQByAGUAYwB0AE4AaQB0AHIAbwB1AHMATwB4AGkAZABlAEUAbQBpAHMAcwBpAG8AbgBzAEYAcgBvAG0AUwBvAGkAbABfAEEAcgBnAHUAbQBlAG4AdABzACIALAAiAE0ATQBTAF8ATwB0AGgAZQByAEwAaQB2AGUAcwB0AG8AYwBrAF8AUwBvAGkAbABfAE4AMgBPAEQAaQByAGUAYwB0AC4AVgBFAEUAUgBHAF8ANABfADcAXwAxAF8AMwBfAF8AMgBfAEEAbgBuAHUAYQBsAE4AaQB0AHIAbwBnAGUAbgBFAHgAYwByAGUAdABlAGQAVABvAFAAYQBzAHQAdQByAGUAIgAsACIATQBNAFMAXwBPAHQAaABlAHIATABpAHYAZQBzAHQAbwBjAGsAXwBTAG8AaQBsAF8ATgAyAE8ARABpAHIAZQBjAHQALgBWAEUARQBSAEcAXwA0AF8ANwBfADEAXwAzAF8AXwAyAF8AQQBuAG4AdQBhAGwATgBpAHQAcgBvAGcAZQBuAEUAeABjAHIAZQB0AGUAZABUAG8AUABhAHMAdAB1AHIAZQBfAFQAaQB0AGwAZQAiACwAIgBNAE0AUwBfAE8AdABoAGUAcgBMAGkAdgBlAHMAdABvAGMAawBfAFMAbwBpAGwAXwBOADIATwBEAGkAcgBlAGMAdAAuAFYARQBFAFIARwBfADQAXwA3AF8AMQBfADMAXwBfADIAXwBBAG4AbgB1AGEAbABOAGkAdAByAG8AZwBlAG4ARQB4AGMAcgBlAHQAZQBkAFQAbwBQAGEAcwB0AHUAcgBlAF8AVgBhAHIAaQBhAGIAbABlACIALAAiAE0ATQBTAF8ATwB0AGgAZQByAEwAaQB2AGUAcwB0AG8AYwBrAF8AUwBvAGkAbABfAE4AMgBPAEQAaQByAGUAYwB0AC4AVgBFAEUAUgBHAF8ANABfADcAXwAxAF8AMwBfAF8AMgBfAEEAbgBuAHUAYQBsAE4AaQB0AHIAbwBnAGUAbgBFAHgAYwByAGUAdABlAGQAVABvAFAAYQBzAHQAdQByAGUAXwBVAG4AaQB0ACIALAAiAE0ATQBTAF8ATwB0AGgAZQByAEwAaQB2AGUAcwB0AG8AYwBrAF8AUwBvAGkAbABfAE4AMgBPAEQAaQByAGUAYwB0AC4AVgBFAEUAUgBHAF8ANABfADcAXwAxAF8AMwBfAF8AMgBfAEEAbgBuAHUAYQBsAE4AaQB0AHIAbwBnAGUAbgBFAHgAYwByAGUAdABlAGQAVABvAFAAYQBzAHQAdQByAGUAXwBTAG8AdQByAGMAZQAiACwAIgBNAE0AUwBfAE8AdABoAGUAcgBMAGkAdgBlAHMAdABvAGMAawBfAFMAbwBpAGwAXwBOADIATwBEAGkAcgBlAGMAdAAuAFYARQBFAFIARwBfADQAXwA3AF8AMQBfADMAXwBfADIAXwBBAG4AbgB1AGEAbABOAGkAdAByAG8AZwBlAG4ARQB4AGMAcgBlAHQAZQBkAFQAbwBQAGEAcwB0AHUAcgBlAF8ATgBJAFIAUgBlAGYAZQByAGUAbgBjAGUAIgAsACIATQBNAFMAXwBPAHQAaABlAHIATABpAHYAZQBzAHQAbwBjAGsAXwBTAG8AaQBsAF8ATgAyAE8ARABpAHIAZQBjAHQALgBWAEUARQBSAEcAXwA0AF8ANwBfADEAXwAzAF8AXwAyAF8AQQBuAG4AdQBhAGwATgBpAHQAcgBvAGcAZQBuAEUAeABjAHIAZQB0AGUAZABUAG8AUABhAHMAdAB1AHIAZQBfAEwAYQB0AGUAeABFAHEAdQBhAHQAaQBvAG4AIgAsACIATQBNAFMAXwBPAHQAaABlAHIATABpAHYAZQBzAHQAbwBjAGsAXwBTAG8AaQBsAF8ATgAyAE8ARABpAHIAZQBjAHQALgBWAEUARQBSAEcAXwA0AF8ANwBfADEAXwAzAF8AXwAyAF8AQQBuAG4AdQBhAGwATgBpAHQAcgBvAGcAZQBuAEUAeABjAHIAZQB0AGUAZABUAG8AUABhAHMAdAB1AHIAZQBfAEEAcgBnAHUAbQBlAG4AdABz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XwBUAGkAdABs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VgBhAHIAaQBhAGIAbABl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FUAbgBpAHQ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UwBvAHUAcgBj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TgBJAFIAUgBlAGYAZQByAGUAbgBj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TABhAHQAZQB4AEUAcQB1AGEAdABpAG8Abg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XwBBAHIAZwB1AG0AZQBuAHQAcwAiACwAIgBNAE0AUwBfAE8AdABoAGUAcgBMAGkAdgBlAHMAdABvAGMAawBfAFMAbwBpAGwAXwBBAHQAbQBvAHMAcABoAGUAcgBpAGMARABlAHAAbwBzAGkAdABpAG8AbgAuAFYARQBFAFIARwBfADQAXwA3AF8AMQBfADUAXwBfADIAXwBNAGEAcwBzAE8AZgBOAGkAdAByAG8AZwBlAG4AVgBvAGwAYQB0AGkAbABpAHMAZQBkAEYAcgBvAG0AUABhAHMAdAB1AHIAZQAiACwAIgBNAE0AUwBfAE8AdABoAGUAcgBMAGkAdgBlAHMAdABvAGMAawBfAFMAbwBpAGwAXwBBAHQAbQBvAHMAcABoAGUAcgBpAGMARABlAHAAbwBzAGkAdABpAG8AbgAuAFYARQBFAFIARwBfADQAXwA3AF8AMQBfADUAXwBfADIAXwBNAGEAcwBzAE8AZgBOAGkAdAByAG8AZwBlAG4AVgBvAGwAYQB0AGkAbABpAHMAZQBkAEYAcgBvAG0AUABhAHMAdAB1AHIAZQBfAFQAaQB0AGwAZQAiACwAIgBNAE0AUwBfAE8AdABoAGUAcgBMAGkAdgBlAHMAdABvAGMAawBfAFMAbwBpAGwAXwBBAHQAbQBvAHMAcABoAGUAcgBpAGMARABlAHAAbwBzAGkAdABpAG8AbgAuAFYARQBFAFIARwBfADQAXwA3AF8AMQBfADUAXwBfADIAXwBNAGEAcwBzAE8AZgBOAGkAdAByAG8AZwBlAG4AVgBvAGwAYQB0AGkAbABpAHMAZQBkAEYAcgBvAG0AUABhAHMAdAB1AHIAZQBfAFYAYQByAGkAYQBiAGwAZQAiACwAIgBNAE0AUwBfAE8AdABoAGUAcgBMAGkAdgBlAHMAdABvAGMAawBfAFMAbwBpAGwAXwBBAHQAbQBvAHMAcABoAGUAcgBpAGMARABlAHAAbwBzAGkAdABpAG8AbgAuAFYARQBFAFIARwBfADQAXwA3AF8AMQBfADUAXwBfADIAXwBNAGEAcwBzAE8AZgBOAGkAdAByAG8AZwBlAG4AVgBvAGwAYQB0AGkAbABpAHMAZQBkAEYAcgBvAG0AUABhAHMAdAB1AHIAZQBfAFUAbgBpAHQAIgAsACIATQBNAFMAXwBPAHQAaABlAHIATABpAHYAZQBzAHQAbwBjAGsAXwBTAG8AaQBsAF8AQQB0AG0AbwBzAHAAaABlAHIAaQBjAEQAZQBwAG8AcwBpAHQAaQBvAG4ALgBWAEUARQBSAEcAXwA0AF8ANwBfADEAXwA1AF8AXwAyAF8ATQBhAHMAcwBPAGYATgBpAHQAcgBvAGcAZQBuAFYAbwBsAGEAdABpAGwAaQBzAGUAZABGAHIAbwBtAFAAYQBzAHQAdQByAGUAXwBTAG8AdQByAGMAZQAiACwAIgBNAE0AUwBfAE8AdABoAGUAcgBMAGkAdgBlAHMAdABvAGMAawBfAFMAbwBpAGwAXwBBAHQAbQBvAHMAcABoAGUAcgBpAGMARABlAHAAbwBzAGkAdABpAG8AbgAuAFYARQBFAFIARwBfADQAXwA3AF8AMQBfADUAXwBfADIAXwBNAGEAcwBzAE8AZgBOAGkAdAByAG8AZwBlAG4AVgBvAGwAYQB0AGkAbABpAHMAZQBkAEYAcgBvAG0AUABhAHMAdAB1AHIAZQBfAE4ASQBSAFIAZQBmAGUAcgBlAG4AYwBlACIALAAiAE0ATQBTAF8ATwB0AGgAZQByAEwAaQB2AGUAcwB0AG8AYwBrAF8AUwBvAGkAbABfAEEAdABtAG8AcwBwAGgAZQByAGkAYwBEAGUAcABvAHMAaQB0AGkAbwBuAC4AVgBFAEUAUgBHAF8ANABfADcAXwAxAF8ANQBfAF8AMgBfAE0AYQBzAHMATwBmAE4AaQB0AHIAbwBnAGUAbgBWAG8AbABhAHQAaQBsAGkAcwBlAGQARgByAG8AbQBQAGEAcwB0AHUAcgBlAF8ATABhAHQAZQB4AEUAcQB1AGEAdABpAG8AbgAiACwAIgBNAE0AUwBfAE8AdABoAGUAcgBMAGkAdgBlAHMAdABvAGMAawBfAFMAbwBpAGwAXwBBAHQAbQBvAHMAcABoAGUAcgBpAGMARABlAHAAbwBzAGkAdABpAG8AbgAuAFYARQBFAFIARwBfADQAXwA3AF8AMQBfADUAXwBfADIAXwBNAGEAcwBzAE8AZgBOAGkAdAByAG8AZwBlAG4AVgBvAGwAYQB0AGkAbABpAHMAZQBkAEYAcgBvAG0AUABhAHMAdAB1AHIAZQBfAEEAcgBnAHUAbQBlAG4AdABzACIALAAiAE0ATQBTAF8ATwB0AGgAZQByAEwAaQB2AGUAcwB0AG8AYwBrAF8AUwBvAGkAbABfAEwAZQBhAGMAaABpAG4AZwBBAG4AZABSAHUAbgBvAGYAZgAuAFYARQBFAFIARwBfADQAXwA3AF8AMQBfADcAXwBfADEAXwBMAGUAYQBjAGgAaQBuAGcAQQBuAGQAUgB1AG4AbwBmAGYARQBtAGkAcwBzAGkAbwBuAHMARgByAG8AbQBQAGEAcwB0AHUAcgBlACIALAAiAE0ATQBTAF8ATwB0AGgAZQByAEwAaQB2AGUAcwB0AG8AYwBrAF8AUwBvAGkAbABfAEwAZQBhAGMAaABpAG4AZwBBAG4AZABSAHUAbgBvAGYAZgAuAFYARQBFAFIARwBfADQAXwA3AF8AMQBfADcAXwBfADEAXwBMAGUAYQBjAGgAaQBuAGcAQQBuAGQAUgB1AG4AbwBmAGYARQBtAGkAcwBzAGkAbwBuAHMARgByAG8AbQBQAGEAcwB0AHUAcgBlAF8AVABpAHQAbABlACIALAAiAE0ATQBTAF8ATwB0AGgAZQByAEwAaQB2AGUAcwB0AG8AYwBrAF8AUwBvAGkAbABfAEwAZQBhAGMAaABpAG4AZwBBAG4AZABSAHUAbgBvAGYAZgAuAFYARQBFAFIARwBfADQAXwA3AF8AMQBfADcAXwBfADEAXwBMAGUAYQBjAGgAaQBuAGcAQQBuAGQAUgB1AG4AbwBmAGYARQBtAGkAcwBzAGkAbwBuAHMARgByAG8AbQBQAGEAcwB0AHUAcgBlAF8AVgBhAHIAaQBhAGIAbABlACIALAAiAE0ATQBTAF8ATwB0AGgAZQByAEwAaQB2AGUAcwB0AG8AYwBrAF8AUwBvAGkAbABfAEwAZQBhAGMAaABpAG4AZwBBAG4AZABSAHUAbgBvAGYAZgAuAFYARQBFAFIARwBfADQAXwA3AF8AMQBfADcAXwBfADEAXwBMAGUAYQBjAGgAaQBuAGcAQQBuAGQAUgB1AG4AbwBmAGYARQBtAGkAcwBzAGkAbwBuAHMARgByAG8AbQBQAGEAcwB0AHUAcgBlAF8AVQBuAGkAdAAiACwAIgBNAE0AUwBfAE8AdABoAGUAcgBMAGkAdgBlAHMAdABvAGMAawBfAFMAbwBpAGwAXwBMAGUAYQBjAGgAaQBuAGcAQQBuAGQAUgB1AG4AbwBmAGYALgBWAEUARQBSAEcAXwA0AF8ANwBfADEAXwA3AF8AXwAxAF8ATABlAGEAYwBoAGkAbgBnAEEAbgBkAFIAdQBuAG8AZgBmAEUAbQBpAHMAcwBpAG8AbgBzAEYAcgBvAG0AUABhAHMAdAB1AHIAZQBfAFMAbwB1AHIAYwBlACIALAAiAE0ATQBTAF8ATwB0AGgAZQByAEwAaQB2AGUAcwB0AG8AYwBrAF8AUwBvAGkAbABfAEwAZQBhAGMAaABpAG4AZwBBAG4AZABSAHUAbgBvAGYAZgAuAFYARQBFAFIARwBfADQAXwA3AF8AMQBfADcAXwBfADEAXwBMAGUAYQBjAGgAaQBuAGcAQQBuAGQAUgB1AG4AbwBmAGYARQBtAGkAcwBzAGkAbwBuAHMARgByAG8AbQBQAGEAcwB0AHUAcgBlAF8ATgBJAFIAUgBlAGYAZQByAGUAbgBjAGUAIgAsACIATQBNAFMAXwBPAHQAaABlAHIATABpAHYAZQBzAHQAbwBjAGsAXwBTAG8AaQBsAF8ATABlAGEAYwBoAGkAbgBnAEEAbgBkAFIAdQBuAG8AZgBmAC4AVgBFAEUAUgBHAF8ANABfADcAXwAxAF8ANwBfAF8AMQBfAEwAZQBhAGMAaABpAG4AZwBBAG4AZABSAHUAbgBvAGYAZgBFAG0AaQBzAHMAaQBvAG4AcwBGAHIAbwBtAFAAYQBzAHQAdQByAGUAXwBMAGEAdABlAHgARQBxAHUAYQB0AGkAbwBuACIALAAiAE0ATQBTAF8ATwB0AGgAZQByAEwAaQB2AGUAcwB0AG8AYwBrAF8AUwBvAGkAbABfAEwAZQBhAGMAaABpAG4AZwBBAG4AZABSAHUAbgBvAGYAZgAuAFYARQBFAFIARwBfADQAXwA3AF8AMQBfADcAXwBfADEAXwBMAGUAYQBjAGgAaQBuAGcAQQBuAGQAUgB1AG4AbwBmAGYARQBtAGkAcwBzAGkAbwBuAHMARgByAG8AbQBQAGEAcwB0AHUAcgBlAF8AQQByAGcAdQBtAGUAbgB0AHMAIgAsACIATQBNAFMAXwBPAHQAaABlAHIATABpAHYAZQBzAHQAbwBjAGsAXwBTAG8AaQBsAF8ATABlAGEAYwBoAGkAbgBnAEEAbgBkAFIAdQBuAG8AZgBmAC4AVgBFAEUAUgBHAF8ANABfADcAXwAxAF8ANwBfAF8AMgBfAE0AYQBzAHMATwBmAE4AaQB0AHIAbwBnAGUAbgBMAG8AcwB0AFQAbwBMAGUAYQBjAGgAaQBuAGcAQQBuAGQAUgB1AG4AbwBmAGYAIgAsACIATQBNAFMAXwBPAHQAaABlAHIATABpAHYAZQBzAHQAbwBjAGsAXwBTAG8AaQBsAF8ATABlAGEAYwBoAGkAbgBnAEEAbgBkAFIAdQBuAG8AZgBmAC4AVgBFAEUAUgBHAF8ANABfADcAXwAxAF8ANwBfAF8AMgBfAE0AYQBzAHMATwBmAE4AaQB0AHIAbwBnAGUAbgBMAG8AcwB0AFQAbwBMAGUAYQBjAGgAaQBuAGcAQQBuAGQAUgB1AG4AbwBmAGYAXwBUAGkAdABsAGUAIgAsACIATQBNAFMAXwBPAHQAaABlAHIATABpAHYAZQBzAHQAbwBjAGsAXwBTAG8AaQBsAF8ATABlAGEAYwBoAGkAbgBnAEEAbgBkAFIAdQBuAG8AZgBmAC4AVgBFAEUAUgBHAF8ANABfADcAXwAxAF8ANwBfAF8AMgBfAE0AYQBzAHMATwBmAE4AaQB0AHIAbwBnAGUAbgBMAG8AcwB0AFQAbwBMAGUAYQBjAGgAaQBuAGcAQQBuAGQAUgB1AG4AbwBmAGYAXwBWAGEAcgBpAGEAYgBsAGUAIgAsACIATQBNAFMAXwBPAHQAaABlAHIATABpAHYAZQBzAHQAbwBjAGsAXwBTAG8AaQBsAF8ATABlAGEAYwBoAGkAbgBnAEEAbgBkAFIAdQBuAG8AZgBmAC4AVgBFAEUAUgBHAF8ANABfADcAXwAxAF8ANwBfAF8AMgBfAE0AYQBzAHMATwBmAE4AaQB0AHIAbwBnAGUAbgBMAG8AcwB0AFQAbwBMAGUAYQBjAGgAaQBuAGcAQQBuAGQAUgB1AG4AbwBmAGYAXwBVAG4AaQB0ACIALAAiAE0ATQBTAF8ATwB0AGgAZQByAEwAaQB2AGUAcwB0AG8AYwBrAF8AUwBvAGkAbABfAEwAZQBhAGMAaABpAG4AZwBBAG4AZABSAHUAbgBvAGYAZgAuAFYARQBFAFIARwBfADQAXwA3AF8AMQBfADcAXwBfADIAXwBNAGEAcwBzAE8AZgBOAGkAdAByAG8AZwBlAG4ATABvAHMAdABUAG8ATABlAGEAYwBoAGkAbgBnAEEAbgBkAFIAdQBuAG8AZgBmAF8AUwBvAHUAcgBjAGUAIgAsACIATQBNAFMAXwBPAHQAaABlAHIATABpAHYAZQBzAHQAbwBjAGsAXwBTAG8AaQBsAF8ATABlAGEAYwBoAGkAbgBnAEEAbgBkAFIAdQBuAG8AZgBmAC4AVgBFAEUAUgBHAF8ANABfADcAXwAxAF8ANwBfAF8AMgBfAE0AYQBzAHMATwBmAE4AaQB0AHIAbwBnAGUAbgBMAG8AcwB0AFQAbwBMAGUAYQBjAGgAaQBuAGcAQQBuAGQAUgB1AG4AbwBmAGYAXwBOAEkAUgBSAGUAZgBlAHIAZQBuAGMAZQAiACwAIgBNAE0AUwBfAE8AdABoAGUAcgBMAGkAdgBlAHMAdABvAGMAawBfAFMAbwBpAGwAXwBMAGUAYQBjAGgAaQBuAGcAQQBuAGQAUgB1AG4AbwBmAGYALgBWAEUARQBSAEcAXwA0AF8ANwBfADEAXwA3AF8AXwAyAF8ATQBhAHMAcwBPAGYATgBpAHQAcgBvAGcAZQBuAEwAbwBzAHQAVABvAEwAZQBhAGMAaABpAG4AZwBBAG4AZABSAHUAbgBvAGYAZgBfAEwAYQB0AGUAeABFAHEAdQBhAHQAaQBvAG4AIgAsACIATQBNAFMAXwBPAHQAaABlAHIATABpAHYAZQBzAHQAbwBjAGsAXwBTAG8AaQBsAF8ATABlAGEAYwBoAGkAbgBnAEEAbgBkAFIAdQBuAG8AZgBmAC4AVgBFAEUAUgBHAF8ANABfADcAXwAxAF8ANwBfAF8AMgBfAE0AYQBzAHMATwBmAE4AaQB0AHIAbwBnAGUAbgBMAG8AcwB0AFQAbwBMAGUAYQBjAGgAaQBuAGcAQQBuAGQAUgB1AG4AbwBmAGY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86</vt:i4>
      </vt:variant>
    </vt:vector>
  </HeadingPairs>
  <TitlesOfParts>
    <vt:vector size="99" baseType="lpstr">
      <vt:lpstr>Home</vt:lpstr>
      <vt:lpstr>Overview</vt:lpstr>
      <vt:lpstr>Results</vt:lpstr>
      <vt:lpstr>Input - Site</vt:lpstr>
      <vt:lpstr>Input - Other Livestock</vt:lpstr>
      <vt:lpstr>4.7.1.1-2 Manure Methane</vt:lpstr>
      <vt:lpstr>4.7.1.3-4 Soil Direct N2O</vt:lpstr>
      <vt:lpstr>4.7.1.5-6 Soil Atmos Deposition</vt:lpstr>
      <vt:lpstr>4.7.1.7-8 Soil Leaching Runoff</vt:lpstr>
      <vt:lpstr>Constants - Other Livestock</vt:lpstr>
      <vt:lpstr>Constants - Livestock</vt:lpstr>
      <vt:lpstr>Constants - Common</vt:lpstr>
      <vt:lpstr>Acknowledgements</vt:lpstr>
      <vt:lpstr>Common_SourceData_DensityOfMethane_Data</vt:lpstr>
      <vt:lpstr>M1_Table_E_CH4</vt:lpstr>
      <vt:lpstr>M1_Table_E_CH4_Consumer_1</vt:lpstr>
      <vt:lpstr>M1_Table_M_j_m</vt:lpstr>
      <vt:lpstr>M1_Table_MCF_i_m</vt:lpstr>
      <vt:lpstr>M2_Table_M_j_m</vt:lpstr>
      <vt:lpstr>M2_Table_MCF_i_m</vt:lpstr>
      <vt:lpstr>Table_AEj</vt:lpstr>
      <vt:lpstr>Table_AEj_Consumer_1</vt:lpstr>
      <vt:lpstr>Table_AEj_Consumer_2</vt:lpstr>
      <vt:lpstr>Table_B_O</vt:lpstr>
      <vt:lpstr>Table_E_N2O_ad</vt:lpstr>
      <vt:lpstr>Table_EF_N2O</vt:lpstr>
      <vt:lpstr>Table_Frac_Wet</vt:lpstr>
      <vt:lpstr>Table_M_leach</vt:lpstr>
      <vt:lpstr>Table_M_vol</vt:lpstr>
      <vt:lpstr>Table_MMS_m</vt:lpstr>
      <vt:lpstr>Table_N_j</vt:lpstr>
      <vt:lpstr>Table_N_j_Consumer_1</vt:lpstr>
      <vt:lpstr>Table_NE_j</vt:lpstr>
      <vt:lpstr>Table_VS_j</vt:lpstr>
      <vt:lpstr>X_Cell_OtherLivestock_Buffalo_CalculatedMMSAnaerobicLagoon</vt:lpstr>
      <vt:lpstr>X_Cell_OtherLivestock_Buffalo_CalculatedMMSPastureRangeAndPaddock</vt:lpstr>
      <vt:lpstr>X_Cell_OtherLivestock_Buffalo_FencedWater</vt:lpstr>
      <vt:lpstr>X_Cell_OtherLivestock_Buffalo_GrazingIrrigationMethod</vt:lpstr>
      <vt:lpstr>X_Cell_OtherLivestock_Buffalo_GrazingProductionSystem</vt:lpstr>
      <vt:lpstr>X_Cell_OtherLivestock_Deer_CalculatedMMSAnaerobicLagoon</vt:lpstr>
      <vt:lpstr>X_Cell_OtherLivestock_Deer_CalculatedMMSPastureRangeAndPaddock</vt:lpstr>
      <vt:lpstr>X_Cell_OtherLivestock_Deer_FencedWater</vt:lpstr>
      <vt:lpstr>X_Cell_OtherLivestock_Deer_GrazingIrrigationMethod</vt:lpstr>
      <vt:lpstr>X_Cell_OtherLivestock_Deer_GrazingProductionSystem</vt:lpstr>
      <vt:lpstr>X_Cell_OtherLivestock_Goats_CalculatedMMSAnaerobicLagoon</vt:lpstr>
      <vt:lpstr>X_Cell_OtherLivestock_Goats_CalculatedMMSPastureRangeAndPaddock</vt:lpstr>
      <vt:lpstr>X_Cell_OtherLivestock_Goats_FencedWater</vt:lpstr>
      <vt:lpstr>X_Cell_OtherLivestock_Goats_GrazingIrrigationMethod</vt:lpstr>
      <vt:lpstr>X_Cell_OtherLivestock_Goats_GrazingProductionSystem</vt:lpstr>
      <vt:lpstr>X_Cell_OtherLivestock_Others_Alpacas_CalculatedMMSAnaerobicLagoon</vt:lpstr>
      <vt:lpstr>X_Cell_OtherLivestock_Others_Alpacas_CalculatedMMSPastureRangeAndPaddock</vt:lpstr>
      <vt:lpstr>X_Cell_OtherLivestock_Others_Alpacas_FencedWater</vt:lpstr>
      <vt:lpstr>X_Cell_OtherLivestock_Others_Alpacas_GrazingIrrigationMethod</vt:lpstr>
      <vt:lpstr>X_Cell_OtherLivestock_Others_Alpacas_GrazingProductionSystem</vt:lpstr>
      <vt:lpstr>X_Cell_OtherLivestock_Others_Alpacas_Head</vt:lpstr>
      <vt:lpstr>X_Cell_OtherLivestock_Others_Camels_CalculatedMMSAnaerobicLagoon</vt:lpstr>
      <vt:lpstr>X_Cell_OtherLivestock_Others_Camels_CalculatedMMSPastureRangeAndPaddock</vt:lpstr>
      <vt:lpstr>X_Cell_OtherLivestock_Others_Camels_FencedWater</vt:lpstr>
      <vt:lpstr>X_Cell_OtherLivestock_Others_Camels_GrazingIrrigationMethod</vt:lpstr>
      <vt:lpstr>X_Cell_OtherLivestock_Others_Camels_GrazingProductionSystem</vt:lpstr>
      <vt:lpstr>X_Cell_OtherLivestock_Others_Camels_Head</vt:lpstr>
      <vt:lpstr>X_Cell_OtherLivestock_Others_Emus_CalculatedMMSAnaerobicLagoon</vt:lpstr>
      <vt:lpstr>X_Cell_OtherLivestock_Others_Emus_CalculatedMMSPastureRangeAndPaddock</vt:lpstr>
      <vt:lpstr>X_Cell_OtherLivestock_Others_Emus_FencedWater</vt:lpstr>
      <vt:lpstr>X_Cell_OtherLivestock_Others_Emus_GrazingIrrigationMethod</vt:lpstr>
      <vt:lpstr>X_Cell_OtherLivestock_Others_Emus_GrazingProductionSystem</vt:lpstr>
      <vt:lpstr>X_Cell_OtherLivestock_Others_Emus_Head</vt:lpstr>
      <vt:lpstr>X_Cell_OtherLivestock_Others_Horses_CalculatedMMSAnaerobicLagoon</vt:lpstr>
      <vt:lpstr>X_Cell_OtherLivestock_Others_Horses_CalculatedMMSPastureRangeAndPaddock</vt:lpstr>
      <vt:lpstr>X_Cell_OtherLivestock_Others_Horses_FencedWater</vt:lpstr>
      <vt:lpstr>X_Cell_OtherLivestock_Others_Horses_GrazingIrrigationMethod</vt:lpstr>
      <vt:lpstr>X_Cell_OtherLivestock_Others_Horses_GrazingProductionSystem</vt:lpstr>
      <vt:lpstr>X_Cell_OtherLivestock_Others_Horses_Head</vt:lpstr>
      <vt:lpstr>X_Cell_OtherLivestock_Others_Mules_CalculatedMMSAnaerobicLagoon</vt:lpstr>
      <vt:lpstr>X_Cell_OtherLivestock_Others_Mules_CalculatedMMSPastureRangeAndPaddock</vt:lpstr>
      <vt:lpstr>X_Cell_OtherLivestock_Others_Mules_FencedWater</vt:lpstr>
      <vt:lpstr>X_Cell_OtherLivestock_Others_Mules_GrazingIrrigationMethod</vt:lpstr>
      <vt:lpstr>X_Cell_OtherLivestock_Others_Mules_GrazingProductionSystem</vt:lpstr>
      <vt:lpstr>X_Cell_OtherLivestock_Others_Mules_Head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X_Table_OtherLivestock_Buffalo_Head</vt:lpstr>
      <vt:lpstr>X_Table_OtherLivestock_Deer_Head</vt:lpstr>
      <vt:lpstr>X_Table_OtherLivestock_Goats_Head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2026-07-23T06:33:06Z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