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B4A1F85-4B4D-4534-ACF3-617095D7D862}" xr6:coauthVersionLast="47" xr6:coauthVersionMax="47" xr10:uidLastSave="{00000000-0000-0000-0000-000000000000}"/>
  <bookViews>
    <workbookView xWindow="450" yWindow="0" windowWidth="37920" windowHeight="20415" firstSheet="3" activeTab="5"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4"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 i="70" l="1"/>
  <c r="F55" i="70"/>
  <c r="E56" i="70"/>
  <c r="E55" i="70"/>
  <c r="D227" i="79" a="1"/>
  <c r="D227" i="79"/>
  <c r="D226" i="79" a="1"/>
  <c r="D226" i="79" s="1"/>
  <c r="D225" i="79" a="1"/>
  <c r="D225" i="79" s="1"/>
  <c r="D224" i="79" a="1"/>
  <c r="D224" i="79" s="1"/>
  <c r="D223" i="79" a="1"/>
  <c r="D223" i="79" s="1"/>
  <c r="D221" i="79" a="1"/>
  <c r="D221" i="79" s="1"/>
  <c r="D220" i="79" a="1"/>
  <c r="D220" i="79" s="1"/>
  <c r="D219" i="79" a="1"/>
  <c r="D219" i="79" s="1"/>
  <c r="D218" i="79" a="1"/>
  <c r="D218" i="79" s="1"/>
  <c r="D217" i="79" a="1"/>
  <c r="D217" i="79" s="1"/>
  <c r="D71" i="76" l="1" a="1"/>
  <c r="D71" i="76" s="1"/>
  <c r="S98" i="76"/>
  <c r="I98" i="76"/>
  <c r="S88" i="76"/>
  <c r="I93" i="76"/>
  <c r="I88" i="76"/>
  <c r="I80" i="76" a="1"/>
  <c r="I80" i="76" s="1"/>
  <c r="I78" i="76"/>
  <c r="G78" i="76" a="1"/>
  <c r="G78" i="76" s="1"/>
  <c r="D78" i="76" a="1"/>
  <c r="D78" i="76" s="1"/>
  <c r="T38" i="69"/>
  <c r="T39" i="69"/>
  <c r="R36" i="69" a="1"/>
  <c r="R36" i="69" s="1"/>
  <c r="O36" i="69" a="1"/>
  <c r="O36" i="69" s="1"/>
  <c r="I63" i="69" a="1"/>
  <c r="I63" i="69" s="1"/>
  <c r="I39" i="69"/>
  <c r="I38" i="69"/>
  <c r="I36" i="69"/>
  <c r="D44" i="69" s="1"/>
  <c r="I37" i="69" a="1"/>
  <c r="I37" i="69" s="1"/>
  <c r="G36" i="69" a="1"/>
  <c r="G36" i="69" s="1"/>
  <c r="D36" i="69" a="1"/>
  <c r="D36" i="69" s="1"/>
  <c r="E34" i="69" a="1"/>
  <c r="E34" i="69" s="1"/>
  <c r="E33" i="69" a="1"/>
  <c r="E33" i="69" s="1"/>
  <c r="D29" i="69" a="1"/>
  <c r="D29" i="69" s="1"/>
  <c r="D28" i="69" a="1"/>
  <c r="D28" i="69" s="1"/>
  <c r="D27" i="69" a="1"/>
  <c r="D27" i="69" s="1"/>
  <c r="I61" i="69"/>
  <c r="D73"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0" i="70"/>
  <c r="H90" i="70"/>
  <c r="G90" i="70"/>
  <c r="F90" i="70"/>
  <c r="I89" i="70"/>
  <c r="H89" i="70"/>
  <c r="G89" i="70"/>
  <c r="F89" i="70"/>
  <c r="E90" i="70"/>
  <c r="E89" i="70"/>
  <c r="D88" i="70"/>
  <c r="D104" i="70"/>
  <c r="V106" i="81"/>
  <c r="V40" i="81"/>
  <c r="K40" i="81"/>
  <c r="V52" i="81"/>
  <c r="K52" i="81"/>
  <c r="V76" i="81"/>
  <c r="G127" i="81"/>
  <c r="F134" i="81"/>
  <c r="F133" i="81"/>
  <c r="F132" i="81"/>
  <c r="F131" i="81"/>
  <c r="F130" i="81"/>
  <c r="F129" i="81"/>
  <c r="F128" i="81"/>
  <c r="F127" i="81"/>
  <c r="G64" i="81"/>
  <c r="M104" i="70"/>
  <c r="F71" i="81" s="1"/>
  <c r="M103" i="70"/>
  <c r="F70" i="81" s="1"/>
  <c r="M102" i="70"/>
  <c r="F69" i="81" s="1"/>
  <c r="M101" i="70"/>
  <c r="F68" i="81" s="1"/>
  <c r="M88" i="70"/>
  <c r="F67" i="81" s="1"/>
  <c r="D97" i="70"/>
  <c r="D96" i="70"/>
  <c r="D95" i="70"/>
  <c r="M87" i="70"/>
  <c r="F66" i="81" s="1"/>
  <c r="M86" i="70"/>
  <c r="F65" i="81" s="1"/>
  <c r="D81" i="70"/>
  <c r="D80" i="70"/>
  <c r="D79" i="70"/>
  <c r="M85" i="70"/>
  <c r="F64" i="81" s="1"/>
  <c r="E30" i="69" a="1"/>
  <c r="I44" i="69" l="1"/>
  <c r="D49" i="69" a="1"/>
  <c r="D49" i="69" s="1"/>
  <c r="D88" i="76" s="1"/>
  <c r="O49" i="69" a="1"/>
  <c r="O49" i="69" s="1"/>
  <c r="N88" i="76" s="1"/>
  <c r="D93" i="76"/>
  <c r="E30"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G13" i="81" s="1"/>
  <c r="D13" i="81" a="1"/>
  <c r="D13" i="81" s="1"/>
  <c r="G97" i="81" a="1"/>
  <c r="G97" i="81" s="1"/>
  <c r="D97" i="81" a="1"/>
  <c r="D97" i="81" s="1"/>
  <c r="V29" i="95"/>
  <c r="V23" i="95"/>
  <c r="K23" i="95"/>
  <c r="I42" i="95" a="1"/>
  <c r="I42" i="95" s="1"/>
  <c r="J13" i="95" a="1"/>
  <c r="J13" i="95" s="1"/>
  <c r="G42" i="95" a="1"/>
  <c r="G42" i="95" s="1"/>
  <c r="D42" i="95" a="1"/>
  <c r="D42" i="95" s="1"/>
  <c r="H13" i="95" a="1"/>
  <c r="H13" i="95" s="1"/>
  <c r="D13" i="95" a="1"/>
  <c r="D13" i="95" s="1"/>
  <c r="G61" i="82" a="1"/>
  <c r="G61" i="82" s="1"/>
  <c r="D61" i="82" a="1"/>
  <c r="D61" i="82" s="1"/>
  <c r="V40" i="82"/>
  <c r="K40" i="82"/>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R302" i="69"/>
  <c r="P289" i="69"/>
  <c r="O289" i="69"/>
  <c r="E289" i="69"/>
  <c r="D289" i="69"/>
  <c r="P236" i="69"/>
  <c r="O236" i="69"/>
  <c r="E236" i="69"/>
  <c r="D236" i="69"/>
  <c r="O227" i="69"/>
  <c r="D227" i="69"/>
  <c r="P150" i="69"/>
  <c r="O150" i="69"/>
  <c r="P161" i="69"/>
  <c r="O161" i="69"/>
  <c r="P172" i="69"/>
  <c r="O172" i="69"/>
  <c r="E172" i="69"/>
  <c r="D172" i="69"/>
  <c r="E161" i="69"/>
  <c r="E150" i="69"/>
  <c r="D161" i="69"/>
  <c r="D150" i="69"/>
  <c r="I19" i="96" l="1"/>
  <c r="K25" i="96"/>
  <c r="V25" i="96"/>
  <c r="I171" i="76"/>
  <c r="I121" i="76"/>
  <c r="S121" i="76"/>
  <c r="I198" i="76"/>
  <c r="I203" i="76"/>
  <c r="I208" i="76"/>
  <c r="S203" i="76"/>
  <c r="S208" i="76"/>
  <c r="I55" i="76"/>
  <c r="T219" i="69" l="1" a="1"/>
  <c r="T219" i="69" s="1"/>
  <c r="R217" i="69" a="1"/>
  <c r="R217" i="69" s="1"/>
  <c r="O217" i="69" a="1"/>
  <c r="O217" i="69" s="1"/>
  <c r="T222" i="69" l="1"/>
  <c r="P229" i="69" s="1" a="1"/>
  <c r="P229" i="69" s="1"/>
  <c r="O231" i="69"/>
  <c r="P231" i="69" s="1" a="1"/>
  <c r="P231" i="69" s="1"/>
  <c r="O230" i="69"/>
  <c r="O229" i="69"/>
  <c r="O228" i="69"/>
  <c r="P228" i="69" s="1" a="1"/>
  <c r="P228" i="69" s="1"/>
  <c r="D231" i="69"/>
  <c r="D230" i="69"/>
  <c r="D229" i="69"/>
  <c r="D228" i="69"/>
  <c r="J264" i="69" a="1"/>
  <c r="J264" i="69" s="1"/>
  <c r="J263" i="69" a="1"/>
  <c r="J263" i="69" s="1"/>
  <c r="J262" i="69" a="1"/>
  <c r="J262" i="69" s="1"/>
  <c r="J261" i="69" a="1"/>
  <c r="J261" i="69" s="1"/>
  <c r="J260" i="69" a="1"/>
  <c r="J260" i="69" s="1"/>
  <c r="J259" i="69" a="1"/>
  <c r="J259" i="69" s="1"/>
  <c r="J258" i="69" a="1"/>
  <c r="J258" i="69" s="1"/>
  <c r="J257" i="69" a="1"/>
  <c r="J257" i="69" s="1"/>
  <c r="H257" i="69" a="1"/>
  <c r="H257" i="69" s="1"/>
  <c r="D257" i="69" a="1"/>
  <c r="D257" i="69" s="1"/>
  <c r="I219" i="69" a="1"/>
  <c r="I219" i="69" s="1"/>
  <c r="I218" i="69" a="1"/>
  <c r="I218" i="69" s="1"/>
  <c r="J218" i="69" a="1"/>
  <c r="J218" i="69" s="1"/>
  <c r="I217" i="69" a="1"/>
  <c r="I217" i="69" s="1"/>
  <c r="G217" i="69" a="1"/>
  <c r="G217" i="69" s="1"/>
  <c r="D217" i="69" a="1"/>
  <c r="D217" i="69" s="1"/>
  <c r="I193" i="69" a="1"/>
  <c r="I193" i="69" s="1"/>
  <c r="I192" i="69" a="1"/>
  <c r="I192" i="69" s="1"/>
  <c r="I191" i="69" a="1"/>
  <c r="I191" i="69" s="1"/>
  <c r="G191" i="69" a="1"/>
  <c r="G191" i="69" s="1"/>
  <c r="D191" i="69" a="1"/>
  <c r="D191" i="69" s="1"/>
  <c r="I145" i="69" a="1"/>
  <c r="I145" i="69" s="1"/>
  <c r="I144" i="69" a="1"/>
  <c r="I144" i="69" s="1"/>
  <c r="G144" i="69" a="1"/>
  <c r="D144" i="69" a="1"/>
  <c r="D144" i="69" s="1"/>
  <c r="I126" i="69" a="1"/>
  <c r="I126" i="69" s="1"/>
  <c r="I125" i="69" a="1"/>
  <c r="I125" i="69" s="1"/>
  <c r="G125" i="69" a="1"/>
  <c r="G125" i="69" s="1"/>
  <c r="D125" i="69" a="1"/>
  <c r="D125" i="69" s="1"/>
  <c r="I90" i="69" a="1"/>
  <c r="I90" i="69" s="1"/>
  <c r="I91" i="69" a="1"/>
  <c r="I91" i="69" s="1"/>
  <c r="I92" i="69" a="1"/>
  <c r="I92" i="69" s="1"/>
  <c r="I93" i="69" a="1"/>
  <c r="I93" i="69" s="1"/>
  <c r="G90" i="69" a="1"/>
  <c r="G90" i="69" s="1"/>
  <c r="D90" i="69" a="1"/>
  <c r="D90" i="69" s="1"/>
  <c r="I62" i="69" a="1"/>
  <c r="I62" i="69" s="1"/>
  <c r="I67" i="69" a="1"/>
  <c r="I67" i="69" s="1"/>
  <c r="G61" i="69" a="1"/>
  <c r="G61" i="69" s="1"/>
  <c r="D61" i="69" a="1"/>
  <c r="D61" i="69" s="1"/>
  <c r="P230" i="69" l="1" a="1"/>
  <c r="P230" i="69" s="1"/>
  <c r="G144" i="69"/>
  <c r="G161" i="69"/>
  <c r="R161" i="69"/>
  <c r="K150" i="69" l="1"/>
  <c r="V151" i="69"/>
  <c r="G13" i="69" l="1" a="1"/>
  <c r="G13" i="69" s="1"/>
  <c r="D13" i="69" a="1"/>
  <c r="D13" i="69" s="1"/>
  <c r="G9" i="79"/>
  <c r="G8" i="79"/>
  <c r="I221" i="69"/>
  <c r="J44" i="96"/>
  <c r="E30" i="15"/>
  <c r="E33" i="15"/>
  <c r="E32" i="15"/>
  <c r="E31" i="15"/>
  <c r="J45" i="98"/>
  <c r="I40" i="97"/>
  <c r="J45" i="96"/>
  <c r="I44" i="95"/>
  <c r="I63" i="82"/>
  <c r="I264" i="76"/>
  <c r="R50" i="98"/>
  <c r="G50" i="98"/>
  <c r="R48" i="97"/>
  <c r="G48" i="97"/>
  <c r="R56" i="96"/>
  <c r="G56" i="96"/>
  <c r="R55" i="95"/>
  <c r="G55" i="95"/>
  <c r="R71" i="82"/>
  <c r="G71" i="82"/>
  <c r="Q290" i="76"/>
  <c r="G290" i="76"/>
  <c r="G302" i="69"/>
  <c r="I222" i="69"/>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c r="F243" i="104" a="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c r="R241" i="104" a="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c r="D162" i="104" a="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c r="D115" i="104" a="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c r="D19" i="104" a="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H54" i="104" l="1"/>
  <c r="H52" i="104"/>
  <c r="H49" i="104"/>
  <c r="H50" i="104"/>
  <c r="H53" i="104"/>
  <c r="H48" i="104"/>
  <c r="H51" i="104"/>
  <c r="O146" i="8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8" i="69" a="1"/>
  <c r="D248"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41" i="97"/>
  <c r="O38" i="97"/>
  <c r="E36" i="97" a="1"/>
  <c r="E36" i="97" s="1"/>
  <c r="F45" i="97" s="1"/>
  <c r="G12" i="13" s="1"/>
  <c r="E35" i="97" a="1"/>
  <c r="E35" i="97" s="1"/>
  <c r="D31" i="97" a="1"/>
  <c r="D31" i="97" s="1"/>
  <c r="D30" i="97" a="1"/>
  <c r="D30" i="97" s="1"/>
  <c r="O24" i="97"/>
  <c r="D24" i="97"/>
  <c r="D215" i="79" a="1"/>
  <c r="D215" i="79" s="1"/>
  <c r="I14" i="97" s="1"/>
  <c r="D214" i="79" a="1"/>
  <c r="D214" i="79" s="1"/>
  <c r="D213" i="79" a="1"/>
  <c r="D213" i="79" s="1"/>
  <c r="D212" i="79" a="1"/>
  <c r="D212" i="79" s="1"/>
  <c r="D211" i="79" a="1"/>
  <c r="D211"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E10" i="81" a="1"/>
  <c r="E10" i="81" s="1"/>
  <c r="D6" i="81" a="1"/>
  <c r="D6" i="81" s="1"/>
  <c r="D119" i="81" s="1"/>
  <c r="D5" i="81" a="1"/>
  <c r="D5" i="81" s="1"/>
  <c r="D209" i="79" a="1"/>
  <c r="D209" i="79" s="1"/>
  <c r="J15" i="95"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7" i="96" a="1"/>
  <c r="E91" i="81" a="1"/>
  <c r="E32" i="97" a="1"/>
  <c r="E37" i="98" a="1"/>
  <c r="E55" i="82" a="1"/>
  <c r="E36" i="95" a="1"/>
  <c r="E7" i="97" a="1"/>
  <c r="E7" i="98" a="1"/>
  <c r="E37" i="96" a="1"/>
  <c r="E7" i="95" a="1"/>
  <c r="E7" i="81" a="1"/>
  <c r="I14" i="98" l="1"/>
  <c r="I39" i="97"/>
  <c r="F148" i="8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J14" i="95" s="1"/>
  <c r="D6" i="95" a="1"/>
  <c r="D6" i="95" s="1"/>
  <c r="E11" i="95" a="1"/>
  <c r="E11"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69" i="69"/>
  <c r="G269" i="69"/>
  <c r="F269" i="69"/>
  <c r="E269" i="69"/>
  <c r="D269"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4" i="69" a="1"/>
  <c r="Q304" i="69" s="1"/>
  <c r="O301" i="69" a="1"/>
  <c r="O301" i="69" s="1"/>
  <c r="O297" i="69"/>
  <c r="O296" i="69"/>
  <c r="O295" i="69"/>
  <c r="O294" i="69"/>
  <c r="O293" i="69"/>
  <c r="O292" i="69"/>
  <c r="O291" i="69"/>
  <c r="O290" i="69"/>
  <c r="O244" i="69"/>
  <c r="O243" i="69"/>
  <c r="O242" i="69"/>
  <c r="O241" i="69"/>
  <c r="O240" i="69"/>
  <c r="O239" i="69"/>
  <c r="O238" i="69"/>
  <c r="O237" i="69"/>
  <c r="F304" i="69" a="1"/>
  <c r="F304" i="69" s="1"/>
  <c r="J7" i="13" s="1"/>
  <c r="D301" i="69" a="1"/>
  <c r="D301" i="69" s="1"/>
  <c r="D297" i="69"/>
  <c r="D296" i="69"/>
  <c r="D295" i="69"/>
  <c r="D294" i="69"/>
  <c r="D293" i="69"/>
  <c r="D292" i="69"/>
  <c r="D291" i="69"/>
  <c r="D290" i="69"/>
  <c r="E255" i="69" a="1"/>
  <c r="E255" i="69" s="1"/>
  <c r="Q299" i="69" s="1"/>
  <c r="E254" i="69" a="1"/>
  <c r="E254" i="69" s="1"/>
  <c r="D250" i="69" a="1"/>
  <c r="D250" i="69" s="1"/>
  <c r="D249" i="69" a="1"/>
  <c r="D249" i="69" s="1"/>
  <c r="D244" i="69"/>
  <c r="D243" i="69"/>
  <c r="D242" i="69"/>
  <c r="D241" i="69"/>
  <c r="D240" i="69"/>
  <c r="D239" i="69"/>
  <c r="D238" i="69"/>
  <c r="D237" i="69"/>
  <c r="D195" i="79" a="1"/>
  <c r="D195" i="79" s="1"/>
  <c r="D194" i="79" a="1"/>
  <c r="D194" i="79" s="1"/>
  <c r="D193" i="79" a="1"/>
  <c r="D193" i="79" s="1"/>
  <c r="D192" i="79" a="1"/>
  <c r="D192" i="79" s="1"/>
  <c r="D191" i="79" a="1"/>
  <c r="D191" i="79" s="1"/>
  <c r="E214" i="69" a="1"/>
  <c r="E214" i="69" s="1"/>
  <c r="D210" i="69" a="1"/>
  <c r="D210" i="69" s="1"/>
  <c r="E215" i="69" a="1"/>
  <c r="E215" i="69" s="1"/>
  <c r="D209" i="69" a="1"/>
  <c r="D209" i="69" s="1"/>
  <c r="O205" i="69"/>
  <c r="O204" i="69"/>
  <c r="O199" i="69"/>
  <c r="O198" i="69"/>
  <c r="D184" i="69" a="1"/>
  <c r="D184" i="69" s="1"/>
  <c r="D205" i="69"/>
  <c r="D204" i="69"/>
  <c r="D199" i="69"/>
  <c r="D198" i="69"/>
  <c r="E189" i="69" a="1"/>
  <c r="E189" i="69" s="1"/>
  <c r="V205" i="69" s="1"/>
  <c r="E188" i="69" a="1"/>
  <c r="E188" i="69" s="1"/>
  <c r="D183" i="69" a="1"/>
  <c r="D183" i="69" s="1"/>
  <c r="D182" i="69" a="1"/>
  <c r="D182" i="69" s="1"/>
  <c r="O178" i="69"/>
  <c r="O177" i="69"/>
  <c r="O176" i="69"/>
  <c r="O175" i="69"/>
  <c r="O174" i="69"/>
  <c r="O173" i="69"/>
  <c r="D137" i="69" a="1"/>
  <c r="D137" i="69" s="1"/>
  <c r="D178" i="69"/>
  <c r="D177" i="69"/>
  <c r="D176" i="69"/>
  <c r="D175" i="69"/>
  <c r="D174" i="69"/>
  <c r="D173" i="69"/>
  <c r="Q164" i="69"/>
  <c r="Q163" i="69"/>
  <c r="Q162" i="69"/>
  <c r="O167" i="69"/>
  <c r="O166" i="69"/>
  <c r="O165" i="69"/>
  <c r="O164" i="69"/>
  <c r="O163" i="69"/>
  <c r="O162" i="69"/>
  <c r="O156" i="69"/>
  <c r="O155" i="69"/>
  <c r="O154" i="69"/>
  <c r="O153" i="69"/>
  <c r="O152" i="69"/>
  <c r="O151" i="69"/>
  <c r="F164" i="69"/>
  <c r="F163" i="69"/>
  <c r="F162" i="69"/>
  <c r="D167" i="69"/>
  <c r="D166" i="69"/>
  <c r="D165" i="69"/>
  <c r="D164" i="69"/>
  <c r="D163" i="69"/>
  <c r="D162" i="69"/>
  <c r="D156" i="69"/>
  <c r="D155" i="69"/>
  <c r="D154" i="69"/>
  <c r="D153" i="69"/>
  <c r="D152" i="69"/>
  <c r="D151" i="69"/>
  <c r="E141" i="69" a="1"/>
  <c r="E141" i="69" s="1"/>
  <c r="E142" i="69" a="1"/>
  <c r="E142" i="69" s="1"/>
  <c r="D136" i="69" a="1"/>
  <c r="D136" i="69" s="1"/>
  <c r="D188" i="79" a="1"/>
  <c r="D188" i="79" s="1"/>
  <c r="I127" i="69" s="1"/>
  <c r="D187" i="79" a="1"/>
  <c r="D187" i="79" s="1"/>
  <c r="D186" i="79" a="1"/>
  <c r="D186" i="79" s="1"/>
  <c r="D185" i="79" a="1"/>
  <c r="D185" i="79" s="1"/>
  <c r="D184" i="79" a="1"/>
  <c r="D184" i="79" s="1"/>
  <c r="D53" i="69" a="1"/>
  <c r="D53" i="69" s="1"/>
  <c r="S18" i="69"/>
  <c r="S23" i="69" s="1" a="1"/>
  <c r="S23" i="69" s="1"/>
  <c r="R18" i="69"/>
  <c r="R23" i="69" s="1" a="1"/>
  <c r="R23" i="69" s="1"/>
  <c r="Q18" i="69"/>
  <c r="Q23" i="69" s="1" a="1"/>
  <c r="Q23" i="69" s="1"/>
  <c r="P18" i="69"/>
  <c r="P23" i="69" s="1" a="1"/>
  <c r="P23" i="69" s="1"/>
  <c r="O18" i="69"/>
  <c r="O23" i="69" s="1" a="1"/>
  <c r="O23" i="69" s="1"/>
  <c r="O78" i="69" s="1" a="1"/>
  <c r="O78" i="69" s="1"/>
  <c r="I13" i="69"/>
  <c r="D6" i="69" a="1"/>
  <c r="D6" i="69" s="1"/>
  <c r="E10" i="69" a="1"/>
  <c r="E10" i="69" s="1"/>
  <c r="E11" i="69" a="1"/>
  <c r="E11" i="69" s="1"/>
  <c r="D5" i="69" a="1"/>
  <c r="D5" i="69" s="1"/>
  <c r="D54" i="69" a="1"/>
  <c r="D54" i="69" s="1"/>
  <c r="D181" i="79" a="1"/>
  <c r="D181" i="79" s="1"/>
  <c r="I66" i="69" s="1"/>
  <c r="D180" i="79" a="1"/>
  <c r="D180" i="79" s="1"/>
  <c r="D179" i="79" a="1"/>
  <c r="D179" i="79" s="1"/>
  <c r="D178" i="79" a="1"/>
  <c r="D178" i="79" s="1"/>
  <c r="D177" i="79" a="1"/>
  <c r="D177" i="79" s="1"/>
  <c r="D174" i="79" a="1"/>
  <c r="D174" i="79" s="1"/>
  <c r="I65" i="69" s="1"/>
  <c r="D173" i="79" a="1"/>
  <c r="D173" i="79" s="1"/>
  <c r="D172" i="79" a="1"/>
  <c r="D172" i="79" s="1"/>
  <c r="D171" i="79" a="1"/>
  <c r="D171" i="79" s="1"/>
  <c r="D170" i="79" a="1"/>
  <c r="D170" i="79" s="1"/>
  <c r="D167" i="79" a="1"/>
  <c r="D167" i="79" s="1"/>
  <c r="I64" i="69" s="1"/>
  <c r="D166" i="79" a="1"/>
  <c r="D166" i="79" s="1"/>
  <c r="D165" i="79" a="1"/>
  <c r="D165" i="79" s="1"/>
  <c r="D164" i="79" a="1"/>
  <c r="D164" i="79" s="1"/>
  <c r="D163" i="79" a="1"/>
  <c r="D163" i="79" s="1"/>
  <c r="E58" i="69" a="1"/>
  <c r="E58" i="69" s="1"/>
  <c r="E59" i="69" a="1"/>
  <c r="E59" i="69" s="1"/>
  <c r="T78" i="69" s="1"/>
  <c r="D83" i="69" a="1"/>
  <c r="D83" i="69" s="1"/>
  <c r="E87" i="69" a="1"/>
  <c r="E87" i="69" s="1"/>
  <c r="E88" i="69" a="1"/>
  <c r="E88" i="69" s="1"/>
  <c r="I113" i="69" s="1"/>
  <c r="D82" i="69" a="1"/>
  <c r="D82" i="69" s="1"/>
  <c r="D160" i="79" a="1"/>
  <c r="D160" i="79" s="1"/>
  <c r="E37" i="70" s="1"/>
  <c r="D18" i="69" s="1"/>
  <c r="D23" i="69" s="1" a="1"/>
  <c r="D23" i="69" s="1"/>
  <c r="D78" i="69" s="1" a="1"/>
  <c r="D78" i="69" s="1"/>
  <c r="D159" i="79" a="1"/>
  <c r="D159" i="79" s="1"/>
  <c r="D158" i="79" a="1"/>
  <c r="D158" i="79" s="1"/>
  <c r="D157" i="79" a="1"/>
  <c r="D157" i="79" s="1"/>
  <c r="D156" i="79" a="1"/>
  <c r="D156" i="79" s="1"/>
  <c r="D150" i="79" a="1"/>
  <c r="D150" i="79" s="1"/>
  <c r="D151" i="79" a="1"/>
  <c r="D151" i="79" s="1"/>
  <c r="D152" i="79" a="1"/>
  <c r="D152" i="79" s="1"/>
  <c r="D153" i="79" a="1"/>
  <c r="D153" i="79" s="1"/>
  <c r="F38" i="70" s="1"/>
  <c r="E121" i="76" s="1"/>
  <c r="D149" i="79" a="1"/>
  <c r="D149" i="79" s="1"/>
  <c r="D118" i="69" a="1"/>
  <c r="D118" i="69" s="1"/>
  <c r="E122" i="69" a="1"/>
  <c r="E122" i="69" s="1"/>
  <c r="E123" i="69" a="1"/>
  <c r="E123" i="69" s="1"/>
  <c r="I132" i="69" s="1"/>
  <c r="D117" i="69" a="1"/>
  <c r="D117" i="69" s="1"/>
  <c r="G97" i="70"/>
  <c r="Q167" i="69" s="1"/>
  <c r="F97" i="70"/>
  <c r="F167" i="69" s="1"/>
  <c r="G96" i="70"/>
  <c r="Q166" i="69" s="1"/>
  <c r="F96" i="70"/>
  <c r="F166" i="69" s="1"/>
  <c r="G95" i="70"/>
  <c r="F95" i="70"/>
  <c r="D77" i="70"/>
  <c r="D93" i="70"/>
  <c r="E251" i="69" a="1"/>
  <c r="E7" i="82" a="1"/>
  <c r="E109" i="76" a="1"/>
  <c r="E84" i="69" a="1"/>
  <c r="E55" i="69" a="1"/>
  <c r="E132" i="76" a="1"/>
  <c r="E35" i="76" a="1"/>
  <c r="E7" i="76" a="1"/>
  <c r="E119" i="69" a="1"/>
  <c r="E72" i="76" a="1"/>
  <c r="E153" i="76" a="1"/>
  <c r="E211" i="69" a="1"/>
  <c r="E256" i="76" a="1"/>
  <c r="E183" i="76" a="1"/>
  <c r="E7" i="69" a="1"/>
  <c r="E185" i="69" a="1"/>
  <c r="E219" i="76" a="1"/>
  <c r="E138" i="69" a="1"/>
  <c r="F165" i="69" l="1"/>
  <c r="F105" i="70"/>
  <c r="E105" i="70"/>
  <c r="I105" i="70"/>
  <c r="H105" i="70"/>
  <c r="G105" i="70"/>
  <c r="Q165" i="69"/>
  <c r="I106" i="70"/>
  <c r="H106" i="70"/>
  <c r="G106" i="70"/>
  <c r="F106" i="70"/>
  <c r="E106" i="70"/>
  <c r="I62" i="82"/>
  <c r="S146" i="76"/>
  <c r="F49" i="82"/>
  <c r="Q49" i="82"/>
  <c r="O61" i="82"/>
  <c r="P61" i="82"/>
  <c r="I220" i="69"/>
  <c r="S29" i="76"/>
  <c r="S213" i="76"/>
  <c r="I213" i="76"/>
  <c r="I176" i="76"/>
  <c r="K29" i="95"/>
  <c r="S103" i="76"/>
  <c r="I126" i="76"/>
  <c r="F287" i="76"/>
  <c r="G8" i="13" s="1"/>
  <c r="T113" i="69"/>
  <c r="S50" i="76" s="1"/>
  <c r="T132" i="69"/>
  <c r="I65" i="76"/>
  <c r="F37" i="70"/>
  <c r="E18" i="69" s="1"/>
  <c r="E23" i="69" s="1" a="1"/>
  <c r="E23" i="69" s="1"/>
  <c r="E78" i="69" s="1" a="1"/>
  <c r="E78" i="69" s="1"/>
  <c r="E60" i="76" s="1"/>
  <c r="V204" i="69"/>
  <c r="K205" i="69"/>
  <c r="K204" i="69"/>
  <c r="G37" i="70"/>
  <c r="F18" i="69" s="1"/>
  <c r="F23" i="69" s="1" a="1"/>
  <c r="F23" i="69" s="1"/>
  <c r="F78" i="69" s="1" a="1"/>
  <c r="F78" i="69" s="1"/>
  <c r="F60" i="76" s="1"/>
  <c r="H37" i="70"/>
  <c r="G18" i="69" s="1"/>
  <c r="G23" i="69" s="1" a="1"/>
  <c r="G23" i="69" s="1"/>
  <c r="G78" i="69" s="1" a="1"/>
  <c r="G78" i="69" s="1"/>
  <c r="G60" i="76" s="1"/>
  <c r="G38" i="70"/>
  <c r="F121" i="76" s="1"/>
  <c r="I38" i="70"/>
  <c r="H121" i="76" s="1"/>
  <c r="H38" i="70"/>
  <c r="G121" i="76" s="1"/>
  <c r="E38" i="70"/>
  <c r="D121" i="76" s="1"/>
  <c r="I37" i="70"/>
  <c r="H18" i="69" s="1"/>
  <c r="H23" i="69" s="1" a="1"/>
  <c r="H23" i="69" s="1"/>
  <c r="H78" i="69" s="1" a="1"/>
  <c r="H78" i="69" s="1"/>
  <c r="H60" i="76" s="1"/>
  <c r="F299" i="69"/>
  <c r="G7" i="13" s="1"/>
  <c r="I23" i="69"/>
  <c r="T23" i="69"/>
  <c r="Q68" i="82"/>
  <c r="V172" i="69"/>
  <c r="V236" i="69"/>
  <c r="K236" i="69"/>
  <c r="J8" i="13"/>
  <c r="K172" i="69"/>
  <c r="E7" i="82"/>
  <c r="E256" i="76"/>
  <c r="E219" i="76"/>
  <c r="E183" i="76"/>
  <c r="E153" i="76"/>
  <c r="E132" i="76"/>
  <c r="E109" i="76"/>
  <c r="E72" i="76"/>
  <c r="E35" i="76"/>
  <c r="E7" i="76"/>
  <c r="E251" i="69"/>
  <c r="E211" i="69"/>
  <c r="E185" i="69"/>
  <c r="E138" i="69"/>
  <c r="E84" i="69"/>
  <c r="E119" i="69"/>
  <c r="R78" i="69" a="1"/>
  <c r="R78" i="69" s="1"/>
  <c r="P78" i="69" a="1"/>
  <c r="P78" i="69" s="1"/>
  <c r="S78" i="69" a="1"/>
  <c r="S78" i="69" s="1"/>
  <c r="I78" i="69"/>
  <c r="I60" i="76" s="1"/>
  <c r="D60" i="76"/>
  <c r="Q78" i="69" a="1"/>
  <c r="Q78" i="69" s="1"/>
  <c r="E55" i="69"/>
  <c r="E7" i="69"/>
  <c r="D146" i="79" l="1"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8" i="76" l="1"/>
  <c r="Q208" i="76"/>
  <c r="G284" i="69"/>
  <c r="P203" i="76"/>
  <c r="Q274" i="69"/>
  <c r="G29" i="70"/>
  <c r="H274" i="69"/>
  <c r="H203" i="76"/>
  <c r="F208" i="76"/>
  <c r="F284" i="69"/>
  <c r="F274" i="69"/>
  <c r="F203" i="76"/>
  <c r="E171" i="76"/>
  <c r="E274" i="69"/>
  <c r="R203" i="76"/>
  <c r="S274" i="69"/>
  <c r="I29" i="70"/>
  <c r="D274" i="69"/>
  <c r="D171" i="76"/>
  <c r="D208" i="76"/>
  <c r="N208" i="76"/>
  <c r="D284" i="69"/>
  <c r="P274" i="69"/>
  <c r="F29" i="70"/>
  <c r="P284" i="69" s="1"/>
  <c r="O171" i="76"/>
  <c r="H208" i="76"/>
  <c r="H284" i="69"/>
  <c r="G274" i="69"/>
  <c r="G171" i="76"/>
  <c r="E208" i="76"/>
  <c r="E284" i="69"/>
  <c r="O208" i="76"/>
  <c r="Q171" i="76"/>
  <c r="R274" i="69"/>
  <c r="H29" i="70"/>
  <c r="R284" i="69" s="1"/>
  <c r="N171" i="76"/>
  <c r="O274" i="69"/>
  <c r="E29" i="70"/>
  <c r="O284" i="69" s="1"/>
  <c r="P208" i="76" l="1"/>
  <c r="Q284" i="69"/>
  <c r="S284"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79" i="69" s="1"/>
  <c r="D64" i="79" a="1"/>
  <c r="D64" i="79" s="1"/>
  <c r="G63" i="79" a="1"/>
  <c r="G63" i="79" s="1"/>
  <c r="F198" i="76" s="1"/>
  <c r="F63" i="79" a="1"/>
  <c r="F63" i="79" s="1"/>
  <c r="E63" i="79" a="1"/>
  <c r="E63" i="79" s="1"/>
  <c r="F279"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E227" i="69" l="1" a="1"/>
  <c r="E227" i="69" s="1"/>
  <c r="P227" i="69" a="1"/>
  <c r="P227" i="69" s="1"/>
  <c r="F35" i="8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8" i="69"/>
  <c r="E108" i="69"/>
  <c r="G108" i="69"/>
  <c r="H108" i="69"/>
  <c r="D108"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J150" i="69" s="1"/>
  <c r="J172" i="69" s="1" a="1"/>
  <c r="J172" i="69" s="1"/>
  <c r="G70" i="70" a="1"/>
  <c r="G70" i="70" s="1"/>
  <c r="H72" i="70" a="1"/>
  <c r="H72" i="70" s="1"/>
  <c r="F72" i="70" a="1"/>
  <c r="F72" i="70" s="1"/>
  <c r="G67" i="70" a="1"/>
  <c r="G67" i="70" s="1"/>
  <c r="F67" i="70" a="1"/>
  <c r="F67" i="70" s="1"/>
  <c r="E67" i="70" a="1"/>
  <c r="E67" i="70" s="1"/>
  <c r="E65" i="70" a="1"/>
  <c r="E65" i="70" s="1"/>
  <c r="H71" i="70" a="1"/>
  <c r="H71" i="70" s="1"/>
  <c r="I66" i="70" a="1"/>
  <c r="I66" i="70" s="1"/>
  <c r="J198" i="69" s="1"/>
  <c r="E71" i="70" a="1"/>
  <c r="E71" i="70" s="1"/>
  <c r="E66" i="70" a="1"/>
  <c r="E66" i="70" s="1"/>
  <c r="I67" i="70" a="1"/>
  <c r="I67" i="70" s="1"/>
  <c r="G71" i="70" a="1"/>
  <c r="G71" i="70" s="1"/>
  <c r="H66" i="70" a="1"/>
  <c r="H66" i="70" s="1"/>
  <c r="I198" i="69" s="1"/>
  <c r="F66" i="70" a="1"/>
  <c r="F66" i="70" s="1"/>
  <c r="G198" i="69" s="1"/>
  <c r="H70" i="70" a="1"/>
  <c r="H70" i="70" s="1"/>
  <c r="F71" i="70" a="1"/>
  <c r="F71" i="70" s="1"/>
  <c r="G66" i="70" a="1"/>
  <c r="G66" i="70" s="1"/>
  <c r="H198" i="69" s="1"/>
  <c r="I70" i="70" a="1"/>
  <c r="I70" i="70" s="1"/>
  <c r="H65" i="70" a="1"/>
  <c r="H65" i="70" s="1"/>
  <c r="I150" i="69" s="1"/>
  <c r="I172" i="69" s="1" a="1"/>
  <c r="I172" i="69" s="1"/>
  <c r="F70" i="70" a="1"/>
  <c r="F70" i="70" s="1"/>
  <c r="G65" i="70" a="1"/>
  <c r="G65" i="70" s="1"/>
  <c r="H150" i="69" s="1"/>
  <c r="H172" i="69" s="1" a="1"/>
  <c r="H172" i="69" s="1"/>
  <c r="I72" i="70" a="1"/>
  <c r="I72" i="70" s="1"/>
  <c r="E70" i="70" a="1"/>
  <c r="E70" i="70" s="1"/>
  <c r="F65" i="70" a="1"/>
  <c r="F65" i="70" s="1"/>
  <c r="G150" i="69" s="1"/>
  <c r="G172" i="69" s="1" a="1"/>
  <c r="G172" i="69" s="1"/>
  <c r="F198" i="69" l="1"/>
  <c r="F151" i="69"/>
  <c r="Q25" i="96"/>
  <c r="Q150" i="69"/>
  <c r="Q172" i="69" s="1" a="1"/>
  <c r="Q172" i="69" s="1"/>
  <c r="S25" i="96"/>
  <c r="S150" i="69"/>
  <c r="S172" i="69" s="1" a="1"/>
  <c r="S172" i="69" s="1"/>
  <c r="F25" i="96"/>
  <c r="F150" i="69"/>
  <c r="F172" i="69" s="1" a="1"/>
  <c r="F172" i="69" s="1"/>
  <c r="T25" i="96"/>
  <c r="T150" i="69"/>
  <c r="T172" i="69" s="1" a="1"/>
  <c r="T172" i="69" s="1"/>
  <c r="R25" i="96"/>
  <c r="R150" i="69"/>
  <c r="R172" i="69" s="1" a="1"/>
  <c r="R172" i="69" s="1"/>
  <c r="U25" i="96"/>
  <c r="U150" i="69"/>
  <c r="U172" i="69" s="1" a="1"/>
  <c r="U172"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3" i="69"/>
  <c r="Q98" i="76"/>
  <c r="J236" i="76" a="1"/>
  <c r="J236" i="76" s="1"/>
  <c r="J237" i="76" a="1"/>
  <c r="J237" i="76" s="1"/>
  <c r="J238" i="76" a="1"/>
  <c r="J238" i="76" s="1"/>
  <c r="J235" i="76" a="1"/>
  <c r="J235" i="76" s="1"/>
  <c r="P238" i="76" a="1"/>
  <c r="P238" i="76" s="1"/>
  <c r="P236" i="76" a="1"/>
  <c r="P236" i="76" s="1"/>
  <c r="P235" i="76" a="1"/>
  <c r="P235" i="76" s="1"/>
  <c r="P237" i="76" a="1"/>
  <c r="P237" i="76" s="1"/>
  <c r="G103" i="69"/>
  <c r="G98" i="76"/>
  <c r="F232" i="76" a="1"/>
  <c r="F232" i="76" s="1"/>
  <c r="F234" i="76" a="1"/>
  <c r="F234" i="76" s="1"/>
  <c r="F233" i="76" a="1"/>
  <c r="F233" i="76" s="1"/>
  <c r="F231" i="76" a="1"/>
  <c r="F231" i="76" s="1"/>
  <c r="I237" i="76" a="1"/>
  <c r="I237" i="76" s="1"/>
  <c r="I236" i="76" a="1"/>
  <c r="I236" i="76" s="1"/>
  <c r="I238" i="76" a="1"/>
  <c r="I238" i="76" s="1"/>
  <c r="I235" i="76" a="1"/>
  <c r="I235" i="76" s="1"/>
  <c r="F103" i="69"/>
  <c r="F98" i="76"/>
  <c r="P234" i="76" a="1"/>
  <c r="P234" i="76" s="1"/>
  <c r="P231" i="76" a="1"/>
  <c r="P231" i="76" s="1"/>
  <c r="P233" i="76" a="1"/>
  <c r="P233" i="76" s="1"/>
  <c r="P232" i="76" a="1"/>
  <c r="P232" i="76" s="1"/>
  <c r="R236" i="76" a="1"/>
  <c r="R236" i="76" s="1"/>
  <c r="R238" i="76" a="1"/>
  <c r="R238" i="76" s="1"/>
  <c r="R235" i="76" a="1"/>
  <c r="R235" i="76" s="1"/>
  <c r="R237" i="76" a="1"/>
  <c r="R237" i="76" s="1"/>
  <c r="Q103" i="69"/>
  <c r="P98" i="76"/>
  <c r="T238" i="76" a="1"/>
  <c r="T238" i="76" s="1"/>
  <c r="T235" i="76" a="1"/>
  <c r="T235" i="76" s="1"/>
  <c r="T237" i="76" a="1"/>
  <c r="T237" i="76" s="1"/>
  <c r="T236" i="76" a="1"/>
  <c r="T236" i="76" s="1"/>
  <c r="J234" i="76" a="1"/>
  <c r="J234" i="76" s="1"/>
  <c r="J231" i="76" a="1"/>
  <c r="J231" i="76" s="1"/>
  <c r="J233" i="76" a="1"/>
  <c r="J233" i="76" s="1"/>
  <c r="J232" i="76" a="1"/>
  <c r="J232" i="76" s="1"/>
  <c r="E103" i="69"/>
  <c r="E98" i="76"/>
  <c r="P98" i="69"/>
  <c r="O19" i="76"/>
  <c r="O29" i="76" s="1" a="1"/>
  <c r="O29" i="76" s="1"/>
  <c r="S231" i="76" a="1"/>
  <c r="S231" i="76" s="1"/>
  <c r="S233" i="76" a="1"/>
  <c r="S233" i="76" s="1"/>
  <c r="S232" i="76" a="1"/>
  <c r="S232" i="76" s="1"/>
  <c r="S234" i="76" a="1"/>
  <c r="S234" i="76" s="1"/>
  <c r="P103" i="69"/>
  <c r="O98" i="76"/>
  <c r="E98" i="69"/>
  <c r="E19" i="76"/>
  <c r="E29" i="76" s="1" a="1"/>
  <c r="E29" i="76" s="1"/>
  <c r="O103" i="69"/>
  <c r="N98" i="76"/>
  <c r="Q98" i="69"/>
  <c r="P19" i="76"/>
  <c r="P29" i="76" s="1" a="1"/>
  <c r="P29" i="76" s="1"/>
  <c r="F235" i="76" a="1"/>
  <c r="F235" i="76" s="1"/>
  <c r="F237" i="76" a="1"/>
  <c r="F237" i="76" s="1"/>
  <c r="F236" i="76" a="1"/>
  <c r="F236" i="76" s="1"/>
  <c r="F238" i="76" a="1"/>
  <c r="F238" i="76" s="1"/>
  <c r="D103" i="69"/>
  <c r="D98" i="76"/>
  <c r="F98" i="69"/>
  <c r="F19" i="76"/>
  <c r="F29" i="76" s="1" a="1"/>
  <c r="F29" i="76" s="1"/>
  <c r="G235" i="76" a="1"/>
  <c r="G235" i="76" s="1"/>
  <c r="G237" i="76" a="1"/>
  <c r="G237" i="76" s="1"/>
  <c r="G238" i="76" a="1"/>
  <c r="G238" i="76" s="1"/>
  <c r="G236" i="76" a="1"/>
  <c r="G236" i="76" s="1"/>
  <c r="H98" i="69"/>
  <c r="H19" i="76"/>
  <c r="H29" i="76" s="1" a="1"/>
  <c r="H29" i="76" s="1"/>
  <c r="O98"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8" i="69"/>
  <c r="R19" i="76"/>
  <c r="R29" i="76" s="1" a="1"/>
  <c r="R29" i="76" s="1"/>
  <c r="D98"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8" i="69"/>
  <c r="G19" i="76"/>
  <c r="G29" i="76" s="1" a="1"/>
  <c r="G29" i="76" s="1"/>
  <c r="S236" i="76" a="1"/>
  <c r="S236" i="76" s="1"/>
  <c r="S238" i="76" a="1"/>
  <c r="S238" i="76" s="1"/>
  <c r="S235" i="76" a="1"/>
  <c r="S235" i="76" s="1"/>
  <c r="S237" i="76" a="1"/>
  <c r="S237" i="76" s="1"/>
  <c r="R98" i="69"/>
  <c r="R113" i="69" s="1" a="1"/>
  <c r="R113" i="69" s="1"/>
  <c r="Q19" i="76"/>
  <c r="Q29" i="76" s="1" a="1"/>
  <c r="Q29" i="76" s="1"/>
  <c r="G232" i="76" a="1"/>
  <c r="G232" i="76" s="1"/>
  <c r="G234" i="76" a="1"/>
  <c r="G234" i="76" s="1"/>
  <c r="G231" i="76" a="1"/>
  <c r="G231" i="76" s="1"/>
  <c r="G233" i="76" a="1"/>
  <c r="G233" i="76" s="1"/>
  <c r="H103" i="69"/>
  <c r="H98" i="76"/>
  <c r="I232" i="76" a="1"/>
  <c r="I232" i="76" s="1"/>
  <c r="I234" i="76" a="1"/>
  <c r="I234" i="76" s="1"/>
  <c r="I231" i="76" a="1"/>
  <c r="I231" i="76" s="1"/>
  <c r="I233" i="76" a="1"/>
  <c r="I233" i="76" s="1"/>
  <c r="S103" i="69"/>
  <c r="R98" i="76"/>
  <c r="J154" i="69"/>
  <c r="J176" i="69" s="1" a="1"/>
  <c r="J176" i="69" s="1"/>
  <c r="J156" i="69"/>
  <c r="J178" i="69" s="1" a="1"/>
  <c r="J178" i="69" s="1"/>
  <c r="J155" i="69"/>
  <c r="J177" i="69" s="1" a="1"/>
  <c r="J177" i="69" s="1"/>
  <c r="J199" i="69"/>
  <c r="Q154" i="69"/>
  <c r="Q176" i="69" s="1" a="1"/>
  <c r="Q176" i="69" s="1"/>
  <c r="Q155" i="69"/>
  <c r="Q177" i="69" s="1" a="1"/>
  <c r="Q177" i="69" s="1"/>
  <c r="Q156" i="69"/>
  <c r="Q178" i="69" s="1" a="1"/>
  <c r="Q178" i="69" s="1"/>
  <c r="Q199" i="69"/>
  <c r="S156" i="69"/>
  <c r="S178" i="69" s="1" a="1"/>
  <c r="S178" i="69" s="1"/>
  <c r="S155" i="69"/>
  <c r="S177" i="69" s="1" a="1"/>
  <c r="S177" i="69" s="1"/>
  <c r="S154" i="69"/>
  <c r="S176" i="69" s="1" a="1"/>
  <c r="S176" i="69" s="1"/>
  <c r="S199" i="69"/>
  <c r="T198" i="69"/>
  <c r="T153" i="69"/>
  <c r="T175" i="69" s="1" a="1"/>
  <c r="T175" i="69" s="1"/>
  <c r="T152" i="69"/>
  <c r="T174" i="69" s="1" a="1"/>
  <c r="T174" i="69" s="1"/>
  <c r="T151" i="69"/>
  <c r="T173" i="69" s="1" a="1"/>
  <c r="T173" i="69" s="1"/>
  <c r="F153" i="69"/>
  <c r="F175" i="69" s="1" a="1"/>
  <c r="F175" i="69" s="1"/>
  <c r="F152" i="69"/>
  <c r="F174" i="69" s="1" a="1"/>
  <c r="F174" i="69" s="1"/>
  <c r="F173" i="69" a="1"/>
  <c r="F173" i="69" s="1"/>
  <c r="U156" i="69"/>
  <c r="U178" i="69" s="1" a="1"/>
  <c r="U178" i="69" s="1"/>
  <c r="U155" i="69"/>
  <c r="U177" i="69" s="1" a="1"/>
  <c r="U177" i="69" s="1"/>
  <c r="U154" i="69"/>
  <c r="U176" i="69" s="1" a="1"/>
  <c r="U176" i="69" s="1"/>
  <c r="U199" i="69"/>
  <c r="F155" i="69"/>
  <c r="F177" i="69" s="1" a="1"/>
  <c r="F177" i="69" s="1"/>
  <c r="F199" i="69"/>
  <c r="F154" i="69"/>
  <c r="F176" i="69" s="1" a="1"/>
  <c r="F176" i="69" s="1"/>
  <c r="F156" i="69"/>
  <c r="F178" i="69" s="1" a="1"/>
  <c r="F178" i="69" s="1"/>
  <c r="H154" i="69"/>
  <c r="H176" i="69" s="1" a="1"/>
  <c r="H176" i="69" s="1"/>
  <c r="H199" i="69"/>
  <c r="H156" i="69"/>
  <c r="H178" i="69" s="1" a="1"/>
  <c r="H178" i="69" s="1"/>
  <c r="H155" i="69"/>
  <c r="H177" i="69" s="1" a="1"/>
  <c r="H177" i="69" s="1"/>
  <c r="J153" i="69"/>
  <c r="J175" i="69" s="1" a="1"/>
  <c r="J175" i="69" s="1"/>
  <c r="J152" i="69"/>
  <c r="J174" i="69" s="1" a="1"/>
  <c r="J174" i="69" s="1"/>
  <c r="J151" i="69"/>
  <c r="J173" i="69" s="1" a="1"/>
  <c r="J173" i="69" s="1"/>
  <c r="G154" i="69"/>
  <c r="G176" i="69" s="1" a="1"/>
  <c r="G176" i="69" s="1"/>
  <c r="G199" i="69"/>
  <c r="G156" i="69"/>
  <c r="G178" i="69" s="1" a="1"/>
  <c r="G178" i="69" s="1"/>
  <c r="G155" i="69"/>
  <c r="G177" i="69" s="1" a="1"/>
  <c r="G177" i="69" s="1"/>
  <c r="H151" i="69"/>
  <c r="H173" i="69" s="1" a="1"/>
  <c r="H173" i="69" s="1"/>
  <c r="H153" i="69"/>
  <c r="H175" i="69" s="1" a="1"/>
  <c r="H175" i="69" s="1"/>
  <c r="H152" i="69"/>
  <c r="H174" i="69" s="1" a="1"/>
  <c r="H174" i="69" s="1"/>
  <c r="R151" i="69"/>
  <c r="R173" i="69" s="1" a="1"/>
  <c r="R173" i="69" s="1"/>
  <c r="R198" i="69"/>
  <c r="R153" i="69"/>
  <c r="R175" i="69" s="1" a="1"/>
  <c r="R175" i="69" s="1"/>
  <c r="R152" i="69"/>
  <c r="R174" i="69" s="1" a="1"/>
  <c r="R174" i="69" s="1"/>
  <c r="T199" i="69"/>
  <c r="T155" i="69"/>
  <c r="T177" i="69" s="1" a="1"/>
  <c r="T177" i="69" s="1"/>
  <c r="T154" i="69"/>
  <c r="T176" i="69" s="1" a="1"/>
  <c r="T176" i="69" s="1"/>
  <c r="T156" i="69"/>
  <c r="T178" i="69" s="1" a="1"/>
  <c r="T178" i="69" s="1"/>
  <c r="I199" i="69"/>
  <c r="I156" i="69"/>
  <c r="I178" i="69" s="1" a="1"/>
  <c r="I178" i="69" s="1"/>
  <c r="I155" i="69"/>
  <c r="I177" i="69" s="1" a="1"/>
  <c r="I177" i="69" s="1"/>
  <c r="I154" i="69"/>
  <c r="I176" i="69" s="1" a="1"/>
  <c r="I176" i="69" s="1"/>
  <c r="G153" i="69"/>
  <c r="G175" i="69" s="1" a="1"/>
  <c r="G175" i="69" s="1"/>
  <c r="G152" i="69"/>
  <c r="G174" i="69" s="1" a="1"/>
  <c r="G174" i="69" s="1"/>
  <c r="G151" i="69"/>
  <c r="G173" i="69" s="1" a="1"/>
  <c r="G173" i="69" s="1"/>
  <c r="Q198" i="69"/>
  <c r="Q152" i="69"/>
  <c r="Q174" i="69" s="1" a="1"/>
  <c r="Q174" i="69" s="1"/>
  <c r="Q153" i="69"/>
  <c r="Q175" i="69" s="1" a="1"/>
  <c r="Q175" i="69" s="1"/>
  <c r="Q151" i="69"/>
  <c r="Q173" i="69" s="1" a="1"/>
  <c r="Q173" i="69" s="1"/>
  <c r="R154" i="69"/>
  <c r="R176" i="69" s="1" a="1"/>
  <c r="R176" i="69" s="1"/>
  <c r="R156" i="69"/>
  <c r="R178" i="69" s="1" a="1"/>
  <c r="R178" i="69" s="1"/>
  <c r="R155" i="69"/>
  <c r="R177" i="69" s="1" a="1"/>
  <c r="R177" i="69" s="1"/>
  <c r="R199" i="69"/>
  <c r="I151" i="69"/>
  <c r="I173" i="69" s="1" a="1"/>
  <c r="I173" i="69" s="1"/>
  <c r="I153" i="69"/>
  <c r="I175" i="69" s="1" a="1"/>
  <c r="I175" i="69" s="1"/>
  <c r="I152" i="69"/>
  <c r="I174" i="69" s="1" a="1"/>
  <c r="I174" i="69" s="1"/>
  <c r="S151" i="69"/>
  <c r="S173" i="69" s="1" a="1"/>
  <c r="S173" i="69" s="1"/>
  <c r="S198" i="69"/>
  <c r="S153" i="69"/>
  <c r="S175" i="69" s="1" a="1"/>
  <c r="S175" i="69" s="1"/>
  <c r="S152" i="69"/>
  <c r="S174" i="69" s="1" a="1"/>
  <c r="S174" i="69" s="1"/>
  <c r="U198" i="69"/>
  <c r="U152" i="69"/>
  <c r="U174" i="69" s="1" a="1"/>
  <c r="U174" i="69" s="1"/>
  <c r="U151" i="69"/>
  <c r="U173" i="69" s="1" a="1"/>
  <c r="U173" i="69" s="1"/>
  <c r="U153" i="69"/>
  <c r="U175" i="69" s="1" a="1"/>
  <c r="U175" i="69" s="1"/>
  <c r="J46" i="96"/>
  <c r="D113" i="69" l="1" a="1"/>
  <c r="D113" i="69" s="1"/>
  <c r="D132" i="69" s="1" a="1"/>
  <c r="D132" i="69" s="1"/>
  <c r="G113" i="69" a="1"/>
  <c r="G113" i="69" s="1"/>
  <c r="G50" i="76" s="1"/>
  <c r="F113" i="69" a="1"/>
  <c r="F113" i="69" s="1"/>
  <c r="F132" i="69" s="1" a="1"/>
  <c r="F132" i="69" s="1"/>
  <c r="E113" i="69" a="1"/>
  <c r="E113" i="69" s="1"/>
  <c r="E132" i="69" s="1" a="1"/>
  <c r="E132" i="69" s="1"/>
  <c r="H113" i="69" a="1"/>
  <c r="H113" i="69" s="1"/>
  <c r="H132" i="69" s="1" a="1"/>
  <c r="H132" i="69" s="1"/>
  <c r="I43" i="97"/>
  <c r="I66" i="82"/>
  <c r="Q113" i="69" a="1"/>
  <c r="Q113" i="69" s="1"/>
  <c r="P50" i="76" s="1"/>
  <c r="P113" i="69" a="1"/>
  <c r="P113" i="69" s="1"/>
  <c r="O50" i="76" s="1"/>
  <c r="S113" i="69" a="1"/>
  <c r="S113" i="69" s="1"/>
  <c r="S132" i="69" s="1" a="1"/>
  <c r="S132" i="69" s="1"/>
  <c r="O113" i="69" a="1"/>
  <c r="O113" i="69" s="1"/>
  <c r="O132" i="69" s="1" a="1"/>
  <c r="O132" i="69" s="1"/>
  <c r="R205" i="69" a="1"/>
  <c r="R205" i="69" s="1"/>
  <c r="G205" i="69" a="1"/>
  <c r="G205" i="69" s="1"/>
  <c r="Q205" i="69" a="1"/>
  <c r="Q205" i="69" s="1"/>
  <c r="J205" i="69" a="1"/>
  <c r="J205" i="69" s="1"/>
  <c r="S204" i="69" a="1"/>
  <c r="S204" i="69" s="1"/>
  <c r="F205" i="69" a="1"/>
  <c r="F205" i="69" s="1"/>
  <c r="U205" i="69" a="1"/>
  <c r="U205" i="69" s="1"/>
  <c r="I205" i="69" a="1"/>
  <c r="I205" i="69" s="1"/>
  <c r="R132" i="69" a="1"/>
  <c r="R132" i="69" s="1"/>
  <c r="Q50" i="76"/>
  <c r="T205" i="69" a="1"/>
  <c r="T205" i="69" s="1"/>
  <c r="G204" i="69" a="1"/>
  <c r="G204" i="69" s="1"/>
  <c r="S205" i="69" a="1"/>
  <c r="S205" i="69" s="1"/>
  <c r="H204" i="69" a="1"/>
  <c r="H204" i="69" s="1"/>
  <c r="U204" i="69" a="1"/>
  <c r="U204" i="69" s="1"/>
  <c r="Q204" i="69" a="1"/>
  <c r="Q204" i="69" s="1"/>
  <c r="R204" i="69" a="1"/>
  <c r="R204" i="69" s="1"/>
  <c r="H205" i="69" a="1"/>
  <c r="H205" i="69" s="1"/>
  <c r="F204" i="69" a="1"/>
  <c r="F204" i="69" s="1"/>
  <c r="J204" i="69" a="1"/>
  <c r="J204" i="69" s="1"/>
  <c r="T204" i="69" a="1"/>
  <c r="T204" i="69" s="1"/>
  <c r="I204" i="69" a="1"/>
  <c r="I204" i="69" s="1"/>
  <c r="U236" i="69" l="1" a="1"/>
  <c r="U236" i="69" s="1"/>
  <c r="U289" i="69" s="1" a="1"/>
  <c r="U289" i="69" s="1"/>
  <c r="T236" i="69" a="1"/>
  <c r="T236" i="69" s="1"/>
  <c r="T289" i="69" s="1" a="1"/>
  <c r="T289" i="69" s="1"/>
  <c r="J236" i="69" a="1"/>
  <c r="J236" i="69" s="1"/>
  <c r="J289" i="69" s="1" a="1"/>
  <c r="J289" i="69" s="1"/>
  <c r="H236" i="69" a="1"/>
  <c r="H236" i="69" s="1"/>
  <c r="H289" i="69" s="1" a="1"/>
  <c r="H289" i="69" s="1"/>
  <c r="Q236" i="69" a="1"/>
  <c r="Q236" i="69" s="1"/>
  <c r="Q289" i="69" s="1" a="1"/>
  <c r="Q289" i="69" s="1"/>
  <c r="G236" i="69" a="1"/>
  <c r="G236" i="69" s="1"/>
  <c r="G289" i="69" s="1" a="1"/>
  <c r="G289" i="69" s="1"/>
  <c r="F236" i="69" a="1"/>
  <c r="F236" i="69" s="1"/>
  <c r="F289" i="69" s="1" a="1"/>
  <c r="F289" i="69" s="1"/>
  <c r="F50" i="76"/>
  <c r="F65" i="76" s="1" a="1"/>
  <c r="F65" i="76" s="1"/>
  <c r="F103" i="76" s="1" a="1"/>
  <c r="F103" i="76" s="1"/>
  <c r="G132" i="69" a="1"/>
  <c r="G132" i="69" s="1"/>
  <c r="D50" i="76"/>
  <c r="D126" i="76" s="1" a="1"/>
  <c r="D126" i="76" s="1"/>
  <c r="H50" i="76"/>
  <c r="H65" i="76" s="1" a="1"/>
  <c r="H65" i="76" s="1"/>
  <c r="H103" i="76" s="1" a="1"/>
  <c r="H103" i="76" s="1"/>
  <c r="R50" i="76"/>
  <c r="R126" i="76" s="1" a="1"/>
  <c r="R126" i="76" s="1"/>
  <c r="Q132" i="69" a="1"/>
  <c r="Q132" i="69" s="1"/>
  <c r="E50" i="76"/>
  <c r="E65" i="76" s="1" a="1"/>
  <c r="E65" i="76" s="1"/>
  <c r="E103" i="76" s="1" a="1"/>
  <c r="E103" i="76" s="1"/>
  <c r="P132" i="69" a="1"/>
  <c r="P132"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S236" i="69" l="1" a="1"/>
  <c r="S236" i="69" s="1"/>
  <c r="S289" i="69" s="1" a="1"/>
  <c r="S289" i="69" s="1"/>
  <c r="F126" i="76" a="1"/>
  <c r="F126" i="76" s="1"/>
  <c r="F146" i="76" s="1" a="1"/>
  <c r="F146" i="76" s="1"/>
  <c r="F213" i="76" s="1" a="1"/>
  <c r="F213" i="76" s="1"/>
  <c r="F19" i="96" s="1"/>
  <c r="R236" i="69" a="1"/>
  <c r="R236" i="69" s="1"/>
  <c r="R289" i="69" s="1" a="1"/>
  <c r="R289" i="69" s="1"/>
  <c r="I236" i="69" a="1"/>
  <c r="I236" i="69" s="1"/>
  <c r="I289" i="69" s="1" a="1"/>
  <c r="I289" i="69"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U31" i="96" s="1" a="1"/>
  <c r="U31" i="96" s="1"/>
  <c r="F176" i="76" a="1"/>
  <c r="F176" i="76" s="1"/>
  <c r="S31" i="96" a="1"/>
  <c r="S31" i="9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O213" i="76" a="1"/>
  <c r="O213" i="76" s="1"/>
  <c r="E176" i="76" a="1"/>
  <c r="E176" i="76" s="1"/>
  <c r="E19" i="96" s="1"/>
  <c r="E213" i="76" a="1"/>
  <c r="E213" i="76" s="1"/>
  <c r="N176" i="76" a="1"/>
  <c r="N176" i="76" s="1"/>
  <c r="O19" i="96" s="1"/>
  <c r="N213" i="76" a="1"/>
  <c r="N213" i="76" s="1"/>
  <c r="P176" i="76" a="1"/>
  <c r="P176" i="76" s="1"/>
  <c r="P213" i="76" a="1"/>
  <c r="P213" i="76" s="1"/>
  <c r="Q19" i="96" s="1"/>
  <c r="R176" i="76" l="1" a="1"/>
  <c r="R176" i="76" s="1"/>
  <c r="R213" i="76" a="1"/>
  <c r="R213" i="76" s="1"/>
  <c r="D213" i="76" a="1"/>
  <c r="D213" i="76" s="1"/>
  <c r="D176" i="76" a="1"/>
  <c r="D176" i="76" s="1"/>
  <c r="D19" i="96" s="1"/>
  <c r="Q31" i="96" s="1" a="1"/>
  <c r="Q31" i="96" s="1"/>
  <c r="Q23" i="98" s="1"/>
  <c r="Q28" i="98" s="1" a="1"/>
  <c r="Q28" i="98" s="1"/>
  <c r="T243" i="76" a="1"/>
  <c r="T243" i="76" s="1"/>
  <c r="U40" i="81" s="1"/>
  <c r="S19" i="96"/>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31" i="96" a="1"/>
  <c r="T31" i="96" s="1"/>
  <c r="T51" i="96" s="1" a="1"/>
  <c r="T51" i="96" s="1"/>
  <c r="I247" i="76" a="1"/>
  <c r="I247" i="76" s="1"/>
  <c r="I44" i="81" s="1"/>
  <c r="J248" i="76" a="1"/>
  <c r="J248" i="76" s="1"/>
  <c r="J45" i="81" s="1"/>
  <c r="J246" i="76" a="1"/>
  <c r="J246" i="76" s="1"/>
  <c r="J43" i="81" s="1"/>
  <c r="T246" i="76" a="1"/>
  <c r="T246" i="76" s="1"/>
  <c r="U43" i="81" s="1"/>
  <c r="T247" i="76" a="1"/>
  <c r="T247" i="76" s="1"/>
  <c r="U44" i="81" s="1"/>
  <c r="T245" i="76" a="1"/>
  <c r="T245" i="76" s="1"/>
  <c r="U42" i="81" s="1"/>
  <c r="T250" i="76" a="1"/>
  <c r="T250" i="76" s="1"/>
  <c r="U47" i="81" s="1"/>
  <c r="J243" i="76" a="1"/>
  <c r="J243" i="76" s="1"/>
  <c r="J249" i="76" a="1"/>
  <c r="J249" i="76" s="1"/>
  <c r="J25" i="82" s="1"/>
  <c r="J46" i="82" s="1" a="1"/>
  <c r="J46" i="82" s="1"/>
  <c r="T249" i="76" a="1"/>
  <c r="T249" i="76" s="1"/>
  <c r="U46" i="81" s="1"/>
  <c r="J31" i="96" a="1"/>
  <c r="J31" i="96" s="1"/>
  <c r="J51" i="96" s="1" a="1"/>
  <c r="J51" i="96" s="1"/>
  <c r="T248" i="76" a="1"/>
  <c r="T248" i="76" s="1"/>
  <c r="T283" i="76" s="1" a="1"/>
  <c r="T283" i="76" s="1"/>
  <c r="J250" i="76" a="1"/>
  <c r="J250" i="76" s="1"/>
  <c r="J247" i="76" a="1"/>
  <c r="J247" i="76" s="1"/>
  <c r="J245" i="76" a="1"/>
  <c r="J245" i="76" s="1"/>
  <c r="J280" i="76" s="1" a="1"/>
  <c r="J280" i="76" s="1"/>
  <c r="J244" i="76" a="1"/>
  <c r="J244" i="76" s="1"/>
  <c r="J41" i="81" s="1"/>
  <c r="T244" i="76" a="1"/>
  <c r="T244" i="76" s="1"/>
  <c r="U41" i="81" s="1"/>
  <c r="H23" i="98"/>
  <c r="H28" i="98" s="1" a="1"/>
  <c r="H28" i="98" s="1"/>
  <c r="H19" i="97"/>
  <c r="H24" i="97" s="1" a="1"/>
  <c r="H24" i="97" s="1"/>
  <c r="S23" i="98"/>
  <c r="S28" i="98" s="1" a="1"/>
  <c r="S28" i="98" s="1"/>
  <c r="S19" i="97"/>
  <c r="S24" i="97" s="1" a="1"/>
  <c r="S24" i="97" s="1"/>
  <c r="U23" i="98"/>
  <c r="U28" i="98" s="1" a="1"/>
  <c r="U28" i="98" s="1"/>
  <c r="U19" i="97"/>
  <c r="U24" i="97" s="1" a="1"/>
  <c r="U24" i="97" s="1"/>
  <c r="I19" i="97"/>
  <c r="I24" i="97" s="1" a="1"/>
  <c r="I24" i="97" s="1"/>
  <c r="I23" i="98"/>
  <c r="I28" i="98" s="1" a="1"/>
  <c r="I28" i="98" s="1"/>
  <c r="H51" i="96" a="1"/>
  <c r="H51" i="96" s="1"/>
  <c r="S51" i="96" a="1"/>
  <c r="S51" i="96" s="1"/>
  <c r="U51" i="96" a="1"/>
  <c r="U51" i="96" s="1"/>
  <c r="I51" i="96" a="1"/>
  <c r="I51" i="96" s="1"/>
  <c r="R31" i="96" a="1"/>
  <c r="R3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F249" i="76" l="1" a="1"/>
  <c r="F249" i="76" s="1"/>
  <c r="F284" i="76" s="1" a="1"/>
  <c r="F284" i="76" s="1"/>
  <c r="U19" i="82"/>
  <c r="U40" i="82" s="1" a="1"/>
  <c r="U40" i="82" s="1"/>
  <c r="T278" i="76" a="1"/>
  <c r="T278"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U22" i="82"/>
  <c r="U43" i="82" s="1" a="1"/>
  <c r="U43" i="82" s="1"/>
  <c r="U23" i="95"/>
  <c r="U29" i="95" s="1" a="1"/>
  <c r="U29" i="95" s="1"/>
  <c r="U55" i="81" s="1"/>
  <c r="T281" i="76" a="1"/>
  <c r="T281" i="76" s="1"/>
  <c r="T280" i="76" a="1"/>
  <c r="T280" i="76" s="1"/>
  <c r="U21" i="82"/>
  <c r="U42" i="82" s="1" a="1"/>
  <c r="U42" i="82" s="1"/>
  <c r="U23" i="82"/>
  <c r="U44" i="82" s="1" a="1"/>
  <c r="U44" i="82" s="1"/>
  <c r="T282" i="76" a="1"/>
  <c r="T282" i="76" s="1"/>
  <c r="T285" i="76" a="1"/>
  <c r="T285" i="76" s="1"/>
  <c r="T284" i="76" a="1"/>
  <c r="T284" i="76" s="1"/>
  <c r="U26" i="82"/>
  <c r="U47" i="82" s="1" a="1"/>
  <c r="U47" i="82" s="1"/>
  <c r="U24" i="95"/>
  <c r="U30" i="95" s="1" a="1"/>
  <c r="U30" i="95" s="1"/>
  <c r="H50" i="95" a="1"/>
  <c r="H50" i="95" s="1"/>
  <c r="H59" i="81"/>
  <c r="F282" i="76" a="1"/>
  <c r="F282" i="76" s="1"/>
  <c r="F44" i="81"/>
  <c r="J24" i="95"/>
  <c r="J30" i="95" s="1" a="1"/>
  <c r="J30" i="95" s="1"/>
  <c r="J47" i="81"/>
  <c r="J19" i="82"/>
  <c r="J40" i="82" s="1" a="1"/>
  <c r="J40" i="82" s="1"/>
  <c r="J40" i="81"/>
  <c r="U25" i="82"/>
  <c r="U46" i="82" s="1" a="1"/>
  <c r="U46" i="82" s="1"/>
  <c r="T49" i="95" a="1"/>
  <c r="T49" i="95" s="1"/>
  <c r="T55" i="81"/>
  <c r="U24" i="82"/>
  <c r="U45" i="82" s="1" a="1"/>
  <c r="U45" i="82" s="1"/>
  <c r="U45" i="81"/>
  <c r="J284" i="76" a="1"/>
  <c r="J284" i="76" s="1"/>
  <c r="J46" i="81"/>
  <c r="F25" i="82"/>
  <c r="F46" i="82" s="1" a="1"/>
  <c r="F46" i="82" s="1"/>
  <c r="F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F51" i="96" a="1"/>
  <c r="F51" i="96" s="1"/>
  <c r="F19" i="97"/>
  <c r="F24" i="97" s="1" a="1"/>
  <c r="F24" i="97" s="1"/>
  <c r="T279" i="76" a="1"/>
  <c r="T279" i="76" s="1"/>
  <c r="F283" i="76" a="1"/>
  <c r="F283"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P53" i="96" l="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P26" i="97"/>
  <c r="S38" i="97" s="1"/>
  <c r="P45" i="97" s="1" a="1"/>
  <c r="P45" i="97" s="1"/>
  <c r="F12" i="13" s="1"/>
  <c r="P30" i="98"/>
  <c r="U43" i="98" s="1"/>
  <c r="P47" i="98" s="1" a="1"/>
  <c r="P47" i="98" s="1"/>
  <c r="F13" i="13" s="1"/>
  <c r="U49" i="95" a="1"/>
  <c r="U49" i="95" s="1"/>
  <c r="J50" i="95" a="1"/>
  <c r="J50" i="95" s="1"/>
  <c r="J59" i="81"/>
  <c r="G49" i="95" a="1"/>
  <c r="G49" i="95" s="1"/>
  <c r="G55" i="81"/>
  <c r="G50" i="95" a="1"/>
  <c r="G50" i="95" s="1"/>
  <c r="G59" i="81"/>
  <c r="R50" i="95" a="1"/>
  <c r="R50" i="95" s="1"/>
  <c r="R59" i="81"/>
  <c r="U50" i="95" a="1"/>
  <c r="U50" i="95" s="1"/>
  <c r="U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6" i="97"/>
  <c r="I38" i="97" s="1"/>
  <c r="E45" i="97" s="1" a="1"/>
  <c r="E45" i="97" s="1"/>
  <c r="E12" i="13" s="1"/>
  <c r="E53" i="96"/>
  <c r="G55" i="96" s="1"/>
  <c r="E58" i="96" s="1" a="1"/>
  <c r="E58" i="96" s="1"/>
  <c r="H11" i="13" s="1"/>
  <c r="E28" i="98"/>
  <c r="P28" i="98"/>
  <c r="E23" i="98"/>
  <c r="P23" i="98"/>
  <c r="P49" i="82"/>
  <c r="R61" i="82" s="1"/>
  <c r="R55" i="96"/>
  <c r="P58" i="96" s="1" a="1"/>
  <c r="P58" i="96" s="1"/>
  <c r="I11" i="13" s="1"/>
  <c r="F11" i="13"/>
  <c r="P19" i="97"/>
  <c r="E19" i="97"/>
  <c r="P24" i="97"/>
  <c r="E24" i="97"/>
  <c r="P51" i="96"/>
  <c r="P25" i="96"/>
  <c r="E25" i="96"/>
  <c r="P31" i="96"/>
  <c r="E51" i="96"/>
  <c r="E31" i="96"/>
  <c r="E229" i="69" a="1"/>
  <c r="E229" i="69" s="1"/>
  <c r="D86" i="70"/>
  <c r="D102" i="70"/>
  <c r="E230" i="69" a="1"/>
  <c r="E230" i="69" s="1"/>
  <c r="D87" i="70"/>
  <c r="D103" i="70"/>
  <c r="E228" i="69" a="1"/>
  <c r="E228" i="69" s="1"/>
  <c r="D85" i="70"/>
  <c r="D101" i="70"/>
  <c r="E231" i="69" a="1"/>
  <c r="E231" i="69" s="1"/>
  <c r="E29" i="15"/>
  <c r="E49" i="82" l="1"/>
  <c r="F49" i="95" a="1"/>
  <c r="F49" i="95" s="1"/>
  <c r="F50" i="95" a="1"/>
  <c r="F50" i="95" s="1"/>
  <c r="E52" i="95" s="1"/>
  <c r="G54" i="95" s="1"/>
  <c r="E57" i="95" s="1" a="1"/>
  <c r="E57" i="95" s="1"/>
  <c r="H10" i="13" s="1"/>
  <c r="R47" i="97"/>
  <c r="P50" i="97" s="1" a="1"/>
  <c r="P50" i="97" s="1"/>
  <c r="I12" i="13" s="1"/>
  <c r="P68" i="82" a="1"/>
  <c r="P68" i="82" s="1"/>
  <c r="F9" i="13" s="1"/>
  <c r="R49" i="98"/>
  <c r="P52" i="98" s="1" a="1"/>
  <c r="P52" i="98" s="1"/>
  <c r="I13" i="13" s="1"/>
  <c r="P52" i="95"/>
  <c r="R54" i="95" s="1"/>
  <c r="P57" i="95" s="1" a="1"/>
  <c r="P57" i="95" s="1"/>
  <c r="I10"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I61" i="82"/>
  <c r="E68" i="82" s="1" a="1"/>
  <c r="E68" i="82" s="1"/>
  <c r="E9" i="13" s="1"/>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6" i="69"/>
  <c r="E249" i="76"/>
  <c r="E46" i="82"/>
  <c r="P25" i="82"/>
  <c r="O284" i="76"/>
  <c r="E284" i="76"/>
  <c r="E296" i="69"/>
  <c r="P178" i="69"/>
  <c r="P243" i="69"/>
  <c r="E178" i="69"/>
  <c r="E243" i="69"/>
  <c r="G243" i="69" s="1" a="1"/>
  <c r="G243" i="69" s="1"/>
  <c r="O237" i="76"/>
  <c r="P46" i="82"/>
  <c r="E25" i="82"/>
  <c r="O249" i="76"/>
  <c r="E237" i="76"/>
  <c r="P156" i="69"/>
  <c r="E156" i="69"/>
  <c r="P167" i="69"/>
  <c r="E167" i="69"/>
  <c r="P45" i="82"/>
  <c r="E295" i="69"/>
  <c r="P295" i="69"/>
  <c r="E248" i="76"/>
  <c r="E45" i="82"/>
  <c r="P24" i="82"/>
  <c r="E283" i="76"/>
  <c r="O248" i="76"/>
  <c r="P242" i="69"/>
  <c r="E242" i="69"/>
  <c r="H242" i="69" s="1" a="1"/>
  <c r="H242" i="69" s="1"/>
  <c r="P177" i="69"/>
  <c r="O236" i="76"/>
  <c r="O283" i="76"/>
  <c r="E24" i="82"/>
  <c r="E236" i="76"/>
  <c r="P166" i="69"/>
  <c r="E166" i="69"/>
  <c r="E177" i="69"/>
  <c r="P155" i="69"/>
  <c r="E155" i="69"/>
  <c r="P238" i="69"/>
  <c r="P163" i="69"/>
  <c r="P41" i="82"/>
  <c r="O232" i="76"/>
  <c r="E163" i="69"/>
  <c r="E152" i="69"/>
  <c r="E20" i="82"/>
  <c r="E232" i="76"/>
  <c r="O279" i="76"/>
  <c r="E41" i="82"/>
  <c r="P20" i="82"/>
  <c r="E279" i="76"/>
  <c r="O244" i="76"/>
  <c r="E291" i="69"/>
  <c r="E174" i="69"/>
  <c r="P152" i="69"/>
  <c r="E244" i="76"/>
  <c r="P174" i="69"/>
  <c r="E238" i="69"/>
  <c r="F238" i="69" s="1" a="1"/>
  <c r="F238" i="69" s="1"/>
  <c r="P291" i="69"/>
  <c r="E40" i="82"/>
  <c r="P19" i="82"/>
  <c r="E278" i="76"/>
  <c r="E290" i="69"/>
  <c r="P173" i="69"/>
  <c r="P151" i="69"/>
  <c r="P162" i="69"/>
  <c r="E151" i="69"/>
  <c r="O278" i="76"/>
  <c r="O231" i="76"/>
  <c r="E162" i="69"/>
  <c r="E19" i="82"/>
  <c r="E231" i="76"/>
  <c r="P40" i="82"/>
  <c r="E243" i="76"/>
  <c r="O243" i="76"/>
  <c r="E173" i="69"/>
  <c r="P237" i="69"/>
  <c r="P290" i="69"/>
  <c r="E237" i="69"/>
  <c r="H237" i="69" s="1" a="1"/>
  <c r="H237" i="69" s="1"/>
  <c r="O233" i="76"/>
  <c r="P239" i="69"/>
  <c r="O280" i="76"/>
  <c r="E164" i="69"/>
  <c r="E153" i="69"/>
  <c r="O245" i="76"/>
  <c r="E21" i="82"/>
  <c r="E233" i="76"/>
  <c r="P42" i="82"/>
  <c r="E245" i="76"/>
  <c r="E239" i="69"/>
  <c r="J239" i="69" s="1" a="1"/>
  <c r="J239" i="69" s="1"/>
  <c r="E42" i="82"/>
  <c r="P21" i="82"/>
  <c r="E280" i="76"/>
  <c r="E175" i="69"/>
  <c r="P153" i="69"/>
  <c r="P175" i="69"/>
  <c r="P164" i="69"/>
  <c r="P292" i="69"/>
  <c r="E292" i="69"/>
  <c r="E23" i="82"/>
  <c r="E235" i="76"/>
  <c r="E165" i="69"/>
  <c r="O247" i="76"/>
  <c r="O282" i="76"/>
  <c r="P294" i="69"/>
  <c r="E247" i="76"/>
  <c r="E44" i="82"/>
  <c r="P23" i="82"/>
  <c r="E282" i="76"/>
  <c r="E294" i="69"/>
  <c r="P44" i="82"/>
  <c r="P176" i="69"/>
  <c r="P241" i="69"/>
  <c r="P165" i="69"/>
  <c r="O235" i="76"/>
  <c r="E241" i="69"/>
  <c r="F241" i="69" s="1" a="1"/>
  <c r="F241" i="69" s="1"/>
  <c r="E176" i="69"/>
  <c r="P154" i="69"/>
  <c r="E154" i="69"/>
  <c r="O238" i="76"/>
  <c r="E199" i="69"/>
  <c r="P199" i="69"/>
  <c r="J244" i="69" a="1"/>
  <c r="J244" i="69" s="1"/>
  <c r="H240" i="69" a="1"/>
  <c r="H240" i="69" s="1"/>
  <c r="E198" i="69"/>
  <c r="P198" i="69"/>
  <c r="E13" i="15"/>
  <c r="R70" i="82" l="1"/>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4" i="69" a="1"/>
  <c r="I244" i="69" s="1"/>
  <c r="I297" i="69" s="1" a="1"/>
  <c r="I297" i="69" s="1"/>
  <c r="J243" i="69" a="1"/>
  <c r="J243" i="69" s="1"/>
  <c r="J296" i="69" s="1" a="1"/>
  <c r="J296" i="69" s="1"/>
  <c r="F242" i="69" a="1"/>
  <c r="F242" i="69" s="1"/>
  <c r="F295" i="69" s="1" a="1"/>
  <c r="F295" i="69" s="1"/>
  <c r="I240" i="69" a="1"/>
  <c r="I240" i="69" s="1"/>
  <c r="I293" i="69" s="1" a="1"/>
  <c r="I293" i="69" s="1"/>
  <c r="G239" i="69" a="1"/>
  <c r="G239" i="69" s="1"/>
  <c r="G292" i="69" s="1" a="1"/>
  <c r="G292" i="69" s="1"/>
  <c r="J238" i="69" a="1"/>
  <c r="J238" i="69" s="1"/>
  <c r="J291" i="69" s="1" a="1"/>
  <c r="J291" i="69" s="1"/>
  <c r="U240" i="69" a="1"/>
  <c r="U240" i="69" s="1"/>
  <c r="U293" i="69" s="1" a="1"/>
  <c r="U293" i="69" s="1"/>
  <c r="T240" i="69" a="1"/>
  <c r="T240" i="69" s="1"/>
  <c r="T293" i="69" s="1" a="1"/>
  <c r="T293" i="69" s="1"/>
  <c r="Q240" i="69" a="1"/>
  <c r="Q240" i="69" s="1"/>
  <c r="Q293" i="69" s="1" a="1"/>
  <c r="Q293" i="69" s="1"/>
  <c r="S240" i="69" a="1"/>
  <c r="S240" i="69" s="1"/>
  <c r="S293" i="69" s="1" a="1"/>
  <c r="S293" i="69" s="1"/>
  <c r="R240" i="69" a="1"/>
  <c r="R240" i="69" s="1"/>
  <c r="R293" i="69" s="1" a="1"/>
  <c r="R293"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U243" i="69" a="1"/>
  <c r="U243" i="69" s="1"/>
  <c r="U296" i="69" s="1" a="1"/>
  <c r="U296" i="69" s="1"/>
  <c r="Q243" i="69" a="1"/>
  <c r="Q243" i="69" s="1"/>
  <c r="Q296" i="69" s="1" a="1"/>
  <c r="Q296" i="69" s="1"/>
  <c r="T243" i="69" a="1"/>
  <c r="T243" i="69" s="1"/>
  <c r="T296" i="69" s="1" a="1"/>
  <c r="T296" i="69" s="1"/>
  <c r="R243" i="69" a="1"/>
  <c r="R243" i="69" s="1"/>
  <c r="R296" i="69" s="1" a="1"/>
  <c r="R296" i="69" s="1"/>
  <c r="S243" i="69" a="1"/>
  <c r="S243" i="69" s="1"/>
  <c r="S296" i="69" s="1" a="1"/>
  <c r="S296" i="69" s="1"/>
  <c r="G244" i="69" a="1"/>
  <c r="G244" i="69" s="1"/>
  <c r="G297" i="69" s="1" a="1"/>
  <c r="G297" i="69" s="1"/>
  <c r="H239" i="69" a="1"/>
  <c r="H239" i="69" s="1"/>
  <c r="H292" i="69" s="1" a="1"/>
  <c r="H292" i="69" s="1"/>
  <c r="I241" i="69" a="1"/>
  <c r="I241" i="69" s="1"/>
  <c r="I294" i="69" s="1" a="1"/>
  <c r="I294" i="69" s="1"/>
  <c r="H244" i="69" a="1"/>
  <c r="H244" i="69" s="1"/>
  <c r="H297" i="69" s="1" a="1"/>
  <c r="H297" i="69" s="1"/>
  <c r="H243" i="69" a="1"/>
  <c r="H243" i="69" s="1"/>
  <c r="H296" i="69" s="1" a="1"/>
  <c r="H296" i="69" s="1"/>
  <c r="I237" i="69" a="1"/>
  <c r="I237" i="69" s="1"/>
  <c r="I290" i="69" s="1" a="1"/>
  <c r="I290" i="69" s="1"/>
  <c r="F244" i="69" a="1"/>
  <c r="F244" i="69" s="1"/>
  <c r="F297" i="69" s="1" a="1"/>
  <c r="F297" i="69" s="1"/>
  <c r="F239" i="69" a="1"/>
  <c r="F239" i="69" s="1"/>
  <c r="F292" i="69" s="1" a="1"/>
  <c r="F292" i="69" s="1"/>
  <c r="J237" i="69" a="1"/>
  <c r="J237" i="69" s="1"/>
  <c r="J290" i="69" s="1" a="1"/>
  <c r="J290" i="69" s="1"/>
  <c r="F240" i="69" a="1"/>
  <c r="F240" i="69" s="1"/>
  <c r="F293" i="69" s="1" a="1"/>
  <c r="F293" i="69" s="1"/>
  <c r="F243" i="69" a="1"/>
  <c r="F243" i="69" s="1"/>
  <c r="F296" i="69" s="1" a="1"/>
  <c r="F296" i="69" s="1"/>
  <c r="J241" i="69" a="1"/>
  <c r="J241" i="69" s="1"/>
  <c r="J294" i="69" s="1" a="1"/>
  <c r="J294" i="69" s="1"/>
  <c r="J240" i="69" a="1"/>
  <c r="J240" i="69" s="1"/>
  <c r="J293" i="69" s="1" a="1"/>
  <c r="J293" i="69" s="1"/>
  <c r="I238" i="69" a="1"/>
  <c r="I238" i="69" s="1"/>
  <c r="I291" i="69" s="1" a="1"/>
  <c r="I291" i="69" s="1"/>
  <c r="G237" i="69" a="1"/>
  <c r="G237" i="69" s="1"/>
  <c r="G290" i="69" s="1" a="1"/>
  <c r="G290" i="69" s="1"/>
  <c r="I242" i="69" a="1"/>
  <c r="I242" i="69" s="1"/>
  <c r="I295" i="69" s="1" a="1"/>
  <c r="I295" i="69" s="1"/>
  <c r="H241" i="69" a="1"/>
  <c r="H241" i="69" s="1"/>
  <c r="H294" i="69" s="1" a="1"/>
  <c r="H294" i="69" s="1"/>
  <c r="G240" i="69" a="1"/>
  <c r="G240" i="69" s="1"/>
  <c r="G293" i="69" s="1" a="1"/>
  <c r="G293" i="69" s="1"/>
  <c r="G238" i="69" a="1"/>
  <c r="G238" i="69" s="1"/>
  <c r="G291" i="69" s="1" a="1"/>
  <c r="G291" i="69" s="1"/>
  <c r="F237" i="69" a="1"/>
  <c r="F237" i="69" s="1"/>
  <c r="F290" i="69" s="1" a="1"/>
  <c r="F290" i="69" s="1"/>
  <c r="G242" i="69" a="1"/>
  <c r="G242" i="69" s="1"/>
  <c r="G295" i="69" s="1" a="1"/>
  <c r="G295" i="69" s="1"/>
  <c r="G241" i="69" a="1"/>
  <c r="G241" i="69" s="1"/>
  <c r="G294" i="69" s="1" a="1"/>
  <c r="G294" i="69" s="1"/>
  <c r="T237" i="69" a="1"/>
  <c r="T237" i="69" s="1"/>
  <c r="T290" i="69" s="1" a="1"/>
  <c r="T290" i="69" s="1"/>
  <c r="U237" i="69" a="1"/>
  <c r="U237" i="69" s="1"/>
  <c r="U290" i="69" s="1" a="1"/>
  <c r="U290" i="69" s="1"/>
  <c r="Q237" i="69" a="1"/>
  <c r="Q237" i="69" s="1"/>
  <c r="Q290" i="69" s="1" a="1"/>
  <c r="Q290" i="69" s="1"/>
  <c r="R237" i="69" a="1"/>
  <c r="R237" i="69" s="1"/>
  <c r="R290" i="69" s="1" a="1"/>
  <c r="R290" i="69" s="1"/>
  <c r="S237" i="69" a="1"/>
  <c r="S237" i="69" s="1"/>
  <c r="S290" i="69" s="1" a="1"/>
  <c r="S290" i="69" s="1"/>
  <c r="T239" i="69" a="1"/>
  <c r="T239" i="69" s="1"/>
  <c r="T292" i="69" s="1" a="1"/>
  <c r="T292" i="69" s="1"/>
  <c r="U239" i="69" a="1"/>
  <c r="U239" i="69" s="1"/>
  <c r="U292" i="69" s="1" a="1"/>
  <c r="U292" i="69" s="1"/>
  <c r="Q239" i="69" a="1"/>
  <c r="Q239" i="69" s="1"/>
  <c r="Q292" i="69" s="1" a="1"/>
  <c r="Q292" i="69" s="1"/>
  <c r="R239" i="69" a="1"/>
  <c r="R239" i="69" s="1"/>
  <c r="R292" i="69" s="1" a="1"/>
  <c r="R292" i="69" s="1"/>
  <c r="S239" i="69" a="1"/>
  <c r="S239" i="69" s="1"/>
  <c r="S292" i="69" s="1" a="1"/>
  <c r="S292" i="69" s="1"/>
  <c r="U242" i="69" a="1"/>
  <c r="U242" i="69" s="1"/>
  <c r="U295" i="69" s="1" a="1"/>
  <c r="U295" i="69" s="1"/>
  <c r="T242" i="69" a="1"/>
  <c r="T242" i="69" s="1"/>
  <c r="T295" i="69" s="1" a="1"/>
  <c r="T295" i="69" s="1"/>
  <c r="Q242" i="69" a="1"/>
  <c r="Q242" i="69" s="1"/>
  <c r="Q295" i="69" s="1" a="1"/>
  <c r="Q295" i="69" s="1"/>
  <c r="R242" i="69" a="1"/>
  <c r="R242" i="69" s="1"/>
  <c r="R295" i="69" s="1" a="1"/>
  <c r="R295" i="69" s="1"/>
  <c r="S242" i="69" a="1"/>
  <c r="S242" i="69" s="1"/>
  <c r="S295" i="69" s="1" a="1"/>
  <c r="S295" i="69" s="1"/>
  <c r="I243" i="69" a="1"/>
  <c r="I243" i="69" s="1"/>
  <c r="I296" i="69" s="1" a="1"/>
  <c r="I296" i="69" s="1"/>
  <c r="J242" i="69" a="1"/>
  <c r="J242" i="69" s="1"/>
  <c r="J295" i="69" s="1" a="1"/>
  <c r="J295" i="69" s="1"/>
  <c r="I239" i="69" a="1"/>
  <c r="I239" i="69" s="1"/>
  <c r="I292" i="69" s="1" a="1"/>
  <c r="I292" i="69" s="1"/>
  <c r="H238" i="69" a="1"/>
  <c r="H238" i="69" s="1"/>
  <c r="H291" i="69" s="1" a="1"/>
  <c r="H291" i="69" s="1"/>
  <c r="U238" i="69" a="1"/>
  <c r="U238" i="69" s="1"/>
  <c r="U291" i="69" s="1" a="1"/>
  <c r="U291" i="69" s="1"/>
  <c r="Q238" i="69" a="1"/>
  <c r="Q238" i="69" s="1"/>
  <c r="Q291" i="69" s="1" a="1"/>
  <c r="Q291" i="69" s="1"/>
  <c r="T238" i="69" a="1"/>
  <c r="T238" i="69" s="1"/>
  <c r="T291" i="69" s="1" a="1"/>
  <c r="T291" i="69" s="1"/>
  <c r="S238" i="69" a="1"/>
  <c r="S238" i="69" s="1"/>
  <c r="S291" i="69" s="1" a="1"/>
  <c r="S291" i="69" s="1"/>
  <c r="R238" i="69" a="1"/>
  <c r="R238" i="69" s="1"/>
  <c r="R291" i="69" s="1" a="1"/>
  <c r="R291" i="69" s="1"/>
  <c r="T241" i="69" a="1"/>
  <c r="T241" i="69" s="1"/>
  <c r="T294" i="69" s="1" a="1"/>
  <c r="T294" i="69" s="1"/>
  <c r="U241" i="69" a="1"/>
  <c r="U241" i="69" s="1"/>
  <c r="U294" i="69" s="1" a="1"/>
  <c r="U294" i="69" s="1"/>
  <c r="Q241" i="69" a="1"/>
  <c r="Q241" i="69" s="1"/>
  <c r="Q294" i="69" s="1" a="1"/>
  <c r="Q294" i="69" s="1"/>
  <c r="S241" i="69" a="1"/>
  <c r="S241" i="69" s="1"/>
  <c r="S294" i="69" s="1" a="1"/>
  <c r="S294" i="69" s="1"/>
  <c r="R241" i="69" a="1"/>
  <c r="R241" i="69" s="1"/>
  <c r="R294" i="69" s="1" a="1"/>
  <c r="R294" i="69" s="1"/>
  <c r="E10" i="13"/>
  <c r="F291" i="69" a="1"/>
  <c r="F291" i="69" s="1"/>
  <c r="F294" i="69" a="1"/>
  <c r="F294" i="69" s="1"/>
  <c r="H293" i="69" a="1"/>
  <c r="H293" i="69" s="1"/>
  <c r="J297" i="69" a="1"/>
  <c r="J297" i="69" s="1"/>
  <c r="J292" i="69" a="1"/>
  <c r="J292" i="69" s="1"/>
  <c r="H295" i="69" a="1"/>
  <c r="H295" i="69" s="1"/>
  <c r="H290" i="69" a="1"/>
  <c r="H290" i="69" s="1"/>
  <c r="G296" i="69" a="1"/>
  <c r="G296" i="69" s="1"/>
  <c r="F10" i="13"/>
  <c r="G70" i="82"/>
  <c r="E73" i="82" s="1" a="1"/>
  <c r="E73" i="82" s="1"/>
  <c r="H9" i="13" s="1"/>
  <c r="E287" i="76"/>
  <c r="O287" i="76"/>
  <c r="F8" i="13" s="1"/>
  <c r="P299" i="69" l="1"/>
  <c r="R301" i="69" s="1"/>
  <c r="P304" i="69" s="1" a="1"/>
  <c r="P304" i="69" s="1"/>
  <c r="I7" i="13" s="1"/>
  <c r="E299" i="69"/>
  <c r="G301" i="69" s="1"/>
  <c r="E304" i="69" s="1" a="1"/>
  <c r="E304" i="69" s="1"/>
  <c r="H7" i="13" s="1"/>
  <c r="E85" i="81"/>
  <c r="E20" i="13" s="1"/>
  <c r="P115" i="81"/>
  <c r="E115" i="81"/>
  <c r="E22" i="13" s="1"/>
  <c r="E148" i="81"/>
  <c r="E21" i="13" s="1"/>
  <c r="P148" i="81"/>
  <c r="Q289" i="76"/>
  <c r="O292" i="76" s="1"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<sst xmlns="http://schemas.openxmlformats.org/spreadsheetml/2006/main" count="1645" uniqueCount="463">
  <si>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</si>
  <si>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</si>
  <si>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</si>
  <si>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</si>
  <si>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</si>
  <si>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</si>
  <si>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</si>
  <si>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</si>
  <si>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</si>
  <si>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</si>
  <si>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</si>
  <si>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</si>
  <si>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</si>
  <si>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</si>
  <si>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</si>
  <si>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</si>
  <si>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</si>
  <si>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</si>
  <si>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</si>
  <si>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</si>
  <si>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</si>
  <si>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</si>
  <si>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</si>
  <si>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</si>
  <si>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</si>
  <si>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</si>
  <si>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</si>
  <si>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</si>
  <si>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</si>
  <si>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</si>
  <si>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</si>
  <si>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</si>
  <si>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</si>
  <si>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</si>
  <si>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</si>
  <si>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</si>
  <si>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</si>
  <si>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</si>
  <si>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</si>
  <si>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</si>
  <si>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</si>
  <si>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</si>
  <si>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</si>
  <si>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</si>
  <si>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</si>
  <si>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</si>
  <si>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</si>
  <si>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</si>
  <si>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</si>
  <si>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</si>
  <si>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</si>
  <si>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</si>
  <si>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</si>
  <si>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</si>
  <si>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</si>
  <si>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</si>
  <si>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</si>
  <si>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</si>
  <si>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</si>
  <si>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</si>
  <si>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</si>
  <si>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</si>
  <si>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</si>
  <si>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</si>
  <si>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</si>
  <si>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</si>
  <si>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</si>
  <si>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</si>
  <si>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</si>
  <si>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</si>
  <si>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</si>
  <si>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</si>
  <si>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</si>
  <si>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</si>
  <si>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</si>
  <si>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</si>
  <si>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</si>
  <si>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</si>
  <si>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</si>
  <si>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</si>
  <si>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</si>
  <si>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</si>
  <si>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</si>
  <si>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</si>
  <si>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</si>
  <si>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</si>
  <si>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</si>
  <si>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</si>
  <si>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</si>
  <si>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</si>
  <si>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</si>
  <si>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</si>
  <si>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</si>
  <si>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</si>
  <si>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</si>
  <si>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</si>
  <si>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</si>
  <si>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</si>
  <si>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</si>
  <si>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</si>
  <si>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</si>
  <si>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</si>
  <si>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</si>
  <si>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</si>
  <si>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</si>
  <si>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</si>
  <si>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</si>
  <si>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</si>
  <si>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</si>
  <si>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</si>
  <si>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</si>
  <si>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</si>
  <si>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</si>
  <si>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</si>
  <si>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</si>
  <si>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</si>
  <si>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</si>
  <si>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</si>
  <si>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</si>
  <si>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</si>
  <si>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</si>
  <si>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</si>
  <si>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</si>
  <si>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</si>
  <si>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</si>
  <si>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</si>
  <si>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</si>
  <si>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</si>
  <si>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</si>
  <si>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</si>
  <si>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</si>
  <si>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</si>
  <si>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</si>
  <si>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</si>
  <si>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</si>
  <si>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</si>
  <si>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</si>
  <si>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</si>
  <si>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</si>
  <si>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</si>
  <si>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</si>
  <si>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</si>
  <si>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</si>
  <si>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</si>
  <si>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</si>
  <si>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</si>
  <si>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</si>
  <si>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</si>
  <si>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</si>
  <si>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</si>
  <si>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</si>
  <si>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</si>
  <si>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</si>
  <si>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</si>
  <si>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</si>
  <si>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</si>
  <si>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</si>
  <si>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</si>
  <si>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</si>
  <si>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</si>
  <si>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</si>
  <si>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</si>
  <si>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</si>
  <si>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</si>
  <si>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</si>
  <si>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</si>
  <si>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</si>
  <si>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</si>
  <si>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</si>
  <si>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</si>
  <si>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</si>
  <si>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</si>
  <si>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</si>
  <si>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</si>
  <si>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</si>
  <si>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</si>
  <si>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</si>
  <si>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</si>
  <si>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</si>
  <si>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</si>
  <si>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</si>
  <si>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</si>
  <si>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</si>
  <si>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</si>
  <si>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</si>
  <si>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</si>
  <si>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</si>
  <si>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</si>
  <si>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</si>
  <si>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</si>
  <si>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</si>
  <si>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</si>
  <si>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</si>
  <si>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</si>
  <si>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</si>
  <si>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</si>
  <si>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</si>
  <si>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</si>
  <si>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</si>
  <si>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</si>
  <si>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</si>
  <si>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</si>
  <si>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</si>
  <si>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</si>
  <si>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</si>
  <si>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</si>
  <si>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</si>
  <si>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</si>
  <si>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</si>
  <si>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</si>
  <si>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</si>
  <si>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</si>
  <si>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</si>
  <si>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</si>
  <si>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</si>
  <si>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</si>
  <si>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</si>
  <si>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</si>
  <si>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</si>
  <si>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</si>
  <si>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</si>
  <si>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</si>
  <si>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</si>
  <si>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</si>
  <si>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</si>
  <si>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</si>
  <si>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</si>
  <si>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</si>
  <si>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</si>
  <si>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</si>
  <si>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</si>
  <si>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</si>
  <si>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</si>
  <si>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</si>
  <si>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</si>
  <si>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</si>
  <si>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</si>
  <si>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</si>
  <si>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</si>
  <si>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</si>
  <si>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</si>
  <si>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</si>
  <si>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</si>
  <si>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</si>
  <si>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</si>
  <si>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</si>
  <si>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</si>
  <si>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</si>
  <si>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</si>
  <si>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</si>
  <si>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</si>
  <si>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</si>
  <si>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</si>
  <si>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</si>
  <si>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</si>
  <si>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</si>
  <si>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</si>
  <si>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</si>
  <si>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</si>
  <si>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</si>
  <si>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</si>
  <si>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</si>
  <si>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</si>
  <si>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</si>
  <si>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</si>
  <si>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</si>
  <si>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</si>
  <si>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</si>
  <si>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</si>
  <si>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</si>
  <si>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</si>
  <si>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</si>
  <si>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</si>
  <si>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</si>
  <si>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</si>
  <si>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</si>
  <si>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</si>
  <si>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</si>
  <si>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</si>
  <si>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</si>
  <si>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</si>
  <si>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</si>
  <si>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</si>
  <si>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</si>
  <si>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</si>
  <si>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</si>
  <si>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</si>
  <si>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</si>
  <si>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</si>
  <si>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</si>
  <si>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</si>
  <si>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</si>
  <si>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</si>
  <si>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</si>
  <si>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</si>
  <si>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</si>
  <si>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</si>
  <si>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</si>
  <si>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</si>
  <si>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</si>
  <si>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</si>
  <si>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</si>
  <si>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</si>
  <si>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Total annual nitrogen excreted cattle &gt; 1 year old</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</si>
  <si>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</si>
  <si>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</si>
  <si>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</si>
  <si>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</si>
  <si>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</si>
  <si>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</si>
  <si>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</si>
  <si>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</si>
  <si>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</si>
  <si>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</si>
  <si>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</si>
  <si>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</si>
  <si>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</si>
  <si>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</si>
  <si>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</si>
  <si>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</si>
  <si>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</si>
  <si>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</si>
  <si>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</si>
  <si>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</si>
  <si>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</si>
  <si>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</si>
  <si>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</si>
  <si>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</si>
  <si>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</si>
  <si>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</si>
  <si>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</si>
  <si>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</si>
  <si>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</si>
  <si>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</si>
  <si>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</si>
  <si>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</si>
  <si>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</si>
  <si>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</si>
  <si>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</si>
  <si>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</si>
  <si>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</si>
  <si>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</si>
  <si>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</si>
  <si>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</si>
  <si>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</si>
  <si>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</si>
  <si>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</si>
  <si>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</si>
  <si>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</si>
  <si>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</si>
  <si>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</si>
  <si>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</si>
  <si>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</si>
  <si>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</si>
  <si>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</si>
  <si>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</si>
  <si>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</si>
  <si>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</si>
  <si>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</si>
  <si>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</si>
  <si>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</si>
  <si>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</si>
  <si>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</si>
  <si>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</si>
  <si>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</si>
  <si>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</si>
  <si>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</si>
  <si>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</si>
  <si>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</si>
  <si>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</si>
  <si>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</si>
  <si>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</si>
  <si>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</si>
  <si>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</si>
  <si>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</si>
  <si>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</si>
  <si>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</si>
  <si>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</si>
  <si>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</si>
  <si>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</si>
  <si>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</si>
  <si>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</si>
  <si>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</si>
  <si>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</si>
  <si>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</si>
  <si>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</si>
  <si>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</si>
  <si>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</si>
  <si>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</si>
  <si>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</si>
  <si>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</si>
  <si>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</si>
  <si>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</si>
  <si>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</si>
  <si>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</si>
  <si>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</si>
  <si>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</si>
  <si>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</si>
  <si>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</si>
  <si>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</si>
  <si>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</si>
  <si>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</si>
  <si>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</si>
  <si>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</si>
  <si>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</si>
  <si>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</si>
  <si>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</si>
  <si>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</si>
  <si>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</si>
  <si>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</si>
  <si>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</si>
  <si>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</si>
  <si>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</si>
  <si>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</si>
  <si>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</si>
  <si>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</si>
  <si>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</si>
  <si>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</si>
  <si>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</si>
  <si>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</si>
  <si>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</si>
  <si>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</si>
  <si>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</si>
  <si>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</si>
  <si>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</si>
  <si>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</si>
  <si>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</si>
  <si>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</si>
  <si>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</si>
  <si>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</si>
  <si>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</si>
  <si>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</si>
  <si>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</si>
  <si>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</si>
  <si>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</si>
  <si>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</si>
  <si>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</si>
  <si>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</si>
  <si>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Solid separation from stage 1 MMS</t>
  </si>
  <si>
    <t>Were solids separated? (select)</t>
  </si>
  <si>
    <t>Percent separated (Method 1)</t>
  </si>
  <si>
    <t>Percent separated (Method 2)</t>
  </si>
  <si>
    <t>▼</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</si>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</sst>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b/>
      <sz val="11"/>
      <color theme="5" tint="-0.499984740745262"/>
      <name val="Times New Roman"/>
      <family val="1"/>
      <scheme val="minor"/>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6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0" fontId="13" fillId="6" borderId="0" xfId="29" applyAlignment="1">
      <alignment horizontal="left" vertical="center" indent="3"/>
    </xf>
    <xf numFmtId="0" fontId="71" fillId="6" borderId="0" xfId="30" applyFont="1" applyProtection="1">
      <alignment horizontal="center" vertical="center"/>
    </xf>
    <xf numFmtId="0" fontId="42" fillId="4" borderId="0" xfId="8" applyFont="1" applyAlignment="1">
      <alignment horizontal="left" vertical="center" indent="3"/>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70" fillId="4" borderId="0" xfId="62" applyFont="1" applyAlignment="1">
      <alignment horizontal="left" vertical="center" indent="6"/>
    </xf>
    <xf numFmtId="0" fontId="3" fillId="4" borderId="1" xfId="7" applyBorder="1">
      <alignment horizontal="left" vertical="center"/>
    </xf>
    <xf numFmtId="0" fontId="70" fillId="4" borderId="0" xfId="62" applyFont="1" applyAlignment="1">
      <alignment horizontal="left" vertical="center" indent="5"/>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3">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2">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7">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6">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2">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09">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8">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7">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119</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84</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55</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7</xdr:row>
      <xdr:rowOff>128587</xdr:rowOff>
    </xdr:from>
    <xdr:ext cx="2435346"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𝑞𝑚_𝑗=0.795×(𝐷𝑀𝐷_𝑗×100)−0.0014</a:t>
              </a:r>
              <a:endParaRPr lang="en-AU" sz="1100"/>
            </a:p>
          </xdr:txBody>
        </xdr:sp>
      </mc:Fallback>
    </mc:AlternateContent>
    <xdr:clientData/>
  </xdr:oneCellAnchor>
  <xdr:oneCellAnchor>
    <xdr:from>
      <xdr:col>3</xdr:col>
      <xdr:colOff>14287</xdr:colOff>
      <xdr:row>138</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185</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185</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211</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251</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251</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29</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twoCellAnchor editAs="oneCell">
    <xdr:from>
      <xdr:col>5</xdr:col>
      <xdr:colOff>0</xdr:colOff>
      <xdr:row>55</xdr:row>
      <xdr:rowOff>0</xdr:rowOff>
    </xdr:from>
    <xdr:to>
      <xdr:col>5</xdr:col>
      <xdr:colOff>1590897</xdr:colOff>
      <xdr:row>55</xdr:row>
      <xdr:rowOff>200053</xdr:rowOff>
    </xdr:to>
    <xdr:pic>
      <xdr:nvPicPr>
        <xdr:cNvPr id="4" name="Picture 3">
          <a:extLst>
            <a:ext uri="{FF2B5EF4-FFF2-40B4-BE49-F238E27FC236}">
              <a16:creationId xmlns:a16="http://schemas.microsoft.com/office/drawing/2014/main" id="{25AEE543-BC86-29BF-1232-40E8421DD51E}"/>
            </a:ext>
          </a:extLst>
        </xdr:cNvPr>
        <xdr:cNvPicPr>
          <a:picLocks noChangeAspect="1"/>
        </xdr:cNvPicPr>
      </xdr:nvPicPr>
      <xdr:blipFill>
        <a:blip xmlns:r="http://schemas.openxmlformats.org/officeDocument/2006/relationships" r:embed="rId1"/>
        <a:stretch>
          <a:fillRect/>
        </a:stretch>
      </xdr:blipFill>
      <xdr:spPr>
        <a:xfrm>
          <a:off x="6779559" y="13693588"/>
          <a:ext cx="1590897" cy="200053"/>
        </a:xfrm>
        <a:prstGeom prst="rect">
          <a:avLst/>
        </a:prstGeom>
      </xdr:spPr>
    </xdr:pic>
    <xdr:clientData/>
  </xdr:twoCellAnchor>
  <xdr:twoCellAnchor editAs="oneCell">
    <xdr:from>
      <xdr:col>5</xdr:col>
      <xdr:colOff>89647</xdr:colOff>
      <xdr:row>55</xdr:row>
      <xdr:rowOff>246529</xdr:rowOff>
    </xdr:from>
    <xdr:to>
      <xdr:col>5</xdr:col>
      <xdr:colOff>1451912</xdr:colOff>
      <xdr:row>57</xdr:row>
      <xdr:rowOff>29734</xdr:rowOff>
    </xdr:to>
    <xdr:pic>
      <xdr:nvPicPr>
        <xdr:cNvPr id="5" name="Picture 4">
          <a:extLst>
            <a:ext uri="{FF2B5EF4-FFF2-40B4-BE49-F238E27FC236}">
              <a16:creationId xmlns:a16="http://schemas.microsoft.com/office/drawing/2014/main" id="{3F412237-E580-AC3C-8B0E-B3C053FB1845}"/>
            </a:ext>
          </a:extLst>
        </xdr:cNvPr>
        <xdr:cNvPicPr>
          <a:picLocks noChangeAspect="1"/>
        </xdr:cNvPicPr>
      </xdr:nvPicPr>
      <xdr:blipFill>
        <a:blip xmlns:r="http://schemas.openxmlformats.org/officeDocument/2006/relationships" r:embed="rId2"/>
        <a:stretch>
          <a:fillRect/>
        </a:stretch>
      </xdr:blipFill>
      <xdr:spPr>
        <a:xfrm>
          <a:off x="6869206" y="13940117"/>
          <a:ext cx="1362265" cy="276264"/>
        </a:xfrm>
        <a:prstGeom prst="rect">
          <a:avLst/>
        </a:prstGeom>
      </xdr:spPr>
    </xdr:pic>
    <xdr:clientData/>
  </xdr:twoCellAnchor>
  <xdr:twoCellAnchor editAs="oneCell">
    <xdr:from>
      <xdr:col>6</xdr:col>
      <xdr:colOff>22412</xdr:colOff>
      <xdr:row>55</xdr:row>
      <xdr:rowOff>78441</xdr:rowOff>
    </xdr:from>
    <xdr:to>
      <xdr:col>8</xdr:col>
      <xdr:colOff>1713067</xdr:colOff>
      <xdr:row>56</xdr:row>
      <xdr:rowOff>108175</xdr:rowOff>
    </xdr:to>
    <xdr:pic>
      <xdr:nvPicPr>
        <xdr:cNvPr id="7" name="Picture 6">
          <a:extLst>
            <a:ext uri="{FF2B5EF4-FFF2-40B4-BE49-F238E27FC236}">
              <a16:creationId xmlns:a16="http://schemas.microsoft.com/office/drawing/2014/main" id="{E3A9A245-EB4E-7452-AF4F-88FDA8D5BA63}"/>
            </a:ext>
          </a:extLst>
        </xdr:cNvPr>
        <xdr:cNvPicPr>
          <a:picLocks noChangeAspect="1"/>
        </xdr:cNvPicPr>
      </xdr:nvPicPr>
      <xdr:blipFill>
        <a:blip xmlns:r="http://schemas.openxmlformats.org/officeDocument/2006/relationships" r:embed="rId3"/>
        <a:stretch>
          <a:fillRect/>
        </a:stretch>
      </xdr:blipFill>
      <xdr:spPr>
        <a:xfrm>
          <a:off x="8852647" y="13772029"/>
          <a:ext cx="5792008" cy="276264"/>
        </a:xfrm>
        <a:prstGeom prst="rect">
          <a:avLst/>
        </a:prstGeom>
      </xdr:spPr>
    </xdr:pic>
    <xdr:clientData/>
  </xdr:twoCellAnchor>
  <xdr:twoCellAnchor editAs="oneCell">
    <xdr:from>
      <xdr:col>6</xdr:col>
      <xdr:colOff>997324</xdr:colOff>
      <xdr:row>52</xdr:row>
      <xdr:rowOff>0</xdr:rowOff>
    </xdr:from>
    <xdr:to>
      <xdr:col>7</xdr:col>
      <xdr:colOff>794755</xdr:colOff>
      <xdr:row>54</xdr:row>
      <xdr:rowOff>40415</xdr:rowOff>
    </xdr:to>
    <xdr:pic>
      <xdr:nvPicPr>
        <xdr:cNvPr id="8" name="Picture 7">
          <a:extLst>
            <a:ext uri="{FF2B5EF4-FFF2-40B4-BE49-F238E27FC236}">
              <a16:creationId xmlns:a16="http://schemas.microsoft.com/office/drawing/2014/main" id="{34A6E847-311F-1B45-B6DF-E13711FE3044}"/>
            </a:ext>
          </a:extLst>
        </xdr:cNvPr>
        <xdr:cNvPicPr>
          <a:picLocks noChangeAspect="1"/>
        </xdr:cNvPicPr>
      </xdr:nvPicPr>
      <xdr:blipFill>
        <a:blip xmlns:r="http://schemas.openxmlformats.org/officeDocument/2006/relationships" r:embed="rId4"/>
        <a:stretch>
          <a:fillRect/>
        </a:stretch>
      </xdr:blipFill>
      <xdr:spPr>
        <a:xfrm>
          <a:off x="9827559" y="12954000"/>
          <a:ext cx="1848108" cy="5334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6"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4"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3"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2"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2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2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2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2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2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432</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8" t="s">
        <v>447</v>
      </c>
      <c r="E5" s="158"/>
      <c r="F5" s="158"/>
      <c r="G5" s="158"/>
      <c r="H5" s="158"/>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9" t="s">
        <v>431</v>
      </c>
      <c r="E6" s="157"/>
      <c r="F6" s="157"/>
      <c r="G6" s="157"/>
      <c r="H6" s="157"/>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8" sqref="E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322</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142</v>
      </c>
      <c r="E6" s="122" t="s">
        <v>387</v>
      </c>
      <c r="F6" s="122" t="s">
        <v>388</v>
      </c>
      <c r="G6" s="122" t="s">
        <v>159</v>
      </c>
      <c r="H6" s="122" t="s">
        <v>393</v>
      </c>
      <c r="I6" s="122" t="s">
        <v>394</v>
      </c>
      <c r="J6" s="122" t="s">
        <v>160</v>
      </c>
      <c r="K6" s="24"/>
    </row>
    <row r="7" spans="1:11" ht="20.100000000000001" customHeight="1" x14ac:dyDescent="0.25">
      <c r="A7" s="20" t="s">
        <v>3</v>
      </c>
      <c r="C7" s="24"/>
      <c r="D7" s="1" t="s">
        <v>389</v>
      </c>
      <c r="E7" s="117">
        <f>'4.3.1.1-2 Methane'!$E$299</f>
        <v>8.6554787767707602</v>
      </c>
      <c r="F7" s="117">
        <f>'4.3.1.1-2 Methane'!$P$299</f>
        <v>8.9090875655193962</v>
      </c>
      <c r="G7" s="57" t="str">
        <f>'4.3.1.1-2 Methane'!$F$299</f>
        <v>t CH4</v>
      </c>
      <c r="H7" s="117">
        <f>'4.3.1.1-2 Methane'!$E$304</f>
        <v>242.35340574958127</v>
      </c>
      <c r="I7" s="117">
        <f>'4.3.1.1-2 Methane'!$P$304</f>
        <v>249.45445183454308</v>
      </c>
      <c r="J7" s="57" t="str">
        <f>'4.3.1.1-2 Methane'!$F$304</f>
        <v>t CO2e</v>
      </c>
      <c r="K7" s="24"/>
    </row>
    <row r="8" spans="1:11" ht="20.100000000000001" customHeight="1" x14ac:dyDescent="0.25">
      <c r="A8" s="17" t="str">
        <f>HYPERLINK("#'Input - Site'!A1", "Site")</f>
        <v>Site</v>
      </c>
      <c r="C8" s="24"/>
      <c r="D8" s="1" t="s">
        <v>390</v>
      </c>
      <c r="E8" s="117">
        <f>'4.3.1.3-4 Direct N20'!$E$287</f>
        <v>1.8137703327787046E-2</v>
      </c>
      <c r="F8" s="117">
        <f>'4.3.1.3-4 Direct N20'!$O$287</f>
        <v>1.8137703327787046E-2</v>
      </c>
      <c r="G8" s="57" t="str">
        <f>'4.3.1.3-4 Direct N20'!$F$287</f>
        <v>t N2O</v>
      </c>
      <c r="H8" s="117">
        <f>'4.3.1.3-4 Direct N20'!$E$292</f>
        <v>4.8064913818635668</v>
      </c>
      <c r="I8" s="117">
        <f>'4.3.1.3-4 Direct N20'!$O$292</f>
        <v>4.8064913818635668</v>
      </c>
      <c r="J8" s="57" t="str">
        <f>'4.3.1.3-4 Direct N20'!$F$292</f>
        <v>t CO2e</v>
      </c>
      <c r="K8" s="24"/>
    </row>
    <row r="9" spans="1:11" ht="20.100000000000001" customHeight="1" x14ac:dyDescent="0.25">
      <c r="A9" s="17" t="str">
        <f>HYPERLINK("#'Input - Dairy'!A1", "Dairy")</f>
        <v>Dairy</v>
      </c>
      <c r="C9" s="24"/>
      <c r="D9" s="1" t="s">
        <v>391</v>
      </c>
      <c r="E9" s="117">
        <f>'4.3.1.5 Atmos deposition'!$E$68</f>
        <v>3.889600864044232E-2</v>
      </c>
      <c r="F9" s="117">
        <f>'4.3.1.5 Atmos deposition'!$P$68</f>
        <v>3.889600864044232E-2</v>
      </c>
      <c r="G9" s="57" t="str">
        <f>'4.3.1.5 Atmos deposition'!$F$68</f>
        <v>t N2O</v>
      </c>
      <c r="H9" s="117">
        <f>'4.3.1.5 Atmos deposition'!$E$73</f>
        <v>10.307442289717216</v>
      </c>
      <c r="I9" s="117">
        <f>'4.3.1.5 Atmos deposition'!$P$73</f>
        <v>10.307442289717216</v>
      </c>
      <c r="J9" s="57" t="str">
        <f>'4.3.1.5 Atmos deposition'!$F$73</f>
        <v>t CO2e</v>
      </c>
      <c r="K9" s="24"/>
    </row>
    <row r="10" spans="1:11" ht="20.100000000000001" customHeight="1" x14ac:dyDescent="0.25">
      <c r="A10" s="17"/>
      <c r="C10" s="24"/>
      <c r="D10" s="1" t="s">
        <v>392</v>
      </c>
      <c r="E10" s="117">
        <f>'4.3.1.6-7 Leaching and runoff'!$E$52</f>
        <v>2.1338869052085823E-3</v>
      </c>
      <c r="F10" s="117">
        <f>'4.3.1.6-7 Leaching and runoff'!$P$52</f>
        <v>2.1338869052085823E-3</v>
      </c>
      <c r="G10" s="57" t="str">
        <f>'4.3.1.6-7 Leaching and runoff'!$F$52</f>
        <v>t N2O</v>
      </c>
      <c r="H10" s="117">
        <f>'4.3.1.6-7 Leaching and runoff'!$E$57</f>
        <v>0.56548002988027435</v>
      </c>
      <c r="I10" s="117">
        <f>'4.3.1.6-7 Leaching and runoff'!$P$57</f>
        <v>0.56548002988027435</v>
      </c>
      <c r="J10" s="57" t="str">
        <f>'4.3.1.6-7 Leaching and runoff'!$F$57</f>
        <v>t CO2e</v>
      </c>
      <c r="K10" s="24"/>
    </row>
    <row r="11" spans="1:11" ht="20.100000000000001" customHeight="1" x14ac:dyDescent="0.25">
      <c r="A11" s="19" t="s">
        <v>78</v>
      </c>
      <c r="C11" s="24"/>
      <c r="D11" s="1" t="s">
        <v>359</v>
      </c>
      <c r="E11" s="117">
        <f>'4.3.1.9 Soil direct N2O'!$E$53</f>
        <v>6.1441583488697472E-2</v>
      </c>
      <c r="F11" s="117">
        <f>'4.3.1.9 Soil direct N2O'!$P$53</f>
        <v>6.1441583488697472E-2</v>
      </c>
      <c r="G11" s="57" t="str">
        <f>'4.3.1.9 Soil direct N2O'!$F$53</f>
        <v>t N2O</v>
      </c>
      <c r="H11" s="117">
        <f>'4.3.1.9 Soil direct N2O'!$E$58</f>
        <v>16.28201962450483</v>
      </c>
      <c r="I11" s="117">
        <f>'4.3.1.9 Soil direct N2O'!$P$58</f>
        <v>16.28201962450483</v>
      </c>
      <c r="J11" s="57" t="str">
        <f>'4.3.1.9 Soil direct N2O'!$F$58</f>
        <v>t CO2e</v>
      </c>
      <c r="K11" s="24"/>
    </row>
    <row r="12" spans="1:11" ht="20.100000000000001" customHeight="1" x14ac:dyDescent="0.25">
      <c r="A12" s="17" t="str">
        <f>HYPERLINK("#'4.3.1.1-2 Methane'!A1", "4.3.1.1-2 Methane")</f>
        <v>4.3.1.1-2 Methane</v>
      </c>
      <c r="C12" s="24"/>
      <c r="D12" s="1" t="s">
        <v>375</v>
      </c>
      <c r="E12" s="117">
        <f>'4.3.1.10-11 Soil Atmos Dep'!$E$45</f>
        <v>3.8063060971248078E-2</v>
      </c>
      <c r="F12" s="117">
        <f>'4.3.1.10-11 Soil Atmos Dep'!$P$45</f>
        <v>3.8063060971248078E-2</v>
      </c>
      <c r="G12" s="57" t="str">
        <f>'4.3.1.10-11 Soil Atmos Dep'!$F$45</f>
        <v>t N2O</v>
      </c>
      <c r="H12" s="117">
        <f>'4.3.1.10-11 Soil Atmos Dep'!$E$50</f>
        <v>10.086711157380741</v>
      </c>
      <c r="I12" s="117">
        <f>'4.3.1.10-11 Soil Atmos Dep'!$P$50</f>
        <v>10.086711157380741</v>
      </c>
      <c r="J12" s="57" t="str">
        <f>'4.3.1.10-11 Soil Atmos Dep'!$F$50</f>
        <v>t CO2e</v>
      </c>
      <c r="K12" s="24"/>
    </row>
    <row r="13" spans="1:11" ht="20.100000000000001" customHeight="1" x14ac:dyDescent="0.25">
      <c r="A13" s="17" t="str">
        <f>HYPERLINK("#'4.3.1.3-4 Direct N20'!A1", "4.3.1.3-4 Direct N2O")</f>
        <v>4.3.1.3-4 Direct N2O</v>
      </c>
      <c r="C13" s="24"/>
      <c r="D13" s="1" t="s">
        <v>376</v>
      </c>
      <c r="E13" s="117">
        <f>'4.3.1.12-13 Soil leach runoff'!$E$47</f>
        <v>6.7585741837567206E-3</v>
      </c>
      <c r="F13" s="117">
        <f>'4.3.1.12-13 Soil leach runoff'!$P$47</f>
        <v>6.7585741837567206E-3</v>
      </c>
      <c r="G13" s="57" t="str">
        <f>'4.3.1.12-13 Soil leach runoff'!$F$47</f>
        <v>t N2O</v>
      </c>
      <c r="H13" s="117">
        <f>'4.3.1.12-13 Soil leach runoff'!$E$52</f>
        <v>1.7910221586955311</v>
      </c>
      <c r="I13" s="117">
        <f>'4.3.1.12-13 Soil leach runoff'!$P$52</f>
        <v>1.7910221586955311</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157</v>
      </c>
      <c r="E14" s="25"/>
      <c r="F14" s="25"/>
      <c r="G14" s="31"/>
      <c r="H14" s="119">
        <f>SUM(H7:H13)</f>
        <v>286.1925723916234</v>
      </c>
      <c r="I14" s="119">
        <f>SUM(I7:I13)</f>
        <v>293.29361847658521</v>
      </c>
      <c r="J14" s="112" t="s">
        <v>357</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345</v>
      </c>
      <c r="E16" s="1"/>
      <c r="F16" s="1"/>
      <c r="G16" s="1"/>
      <c r="H16" s="26"/>
      <c r="I16" s="1"/>
      <c r="J16" s="1"/>
      <c r="K16" s="24"/>
    </row>
    <row r="17" spans="1:11" ht="20.100000000000001" customHeight="1" x14ac:dyDescent="0.25">
      <c r="A17" s="17" t="str">
        <f>HYPERLINK("#'4.3.1.9 Soil direct N2O'!A1", "4.3.1.9 Soil direct N2O")</f>
        <v>4.3.1.9 Soil direct N2O</v>
      </c>
      <c r="C17" s="24"/>
      <c r="D17" s="113" t="s">
        <v>165</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171</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166</v>
      </c>
      <c r="E19" s="122" t="s">
        <v>163</v>
      </c>
      <c r="F19" s="122" t="s">
        <v>164</v>
      </c>
      <c r="G19" s="122" t="s">
        <v>158</v>
      </c>
      <c r="H19" s="122" t="s">
        <v>170</v>
      </c>
      <c r="I19" s="1"/>
      <c r="J19" s="1"/>
      <c r="K19" s="24"/>
    </row>
    <row r="20" spans="1:11" ht="20.100000000000001" customHeight="1" x14ac:dyDescent="0.25">
      <c r="A20" s="17"/>
      <c r="C20" s="24"/>
      <c r="D20" s="1" t="s">
        <v>401</v>
      </c>
      <c r="E20" s="121">
        <f>'4.3.1.8 Manure applied to soils'!$E$85</f>
        <v>9532.9260528071081</v>
      </c>
      <c r="F20" s="57" t="s">
        <v>133</v>
      </c>
      <c r="G20" s="1" t="s">
        <v>395</v>
      </c>
      <c r="H20" s="1" t="s">
        <v>169</v>
      </c>
      <c r="I20" s="1"/>
      <c r="J20" s="1"/>
      <c r="K20" s="24"/>
    </row>
    <row r="21" spans="1:11" ht="20.100000000000001" customHeight="1" x14ac:dyDescent="0.25">
      <c r="A21" s="18" t="s">
        <v>4</v>
      </c>
      <c r="C21" s="24"/>
      <c r="D21" s="1" t="s">
        <v>167</v>
      </c>
      <c r="E21" s="121">
        <f>'4.3.1.8 Manure applied to soils'!$E$148</f>
        <v>3177.6420176023698</v>
      </c>
      <c r="F21" s="57" t="s">
        <v>133</v>
      </c>
      <c r="G21" s="1" t="s">
        <v>395</v>
      </c>
      <c r="H21" s="1" t="s">
        <v>169</v>
      </c>
      <c r="I21" s="24"/>
      <c r="J21" s="1"/>
      <c r="K21" s="24"/>
    </row>
    <row r="22" spans="1:11" ht="20.100000000000001" customHeight="1" x14ac:dyDescent="0.25">
      <c r="A22" s="17" t="str">
        <f>HYPERLINK("#'Constants - Dairy'!A1", "Constants - Dairy")</f>
        <v>Constants - Dairy</v>
      </c>
      <c r="C22" s="24"/>
      <c r="D22" s="1" t="s">
        <v>161</v>
      </c>
      <c r="E22" s="121">
        <f>'4.3.1.8 Manure applied to soils'!$E$115</f>
        <v>3177.6420176023698</v>
      </c>
      <c r="F22" s="57" t="s">
        <v>133</v>
      </c>
      <c r="G22" s="1" t="s">
        <v>162</v>
      </c>
      <c r="H22" s="1" t="s">
        <v>168</v>
      </c>
      <c r="I22" s="24"/>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105</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44" workbookViewId="0">
      <selection activeCell="E53" sqref="E53"/>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196</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106</v>
      </c>
      <c r="N5" s="3"/>
      <c r="R5" s="7"/>
    </row>
    <row r="6" spans="1:23" ht="20.100000000000001" customHeight="1" x14ac:dyDescent="0.25">
      <c r="A6" s="16"/>
      <c r="N6" s="3"/>
      <c r="R6" s="7"/>
    </row>
    <row r="7" spans="1:23" ht="20.100000000000001" customHeight="1" x14ac:dyDescent="0.25">
      <c r="A7" s="20" t="s">
        <v>3</v>
      </c>
      <c r="D7" s="1" t="s">
        <v>174</v>
      </c>
      <c r="E7" s="42" t="s">
        <v>219</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175</v>
      </c>
      <c r="F9" s="41" t="s">
        <v>192</v>
      </c>
      <c r="G9" s="41" t="s">
        <v>193</v>
      </c>
      <c r="H9" s="41" t="s">
        <v>194</v>
      </c>
      <c r="I9" s="41" t="s">
        <v>195</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108</v>
      </c>
      <c r="K10" s="2"/>
      <c r="L10" s="2"/>
      <c r="M10" s="2"/>
      <c r="R10" s="7"/>
    </row>
    <row r="11" spans="1:23" ht="20.100000000000001" customHeight="1" x14ac:dyDescent="0.25">
      <c r="A11" s="19" t="s">
        <v>78</v>
      </c>
      <c r="R11" s="7"/>
    </row>
    <row r="12" spans="1:23" ht="20.100000000000001" customHeight="1" x14ac:dyDescent="0.25">
      <c r="A12" s="17" t="str">
        <f>HYPERLINK("#'4.3.1.1-2 Methane'!A1", "4.3.1.1-2 Methane")</f>
        <v>4.3.1.1-2 Methane</v>
      </c>
      <c r="D12" s="51" t="s">
        <v>216</v>
      </c>
      <c r="R12" s="7"/>
    </row>
    <row r="13" spans="1:23" ht="20.100000000000001" customHeight="1" x14ac:dyDescent="0.25">
      <c r="A13" s="17" t="str">
        <f>HYPERLINK("#'4.3.1.3-4 Direct N20'!A1", "4.3.1.3-4 Direct N2O")</f>
        <v>4.3.1.3-4 Direct N2O</v>
      </c>
      <c r="D13" s="66" t="s">
        <v>208</v>
      </c>
      <c r="E13" s="41" t="s">
        <v>175</v>
      </c>
      <c r="F13" s="41" t="s">
        <v>192</v>
      </c>
      <c r="G13" s="41" t="s">
        <v>193</v>
      </c>
      <c r="H13" s="41" t="s">
        <v>194</v>
      </c>
      <c r="I13" s="41" t="s">
        <v>195</v>
      </c>
      <c r="R13" s="40"/>
    </row>
    <row r="14" spans="1:23" ht="20.100000000000001" customHeight="1" x14ac:dyDescent="0.25">
      <c r="A14" s="17" t="str">
        <f>HYPERLINK("#'4.3.1.5 Atmos Deposition'!A1", "4.3.1.5 Atmospheric deposition")</f>
        <v>4.3.1.5 Atmospheric deposition</v>
      </c>
      <c r="D14" s="1" t="s">
        <v>217</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197</v>
      </c>
      <c r="K14" s="2"/>
      <c r="L14" s="2"/>
      <c r="M14" s="2"/>
      <c r="R14" s="40"/>
    </row>
    <row r="15" spans="1:23" ht="20.100000000000001" customHeight="1" x14ac:dyDescent="0.25">
      <c r="A15" s="17" t="str">
        <f>HYPERLINK("#'4.3.1.6-7 Leaching and runoff'!A1", "4.3.1.6-7 Leaching and runoff")</f>
        <v>4.3.1.6-7 Leaching and runoff</v>
      </c>
      <c r="D15" s="1" t="s">
        <v>218</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198</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207</v>
      </c>
      <c r="E17" s="41" t="s">
        <v>175</v>
      </c>
      <c r="F17" s="41" t="s">
        <v>192</v>
      </c>
      <c r="G17" s="41" t="s">
        <v>193</v>
      </c>
      <c r="H17" s="41" t="s">
        <v>194</v>
      </c>
      <c r="I17" s="41" t="s">
        <v>195</v>
      </c>
      <c r="R17" s="7"/>
    </row>
    <row r="18" spans="1:18" ht="20.100000000000001" customHeight="1" x14ac:dyDescent="0.25">
      <c r="A18" s="17" t="str">
        <f>HYPERLINK("#'4.3.1.10-11 Soil Atmos Dep'!A1", "4.3.1.10-11 Soil atm. deposition")</f>
        <v>4.3.1.10-11 Soil atm. deposition</v>
      </c>
      <c r="D18" s="1" t="s">
        <v>217</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197</v>
      </c>
      <c r="K18" s="2"/>
      <c r="L18" s="2"/>
      <c r="M18" s="2"/>
      <c r="R18" s="7"/>
    </row>
    <row r="19" spans="1:18" ht="20.100000000000001" customHeight="1" x14ac:dyDescent="0.25">
      <c r="A19" s="17" t="str">
        <f>HYPERLINK("#'4.3.1.12-13 Soil leach runoff'!A1", "4.3.1.12-13 Soil leach &amp; runoff")</f>
        <v>4.3.1.12-13 Soil leach &amp; runoff</v>
      </c>
      <c r="D19" s="1" t="s">
        <v>218</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198</v>
      </c>
      <c r="K19" s="2"/>
      <c r="L19" s="2"/>
      <c r="M19" s="2"/>
      <c r="R19" s="7"/>
    </row>
    <row r="20" spans="1:18" ht="20.100000000000001" customHeight="1" x14ac:dyDescent="0.25">
      <c r="A20" s="17"/>
      <c r="R20" s="7"/>
    </row>
    <row r="21" spans="1:18" ht="20.100000000000001" customHeight="1" x14ac:dyDescent="0.25">
      <c r="A21" s="18" t="s">
        <v>4</v>
      </c>
      <c r="D21" s="51" t="s">
        <v>107</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208</v>
      </c>
      <c r="E23" s="41" t="s">
        <v>175</v>
      </c>
      <c r="F23" s="41" t="s">
        <v>192</v>
      </c>
      <c r="G23" s="41" t="s">
        <v>193</v>
      </c>
      <c r="H23" s="41" t="s">
        <v>194</v>
      </c>
      <c r="I23" s="41" t="s">
        <v>195</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R25" s="7"/>
    </row>
    <row r="26" spans="1:18" ht="20.100000000000001" customHeight="1" x14ac:dyDescent="0.25">
      <c r="R26" s="7"/>
    </row>
    <row r="27" spans="1:18" ht="20.100000000000001" customHeight="1" x14ac:dyDescent="0.25">
      <c r="D27" s="66" t="s">
        <v>207</v>
      </c>
      <c r="E27" s="41" t="s">
        <v>175</v>
      </c>
      <c r="F27" s="41" t="s">
        <v>192</v>
      </c>
      <c r="G27" s="41" t="s">
        <v>193</v>
      </c>
      <c r="H27" s="41" t="s">
        <v>194</v>
      </c>
      <c r="I27" s="41" t="s">
        <v>195</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214</v>
      </c>
      <c r="R33" s="7"/>
    </row>
    <row r="34" spans="1:18" ht="20.100000000000001" customHeight="1" x14ac:dyDescent="0.25">
      <c r="D34" s="51"/>
      <c r="R34" s="7"/>
    </row>
    <row r="35" spans="1:18" ht="20.100000000000001" customHeight="1" x14ac:dyDescent="0.25">
      <c r="D35" s="66" t="s">
        <v>208</v>
      </c>
      <c r="E35" s="41" t="s">
        <v>175</v>
      </c>
      <c r="F35" s="41" t="s">
        <v>192</v>
      </c>
      <c r="G35" s="41" t="s">
        <v>193</v>
      </c>
      <c r="H35" s="41" t="s">
        <v>194</v>
      </c>
      <c r="I35" s="41" t="s">
        <v>195</v>
      </c>
      <c r="R35" s="7"/>
    </row>
    <row r="36" spans="1:18" ht="20.100000000000001" customHeight="1" x14ac:dyDescent="0.25">
      <c r="D36" s="1" t="s">
        <v>213</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215</v>
      </c>
      <c r="K36" s="2"/>
      <c r="L36" s="2"/>
      <c r="M36" s="2"/>
      <c r="R36" s="7"/>
    </row>
    <row r="37" spans="1:18" ht="20.100000000000001" customHeight="1" x14ac:dyDescent="0.25">
      <c r="D37" s="1" t="s">
        <v>19</v>
      </c>
      <c r="E37" s="55">
        <f>'Constants - Dairy'!$D$160</f>
        <v>0.75</v>
      </c>
      <c r="F37" s="55">
        <f>'Constants - Dairy'!$D$160</f>
        <v>0.75</v>
      </c>
      <c r="G37" s="55">
        <f>'Constants - Dairy'!$D$160</f>
        <v>0.75</v>
      </c>
      <c r="H37" s="55">
        <f>'Constants - Dairy'!$D$160</f>
        <v>0.75</v>
      </c>
      <c r="I37" s="55">
        <f>'Constants - Dairy'!$D$160</f>
        <v>0.75</v>
      </c>
      <c r="J37" s="2" t="s">
        <v>101</v>
      </c>
      <c r="K37" s="2"/>
      <c r="L37" s="2"/>
      <c r="M37" s="2"/>
      <c r="R37" s="7"/>
    </row>
    <row r="38" spans="1:18" ht="20.100000000000001" customHeight="1" x14ac:dyDescent="0.25">
      <c r="D38" s="1" t="s">
        <v>113</v>
      </c>
      <c r="E38" s="55">
        <f>'Constants - Dairy'!$D$153</f>
        <v>0.2</v>
      </c>
      <c r="F38" s="55">
        <f>'Constants - Dairy'!$D$153</f>
        <v>0.2</v>
      </c>
      <c r="G38" s="55">
        <f>'Constants - Dairy'!$D$153</f>
        <v>0.2</v>
      </c>
      <c r="H38" s="55">
        <f>'Constants - Dairy'!$D$153</f>
        <v>0.2</v>
      </c>
      <c r="I38" s="55">
        <f>'Constants - Dairy'!$D$153</f>
        <v>0.2</v>
      </c>
      <c r="J38" s="2" t="s">
        <v>101</v>
      </c>
      <c r="K38" s="2"/>
      <c r="L38" s="2"/>
      <c r="M38" s="2"/>
      <c r="R38" s="7"/>
    </row>
    <row r="39" spans="1:18" ht="20.100000000000001" customHeight="1" x14ac:dyDescent="0.25">
      <c r="A39" s="17"/>
      <c r="R39" s="7"/>
    </row>
    <row r="40" spans="1:18" ht="20.100000000000001" customHeight="1" x14ac:dyDescent="0.25">
      <c r="D40" s="66" t="s">
        <v>207</v>
      </c>
      <c r="E40" s="41" t="s">
        <v>175</v>
      </c>
      <c r="F40" s="41" t="s">
        <v>192</v>
      </c>
      <c r="G40" s="41" t="s">
        <v>193</v>
      </c>
      <c r="H40" s="41" t="s">
        <v>194</v>
      </c>
      <c r="I40" s="41" t="s">
        <v>195</v>
      </c>
      <c r="R40" s="7"/>
    </row>
    <row r="41" spans="1:18" ht="20.100000000000001" customHeight="1" x14ac:dyDescent="0.25">
      <c r="A41" s="47"/>
      <c r="D41" s="1" t="s">
        <v>213</v>
      </c>
      <c r="E41" s="69" cm="1">
        <f t="array" ref="E41">Common_InputFunctions.Utility_LookupValueInTableNumber(E40,Table_SourceData_Dairy_Duration[Animal class j],Table_SourceData_Dairy_Duration[Duration (weaned)])</f>
        <v>365</v>
      </c>
      <c r="F41" s="69" cm="1">
        <f t="array" ref="F41">Common_InputFunctions.Utility_LookupValueInTableNumber(F40,Table_SourceData_Dairy_Duration[Animal class j],Table_SourceData_Dairy_Duration[Duration (weaned)])</f>
        <v>365</v>
      </c>
      <c r="G41" s="69" cm="1">
        <f t="array" ref="G41">Common_InputFunctions.Utility_LookupValueInTableNumber(G40,Table_SourceData_Dairy_Duration[Animal class j],Table_SourceData_Dairy_Duration[Duration (weaned)])</f>
        <v>281</v>
      </c>
      <c r="H41" s="69" cm="1">
        <f t="array" ref="H41">Common_InputFunctions.Utility_LookupValueInTableNumber(H40,Table_SourceData_Dairy_Duration[Animal class j],Table_SourceData_Dairy_Duration[Duration (weaned)])</f>
        <v>365</v>
      </c>
      <c r="I41" s="69" cm="1">
        <f t="array" ref="I41">Common_InputFunctions.Utility_LookupValueInTableNumber(I40,Table_SourceData_Dairy_Duration[Animal class j],Table_SourceData_Dairy_Duration[Duration (weaned)])</f>
        <v>281</v>
      </c>
      <c r="J41" s="2" t="s">
        <v>215</v>
      </c>
      <c r="K41" s="2"/>
      <c r="L41" s="2"/>
      <c r="M41" s="2"/>
      <c r="R41" s="7"/>
    </row>
    <row r="42" spans="1:18" ht="20.100000000000001" customHeight="1" x14ac:dyDescent="0.25">
      <c r="D42" s="1" t="s">
        <v>19</v>
      </c>
      <c r="E42" s="69">
        <v>0.75</v>
      </c>
      <c r="F42" s="69">
        <v>0.75</v>
      </c>
      <c r="G42" s="69">
        <v>0.75</v>
      </c>
      <c r="H42" s="69">
        <v>0.75</v>
      </c>
      <c r="I42" s="69">
        <v>0.75</v>
      </c>
      <c r="J42" s="2" t="s">
        <v>101</v>
      </c>
      <c r="K42" s="2"/>
      <c r="L42" s="2"/>
      <c r="M42" s="2"/>
      <c r="R42" s="7"/>
    </row>
    <row r="43" spans="1:18" ht="20.100000000000001" customHeight="1" x14ac:dyDescent="0.25">
      <c r="D43" s="1" t="s">
        <v>113</v>
      </c>
      <c r="E43" s="69">
        <v>0.2</v>
      </c>
      <c r="F43" s="69">
        <v>0.2</v>
      </c>
      <c r="G43" s="69">
        <v>0.2</v>
      </c>
      <c r="H43" s="69">
        <v>0.2</v>
      </c>
      <c r="I43" s="69">
        <v>0.2</v>
      </c>
      <c r="J43" s="2" t="s">
        <v>101</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199</v>
      </c>
      <c r="E47" s="3"/>
      <c r="F47" s="3"/>
      <c r="G47" s="3"/>
      <c r="H47" s="3"/>
      <c r="I47" s="3"/>
      <c r="J47" s="3"/>
      <c r="K47" s="3"/>
      <c r="L47" s="3"/>
      <c r="M47" s="3"/>
      <c r="R47" s="7"/>
    </row>
    <row r="48" spans="1:18" ht="20.100000000000001" customHeight="1" x14ac:dyDescent="0.25">
      <c r="G48" s="6"/>
      <c r="H48" s="6"/>
      <c r="I48" s="6"/>
      <c r="J48" s="126"/>
      <c r="K48" s="126"/>
      <c r="L48" s="126"/>
      <c r="M48" s="126"/>
      <c r="R48" s="7"/>
    </row>
    <row r="49" spans="3:18" ht="20.100000000000001" customHeight="1" x14ac:dyDescent="0.25">
      <c r="D49" s="1" t="s">
        <v>449</v>
      </c>
      <c r="E49" s="42" t="s">
        <v>462</v>
      </c>
      <c r="F49" s="2" t="s">
        <v>11</v>
      </c>
      <c r="R49" s="7"/>
    </row>
    <row r="50" spans="3:18" ht="20.100000000000001" customHeight="1" x14ac:dyDescent="0.25">
      <c r="R50" s="7"/>
    </row>
    <row r="51" spans="3:18" ht="20.100000000000001" customHeight="1" x14ac:dyDescent="0.25">
      <c r="E51" s="41" t="s">
        <v>175</v>
      </c>
      <c r="R51" s="7"/>
    </row>
    <row r="52" spans="3:18" ht="20.100000000000001" customHeight="1" x14ac:dyDescent="0.25">
      <c r="D52" s="1" t="s">
        <v>200</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450</v>
      </c>
      <c r="E54" s="41" t="s">
        <v>451</v>
      </c>
      <c r="F54" s="41" t="s">
        <v>452</v>
      </c>
      <c r="R54" s="7"/>
    </row>
    <row r="55" spans="3:18" ht="20.100000000000001" customHeight="1" x14ac:dyDescent="0.25">
      <c r="D55" s="1" t="s">
        <v>453</v>
      </c>
      <c r="E55" s="140">
        <f>'Constants - Dairy'!$D$221/100</f>
        <v>0.04</v>
      </c>
      <c r="F55" s="160">
        <f>'Constants - Dairy'!$D$221/100</f>
        <v>0.04</v>
      </c>
      <c r="G55" s="2" t="s">
        <v>454</v>
      </c>
      <c r="R55" s="7"/>
    </row>
    <row r="56" spans="3:18" ht="20.100000000000001" customHeight="1" x14ac:dyDescent="0.25">
      <c r="D56" s="1" t="s">
        <v>455</v>
      </c>
      <c r="E56" s="140">
        <f>'Constants - Dairy'!$D$227/100</f>
        <v>3.3000000000000002E-2</v>
      </c>
      <c r="F56" s="160">
        <f>'Constants - Dairy'!$D$227/100</f>
        <v>3.3000000000000002E-2</v>
      </c>
      <c r="G56" s="2" t="s">
        <v>454</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210</v>
      </c>
      <c r="R60" s="7"/>
    </row>
    <row r="61" spans="3:18" ht="20.100000000000001" customHeight="1" x14ac:dyDescent="0.25">
      <c r="D61" s="51" t="s">
        <v>203</v>
      </c>
      <c r="R61" s="7"/>
    </row>
    <row r="62" spans="3:18" ht="20.100000000000001" customHeight="1" x14ac:dyDescent="0.25">
      <c r="D62" s="1" t="s">
        <v>205</v>
      </c>
      <c r="E62" s="42" t="s">
        <v>212</v>
      </c>
      <c r="F62" s="2" t="s">
        <v>11</v>
      </c>
      <c r="N62" s="3"/>
      <c r="R62" s="7"/>
    </row>
    <row r="63" spans="3:18" ht="20.100000000000001" customHeight="1" x14ac:dyDescent="0.25">
      <c r="N63" s="3"/>
      <c r="R63" s="7"/>
    </row>
    <row r="64" spans="3:18" ht="20.100000000000001" customHeight="1" x14ac:dyDescent="0.25">
      <c r="D64" s="66" t="s">
        <v>208</v>
      </c>
      <c r="E64" s="41" t="s">
        <v>175</v>
      </c>
      <c r="F64" s="41" t="s">
        <v>192</v>
      </c>
      <c r="G64" s="41" t="s">
        <v>193</v>
      </c>
      <c r="H64" s="41" t="s">
        <v>194</v>
      </c>
      <c r="I64" s="41" t="s">
        <v>195</v>
      </c>
      <c r="N64" s="3"/>
      <c r="R64" s="7"/>
    </row>
    <row r="65" spans="3:18" ht="20.100000000000001" customHeight="1" x14ac:dyDescent="0.25">
      <c r="D65" s="1" t="s">
        <v>148</v>
      </c>
      <c r="E65" s="140" cm="1">
        <f t="array" ref="E65">Common_InputFunctions.Utility_LookupValueInTableNumber($E$62, Table_SourceData_Dairy_ProductionSystemTemplates[Area],Table_SourceData_Dairy_ProductionSystemTemplates[Pasture])</f>
        <v>0.53400000000000003</v>
      </c>
      <c r="F65" s="140" cm="1">
        <f t="array" ref="F65">Common_InputFunctions.Utility_LookupValueInTableNumber($E$62, Table_SourceData_Dairy_ProductionSystemTemplates[Area],Table_SourceData_Dairy_ProductionSystemTemplates[Pasture])</f>
        <v>0.53400000000000003</v>
      </c>
      <c r="G65" s="140" cm="1">
        <f t="array" ref="G65">Common_InputFunctions.Utility_LookupValueInTableNumber($E$62, Table_SourceData_Dairy_ProductionSystemTemplates[Area],Table_SourceData_Dairy_ProductionSystemTemplates[Pasture])</f>
        <v>0.53400000000000003</v>
      </c>
      <c r="H65" s="140" cm="1">
        <f t="array" ref="H65">Common_InputFunctions.Utility_LookupValueInTableNumber($E$62, Table_SourceData_Dairy_ProductionSystemTemplates[Area],Table_SourceData_Dairy_ProductionSystemTemplates[Pasture])</f>
        <v>0.53400000000000003</v>
      </c>
      <c r="I65" s="140" cm="1">
        <f t="array" ref="I65">Common_InputFunctions.Utility_LookupValueInTableNumber($E$62, Table_SourceData_Dairy_ProductionSystemTemplates[Area],Table_SourceData_Dairy_ProductionSystemTemplates[Pasture])</f>
        <v>0.53400000000000003</v>
      </c>
      <c r="J65" s="2" t="s">
        <v>20</v>
      </c>
      <c r="K65" s="2"/>
      <c r="L65" s="2"/>
      <c r="M65" s="2"/>
      <c r="N65" s="3"/>
    </row>
    <row r="66" spans="3:18" ht="20.100000000000001" customHeight="1" x14ac:dyDescent="0.25">
      <c r="D66" s="1" t="s">
        <v>189</v>
      </c>
      <c r="E66" s="140" cm="1">
        <f t="array" ref="E66">Common_InputFunctions.Utility_LookupValueInTableNumber($E$62, Table_SourceData_Dairy_ProductionSystemTemplates[Area],Table_SourceData_Dairy_ProductionSystemTemplates[Milking shed])</f>
        <v>0.11</v>
      </c>
      <c r="F66" s="140" cm="1">
        <f t="array" ref="F66">Common_InputFunctions.Utility_LookupValueInTableNumber($E$62, Table_SourceData_Dairy_ProductionSystemTemplates[Area],Table_SourceData_Dairy_ProductionSystemTemplates[Milking shed])</f>
        <v>0.11</v>
      </c>
      <c r="G66" s="140" cm="1">
        <f t="array" ref="G66">Common_InputFunctions.Utility_LookupValueInTableNumber($E$62, Table_SourceData_Dairy_ProductionSystemTemplates[Area],Table_SourceData_Dairy_ProductionSystemTemplates[Milking shed])</f>
        <v>0.11</v>
      </c>
      <c r="H66" s="140" cm="1">
        <f t="array" ref="H66">Common_InputFunctions.Utility_LookupValueInTableNumber($E$62, Table_SourceData_Dairy_ProductionSystemTemplates[Area],Table_SourceData_Dairy_ProductionSystemTemplates[Milking shed])</f>
        <v>0.11</v>
      </c>
      <c r="I66" s="140" cm="1">
        <f t="array" ref="I66">Common_InputFunctions.Utility_LookupValueInTableNumber($E$62, Table_SourceData_Dairy_ProductionSystemTemplates[Area],Table_SourceData_Dairy_ProductionSystemTemplates[Milking shed])</f>
        <v>0.11</v>
      </c>
      <c r="J66" s="2" t="s">
        <v>20</v>
      </c>
      <c r="K66" s="2"/>
      <c r="L66" s="2"/>
      <c r="M66" s="2"/>
      <c r="N66" s="3"/>
    </row>
    <row r="67" spans="3:18" ht="20.100000000000001" customHeight="1" x14ac:dyDescent="0.25">
      <c r="D67" s="1" t="s">
        <v>204</v>
      </c>
      <c r="E67" s="140" cm="1">
        <f t="array" ref="E67">Common_InputFunctions.Utility_LookupValueInTableNumber($E$62, Table_SourceData_Dairy_ProductionSystemTemplates[Area],Table_SourceData_Dairy_ProductionSystemTemplates[Feedpad])</f>
        <v>0.35599999999999998</v>
      </c>
      <c r="F67" s="140" cm="1">
        <f t="array" ref="F67">Common_InputFunctions.Utility_LookupValueInTableNumber($E$62, Table_SourceData_Dairy_ProductionSystemTemplates[Area],Table_SourceData_Dairy_ProductionSystemTemplates[Feedpad])</f>
        <v>0.35599999999999998</v>
      </c>
      <c r="G67" s="140" cm="1">
        <f t="array" ref="G67">Common_InputFunctions.Utility_LookupValueInTableNumber($E$62, Table_SourceData_Dairy_ProductionSystemTemplates[Area],Table_SourceData_Dairy_ProductionSystemTemplates[Feedpad])</f>
        <v>0.35599999999999998</v>
      </c>
      <c r="H67" s="140" cm="1">
        <f t="array" ref="H67">Common_InputFunctions.Utility_LookupValueInTableNumber($E$62, Table_SourceData_Dairy_ProductionSystemTemplates[Area],Table_SourceData_Dairy_ProductionSystemTemplates[Feedpad])</f>
        <v>0.35599999999999998</v>
      </c>
      <c r="I67" s="140" cm="1">
        <f t="array" ref="I67">Common_InputFunctions.Utility_LookupValueInTableNumber($E$62, Table_SourceData_Dairy_ProductionSystemTemplates[Area],Table_SourceData_Dairy_ProductionSystemTemplates[Feedpad])</f>
        <v>0.35599999999999998</v>
      </c>
      <c r="J67" s="2" t="s">
        <v>20</v>
      </c>
      <c r="K67" s="2"/>
      <c r="L67" s="2"/>
      <c r="M67" s="2"/>
      <c r="N67" s="3"/>
    </row>
    <row r="68" spans="3:18" ht="20.100000000000001" customHeight="1" x14ac:dyDescent="0.25">
      <c r="N68" s="3"/>
    </row>
    <row r="69" spans="3:18" ht="20.100000000000001" customHeight="1" x14ac:dyDescent="0.25">
      <c r="D69" s="66" t="s">
        <v>207</v>
      </c>
      <c r="E69" s="41" t="s">
        <v>175</v>
      </c>
      <c r="F69" s="41" t="s">
        <v>192</v>
      </c>
      <c r="G69" s="41" t="s">
        <v>193</v>
      </c>
      <c r="H69" s="41" t="s">
        <v>194</v>
      </c>
      <c r="I69" s="41" t="s">
        <v>195</v>
      </c>
      <c r="N69" s="3"/>
    </row>
    <row r="70" spans="3:18" ht="20.100000000000001" customHeight="1" x14ac:dyDescent="0.25">
      <c r="D70" s="1" t="s">
        <v>148</v>
      </c>
      <c r="E70" s="139" cm="1">
        <f t="array" ref="E70">Common_InputFunctions.Utility_LookupValueInTableNumber($E$62, Table_SourceData_Dairy_ProductionSystemTemplates[Area],Table_SourceData_Dairy_ProductionSystemTemplates[Pasture])</f>
        <v>0.53400000000000003</v>
      </c>
      <c r="F70" s="139" cm="1">
        <f t="array" ref="F70">Common_InputFunctions.Utility_LookupValueInTableNumber($E$62, Table_SourceData_Dairy_ProductionSystemTemplates[Area],Table_SourceData_Dairy_ProductionSystemTemplates[Pasture])</f>
        <v>0.53400000000000003</v>
      </c>
      <c r="G70" s="139" cm="1">
        <f t="array" ref="G70">Common_InputFunctions.Utility_LookupValueInTableNumber($E$62, Table_SourceData_Dairy_ProductionSystemTemplates[Area],Table_SourceData_Dairy_ProductionSystemTemplates[Pasture])</f>
        <v>0.53400000000000003</v>
      </c>
      <c r="H70" s="139" cm="1">
        <f t="array" ref="H70">Common_InputFunctions.Utility_LookupValueInTableNumber($E$62, Table_SourceData_Dairy_ProductionSystemTemplates[Area],Table_SourceData_Dairy_ProductionSystemTemplates[Pasture])</f>
        <v>0.53400000000000003</v>
      </c>
      <c r="I70" s="139" cm="1">
        <f t="array" ref="I70">Common_InputFunctions.Utility_LookupValueInTableNumber($E$62, Table_SourceData_Dairy_ProductionSystemTemplates[Area],Table_SourceData_Dairy_ProductionSystemTemplates[Pasture])</f>
        <v>0.53400000000000003</v>
      </c>
      <c r="J70" s="2" t="s">
        <v>20</v>
      </c>
      <c r="K70" s="2"/>
      <c r="L70" s="2"/>
      <c r="M70" s="2"/>
      <c r="N70" s="3"/>
    </row>
    <row r="71" spans="3:18" ht="20.100000000000001" customHeight="1" x14ac:dyDescent="0.25">
      <c r="D71" s="1" t="s">
        <v>189</v>
      </c>
      <c r="E71" s="139" cm="1">
        <f t="array" ref="E71">Common_InputFunctions.Utility_LookupValueInTableNumber($E$62, Table_SourceData_Dairy_ProductionSystemTemplates[Area],Table_SourceData_Dairy_ProductionSystemTemplates[Milking shed])</f>
        <v>0.11</v>
      </c>
      <c r="F71" s="139" cm="1">
        <f t="array" ref="F71">Common_InputFunctions.Utility_LookupValueInTableNumber($E$62, Table_SourceData_Dairy_ProductionSystemTemplates[Area],Table_SourceData_Dairy_ProductionSystemTemplates[Milking shed])</f>
        <v>0.11</v>
      </c>
      <c r="G71" s="139" cm="1">
        <f t="array" ref="G71">Common_InputFunctions.Utility_LookupValueInTableNumber($E$62, Table_SourceData_Dairy_ProductionSystemTemplates[Area],Table_SourceData_Dairy_ProductionSystemTemplates[Milking shed])</f>
        <v>0.11</v>
      </c>
      <c r="H71" s="139" cm="1">
        <f t="array" ref="H71">Common_InputFunctions.Utility_LookupValueInTableNumber($E$62, Table_SourceData_Dairy_ProductionSystemTemplates[Area],Table_SourceData_Dairy_ProductionSystemTemplates[Milking shed])</f>
        <v>0.11</v>
      </c>
      <c r="I71" s="139" cm="1">
        <f t="array" ref="I71">Common_InputFunctions.Utility_LookupValueInTableNumber($E$62, Table_SourceData_Dairy_ProductionSystemTemplates[Area],Table_SourceData_Dairy_ProductionSystemTemplates[Milking shed])</f>
        <v>0.11</v>
      </c>
      <c r="J71" s="2" t="s">
        <v>20</v>
      </c>
      <c r="K71" s="2"/>
      <c r="L71" s="2"/>
      <c r="M71" s="2"/>
      <c r="N71" s="3"/>
    </row>
    <row r="72" spans="3:18" ht="20.100000000000001" customHeight="1" x14ac:dyDescent="0.25">
      <c r="D72" s="1" t="s">
        <v>204</v>
      </c>
      <c r="E72" s="139" cm="1">
        <f t="array" ref="E72">Common_InputFunctions.Utility_LookupValueInTableNumber($E$62, Table_SourceData_Dairy_ProductionSystemTemplates[Area],Table_SourceData_Dairy_ProductionSystemTemplates[Feedpad])</f>
        <v>0.35599999999999998</v>
      </c>
      <c r="F72" s="139" cm="1">
        <f t="array" ref="F72">Common_InputFunctions.Utility_LookupValueInTableNumber($E$62, Table_SourceData_Dairy_ProductionSystemTemplates[Area],Table_SourceData_Dairy_ProductionSystemTemplates[Feedpad])</f>
        <v>0.35599999999999998</v>
      </c>
      <c r="G72" s="139" cm="1">
        <f t="array" ref="G72">Common_InputFunctions.Utility_LookupValueInTableNumber($E$62, Table_SourceData_Dairy_ProductionSystemTemplates[Area],Table_SourceData_Dairy_ProductionSystemTemplates[Feedpad])</f>
        <v>0.35599999999999998</v>
      </c>
      <c r="H72" s="139" cm="1">
        <f t="array" ref="H72">Common_InputFunctions.Utility_LookupValueInTableNumber($E$62, Table_SourceData_Dairy_ProductionSystemTemplates[Area],Table_SourceData_Dairy_ProductionSystemTemplates[Feedpad])</f>
        <v>0.35599999999999998</v>
      </c>
      <c r="I72" s="139" cm="1">
        <f t="array" ref="I72">Common_InputFunctions.Utility_LookupValueInTableNumber($E$62, Table_SourceData_Dairy_ProductionSystemTemplates[Area],Table_SourceData_Dairy_ProductionSystemTemplates[Feedpad])</f>
        <v>0.35599999999999998</v>
      </c>
      <c r="J72" s="2" t="s">
        <v>20</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5"/>
    </row>
    <row r="76" spans="3:18" ht="20.100000000000001" customHeight="1" x14ac:dyDescent="0.25">
      <c r="D76" s="6" t="s">
        <v>104</v>
      </c>
      <c r="F76" s="127"/>
      <c r="N76" s="3"/>
    </row>
    <row r="77" spans="3:18" ht="20.100000000000001" customHeight="1" x14ac:dyDescent="0.25">
      <c r="D77" s="51" t="str">
        <f>"From " &amp; $D$66</f>
        <v>From Milking shed</v>
      </c>
      <c r="N77" s="3"/>
    </row>
    <row r="78" spans="3:18" ht="20.100000000000001" customHeight="1" x14ac:dyDescent="0.25">
      <c r="D78" s="147" t="s">
        <v>438</v>
      </c>
      <c r="E78" s="148" t="s">
        <v>439</v>
      </c>
      <c r="F78" s="148" t="s">
        <v>440</v>
      </c>
      <c r="G78" s="148" t="s">
        <v>441</v>
      </c>
      <c r="N78" s="3"/>
    </row>
    <row r="79" spans="3:18" ht="20.100000000000001" customHeight="1" x14ac:dyDescent="0.25">
      <c r="D79" s="149" t="str">
        <f>'Constants - Dairy'!$D$8</f>
        <v>Anaerobic lagoon</v>
      </c>
      <c r="E79" s="42" t="s">
        <v>209</v>
      </c>
      <c r="F79" s="101">
        <v>0.2</v>
      </c>
      <c r="G79" s="49">
        <v>0.2</v>
      </c>
      <c r="N79" s="3"/>
    </row>
    <row r="80" spans="3:18" ht="20.100000000000001" customHeight="1" x14ac:dyDescent="0.25">
      <c r="D80" s="149" t="str">
        <f>'Constants - Dairy'!$D$9</f>
        <v>Sump and dispersal system</v>
      </c>
      <c r="E80" s="42" t="s">
        <v>209</v>
      </c>
      <c r="F80" s="101">
        <v>0.2</v>
      </c>
      <c r="G80" s="49">
        <v>0.2</v>
      </c>
      <c r="N80" s="3"/>
      <c r="R80" s="7"/>
    </row>
    <row r="81" spans="4:18" ht="20.100000000000001" customHeight="1" x14ac:dyDescent="0.25">
      <c r="D81" s="149" t="str">
        <f>'Constants - Dairy'!$D$10</f>
        <v>Drains to paddock</v>
      </c>
      <c r="E81" s="42" t="s">
        <v>209</v>
      </c>
      <c r="F81" s="101">
        <v>0.2</v>
      </c>
      <c r="G81" s="49">
        <v>0.2</v>
      </c>
      <c r="N81" s="3"/>
      <c r="R81" s="7"/>
    </row>
    <row r="82" spans="4:18" ht="20.100000000000001" customHeight="1" x14ac:dyDescent="0.25">
      <c r="D82" s="154" t="s">
        <v>442</v>
      </c>
      <c r="N82" s="3"/>
      <c r="R82" s="7"/>
    </row>
    <row r="83" spans="4:18" ht="20.100000000000001" customHeight="1" x14ac:dyDescent="0.25">
      <c r="D83" s="151" t="s">
        <v>103</v>
      </c>
      <c r="E83" s="41" t="s">
        <v>175</v>
      </c>
      <c r="F83" s="41" t="s">
        <v>192</v>
      </c>
      <c r="G83" s="41" t="s">
        <v>193</v>
      </c>
      <c r="H83" s="41" t="s">
        <v>194</v>
      </c>
      <c r="I83" s="41" t="s">
        <v>195</v>
      </c>
      <c r="J83" s="146" t="s">
        <v>434</v>
      </c>
      <c r="K83" s="66" t="s">
        <v>433</v>
      </c>
      <c r="L83" s="66"/>
      <c r="M83" s="41"/>
      <c r="N83" s="3"/>
      <c r="R83" s="7"/>
    </row>
    <row r="84" spans="4:18" ht="20.100000000000001" customHeight="1" x14ac:dyDescent="0.25">
      <c r="K84" s="121" t="s">
        <v>435</v>
      </c>
      <c r="L84" s="121" t="s">
        <v>436</v>
      </c>
      <c r="M84" s="121" t="s">
        <v>437</v>
      </c>
      <c r="N84" s="3"/>
      <c r="R84" s="7"/>
    </row>
    <row r="85" spans="4:18" ht="20.100000000000001" customHeight="1" x14ac:dyDescent="0.25">
      <c r="D85" s="152" t="str">
        <f>'Constants - Dairy'!$D$8</f>
        <v>Anaerobic lagoon</v>
      </c>
      <c r="E85" s="49">
        <v>0.25</v>
      </c>
      <c r="F85" s="49">
        <v>0.25</v>
      </c>
      <c r="G85" s="49">
        <v>0.25</v>
      </c>
      <c r="H85" s="49">
        <v>0.25</v>
      </c>
      <c r="I85" s="49">
        <v>0.25</v>
      </c>
      <c r="J85" s="2" t="s">
        <v>20</v>
      </c>
      <c r="K85" s="49">
        <v>0.25</v>
      </c>
      <c r="L85" s="49">
        <v>0.25</v>
      </c>
      <c r="M85" s="101">
        <f>1-SUM(K85:L85)</f>
        <v>0.5</v>
      </c>
      <c r="R85" s="7"/>
    </row>
    <row r="86" spans="4:18" ht="20.100000000000001" customHeight="1" x14ac:dyDescent="0.25">
      <c r="D86" s="152" t="str">
        <f>'Constants - Dairy'!$D$9</f>
        <v>Sump and dispersal system</v>
      </c>
      <c r="E86" s="49">
        <v>0.25</v>
      </c>
      <c r="F86" s="49">
        <v>0.25</v>
      </c>
      <c r="G86" s="49">
        <v>0.25</v>
      </c>
      <c r="H86" s="49">
        <v>0.25</v>
      </c>
      <c r="I86" s="49">
        <v>0.25</v>
      </c>
      <c r="J86" s="2" t="s">
        <v>20</v>
      </c>
      <c r="K86" s="49">
        <v>0.25</v>
      </c>
      <c r="L86" s="49">
        <v>0.25</v>
      </c>
      <c r="M86" s="101">
        <f t="shared" ref="M86:M87" si="1">1-SUM(K86:L86)</f>
        <v>0.5</v>
      </c>
      <c r="R86" s="7"/>
    </row>
    <row r="87" spans="4:18" ht="20.100000000000001" customHeight="1" x14ac:dyDescent="0.25">
      <c r="D87" s="152" t="str">
        <f>'Constants - Dairy'!$D$10</f>
        <v>Drains to paddock</v>
      </c>
      <c r="E87" s="49">
        <v>0.25</v>
      </c>
      <c r="F87" s="49">
        <v>0.25</v>
      </c>
      <c r="G87" s="49">
        <v>0.25</v>
      </c>
      <c r="H87" s="49">
        <v>0.25</v>
      </c>
      <c r="I87" s="49">
        <v>0.25</v>
      </c>
      <c r="J87" s="2" t="s">
        <v>20</v>
      </c>
      <c r="K87" s="49">
        <v>0.25</v>
      </c>
      <c r="L87" s="49">
        <v>0.25</v>
      </c>
      <c r="M87" s="101">
        <f t="shared" si="1"/>
        <v>0.5</v>
      </c>
      <c r="R87" s="7"/>
    </row>
    <row r="88" spans="4:18" ht="20.100000000000001" customHeight="1" x14ac:dyDescent="0.25">
      <c r="D88" s="152" t="str">
        <f>'Constants - Dairy'!$D$11 &amp; " (before solid separation)"</f>
        <v>Solid storage (before solid separation)</v>
      </c>
      <c r="E88" s="49">
        <v>0.25</v>
      </c>
      <c r="F88" s="49">
        <v>0.25</v>
      </c>
      <c r="G88" s="49">
        <v>0.25</v>
      </c>
      <c r="H88" s="49">
        <v>0.25</v>
      </c>
      <c r="I88" s="49">
        <v>0.25</v>
      </c>
      <c r="J88" s="2" t="s">
        <v>20</v>
      </c>
      <c r="K88" s="49">
        <v>0.25</v>
      </c>
      <c r="L88" s="49">
        <v>0.25</v>
      </c>
      <c r="M88" s="101">
        <f t="shared" ref="M88" si="2">1-SUM(K88:L88)</f>
        <v>0.5</v>
      </c>
      <c r="R88" s="7"/>
    </row>
    <row r="89" spans="4:18" ht="20.100000000000001" customHeight="1" x14ac:dyDescent="0.25">
      <c r="D89" s="153" t="s">
        <v>445</v>
      </c>
      <c r="E89" s="101">
        <f>E88+(E85*$F79)+(E86*$F80)+(E87*$F81)</f>
        <v>0.39999999999999997</v>
      </c>
      <c r="F89" s="101">
        <f>F88+(F85*$F79)+(F86*$F80)+(F87*$F81)</f>
        <v>0.39999999999999997</v>
      </c>
      <c r="G89" s="101">
        <f>G88+(G85*$F79)+(G86*$F80)+(G87*$F81)</f>
        <v>0.39999999999999997</v>
      </c>
      <c r="H89" s="101">
        <f>H88+(H85*$F79)+(H86*$F80)+(H87*$F81)</f>
        <v>0.39999999999999997</v>
      </c>
      <c r="I89" s="101">
        <f>I88+(I85*$F79)+(I86*$F80)+(I87*$F81)</f>
        <v>0.39999999999999997</v>
      </c>
      <c r="J89" s="2" t="s">
        <v>20</v>
      </c>
      <c r="K89" s="2"/>
      <c r="L89" s="2"/>
      <c r="M89" s="2"/>
      <c r="R89" s="7"/>
    </row>
    <row r="90" spans="4:18" ht="20.100000000000001" customHeight="1" x14ac:dyDescent="0.25">
      <c r="D90" s="153" t="s">
        <v>446</v>
      </c>
      <c r="E90" s="101">
        <f>E88+(E85*$G79)+(E86*$G80)+(E87*$G81)</f>
        <v>0.39999999999999997</v>
      </c>
      <c r="F90" s="101">
        <f>F88+(F85*$G79)+(F86*$G80)+(F87*$G81)</f>
        <v>0.39999999999999997</v>
      </c>
      <c r="G90" s="101">
        <f>G88+(G85*$G79)+(G86*$G80)+(G87*$G81)</f>
        <v>0.39999999999999997</v>
      </c>
      <c r="H90" s="101">
        <f>H88+(H85*$G79)+(H86*$G80)+(H87*$G81)</f>
        <v>0.39999999999999997</v>
      </c>
      <c r="I90" s="101">
        <f>I88+(I85*$G79)+(I86*$G80)+(I87*$G81)</f>
        <v>0.39999999999999997</v>
      </c>
      <c r="J90" s="2" t="s">
        <v>20</v>
      </c>
      <c r="R90" s="7"/>
    </row>
    <row r="91" spans="4:18" ht="20.100000000000001" customHeight="1" x14ac:dyDescent="0.25">
      <c r="F91" s="2"/>
      <c r="R91" s="7"/>
    </row>
    <row r="92" spans="4:18" ht="20.100000000000001" customHeight="1" x14ac:dyDescent="0.25">
      <c r="F92" s="150"/>
      <c r="R92" s="7"/>
    </row>
    <row r="93" spans="4:18" ht="20.100000000000001" customHeight="1" x14ac:dyDescent="0.25">
      <c r="D93" s="51" t="str">
        <f>"From " &amp; $D$67</f>
        <v>From Feed pad</v>
      </c>
      <c r="R93" s="7"/>
    </row>
    <row r="94" spans="4:18" ht="20.100000000000001" customHeight="1" x14ac:dyDescent="0.25">
      <c r="D94" s="147" t="s">
        <v>438</v>
      </c>
      <c r="E94" s="148" t="s">
        <v>439</v>
      </c>
      <c r="F94" s="148" t="s">
        <v>440</v>
      </c>
      <c r="G94" s="148" t="s">
        <v>441</v>
      </c>
      <c r="R94" s="7"/>
    </row>
    <row r="95" spans="4:18" ht="20.100000000000001" customHeight="1" x14ac:dyDescent="0.25">
      <c r="D95" s="149" t="str">
        <f>'Constants - Dairy'!$D$8</f>
        <v>Anaerobic lagoon</v>
      </c>
      <c r="E95" s="42" t="s">
        <v>211</v>
      </c>
      <c r="F95" s="101">
        <f>IF(E95="Yes", 20%, 0)</f>
        <v>0</v>
      </c>
      <c r="G95" s="49">
        <f>IF(E95="Yes", 20%, 0)</f>
        <v>0</v>
      </c>
      <c r="K95" s="2"/>
      <c r="L95" s="2"/>
      <c r="M95" s="2"/>
      <c r="R95" s="7"/>
    </row>
    <row r="96" spans="4:18" ht="20.100000000000001" customHeight="1" x14ac:dyDescent="0.25">
      <c r="D96" s="149" t="str">
        <f>'Constants - Dairy'!$D$9</f>
        <v>Sump and dispersal system</v>
      </c>
      <c r="E96" s="42" t="s">
        <v>209</v>
      </c>
      <c r="F96" s="101">
        <f>IF(E96="Yes", 20%, 0)</f>
        <v>0.2</v>
      </c>
      <c r="G96" s="49">
        <f>IF(E96="Yes", 20%, 0)</f>
        <v>0.2</v>
      </c>
      <c r="R96" s="7"/>
    </row>
    <row r="97" spans="4:18" ht="20.100000000000001" customHeight="1" x14ac:dyDescent="0.25">
      <c r="D97" s="149" t="str">
        <f>'Constants - Dairy'!$D$10</f>
        <v>Drains to paddock</v>
      </c>
      <c r="E97" s="42" t="s">
        <v>209</v>
      </c>
      <c r="F97" s="101">
        <f>IF(E97="Yes", 20%, 0)</f>
        <v>0.2</v>
      </c>
      <c r="G97" s="49">
        <f>IF(E97="Yes", 20%, 0)</f>
        <v>0.2</v>
      </c>
      <c r="R97" s="7"/>
    </row>
    <row r="98" spans="4:18" ht="20.100000000000001" customHeight="1" x14ac:dyDescent="0.25">
      <c r="D98" s="156" t="s">
        <v>442</v>
      </c>
      <c r="F98" s="2"/>
      <c r="R98" s="7"/>
    </row>
    <row r="99" spans="4:18" ht="20.100000000000001" customHeight="1" x14ac:dyDescent="0.25">
      <c r="D99" s="151" t="s">
        <v>103</v>
      </c>
      <c r="E99" s="41" t="s">
        <v>175</v>
      </c>
      <c r="F99" s="41" t="s">
        <v>192</v>
      </c>
      <c r="G99" s="41" t="s">
        <v>193</v>
      </c>
      <c r="H99" s="41" t="s">
        <v>194</v>
      </c>
      <c r="I99" s="41" t="s">
        <v>195</v>
      </c>
      <c r="J99" s="146" t="s">
        <v>434</v>
      </c>
      <c r="K99" s="66" t="s">
        <v>433</v>
      </c>
      <c r="L99" s="66"/>
      <c r="M99" s="41"/>
      <c r="R99" s="7"/>
    </row>
    <row r="100" spans="4:18" ht="20.100000000000001" customHeight="1" x14ac:dyDescent="0.25">
      <c r="D100" s="153"/>
      <c r="K100" s="121" t="s">
        <v>435</v>
      </c>
      <c r="L100" s="121" t="s">
        <v>436</v>
      </c>
      <c r="M100" s="121" t="s">
        <v>437</v>
      </c>
      <c r="R100" s="7"/>
    </row>
    <row r="101" spans="4:18" ht="20.100000000000001" customHeight="1" x14ac:dyDescent="0.25">
      <c r="D101" s="152" t="str">
        <f>'Constants - Dairy'!$D$8</f>
        <v>Anaerobic lagoon</v>
      </c>
      <c r="E101" s="49">
        <v>0.25</v>
      </c>
      <c r="F101" s="49">
        <v>0.25</v>
      </c>
      <c r="G101" s="49">
        <v>0.25</v>
      </c>
      <c r="H101" s="49">
        <v>0.25</v>
      </c>
      <c r="I101" s="49">
        <v>0.25</v>
      </c>
      <c r="J101" s="2" t="s">
        <v>20</v>
      </c>
      <c r="K101" s="49">
        <v>0.25</v>
      </c>
      <c r="L101" s="49">
        <v>0.25</v>
      </c>
      <c r="M101" s="101">
        <f>1-SUM(K101:L101)</f>
        <v>0.5</v>
      </c>
      <c r="R101" s="7"/>
    </row>
    <row r="102" spans="4:18" ht="20.100000000000001" customHeight="1" x14ac:dyDescent="0.25">
      <c r="D102" s="152" t="str">
        <f>'Constants - Dairy'!$D$9</f>
        <v>Sump and dispersal system</v>
      </c>
      <c r="E102" s="49">
        <v>0.25</v>
      </c>
      <c r="F102" s="49">
        <v>0.25</v>
      </c>
      <c r="G102" s="49">
        <v>0.25</v>
      </c>
      <c r="H102" s="49">
        <v>0.25</v>
      </c>
      <c r="I102" s="49">
        <v>0.25</v>
      </c>
      <c r="J102" s="2" t="s">
        <v>20</v>
      </c>
      <c r="K102" s="49">
        <v>0.25</v>
      </c>
      <c r="L102" s="49">
        <v>0.25</v>
      </c>
      <c r="M102" s="101">
        <f t="shared" ref="M102:M103" si="3">1-SUM(K102:L102)</f>
        <v>0.5</v>
      </c>
      <c r="R102" s="7"/>
    </row>
    <row r="103" spans="4:18" ht="20.100000000000001" customHeight="1" x14ac:dyDescent="0.25">
      <c r="D103" s="152" t="str">
        <f>'Constants - Dairy'!$D$10</f>
        <v>Drains to paddock</v>
      </c>
      <c r="E103" s="49">
        <v>0.25</v>
      </c>
      <c r="F103" s="49">
        <v>0.25</v>
      </c>
      <c r="G103" s="49">
        <v>0.25</v>
      </c>
      <c r="H103" s="49">
        <v>0.25</v>
      </c>
      <c r="I103" s="49">
        <v>0.25</v>
      </c>
      <c r="J103" s="2" t="s">
        <v>20</v>
      </c>
      <c r="K103" s="49">
        <v>0.25</v>
      </c>
      <c r="L103" s="49">
        <v>0.25</v>
      </c>
      <c r="M103" s="101">
        <f t="shared" si="3"/>
        <v>0.5</v>
      </c>
      <c r="R103" s="7"/>
    </row>
    <row r="104" spans="4:18" ht="20.100000000000001" customHeight="1" x14ac:dyDescent="0.25">
      <c r="D104" s="152" t="str">
        <f>'Constants - Dairy'!$D$11 &amp; " (before solid separation)"</f>
        <v>Solid storage (before solid separation)</v>
      </c>
      <c r="E104" s="49">
        <v>0.25</v>
      </c>
      <c r="F104" s="49">
        <v>0.25</v>
      </c>
      <c r="G104" s="49">
        <v>0.25</v>
      </c>
      <c r="H104" s="49">
        <v>0.25</v>
      </c>
      <c r="I104" s="49">
        <v>0.25</v>
      </c>
      <c r="J104" s="2" t="s">
        <v>20</v>
      </c>
      <c r="K104" s="49">
        <v>0.25</v>
      </c>
      <c r="L104" s="49">
        <v>0.25</v>
      </c>
      <c r="M104" s="101">
        <f>1-SUM(K104:L104)</f>
        <v>0.5</v>
      </c>
      <c r="R104" s="7"/>
    </row>
    <row r="105" spans="4:18" ht="20.100000000000001" customHeight="1" x14ac:dyDescent="0.25">
      <c r="D105" s="153" t="s">
        <v>445</v>
      </c>
      <c r="E105" s="101">
        <f>E104+(E101*$F95)+(E102*$F96)+(E103*$F97)</f>
        <v>0.35</v>
      </c>
      <c r="F105" s="101">
        <f>F104+(F101*$F95)+(F102*$F96)+(F103*$F97)</f>
        <v>0.35</v>
      </c>
      <c r="G105" s="101">
        <f>G104+(G101*$F95)+(G102*$F96)+(G103*$F97)</f>
        <v>0.35</v>
      </c>
      <c r="H105" s="101">
        <f>H104+(H101*$F95)+(H102*$F96)+(H103*$F97)</f>
        <v>0.35</v>
      </c>
      <c r="I105" s="101">
        <f>I104+(I101*$F95)+(I102*$F96)+(I103*$F97)</f>
        <v>0.35</v>
      </c>
      <c r="J105" s="2" t="s">
        <v>20</v>
      </c>
      <c r="K105" s="2"/>
      <c r="L105" s="2"/>
      <c r="M105" s="2"/>
      <c r="R105" s="7"/>
    </row>
    <row r="106" spans="4:18" ht="20.100000000000001" customHeight="1" x14ac:dyDescent="0.25">
      <c r="D106" s="153" t="s">
        <v>446</v>
      </c>
      <c r="E106" s="101">
        <f>E104+(E101*$G95)+(E102*$G96)+(E103*$G97)</f>
        <v>0.35</v>
      </c>
      <c r="F106" s="101">
        <f>F104+(F101*$G95)+(F102*$G96)+(F103*$G97)</f>
        <v>0.35</v>
      </c>
      <c r="G106" s="101">
        <f>G104+(G101*$G95)+(G102*$G96)+(G103*$G97)</f>
        <v>0.35</v>
      </c>
      <c r="H106" s="101">
        <f>H104+(H101*$G95)+(H102*$G96)+(H103*$G97)</f>
        <v>0.35</v>
      </c>
      <c r="I106" s="101">
        <f>I104+(I101*$G95)+(I102*$G96)+(I103*$G97)</f>
        <v>0.35</v>
      </c>
      <c r="J106" s="2" t="s">
        <v>20</v>
      </c>
      <c r="R106" s="7"/>
    </row>
    <row r="107" spans="4:18" ht="20.100000000000001" customHeight="1" x14ac:dyDescent="0.25"/>
    <row r="108" spans="4:18" ht="20.100000000000001" customHeight="1" x14ac:dyDescent="0.25"/>
    <row r="109" spans="4:18" ht="20.100000000000001" customHeight="1" x14ac:dyDescent="0.25">
      <c r="D109" s="1" t="s">
        <v>143</v>
      </c>
      <c r="E109" s="42" t="s">
        <v>148</v>
      </c>
      <c r="F109" s="2" t="s">
        <v>11</v>
      </c>
    </row>
    <row r="110" spans="4:18" ht="20.100000000000001" customHeight="1" x14ac:dyDescent="0.25">
      <c r="E110" s="42" t="s">
        <v>153</v>
      </c>
      <c r="F110" s="2" t="s">
        <v>11</v>
      </c>
      <c r="K110" s="2"/>
      <c r="L110" s="2"/>
      <c r="M110" s="2"/>
    </row>
    <row r="111" spans="4:18" ht="20.100000000000001" customHeight="1" x14ac:dyDescent="0.25"/>
    <row r="112" spans="4:18" ht="20.100000000000001" customHeight="1" x14ac:dyDescent="0.25"/>
    <row r="113" spans="6:13" ht="20.100000000000001" customHeight="1" x14ac:dyDescent="0.25"/>
    <row r="114" spans="6:13" ht="20.100000000000001" customHeight="1" x14ac:dyDescent="0.25">
      <c r="K114" s="2"/>
      <c r="L114" s="2"/>
      <c r="M114" s="2"/>
    </row>
    <row r="115" spans="6:13" ht="20.100000000000001" customHeight="1" x14ac:dyDescent="0.25">
      <c r="F115" s="2"/>
    </row>
    <row r="116" spans="6:13" ht="20.100000000000001" customHeight="1" x14ac:dyDescent="0.25"/>
    <row r="117" spans="6:13" ht="20.100000000000001" customHeight="1" x14ac:dyDescent="0.25"/>
    <row r="118" spans="6:13" ht="20.100000000000001" customHeight="1" x14ac:dyDescent="0.25">
      <c r="K118" s="2"/>
      <c r="L118" s="2"/>
      <c r="M118" s="2"/>
    </row>
    <row r="119" spans="6:13" ht="20.100000000000001" customHeight="1" x14ac:dyDescent="0.25"/>
    <row r="120" spans="6:13" ht="20.100000000000001" customHeight="1" x14ac:dyDescent="0.25"/>
    <row r="121" spans="6:13" ht="20.100000000000001" customHeight="1" x14ac:dyDescent="0.25"/>
    <row r="122" spans="6:13" ht="20.100000000000001" customHeight="1" x14ac:dyDescent="0.25"/>
    <row r="123" spans="6:13" ht="20.100000000000001" customHeight="1" x14ac:dyDescent="0.25"/>
    <row r="124" spans="6:13" ht="20.100000000000001" customHeight="1" x14ac:dyDescent="0.25"/>
    <row r="125" spans="6:13" ht="20.100000000000001" customHeight="1" x14ac:dyDescent="0.25"/>
    <row r="126" spans="6:13" ht="20.100000000000001" customHeight="1" x14ac:dyDescent="0.25"/>
    <row r="127" spans="6:13" ht="20.100000000000001" customHeight="1" x14ac:dyDescent="0.25"/>
    <row r="128" spans="6: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5:J90 K89:M89 K95:M95 F98 J101:J106 K105:M105 K110:M110 K114:M114 K118:M118">
    <cfRule type="cellIs" dxfId="8" priority="30" operator="lessThan">
      <formula>0</formula>
    </cfRule>
  </conditionalFormatting>
  <conditionalFormatting sqref="E14:M15">
    <cfRule type="cellIs" dxfId="7" priority="2" operator="lessThan">
      <formula>0</formula>
    </cfRule>
  </conditionalFormatting>
  <conditionalFormatting sqref="E18:M19">
    <cfRule type="cellIs" dxfId="6" priority="1" operator="lessThan">
      <formula>0</formula>
    </cfRule>
  </conditionalFormatting>
  <conditionalFormatting sqref="E36:M38">
    <cfRule type="cellIs" dxfId="5" priority="6" operator="lessThan">
      <formula>0</formula>
    </cfRule>
  </conditionalFormatting>
  <conditionalFormatting sqref="E41:M43">
    <cfRule type="cellIs" dxfId="4" priority="3"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4"/>
  <sheetViews>
    <sheetView showGridLines="0" tabSelected="1" topLeftCell="A5" zoomScale="130" zoomScaleNormal="130" workbookViewId="0">
      <selection activeCell="E23" sqref="E2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285</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13" t="s">
        <v>28</v>
      </c>
      <c r="E7" s="13" t="str" cm="1">
        <f t="array" aca="1" ref="E7" ca="1">Common_InputFunctions.Utility_DisplayFunctionName(D23)</f>
        <v>=EntericMethane_Dairy_Equations.VEERG_3_3_1_1__6_MetabolisabilityOfDiet</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EntericMethane_Dairy_Equations.VEERG_3_3_1_1__6_MetabolisabilityOfDiet_Variable()</f>
        <v>qm_j</v>
      </c>
    </row>
    <row r="11" spans="1:23" ht="20.100000000000001" customHeight="1" x14ac:dyDescent="0.25">
      <c r="A11" s="19" t="s">
        <v>78</v>
      </c>
      <c r="D11" s="56" t="s">
        <v>21</v>
      </c>
      <c r="E11" s="57" t="str" cm="1">
        <f t="array" ref="E11">EntericMethane_Dairy_Equations.VEERG_3_3_1_1__6_MetabolisabilityOfDiet_Unit()</f>
        <v>fraction</v>
      </c>
    </row>
    <row r="12" spans="1:23" ht="20.100000000000001" customHeight="1" x14ac:dyDescent="0.25">
      <c r="A12" s="22" t="str">
        <f>HYPERLINK("#'4.3.1.1-2 Methane'!A1", "4.3.1.1-2 Methane")</f>
        <v>4.3.1.1-2 Methane</v>
      </c>
    </row>
    <row r="13" spans="1:23" ht="20.100000000000001" customHeight="1" x14ac:dyDescent="0.25">
      <c r="A13" s="17" t="str">
        <f>HYPERLINK("#'4.3.1.3-4 Direct N20'!A1", "4.3.1.3-4 Direct N2O")</f>
        <v>4.3.1.3-4 Direct N2O</v>
      </c>
      <c r="D13" s="137" t="str" cm="1">
        <f t="array" ref="D13:E13">_xlfn.CHOOSECOLS(EntericMethane_Dairy_Equations.VEERG_3_3_1_1__6_MetabolisabilityOfDiet_Arguments(), 1,2)</f>
        <v>DMD_j</v>
      </c>
      <c r="E13" s="137" t="str">
        <v>dry matter digestibility expressed as a fraction</v>
      </c>
      <c r="F13" s="137"/>
      <c r="G13" s="137" t="str" cm="1">
        <f t="array" ref="G13:H13">_xlfn.CHOOSECOLS(EntericMethane_Dairy_Equations.VEERG_3_3_1_1__6_MetabolisabilityOfDiet_Arguments(), 3,4)</f>
        <v>fraction</v>
      </c>
      <c r="H13" s="135" t="str">
        <v>Input</v>
      </c>
      <c r="I13" s="137" t="str">
        <f>"See " &amp; D15</f>
        <v>See M1_Table_DMD_j</v>
      </c>
    </row>
    <row r="14" spans="1:23" ht="20.100000000000001" customHeight="1" x14ac:dyDescent="0.25">
      <c r="A14" s="17" t="str">
        <f>HYPERLINK("#'4.3.1.5 Atmos Deposition'!A1", "4.3.1.5 Atmospheric deposition")</f>
        <v>4.3.1.5 Atmospheric deposition</v>
      </c>
    </row>
    <row r="15" spans="1:23" ht="20.100000000000001" customHeight="1" x14ac:dyDescent="0.25">
      <c r="A15" s="17" t="str">
        <f>HYPERLINK("#'4.3.1.6-7 Leaching and runoff'!A1", "4.3.1.6-7 Leaching and runoff")</f>
        <v>4.3.1.6-7 Leaching and runoff</v>
      </c>
      <c r="D15" s="104" t="s">
        <v>126</v>
      </c>
      <c r="O15" s="104" t="s">
        <v>129</v>
      </c>
    </row>
    <row r="16" spans="1:23" ht="20.100000000000001" customHeight="1" x14ac:dyDescent="0.25">
      <c r="A16" s="17" t="str">
        <f>HYPERLINK("#'4.3.1.8 Manure applied to soils'!A1", "4.3.1.8 Manure applied to soils")</f>
        <v>4.3.1.8 Manure applied to soils</v>
      </c>
      <c r="D16" s="103" t="s">
        <v>128</v>
      </c>
      <c r="O16" s="103" t="s">
        <v>241</v>
      </c>
    </row>
    <row r="17" spans="1:23" ht="20.100000000000001" customHeight="1" x14ac:dyDescent="0.25">
      <c r="A17" s="17" t="str">
        <f>HYPERLINK("#'4.3.1.9 Soil direct N2O'!A1", "4.3.1.9 Soil direct N2O")</f>
        <v>4.3.1.9 Soil direct N2O</v>
      </c>
      <c r="D17" s="41" t="s">
        <v>175</v>
      </c>
      <c r="E17" s="41" t="s">
        <v>192</v>
      </c>
      <c r="F17" s="41" t="s">
        <v>193</v>
      </c>
      <c r="G17" s="41" t="s">
        <v>194</v>
      </c>
      <c r="H17" s="41" t="s">
        <v>195</v>
      </c>
      <c r="O17" s="41" t="s">
        <v>175</v>
      </c>
      <c r="P17" s="41" t="s">
        <v>192</v>
      </c>
      <c r="Q17" s="41" t="s">
        <v>193</v>
      </c>
      <c r="R17" s="41" t="s">
        <v>194</v>
      </c>
      <c r="S17" s="41" t="s">
        <v>195</v>
      </c>
    </row>
    <row r="18" spans="1:23" ht="20.100000000000001" customHeight="1" x14ac:dyDescent="0.25">
      <c r="A18" s="17" t="str">
        <f>HYPERLINK("#'4.3.1.10-11 Soil Atmos Dep'!A1", "4.3.1.10-11 Soil atm. deposition")</f>
        <v>4.3.1.10-11 Soil atm. deposition</v>
      </c>
      <c r="D18" s="55">
        <f>'Input - Dairy'!$E$37</f>
        <v>0.75</v>
      </c>
      <c r="E18" s="55">
        <f>'Input - Dairy'!$F$37</f>
        <v>0.75</v>
      </c>
      <c r="F18" s="55">
        <f>'Input - Dairy'!$G$37</f>
        <v>0.75</v>
      </c>
      <c r="G18" s="55">
        <f>'Input - Dairy'!$H$37</f>
        <v>0.75</v>
      </c>
      <c r="H18" s="55">
        <f>'Input - Dairy'!$I$37</f>
        <v>0.75</v>
      </c>
      <c r="I18" s="2" t="s">
        <v>230</v>
      </c>
      <c r="J18" s="2"/>
      <c r="K18" s="2"/>
      <c r="O18" s="55">
        <f>'Input - Dairy'!$E$42</f>
        <v>0.75</v>
      </c>
      <c r="P18" s="55">
        <f>'Input - Dairy'!$F$42</f>
        <v>0.75</v>
      </c>
      <c r="Q18" s="55">
        <f>'Input - Dairy'!$G$42</f>
        <v>0.75</v>
      </c>
      <c r="R18" s="55">
        <f>'Input - Dairy'!$H$42</f>
        <v>0.75</v>
      </c>
      <c r="S18" s="55">
        <f>'Input - Dairy'!$I$42</f>
        <v>0.75</v>
      </c>
      <c r="T18" s="2" t="s">
        <v>230</v>
      </c>
      <c r="U18" s="2"/>
      <c r="V18" s="2"/>
    </row>
    <row r="19" spans="1:23" ht="20.100000000000001" customHeight="1" x14ac:dyDescent="0.25">
      <c r="A19" s="17" t="str">
        <f>HYPERLINK("#'4.3.1.12-13 Soil leach runoff'!A1", "4.3.1.12-13 Soil leach &amp; runoff")</f>
        <v>4.3.1.12-13 Soil leach &amp; runoff</v>
      </c>
    </row>
    <row r="20" spans="1:23" ht="20.100000000000001" customHeight="1" x14ac:dyDescent="0.25">
      <c r="A20" s="17"/>
      <c r="D20" s="104" t="s">
        <v>231</v>
      </c>
      <c r="O20" s="104" t="s">
        <v>233</v>
      </c>
    </row>
    <row r="21" spans="1:23" ht="20.100000000000001" customHeight="1" x14ac:dyDescent="0.25">
      <c r="A21" s="18" t="s">
        <v>4</v>
      </c>
      <c r="D21" s="103" t="s">
        <v>232</v>
      </c>
      <c r="O21" s="103" t="s">
        <v>234</v>
      </c>
    </row>
    <row r="22" spans="1:23" ht="20.100000000000001" customHeight="1" x14ac:dyDescent="0.25">
      <c r="A22" s="17" t="str">
        <f>HYPERLINK("#'Constants - Dairy'!A1", "Constants - Dairy")</f>
        <v>Constants - Dairy</v>
      </c>
      <c r="D22" s="54" t="s">
        <v>175</v>
      </c>
      <c r="E22" s="54" t="s">
        <v>192</v>
      </c>
      <c r="F22" s="54" t="s">
        <v>193</v>
      </c>
      <c r="G22" s="54" t="s">
        <v>194</v>
      </c>
      <c r="H22" s="54" t="s">
        <v>195</v>
      </c>
      <c r="O22" s="54" t="s">
        <v>175</v>
      </c>
      <c r="P22" s="54" t="s">
        <v>192</v>
      </c>
      <c r="Q22" s="54" t="s">
        <v>193</v>
      </c>
      <c r="R22" s="54" t="s">
        <v>194</v>
      </c>
      <c r="S22" s="54" t="s">
        <v>195</v>
      </c>
    </row>
    <row r="23" spans="1:23" ht="20.100000000000001" customHeight="1" x14ac:dyDescent="0.25">
      <c r="A23" s="17" t="str">
        <f>HYPERLINK("#'Constants - Livestock'!A1", "Constants - Livestock")</f>
        <v>Constants - Livestock</v>
      </c>
      <c r="D23" s="55" cm="1">
        <f t="array" ref="D23">EntericMethane_Dairy_Equations.VEERG_3_3_1_1__6_MetabolisabilityOfDiet(D18)</f>
        <v>59.623600000000003</v>
      </c>
      <c r="E23" s="55" cm="1">
        <f t="array" ref="E23">EntericMethane_Dairy_Equations.VEERG_3_3_1_1__6_MetabolisabilityOfDiet(E18)</f>
        <v>59.623600000000003</v>
      </c>
      <c r="F23" s="55" cm="1">
        <f t="array" ref="F23">EntericMethane_Dairy_Equations.VEERG_3_3_1_1__6_MetabolisabilityOfDiet(F18)</f>
        <v>59.623600000000003</v>
      </c>
      <c r="G23" s="55" cm="1">
        <f t="array" ref="G23">EntericMethane_Dairy_Equations.VEERG_3_3_1_1__6_MetabolisabilityOfDiet(G18)</f>
        <v>59.623600000000003</v>
      </c>
      <c r="H23" s="55" cm="1">
        <f t="array" ref="H23">EntericMethane_Dairy_Equations.VEERG_3_3_1_1__6_MetabolisabilityOfDiet(H18)</f>
        <v>59.623600000000003</v>
      </c>
      <c r="I23" s="2" t="str">
        <f>$E$11</f>
        <v>fraction</v>
      </c>
      <c r="J23" s="2"/>
      <c r="K23" s="2"/>
      <c r="O23" s="55" cm="1">
        <f t="array" ref="O23">EntericMethane_Dairy_Equations.VEERG_3_3_1_1__6_MetabolisabilityOfDiet(O18)</f>
        <v>59.623600000000003</v>
      </c>
      <c r="P23" s="55" cm="1">
        <f t="array" ref="P23">EntericMethane_Dairy_Equations.VEERG_3_3_1_1__6_MetabolisabilityOfDiet(P18)</f>
        <v>59.623600000000003</v>
      </c>
      <c r="Q23" s="55" cm="1">
        <f t="array" ref="Q23">EntericMethane_Dairy_Equations.VEERG_3_3_1_1__6_MetabolisabilityOfDiet(Q18)</f>
        <v>59.623600000000003</v>
      </c>
      <c r="R23" s="55" cm="1">
        <f t="array" ref="R23">EntericMethane_Dairy_Equations.VEERG_3_3_1_1__6_MetabolisabilityOfDiet(R18)</f>
        <v>59.623600000000003</v>
      </c>
      <c r="S23" s="55" cm="1">
        <f t="array" ref="S23">EntericMethane_Dairy_Equations.VEERG_3_3_1_1__6_MetabolisabilityOfDiet(S18)</f>
        <v>59.623600000000003</v>
      </c>
      <c r="T23" s="2" t="str">
        <f>$E$11</f>
        <v>fraction</v>
      </c>
      <c r="U23" s="2"/>
      <c r="V23" s="2"/>
    </row>
    <row r="24" spans="1:23" ht="20.100000000000001" customHeight="1" x14ac:dyDescent="0.25">
      <c r="A24" s="17" t="str">
        <f>HYPERLINK("#'Constants - Common'!A1", "Constants - Common")</f>
        <v>Constants - Common</v>
      </c>
    </row>
    <row r="25" spans="1:23" ht="20.100000000000001" customHeight="1" x14ac:dyDescent="0.25">
      <c r="A25" s="17" t="str">
        <f>HYPERLINK("#'Acknowledgements'!A1", "Acknowledgements")</f>
        <v>Acknowledgements</v>
      </c>
    </row>
    <row r="26" spans="1:23" ht="20.100000000000001" customHeight="1" x14ac:dyDescent="0.25">
      <c r="C26" s="48"/>
      <c r="D26" s="48"/>
      <c r="E26" s="48"/>
      <c r="F26" s="48"/>
      <c r="G26" s="48"/>
      <c r="H26" s="48"/>
      <c r="I26" s="48"/>
      <c r="J26" s="48"/>
      <c r="K26" s="48"/>
      <c r="L26" s="48"/>
      <c r="N26" s="48"/>
      <c r="O26" s="48"/>
      <c r="P26" s="48"/>
      <c r="Q26" s="48"/>
      <c r="R26" s="48"/>
      <c r="S26" s="48"/>
      <c r="T26" s="48"/>
      <c r="U26" s="48"/>
      <c r="V26" s="48"/>
      <c r="W26" s="48"/>
    </row>
    <row r="27" spans="1:23" ht="20.100000000000001" customHeight="1" x14ac:dyDescent="0.25">
      <c r="D27" s="6" t="str" cm="1">
        <f t="array" ref="D27">EntericMethane_Dairy_Equations.VEERG_3_3_1_1__5_MilkProductionFromMilkSolids_Title()</f>
        <v>Milk production converted from milk solids</v>
      </c>
    </row>
    <row r="28" spans="1:23" ht="20.100000000000001" customHeight="1" x14ac:dyDescent="0.25">
      <c r="D28" s="5" t="str" cm="1">
        <f t="array" ref="D28">EntericMethane_Dairy_Equations.VEERG_3_3_1_1__5_MilkProductionFromMilkSolids_Source()</f>
        <v>VEERG 2026: 3.3.1.1, Equation (5)</v>
      </c>
    </row>
    <row r="29" spans="1:23" ht="20.100000000000001" customHeight="1" x14ac:dyDescent="0.25">
      <c r="D29" s="58" t="str" cm="1">
        <f t="array" ref="D29">EntericMethane_Dairy_Equations.VEERG_3_3_1_1__5_MilkProductionFromMilkSolids_Variation()</f>
        <v>VARATION ON SOURCE: Added milk production unit variable to allow for use of either milk solids or litres of milk. Converted input FC and PC percent to integer.</v>
      </c>
    </row>
    <row r="30" spans="1:23" ht="20.100000000000001" customHeight="1" x14ac:dyDescent="0.25">
      <c r="D30" s="13" t="s">
        <v>28</v>
      </c>
      <c r="E30" s="13" t="str" cm="1">
        <f t="array" aca="1" ref="E30" ca="1">Common_InputFunctions.Utility_DisplayFunctionName(D49)</f>
        <v>=EntericMethane_Dairy_Equations.VEERG_3_3_1_1__5_MilkProductionFromMilkSolids</v>
      </c>
    </row>
    <row r="31" spans="1:23" ht="20.100000000000001" customHeight="1" x14ac:dyDescent="0.25"/>
    <row r="32" spans="1:23" ht="20.100000000000001" customHeight="1" x14ac:dyDescent="0.25"/>
    <row r="33" spans="4:20" ht="20.100000000000001" customHeight="1" x14ac:dyDescent="0.25">
      <c r="D33" s="56" t="s">
        <v>31</v>
      </c>
      <c r="E33" s="1" t="str" cm="1">
        <f t="array" ref="E33">EntericMethane_Dairy_Equations.VEERG_3_3_1_1__5_MilkProductionFromMilkSolids_Variable()</f>
        <v>MP_j</v>
      </c>
    </row>
    <row r="34" spans="4:20" ht="20.100000000000001" customHeight="1" x14ac:dyDescent="0.25">
      <c r="D34" s="56" t="s">
        <v>21</v>
      </c>
      <c r="E34" s="57" t="str" cm="1">
        <f t="array" ref="E34">EntericMethane_Dairy_Equations.VEERG_3_3_1_1__5_MilkProductionFromMilkSolids_Unit()</f>
        <v>L/head/day</v>
      </c>
    </row>
    <row r="35" spans="4:20" ht="20.100000000000001" customHeight="1" x14ac:dyDescent="0.25"/>
    <row r="36" spans="4:20" ht="20.100000000000001" customHeight="1" x14ac:dyDescent="0.25">
      <c r="D36" s="137" t="str" cm="1">
        <f t="array" ref="D36:E39">_xlfn.CHOOSECOLS(EntericMethane_Dairy_Equations.VEERG_3_3_1_1__5_MilkProductionFromMilkSolids_Arguments(),1,2)</f>
        <v>MPU</v>
      </c>
      <c r="E36" s="136" t="str">
        <v>input milk production unit</v>
      </c>
      <c r="F36" s="138"/>
      <c r="G36" s="137" t="str" cm="1">
        <f t="array" ref="G36:H39">_xlfn.CHOOSECOLS(EntericMethane_Dairy_Equations.VEERG_3_3_1_1__5_MilkProductionFromMilkSolids_Arguments(),3,4)</f>
        <v/>
      </c>
      <c r="H36" s="135" t="str">
        <v>Input</v>
      </c>
      <c r="I36" s="137" t="str">
        <f>'Input - Dairy'!$E$49</f>
        <v>Litres of milk</v>
      </c>
      <c r="O36" s="137" t="str" cm="1">
        <f t="array" ref="O36:P39">_xlfn.CHOOSECOLS(EntericMethane_Dairy_Equations.VEERG_3_3_1_1__5_MilkProductionFromMilkSolids_Arguments(),1,2)</f>
        <v>MPU</v>
      </c>
      <c r="P36" s="136" t="str">
        <v>input milk production unit</v>
      </c>
      <c r="Q36" s="138"/>
      <c r="R36" s="137" t="str" cm="1">
        <f t="array" ref="R36:S39">_xlfn.CHOOSECOLS(EntericMethane_Dairy_Equations.VEERG_3_3_1_1__5_MilkProductionFromMilkSolids_Arguments(),3,4)</f>
        <v/>
      </c>
      <c r="S36" s="135" t="str">
        <v>Input</v>
      </c>
      <c r="T36" s="137"/>
    </row>
    <row r="37" spans="4:20" ht="20.100000000000001" customHeight="1" x14ac:dyDescent="0.25">
      <c r="D37" s="137" t="str">
        <v>MS_j</v>
      </c>
      <c r="E37" s="136" t="str">
        <v>daily production of milk solids</v>
      </c>
      <c r="F37" s="138"/>
      <c r="G37" s="137" t="str">
        <v>kg MS/head/day</v>
      </c>
      <c r="H37" s="135" t="str">
        <v>Input</v>
      </c>
      <c r="I37" s="134" t="str" cm="1">
        <f t="array" aca="1" ref="I37" ca="1">HYPERLINK(Common_InputFunctions.Utility_SourceHyperlink($D$41),$D$41)</f>
        <v>M1_Table_MS_j</v>
      </c>
      <c r="O37" s="137" t="str">
        <v>MS_j</v>
      </c>
      <c r="P37" s="136" t="str">
        <v>daily production of milk solids</v>
      </c>
      <c r="Q37" s="138"/>
      <c r="R37" s="137" t="str">
        <v>kg MS/head/day</v>
      </c>
      <c r="S37" s="135" t="str">
        <v>Input</v>
      </c>
      <c r="T37" s="134"/>
    </row>
    <row r="38" spans="4:20" ht="20.100000000000001" customHeight="1" x14ac:dyDescent="0.25">
      <c r="D38" s="137" t="str">
        <v>FC_j</v>
      </c>
      <c r="E38" s="136" t="str">
        <v>fat content in fat and protein corrected milk</v>
      </c>
      <c r="F38" s="138"/>
      <c r="G38" s="137" t="str">
        <v>per cent</v>
      </c>
      <c r="H38" s="133" t="str">
        <v>Constant</v>
      </c>
      <c r="I38" s="137">
        <f>'Input - Dairy'!E55*100</f>
        <v>4</v>
      </c>
      <c r="O38" s="137" t="str">
        <v>FC_j</v>
      </c>
      <c r="P38" s="136" t="str">
        <v>fat content in fat and protein corrected milk</v>
      </c>
      <c r="Q38" s="138"/>
      <c r="R38" s="137" t="str">
        <v>per cent</v>
      </c>
      <c r="S38" s="133" t="str">
        <v>Constant</v>
      </c>
      <c r="T38" s="137">
        <f>'Input - Dairy'!$F$55*100</f>
        <v>4</v>
      </c>
    </row>
    <row r="39" spans="4:20" ht="20.100000000000001" customHeight="1" x14ac:dyDescent="0.25">
      <c r="D39" s="137" t="str">
        <v>PC_j</v>
      </c>
      <c r="E39" s="137" t="str">
        <v>protein content in fat and protein corrected milk</v>
      </c>
      <c r="F39" s="137"/>
      <c r="G39" s="137" t="str">
        <v>per cent</v>
      </c>
      <c r="H39" s="133" t="str">
        <v>Constant</v>
      </c>
      <c r="I39" s="137">
        <f>'Input - Dairy'!E56*100</f>
        <v>3.3000000000000003</v>
      </c>
      <c r="O39" s="137" t="str">
        <v>PC_j</v>
      </c>
      <c r="P39" s="137" t="str">
        <v>protein content in fat and protein corrected milk</v>
      </c>
      <c r="Q39" s="137"/>
      <c r="R39" s="137" t="str">
        <v>per cent</v>
      </c>
      <c r="S39" s="133" t="str">
        <v>Constant</v>
      </c>
      <c r="T39" s="137">
        <f>'Input - Dairy'!$F$56*100</f>
        <v>3.3000000000000003</v>
      </c>
    </row>
    <row r="40" spans="4:20" ht="20.100000000000001" customHeight="1" x14ac:dyDescent="0.25"/>
    <row r="41" spans="4:20" ht="20.100000000000001" customHeight="1" x14ac:dyDescent="0.25">
      <c r="D41" s="104" t="s">
        <v>456</v>
      </c>
    </row>
    <row r="42" spans="4:20" ht="20.100000000000001" customHeight="1" x14ac:dyDescent="0.25">
      <c r="D42" s="103" t="s">
        <v>457</v>
      </c>
    </row>
    <row r="43" spans="4:20" ht="20.100000000000001" customHeight="1" x14ac:dyDescent="0.25">
      <c r="D43" s="41" t="s">
        <v>175</v>
      </c>
      <c r="E43" s="41" t="s">
        <v>192</v>
      </c>
      <c r="F43" s="41" t="s">
        <v>193</v>
      </c>
      <c r="G43" s="41" t="s">
        <v>194</v>
      </c>
      <c r="H43" s="41" t="s">
        <v>195</v>
      </c>
    </row>
    <row r="44" spans="4:20" ht="20.100000000000001" customHeight="1" x14ac:dyDescent="0.25">
      <c r="D44" s="55">
        <f>IF($I$36="Milk solids", 'Input - Dairy'!E52, 0)</f>
        <v>0</v>
      </c>
      <c r="E44" s="55">
        <v>0</v>
      </c>
      <c r="F44" s="55">
        <v>0</v>
      </c>
      <c r="G44" s="55">
        <v>0</v>
      </c>
      <c r="H44" s="55">
        <v>0</v>
      </c>
      <c r="I44" s="2" t="str">
        <f>G37</f>
        <v>kg MS/head/day</v>
      </c>
    </row>
    <row r="45" spans="4:20" ht="20.100000000000001" customHeight="1" x14ac:dyDescent="0.25"/>
    <row r="46" spans="4:20" ht="20.100000000000001" customHeight="1" x14ac:dyDescent="0.25">
      <c r="D46" s="104" t="s">
        <v>458</v>
      </c>
      <c r="O46" s="104" t="s">
        <v>460</v>
      </c>
    </row>
    <row r="47" spans="4:20" ht="20.100000000000001" customHeight="1" x14ac:dyDescent="0.25">
      <c r="D47" s="103" t="s">
        <v>459</v>
      </c>
      <c r="O47" s="103" t="s">
        <v>461</v>
      </c>
    </row>
    <row r="48" spans="4:20" ht="20.100000000000001" customHeight="1" x14ac:dyDescent="0.25">
      <c r="D48" s="54" t="s">
        <v>175</v>
      </c>
      <c r="E48" s="54" t="s">
        <v>192</v>
      </c>
      <c r="F48" s="54" t="s">
        <v>193</v>
      </c>
      <c r="G48" s="54" t="s">
        <v>194</v>
      </c>
      <c r="H48" s="54" t="s">
        <v>195</v>
      </c>
      <c r="O48" s="54" t="s">
        <v>175</v>
      </c>
      <c r="P48" s="54" t="s">
        <v>192</v>
      </c>
      <c r="Q48" s="54" t="s">
        <v>193</v>
      </c>
      <c r="R48" s="54" t="s">
        <v>194</v>
      </c>
      <c r="S48" s="54" t="s">
        <v>195</v>
      </c>
    </row>
    <row r="49" spans="1:23" ht="20.100000000000001" customHeight="1" x14ac:dyDescent="0.25">
      <c r="D49" s="55" cm="1">
        <f t="array" ref="D49">EntericMethane_Dairy_Equations.VEERG_3_3_1_1__5_MilkProductionFromMilkSolids(D44,$I$38,$I$39)</f>
        <v>0</v>
      </c>
      <c r="E49" s="55">
        <v>0</v>
      </c>
      <c r="F49" s="55">
        <v>0</v>
      </c>
      <c r="G49" s="55">
        <v>0</v>
      </c>
      <c r="H49" s="55">
        <v>0</v>
      </c>
      <c r="I49" s="2" t="s">
        <v>237</v>
      </c>
      <c r="O49" s="55" cm="1">
        <f t="array" ref="O49">EntericMethane_Dairy_Equations.VEERG_3_3_1_1__5_MilkProductionFromMilkSolids(D44,$T$38,$T$39)</f>
        <v>0</v>
      </c>
      <c r="P49" s="55">
        <v>0</v>
      </c>
      <c r="Q49" s="55">
        <v>0</v>
      </c>
      <c r="R49" s="55">
        <v>0</v>
      </c>
      <c r="S49" s="55">
        <v>0</v>
      </c>
      <c r="T49" s="2" t="s">
        <v>237</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EntericMethane_Dairy_Equations.VEERG_3_3_1_1__4_AdditionalIntakeForMilkProduction_Title()</f>
        <v>Additional intake required for milk production</v>
      </c>
    </row>
    <row r="54" spans="1:23" ht="20.100000000000001" customHeight="1" x14ac:dyDescent="0.25">
      <c r="D54" s="5" t="str" cm="1">
        <f t="array" ref="D54">EntericMethane_Dairy_Equations.VEERG_3_3_1_1__4_AdditionalIntakeForMilkProduction_Source()</f>
        <v>VEERG 2026: 3.3.1.1, Equation (4)</v>
      </c>
    </row>
    <row r="55" spans="1:23" ht="20.100000000000001" customHeight="1" x14ac:dyDescent="0.25">
      <c r="D55" s="13" t="s">
        <v>28</v>
      </c>
      <c r="E55" s="13" t="str" cm="1">
        <f t="array" aca="1" ref="E55" ca="1">Common_InputFunctions.Utility_DisplayFunctionName(D78)</f>
        <v>=EntericMethane_Dairy_Equations.VEERG_3_3_1_1__4_AdditionalIntakeForMilkProduction</v>
      </c>
    </row>
    <row r="56" spans="1:23" ht="20.100000000000001" customHeight="1" x14ac:dyDescent="0.25"/>
    <row r="57" spans="1:23" ht="20.100000000000001" customHeight="1" x14ac:dyDescent="0.25">
      <c r="D57" s="6"/>
    </row>
    <row r="58" spans="1:23" ht="20.100000000000001" customHeight="1" x14ac:dyDescent="0.25">
      <c r="D58" s="56" t="s">
        <v>31</v>
      </c>
      <c r="E58" s="1" t="str" cm="1">
        <f t="array" ref="E58">EntericMethane_Dairy_Equations.VEERG_3_3_1_1__4_AdditionalIntakeForMilkProduction_Variable()</f>
        <v>MI_j</v>
      </c>
    </row>
    <row r="59" spans="1:23" ht="20.100000000000001" customHeight="1" x14ac:dyDescent="0.25">
      <c r="D59" s="56" t="s">
        <v>21</v>
      </c>
      <c r="E59" s="57" t="str" cm="1">
        <f t="array" ref="E59">EntericMethane_Dairy_Equations.VEERG_3_3_1_1__4_AdditionalIntakeForMilkProduction_Unit()</f>
        <v>kg DM/head/day</v>
      </c>
    </row>
    <row r="60" spans="1:23" ht="20.100000000000001" customHeight="1" x14ac:dyDescent="0.25"/>
    <row r="61" spans="1:23" ht="20.100000000000001" customHeight="1" x14ac:dyDescent="0.25">
      <c r="D61" s="137" t="str" cm="1">
        <f t="array" ref="D61:E67">_xlfn.CHOOSECOLS(EntericMethane_Dairy_Equations.VEERG_3_3_1_1__4_AdditionalIntakeForMilkProduction_Arguments(), 1,2)</f>
        <v>MPU</v>
      </c>
      <c r="E61" s="136" t="str">
        <v>input milk production unit</v>
      </c>
      <c r="F61" s="138"/>
      <c r="G61" s="137" t="str" cm="1">
        <f t="array" ref="G61:H67">_xlfn.CHOOSECOLS(EntericMethane_Dairy_Equations.VEERG_3_3_1_1__4_AdditionalIntakeForMilkProduction_Arguments(), 3,4)</f>
        <v/>
      </c>
      <c r="H61" s="135" t="str">
        <v>Input</v>
      </c>
      <c r="I61" s="137" t="str">
        <f>'Input - Dairy'!$E$49</f>
        <v>Litres of milk</v>
      </c>
    </row>
    <row r="62" spans="1:23" ht="20.100000000000001" customHeight="1" x14ac:dyDescent="0.25">
      <c r="D62" s="137" t="str">
        <v>MP_j</v>
      </c>
      <c r="E62" s="136" t="str">
        <v>milk production (if input as litres of milk)</v>
      </c>
      <c r="F62" s="138"/>
      <c r="G62" s="137" t="str">
        <v>L/head/day</v>
      </c>
      <c r="H62" s="133" t="str">
        <v>Input</v>
      </c>
      <c r="I62" s="134" t="str" cm="1">
        <f t="array" aca="1" ref="I62" ca="1">HYPERLINK(Common_InputFunctions.Utility_SourceHyperlink($D$70), $D$70)</f>
        <v>Table_MP_j</v>
      </c>
    </row>
    <row r="63" spans="1:23" ht="20.100000000000001" customHeight="1" x14ac:dyDescent="0.25">
      <c r="D63" s="137" t="str">
        <v>MP_j</v>
      </c>
      <c r="E63" s="136" t="str">
        <v>milk production (if input as milk solids)</v>
      </c>
      <c r="F63" s="138"/>
      <c r="G63" s="137" t="str">
        <v>L/head/day</v>
      </c>
      <c r="H63" s="133" t="str">
        <v>Calculated from 3.3.1.1 (5)</v>
      </c>
      <c r="I63" s="134" t="str" cm="1">
        <f t="array" aca="1" ref="I63" ca="1">HYPERLINK(Common_InputFunctions.Utility_SourceHyperlink($D$46),$D$46)</f>
        <v>M1_Table_MP_j_from_solids</v>
      </c>
    </row>
    <row r="64" spans="1:23" ht="20.100000000000001" customHeight="1" x14ac:dyDescent="0.25">
      <c r="D64" s="137" t="str">
        <v>NE</v>
      </c>
      <c r="E64" s="136" t="str">
        <v>net energy</v>
      </c>
      <c r="F64" s="138"/>
      <c r="G64" s="137" t="str">
        <v>MJ net energy/kg milk</v>
      </c>
      <c r="H64" s="133" t="str">
        <v>Constant</v>
      </c>
      <c r="I64" s="137">
        <f>'Constants - Dairy'!$D$167</f>
        <v>3.0539999999999998</v>
      </c>
    </row>
    <row r="65" spans="4:22" ht="20.100000000000001" customHeight="1" x14ac:dyDescent="0.25">
      <c r="D65" s="137" t="str">
        <v>GEC</v>
      </c>
      <c r="E65" s="136" t="str">
        <v>gross energy content</v>
      </c>
      <c r="F65" s="138"/>
      <c r="G65" s="137" t="str">
        <v>MJ/kgDM</v>
      </c>
      <c r="H65" s="133" t="str">
        <v>Constant</v>
      </c>
      <c r="I65" s="137">
        <f>'Constants - Dairy'!$D$174</f>
        <v>18.399999999999999</v>
      </c>
    </row>
    <row r="66" spans="4:22" ht="20.100000000000001" customHeight="1" x14ac:dyDescent="0.25">
      <c r="D66" s="137" t="str">
        <v>k</v>
      </c>
      <c r="E66" s="137" t="str">
        <v>efficiency of metabolizable energy use for milk production</v>
      </c>
      <c r="F66" s="137"/>
      <c r="G66" s="137" t="str">
        <v>fraction</v>
      </c>
      <c r="H66" s="133" t="str">
        <v>Constant</v>
      </c>
      <c r="I66" s="137">
        <f>'Constants - Dairy'!$D$181</f>
        <v>0.6</v>
      </c>
    </row>
    <row r="67" spans="4:22" ht="20.100000000000001" customHeight="1" x14ac:dyDescent="0.25">
      <c r="D67" s="137" t="str">
        <v>qm_j</v>
      </c>
      <c r="E67" s="136" t="str">
        <v>metabolisability of the diet</v>
      </c>
      <c r="F67" s="138"/>
      <c r="G67" s="137" t="str">
        <v>fraction</v>
      </c>
      <c r="H67" s="133" t="str">
        <v>Calculated from 3.3.1.1 (6)</v>
      </c>
      <c r="I67" s="134" t="str" cm="1">
        <f t="array" aca="1" ref="I67" ca="1">HYPERLINK(Common_InputFunctions.Utility_SourceHyperlink($D$20), $D$20)</f>
        <v>M1_Table_qm_j</v>
      </c>
    </row>
    <row r="68" spans="4:22" ht="20.100000000000001" customHeight="1" x14ac:dyDescent="0.25"/>
    <row r="69" spans="4:22" ht="20.100000000000001" customHeight="1" x14ac:dyDescent="0.25"/>
    <row r="70" spans="4:22" ht="20.100000000000001" customHeight="1" x14ac:dyDescent="0.25">
      <c r="D70" s="104" t="s">
        <v>240</v>
      </c>
    </row>
    <row r="71" spans="4:22" ht="20.100000000000001" customHeight="1" x14ac:dyDescent="0.25">
      <c r="D71" s="103" t="s">
        <v>199</v>
      </c>
    </row>
    <row r="72" spans="4:22" ht="20.100000000000001" customHeight="1" x14ac:dyDescent="0.25">
      <c r="D72" s="41" t="s">
        <v>175</v>
      </c>
      <c r="E72" s="41" t="s">
        <v>192</v>
      </c>
      <c r="F72" s="41" t="s">
        <v>193</v>
      </c>
      <c r="G72" s="41" t="s">
        <v>194</v>
      </c>
      <c r="H72" s="41" t="s">
        <v>195</v>
      </c>
    </row>
    <row r="73" spans="4:22" ht="20.100000000000001" customHeight="1" x14ac:dyDescent="0.25">
      <c r="D73" s="55">
        <f>IF(I61="Milk solids", 0, 'Input - Dairy'!$E$52)</f>
        <v>20</v>
      </c>
      <c r="E73" s="55">
        <v>0</v>
      </c>
      <c r="F73" s="55">
        <v>0</v>
      </c>
      <c r="G73" s="55">
        <v>0</v>
      </c>
      <c r="H73" s="55">
        <v>0</v>
      </c>
      <c r="I73" s="2" t="s">
        <v>237</v>
      </c>
      <c r="J73" s="2"/>
      <c r="K73" s="2"/>
    </row>
    <row r="74" spans="4:22" ht="20.100000000000001" customHeight="1" x14ac:dyDescent="0.25"/>
    <row r="75" spans="4:22" ht="20.100000000000001" customHeight="1" x14ac:dyDescent="0.25">
      <c r="D75" s="104" t="s">
        <v>235</v>
      </c>
      <c r="O75" s="104" t="s">
        <v>238</v>
      </c>
    </row>
    <row r="76" spans="4:22" ht="20.100000000000001" customHeight="1" x14ac:dyDescent="0.25">
      <c r="D76" s="103" t="s">
        <v>236</v>
      </c>
      <c r="O76" s="103" t="s">
        <v>239</v>
      </c>
    </row>
    <row r="77" spans="4:22" ht="20.100000000000001" customHeight="1" x14ac:dyDescent="0.25">
      <c r="D77" s="54" t="s">
        <v>175</v>
      </c>
      <c r="E77" s="54" t="s">
        <v>192</v>
      </c>
      <c r="F77" s="54" t="s">
        <v>193</v>
      </c>
      <c r="G77" s="54" t="s">
        <v>194</v>
      </c>
      <c r="H77" s="54" t="s">
        <v>195</v>
      </c>
      <c r="O77" s="54" t="s">
        <v>175</v>
      </c>
      <c r="P77" s="54" t="s">
        <v>192</v>
      </c>
      <c r="Q77" s="54" t="s">
        <v>193</v>
      </c>
      <c r="R77" s="54" t="s">
        <v>194</v>
      </c>
      <c r="S77" s="54" t="s">
        <v>195</v>
      </c>
    </row>
    <row r="78" spans="4:22" ht="20.100000000000001" customHeight="1" x14ac:dyDescent="0.25">
      <c r="D78" s="55" cm="1">
        <f t="array" ref="D78">EntericMethane_Dairy_Equations.VEERG_3_3_1_1__4_AdditionalIntakeForMilkProduction(IF(I61="Milk solids", D49, D73), $I$64,$I$65,$I$66,D23)</f>
        <v>9.5576029567515861E-2</v>
      </c>
      <c r="E78" s="55" cm="1">
        <f t="array" ref="E78">EntericMethane_Dairy_Equations.VEERG_3_3_1_1__4_AdditionalIntakeForMilkProduction(E73, $I$64,$I$65,$I$66,E23)</f>
        <v>0</v>
      </c>
      <c r="F78" s="55" cm="1">
        <f t="array" ref="F78">EntericMethane_Dairy_Equations.VEERG_3_3_1_1__4_AdditionalIntakeForMilkProduction(F73, $I$64,$I$65,$I$66,F23)</f>
        <v>0</v>
      </c>
      <c r="G78" s="55" cm="1">
        <f t="array" ref="G78">EntericMethane_Dairy_Equations.VEERG_3_3_1_1__4_AdditionalIntakeForMilkProduction(G73, $I$64,$I$65,$I$66,G23)</f>
        <v>0</v>
      </c>
      <c r="H78" s="55" cm="1">
        <f t="array" ref="H78">EntericMethane_Dairy_Equations.VEERG_3_3_1_1__4_AdditionalIntakeForMilkProduction(H73, $I$64,$I$65,$I$66,H23)</f>
        <v>0</v>
      </c>
      <c r="I78" s="2" t="str">
        <f>$E$59</f>
        <v>kg DM/head/day</v>
      </c>
      <c r="J78" s="2"/>
      <c r="K78" s="2"/>
      <c r="O78" s="55" cm="1">
        <f t="array" ref="O78">EntericMethane_Dairy_Equations.VEERG_3_3_1_1__4_AdditionalIntakeForMilkProduction(IF(I61="Milk solids", O49, D73), $I$64,$I$65,$I$66,O23)</f>
        <v>9.5576029567515861E-2</v>
      </c>
      <c r="P78" s="55" cm="1">
        <f t="array" ref="P78">EntericMethane_Dairy_Equations.VEERG_3_3_1_1__4_AdditionalIntakeForMilkProduction(E73, $I$64,$I$65,$I$66,P23)</f>
        <v>0</v>
      </c>
      <c r="Q78" s="55" cm="1">
        <f t="array" ref="Q78">EntericMethane_Dairy_Equations.VEERG_3_3_1_1__4_AdditionalIntakeForMilkProduction(F73, $I$64,$I$65,$I$66,Q23)</f>
        <v>0</v>
      </c>
      <c r="R78" s="55" cm="1">
        <f t="array" ref="R78">EntericMethane_Dairy_Equations.VEERG_3_3_1_1__4_AdditionalIntakeForMilkProduction(G73, $I$64,$I$65,$I$66,R23)</f>
        <v>0</v>
      </c>
      <c r="S78" s="55" cm="1">
        <f t="array" ref="S78">EntericMethane_Dairy_Equations.VEERG_3_3_1_1__4_AdditionalIntakeForMilkProduction(H73, $I$64,$I$65,$I$66,S23)</f>
        <v>0</v>
      </c>
      <c r="T78" s="2" t="str">
        <f>$E$59</f>
        <v>kg DM/head/day</v>
      </c>
      <c r="U78" s="2"/>
      <c r="V78" s="2"/>
    </row>
    <row r="79" spans="4:22" ht="20.100000000000001" customHeight="1" x14ac:dyDescent="0.25"/>
    <row r="80" spans="4:22" ht="20.100000000000001" customHeight="1" x14ac:dyDescent="0.25"/>
    <row r="81" spans="3:23" ht="20.100000000000001" customHeight="1" x14ac:dyDescent="0.25">
      <c r="C81" s="48"/>
      <c r="D81" s="48"/>
      <c r="E81" s="48"/>
      <c r="F81" s="48"/>
      <c r="G81" s="48"/>
      <c r="H81" s="48"/>
      <c r="I81" s="48"/>
      <c r="J81" s="48"/>
      <c r="K81" s="48"/>
      <c r="L81" s="48"/>
      <c r="N81" s="48"/>
      <c r="O81" s="48"/>
      <c r="P81" s="48"/>
      <c r="Q81" s="48"/>
      <c r="R81" s="48"/>
      <c r="S81" s="48"/>
      <c r="T81" s="48"/>
      <c r="U81" s="48"/>
      <c r="V81" s="48"/>
      <c r="W81" s="48"/>
    </row>
    <row r="82" spans="3:23" ht="20.100000000000001" customHeight="1" x14ac:dyDescent="0.25">
      <c r="D82" s="6" t="str" cm="1">
        <f t="array" ref="D82">EntericMethane_Dairy_Equations.VEERG_3_3_1_1__3_DryMatterFeedIntake_Title()</f>
        <v>Feed intake</v>
      </c>
    </row>
    <row r="83" spans="3:23" ht="20.100000000000001" customHeight="1" x14ac:dyDescent="0.25">
      <c r="D83" s="5" t="str" cm="1">
        <f t="array" ref="D83">EntericMethane_Dairy_Equations.VEERG_3_3_1_1__3_DryMatterFeedIntake_Source()</f>
        <v>VEERG 2026: 3.3.1.1, Equation (3)</v>
      </c>
    </row>
    <row r="84" spans="3:23" ht="20.100000000000001" customHeight="1" x14ac:dyDescent="0.25">
      <c r="D84" s="13" t="s">
        <v>28</v>
      </c>
      <c r="E84" s="13" t="str" cm="1">
        <f t="array" aca="1" ref="E84" ca="1">Common_InputFunctions.Utility_DisplayFunctionName(D113)</f>
        <v>=EntericMethane_Dairy_Equations.VEERG_3_3_1_1__3_DryMatterFeedIntake</v>
      </c>
    </row>
    <row r="85" spans="3:23" ht="20.100000000000001" customHeight="1" x14ac:dyDescent="0.25"/>
    <row r="86" spans="3:23" ht="20.100000000000001" customHeight="1" x14ac:dyDescent="0.25"/>
    <row r="87" spans="3:23" ht="20.100000000000001" customHeight="1" x14ac:dyDescent="0.25">
      <c r="D87" s="56" t="s">
        <v>31</v>
      </c>
      <c r="E87" s="1" t="str" cm="1">
        <f t="array" ref="E87">EntericMethane_Dairy_Equations.VEERG_3_3_1_1__3_DryMatterFeedIntake_Variable()</f>
        <v>I_j</v>
      </c>
    </row>
    <row r="88" spans="3:23" ht="20.100000000000001" customHeight="1" x14ac:dyDescent="0.25">
      <c r="D88" s="56" t="s">
        <v>21</v>
      </c>
      <c r="E88" s="57" t="str" cm="1">
        <f t="array" ref="E88">EntericMethane_Dairy_Equations.VEERG_3_3_1_1__3_DryMatterFeedIntake_Unit()</f>
        <v>kg DM/head/day</v>
      </c>
    </row>
    <row r="89" spans="3:23" ht="20.100000000000001" customHeight="1" x14ac:dyDescent="0.25"/>
    <row r="90" spans="3:23" ht="20.100000000000001" customHeight="1" x14ac:dyDescent="0.25">
      <c r="D90" s="137" t="str" cm="1">
        <f t="array" ref="D90:E93">_xlfn.CHOOSECOLS(EntericMethane_Dairy_Equations.VEERG_3_3_1_1__3_DryMatterFeedIntake_Arguments(),1,2)</f>
        <v>W_j</v>
      </c>
      <c r="E90" s="136" t="str">
        <v>liveweight</v>
      </c>
      <c r="F90" s="138"/>
      <c r="G90" s="137" t="str" cm="1">
        <f t="array" ref="G90:H93">_xlfn.CHOOSECOLS(EntericMethane_Dairy_Equations.VEERG_3_3_1_1__3_DryMatterFeedIntake_Arguments(),3,4)</f>
        <v>kg</v>
      </c>
      <c r="H90" s="135" t="str">
        <v>Input</v>
      </c>
      <c r="I90" s="134" t="str" cm="1">
        <f t="array" aca="1" ref="I90" ca="1">HYPERLINK(Common_InputFunctions.Utility_SourceHyperlink($D$95), $D$95)</f>
        <v>M1_Table_W_j</v>
      </c>
    </row>
    <row r="91" spans="3:23" ht="20.100000000000001" customHeight="1" x14ac:dyDescent="0.25">
      <c r="D91" s="137" t="str">
        <v>LWG_j</v>
      </c>
      <c r="E91" s="136" t="str">
        <v>liveweight gain</v>
      </c>
      <c r="F91" s="138"/>
      <c r="G91" s="137" t="str">
        <v>kg/head/day</v>
      </c>
      <c r="H91" s="135" t="str">
        <v>Input</v>
      </c>
      <c r="I91" s="134" t="str" cm="1">
        <f t="array" aca="1" ref="I91" ca="1">HYPERLINK(Common_InputFunctions.Utility_SourceHyperlink($D$100), $D$100)</f>
        <v>M1_Table_LWG_j</v>
      </c>
    </row>
    <row r="92" spans="3:23" ht="20.100000000000001" customHeight="1" x14ac:dyDescent="0.25">
      <c r="D92" s="137" t="str">
        <v>MR_j</v>
      </c>
      <c r="E92" s="136" t="str">
        <v>increase in metabolic rate when producing milk</v>
      </c>
      <c r="F92" s="138"/>
      <c r="G92" s="137" t="str">
        <v>fraction</v>
      </c>
      <c r="H92" s="133" t="str">
        <v>Constant</v>
      </c>
      <c r="I92" s="134" t="str" cm="1">
        <f t="array" aca="1" ref="I92" ca="1">HYPERLINK(Common_InputFunctions.Utility_SourceHyperlink($D$105), $D$105)</f>
        <v>Table_MR_j</v>
      </c>
    </row>
    <row r="93" spans="3:23" ht="20.100000000000001" customHeight="1" x14ac:dyDescent="0.25">
      <c r="D93" s="137" t="str">
        <v>MI_j</v>
      </c>
      <c r="E93" s="136" t="str">
        <v>additional intake required for milk production</v>
      </c>
      <c r="F93" s="138"/>
      <c r="G93" s="137" t="str">
        <v>kg DM/head/day</v>
      </c>
      <c r="H93" s="133" t="str">
        <v>Calculated from 3.3.1.1 (4)</v>
      </c>
      <c r="I93" s="134" t="str" cm="1">
        <f t="array" aca="1" ref="I93" ca="1">HYPERLINK(Common_InputFunctions.Utility_SourceHyperlink($D$75), $D$75)</f>
        <v>M1_Table_MI_j</v>
      </c>
    </row>
    <row r="94" spans="3:23" ht="20.100000000000001" customHeight="1" x14ac:dyDescent="0.25"/>
    <row r="95" spans="3:23" ht="20.100000000000001" customHeight="1" x14ac:dyDescent="0.25">
      <c r="D95" s="104" t="s">
        <v>220</v>
      </c>
      <c r="O95" s="104" t="s">
        <v>222</v>
      </c>
    </row>
    <row r="96" spans="3:23" ht="20.100000000000001" customHeight="1" x14ac:dyDescent="0.25">
      <c r="D96" s="103" t="s">
        <v>221</v>
      </c>
      <c r="O96" s="103" t="s">
        <v>223</v>
      </c>
    </row>
    <row r="97" spans="1:22" ht="20.100000000000001" customHeight="1" x14ac:dyDescent="0.25">
      <c r="D97" s="41" t="s">
        <v>175</v>
      </c>
      <c r="E97" s="41" t="s">
        <v>192</v>
      </c>
      <c r="F97" s="41" t="s">
        <v>193</v>
      </c>
      <c r="G97" s="41" t="s">
        <v>194</v>
      </c>
      <c r="H97" s="41" t="s">
        <v>195</v>
      </c>
      <c r="O97" s="41" t="s">
        <v>175</v>
      </c>
      <c r="P97" s="41" t="s">
        <v>192</v>
      </c>
      <c r="Q97" s="41" t="s">
        <v>193</v>
      </c>
      <c r="R97" s="41" t="s">
        <v>194</v>
      </c>
      <c r="S97" s="41" t="s">
        <v>195</v>
      </c>
    </row>
    <row r="98" spans="1:22" ht="20.100000000000001" customHeight="1" x14ac:dyDescent="0.25">
      <c r="D98" s="55">
        <f>'Input - Dairy'!$E$14</f>
        <v>550</v>
      </c>
      <c r="E98" s="55">
        <f>'Input - Dairy'!$F$14</f>
        <v>380</v>
      </c>
      <c r="F98" s="55">
        <f>'Input - Dairy'!$G$14</f>
        <v>155</v>
      </c>
      <c r="G98" s="55">
        <f>'Input - Dairy'!$H$14</f>
        <v>600</v>
      </c>
      <c r="H98" s="55">
        <f>'Input - Dairy'!$I$14</f>
        <v>225</v>
      </c>
      <c r="I98" s="2" t="s">
        <v>197</v>
      </c>
      <c r="J98" s="2"/>
      <c r="K98" s="2"/>
      <c r="O98" s="55">
        <f>'Input - Dairy'!$E$18</f>
        <v>550</v>
      </c>
      <c r="P98" s="55">
        <f>'Input - Dairy'!$F$18</f>
        <v>380</v>
      </c>
      <c r="Q98" s="55">
        <f>'Input - Dairy'!$G$18</f>
        <v>155</v>
      </c>
      <c r="R98" s="55">
        <f>'Input - Dairy'!$H$18</f>
        <v>600</v>
      </c>
      <c r="S98" s="55">
        <f>'Input - Dairy'!$I$18</f>
        <v>225</v>
      </c>
      <c r="T98" s="2" t="s">
        <v>197</v>
      </c>
      <c r="U98" s="2"/>
      <c r="V98" s="2"/>
    </row>
    <row r="99" spans="1:22" ht="20.100000000000001" customHeight="1" x14ac:dyDescent="0.25"/>
    <row r="100" spans="1:22" ht="20.100000000000001" customHeight="1" x14ac:dyDescent="0.25">
      <c r="D100" s="104" t="s">
        <v>224</v>
      </c>
      <c r="O100" s="104" t="s">
        <v>226</v>
      </c>
    </row>
    <row r="101" spans="1:22" ht="20.100000000000001" customHeight="1" x14ac:dyDescent="0.25">
      <c r="D101" s="103" t="s">
        <v>225</v>
      </c>
      <c r="O101" s="103" t="s">
        <v>227</v>
      </c>
    </row>
    <row r="102" spans="1:22" ht="20.100000000000001" customHeight="1" x14ac:dyDescent="0.25">
      <c r="D102" s="41" t="s">
        <v>175</v>
      </c>
      <c r="E102" s="41" t="s">
        <v>192</v>
      </c>
      <c r="F102" s="41" t="s">
        <v>193</v>
      </c>
      <c r="G102" s="41" t="s">
        <v>194</v>
      </c>
      <c r="H102" s="41" t="s">
        <v>195</v>
      </c>
      <c r="O102" s="41" t="s">
        <v>175</v>
      </c>
      <c r="P102" s="41" t="s">
        <v>192</v>
      </c>
      <c r="Q102" s="41" t="s">
        <v>193</v>
      </c>
      <c r="R102" s="41" t="s">
        <v>194</v>
      </c>
      <c r="S102" s="41" t="s">
        <v>195</v>
      </c>
    </row>
    <row r="103" spans="1:22" ht="20.100000000000001" customHeight="1" x14ac:dyDescent="0.25">
      <c r="D103" s="55">
        <f>'Input - Dairy'!$E$15</f>
        <v>1.6E-2</v>
      </c>
      <c r="E103" s="55">
        <f>'Input - Dairy'!$F$15</f>
        <v>0.6</v>
      </c>
      <c r="F103" s="55">
        <f>'Input - Dairy'!$G$15</f>
        <v>0.56999999999999995</v>
      </c>
      <c r="G103" s="55">
        <f>'Input - Dairy'!$H$15</f>
        <v>0.1</v>
      </c>
      <c r="H103" s="55">
        <f>'Input - Dairy'!$I$15</f>
        <v>0.8</v>
      </c>
      <c r="I103" s="2" t="s">
        <v>198</v>
      </c>
      <c r="J103" s="2"/>
      <c r="K103" s="2"/>
      <c r="O103" s="55">
        <f>'Input - Dairy'!$E$19</f>
        <v>1.6E-2</v>
      </c>
      <c r="P103" s="55">
        <f>'Input - Dairy'!$F$19</f>
        <v>0.6</v>
      </c>
      <c r="Q103" s="55">
        <f>'Input - Dairy'!$G$19</f>
        <v>0.56999999999999995</v>
      </c>
      <c r="R103" s="55">
        <f>'Input - Dairy'!$H$19</f>
        <v>0.1</v>
      </c>
      <c r="S103" s="55">
        <f>'Input - Dairy'!$I$19</f>
        <v>0.8</v>
      </c>
      <c r="T103" s="2" t="s">
        <v>198</v>
      </c>
      <c r="U103" s="2"/>
      <c r="V103" s="2"/>
    </row>
    <row r="104" spans="1:22" ht="20.100000000000001" customHeight="1" x14ac:dyDescent="0.25"/>
    <row r="105" spans="1:22" ht="20.100000000000001" customHeight="1" x14ac:dyDescent="0.25">
      <c r="A105" s="141" t="str">
        <f>HYPERLINK("#A1", "▲ Back to top")</f>
        <v>▲ Back to top</v>
      </c>
      <c r="D105" s="104" t="s">
        <v>228</v>
      </c>
    </row>
    <row r="106" spans="1:22" ht="20.100000000000001" customHeight="1" x14ac:dyDescent="0.25">
      <c r="D106" s="103" t="s">
        <v>229</v>
      </c>
    </row>
    <row r="107" spans="1:22" ht="20.100000000000001" customHeight="1" x14ac:dyDescent="0.25">
      <c r="D107" s="54" t="s">
        <v>175</v>
      </c>
      <c r="E107" s="54" t="s">
        <v>192</v>
      </c>
      <c r="F107" s="54" t="s">
        <v>193</v>
      </c>
      <c r="G107" s="54" t="s">
        <v>194</v>
      </c>
      <c r="H107" s="54" t="s">
        <v>195</v>
      </c>
    </row>
    <row r="108" spans="1:22" ht="20.100000000000001" customHeight="1" x14ac:dyDescent="0.25">
      <c r="D108" s="55">
        <f>'Constants - Dairy'!$E$108</f>
        <v>1.1000000000000001</v>
      </c>
      <c r="E108" s="55">
        <f>'Constants - Dairy'!$E$109</f>
        <v>1</v>
      </c>
      <c r="F108" s="55">
        <f>'Constants - Dairy'!$E$109</f>
        <v>1</v>
      </c>
      <c r="G108" s="55">
        <f>'Constants - Dairy'!$E$109</f>
        <v>1</v>
      </c>
      <c r="H108" s="55">
        <f>'Constants - Dairy'!$E$109</f>
        <v>1</v>
      </c>
      <c r="I108" s="2" t="s">
        <v>101</v>
      </c>
      <c r="J108" s="2"/>
      <c r="K108" s="2"/>
    </row>
    <row r="109" spans="1:22" ht="20.100000000000001" customHeight="1" x14ac:dyDescent="0.25"/>
    <row r="110" spans="1:22" ht="20.100000000000001" customHeight="1" x14ac:dyDescent="0.25">
      <c r="D110" s="104" t="s">
        <v>114</v>
      </c>
      <c r="O110" s="104" t="s">
        <v>116</v>
      </c>
    </row>
    <row r="111" spans="1:22" ht="20.100000000000001" customHeight="1" x14ac:dyDescent="0.25">
      <c r="D111" s="103" t="s">
        <v>243</v>
      </c>
      <c r="O111" s="103" t="s">
        <v>242</v>
      </c>
    </row>
    <row r="112" spans="1:22" ht="20.100000000000001" customHeight="1" x14ac:dyDescent="0.25">
      <c r="D112" s="54" t="s">
        <v>175</v>
      </c>
      <c r="E112" s="54" t="s">
        <v>192</v>
      </c>
      <c r="F112" s="54" t="s">
        <v>193</v>
      </c>
      <c r="G112" s="54" t="s">
        <v>194</v>
      </c>
      <c r="H112" s="54" t="s">
        <v>195</v>
      </c>
      <c r="O112" s="54" t="s">
        <v>175</v>
      </c>
      <c r="P112" s="54" t="s">
        <v>192</v>
      </c>
      <c r="Q112" s="54" t="s">
        <v>193</v>
      </c>
      <c r="R112" s="54" t="s">
        <v>194</v>
      </c>
      <c r="S112" s="54" t="s">
        <v>195</v>
      </c>
    </row>
    <row r="113" spans="3:23" ht="20.100000000000001" customHeight="1" x14ac:dyDescent="0.25">
      <c r="D113" s="55" cm="1">
        <f t="array" ref="D113">EntericMethane_Dairy_Equations.VEERG_3_3_1_1__3_DryMatterFeedIntake(D98,D103,D108,D78)</f>
        <v>9.3500215503275186</v>
      </c>
      <c r="E113" s="55" cm="1">
        <f t="array" ref="E113">EntericMethane_Dairy_Equations.VEERG_3_3_1_1__3_DryMatterFeedIntake(E98,E103,E108,E78)</f>
        <v>7.4188685375999972</v>
      </c>
      <c r="F113" s="55" cm="1">
        <f t="array" ref="F113">EntericMethane_Dairy_Equations.VEERG_3_3_1_1__3_DryMatterFeedIntake(F98,F103,F108,F78)</f>
        <v>4.0231734662249998</v>
      </c>
      <c r="G113" s="55" cm="1">
        <f t="array" ref="G113">EntericMethane_Dairy_Equations.VEERG_3_3_1_1__3_DryMatterFeedIntake(G98,G103,G108,G78)</f>
        <v>9.0270202499999979</v>
      </c>
      <c r="H113" s="55" cm="1">
        <f t="array" ref="H113">EntericMethane_Dairy_Equations.VEERG_3_3_1_1__3_DryMatterFeedIntake(H98,H103,H108,H78)</f>
        <v>5.4143472656250013</v>
      </c>
      <c r="I113" s="2" t="str">
        <f>$E$88</f>
        <v>kg DM/head/day</v>
      </c>
      <c r="J113" s="2"/>
      <c r="K113" s="2"/>
      <c r="O113" s="55" cm="1">
        <f t="array" ref="O113">EntericMethane_Dairy_Equations.VEERG_3_3_1_1__3_DryMatterFeedIntake(O98,O103,D108,O78)</f>
        <v>9.3500215503275186</v>
      </c>
      <c r="P113" s="55" cm="1">
        <f t="array" ref="P113">EntericMethane_Dairy_Equations.VEERG_3_3_1_1__3_DryMatterFeedIntake(P98,P103,E108,P78)</f>
        <v>7.4188685375999972</v>
      </c>
      <c r="Q113" s="55" cm="1">
        <f t="array" ref="Q113">EntericMethane_Dairy_Equations.VEERG_3_3_1_1__3_DryMatterFeedIntake(Q98,Q103,F108,Q78)</f>
        <v>4.0231734662249998</v>
      </c>
      <c r="R113" s="55" cm="1">
        <f t="array" ref="R113">EntericMethane_Dairy_Equations.VEERG_3_3_1_1__3_DryMatterFeedIntake(R98,R103,G108,R78)</f>
        <v>9.0270202499999979</v>
      </c>
      <c r="S113" s="55" cm="1">
        <f t="array" ref="S113">EntericMethane_Dairy_Equations.VEERG_3_3_1_1__3_DryMatterFeedIntake(S98,S103,H108,S78)</f>
        <v>5.4143472656250013</v>
      </c>
      <c r="T113" s="2" t="str">
        <f>$E$88</f>
        <v>kg DM/head/day</v>
      </c>
      <c r="U113" s="2"/>
      <c r="V113" s="2"/>
    </row>
    <row r="114" spans="3:23" ht="20.100000000000001" customHeight="1" x14ac:dyDescent="0.25"/>
    <row r="115" spans="3:23" ht="20.100000000000001" customHeight="1" x14ac:dyDescent="0.25"/>
    <row r="116" spans="3:23" ht="20.100000000000001" customHeight="1" x14ac:dyDescent="0.25">
      <c r="C116" s="48"/>
      <c r="D116" s="48"/>
      <c r="E116" s="48"/>
      <c r="F116" s="48"/>
      <c r="G116" s="48"/>
      <c r="H116" s="48"/>
      <c r="I116" s="48"/>
      <c r="J116" s="48"/>
      <c r="K116" s="48"/>
      <c r="L116" s="48"/>
      <c r="N116" s="48"/>
      <c r="O116" s="48"/>
      <c r="P116" s="48"/>
      <c r="Q116" s="48"/>
      <c r="R116" s="48"/>
      <c r="S116" s="48"/>
      <c r="T116" s="48"/>
      <c r="U116" s="48"/>
      <c r="V116" s="48"/>
      <c r="W116" s="48"/>
    </row>
    <row r="117" spans="3:23" ht="20.100000000000001" customHeight="1" x14ac:dyDescent="0.25">
      <c r="D117" s="6" t="str" cm="1">
        <f t="array" ref="D117">MMS_Dairy_Methane_Equations.VEERG_4_3_1_1__3_VolatileSolidsForWeanedDairyCattle_Title()</f>
        <v>Volatile solids for weaned dairy cattle</v>
      </c>
    </row>
    <row r="118" spans="3:23" ht="20.100000000000001" customHeight="1" x14ac:dyDescent="0.25">
      <c r="D118" s="5" t="str" cm="1">
        <f t="array" ref="D118">MMS_Dairy_Methane_Equations.VEERG_4_3_1_1__3_VolatileSolidsForWeanedDairyCattle_Source()</f>
        <v>VEERG 2026: 4.3.1.1, Equation (3)</v>
      </c>
    </row>
    <row r="119" spans="3:23" ht="20.100000000000001" customHeight="1" x14ac:dyDescent="0.25">
      <c r="D119" s="13" t="s">
        <v>28</v>
      </c>
      <c r="E119" s="13" t="str" cm="1">
        <f t="array" aca="1" ref="E119" ca="1">Common_InputFunctions.Utility_DisplayFunctionName(D132)</f>
        <v>=MMS_Dairy_Methane_Equations.VEERG_4_3_1_1__3_VolatileSolidsForWeanedDairyCattle</v>
      </c>
    </row>
    <row r="120" spans="3:23" ht="20.100000000000001" customHeight="1" x14ac:dyDescent="0.25"/>
    <row r="121" spans="3:23" ht="20.100000000000001" customHeight="1" x14ac:dyDescent="0.25"/>
    <row r="122" spans="3:23" ht="20.100000000000001" customHeight="1" x14ac:dyDescent="0.25">
      <c r="D122" s="56" t="s">
        <v>31</v>
      </c>
      <c r="E122" s="1" t="str" cm="1">
        <f t="array" ref="E122">MMS_Dairy_Methane_Equations.VEERG_4_3_1_1__3_VolatileSolidsForWeanedDairyCattle_Variable()</f>
        <v>VS_j</v>
      </c>
    </row>
    <row r="123" spans="3:23" ht="20.100000000000001" customHeight="1" x14ac:dyDescent="0.25">
      <c r="D123" s="56" t="s">
        <v>21</v>
      </c>
      <c r="E123" s="57" t="str" cm="1">
        <f t="array" ref="E123">MMS_Dairy_Methane_Equations.VEERG_4_3_1_1__3_VolatileSolidsForWeanedDairyCattle_Unit()</f>
        <v>kg/head/day</v>
      </c>
    </row>
    <row r="124" spans="3:23" ht="20.100000000000001" customHeight="1" x14ac:dyDescent="0.25"/>
    <row r="125" spans="3:23" ht="20.100000000000001" customHeight="1" x14ac:dyDescent="0.25">
      <c r="D125" s="137" t="str" cm="1">
        <f t="array" ref="D125:E127">_xlfn.CHOOSECOLS(MMS_Dairy_Methane_Equations.VEERG_4_3_1_1__3_VolatileSolidsForWeanedDairyCattle_Arguments(), 1,2)</f>
        <v>I_j</v>
      </c>
      <c r="E125" s="136" t="str">
        <v>dry matter feed intake (kgDM/head/day)</v>
      </c>
      <c r="F125" s="138"/>
      <c r="G125" s="137" t="str" cm="1">
        <f t="array" ref="G125:H127">_xlfn.CHOOSECOLS(MMS_Dairy_Methane_Equations.VEERG_4_3_1_1__3_VolatileSolidsForWeanedDairyCattle_Arguments(), 3,4)</f>
        <v>kgDM/head/day</v>
      </c>
      <c r="H125" s="133" t="str">
        <v>Calculated from 3.3.1.1 (3)</v>
      </c>
      <c r="I125" s="134" t="str" cm="1">
        <f t="array" aca="1" ref="I125" ca="1">HYPERLINK(Common_InputFunctions.Utility_SourceHyperlink($D$110), $D$110)</f>
        <v>M1_Table_I_j</v>
      </c>
    </row>
    <row r="126" spans="3:23" ht="20.100000000000001" customHeight="1" x14ac:dyDescent="0.25">
      <c r="D126" s="137" t="str">
        <v>DMD_j</v>
      </c>
      <c r="E126" s="136" t="str">
        <v>dry matter digestibility</v>
      </c>
      <c r="F126" s="138"/>
      <c r="G126" s="137" t="str">
        <v>fraction</v>
      </c>
      <c r="H126" s="135" t="str">
        <v>Input</v>
      </c>
      <c r="I126" s="134" t="str" cm="1">
        <f t="array" aca="1" ref="I126" ca="1">HYPERLINK(Common_InputFunctions.Utility_SourceHyperlink($D$15), $D$15)</f>
        <v>M1_Table_DMD_j</v>
      </c>
    </row>
    <row r="127" spans="3:23" ht="20.100000000000001" customHeight="1" x14ac:dyDescent="0.25">
      <c r="D127" s="137" t="str">
        <v>A</v>
      </c>
      <c r="E127" s="136" t="str">
        <v>ash content of feed intake</v>
      </c>
      <c r="F127" s="138"/>
      <c r="G127" s="137" t="str">
        <v>fraction</v>
      </c>
      <c r="H127" s="133" t="str">
        <v>Constant</v>
      </c>
      <c r="I127" s="137">
        <f>'Constants - Dairy'!$D$188</f>
        <v>0.08</v>
      </c>
    </row>
    <row r="128" spans="3:23" ht="20.100000000000001" customHeight="1" x14ac:dyDescent="0.25"/>
    <row r="129" spans="3:23" ht="20.100000000000001" customHeight="1" x14ac:dyDescent="0.25">
      <c r="D129" s="104" t="s">
        <v>127</v>
      </c>
      <c r="O129" s="104" t="s">
        <v>130</v>
      </c>
    </row>
    <row r="130" spans="3:23" ht="20.100000000000001" customHeight="1" x14ac:dyDescent="0.25">
      <c r="D130" s="103" t="s">
        <v>244</v>
      </c>
      <c r="O130" s="103" t="s">
        <v>245</v>
      </c>
    </row>
    <row r="131" spans="3:23" ht="20.100000000000001" customHeight="1" x14ac:dyDescent="0.25">
      <c r="D131" s="54" t="s">
        <v>175</v>
      </c>
      <c r="E131" s="54" t="s">
        <v>192</v>
      </c>
      <c r="F131" s="54" t="s">
        <v>193</v>
      </c>
      <c r="G131" s="54" t="s">
        <v>194</v>
      </c>
      <c r="H131" s="54" t="s">
        <v>195</v>
      </c>
      <c r="O131" s="54" t="s">
        <v>175</v>
      </c>
      <c r="P131" s="54" t="s">
        <v>192</v>
      </c>
      <c r="Q131" s="54" t="s">
        <v>193</v>
      </c>
      <c r="R131" s="54" t="s">
        <v>194</v>
      </c>
      <c r="S131" s="54" t="s">
        <v>195</v>
      </c>
    </row>
    <row r="132" spans="3:23" ht="20.100000000000001" customHeight="1" x14ac:dyDescent="0.25">
      <c r="D132" s="55" cm="1">
        <f t="array" ref="D132">MMS_Dairy_Methane_Equations.VEERG_4_3_1_1__3_VolatileSolidsForWeanedDairyCattle(D113,D18,$I$127)</f>
        <v>2.4945857496273818</v>
      </c>
      <c r="E132" s="55" cm="1">
        <f t="array" ref="E132">MMS_Dairy_Methane_Equations.VEERG_4_3_1_1__3_VolatileSolidsForWeanedDairyCattle(E113,E18,$I$127)</f>
        <v>1.9793541258316791</v>
      </c>
      <c r="F132" s="55" cm="1">
        <f t="array" ref="F132">MMS_Dairy_Methane_Equations.VEERG_4_3_1_1__3_VolatileSolidsForWeanedDairyCattle(F113,F18,$I$127)</f>
        <v>1.07338268078883</v>
      </c>
      <c r="G132" s="55" cm="1">
        <f t="array" ref="G132">MMS_Dairy_Methane_Equations.VEERG_4_3_1_1__3_VolatileSolidsForWeanedDairyCattle(G113,G18,$I$127)</f>
        <v>2.4084090026999996</v>
      </c>
      <c r="H132" s="55" cm="1">
        <f t="array" ref="H132">MMS_Dairy_Methane_Equations.VEERG_4_3_1_1__3_VolatileSolidsForWeanedDairyCattle(H113,H18,$I$127)</f>
        <v>1.4445478504687506</v>
      </c>
      <c r="I132" s="2" t="str">
        <f>$E$123</f>
        <v>kg/head/day</v>
      </c>
      <c r="O132" s="55" cm="1">
        <f t="array" ref="O132">MMS_Dairy_Methane_Equations.VEERG_4_3_1_1__3_VolatileSolidsForWeanedDairyCattle(O113,O18,$I$127)</f>
        <v>2.4945857496273818</v>
      </c>
      <c r="P132" s="55" cm="1">
        <f t="array" ref="P132">MMS_Dairy_Methane_Equations.VEERG_4_3_1_1__3_VolatileSolidsForWeanedDairyCattle(P113,P18,$I$127)</f>
        <v>1.9793541258316791</v>
      </c>
      <c r="Q132" s="55" cm="1">
        <f t="array" ref="Q132">MMS_Dairy_Methane_Equations.VEERG_4_3_1_1__3_VolatileSolidsForWeanedDairyCattle(Q113,Q18,$I$127)</f>
        <v>1.07338268078883</v>
      </c>
      <c r="R132" s="55" cm="1">
        <f t="array" ref="R132">MMS_Dairy_Methane_Equations.VEERG_4_3_1_1__3_VolatileSolidsForWeanedDairyCattle(R113,R18,$I$127)</f>
        <v>2.4084090026999996</v>
      </c>
      <c r="S132" s="55" cm="1">
        <f t="array" ref="S132">MMS_Dairy_Methane_Equations.VEERG_4_3_1_1__3_VolatileSolidsForWeanedDairyCattle(S113,S18,$I$127)</f>
        <v>1.4445478504687506</v>
      </c>
      <c r="T132" s="2" t="str">
        <f>$E$123</f>
        <v>kg/head/day</v>
      </c>
    </row>
    <row r="133" spans="3:23" ht="20.100000000000001" customHeight="1" x14ac:dyDescent="0.25"/>
    <row r="134" spans="3:23" ht="20.100000000000001" customHeight="1" x14ac:dyDescent="0.25"/>
    <row r="135" spans="3:23" ht="20.100000000000001" customHeight="1" x14ac:dyDescent="0.25">
      <c r="C135" s="48"/>
      <c r="D135" s="48"/>
      <c r="E135" s="48"/>
      <c r="F135" s="48"/>
      <c r="G135" s="48"/>
      <c r="H135" s="48"/>
      <c r="I135" s="48"/>
      <c r="J135" s="48"/>
      <c r="K135" s="48"/>
      <c r="L135" s="48"/>
      <c r="N135" s="48"/>
      <c r="O135" s="48"/>
      <c r="P135" s="48"/>
      <c r="Q135" s="48"/>
      <c r="R135" s="48"/>
      <c r="S135" s="48"/>
      <c r="T135" s="48"/>
      <c r="U135" s="48"/>
      <c r="V135" s="48"/>
      <c r="W135" s="48"/>
    </row>
    <row r="136" spans="3:23" ht="20.100000000000001" customHeight="1" x14ac:dyDescent="0.25">
      <c r="D136" s="6" t="str" cm="1">
        <f t="array" ref="D136">MMS_Dairy_Methane_Equations.VEERG_4_3_1_1__4_FractionVolatileSolidsNotSolidStorage_Title()</f>
        <v>Fraction of volatile solids in each system other than solid storage</v>
      </c>
    </row>
    <row r="137" spans="3:23" ht="20.100000000000001" customHeight="1" x14ac:dyDescent="0.25">
      <c r="D137" s="5" t="str" cm="1">
        <f t="array" ref="D137">MMS_Dairy_Methane_Equations.VEERG_4_3_1_1__4_FractionVolatileSolidsNotSolidStorage_Source()</f>
        <v>VEERG 2026: 4.3.1.1, Equation (4)</v>
      </c>
      <c r="E137" s="13"/>
    </row>
    <row r="138" spans="3:23" ht="20.100000000000001" customHeight="1" x14ac:dyDescent="0.25">
      <c r="D138" s="13" t="s">
        <v>28</v>
      </c>
      <c r="E138" s="13" t="str" cm="1">
        <f t="array" aca="1" ref="E138" ca="1">Common_InputFunctions.Utility_DisplayFunctionName(F173)</f>
        <v>=MMS_Dairy_Methane_Equations.VEERG_4_3_1_1__4_FractionVolatileSolidsNotSolidStorage</v>
      </c>
    </row>
    <row r="139" spans="3:23" ht="20.100000000000001" customHeight="1" x14ac:dyDescent="0.25">
      <c r="D139" s="6"/>
    </row>
    <row r="140" spans="3:23" ht="20.100000000000001" customHeight="1" x14ac:dyDescent="0.25"/>
    <row r="141" spans="3:23" ht="20.100000000000001" customHeight="1" x14ac:dyDescent="0.25">
      <c r="D141" s="56" t="s">
        <v>31</v>
      </c>
      <c r="E141" s="1" t="str" cm="1">
        <f t="array" ref="E141">MMS_Dairy_Methane_Equations.VEERG_4_3_1_1__4_FractionVolatileSolidsNotSolidStorage_Variable()</f>
        <v>FVS_jm</v>
      </c>
    </row>
    <row r="142" spans="3:23" ht="20.100000000000001" customHeight="1" x14ac:dyDescent="0.25">
      <c r="D142" s="56" t="s">
        <v>21</v>
      </c>
      <c r="E142" s="57" t="str" cm="1">
        <f t="array" ref="E142">MMS_Dairy_Methane_Equations.VEERG_4_3_1_1__4_FractionVolatileSolidsNotSolidStorage_Unit()</f>
        <v>fraction</v>
      </c>
    </row>
    <row r="143" spans="3:23" ht="20.100000000000001" customHeight="1" x14ac:dyDescent="0.25"/>
    <row r="144" spans="3:23" ht="20.100000000000001" customHeight="1" x14ac:dyDescent="0.25">
      <c r="D144" s="137" t="str" cm="1">
        <f t="array" ref="D144:E145">_xlfn.CHOOSECOLS(MMS_Dairy_Methane_Equations.VEERG_4_3_1_1__4_FractionVolatileSolidsNotSolidStorage_Arguments(),1,2)</f>
        <v>MMS_jm</v>
      </c>
      <c r="E144" s="137" t="str">
        <v>fraction of manure to each primary MMS for each class prior to solid separation</v>
      </c>
      <c r="F144" s="137"/>
      <c r="G144" s="137" t="str" cm="1">
        <f t="array" ref="G144:H145">_xlfn.CHOOSECOLS(MMS_Dairy_Methane_Equations.VEERG_4_3_1_1__4_FractionVolatileSolidsNotSolidStorage_Arguments(),3,4)</f>
        <v>fraction</v>
      </c>
      <c r="H144" s="135" t="str">
        <v>Input</v>
      </c>
      <c r="I144" s="134" t="str" cm="1">
        <f t="array" aca="1" ref="I144" ca="1">HYPERLINK(Common_InputFunctions.Utility_SourceHyperlink($D$147),$D$147)</f>
        <v>M1_Table_MMS_j_m</v>
      </c>
    </row>
    <row r="145" spans="1:22" ht="20.100000000000001" customHeight="1" x14ac:dyDescent="0.25">
      <c r="D145" s="137" t="str">
        <v>SS_m</v>
      </c>
      <c r="E145" s="137" t="str">
        <v>fraction of volatile solids separated to solid storage for each MMS</v>
      </c>
      <c r="F145" s="137"/>
      <c r="G145" s="137" t="str">
        <v>fraction</v>
      </c>
      <c r="H145" s="135" t="str">
        <v>Input</v>
      </c>
      <c r="I145" s="134" t="str" cm="1">
        <f t="array" aca="1" ref="I145" ca="1">HYPERLINK(Common_InputFunctions.Utility_SourceHyperlink($D$158),$D$158)</f>
        <v>M1_Table_SS_m</v>
      </c>
    </row>
    <row r="146" spans="1:22" ht="20.100000000000001" customHeight="1" x14ac:dyDescent="0.25"/>
    <row r="147" spans="1:22" ht="20.100000000000001" customHeight="1" x14ac:dyDescent="0.25">
      <c r="D147" s="104" t="s">
        <v>250</v>
      </c>
      <c r="O147" s="104" t="s">
        <v>252</v>
      </c>
    </row>
    <row r="148" spans="1:22" ht="20.100000000000001" customHeight="1" x14ac:dyDescent="0.25">
      <c r="D148" s="103" t="s">
        <v>251</v>
      </c>
      <c r="O148" s="103" t="s">
        <v>253</v>
      </c>
    </row>
    <row r="149" spans="1:22" ht="20.100000000000001" customHeight="1" x14ac:dyDescent="0.25">
      <c r="D149" s="41" t="s">
        <v>149</v>
      </c>
      <c r="E149" s="41" t="s">
        <v>69</v>
      </c>
      <c r="F149" s="41" t="s">
        <v>175</v>
      </c>
      <c r="G149" s="41" t="s">
        <v>192</v>
      </c>
      <c r="H149" s="41" t="s">
        <v>193</v>
      </c>
      <c r="I149" s="41" t="s">
        <v>194</v>
      </c>
      <c r="J149" s="41" t="s">
        <v>195</v>
      </c>
      <c r="O149" s="41" t="s">
        <v>149</v>
      </c>
      <c r="P149" s="41" t="s">
        <v>69</v>
      </c>
      <c r="Q149" s="41" t="s">
        <v>175</v>
      </c>
      <c r="R149" s="41" t="s">
        <v>192</v>
      </c>
      <c r="S149" s="41" t="s">
        <v>193</v>
      </c>
      <c r="T149" s="41" t="s">
        <v>194</v>
      </c>
      <c r="U149" s="41" t="s">
        <v>195</v>
      </c>
    </row>
    <row r="150" spans="1:22" ht="20.100000000000001" customHeight="1" x14ac:dyDescent="0.25">
      <c r="D150" s="55" t="str">
        <f>'Input - Dairy'!$D$65</f>
        <v>Pasture</v>
      </c>
      <c r="E150" s="55" t="str">
        <f>'Constants - Livestock'!$E$27</f>
        <v>Pasture range and paddock</v>
      </c>
      <c r="F150" s="55">
        <f>'Input - Dairy'!E65</f>
        <v>0.53400000000000003</v>
      </c>
      <c r="G150" s="55">
        <f>'Input - Dairy'!F65</f>
        <v>0.53400000000000003</v>
      </c>
      <c r="H150" s="55">
        <f>'Input - Dairy'!G65</f>
        <v>0.53400000000000003</v>
      </c>
      <c r="I150" s="55">
        <f>'Input - Dairy'!H65</f>
        <v>0.53400000000000003</v>
      </c>
      <c r="J150" s="55">
        <f>'Input - Dairy'!I65</f>
        <v>0.53400000000000003</v>
      </c>
      <c r="K150" s="2" t="str">
        <f>$G$144</f>
        <v>fraction</v>
      </c>
      <c r="O150" s="55" t="str">
        <f>'Input - Dairy'!$D$65</f>
        <v>Pasture</v>
      </c>
      <c r="P150" s="55" t="str">
        <f>'Constants - Livestock'!$E$27</f>
        <v>Pasture range and paddock</v>
      </c>
      <c r="Q150" s="55">
        <f>'Input - Dairy'!E70</f>
        <v>0.53400000000000003</v>
      </c>
      <c r="R150" s="55">
        <f>'Input - Dairy'!F70</f>
        <v>0.53400000000000003</v>
      </c>
      <c r="S150" s="55">
        <f>'Input - Dairy'!G70</f>
        <v>0.53400000000000003</v>
      </c>
      <c r="T150" s="55">
        <f>'Input - Dairy'!H70</f>
        <v>0.53400000000000003</v>
      </c>
      <c r="U150" s="55">
        <f>'Input - Dairy'!I70</f>
        <v>0.53400000000000003</v>
      </c>
    </row>
    <row r="151" spans="1:22" ht="20.100000000000001" customHeight="1" x14ac:dyDescent="0.25">
      <c r="A151" s="141" t="str">
        <f>HYPERLINK("#A1", "▲ Back to top")</f>
        <v>▲ Back to top</v>
      </c>
      <c r="D151" s="55" t="str">
        <f>'Input - Dairy'!$D$66</f>
        <v>Milking shed</v>
      </c>
      <c r="E151" s="55" t="str">
        <f>'Input - Dairy'!$D$85</f>
        <v>Anaerobic lagoon</v>
      </c>
      <c r="F151" s="55">
        <f>'Input - Dairy'!E$66*'Input - Dairy'!E85</f>
        <v>2.75E-2</v>
      </c>
      <c r="G151" s="55">
        <f>'Input - Dairy'!F$66*'Input - Dairy'!F85</f>
        <v>2.75E-2</v>
      </c>
      <c r="H151" s="55">
        <f>'Input - Dairy'!G$66*'Input - Dairy'!G85</f>
        <v>2.75E-2</v>
      </c>
      <c r="I151" s="55">
        <f>'Input - Dairy'!H$66*'Input - Dairy'!H85</f>
        <v>2.75E-2</v>
      </c>
      <c r="J151" s="55">
        <f>'Input - Dairy'!I$66*'Input - Dairy'!I85</f>
        <v>2.75E-2</v>
      </c>
      <c r="K151" s="2"/>
      <c r="O151" s="55" t="str">
        <f>'Input - Dairy'!$D$66</f>
        <v>Milking shed</v>
      </c>
      <c r="P151" s="55" t="str">
        <f>'Input - Dairy'!$D$85</f>
        <v>Anaerobic lagoon</v>
      </c>
      <c r="Q151" s="55">
        <f>'Input - Dairy'!E$71*'Input - Dairy'!E85</f>
        <v>2.75E-2</v>
      </c>
      <c r="R151" s="55">
        <f>'Input - Dairy'!F$71*'Input - Dairy'!F85</f>
        <v>2.75E-2</v>
      </c>
      <c r="S151" s="55">
        <f>'Input - Dairy'!G$71*'Input - Dairy'!G85</f>
        <v>2.75E-2</v>
      </c>
      <c r="T151" s="55">
        <f>'Input - Dairy'!H$71*'Input - Dairy'!H85</f>
        <v>2.75E-2</v>
      </c>
      <c r="U151" s="55">
        <f>'Input - Dairy'!I$71*'Input - Dairy'!I85</f>
        <v>2.75E-2</v>
      </c>
      <c r="V151" s="2" t="str">
        <f>$G$144</f>
        <v>fraction</v>
      </c>
    </row>
    <row r="152" spans="1:22" ht="20.100000000000001" customHeight="1" x14ac:dyDescent="0.25">
      <c r="D152" s="55" t="str">
        <f>'Input - Dairy'!$D$66</f>
        <v>Milking shed</v>
      </c>
      <c r="E152" s="55" t="str">
        <f>'Input - Dairy'!$D$86</f>
        <v>Sump and dispersal system</v>
      </c>
      <c r="F152" s="55">
        <f>'Input - Dairy'!E$66*'Input - Dairy'!E86</f>
        <v>2.75E-2</v>
      </c>
      <c r="G152" s="55">
        <f>'Input - Dairy'!F$66*'Input - Dairy'!F86</f>
        <v>2.75E-2</v>
      </c>
      <c r="H152" s="55">
        <f>'Input - Dairy'!G$66*'Input - Dairy'!G86</f>
        <v>2.75E-2</v>
      </c>
      <c r="I152" s="55">
        <f>'Input - Dairy'!H$66*'Input - Dairy'!H86</f>
        <v>2.75E-2</v>
      </c>
      <c r="J152" s="55">
        <f>'Input - Dairy'!I$66*'Input - Dairy'!I86</f>
        <v>2.75E-2</v>
      </c>
      <c r="K152" s="2"/>
      <c r="O152" s="55" t="str">
        <f>'Input - Dairy'!$D$66</f>
        <v>Milking shed</v>
      </c>
      <c r="P152" s="55" t="str">
        <f>'Input - Dairy'!$D$86</f>
        <v>Sump and dispersal system</v>
      </c>
      <c r="Q152" s="55">
        <f>'Input - Dairy'!E$71*'Input - Dairy'!E86</f>
        <v>2.75E-2</v>
      </c>
      <c r="R152" s="55">
        <f>'Input - Dairy'!F$71*'Input - Dairy'!F86</f>
        <v>2.75E-2</v>
      </c>
      <c r="S152" s="55">
        <f>'Input - Dairy'!G$71*'Input - Dairy'!G86</f>
        <v>2.75E-2</v>
      </c>
      <c r="T152" s="55">
        <f>'Input - Dairy'!H$71*'Input - Dairy'!H86</f>
        <v>2.75E-2</v>
      </c>
      <c r="U152" s="55">
        <f>'Input - Dairy'!I$71*'Input - Dairy'!I86</f>
        <v>2.75E-2</v>
      </c>
      <c r="V152" s="2"/>
    </row>
    <row r="153" spans="1:22" ht="20.100000000000001" customHeight="1" x14ac:dyDescent="0.25">
      <c r="D153" s="55" t="str">
        <f>'Input - Dairy'!$D$66</f>
        <v>Milking shed</v>
      </c>
      <c r="E153" s="55" t="str">
        <f>'Input - Dairy'!$D$87</f>
        <v>Drains to paddock</v>
      </c>
      <c r="F153" s="55">
        <f>'Input - Dairy'!E$66*'Input - Dairy'!E87</f>
        <v>2.75E-2</v>
      </c>
      <c r="G153" s="55">
        <f>'Input - Dairy'!F$66*'Input - Dairy'!F87</f>
        <v>2.75E-2</v>
      </c>
      <c r="H153" s="55">
        <f>'Input - Dairy'!G$66*'Input - Dairy'!G87</f>
        <v>2.75E-2</v>
      </c>
      <c r="I153" s="55">
        <f>'Input - Dairy'!H$66*'Input - Dairy'!H87</f>
        <v>2.75E-2</v>
      </c>
      <c r="J153" s="55">
        <f>'Input - Dairy'!I$66*'Input - Dairy'!I87</f>
        <v>2.75E-2</v>
      </c>
      <c r="K153" s="2"/>
      <c r="O153" s="55" t="str">
        <f>'Input - Dairy'!$D$66</f>
        <v>Milking shed</v>
      </c>
      <c r="P153" s="55" t="str">
        <f>'Input - Dairy'!$D$87</f>
        <v>Drains to paddock</v>
      </c>
      <c r="Q153" s="55">
        <f>'Input - Dairy'!E$71*'Input - Dairy'!E87</f>
        <v>2.75E-2</v>
      </c>
      <c r="R153" s="55">
        <f>'Input - Dairy'!F$71*'Input - Dairy'!F87</f>
        <v>2.75E-2</v>
      </c>
      <c r="S153" s="55">
        <f>'Input - Dairy'!G$71*'Input - Dairy'!G87</f>
        <v>2.75E-2</v>
      </c>
      <c r="T153" s="55">
        <f>'Input - Dairy'!H$71*'Input - Dairy'!H87</f>
        <v>2.75E-2</v>
      </c>
      <c r="U153" s="55">
        <f>'Input - Dairy'!I$71*'Input - Dairy'!I87</f>
        <v>2.75E-2</v>
      </c>
      <c r="V153" s="2"/>
    </row>
    <row r="154" spans="1:22" ht="20.100000000000001" customHeight="1" x14ac:dyDescent="0.25">
      <c r="D154" s="55" t="str">
        <f>'Input - Dairy'!$D$67</f>
        <v>Feed pad</v>
      </c>
      <c r="E154" s="55" t="str">
        <f>'Input - Dairy'!$D$101</f>
        <v>Anaerobic lagoon</v>
      </c>
      <c r="F154" s="55">
        <f>'Input - Dairy'!E$67*'Input - Dairy'!E101</f>
        <v>8.8999999999999996E-2</v>
      </c>
      <c r="G154" s="55">
        <f>'Input - Dairy'!F$67*'Input - Dairy'!F101</f>
        <v>8.8999999999999996E-2</v>
      </c>
      <c r="H154" s="55">
        <f>'Input - Dairy'!G$67*'Input - Dairy'!G101</f>
        <v>8.8999999999999996E-2</v>
      </c>
      <c r="I154" s="55">
        <f>'Input - Dairy'!H$67*'Input - Dairy'!H101</f>
        <v>8.8999999999999996E-2</v>
      </c>
      <c r="J154" s="55">
        <f>'Input - Dairy'!I$67*'Input - Dairy'!I101</f>
        <v>8.8999999999999996E-2</v>
      </c>
      <c r="K154" s="2"/>
      <c r="O154" s="55" t="str">
        <f>'Input - Dairy'!$D$67</f>
        <v>Feed pad</v>
      </c>
      <c r="P154" s="55" t="str">
        <f>'Input - Dairy'!$D$101</f>
        <v>Anaerobic lagoon</v>
      </c>
      <c r="Q154" s="55">
        <f>'Input - Dairy'!E$72*'Input - Dairy'!E101</f>
        <v>8.8999999999999996E-2</v>
      </c>
      <c r="R154" s="55">
        <f>'Input - Dairy'!F$72*'Input - Dairy'!F101</f>
        <v>8.8999999999999996E-2</v>
      </c>
      <c r="S154" s="55">
        <f>'Input - Dairy'!G$72*'Input - Dairy'!G101</f>
        <v>8.8999999999999996E-2</v>
      </c>
      <c r="T154" s="55">
        <f>'Input - Dairy'!H$72*'Input - Dairy'!H101</f>
        <v>8.8999999999999996E-2</v>
      </c>
      <c r="U154" s="55">
        <f>'Input - Dairy'!I$72*'Input - Dairy'!I101</f>
        <v>8.8999999999999996E-2</v>
      </c>
      <c r="V154" s="2"/>
    </row>
    <row r="155" spans="1:22" ht="20.100000000000001" customHeight="1" x14ac:dyDescent="0.25">
      <c r="D155" s="55" t="str">
        <f>'Input - Dairy'!$D$67</f>
        <v>Feed pad</v>
      </c>
      <c r="E155" s="55" t="str">
        <f>'Input - Dairy'!$D$102</f>
        <v>Sump and dispersal system</v>
      </c>
      <c r="F155" s="55">
        <f>'Input - Dairy'!E$67*'Input - Dairy'!E102</f>
        <v>8.8999999999999996E-2</v>
      </c>
      <c r="G155" s="55">
        <f>'Input - Dairy'!F$67*'Input - Dairy'!F102</f>
        <v>8.8999999999999996E-2</v>
      </c>
      <c r="H155" s="55">
        <f>'Input - Dairy'!G$67*'Input - Dairy'!G102</f>
        <v>8.8999999999999996E-2</v>
      </c>
      <c r="I155" s="55">
        <f>'Input - Dairy'!H$67*'Input - Dairy'!H102</f>
        <v>8.8999999999999996E-2</v>
      </c>
      <c r="J155" s="55">
        <f>'Input - Dairy'!I$67*'Input - Dairy'!I102</f>
        <v>8.8999999999999996E-2</v>
      </c>
      <c r="K155" s="2"/>
      <c r="O155" s="55" t="str">
        <f>'Input - Dairy'!$D$67</f>
        <v>Feed pad</v>
      </c>
      <c r="P155" s="55" t="str">
        <f>'Input - Dairy'!$D$102</f>
        <v>Sump and dispersal system</v>
      </c>
      <c r="Q155" s="55">
        <f>'Input - Dairy'!E$72*'Input - Dairy'!E102</f>
        <v>8.8999999999999996E-2</v>
      </c>
      <c r="R155" s="55">
        <f>'Input - Dairy'!F$72*'Input - Dairy'!F102</f>
        <v>8.8999999999999996E-2</v>
      </c>
      <c r="S155" s="55">
        <f>'Input - Dairy'!G$72*'Input - Dairy'!G102</f>
        <v>8.8999999999999996E-2</v>
      </c>
      <c r="T155" s="55">
        <f>'Input - Dairy'!H$72*'Input - Dairy'!H102</f>
        <v>8.8999999999999996E-2</v>
      </c>
      <c r="U155" s="55">
        <f>'Input - Dairy'!I$72*'Input - Dairy'!I102</f>
        <v>8.8999999999999996E-2</v>
      </c>
      <c r="V155" s="2"/>
    </row>
    <row r="156" spans="1:22" ht="20.100000000000001" customHeight="1" x14ac:dyDescent="0.25">
      <c r="D156" s="55" t="str">
        <f>'Input - Dairy'!$D$67</f>
        <v>Feed pad</v>
      </c>
      <c r="E156" s="55" t="str">
        <f>'Input - Dairy'!$D$103</f>
        <v>Drains to paddock</v>
      </c>
      <c r="F156" s="55">
        <f>'Input - Dairy'!E$67*'Input - Dairy'!E103</f>
        <v>8.8999999999999996E-2</v>
      </c>
      <c r="G156" s="55">
        <f>'Input - Dairy'!F$67*'Input - Dairy'!F103</f>
        <v>8.8999999999999996E-2</v>
      </c>
      <c r="H156" s="55">
        <f>'Input - Dairy'!G$67*'Input - Dairy'!G103</f>
        <v>8.8999999999999996E-2</v>
      </c>
      <c r="I156" s="55">
        <f>'Input - Dairy'!H$67*'Input - Dairy'!H103</f>
        <v>8.8999999999999996E-2</v>
      </c>
      <c r="J156" s="55">
        <f>'Input - Dairy'!I$67*'Input - Dairy'!I103</f>
        <v>8.8999999999999996E-2</v>
      </c>
      <c r="K156" s="2"/>
      <c r="O156" s="55" t="str">
        <f>'Input - Dairy'!$D$67</f>
        <v>Feed pad</v>
      </c>
      <c r="P156" s="55" t="str">
        <f>'Input - Dairy'!$D$103</f>
        <v>Drains to paddock</v>
      </c>
      <c r="Q156" s="55">
        <f>'Input - Dairy'!E$72*'Input - Dairy'!E103</f>
        <v>8.8999999999999996E-2</v>
      </c>
      <c r="R156" s="55">
        <f>'Input - Dairy'!F$72*'Input - Dairy'!F103</f>
        <v>8.8999999999999996E-2</v>
      </c>
      <c r="S156" s="55">
        <f>'Input - Dairy'!G$72*'Input - Dairy'!G103</f>
        <v>8.8999999999999996E-2</v>
      </c>
      <c r="T156" s="55">
        <f>'Input - Dairy'!H$72*'Input - Dairy'!H103</f>
        <v>8.8999999999999996E-2</v>
      </c>
      <c r="U156" s="55">
        <f>'Input - Dairy'!I$72*'Input - Dairy'!I103</f>
        <v>8.8999999999999996E-2</v>
      </c>
      <c r="V156" s="2"/>
    </row>
    <row r="157" spans="1:22" ht="20.100000000000001" customHeight="1" x14ac:dyDescent="0.25"/>
    <row r="158" spans="1:22" ht="20.100000000000001" customHeight="1" x14ac:dyDescent="0.25">
      <c r="D158" s="104" t="s">
        <v>248</v>
      </c>
      <c r="O158" s="104" t="s">
        <v>254</v>
      </c>
    </row>
    <row r="159" spans="1:22" ht="20.100000000000001" customHeight="1" x14ac:dyDescent="0.25">
      <c r="D159" s="103" t="s">
        <v>257</v>
      </c>
      <c r="O159" s="103" t="s">
        <v>258</v>
      </c>
    </row>
    <row r="160" spans="1:22" ht="20.100000000000001" customHeight="1" x14ac:dyDescent="0.25">
      <c r="D160" s="41" t="s">
        <v>149</v>
      </c>
      <c r="E160" s="41" t="s">
        <v>69</v>
      </c>
      <c r="F160" s="41" t="s">
        <v>249</v>
      </c>
      <c r="O160" s="41" t="s">
        <v>149</v>
      </c>
      <c r="P160" s="41" t="s">
        <v>69</v>
      </c>
      <c r="Q160" s="41" t="s">
        <v>249</v>
      </c>
    </row>
    <row r="161" spans="4:22" ht="20.100000000000001" customHeight="1" x14ac:dyDescent="0.25">
      <c r="D161" s="55" t="str">
        <f>'Input - Dairy'!$D$65</f>
        <v>Pasture</v>
      </c>
      <c r="E161" s="55" t="str">
        <f>'Constants - Livestock'!$E$27</f>
        <v>Pasture range and paddock</v>
      </c>
      <c r="F161" s="55">
        <v>0</v>
      </c>
      <c r="G161" s="2" t="str">
        <f>$G$145</f>
        <v>fraction</v>
      </c>
      <c r="O161" s="55" t="str">
        <f>'Input - Dairy'!$D$65</f>
        <v>Pasture</v>
      </c>
      <c r="P161" s="55" t="str">
        <f>'Constants - Livestock'!$E$27</f>
        <v>Pasture range and paddock</v>
      </c>
      <c r="Q161" s="55">
        <v>0</v>
      </c>
      <c r="R161" s="2" t="str">
        <f>$G$145</f>
        <v>fraction</v>
      </c>
    </row>
    <row r="162" spans="4:22" ht="20.100000000000001" customHeight="1" x14ac:dyDescent="0.25">
      <c r="D162" s="55" t="str">
        <f>'Input - Dairy'!$D$66</f>
        <v>Milking shed</v>
      </c>
      <c r="E162" s="55" t="str">
        <f>'Input - Dairy'!$D$85</f>
        <v>Anaerobic lagoon</v>
      </c>
      <c r="F162" s="55">
        <f>'Input - Dairy'!$F$79</f>
        <v>0.2</v>
      </c>
      <c r="O162" s="55" t="str">
        <f>'Input - Dairy'!$D$66</f>
        <v>Milking shed</v>
      </c>
      <c r="P162" s="55" t="str">
        <f>'Input - Dairy'!$D$85</f>
        <v>Anaerobic lagoon</v>
      </c>
      <c r="Q162" s="55">
        <f>'Input - Dairy'!$G$79</f>
        <v>0.2</v>
      </c>
      <c r="R162" s="2"/>
    </row>
    <row r="163" spans="4:22" ht="20.100000000000001" customHeight="1" x14ac:dyDescent="0.25">
      <c r="D163" s="55" t="str">
        <f>'Input - Dairy'!$D$66</f>
        <v>Milking shed</v>
      </c>
      <c r="E163" s="55" t="str">
        <f>'Input - Dairy'!$D$86</f>
        <v>Sump and dispersal system</v>
      </c>
      <c r="F163" s="55">
        <f>'Input - Dairy'!$F$80</f>
        <v>0.2</v>
      </c>
      <c r="G163" s="2"/>
      <c r="O163" s="55" t="str">
        <f>'Input - Dairy'!$D$66</f>
        <v>Milking shed</v>
      </c>
      <c r="P163" s="55" t="str">
        <f>'Input - Dairy'!$D$86</f>
        <v>Sump and dispersal system</v>
      </c>
      <c r="Q163" s="55">
        <f>'Input - Dairy'!$G$80</f>
        <v>0.2</v>
      </c>
      <c r="R163" s="2"/>
    </row>
    <row r="164" spans="4:22" ht="20.100000000000001" customHeight="1" x14ac:dyDescent="0.25">
      <c r="D164" s="55" t="str">
        <f>'Input - Dairy'!$D$66</f>
        <v>Milking shed</v>
      </c>
      <c r="E164" s="55" t="str">
        <f>'Input - Dairy'!$D$87</f>
        <v>Drains to paddock</v>
      </c>
      <c r="F164" s="55">
        <f>'Input - Dairy'!$F$81</f>
        <v>0.2</v>
      </c>
      <c r="G164" s="2"/>
      <c r="O164" s="55" t="str">
        <f>'Input - Dairy'!$D$66</f>
        <v>Milking shed</v>
      </c>
      <c r="P164" s="55" t="str">
        <f>'Input - Dairy'!$D$87</f>
        <v>Drains to paddock</v>
      </c>
      <c r="Q164" s="55">
        <f>'Input - Dairy'!$G$81</f>
        <v>0.2</v>
      </c>
      <c r="R164" s="2"/>
    </row>
    <row r="165" spans="4:22" ht="20.100000000000001" customHeight="1" x14ac:dyDescent="0.25">
      <c r="D165" s="55" t="str">
        <f>'Input - Dairy'!$D$67</f>
        <v>Feed pad</v>
      </c>
      <c r="E165" s="55" t="str">
        <f>'Input - Dairy'!$D$101</f>
        <v>Anaerobic lagoon</v>
      </c>
      <c r="F165" s="55">
        <f>'Input - Dairy'!$F$95</f>
        <v>0</v>
      </c>
      <c r="G165" s="2"/>
      <c r="O165" s="55" t="str">
        <f>'Input - Dairy'!$D$67</f>
        <v>Feed pad</v>
      </c>
      <c r="P165" s="55" t="str">
        <f>'Input - Dairy'!$D$101</f>
        <v>Anaerobic lagoon</v>
      </c>
      <c r="Q165" s="55">
        <f>'Input - Dairy'!$G$95</f>
        <v>0</v>
      </c>
      <c r="R165" s="2"/>
    </row>
    <row r="166" spans="4:22" ht="20.100000000000001" customHeight="1" x14ac:dyDescent="0.25">
      <c r="D166" s="55" t="str">
        <f>'Input - Dairy'!$D$67</f>
        <v>Feed pad</v>
      </c>
      <c r="E166" s="55" t="str">
        <f>'Input - Dairy'!$D$102</f>
        <v>Sump and dispersal system</v>
      </c>
      <c r="F166" s="55">
        <f>'Input - Dairy'!$F$96</f>
        <v>0.2</v>
      </c>
      <c r="G166" s="2"/>
      <c r="O166" s="55" t="str">
        <f>'Input - Dairy'!$D$67</f>
        <v>Feed pad</v>
      </c>
      <c r="P166" s="55" t="str">
        <f>'Input - Dairy'!$D$102</f>
        <v>Sump and dispersal system</v>
      </c>
      <c r="Q166" s="55">
        <f>'Input - Dairy'!$G$96</f>
        <v>0.2</v>
      </c>
      <c r="R166" s="2"/>
    </row>
    <row r="167" spans="4:22" ht="20.100000000000001" customHeight="1" x14ac:dyDescent="0.25">
      <c r="D167" s="55" t="str">
        <f>'Input - Dairy'!$D$67</f>
        <v>Feed pad</v>
      </c>
      <c r="E167" s="55" t="str">
        <f>'Input - Dairy'!$D$103</f>
        <v>Drains to paddock</v>
      </c>
      <c r="F167" s="55">
        <f>'Input - Dairy'!$F$97</f>
        <v>0.2</v>
      </c>
      <c r="G167" s="2"/>
      <c r="O167" s="55" t="str">
        <f>'Input - Dairy'!$D$67</f>
        <v>Feed pad</v>
      </c>
      <c r="P167" s="55" t="str">
        <f>'Input - Dairy'!$D$103</f>
        <v>Drains to paddock</v>
      </c>
      <c r="Q167" s="55">
        <f>'Input - Dairy'!$G$97</f>
        <v>0.2</v>
      </c>
      <c r="R167" s="2"/>
    </row>
    <row r="168" spans="4:22" ht="20.100000000000001" customHeight="1" x14ac:dyDescent="0.25"/>
    <row r="169" spans="4:22" ht="20.100000000000001" customHeight="1" x14ac:dyDescent="0.25">
      <c r="D169" s="104" t="s">
        <v>247</v>
      </c>
      <c r="O169" s="104" t="s">
        <v>247</v>
      </c>
    </row>
    <row r="170" spans="4:22" ht="20.100000000000001" customHeight="1" x14ac:dyDescent="0.25">
      <c r="D170" s="103" t="s">
        <v>246</v>
      </c>
      <c r="O170" s="103" t="s">
        <v>246</v>
      </c>
    </row>
    <row r="171" spans="4:22" ht="20.100000000000001" customHeight="1" x14ac:dyDescent="0.25">
      <c r="D171" s="54" t="s">
        <v>149</v>
      </c>
      <c r="E171" s="54" t="s">
        <v>69</v>
      </c>
      <c r="F171" s="54" t="s">
        <v>175</v>
      </c>
      <c r="G171" s="54" t="s">
        <v>192</v>
      </c>
      <c r="H171" s="54" t="s">
        <v>193</v>
      </c>
      <c r="I171" s="54" t="s">
        <v>194</v>
      </c>
      <c r="J171" s="54" t="s">
        <v>195</v>
      </c>
      <c r="O171" s="54" t="s">
        <v>149</v>
      </c>
      <c r="P171" s="54" t="s">
        <v>69</v>
      </c>
      <c r="Q171" s="54" t="s">
        <v>175</v>
      </c>
      <c r="R171" s="54" t="s">
        <v>192</v>
      </c>
      <c r="S171" s="54" t="s">
        <v>193</v>
      </c>
      <c r="T171" s="54" t="s">
        <v>194</v>
      </c>
      <c r="U171" s="54" t="s">
        <v>195</v>
      </c>
    </row>
    <row r="172" spans="4:22" ht="20.100000000000001" customHeight="1" x14ac:dyDescent="0.25">
      <c r="D172" s="55" t="str">
        <f>'Input - Dairy'!$D$65</f>
        <v>Pasture</v>
      </c>
      <c r="E172" s="55" t="str">
        <f>'Constants - Livestock'!$E$27</f>
        <v>Pasture range and paddock</v>
      </c>
      <c r="F172" s="55" cm="1">
        <f t="array" ref="F172">MMS_Dairy_Methane_Equations.VEERG_4_3_1_1__4_FractionVolatileSolidsNotSolidStorage(F150,$F161)</f>
        <v>0.53400000000000003</v>
      </c>
      <c r="G172" s="55" cm="1">
        <f t="array" ref="G172">MMS_Dairy_Methane_Equations.VEERG_4_3_1_1__4_FractionVolatileSolidsNotSolidStorage(G150,$F161)</f>
        <v>0.53400000000000003</v>
      </c>
      <c r="H172" s="55" cm="1">
        <f t="array" ref="H172">MMS_Dairy_Methane_Equations.VEERG_4_3_1_1__4_FractionVolatileSolidsNotSolidStorage(H150,$F161)</f>
        <v>0.53400000000000003</v>
      </c>
      <c r="I172" s="55" cm="1">
        <f t="array" ref="I172">MMS_Dairy_Methane_Equations.VEERG_4_3_1_1__4_FractionVolatileSolidsNotSolidStorage(I150,$F161)</f>
        <v>0.53400000000000003</v>
      </c>
      <c r="J172" s="55" cm="1">
        <f t="array" ref="J172">MMS_Dairy_Methane_Equations.VEERG_4_3_1_1__4_FractionVolatileSolidsNotSolidStorage(J150,$F161)</f>
        <v>0.53400000000000003</v>
      </c>
      <c r="K172" s="2" t="str">
        <f>$E$142</f>
        <v>fraction</v>
      </c>
      <c r="O172" s="55" t="str">
        <f>'Input - Dairy'!$D$65</f>
        <v>Pasture</v>
      </c>
      <c r="P172" s="55" t="str">
        <f>'Constants - Livestock'!$E$27</f>
        <v>Pasture range and paddock</v>
      </c>
      <c r="Q172" s="55" cm="1">
        <f t="array" ref="Q172">MMS_Dairy_Methane_Equations.VEERG_4_3_1_1__4_FractionVolatileSolidsNotSolidStorage(Q150,$Q161)</f>
        <v>0.53400000000000003</v>
      </c>
      <c r="R172" s="55" cm="1">
        <f t="array" ref="R172">MMS_Dairy_Methane_Equations.VEERG_4_3_1_1__4_FractionVolatileSolidsNotSolidStorage(R150,$Q161)</f>
        <v>0.53400000000000003</v>
      </c>
      <c r="S172" s="55" cm="1">
        <f t="array" ref="S172">MMS_Dairy_Methane_Equations.VEERG_4_3_1_1__4_FractionVolatileSolidsNotSolidStorage(S150,$Q161)</f>
        <v>0.53400000000000003</v>
      </c>
      <c r="T172" s="55" cm="1">
        <f t="array" ref="T172">MMS_Dairy_Methane_Equations.VEERG_4_3_1_1__4_FractionVolatileSolidsNotSolidStorage(T150,$Q161)</f>
        <v>0.53400000000000003</v>
      </c>
      <c r="U172" s="55" cm="1">
        <f t="array" ref="U172">MMS_Dairy_Methane_Equations.VEERG_4_3_1_1__4_FractionVolatileSolidsNotSolidStorage(U150,$Q161)</f>
        <v>0.53400000000000003</v>
      </c>
      <c r="V172" s="2" t="str">
        <f>$E$142</f>
        <v>fraction</v>
      </c>
    </row>
    <row r="173" spans="4:22" ht="20.100000000000001" customHeight="1" x14ac:dyDescent="0.25">
      <c r="D173" s="55" t="str">
        <f>'Input - Dairy'!$D$66</f>
        <v>Milking shed</v>
      </c>
      <c r="E173" s="55" t="str">
        <f>'Input - Dairy'!$D$85</f>
        <v>Anaerobic lagoon</v>
      </c>
      <c r="F173" s="55" cm="1">
        <f t="array" ref="F173">MMS_Dairy_Methane_Equations.VEERG_4_3_1_1__4_FractionVolatileSolidsNotSolidStorage(F151,$F162)</f>
        <v>2.2000000000000002E-2</v>
      </c>
      <c r="G173" s="55" cm="1">
        <f t="array" ref="G173">MMS_Dairy_Methane_Equations.VEERG_4_3_1_1__4_FractionVolatileSolidsNotSolidStorage(G151,$F162)</f>
        <v>2.2000000000000002E-2</v>
      </c>
      <c r="H173" s="55" cm="1">
        <f t="array" ref="H173">MMS_Dairy_Methane_Equations.VEERG_4_3_1_1__4_FractionVolatileSolidsNotSolidStorage(H151,$F162)</f>
        <v>2.2000000000000002E-2</v>
      </c>
      <c r="I173" s="55" cm="1">
        <f t="array" ref="I173">MMS_Dairy_Methane_Equations.VEERG_4_3_1_1__4_FractionVolatileSolidsNotSolidStorage(I151,$F162)</f>
        <v>2.2000000000000002E-2</v>
      </c>
      <c r="J173" s="55" cm="1">
        <f t="array" ref="J173">MMS_Dairy_Methane_Equations.VEERG_4_3_1_1__4_FractionVolatileSolidsNotSolidStorage(J151,$F162)</f>
        <v>2.2000000000000002E-2</v>
      </c>
      <c r="O173" s="55" t="str">
        <f>'Input - Dairy'!$D$66</f>
        <v>Milking shed</v>
      </c>
      <c r="P173" s="55" t="str">
        <f>'Input - Dairy'!$D$85</f>
        <v>Anaerobic lagoon</v>
      </c>
      <c r="Q173" s="55" cm="1">
        <f t="array" ref="Q173">MMS_Dairy_Methane_Equations.VEERG_4_3_1_1__4_FractionVolatileSolidsNotSolidStorage(Q151,$Q162)</f>
        <v>2.2000000000000002E-2</v>
      </c>
      <c r="R173" s="55" cm="1">
        <f t="array" ref="R173">MMS_Dairy_Methane_Equations.VEERG_4_3_1_1__4_FractionVolatileSolidsNotSolidStorage(R151,$Q162)</f>
        <v>2.2000000000000002E-2</v>
      </c>
      <c r="S173" s="55" cm="1">
        <f t="array" ref="S173">MMS_Dairy_Methane_Equations.VEERG_4_3_1_1__4_FractionVolatileSolidsNotSolidStorage(S151,$Q162)</f>
        <v>2.2000000000000002E-2</v>
      </c>
      <c r="T173" s="55" cm="1">
        <f t="array" ref="T173">MMS_Dairy_Methane_Equations.VEERG_4_3_1_1__4_FractionVolatileSolidsNotSolidStorage(T151,$Q162)</f>
        <v>2.2000000000000002E-2</v>
      </c>
      <c r="U173" s="55" cm="1">
        <f t="array" ref="U173">MMS_Dairy_Methane_Equations.VEERG_4_3_1_1__4_FractionVolatileSolidsNotSolidStorage(U151,$Q162)</f>
        <v>2.2000000000000002E-2</v>
      </c>
    </row>
    <row r="174" spans="4:22" ht="20.100000000000001" customHeight="1" x14ac:dyDescent="0.25">
      <c r="D174" s="55" t="str">
        <f>'Input - Dairy'!$D$66</f>
        <v>Milking shed</v>
      </c>
      <c r="E174" s="55" t="str">
        <f>'Input - Dairy'!$D$86</f>
        <v>Sump and dispersal system</v>
      </c>
      <c r="F174" s="55" cm="1">
        <f t="array" ref="F174">MMS_Dairy_Methane_Equations.VEERG_4_3_1_1__4_FractionVolatileSolidsNotSolidStorage(F152,$F163)</f>
        <v>2.2000000000000002E-2</v>
      </c>
      <c r="G174" s="55" cm="1">
        <f t="array" ref="G174">MMS_Dairy_Methane_Equations.VEERG_4_3_1_1__4_FractionVolatileSolidsNotSolidStorage(G152,$F163)</f>
        <v>2.2000000000000002E-2</v>
      </c>
      <c r="H174" s="55" cm="1">
        <f t="array" ref="H174">MMS_Dairy_Methane_Equations.VEERG_4_3_1_1__4_FractionVolatileSolidsNotSolidStorage(H152,$F163)</f>
        <v>2.2000000000000002E-2</v>
      </c>
      <c r="I174" s="55" cm="1">
        <f t="array" ref="I174">MMS_Dairy_Methane_Equations.VEERG_4_3_1_1__4_FractionVolatileSolidsNotSolidStorage(I152,$F163)</f>
        <v>2.2000000000000002E-2</v>
      </c>
      <c r="J174" s="55" cm="1">
        <f t="array" ref="J174">MMS_Dairy_Methane_Equations.VEERG_4_3_1_1__4_FractionVolatileSolidsNotSolidStorage(J152,$F163)</f>
        <v>2.2000000000000002E-2</v>
      </c>
      <c r="K174" s="2"/>
      <c r="O174" s="55" t="str">
        <f>'Input - Dairy'!$D$66</f>
        <v>Milking shed</v>
      </c>
      <c r="P174" s="55" t="str">
        <f>'Input - Dairy'!$D$86</f>
        <v>Sump and dispersal system</v>
      </c>
      <c r="Q174" s="55" cm="1">
        <f t="array" ref="Q174">MMS_Dairy_Methane_Equations.VEERG_4_3_1_1__4_FractionVolatileSolidsNotSolidStorage(Q152,$Q163)</f>
        <v>2.2000000000000002E-2</v>
      </c>
      <c r="R174" s="55" cm="1">
        <f t="array" ref="R174">MMS_Dairy_Methane_Equations.VEERG_4_3_1_1__4_FractionVolatileSolidsNotSolidStorage(R152,$Q163)</f>
        <v>2.2000000000000002E-2</v>
      </c>
      <c r="S174" s="55" cm="1">
        <f t="array" ref="S174">MMS_Dairy_Methane_Equations.VEERG_4_3_1_1__4_FractionVolatileSolidsNotSolidStorage(S152,$Q163)</f>
        <v>2.2000000000000002E-2</v>
      </c>
      <c r="T174" s="55" cm="1">
        <f t="array" ref="T174">MMS_Dairy_Methane_Equations.VEERG_4_3_1_1__4_FractionVolatileSolidsNotSolidStorage(T152,$Q163)</f>
        <v>2.2000000000000002E-2</v>
      </c>
      <c r="U174" s="55" cm="1">
        <f t="array" ref="U174">MMS_Dairy_Methane_Equations.VEERG_4_3_1_1__4_FractionVolatileSolidsNotSolidStorage(U152,$Q163)</f>
        <v>2.2000000000000002E-2</v>
      </c>
      <c r="V174" s="2"/>
    </row>
    <row r="175" spans="4:22" ht="20.100000000000001" customHeight="1" x14ac:dyDescent="0.25">
      <c r="D175" s="55" t="str">
        <f>'Input - Dairy'!$D$66</f>
        <v>Milking shed</v>
      </c>
      <c r="E175" s="55" t="str">
        <f>'Input - Dairy'!$D$87</f>
        <v>Drains to paddock</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Dairy'!$D$87</f>
        <v>Drains to paddock</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Dairy'!$D$67</f>
        <v>Feed pad</v>
      </c>
      <c r="E176" s="55" t="str">
        <f>'Input - Dairy'!$D$101</f>
        <v>Anaerobic lagoon</v>
      </c>
      <c r="F176" s="55" cm="1">
        <f t="array" ref="F176">MMS_Dairy_Methane_Equations.VEERG_4_3_1_1__4_FractionVolatileSolidsNotSolidStorage(F154,$F165)</f>
        <v>8.8999999999999996E-2</v>
      </c>
      <c r="G176" s="55" cm="1">
        <f t="array" ref="G176">MMS_Dairy_Methane_Equations.VEERG_4_3_1_1__4_FractionVolatileSolidsNotSolidStorage(G154,$F165)</f>
        <v>8.8999999999999996E-2</v>
      </c>
      <c r="H176" s="55" cm="1">
        <f t="array" ref="H176">MMS_Dairy_Methane_Equations.VEERG_4_3_1_1__4_FractionVolatileSolidsNotSolidStorage(H154,$F165)</f>
        <v>8.8999999999999996E-2</v>
      </c>
      <c r="I176" s="55" cm="1">
        <f t="array" ref="I176">MMS_Dairy_Methane_Equations.VEERG_4_3_1_1__4_FractionVolatileSolidsNotSolidStorage(I154,$F165)</f>
        <v>8.8999999999999996E-2</v>
      </c>
      <c r="J176" s="55" cm="1">
        <f t="array" ref="J176">MMS_Dairy_Methane_Equations.VEERG_4_3_1_1__4_FractionVolatileSolidsNotSolidStorage(J154,$F165)</f>
        <v>8.8999999999999996E-2</v>
      </c>
      <c r="K176" s="2"/>
      <c r="O176" s="55" t="str">
        <f>'Input - Dairy'!$D$67</f>
        <v>Feed pad</v>
      </c>
      <c r="P176" s="55" t="str">
        <f>'Input - Dairy'!$D$101</f>
        <v>Anaerobic lagoon</v>
      </c>
      <c r="Q176" s="55" cm="1">
        <f t="array" ref="Q176">MMS_Dairy_Methane_Equations.VEERG_4_3_1_1__4_FractionVolatileSolidsNotSolidStorage(Q154,$Q165)</f>
        <v>8.8999999999999996E-2</v>
      </c>
      <c r="R176" s="55" cm="1">
        <f t="array" ref="R176">MMS_Dairy_Methane_Equations.VEERG_4_3_1_1__4_FractionVolatileSolidsNotSolidStorage(R154,$Q165)</f>
        <v>8.8999999999999996E-2</v>
      </c>
      <c r="S176" s="55" cm="1">
        <f t="array" ref="S176">MMS_Dairy_Methane_Equations.VEERG_4_3_1_1__4_FractionVolatileSolidsNotSolidStorage(S154,$Q165)</f>
        <v>8.8999999999999996E-2</v>
      </c>
      <c r="T176" s="55" cm="1">
        <f t="array" ref="T176">MMS_Dairy_Methane_Equations.VEERG_4_3_1_1__4_FractionVolatileSolidsNotSolidStorage(T154,$Q165)</f>
        <v>8.8999999999999996E-2</v>
      </c>
      <c r="U176" s="55" cm="1">
        <f t="array" ref="U176">MMS_Dairy_Methane_Equations.VEERG_4_3_1_1__4_FractionVolatileSolidsNotSolidStorage(U154,$Q165)</f>
        <v>8.8999999999999996E-2</v>
      </c>
      <c r="V176" s="2"/>
    </row>
    <row r="177" spans="1:23" ht="20.100000000000001" customHeight="1" x14ac:dyDescent="0.25">
      <c r="D177" s="55" t="str">
        <f>'Input - Dairy'!$D$67</f>
        <v>Feed pad</v>
      </c>
      <c r="E177" s="55" t="str">
        <f>'Input - Dairy'!$D$102</f>
        <v>Sump and dispersal system</v>
      </c>
      <c r="F177" s="55" cm="1">
        <f t="array" ref="F177">MMS_Dairy_Methane_Equations.VEERG_4_3_1_1__4_FractionVolatileSolidsNotSolidStorage(F155,$F166)</f>
        <v>7.1199999999999999E-2</v>
      </c>
      <c r="G177" s="55" cm="1">
        <f t="array" ref="G177">MMS_Dairy_Methane_Equations.VEERG_4_3_1_1__4_FractionVolatileSolidsNotSolidStorage(G155,$F166)</f>
        <v>7.1199999999999999E-2</v>
      </c>
      <c r="H177" s="55" cm="1">
        <f t="array" ref="H177">MMS_Dairy_Methane_Equations.VEERG_4_3_1_1__4_FractionVolatileSolidsNotSolidStorage(H155,$F166)</f>
        <v>7.1199999999999999E-2</v>
      </c>
      <c r="I177" s="55" cm="1">
        <f t="array" ref="I177">MMS_Dairy_Methane_Equations.VEERG_4_3_1_1__4_FractionVolatileSolidsNotSolidStorage(I155,$F166)</f>
        <v>7.1199999999999999E-2</v>
      </c>
      <c r="J177" s="55" cm="1">
        <f t="array" ref="J177">MMS_Dairy_Methane_Equations.VEERG_4_3_1_1__4_FractionVolatileSolidsNotSolidStorage(J155,$F166)</f>
        <v>7.1199999999999999E-2</v>
      </c>
      <c r="K177" s="2"/>
      <c r="O177" s="55" t="str">
        <f>'Input - Dairy'!$D$67</f>
        <v>Feed pad</v>
      </c>
      <c r="P177" s="55" t="str">
        <f>'Input - Dairy'!$D$102</f>
        <v>Sump and dispersal system</v>
      </c>
      <c r="Q177" s="55" cm="1">
        <f t="array" ref="Q177">MMS_Dairy_Methane_Equations.VEERG_4_3_1_1__4_FractionVolatileSolidsNotSolidStorage(Q155,$Q166)</f>
        <v>7.1199999999999999E-2</v>
      </c>
      <c r="R177" s="55" cm="1">
        <f t="array" ref="R177">MMS_Dairy_Methane_Equations.VEERG_4_3_1_1__4_FractionVolatileSolidsNotSolidStorage(R155,$Q166)</f>
        <v>7.1199999999999999E-2</v>
      </c>
      <c r="S177" s="55" cm="1">
        <f t="array" ref="S177">MMS_Dairy_Methane_Equations.VEERG_4_3_1_1__4_FractionVolatileSolidsNotSolidStorage(S155,$Q166)</f>
        <v>7.1199999999999999E-2</v>
      </c>
      <c r="T177" s="55" cm="1">
        <f t="array" ref="T177">MMS_Dairy_Methane_Equations.VEERG_4_3_1_1__4_FractionVolatileSolidsNotSolidStorage(T155,$Q166)</f>
        <v>7.1199999999999999E-2</v>
      </c>
      <c r="U177" s="55" cm="1">
        <f t="array" ref="U177">MMS_Dairy_Methane_Equations.VEERG_4_3_1_1__4_FractionVolatileSolidsNotSolidStorage(U155,$Q166)</f>
        <v>7.1199999999999999E-2</v>
      </c>
      <c r="V177" s="2"/>
    </row>
    <row r="178" spans="1:23" ht="20.100000000000001" customHeight="1" x14ac:dyDescent="0.25">
      <c r="A178" s="141" t="str">
        <f>HYPERLINK("#A1", "▲ Back to top")</f>
        <v>▲ Back to top</v>
      </c>
      <c r="D178" s="55" t="str">
        <f>'Input - Dairy'!$D$67</f>
        <v>Feed pad</v>
      </c>
      <c r="E178" s="55" t="str">
        <f>'Input - Dairy'!$D$103</f>
        <v>Drains to paddock</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Dairy'!$D$103</f>
        <v>Drains to paddock</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row r="180" spans="1:23" ht="20.100000000000001" customHeight="1" x14ac:dyDescent="0.25"/>
    <row r="181" spans="1:23" ht="20.100000000000001" customHeight="1" x14ac:dyDescent="0.25">
      <c r="C181" s="48"/>
      <c r="D181" s="48"/>
      <c r="E181" s="48"/>
      <c r="F181" s="48"/>
      <c r="G181" s="48"/>
      <c r="H181" s="48"/>
      <c r="I181" s="48"/>
      <c r="J181" s="48"/>
      <c r="K181" s="48"/>
      <c r="L181" s="48"/>
      <c r="N181" s="48"/>
      <c r="O181" s="48"/>
      <c r="P181" s="48"/>
      <c r="Q181" s="48"/>
      <c r="R181" s="48"/>
      <c r="S181" s="48"/>
      <c r="T181" s="48"/>
      <c r="U181" s="48"/>
      <c r="V181" s="48"/>
      <c r="W181" s="48"/>
    </row>
    <row r="182" spans="1:23" ht="20.100000000000001" customHeight="1" x14ac:dyDescent="0.25">
      <c r="D182" s="6" t="str" cm="1">
        <f t="array" ref="D182">MMS_Dairy_Methane_Equations.VEERG_4_3_1_1__5_FractionVolatileSolidsSolidStorage_Title()</f>
        <v>Fraction of volatile solids in solid storage</v>
      </c>
    </row>
    <row r="183" spans="1:23" ht="20.100000000000001" customHeight="1" x14ac:dyDescent="0.25">
      <c r="D183" s="5" t="str" cm="1">
        <f t="array" ref="D183">MMS_Dairy_Methane_Equations.VEERG_4_3_1_1__5_FractionVolatileSolidsSolidStorage_Source()</f>
        <v>VEERG 2026: 4.3.1.1, Equation (5)</v>
      </c>
    </row>
    <row r="184" spans="1:23" ht="20.100000000000001" customHeight="1" x14ac:dyDescent="0.25">
      <c r="D184" s="58" t="str" cm="1">
        <f t="array" ref="D184">MMS_Dairy_Methane_Equations.VEERG_4_3_1_1__5_FractionVolatileSolidsSolidStorage_Variation()</f>
        <v>Used separate variables for MMS and SS m 1, 7 and 9.</v>
      </c>
    </row>
    <row r="185" spans="1:23" ht="20.100000000000001" customHeight="1" x14ac:dyDescent="0.25">
      <c r="D185" s="13" t="s">
        <v>28</v>
      </c>
      <c r="E185" s="13" t="str" cm="1">
        <f t="array" aca="1" ref="E185" ca="1">Common_InputFunctions.Utility_DisplayFunctionName($F$204)</f>
        <v>=MMS_Dairy_Methane_Equations.VEERG_4_3_1_1__5_FractionVolatileSolidsSolidStorageVariation</v>
      </c>
    </row>
    <row r="186" spans="1:23" ht="20.100000000000001" customHeight="1" x14ac:dyDescent="0.25"/>
    <row r="187" spans="1:23" ht="20.100000000000001" customHeight="1" x14ac:dyDescent="0.25">
      <c r="D187" s="6"/>
    </row>
    <row r="188" spans="1:23" ht="20.100000000000001" customHeight="1" x14ac:dyDescent="0.25">
      <c r="D188" s="56" t="s">
        <v>31</v>
      </c>
      <c r="E188" s="1" t="str" cm="1">
        <f t="array" ref="E188">MMS_Dairy_Methane_Equations.VEERG_4_3_1_1__5_FractionVolatileSolidsSolidStorage_Variable()</f>
        <v>FVS_jm4</v>
      </c>
    </row>
    <row r="189" spans="1:23" ht="20.100000000000001" customHeight="1" x14ac:dyDescent="0.25">
      <c r="D189" s="56" t="s">
        <v>21</v>
      </c>
      <c r="E189" s="57" t="str" cm="1">
        <f t="array" ref="E189">MMS_Dairy_Methane_Equations.VEERG_4_3_1_1__5_FractionVolatileSolidsSolidStorage_Unit()</f>
        <v>fraction</v>
      </c>
    </row>
    <row r="190" spans="1:23" ht="20.100000000000001" customHeight="1" x14ac:dyDescent="0.25"/>
    <row r="191" spans="1:23" ht="20.100000000000001" customHeight="1" x14ac:dyDescent="0.25">
      <c r="D191" s="137" t="str" cm="1">
        <f t="array" ref="D191:E193">_xlfn.CHOOSECOLS(MMS_Dairy_Methane_Equations.VEERG_4_3_1_1__5_FractionVolatileSolidsSolidStorage_Arguments(),1,2)</f>
        <v>MMS_jm4</v>
      </c>
      <c r="E191" s="137" t="str">
        <v>fraction of volatile solids in solid storage before transfer</v>
      </c>
      <c r="F191" s="137"/>
      <c r="G191" s="137" t="str" cm="1">
        <f t="array" ref="G191:H193">_xlfn.CHOOSECOLS(MMS_Dairy_Methane_Equations.VEERG_4_3_1_1__5_FractionVolatileSolidsSolidStorage_Arguments(),3,4)</f>
        <v>fraction</v>
      </c>
      <c r="H191" s="135" t="str">
        <v>Input</v>
      </c>
      <c r="I191" s="134" t="str" cm="1">
        <f t="array" aca="1" ref="I191" ca="1">HYPERLINK(Common_InputFunctions.Utility_SourceHyperlink($D$195),$D$195)</f>
        <v>M1_Table_MMS_j_m-4</v>
      </c>
    </row>
    <row r="192" spans="1:23" ht="20.100000000000001" customHeight="1" x14ac:dyDescent="0.25">
      <c r="D192" s="137" t="str">
        <v>MMS_jm179</v>
      </c>
      <c r="E192" s="137" t="str">
        <v>fraction of volatile solids in MMS m=1,7,9 before transfer</v>
      </c>
      <c r="F192" s="137"/>
      <c r="G192" s="137" t="str">
        <v>fraction</v>
      </c>
      <c r="H192" s="135" t="str">
        <v>Input</v>
      </c>
      <c r="I192" s="134" t="str" cm="1">
        <f t="array" aca="1" ref="I192" ca="1">HYPERLINK(Common_InputFunctions.Utility_SourceHyperlink($D$147),$D$147)</f>
        <v>M1_Table_MMS_j_m</v>
      </c>
    </row>
    <row r="193" spans="3:23" ht="20.100000000000001" customHeight="1" x14ac:dyDescent="0.25">
      <c r="D193" s="137" t="str">
        <v>SS_m</v>
      </c>
      <c r="E193" s="137" t="str">
        <v>fraction of volatile solids separated to solid storage for each MMS</v>
      </c>
      <c r="F193" s="137"/>
      <c r="G193" s="137" t="str">
        <v>fraction</v>
      </c>
      <c r="H193" s="135" t="str">
        <v>Input</v>
      </c>
      <c r="I193" s="134" t="str" cm="1">
        <f t="array" aca="1" ref="I193" ca="1">HYPERLINK(Common_InputFunctions.Utility_SourceHyperlink($D$158),$D$158)</f>
        <v>M1_Table_SS_m</v>
      </c>
    </row>
    <row r="194" spans="3:23" ht="20.100000000000001" customHeight="1" x14ac:dyDescent="0.25"/>
    <row r="195" spans="3:23" ht="20.100000000000001" customHeight="1" x14ac:dyDescent="0.25">
      <c r="D195" s="104" t="s">
        <v>255</v>
      </c>
      <c r="O195" s="104" t="s">
        <v>261</v>
      </c>
    </row>
    <row r="196" spans="3:23" ht="20.100000000000001" customHeight="1" x14ac:dyDescent="0.25">
      <c r="D196" s="103" t="s">
        <v>256</v>
      </c>
      <c r="O196" s="103" t="s">
        <v>262</v>
      </c>
    </row>
    <row r="197" spans="3:23" ht="20.100000000000001" customHeight="1" x14ac:dyDescent="0.25">
      <c r="D197" s="41" t="s">
        <v>149</v>
      </c>
      <c r="E197" s="41" t="s">
        <v>69</v>
      </c>
      <c r="F197" s="41" t="s">
        <v>175</v>
      </c>
      <c r="G197" s="41" t="s">
        <v>192</v>
      </c>
      <c r="H197" s="41" t="s">
        <v>193</v>
      </c>
      <c r="I197" s="41" t="s">
        <v>194</v>
      </c>
      <c r="J197" s="41" t="s">
        <v>195</v>
      </c>
      <c r="O197" s="41" t="s">
        <v>149</v>
      </c>
      <c r="P197" s="41" t="s">
        <v>69</v>
      </c>
      <c r="Q197" s="41" t="s">
        <v>175</v>
      </c>
      <c r="R197" s="41" t="s">
        <v>192</v>
      </c>
      <c r="S197" s="41" t="s">
        <v>193</v>
      </c>
      <c r="T197" s="41" t="s">
        <v>194</v>
      </c>
      <c r="U197" s="41" t="s">
        <v>195</v>
      </c>
    </row>
    <row r="198" spans="3:23" ht="20.100000000000001" customHeight="1" x14ac:dyDescent="0.25">
      <c r="D198" s="55" t="str">
        <f>'Input - Dairy'!$D$66</f>
        <v>Milking shed</v>
      </c>
      <c r="E198" s="55" t="str">
        <f>'Input - Dairy'!$D$88</f>
        <v>Solid storage (before solid separation)</v>
      </c>
      <c r="F198" s="55">
        <f>'Input - Dairy'!E$66*'Input - Dairy'!E88</f>
        <v>2.75E-2</v>
      </c>
      <c r="G198" s="55">
        <f>'Input - Dairy'!F$66*'Input - Dairy'!F88</f>
        <v>2.75E-2</v>
      </c>
      <c r="H198" s="55">
        <f>'Input - Dairy'!G$66*'Input - Dairy'!G88</f>
        <v>2.75E-2</v>
      </c>
      <c r="I198" s="55">
        <f>'Input - Dairy'!H$66*'Input - Dairy'!H88</f>
        <v>2.75E-2</v>
      </c>
      <c r="J198" s="55">
        <f>'Input - Dairy'!I$66*'Input - Dairy'!I88</f>
        <v>2.75E-2</v>
      </c>
      <c r="K198" s="2" t="s">
        <v>101</v>
      </c>
      <c r="O198" s="55" t="str">
        <f>'Input - Dairy'!$D$66</f>
        <v>Milking shed</v>
      </c>
      <c r="P198" s="55" t="str">
        <f>'Input - Dairy'!$D$88</f>
        <v>Solid storage (before solid separation)</v>
      </c>
      <c r="Q198" s="55">
        <f>'Input - Dairy'!E71*'Input - Dairy'!E88</f>
        <v>2.75E-2</v>
      </c>
      <c r="R198" s="55">
        <f>'Input - Dairy'!F71*'Input - Dairy'!F88</f>
        <v>2.75E-2</v>
      </c>
      <c r="S198" s="55">
        <f>'Input - Dairy'!G71*'Input - Dairy'!G88</f>
        <v>2.75E-2</v>
      </c>
      <c r="T198" s="55">
        <f>'Input - Dairy'!H71*'Input - Dairy'!H88</f>
        <v>2.75E-2</v>
      </c>
      <c r="U198" s="55">
        <f>'Input - Dairy'!I71*'Input - Dairy'!I88</f>
        <v>2.75E-2</v>
      </c>
      <c r="V198" s="2" t="s">
        <v>101</v>
      </c>
    </row>
    <row r="199" spans="3:23" ht="20.100000000000001" customHeight="1" x14ac:dyDescent="0.25">
      <c r="D199" s="55" t="str">
        <f>'Input - Dairy'!$D$67</f>
        <v>Feed pad</v>
      </c>
      <c r="E199" s="55" t="str">
        <f>'Input - Dairy'!$D$104</f>
        <v>Solid storage (before solid separation)</v>
      </c>
      <c r="F199" s="55">
        <f>'Input - Dairy'!E67*'Input - Dairy'!E104</f>
        <v>8.8999999999999996E-2</v>
      </c>
      <c r="G199" s="55">
        <f>'Input - Dairy'!F67*'Input - Dairy'!F104</f>
        <v>8.8999999999999996E-2</v>
      </c>
      <c r="H199" s="55">
        <f>'Input - Dairy'!G67*'Input - Dairy'!G104</f>
        <v>8.8999999999999996E-2</v>
      </c>
      <c r="I199" s="55">
        <f>'Input - Dairy'!H67*'Input - Dairy'!H104</f>
        <v>8.8999999999999996E-2</v>
      </c>
      <c r="J199" s="55">
        <f>'Input - Dairy'!I67*'Input - Dairy'!I104</f>
        <v>8.8999999999999996E-2</v>
      </c>
      <c r="K199" s="2" t="s">
        <v>101</v>
      </c>
      <c r="O199" s="55" t="str">
        <f>'Input - Dairy'!$D$67</f>
        <v>Feed pad</v>
      </c>
      <c r="P199" s="55" t="str">
        <f>'Input - Dairy'!$D$104</f>
        <v>Solid storage (before solid separation)</v>
      </c>
      <c r="Q199" s="55">
        <f>'Input - Dairy'!E72*'Input - Dairy'!E104</f>
        <v>8.8999999999999996E-2</v>
      </c>
      <c r="R199" s="55">
        <f>'Input - Dairy'!F72*'Input - Dairy'!F104</f>
        <v>8.8999999999999996E-2</v>
      </c>
      <c r="S199" s="55">
        <f>'Input - Dairy'!G72*'Input - Dairy'!G104</f>
        <v>8.8999999999999996E-2</v>
      </c>
      <c r="T199" s="55">
        <f>'Input - Dairy'!H72*'Input - Dairy'!H104</f>
        <v>8.8999999999999996E-2</v>
      </c>
      <c r="U199" s="55">
        <f>'Input - Dairy'!I72*'Input - Dairy'!I104</f>
        <v>8.8999999999999996E-2</v>
      </c>
      <c r="V199" s="2" t="s">
        <v>101</v>
      </c>
    </row>
    <row r="200" spans="3:23" ht="20.100000000000001" customHeight="1" x14ac:dyDescent="0.25"/>
    <row r="201" spans="3:23" ht="20.100000000000001" customHeight="1" x14ac:dyDescent="0.25">
      <c r="D201" s="104" t="s">
        <v>259</v>
      </c>
      <c r="O201" s="104" t="s">
        <v>263</v>
      </c>
    </row>
    <row r="202" spans="3:23" ht="20.100000000000001" customHeight="1" x14ac:dyDescent="0.25">
      <c r="D202" s="103" t="s">
        <v>260</v>
      </c>
      <c r="O202" s="103" t="s">
        <v>264</v>
      </c>
    </row>
    <row r="203" spans="3:23" ht="20.100000000000001" customHeight="1" x14ac:dyDescent="0.25">
      <c r="D203" s="54" t="s">
        <v>149</v>
      </c>
      <c r="E203" s="54" t="s">
        <v>69</v>
      </c>
      <c r="F203" s="54" t="s">
        <v>175</v>
      </c>
      <c r="G203" s="54" t="s">
        <v>192</v>
      </c>
      <c r="H203" s="54" t="s">
        <v>193</v>
      </c>
      <c r="I203" s="54" t="s">
        <v>194</v>
      </c>
      <c r="J203" s="54" t="s">
        <v>195</v>
      </c>
      <c r="O203" s="54" t="s">
        <v>149</v>
      </c>
      <c r="P203" s="54" t="s">
        <v>69</v>
      </c>
      <c r="Q203" s="54" t="s">
        <v>175</v>
      </c>
      <c r="R203" s="54" t="s">
        <v>192</v>
      </c>
      <c r="S203" s="54" t="s">
        <v>193</v>
      </c>
      <c r="T203" s="54" t="s">
        <v>194</v>
      </c>
      <c r="U203" s="54" t="s">
        <v>195</v>
      </c>
    </row>
    <row r="204" spans="3:23" ht="20.100000000000001" customHeight="1" x14ac:dyDescent="0.25">
      <c r="D204" s="55" t="str">
        <f>'Input - Dairy'!$D$66</f>
        <v>Milking shed</v>
      </c>
      <c r="E204" s="55" t="s">
        <v>412</v>
      </c>
      <c r="F204" s="55" cm="1">
        <f t="array" ref="F204">MMS_Dairy_Methane_Equations.VEERG_4_3_1_1__5_FractionVolatileSolidsSolidStorageVariation(F198,F151,$F162,F152,$F163,F153,$F164)</f>
        <v>4.3999999999999997E-2</v>
      </c>
      <c r="G204" s="55" cm="1">
        <f t="array" ref="G204">MMS_Dairy_Methane_Equations.VEERG_4_3_1_1__5_FractionVolatileSolidsSolidStorageVariation(G198,G151,$F162,G152,$F163,G153,$F164)</f>
        <v>4.3999999999999997E-2</v>
      </c>
      <c r="H204" s="55" cm="1">
        <f t="array" ref="H204">MMS_Dairy_Methane_Equations.VEERG_4_3_1_1__5_FractionVolatileSolidsSolidStorageVariation(H198,H151,$F162,H152,$F163,H153,$F164)</f>
        <v>4.3999999999999997E-2</v>
      </c>
      <c r="I204" s="55" cm="1">
        <f t="array" ref="I204">MMS_Dairy_Methane_Equations.VEERG_4_3_1_1__5_FractionVolatileSolidsSolidStorageVariation(I198,I151,$F162,I152,$F163,I153,$F164)</f>
        <v>4.3999999999999997E-2</v>
      </c>
      <c r="J204" s="55" cm="1">
        <f t="array" ref="J204">MMS_Dairy_Methane_Equations.VEERG_4_3_1_1__5_FractionVolatileSolidsSolidStorageVariation(J198,J151,$F162,J152,$F163,J153,$F164)</f>
        <v>4.3999999999999997E-2</v>
      </c>
      <c r="K204" s="2" t="str">
        <f>$E$189</f>
        <v>fraction</v>
      </c>
      <c r="O204" s="55" t="str">
        <f>'Input - Dairy'!$D$66</f>
        <v>Milking shed</v>
      </c>
      <c r="P204" s="55" t="s">
        <v>412</v>
      </c>
      <c r="Q204" s="55" cm="1">
        <f t="array" ref="Q204">MMS_Dairy_Methane_Equations.VEERG_4_3_1_1__5_FractionVolatileSolidsSolidStorageVariation(Q198,Q151,$Q162,Q152,$Q163,Q153,$Q164)</f>
        <v>4.3999999999999997E-2</v>
      </c>
      <c r="R204" s="55" cm="1">
        <f t="array" ref="R204">MMS_Dairy_Methane_Equations.VEERG_4_3_1_1__5_FractionVolatileSolidsSolidStorageVariation(R198,R151,$Q162,R152,$Q163,R153,$Q164)</f>
        <v>4.3999999999999997E-2</v>
      </c>
      <c r="S204" s="55" cm="1">
        <f t="array" ref="S204">MMS_Dairy_Methane_Equations.VEERG_4_3_1_1__5_FractionVolatileSolidsSolidStorageVariation(S198,S151,$Q162,S152,$Q163,S153,$Q164)</f>
        <v>4.3999999999999997E-2</v>
      </c>
      <c r="T204" s="55" cm="1">
        <f t="array" ref="T204">MMS_Dairy_Methane_Equations.VEERG_4_3_1_1__5_FractionVolatileSolidsSolidStorageVariation(T198,T151,$Q162,T152,$Q163,T153,$Q164)</f>
        <v>4.3999999999999997E-2</v>
      </c>
      <c r="U204" s="55" cm="1">
        <f t="array" ref="U204">MMS_Dairy_Methane_Equations.VEERG_4_3_1_1__5_FractionVolatileSolidsSolidStorageVariation(U198,U151,$Q162,U152,$Q163,U153,$Q164)</f>
        <v>4.3999999999999997E-2</v>
      </c>
      <c r="V204" s="2" t="str">
        <f>$E$189</f>
        <v>fraction</v>
      </c>
    </row>
    <row r="205" spans="3:23" ht="20.100000000000001" customHeight="1" x14ac:dyDescent="0.25">
      <c r="D205" s="55" t="str">
        <f>'Input - Dairy'!$D$67</f>
        <v>Feed pad</v>
      </c>
      <c r="E205" s="55" t="s">
        <v>412</v>
      </c>
      <c r="F205" s="55" cm="1">
        <f t="array" ref="F205">MMS_Dairy_Methane_Equations.VEERG_4_3_1_1__5_FractionVolatileSolidsSolidStorageVariation(F199,F154,$F165,F155,$F166,F156,$F167)</f>
        <v>0.12459999999999999</v>
      </c>
      <c r="G205" s="55" cm="1">
        <f t="array" ref="G205">MMS_Dairy_Methane_Equations.VEERG_4_3_1_1__5_FractionVolatileSolidsSolidStorageVariation(G199,G154,$F165,G155,$F166,G156,$F167)</f>
        <v>0.12459999999999999</v>
      </c>
      <c r="H205" s="55" cm="1">
        <f t="array" ref="H205">MMS_Dairy_Methane_Equations.VEERG_4_3_1_1__5_FractionVolatileSolidsSolidStorageVariation(H199,H154,$F165,H155,$F166,H156,$F167)</f>
        <v>0.12459999999999999</v>
      </c>
      <c r="I205" s="55" cm="1">
        <f t="array" ref="I205">MMS_Dairy_Methane_Equations.VEERG_4_3_1_1__5_FractionVolatileSolidsSolidStorageVariation(I199,I154,$F165,I155,$F166,I156,$F167)</f>
        <v>0.12459999999999999</v>
      </c>
      <c r="J205" s="55" cm="1">
        <f t="array" ref="J205">MMS_Dairy_Methane_Equations.VEERG_4_3_1_1__5_FractionVolatileSolidsSolidStorageVariation(J199,J154,$F165,J155,$F166,J156,$F167)</f>
        <v>0.12459999999999999</v>
      </c>
      <c r="K205" s="2" t="str">
        <f>$E$189</f>
        <v>fraction</v>
      </c>
      <c r="O205" s="55" t="str">
        <f>'Input - Dairy'!$D$67</f>
        <v>Feed pad</v>
      </c>
      <c r="P205" s="55" t="s">
        <v>412</v>
      </c>
      <c r="Q205" s="55" cm="1">
        <f t="array" ref="Q205">MMS_Dairy_Methane_Equations.VEERG_4_3_1_1__5_FractionVolatileSolidsSolidStorageVariation(Q199,Q154,$Q165,Q155,$Q166,Q156,$Q167)</f>
        <v>0.12459999999999999</v>
      </c>
      <c r="R205" s="55" cm="1">
        <f t="array" ref="R205">MMS_Dairy_Methane_Equations.VEERG_4_3_1_1__5_FractionVolatileSolidsSolidStorageVariation(R199,R154,$Q165,R155,$Q166,R156,$Q167)</f>
        <v>0.12459999999999999</v>
      </c>
      <c r="S205" s="55" cm="1">
        <f t="array" ref="S205">MMS_Dairy_Methane_Equations.VEERG_4_3_1_1__5_FractionVolatileSolidsSolidStorageVariation(S199,S154,$Q165,S155,$Q166,S156,$Q167)</f>
        <v>0.12459999999999999</v>
      </c>
      <c r="T205" s="55" cm="1">
        <f t="array" ref="T205">MMS_Dairy_Methane_Equations.VEERG_4_3_1_1__5_FractionVolatileSolidsSolidStorageVariation(T199,T154,$Q165,T155,$Q166,T156,$Q167)</f>
        <v>0.12459999999999999</v>
      </c>
      <c r="U205" s="55" cm="1">
        <f t="array" ref="U205">MMS_Dairy_Methane_Equations.VEERG_4_3_1_1__5_FractionVolatileSolidsSolidStorageVariation(U199,U154,$Q165,U155,$Q166,U156,$Q167)</f>
        <v>0.12459999999999999</v>
      </c>
      <c r="V205" s="2" t="str">
        <f>$E$189</f>
        <v>fraction</v>
      </c>
    </row>
    <row r="206" spans="3:23" ht="20.100000000000001" customHeight="1" x14ac:dyDescent="0.25"/>
    <row r="207" spans="3:23" ht="20.100000000000001" customHeight="1" x14ac:dyDescent="0.25"/>
    <row r="208" spans="3:23" ht="20.100000000000001" customHeight="1" x14ac:dyDescent="0.25">
      <c r="C208" s="48"/>
      <c r="D208" s="48"/>
      <c r="E208" s="48"/>
      <c r="F208" s="48"/>
      <c r="G208" s="48"/>
      <c r="H208" s="48"/>
      <c r="I208" s="48"/>
      <c r="J208" s="48"/>
      <c r="K208" s="48"/>
      <c r="L208" s="48"/>
      <c r="N208" s="48"/>
      <c r="O208" s="48"/>
      <c r="P208" s="48"/>
      <c r="Q208" s="48"/>
      <c r="R208" s="48"/>
      <c r="S208" s="48"/>
      <c r="T208" s="48"/>
      <c r="U208" s="48"/>
      <c r="V208" s="48"/>
      <c r="W208" s="48"/>
    </row>
    <row r="209" spans="1:20" ht="20.100000000000001" customHeight="1" x14ac:dyDescent="0.25">
      <c r="D209" s="6" t="str" cm="1">
        <f t="array" ref="D209">MMS_Dairy_Methane_Equations.VEERG_4_3_1_1__2_MethaneFromManureProduction_Title()</f>
        <v>Methane from manure production from weaned dairy cattle</v>
      </c>
    </row>
    <row r="210" spans="1:20" ht="20.100000000000001" customHeight="1" x14ac:dyDescent="0.25">
      <c r="D210" s="5" t="str" cm="1">
        <f t="array" ref="D210">MMS_Dairy_Methane_Equations.VEERG_4_3_1_1__2_MethaneFromManureProduction_Source()</f>
        <v>VEERG 2026: 4.3.1.1, Equation (2)</v>
      </c>
    </row>
    <row r="211" spans="1:20" ht="20.100000000000001" customHeight="1" x14ac:dyDescent="0.25">
      <c r="D211" s="13" t="s">
        <v>28</v>
      </c>
      <c r="E211" s="13" t="str" cm="1">
        <f t="array" aca="1" ref="E211" ca="1">Common_InputFunctions.Utility_DisplayFunctionName($F$237)</f>
        <v>=MMS_Dairy_Methane_Equations.VEERG_4_3_1_1__2_MethaneFromManureProduction</v>
      </c>
    </row>
    <row r="212" spans="1:20" ht="20.100000000000001" customHeight="1" x14ac:dyDescent="0.25"/>
    <row r="213" spans="1:20" ht="20.100000000000001" customHeight="1" x14ac:dyDescent="0.25">
      <c r="D213" s="6"/>
    </row>
    <row r="214" spans="1:20" ht="20.100000000000001" customHeight="1" x14ac:dyDescent="0.25">
      <c r="D214" s="56" t="s">
        <v>31</v>
      </c>
      <c r="E214" s="1" t="str" cm="1">
        <f t="array" ref="E214">MMS_Dairy_Methane_Equations.VEERG_4_3_1_1__2_MethaneFromManureProduction_Variable()</f>
        <v>M_jm</v>
      </c>
    </row>
    <row r="215" spans="1:20" ht="20.100000000000001" customHeight="1" x14ac:dyDescent="0.25">
      <c r="D215" s="56" t="s">
        <v>21</v>
      </c>
      <c r="E215" s="57" t="str" cm="1">
        <f t="array" ref="E215">MMS_Dairy_Methane_Equations.VEERG_4_3_1_1__2_MethaneFromManureProduction_Unit()</f>
        <v>kg CH4/head/day</v>
      </c>
    </row>
    <row r="216" spans="1:20" ht="20.100000000000001" customHeight="1" x14ac:dyDescent="0.25"/>
    <row r="217" spans="1:20" ht="20.100000000000001" customHeight="1" x14ac:dyDescent="0.25">
      <c r="A217" s="141" t="str">
        <f>HYPERLINK("#A1", "▲ Back to top")</f>
        <v>▲ Back to top</v>
      </c>
      <c r="D217" s="137" t="str" cm="1">
        <f t="array" ref="D217:E222">_xlfn.CHOOSECOLS(MMS_Dairy_Methane_Equations.VEERG_4_3_1_1__2_MethaneFromManureProduction_Arguments(),1,2)</f>
        <v>VS_j</v>
      </c>
      <c r="E217" s="136" t="str">
        <v>daily volatile solids production per head for dairy cattle (kg/head/day)</v>
      </c>
      <c r="F217" s="138"/>
      <c r="G217" s="137" t="str" cm="1">
        <f t="array" ref="G217:H222">_xlfn.CHOOSECOLS(MMS_Dairy_Methane_Equations.VEERG_4_3_1_1__2_MethaneFromManureProduction_Arguments(),3,4)</f>
        <v>kg/head/day</v>
      </c>
      <c r="H217" s="133" t="str">
        <v>Calculated from 4.3.1.1 (3)</v>
      </c>
      <c r="I217" s="134" t="str" cm="1">
        <f t="array" aca="1" ref="I217" ca="1">HYPERLINK(Common_InputFunctions.Utility_SourceHyperlink($D$129),$D$129)</f>
        <v>M1_Table_VS_j</v>
      </c>
      <c r="J217" s="137"/>
      <c r="O217" s="137" t="str" cm="1">
        <f t="array" ref="O217:P222">_xlfn.CHOOSECOLS(MMS_Dairy_Methane_Equations.VEERG_4_3_1_1__2_MethaneFromManureProduction_Arguments_Method2(),1,2)</f>
        <v>VS_j</v>
      </c>
      <c r="P217" s="136" t="str">
        <v>daily volatile solids production per head for dairy cattle (kg/head/day)</v>
      </c>
      <c r="Q217" s="138"/>
      <c r="R217" s="137" t="str" cm="1">
        <f t="array" ref="R217:S222">_xlfn.CHOOSECOLS(MMS_Dairy_Methane_Equations.VEERG_4_3_1_1__2_MethaneFromManureProduction_Arguments_Method2(),3,4)</f>
        <v>kg/head/day</v>
      </c>
      <c r="S217" s="133" t="str">
        <v>Calculated from 4.3.1.1 (3)</v>
      </c>
      <c r="T217" s="137"/>
    </row>
    <row r="218" spans="1:20" ht="20.100000000000001" customHeight="1" x14ac:dyDescent="0.25">
      <c r="D218" s="137" t="str">
        <v>FVS_jmT1</v>
      </c>
      <c r="E218" s="136" t="str">
        <v>fraction of waste from each class in each management system</v>
      </c>
      <c r="F218" s="138"/>
      <c r="G218" s="137" t="str">
        <v>fraction</v>
      </c>
      <c r="H218" s="133" t="str">
        <v>Calculated from 4.3.1.1 (4)(5)</v>
      </c>
      <c r="I218" s="134" t="str" cm="1">
        <f t="array" aca="1" ref="I218" ca="1">HYPERLINK(Common_InputFunctions.Utility_SourceHyperlink($D$169),$D$169)</f>
        <v>M1_Table_FVS_j_m</v>
      </c>
      <c r="J218" s="134" t="str" cm="1">
        <f t="array" aca="1" ref="J218" ca="1">HYPERLINK(Common_InputFunctions.Utility_SourceHyperlink($D$201),$D$201)</f>
        <v>M1_Table_FVS_j_m-4</v>
      </c>
      <c r="O218" s="137" t="str">
        <v>FVS_jmT1</v>
      </c>
      <c r="P218" s="136" t="str">
        <v>fraction of waste from each class in each management system</v>
      </c>
      <c r="Q218" s="138"/>
      <c r="R218" s="137" t="str">
        <v>fraction</v>
      </c>
      <c r="S218" s="133" t="str">
        <v>Calculated from 4.3.1.1 (4)(5)</v>
      </c>
      <c r="T218" s="137"/>
    </row>
    <row r="219" spans="1:20" ht="20.100000000000001" customHeight="1" x14ac:dyDescent="0.25">
      <c r="D219" s="137" t="str">
        <v>MCF_im</v>
      </c>
      <c r="E219" s="136" t="str">
        <v>methane conversion factor for temperature zone and MMS</v>
      </c>
      <c r="F219" s="138"/>
      <c r="G219" s="137" t="str">
        <v>fraction</v>
      </c>
      <c r="H219" s="133" t="str">
        <v>Constant</v>
      </c>
      <c r="I219" s="134" t="str" cm="1">
        <f t="array" aca="1" ref="I219" ca="1">HYPERLINK(Common_InputFunctions.Utility_SourceHyperlink($D$224),$D$224)</f>
        <v>M1_Table_MCF_i_m</v>
      </c>
      <c r="J219" s="137"/>
      <c r="O219" s="137" t="str">
        <v>MCF_im</v>
      </c>
      <c r="P219" s="136" t="str">
        <v>methane conversion factor for temperature zone and MMS</v>
      </c>
      <c r="Q219" s="138"/>
      <c r="R219" s="137" t="str">
        <v>fraction</v>
      </c>
      <c r="S219" s="133" t="str">
        <v>Constant</v>
      </c>
      <c r="T219" s="134" t="str" cm="1">
        <f t="array" aca="1" ref="T219" ca="1">HYPERLINK(Common_InputFunctions.Utility_SourceHyperlink($O$224),$O$224)</f>
        <v>M2_Table_MCF_i_m</v>
      </c>
    </row>
    <row r="220" spans="1:20" ht="20.100000000000001" customHeight="1" x14ac:dyDescent="0.25">
      <c r="D220" s="137" t="str">
        <v>B_o</v>
      </c>
      <c r="E220" s="136" t="str">
        <v>emissions potential (m3 CH4/kgVS)</v>
      </c>
      <c r="F220" s="138"/>
      <c r="G220" s="137" t="str">
        <v>m3 CH4/kgVS</v>
      </c>
      <c r="H220" s="133" t="str">
        <v>Constant</v>
      </c>
      <c r="I220" s="137">
        <f>'Constants - Dairy'!$D$195</f>
        <v>0.24</v>
      </c>
      <c r="J220" s="137"/>
      <c r="O220" s="137" t="str">
        <v>B_o</v>
      </c>
      <c r="P220" s="136" t="str">
        <v>emissions potential (m3 CH4/kgVS)</v>
      </c>
      <c r="Q220" s="138"/>
      <c r="R220" s="137" t="str">
        <v>m3 CH4/kgVS</v>
      </c>
      <c r="S220" s="133" t="str">
        <v>Constant</v>
      </c>
      <c r="T220" s="137"/>
    </row>
    <row r="221" spans="1:20" ht="20.100000000000001" customHeight="1" x14ac:dyDescent="0.25">
      <c r="D221" s="137" t="str">
        <v>rho</v>
      </c>
      <c r="E221" s="136" t="str">
        <v>density of methane (kg/m3)</v>
      </c>
      <c r="F221" s="138"/>
      <c r="G221" s="137" t="str">
        <v>kg/m3</v>
      </c>
      <c r="H221" s="133" t="str">
        <v>Constant</v>
      </c>
      <c r="I221" s="137">
        <f>'Constants - Common'!$D$175</f>
        <v>0.6784</v>
      </c>
      <c r="J221" s="137"/>
      <c r="O221" s="137" t="str">
        <v>rho</v>
      </c>
      <c r="P221" s="136" t="str">
        <v>density of methane (kg/m3)</v>
      </c>
      <c r="Q221" s="138"/>
      <c r="R221" s="137" t="str">
        <v>kg/m3</v>
      </c>
      <c r="S221" s="133" t="str">
        <v>Constant</v>
      </c>
      <c r="T221" s="137"/>
    </row>
    <row r="222" spans="1:20" ht="20.100000000000001" customHeight="1" x14ac:dyDescent="0.25">
      <c r="D222" s="137" t="str">
        <v>i</v>
      </c>
      <c r="E222" s="136" t="str">
        <v>state</v>
      </c>
      <c r="F222" s="138"/>
      <c r="G222" s="137" t="str">
        <v>state</v>
      </c>
      <c r="H222" s="135" t="str">
        <v>Input</v>
      </c>
      <c r="I222" s="137" t="str">
        <f>Common_InputFunctions.Utility_LookupValueInTable('Input - Site'!$E$21, Table_AustralianStates[Common Name],Table_AustralianStates[Abbreviation])</f>
        <v>NSW</v>
      </c>
      <c r="J222" s="137"/>
      <c r="O222" s="137" t="str">
        <v>MAT</v>
      </c>
      <c r="P222" s="136" t="str">
        <v>Mean annual temperature</v>
      </c>
      <c r="Q222" s="138"/>
      <c r="R222" s="137" t="str">
        <v>°C</v>
      </c>
      <c r="S222" s="135" t="str">
        <v>Input</v>
      </c>
      <c r="T222" s="137">
        <f>'Input - Site'!$E$25</f>
        <v>18</v>
      </c>
    </row>
    <row r="223" spans="1:20" ht="20.100000000000001" customHeight="1" x14ac:dyDescent="0.25"/>
    <row r="224" spans="1:20" ht="20.100000000000001" customHeight="1" x14ac:dyDescent="0.25">
      <c r="D224" s="128" t="s">
        <v>265</v>
      </c>
      <c r="O224" s="128" t="s">
        <v>423</v>
      </c>
    </row>
    <row r="225" spans="4:22" ht="20.100000000000001" customHeight="1" x14ac:dyDescent="0.25">
      <c r="D225" s="129" t="s">
        <v>266</v>
      </c>
      <c r="O225" s="129" t="s">
        <v>424</v>
      </c>
    </row>
    <row r="226" spans="4:22" ht="20.100000000000001" customHeight="1" x14ac:dyDescent="0.25">
      <c r="D226" s="54" t="s">
        <v>69</v>
      </c>
      <c r="E226" s="54" t="s">
        <v>100</v>
      </c>
      <c r="O226" s="54" t="s">
        <v>69</v>
      </c>
      <c r="P226" s="54" t="s">
        <v>100</v>
      </c>
    </row>
    <row r="227" spans="4:22" ht="20.100000000000001" customHeight="1" x14ac:dyDescent="0.25">
      <c r="D227" s="60" t="str">
        <f>'Constants - Livestock'!$E$27</f>
        <v>Pasture range and paddock</v>
      </c>
      <c r="E227" s="55" cm="1">
        <f t="array" ref="E227">CommonLivestock_InputFunctions.Livestock_LookupMCFState(D227,Table_SourceData_Dairy_MCFjm[NIR reference],$I$222,Table_SourceData_Dairy_MCFjm[#Headers],Table_SourceData_Dairy_MCFjm[])</f>
        <v>0.01</v>
      </c>
      <c r="O227" s="60" t="str">
        <f>'Constants - Livestock'!$E$27</f>
        <v>Pasture range and paddock</v>
      </c>
      <c r="P227" s="55" cm="1">
        <f t="array" ref="P227">CommonLivestock_InputFunctions.Livestock_LookupMCFState(O227,Table_SourceData_Dairy_MCFjm[NIR reference],$I$222,Table_SourceData_Dairy_MCFjm[#Headers],Table_SourceData_Dairy_MCFjm[])</f>
        <v>0.01</v>
      </c>
      <c r="Q227" s="23" t="s">
        <v>425</v>
      </c>
      <c r="R227" s="23"/>
    </row>
    <row r="228" spans="4:22" ht="20.100000000000001" customHeight="1" x14ac:dyDescent="0.25">
      <c r="D228" s="60" t="str">
        <f>'Constants - Dairy'!$D$8</f>
        <v>Anaerobic lagoon</v>
      </c>
      <c r="E228" s="55" cm="1">
        <f t="array" ref="E228">CommonLivestock_InputFunctions.Livestock_LookupMCFState(D228,Table_SourceData_Dairy_MCFjm[NIR reference],$I$222,Table_SourceData_Dairy_MCFjm[#Headers],Table_SourceData_Dairy_MCFjm[])</f>
        <v>0.76</v>
      </c>
      <c r="O228" s="60" t="str">
        <f>'Constants - Dairy'!$D$8</f>
        <v>Anaerobic lagoon</v>
      </c>
      <c r="P228" s="55" cm="1">
        <f t="array" ref="P228">Common_InputFunctions.Common_GetMCFTemperatureZone($T$222, O228,Table_SourceData_Common_MCFTemperatureZone[MAT raw],Table_SourceData_Common_MCFTemperatureZone[#Headers],Table_SourceData_Common_MCFTemperatureZone[])</f>
        <v>0.77</v>
      </c>
    </row>
    <row r="229" spans="4:22" ht="20.100000000000001" customHeight="1" x14ac:dyDescent="0.25">
      <c r="D229" s="60" t="str">
        <f>'Constants - Dairy'!$D$9</f>
        <v>Sump and dispersal system</v>
      </c>
      <c r="E229" s="55" cm="1">
        <f t="array" ref="E229">CommonLivestock_InputFunctions.Livestock_LookupMCFState(D229,Table_SourceData_Dairy_MCFjm[NIR reference],$I$222,Table_SourceData_Dairy_MCFjm[#Headers],Table_SourceData_Dairy_MCFjm[])</f>
        <v>5.0000000000000001E-3</v>
      </c>
      <c r="O229" s="60" t="str">
        <f>'Constants - Dairy'!$D$9</f>
        <v>Sump and dispersal system</v>
      </c>
      <c r="P229" s="55" cm="1">
        <f t="array" ref="P229">Common_InputFunctions.Common_GetMCFTemperatureZone($T$222, "Daily spread",Table_SourceData_Common_MCFTemperatureZone[MAT raw],Table_SourceData_Common_MCFTemperatureZone[#Headers],Table_SourceData_Common_MCFTemperatureZone[])</f>
        <v>5.0000000000000001E-3</v>
      </c>
      <c r="Q229" s="23" t="s">
        <v>422</v>
      </c>
      <c r="R229" s="23"/>
    </row>
    <row r="230" spans="4:22" ht="20.100000000000001" customHeight="1" x14ac:dyDescent="0.25">
      <c r="D230" s="60" t="str">
        <f>'Constants - Dairy'!$D$10</f>
        <v>Drains to paddock</v>
      </c>
      <c r="E230" s="55" cm="1">
        <f t="array" ref="E230">CommonLivestock_InputFunctions.Livestock_LookupMCFState(D230,Table_SourceData_Dairy_MCFjm[NIR reference],$I$222,Table_SourceData_Dairy_MCFjm[#Headers],Table_SourceData_Dairy_MCFjm[])</f>
        <v>0.18</v>
      </c>
      <c r="O230" s="60" t="str">
        <f>'Constants - Dairy'!$D$10</f>
        <v>Drains to paddock</v>
      </c>
      <c r="P230" s="55" cm="1">
        <f t="array" ref="P230">Common_InputFunctions.Common_GetMCFTemperatureZone($T$222, "Liquid systems",Table_SourceData_Common_MCFTemperatureZone[MAT raw],Table_SourceData_Common_MCFTemperatureZone[#Headers],Table_SourceData_Common_MCFTemperatureZone[])</f>
        <v>0.22</v>
      </c>
      <c r="Q230" s="23" t="s">
        <v>421</v>
      </c>
      <c r="R230" s="23"/>
    </row>
    <row r="231" spans="4:22" ht="20.100000000000001" customHeight="1" x14ac:dyDescent="0.25">
      <c r="D231" s="60" t="str">
        <f>'Constants - Dairy'!$D$11</f>
        <v>Solid storage</v>
      </c>
      <c r="E231" s="55" cm="1">
        <f t="array" ref="E231">CommonLivestock_InputFunctions.Livestock_LookupMCFState(D231,Table_SourceData_Dairy_MCFjm[NIR reference],$I$222,Table_SourceData_Dairy_MCFjm[#Headers],Table_SourceData_Dairy_MCFjm[])</f>
        <v>0.02</v>
      </c>
      <c r="O231" s="60" t="str">
        <f>'Constants - Dairy'!$D$11</f>
        <v>Solid storage</v>
      </c>
      <c r="P231" s="55" cm="1">
        <f t="array" ref="P231">Common_InputFunctions.Common_GetMCFTemperatureZone($T$222, O231,Table_SourceData_Common_MCFTemperatureZone[MAT raw],Table_SourceData_Common_MCFTemperatureZone[#Headers],Table_SourceData_Common_MCFTemperatureZone[])</f>
        <v>0.02</v>
      </c>
    </row>
    <row r="232" spans="4:22" ht="20.100000000000001" customHeight="1" x14ac:dyDescent="0.25"/>
    <row r="233" spans="4:22" ht="20.100000000000001" customHeight="1" x14ac:dyDescent="0.25">
      <c r="D233" s="128" t="s">
        <v>267</v>
      </c>
      <c r="O233" s="128" t="s">
        <v>281</v>
      </c>
    </row>
    <row r="234" spans="4:22" ht="20.100000000000001" customHeight="1" x14ac:dyDescent="0.25">
      <c r="D234" s="129" t="s">
        <v>283</v>
      </c>
      <c r="O234" s="129" t="s">
        <v>282</v>
      </c>
    </row>
    <row r="235" spans="4:22" ht="20.100000000000001" customHeight="1" x14ac:dyDescent="0.25">
      <c r="D235" s="54" t="s">
        <v>149</v>
      </c>
      <c r="E235" s="54" t="s">
        <v>69</v>
      </c>
      <c r="F235" s="54" t="s">
        <v>175</v>
      </c>
      <c r="G235" s="54" t="s">
        <v>192</v>
      </c>
      <c r="H235" s="54" t="s">
        <v>193</v>
      </c>
      <c r="I235" s="54" t="s">
        <v>194</v>
      </c>
      <c r="J235" s="54" t="s">
        <v>195</v>
      </c>
      <c r="O235" s="54" t="s">
        <v>149</v>
      </c>
      <c r="P235" s="54" t="s">
        <v>69</v>
      </c>
      <c r="Q235" s="54" t="s">
        <v>175</v>
      </c>
      <c r="R235" s="54" t="s">
        <v>192</v>
      </c>
      <c r="S235" s="54" t="s">
        <v>193</v>
      </c>
      <c r="T235" s="54" t="s">
        <v>194</v>
      </c>
      <c r="U235" s="54" t="s">
        <v>195</v>
      </c>
    </row>
    <row r="236" spans="4:22" ht="20.100000000000001" customHeight="1" x14ac:dyDescent="0.25">
      <c r="D236" s="55" t="str">
        <f>'Input - Dairy'!$D$65</f>
        <v>Pasture</v>
      </c>
      <c r="E236" s="55" t="str">
        <f>'Constants - Livestock'!$E$27</f>
        <v>Pasture range and paddock</v>
      </c>
      <c r="F236" s="55" cm="1">
        <f t="array" ref="F236">MMS_Dairy_Methane_Equations.VEERG_4_3_1_1__2_MethaneFromManureProduction(D$132,F172,_xlfn.XLOOKUP($E236,$D$227:$D$231,$E$227:$E$231),$I$220,$I$221)</f>
        <v>2.1688862480165119E-3</v>
      </c>
      <c r="G236" s="55" cm="1">
        <f t="array" ref="G236">MMS_Dairy_Methane_Equations.VEERG_4_3_1_1__2_MethaneFromManureProduction(E$132,G172,_xlfn.XLOOKUP($E236,$D$227:$D$231,$E$227:$E$231),$I$220,$I$221)</f>
        <v>1.7209245840165332E-3</v>
      </c>
      <c r="H236" s="55" cm="1">
        <f t="array" ref="H236">MMS_Dairy_Methane_Equations.VEERG_4_3_1_1__2_MethaneFromManureProduction(F$132,H172,_xlfn.XLOOKUP($E236,$D$227:$D$231,$E$227:$E$231),$I$220,$I$221)</f>
        <v>9.3323909012537774E-4</v>
      </c>
      <c r="I236" s="55" cm="1">
        <f t="array" ref="I236">MMS_Dairy_Methane_Equations.VEERG_4_3_1_1__2_MethaneFromManureProduction(G$132,I172,_xlfn.XLOOKUP($E236,$D$227:$D$231,$E$227:$E$231),$I$220,$I$221)</f>
        <v>2.0939609577804406E-3</v>
      </c>
      <c r="J236" s="55" cm="1">
        <f t="array" ref="J236">MMS_Dairy_Methane_Equations.VEERG_4_3_1_1__2_MethaneFromManureProduction(H$132,J172,_xlfn.XLOOKUP($E236,$D$227:$D$231,$E$227:$E$231),$I$220,$I$221)</f>
        <v>1.2559439850690533E-3</v>
      </c>
      <c r="K236" s="2" t="str">
        <f>$E$215</f>
        <v>kg CH4/head/day</v>
      </c>
      <c r="O236" s="55" t="str">
        <f>'Input - Dairy'!$D$65</f>
        <v>Pasture</v>
      </c>
      <c r="P236" s="55" t="str">
        <f>'Constants - Livestock'!$E$27</f>
        <v>Pasture range and paddock</v>
      </c>
      <c r="Q236" s="55" cm="1">
        <f t="array" ref="Q236">MMS_Dairy_Methane_Equations.VEERG_4_3_1_1__2_MethaneFromManureProduction(O$132,Q172,_xlfn.XLOOKUP($P236,$O$227:$O$231,$P$227:$P$231),$I$220,$I$221)</f>
        <v>2.1688862480165119E-3</v>
      </c>
      <c r="R236" s="55" cm="1">
        <f t="array" ref="R236">MMS_Dairy_Methane_Equations.VEERG_4_3_1_1__2_MethaneFromManureProduction(P$132,R172,_xlfn.XLOOKUP($P236,$O$227:$O$231,$P$227:$P$231),$I$220,$I$221)</f>
        <v>1.7209245840165332E-3</v>
      </c>
      <c r="S236" s="55" cm="1">
        <f t="array" ref="S236">MMS_Dairy_Methane_Equations.VEERG_4_3_1_1__2_MethaneFromManureProduction(Q$132,S172,_xlfn.XLOOKUP($P236,$O$227:$O$231,$P$227:$P$231),$I$220,$I$221)</f>
        <v>9.3323909012537774E-4</v>
      </c>
      <c r="T236" s="55" cm="1">
        <f t="array" ref="T236">MMS_Dairy_Methane_Equations.VEERG_4_3_1_1__2_MethaneFromManureProduction(R$132,T172,_xlfn.XLOOKUP($P236,$O$227:$O$231,$P$227:$P$231),$I$220,$I$221)</f>
        <v>2.0939609577804406E-3</v>
      </c>
      <c r="U236" s="55" cm="1">
        <f t="array" ref="U236">MMS_Dairy_Methane_Equations.VEERG_4_3_1_1__2_MethaneFromManureProduction(S$132,U172,_xlfn.XLOOKUP($P236,$O$227:$O$231,$P$227:$P$231),$I$220,$I$221)</f>
        <v>1.2559439850690533E-3</v>
      </c>
      <c r="V236" s="2" t="str">
        <f>$E$215</f>
        <v>kg CH4/head/day</v>
      </c>
    </row>
    <row r="237" spans="4:22" ht="20.100000000000001" customHeight="1" x14ac:dyDescent="0.25">
      <c r="D237" s="55" t="str">
        <f>'Input - Dairy'!$D$66</f>
        <v>Milking shed</v>
      </c>
      <c r="E237" s="55" t="str">
        <f>'Input - Dairy'!$D$85</f>
        <v>Anaerobic lagoon</v>
      </c>
      <c r="F237" s="55" cm="1">
        <f t="array" ref="F237">MMS_Dairy_Methane_Equations.VEERG_4_3_1_1__2_MethaneFromManureProduction(D$132,F173,_xlfn.XLOOKUP($E237,$D$227:$D$231,$E$227:$E$231),$I$220,$I$221)</f>
        <v>6.7909696754374672E-3</v>
      </c>
      <c r="G237" s="55" cm="1">
        <f t="array" ref="G237">MMS_Dairy_Methane_Equations.VEERG_4_3_1_1__2_MethaneFromManureProduction(E$132,G173,_xlfn.XLOOKUP($E237,$D$227:$D$231,$E$227:$E$231),$I$220,$I$221)</f>
        <v>5.3883631169955861E-3</v>
      </c>
      <c r="H237" s="55" cm="1">
        <f t="array" ref="H237">MMS_Dairy_Methane_Equations.VEERG_4_3_1_1__2_MethaneFromManureProduction(F$132,H173,_xlfn.XLOOKUP($E237,$D$227:$D$231,$E$227:$E$231),$I$220,$I$221)</f>
        <v>2.922051982564853E-3</v>
      </c>
      <c r="I237" s="55" cm="1">
        <f t="array" ref="I237">MMS_Dairy_Methane_Equations.VEERG_4_3_1_1__2_MethaneFromManureProduction(G$132,I173,_xlfn.XLOOKUP($E237,$D$227:$D$231,$E$227:$E$231),$I$220,$I$221)</f>
        <v>6.556372137469845E-3</v>
      </c>
      <c r="J237" s="55" cm="1">
        <f t="array" ref="J237">MMS_Dairy_Methane_Equations.VEERG_4_3_1_1__2_MethaneFromManureProduction(H$132,J173,_xlfn.XLOOKUP($E237,$D$227:$D$231,$E$227:$E$231),$I$220,$I$221)</f>
        <v>3.9324688071825046E-3</v>
      </c>
      <c r="O237" s="55" t="str">
        <f>'Input - Dairy'!$D$66</f>
        <v>Milking shed</v>
      </c>
      <c r="P237" s="55" t="str">
        <f>'Input - Dairy'!$D$85</f>
        <v>Anaerobic lagoon</v>
      </c>
      <c r="Q237" s="55" cm="1">
        <f t="array" ref="Q237">MMS_Dairy_Methane_Equations.VEERG_4_3_1_1__2_MethaneFromManureProduction(O$132,Q173,_xlfn.XLOOKUP($P237,$O$227:$O$231,$P$227:$P$231),$I$220,$I$221)</f>
        <v>6.8803245395879604E-3</v>
      </c>
      <c r="R237" s="55" cm="1">
        <f t="array" ref="R237">MMS_Dairy_Methane_Equations.VEERG_4_3_1_1__2_MethaneFromManureProduction(P$132,R173,_xlfn.XLOOKUP($P237,$O$227:$O$231,$P$227:$P$231),$I$220,$I$221)</f>
        <v>5.4592626316928971E-3</v>
      </c>
      <c r="S237" s="55" cm="1">
        <f t="array" ref="S237">MMS_Dairy_Methane_Equations.VEERG_4_3_1_1__2_MethaneFromManureProduction(Q$132,S173,_xlfn.XLOOKUP($P237,$O$227:$O$231,$P$227:$P$231),$I$220,$I$221)</f>
        <v>2.9605000349670215E-3</v>
      </c>
      <c r="T237" s="55" cm="1">
        <f t="array" ref="T237">MMS_Dairy_Methane_Equations.VEERG_4_3_1_1__2_MethaneFromManureProduction(R$132,T173,_xlfn.XLOOKUP($P237,$O$227:$O$231,$P$227:$P$231),$I$220,$I$221)</f>
        <v>6.6426401919102386E-3</v>
      </c>
      <c r="U237" s="55" cm="1">
        <f t="array" ref="U237">MMS_Dairy_Methane_Equations.VEERG_4_3_1_1__2_MethaneFromManureProduction(S$132,U173,_xlfn.XLOOKUP($P237,$O$227:$O$231,$P$227:$P$231),$I$220,$I$221)</f>
        <v>3.9842118178033264E-3</v>
      </c>
    </row>
    <row r="238" spans="4:22" ht="20.100000000000001" customHeight="1" x14ac:dyDescent="0.25">
      <c r="D238" s="55" t="str">
        <f>'Input - Dairy'!$D$66</f>
        <v>Milking shed</v>
      </c>
      <c r="E238" s="55" t="str">
        <f>'Input - Dairy'!$D$86</f>
        <v>Sump and dispersal system</v>
      </c>
      <c r="F238" s="55" cm="1">
        <f t="array" ref="F238">MMS_Dairy_Methane_Equations.VEERG_4_3_1_1__2_MethaneFromManureProduction(D$132,F174,_xlfn.XLOOKUP($E238,$D$227:$D$231,$E$227:$E$231),$I$220,$I$221)</f>
        <v>4.4677432075246498E-5</v>
      </c>
      <c r="G238" s="55" cm="1">
        <f t="array" ref="G238">MMS_Dairy_Methane_Equations.VEERG_4_3_1_1__2_MethaneFromManureProduction(E$132,G174,_xlfn.XLOOKUP($E238,$D$227:$D$231,$E$227:$E$231),$I$220,$I$221)</f>
        <v>3.5449757348655176E-5</v>
      </c>
      <c r="H238" s="55" cm="1">
        <f t="array" ref="H238">MMS_Dairy_Methane_Equations.VEERG_4_3_1_1__2_MethaneFromManureProduction(F$132,H174,_xlfn.XLOOKUP($E238,$D$227:$D$231,$E$227:$E$231),$I$220,$I$221)</f>
        <v>1.9224026201084556E-5</v>
      </c>
      <c r="I238" s="55" cm="1">
        <f t="array" ref="I238">MMS_Dairy_Methane_Equations.VEERG_4_3_1_1__2_MethaneFromManureProduction(G$132,I174,_xlfn.XLOOKUP($E238,$D$227:$D$231,$E$227:$E$231),$I$220,$I$221)</f>
        <v>4.313402722019635E-5</v>
      </c>
      <c r="J238" s="55" cm="1">
        <f t="array" ref="J238">MMS_Dairy_Methane_Equations.VEERG_4_3_1_1__2_MethaneFromManureProduction(H$132,J174,_xlfn.XLOOKUP($E238,$D$227:$D$231,$E$227:$E$231),$I$220,$I$221)</f>
        <v>2.587150531041121E-5</v>
      </c>
      <c r="K238" s="2"/>
      <c r="O238" s="55" t="str">
        <f>'Input - Dairy'!$D$66</f>
        <v>Milking shed</v>
      </c>
      <c r="P238" s="55" t="str">
        <f>'Input - Dairy'!$D$86</f>
        <v>Sump and dispersal system</v>
      </c>
      <c r="Q238" s="55" cm="1">
        <f t="array" ref="Q238">MMS_Dairy_Methane_Equations.VEERG_4_3_1_1__2_MethaneFromManureProduction(O$132,Q174,_xlfn.XLOOKUP($P238,$O$227:$O$231,$P$227:$P$231),$I$220,$I$221)</f>
        <v>4.4677432075246498E-5</v>
      </c>
      <c r="R238" s="55" cm="1">
        <f t="array" ref="R238">MMS_Dairy_Methane_Equations.VEERG_4_3_1_1__2_MethaneFromManureProduction(P$132,R174,_xlfn.XLOOKUP($P238,$O$227:$O$231,$P$227:$P$231),$I$220,$I$221)</f>
        <v>3.5449757348655176E-5</v>
      </c>
      <c r="S238" s="55" cm="1">
        <f t="array" ref="S238">MMS_Dairy_Methane_Equations.VEERG_4_3_1_1__2_MethaneFromManureProduction(Q$132,S174,_xlfn.XLOOKUP($P238,$O$227:$O$231,$P$227:$P$231),$I$220,$I$221)</f>
        <v>1.9224026201084556E-5</v>
      </c>
      <c r="T238" s="55" cm="1">
        <f t="array" ref="T238">MMS_Dairy_Methane_Equations.VEERG_4_3_1_1__2_MethaneFromManureProduction(R$132,T174,_xlfn.XLOOKUP($P238,$O$227:$O$231,$P$227:$P$231),$I$220,$I$221)</f>
        <v>4.313402722019635E-5</v>
      </c>
      <c r="U238" s="55" cm="1">
        <f t="array" ref="U238">MMS_Dairy_Methane_Equations.VEERG_4_3_1_1__2_MethaneFromManureProduction(S$132,U174,_xlfn.XLOOKUP($P238,$O$227:$O$231,$P$227:$P$231),$I$220,$I$221)</f>
        <v>2.587150531041121E-5</v>
      </c>
      <c r="V238" s="2"/>
    </row>
    <row r="239" spans="4:22" ht="20.100000000000001" customHeight="1" x14ac:dyDescent="0.25">
      <c r="D239" s="55" t="str">
        <f>'Input - Dairy'!$D$66</f>
        <v>Milking shed</v>
      </c>
      <c r="E239" s="55" t="str">
        <f>'Input - Dairy'!$D$87</f>
        <v>Drains to paddock</v>
      </c>
      <c r="F239" s="55" cm="1">
        <f t="array" ref="F239">MMS_Dairy_Methane_Equations.VEERG_4_3_1_1__2_MethaneFromManureProduction(D$132,F175,_xlfn.XLOOKUP($E239,$D$227:$D$231,$E$227:$E$231),$I$220,$I$221)</f>
        <v>1.6083875547088741E-3</v>
      </c>
      <c r="G239" s="55" cm="1">
        <f t="array" ref="G239">MMS_Dairy_Methane_Equations.VEERG_4_3_1_1__2_MethaneFromManureProduction(E$132,G175,_xlfn.XLOOKUP($E239,$D$227:$D$231,$E$227:$E$231),$I$220,$I$221)</f>
        <v>1.2761912645515865E-3</v>
      </c>
      <c r="H239" s="55" cm="1">
        <f t="array" ref="H239">MMS_Dairy_Methane_Equations.VEERG_4_3_1_1__2_MethaneFromManureProduction(F$132,H175,_xlfn.XLOOKUP($E239,$D$227:$D$231,$E$227:$E$231),$I$220,$I$221)</f>
        <v>6.9206494323904399E-4</v>
      </c>
      <c r="I239" s="55" cm="1">
        <f t="array" ref="I239">MMS_Dairy_Methane_Equations.VEERG_4_3_1_1__2_MethaneFromManureProduction(G$132,I175,_xlfn.XLOOKUP($E239,$D$227:$D$231,$E$227:$E$231),$I$220,$I$221)</f>
        <v>1.5528249799270685E-3</v>
      </c>
      <c r="J239" s="55" cm="1">
        <f t="array" ref="J239">MMS_Dairy_Methane_Equations.VEERG_4_3_1_1__2_MethaneFromManureProduction(H$132,J175,_xlfn.XLOOKUP($E239,$D$227:$D$231,$E$227:$E$231),$I$220,$I$221)</f>
        <v>9.3137419117480342E-4</v>
      </c>
      <c r="K239" s="2"/>
      <c r="O239" s="55" t="str">
        <f>'Input - Dairy'!$D$66</f>
        <v>Milking shed</v>
      </c>
      <c r="P239" s="55" t="str">
        <f>'Input - Dairy'!$D$87</f>
        <v>Drains to paddock</v>
      </c>
      <c r="Q239" s="55" cm="1">
        <f t="array" ref="Q239">MMS_Dairy_Methane_Equations.VEERG_4_3_1_1__2_MethaneFromManureProduction(O$132,Q175,_xlfn.XLOOKUP($P239,$O$227:$O$231,$P$227:$P$231),$I$220,$I$221)</f>
        <v>1.9658070113108459E-3</v>
      </c>
      <c r="R239" s="55" cm="1">
        <f t="array" ref="R239">MMS_Dairy_Methane_Equations.VEERG_4_3_1_1__2_MethaneFromManureProduction(P$132,R175,_xlfn.XLOOKUP($P239,$O$227:$O$231,$P$227:$P$231),$I$220,$I$221)</f>
        <v>1.5597893233408276E-3</v>
      </c>
      <c r="S239" s="55" cm="1">
        <f t="array" ref="S239">MMS_Dairy_Methane_Equations.VEERG_4_3_1_1__2_MethaneFromManureProduction(Q$132,S175,_xlfn.XLOOKUP($P239,$O$227:$O$231,$P$227:$P$231),$I$220,$I$221)</f>
        <v>8.4585715284772047E-4</v>
      </c>
      <c r="T239" s="55" cm="1">
        <f t="array" ref="T239">MMS_Dairy_Methane_Equations.VEERG_4_3_1_1__2_MethaneFromManureProduction(R$132,T175,_xlfn.XLOOKUP($P239,$O$227:$O$231,$P$227:$P$231),$I$220,$I$221)</f>
        <v>1.8978971976886393E-3</v>
      </c>
      <c r="U239" s="55" cm="1">
        <f t="array" ref="U239">MMS_Dairy_Methane_Equations.VEERG_4_3_1_1__2_MethaneFromManureProduction(S$132,U175,_xlfn.XLOOKUP($P239,$O$227:$O$231,$P$227:$P$231),$I$220,$I$221)</f>
        <v>1.1383462336580932E-3</v>
      </c>
      <c r="V239" s="2"/>
    </row>
    <row r="240" spans="4:22" ht="20.100000000000001" customHeight="1" x14ac:dyDescent="0.25">
      <c r="D240" s="55" t="str">
        <f>'Input - Dairy'!$D$66</f>
        <v>Milking shed</v>
      </c>
      <c r="E240" s="55" t="s">
        <v>412</v>
      </c>
      <c r="F240" s="55" cm="1">
        <f t="array" ref="F240">MMS_Dairy_Methane_Equations.VEERG_4_3_1_1__2_MethaneFromManureProduction(D$132,F204,_xlfn.XLOOKUP($E240,$D$227:$D$231,$E$227:$E$231),$I$220,$I$221)</f>
        <v>3.5741945660197193E-4</v>
      </c>
      <c r="G240" s="55" cm="1">
        <f t="array" ref="G240">MMS_Dairy_Methane_Equations.VEERG_4_3_1_1__2_MethaneFromManureProduction(E$132,G204,_xlfn.XLOOKUP($E240,$D$227:$D$231,$E$227:$E$231),$I$220,$I$221)</f>
        <v>2.8359805878924141E-4</v>
      </c>
      <c r="H240" s="55" cm="1">
        <f t="array" ref="H240">MMS_Dairy_Methane_Equations.VEERG_4_3_1_1__2_MethaneFromManureProduction(F$132,H204,_xlfn.XLOOKUP($E240,$D$227:$D$231,$E$227:$E$231),$I$220,$I$221)</f>
        <v>1.5379220960867642E-4</v>
      </c>
      <c r="I240" s="55" cm="1">
        <f t="array" ref="I240">MMS_Dairy_Methane_Equations.VEERG_4_3_1_1__2_MethaneFromManureProduction(G$132,I204,_xlfn.XLOOKUP($E240,$D$227:$D$231,$E$227:$E$231),$I$220,$I$221)</f>
        <v>3.4507221776157069E-4</v>
      </c>
      <c r="J240" s="55" cm="1">
        <f t="array" ref="J240">MMS_Dairy_Methane_Equations.VEERG_4_3_1_1__2_MethaneFromManureProduction(H$132,J204,_xlfn.XLOOKUP($E240,$D$227:$D$231,$E$227:$E$231),$I$220,$I$221)</f>
        <v>2.0697204248328968E-4</v>
      </c>
      <c r="K240" s="2"/>
      <c r="O240" s="55" t="str">
        <f>'Input - Dairy'!$D$66</f>
        <v>Milking shed</v>
      </c>
      <c r="P240" s="55" t="s">
        <v>412</v>
      </c>
      <c r="Q240" s="55" cm="1">
        <f t="array" ref="Q240">MMS_Dairy_Methane_Equations.VEERG_4_3_1_1__2_MethaneFromManureProduction(O$132,Q204,_xlfn.XLOOKUP($P240,$O$227:$O$231,$P$227:$P$231),$I$220,$I$221)</f>
        <v>3.5741945660197193E-4</v>
      </c>
      <c r="R240" s="55" cm="1">
        <f t="array" ref="R240">MMS_Dairy_Methane_Equations.VEERG_4_3_1_1__2_MethaneFromManureProduction(P$132,R204,_xlfn.XLOOKUP($P240,$O$227:$O$231,$P$227:$P$231),$I$220,$I$221)</f>
        <v>2.8359805878924141E-4</v>
      </c>
      <c r="S240" s="55" cm="1">
        <f t="array" ref="S240">MMS_Dairy_Methane_Equations.VEERG_4_3_1_1__2_MethaneFromManureProduction(Q$132,S204,_xlfn.XLOOKUP($P240,$O$227:$O$231,$P$227:$P$231),$I$220,$I$221)</f>
        <v>1.5379220960867642E-4</v>
      </c>
      <c r="T240" s="55" cm="1">
        <f t="array" ref="T240">MMS_Dairy_Methane_Equations.VEERG_4_3_1_1__2_MethaneFromManureProduction(R$132,T204,_xlfn.XLOOKUP($P240,$O$227:$O$231,$P$227:$P$231),$I$220,$I$221)</f>
        <v>3.4507221776157069E-4</v>
      </c>
      <c r="U240" s="55" cm="1">
        <f t="array" ref="U240">MMS_Dairy_Methane_Equations.VEERG_4_3_1_1__2_MethaneFromManureProduction(S$132,U204,_xlfn.XLOOKUP($P240,$O$227:$O$231,$P$227:$P$231),$I$220,$I$221)</f>
        <v>2.0697204248328968E-4</v>
      </c>
      <c r="V240" s="2"/>
    </row>
    <row r="241" spans="3:23" ht="20.100000000000001" customHeight="1" x14ac:dyDescent="0.25">
      <c r="D241" s="55" t="str">
        <f>'Input - Dairy'!$D$67</f>
        <v>Feed pad</v>
      </c>
      <c r="E241" s="55" t="str">
        <f>'Input - Dairy'!$D$101</f>
        <v>Anaerobic lagoon</v>
      </c>
      <c r="F241" s="55" cm="1">
        <f t="array" ref="F241">MMS_Dairy_Methane_Equations.VEERG_4_3_1_1__2_MethaneFromManureProduction(D$132,F176,_xlfn.XLOOKUP($E241,$D$227:$D$231,$E$227:$E$231),$I$220,$I$221)</f>
        <v>2.747255914154248E-2</v>
      </c>
      <c r="G241" s="55" cm="1">
        <f t="array" ref="G241">MMS_Dairy_Methane_Equations.VEERG_4_3_1_1__2_MethaneFromManureProduction(E$132,G176,_xlfn.XLOOKUP($E241,$D$227:$D$231,$E$227:$E$231),$I$220,$I$221)</f>
        <v>2.1798378064209416E-2</v>
      </c>
      <c r="H241" s="55" cm="1">
        <f t="array" ref="H241">MMS_Dairy_Methane_Equations.VEERG_4_3_1_1__2_MethaneFromManureProduction(F$132,H176,_xlfn.XLOOKUP($E241,$D$227:$D$231,$E$227:$E$231),$I$220,$I$221)</f>
        <v>1.1821028474921448E-2</v>
      </c>
      <c r="I241" s="55" cm="1">
        <f t="array" ref="I241">MMS_Dairy_Methane_Equations.VEERG_4_3_1_1__2_MethaneFromManureProduction(G$132,I176,_xlfn.XLOOKUP($E241,$D$227:$D$231,$E$227:$E$231),$I$220,$I$221)</f>
        <v>2.6523505465218911E-2</v>
      </c>
      <c r="J241" s="55" cm="1">
        <f t="array" ref="J241">MMS_Dairy_Methane_Equations.VEERG_4_3_1_1__2_MethaneFromManureProduction(H$132,J176,_xlfn.XLOOKUP($E241,$D$227:$D$231,$E$227:$E$231),$I$220,$I$221)</f>
        <v>1.5908623810874673E-2</v>
      </c>
      <c r="K241" s="2"/>
      <c r="O241" s="55" t="str">
        <f>'Input - Dairy'!$D$67</f>
        <v>Feed pad</v>
      </c>
      <c r="P241" s="55" t="str">
        <f>'Input - Dairy'!$D$101</f>
        <v>Anaerobic lagoon</v>
      </c>
      <c r="Q241" s="55" cm="1">
        <f t="array" ref="Q241">MMS_Dairy_Methane_Equations.VEERG_4_3_1_1__2_MethaneFromManureProduction(O$132,Q176,_xlfn.XLOOKUP($P241,$O$227:$O$231,$P$227:$P$231),$I$220,$I$221)</f>
        <v>2.7834040182878564E-2</v>
      </c>
      <c r="R241" s="55" cm="1">
        <f t="array" ref="R241">MMS_Dairy_Methane_Equations.VEERG_4_3_1_1__2_MethaneFromManureProduction(P$132,R176,_xlfn.XLOOKUP($P241,$O$227:$O$231,$P$227:$P$231),$I$220,$I$221)</f>
        <v>2.2085198828212176E-2</v>
      </c>
      <c r="S241" s="55" cm="1">
        <f t="array" ref="S241">MMS_Dairy_Methane_Equations.VEERG_4_3_1_1__2_MethaneFromManureProduction(Q$132,S176,_xlfn.XLOOKUP($P241,$O$227:$O$231,$P$227:$P$231),$I$220,$I$221)</f>
        <v>1.197656832327568E-2</v>
      </c>
      <c r="T241" s="55" cm="1">
        <f t="array" ref="T241">MMS_Dairy_Methane_Equations.VEERG_4_3_1_1__2_MethaneFromManureProduction(R$132,T176,_xlfn.XLOOKUP($P241,$O$227:$O$231,$P$227:$P$231),$I$220,$I$221)</f>
        <v>2.687249895818232E-2</v>
      </c>
      <c r="U241" s="55" cm="1">
        <f t="array" ref="U241">MMS_Dairy_Methane_Equations.VEERG_4_3_1_1__2_MethaneFromManureProduction(S$132,U176,_xlfn.XLOOKUP($P241,$O$227:$O$231,$P$227:$P$231),$I$220,$I$221)</f>
        <v>1.6117947808386185E-2</v>
      </c>
      <c r="V241" s="2"/>
    </row>
    <row r="242" spans="3:23" ht="20.100000000000001" customHeight="1" x14ac:dyDescent="0.25">
      <c r="D242" s="55" t="str">
        <f>'Input - Dairy'!$D$67</f>
        <v>Feed pad</v>
      </c>
      <c r="E242" s="55" t="str">
        <f>'Input - Dairy'!$D$102</f>
        <v>Sump and dispersal system</v>
      </c>
      <c r="F242" s="55" cm="1">
        <f t="array" ref="F242">MMS_Dairy_Methane_Equations.VEERG_4_3_1_1__2_MethaneFromManureProduction(D$132,F177,_xlfn.XLOOKUP($E242,$D$227:$D$231,$E$227:$E$231),$I$220,$I$221)</f>
        <v>1.4459241653443412E-4</v>
      </c>
      <c r="G242" s="55" cm="1">
        <f t="array" ref="G242">MMS_Dairy_Methane_Equations.VEERG_4_3_1_1__2_MethaneFromManureProduction(E$132,G177,_xlfn.XLOOKUP($E242,$D$227:$D$231,$E$227:$E$231),$I$220,$I$221)</f>
        <v>1.1472830560110218E-4</v>
      </c>
      <c r="H242" s="55" cm="1">
        <f t="array" ref="H242">MMS_Dairy_Methane_Equations.VEERG_4_3_1_1__2_MethaneFromManureProduction(F$132,H177,_xlfn.XLOOKUP($E242,$D$227:$D$231,$E$227:$E$231),$I$220,$I$221)</f>
        <v>6.2215939341691832E-5</v>
      </c>
      <c r="I242" s="55" cm="1">
        <f t="array" ref="I242">MMS_Dairy_Methane_Equations.VEERG_4_3_1_1__2_MethaneFromManureProduction(G$132,I177,_xlfn.XLOOKUP($E242,$D$227:$D$231,$E$227:$E$231),$I$220,$I$221)</f>
        <v>1.3959739718536268E-4</v>
      </c>
      <c r="J242" s="55" cm="1">
        <f t="array" ref="J242">MMS_Dairy_Methane_Equations.VEERG_4_3_1_1__2_MethaneFromManureProduction(H$132,J177,_xlfn.XLOOKUP($E242,$D$227:$D$231,$E$227:$E$231),$I$220,$I$221)</f>
        <v>8.3729599004603552E-5</v>
      </c>
      <c r="K242" s="2"/>
      <c r="O242" s="55" t="str">
        <f>'Input - Dairy'!$D$67</f>
        <v>Feed pad</v>
      </c>
      <c r="P242" s="55" t="str">
        <f>'Input - Dairy'!$D$102</f>
        <v>Sump and dispersal system</v>
      </c>
      <c r="Q242" s="55" cm="1">
        <f t="array" ref="Q242">MMS_Dairy_Methane_Equations.VEERG_4_3_1_1__2_MethaneFromManureProduction(O$132,Q177,_xlfn.XLOOKUP($P242,$O$227:$O$231,$P$227:$P$231),$I$220,$I$221)</f>
        <v>1.4459241653443412E-4</v>
      </c>
      <c r="R242" s="55" cm="1">
        <f t="array" ref="R242">MMS_Dairy_Methane_Equations.VEERG_4_3_1_1__2_MethaneFromManureProduction(P$132,R177,_xlfn.XLOOKUP($P242,$O$227:$O$231,$P$227:$P$231),$I$220,$I$221)</f>
        <v>1.1472830560110218E-4</v>
      </c>
      <c r="S242" s="55" cm="1">
        <f t="array" ref="S242">MMS_Dairy_Methane_Equations.VEERG_4_3_1_1__2_MethaneFromManureProduction(Q$132,S177,_xlfn.XLOOKUP($P242,$O$227:$O$231,$P$227:$P$231),$I$220,$I$221)</f>
        <v>6.2215939341691832E-5</v>
      </c>
      <c r="T242" s="55" cm="1">
        <f t="array" ref="T242">MMS_Dairy_Methane_Equations.VEERG_4_3_1_1__2_MethaneFromManureProduction(R$132,T177,_xlfn.XLOOKUP($P242,$O$227:$O$231,$P$227:$P$231),$I$220,$I$221)</f>
        <v>1.3959739718536268E-4</v>
      </c>
      <c r="U242" s="55" cm="1">
        <f t="array" ref="U242">MMS_Dairy_Methane_Equations.VEERG_4_3_1_1__2_MethaneFromManureProduction(S$132,U177,_xlfn.XLOOKUP($P242,$O$227:$O$231,$P$227:$P$231),$I$220,$I$221)</f>
        <v>8.3729599004603552E-5</v>
      </c>
      <c r="V242" s="2"/>
    </row>
    <row r="243" spans="3:23" ht="20.100000000000001" customHeight="1" x14ac:dyDescent="0.25">
      <c r="D243" s="55" t="str">
        <f>'Input - Dairy'!$D$67</f>
        <v>Feed pad</v>
      </c>
      <c r="E243" s="55" t="str">
        <f>'Input - Dairy'!$D$103</f>
        <v>Drains to paddock</v>
      </c>
      <c r="F243" s="55" cm="1">
        <f t="array" ref="F243">MMS_Dairy_Methane_Equations.VEERG_4_3_1_1__2_MethaneFromManureProduction(D$132,F178,_xlfn.XLOOKUP($E243,$D$227:$D$231,$E$227:$E$231),$I$220,$I$221)</f>
        <v>5.2053269952396283E-3</v>
      </c>
      <c r="G243" s="55" cm="1">
        <f t="array" ref="G243">MMS_Dairy_Methane_Equations.VEERG_4_3_1_1__2_MethaneFromManureProduction(E$132,G178,_xlfn.XLOOKUP($E243,$D$227:$D$231,$E$227:$E$231),$I$220,$I$221)</f>
        <v>4.1302190016396789E-3</v>
      </c>
      <c r="H243" s="55" cm="1">
        <f t="array" ref="H243">MMS_Dairy_Methane_Equations.VEERG_4_3_1_1__2_MethaneFromManureProduction(F$132,H178,_xlfn.XLOOKUP($E243,$D$227:$D$231,$E$227:$E$231),$I$220,$I$221)</f>
        <v>2.2397738163009058E-3</v>
      </c>
      <c r="I243" s="55" cm="1">
        <f t="array" ref="I243">MMS_Dairy_Methane_Equations.VEERG_4_3_1_1__2_MethaneFromManureProduction(G$132,I178,_xlfn.XLOOKUP($E243,$D$227:$D$231,$E$227:$E$231),$I$220,$I$221)</f>
        <v>5.0255062986730567E-3</v>
      </c>
      <c r="J243" s="55" cm="1">
        <f t="array" ref="J243">MMS_Dairy_Methane_Equations.VEERG_4_3_1_1__2_MethaneFromManureProduction(H$132,J178,_xlfn.XLOOKUP($E243,$D$227:$D$231,$E$227:$E$231),$I$220,$I$221)</f>
        <v>3.0142655641657275E-3</v>
      </c>
      <c r="K243" s="2"/>
      <c r="O243" s="55" t="str">
        <f>'Input - Dairy'!$D$67</f>
        <v>Feed pad</v>
      </c>
      <c r="P243" s="55" t="str">
        <f>'Input - Dairy'!$D$103</f>
        <v>Drains to paddock</v>
      </c>
      <c r="Q243" s="55" cm="1">
        <f t="array" ref="Q243">MMS_Dairy_Methane_Equations.VEERG_4_3_1_1__2_MethaneFromManureProduction(O$132,Q178,_xlfn.XLOOKUP($P243,$O$227:$O$231,$P$227:$P$231),$I$220,$I$221)</f>
        <v>6.3620663275151014E-3</v>
      </c>
      <c r="R243" s="55" cm="1">
        <f t="array" ref="R243">MMS_Dairy_Methane_Equations.VEERG_4_3_1_1__2_MethaneFromManureProduction(P$132,R178,_xlfn.XLOOKUP($P243,$O$227:$O$231,$P$227:$P$231),$I$220,$I$221)</f>
        <v>5.0480454464484964E-3</v>
      </c>
      <c r="S243" s="55" cm="1">
        <f t="array" ref="S243">MMS_Dairy_Methane_Equations.VEERG_4_3_1_1__2_MethaneFromManureProduction(Q$132,S178,_xlfn.XLOOKUP($P243,$O$227:$O$231,$P$227:$P$231),$I$220,$I$221)</f>
        <v>2.7375013310344406E-3</v>
      </c>
      <c r="T243" s="55" cm="1">
        <f t="array" ref="T243">MMS_Dairy_Methane_Equations.VEERG_4_3_1_1__2_MethaneFromManureProduction(R$132,T178,_xlfn.XLOOKUP($P243,$O$227:$O$231,$P$227:$P$231),$I$220,$I$221)</f>
        <v>6.1422854761559592E-3</v>
      </c>
      <c r="U243" s="55" cm="1">
        <f t="array" ref="U243">MMS_Dairy_Methane_Equations.VEERG_4_3_1_1__2_MethaneFromManureProduction(S$132,U178,_xlfn.XLOOKUP($P243,$O$227:$O$231,$P$227:$P$231),$I$220,$I$221)</f>
        <v>3.684102356202556E-3</v>
      </c>
      <c r="V243" s="2"/>
    </row>
    <row r="244" spans="3:23" ht="20.100000000000001" customHeight="1" x14ac:dyDescent="0.25">
      <c r="D244" s="55" t="str">
        <f>'Input - Dairy'!$D$67</f>
        <v>Feed pad</v>
      </c>
      <c r="E244" s="55" t="s">
        <v>412</v>
      </c>
      <c r="F244" s="55" cm="1">
        <f t="array" ref="F244">MMS_Dairy_Methane_Equations.VEERG_4_3_1_1__2_MethaneFromManureProduction(D$132,F205,_xlfn.XLOOKUP($E244,$D$227:$D$231,$E$227:$E$231),$I$220,$I$221)</f>
        <v>1.0121469157410388E-3</v>
      </c>
      <c r="G244" s="55" cm="1">
        <f t="array" ref="G244">MMS_Dairy_Methane_Equations.VEERG_4_3_1_1__2_MethaneFromManureProduction(E$132,G205,_xlfn.XLOOKUP($E244,$D$227:$D$231,$E$227:$E$231),$I$220,$I$221)</f>
        <v>8.0309813920771526E-4</v>
      </c>
      <c r="H244" s="55" cm="1">
        <f t="array" ref="H244">MMS_Dairy_Methane_Equations.VEERG_4_3_1_1__2_MethaneFromManureProduction(F$132,H205,_xlfn.XLOOKUP($E244,$D$227:$D$231,$E$227:$E$231),$I$220,$I$221)</f>
        <v>4.3551157539184287E-4</v>
      </c>
      <c r="I244" s="55" cm="1">
        <f t="array" ref="I244">MMS_Dairy_Methane_Equations.VEERG_4_3_1_1__2_MethaneFromManureProduction(G$132,I205,_xlfn.XLOOKUP($E244,$D$227:$D$231,$E$227:$E$231),$I$220,$I$221)</f>
        <v>9.7718178029753897E-4</v>
      </c>
      <c r="J244" s="55" cm="1">
        <f t="array" ref="J244">MMS_Dairy_Methane_Equations.VEERG_4_3_1_1__2_MethaneFromManureProduction(H$132,J205,_xlfn.XLOOKUP($E244,$D$227:$D$231,$E$227:$E$231),$I$220,$I$221)</f>
        <v>5.8610719303222485E-4</v>
      </c>
      <c r="K244" s="2"/>
      <c r="O244" s="55" t="str">
        <f>'Input - Dairy'!$D$67</f>
        <v>Feed pad</v>
      </c>
      <c r="P244" s="55" t="s">
        <v>412</v>
      </c>
      <c r="Q244" s="55" cm="1">
        <f t="array" ref="Q244">MMS_Dairy_Methane_Equations.VEERG_4_3_1_1__2_MethaneFromManureProduction(O$132,Q205,_xlfn.XLOOKUP($P244,$O$227:$O$231,$P$227:$P$231),$I$220,$I$221)</f>
        <v>1.0121469157410388E-3</v>
      </c>
      <c r="R244" s="55" cm="1">
        <f t="array" ref="R244">MMS_Dairy_Methane_Equations.VEERG_4_3_1_1__2_MethaneFromManureProduction(P$132,R205,_xlfn.XLOOKUP($P244,$O$227:$O$231,$P$227:$P$231),$I$220,$I$221)</f>
        <v>8.0309813920771526E-4</v>
      </c>
      <c r="S244" s="55" cm="1">
        <f t="array" ref="S244">MMS_Dairy_Methane_Equations.VEERG_4_3_1_1__2_MethaneFromManureProduction(Q$132,S205,_xlfn.XLOOKUP($P244,$O$227:$O$231,$P$227:$P$231),$I$220,$I$221)</f>
        <v>4.3551157539184287E-4</v>
      </c>
      <c r="T244" s="55" cm="1">
        <f t="array" ref="T244">MMS_Dairy_Methane_Equations.VEERG_4_3_1_1__2_MethaneFromManureProduction(R$132,T205,_xlfn.XLOOKUP($P244,$O$227:$O$231,$P$227:$P$231),$I$220,$I$221)</f>
        <v>9.7718178029753897E-4</v>
      </c>
      <c r="U244" s="55" cm="1">
        <f t="array" ref="U244">MMS_Dairy_Methane_Equations.VEERG_4_3_1_1__2_MethaneFromManureProduction(S$132,U205,_xlfn.XLOOKUP($P244,$O$227:$O$231,$P$227:$P$231),$I$220,$I$221)</f>
        <v>5.8610719303222485E-4</v>
      </c>
      <c r="V244" s="2"/>
    </row>
    <row r="245" spans="3:23" ht="20.100000000000001" customHeight="1" x14ac:dyDescent="0.25"/>
    <row r="246" spans="3:23" ht="20.100000000000001" customHeight="1" x14ac:dyDescent="0.25"/>
    <row r="247" spans="3:23" ht="20.100000000000001" customHeight="1" x14ac:dyDescent="0.25">
      <c r="C247" s="48"/>
      <c r="D247" s="48"/>
      <c r="E247" s="48"/>
      <c r="F247" s="48"/>
      <c r="G247" s="48"/>
      <c r="H247" s="48"/>
      <c r="I247" s="48"/>
      <c r="J247" s="48"/>
      <c r="K247" s="48"/>
      <c r="L247" s="48"/>
      <c r="N247" s="48"/>
      <c r="O247" s="48"/>
      <c r="P247" s="48"/>
      <c r="Q247" s="48"/>
      <c r="R247" s="48"/>
      <c r="S247" s="48"/>
      <c r="T247" s="48"/>
      <c r="U247" s="48"/>
      <c r="V247" s="48"/>
      <c r="W247" s="48"/>
    </row>
    <row r="248" spans="3:23" ht="20.100000000000001" customHeight="1" x14ac:dyDescent="0.25">
      <c r="D248" s="6" t="str" cm="1">
        <f t="array" ref="D248">MMS_Dairy_Methane_Equations.VEERG_4_3_1_1__1_TotalAnnualMethaneFromManureManagement_Title()</f>
        <v>Total annual methane production from manure management</v>
      </c>
    </row>
    <row r="249" spans="3:23" ht="20.100000000000001" customHeight="1" x14ac:dyDescent="0.25">
      <c r="D249" s="5" t="str" cm="1">
        <f t="array" ref="D249">MMS_Dairy_Methane_Equations.VEERG_4_3_1_1__1_TotalAnnualMethaneFromManureManagement_Source()</f>
        <v>VEERG 2026: 4.3.1.1, Equation (1)</v>
      </c>
    </row>
    <row r="250" spans="3:23" ht="20.100000000000001" customHeight="1" x14ac:dyDescent="0.25">
      <c r="D250" s="58" t="str" cm="1">
        <f t="array" ref="D250">MMS_Dairy_Methane_Equations.VEERG_4_3_1_1__1_TotalAnnualMethaneFromManureManagement_Variation()</f>
        <v>VARIATION: Used separate variable for duration of stay on farm for pre-weaned heifer and bull calves.</v>
      </c>
    </row>
    <row r="251" spans="3:23" ht="20.100000000000001" customHeight="1" x14ac:dyDescent="0.25">
      <c r="D251" s="13" t="s">
        <v>28</v>
      </c>
      <c r="E251" s="13" t="str" cm="1">
        <f t="array" aca="1" ref="E251" ca="1">Common_InputFunctions.Utility_DisplayFunctionName($F$290)</f>
        <v>=MMS_Dairy_Methane_Equations.VEERG_4_3_1_1__1_TotalAnnualMethaneFromManureManagementVariation</v>
      </c>
    </row>
    <row r="252" spans="3:23" ht="20.100000000000001" customHeight="1" x14ac:dyDescent="0.25">
      <c r="D252" s="6"/>
    </row>
    <row r="253" spans="3:23" ht="20.100000000000001" customHeight="1" x14ac:dyDescent="0.25">
      <c r="D253" s="6"/>
    </row>
    <row r="254" spans="3:23" ht="20.100000000000001" customHeight="1" x14ac:dyDescent="0.25">
      <c r="D254" s="56" t="s">
        <v>31</v>
      </c>
      <c r="E254" s="1" t="str" cm="1">
        <f t="array" ref="E254">MMS_Dairy_Methane_Equations.VEERG_4_3_1_1__1_TotalAnnualMethaneFromManureManagement_Variable()</f>
        <v>E_CH4</v>
      </c>
    </row>
    <row r="255" spans="3:23" ht="20.100000000000001" customHeight="1" x14ac:dyDescent="0.25">
      <c r="D255" s="56" t="s">
        <v>21</v>
      </c>
      <c r="E255" s="57" t="str" cm="1">
        <f t="array" ref="E255">MMS_Dairy_Methane_Equations.VEERG_4_3_1_1__1_TotalAnnualMethaneFromManureManagement_Unit()</f>
        <v>t CH4</v>
      </c>
    </row>
    <row r="256" spans="3:23" ht="20.100000000000001" customHeight="1" x14ac:dyDescent="0.25"/>
    <row r="257" spans="4:15" ht="20.100000000000001" customHeight="1" x14ac:dyDescent="0.25">
      <c r="D257" s="137" t="str" cm="1">
        <f t="array" ref="D257:E264">_xlfn.CHOOSECOLS(MMS_Dairy_Methane_Equations.VEERG_4_3_1_1__1_TotalAnnualMethaneFromManureManagement_Arguments(),1,2)</f>
        <v>N_j124</v>
      </c>
      <c r="E257" s="136" t="str">
        <v>number of dairy cattle in classes j=1,2,4</v>
      </c>
      <c r="F257" s="142"/>
      <c r="G257" s="138"/>
      <c r="H257" s="137" t="str" cm="1">
        <f t="array" ref="H257:I264">_xlfn.CHOOSECOLS(MMS_Dairy_Methane_Equations.VEERG_4_3_1_1__1_TotalAnnualMethaneFromManureManagement_Arguments(),3,4)</f>
        <v>head</v>
      </c>
      <c r="I257" s="135" t="str">
        <v>Input</v>
      </c>
      <c r="J257" s="134" t="str" cm="1">
        <f t="array" aca="1" ref="J257" ca="1">HYPERLINK(Common_InputFunctions.Utility_SourceHyperlink($D$266),$D$266)</f>
        <v>Table_N_j</v>
      </c>
    </row>
    <row r="258" spans="4:15" ht="20.100000000000001" customHeight="1" x14ac:dyDescent="0.25">
      <c r="D258" s="137" t="str">
        <v>M_j124m</v>
      </c>
      <c r="E258" s="136" t="str">
        <v>methane production from manure of weaned dairy cattle in classes j=1,2,4 in MMS m</v>
      </c>
      <c r="F258" s="142"/>
      <c r="G258" s="138"/>
      <c r="H258" s="137" t="str">
        <v>kg CH4/head/day</v>
      </c>
      <c r="I258" s="133" t="str">
        <v>Calculated from 4.3.1.1 (2)</v>
      </c>
      <c r="J258" s="134" t="str" cm="1">
        <f t="array" aca="1" ref="J258" ca="1">HYPERLINK(Common_InputFunctions.Utility_SourceHyperlink($D$233),$D$233)</f>
        <v>M1_M_j_m</v>
      </c>
    </row>
    <row r="259" spans="4:15" ht="20.100000000000001" customHeight="1" x14ac:dyDescent="0.25">
      <c r="D259" s="137" t="str">
        <v>D_j124</v>
      </c>
      <c r="E259" s="136" t="str">
        <v>duration of stay on farm for classes j=1,2,4</v>
      </c>
      <c r="F259" s="142"/>
      <c r="G259" s="138"/>
      <c r="H259" s="137" t="str">
        <v>days</v>
      </c>
      <c r="I259" s="135" t="str">
        <v>Input</v>
      </c>
      <c r="J259" s="134" t="str" cm="1">
        <f t="array" aca="1" ref="J259" ca="1">HYPERLINK(Common_InputFunctions.Utility_SourceHyperlink($D$271),$D$271)</f>
        <v>M1_Table_D_j</v>
      </c>
    </row>
    <row r="260" spans="4:15" ht="20.100000000000001" customHeight="1" x14ac:dyDescent="0.25">
      <c r="D260" s="137" t="str">
        <v>N_j35</v>
      </c>
      <c r="E260" s="136" t="str">
        <v>number of dairy cattle in classes j=3,5</v>
      </c>
      <c r="F260" s="142"/>
      <c r="G260" s="138"/>
      <c r="H260" s="137" t="str">
        <v>head</v>
      </c>
      <c r="I260" s="135" t="str">
        <v>Input</v>
      </c>
      <c r="J260" s="134" t="str" cm="1">
        <f t="array" aca="1" ref="J260" ca="1">HYPERLINK(Common_InputFunctions.Utility_SourceHyperlink($D$266),$D$266)</f>
        <v>Table_N_j</v>
      </c>
    </row>
    <row r="261" spans="4:15" ht="20.100000000000001" customHeight="1" x14ac:dyDescent="0.25">
      <c r="D261" s="137" t="str">
        <v>M_j35m</v>
      </c>
      <c r="E261" s="136" t="str">
        <v>methane production from manure of weaned dairy cattle in classes j=3,5 in MMS m</v>
      </c>
      <c r="F261" s="142"/>
      <c r="G261" s="138"/>
      <c r="H261" s="137" t="str">
        <v>kg CH4/head/day</v>
      </c>
      <c r="I261" s="133" t="str">
        <v>Calculated from 4.3.1.1 (2)</v>
      </c>
      <c r="J261" s="134" t="str" cm="1">
        <f t="array" aca="1" ref="J261" ca="1">HYPERLINK(Common_InputFunctions.Utility_SourceHyperlink($D$233),$D$233)</f>
        <v>M1_M_j_m</v>
      </c>
    </row>
    <row r="262" spans="4:15" ht="20.100000000000001" customHeight="1" x14ac:dyDescent="0.25">
      <c r="D262" s="137" t="str">
        <v>D_j35</v>
      </c>
      <c r="E262" s="136" t="str">
        <v>duration of stay on farm for classes j=3,5</v>
      </c>
      <c r="F262" s="142"/>
      <c r="G262" s="138"/>
      <c r="H262" s="137" t="str">
        <v>days</v>
      </c>
      <c r="I262" s="135" t="str">
        <v>Input</v>
      </c>
      <c r="J262" s="134" t="str" cm="1">
        <f t="array" aca="1" ref="J262" ca="1">HYPERLINK(Common_InputFunctions.Utility_SourceHyperlink($D$271),$D$271)</f>
        <v>M1_Table_D_j</v>
      </c>
    </row>
    <row r="263" spans="4:15" ht="20.100000000000001" customHeight="1" x14ac:dyDescent="0.25">
      <c r="D263" s="137" t="str">
        <v>MPW_manure_j35</v>
      </c>
      <c r="E263" s="136" t="str">
        <v>methane production from manure of pre-weaned heifer and bull calves</v>
      </c>
      <c r="F263" s="142"/>
      <c r="G263" s="138"/>
      <c r="H263" s="137" t="str">
        <v>kg CH4/head/day</v>
      </c>
      <c r="I263" s="133" t="str">
        <v>Constant</v>
      </c>
      <c r="J263" s="134" t="str" cm="1">
        <f t="array" aca="1" ref="J263" ca="1">HYPERLINK(Common_InputFunctions.Utility_SourceHyperlink($D$276),$D$276)</f>
        <v>Table_MPW_manure_j-3-5</v>
      </c>
    </row>
    <row r="264" spans="4:15" ht="20.100000000000001" customHeight="1" x14ac:dyDescent="0.25">
      <c r="D264" s="137" t="str">
        <v>DPW_j35</v>
      </c>
      <c r="E264" s="136" t="str">
        <v>duration of stay on farm for pre-weaned heifer and bull calves</v>
      </c>
      <c r="F264" s="142"/>
      <c r="G264" s="138"/>
      <c r="H264" s="137" t="str">
        <v>days</v>
      </c>
      <c r="I264" s="135" t="str">
        <v>Input</v>
      </c>
      <c r="J264" s="134" t="str" cm="1">
        <f t="array" aca="1" ref="J264" ca="1">HYPERLINK(Common_InputFunctions.Utility_SourceHyperlink($D$281),$D$281)</f>
        <v>M1_Table_DPW_j</v>
      </c>
    </row>
    <row r="265" spans="4:15" ht="20.100000000000001" customHeight="1" x14ac:dyDescent="0.25"/>
    <row r="266" spans="4:15" ht="20.100000000000001" customHeight="1" x14ac:dyDescent="0.25">
      <c r="D266" s="104" t="s">
        <v>109</v>
      </c>
    </row>
    <row r="267" spans="4:15" ht="20.100000000000001" customHeight="1" x14ac:dyDescent="0.25">
      <c r="D267" s="103" t="s">
        <v>268</v>
      </c>
    </row>
    <row r="268" spans="4:15" ht="20.100000000000001" customHeight="1" x14ac:dyDescent="0.25">
      <c r="D268" s="41" t="s">
        <v>175</v>
      </c>
      <c r="E268" s="41" t="s">
        <v>192</v>
      </c>
      <c r="F268" s="41" t="s">
        <v>193</v>
      </c>
      <c r="G268" s="41" t="s">
        <v>194</v>
      </c>
      <c r="H268" s="41" t="s">
        <v>195</v>
      </c>
    </row>
    <row r="269" spans="4:15" ht="20.100000000000001" customHeight="1" x14ac:dyDescent="0.25">
      <c r="D269" s="107">
        <f>'Input - Dairy'!$E$10</f>
        <v>100</v>
      </c>
      <c r="E269" s="107">
        <f>'Input - Dairy'!$F$10</f>
        <v>100</v>
      </c>
      <c r="F269" s="107">
        <f>'Input - Dairy'!$G$10</f>
        <v>100</v>
      </c>
      <c r="G269" s="107">
        <f>'Input - Dairy'!$H$10</f>
        <v>100</v>
      </c>
      <c r="H269" s="107">
        <f>'Input - Dairy'!$I$10</f>
        <v>100</v>
      </c>
      <c r="I269" s="2" t="s">
        <v>110</v>
      </c>
    </row>
    <row r="270" spans="4:15" ht="20.100000000000001" customHeight="1" x14ac:dyDescent="0.25"/>
    <row r="271" spans="4:15" ht="20.100000000000001" customHeight="1" x14ac:dyDescent="0.25">
      <c r="D271" s="104" t="s">
        <v>269</v>
      </c>
      <c r="O271" s="104" t="s">
        <v>279</v>
      </c>
    </row>
    <row r="272" spans="4:15" x14ac:dyDescent="0.25">
      <c r="D272" s="103" t="s">
        <v>277</v>
      </c>
      <c r="O272" s="103" t="s">
        <v>280</v>
      </c>
    </row>
    <row r="273" spans="1:21" x14ac:dyDescent="0.25">
      <c r="D273" s="41" t="s">
        <v>175</v>
      </c>
      <c r="E273" s="41" t="s">
        <v>192</v>
      </c>
      <c r="F273" s="41" t="s">
        <v>193</v>
      </c>
      <c r="G273" s="41" t="s">
        <v>194</v>
      </c>
      <c r="H273" s="41" t="s">
        <v>195</v>
      </c>
      <c r="O273" s="41" t="s">
        <v>175</v>
      </c>
      <c r="P273" s="41" t="s">
        <v>192</v>
      </c>
      <c r="Q273" s="41" t="s">
        <v>193</v>
      </c>
      <c r="R273" s="41" t="s">
        <v>194</v>
      </c>
      <c r="S273" s="41" t="s">
        <v>195</v>
      </c>
    </row>
    <row r="274" spans="1:21" x14ac:dyDescent="0.25">
      <c r="D274" s="55">
        <f>'Input - Dairy'!$E$24</f>
        <v>365</v>
      </c>
      <c r="E274" s="55">
        <f>'Input - Dairy'!$F$24</f>
        <v>365</v>
      </c>
      <c r="F274" s="55">
        <f>'Input - Dairy'!$G$24</f>
        <v>281</v>
      </c>
      <c r="G274" s="55">
        <f>'Input - Dairy'!$H$24</f>
        <v>365</v>
      </c>
      <c r="H274" s="55">
        <f>'Input - Dairy'!$I$24</f>
        <v>281</v>
      </c>
      <c r="I274" s="2" t="s">
        <v>56</v>
      </c>
      <c r="O274" s="55">
        <f>'Input - Dairy'!$E$28</f>
        <v>365</v>
      </c>
      <c r="P274" s="55">
        <f>'Input - Dairy'!$F$28</f>
        <v>365</v>
      </c>
      <c r="Q274" s="55">
        <f>'Input - Dairy'!$G$28</f>
        <v>281</v>
      </c>
      <c r="R274" s="55">
        <f>'Input - Dairy'!$H$28</f>
        <v>365</v>
      </c>
      <c r="S274" s="55">
        <f>'Input - Dairy'!$I$28</f>
        <v>281</v>
      </c>
      <c r="T274" s="2" t="s">
        <v>56</v>
      </c>
    </row>
    <row r="275" spans="1:21" x14ac:dyDescent="0.25">
      <c r="A275" s="141" t="str">
        <f>HYPERLINK("#A1", "▲ Back to top")</f>
        <v>▲ Back to top</v>
      </c>
    </row>
    <row r="276" spans="1:21" x14ac:dyDescent="0.25">
      <c r="D276" s="104" t="s">
        <v>271</v>
      </c>
    </row>
    <row r="277" spans="1:21" x14ac:dyDescent="0.25">
      <c r="D277" s="103" t="s">
        <v>272</v>
      </c>
    </row>
    <row r="278" spans="1:21" x14ac:dyDescent="0.25">
      <c r="D278" s="54" t="s">
        <v>175</v>
      </c>
      <c r="E278" s="54" t="s">
        <v>192</v>
      </c>
      <c r="F278" s="54" t="s">
        <v>193</v>
      </c>
      <c r="G278" s="54" t="s">
        <v>194</v>
      </c>
      <c r="H278" s="54" t="s">
        <v>195</v>
      </c>
    </row>
    <row r="279" spans="1:21" x14ac:dyDescent="0.25">
      <c r="D279" s="55">
        <v>0</v>
      </c>
      <c r="E279" s="55">
        <v>0</v>
      </c>
      <c r="F279" s="55">
        <f>'Constants - Dairy'!$E$63</f>
        <v>1.7600000000000001E-2</v>
      </c>
      <c r="G279" s="55">
        <v>0</v>
      </c>
      <c r="H279" s="55">
        <f>'Constants - Dairy'!$E$64</f>
        <v>2.0400000000000001E-2</v>
      </c>
      <c r="I279" s="2" t="s">
        <v>274</v>
      </c>
    </row>
    <row r="281" spans="1:21" x14ac:dyDescent="0.25">
      <c r="D281" s="104" t="s">
        <v>270</v>
      </c>
      <c r="O281" s="104" t="s">
        <v>270</v>
      </c>
    </row>
    <row r="282" spans="1:21" x14ac:dyDescent="0.25">
      <c r="D282" s="103" t="s">
        <v>278</v>
      </c>
      <c r="O282" s="103" t="s">
        <v>278</v>
      </c>
    </row>
    <row r="283" spans="1:21" x14ac:dyDescent="0.25">
      <c r="D283" s="54" t="s">
        <v>175</v>
      </c>
      <c r="E283" s="54" t="s">
        <v>192</v>
      </c>
      <c r="F283" s="54" t="s">
        <v>193</v>
      </c>
      <c r="G283" s="54" t="s">
        <v>194</v>
      </c>
      <c r="H283" s="54" t="s">
        <v>195</v>
      </c>
      <c r="O283" s="41" t="s">
        <v>175</v>
      </c>
      <c r="P283" s="41" t="s">
        <v>192</v>
      </c>
      <c r="Q283" s="41" t="s">
        <v>193</v>
      </c>
      <c r="R283" s="41" t="s">
        <v>194</v>
      </c>
      <c r="S283" s="41" t="s">
        <v>195</v>
      </c>
    </row>
    <row r="284" spans="1:21" x14ac:dyDescent="0.25">
      <c r="D284" s="55">
        <f>'Input - Dairy'!$E$25</f>
        <v>0</v>
      </c>
      <c r="E284" s="55">
        <f>'Input - Dairy'!$F$25</f>
        <v>0</v>
      </c>
      <c r="F284" s="55">
        <f>'Input - Dairy'!$G$25</f>
        <v>84</v>
      </c>
      <c r="G284" s="55">
        <f>'Input - Dairy'!$H$25</f>
        <v>0</v>
      </c>
      <c r="H284" s="55">
        <f>'Input - Dairy'!$I$25</f>
        <v>84</v>
      </c>
      <c r="I284" s="2" t="s">
        <v>56</v>
      </c>
      <c r="O284" s="55">
        <f>'Input - Dairy'!$E$29</f>
        <v>0</v>
      </c>
      <c r="P284" s="55">
        <f>'Input - Dairy'!$F$29</f>
        <v>0</v>
      </c>
      <c r="Q284" s="55">
        <f>'Input - Dairy'!$G$29</f>
        <v>84</v>
      </c>
      <c r="R284" s="55">
        <f>'Input - Dairy'!$H$29</f>
        <v>0</v>
      </c>
      <c r="S284" s="55">
        <f>'Input - Dairy'!$I$29</f>
        <v>84</v>
      </c>
      <c r="T284" s="2" t="s">
        <v>56</v>
      </c>
    </row>
    <row r="286" spans="1:21" x14ac:dyDescent="0.25">
      <c r="D286" s="104" t="s">
        <v>273</v>
      </c>
      <c r="O286" s="104" t="s">
        <v>273</v>
      </c>
    </row>
    <row r="287" spans="1:21" x14ac:dyDescent="0.25">
      <c r="D287" s="103" t="s">
        <v>284</v>
      </c>
      <c r="O287" s="103" t="s">
        <v>284</v>
      </c>
    </row>
    <row r="288" spans="1:21" x14ac:dyDescent="0.25">
      <c r="D288" s="54" t="s">
        <v>149</v>
      </c>
      <c r="E288" s="54" t="s">
        <v>69</v>
      </c>
      <c r="F288" s="54" t="s">
        <v>175</v>
      </c>
      <c r="G288" s="54" t="s">
        <v>192</v>
      </c>
      <c r="H288" s="54" t="s">
        <v>193</v>
      </c>
      <c r="I288" s="54" t="s">
        <v>194</v>
      </c>
      <c r="J288" s="54" t="s">
        <v>195</v>
      </c>
      <c r="O288" s="54" t="s">
        <v>149</v>
      </c>
      <c r="P288" s="54" t="s">
        <v>69</v>
      </c>
      <c r="Q288" s="54" t="s">
        <v>175</v>
      </c>
      <c r="R288" s="54" t="s">
        <v>192</v>
      </c>
      <c r="S288" s="54" t="s">
        <v>193</v>
      </c>
      <c r="T288" s="54" t="s">
        <v>194</v>
      </c>
      <c r="U288" s="54" t="s">
        <v>195</v>
      </c>
    </row>
    <row r="289" spans="4:21" x14ac:dyDescent="0.25">
      <c r="D289" s="55" t="str">
        <f>'Input - Dairy'!$D$65</f>
        <v>Pasture</v>
      </c>
      <c r="E289" s="55" t="str">
        <f>'Constants - Livestock'!$E$27</f>
        <v>Pasture range and paddock</v>
      </c>
      <c r="F289" s="55" cm="1">
        <f t="array" ref="F289">MMS_Dairy_Methane_Equations.VEERG_4_3_1_1__1_TotalAnnualMethaneFromManureManagementVariation(D$269,F236,D$274,0,0,0,0,0)</f>
        <v>7.9164348052602695E-2</v>
      </c>
      <c r="G289" s="55" cm="1">
        <f t="array" ref="G289">MMS_Dairy_Methane_Equations.VEERG_4_3_1_1__1_TotalAnnualMethaneFromManureManagementVariation(E$269,G236,E$274,0,0,0,0,0)</f>
        <v>6.2813747316603469E-2</v>
      </c>
      <c r="H289" s="55" cm="1">
        <f t="array" ref="H289">MMS_Dairy_Methane_Equations.VEERG_4_3_1_1__1_TotalAnnualMethaneFromManureManagementVariation(0,0,0,F$269,H236,F$274,F$279,F$284)</f>
        <v>0.17406401843252312</v>
      </c>
      <c r="I289" s="55" cm="1">
        <f t="array" ref="I289">MMS_Dairy_Methane_Equations.VEERG_4_3_1_1__1_TotalAnnualMethaneFromManureManagementVariation(G$269,I236,G$274,0,0,0,0,0)</f>
        <v>7.6429574958986099E-2</v>
      </c>
      <c r="J289" s="55" cm="1">
        <f t="array" ref="J289">MMS_Dairy_Methane_Equations.VEERG_4_3_1_1__1_TotalAnnualMethaneFromManureManagementVariation(0,0,0,H$269,J236,H$274,H$279,H$284)</f>
        <v>0.20665202598044041</v>
      </c>
      <c r="O289" s="55" t="str">
        <f>'Input - Dairy'!$D$65</f>
        <v>Pasture</v>
      </c>
      <c r="P289" s="55" t="str">
        <f>'Constants - Livestock'!$E$27</f>
        <v>Pasture range and paddock</v>
      </c>
      <c r="Q289" s="55" cm="1">
        <f t="array" ref="Q289">MMS_Dairy_Methane_Equations.VEERG_4_3_1_1__1_TotalAnnualMethaneFromManureManagementVariation(D$269,Q236,O$274,0,0,0,0,0)</f>
        <v>7.9164348052602695E-2</v>
      </c>
      <c r="R289" s="55" cm="1">
        <f t="array" ref="R289">MMS_Dairy_Methane_Equations.VEERG_4_3_1_1__1_TotalAnnualMethaneFromManureManagementVariation(D$269,R236,P$274,0,0,0,0,0)</f>
        <v>6.2813747316603469E-2</v>
      </c>
      <c r="S289" s="55" cm="1">
        <f t="array" ref="S289">MMS_Dairy_Methane_Equations.VEERG_4_3_1_1__1_TotalAnnualMethaneFromManureManagementVariation(0,0,0,F$269,S236,Q$274,F$279,Q$284)</f>
        <v>0.17406401843252312</v>
      </c>
      <c r="T289" s="55" cm="1">
        <f t="array" ref="T289">MMS_Dairy_Methane_Equations.VEERG_4_3_1_1__1_TotalAnnualMethaneFromManureManagementVariation(F$269,T236,R$274,0,0,0,0,0)</f>
        <v>7.6429574958986099E-2</v>
      </c>
      <c r="U289" s="55" cm="1">
        <f t="array" ref="U289">MMS_Dairy_Methane_Equations.VEERG_4_3_1_1__1_TotalAnnualMethaneFromManureManagementVariation(0,0,0,H$269,U236,S$274,H$279,S$284)</f>
        <v>0.20665202598044041</v>
      </c>
    </row>
    <row r="290" spans="4:21" x14ac:dyDescent="0.25">
      <c r="D290" s="55" t="str">
        <f>'Input - Dairy'!$D$66</f>
        <v>Milking shed</v>
      </c>
      <c r="E290" s="55" t="str">
        <f>'Input - Dairy'!$D$85</f>
        <v>Anaerobic lagoon</v>
      </c>
      <c r="F290" s="55" cm="1">
        <f t="array" ref="F290">MMS_Dairy_Methane_Equations.VEERG_4_3_1_1__1_TotalAnnualMethaneFromManureManagementVariation(D$269,F237,D$274,0,0,0,0,0)</f>
        <v>0.24787039315346754</v>
      </c>
      <c r="G290" s="55" cm="1">
        <f t="array" ref="G290">MMS_Dairy_Methane_Equations.VEERG_4_3_1_1__1_TotalAnnualMethaneFromManureManagementVariation(E$269,G237,E$274,0,0,0,0,0)</f>
        <v>0.1966752537703389</v>
      </c>
      <c r="H290" s="55" cm="1">
        <f t="array" ref="H290">MMS_Dairy_Methane_Equations.VEERG_4_3_1_1__1_TotalAnnualMethaneFromManureManagementVariation(0,0,0,F$269,H237,F$274,F$279,F$284)</f>
        <v>0.22994966071007236</v>
      </c>
      <c r="I290" s="55" cm="1">
        <f t="array" ref="I290">MMS_Dairy_Methane_Equations.VEERG_4_3_1_1__1_TotalAnnualMethaneFromManureManagementVariation(G$269,I237,G$274,0,0,0,0,0)</f>
        <v>0.23930758301764934</v>
      </c>
      <c r="J290" s="55" cm="1">
        <f t="array" ref="J290">MMS_Dairy_Methane_Equations.VEERG_4_3_1_1__1_TotalAnnualMethaneFromManureManagementVariation(0,0,0,H$269,J237,H$274,H$279,H$284)</f>
        <v>0.28186237348182841</v>
      </c>
      <c r="O290" s="55" t="str">
        <f>'Input - Dairy'!$D$66</f>
        <v>Milking shed</v>
      </c>
      <c r="P290" s="55" t="str">
        <f>'Input - Dairy'!$D$85</f>
        <v>Anaerobic lagoon</v>
      </c>
      <c r="Q290" s="55" cm="1">
        <f t="array" ref="Q290">MMS_Dairy_Methane_Equations.VEERG_4_3_1_1__1_TotalAnnualMethaneFromManureManagementVariation(D$269,Q237,O$274,0,0,0,0,0)</f>
        <v>0.25113184569496055</v>
      </c>
      <c r="R290" s="55" cm="1">
        <f t="array" ref="R290">MMS_Dairy_Methane_Equations.VEERG_4_3_1_1__1_TotalAnnualMethaneFromManureManagementVariation(D$269,R237,P$274,0,0,0,0,0)</f>
        <v>0.19926308605679074</v>
      </c>
      <c r="S290" s="55" cm="1">
        <f t="array" ref="S290">MMS_Dairy_Methane_Equations.VEERG_4_3_1_1__1_TotalAnnualMethaneFromManureManagementVariation(0,0,0,F$269,S237,Q$274,F$279,Q$284)</f>
        <v>0.23103005098257332</v>
      </c>
      <c r="T290" s="55" cm="1">
        <f t="array" ref="T290">MMS_Dairy_Methane_Equations.VEERG_4_3_1_1__1_TotalAnnualMethaneFromManureManagementVariation(F$269,T237,R$274,0,0,0,0,0)</f>
        <v>0.24245636700472373</v>
      </c>
      <c r="U290" s="55" cm="1">
        <f t="array" ref="U290">MMS_Dairy_Methane_Equations.VEERG_4_3_1_1__1_TotalAnnualMethaneFromManureManagementVariation(0,0,0,H$269,U237,S$274,H$279,S$284)</f>
        <v>0.2833163520802735</v>
      </c>
    </row>
    <row r="291" spans="4:21" x14ac:dyDescent="0.25">
      <c r="D291" s="55" t="str">
        <f>'Input - Dairy'!$D$66</f>
        <v>Milking shed</v>
      </c>
      <c r="E291" s="55" t="str">
        <f>'Input - Dairy'!$D$86</f>
        <v>Sump and dispersal system</v>
      </c>
      <c r="F291" s="55" cm="1">
        <f t="array" ref="F291">MMS_Dairy_Methane_Equations.VEERG_4_3_1_1__1_TotalAnnualMethaneFromManureManagementVariation(D$269,F238,D$274,0,0,0,0,0)</f>
        <v>1.6307262707464974E-3</v>
      </c>
      <c r="G291" s="55" cm="1">
        <f t="array" ref="G291">MMS_Dairy_Methane_Equations.VEERG_4_3_1_1__1_TotalAnnualMethaneFromManureManagementVariation(E$269,G238,E$274,0,0,0,0,0)</f>
        <v>1.293916143225914E-3</v>
      </c>
      <c r="H291" s="55" cm="1">
        <f t="array" ref="H291">MMS_Dairy_Methane_Equations.VEERG_4_3_1_1__1_TotalAnnualMethaneFromManureManagementVariation(0,0,0,F$269,H238,F$274,F$279,F$284)</f>
        <v>0.14838019513625048</v>
      </c>
      <c r="I291" s="55" cm="1">
        <f t="array" ref="I291">MMS_Dairy_Methane_Equations.VEERG_4_3_1_1__1_TotalAnnualMethaneFromManureManagementVariation(G$269,I238,G$274,0,0,0,0,0)</f>
        <v>1.5743919935371669E-3</v>
      </c>
      <c r="J291" s="55" cm="1">
        <f t="array" ref="J291">MMS_Dairy_Methane_Equations.VEERG_4_3_1_1__1_TotalAnnualMethaneFromManureManagementVariation(0,0,0,H$269,J238,H$274,H$279,H$284)</f>
        <v>0.17208698929922259</v>
      </c>
      <c r="O291" s="55" t="str">
        <f>'Input - Dairy'!$D$66</f>
        <v>Milking shed</v>
      </c>
      <c r="P291" s="55" t="str">
        <f>'Input - Dairy'!$D$86</f>
        <v>Sump and dispersal system</v>
      </c>
      <c r="Q291" s="55" cm="1">
        <f t="array" ref="Q291">MMS_Dairy_Methane_Equations.VEERG_4_3_1_1__1_TotalAnnualMethaneFromManureManagementVariation(D$269,Q238,O$274,0,0,0,0,0)</f>
        <v>1.6307262707464974E-3</v>
      </c>
      <c r="R291" s="55" cm="1">
        <f t="array" ref="R291">MMS_Dairy_Methane_Equations.VEERG_4_3_1_1__1_TotalAnnualMethaneFromManureManagementVariation(D$269,R238,P$274,0,0,0,0,0)</f>
        <v>1.293916143225914E-3</v>
      </c>
      <c r="S291" s="55" cm="1">
        <f t="array" ref="S291">MMS_Dairy_Methane_Equations.VEERG_4_3_1_1__1_TotalAnnualMethaneFromManureManagementVariation(0,0,0,F$269,S238,Q$274,F$279,Q$284)</f>
        <v>0.14838019513625048</v>
      </c>
      <c r="T291" s="55" cm="1">
        <f t="array" ref="T291">MMS_Dairy_Methane_Equations.VEERG_4_3_1_1__1_TotalAnnualMethaneFromManureManagementVariation(F$269,T238,R$274,0,0,0,0,0)</f>
        <v>1.5743919935371669E-3</v>
      </c>
      <c r="U291" s="55" cm="1">
        <f t="array" ref="U291">MMS_Dairy_Methane_Equations.VEERG_4_3_1_1__1_TotalAnnualMethaneFromManureManagementVariation(0,0,0,H$269,U238,S$274,H$279,S$284)</f>
        <v>0.17208698929922259</v>
      </c>
    </row>
    <row r="292" spans="4:21" x14ac:dyDescent="0.25">
      <c r="D292" s="55" t="str">
        <f>'Input - Dairy'!$D$66</f>
        <v>Milking shed</v>
      </c>
      <c r="E292" s="55" t="str">
        <f>'Input - Dairy'!$D$87</f>
        <v>Drains to paddock</v>
      </c>
      <c r="F292" s="55" cm="1">
        <f t="array" ref="F292">MMS_Dairy_Methane_Equations.VEERG_4_3_1_1__1_TotalAnnualMethaneFromManureManagementVariation(D$269,F239,D$274,0,0,0,0,0)</f>
        <v>5.8706145746873911E-2</v>
      </c>
      <c r="G292" s="55" cm="1">
        <f t="array" ref="G292">MMS_Dairy_Methane_Equations.VEERG_4_3_1_1__1_TotalAnnualMethaneFromManureManagementVariation(E$269,G239,E$274,0,0,0,0,0)</f>
        <v>4.6580981156132899E-2</v>
      </c>
      <c r="H292" s="55" cm="1">
        <f t="array" ref="H292">MMS_Dairy_Methane_Equations.VEERG_4_3_1_1__1_TotalAnnualMethaneFromManureManagementVariation(0,0,0,F$269,H239,F$274,F$279,F$284)</f>
        <v>0.16728702490501715</v>
      </c>
      <c r="I292" s="55" cm="1">
        <f t="array" ref="I292">MMS_Dairy_Methane_Equations.VEERG_4_3_1_1__1_TotalAnnualMethaneFromManureManagementVariation(G$269,I239,G$274,0,0,0,0,0)</f>
        <v>5.6678111767338002E-2</v>
      </c>
      <c r="J292" s="55" cm="1">
        <f t="array" ref="J292">MMS_Dairy_Methane_Equations.VEERG_4_3_1_1__1_TotalAnnualMethaneFromManureManagementVariation(0,0,0,H$269,J239,H$274,H$279,H$284)</f>
        <v>0.197531614772012</v>
      </c>
      <c r="O292" s="55" t="str">
        <f>'Input - Dairy'!$D$66</f>
        <v>Milking shed</v>
      </c>
      <c r="P292" s="55" t="str">
        <f>'Input - Dairy'!$D$87</f>
        <v>Drains to paddock</v>
      </c>
      <c r="Q292" s="55" cm="1">
        <f t="array" ref="Q292">MMS_Dairy_Methane_Equations.VEERG_4_3_1_1__1_TotalAnnualMethaneFromManureManagementVariation(D$269,Q239,O$274,0,0,0,0,0)</f>
        <v>7.1751955912845874E-2</v>
      </c>
      <c r="R292" s="55" cm="1">
        <f t="array" ref="R292">MMS_Dairy_Methane_Equations.VEERG_4_3_1_1__1_TotalAnnualMethaneFromManureManagementVariation(D$269,R239,P$274,0,0,0,0,0)</f>
        <v>5.6932310301940216E-2</v>
      </c>
      <c r="S292" s="55" cm="1">
        <f t="array" ref="S292">MMS_Dairy_Methane_Equations.VEERG_4_3_1_1__1_TotalAnnualMethaneFromManureManagementVariation(0,0,0,F$269,S239,Q$274,F$279,Q$284)</f>
        <v>0.17160858599502096</v>
      </c>
      <c r="T292" s="55" cm="1">
        <f t="array" ref="T292">MMS_Dairy_Methane_Equations.VEERG_4_3_1_1__1_TotalAnnualMethaneFromManureManagementVariation(F$269,T239,R$274,0,0,0,0,0)</f>
        <v>6.9273247715635339E-2</v>
      </c>
      <c r="U292" s="55" cm="1">
        <f t="array" ref="U292">MMS_Dairy_Methane_Equations.VEERG_4_3_1_1__1_TotalAnnualMethaneFromManureManagementVariation(0,0,0,H$269,U239,S$274,H$279,S$284)</f>
        <v>0.20334752916579243</v>
      </c>
    </row>
    <row r="293" spans="4:21" x14ac:dyDescent="0.25">
      <c r="D293" s="55" t="str">
        <f>'Input - Dairy'!$D$66</f>
        <v>Milking shed</v>
      </c>
      <c r="E293" s="55" t="s">
        <v>412</v>
      </c>
      <c r="F293" s="55" cm="1">
        <f t="array" ref="F293">MMS_Dairy_Methane_Equations.VEERG_4_3_1_1__1_TotalAnnualMethaneFromManureManagementVariation(D$269,F240,D$274,0,0,0,0,0)</f>
        <v>1.3045810165971975E-2</v>
      </c>
      <c r="G293" s="55" cm="1">
        <f t="array" ref="G293">MMS_Dairy_Methane_Equations.VEERG_4_3_1_1__1_TotalAnnualMethaneFromManureManagementVariation(E$269,G240,E$274,0,0,0,0,0)</f>
        <v>1.0351329145807312E-2</v>
      </c>
      <c r="H293" s="55" cm="1">
        <f t="array" ref="H293">MMS_Dairy_Methane_Equations.VEERG_4_3_1_1__1_TotalAnnualMethaneFromManureManagementVariation(0,0,0,F$269,H240,F$274,F$279,F$284)</f>
        <v>0.15216156109000381</v>
      </c>
      <c r="I293" s="55" cm="1">
        <f t="array" ref="I293">MMS_Dairy_Methane_Equations.VEERG_4_3_1_1__1_TotalAnnualMethaneFromManureManagementVariation(G$269,I240,G$274,0,0,0,0,0)</f>
        <v>1.259513594829733E-2</v>
      </c>
      <c r="J293" s="55" cm="1">
        <f t="array" ref="J293">MMS_Dairy_Methane_Equations.VEERG_4_3_1_1__1_TotalAnnualMethaneFromManureManagementVariation(0,0,0,H$269,J240,H$274,H$279,H$284)</f>
        <v>0.17717591439378047</v>
      </c>
      <c r="O293" s="55" t="str">
        <f>'Input - Dairy'!$D$66</f>
        <v>Milking shed</v>
      </c>
      <c r="P293" s="55" t="s">
        <v>412</v>
      </c>
      <c r="Q293" s="55" cm="1">
        <f t="array" ref="Q293">MMS_Dairy_Methane_Equations.VEERG_4_3_1_1__1_TotalAnnualMethaneFromManureManagementVariation(D$269,Q240,O$274,0,0,0,0,0)</f>
        <v>1.3045810165971975E-2</v>
      </c>
      <c r="R293" s="55" cm="1">
        <f t="array" ref="R293">MMS_Dairy_Methane_Equations.VEERG_4_3_1_1__1_TotalAnnualMethaneFromManureManagementVariation(D$269,R240,P$274,0,0,0,0,0)</f>
        <v>1.0351329145807312E-2</v>
      </c>
      <c r="S293" s="55" cm="1">
        <f t="array" ref="S293">MMS_Dairy_Methane_Equations.VEERG_4_3_1_1__1_TotalAnnualMethaneFromManureManagementVariation(0,0,0,F$269,S240,Q$274,F$279,Q$284)</f>
        <v>0.15216156109000381</v>
      </c>
      <c r="T293" s="55" cm="1">
        <f t="array" ref="T293">MMS_Dairy_Methane_Equations.VEERG_4_3_1_1__1_TotalAnnualMethaneFromManureManagementVariation(F$269,T240,R$274,0,0,0,0,0)</f>
        <v>1.259513594829733E-2</v>
      </c>
      <c r="U293" s="55" cm="1">
        <f t="array" ref="U293">MMS_Dairy_Methane_Equations.VEERG_4_3_1_1__1_TotalAnnualMethaneFromManureManagementVariation(0,0,0,H$269,U240,S$274,H$279,S$284)</f>
        <v>0.17717591439378047</v>
      </c>
    </row>
    <row r="294" spans="4:21" x14ac:dyDescent="0.25">
      <c r="D294" s="55" t="str">
        <f>'Input - Dairy'!$D$67</f>
        <v>Feed pad</v>
      </c>
      <c r="E294" s="55" t="str">
        <f>'Input - Dairy'!$D$101</f>
        <v>Anaerobic lagoon</v>
      </c>
      <c r="F294" s="55" cm="1">
        <f t="array" ref="F294">MMS_Dairy_Methane_Equations.VEERG_4_3_1_1__1_TotalAnnualMethaneFromManureManagementVariation(D$269,F241,D$274,0,0,0,0,0)</f>
        <v>1.0027484086663006</v>
      </c>
      <c r="G294" s="55" cm="1">
        <f t="array" ref="G294">MMS_Dairy_Methane_Equations.VEERG_4_3_1_1__1_TotalAnnualMethaneFromManureManagementVariation(E$269,G241,E$274,0,0,0,0,0)</f>
        <v>0.79564079934364373</v>
      </c>
      <c r="H294" s="55" cm="1">
        <f t="array" ref="H294">MMS_Dairy_Methane_Equations.VEERG_4_3_1_1__1_TotalAnnualMethaneFromManureManagementVariation(0,0,0,F$269,H241,F$274,F$279,F$284)</f>
        <v>0.48001090014529268</v>
      </c>
      <c r="I294" s="55" cm="1">
        <f t="array" ref="I294">MMS_Dairy_Methane_Equations.VEERG_4_3_1_1__1_TotalAnnualMethaneFromManureManagementVariation(G$269,I241,G$274,0,0,0,0,0)</f>
        <v>0.96810794948049028</v>
      </c>
      <c r="J294" s="55" cm="1">
        <f t="array" ref="J294">MMS_Dairy_Methane_Equations.VEERG_4_3_1_1__1_TotalAnnualMethaneFromManureManagementVariation(0,0,0,H$269,J241,H$274,H$279,H$284)</f>
        <v>0.6183923290855784</v>
      </c>
      <c r="O294" s="55" t="str">
        <f>'Input - Dairy'!$D$67</f>
        <v>Feed pad</v>
      </c>
      <c r="P294" s="55" t="str">
        <f>'Input - Dairy'!$D$101</f>
        <v>Anaerobic lagoon</v>
      </c>
      <c r="Q294" s="55" cm="1">
        <f t="array" ref="Q294">MMS_Dairy_Methane_Equations.VEERG_4_3_1_1__1_TotalAnnualMethaneFromManureManagementVariation(D$269,Q241,O$274,0,0,0,0,0)</f>
        <v>1.0159424666750676</v>
      </c>
      <c r="R294" s="55" cm="1">
        <f t="array" ref="R294">MMS_Dairy_Methane_Equations.VEERG_4_3_1_1__1_TotalAnnualMethaneFromManureManagementVariation(D$269,R241,P$274,0,0,0,0,0)</f>
        <v>0.80610975722974443</v>
      </c>
      <c r="S294" s="55" cm="1">
        <f t="array" ref="S294">MMS_Dairy_Methane_Equations.VEERG_4_3_1_1__1_TotalAnnualMethaneFromManureManagementVariation(0,0,0,F$269,S241,Q$274,F$279,Q$284)</f>
        <v>0.48438156988404663</v>
      </c>
      <c r="T294" s="55" cm="1">
        <f t="array" ref="T294">MMS_Dairy_Methane_Equations.VEERG_4_3_1_1__1_TotalAnnualMethaneFromManureManagementVariation(F$269,T241,R$274,0,0,0,0,0)</f>
        <v>0.98084621197365474</v>
      </c>
      <c r="U294" s="55" cm="1">
        <f t="array" ref="U294">MMS_Dairy_Methane_Equations.VEERG_4_3_1_1__1_TotalAnnualMethaneFromManureManagementVariation(0,0,0,H$269,U241,S$274,H$279,S$284)</f>
        <v>0.62427433341565175</v>
      </c>
    </row>
    <row r="295" spans="4:21" x14ac:dyDescent="0.25">
      <c r="D295" s="55" t="str">
        <f>'Input - Dairy'!$D$67</f>
        <v>Feed pad</v>
      </c>
      <c r="E295" s="55" t="str">
        <f>'Input - Dairy'!$D$102</f>
        <v>Sump and dispersal system</v>
      </c>
      <c r="F295" s="55" cm="1">
        <f t="array" ref="F295">MMS_Dairy_Methane_Equations.VEERG_4_3_1_1__1_TotalAnnualMethaneFromManureManagementVariation(D$269,F242,D$274,0,0,0,0,0)</f>
        <v>5.2776232035068454E-3</v>
      </c>
      <c r="G295" s="55" cm="1">
        <f t="array" ref="G295">MMS_Dairy_Methane_Equations.VEERG_4_3_1_1__1_TotalAnnualMethaneFromManureManagementVariation(E$269,G242,E$274,0,0,0,0,0)</f>
        <v>4.1875831544402296E-3</v>
      </c>
      <c r="H295" s="55" cm="1">
        <f t="array" ref="H295">MMS_Dairy_Methane_Equations.VEERG_4_3_1_1__1_TotalAnnualMethaneFromManureManagementVariation(0,0,0,F$269,H242,F$274,F$279,F$284)</f>
        <v>0.14958826789550153</v>
      </c>
      <c r="I295" s="55" cm="1">
        <f t="array" ref="I295">MMS_Dairy_Methane_Equations.VEERG_4_3_1_1__1_TotalAnnualMethaneFromManureManagementVariation(G$269,I242,G$274,0,0,0,0,0)</f>
        <v>5.095304997265738E-3</v>
      </c>
      <c r="J295" s="55" cm="1">
        <f t="array" ref="J295">MMS_Dairy_Methane_Equations.VEERG_4_3_1_1__1_TotalAnnualMethaneFromManureManagementVariation(0,0,0,H$269,J242,H$274,H$279,H$284)</f>
        <v>0.17371280173202935</v>
      </c>
      <c r="O295" s="55" t="str">
        <f>'Input - Dairy'!$D$67</f>
        <v>Feed pad</v>
      </c>
      <c r="P295" s="55" t="str">
        <f>'Input - Dairy'!$D$102</f>
        <v>Sump and dispersal system</v>
      </c>
      <c r="Q295" s="55" cm="1">
        <f t="array" ref="Q295">MMS_Dairy_Methane_Equations.VEERG_4_3_1_1__1_TotalAnnualMethaneFromManureManagementVariation(D$269,Q242,O$274,0,0,0,0,0)</f>
        <v>5.2776232035068454E-3</v>
      </c>
      <c r="R295" s="55" cm="1">
        <f t="array" ref="R295">MMS_Dairy_Methane_Equations.VEERG_4_3_1_1__1_TotalAnnualMethaneFromManureManagementVariation(D$269,R242,P$274,0,0,0,0,0)</f>
        <v>4.1875831544402296E-3</v>
      </c>
      <c r="S295" s="55" cm="1">
        <f t="array" ref="S295">MMS_Dairy_Methane_Equations.VEERG_4_3_1_1__1_TotalAnnualMethaneFromManureManagementVariation(0,0,0,F$269,S242,Q$274,F$279,Q$284)</f>
        <v>0.14958826789550153</v>
      </c>
      <c r="T295" s="55" cm="1">
        <f t="array" ref="T295">MMS_Dairy_Methane_Equations.VEERG_4_3_1_1__1_TotalAnnualMethaneFromManureManagementVariation(F$269,T242,R$274,0,0,0,0,0)</f>
        <v>5.095304997265738E-3</v>
      </c>
      <c r="U295" s="55" cm="1">
        <f t="array" ref="U295">MMS_Dairy_Methane_Equations.VEERG_4_3_1_1__1_TotalAnnualMethaneFromManureManagementVariation(0,0,0,H$269,U242,S$274,H$279,S$284)</f>
        <v>0.17371280173202935</v>
      </c>
    </row>
    <row r="296" spans="4:21" x14ac:dyDescent="0.25">
      <c r="D296" s="55" t="str">
        <f>'Input - Dairy'!$D$67</f>
        <v>Feed pad</v>
      </c>
      <c r="E296" s="55" t="str">
        <f>'Input - Dairy'!$D$103</f>
        <v>Drains to paddock</v>
      </c>
      <c r="F296" s="55" cm="1">
        <f t="array" ref="F296">MMS_Dairy_Methane_Equations.VEERG_4_3_1_1__1_TotalAnnualMethaneFromManureManagementVariation(D$269,F243,D$274,0,0,0,0,0)</f>
        <v>0.18999443532624646</v>
      </c>
      <c r="G296" s="55" cm="1">
        <f t="array" ref="G296">MMS_Dairy_Methane_Equations.VEERG_4_3_1_1__1_TotalAnnualMethaneFromManureManagementVariation(E$269,G243,E$274,0,0,0,0,0)</f>
        <v>0.15075299355984828</v>
      </c>
      <c r="H296" s="55" cm="1">
        <f t="array" ref="H296">MMS_Dairy_Methane_Equations.VEERG_4_3_1_1__1_TotalAnnualMethaneFromManureManagementVariation(0,0,0,F$269,H243,F$274,F$279,F$284)</f>
        <v>0.21077764423805545</v>
      </c>
      <c r="I296" s="55" cm="1">
        <f t="array" ref="I296">MMS_Dairy_Methane_Equations.VEERG_4_3_1_1__1_TotalAnnualMethaneFromManureManagementVariation(G$269,I243,G$274,0,0,0,0,0)</f>
        <v>0.18343097990156659</v>
      </c>
      <c r="J296" s="55" cm="1">
        <f t="array" ref="J296">MMS_Dairy_Methane_Equations.VEERG_4_3_1_1__1_TotalAnnualMethaneFromManureManagementVariation(0,0,0,H$269,J243,H$274,H$279,H$284)</f>
        <v>0.25606086235305697</v>
      </c>
      <c r="O296" s="55" t="str">
        <f>'Input - Dairy'!$D$67</f>
        <v>Feed pad</v>
      </c>
      <c r="P296" s="55" t="str">
        <f>'Input - Dairy'!$D$103</f>
        <v>Drains to paddock</v>
      </c>
      <c r="Q296" s="55" cm="1">
        <f t="array" ref="Q296">MMS_Dairy_Methane_Equations.VEERG_4_3_1_1__1_TotalAnnualMethaneFromManureManagementVariation(D$269,Q243,O$274,0,0,0,0,0)</f>
        <v>0.23221542095430123</v>
      </c>
      <c r="R296" s="55" cm="1">
        <f t="array" ref="R296">MMS_Dairy_Methane_Equations.VEERG_4_3_1_1__1_TotalAnnualMethaneFromManureManagementVariation(D$269,R243,P$274,0,0,0,0,0)</f>
        <v>0.18425365879537009</v>
      </c>
      <c r="S296" s="55" cm="1">
        <f t="array" ref="S296">MMS_Dairy_Methane_Equations.VEERG_4_3_1_1__1_TotalAnnualMethaneFromManureManagementVariation(0,0,0,F$269,S243,Q$274,F$279,Q$284)</f>
        <v>0.22476378740206779</v>
      </c>
      <c r="T296" s="55" cm="1">
        <f t="array" ref="T296">MMS_Dairy_Methane_Equations.VEERG_4_3_1_1__1_TotalAnnualMethaneFromManureManagementVariation(F$269,T243,R$274,0,0,0,0,0)</f>
        <v>0.22419341987969252</v>
      </c>
      <c r="U296" s="55" cm="1">
        <f t="array" ref="U296">MMS_Dairy_Methane_Equations.VEERG_4_3_1_1__1_TotalAnnualMethaneFromManureManagementVariation(0,0,0,H$269,U243,S$274,H$279,S$284)</f>
        <v>0.27488327620929182</v>
      </c>
    </row>
    <row r="297" spans="4:21" x14ac:dyDescent="0.25">
      <c r="D297" s="55" t="str">
        <f>'Input - Dairy'!$D$67</f>
        <v>Feed pad</v>
      </c>
      <c r="E297" s="55" t="s">
        <v>412</v>
      </c>
      <c r="F297" s="55" cm="1">
        <f t="array" ref="F297">MMS_Dairy_Methane_Equations.VEERG_4_3_1_1__1_TotalAnnualMethaneFromManureManagementVariation(D$269,F244,D$274,0,0,0,0,0)</f>
        <v>3.6943362424547911E-2</v>
      </c>
      <c r="G297" s="55" cm="1">
        <f t="array" ref="G297">MMS_Dairy_Methane_Equations.VEERG_4_3_1_1__1_TotalAnnualMethaneFromManureManagementVariation(E$269,G244,E$274,0,0,0,0,0)</f>
        <v>2.9313082081081607E-2</v>
      </c>
      <c r="H297" s="55" cm="1">
        <f t="array" ref="H297">MMS_Dairy_Methane_Equations.VEERG_4_3_1_1__1_TotalAnnualMethaneFromManureManagementVariation(0,0,0,F$269,H244,F$274,F$279,F$284)</f>
        <v>0.16007787526851078</v>
      </c>
      <c r="I297" s="55" cm="1">
        <f t="array" ref="I297">MMS_Dairy_Methane_Equations.VEERG_4_3_1_1__1_TotalAnnualMethaneFromManureManagementVariation(G$269,I244,G$274,0,0,0,0,0)</f>
        <v>3.5667134980860167E-2</v>
      </c>
      <c r="J297" s="55" cm="1">
        <f t="array" ref="J297">MMS_Dairy_Methane_Equations.VEERG_4_3_1_1__1_TotalAnnualMethaneFromManureManagementVariation(0,0,0,H$269,J244,H$274,H$279,H$284)</f>
        <v>0.18782961212420554</v>
      </c>
      <c r="O297" s="55" t="str">
        <f>'Input - Dairy'!$D$67</f>
        <v>Feed pad</v>
      </c>
      <c r="P297" s="55" t="s">
        <v>412</v>
      </c>
      <c r="Q297" s="55" cm="1">
        <f t="array" ref="Q297">MMS_Dairy_Methane_Equations.VEERG_4_3_1_1__1_TotalAnnualMethaneFromManureManagementVariation(D$269,Q244,O$274,0,0,0,0,0)</f>
        <v>3.6943362424547911E-2</v>
      </c>
      <c r="R297" s="55" cm="1">
        <f t="array" ref="R297">MMS_Dairy_Methane_Equations.VEERG_4_3_1_1__1_TotalAnnualMethaneFromManureManagementVariation(D$269,R244,P$274,0,0,0,0,0)</f>
        <v>2.9313082081081607E-2</v>
      </c>
      <c r="S297" s="55" cm="1">
        <f t="array" ref="S297">MMS_Dairy_Methane_Equations.VEERG_4_3_1_1__1_TotalAnnualMethaneFromManureManagementVariation(0,0,0,F$269,S244,Q$274,F$279,Q$284)</f>
        <v>0.16007787526851078</v>
      </c>
      <c r="T297" s="55" cm="1">
        <f t="array" ref="T297">MMS_Dairy_Methane_Equations.VEERG_4_3_1_1__1_TotalAnnualMethaneFromManureManagementVariation(F$269,T244,R$274,0,0,0,0,0)</f>
        <v>3.5667134980860167E-2</v>
      </c>
      <c r="U297" s="55" cm="1">
        <f t="array" ref="U297">MMS_Dairy_Methane_Equations.VEERG_4_3_1_1__1_TotalAnnualMethaneFromManureManagementVariation(0,0,0,H$269,U244,S$274,H$279,S$284)</f>
        <v>0.18782961212420554</v>
      </c>
    </row>
    <row r="299" spans="4:21" ht="20.25" x14ac:dyDescent="0.25">
      <c r="D299" s="108" t="s">
        <v>131</v>
      </c>
      <c r="E299" s="109">
        <f>SUM(F289:J297)</f>
        <v>8.6554787767707602</v>
      </c>
      <c r="F299" s="110" t="str">
        <f>$E$255</f>
        <v>t CH4</v>
      </c>
      <c r="O299" s="108" t="s">
        <v>427</v>
      </c>
      <c r="P299" s="109">
        <f>SUM(Q289:U297)</f>
        <v>8.9090875655193962</v>
      </c>
      <c r="Q299" s="110" t="str">
        <f>$E$255</f>
        <v>t CH4</v>
      </c>
    </row>
    <row r="301" spans="4:21" x14ac:dyDescent="0.25">
      <c r="D301" s="60" t="str" cm="1">
        <f t="array" ref="D301:E302">Common_Equations.Common_ConvertCH4ToCO2e_Arguments()</f>
        <v>ECH4</v>
      </c>
      <c r="E301" s="61" t="str">
        <v>Methane emissions (t CH4)</v>
      </c>
      <c r="F301" s="111"/>
      <c r="G301" s="55">
        <f>E299</f>
        <v>8.6554787767707602</v>
      </c>
      <c r="H301" s="2"/>
      <c r="O301" s="60" t="str" cm="1">
        <f t="array" ref="O301:P302">Common_Equations.Common_ConvertCH4ToCO2e_Arguments()</f>
        <v>ECH4</v>
      </c>
      <c r="P301" s="61" t="str">
        <v>Methane emissions (t CH4)</v>
      </c>
      <c r="Q301" s="111"/>
      <c r="R301" s="55">
        <f>P299</f>
        <v>8.9090875655193962</v>
      </c>
      <c r="S301" s="2" t="s">
        <v>276</v>
      </c>
    </row>
    <row r="302" spans="4:21" x14ac:dyDescent="0.25">
      <c r="D302" s="60" t="str">
        <v>GWPCH4</v>
      </c>
      <c r="E302" s="61" t="str">
        <v>Global warming potential for methane (t CO2-e / t CH4)</v>
      </c>
      <c r="F302" s="111"/>
      <c r="G302" s="55">
        <f>Common_InputFunctions.Utility_LookupValueInTableNumber("CH4",Table_GWPData[Gas],Table_GWPData[CO2-e factor])</f>
        <v>28</v>
      </c>
      <c r="O302" s="60" t="str">
        <v>GWPCH4</v>
      </c>
      <c r="P302" s="61" t="str">
        <v>Global warming potential for methane (t CO2-e / t CH4)</v>
      </c>
      <c r="Q302" s="111"/>
      <c r="R302" s="55">
        <f>Common_InputFunctions.Utility_LookupValueInTableNumber("CH4",Table_GWPData[Gas],Table_GWPData[CO2-e factor])</f>
        <v>28</v>
      </c>
    </row>
    <row r="304" spans="4:21" ht="18.75" x14ac:dyDescent="0.25">
      <c r="D304" s="48" t="s">
        <v>132</v>
      </c>
      <c r="E304" s="48" cm="1">
        <f t="array" ref="E304">Common_Equations.Common_ConvertCH4ToCO2e(G301,G302)</f>
        <v>242.35340574958127</v>
      </c>
      <c r="F304" s="112" t="str" cm="1">
        <f t="array" ref="F304">Common_Equations.Common_ConvertN2OToCO2e_Unit()</f>
        <v>t CO2e</v>
      </c>
      <c r="O304" s="48" t="s">
        <v>426</v>
      </c>
      <c r="P304" s="48" cm="1">
        <f t="array" ref="P304">Common_Equations.Common_ConvertCH4ToCO2e(R301,R302)</f>
        <v>249.45445183454308</v>
      </c>
      <c r="Q304" s="112" t="str" cm="1">
        <f t="array" ref="Q304">Common_Equations.Common_ConvertN2OToCO2e_Unit()</f>
        <v>t CO2e</v>
      </c>
    </row>
  </sheetData>
  <dataValidations disablePrompts="1" count="1">
    <dataValidation operator="equal" allowBlank="1" showInputMessage="1" showErrorMessage="1" sqref="F163:F167 Q152:U156 D186:F186 P89:R89 E151:J151 F152:J156 E162:F162 Q163:Q167 P162:Q162 P151:U151 E173:J173 F174:J178 P173:U173 Q174:U178 Q172:U172 F199:J199 P204:U205 P198:U198 Q199:U199 P297 E240 E237 E293 E290 E244 P237 E297 P290 I145 E145:F145 F172:J172 Q161 Q150:U150 E198:J198 P240 P244 P293 E204:J20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zoomScaleNormal="100" workbookViewId="0">
      <selection activeCell="N103" sqref="N10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286</v>
      </c>
    </row>
    <row r="2" spans="1:21" s="9" customFormat="1" ht="20.100000000000001" customHeight="1" x14ac:dyDescent="0.25"/>
    <row r="3" spans="1:21" ht="20.100000000000001" customHeight="1" x14ac:dyDescent="0.25">
      <c r="A3" s="17" t="str">
        <f>HYPERLINK("#'Home'!A1", "Home")</f>
        <v>Home</v>
      </c>
      <c r="C3" s="4"/>
      <c r="D3" s="4" t="s">
        <v>121</v>
      </c>
      <c r="E3" s="4"/>
      <c r="F3" s="4"/>
      <c r="G3" s="4"/>
      <c r="H3" s="4"/>
      <c r="I3" s="4"/>
      <c r="J3" s="4"/>
      <c r="K3" s="4"/>
      <c r="M3" s="4"/>
      <c r="N3" s="4" t="s">
        <v>122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220</v>
      </c>
      <c r="N16" s="104" t="s">
        <v>222</v>
      </c>
    </row>
    <row r="17" spans="1:21" ht="20.100000000000001" customHeight="1" x14ac:dyDescent="0.25">
      <c r="A17" s="17" t="str">
        <f>HYPERLINK("#'4.3.1.9 Soil direct N2O'!A1", "4.3.1.9 Soil direct N2O")</f>
        <v>4.3.1.9 Soil direct N2O</v>
      </c>
      <c r="D17" s="103" t="s">
        <v>221</v>
      </c>
      <c r="N17" s="103" t="s">
        <v>223</v>
      </c>
    </row>
    <row r="18" spans="1:21" ht="20.100000000000001" customHeight="1" x14ac:dyDescent="0.25">
      <c r="A18" s="17" t="str">
        <f>HYPERLINK("#'4.3.1.10-11 Soil Atmos Dep'!A1", "4.3.1.10-11 Soil atm. deposition")</f>
        <v>4.3.1.10-11 Soil atm. deposition</v>
      </c>
      <c r="D18" s="41" t="s">
        <v>175</v>
      </c>
      <c r="E18" s="41" t="s">
        <v>192</v>
      </c>
      <c r="F18" s="41" t="s">
        <v>193</v>
      </c>
      <c r="G18" s="41" t="s">
        <v>194</v>
      </c>
      <c r="H18" s="41" t="s">
        <v>195</v>
      </c>
      <c r="N18" s="41" t="s">
        <v>175</v>
      </c>
      <c r="O18" s="41" t="s">
        <v>192</v>
      </c>
      <c r="P18" s="41" t="s">
        <v>193</v>
      </c>
      <c r="Q18" s="41" t="s">
        <v>194</v>
      </c>
      <c r="R18" s="41" t="s">
        <v>195</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197</v>
      </c>
      <c r="N19" s="55">
        <f>'Input - Dairy'!$E$18</f>
        <v>550</v>
      </c>
      <c r="O19" s="55">
        <f>'Input - Dairy'!$F$18</f>
        <v>380</v>
      </c>
      <c r="P19" s="55">
        <f>'Input - Dairy'!$G$18</f>
        <v>155</v>
      </c>
      <c r="Q19" s="55">
        <f>'Input - Dairy'!$H$18</f>
        <v>600</v>
      </c>
      <c r="R19" s="55">
        <f>'Input - Dairy'!$I$18</f>
        <v>225</v>
      </c>
      <c r="S19" s="2" t="s">
        <v>197</v>
      </c>
    </row>
    <row r="20" spans="1:21" ht="20.100000000000001" customHeight="1" x14ac:dyDescent="0.25">
      <c r="A20" s="17"/>
    </row>
    <row r="21" spans="1:21" ht="20.100000000000001" customHeight="1" x14ac:dyDescent="0.25">
      <c r="A21" s="18" t="s">
        <v>4</v>
      </c>
      <c r="D21" s="104" t="s">
        <v>287</v>
      </c>
    </row>
    <row r="22" spans="1:21" ht="20.100000000000001" customHeight="1" x14ac:dyDescent="0.25">
      <c r="A22" s="17" t="str">
        <f>HYPERLINK("#'Constants - Dairy'!A1", "Constants - Dairy")</f>
        <v>Constants - Dairy</v>
      </c>
      <c r="D22" s="103" t="s">
        <v>288</v>
      </c>
    </row>
    <row r="23" spans="1:21" ht="20.100000000000001" customHeight="1" x14ac:dyDescent="0.25">
      <c r="A23" s="17" t="str">
        <f>HYPERLINK("#'Constants - Livestock'!A1", "Constants - Livestock")</f>
        <v>Constants - Livestock</v>
      </c>
      <c r="D23" s="54" t="s">
        <v>175</v>
      </c>
      <c r="E23" s="54" t="s">
        <v>192</v>
      </c>
      <c r="F23" s="54" t="s">
        <v>193</v>
      </c>
      <c r="G23" s="54" t="s">
        <v>194</v>
      </c>
      <c r="H23" s="54" t="s">
        <v>195</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197</v>
      </c>
    </row>
    <row r="25" spans="1:21" ht="20.100000000000001" customHeight="1" x14ac:dyDescent="0.25">
      <c r="A25" s="17" t="str">
        <f>HYPERLINK("#'Acknowledgements'!A1", "Acknowledgements")</f>
        <v>Acknowledgements</v>
      </c>
    </row>
    <row r="26" spans="1:21" ht="20.100000000000001" customHeight="1" x14ac:dyDescent="0.25">
      <c r="D26" s="104" t="s">
        <v>289</v>
      </c>
      <c r="N26" s="104" t="s">
        <v>289</v>
      </c>
    </row>
    <row r="27" spans="1:21" ht="20.100000000000001" customHeight="1" x14ac:dyDescent="0.25">
      <c r="D27" s="103" t="s">
        <v>290</v>
      </c>
      <c r="N27" s="103" t="s">
        <v>290</v>
      </c>
    </row>
    <row r="28" spans="1:21" ht="20.100000000000001" customHeight="1" x14ac:dyDescent="0.25">
      <c r="D28" s="54" t="s">
        <v>175</v>
      </c>
      <c r="E28" s="54" t="s">
        <v>192</v>
      </c>
      <c r="F28" s="54" t="s">
        <v>193</v>
      </c>
      <c r="G28" s="54" t="s">
        <v>194</v>
      </c>
      <c r="H28" s="54" t="s">
        <v>195</v>
      </c>
      <c r="N28" s="54" t="s">
        <v>175</v>
      </c>
      <c r="O28" s="54" t="s">
        <v>192</v>
      </c>
      <c r="P28" s="54" t="s">
        <v>193</v>
      </c>
      <c r="Q28" s="54" t="s">
        <v>194</v>
      </c>
      <c r="R28" s="54" t="s">
        <v>195</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114</v>
      </c>
      <c r="N47" s="104" t="s">
        <v>116</v>
      </c>
    </row>
    <row r="48" spans="4:14" ht="20.100000000000001" customHeight="1" x14ac:dyDescent="0.25">
      <c r="D48" s="103" t="s">
        <v>243</v>
      </c>
      <c r="N48" s="103" t="s">
        <v>242</v>
      </c>
    </row>
    <row r="49" spans="4:19" ht="20.100000000000001" customHeight="1" x14ac:dyDescent="0.25">
      <c r="D49" s="54" t="s">
        <v>175</v>
      </c>
      <c r="E49" s="54" t="s">
        <v>192</v>
      </c>
      <c r="F49" s="54" t="s">
        <v>193</v>
      </c>
      <c r="G49" s="54" t="s">
        <v>194</v>
      </c>
      <c r="H49" s="54" t="s">
        <v>195</v>
      </c>
      <c r="N49" s="54" t="s">
        <v>175</v>
      </c>
      <c r="O49" s="54" t="s">
        <v>192</v>
      </c>
      <c r="P49" s="54" t="s">
        <v>193</v>
      </c>
      <c r="Q49" s="54" t="s">
        <v>194</v>
      </c>
      <c r="R49" s="54" t="s">
        <v>195</v>
      </c>
    </row>
    <row r="50" spans="4:19" ht="20.100000000000001" customHeight="1" x14ac:dyDescent="0.25">
      <c r="D50" s="55">
        <f>'4.3.1.1-2 Methane'!D113</f>
        <v>9.3500215503275186</v>
      </c>
      <c r="E50" s="55">
        <f>'4.3.1.1-2 Methane'!E113</f>
        <v>7.4188685375999972</v>
      </c>
      <c r="F50" s="55">
        <f>'4.3.1.1-2 Methane'!F113</f>
        <v>4.0231734662249998</v>
      </c>
      <c r="G50" s="55">
        <f>'4.3.1.1-2 Methane'!G113</f>
        <v>9.0270202499999979</v>
      </c>
      <c r="H50" s="55">
        <f>'4.3.1.1-2 Methane'!H113</f>
        <v>5.4143472656250013</v>
      </c>
      <c r="I50" s="2" t="str">
        <f>G42</f>
        <v>kgDM/head/day</v>
      </c>
      <c r="N50" s="55">
        <f>'4.3.1.1-2 Methane'!O113</f>
        <v>9.3500215503275186</v>
      </c>
      <c r="O50" s="55">
        <f>'4.3.1.1-2 Methane'!P113</f>
        <v>7.4188685375999972</v>
      </c>
      <c r="P50" s="55">
        <f>'4.3.1.1-2 Methane'!Q113</f>
        <v>4.0231734662249998</v>
      </c>
      <c r="Q50" s="55">
        <f>'4.3.1.1-2 Methane'!R113</f>
        <v>9.0270202499999979</v>
      </c>
      <c r="R50" s="55">
        <f>'4.3.1.1-2 Methane'!S113</f>
        <v>5.4143472656250013</v>
      </c>
      <c r="S50" s="2" t="str">
        <f>'4.3.1.1-2 Methane'!T113</f>
        <v>kg DM/head/day</v>
      </c>
    </row>
    <row r="51" spans="4:19" ht="20.100000000000001" customHeight="1" x14ac:dyDescent="0.25"/>
    <row r="52" spans="4:19" ht="20.100000000000001" customHeight="1" x14ac:dyDescent="0.25">
      <c r="D52" s="104" t="s">
        <v>228</v>
      </c>
    </row>
    <row r="53" spans="4:19" ht="20.100000000000001" customHeight="1" x14ac:dyDescent="0.25">
      <c r="D53" s="103" t="s">
        <v>229</v>
      </c>
    </row>
    <row r="54" spans="4:19" ht="20.100000000000001" customHeight="1" x14ac:dyDescent="0.25">
      <c r="D54" s="54" t="s">
        <v>175</v>
      </c>
      <c r="E54" s="54" t="s">
        <v>192</v>
      </c>
      <c r="F54" s="54" t="s">
        <v>193</v>
      </c>
      <c r="G54" s="54" t="s">
        <v>194</v>
      </c>
      <c r="H54" s="54" t="s">
        <v>195</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235</v>
      </c>
    </row>
    <row r="58" spans="4:19" ht="20.100000000000001" customHeight="1" x14ac:dyDescent="0.25">
      <c r="D58" s="103" t="s">
        <v>236</v>
      </c>
    </row>
    <row r="59" spans="4:19" ht="20.100000000000001" customHeight="1" x14ac:dyDescent="0.25">
      <c r="D59" s="54" t="s">
        <v>175</v>
      </c>
      <c r="E59" s="54" t="s">
        <v>192</v>
      </c>
      <c r="F59" s="54" t="s">
        <v>193</v>
      </c>
      <c r="G59" s="54" t="s">
        <v>194</v>
      </c>
      <c r="H59" s="54" t="s">
        <v>195</v>
      </c>
    </row>
    <row r="60" spans="4:19" ht="20.100000000000001" customHeight="1" x14ac:dyDescent="0.25">
      <c r="D60" s="55">
        <f>'4.3.1.1-2 Methane'!D78</f>
        <v>9.5576029567515861E-2</v>
      </c>
      <c r="E60" s="55">
        <f>'4.3.1.1-2 Methane'!E78</f>
        <v>0</v>
      </c>
      <c r="F60" s="55">
        <f>'4.3.1.1-2 Methane'!F78</f>
        <v>0</v>
      </c>
      <c r="G60" s="55">
        <f>'4.3.1.1-2 Methane'!G78</f>
        <v>0</v>
      </c>
      <c r="H60" s="55">
        <f>'4.3.1.1-2 Methane'!H78</f>
        <v>0</v>
      </c>
      <c r="I60" s="2" t="str">
        <f>'4.3.1.1-2 Methane'!I78</f>
        <v>kg DM/head/day</v>
      </c>
    </row>
    <row r="61" spans="4:19" ht="20.100000000000001" customHeight="1" x14ac:dyDescent="0.25"/>
    <row r="62" spans="4:19" ht="20.100000000000001" customHeight="1" x14ac:dyDescent="0.25">
      <c r="D62" s="104" t="s">
        <v>291</v>
      </c>
      <c r="N62" s="104" t="s">
        <v>293</v>
      </c>
    </row>
    <row r="63" spans="4:19" ht="20.100000000000001" customHeight="1" x14ac:dyDescent="0.25">
      <c r="D63" s="103" t="s">
        <v>292</v>
      </c>
      <c r="N63" s="103" t="s">
        <v>294</v>
      </c>
    </row>
    <row r="64" spans="4:19" ht="20.100000000000001" customHeight="1" x14ac:dyDescent="0.25">
      <c r="D64" s="54" t="s">
        <v>175</v>
      </c>
      <c r="E64" s="54" t="s">
        <v>192</v>
      </c>
      <c r="F64" s="54" t="s">
        <v>193</v>
      </c>
      <c r="G64" s="54" t="s">
        <v>194</v>
      </c>
      <c r="H64" s="54" t="s">
        <v>195</v>
      </c>
      <c r="N64" s="54" t="s">
        <v>175</v>
      </c>
      <c r="O64" s="54" t="s">
        <v>192</v>
      </c>
      <c r="P64" s="54" t="s">
        <v>193</v>
      </c>
      <c r="Q64" s="54" t="s">
        <v>194</v>
      </c>
      <c r="R64" s="54" t="s">
        <v>195</v>
      </c>
    </row>
    <row r="65" spans="1:21" ht="20.100000000000001" customHeight="1" x14ac:dyDescent="0.25">
      <c r="D65" s="55" cm="1">
        <f t="array" ref="D65">MMS_Dairy_N2ODirect_Equations.VEERG_4_3_1_3__7_IntakeRelativeToMaintenance(D50,D19,D55,D60)</f>
        <v>1.0034485545125336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1.0034485545125336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458</v>
      </c>
      <c r="N85" s="104" t="s">
        <v>460</v>
      </c>
    </row>
    <row r="86" spans="4:19" ht="20.100000000000001" customHeight="1" x14ac:dyDescent="0.25">
      <c r="D86" s="103" t="s">
        <v>459</v>
      </c>
      <c r="N86" s="103" t="s">
        <v>461</v>
      </c>
    </row>
    <row r="87" spans="4:19" ht="20.100000000000001" customHeight="1" x14ac:dyDescent="0.25">
      <c r="D87" s="54" t="s">
        <v>175</v>
      </c>
      <c r="E87" s="54" t="s">
        <v>192</v>
      </c>
      <c r="F87" s="54" t="s">
        <v>193</v>
      </c>
      <c r="G87" s="54" t="s">
        <v>194</v>
      </c>
      <c r="H87" s="54" t="s">
        <v>195</v>
      </c>
      <c r="N87" s="54" t="s">
        <v>175</v>
      </c>
      <c r="O87" s="54" t="s">
        <v>192</v>
      </c>
      <c r="P87" s="54" t="s">
        <v>193</v>
      </c>
      <c r="Q87" s="54" t="s">
        <v>194</v>
      </c>
      <c r="R87" s="54" t="s">
        <v>195</v>
      </c>
    </row>
    <row r="88" spans="4:19" ht="20.100000000000001" customHeight="1" x14ac:dyDescent="0.25">
      <c r="D88" s="55">
        <f>'4.3.1.1-2 Methane'!D49</f>
        <v>0</v>
      </c>
      <c r="E88" s="55">
        <v>0</v>
      </c>
      <c r="F88" s="55">
        <v>0</v>
      </c>
      <c r="G88" s="55">
        <v>0</v>
      </c>
      <c r="H88" s="55">
        <v>0</v>
      </c>
      <c r="I88" s="2" t="str">
        <f>$G$80</f>
        <v>L/head/day</v>
      </c>
      <c r="N88" s="55">
        <f>'4.3.1.1-2 Methane'!O49</f>
        <v>0</v>
      </c>
      <c r="O88" s="55">
        <v>0</v>
      </c>
      <c r="P88" s="55">
        <v>0</v>
      </c>
      <c r="Q88" s="55">
        <v>0</v>
      </c>
      <c r="R88" s="55">
        <v>0</v>
      </c>
      <c r="S88" s="2" t="str">
        <f>$G$80</f>
        <v>L/head/day</v>
      </c>
    </row>
    <row r="89" spans="4:19" ht="20.100000000000001" customHeight="1" x14ac:dyDescent="0.25"/>
    <row r="90" spans="4:19" ht="20.100000000000001" customHeight="1" x14ac:dyDescent="0.25">
      <c r="D90" s="104" t="s">
        <v>240</v>
      </c>
    </row>
    <row r="91" spans="4:19" ht="20.100000000000001" customHeight="1" x14ac:dyDescent="0.25">
      <c r="D91" s="103" t="s">
        <v>199</v>
      </c>
    </row>
    <row r="92" spans="4:19" ht="20.100000000000001" customHeight="1" x14ac:dyDescent="0.25">
      <c r="D92" s="41" t="s">
        <v>175</v>
      </c>
      <c r="E92" s="41" t="s">
        <v>192</v>
      </c>
      <c r="F92" s="41" t="s">
        <v>193</v>
      </c>
      <c r="G92" s="41" t="s">
        <v>194</v>
      </c>
      <c r="H92" s="41" t="s">
        <v>195</v>
      </c>
    </row>
    <row r="93" spans="4:19" ht="20.100000000000001" customHeight="1" x14ac:dyDescent="0.25">
      <c r="D93" s="55">
        <f>'4.3.1.1-2 Methane'!D73</f>
        <v>20</v>
      </c>
      <c r="E93" s="55">
        <v>0</v>
      </c>
      <c r="F93" s="55">
        <v>0</v>
      </c>
      <c r="G93" s="55">
        <v>0</v>
      </c>
      <c r="H93" s="55">
        <v>0</v>
      </c>
      <c r="I93" s="2" t="str">
        <f>$G$79</f>
        <v>L/head/day</v>
      </c>
    </row>
    <row r="94" spans="4:19" ht="20.100000000000001" customHeight="1" x14ac:dyDescent="0.25"/>
    <row r="95" spans="4:19" ht="20.100000000000001" customHeight="1" x14ac:dyDescent="0.25">
      <c r="D95" s="104" t="s">
        <v>224</v>
      </c>
      <c r="N95" s="104" t="s">
        <v>226</v>
      </c>
    </row>
    <row r="96" spans="4:19" ht="20.100000000000001" customHeight="1" x14ac:dyDescent="0.25">
      <c r="D96" s="103" t="s">
        <v>225</v>
      </c>
      <c r="N96" s="103" t="s">
        <v>227</v>
      </c>
    </row>
    <row r="97" spans="1:21" ht="20.100000000000001" customHeight="1" x14ac:dyDescent="0.25">
      <c r="D97" s="41" t="s">
        <v>175</v>
      </c>
      <c r="E97" s="41" t="s">
        <v>192</v>
      </c>
      <c r="F97" s="41" t="s">
        <v>193</v>
      </c>
      <c r="G97" s="41" t="s">
        <v>194</v>
      </c>
      <c r="H97" s="41" t="s">
        <v>195</v>
      </c>
      <c r="N97" s="41" t="s">
        <v>175</v>
      </c>
      <c r="O97" s="41" t="s">
        <v>192</v>
      </c>
      <c r="P97" s="41" t="s">
        <v>193</v>
      </c>
      <c r="Q97" s="41" t="s">
        <v>194</v>
      </c>
      <c r="R97" s="41" t="s">
        <v>195</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117</v>
      </c>
      <c r="N100" s="104" t="s">
        <v>118</v>
      </c>
    </row>
    <row r="101" spans="1:21" ht="20.100000000000001" customHeight="1" x14ac:dyDescent="0.25">
      <c r="D101" s="103" t="s">
        <v>295</v>
      </c>
      <c r="N101" s="103" t="s">
        <v>296</v>
      </c>
    </row>
    <row r="102" spans="1:21" ht="20.100000000000001" customHeight="1" x14ac:dyDescent="0.25">
      <c r="D102" s="54" t="s">
        <v>175</v>
      </c>
      <c r="E102" s="54" t="s">
        <v>192</v>
      </c>
      <c r="F102" s="54" t="s">
        <v>193</v>
      </c>
      <c r="G102" s="54" t="s">
        <v>194</v>
      </c>
      <c r="H102" s="54" t="s">
        <v>195</v>
      </c>
      <c r="N102" s="54" t="s">
        <v>175</v>
      </c>
      <c r="O102" s="54" t="s">
        <v>192</v>
      </c>
      <c r="P102" s="54" t="s">
        <v>193</v>
      </c>
      <c r="Q102" s="54" t="s">
        <v>194</v>
      </c>
      <c r="R102" s="54" t="s">
        <v>195</v>
      </c>
    </row>
    <row r="103" spans="1:21" ht="20.100000000000001" customHeight="1" x14ac:dyDescent="0.25">
      <c r="D103" s="55" cm="1">
        <f t="array" ref="D103">MMS_Dairy_N2ODirect_Equations.VEERG_4_3_1_3__6_NitrogenRetainedByBody(IF($I$78="Milk solids", D88, D93),D65,D29,D98)</f>
        <v>1.6714974470021335E-2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1.6714974470021335E-2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115</v>
      </c>
      <c r="N118" s="104" t="s">
        <v>115</v>
      </c>
    </row>
    <row r="119" spans="1:19" ht="20.100000000000001" customHeight="1" x14ac:dyDescent="0.25">
      <c r="D119" s="103" t="s">
        <v>297</v>
      </c>
      <c r="N119" s="103" t="s">
        <v>297</v>
      </c>
    </row>
    <row r="120" spans="1:19" ht="20.100000000000001" customHeight="1" x14ac:dyDescent="0.25">
      <c r="D120" s="41" t="s">
        <v>175</v>
      </c>
      <c r="E120" s="41" t="s">
        <v>192</v>
      </c>
      <c r="F120" s="41" t="s">
        <v>193</v>
      </c>
      <c r="G120" s="41" t="s">
        <v>194</v>
      </c>
      <c r="H120" s="41" t="s">
        <v>195</v>
      </c>
      <c r="N120" s="41" t="s">
        <v>175</v>
      </c>
      <c r="O120" s="41" t="s">
        <v>192</v>
      </c>
      <c r="P120" s="41" t="s">
        <v>193</v>
      </c>
      <c r="Q120" s="41" t="s">
        <v>194</v>
      </c>
      <c r="R120" s="41" t="s">
        <v>195</v>
      </c>
    </row>
    <row r="121" spans="1:19" ht="20.100000000000001" customHeight="1" x14ac:dyDescent="0.25">
      <c r="A121" s="141" t="str">
        <f>HYPERLINK("#A1", "▲ Back to top")</f>
        <v>▲ Back to top</v>
      </c>
      <c r="D121" s="55">
        <f>'Input - Dairy'!E38</f>
        <v>0.2</v>
      </c>
      <c r="E121" s="55">
        <f>'Input - Dairy'!F38</f>
        <v>0.2</v>
      </c>
      <c r="F121" s="55">
        <f>'Input - Dairy'!G38</f>
        <v>0.2</v>
      </c>
      <c r="G121" s="55">
        <f>'Input - Dairy'!H38</f>
        <v>0.2</v>
      </c>
      <c r="H121" s="55">
        <f>'Input - Dairy'!I38</f>
        <v>0.2</v>
      </c>
      <c r="I121" s="2" t="str">
        <f>$F$116</f>
        <v>fraction</v>
      </c>
      <c r="N121" s="55">
        <f>'Input - Dairy'!E43</f>
        <v>0.2</v>
      </c>
      <c r="O121" s="55">
        <f>'Input - Dairy'!F43</f>
        <v>0.2</v>
      </c>
      <c r="P121" s="55">
        <f>'Input - Dairy'!G43</f>
        <v>0.2</v>
      </c>
      <c r="Q121" s="55">
        <f>'Input - Dairy'!H43</f>
        <v>0.2</v>
      </c>
      <c r="R121" s="55">
        <f>'Input - Dairy'!I43</f>
        <v>0.2</v>
      </c>
      <c r="S121" s="2" t="str">
        <f>$F$116</f>
        <v>fraction</v>
      </c>
    </row>
    <row r="122" spans="1:19" ht="20.100000000000001" customHeight="1" x14ac:dyDescent="0.25"/>
    <row r="123" spans="1:19" ht="20.100000000000001" customHeight="1" x14ac:dyDescent="0.25">
      <c r="D123" s="104" t="s">
        <v>298</v>
      </c>
      <c r="N123" s="104" t="s">
        <v>298</v>
      </c>
    </row>
    <row r="124" spans="1:19" ht="20.100000000000001" customHeight="1" x14ac:dyDescent="0.25">
      <c r="D124" s="103" t="s">
        <v>299</v>
      </c>
      <c r="N124" s="103" t="s">
        <v>299</v>
      </c>
    </row>
    <row r="125" spans="1:19" ht="20.100000000000001" customHeight="1" x14ac:dyDescent="0.25">
      <c r="D125" s="54" t="s">
        <v>175</v>
      </c>
      <c r="E125" s="54" t="s">
        <v>192</v>
      </c>
      <c r="F125" s="54" t="s">
        <v>193</v>
      </c>
      <c r="G125" s="54" t="s">
        <v>194</v>
      </c>
      <c r="H125" s="54" t="s">
        <v>195</v>
      </c>
      <c r="N125" s="54" t="s">
        <v>175</v>
      </c>
      <c r="O125" s="54" t="s">
        <v>192</v>
      </c>
      <c r="P125" s="54" t="s">
        <v>193</v>
      </c>
      <c r="Q125" s="54" t="s">
        <v>194</v>
      </c>
      <c r="R125" s="54" t="s">
        <v>195</v>
      </c>
    </row>
    <row r="126" spans="1:19" ht="20.100000000000001" customHeight="1" x14ac:dyDescent="0.25">
      <c r="D126" s="55" cm="1">
        <f t="array" ref="D126">MMS_Dairy_N2ODirect_Equations.VEERG_4_3_1_3__5_CrudeProteinIntakeOfDairyCattle(D50,D121)</f>
        <v>1.8700043100655037</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1.8700043100655037</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119</v>
      </c>
      <c r="N143" s="104" t="s">
        <v>120</v>
      </c>
    </row>
    <row r="144" spans="1:21" ht="20.100000000000001" customHeight="1" x14ac:dyDescent="0.25">
      <c r="D144" s="103" t="s">
        <v>300</v>
      </c>
      <c r="N144" s="103" t="s">
        <v>301</v>
      </c>
    </row>
    <row r="145" spans="3:21" ht="20.100000000000001" customHeight="1" x14ac:dyDescent="0.25">
      <c r="D145" s="54" t="s">
        <v>175</v>
      </c>
      <c r="E145" s="54" t="s">
        <v>192</v>
      </c>
      <c r="F145" s="54" t="s">
        <v>193</v>
      </c>
      <c r="G145" s="54" t="s">
        <v>194</v>
      </c>
      <c r="H145" s="54" t="s">
        <v>195</v>
      </c>
      <c r="N145" s="54" t="s">
        <v>175</v>
      </c>
      <c r="O145" s="54" t="s">
        <v>192</v>
      </c>
      <c r="P145" s="54" t="s">
        <v>193</v>
      </c>
      <c r="Q145" s="54" t="s">
        <v>194</v>
      </c>
      <c r="R145" s="54" t="s">
        <v>195</v>
      </c>
    </row>
    <row r="146" spans="3:21" ht="20.100000000000001" customHeight="1" x14ac:dyDescent="0.25">
      <c r="D146" s="55" cm="1">
        <f t="array" ref="D146">MMS_Dairy_N2ODirect_Equations.VEERG_4_3_1_3__4_NitrogenExcretedByDairyCattleGreaterThanOneYear(D126,D103,D19)</f>
        <v>0.28048684451912126</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0.28048684451912126</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109</v>
      </c>
    </row>
    <row r="164" spans="1:19" ht="20.100000000000001" customHeight="1" x14ac:dyDescent="0.25">
      <c r="D164" s="103" t="s">
        <v>268</v>
      </c>
    </row>
    <row r="165" spans="1:19" ht="20.100000000000001" customHeight="1" x14ac:dyDescent="0.25">
      <c r="D165" s="41" t="s">
        <v>175</v>
      </c>
      <c r="E165" s="41" t="s">
        <v>192</v>
      </c>
      <c r="F165" s="41" t="s">
        <v>193</v>
      </c>
      <c r="G165" s="41" t="s">
        <v>194</v>
      </c>
      <c r="H165" s="41" t="s">
        <v>195</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275</v>
      </c>
      <c r="N168" s="104" t="s">
        <v>275</v>
      </c>
    </row>
    <row r="169" spans="1:19" ht="20.100000000000001" customHeight="1" x14ac:dyDescent="0.25">
      <c r="D169" s="103" t="s">
        <v>304</v>
      </c>
      <c r="N169" s="103" t="s">
        <v>305</v>
      </c>
    </row>
    <row r="170" spans="1:19" ht="20.100000000000001" customHeight="1" x14ac:dyDescent="0.25">
      <c r="D170" s="41" t="s">
        <v>175</v>
      </c>
      <c r="E170" s="41" t="s">
        <v>192</v>
      </c>
      <c r="F170" s="41" t="s">
        <v>193</v>
      </c>
      <c r="G170" s="41" t="s">
        <v>194</v>
      </c>
      <c r="H170" s="41" t="s">
        <v>195</v>
      </c>
      <c r="N170" s="41" t="s">
        <v>175</v>
      </c>
      <c r="O170" s="41" t="s">
        <v>192</v>
      </c>
      <c r="P170" s="41" t="s">
        <v>193</v>
      </c>
      <c r="Q170" s="41" t="s">
        <v>194</v>
      </c>
      <c r="R170" s="41" t="s">
        <v>195</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56</v>
      </c>
    </row>
    <row r="172" spans="1:19" ht="20.100000000000001" customHeight="1" x14ac:dyDescent="0.25"/>
    <row r="173" spans="1:19" ht="20.100000000000001" customHeight="1" x14ac:dyDescent="0.25">
      <c r="D173" s="104" t="s">
        <v>302</v>
      </c>
      <c r="N173" s="104" t="s">
        <v>302</v>
      </c>
    </row>
    <row r="174" spans="1:19" ht="20.100000000000001" customHeight="1" x14ac:dyDescent="0.25">
      <c r="D174" s="103" t="s">
        <v>311</v>
      </c>
      <c r="N174" s="103" t="s">
        <v>303</v>
      </c>
    </row>
    <row r="175" spans="1:19" ht="20.100000000000001" customHeight="1" x14ac:dyDescent="0.25">
      <c r="D175" s="54" t="s">
        <v>175</v>
      </c>
      <c r="E175" s="54" t="s">
        <v>192</v>
      </c>
      <c r="F175" s="54" t="s">
        <v>193</v>
      </c>
      <c r="G175" s="54" t="s">
        <v>194</v>
      </c>
      <c r="H175" s="54" t="s">
        <v>195</v>
      </c>
      <c r="N175" s="54" t="s">
        <v>175</v>
      </c>
      <c r="O175" s="54" t="s">
        <v>192</v>
      </c>
      <c r="P175" s="54" t="s">
        <v>193</v>
      </c>
      <c r="Q175" s="54" t="s">
        <v>194</v>
      </c>
      <c r="R175" s="54" t="s">
        <v>195</v>
      </c>
    </row>
    <row r="176" spans="1:19" ht="20.100000000000001" customHeight="1" x14ac:dyDescent="0.25">
      <c r="D176" s="55" cm="1">
        <f t="array" ref="D176">MMS_Dairy_N2ODirect_Equations.VEERG_4_3_1_3__3a_TotalAnnualNitrogenExcretedGreaterThanOneYearVariation(D166,D146,D171)</f>
        <v>10237.769824947927</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10237.769824947927</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308</v>
      </c>
    </row>
    <row r="196" spans="1:19" ht="20.100000000000001" customHeight="1" x14ac:dyDescent="0.25">
      <c r="D196" s="103" t="s">
        <v>309</v>
      </c>
    </row>
    <row r="197" spans="1:19" ht="20.100000000000001" customHeight="1" x14ac:dyDescent="0.25">
      <c r="D197" s="54" t="s">
        <v>175</v>
      </c>
      <c r="E197" s="54" t="s">
        <v>192</v>
      </c>
      <c r="F197" s="54" t="s">
        <v>193</v>
      </c>
      <c r="G197" s="54" t="s">
        <v>194</v>
      </c>
      <c r="H197" s="54" t="s">
        <v>195</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306</v>
      </c>
      <c r="N200" s="104" t="s">
        <v>306</v>
      </c>
    </row>
    <row r="201" spans="1:19" ht="20.100000000000001" customHeight="1" x14ac:dyDescent="0.25">
      <c r="D201" s="103" t="s">
        <v>307</v>
      </c>
      <c r="N201" s="103" t="s">
        <v>307</v>
      </c>
    </row>
    <row r="202" spans="1:19" ht="20.100000000000001" customHeight="1" x14ac:dyDescent="0.25">
      <c r="D202" s="41" t="s">
        <v>175</v>
      </c>
      <c r="E202" s="41" t="s">
        <v>192</v>
      </c>
      <c r="F202" s="41" t="s">
        <v>193</v>
      </c>
      <c r="G202" s="41" t="s">
        <v>194</v>
      </c>
      <c r="H202" s="41" t="s">
        <v>195</v>
      </c>
      <c r="N202" s="41" t="s">
        <v>175</v>
      </c>
      <c r="O202" s="41" t="s">
        <v>192</v>
      </c>
      <c r="P202" s="41" t="s">
        <v>193</v>
      </c>
      <c r="Q202" s="41" t="s">
        <v>194</v>
      </c>
      <c r="R202" s="41" t="s">
        <v>195</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270</v>
      </c>
      <c r="N205" s="104" t="s">
        <v>270</v>
      </c>
    </row>
    <row r="206" spans="1:19" ht="20.100000000000001" customHeight="1" x14ac:dyDescent="0.25">
      <c r="D206" s="103" t="s">
        <v>278</v>
      </c>
      <c r="N206" s="103" t="s">
        <v>278</v>
      </c>
    </row>
    <row r="207" spans="1:19" ht="20.100000000000001" customHeight="1" x14ac:dyDescent="0.25">
      <c r="D207" s="41" t="s">
        <v>175</v>
      </c>
      <c r="E207" s="41" t="s">
        <v>192</v>
      </c>
      <c r="F207" s="41" t="s">
        <v>193</v>
      </c>
      <c r="G207" s="41" t="s">
        <v>194</v>
      </c>
      <c r="H207" s="41" t="s">
        <v>195</v>
      </c>
      <c r="N207" s="41" t="s">
        <v>175</v>
      </c>
      <c r="O207" s="41" t="s">
        <v>192</v>
      </c>
      <c r="P207" s="41" t="s">
        <v>193</v>
      </c>
      <c r="Q207" s="41" t="s">
        <v>194</v>
      </c>
      <c r="R207" s="41" t="s">
        <v>195</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123</v>
      </c>
      <c r="N210" s="104" t="s">
        <v>123</v>
      </c>
    </row>
    <row r="211" spans="3:21" ht="20.100000000000001" customHeight="1" x14ac:dyDescent="0.25">
      <c r="D211" s="103" t="s">
        <v>310</v>
      </c>
      <c r="N211" s="103" t="s">
        <v>310</v>
      </c>
    </row>
    <row r="212" spans="3:21" ht="20.100000000000001" customHeight="1" x14ac:dyDescent="0.25">
      <c r="D212" s="54" t="s">
        <v>175</v>
      </c>
      <c r="E212" s="54" t="s">
        <v>192</v>
      </c>
      <c r="F212" s="54" t="s">
        <v>193</v>
      </c>
      <c r="G212" s="54" t="s">
        <v>194</v>
      </c>
      <c r="H212" s="54" t="s">
        <v>195</v>
      </c>
      <c r="N212" s="54" t="s">
        <v>175</v>
      </c>
      <c r="O212" s="54" t="s">
        <v>192</v>
      </c>
      <c r="P212" s="54" t="s">
        <v>193</v>
      </c>
      <c r="Q212" s="54" t="s">
        <v>194</v>
      </c>
      <c r="R212" s="54" t="s">
        <v>195</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250</v>
      </c>
      <c r="N228" s="104" t="s">
        <v>252</v>
      </c>
    </row>
    <row r="229" spans="4:20" ht="20.100000000000001" customHeight="1" x14ac:dyDescent="0.25">
      <c r="D229" s="103" t="s">
        <v>312</v>
      </c>
      <c r="N229" s="103" t="s">
        <v>313</v>
      </c>
    </row>
    <row r="230" spans="4:20" ht="20.100000000000001" customHeight="1" x14ac:dyDescent="0.25">
      <c r="D230" s="41" t="s">
        <v>149</v>
      </c>
      <c r="E230" s="41" t="s">
        <v>69</v>
      </c>
      <c r="F230" s="41" t="s">
        <v>175</v>
      </c>
      <c r="G230" s="41" t="s">
        <v>192</v>
      </c>
      <c r="H230" s="41" t="s">
        <v>193</v>
      </c>
      <c r="I230" s="41" t="s">
        <v>194</v>
      </c>
      <c r="J230" s="41" t="s">
        <v>195</v>
      </c>
      <c r="N230" s="41" t="s">
        <v>149</v>
      </c>
      <c r="O230" s="41" t="s">
        <v>69</v>
      </c>
      <c r="P230" s="41" t="s">
        <v>175</v>
      </c>
      <c r="Q230" s="41" t="s">
        <v>192</v>
      </c>
      <c r="R230" s="41" t="s">
        <v>193</v>
      </c>
      <c r="S230" s="41" t="s">
        <v>194</v>
      </c>
      <c r="T230" s="41" t="s">
        <v>195</v>
      </c>
    </row>
    <row r="231" spans="4:20" ht="20.100000000000001" customHeight="1" x14ac:dyDescent="0.25">
      <c r="D231" s="55" t="str">
        <f>'Input - Dairy'!$D$66</f>
        <v>Milking shed</v>
      </c>
      <c r="E231" s="55" t="str">
        <f>'Input - Dairy'!$D$85</f>
        <v>Anaerobic lagoon</v>
      </c>
      <c r="F231" s="55" cm="1">
        <f t="array" ref="F231">InputFunctions_Dairy.CalculateFractionInMMSAfterSolidSeparation('Input - Dairy'!E66,'Input - Dairy'!E85,'Input - Dairy'!$F$79)</f>
        <v>2.2000000000000002E-2</v>
      </c>
      <c r="G231" s="55" cm="1">
        <f t="array" ref="G231">InputFunctions_Dairy.CalculateFractionInMMSAfterSolidSeparation('Input - Dairy'!F66,'Input - Dairy'!F85,'Input - Dairy'!$F$79)</f>
        <v>2.2000000000000002E-2</v>
      </c>
      <c r="H231" s="55" cm="1">
        <f t="array" ref="H231">InputFunctions_Dairy.CalculateFractionInMMSAfterSolidSeparation('Input - Dairy'!G66,'Input - Dairy'!G85,'Input - Dairy'!$F$79)</f>
        <v>2.2000000000000002E-2</v>
      </c>
      <c r="I231" s="55" cm="1">
        <f t="array" ref="I231">InputFunctions_Dairy.CalculateFractionInMMSAfterSolidSeparation('Input - Dairy'!H66,'Input - Dairy'!H85,'Input - Dairy'!$F$79)</f>
        <v>2.2000000000000002E-2</v>
      </c>
      <c r="J231" s="55" cm="1">
        <f t="array" ref="J231">InputFunctions_Dairy.CalculateFractionInMMSAfterSolidSeparation('Input - Dairy'!I66,'Input - Dairy'!I85,'Input - Dairy'!$F$79)</f>
        <v>2.2000000000000002E-2</v>
      </c>
      <c r="N231" s="55" t="str">
        <f>'Input - Dairy'!$D$66</f>
        <v>Milking shed</v>
      </c>
      <c r="O231" s="55" t="str">
        <f>'Input - Dairy'!$D$85</f>
        <v>Anaerobic lagoon</v>
      </c>
      <c r="P231" s="55" cm="1">
        <f t="array" ref="P231">InputFunctions_Dairy.CalculateFractionInMMSAfterSolidSeparation('Input - Dairy'!E71,'Input - Dairy'!E85,'Input - Dairy'!$G$79)</f>
        <v>2.2000000000000002E-2</v>
      </c>
      <c r="Q231" s="55" cm="1">
        <f t="array" ref="Q231">InputFunctions_Dairy.CalculateFractionInMMSAfterSolidSeparation('Input - Dairy'!F71,'Input - Dairy'!F85,'Input - Dairy'!$G$79)</f>
        <v>2.2000000000000002E-2</v>
      </c>
      <c r="R231" s="55" cm="1">
        <f t="array" ref="R231">InputFunctions_Dairy.CalculateFractionInMMSAfterSolidSeparation('Input - Dairy'!G71,'Input - Dairy'!G85,'Input - Dairy'!$G$79)</f>
        <v>2.2000000000000002E-2</v>
      </c>
      <c r="S231" s="55" cm="1">
        <f t="array" ref="S231">InputFunctions_Dairy.CalculateFractionInMMSAfterSolidSeparation('Input - Dairy'!H71,'Input - Dairy'!H85,'Input - Dairy'!$G$79)</f>
        <v>2.2000000000000002E-2</v>
      </c>
      <c r="T231" s="55" cm="1">
        <f t="array" ref="T231">InputFunctions_Dairy.CalculateFractionInMMSAfterSolidSeparation('Input - Dairy'!I71,'Input - Dairy'!I85,'Input - Dairy'!$G$79)</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Dairy'!$F$80)</f>
        <v>2.2000000000000002E-2</v>
      </c>
      <c r="G232" s="55" cm="1">
        <f t="array" ref="G232">InputFunctions_Dairy.CalculateFractionInMMSAfterSolidSeparation('Input - Dairy'!F66,'Input - Dairy'!F86,'Input - Dairy'!$F$80)</f>
        <v>2.2000000000000002E-2</v>
      </c>
      <c r="H232" s="55" cm="1">
        <f t="array" ref="H232">InputFunctions_Dairy.CalculateFractionInMMSAfterSolidSeparation('Input - Dairy'!G66,'Input - Dairy'!G86,'Input - Dairy'!$F$80)</f>
        <v>2.2000000000000002E-2</v>
      </c>
      <c r="I232" s="55" cm="1">
        <f t="array" ref="I232">InputFunctions_Dairy.CalculateFractionInMMSAfterSolidSeparation('Input - Dairy'!H66,'Input - Dairy'!H86,'Input - Dairy'!$F$80)</f>
        <v>2.2000000000000002E-2</v>
      </c>
      <c r="J232" s="55" cm="1">
        <f t="array" ref="J232">InputFunctions_Dairy.CalculateFractionInMMSAfterSolidSeparation('Input - Dairy'!I66,'Input - Dairy'!I86,'Input - Dairy'!$F$80)</f>
        <v>2.2000000000000002E-2</v>
      </c>
      <c r="N232" s="55" t="str">
        <f>'Input - Dairy'!$D$66</f>
        <v>Milking shed</v>
      </c>
      <c r="O232" s="55" t="str">
        <f>'Input - Dairy'!$D$86</f>
        <v>Sump and dispersal system</v>
      </c>
      <c r="P232" s="55" cm="1">
        <f t="array" ref="P232">InputFunctions_Dairy.CalculateFractionInMMSAfterSolidSeparation('Input - Dairy'!E71,'Input - Dairy'!E86,'Input - Dairy'!$G$80)</f>
        <v>2.2000000000000002E-2</v>
      </c>
      <c r="Q232" s="55" cm="1">
        <f t="array" ref="Q232">InputFunctions_Dairy.CalculateFractionInMMSAfterSolidSeparation('Input - Dairy'!F71,'Input - Dairy'!F86,'Input - Dairy'!$G$80)</f>
        <v>2.2000000000000002E-2</v>
      </c>
      <c r="R232" s="55" cm="1">
        <f t="array" ref="R232">InputFunctions_Dairy.CalculateFractionInMMSAfterSolidSeparation('Input - Dairy'!G71,'Input - Dairy'!G86,'Input - Dairy'!$G$80)</f>
        <v>2.2000000000000002E-2</v>
      </c>
      <c r="S232" s="55" cm="1">
        <f t="array" ref="S232">InputFunctions_Dairy.CalculateFractionInMMSAfterSolidSeparation('Input - Dairy'!H71,'Input - Dairy'!H86,'Input - Dairy'!$G$80)</f>
        <v>2.2000000000000002E-2</v>
      </c>
      <c r="T232" s="55" cm="1">
        <f t="array" ref="T232">InputFunctions_Dairy.CalculateFractionInMMSAfterSolidSeparation('Input - Dairy'!I71,'Input - Dairy'!I86,'Input - Dairy'!$G$80)</f>
        <v>2.2000000000000002E-2</v>
      </c>
    </row>
    <row r="233" spans="4:20" ht="20.100000000000001" customHeight="1" x14ac:dyDescent="0.25">
      <c r="D233" s="55" t="str">
        <f>'Input - Dairy'!$D$66</f>
        <v>Milking shed</v>
      </c>
      <c r="E233" s="55" t="str">
        <f>'Input - Dairy'!$D$87</f>
        <v>Drains to paddock</v>
      </c>
      <c r="F233" s="55" cm="1">
        <f t="array" ref="F233">InputFunctions_Dairy.CalculateFractionInMMSAfterSolidSeparation('Input - Dairy'!E66,'Input - Dairy'!E87,'Input - Dairy'!$F$81)</f>
        <v>2.2000000000000002E-2</v>
      </c>
      <c r="G233" s="55" cm="1">
        <f t="array" ref="G233">InputFunctions_Dairy.CalculateFractionInMMSAfterSolidSeparation('Input - Dairy'!F66,'Input - Dairy'!F87,'Input - Dairy'!$F$81)</f>
        <v>2.2000000000000002E-2</v>
      </c>
      <c r="H233" s="55" cm="1">
        <f t="array" ref="H233">InputFunctions_Dairy.CalculateFractionInMMSAfterSolidSeparation('Input - Dairy'!G66,'Input - Dairy'!G87,'Input - Dairy'!$F$81)</f>
        <v>2.2000000000000002E-2</v>
      </c>
      <c r="I233" s="55" cm="1">
        <f t="array" ref="I233">InputFunctions_Dairy.CalculateFractionInMMSAfterSolidSeparation('Input - Dairy'!H66,'Input - Dairy'!H87,'Input - Dairy'!$F$81)</f>
        <v>2.2000000000000002E-2</v>
      </c>
      <c r="J233" s="55" cm="1">
        <f t="array" ref="J233">InputFunctions_Dairy.CalculateFractionInMMSAfterSolidSeparation('Input - Dairy'!I66,'Input - Dairy'!I87,'Input - Dairy'!$F$81)</f>
        <v>2.2000000000000002E-2</v>
      </c>
      <c r="N233" s="55" t="str">
        <f>'Input - Dairy'!$D$66</f>
        <v>Milking shed</v>
      </c>
      <c r="O233" s="55" t="str">
        <f>'Input - Dairy'!$D$87</f>
        <v>Drains to paddock</v>
      </c>
      <c r="P233" s="55" cm="1">
        <f t="array" ref="P233">InputFunctions_Dairy.CalculateFractionInMMSAfterSolidSeparation('Input - Dairy'!E71,'Input - Dairy'!E87,'Input - Dairy'!$G$81)</f>
        <v>2.2000000000000002E-2</v>
      </c>
      <c r="Q233" s="55" cm="1">
        <f t="array" ref="Q233">InputFunctions_Dairy.CalculateFractionInMMSAfterSolidSeparation('Input - Dairy'!F71,'Input - Dairy'!F87,'Input - Dairy'!$G$81)</f>
        <v>2.2000000000000002E-2</v>
      </c>
      <c r="R233" s="55" cm="1">
        <f t="array" ref="R233">InputFunctions_Dairy.CalculateFractionInMMSAfterSolidSeparation('Input - Dairy'!G71,'Input - Dairy'!G87,'Input - Dairy'!$G$81)</f>
        <v>2.2000000000000002E-2</v>
      </c>
      <c r="S233" s="55" cm="1">
        <f t="array" ref="S233">InputFunctions_Dairy.CalculateFractionInMMSAfterSolidSeparation('Input - Dairy'!H71,'Input - Dairy'!H87,'Input - Dairy'!$G$81)</f>
        <v>2.2000000000000002E-2</v>
      </c>
      <c r="T233" s="55" cm="1">
        <f t="array" ref="T233">InputFunctions_Dairy.CalculateFractionInMMSAfterSolidSeparation('Input - Dairy'!I71,'Input - Dairy'!I87,'Input - Dairy'!$G$81)</f>
        <v>2.2000000000000002E-2</v>
      </c>
    </row>
    <row r="234" spans="4:20" ht="20.100000000000001" customHeight="1" x14ac:dyDescent="0.25">
      <c r="D234" s="55" t="str">
        <f>'Input - Dairy'!$D$66</f>
        <v>Milking shed</v>
      </c>
      <c r="E234" s="55" t="s">
        <v>412</v>
      </c>
      <c r="F234" s="55" cm="1">
        <f t="array" ref="F234">InputFunctions_Dairy.CalculateFractionInSolidStorage('Input - Dairy'!E66,'Input - Dairy'!E88,'Input - Dairy'!E85,'Input - Dairy'!$F$79,'Input - Dairy'!E86,'Input - Dairy'!$F$80,'Input - Dairy'!E87,'Input - Dairy'!$F$81)</f>
        <v>4.3999999999999997E-2</v>
      </c>
      <c r="G234" s="55" cm="1">
        <f t="array" ref="G234">InputFunctions_Dairy.CalculateFractionInSolidStorage('Input - Dairy'!F66,'Input - Dairy'!F88,'Input - Dairy'!F85,'Input - Dairy'!$F$79,'Input - Dairy'!F86,'Input - Dairy'!$F$80,'Input - Dairy'!F87,'Input - Dairy'!$F$81)</f>
        <v>4.3999999999999997E-2</v>
      </c>
      <c r="H234" s="55" cm="1">
        <f t="array" ref="H234">InputFunctions_Dairy.CalculateFractionInSolidStorage('Input - Dairy'!G66,'Input - Dairy'!G88,'Input - Dairy'!G85,'Input - Dairy'!$F$79,'Input - Dairy'!G86,'Input - Dairy'!$F$80,'Input - Dairy'!G87,'Input - Dairy'!$F$81)</f>
        <v>4.3999999999999997E-2</v>
      </c>
      <c r="I234" s="55" cm="1">
        <f t="array" ref="I234">InputFunctions_Dairy.CalculateFractionInSolidStorage('Input - Dairy'!H66,'Input - Dairy'!H88,'Input - Dairy'!H85,'Input - Dairy'!$F$79,'Input - Dairy'!H86,'Input - Dairy'!$F$80,'Input - Dairy'!H87,'Input - Dairy'!$F$81)</f>
        <v>4.3999999999999997E-2</v>
      </c>
      <c r="J234" s="55" cm="1">
        <f t="array" ref="J234">InputFunctions_Dairy.CalculateFractionInSolidStorage('Input - Dairy'!I66,'Input - Dairy'!I88,'Input - Dairy'!I85,'Input - Dairy'!$F$79,'Input - Dairy'!I86,'Input - Dairy'!$F$80,'Input - Dairy'!I87,'Input - Dairy'!$F$81)</f>
        <v>4.3999999999999997E-2</v>
      </c>
      <c r="N234" s="55" t="str">
        <f>'Input - Dairy'!$D$66</f>
        <v>Milking shed</v>
      </c>
      <c r="O234" s="55" t="s">
        <v>412</v>
      </c>
      <c r="P234" s="55" cm="1">
        <f t="array" ref="P234">InputFunctions_Dairy.CalculateFractionInSolidStorage('Input - Dairy'!E71,'Input - Dairy'!E88,'Input - Dairy'!E85,'Input - Dairy'!$G$79,'Input - Dairy'!E86,'Input - Dairy'!$G$80,'Input - Dairy'!E87,'Input - Dairy'!$G$81)</f>
        <v>4.3999999999999997E-2</v>
      </c>
      <c r="Q234" s="55" cm="1">
        <f t="array" ref="Q234">InputFunctions_Dairy.CalculateFractionInSolidStorage('Input - Dairy'!F71,'Input - Dairy'!F88,'Input - Dairy'!F85,'Input - Dairy'!$G$79,'Input - Dairy'!F86,'Input - Dairy'!$G$80,'Input - Dairy'!F87,'Input - Dairy'!$G$81)</f>
        <v>4.3999999999999997E-2</v>
      </c>
      <c r="R234" s="55" cm="1">
        <f t="array" ref="R234">InputFunctions_Dairy.CalculateFractionInSolidStorage('Input - Dairy'!G71,'Input - Dairy'!G88,'Input - Dairy'!G85,'Input - Dairy'!$G$79,'Input - Dairy'!G86,'Input - Dairy'!$G$80,'Input - Dairy'!G87,'Input - Dairy'!$G$81)</f>
        <v>4.3999999999999997E-2</v>
      </c>
      <c r="S234" s="55" cm="1">
        <f t="array" ref="S234">InputFunctions_Dairy.CalculateFractionInSolidStorage('Input - Dairy'!H71,'Input - Dairy'!H88,'Input - Dairy'!H85,'Input - Dairy'!$G$79,'Input - Dairy'!H86,'Input - Dairy'!$G$80,'Input - Dairy'!H87,'Input - Dairy'!$G$81)</f>
        <v>4.3999999999999997E-2</v>
      </c>
      <c r="T234" s="55" cm="1">
        <f t="array" ref="T234">InputFunctions_Dairy.CalculateFractionInSolidStorage('Input - Dairy'!I71,'Input - Dairy'!I88,'Input - Dairy'!I85,'Input - Dairy'!$G$79,'Input - Dairy'!I86,'Input - Dairy'!$G$80,'Input - Dairy'!I87,'Input - Dairy'!$G$81)</f>
        <v>4.3999999999999997E-2</v>
      </c>
    </row>
    <row r="235" spans="4:20" ht="20.100000000000001" customHeight="1" x14ac:dyDescent="0.25">
      <c r="D235" s="55" t="str">
        <f>'Input - Dairy'!$D$67</f>
        <v>Feed pad</v>
      </c>
      <c r="E235" s="55" t="str">
        <f>'Input - Dairy'!$D$101</f>
        <v>Anaerobic lagoon</v>
      </c>
      <c r="F235" s="55" cm="1">
        <f t="array" ref="F235">InputFunctions_Dairy.CalculateFractionInMMSAfterSolidSeparation('Input - Dairy'!E67,'Input - Dairy'!E101,'Input - Dairy'!$F$95)</f>
        <v>8.8999999999999996E-2</v>
      </c>
      <c r="G235" s="55" cm="1">
        <f t="array" ref="G235">InputFunctions_Dairy.CalculateFractionInMMSAfterSolidSeparation('Input - Dairy'!F67,'Input - Dairy'!F101,'Input - Dairy'!$F$95)</f>
        <v>8.8999999999999996E-2</v>
      </c>
      <c r="H235" s="55" cm="1">
        <f t="array" ref="H235">InputFunctions_Dairy.CalculateFractionInMMSAfterSolidSeparation('Input - Dairy'!G67,'Input - Dairy'!G101,'Input - Dairy'!$F$95)</f>
        <v>8.8999999999999996E-2</v>
      </c>
      <c r="I235" s="55" cm="1">
        <f t="array" ref="I235">InputFunctions_Dairy.CalculateFractionInMMSAfterSolidSeparation('Input - Dairy'!H67,'Input - Dairy'!H101,'Input - Dairy'!$F$95)</f>
        <v>8.8999999999999996E-2</v>
      </c>
      <c r="J235" s="55" cm="1">
        <f t="array" ref="J235">InputFunctions_Dairy.CalculateFractionInMMSAfterSolidSeparation('Input - Dairy'!I67,'Input - Dairy'!I101,'Input - Dairy'!$F$95)</f>
        <v>8.8999999999999996E-2</v>
      </c>
      <c r="N235" s="55" t="str">
        <f>'Input - Dairy'!$D$67</f>
        <v>Feed pad</v>
      </c>
      <c r="O235" s="55" t="str">
        <f>'Input - Dairy'!$D$101</f>
        <v>Anaerobic lagoon</v>
      </c>
      <c r="P235" s="55" cm="1">
        <f t="array" ref="P235">InputFunctions_Dairy.CalculateFractionInMMSAfterSolidSeparation('Input - Dairy'!E72,'Input - Dairy'!E101,'Input - Dairy'!$G$95)</f>
        <v>8.8999999999999996E-2</v>
      </c>
      <c r="Q235" s="55" cm="1">
        <f t="array" ref="Q235">InputFunctions_Dairy.CalculateFractionInMMSAfterSolidSeparation('Input - Dairy'!F72,'Input - Dairy'!F101,'Input - Dairy'!$G$95)</f>
        <v>8.8999999999999996E-2</v>
      </c>
      <c r="R235" s="55" cm="1">
        <f t="array" ref="R235">InputFunctions_Dairy.CalculateFractionInMMSAfterSolidSeparation('Input - Dairy'!G72,'Input - Dairy'!G101,'Input - Dairy'!$G$95)</f>
        <v>8.8999999999999996E-2</v>
      </c>
      <c r="S235" s="55" cm="1">
        <f t="array" ref="S235">InputFunctions_Dairy.CalculateFractionInMMSAfterSolidSeparation('Input - Dairy'!H72,'Input - Dairy'!H101,'Input - Dairy'!$G$95)</f>
        <v>8.8999999999999996E-2</v>
      </c>
      <c r="T235" s="55" cm="1">
        <f t="array" ref="T235">InputFunctions_Dairy.CalculateFractionInMMSAfterSolidSeparation('Input - Dairy'!I72,'Input - Dairy'!I101,'Input - Dairy'!$G$95)</f>
        <v>8.8999999999999996E-2</v>
      </c>
    </row>
    <row r="236" spans="4:20" ht="20.100000000000001" customHeight="1" x14ac:dyDescent="0.25">
      <c r="D236" s="55" t="str">
        <f>'Input - Dairy'!$D$67</f>
        <v>Feed pad</v>
      </c>
      <c r="E236" s="55" t="str">
        <f>'Input - Dairy'!$D$102</f>
        <v>Sump and dispersal system</v>
      </c>
      <c r="F236" s="55" cm="1">
        <f t="array" ref="F236">InputFunctions_Dairy.CalculateFractionInMMSAfterSolidSeparation('Input - Dairy'!E67,'Input - Dairy'!E102,'Input - Dairy'!$F$96)</f>
        <v>7.1199999999999999E-2</v>
      </c>
      <c r="G236" s="55" cm="1">
        <f t="array" ref="G236">InputFunctions_Dairy.CalculateFractionInMMSAfterSolidSeparation('Input - Dairy'!F67,'Input - Dairy'!F102,'Input - Dairy'!$F$96)</f>
        <v>7.1199999999999999E-2</v>
      </c>
      <c r="H236" s="55" cm="1">
        <f t="array" ref="H236">InputFunctions_Dairy.CalculateFractionInMMSAfterSolidSeparation('Input - Dairy'!G67,'Input - Dairy'!G102,'Input - Dairy'!$F$96)</f>
        <v>7.1199999999999999E-2</v>
      </c>
      <c r="I236" s="55" cm="1">
        <f t="array" ref="I236">InputFunctions_Dairy.CalculateFractionInMMSAfterSolidSeparation('Input - Dairy'!H67,'Input - Dairy'!H102,'Input - Dairy'!$F$96)</f>
        <v>7.1199999999999999E-2</v>
      </c>
      <c r="J236" s="55" cm="1">
        <f t="array" ref="J236">InputFunctions_Dairy.CalculateFractionInMMSAfterSolidSeparation('Input - Dairy'!I67,'Input - Dairy'!I102,'Input - Dairy'!$F$96)</f>
        <v>7.1199999999999999E-2</v>
      </c>
      <c r="N236" s="55" t="str">
        <f>'Input - Dairy'!$D$67</f>
        <v>Feed pad</v>
      </c>
      <c r="O236" s="55" t="str">
        <f>'Input - Dairy'!$D$102</f>
        <v>Sump and dispersal system</v>
      </c>
      <c r="P236" s="55" cm="1">
        <f t="array" ref="P236">InputFunctions_Dairy.CalculateFractionInMMSAfterSolidSeparation('Input - Dairy'!E72,'Input - Dairy'!E102,'Input - Dairy'!$G$96)</f>
        <v>7.1199999999999999E-2</v>
      </c>
      <c r="Q236" s="55" cm="1">
        <f t="array" ref="Q236">InputFunctions_Dairy.CalculateFractionInMMSAfterSolidSeparation('Input - Dairy'!F72,'Input - Dairy'!F102,'Input - Dairy'!$G$96)</f>
        <v>7.1199999999999999E-2</v>
      </c>
      <c r="R236" s="55" cm="1">
        <f t="array" ref="R236">InputFunctions_Dairy.CalculateFractionInMMSAfterSolidSeparation('Input - Dairy'!G72,'Input - Dairy'!G102,'Input - Dairy'!$G$96)</f>
        <v>7.1199999999999999E-2</v>
      </c>
      <c r="S236" s="55" cm="1">
        <f t="array" ref="S236">InputFunctions_Dairy.CalculateFractionInMMSAfterSolidSeparation('Input - Dairy'!H72,'Input - Dairy'!H102,'Input - Dairy'!$G$96)</f>
        <v>7.1199999999999999E-2</v>
      </c>
      <c r="T236" s="55" cm="1">
        <f t="array" ref="T236">InputFunctions_Dairy.CalculateFractionInMMSAfterSolidSeparation('Input - Dairy'!I72,'Input - Dairy'!I102,'Input - Dairy'!$G$96)</f>
        <v>7.1199999999999999E-2</v>
      </c>
    </row>
    <row r="237" spans="4:20" ht="20.100000000000001" customHeight="1" x14ac:dyDescent="0.25">
      <c r="D237" s="55" t="str">
        <f>'Input - Dairy'!$D$67</f>
        <v>Feed pad</v>
      </c>
      <c r="E237" s="55" t="str">
        <f>'Input - Dairy'!$D$103</f>
        <v>Drains to paddock</v>
      </c>
      <c r="F237" s="55" cm="1">
        <f t="array" ref="F237">InputFunctions_Dairy.CalculateFractionInMMSAfterSolidSeparation('Input - Dairy'!E67,'Input - Dairy'!E103,'Input - Dairy'!$F$97)</f>
        <v>7.1199999999999999E-2</v>
      </c>
      <c r="G237" s="55" cm="1">
        <f t="array" ref="G237">InputFunctions_Dairy.CalculateFractionInMMSAfterSolidSeparation('Input - Dairy'!F67,'Input - Dairy'!F103,'Input - Dairy'!$F$97)</f>
        <v>7.1199999999999999E-2</v>
      </c>
      <c r="H237" s="55" cm="1">
        <f t="array" ref="H237">InputFunctions_Dairy.CalculateFractionInMMSAfterSolidSeparation('Input - Dairy'!G67,'Input - Dairy'!G103,'Input - Dairy'!$F$97)</f>
        <v>7.1199999999999999E-2</v>
      </c>
      <c r="I237" s="55" cm="1">
        <f t="array" ref="I237">InputFunctions_Dairy.CalculateFractionInMMSAfterSolidSeparation('Input - Dairy'!H67,'Input - Dairy'!H103,'Input - Dairy'!$F$97)</f>
        <v>7.1199999999999999E-2</v>
      </c>
      <c r="J237" s="55" cm="1">
        <f t="array" ref="J237">InputFunctions_Dairy.CalculateFractionInMMSAfterSolidSeparation('Input - Dairy'!I67,'Input - Dairy'!I103,'Input - Dairy'!$F$97)</f>
        <v>7.1199999999999999E-2</v>
      </c>
      <c r="N237" s="55" t="str">
        <f>'Input - Dairy'!$D$67</f>
        <v>Feed pad</v>
      </c>
      <c r="O237" s="55" t="str">
        <f>'Input - Dairy'!$D$103</f>
        <v>Drains to paddock</v>
      </c>
      <c r="P237" s="55" cm="1">
        <f t="array" ref="P237">InputFunctions_Dairy.CalculateFractionInMMSAfterSolidSeparation('Input - Dairy'!E72,'Input - Dairy'!E103,'Input - Dairy'!$G$97)</f>
        <v>7.1199999999999999E-2</v>
      </c>
      <c r="Q237" s="55" cm="1">
        <f t="array" ref="Q237">InputFunctions_Dairy.CalculateFractionInMMSAfterSolidSeparation('Input - Dairy'!F72,'Input - Dairy'!F103,'Input - Dairy'!$G$97)</f>
        <v>7.1199999999999999E-2</v>
      </c>
      <c r="R237" s="55" cm="1">
        <f t="array" ref="R237">InputFunctions_Dairy.CalculateFractionInMMSAfterSolidSeparation('Input - Dairy'!G72,'Input - Dairy'!G103,'Input - Dairy'!$G$97)</f>
        <v>7.1199999999999999E-2</v>
      </c>
      <c r="S237" s="55" cm="1">
        <f t="array" ref="S237">InputFunctions_Dairy.CalculateFractionInMMSAfterSolidSeparation('Input - Dairy'!H72,'Input - Dairy'!H103,'Input - Dairy'!$G$97)</f>
        <v>7.1199999999999999E-2</v>
      </c>
      <c r="T237" s="55" cm="1">
        <f t="array" ref="T237">InputFunctions_Dairy.CalculateFractionInMMSAfterSolidSeparation('Input - Dairy'!I72,'Input - Dairy'!I103,'Input - Dairy'!$G$97)</f>
        <v>7.1199999999999999E-2</v>
      </c>
    </row>
    <row r="238" spans="4:20" ht="20.100000000000001" customHeight="1" x14ac:dyDescent="0.25">
      <c r="D238" s="55" t="str">
        <f>'Input - Dairy'!$D$67</f>
        <v>Feed pad</v>
      </c>
      <c r="E238" s="55" t="s">
        <v>412</v>
      </c>
      <c r="F238" s="55" cm="1">
        <f t="array" ref="F238">InputFunctions_Dairy.CalculateFractionInSolidStorage('Input - Dairy'!E67,'Input - Dairy'!E104,'Input - Dairy'!E101,'Input - Dairy'!$F$95,'Input - Dairy'!E102,'Input - Dairy'!$F$96,'Input - Dairy'!E103,'Input - Dairy'!$F$97)</f>
        <v>0.12459999999999999</v>
      </c>
      <c r="G238" s="55" cm="1">
        <f t="array" ref="G238">InputFunctions_Dairy.CalculateFractionInSolidStorage('Input - Dairy'!F67,'Input - Dairy'!F104,'Input - Dairy'!F101,'Input - Dairy'!$F$95,'Input - Dairy'!F102,'Input - Dairy'!$F$96,'Input - Dairy'!F103,'Input - Dairy'!$F$97)</f>
        <v>0.12459999999999999</v>
      </c>
      <c r="H238" s="55" cm="1">
        <f t="array" ref="H238">InputFunctions_Dairy.CalculateFractionInSolidStorage('Input - Dairy'!G67,'Input - Dairy'!G104,'Input - Dairy'!G101,'Input - Dairy'!$F$95,'Input - Dairy'!G102,'Input - Dairy'!$F$96,'Input - Dairy'!G103,'Input - Dairy'!$F$97)</f>
        <v>0.12459999999999999</v>
      </c>
      <c r="I238" s="55" cm="1">
        <f t="array" ref="I238">InputFunctions_Dairy.CalculateFractionInSolidStorage('Input - Dairy'!H67,'Input - Dairy'!H104,'Input - Dairy'!H101,'Input - Dairy'!$F$95,'Input - Dairy'!H102,'Input - Dairy'!$F$96,'Input - Dairy'!H103,'Input - Dairy'!$F$97)</f>
        <v>0.12459999999999999</v>
      </c>
      <c r="J238" s="55" cm="1">
        <f t="array" ref="J238">InputFunctions_Dairy.CalculateFractionInSolidStorage('Input - Dairy'!I67,'Input - Dairy'!I104,'Input - Dairy'!I101,'Input - Dairy'!$F$95,'Input - Dairy'!I102,'Input - Dairy'!$F$96,'Input - Dairy'!I103,'Input - Dairy'!$F$97)</f>
        <v>0.12459999999999999</v>
      </c>
      <c r="N238" s="55" t="str">
        <f>'Input - Dairy'!$D$67</f>
        <v>Feed pad</v>
      </c>
      <c r="O238" s="55" t="str">
        <f>'Input - Dairy'!$D$104</f>
        <v>Solid storage (before solid separation)</v>
      </c>
      <c r="P238" s="55" cm="1">
        <f t="array" ref="P238">InputFunctions_Dairy.CalculateFractionInSolidStorage('Input - Dairy'!E72,'Input - Dairy'!E104,'Input - Dairy'!E101,'Input - Dairy'!$G$95, 'Input - Dairy'!E102,'Input - Dairy'!$G$96,'Input - Dairy'!E103,'Input - Dairy'!$G$97)</f>
        <v>0.12459999999999999</v>
      </c>
      <c r="Q238" s="55" cm="1">
        <f t="array" ref="Q238">InputFunctions_Dairy.CalculateFractionInSolidStorage('Input - Dairy'!F72,'Input - Dairy'!F104,'Input - Dairy'!F101,'Input - Dairy'!$G$95, 'Input - Dairy'!F102,'Input - Dairy'!$G$96,'Input - Dairy'!F103,'Input - Dairy'!$G$97)</f>
        <v>0.12459999999999999</v>
      </c>
      <c r="R238" s="55" cm="1">
        <f t="array" ref="R238">InputFunctions_Dairy.CalculateFractionInSolidStorage('Input - Dairy'!G72,'Input - Dairy'!G104,'Input - Dairy'!G101,'Input - Dairy'!$G$95, 'Input - Dairy'!G102,'Input - Dairy'!$G$96,'Input - Dairy'!G103,'Input - Dairy'!$G$97)</f>
        <v>0.12459999999999999</v>
      </c>
      <c r="S238" s="55" cm="1">
        <f t="array" ref="S238">InputFunctions_Dairy.CalculateFractionInSolidStorage('Input - Dairy'!H72,'Input - Dairy'!H104,'Input - Dairy'!H101,'Input - Dairy'!$G$95, 'Input - Dairy'!H102,'Input - Dairy'!$G$96,'Input - Dairy'!H103,'Input - Dairy'!$G$97)</f>
        <v>0.12459999999999999</v>
      </c>
      <c r="T238" s="55" cm="1">
        <f t="array" ref="T238">InputFunctions_Dairy.CalculateFractionInSolidStorage('Input - Dairy'!I72,'Input - Dairy'!I104,'Input - Dairy'!I101,'Input - Dairy'!$G$95, 'Input - Dairy'!I102,'Input - Dairy'!$G$96,'Input - Dairy'!I103,'Input - Dairy'!$G$97)</f>
        <v>0.12459999999999999</v>
      </c>
    </row>
    <row r="239" spans="4:20" ht="20.100000000000001" customHeight="1" x14ac:dyDescent="0.25">
      <c r="Q239" s="131"/>
    </row>
    <row r="240" spans="4:20" ht="20.100000000000001" customHeight="1" x14ac:dyDescent="0.25">
      <c r="D240" s="104" t="s">
        <v>314</v>
      </c>
      <c r="N240" s="104" t="s">
        <v>317</v>
      </c>
    </row>
    <row r="241" spans="1:21" ht="20.100000000000001" customHeight="1" x14ac:dyDescent="0.25">
      <c r="D241" s="103" t="s">
        <v>315</v>
      </c>
      <c r="N241" s="103" t="s">
        <v>316</v>
      </c>
    </row>
    <row r="242" spans="1:21" ht="20.100000000000001" customHeight="1" x14ac:dyDescent="0.25">
      <c r="D242" s="54" t="s">
        <v>149</v>
      </c>
      <c r="E242" s="54" t="s">
        <v>69</v>
      </c>
      <c r="F242" s="54" t="s">
        <v>175</v>
      </c>
      <c r="G242" s="54" t="s">
        <v>192</v>
      </c>
      <c r="H242" s="54" t="s">
        <v>193</v>
      </c>
      <c r="I242" s="54" t="s">
        <v>194</v>
      </c>
      <c r="J242" s="54" t="s">
        <v>195</v>
      </c>
      <c r="N242" s="54" t="s">
        <v>149</v>
      </c>
      <c r="O242" s="54" t="s">
        <v>69</v>
      </c>
      <c r="P242" s="54" t="s">
        <v>175</v>
      </c>
      <c r="Q242" s="54" t="s">
        <v>192</v>
      </c>
      <c r="R242" s="54" t="s">
        <v>193</v>
      </c>
      <c r="S242" s="54" t="s">
        <v>194</v>
      </c>
      <c r="T242" s="54" t="s">
        <v>195</v>
      </c>
    </row>
    <row r="243" spans="1:21" ht="20.100000000000001" customHeight="1" x14ac:dyDescent="0.25">
      <c r="D243" s="55" t="str">
        <f>'Input - Dairy'!$D$66</f>
        <v>Milking shed</v>
      </c>
      <c r="E243" s="55" t="str">
        <f>'Input - Dairy'!$D$85</f>
        <v>Anaerobic lagoon</v>
      </c>
      <c r="F243" s="55" cm="1">
        <f t="array" ref="F243">MMS_Dairy_N2ODirect_Equations.VEERG_4_3_1_3__2_TotalNitrogenInEachMMS(D$176,F231)</f>
        <v>225.23093614885443</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'Input - Dairy'!$D$66</f>
        <v>Milking shed</v>
      </c>
      <c r="O243" s="55" t="str">
        <f>'Input - Dairy'!$D$85</f>
        <v>Anaerobic lagoon</v>
      </c>
      <c r="P243" s="55" cm="1">
        <f t="array" ref="P243">MMS_Dairy_N2ODirect_Equations.VEERG_4_3_1_3__2_TotalNitrogenInEachMMS(N$176,P231)</f>
        <v>225.23093614885443</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225.23093614885443</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225.23093614885443</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Dairy'!$D$87</f>
        <v>Drains to paddock</v>
      </c>
      <c r="F245" s="55" cm="1">
        <f t="array" ref="F245">MMS_Dairy_N2ODirect_Equations.VEERG_4_3_1_3__2_TotalNitrogenInEachMMS(D$176,F233)</f>
        <v>225.23093614885443</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Dairy'!$D$87</f>
        <v>Drains to paddock</v>
      </c>
      <c r="P245" s="55" cm="1">
        <f t="array" ref="P245">MMS_Dairy_N2ODirect_Equations.VEERG_4_3_1_3__2_TotalNitrogenInEachMMS(N$176,P233)</f>
        <v>225.23093614885443</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412</v>
      </c>
      <c r="F246" s="55" cm="1">
        <f t="array" ref="F246">MMS_Dairy_N2ODirect_Equations.VEERG_4_3_1_3__2_TotalNitrogenInEachMMS(D$176,F234)</f>
        <v>450.46187229770879</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'Input - Dairy'!$D$66</f>
        <v>Milking shed</v>
      </c>
      <c r="O246" s="55" t="s">
        <v>412</v>
      </c>
      <c r="P246" s="55" cm="1">
        <f t="array" ref="P246">MMS_Dairy_N2ODirect_Equations.VEERG_4_3_1_3__2_TotalNitrogenInEachMMS(N$176,P234)</f>
        <v>450.46187229770879</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'Input - Dairy'!$D$67</f>
        <v>Feed pad</v>
      </c>
      <c r="E247" s="55" t="str">
        <f>'Input - Dairy'!$D$101</f>
        <v>Anaerobic lagoon</v>
      </c>
      <c r="F247" s="55" cm="1">
        <f t="array" ref="F247">MMS_Dairy_N2ODirect_Equations.VEERG_4_3_1_3__2_TotalNitrogenInEachMMS(D$176,F235)</f>
        <v>911.16151442036551</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'Input - Dairy'!$D$67</f>
        <v>Feed pad</v>
      </c>
      <c r="O247" s="55" t="str">
        <f>'Input - Dairy'!$D$101</f>
        <v>Anaerobic lagoon</v>
      </c>
      <c r="P247" s="55" cm="1">
        <f t="array" ref="P247">MMS_Dairy_N2ODirect_Equations.VEERG_4_3_1_3__2_TotalNitrogenInEachMMS(N$176,P235)</f>
        <v>911.16151442036551</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'Input - Dairy'!$D$67</f>
        <v>Feed pad</v>
      </c>
      <c r="E248" s="55" t="str">
        <f>'Input - Dairy'!$D$102</f>
        <v>Sump and dispersal system</v>
      </c>
      <c r="F248" s="55" cm="1">
        <f t="array" ref="F248">MMS_Dairy_N2ODirect_Equations.VEERG_4_3_1_3__2_TotalNitrogenInEachMMS(D$176,F236)</f>
        <v>728.92921153629243</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Dairy'!$D$102</f>
        <v>Sump and dispersal system</v>
      </c>
      <c r="P248" s="55" cm="1">
        <f t="array" ref="P248">MMS_Dairy_N2ODirect_Equations.VEERG_4_3_1_3__2_TotalNitrogenInEachMMS(N$176,P236)</f>
        <v>728.92921153629243</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Dairy'!$D$103</f>
        <v>Drains to paddock</v>
      </c>
      <c r="F249" s="55" cm="1">
        <f t="array" ref="F249">MMS_Dairy_N2ODirect_Equations.VEERG_4_3_1_3__2_TotalNitrogenInEachMMS(D$176,F237)</f>
        <v>728.92921153629243</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Dairy'!$D$103</f>
        <v>Drains to paddock</v>
      </c>
      <c r="P249" s="55" cm="1">
        <f t="array" ref="P249">MMS_Dairy_N2ODirect_Equations.VEERG_4_3_1_3__2_TotalNitrogenInEachMMS(N$176,P237)</f>
        <v>728.92921153629243</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412</v>
      </c>
      <c r="F250" s="55" cm="1">
        <f t="array" ref="F250">MMS_Dairy_N2ODirect_Equations.VEERG_4_3_1_3__2_TotalNitrogenInEachMMS(D$176,F238)</f>
        <v>1275.6261201885115</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'Input - Dairy'!$D$67</f>
        <v>Feed pad</v>
      </c>
      <c r="O250" s="55" t="s">
        <v>412</v>
      </c>
      <c r="P250" s="55" cm="1">
        <f t="array" ref="P250">MMS_Dairy_N2ODirect_Equations.VEERG_4_3_1_3__2_TotalNitrogenInEachMMS(N$176,P238)</f>
        <v>1275.6261201885115</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318</v>
      </c>
    </row>
    <row r="267" spans="4:9" ht="20.100000000000001" customHeight="1" x14ac:dyDescent="0.25">
      <c r="D267" s="103" t="s">
        <v>319</v>
      </c>
    </row>
    <row r="268" spans="4:9" ht="20.100000000000001" customHeight="1" x14ac:dyDescent="0.25">
      <c r="D268" s="54" t="s">
        <v>69</v>
      </c>
      <c r="E268" s="54" t="s">
        <v>320</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125</v>
      </c>
      <c r="N275" s="104" t="s">
        <v>125</v>
      </c>
    </row>
    <row r="276" spans="1:20" ht="20.100000000000001" customHeight="1" x14ac:dyDescent="0.25">
      <c r="D276" s="103" t="s">
        <v>321</v>
      </c>
      <c r="N276" s="103" t="s">
        <v>321</v>
      </c>
    </row>
    <row r="277" spans="1:20" ht="20.100000000000001" customHeight="1" x14ac:dyDescent="0.25">
      <c r="D277" s="54" t="s">
        <v>149</v>
      </c>
      <c r="E277" s="54" t="s">
        <v>69</v>
      </c>
      <c r="F277" s="54" t="s">
        <v>175</v>
      </c>
      <c r="G277" s="54" t="s">
        <v>192</v>
      </c>
      <c r="H277" s="54" t="s">
        <v>193</v>
      </c>
      <c r="I277" s="54" t="s">
        <v>194</v>
      </c>
      <c r="J277" s="54" t="s">
        <v>195</v>
      </c>
      <c r="N277" s="54" t="s">
        <v>149</v>
      </c>
      <c r="O277" s="54" t="s">
        <v>69</v>
      </c>
      <c r="P277" s="54" t="s">
        <v>175</v>
      </c>
      <c r="Q277" s="54" t="s">
        <v>192</v>
      </c>
      <c r="R277" s="54" t="s">
        <v>193</v>
      </c>
      <c r="S277" s="54" t="s">
        <v>194</v>
      </c>
      <c r="T277" s="54" t="s">
        <v>195</v>
      </c>
    </row>
    <row r="278" spans="1:20" ht="20.100000000000001" customHeight="1" x14ac:dyDescent="0.25">
      <c r="D278" s="55" t="str">
        <f>'Input - Dairy'!$D$66</f>
        <v>Milking shed</v>
      </c>
      <c r="E278" s="55" t="str">
        <f>'Input - Dairy'!$D$85</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Dairy'!$D$85</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Dairy'!$D$87</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Dairy'!$D$87</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412</v>
      </c>
      <c r="F281" s="55" cm="1">
        <f t="array" ref="F281">MMS_Dairy_N2ODirect_Equations.VEERG_4_3_1_3__1_TotalAnnualDirectNitrousOxideEmissionsFromMMS(F246,$E273,$I$264)</f>
        <v>3.5393432823391403E-3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'Input - Dairy'!$D$66</f>
        <v>Milking shed</v>
      </c>
      <c r="O281" s="55" t="s">
        <v>412</v>
      </c>
      <c r="P281" s="55" cm="1">
        <f t="array" ref="P281">MMS_Dairy_N2ODirect_Equations.VEERG_4_3_1_3__1_TotalAnnualDirectNitrousOxideEmissionsFromMMS(P246,$E273,$I$264)</f>
        <v>3.5393432823391403E-3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'Input - Dairy'!$D$67</f>
        <v>Feed pad</v>
      </c>
      <c r="E282" s="55" t="str">
        <f>'Input - Dairy'!$D$101</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Dairy'!$D$101</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Dairy'!$D$102</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Dairy'!$D$102</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Dairy'!$D$103</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Dairy'!$D$103</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412</v>
      </c>
      <c r="F285" s="55" cm="1">
        <f t="array" ref="F285">MMS_Dairy_N2ODirect_Equations.VEERG_4_3_1_3__1_TotalAnnualDirectNitrousOxideEmissionsFromMMS(F250,$E273,$I$264)</f>
        <v>1.0022776658624021E-2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'Input - Dairy'!$D$67</f>
        <v>Feed pad</v>
      </c>
      <c r="O285" s="55" t="s">
        <v>412</v>
      </c>
      <c r="P285" s="55" cm="1">
        <f t="array" ref="P285">MMS_Dairy_N2ODirect_Equations.VEERG_4_3_1_3__1_TotalAnnualDirectNitrousOxideEmissionsFromMMS(P250,$E273,$I$264)</f>
        <v>1.0022776658624021E-2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124</v>
      </c>
      <c r="E287" s="109">
        <f>SUM(E282:G285)</f>
        <v>1.8137703327787046E-2</v>
      </c>
      <c r="F287" s="110" t="str">
        <f>$E$260</f>
        <v>t N2O</v>
      </c>
      <c r="N287" s="108" t="s">
        <v>124</v>
      </c>
      <c r="O287" s="109">
        <f>SUM(O282:Q285)</f>
        <v>1.8137703327787046E-2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1.8137703327787046E-2</v>
      </c>
      <c r="N289" s="60" t="str" cm="1">
        <f t="array" ref="N289:O290">Common_Equations.Common_ConvertN2OToCO2e_Arguments()</f>
        <v>EN2O</v>
      </c>
      <c r="O289" s="61" t="str">
        <v>Nitrous oxide emissions (t N2O)</v>
      </c>
      <c r="P289" s="111"/>
      <c r="Q289" s="55">
        <f>$E$287</f>
        <v>1.8137703327787046E-2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111</v>
      </c>
      <c r="E292" s="48" cm="1">
        <f t="array" ref="E292">Common_Equations.Common_ConvertN2OToCO2e(G289,G290)</f>
        <v>4.8064913818635668</v>
      </c>
      <c r="F292" s="112" t="str" cm="1">
        <f t="array" ref="F292">Common_Equations.Common_ConvertN2OToCO2e_Unit()</f>
        <v>t CO2e</v>
      </c>
      <c r="N292" s="48" t="s">
        <v>111</v>
      </c>
      <c r="O292" s="48" cm="1">
        <f t="array" ref="O292">Common_Equations.Common_ConvertN2OToCO2e(Q289,Q290)</f>
        <v>4.8064913818635668</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323</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314</v>
      </c>
      <c r="O16" s="104" t="s">
        <v>317</v>
      </c>
    </row>
    <row r="17" spans="1:22" ht="20.100000000000001" customHeight="1" x14ac:dyDescent="0.25">
      <c r="A17" s="17" t="str">
        <f>HYPERLINK("#'4.3.1.9 Soil direct N2O'!A1", "4.3.1.9 Soil direct N2O")</f>
        <v>4.3.1.9 Soil direct N2O</v>
      </c>
      <c r="D17" s="103" t="s">
        <v>315</v>
      </c>
      <c r="O17" s="103" t="s">
        <v>316</v>
      </c>
    </row>
    <row r="18" spans="1:22" ht="20.100000000000001" customHeight="1" x14ac:dyDescent="0.25">
      <c r="A18" s="17" t="str">
        <f>HYPERLINK("#'4.3.1.10-11 Soil Atmos Dep'!A1", "4.3.1.10-11 Soil atm. deposition")</f>
        <v>4.3.1.10-11 Soil atm. deposition</v>
      </c>
      <c r="D18" s="54" t="s">
        <v>149</v>
      </c>
      <c r="E18" s="54" t="s">
        <v>69</v>
      </c>
      <c r="F18" s="54" t="s">
        <v>175</v>
      </c>
      <c r="G18" s="54" t="s">
        <v>192</v>
      </c>
      <c r="H18" s="54" t="s">
        <v>193</v>
      </c>
      <c r="I18" s="54" t="s">
        <v>194</v>
      </c>
      <c r="J18" s="54" t="s">
        <v>195</v>
      </c>
      <c r="O18" s="54" t="s">
        <v>149</v>
      </c>
      <c r="P18" s="54" t="s">
        <v>69</v>
      </c>
      <c r="Q18" s="54" t="s">
        <v>175</v>
      </c>
      <c r="R18" s="54" t="s">
        <v>192</v>
      </c>
      <c r="S18" s="54" t="s">
        <v>193</v>
      </c>
      <c r="T18" s="54" t="s">
        <v>194</v>
      </c>
      <c r="U18" s="54" t="s">
        <v>195</v>
      </c>
    </row>
    <row r="19" spans="1:22" ht="20.100000000000001" customHeight="1" x14ac:dyDescent="0.25">
      <c r="A19" s="17" t="str">
        <f>HYPERLINK("#'4.3.1.12-13 Soil leach runoff'!A1", "4.3.1.12-13 Soil leach &amp; runoff")</f>
        <v>4.3.1.12-13 Soil leach &amp; runoff</v>
      </c>
      <c r="D19" s="55" t="str">
        <f>'Input - Dairy'!$D$66</f>
        <v>Milking shed</v>
      </c>
      <c r="E19" s="55" t="str">
        <f>'Input - Dairy'!$D$85</f>
        <v>Anaerobic lagoon</v>
      </c>
      <c r="F19" s="55">
        <f>'4.3.1.3-4 Direct N20'!$F$243</f>
        <v>225.23093614885443</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Dairy'!$D$85</f>
        <v>Anaerobic lagoon</v>
      </c>
      <c r="Q19" s="55">
        <f>'4.3.1.3-4 Direct N20'!$P$243</f>
        <v>225.23093614885443</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225.23093614885443</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225.23093614885443</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Dairy'!$D$87</f>
        <v>Drains to paddock</v>
      </c>
      <c r="F21" s="55">
        <f>'4.3.1.3-4 Direct N20'!$F$245</f>
        <v>225.23093614885443</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Dairy'!$D$87</f>
        <v>Drains to paddock</v>
      </c>
      <c r="Q21" s="55">
        <f>'4.3.1.3-4 Direct N20'!$P$245</f>
        <v>225.23093614885443</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412</v>
      </c>
      <c r="F22" s="55">
        <f>'4.3.1.3-4 Direct N20'!$F$246</f>
        <v>450.46187229770879</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412</v>
      </c>
      <c r="Q22" s="55">
        <f>'4.3.1.3-4 Direct N20'!$P$246</f>
        <v>450.46187229770879</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Dairy'!$D$101</f>
        <v>Anaerobic lagoon</v>
      </c>
      <c r="F23" s="55">
        <f>'4.3.1.3-4 Direct N20'!$F$247</f>
        <v>911.16151442036551</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Dairy'!$D$101</f>
        <v>Anaerobic lagoon</v>
      </c>
      <c r="Q23" s="55">
        <f>'4.3.1.3-4 Direct N20'!$P$247</f>
        <v>911.16151442036551</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Dairy'!$D$102</f>
        <v>Sump and dispersal system</v>
      </c>
      <c r="F24" s="55">
        <f>'4.3.1.3-4 Direct N20'!$F$248</f>
        <v>728.92921153629243</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Dairy'!$D$102</f>
        <v>Sump and dispersal system</v>
      </c>
      <c r="Q24" s="55">
        <f>'4.3.1.3-4 Direct N20'!$P$248</f>
        <v>728.92921153629243</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Dairy'!$D$103</f>
        <v>Drains to paddock</v>
      </c>
      <c r="F25" s="55">
        <f>'4.3.1.3-4 Direct N20'!$F$249</f>
        <v>728.92921153629243</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Dairy'!$D$103</f>
        <v>Drains to paddock</v>
      </c>
      <c r="Q25" s="55">
        <f>'4.3.1.3-4 Direct N20'!$P$249</f>
        <v>728.92921153629243</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412</v>
      </c>
      <c r="F26" s="55">
        <f>'4.3.1.3-4 Direct N20'!$F$250</f>
        <v>1275.6261201885115</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412</v>
      </c>
      <c r="Q26" s="55">
        <f>'4.3.1.3-4 Direct N20'!$P$250</f>
        <v>1275.6261201885115</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324</v>
      </c>
    </row>
    <row r="29" spans="1:22" ht="20.100000000000001" customHeight="1" x14ac:dyDescent="0.25">
      <c r="D29" s="103" t="s">
        <v>326</v>
      </c>
    </row>
    <row r="30" spans="1:22" ht="20.100000000000001" customHeight="1" x14ac:dyDescent="0.25">
      <c r="D30" s="54" t="s">
        <v>69</v>
      </c>
      <c r="E30" s="54" t="s">
        <v>325</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327</v>
      </c>
      <c r="O37" s="104" t="s">
        <v>329</v>
      </c>
    </row>
    <row r="38" spans="4:22" ht="20.100000000000001" customHeight="1" x14ac:dyDescent="0.25">
      <c r="D38" s="103" t="s">
        <v>328</v>
      </c>
      <c r="O38" s="103" t="s">
        <v>330</v>
      </c>
    </row>
    <row r="39" spans="4:22" ht="20.100000000000001" customHeight="1" x14ac:dyDescent="0.25">
      <c r="D39" s="54" t="s">
        <v>149</v>
      </c>
      <c r="E39" s="54" t="s">
        <v>69</v>
      </c>
      <c r="F39" s="54" t="s">
        <v>175</v>
      </c>
      <c r="G39" s="54" t="s">
        <v>192</v>
      </c>
      <c r="H39" s="54" t="s">
        <v>193</v>
      </c>
      <c r="I39" s="54" t="s">
        <v>194</v>
      </c>
      <c r="J39" s="54" t="s">
        <v>195</v>
      </c>
      <c r="O39" s="54" t="s">
        <v>149</v>
      </c>
      <c r="P39" s="54" t="s">
        <v>69</v>
      </c>
      <c r="Q39" s="54" t="s">
        <v>175</v>
      </c>
      <c r="R39" s="54" t="s">
        <v>192</v>
      </c>
      <c r="S39" s="54" t="s">
        <v>193</v>
      </c>
      <c r="T39" s="54" t="s">
        <v>194</v>
      </c>
      <c r="U39" s="54" t="s">
        <v>195</v>
      </c>
    </row>
    <row r="40" spans="4:22" ht="20.100000000000001" customHeight="1" x14ac:dyDescent="0.25">
      <c r="D40" s="55" t="str">
        <f>'Input - Dairy'!$D$66</f>
        <v>Milking shed</v>
      </c>
      <c r="E40" s="55" t="str">
        <f>'Input - Dairy'!$D$85</f>
        <v>Anaerobic lagoon</v>
      </c>
      <c r="F40" s="55" cm="1">
        <f t="array" ref="F40">MMS_Dairy_AtmosphericDeposition_Equations.VEERG_4_3_1_5__2_TotalNitrogenVolatilisedFromMMS(F19,$E32)</f>
        <v>78.830827652099046</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Dairy'!$D$66</f>
        <v>Milking shed</v>
      </c>
      <c r="P40" s="55" t="str">
        <f>'Input - Dairy'!$D$85</f>
        <v>Anaerobic lagoon</v>
      </c>
      <c r="Q40" s="55" cm="1">
        <f t="array" ref="Q40">MMS_Dairy_AtmosphericDeposition_Equations.VEERG_4_3_1_5__2_TotalNitrogenVolatilisedFromMMS(Q19,$E32)</f>
        <v>78.830827652099046</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15.766165530419812</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15.766165530419812</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Dairy'!$D$87</f>
        <v>Drains to paddock</v>
      </c>
      <c r="F42" s="55" cm="1">
        <f t="array" ref="F42">MMS_Dairy_AtmosphericDeposition_Equations.VEERG_4_3_1_5__2_TotalNitrogenVolatilisedFromMMS(F21,$E34)</f>
        <v>45.046187229770887</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Dairy'!$D$87</f>
        <v>Drains to paddock</v>
      </c>
      <c r="Q42" s="55" cm="1">
        <f t="array" ref="Q42">MMS_Dairy_AtmosphericDeposition_Equations.VEERG_4_3_1_5__2_TotalNitrogenVolatilisedFromMMS(Q21,$E34)</f>
        <v>45.046187229770887</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412</v>
      </c>
      <c r="F43" s="55" cm="1">
        <f t="array" ref="F43">MMS_Dairy_AtmosphericDeposition_Equations.VEERG_4_3_1_5__2_TotalNitrogenVolatilisedFromMMS(F22,$E35)</f>
        <v>135.13856168931264</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Dairy'!$D$66</f>
        <v>Milking shed</v>
      </c>
      <c r="P43" s="55" t="s">
        <v>412</v>
      </c>
      <c r="Q43" s="55" cm="1">
        <f t="array" ref="Q43">MMS_Dairy_AtmosphericDeposition_Equations.VEERG_4_3_1_5__2_TotalNitrogenVolatilisedFromMMS(Q22,$E35)</f>
        <v>135.13856168931264</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Dairy'!$D$67</f>
        <v>Feed pad</v>
      </c>
      <c r="E44" s="55" t="str">
        <f>'Input - Dairy'!$D$101</f>
        <v>Anaerobic lagoon</v>
      </c>
      <c r="F44" s="55" cm="1">
        <f t="array" ref="F44">MMS_Dairy_AtmosphericDeposition_Equations.VEERG_4_3_1_5__2_TotalNitrogenVolatilisedFromMMS(F23, $E32)</f>
        <v>318.90653004712789</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Dairy'!$D$67</f>
        <v>Feed pad</v>
      </c>
      <c r="P44" s="55" t="str">
        <f>'Input - Dairy'!$D$101</f>
        <v>Anaerobic lagoon</v>
      </c>
      <c r="Q44" s="55" cm="1">
        <f t="array" ref="Q44">MMS_Dairy_AtmosphericDeposition_Equations.VEERG_4_3_1_5__2_TotalNitrogenVolatilisedFromMMS(Q23, $E32)</f>
        <v>318.90653004712789</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Dairy'!$D$67</f>
        <v>Feed pad</v>
      </c>
      <c r="E45" s="55" t="str">
        <f>'Input - Dairy'!$D$102</f>
        <v>Sump and dispersal system</v>
      </c>
      <c r="F45" s="55" cm="1">
        <f t="array" ref="F45">MMS_Dairy_AtmosphericDeposition_Equations.VEERG_4_3_1_5__2_TotalNitrogenVolatilisedFromMMS(F24, $E33)</f>
        <v>51.025044807540475</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Dairy'!$D$102</f>
        <v>Sump and dispersal system</v>
      </c>
      <c r="Q45" s="55" cm="1">
        <f t="array" ref="Q45">MMS_Dairy_AtmosphericDeposition_Equations.VEERG_4_3_1_5__2_TotalNitrogenVolatilisedFromMMS(Q24, $E33)</f>
        <v>51.025044807540475</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Dairy'!$D$103</f>
        <v>Drains to paddock</v>
      </c>
      <c r="F46" s="55" cm="1">
        <f t="array" ref="F46">MMS_Dairy_AtmosphericDeposition_Equations.VEERG_4_3_1_5__2_TotalNitrogenVolatilisedFromMMS(F25, $E34)</f>
        <v>145.78584230725849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Dairy'!$D$103</f>
        <v>Drains to paddock</v>
      </c>
      <c r="Q46" s="55" cm="1">
        <f t="array" ref="Q46">MMS_Dairy_AtmosphericDeposition_Equations.VEERG_4_3_1_5__2_TotalNitrogenVolatilisedFromMMS(Q25, $E34)</f>
        <v>145.78584230725849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412</v>
      </c>
      <c r="F47" s="55" cm="1">
        <f t="array" ref="F47">MMS_Dairy_AtmosphericDeposition_Equations.VEERG_4_3_1_5__2_TotalNitrogenVolatilisedFromMMS(F26, $E35)</f>
        <v>382.68783605655346</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Dairy'!$D$67</f>
        <v>Feed pad</v>
      </c>
      <c r="P47" s="55" t="s">
        <v>412</v>
      </c>
      <c r="Q47" s="55" cm="1">
        <f t="array" ref="Q47">MMS_Dairy_AtmosphericDeposition_Equations.VEERG_4_3_1_5__2_TotalNitrogenVolatilisedFromMMS(Q26, $E35)</f>
        <v>382.68783605655346</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386</v>
      </c>
      <c r="E49" s="48">
        <f>SUM(F40:J47)</f>
        <v>4195.2551692310672</v>
      </c>
      <c r="F49" s="112" t="str">
        <f>$E$11</f>
        <v>kg N</v>
      </c>
      <c r="O49" s="118" t="s">
        <v>386</v>
      </c>
      <c r="P49" s="48">
        <f>SUM(Q40:U47)</f>
        <v>4195.2551692310672</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428</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4195.2551692310672</v>
      </c>
      <c r="O61" s="60" t="str">
        <f>D61</f>
        <v>MN_ATMOS</v>
      </c>
      <c r="P61" s="61" t="str">
        <f>E61</f>
        <v>mass of N volatilised from MMS</v>
      </c>
      <c r="Q61" s="62"/>
      <c r="R61" s="60">
        <f>$P$49</f>
        <v>4195.2551692310672</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Dairy'!$E$109</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Dairy'!$E$110</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331</v>
      </c>
      <c r="E68" s="109" cm="1">
        <f t="array" ref="E68">MMS_Dairy_AtmosphericDeposition_Equations.VEERG_4_3_1_5__1_AnnualAtmosphericDepositionEmissionsFromMMS($I$61,$I$62,$I$63)</f>
        <v>3.889600864044232E-2</v>
      </c>
      <c r="F68" s="110" t="str">
        <f>$E$59</f>
        <v>t N2O</v>
      </c>
      <c r="O68" s="108" t="s">
        <v>331</v>
      </c>
      <c r="P68" s="109" cm="1">
        <f t="array" ref="P68">MMS_Dairy_AtmosphericDeposition_Equations.VEERG_4_3_1_5__1_AnnualAtmosphericDepositionEmissionsFromMMS($R$61,$I$62,$I$63)</f>
        <v>3.889600864044232E-2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3.889600864044232E-2</v>
      </c>
      <c r="O70" s="60" t="str" cm="1">
        <f t="array" ref="O70:P71">Common_Equations.Common_ConvertN2OToCO2e_Arguments()</f>
        <v>EN2O</v>
      </c>
      <c r="P70" s="61" t="str">
        <v>Nitrous oxide emissions (t N2O)</v>
      </c>
      <c r="Q70" s="111"/>
      <c r="R70" s="55">
        <f>P68</f>
        <v>3.889600864044232E-2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111</v>
      </c>
      <c r="E73" s="48" cm="1">
        <f t="array" ref="E73">Common_Equations.Common_ConvertN2OToCO2e(G70,G71)</f>
        <v>10.307442289717216</v>
      </c>
      <c r="F73" s="112" t="str" cm="1">
        <f t="array" ref="F73">Common_Equations.Common_ConvertN2OToCO2e_Unit()</f>
        <v>t CO2e</v>
      </c>
      <c r="O73" s="48" t="s">
        <v>111</v>
      </c>
      <c r="P73" s="48" cm="1">
        <f t="array" ref="P73">Common_Equations.Common_ConvertN2OToCO2e(R70,R71)</f>
        <v>10.307442289717216</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5" workbookViewId="0">
      <selection activeCell="D5" sqref="D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358</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Dairy'!$D$209</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Dairy'!$E$109</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Dairy'!$E$110</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333</v>
      </c>
      <c r="O20" s="104" t="s">
        <v>335</v>
      </c>
    </row>
    <row r="21" spans="1:22" ht="20.100000000000001" customHeight="1" x14ac:dyDescent="0.25">
      <c r="A21" s="18" t="s">
        <v>4</v>
      </c>
      <c r="D21" s="103" t="s">
        <v>334</v>
      </c>
      <c r="O21" s="103" t="s">
        <v>336</v>
      </c>
    </row>
    <row r="22" spans="1:22" ht="20.100000000000001" customHeight="1" x14ac:dyDescent="0.25">
      <c r="A22" s="17" t="str">
        <f>HYPERLINK("#'Constants - Dairy'!A1", "Constants - Dairy")</f>
        <v>Constants - Dairy</v>
      </c>
      <c r="D22" s="54" t="s">
        <v>149</v>
      </c>
      <c r="E22" s="54" t="s">
        <v>69</v>
      </c>
      <c r="F22" s="54" t="s">
        <v>175</v>
      </c>
      <c r="G22" s="54" t="s">
        <v>192</v>
      </c>
      <c r="H22" s="54" t="s">
        <v>193</v>
      </c>
      <c r="I22" s="54" t="s">
        <v>194</v>
      </c>
      <c r="J22" s="54" t="s">
        <v>195</v>
      </c>
      <c r="O22" s="54" t="s">
        <v>149</v>
      </c>
      <c r="P22" s="54" t="s">
        <v>69</v>
      </c>
      <c r="Q22" s="54" t="s">
        <v>175</v>
      </c>
      <c r="R22" s="54" t="s">
        <v>192</v>
      </c>
      <c r="S22" s="54" t="s">
        <v>193</v>
      </c>
      <c r="T22" s="54" t="s">
        <v>194</v>
      </c>
      <c r="U22" s="54" t="s">
        <v>195</v>
      </c>
    </row>
    <row r="23" spans="1:22" ht="20.100000000000001" customHeight="1" x14ac:dyDescent="0.25">
      <c r="A23" s="17" t="str">
        <f>HYPERLINK("#'Constants - Livestock'!A1", "Constants - Livestock")</f>
        <v>Constants - Livestock</v>
      </c>
      <c r="D23" s="55" t="str">
        <f>'Input - Dairy'!$D$66</f>
        <v>Milking shed</v>
      </c>
      <c r="E23" s="55" t="s">
        <v>412</v>
      </c>
      <c r="F23" s="55">
        <f>'4.3.1.3-4 Direct N20'!F246</f>
        <v>450.46187229770879</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412</v>
      </c>
      <c r="Q23" s="55">
        <f>'4.3.1.3-4 Direct N20'!P246</f>
        <v>450.46187229770879</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412</v>
      </c>
      <c r="F24" s="55">
        <f>'4.3.1.3-4 Direct N20'!F250</f>
        <v>1275.6261201885115</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412</v>
      </c>
      <c r="Q24" s="55">
        <f>'4.3.1.3-4 Direct N20'!P250</f>
        <v>1275.6261201885115</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338</v>
      </c>
      <c r="O26" s="104" t="s">
        <v>339</v>
      </c>
    </row>
    <row r="27" spans="1:22" ht="20.100000000000001" customHeight="1" x14ac:dyDescent="0.25">
      <c r="D27" s="103" t="s">
        <v>337</v>
      </c>
      <c r="O27" s="103" t="s">
        <v>340</v>
      </c>
    </row>
    <row r="28" spans="1:22" ht="20.100000000000001" customHeight="1" x14ac:dyDescent="0.25">
      <c r="D28" s="54" t="s">
        <v>149</v>
      </c>
      <c r="E28" s="54" t="s">
        <v>69</v>
      </c>
      <c r="F28" s="54" t="s">
        <v>175</v>
      </c>
      <c r="G28" s="54" t="s">
        <v>192</v>
      </c>
      <c r="H28" s="54" t="s">
        <v>193</v>
      </c>
      <c r="I28" s="54" t="s">
        <v>194</v>
      </c>
      <c r="J28" s="54" t="s">
        <v>195</v>
      </c>
      <c r="O28" s="54" t="s">
        <v>149</v>
      </c>
      <c r="P28" s="54" t="s">
        <v>69</v>
      </c>
      <c r="Q28" s="54" t="s">
        <v>175</v>
      </c>
      <c r="R28" s="54" t="s">
        <v>192</v>
      </c>
      <c r="S28" s="54" t="s">
        <v>193</v>
      </c>
      <c r="T28" s="54" t="s">
        <v>194</v>
      </c>
      <c r="U28" s="54" t="s">
        <v>195</v>
      </c>
    </row>
    <row r="29" spans="1:22" ht="20.100000000000001" customHeight="1" x14ac:dyDescent="0.25">
      <c r="D29" s="55" t="str">
        <f>'Input - Dairy'!$D$66</f>
        <v>Milking shed</v>
      </c>
      <c r="E29" s="55" t="s">
        <v>412</v>
      </c>
      <c r="F29" s="55" cm="1">
        <f t="array" ref="F29">MMS_Dairy_LeachingAndRunoff_Equations.VEERG_4_3_1_6__2_MassOfNitrogenLostToLeachingAndRunoffFromSolidStorage(F23,$J$14,$J$15)</f>
        <v>9.0092374459541755</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Dairy'!$D$66</f>
        <v>Milking shed</v>
      </c>
      <c r="P29" s="55" t="s">
        <v>412</v>
      </c>
      <c r="Q29" s="55" cm="1">
        <f t="array" ref="Q29">MMS_Dairy_LeachingAndRunoff_Equations.VEERG_4_3_1_6__2_MassOfNitrogenLostToLeachingAndRunoffFromSolidStorage(Q23,$J$14,$J$15)</f>
        <v>9.0092374459541755</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Dairy'!$D$67</f>
        <v>Feed pad</v>
      </c>
      <c r="E30" s="55" t="s">
        <v>412</v>
      </c>
      <c r="F30" s="55" cm="1">
        <f t="array" ref="F30">MMS_Dairy_LeachingAndRunoff_Equations.VEERG_4_3_1_6__2_MassOfNitrogenLostToLeachingAndRunoffFromSolidStorage(F24,$J$14,$J$15)</f>
        <v>25.51252240377023</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Dairy'!$D$67</f>
        <v>Feed pad</v>
      </c>
      <c r="P30" s="55" t="s">
        <v>412</v>
      </c>
      <c r="Q30" s="55" cm="1">
        <f t="array" ref="Q30">MMS_Dairy_LeachingAndRunoff_Equations.VEERG_4_3_1_6__2_MassOfNitrogenLostToLeachingAndRunoffFromSolidStorage(Q24,$J$14,$J$15)</f>
        <v>25.51252240377023</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341</v>
      </c>
      <c r="O46" s="104" t="s">
        <v>343</v>
      </c>
    </row>
    <row r="47" spans="3:23" ht="20.100000000000001" customHeight="1" x14ac:dyDescent="0.25">
      <c r="D47" s="103" t="s">
        <v>342</v>
      </c>
      <c r="O47" s="103" t="s">
        <v>344</v>
      </c>
    </row>
    <row r="48" spans="3:23" ht="20.100000000000001" customHeight="1" x14ac:dyDescent="0.25">
      <c r="D48" s="54" t="s">
        <v>149</v>
      </c>
      <c r="E48" s="54" t="s">
        <v>69</v>
      </c>
      <c r="F48" s="54" t="s">
        <v>175</v>
      </c>
      <c r="G48" s="54" t="s">
        <v>192</v>
      </c>
      <c r="H48" s="54" t="s">
        <v>193</v>
      </c>
      <c r="I48" s="54" t="s">
        <v>194</v>
      </c>
      <c r="J48" s="54" t="s">
        <v>195</v>
      </c>
      <c r="O48" s="54" t="s">
        <v>149</v>
      </c>
      <c r="P48" s="54" t="s">
        <v>69</v>
      </c>
      <c r="Q48" s="54" t="s">
        <v>175</v>
      </c>
      <c r="R48" s="54" t="s">
        <v>192</v>
      </c>
      <c r="S48" s="54" t="s">
        <v>193</v>
      </c>
      <c r="T48" s="54" t="s">
        <v>194</v>
      </c>
      <c r="U48" s="54" t="s">
        <v>195</v>
      </c>
    </row>
    <row r="49" spans="1:22" ht="20.100000000000001" customHeight="1" x14ac:dyDescent="0.25">
      <c r="D49" s="55" t="str">
        <f>'Input - Dairy'!$D$66</f>
        <v>Milking shed</v>
      </c>
      <c r="E49" s="55" t="s">
        <v>412</v>
      </c>
      <c r="F49" s="55" cm="1">
        <f t="array" ref="F49">MMS_Dairy_LeachingAndRunoff_Equations.VEERG_4_3_1_6__1_AnnualEmissionsFromLeachingAndRunoffFromMMS(F29,$I$43,$I$44)</f>
        <v>1.5573110442292215E-4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Dairy'!$D$66</f>
        <v>Milking shed</v>
      </c>
      <c r="P49" s="55" t="s">
        <v>412</v>
      </c>
      <c r="Q49" s="55" cm="1">
        <f t="array" ref="Q49">MMS_Dairy_LeachingAndRunoff_Equations.VEERG_4_3_1_6__1_AnnualEmissionsFromLeachingAndRunoffFromMMS(Q29,$I$43,$I$44)</f>
        <v>1.5573110442292215E-4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'Input - Dairy'!$D$67</f>
        <v>Feed pad</v>
      </c>
      <c r="E50" s="55" t="s">
        <v>412</v>
      </c>
      <c r="F50" s="55" cm="1">
        <f t="array" ref="F50">MMS_Dairy_LeachingAndRunoff_Equations.VEERG_4_3_1_6__1_AnnualEmissionsFromLeachingAndRunoffFromMMS(F30,$I$43,$I$44)</f>
        <v>4.4100217297945678E-4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Dairy'!$D$67</f>
        <v>Feed pad</v>
      </c>
      <c r="P50" s="55" t="s">
        <v>412</v>
      </c>
      <c r="Q50" s="55" cm="1">
        <f t="array" ref="Q50">MMS_Dairy_LeachingAndRunoff_Equations.VEERG_4_3_1_6__1_AnnualEmissionsFromLeachingAndRunoffFromMMS(Q30,$I$43,$I$44)</f>
        <v>4.4100217297945678E-4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331</v>
      </c>
      <c r="E52" s="109">
        <f>SUM(F49:J50)</f>
        <v>2.1338869052085823E-3</v>
      </c>
      <c r="F52" s="110" t="str">
        <f>$E$40</f>
        <v>t N2O</v>
      </c>
      <c r="O52" s="108" t="s">
        <v>331</v>
      </c>
      <c r="P52" s="109">
        <f>SUM(Q49:U50)</f>
        <v>2.1338869052085823E-3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2.1338869052085823E-3</v>
      </c>
      <c r="O54" s="60" t="str" cm="1">
        <f t="array" ref="O54:P55">Common_Equations.Common_ConvertN2OToCO2e_Arguments()</f>
        <v>EN2O</v>
      </c>
      <c r="P54" s="61" t="str">
        <v>Nitrous oxide emissions (t N2O)</v>
      </c>
      <c r="Q54" s="111"/>
      <c r="R54" s="55">
        <f>P$52</f>
        <v>2.1338869052085823E-3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111</v>
      </c>
      <c r="E57" s="48" cm="1">
        <f t="array" ref="E57">Common_Equations.Common_ConvertN2OToCO2e(G54,G55)</f>
        <v>0.56548002988027435</v>
      </c>
      <c r="F57" s="112" t="str" cm="1">
        <f t="array" ref="F57">Common_Equations.Common_ConvertN2OToCO2e_Unit()</f>
        <v>t CO2e</v>
      </c>
      <c r="O57" s="48" t="s">
        <v>111</v>
      </c>
      <c r="P57" s="48" cm="1">
        <f t="array" ref="P57">Common_Equations.Common_ConvertN2OToCO2e(R54,R55)</f>
        <v>0.56548002988027435</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H119" zoomScaleNormal="100" workbookViewId="0">
      <selection activeCell="P146" sqref="P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345</v>
      </c>
      <c r="M1" s="132"/>
    </row>
    <row r="2" spans="1:23" s="9" customFormat="1" ht="20.100000000000001" customHeight="1" x14ac:dyDescent="0.25">
      <c r="M2" s="132"/>
    </row>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318</v>
      </c>
    </row>
    <row r="20" spans="1:9" ht="20.100000000000001" customHeight="1" x14ac:dyDescent="0.25">
      <c r="A20" s="17"/>
      <c r="D20" s="103" t="s">
        <v>319</v>
      </c>
    </row>
    <row r="21" spans="1:9" ht="20.100000000000001" customHeight="1" x14ac:dyDescent="0.25">
      <c r="A21" s="18" t="s">
        <v>4</v>
      </c>
      <c r="D21" s="54" t="s">
        <v>69</v>
      </c>
      <c r="E21" s="54" t="s">
        <v>320</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324</v>
      </c>
    </row>
    <row r="29" spans="1:9" ht="20.100000000000001" customHeight="1" x14ac:dyDescent="0.25">
      <c r="D29" s="103" t="s">
        <v>326</v>
      </c>
    </row>
    <row r="30" spans="1:9" ht="20.100000000000001" customHeight="1" x14ac:dyDescent="0.25">
      <c r="D30" s="54" t="s">
        <v>69</v>
      </c>
      <c r="E30" s="54" t="s">
        <v>325</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314</v>
      </c>
      <c r="M37"/>
      <c r="O37" s="104" t="s">
        <v>317</v>
      </c>
    </row>
    <row r="38" spans="1:22" ht="20.100000000000001" customHeight="1" x14ac:dyDescent="0.25">
      <c r="D38" s="103" t="s">
        <v>315</v>
      </c>
      <c r="M38"/>
      <c r="O38" s="103" t="s">
        <v>316</v>
      </c>
    </row>
    <row r="39" spans="1:22" ht="20.100000000000001" customHeight="1" x14ac:dyDescent="0.25">
      <c r="A39" s="141" t="str">
        <f>HYPERLINK("#A1", "▲ Back to top")</f>
        <v>▲ Back to top</v>
      </c>
      <c r="D39" s="54" t="s">
        <v>149</v>
      </c>
      <c r="E39" s="54" t="s">
        <v>69</v>
      </c>
      <c r="F39" s="54" t="s">
        <v>175</v>
      </c>
      <c r="G39" s="54" t="s">
        <v>192</v>
      </c>
      <c r="H39" s="54" t="s">
        <v>193</v>
      </c>
      <c r="I39" s="54" t="s">
        <v>194</v>
      </c>
      <c r="J39" s="54" t="s">
        <v>195</v>
      </c>
      <c r="M39"/>
      <c r="O39" s="54" t="s">
        <v>149</v>
      </c>
      <c r="P39" s="54" t="s">
        <v>69</v>
      </c>
      <c r="Q39" s="54" t="s">
        <v>175</v>
      </c>
      <c r="R39" s="54" t="s">
        <v>192</v>
      </c>
      <c r="S39" s="54" t="s">
        <v>193</v>
      </c>
      <c r="T39" s="54" t="s">
        <v>194</v>
      </c>
      <c r="U39" s="54" t="s">
        <v>195</v>
      </c>
    </row>
    <row r="40" spans="1:22" ht="20.100000000000001" customHeight="1" x14ac:dyDescent="0.25">
      <c r="D40" s="55" t="str">
        <f>'Input - Dairy'!$D$66</f>
        <v>Milking shed</v>
      </c>
      <c r="E40" s="55" t="str">
        <f>'Input - Dairy'!$D$85</f>
        <v>Anaerobic lagoon</v>
      </c>
      <c r="F40" s="55">
        <f>'4.3.1.3-4 Direct N20'!F243</f>
        <v>225.23093614885443</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Dairy'!$D$85</f>
        <v>Anaerobic lagoon</v>
      </c>
      <c r="Q40" s="55">
        <f>'4.3.1.3-4 Direct N20'!P243</f>
        <v>225.23093614885443</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225.23093614885443</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225.23093614885443</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Dairy'!$D$87</f>
        <v>Drains to paddock</v>
      </c>
      <c r="F42" s="55">
        <f>'4.3.1.3-4 Direct N20'!F245</f>
        <v>225.23093614885443</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Dairy'!$D$87</f>
        <v>Drains to paddock</v>
      </c>
      <c r="Q42" s="55">
        <f>'4.3.1.3-4 Direct N20'!P245</f>
        <v>225.23093614885443</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412</v>
      </c>
      <c r="F43" s="55">
        <f>'4.3.1.3-4 Direct N20'!F246</f>
        <v>450.46187229770879</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412</v>
      </c>
      <c r="Q43" s="55">
        <f>'4.3.1.3-4 Direct N20'!P246</f>
        <v>450.46187229770879</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Dairy'!$D$101</f>
        <v>Anaerobic lagoon</v>
      </c>
      <c r="F44" s="55">
        <f>'4.3.1.3-4 Direct N20'!F247</f>
        <v>911.16151442036551</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Dairy'!$D$101</f>
        <v>Anaerobic lagoon</v>
      </c>
      <c r="Q44" s="55">
        <f>'4.3.1.3-4 Direct N20'!P247</f>
        <v>911.16151442036551</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Dairy'!$D$102</f>
        <v>Sump and dispersal system</v>
      </c>
      <c r="F45" s="55">
        <f>'4.3.1.3-4 Direct N20'!F248</f>
        <v>728.92921153629243</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Dairy'!$D$102</f>
        <v>Sump and dispersal system</v>
      </c>
      <c r="Q45" s="55">
        <f>'4.3.1.3-4 Direct N20'!P248</f>
        <v>728.92921153629243</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Dairy'!$D$103</f>
        <v>Drains to paddock</v>
      </c>
      <c r="F46" s="55">
        <f>'4.3.1.3-4 Direct N20'!F249</f>
        <v>728.92921153629243</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Dairy'!$D$103</f>
        <v>Drains to paddock</v>
      </c>
      <c r="Q46" s="55">
        <f>'4.3.1.3-4 Direct N20'!P249</f>
        <v>728.92921153629243</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412</v>
      </c>
      <c r="F47" s="55">
        <f>'4.3.1.3-4 Direct N20'!F250</f>
        <v>1275.6261201885115</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412</v>
      </c>
      <c r="Q47" s="55">
        <f>'4.3.1.3-4 Direct N20'!P250</f>
        <v>1275.6261201885115</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404</v>
      </c>
      <c r="O49" s="104" t="s">
        <v>402</v>
      </c>
    </row>
    <row r="50" spans="4:22" ht="20.100000000000001" customHeight="1" x14ac:dyDescent="0.25">
      <c r="D50" s="103" t="s">
        <v>405</v>
      </c>
      <c r="O50" s="103" t="s">
        <v>403</v>
      </c>
    </row>
    <row r="51" spans="4:22" ht="20.100000000000001" customHeight="1" x14ac:dyDescent="0.25">
      <c r="D51" s="54" t="s">
        <v>149</v>
      </c>
      <c r="E51" s="54" t="s">
        <v>69</v>
      </c>
      <c r="F51" s="54" t="s">
        <v>175</v>
      </c>
      <c r="G51" s="54" t="s">
        <v>192</v>
      </c>
      <c r="H51" s="54" t="s">
        <v>193</v>
      </c>
      <c r="I51" s="54" t="s">
        <v>194</v>
      </c>
      <c r="J51" s="54" t="s">
        <v>195</v>
      </c>
      <c r="O51" s="54" t="s">
        <v>149</v>
      </c>
      <c r="P51" s="54" t="s">
        <v>69</v>
      </c>
      <c r="Q51" s="54" t="s">
        <v>175</v>
      </c>
      <c r="R51" s="54" t="s">
        <v>192</v>
      </c>
      <c r="S51" s="54" t="s">
        <v>193</v>
      </c>
      <c r="T51" s="54" t="s">
        <v>194</v>
      </c>
      <c r="U51" s="54" t="s">
        <v>195</v>
      </c>
    </row>
    <row r="52" spans="4:22" ht="20.100000000000001" customHeight="1" x14ac:dyDescent="0.25">
      <c r="D52" s="55" t="str">
        <f>'Input - Dairy'!$D$66</f>
        <v>Milking shed</v>
      </c>
      <c r="E52" s="55" t="str">
        <f>'Input - Dairy'!$D$85</f>
        <v>Anaerobic lagoon</v>
      </c>
      <c r="F52" s="55">
        <v>0</v>
      </c>
      <c r="G52" s="55">
        <v>0</v>
      </c>
      <c r="H52" s="55">
        <v>0</v>
      </c>
      <c r="I52" s="55">
        <v>0</v>
      </c>
      <c r="J52" s="55">
        <v>0</v>
      </c>
      <c r="K52" s="2" t="str">
        <f>$G$16</f>
        <v>kg N</v>
      </c>
      <c r="O52" s="55" t="str">
        <f>'Input - Dairy'!$D$66</f>
        <v>Milking shed</v>
      </c>
      <c r="P52" s="55" t="str">
        <f>'Input - Dairy'!$D$85</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Dairy'!$D$87</f>
        <v>Drains to paddock</v>
      </c>
      <c r="F54" s="55">
        <v>0</v>
      </c>
      <c r="G54" s="55">
        <v>0</v>
      </c>
      <c r="H54" s="55">
        <v>0</v>
      </c>
      <c r="I54" s="55">
        <v>0</v>
      </c>
      <c r="J54" s="55">
        <v>0</v>
      </c>
      <c r="K54" s="2"/>
      <c r="O54" s="55" t="str">
        <f>'Input - Dairy'!$D$66</f>
        <v>Milking shed</v>
      </c>
      <c r="P54" s="55" t="str">
        <f>'Input - Dairy'!$D$87</f>
        <v>Drains to paddock</v>
      </c>
      <c r="Q54" s="55">
        <v>0</v>
      </c>
      <c r="R54" s="55">
        <v>0</v>
      </c>
      <c r="S54" s="55">
        <v>0</v>
      </c>
      <c r="T54" s="55">
        <v>0</v>
      </c>
      <c r="U54" s="55">
        <v>0</v>
      </c>
      <c r="V54" s="2"/>
    </row>
    <row r="55" spans="4:22" ht="20.100000000000001" customHeight="1" x14ac:dyDescent="0.25">
      <c r="D55" s="55" t="str">
        <f>'Input - Dairy'!$D$66</f>
        <v>Milking shed</v>
      </c>
      <c r="E55" s="55" t="s">
        <v>412</v>
      </c>
      <c r="F55" s="55">
        <f>'4.3.1.6-7 Leaching and runoff'!F29</f>
        <v>9.0092374459541755</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412</v>
      </c>
      <c r="Q55" s="55">
        <f>'4.3.1.6-7 Leaching and runoff'!Q29</f>
        <v>9.0092374459541755</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Dairy'!$D$101</f>
        <v>Anaerobic lagoon</v>
      </c>
      <c r="F56" s="55">
        <v>0</v>
      </c>
      <c r="G56" s="55">
        <v>0</v>
      </c>
      <c r="H56" s="55">
        <v>0</v>
      </c>
      <c r="I56" s="55">
        <v>0</v>
      </c>
      <c r="J56" s="55">
        <v>0</v>
      </c>
      <c r="K56" s="2"/>
      <c r="O56" s="55" t="str">
        <f>'Input - Dairy'!$D$67</f>
        <v>Feed pad</v>
      </c>
      <c r="P56" s="55" t="str">
        <f>'Input - Dairy'!$D$101</f>
        <v>Anaerobic lagoon</v>
      </c>
      <c r="Q56" s="55">
        <v>0</v>
      </c>
      <c r="R56" s="55">
        <v>0</v>
      </c>
      <c r="S56" s="55">
        <v>0</v>
      </c>
      <c r="T56" s="55">
        <v>0</v>
      </c>
      <c r="U56" s="55">
        <v>0</v>
      </c>
      <c r="V56" s="2"/>
    </row>
    <row r="57" spans="4:22" ht="20.100000000000001" customHeight="1" x14ac:dyDescent="0.25">
      <c r="D57" s="55" t="str">
        <f>'Input - Dairy'!$D$67</f>
        <v>Feed pad</v>
      </c>
      <c r="E57" s="55" t="str">
        <f>'Input - Dairy'!$D$102</f>
        <v>Sump and dispersal system</v>
      </c>
      <c r="F57" s="55">
        <v>0</v>
      </c>
      <c r="G57" s="55">
        <v>0</v>
      </c>
      <c r="H57" s="55">
        <v>0</v>
      </c>
      <c r="I57" s="55">
        <v>0</v>
      </c>
      <c r="J57" s="55">
        <v>0</v>
      </c>
      <c r="K57" s="2"/>
      <c r="O57" s="55" t="str">
        <f>'Input - Dairy'!$D$67</f>
        <v>Feed pad</v>
      </c>
      <c r="P57" s="55" t="str">
        <f>'Input - Dairy'!$D$102</f>
        <v>Sump and dispersal system</v>
      </c>
      <c r="Q57" s="55">
        <v>0</v>
      </c>
      <c r="R57" s="55">
        <v>0</v>
      </c>
      <c r="S57" s="55">
        <v>0</v>
      </c>
      <c r="T57" s="55">
        <v>0</v>
      </c>
      <c r="U57" s="55">
        <v>0</v>
      </c>
      <c r="V57" s="2"/>
    </row>
    <row r="58" spans="4:22" ht="20.100000000000001" customHeight="1" x14ac:dyDescent="0.25">
      <c r="D58" s="55" t="str">
        <f>'Input - Dairy'!$D$67</f>
        <v>Feed pad</v>
      </c>
      <c r="E58" s="55" t="str">
        <f>'Input - Dairy'!$D$103</f>
        <v>Drains to paddock</v>
      </c>
      <c r="F58" s="55">
        <v>0</v>
      </c>
      <c r="G58" s="55">
        <v>0</v>
      </c>
      <c r="H58" s="55">
        <v>0</v>
      </c>
      <c r="I58" s="55">
        <v>0</v>
      </c>
      <c r="J58" s="55">
        <v>0</v>
      </c>
      <c r="K58" s="2"/>
      <c r="O58" s="55" t="str">
        <f>'Input - Dairy'!$D$67</f>
        <v>Feed pad</v>
      </c>
      <c r="P58" s="55" t="str">
        <f>'Input - Dairy'!$D$103</f>
        <v>Drains to paddock</v>
      </c>
      <c r="Q58" s="55">
        <v>0</v>
      </c>
      <c r="R58" s="55">
        <v>0</v>
      </c>
      <c r="S58" s="55">
        <v>0</v>
      </c>
      <c r="T58" s="55">
        <v>0</v>
      </c>
      <c r="U58" s="55">
        <v>0</v>
      </c>
      <c r="V58" s="2"/>
    </row>
    <row r="59" spans="4:22" ht="20.100000000000001" customHeight="1" x14ac:dyDescent="0.25">
      <c r="D59" s="55" t="str">
        <f>'Input - Dairy'!$D$67</f>
        <v>Feed pad</v>
      </c>
      <c r="E59" s="55" t="s">
        <v>412</v>
      </c>
      <c r="F59" s="55">
        <f>'4.3.1.6-7 Leaching and runoff'!F30</f>
        <v>25.51252240377023</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412</v>
      </c>
      <c r="Q59" s="55">
        <f>'4.3.1.6-7 Leaching and runoff'!Q30</f>
        <v>25.51252240377023</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346</v>
      </c>
    </row>
    <row r="62" spans="4:22" ht="20.100000000000001" customHeight="1" x14ac:dyDescent="0.25">
      <c r="D62" s="103" t="s">
        <v>347</v>
      </c>
    </row>
    <row r="63" spans="4:22" ht="20.100000000000001" customHeight="1" x14ac:dyDescent="0.25">
      <c r="D63" s="41" t="s">
        <v>149</v>
      </c>
      <c r="E63" s="41" t="s">
        <v>69</v>
      </c>
      <c r="F63" s="41" t="s">
        <v>443</v>
      </c>
    </row>
    <row r="64" spans="4:22" ht="20.100000000000001" customHeight="1" x14ac:dyDescent="0.25">
      <c r="D64" s="55" t="str">
        <f>'Input - Dairy'!$D$66</f>
        <v>Milking shed</v>
      </c>
      <c r="E64" s="55" t="str">
        <f>'Input - Dairy'!$D$85</f>
        <v>Anaerobic lagoon</v>
      </c>
      <c r="F64" s="55">
        <f>'Input - Dairy'!L85+'Input - Dairy'!M85</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Dairy'!$D$87</f>
        <v>Drains to paddock</v>
      </c>
      <c r="F66" s="55">
        <f>'Input - Dairy'!L87+'Input - Dairy'!M87</f>
        <v>0.75</v>
      </c>
      <c r="G66" s="2"/>
    </row>
    <row r="67" spans="4:22" ht="20.100000000000001" customHeight="1" x14ac:dyDescent="0.25">
      <c r="D67" s="55" t="str">
        <f>'Input - Dairy'!$D$66</f>
        <v>Milking shed</v>
      </c>
      <c r="E67" s="55" t="str">
        <f>'Input - Dairy'!$D$88</f>
        <v>Solid storage (before solid separation)</v>
      </c>
      <c r="F67" s="55">
        <f>'Input - Dairy'!L88+'Input - Dairy'!M88</f>
        <v>0.75</v>
      </c>
      <c r="G67" s="2"/>
    </row>
    <row r="68" spans="4:22" ht="20.100000000000001" customHeight="1" x14ac:dyDescent="0.25">
      <c r="D68" s="55" t="str">
        <f>'Input - Dairy'!$D$67</f>
        <v>Feed pad</v>
      </c>
      <c r="E68" s="55" t="str">
        <f>'Input - Dairy'!$D$101</f>
        <v>Anaerobic lagoon</v>
      </c>
      <c r="F68" s="55">
        <f>'Input - Dairy'!L101+'Input - Dairy'!M101</f>
        <v>0.75</v>
      </c>
      <c r="G68" s="2"/>
    </row>
    <row r="69" spans="4:22" ht="20.100000000000001" customHeight="1" x14ac:dyDescent="0.25">
      <c r="D69" s="55" t="str">
        <f>'Input - Dairy'!$D$67</f>
        <v>Feed pad</v>
      </c>
      <c r="E69" s="55" t="str">
        <f>'Input - Dairy'!$D$102</f>
        <v>Sump and dispersal system</v>
      </c>
      <c r="F69" s="55">
        <f>'Input - Dairy'!L102+'Input - Dairy'!M102</f>
        <v>0.75</v>
      </c>
      <c r="G69" s="2"/>
    </row>
    <row r="70" spans="4:22" ht="20.100000000000001" customHeight="1" x14ac:dyDescent="0.25">
      <c r="D70" s="55" t="str">
        <f>'Input - Dairy'!$D$67</f>
        <v>Feed pad</v>
      </c>
      <c r="E70" s="55" t="str">
        <f>'Input - Dairy'!$D$103</f>
        <v>Drains to paddock</v>
      </c>
      <c r="F70" s="55">
        <f>'Input - Dairy'!L103+'Input - Dairy'!M103</f>
        <v>0.75</v>
      </c>
      <c r="G70" s="2"/>
    </row>
    <row r="71" spans="4:22" ht="20.100000000000001" customHeight="1" x14ac:dyDescent="0.25">
      <c r="D71" s="55" t="str">
        <f>'Input - Dairy'!$D$67</f>
        <v>Feed pad</v>
      </c>
      <c r="E71" s="55" t="str">
        <f>'Input - Dairy'!$D$104</f>
        <v>Solid storage (before solid separation)</v>
      </c>
      <c r="F71" s="55">
        <f>'Input - Dairy'!L104+'Input - Dairy'!M104</f>
        <v>0.75</v>
      </c>
      <c r="G71" s="2"/>
    </row>
    <row r="72" spans="4:22" ht="20.100000000000001" customHeight="1" x14ac:dyDescent="0.25"/>
    <row r="73" spans="4:22" ht="20.100000000000001" customHeight="1" x14ac:dyDescent="0.25">
      <c r="D73" s="104" t="s">
        <v>348</v>
      </c>
      <c r="O73" s="104" t="s">
        <v>352</v>
      </c>
    </row>
    <row r="74" spans="4:22" ht="20.100000000000001" customHeight="1" x14ac:dyDescent="0.25">
      <c r="D74" s="103" t="s">
        <v>351</v>
      </c>
      <c r="O74" s="103" t="s">
        <v>353</v>
      </c>
    </row>
    <row r="75" spans="4:22" ht="20.100000000000001" customHeight="1" x14ac:dyDescent="0.25">
      <c r="D75" s="54" t="s">
        <v>149</v>
      </c>
      <c r="E75" s="54" t="s">
        <v>69</v>
      </c>
      <c r="F75" s="54" t="s">
        <v>175</v>
      </c>
      <c r="G75" s="54" t="s">
        <v>192</v>
      </c>
      <c r="H75" s="54" t="s">
        <v>193</v>
      </c>
      <c r="I75" s="54" t="s">
        <v>194</v>
      </c>
      <c r="J75" s="54" t="s">
        <v>195</v>
      </c>
      <c r="O75" s="54" t="s">
        <v>149</v>
      </c>
      <c r="P75" s="54" t="s">
        <v>69</v>
      </c>
      <c r="Q75" s="54" t="s">
        <v>175</v>
      </c>
      <c r="R75" s="54" t="s">
        <v>192</v>
      </c>
      <c r="S75" s="54" t="s">
        <v>193</v>
      </c>
      <c r="T75" s="54" t="s">
        <v>194</v>
      </c>
      <c r="U75" s="54" t="s">
        <v>195</v>
      </c>
    </row>
    <row r="76" spans="4:22" ht="20.100000000000001" customHeight="1" x14ac:dyDescent="0.25">
      <c r="D76" s="55" t="str">
        <f>'Input - Dairy'!$D$66</f>
        <v>Milking shed</v>
      </c>
      <c r="E76" s="55" t="str">
        <f>'Input - Dairy'!$D$85</f>
        <v>Anaerobic lagoon</v>
      </c>
      <c r="F76" s="55" cm="1">
        <f t="array" ref="F76">MMS_Dairy_ManureAppliedToSoils_Equations.VEERG_4_3_1_8__1_MassOfNitrogenAppliedToSoilsScope1(F40,_xlfn.XLOOKUP($E76,$D$22:$D$26,$E$22:$E$26),_xlfn.XLOOKUP($E76, $D$31:$D$35,$E$31:$E$35),F52,$F64)</f>
        <v>109.80008137256655</v>
      </c>
      <c r="G76" s="55" cm="1">
        <f t="array" ref="G76">MMS_Dairy_ManureAppliedToSoils_Equations.VEERG_4_3_1_8__1_MassOfNitrogenAppliedToSoilsScope1(G40,_xlfn.XLOOKUP($E76,$D$22:$D$26,$E$22:$E$26),_xlfn.XLOOKUP($E76, $D$31:$D$35,$E$31:$E$35),G52,$F64)</f>
        <v>88.899477555437642</v>
      </c>
      <c r="H76" s="55" cm="1">
        <f t="array" ref="H76">MMS_Dairy_ManureAppliedToSoils_Equations.VEERG_4_3_1_8__1_MassOfNitrogenAppliedToSoilsScope1(H40,_xlfn.XLOOKUP($E76,$D$22:$D$26,$E$22:$E$26),_xlfn.XLOOKUP($E76, $D$31:$D$35,$E$31:$E$35),H52,$F64)</f>
        <v>35.407721760373668</v>
      </c>
      <c r="I76" s="55" cm="1">
        <f t="array" ref="I76">MMS_Dairy_ManureAppliedToSoils_Equations.VEERG_4_3_1_8__1_MassOfNitrogenAppliedToSoilsScope1(I40,_xlfn.XLOOKUP($E76,$D$22:$D$26,$E$22:$E$26),_xlfn.XLOOKUP($E76, $D$31:$D$35,$E$31:$E$35),I52,$F64)</f>
        <v>111.75015917318586</v>
      </c>
      <c r="J76" s="55" cm="1">
        <f t="array" ref="J76">MMS_Dairy_ManureAppliedToSoils_Equations.VEERG_4_3_1_8__1_MassOfNitrogenAppliedToSoilsScope1(J40,_xlfn.XLOOKUP($E76,$D$22:$D$26,$E$22:$E$26),_xlfn.XLOOKUP($E76, $D$31:$D$35,$E$31:$E$35),J52,$F64)</f>
        <v>46.78189282603951</v>
      </c>
      <c r="K76" s="2" t="str">
        <f t="shared" ref="K76" si="0">$E$11</f>
        <v>kg N</v>
      </c>
      <c r="O76" s="55" t="str">
        <f>'Input - Dairy'!$D$66</f>
        <v>Milking shed</v>
      </c>
      <c r="P76" s="55" t="str">
        <f>'Input - Dairy'!$D$85</f>
        <v>Anaerobic lagoon</v>
      </c>
      <c r="Q76" s="55" cm="1">
        <f t="array" ref="Q76">MMS_Dairy_ManureAppliedToSoils_Equations.VEERG_4_3_1_8__1_MassOfNitrogenAppliedToSoilsScope1(Q40,_xlfn.XLOOKUP($P76,$D$22:$D$26,$E$22:$E$26),_xlfn.XLOOKUP($P76, $D$31:$D$35,$E$31:$E$35),Q52,$F64)</f>
        <v>109.80008137256655</v>
      </c>
      <c r="R76" s="55" cm="1">
        <f t="array" ref="R76">MMS_Dairy_ManureAppliedToSoils_Equations.VEERG_4_3_1_8__1_MassOfNitrogenAppliedToSoilsScope1(R40,_xlfn.XLOOKUP($P76,$D$22:$D$26,$E$22:$E$26),_xlfn.XLOOKUP($P76, $D$31:$D$35,$E$31:$E$35),R52,$F64)</f>
        <v>88.899477555437642</v>
      </c>
      <c r="S76" s="55" cm="1">
        <f t="array" ref="S76">MMS_Dairy_ManureAppliedToSoils_Equations.VEERG_4_3_1_8__1_MassOfNitrogenAppliedToSoilsScope1(S40,_xlfn.XLOOKUP($P76,$D$22:$D$26,$E$22:$E$26),_xlfn.XLOOKUP($P76, $D$31:$D$35,$E$31:$E$35),S52,$F64)</f>
        <v>35.407721760373668</v>
      </c>
      <c r="T76" s="55" cm="1">
        <f t="array" ref="T76">MMS_Dairy_ManureAppliedToSoils_Equations.VEERG_4_3_1_8__1_MassOfNitrogenAppliedToSoilsScope1(T40,_xlfn.XLOOKUP($P76,$D$22:$D$26,$E$22:$E$26),_xlfn.XLOOKUP($P76, $D$31:$D$35,$E$31:$E$35),T52,$F64)</f>
        <v>111.75015917318586</v>
      </c>
      <c r="U76" s="55" cm="1">
        <f t="array" ref="U76">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157.09857796382596</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157.09857796382596</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Dairy'!$D$87</f>
        <v>Drains to paddock</v>
      </c>
      <c r="F78" s="55" cm="1">
        <f t="array" ref="F78">MMS_Dairy_ManureAppliedToSoils_Equations.VEERG_4_3_1_8__1_MassOfNitrogenAppliedToSoilsScope1(F42,_xlfn.XLOOKUP($E78,$D$22:$D$26,$E$22:$E$26),_xlfn.XLOOKUP($E78, $D$31:$D$35,$E$31:$E$35),F54,$F66)</f>
        <v>135.13856168931267</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Dairy'!$D$87</f>
        <v>Drains to paddock</v>
      </c>
      <c r="Q78" s="55" cm="1">
        <f t="array" ref="Q78">MMS_Dairy_ManureAppliedToSoils_Equations.VEERG_4_3_1_8__1_MassOfNitrogenAppliedToSoilsScope1(Q42,_xlfn.XLOOKUP($P78,$D$22:$D$26,$E$22:$E$26),_xlfn.XLOOKUP($P78, $D$31:$D$35,$E$31:$E$35),Q54,$F66)</f>
        <v>135.13856168931267</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412</v>
      </c>
      <c r="F79" s="55" cm="1">
        <f t="array" ref="F79">MMS_Dairy_ManureAppliedToSoils_Equations.VEERG_4_3_1_8__1_MassOfNitrogenAppliedToSoilsScope1(F43,_xlfn.XLOOKUP($E79,$D$22:$D$26,$E$22:$E$26),_xlfn.XLOOKUP($E79, $D$31:$D$35,$E$31:$E$35),F55,$F67)</f>
        <v>228.04632285071511</v>
      </c>
      <c r="G79" s="55" cm="1">
        <f t="array" ref="G79">MMS_Dairy_ManureAppliedToSoils_Equations.VEERG_4_3_1_8__1_MassOfNitrogenAppliedToSoilsScope1(G43,_xlfn.XLOOKUP($E79,$D$22:$D$26,$E$22:$E$26),_xlfn.XLOOKUP($E79, $D$31:$D$35,$E$31:$E$35),G55,$F67)</f>
        <v>184.63737646129354</v>
      </c>
      <c r="H79" s="55" cm="1">
        <f t="array" ref="H79">MMS_Dairy_ManureAppliedToSoils_Equations.VEERG_4_3_1_8__1_MassOfNitrogenAppliedToSoilsScope1(H43,_xlfn.XLOOKUP($E79,$D$22:$D$26,$E$22:$E$26),_xlfn.XLOOKUP($E79, $D$31:$D$35,$E$31:$E$35),H55,$F67)</f>
        <v>73.539114425391446</v>
      </c>
      <c r="I79" s="55" cm="1">
        <f t="array" ref="I79">MMS_Dairy_ManureAppliedToSoils_Equations.VEERG_4_3_1_8__1_MassOfNitrogenAppliedToSoilsScope1(I43,_xlfn.XLOOKUP($E79,$D$22:$D$26,$E$22:$E$26),_xlfn.XLOOKUP($E79, $D$31:$D$35,$E$31:$E$35),I55,$F67)</f>
        <v>232.09648443661678</v>
      </c>
      <c r="J79" s="55" cm="1">
        <f t="array" ref="J79">MMS_Dairy_ManureAppliedToSoils_Equations.VEERG_4_3_1_8__1_MassOfNitrogenAppliedToSoilsScope1(J43,_xlfn.XLOOKUP($E79,$D$22:$D$26,$E$22:$E$26),_xlfn.XLOOKUP($E79, $D$31:$D$35,$E$31:$E$35),J55,$F67)</f>
        <v>97.162392792543585</v>
      </c>
      <c r="K79" s="2"/>
      <c r="O79" s="55" t="str">
        <f>'Input - Dairy'!$D$66</f>
        <v>Milking shed</v>
      </c>
      <c r="P79" s="55" t="s">
        <v>412</v>
      </c>
      <c r="Q79" s="55" cm="1">
        <f t="array" ref="Q79">MMS_Dairy_ManureAppliedToSoils_Equations.VEERG_4_3_1_8__1_MassOfNitrogenAppliedToSoilsScope1(Q43,_xlfn.XLOOKUP($P79,$D$22:$D$26,$E$22:$E$26),_xlfn.XLOOKUP($P79, $D$31:$D$35,$E$31:$E$35),Q55,$F67)</f>
        <v>228.04632285071511</v>
      </c>
      <c r="R79" s="55" cm="1">
        <f t="array" ref="R79">MMS_Dairy_ManureAppliedToSoils_Equations.VEERG_4_3_1_8__1_MassOfNitrogenAppliedToSoilsScope1(R43,_xlfn.XLOOKUP($P79,$D$22:$D$26,$E$22:$E$26),_xlfn.XLOOKUP($P79, $D$31:$D$35,$E$31:$E$35),R55,$F67)</f>
        <v>184.63737646129354</v>
      </c>
      <c r="S79" s="55" cm="1">
        <f t="array" ref="S79">MMS_Dairy_ManureAppliedToSoils_Equations.VEERG_4_3_1_8__1_MassOfNitrogenAppliedToSoilsScope1(S43,_xlfn.XLOOKUP($P79,$D$22:$D$26,$E$22:$E$26),_xlfn.XLOOKUP($P79, $D$31:$D$35,$E$31:$E$35),S55,$F67)</f>
        <v>73.539114425391446</v>
      </c>
      <c r="T79" s="55" cm="1">
        <f t="array" ref="T79">MMS_Dairy_ManureAppliedToSoils_Equations.VEERG_4_3_1_8__1_MassOfNitrogenAppliedToSoilsScope1(T43,_xlfn.XLOOKUP($P79,$D$22:$D$26,$E$22:$E$26),_xlfn.XLOOKUP($P79, $D$31:$D$35,$E$31:$E$35),T55,$F67)</f>
        <v>232.09648443661678</v>
      </c>
      <c r="U79" s="55" cm="1">
        <f t="array" ref="U79">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'Input - Dairy'!$D$67</f>
        <v>Feed pad</v>
      </c>
      <c r="E80" s="55" t="str">
        <f>'Input - Dairy'!$D$101</f>
        <v>Anaerobic lagoon</v>
      </c>
      <c r="F80" s="55" cm="1">
        <f t="array" ref="F80">MMS_Dairy_ManureAppliedToSoils_Equations.VEERG_4_3_1_8__1_MassOfNitrogenAppliedToSoilsScope1(F44,_xlfn.XLOOKUP($E80,$D$22:$D$26,$E$22:$E$26),_xlfn.XLOOKUP($E80, $D$31:$D$35,$E$31:$E$35),F56,$F68)</f>
        <v>444.19123827992814</v>
      </c>
      <c r="G80" s="55" cm="1">
        <f t="array" ref="G80">MMS_Dairy_ManureAppliedToSoils_Equations.VEERG_4_3_1_8__1_MassOfNitrogenAppliedToSoilsScope1(G44,_xlfn.XLOOKUP($E80,$D$22:$D$26,$E$22:$E$26),_xlfn.XLOOKUP($E80, $D$31:$D$35,$E$31:$E$35),G56,$F68)</f>
        <v>359.63879556517946</v>
      </c>
      <c r="H80" s="55" cm="1">
        <f t="array" ref="H80">MMS_Dairy_ManureAppliedToSoils_Equations.VEERG_4_3_1_8__1_MassOfNitrogenAppliedToSoilsScope1(H44,_xlfn.XLOOKUP($E80,$D$22:$D$26,$E$22:$E$26),_xlfn.XLOOKUP($E80, $D$31:$D$35,$E$31:$E$35),H56,$F68)</f>
        <v>143.24032893969348</v>
      </c>
      <c r="I80" s="55" cm="1">
        <f t="array" ref="I80">MMS_Dairy_ManureAppliedToSoils_Equations.VEERG_4_3_1_8__1_MassOfNitrogenAppliedToSoilsScope1(I44,_xlfn.XLOOKUP($E80,$D$22:$D$26,$E$22:$E$26),_xlfn.XLOOKUP($E80, $D$31:$D$35,$E$31:$E$35),I56,$F68)</f>
        <v>452.08018938243373</v>
      </c>
      <c r="J80" s="55" cm="1">
        <f t="array" ref="J80">MMS_Dairy_ManureAppliedToSoils_Equations.VEERG_4_3_1_8__1_MassOfNitrogenAppliedToSoilsScope1(J44,_xlfn.XLOOKUP($E80,$D$22:$D$26,$E$22:$E$26),_xlfn.XLOOKUP($E80, $D$31:$D$35,$E$31:$E$35),J56,$F68)</f>
        <v>189.25402097806892</v>
      </c>
      <c r="K80" s="2"/>
      <c r="O80" s="55" t="str">
        <f>'Input - Dairy'!$D$67</f>
        <v>Feed pad</v>
      </c>
      <c r="P80" s="55" t="str">
        <f>'Input - Dairy'!$D$101</f>
        <v>Anaerobic lagoon</v>
      </c>
      <c r="Q80" s="55" cm="1">
        <f t="array" ref="Q80">MMS_Dairy_ManureAppliedToSoils_Equations.VEERG_4_3_1_8__1_MassOfNitrogenAppliedToSoilsScope1(Q44,_xlfn.XLOOKUP($P80,$D$22:$D$26,$E$22:$E$26),_xlfn.XLOOKUP($P80, $D$31:$D$35,$E$31:$E$35),Q56,$F68)</f>
        <v>444.19123827992814</v>
      </c>
      <c r="R80" s="55" cm="1">
        <f t="array" ref="R80">MMS_Dairy_ManureAppliedToSoils_Equations.VEERG_4_3_1_8__1_MassOfNitrogenAppliedToSoilsScope1(R44,_xlfn.XLOOKUP($P80,$D$22:$D$26,$E$22:$E$26),_xlfn.XLOOKUP($P80, $D$31:$D$35,$E$31:$E$35),R56,$F68)</f>
        <v>359.63879556517946</v>
      </c>
      <c r="S80" s="55" cm="1">
        <f t="array" ref="S80">MMS_Dairy_ManureAppliedToSoils_Equations.VEERG_4_3_1_8__1_MassOfNitrogenAppliedToSoilsScope1(S44,_xlfn.XLOOKUP($P80,$D$22:$D$26,$E$22:$E$26),_xlfn.XLOOKUP($P80, $D$31:$D$35,$E$31:$E$35),S56,$F68)</f>
        <v>143.24032893969348</v>
      </c>
      <c r="T80" s="55" cm="1">
        <f t="array" ref="T80">MMS_Dairy_ManureAppliedToSoils_Equations.VEERG_4_3_1_8__1_MassOfNitrogenAppliedToSoilsScope1(T44,_xlfn.XLOOKUP($P80,$D$22:$D$26,$E$22:$E$26),_xlfn.XLOOKUP($P80, $D$31:$D$35,$E$31:$E$35),T56,$F68)</f>
        <v>452.08018938243373</v>
      </c>
      <c r="U80" s="55" cm="1">
        <f t="array" ref="U80">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'Input - Dairy'!$D$67</f>
        <v>Feed pad</v>
      </c>
      <c r="E81" s="55" t="str">
        <f>'Input - Dairy'!$D$102</f>
        <v>Sump and dispersal system</v>
      </c>
      <c r="F81" s="55" cm="1">
        <f t="array" ref="F81">MMS_Dairy_ManureAppliedToSoils_Equations.VEERG_4_3_1_8__1_MassOfNitrogenAppliedToSoilsScope1(F45,_xlfn.XLOOKUP($E81,$D$22:$D$26,$E$22:$E$26),_xlfn.XLOOKUP($E81, $D$31:$D$35,$E$31:$E$35),F57,$F69)</f>
        <v>508.42812504656388</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Dairy'!$D$102</f>
        <v>Sump and dispersal system</v>
      </c>
      <c r="Q81" s="55" cm="1">
        <f t="array" ref="Q81">MMS_Dairy_ManureAppliedToSoils_Equations.VEERG_4_3_1_8__1_MassOfNitrogenAppliedToSoilsScope1(Q45,_xlfn.XLOOKUP($P81,$D$22:$D$26,$E$22:$E$26),_xlfn.XLOOKUP($P81, $D$31:$D$35,$E$31:$E$35),Q57,$F69)</f>
        <v>508.42812504656388</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Dairy'!$D$103</f>
        <v>Drains to paddock</v>
      </c>
      <c r="F82" s="55" cm="1">
        <f t="array" ref="F82">MMS_Dairy_ManureAppliedToSoils_Equations.VEERG_4_3_1_8__1_MassOfNitrogenAppliedToSoilsScope1(F46,_xlfn.XLOOKUP($E82,$D$22:$D$26,$E$22:$E$26),_xlfn.XLOOKUP($E82, $D$31:$D$35,$E$31:$E$35),F58,$F70)</f>
        <v>437.3575269217755</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Dairy'!$D$103</f>
        <v>Drains to paddock</v>
      </c>
      <c r="Q82" s="55" cm="1">
        <f t="array" ref="Q82">MMS_Dairy_ManureAppliedToSoils_Equations.VEERG_4_3_1_8__1_MassOfNitrogenAppliedToSoilsScope1(Q46,_xlfn.XLOOKUP($P82,$D$22:$D$26,$E$22:$E$26),_xlfn.XLOOKUP($P82, $D$31:$D$35,$E$31:$E$35),Q58,$F70)</f>
        <v>437.3575269217755</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412</v>
      </c>
      <c r="F83" s="55" cm="1">
        <f t="array" ref="F83">MMS_Dairy_ManureAppliedToSoils_Equations.VEERG_4_3_1_8__1_MassOfNitrogenAppliedToSoilsScope1(F47,_xlfn.XLOOKUP($E83,$D$22:$D$26,$E$22:$E$26),_xlfn.XLOOKUP($E83, $D$31:$D$35,$E$31:$E$35),F59,$F71)</f>
        <v>645.78572334543401</v>
      </c>
      <c r="G83" s="55" cm="1">
        <f t="array" ref="G83">MMS_Dairy_ManureAppliedToSoils_Equations.VEERG_4_3_1_8__1_MassOfNitrogenAppliedToSoilsScope1(G47,_xlfn.XLOOKUP($E83,$D$22:$D$26,$E$22:$E$26),_xlfn.XLOOKUP($E83, $D$31:$D$35,$E$31:$E$35),G59,$F71)</f>
        <v>522.85947970629945</v>
      </c>
      <c r="H83" s="55" cm="1">
        <f t="array" ref="H83">MMS_Dairy_ManureAppliedToSoils_Equations.VEERG_4_3_1_8__1_MassOfNitrogenAppliedToSoilsScope1(H47,_xlfn.XLOOKUP($E83,$D$22:$D$26,$E$22:$E$26),_xlfn.XLOOKUP($E83, $D$31:$D$35,$E$31:$E$35),H59,$F71)</f>
        <v>208.24940130463128</v>
      </c>
      <c r="I83" s="55" cm="1">
        <f t="array" ref="I83">MMS_Dairy_ManureAppliedToSoils_Equations.VEERG_4_3_1_8__1_MassOfNitrogenAppliedToSoilsScope1(I47,_xlfn.XLOOKUP($E83,$D$22:$D$26,$E$22:$E$26),_xlfn.XLOOKUP($E83, $D$31:$D$35,$E$31:$E$35),I59,$F71)</f>
        <v>657.25504456369208</v>
      </c>
      <c r="J83" s="55" cm="1">
        <f t="array" ref="J83">MMS_Dairy_ManureAppliedToSoils_Equations.VEERG_4_3_1_8__1_MassOfNitrogenAppliedToSoilsScope1(J47,_xlfn.XLOOKUP($E83,$D$22:$D$26,$E$22:$E$26),_xlfn.XLOOKUP($E83, $D$31:$D$35,$E$31:$E$35),J59,$F71)</f>
        <v>275.14623049888485</v>
      </c>
      <c r="K83" s="2"/>
      <c r="O83" s="55" t="str">
        <f>'Input - Dairy'!$D$67</f>
        <v>Feed pad</v>
      </c>
      <c r="P83" s="55" t="s">
        <v>412</v>
      </c>
      <c r="Q83" s="55" cm="1">
        <f t="array" ref="Q83">MMS_Dairy_ManureAppliedToSoils_Equations.VEERG_4_3_1_8__1_MassOfNitrogenAppliedToSoilsScope1(Q47,_xlfn.XLOOKUP($P83,$D$22:$D$26,$E$22:$E$26),_xlfn.XLOOKUP($P83, $D$31:$D$35,$E$31:$E$35),Q59,$F71)</f>
        <v>645.78572334543401</v>
      </c>
      <c r="R83" s="55" cm="1">
        <f t="array" ref="R83">MMS_Dairy_ManureAppliedToSoils_Equations.VEERG_4_3_1_8__1_MassOfNitrogenAppliedToSoilsScope1(R47,_xlfn.XLOOKUP($P83,$D$22:$D$26,$E$22:$E$26),_xlfn.XLOOKUP($P83, $D$31:$D$35,$E$31:$E$35),R59,$F71)</f>
        <v>522.85947970629945</v>
      </c>
      <c r="S83" s="55" cm="1">
        <f t="array" ref="S83">MMS_Dairy_ManureAppliedToSoils_Equations.VEERG_4_3_1_8__1_MassOfNitrogenAppliedToSoilsScope1(S47,_xlfn.XLOOKUP($P83,$D$22:$D$26,$E$22:$E$26),_xlfn.XLOOKUP($P83, $D$31:$D$35,$E$31:$E$35),S59,$F71)</f>
        <v>208.24940130463128</v>
      </c>
      <c r="T83" s="55" cm="1">
        <f t="array" ref="T83">MMS_Dairy_ManureAppliedToSoils_Equations.VEERG_4_3_1_8__1_MassOfNitrogenAppliedToSoilsScope1(T47,_xlfn.XLOOKUP($P83,$D$22:$D$26,$E$22:$E$26),_xlfn.XLOOKUP($P83, $D$31:$D$35,$E$31:$E$35),T59,$F71)</f>
        <v>657.25504456369208</v>
      </c>
      <c r="U83" s="55" cm="1">
        <f t="array" ref="U83">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134</v>
      </c>
      <c r="E85" s="109">
        <f>SUM(F76:J83)</f>
        <v>9532.9260528071081</v>
      </c>
      <c r="F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349</v>
      </c>
      <c r="O103" s="104" t="s">
        <v>355</v>
      </c>
    </row>
    <row r="104" spans="4:22" ht="20.100000000000001" customHeight="1" x14ac:dyDescent="0.25">
      <c r="D104" s="103" t="s">
        <v>350</v>
      </c>
      <c r="O104" s="103" t="s">
        <v>356</v>
      </c>
    </row>
    <row r="105" spans="4:22" ht="20.100000000000001" customHeight="1" x14ac:dyDescent="0.25">
      <c r="D105" s="54" t="s">
        <v>149</v>
      </c>
      <c r="E105" s="54" t="s">
        <v>69</v>
      </c>
      <c r="F105" s="54" t="s">
        <v>175</v>
      </c>
      <c r="G105" s="54" t="s">
        <v>192</v>
      </c>
      <c r="H105" s="54" t="s">
        <v>193</v>
      </c>
      <c r="I105" s="54" t="s">
        <v>194</v>
      </c>
      <c r="J105" s="54" t="s">
        <v>195</v>
      </c>
      <c r="O105" s="54" t="s">
        <v>149</v>
      </c>
      <c r="P105" s="54" t="s">
        <v>69</v>
      </c>
      <c r="Q105" s="54" t="s">
        <v>175</v>
      </c>
      <c r="R105" s="54" t="s">
        <v>192</v>
      </c>
      <c r="S105" s="54" t="s">
        <v>193</v>
      </c>
      <c r="T105" s="54" t="s">
        <v>194</v>
      </c>
      <c r="U105" s="54" t="s">
        <v>195</v>
      </c>
    </row>
    <row r="106" spans="4:22" ht="20.100000000000001" customHeight="1" x14ac:dyDescent="0.25">
      <c r="D106" s="55" t="str">
        <f>'Input - Dairy'!$D$66</f>
        <v>Milking shed</v>
      </c>
      <c r="E106" s="55" t="str">
        <f>'Input - Dairy'!$D$85</f>
        <v>Anaerobic lagoon</v>
      </c>
      <c r="F106" s="55" cm="1">
        <f t="array" ref="F106">MMS_Dairy_ManureAppliedToSoils_Equations.VEERG_4_3_1_8__2_MassOfNitrogenAppliedToSoilsScope3(F40, _xlfn.XLOOKUP($E106, $D$22:$D$26,$E$22:$E$26), _xlfn.XLOOKUP($E106,$D$31:$D$35,$E$31:$E$35),F52, $F64)</f>
        <v>36.600027124188848</v>
      </c>
      <c r="G106" s="55" cm="1">
        <f t="array" ref="G106">MMS_Dairy_ManureAppliedToSoils_Equations.VEERG_4_3_1_8__2_MassOfNitrogenAppliedToSoilsScope3(G40, _xlfn.XLOOKUP($E106, $D$22:$D$26,$E$22:$E$26), _xlfn.XLOOKUP($E106,$D$31:$D$35,$E$31:$E$35),G52, $F64)</f>
        <v>29.633159185145878</v>
      </c>
      <c r="H106" s="55" cm="1">
        <f t="array" ref="H106">MMS_Dairy_ManureAppliedToSoils_Equations.VEERG_4_3_1_8__2_MassOfNitrogenAppliedToSoilsScope3(H40, _xlfn.XLOOKUP($E106, $D$22:$D$26,$E$22:$E$26), _xlfn.XLOOKUP($E106,$D$31:$D$35,$E$31:$E$35),H52, $F64)</f>
        <v>11.802573920124557</v>
      </c>
      <c r="I106" s="55" cm="1">
        <f t="array" ref="I106">MMS_Dairy_ManureAppliedToSoils_Equations.VEERG_4_3_1_8__2_MassOfNitrogenAppliedToSoilsScope3(I40, _xlfn.XLOOKUP($E106, $D$22:$D$26,$E$22:$E$26), _xlfn.XLOOKUP($E106,$D$31:$D$35,$E$31:$E$35),I52, $F64)</f>
        <v>37.250053057728621</v>
      </c>
      <c r="J106" s="55" cm="1">
        <f t="array" ref="J106">MMS_Dairy_ManureAppliedToSoils_Equations.VEERG_4_3_1_8__2_MassOfNitrogenAppliedToSoilsScope3(J40, _xlfn.XLOOKUP($E106, $D$22:$D$26,$E$22:$E$26), _xlfn.XLOOKUP($E106,$D$31:$D$35,$E$31:$E$35),J52, $F64)</f>
        <v>15.593964275346504</v>
      </c>
      <c r="K106" s="2" t="str">
        <f t="shared" ref="K106" si="2">$E$95</f>
        <v>kg N</v>
      </c>
      <c r="O106" s="55" t="str">
        <f>'Input - Dairy'!$D$66</f>
        <v>Milking shed</v>
      </c>
      <c r="P106" s="55" t="str">
        <f>'Input - Dairy'!$D$85</f>
        <v>Anaerobic lagoon</v>
      </c>
      <c r="Q106" s="55" cm="1">
        <f t="array" ref="Q106">MMS_Dairy_ManureAppliedToSoils_Equations.VEERG_4_3_1_8__2_MassOfNitrogenAppliedToSoilsScope3(Q40, _xlfn.XLOOKUP($P106, $D$22:$D$26,$E$22:$E$26), _xlfn.XLOOKUP($P106,$D$31:$D$35,$E$31:$E$35),Q52, $F64)</f>
        <v>36.600027124188848</v>
      </c>
      <c r="R106" s="55" cm="1">
        <f t="array" ref="R106">MMS_Dairy_ManureAppliedToSoils_Equations.VEERG_4_3_1_8__2_MassOfNitrogenAppliedToSoilsScope3(R40, _xlfn.XLOOKUP($P106, $D$22:$D$26,$E$22:$E$26), _xlfn.XLOOKUP($P106,$D$31:$D$35,$E$31:$E$35),R52, $F64)</f>
        <v>29.633159185145878</v>
      </c>
      <c r="S106" s="55" cm="1">
        <f t="array" ref="S106">MMS_Dairy_ManureAppliedToSoils_Equations.VEERG_4_3_1_8__2_MassOfNitrogenAppliedToSoilsScope3(S40, _xlfn.XLOOKUP($P106, $D$22:$D$26,$E$22:$E$26), _xlfn.XLOOKUP($P106,$D$31:$D$35,$E$31:$E$35),S52, $F64)</f>
        <v>11.802573920124557</v>
      </c>
      <c r="T106" s="55" cm="1">
        <f t="array" ref="T106">MMS_Dairy_ManureAppliedToSoils_Equations.VEERG_4_3_1_8__2_MassOfNitrogenAppliedToSoilsScope3(T40, _xlfn.XLOOKUP($P106, $D$22:$D$26,$E$22:$E$26), _xlfn.XLOOKUP($P106,$D$31:$D$35,$E$31:$E$35),T52, $F64)</f>
        <v>37.250053057728621</v>
      </c>
      <c r="U106" s="55" cm="1">
        <f t="array" ref="U106">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52.366192654608653</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52.366192654608653</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Dairy'!$D$87</f>
        <v>Drains to paddock</v>
      </c>
      <c r="F108" s="55" cm="1">
        <f t="array" ref="F108">MMS_Dairy_ManureAppliedToSoils_Equations.VEERG_4_3_1_8__2_MassOfNitrogenAppliedToSoilsScope3(F42, _xlfn.XLOOKUP($E108, $D$22:$D$26,$E$22:$E$26), _xlfn.XLOOKUP($E108,$D$31:$D$35,$E$31:$E$35),F54, $F66)</f>
        <v>45.046187229770887</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Dairy'!$D$87</f>
        <v>Drains to paddock</v>
      </c>
      <c r="Q108" s="55" cm="1">
        <f t="array" ref="Q108">MMS_Dairy_ManureAppliedToSoils_Equations.VEERG_4_3_1_8__2_MassOfNitrogenAppliedToSoilsScope3(Q42, _xlfn.XLOOKUP($P108, $D$22:$D$26,$E$22:$E$26), _xlfn.XLOOKUP($P108,$D$31:$D$35,$E$31:$E$35),Q54, $F66)</f>
        <v>45.046187229770887</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412</v>
      </c>
      <c r="F109" s="55" cm="1">
        <f t="array" ref="F109">MMS_Dairy_ManureAppliedToSoils_Equations.VEERG_4_3_1_8__2_MassOfNitrogenAppliedToSoilsScope3(F43, _xlfn.XLOOKUP($E109, $D$22:$D$26,$E$22:$E$26), _xlfn.XLOOKUP($E109,$D$31:$D$35,$E$31:$E$35),F55, $F67)</f>
        <v>76.015440950238371</v>
      </c>
      <c r="G109" s="55" cm="1">
        <f t="array" ref="G109">MMS_Dairy_ManureAppliedToSoils_Equations.VEERG_4_3_1_8__2_MassOfNitrogenAppliedToSoilsScope3(G43, _xlfn.XLOOKUP($E109, $D$22:$D$26,$E$22:$E$26), _xlfn.XLOOKUP($E109,$D$31:$D$35,$E$31:$E$35),G55, $F67)</f>
        <v>61.545792153764516</v>
      </c>
      <c r="H109" s="55" cm="1">
        <f t="array" ref="H109">MMS_Dairy_ManureAppliedToSoils_Equations.VEERG_4_3_1_8__2_MassOfNitrogenAppliedToSoilsScope3(H43, _xlfn.XLOOKUP($E109, $D$22:$D$26,$E$22:$E$26), _xlfn.XLOOKUP($E109,$D$31:$D$35,$E$31:$E$35),H55, $F67)</f>
        <v>24.51303814179715</v>
      </c>
      <c r="I109" s="55" cm="1">
        <f t="array" ref="I109">MMS_Dairy_ManureAppliedToSoils_Equations.VEERG_4_3_1_8__2_MassOfNitrogenAppliedToSoilsScope3(I43, _xlfn.XLOOKUP($E109, $D$22:$D$26,$E$22:$E$26), _xlfn.XLOOKUP($E109,$D$31:$D$35,$E$31:$E$35),I55, $F67)</f>
        <v>77.365494812205597</v>
      </c>
      <c r="J109" s="55" cm="1">
        <f t="array" ref="J109">MMS_Dairy_ManureAppliedToSoils_Equations.VEERG_4_3_1_8__2_MassOfNitrogenAppliedToSoilsScope3(J43, _xlfn.XLOOKUP($E109, $D$22:$D$26,$E$22:$E$26), _xlfn.XLOOKUP($E109,$D$31:$D$35,$E$31:$E$35),J55, $F67)</f>
        <v>32.387464264181197</v>
      </c>
      <c r="K109" s="2"/>
      <c r="O109" s="55" t="str">
        <f>'Input - Dairy'!$D$66</f>
        <v>Milking shed</v>
      </c>
      <c r="P109" s="55" t="s">
        <v>412</v>
      </c>
      <c r="Q109" s="55" cm="1">
        <f t="array" ref="Q109">MMS_Dairy_ManureAppliedToSoils_Equations.VEERG_4_3_1_8__2_MassOfNitrogenAppliedToSoilsScope3(Q43, _xlfn.XLOOKUP($P109, $D$22:$D$26,$E$22:$E$26), _xlfn.XLOOKUP($P109,$D$31:$D$35,$E$31:$E$35),Q55, $F67)</f>
        <v>76.015440950238371</v>
      </c>
      <c r="R109" s="55" cm="1">
        <f t="array" ref="R109">MMS_Dairy_ManureAppliedToSoils_Equations.VEERG_4_3_1_8__2_MassOfNitrogenAppliedToSoilsScope3(R43, _xlfn.XLOOKUP($P109, $D$22:$D$26,$E$22:$E$26), _xlfn.XLOOKUP($P109,$D$31:$D$35,$E$31:$E$35),R55, $F67)</f>
        <v>61.545792153764516</v>
      </c>
      <c r="S109" s="55" cm="1">
        <f t="array" ref="S109">MMS_Dairy_ManureAppliedToSoils_Equations.VEERG_4_3_1_8__2_MassOfNitrogenAppliedToSoilsScope3(S43, _xlfn.XLOOKUP($P109, $D$22:$D$26,$E$22:$E$26), _xlfn.XLOOKUP($P109,$D$31:$D$35,$E$31:$E$35),S55, $F67)</f>
        <v>24.51303814179715</v>
      </c>
      <c r="T109" s="55" cm="1">
        <f t="array" ref="T109">MMS_Dairy_ManureAppliedToSoils_Equations.VEERG_4_3_1_8__2_MassOfNitrogenAppliedToSoilsScope3(T43, _xlfn.XLOOKUP($P109, $D$22:$D$26,$E$22:$E$26), _xlfn.XLOOKUP($P109,$D$31:$D$35,$E$31:$E$35),T55, $F67)</f>
        <v>77.365494812205597</v>
      </c>
      <c r="U109" s="55" cm="1">
        <f t="array" ref="U109">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'Input - Dairy'!$D$67</f>
        <v>Feed pad</v>
      </c>
      <c r="E110" s="55" t="str">
        <f>'Input - Dairy'!$D$101</f>
        <v>Anaerobic lagoon</v>
      </c>
      <c r="F110" s="55" cm="1">
        <f t="array" ref="F110">MMS_Dairy_ManureAppliedToSoils_Equations.VEERG_4_3_1_8__2_MassOfNitrogenAppliedToSoilsScope3(F44, _xlfn.XLOOKUP($E110, $D$22:$D$26,$E$22:$E$26), _xlfn.XLOOKUP($E110,$D$31:$D$35,$E$31:$E$35),F56, $F68)</f>
        <v>148.06374609330939</v>
      </c>
      <c r="G110" s="55" cm="1">
        <f t="array" ref="G110">MMS_Dairy_ManureAppliedToSoils_Equations.VEERG_4_3_1_8__2_MassOfNitrogenAppliedToSoilsScope3(G44, _xlfn.XLOOKUP($E110, $D$22:$D$26,$E$22:$E$26), _xlfn.XLOOKUP($E110,$D$31:$D$35,$E$31:$E$35),G56, $F68)</f>
        <v>119.87959852172649</v>
      </c>
      <c r="H110" s="55" cm="1">
        <f t="array" ref="H110">MMS_Dairy_ManureAppliedToSoils_Equations.VEERG_4_3_1_8__2_MassOfNitrogenAppliedToSoilsScope3(H44, _xlfn.XLOOKUP($E110, $D$22:$D$26,$E$22:$E$26), _xlfn.XLOOKUP($E110,$D$31:$D$35,$E$31:$E$35),H56, $F68)</f>
        <v>47.746776313231159</v>
      </c>
      <c r="I110" s="55" cm="1">
        <f t="array" ref="I110">MMS_Dairy_ManureAppliedToSoils_Equations.VEERG_4_3_1_8__2_MassOfNitrogenAppliedToSoilsScope3(I44, _xlfn.XLOOKUP($E110, $D$22:$D$26,$E$22:$E$26), _xlfn.XLOOKUP($E110,$D$31:$D$35,$E$31:$E$35),I56, $F68)</f>
        <v>150.69339646081124</v>
      </c>
      <c r="J110" s="55" cm="1">
        <f t="array" ref="J110">MMS_Dairy_ManureAppliedToSoils_Equations.VEERG_4_3_1_8__2_MassOfNitrogenAppliedToSoilsScope3(J44, _xlfn.XLOOKUP($E110, $D$22:$D$26,$E$22:$E$26), _xlfn.XLOOKUP($E110,$D$31:$D$35,$E$31:$E$35),J56, $F68)</f>
        <v>63.084673659356305</v>
      </c>
      <c r="K110" s="2"/>
      <c r="O110" s="55" t="str">
        <f>'Input - Dairy'!$D$67</f>
        <v>Feed pad</v>
      </c>
      <c r="P110" s="55" t="str">
        <f>'Input - Dairy'!$D$101</f>
        <v>Anaerobic lagoon</v>
      </c>
      <c r="Q110" s="55" cm="1">
        <f t="array" ref="Q110">MMS_Dairy_ManureAppliedToSoils_Equations.VEERG_4_3_1_8__2_MassOfNitrogenAppliedToSoilsScope3(Q44, _xlfn.XLOOKUP($P110, $D$22:$D$26,$E$22:$E$26), _xlfn.XLOOKUP($P110,$D$31:$D$35,$E$31:$E$35),Q56, $F68)</f>
        <v>148.06374609330939</v>
      </c>
      <c r="R110" s="55" cm="1">
        <f t="array" ref="R110">MMS_Dairy_ManureAppliedToSoils_Equations.VEERG_4_3_1_8__2_MassOfNitrogenAppliedToSoilsScope3(R44, _xlfn.XLOOKUP($P110, $D$22:$D$26,$E$22:$E$26), _xlfn.XLOOKUP($P110,$D$31:$D$35,$E$31:$E$35),R56, $F68)</f>
        <v>119.87959852172649</v>
      </c>
      <c r="S110" s="55" cm="1">
        <f t="array" ref="S110">MMS_Dairy_ManureAppliedToSoils_Equations.VEERG_4_3_1_8__2_MassOfNitrogenAppliedToSoilsScope3(S44, _xlfn.XLOOKUP($P110, $D$22:$D$26,$E$22:$E$26), _xlfn.XLOOKUP($P110,$D$31:$D$35,$E$31:$E$35),S56, $F68)</f>
        <v>47.746776313231159</v>
      </c>
      <c r="T110" s="55" cm="1">
        <f t="array" ref="T110">MMS_Dairy_ManureAppliedToSoils_Equations.VEERG_4_3_1_8__2_MassOfNitrogenAppliedToSoilsScope3(T44, _xlfn.XLOOKUP($P110, $D$22:$D$26,$E$22:$E$26), _xlfn.XLOOKUP($P110,$D$31:$D$35,$E$31:$E$35),T56, $F68)</f>
        <v>150.69339646081124</v>
      </c>
      <c r="U110" s="55" cm="1">
        <f t="array" ref="U110">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'Input - Dairy'!$D$67</f>
        <v>Feed pad</v>
      </c>
      <c r="E111" s="55" t="str">
        <f>'Input - Dairy'!$D$102</f>
        <v>Sump and dispersal system</v>
      </c>
      <c r="F111" s="55" cm="1">
        <f t="array" ref="F111">MMS_Dairy_ManureAppliedToSoils_Equations.VEERG_4_3_1_8__2_MassOfNitrogenAppliedToSoilsScope3(F45, _xlfn.XLOOKUP($E111, $D$22:$D$26,$E$22:$E$26), _xlfn.XLOOKUP($E111,$D$31:$D$35,$E$31:$E$35),F57, $F69)</f>
        <v>169.47604168218797</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Dairy'!$D$102</f>
        <v>Sump and dispersal system</v>
      </c>
      <c r="Q111" s="55" cm="1">
        <f t="array" ref="Q111">MMS_Dairy_ManureAppliedToSoils_Equations.VEERG_4_3_1_8__2_MassOfNitrogenAppliedToSoilsScope3(Q45, _xlfn.XLOOKUP($P111, $D$22:$D$26,$E$22:$E$26), _xlfn.XLOOKUP($P111,$D$31:$D$35,$E$31:$E$35),Q57, $F69)</f>
        <v>169.47604168218797</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Dairy'!$D$103</f>
        <v>Drains to paddock</v>
      </c>
      <c r="F112" s="55" cm="1">
        <f t="array" ref="F112">MMS_Dairy_ManureAppliedToSoils_Equations.VEERG_4_3_1_8__2_MassOfNitrogenAppliedToSoilsScope3(F46, _xlfn.XLOOKUP($E112, $D$22:$D$26,$E$22:$E$26), _xlfn.XLOOKUP($E112,$D$31:$D$35,$E$31:$E$35),F58, $F70)</f>
        <v>145.78584230725849</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Dairy'!$D$103</f>
        <v>Drains to paddock</v>
      </c>
      <c r="Q112" s="55" cm="1">
        <f t="array" ref="Q112">MMS_Dairy_ManureAppliedToSoils_Equations.VEERG_4_3_1_8__2_MassOfNitrogenAppliedToSoilsScope3(Q46, _xlfn.XLOOKUP($P112, $D$22:$D$26,$E$22:$E$26), _xlfn.XLOOKUP($P112,$D$31:$D$35,$E$31:$E$35),Q58, $F70)</f>
        <v>145.78584230725849</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412</v>
      </c>
      <c r="F113" s="55" cm="1">
        <f t="array" ref="F113">MMS_Dairy_ManureAppliedToSoils_Equations.VEERG_4_3_1_8__2_MassOfNitrogenAppliedToSoilsScope3(F47, _xlfn.XLOOKUP($E113, $D$22:$D$26,$E$22:$E$26), _xlfn.XLOOKUP($E113,$D$31:$D$35,$E$31:$E$35),F59, $F71)</f>
        <v>215.26190778181135</v>
      </c>
      <c r="G113" s="55" cm="1">
        <f t="array" ref="G113">MMS_Dairy_ManureAppliedToSoils_Equations.VEERG_4_3_1_8__2_MassOfNitrogenAppliedToSoilsScope3(G47, _xlfn.XLOOKUP($E113, $D$22:$D$26,$E$22:$E$26), _xlfn.XLOOKUP($E113,$D$31:$D$35,$E$31:$E$35),G59, $F71)</f>
        <v>174.28649323543314</v>
      </c>
      <c r="H113" s="55" cm="1">
        <f t="array" ref="H113">MMS_Dairy_ManureAppliedToSoils_Equations.VEERG_4_3_1_8__2_MassOfNitrogenAppliedToSoilsScope3(H47, _xlfn.XLOOKUP($E113, $D$22:$D$26,$E$22:$E$26), _xlfn.XLOOKUP($E113,$D$31:$D$35,$E$31:$E$35),H59, $F71)</f>
        <v>69.416467101543759</v>
      </c>
      <c r="I113" s="55" cm="1">
        <f t="array" ref="I113">MMS_Dairy_ManureAppliedToSoils_Equations.VEERG_4_3_1_8__2_MassOfNitrogenAppliedToSoilsScope3(I47, _xlfn.XLOOKUP($E113, $D$22:$D$26,$E$22:$E$26), _xlfn.XLOOKUP($E113,$D$31:$D$35,$E$31:$E$35),I59, $F71)</f>
        <v>219.08501485456401</v>
      </c>
      <c r="J113" s="55" cm="1">
        <f t="array" ref="J113">MMS_Dairy_ManureAppliedToSoils_Equations.VEERG_4_3_1_8__2_MassOfNitrogenAppliedToSoilsScope3(J47, _xlfn.XLOOKUP($E113, $D$22:$D$26,$E$22:$E$26), _xlfn.XLOOKUP($E113,$D$31:$D$35,$E$31:$E$35),J59, $F71)</f>
        <v>91.715410166294944</v>
      </c>
      <c r="K113" s="2"/>
      <c r="O113" s="55" t="str">
        <f>'Input - Dairy'!$D$67</f>
        <v>Feed pad</v>
      </c>
      <c r="P113" s="55" t="s">
        <v>412</v>
      </c>
      <c r="Q113" s="55" cm="1">
        <f t="array" ref="Q113">MMS_Dairy_ManureAppliedToSoils_Equations.VEERG_4_3_1_8__2_MassOfNitrogenAppliedToSoilsScope3(Q47, _xlfn.XLOOKUP($P113, $D$22:$D$26,$E$22:$E$26), _xlfn.XLOOKUP($P113,$D$31:$D$35,$E$31:$E$35),Q59, $F71)</f>
        <v>215.26190778181135</v>
      </c>
      <c r="R113" s="55" cm="1">
        <f t="array" ref="R113">MMS_Dairy_ManureAppliedToSoils_Equations.VEERG_4_3_1_8__2_MassOfNitrogenAppliedToSoilsScope3(R47, _xlfn.XLOOKUP($P113, $D$22:$D$26,$E$22:$E$26), _xlfn.XLOOKUP($P113,$D$31:$D$35,$E$31:$E$35),R59, $F71)</f>
        <v>174.28649323543314</v>
      </c>
      <c r="S113" s="55" cm="1">
        <f t="array" ref="S113">MMS_Dairy_ManureAppliedToSoils_Equations.VEERG_4_3_1_8__2_MassOfNitrogenAppliedToSoilsScope3(S47, _xlfn.XLOOKUP($P113, $D$22:$D$26,$E$22:$E$26), _xlfn.XLOOKUP($P113,$D$31:$D$35,$E$31:$E$35),S59, $F71)</f>
        <v>69.416467101543759</v>
      </c>
      <c r="T113" s="55" cm="1">
        <f t="array" ref="T113">MMS_Dairy_ManureAppliedToSoils_Equations.VEERG_4_3_1_8__2_MassOfNitrogenAppliedToSoilsScope3(T47, _xlfn.XLOOKUP($P113, $D$22:$D$26,$E$22:$E$26), _xlfn.XLOOKUP($P113,$D$31:$D$35,$E$31:$E$35),T59, $F71)</f>
        <v>219.08501485456401</v>
      </c>
      <c r="U113" s="55" cm="1">
        <f t="array" ref="U113">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354</v>
      </c>
      <c r="E115" s="109">
        <f>SUM(F106:J113)</f>
        <v>3177.6420176023698</v>
      </c>
      <c r="F115" s="110" t="str">
        <f>$E$11</f>
        <v>kg N</v>
      </c>
      <c r="O115" s="108" t="s">
        <v>354</v>
      </c>
      <c r="P115" s="109">
        <f>SUM(Q106:U113)</f>
        <v>3177.6420176023698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400</v>
      </c>
      <c r="E120" s="94"/>
      <c r="F120" s="94"/>
      <c r="G120" s="94"/>
      <c r="H120" s="92"/>
    </row>
    <row r="121" spans="1:23" ht="20.100000000000001" customHeight="1" x14ac:dyDescent="0.25"/>
    <row r="122" spans="1:23" ht="20.100000000000001" customHeight="1" x14ac:dyDescent="0.25">
      <c r="D122" s="6" t="s">
        <v>399</v>
      </c>
    </row>
    <row r="123" spans="1:23" ht="20.100000000000001" customHeight="1" x14ac:dyDescent="0.25"/>
    <row r="124" spans="1:23" ht="20.100000000000001" customHeight="1" x14ac:dyDescent="0.25">
      <c r="D124" s="104" t="s">
        <v>135</v>
      </c>
    </row>
    <row r="125" spans="1:23" ht="20.100000000000001" customHeight="1" x14ac:dyDescent="0.25">
      <c r="D125" s="103" t="s">
        <v>136</v>
      </c>
    </row>
    <row r="126" spans="1:23" ht="20.100000000000001" customHeight="1" x14ac:dyDescent="0.25">
      <c r="D126" s="54" t="s">
        <v>149</v>
      </c>
      <c r="E126" s="54" t="s">
        <v>69</v>
      </c>
      <c r="F126" s="54" t="s">
        <v>444</v>
      </c>
    </row>
    <row r="127" spans="1:23" ht="20.100000000000001" customHeight="1" x14ac:dyDescent="0.25">
      <c r="D127" s="55" t="str">
        <f>'Input - Dairy'!$D$66</f>
        <v>Milking shed</v>
      </c>
      <c r="E127" s="55" t="str">
        <f>'Input - Dairy'!$D$85</f>
        <v>Anaerobic lagoon</v>
      </c>
      <c r="F127" s="55">
        <f>'Input - Dairy'!L85</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Dairy'!$D$87</f>
        <v>Drains to paddock</v>
      </c>
      <c r="F129" s="55">
        <f>'Input - Dairy'!L87</f>
        <v>0.25</v>
      </c>
      <c r="G129" s="2"/>
    </row>
    <row r="130" spans="4:22" ht="20.100000000000001" customHeight="1" x14ac:dyDescent="0.25">
      <c r="D130" s="55" t="str">
        <f>'Input - Dairy'!$D$66</f>
        <v>Milking shed</v>
      </c>
      <c r="E130" s="55" t="s">
        <v>412</v>
      </c>
      <c r="F130" s="55">
        <f>'Input - Dairy'!L88</f>
        <v>0.25</v>
      </c>
      <c r="G130" s="2"/>
    </row>
    <row r="131" spans="4:22" ht="20.100000000000001" customHeight="1" x14ac:dyDescent="0.25">
      <c r="D131" s="55" t="str">
        <f>'Input - Dairy'!$D$67</f>
        <v>Feed pad</v>
      </c>
      <c r="E131" s="55" t="str">
        <f>'Input - Dairy'!$D$101</f>
        <v>Anaerobic lagoon</v>
      </c>
      <c r="F131" s="55">
        <f>'Input - Dairy'!L101</f>
        <v>0.25</v>
      </c>
      <c r="G131" s="2"/>
    </row>
    <row r="132" spans="4:22" ht="20.100000000000001" customHeight="1" x14ac:dyDescent="0.25">
      <c r="D132" s="55" t="str">
        <f>'Input - Dairy'!$D$67</f>
        <v>Feed pad</v>
      </c>
      <c r="E132" s="55" t="str">
        <f>'Input - Dairy'!$D$102</f>
        <v>Sump and dispersal system</v>
      </c>
      <c r="F132" s="55">
        <f>'Input - Dairy'!L102</f>
        <v>0.25</v>
      </c>
      <c r="G132" s="2"/>
    </row>
    <row r="133" spans="4:22" ht="20.100000000000001" customHeight="1" x14ac:dyDescent="0.25">
      <c r="D133" s="55" t="str">
        <f>'Input - Dairy'!$D$67</f>
        <v>Feed pad</v>
      </c>
      <c r="E133" s="55" t="str">
        <f>'Input - Dairy'!$D$103</f>
        <v>Drains to paddock</v>
      </c>
      <c r="F133" s="55">
        <f>'Input - Dairy'!L103</f>
        <v>0.25</v>
      </c>
      <c r="G133" s="2"/>
    </row>
    <row r="134" spans="4:22" ht="20.100000000000001" customHeight="1" x14ac:dyDescent="0.25">
      <c r="D134" s="55" t="str">
        <f>'Input - Dairy'!$D$67</f>
        <v>Feed pad</v>
      </c>
      <c r="E134" s="55" t="s">
        <v>412</v>
      </c>
      <c r="F134" s="55">
        <f>'Input - Dairy'!L104</f>
        <v>0.25</v>
      </c>
      <c r="G134" s="2"/>
    </row>
    <row r="135" spans="4:22" ht="20.100000000000001" customHeight="1" x14ac:dyDescent="0.25"/>
    <row r="136" spans="4:22" ht="20.100000000000001" customHeight="1" x14ac:dyDescent="0.25">
      <c r="D136" s="104" t="s">
        <v>137</v>
      </c>
      <c r="O136" s="104" t="s">
        <v>138</v>
      </c>
    </row>
    <row r="137" spans="4:22" ht="20.100000000000001" customHeight="1" x14ac:dyDescent="0.25">
      <c r="D137" s="103" t="s">
        <v>140</v>
      </c>
      <c r="O137" s="103" t="s">
        <v>139</v>
      </c>
    </row>
    <row r="138" spans="4:22" ht="20.100000000000001" customHeight="1" x14ac:dyDescent="0.25">
      <c r="D138" s="54" t="s">
        <v>149</v>
      </c>
      <c r="E138" s="54" t="s">
        <v>69</v>
      </c>
      <c r="F138" s="54" t="s">
        <v>175</v>
      </c>
      <c r="G138" s="54" t="s">
        <v>192</v>
      </c>
      <c r="H138" s="54" t="s">
        <v>193</v>
      </c>
      <c r="I138" s="54" t="s">
        <v>194</v>
      </c>
      <c r="J138" s="54" t="s">
        <v>195</v>
      </c>
      <c r="O138" s="54" t="s">
        <v>149</v>
      </c>
      <c r="P138" s="54" t="s">
        <v>69</v>
      </c>
      <c r="Q138" s="54" t="s">
        <v>175</v>
      </c>
      <c r="R138" s="54" t="s">
        <v>192</v>
      </c>
      <c r="S138" s="54" t="s">
        <v>193</v>
      </c>
      <c r="T138" s="54" t="s">
        <v>194</v>
      </c>
      <c r="U138" s="54" t="s">
        <v>195</v>
      </c>
    </row>
    <row r="139" spans="4:22" ht="20.100000000000001" customHeight="1" x14ac:dyDescent="0.25">
      <c r="D139" s="55" t="str">
        <f>'Input - Dairy'!$D$66</f>
        <v>Milking shed</v>
      </c>
      <c r="E139" s="55" t="str">
        <f>'Input - Dairy'!$D$85</f>
        <v>Anaerobic lagoon</v>
      </c>
      <c r="F139" s="55" cm="1">
        <f t="array" ref="F139">MMS_Dairy_ManureAppliedToSoils_Equations.VEERG_4_3_1_8__1_MassOfNitrogenAppliedToSoilsScope1(F40,_xlfn.XLOOKUP($E139,$D$22:$D$26,$E$22:$E$26),_xlfn.XLOOKUP($E139,$D$31:$D$35,$E$31:$E$35),F52,$F127)</f>
        <v>36.600027124188848</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'Input - Dairy'!$D$66</f>
        <v>Milking shed</v>
      </c>
      <c r="P139" s="55" t="str">
        <f>'Input - Dairy'!$D$85</f>
        <v>Anaerobic lagoon</v>
      </c>
      <c r="Q139" s="55" cm="1">
        <f t="array" ref="Q139">MMS_Dairy_ManureAppliedToSoils_Equations.VEERG_4_3_1_8__1_MassOfNitrogenAppliedToSoilsScope1(Q40,_xlfn.XLOOKUP($P139,$D$22:$D$26,$E$22:$E$26),_xlfn.XLOOKUP($P139,$D$31:$D$35,$E$31:$E$35),Q52,$F127)</f>
        <v>36.600027124188848</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52.366192654608653</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52.366192654608653</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Dairy'!$D$87</f>
        <v>Drains to paddock</v>
      </c>
      <c r="F141" s="55" cm="1">
        <f t="array" ref="F141">MMS_Dairy_ManureAppliedToSoils_Equations.VEERG_4_3_1_8__1_MassOfNitrogenAppliedToSoilsScope1(F42,_xlfn.XLOOKUP($E141,$D$22:$D$26,$E$22:$E$26),_xlfn.XLOOKUP($E141,$D$31:$D$35,$E$31:$E$35),F54,$F129)</f>
        <v>45.046187229770887</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Dairy'!$D$87</f>
        <v>Drains to paddock</v>
      </c>
      <c r="Q141" s="55" cm="1">
        <f t="array" ref="Q141">MMS_Dairy_ManureAppliedToSoils_Equations.VEERG_4_3_1_8__1_MassOfNitrogenAppliedToSoilsScope1(Q42,_xlfn.XLOOKUP($P141,$D$22:$D$26,$E$22:$E$26),_xlfn.XLOOKUP($P141,$D$31:$D$35,$E$31:$E$35),Q54,$F129)</f>
        <v>45.046187229770887</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412</v>
      </c>
      <c r="F142" s="55" cm="1">
        <f t="array" ref="F142">MMS_Dairy_ManureAppliedToSoils_Equations.VEERG_4_3_1_8__1_MassOfNitrogenAppliedToSoilsScope1(F43,_xlfn.XLOOKUP($E142,$D$22:$D$26,$E$22:$E$26),_xlfn.XLOOKUP($E142,$D$31:$D$35,$E$31:$E$35),F55,$F130)</f>
        <v>76.015440950238371</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'Input - Dairy'!$D$66</f>
        <v>Milking shed</v>
      </c>
      <c r="P142" s="55" t="s">
        <v>412</v>
      </c>
      <c r="Q142" s="55" cm="1">
        <f t="array" ref="Q142">MMS_Dairy_ManureAppliedToSoils_Equations.VEERG_4_3_1_8__1_MassOfNitrogenAppliedToSoilsScope1(Q43,_xlfn.XLOOKUP($P142,$D$22:$D$26,$E$22:$E$26),_xlfn.XLOOKUP($P142,$D$31:$D$35,$E$31:$E$35),Q55,$F130)</f>
        <v>76.015440950238371</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'Input - Dairy'!$D$67</f>
        <v>Feed pad</v>
      </c>
      <c r="E143" s="55" t="str">
        <f>'Input - Dairy'!$D$101</f>
        <v>Anaerobic lagoon</v>
      </c>
      <c r="F143" s="55" cm="1">
        <f t="array" ref="F143">MMS_Dairy_ManureAppliedToSoils_Equations.VEERG_4_3_1_8__1_MassOfNitrogenAppliedToSoilsScope1(F44,_xlfn.XLOOKUP($E143,$D$22:$D$26,$E$22:$E$26),_xlfn.XLOOKUP($E143,$D$31:$D$35,$E$31:$E$35),F56,$F131)</f>
        <v>148.06374609330939</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'Input - Dairy'!$D$67</f>
        <v>Feed pad</v>
      </c>
      <c r="P143" s="55" t="str">
        <f>'Input - Dairy'!$D$101</f>
        <v>Anaerobic lagoon</v>
      </c>
      <c r="Q143" s="55" cm="1">
        <f t="array" ref="Q143">MMS_Dairy_ManureAppliedToSoils_Equations.VEERG_4_3_1_8__1_MassOfNitrogenAppliedToSoilsScope1(Q44,_xlfn.XLOOKUP($P143,$D$22:$D$26,$E$22:$E$26),_xlfn.XLOOKUP($P143,$D$31:$D$35,$E$31:$E$35),Q56,$F131)</f>
        <v>148.06374609330939</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'Input - Dairy'!$D$67</f>
        <v>Feed pad</v>
      </c>
      <c r="E144" s="55" t="str">
        <f>'Input - Dairy'!$D$102</f>
        <v>Sump and dispersal system</v>
      </c>
      <c r="F144" s="55" cm="1">
        <f t="array" ref="F144">MMS_Dairy_ManureAppliedToSoils_Equations.VEERG_4_3_1_8__1_MassOfNitrogenAppliedToSoilsScope1(F45,_xlfn.XLOOKUP($E144,$D$22:$D$26,$E$22:$E$26),_xlfn.XLOOKUP($E144,$D$31:$D$35,$E$31:$E$35),F57,$F132)</f>
        <v>169.47604168218797</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Dairy'!$D$102</f>
        <v>Sump and dispersal system</v>
      </c>
      <c r="Q144" s="55" cm="1">
        <f t="array" ref="Q144">MMS_Dairy_ManureAppliedToSoils_Equations.VEERG_4_3_1_8__1_MassOfNitrogenAppliedToSoilsScope1(Q45,_xlfn.XLOOKUP($P144,$D$22:$D$26,$E$22:$E$26),_xlfn.XLOOKUP($P144,$D$31:$D$35,$E$31:$E$35),Q57,$F132)</f>
        <v>169.47604168218797</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Dairy'!$D$103</f>
        <v>Drains to paddock</v>
      </c>
      <c r="F145" s="55" cm="1">
        <f t="array" ref="F145">MMS_Dairy_ManureAppliedToSoils_Equations.VEERG_4_3_1_8__1_MassOfNitrogenAppliedToSoilsScope1(F46,_xlfn.XLOOKUP($E145,$D$22:$D$26,$E$22:$E$26),_xlfn.XLOOKUP($E145,$D$31:$D$35,$E$31:$E$35),F58,$F133)</f>
        <v>145.78584230725849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Dairy'!$D$103</f>
        <v>Drains to paddock</v>
      </c>
      <c r="Q145" s="55" cm="1">
        <f t="array" ref="Q145">MMS_Dairy_ManureAppliedToSoils_Equations.VEERG_4_3_1_8__1_MassOfNitrogenAppliedToSoilsScope1(Q46,_xlfn.XLOOKUP($P145,$D$22:$D$26,$E$22:$E$26),_xlfn.XLOOKUP($P145,$D$31:$D$35,$E$31:$E$35),Q58,$F133)</f>
        <v>145.78584230725849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412</v>
      </c>
      <c r="F146" s="55" cm="1">
        <f t="array" ref="F146">MMS_Dairy_ManureAppliedToSoils_Equations.VEERG_4_3_1_8__1_MassOfNitrogenAppliedToSoilsScope1(F47,_xlfn.XLOOKUP($E146,$D$22:$D$26,$E$22:$E$26),_xlfn.XLOOKUP($E146,$D$31:$D$35,$E$31:$E$35),F59,$F134)</f>
        <v>215.26190778181135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'Input - Dairy'!$D$67</f>
        <v>Feed pad</v>
      </c>
      <c r="P146" s="55" t="s">
        <v>412</v>
      </c>
      <c r="Q146" s="55" cm="1">
        <f t="array" ref="Q146">MMS_Dairy_ManureAppliedToSoils_Equations.VEERG_4_3_1_8__1_MassOfNitrogenAppliedToSoilsScope1(Q47,_xlfn.XLOOKUP($P146,$D$22:$D$26,$E$22:$E$26),_xlfn.XLOOKUP($P146,$D$31:$D$35,$E$31:$E$35),Q59,$F134)</f>
        <v>215.26190778181135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141</v>
      </c>
      <c r="E148" s="109">
        <f>SUM(F139:J146)</f>
        <v>3177.6420176023698</v>
      </c>
      <c r="F148" s="110" t="str">
        <f>$E$95</f>
        <v>kg N</v>
      </c>
      <c r="O148" s="108" t="s">
        <v>141</v>
      </c>
      <c r="P148" s="109">
        <f>SUM(Q139:U146)</f>
        <v>3177.6420176023698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workbookViewId="0">
      <selection activeCell="A16" sqref="A1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359</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123</v>
      </c>
    </row>
    <row r="17" spans="1:22" ht="20.100000000000001" customHeight="1" x14ac:dyDescent="0.25">
      <c r="A17" s="22" t="str">
        <f>HYPERLINK("#'4.3.1.9 Soil direct N2O'!A1", "4.3.1.9 Soil direct N2O")</f>
        <v>4.3.1.9 Soil direct N2O</v>
      </c>
      <c r="D17" s="103" t="s">
        <v>362</v>
      </c>
      <c r="O17" s="103" t="s">
        <v>362</v>
      </c>
    </row>
    <row r="18" spans="1:22" ht="20.100000000000001" customHeight="1" x14ac:dyDescent="0.25">
      <c r="A18" s="17" t="str">
        <f>HYPERLINK("#'4.3.1.10-11 Soil Atmos Dep'!A1", "4.3.1.10-11 Soil atm. deposition")</f>
        <v>4.3.1.10-11 Soil atm. deposition</v>
      </c>
      <c r="D18" s="54" t="s">
        <v>175</v>
      </c>
      <c r="E18" s="54" t="s">
        <v>192</v>
      </c>
      <c r="F18" s="54" t="s">
        <v>193</v>
      </c>
      <c r="G18" s="54" t="s">
        <v>194</v>
      </c>
      <c r="H18" s="54" t="s">
        <v>195</v>
      </c>
      <c r="O18" s="54" t="s">
        <v>175</v>
      </c>
      <c r="P18" s="54" t="s">
        <v>192</v>
      </c>
      <c r="Q18" s="54" t="s">
        <v>193</v>
      </c>
      <c r="R18" s="54" t="s">
        <v>194</v>
      </c>
      <c r="S18" s="54" t="s">
        <v>195</v>
      </c>
    </row>
    <row r="19" spans="1:22" ht="20.100000000000001" customHeight="1" x14ac:dyDescent="0.25">
      <c r="A19" s="17" t="str">
        <f>HYPERLINK("#'4.3.1.12-13 Soil leach runoff'!A1", "4.3.1.12-13 Soil leach &amp; runoff")</f>
        <v>4.3.1.12-13 Soil leach &amp; runoff</v>
      </c>
      <c r="D19" s="55">
        <f>'4.3.1.3-4 Direct N20'!D176</f>
        <v>10237.769824947927</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10237.769824947927</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360</v>
      </c>
      <c r="O22" s="104" t="s">
        <v>429</v>
      </c>
    </row>
    <row r="23" spans="1:22" ht="20.100000000000001" customHeight="1" x14ac:dyDescent="0.25">
      <c r="A23" s="17" t="str">
        <f>HYPERLINK("#'Constants - Livestock'!A1", "Constants - Livestock")</f>
        <v>Constants - Livestock</v>
      </c>
      <c r="D23" s="103" t="s">
        <v>361</v>
      </c>
      <c r="O23" s="103" t="s">
        <v>430</v>
      </c>
    </row>
    <row r="24" spans="1:22" ht="20.100000000000001" customHeight="1" x14ac:dyDescent="0.25">
      <c r="A24" s="17" t="str">
        <f>HYPERLINK("#'Constants - Common'!A1", "Constants - Common")</f>
        <v>Constants - Common</v>
      </c>
      <c r="D24" s="41" t="s">
        <v>149</v>
      </c>
      <c r="E24" s="41" t="s">
        <v>69</v>
      </c>
      <c r="F24" s="41" t="s">
        <v>175</v>
      </c>
      <c r="G24" s="41" t="s">
        <v>192</v>
      </c>
      <c r="H24" s="41" t="s">
        <v>193</v>
      </c>
      <c r="I24" s="41" t="s">
        <v>194</v>
      </c>
      <c r="J24" s="41" t="s">
        <v>195</v>
      </c>
      <c r="O24" s="41" t="s">
        <v>149</v>
      </c>
      <c r="P24" s="41" t="s">
        <v>69</v>
      </c>
      <c r="Q24" s="41" t="s">
        <v>175</v>
      </c>
      <c r="R24" s="41" t="s">
        <v>192</v>
      </c>
      <c r="S24" s="41" t="s">
        <v>193</v>
      </c>
      <c r="T24" s="41" t="s">
        <v>194</v>
      </c>
      <c r="U24" s="41" t="s">
        <v>195</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363</v>
      </c>
      <c r="O28" s="104" t="s">
        <v>365</v>
      </c>
    </row>
    <row r="29" spans="1:22" ht="20.100000000000001" customHeight="1" x14ac:dyDescent="0.25">
      <c r="D29" s="103" t="s">
        <v>364</v>
      </c>
      <c r="O29" s="103" t="s">
        <v>366</v>
      </c>
    </row>
    <row r="30" spans="1:22" ht="20.100000000000001" customHeight="1" x14ac:dyDescent="0.25">
      <c r="D30" s="54" t="s">
        <v>149</v>
      </c>
      <c r="E30" s="54" t="s">
        <v>69</v>
      </c>
      <c r="F30" s="54" t="s">
        <v>175</v>
      </c>
      <c r="G30" s="54" t="s">
        <v>192</v>
      </c>
      <c r="H30" s="54" t="s">
        <v>193</v>
      </c>
      <c r="I30" s="54" t="s">
        <v>194</v>
      </c>
      <c r="J30" s="54" t="s">
        <v>195</v>
      </c>
      <c r="O30" s="54" t="s">
        <v>149</v>
      </c>
      <c r="P30" s="54" t="s">
        <v>69</v>
      </c>
      <c r="Q30" s="54" t="s">
        <v>175</v>
      </c>
      <c r="R30" s="54" t="s">
        <v>192</v>
      </c>
      <c r="S30" s="54" t="s">
        <v>193</v>
      </c>
      <c r="T30" s="54" t="s">
        <v>194</v>
      </c>
      <c r="U30" s="54" t="s">
        <v>195</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5466.9690865221937</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MMS_Dairy_N2ODirect_Equations.VEERG_4_3_1_3__2_TotalNitrogenInEachMMS(D19,Q25)</f>
        <v>5466.9690865221937</v>
      </c>
      <c r="R31" s="55" cm="1">
        <f t="array" ref="R31">MMS_Dairy_N2ODirect_Equations.VEERG_4_3_1_3__2_TotalNitrogenInEachMMS(E19,R25)</f>
        <v>4426.3236377252861</v>
      </c>
      <c r="S31" s="55" cm="1">
        <f t="array" ref="S31">MMS_Dairy_N2ODirect_Equations.VEERG_4_3_1_3__2_TotalNitrogenInEachMMS(F19,S25)</f>
        <v>1762.9578946423812</v>
      </c>
      <c r="T31" s="55" cm="1">
        <f t="array" ref="T31">MMS_Dairy_N2ODirect_Equations.VEERG_4_3_1_3__2_TotalNitrogenInEachMMS(G19,T25)</f>
        <v>5564.0638693222609</v>
      </c>
      <c r="U31" s="55" cm="1">
        <f t="array" ref="U31">MMS_Dairy_N2ODirect_Equations.VEERG_4_3_1_3__2_TotalNitrogenInEachMMS(H19,U25)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112</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125</v>
      </c>
      <c r="O48" s="104" t="s">
        <v>369</v>
      </c>
    </row>
    <row r="49" spans="1:22" ht="20.100000000000001" customHeight="1" x14ac:dyDescent="0.25">
      <c r="D49" s="103" t="s">
        <v>368</v>
      </c>
      <c r="O49" s="103" t="s">
        <v>370</v>
      </c>
    </row>
    <row r="50" spans="1:22" ht="20.100000000000001" customHeight="1" x14ac:dyDescent="0.25">
      <c r="D50" s="54" t="s">
        <v>149</v>
      </c>
      <c r="E50" s="54" t="s">
        <v>69</v>
      </c>
      <c r="F50" s="54" t="s">
        <v>175</v>
      </c>
      <c r="G50" s="54" t="s">
        <v>192</v>
      </c>
      <c r="H50" s="54" t="s">
        <v>193</v>
      </c>
      <c r="I50" s="54" t="s">
        <v>194</v>
      </c>
      <c r="J50" s="54" t="s">
        <v>195</v>
      </c>
      <c r="O50" s="54" t="s">
        <v>149</v>
      </c>
      <c r="P50" s="54" t="s">
        <v>69</v>
      </c>
      <c r="Q50" s="54" t="s">
        <v>175</v>
      </c>
      <c r="R50" s="54" t="s">
        <v>192</v>
      </c>
      <c r="S50" s="54" t="s">
        <v>193</v>
      </c>
      <c r="T50" s="54" t="s">
        <v>194</v>
      </c>
      <c r="U50" s="54" t="s">
        <v>195</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1.7181902843355468E-2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1.7181902843355468E-2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124</v>
      </c>
      <c r="E53" s="109">
        <f>SUM(F51:J51)</f>
        <v>6.1441583488697472E-2</v>
      </c>
      <c r="F53" s="110" t="str">
        <f>$E$41</f>
        <v>t N2O</v>
      </c>
      <c r="O53" s="108" t="s">
        <v>124</v>
      </c>
      <c r="P53" s="109">
        <f>SUM(Q51:U51)</f>
        <v>6.1441583488697472E-2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6.1441583488697472E-2</v>
      </c>
      <c r="O55" s="60" t="str" cm="1">
        <f t="array" ref="O55:P56">Common_Equations.Common_ConvertN2OToCO2e_Arguments()</f>
        <v>EN2O</v>
      </c>
      <c r="P55" s="61" t="str">
        <v>Nitrous oxide emissions (t N2O)</v>
      </c>
      <c r="Q55" s="111"/>
      <c r="R55" s="55">
        <f>P53</f>
        <v>6.1441583488697472E-2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111</v>
      </c>
      <c r="E58" s="48" cm="1">
        <f t="array" ref="E58">Common_Equations.Common_ConvertN2OToCO2e(G55,G56)</f>
        <v>16.28201962450483</v>
      </c>
      <c r="F58" s="112" t="str" cm="1">
        <f t="array" ref="F58">Common_Equations.Common_ConvertN2OToCO2e_Unit()</f>
        <v>t CO2e</v>
      </c>
      <c r="O58" s="48" t="s">
        <v>111</v>
      </c>
      <c r="P58" s="48" cm="1">
        <f t="array" ref="P58">Common_Equations.Common_ConvertN2OToCO2e(R55,R56)</f>
        <v>16.28201962450483</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31"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378</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Dairy'!$D$215</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363</v>
      </c>
      <c r="M16" s="59"/>
      <c r="O16" s="104" t="s">
        <v>365</v>
      </c>
    </row>
    <row r="17" spans="1:23" ht="20.100000000000001" customHeight="1" x14ac:dyDescent="0.25">
      <c r="A17" s="17" t="str">
        <f>HYPERLINK("#'4.3.1.9 Soil direct N2O'!A1", "4.3.1.9 Soil direct N2O")</f>
        <v>4.3.1.9 Soil direct N2O</v>
      </c>
      <c r="D17" s="103" t="s">
        <v>364</v>
      </c>
      <c r="M17" s="59"/>
      <c r="O17" s="103" t="s">
        <v>366</v>
      </c>
    </row>
    <row r="18" spans="1:23" ht="20.100000000000001" customHeight="1" x14ac:dyDescent="0.25">
      <c r="A18" s="22" t="str">
        <f>HYPERLINK("#'4.3.1.10-11 Soil Atmos Dep'!A1", "4.3.1.10-11 Soil atm. deposition")</f>
        <v>4.3.1.10-11 Soil atm. deposition</v>
      </c>
      <c r="D18" s="54" t="s">
        <v>149</v>
      </c>
      <c r="E18" s="54" t="s">
        <v>69</v>
      </c>
      <c r="F18" s="54" t="s">
        <v>175</v>
      </c>
      <c r="G18" s="54" t="s">
        <v>192</v>
      </c>
      <c r="H18" s="54" t="s">
        <v>193</v>
      </c>
      <c r="I18" s="54" t="s">
        <v>194</v>
      </c>
      <c r="J18" s="54" t="s">
        <v>195</v>
      </c>
      <c r="M18" s="59"/>
      <c r="O18" s="54" t="s">
        <v>149</v>
      </c>
      <c r="P18" s="54" t="s">
        <v>69</v>
      </c>
      <c r="Q18" s="54" t="s">
        <v>175</v>
      </c>
      <c r="R18" s="54" t="s">
        <v>192</v>
      </c>
      <c r="S18" s="54" t="s">
        <v>193</v>
      </c>
      <c r="T18" s="54" t="s">
        <v>194</v>
      </c>
      <c r="U18" s="54" t="s">
        <v>195</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5466.9690865221937</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5466.9690865221937</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371</v>
      </c>
      <c r="O21" s="104" t="s">
        <v>373</v>
      </c>
    </row>
    <row r="22" spans="1:23" ht="20.100000000000001" customHeight="1" x14ac:dyDescent="0.25">
      <c r="A22" s="17" t="str">
        <f>HYPERLINK("#'Constants - Dairy'!A1", "Constants - Dairy")</f>
        <v>Constants - Dairy</v>
      </c>
      <c r="D22" s="103" t="s">
        <v>372</v>
      </c>
      <c r="O22" s="103" t="s">
        <v>374</v>
      </c>
    </row>
    <row r="23" spans="1:23" ht="20.100000000000001" customHeight="1" x14ac:dyDescent="0.25">
      <c r="A23" s="17" t="str">
        <f>HYPERLINK("#'Constants - Livestock'!A1", "Constants - Livestock")</f>
        <v>Constants - Livestock</v>
      </c>
      <c r="D23" s="54" t="s">
        <v>149</v>
      </c>
      <c r="E23" s="54" t="s">
        <v>69</v>
      </c>
      <c r="F23" s="54" t="s">
        <v>175</v>
      </c>
      <c r="G23" s="54" t="s">
        <v>192</v>
      </c>
      <c r="H23" s="54" t="s">
        <v>193</v>
      </c>
      <c r="I23" s="54" t="s">
        <v>194</v>
      </c>
      <c r="J23" s="54" t="s">
        <v>195</v>
      </c>
      <c r="O23" s="54" t="s">
        <v>149</v>
      </c>
      <c r="P23" s="54" t="s">
        <v>69</v>
      </c>
      <c r="Q23" s="54" t="s">
        <v>175</v>
      </c>
      <c r="R23" s="54" t="s">
        <v>192</v>
      </c>
      <c r="S23" s="54" t="s">
        <v>193</v>
      </c>
      <c r="T23" s="54" t="s">
        <v>194</v>
      </c>
      <c r="U23" s="54" t="s">
        <v>195</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1148.0635081696607</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1148.0635081696607</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385</v>
      </c>
      <c r="E26" s="48">
        <f>SUM(F24:J24)</f>
        <v>4105.4148967447854</v>
      </c>
      <c r="F26" s="112" t="str">
        <f>$E$11</f>
        <v>kg N</v>
      </c>
      <c r="O26" s="118" t="s">
        <v>385</v>
      </c>
      <c r="P26" s="48">
        <f>SUM(Q24:U24)</f>
        <v>4105.4148967447854</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4105.4148967447854</v>
      </c>
      <c r="O38" s="60" t="str">
        <f>D38</f>
        <v>M_vol_m14</v>
      </c>
      <c r="P38" s="60" t="str">
        <f>E38</f>
        <v>mass of nitrogen volatilised from urine and faeces deposited on pasture</v>
      </c>
      <c r="Q38" s="61"/>
      <c r="R38" s="62"/>
      <c r="S38" s="60">
        <f>$P$26</f>
        <v>4105.4148967447854</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Dairy'!$E$109</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Dairy'!$E$110</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156</v>
      </c>
      <c r="E45" s="109" cm="1">
        <f t="array" ref="E45">MMS_Dairy_Soil_AtmosphericDeposition_Equations.VEERG_4_3_1_10__1_AtmosphericDepositionEmissionsFromUrineAndDungOnPasture($I$38,$I$39,$I$40)</f>
        <v>3.8063060971248078E-2</v>
      </c>
      <c r="F45" s="110" t="str">
        <f>$E$36</f>
        <v>t N2O</v>
      </c>
      <c r="O45" s="108" t="s">
        <v>156</v>
      </c>
      <c r="P45" s="109" cm="1">
        <f t="array" ref="P45">MMS_Dairy_Soil_AtmosphericDeposition_Equations.VEERG_4_3_1_10__1_AtmosphericDepositionEmissionsFromUrineAndDungOnPasture($S$38,$I$39,$I$40)</f>
        <v>3.8063060971248078E-2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3.8063060971248078E-2</v>
      </c>
      <c r="O47" s="60" t="str" cm="1">
        <f t="array" ref="O47:P48">Common_Equations.Common_ConvertN2OToCO2e_Arguments()</f>
        <v>EN2O</v>
      </c>
      <c r="P47" s="61" t="str">
        <v>Nitrous oxide emissions (t N2O)</v>
      </c>
      <c r="Q47" s="111"/>
      <c r="R47" s="55">
        <f>P45</f>
        <v>3.8063060971248078E-2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111</v>
      </c>
      <c r="E50" s="48" cm="1">
        <f t="array" ref="E50">Common_Equations.Common_ConvertN2OToCO2e(G47,G48)</f>
        <v>10.086711157380741</v>
      </c>
      <c r="F50" s="112" t="str" cm="1">
        <f t="array" ref="F50">Common_Equations.Common_ConvertN2OToCO2e_Unit()</f>
        <v>t CO2e</v>
      </c>
      <c r="O50" s="48" t="s">
        <v>111</v>
      </c>
      <c r="P50" s="48" cm="1">
        <f t="array" ref="P50">Common_Equations.Common_ConvertN2OToCO2e(R47,R48)</f>
        <v>10.086711157380741</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A39" workbookViewId="0">
      <selection activeCell="A18" sqref="A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377</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Dairy'!$E$109</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Dairy'!$E$110</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363</v>
      </c>
      <c r="M20" s="59"/>
      <c r="O20" s="104" t="s">
        <v>365</v>
      </c>
    </row>
    <row r="21" spans="1:22" ht="20.100000000000001" customHeight="1" x14ac:dyDescent="0.25">
      <c r="A21" s="18" t="s">
        <v>4</v>
      </c>
      <c r="D21" s="103" t="s">
        <v>364</v>
      </c>
      <c r="M21" s="59"/>
      <c r="O21" s="103" t="s">
        <v>366</v>
      </c>
    </row>
    <row r="22" spans="1:22" ht="20.100000000000001" customHeight="1" x14ac:dyDescent="0.25">
      <c r="A22" s="17" t="str">
        <f>HYPERLINK("#'Constants - Dairy'!A1", "Constants - Dairy")</f>
        <v>Constants - Dairy</v>
      </c>
      <c r="D22" s="54" t="s">
        <v>149</v>
      </c>
      <c r="E22" s="54" t="s">
        <v>69</v>
      </c>
      <c r="F22" s="54" t="s">
        <v>175</v>
      </c>
      <c r="G22" s="54" t="s">
        <v>192</v>
      </c>
      <c r="H22" s="54" t="s">
        <v>193</v>
      </c>
      <c r="I22" s="54" t="s">
        <v>194</v>
      </c>
      <c r="J22" s="54" t="s">
        <v>195</v>
      </c>
      <c r="M22" s="59"/>
      <c r="O22" s="54" t="s">
        <v>149</v>
      </c>
      <c r="P22" s="54" t="s">
        <v>69</v>
      </c>
      <c r="Q22" s="54" t="s">
        <v>175</v>
      </c>
      <c r="R22" s="54" t="s">
        <v>192</v>
      </c>
      <c r="S22" s="54" t="s">
        <v>193</v>
      </c>
      <c r="T22" s="54" t="s">
        <v>194</v>
      </c>
      <c r="U22" s="54" t="s">
        <v>195</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5466.9690865221937</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5466.9690865221937</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379</v>
      </c>
      <c r="O25" s="104" t="s">
        <v>381</v>
      </c>
    </row>
    <row r="26" spans="1:22" ht="20.100000000000001" customHeight="1" x14ac:dyDescent="0.25">
      <c r="D26" s="103" t="s">
        <v>380</v>
      </c>
      <c r="O26" s="103" t="s">
        <v>382</v>
      </c>
    </row>
    <row r="27" spans="1:22" ht="20.100000000000001" customHeight="1" x14ac:dyDescent="0.25">
      <c r="D27" s="54" t="s">
        <v>149</v>
      </c>
      <c r="E27" s="54" t="s">
        <v>69</v>
      </c>
      <c r="F27" s="54" t="s">
        <v>175</v>
      </c>
      <c r="G27" s="54" t="s">
        <v>192</v>
      </c>
      <c r="H27" s="54" t="s">
        <v>193</v>
      </c>
      <c r="I27" s="54" t="s">
        <v>194</v>
      </c>
      <c r="J27" s="54" t="s">
        <v>195</v>
      </c>
      <c r="O27" s="54" t="s">
        <v>149</v>
      </c>
      <c r="P27" s="54" t="s">
        <v>69</v>
      </c>
      <c r="Q27" s="54" t="s">
        <v>175</v>
      </c>
      <c r="R27" s="54" t="s">
        <v>192</v>
      </c>
      <c r="S27" s="54" t="s">
        <v>193</v>
      </c>
      <c r="T27" s="54" t="s">
        <v>194</v>
      </c>
      <c r="U27" s="54" t="s">
        <v>195</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109.33938173044388</v>
      </c>
      <c r="G28" s="55" cm="1">
        <f t="array" ref="G28">MMS_Dairy_Soil_LeachingAndRunoff.VEERG_4_3_1_12__2_MassOfNitrogenLostToLeachingAndRunoffOnPasture(G23,$I$14,$I$15)</f>
        <v>88.526472754505718</v>
      </c>
      <c r="H28" s="55" cm="1">
        <f t="array" ref="H28">MMS_Dairy_Soil_LeachingAndRunoff.VEERG_4_3_1_12__2_MassOfNitrogenLostToLeachingAndRunoffOnPasture(H23,$I$14,$I$15)</f>
        <v>35.259157892847625</v>
      </c>
      <c r="I28" s="55" cm="1">
        <f t="array" ref="I28">MMS_Dairy_Soil_LeachingAndRunoff.VEERG_4_3_1_12__2_MassOfNitrogenLostToLeachingAndRunoffOnPasture(I23,$I$14,$I$15)</f>
        <v>111.28127738644523</v>
      </c>
      <c r="J28" s="55" cm="1">
        <f t="array" ref="J28">MMS_Dairy_Soil_LeachingAndRunoff.VEERG_4_3_1_12__2_MassOfNitrogenLostToLeachingAndRunoffOnPasture(J23,$I$14,$I$15)</f>
        <v>46.585605163832355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109.33938173044388</v>
      </c>
      <c r="R28" s="55" cm="1">
        <f t="array" ref="R28">MMS_Dairy_Soil_LeachingAndRunoff.VEERG_4_3_1_12__2_MassOfNitrogenLostToLeachingAndRunoffOnPasture(R23,$I$14,$I$15)</f>
        <v>88.526472754505718</v>
      </c>
      <c r="S28" s="55" cm="1">
        <f t="array" ref="S28">MMS_Dairy_Soil_LeachingAndRunoff.VEERG_4_3_1_12__2_MassOfNitrogenLostToLeachingAndRunoffOnPasture(S23,$I$14,$I$15)</f>
        <v>35.259157892847625</v>
      </c>
      <c r="T28" s="55" cm="1">
        <f t="array" ref="T28">MMS_Dairy_Soil_LeachingAndRunoff.VEERG_4_3_1_12__2_MassOfNitrogenLostToLeachingAndRunoffOnPasture(T23,$I$14,$I$15)</f>
        <v>111.28127738644523</v>
      </c>
      <c r="U28" s="55" cm="1">
        <f t="array" ref="U28">MMS_Dairy_Soil_LeachingAndRunoff.VEERG_4_3_1_12__2_MassOfNitrogenLostToLeachingAndRunoffOnPasture(U23,$I$14,$I$15)</f>
        <v>46.585605163832355</v>
      </c>
      <c r="V28" s="2" t="str">
        <f>$E$11</f>
        <v>kg N</v>
      </c>
    </row>
    <row r="29" spans="1:22" ht="20.100000000000001" customHeight="1" x14ac:dyDescent="0.25"/>
    <row r="30" spans="1:22" ht="20.100000000000001" customHeight="1" x14ac:dyDescent="0.25">
      <c r="D30" s="118" t="s">
        <v>384</v>
      </c>
      <c r="E30" s="48">
        <f>SUM(F28:J28)</f>
        <v>390.99189492807477</v>
      </c>
      <c r="F30" s="112" t="str">
        <f>$E$11</f>
        <v>kg N</v>
      </c>
      <c r="O30" s="118" t="s">
        <v>384</v>
      </c>
      <c r="P30" s="48">
        <f>SUM(Q28:U28)</f>
        <v>390.99189492807477</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390.99189492807477</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390.99189492807477</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383</v>
      </c>
      <c r="E47" s="109" cm="1">
        <f t="array" ref="E47">MMS_Dairy_Soil_LeachingAndRunoff.VEERG_4_3_1_12__1_LeachingAndRunoffEmissionsFromUrineAndDungOnPasture($J$43,$J$44,$J$45)</f>
        <v>6.7585741837567206E-3</v>
      </c>
      <c r="F47" s="110" t="str">
        <f>$E$41</f>
        <v>t N2O</v>
      </c>
      <c r="O47" s="108" t="s">
        <v>383</v>
      </c>
      <c r="P47" s="109" cm="1">
        <f t="array" ref="P47">MMS_Dairy_Soil_LeachingAndRunoff.VEERG_4_3_1_12__1_LeachingAndRunoffEmissionsFromUrineAndDungOnPasture($U$43,$J$44,$J$45)</f>
        <v>6.7585741837567206E-3</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6.7585741837567206E-3</v>
      </c>
      <c r="O49" s="60" t="str" cm="1">
        <f t="array" ref="O49:P50">Common_Equations.Common_ConvertN2OToCO2e_Arguments()</f>
        <v>EN2O</v>
      </c>
      <c r="P49" s="61" t="str">
        <v>Nitrous oxide emissions (t N2O)</v>
      </c>
      <c r="Q49" s="111"/>
      <c r="R49" s="55">
        <f>P47</f>
        <v>6.7585741837567206E-3</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111</v>
      </c>
      <c r="E52" s="48" cm="1">
        <f t="array" ref="E52">Common_Equations.Common_ConvertN2OToCO2e(G49,G50)</f>
        <v>1.7910221586955311</v>
      </c>
      <c r="F52" s="112" t="str" cm="1">
        <f t="array" ref="F52">Common_Equations.Common_ConvertN2OToCO2e_Unit()</f>
        <v>t CO2e</v>
      </c>
      <c r="O52" s="48" t="s">
        <v>111</v>
      </c>
      <c r="P52" s="48" cm="1">
        <f t="array" ref="P52">Common_Equations.Common_ConvertN2OToCO2e(R49,R50)</f>
        <v>1.7910221586955311</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30" zoomScale="85" zoomScaleNormal="85" workbookViewId="0">
      <selection activeCell="D227" sqref="D217:D227"/>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448</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172</v>
      </c>
      <c r="G5" s="6" t="s">
        <v>173</v>
      </c>
      <c r="J5" s="6" t="s">
        <v>150</v>
      </c>
      <c r="M5" s="1"/>
    </row>
    <row r="6" spans="1:21" ht="20.100000000000001" customHeight="1" x14ac:dyDescent="0.25">
      <c r="A6" s="16"/>
      <c r="M6" s="1"/>
    </row>
    <row r="7" spans="1:21" ht="20.100000000000001" customHeight="1" x14ac:dyDescent="0.25">
      <c r="A7" s="20" t="s">
        <v>3</v>
      </c>
      <c r="D7" s="102" t="s">
        <v>69</v>
      </c>
      <c r="E7" s="39" t="s">
        <v>83</v>
      </c>
      <c r="G7" s="39" t="s">
        <v>149</v>
      </c>
      <c r="J7" s="39" t="s">
        <v>147</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151</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152</v>
      </c>
      <c r="M9" s="1"/>
    </row>
    <row r="10" spans="1:21" ht="20.100000000000001" customHeight="1" x14ac:dyDescent="0.25">
      <c r="A10" s="17"/>
      <c r="D10" s="39" t="str">
        <f>'Constants - Livestock'!$E$14</f>
        <v>Drains to paddock</v>
      </c>
      <c r="E10" s="39" t="str">
        <f>'Constants - Livestock'!$F$14</f>
        <v>Drains to paddock (m=3b)</v>
      </c>
      <c r="J10" s="1" t="s">
        <v>153</v>
      </c>
      <c r="M10" s="1"/>
    </row>
    <row r="11" spans="1:21" ht="20.100000000000001" customHeight="1" x14ac:dyDescent="0.25">
      <c r="A11" s="19" t="s">
        <v>78</v>
      </c>
      <c r="D11" s="39" t="str">
        <f>'Constants - Livestock'!$E$15</f>
        <v>Solid storage</v>
      </c>
      <c r="E11" s="39" t="str">
        <f>'Constants - Livestock'!$F$15</f>
        <v>Solid storage (m=4)</v>
      </c>
      <c r="J11" s="1" t="s">
        <v>154</v>
      </c>
      <c r="M11" s="1"/>
    </row>
    <row r="12" spans="1:21" ht="20.100000000000001" customHeight="1" x14ac:dyDescent="0.25">
      <c r="A12" s="17" t="str">
        <f>HYPERLINK("#'4.3.1.1-2 Methane'!A1", "4.3.1.1-2 Methane")</f>
        <v>4.3.1.1-2 Methane</v>
      </c>
      <c r="J12" s="1" t="s">
        <v>155</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174</v>
      </c>
      <c r="E21" s="39" t="s">
        <v>175</v>
      </c>
      <c r="F21" s="39" t="s">
        <v>176</v>
      </c>
      <c r="G21" s="39" t="s">
        <v>177</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174</v>
      </c>
      <c r="E38" s="39" t="s">
        <v>179</v>
      </c>
      <c r="F38" s="39" t="s">
        <v>178</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175</v>
      </c>
      <c r="E46" s="39" t="s">
        <v>176</v>
      </c>
      <c r="F46" s="39" t="s">
        <v>177</v>
      </c>
      <c r="G46" s="39" t="s">
        <v>179</v>
      </c>
      <c r="H46" s="39" t="s">
        <v>178</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175</v>
      </c>
      <c r="E54" s="125" t="s">
        <v>176</v>
      </c>
      <c r="F54" s="125" t="s">
        <v>177</v>
      </c>
      <c r="G54" s="125" t="s">
        <v>179</v>
      </c>
      <c r="H54" s="125" t="s">
        <v>178</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180</v>
      </c>
      <c r="E62" s="39" t="s">
        <v>181</v>
      </c>
      <c r="F62" s="39" t="s">
        <v>182</v>
      </c>
      <c r="G62" s="39" t="s">
        <v>183</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191</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184</v>
      </c>
      <c r="F86" s="39" t="s">
        <v>185</v>
      </c>
      <c r="G86" s="39" t="s">
        <v>191</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180</v>
      </c>
      <c r="E98" s="39" t="s">
        <v>186</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180</v>
      </c>
      <c r="E107" s="39" t="s">
        <v>187</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188</v>
      </c>
      <c r="E116" s="39" t="s">
        <v>148</v>
      </c>
      <c r="F116" s="39" t="s">
        <v>189</v>
      </c>
      <c r="G116" s="39" t="s">
        <v>190</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184</v>
      </c>
      <c r="F128" s="39" t="s">
        <v>191</v>
      </c>
      <c r="G128" s="114" t="s">
        <v>206</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180</v>
      </c>
      <c r="E141" s="39" t="s">
        <v>201</v>
      </c>
      <c r="F141" s="39" t="s">
        <v>202</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1:13" x14ac:dyDescent="0.25">
      <c r="D209" s="56" cm="1">
        <f t="array" ref="D209">SourceData_Dairy.SourceData_Dairy_FractionOfNitrogenLostThroughLeachingAndRunoff_Data()</f>
        <v>0.02</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7" t="str" cm="1">
        <f t="array" ref="D214">SourceData_Dairy.SourceData_Dairy_FracGASMSoil_Unit()</f>
        <v>(kg NH3-N + NOx-N)/kg N</v>
      </c>
      <c r="M214" s="24"/>
    </row>
    <row r="215" spans="1:13" x14ac:dyDescent="0.25">
      <c r="A215" s="141" t="str">
        <f>HYPERLINK("#A1", "▲ Back to top")</f>
        <v>▲ Back to top</v>
      </c>
      <c r="D215" s="56"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7" t="str" cm="1">
        <f t="array" ref="D220">SourceData_Dairy.SourceData_Dairy_FatContentInMilk_Unit()</f>
        <v>percent</v>
      </c>
      <c r="M220" s="24"/>
    </row>
    <row r="221" spans="1:13" x14ac:dyDescent="0.25">
      <c r="D221" s="56"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7" t="str" cm="1">
        <f t="array" ref="D226">SourceData_Dairy.SourceData_Dairy_ProteinContentInMilk_Unit()</f>
        <v>percent</v>
      </c>
      <c r="M226" s="24"/>
    </row>
    <row r="227" spans="4:13" x14ac:dyDescent="0.25">
      <c r="D227" s="56"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7" t="str" cm="1">
        <f t="array" ref="D98:D101">Common_SourceData.Common_SourceData_ClimateZones_Appendices()</f>
        <v>Note:</v>
      </c>
    </row>
    <row r="99" spans="4:20" ht="20.100000000000001" customHeight="1" x14ac:dyDescent="0.25">
      <c r="D99" s="57" t="str">
        <v>MAT = mean annual temperature</v>
      </c>
    </row>
    <row r="100" spans="4:20" ht="20.100000000000001" customHeight="1" x14ac:dyDescent="0.25">
      <c r="D100" s="57" t="str">
        <v>MAP = mean annual precipitation</v>
      </c>
    </row>
    <row r="101" spans="4:20" ht="20.100000000000001" customHeight="1" x14ac:dyDescent="0.25">
      <c r="D101" s="57" t="str">
        <v>PET = potential evapotranspiration</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332</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144</v>
      </c>
      <c r="E186" s="39" t="s">
        <v>145</v>
      </c>
      <c r="F186" s="39" t="s">
        <v>146</v>
      </c>
      <c r="G186" s="39" t="s">
        <v>147</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396</v>
      </c>
      <c r="E212" s="39" t="s">
        <v>397</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406</v>
      </c>
      <c r="F231" s="38" t="s">
        <v>407</v>
      </c>
      <c r="G231" s="39" t="s">
        <v>408</v>
      </c>
      <c r="H231" s="39" t="s">
        <v>409</v>
      </c>
      <c r="I231" s="39" t="s">
        <v>410</v>
      </c>
      <c r="J231" s="39" t="s">
        <v>411</v>
      </c>
      <c r="K231" s="39" t="s">
        <v>412</v>
      </c>
      <c r="L231" s="39" t="s">
        <v>413</v>
      </c>
      <c r="M231" s="39" t="s">
        <v>414</v>
      </c>
      <c r="N231" s="39" t="s">
        <v>415</v>
      </c>
      <c r="O231" s="39" t="s">
        <v>416</v>
      </c>
      <c r="P231" s="39" t="s">
        <v>417</v>
      </c>
      <c r="Q231" s="39" t="s">
        <v>418</v>
      </c>
      <c r="R231" s="39" t="s">
        <v>419</v>
      </c>
      <c r="S231" s="39" t="s">
        <v>420</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CcARABQAFcAJwAgAHYAYQByAGkAYQBiAGwAZQAgAHQAbwAgAGEAbABsAG8AdwAgAGYAbwByACAAYQAgAHMAZQBwAGEAcgBhAHQAZQAgAGgAYQBuAGQAbABpAG4AZwAgAG8AZgAgAHAAcgBlAC0AdwBlAGEAbgBlAGQAIABkAHUAcgBhAHQAaQBvAG4ALgBcACI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3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OAEUAXAAiACwAIABcACIAbgBlAHQAIABlAG4AZQByAGcAeQBcACIALAAgAFwAIgBNAEoAIABuAGUAdAAgAGUAbgBlAHIAZwB5AC8AawBnACAAbQBpAGwAawBcACIALAAgAFwAIgBDAG8AbgBzAHQAYQBuAHQAXAAiADsAXABuACAAIAAgACAAIAAgACAAIAAgACAAXAAiAEcARQBDAFwAIgAsACAAXAAiAGcAcgBvAHMAcwAgAGUAbgBlAHIAZwB5ACAAYwBvAG4AdABlAG4AdABcACIALAAgAFwAIgBNAEoALwBrAGcARABNAFwAIgAsACAAXAAiAEMAbwBuAHMAdABhAG4AdABcACIAOwBcAG4AIAAgACAAIAAgACAAIAAgACAAIABcACIAawBcACIALAAgAFwAIgBlAGYAZgBpAGMAaQBlAG4AYwB5ACAAbwBmACAAbQBlAHQAYQBiAG8AbABpAHoAYQBiAGwAZQAgAGUAbgBlAHIAZwB5ACAAdQBzAGUAIABmAG8AcgAgAG0AaQBsAGsAIABwAHIAbwBkAHUAYwB0AGkAbwBuAFwAIgAsACAAXAAiAGYAcgBhAGMAdABpAG8AbgBcACIALAAgAFwAIgBDAG8AbgBzAHQAYQBuAHQAXAAiADsAXABuACAAIAAgACAAIAAgACAAIAAgACAAXAAiAHEAbQBfAGoAXAAiACwAIABcACIAbQBlAHQAYQBiAG8AbABpAHMAYQBiAGkAbABpAHQAeQAgAG8AZgAgAHQAaABlACAAZABpAGUAdABcACIALAAgAFwAIgBmAHIAYQBjAHQAaQBvAG4AXAAiACwAIABcACIAQwBhAGwAYwB1AGwAYQB0AGUAZAAgAGYAcgBvAG0AIAAzAC4AMwAuADEALgAxACAAKAA2ACkAXAAiAFwAbgAgACAAIAAgACAAIAAgACAAfQAsACAAcgAsACAAYwApAFwAbgAgACAAIAAgACAAIAApAFwAbgAgACAAIAAgACkAXABuACAAIAApADsAXABuAFwAbgBWAEUARQBSAEcAXwAzAF8AMwBfADEAXwAxAF8AXwA0AF8AQQBkAGQAaQB0AGkAbwBuAGEAbABJAG4AdABhAGsAZQBGAG8AcgBNAGkAbABrAFAAcgBvAGQAdQBjAHQAaQBvAG4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FwAIgApADsAXABuAFwAbgAvACoAXABuAC0ALQAtAC0ALQAtAC0ALQAtAC0ALQAtAC0ALQAtAC0ALQAtAC0ALQAtAC0ALQAtAC0ALQAtAC0ALQAtAC0ALQAtAC0ALQAtAC0ALQBcAG4AVgBFAEUAUgBHAF8AMwBfADMAXwAxAF8AMQBfAF8ANQBfAE0AaQBsAGsAUAByAG8AZAB1AGMAdABpAG8AbgBGAHIAbwBtAE0AaQBsAGsAUwBvAGwAaQBkAHMAXABuAE0AaQBsAGsAIABwAHIAbwBkAHUAYwB0AGkAbwBuACAAYwBvAG4AdgBlAHIAdABlAGQAIABmAHIAbwBtACAAbQBpAGwAawAgAHMAbwBsAGkAZABzAFwAbgBNAFAAXwBqAFwAbgBMAC8AaABlAGEAZAAvAGQAYQB5AFwAbgBNAFAAXwBqAD0ATQBTAF8AagAvACgAMAAuADAAMQBcAFwAdABpAG0AZQBzACAAKABGAEMAXwBqACsAUABDAF8AagApACkAXABuAE0AUwBfAGoAIAA9ACAAZABhAGkAbAB5ACAAcAByAG8AZAB1AGMAdABpAG8AbgAgAG8AZgAgAG0AaQBsAGsAIABzAG8AbABpAGQAcwAgACgAawBnACAATQBTAC8AaABlAGEAZAAvAGQAYQB5ACkAXABuAEYAQwBfAGoAIAA9ACAAZgBhAHQAIABjAG8AbgB0AGUAbgB0ACAAaQBuACAAZgBhAHQAIABhAG4AZAAgAHAAcgBvAHQAZQBpAG4AIABjAG8AcgByAGUAYwB0AGUAZAAgAG0AaQBsAGsAIAAoAHAAZQByACAAYwBlAG4AdAApAFwAbgBQAEMAXwBqACAAPQAgAHAAcgBvAHQAZQBpAG4AIABjAG8AbgB0AGUAbgB0ACAAaQBuACAAZgBhAHQAIABhAG4AZAAgAHAAcgBvAHQAZQBpAG4AIABjAG8AcgByAGUAYwB0AGUAZAAgAG0AaQBsAGsAIAAoAHAAZQByACAAYwBlAG4AdAApAFwAbgAtAC0ALQAtAC0ALQAtAC0ALQAtAC0ALQAtAC0ALQAtAC0ALQAtAC0ALQAtAC0ALQAtAC0ALQAtAC0ALQAtAC0ALQAtAC0ALQAtAC0AXABuACoALwBcAG4AXABuAFYARQBFAFIARwBfADMAXwAzAF8AMQBfADEAXwBfADUAXwBNAGkAbABrAFAAcgBvAGQAdQBjAHQAaQBvAG4ARgByAG8AbQBNAGkAbABrAFMAbwBsAGkAZABzAFwAbgAgACAAPQBMAEEATQBCAEQAQQAoAFwAbgAgACAAIAAgAE0AUwBfAGoALAAgAEYAQwBfAGoALAAgAFAAQwBfAGoALABcAG4AIAAgACAAIABNAFMAXwBqACAALwAgACgAMAAuADAAMQAgACoAIAAoAEYAQwBfAGoAIAArACAAUABDAF8AagApACkAXABuACAAIAApADsAXABuAFwAbgBWAEUARQBSAEcAXwAzAF8AMwBfADEAXwAxAF8AXwA1AF8ATQBpAGwAawBQAHIAbwBkAHUAYwB0AGkAbwBuAEYAcgBvAG0ATQBpAGwAawBTAG8AbABpAGQAcwBfAFQAaQB0AGwAZQBcAG4AIAAgAD0ATABBAE0AQgBEAEEAKABcACIATQBpAGwAawAgAHAAcgBvAGQAdQBjAHQAaQBvAG4AIABjAG8AbgB2AGUAcgB0AGUAZAAgAGYAcgBvAG0AIABtAGkAbABrACAAcwBvAGwAaQBkAHMAXAAiACkAOwBcAG4AXABuAFYARQBFAFIARwBfADMAXwAzAF8AMQBfADEAXwBfADUAXwBNAGkAbABrAFAAcgBvAGQAdQBjAHQAaQBvAG4ARgByAG8AbQBNAGkAbABrAFMAbwBsAGkAZABzAF8AVgBhAHIAaQBhAGIAbABlAFwAbgAgACAAPQBMAEEATQBCAEQAQQAoAFwAIgBNAFAAXwBqAFwAIgApADsAXABuAFwAbgBWAEUARQBSAEcAXwAzAF8AMwBfADEAXwAxAF8AXwA1AF8ATQBpAGwAawBQAHIAbwBkAHUAYwB0AGkAbwBuAEYAcgBvAG0ATQBpAGwAawBTAG8AbABpAGQAcwBfAFUAbgBpAHQAXABuACAAIAA9AEwAQQBNAEIARABBACgAXAAiAEwALwBoAGUAYQBkAC8AZABhAHkAXAAiACkAOwBcAG4AXABuAFYARQBFAFIARwBfADMAXwAzAF8AMQBfADEAXwBfADUAXwBNAGkAbABrAFAAcgBvAGQAdQBjAHQAaQBvAG4ARgByAG8AbQBNAGkAbABrAFMAbwBsAGkAZABzAF8AUwBvAHUAcgBjAGUAXABuACAAIAA9AEwAQQBNAEIARABBACgAXAAiAFYARQBFAFIARwAgADIAMAAyADYAOgAgADMALgAzAC4AMQAuADEALAAgAEUAcQB1AGEAdABpAG8AbgAgACgANQApAFwAIgApADsAXABuAFwAbgBWAEUARQBSAEcAXwAzAF8AMwBfADEAXwAxAF8AXwA1AF8ATQBpAGwAawBQAHIAbwBkAHUAYwB0AGkAbwBuAEYAcgBvAG0ATQBpAGwAawBTAG8AbABpAGQAcwBfAE4ASQBSAFIAZQBmAGUAcgBlAG4AYwBlAFwAbgAgACAAPQBMAEEATQBCAEQAQQAoAFwAIgBcACIAKQA7AFwAbgBcAG4AVgBFAEUAUgBHAF8AMwBfADMAXwAxAF8AMQBfAF8ANQBfAE0AaQBsAGsAUAByAG8AZAB1AGMAdABpAG8AbgBGAHIAbwBtAE0AaQBsAGsAUwBvAGwAaQBkAHMAXwBMAGEAdABlAHgARQBxAHUAYQB0AGkAbwBuAFwAbgAgACAAPQBMAEEATQBCAEQAQQAoAFwAIgBNAFAAXwBqAD0AXABcAGYAcgBhAGMAewBNAFMAXwBqAH0AewAwAC4AMAAxAFwAXAB0AGkAbQBlAHMAIAAoAEYAQwBfAGoAKwBQAEMAXwBqACkAfQBcACIAKQA7AFwAbgBcAG4AVgBFAEUAUgBHAF8AMwBfADMAXwAxAF8AMQBfAF8ANQBfAE0AaQBsAGsAUAByAG8AZAB1AGMAdABpAG8AbgBGAHIAbwBtAE0AaQBsAGsAUwBvAGwAaQBkAHMAXwBBAHIAZwB1AG0AZQBuAHQAcwBcAG4AIAAgAD0ATABBAE0AQgBEAEEAKABcAG4AIAAgACAAIABNAEEASwBFAEEAUgBSAEEAWQAoADQ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MAbwBuAHMAdABhAG4AdABcACIAOwBcAG4AIAAgACAAIAAgACAAIAAgACAAIABcACIAUABDAF8AagBcACIALAAgAFwAIgBwAHIAbwB0AGUAaQBuACAAYwBvAG4AdABlAG4AdAAgAGkAbgAgAGYAYQB0ACAAYQBuAGQAIABwAHIAbwB0AGUAaQBuACAAYwBvAHIAcgBlAGMAdABlAGQAIABtAGkAbABrAFwAIgAsACAAXAAiAHAAZQByACAAYwBlAG4AdABcACIALAAgAFwAIgBDAG8AbgBzAHQAYQBuAHQAXAAiAFwAbgAgACAAIAAgACAAIAAgACAAfQAsACAAcgAsACAAYwApAFwAbgAgACAAIAAgACAAIAApAFwAbgAgACAAIAAgACkAXABuACAAIAApADsAXABuAFwAbgBWAEUARQBSAEcAXwAzAF8AMwBfADEAXwAxAF8AXwA1AF8ATQBpAGwAawBQAHIAbwBkAHUAYwB0AGkAbwBuAEYAcgBvAG0ATQBpAGwAawBTAG8AbABpAGQAcwBfAEEAcgBnAHUAbQBlAG4AdABzAF8ATQBlAHQAaABvAGQAMgBcAG4AIAAgAD0ATABBAE0AQgBEAEEAKABcAG4AIAAgACAAIABNAEEASwBFAEEAUgBSAEEAWQAoADQALAAgADQALABcAG4AIAAgACAAIAAgACAATABBAE0AQgBEAEEAKAByACwAYwAsAFwAbgAgACAAIAAgACAAIAAgACAASQBOAEQARQBYACgAewBcAG4AIAAgACAAIAAgACAAIAAgACAAIABcACIATQBQAFUAXAAiACwAIABcACI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IABDAG8AbgB2AGUAcgB0AGUAZAAgAGkAbgBwAHUAdAAgAEYAQwAgAGEAbgBkACAAUABDACAAcABlAHIAYwBlAG4AdAAgAHQAbwAgAGkAbgB0AGUAZwBlAHIALgBcACIAKQA7AFwAbgBcAG4ALwAqAFwAbgAtAC0ALQAtAC0ALQAtAC0ALQAtAC0ALQAtAC0ALQAtAC0ALQAtAC0ALQAtAC0ALQAtAC0ALQAtAC0ALQAtAC0ALQAtAC0ALQAtAC0AXABuAFYARQBFAFIARwBfADMAXwAzAF8AMQBfADEAXwBfADYAXwBNAGUAdABhAGIAbwBsAGkAcwBhAGIAaQBsAGkAdAB5AE8AZgBEAGkAZQB0AFwAbgBNAGUAdABhAGIAbwBsAGkAcwBhAGIAaQBsAGkAdAB5ACAAbwBmACAAZABpAGUAdA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yAF8ATQBlAHQAaABhAG4AZQBGAHIAbwBtAE0AYQBuAHUAcgBlAFAAcgBvAGQAdQBjAHQAaQBvAG4AXwBBAHIAZwB1AG0AZQBuAHQAcwBfAE0AZQB0AGgAbwBkADI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2AF8ATgBpAHQAcgBvAGcAZQBuAFIAZQB0AGEAaQBuAGUAZABCAHkAQgBvAGQAeQBfAFYAYQByAGkAYQB0AGkAbwBuACIALAAiAE0ATQBTAF8ARABhAGkAcgB5AF8ATgAyAE8ARABpAHIAZQBjAHQAXwBFAHEAdQBhAHQAaQBvAG4AcwAuAFYARQBFAFIARwBfADQAXwAzAF8AMQBfADMAXwBfADcAXwBJAG4AdABhAGsAZQBSAGUAbABhAHQAaQB2AGUAVABvAE0AYQBpAG4AdABlAG4AYQBuAGMAZQAiACwAIgBNAE0AUwBfAEQAYQBpAHIAeQBfAE4AMgBPAEQAaQByAGUAYwB0AF8ARQBxAHUAYQB0AGkAbwBuAHMALgBWAEUARQBSAEcAXwA0AF8AMwBfADEAXwAzAF8AXwA3AF8ASQBuAHQAYQBrAGUAUgBlAGwAYQB0AGkAdgBlAFQAbwBNAGEAaQBuAHQAZQBuAGEAbgBjAGUAXwBUAGkAdABsAGUAIgAsACIATQBNAFMAXwBEAGEAaQByAHkAXwBOADIATwBEAGkAcgBlAGMAdABfAEUAcQB1AGEAdABpAG8AbgBzAC4AVgBFAEUAUgBHAF8ANABfADMAXwAxAF8AMwBfAF8ANwBfAEkAbgB0AGEAawBlAFIAZQBsAGEAdABpAHYAZQBUAG8ATQBhAGkAbgB0AGUAbgBhAG4AYwBlAF8AVgBhAHIAaQBhAGIAbABlACIALAAiAE0ATQBTAF8ARABhAGkAcgB5AF8ATgAyAE8ARABpAHIAZQBjAHQAXwBFAHEAdQBhAHQAaQBvAG4AcwAuAFYARQBFAFIARwBfADQAXwAzAF8AMQBfADMAXwBfADcAXwBJAG4AdABhAGsAZQBSAGUAbABhAHQAaQB2AGUAVABvAE0AYQBpAG4AdABlAG4AYQBuAGMAZQBfAFUAbgBpAHQAIgAsACIATQBNAFMAXwBEAGEAaQByAHkAXwBOADIATwBEAGkAcgBlAGMAdABfAEUAcQB1AGEAdABpAG8AbgBzAC4AVgBFAEUAUgBHAF8ANABfADMAXwAxAF8AMwBfAF8ANwBfAEkAbgB0AGEAawBlAFIAZQBsAGEAdABpAHYAZQBUAG8ATQBhAGkAbgB0AGUAbgBhAG4AYwBlAF8AUwBvAHUAcgBjAGUAIgAsACIATQBNAFMAXwBEAGEAaQByAHkAXwBOADIATwBEAGkAcgBlAGMAdABfAEUAcQB1AGEAdABpAG8AbgBzAC4AVgBFAEUAUgBHAF8ANABfADMAXwAxAF8AMwBfAF8ANwBfAEkAbgB0AGEAawBlAFIAZQBsAGEAdABpAHYAZQBUAG8ATQBhAGkAbgB0AGUAbgBhAG4AYwBlAF8ATgBJAFIAUgBlAGYAZQByAGUAbgBjAGUAIgAsACIATQBNAFMAXwBEAGEAaQByAHkAXwBOADIATwBEAGkAcgBlAGMAdABfAEUAcQB1AGEAdABpAG8AbgBzAC4AVgBFAEUAUgBHAF8ANABfADMAXwAxAF8AMwBfAF8ANwBfAEkAbgB0AGEAawBlAFIAZQBsAGEAdABpAHYAZQBUAG8ATQBhAGkAbgB0AGUAbgBhAG4AYwBlAF8ATABhAHQAZQB4AEUAcQB1AGEAdABpAG8AbgAiACwAIgBNAE0AUwBfAEQAYQBpAHIAeQBfAE4AMgBPAEQAaQByAGUAYwB0AF8ARQBxAHUAYQB0AGkAbwBuAHMALgBWAEUARQBSAEcAXwA0AF8AMwBfADEAXwAzAF8AXwA3AF8ASQBuAHQAYQBrAGUAUgBlAGwAYQB0AGkAdgBlAFQAbwBNAGEAaQBuAHQAZQBuAGEAbgBjAGUAXwBBAHIAZwB1AG0AZQBuAHQAcwAiACwAIgBNAE0AUwBfAEQAYQBpAHIAeQBfAE4AMgBPAEQAaQByAGUAYwB0AF8ARQBxAHUAYQB0AGkAbwBuAHMALgBWAEUARQBSAEcAXwA0AF8AMwBfADEAXwAzAF8AXwA4AF8AUgBlAGwAYQB0AGkAdgBlAFMAaQB6AGUAIgAsACIATQBNAFMAXwBEAGEAaQByAHkAXwBOADIATwBEAGkAcgBlAGMAdABfAEUAcQB1AGEAdABpAG8AbgBzAC4AVgBFAEUAUgBHAF8ANABfADMAXwAxAF8AMwBfAF8AOABfAFIAZQBsAGEAdABpAHYAZQBTAGkAegBlAF8AVABpAHQAbABlACIALAAiAE0ATQBTAF8ARABhAGkAcgB5AF8ATgAyAE8ARABpAHIAZQBjAHQAXwBFAHEAdQBhAHQAaQBvAG4AcwAuAFYARQBFAFIARwBfADQAXwAzAF8AMQBfADMAXwBfADgAXwBSAGUAbABhAHQAaQB2AGUAUwBpAHoAZQBfAFYAYQByAGkAYQBiAGwAZQAiACwAIgBNAE0AUwBfAEQAYQBpAHIAeQBfAE4AMgBPAEQAaQByAGUAYwB0AF8ARQBxAHUAYQB0AGkAbwBuAHMALgBWAEUARQBSAEcAXwA0AF8AMwBfADEAXwAzAF8AXwA4AF8AUgBlAGwAYQB0AGkAdgBlAFMAaQB6AGUAXwBVAG4AaQB0ACIALAAiAE0ATQBTAF8ARABhAGkAcgB5AF8ATgAyAE8ARABpAHIAZQBjAHQAXwBFAHEAdQBhAHQAaQBvAG4AcwAuAFYARQBFAFIARwBfADQAXwAzAF8AMQBfADMAXwBfADgAXwBSAGUAbABhAHQAaQB2AGUAUwBpAHoAZQBfAFMAbwB1AHIAYwBlACIALAAiAE0ATQBTAF8ARABhAGkAcgB5AF8ATgAyAE8ARABpAHIAZQBjAHQAXwBFAHEAdQBhAHQAaQBvAG4AcwAuAFYARQBFAFIARwBfADQAXwAzAF8AMQBfADMAXwBfADgAXwBSAGUAbABhAHQAaQB2AGUAUwBpAHoAZQBfAE4ASQBSAFIAZQBmAGUAcgBlAG4AYwBlACIALAAiAE0ATQBTAF8ARABhAGkAcgB5AF8ATgAyAE8ARABpAHIAZQBjAHQAXwBFAHEAdQBhAHQAaQBvAG4AcwAuAFYARQBFAFIARwBfADQAXwAzAF8AMQBfADMAXwBfADgAXwBSAGUAbABhAHQAaQB2AGUAUwBpAHoAZQBfAEwAYQB0AGUAeABFAHEAdQBhAHQAaQBvAG4AIgAsACIATQBNAFMAXwBEAGEAaQByAHkAXwBOADIATwBEAGkAcgBlAGMAdABfAEUAcQB1AGEAdABpAG8AbgBzAC4AVgBFAEUAUgBHAF8ANABfADMAXwAxAF8AMwBfAF8AOABfAFIAZQBsAGEAdABpAHYAZQBTAGkAegBlAF8AQQByAGcAdQBtAGUAbgB0AHM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QQByAGcAdQBtAGUAbgB0AHM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2026-05-25T04:59:47Z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