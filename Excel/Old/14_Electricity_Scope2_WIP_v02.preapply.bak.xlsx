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A5B9E96-D379-4354-BE6F-01B593AD85B8}"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8"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Site_EndDate">'Input - Site'!$E$13</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28" l="1"/>
  <c r="A18" i="128"/>
  <c r="A14" i="128"/>
  <c r="A10" i="128"/>
  <c r="A9" i="128"/>
  <c r="A5" i="128"/>
  <c r="A4" i="128"/>
  <c r="A3" i="128"/>
  <c r="A19" i="110"/>
  <c r="A18" i="110"/>
  <c r="A14" i="110"/>
  <c r="A10" i="110"/>
  <c r="A9" i="110"/>
  <c r="A5" i="110"/>
  <c r="A4" i="110"/>
  <c r="A3" i="110"/>
  <c r="A19" i="69"/>
  <c r="A18" i="69"/>
  <c r="A14" i="69"/>
  <c r="A10" i="69"/>
  <c r="A9" i="69"/>
  <c r="A5" i="69"/>
  <c r="A4" i="69"/>
  <c r="A3" i="69"/>
  <c r="A19" i="70"/>
  <c r="A18" i="70"/>
  <c r="A14" i="70"/>
  <c r="A10" i="70"/>
  <c r="A9" i="70"/>
  <c r="A5" i="70"/>
  <c r="A4" i="70"/>
  <c r="A3" i="70"/>
  <c r="A19" i="121"/>
  <c r="A18" i="121"/>
  <c r="A14" i="121"/>
  <c r="A10" i="121"/>
  <c r="A9" i="121"/>
  <c r="A5" i="121"/>
  <c r="A4" i="121"/>
  <c r="A3" i="121"/>
  <c r="A19" i="13"/>
  <c r="A18" i="13"/>
  <c r="A14" i="13"/>
  <c r="A10" i="13"/>
  <c r="A9" i="13"/>
  <c r="A5" i="13"/>
  <c r="A4" i="13"/>
  <c r="A3" i="13"/>
  <c r="A19" i="118"/>
  <c r="A18" i="118"/>
  <c r="A14" i="118"/>
  <c r="A10" i="118"/>
  <c r="A9" i="118"/>
  <c r="A5" i="118"/>
  <c r="A4" i="118"/>
  <c r="A3" i="118"/>
  <c r="A19" i="71"/>
  <c r="A18" i="71"/>
  <c r="A14" i="71"/>
  <c r="A10" i="71"/>
  <c r="A9" i="71"/>
  <c r="A5" i="71"/>
  <c r="A4" i="71"/>
  <c r="A3" i="71"/>
  <c r="E259" i="128" a="1"/>
  <c r="E259" i="128" s="1"/>
  <c r="D259" i="128" a="1"/>
  <c r="D259" i="128" s="1"/>
  <c r="E258" i="128" a="1"/>
  <c r="E258" i="128" s="1"/>
  <c r="D258" i="128" a="1"/>
  <c r="D258" i="128" s="1"/>
  <c r="D256" i="128" a="1"/>
  <c r="D256" i="128" s="1"/>
  <c r="D255" i="128"/>
  <c r="D255" i="128" a="1"/>
  <c r="D254" i="128" a="1"/>
  <c r="D254" i="128" s="1"/>
  <c r="D253" i="128" a="1"/>
  <c r="D253" i="128" s="1"/>
  <c r="S250" i="128" a="1"/>
  <c r="S250" i="128" s="1"/>
  <c r="R250" i="128" a="1"/>
  <c r="R250" i="128" s="1"/>
  <c r="Q250" i="128" a="1"/>
  <c r="Q250" i="128" s="1"/>
  <c r="P250" i="128" a="1"/>
  <c r="P250" i="128" s="1"/>
  <c r="O250" i="128" a="1"/>
  <c r="O250" i="128" s="1"/>
  <c r="N250" i="128" a="1"/>
  <c r="N250" i="128" s="1"/>
  <c r="M250" i="128" a="1"/>
  <c r="M250" i="128" s="1"/>
  <c r="L250" i="128" a="1"/>
  <c r="L250" i="128" s="1"/>
  <c r="K250" i="128" a="1"/>
  <c r="K250" i="128" s="1"/>
  <c r="J250" i="128" a="1"/>
  <c r="J250" i="128" s="1"/>
  <c r="I250" i="128" a="1"/>
  <c r="I250" i="128" s="1"/>
  <c r="H250" i="128" a="1"/>
  <c r="H250" i="128" s="1"/>
  <c r="G250" i="128" a="1"/>
  <c r="G250" i="128" s="1"/>
  <c r="F250" i="128" a="1"/>
  <c r="F250" i="128" s="1"/>
  <c r="E250" i="128" a="1"/>
  <c r="E250" i="128" s="1"/>
  <c r="D250" i="128" a="1"/>
  <c r="D250" i="128" s="1"/>
  <c r="S249" i="128" a="1"/>
  <c r="S249" i="128" s="1"/>
  <c r="R249" i="128" a="1"/>
  <c r="R249" i="128" s="1"/>
  <c r="Q249" i="128" a="1"/>
  <c r="Q249" i="128" s="1"/>
  <c r="P249" i="128" a="1"/>
  <c r="P249" i="128" s="1"/>
  <c r="O249" i="128" a="1"/>
  <c r="O249" i="128" s="1"/>
  <c r="N249" i="128" a="1"/>
  <c r="N249" i="128" s="1"/>
  <c r="M249" i="128" a="1"/>
  <c r="M249" i="128" s="1"/>
  <c r="L249" i="128" a="1"/>
  <c r="L249" i="128" s="1"/>
  <c r="K249" i="128" a="1"/>
  <c r="K249" i="128" s="1"/>
  <c r="J249" i="128" a="1"/>
  <c r="J249" i="128" s="1"/>
  <c r="I249" i="128" a="1"/>
  <c r="I249" i="128" s="1"/>
  <c r="H249" i="128" a="1"/>
  <c r="H249" i="128" s="1"/>
  <c r="G249" i="128" a="1"/>
  <c r="G249" i="128" s="1"/>
  <c r="F249" i="128" a="1"/>
  <c r="F249" i="128" s="1"/>
  <c r="E249" i="128" a="1"/>
  <c r="E249" i="128" s="1"/>
  <c r="D249" i="128" a="1"/>
  <c r="D249" i="128" s="1"/>
  <c r="S248" i="128" a="1"/>
  <c r="S248" i="128" s="1"/>
  <c r="R248" i="128" a="1"/>
  <c r="R248" i="128" s="1"/>
  <c r="Q248" i="128" a="1"/>
  <c r="Q248" i="128" s="1"/>
  <c r="P248" i="128" a="1"/>
  <c r="P248" i="128" s="1"/>
  <c r="O248" i="128" a="1"/>
  <c r="O248" i="128" s="1"/>
  <c r="N248" i="128" a="1"/>
  <c r="N248" i="128" s="1"/>
  <c r="M248" i="128" a="1"/>
  <c r="M248" i="128" s="1"/>
  <c r="L248" i="128" a="1"/>
  <c r="L248" i="128" s="1"/>
  <c r="K248" i="128" a="1"/>
  <c r="K248" i="128" s="1"/>
  <c r="J248" i="128" a="1"/>
  <c r="J248" i="128" s="1"/>
  <c r="I248" i="128" a="1"/>
  <c r="I248" i="128" s="1"/>
  <c r="H248" i="128" a="1"/>
  <c r="H248" i="128" s="1"/>
  <c r="G248" i="128" a="1"/>
  <c r="G248" i="128" s="1"/>
  <c r="F248" i="128" a="1"/>
  <c r="F248" i="128" s="1"/>
  <c r="E248" i="128" a="1"/>
  <c r="E248" i="128" s="1"/>
  <c r="D248" i="128" a="1"/>
  <c r="D248" i="128" s="1"/>
  <c r="S247" i="128" a="1"/>
  <c r="S247" i="128" s="1"/>
  <c r="R247" i="128" a="1"/>
  <c r="R247" i="128" s="1"/>
  <c r="Q247" i="128" a="1"/>
  <c r="Q247" i="128" s="1"/>
  <c r="P247" i="128" a="1"/>
  <c r="P247" i="128" s="1"/>
  <c r="O247" i="128" a="1"/>
  <c r="O247" i="128" s="1"/>
  <c r="N247" i="128" a="1"/>
  <c r="N247" i="128" s="1"/>
  <c r="M247" i="128" a="1"/>
  <c r="M247" i="128" s="1"/>
  <c r="L247" i="128" a="1"/>
  <c r="L247" i="128" s="1"/>
  <c r="K247" i="128" a="1"/>
  <c r="K247" i="128" s="1"/>
  <c r="J247" i="128" a="1"/>
  <c r="J247" i="128" s="1"/>
  <c r="I247" i="128" a="1"/>
  <c r="I247" i="128" s="1"/>
  <c r="H247" i="128" a="1"/>
  <c r="H247" i="128" s="1"/>
  <c r="G247" i="128" a="1"/>
  <c r="G247" i="128" s="1"/>
  <c r="F247" i="128" a="1"/>
  <c r="F247" i="128" s="1"/>
  <c r="E247" i="128" a="1"/>
  <c r="E247" i="128" s="1"/>
  <c r="D247" i="128" a="1"/>
  <c r="D247" i="128" s="1"/>
  <c r="S246" i="128" a="1"/>
  <c r="S246" i="128" s="1"/>
  <c r="R246" i="128" a="1"/>
  <c r="R246" i="128" s="1"/>
  <c r="Q246" i="128" a="1"/>
  <c r="Q246" i="128" s="1"/>
  <c r="P246" i="128" a="1"/>
  <c r="P246" i="128" s="1"/>
  <c r="O246" i="128" a="1"/>
  <c r="O246" i="128" s="1"/>
  <c r="N246" i="128" a="1"/>
  <c r="N246" i="128" s="1"/>
  <c r="M246" i="128" a="1"/>
  <c r="M246" i="128" s="1"/>
  <c r="L246" i="128" a="1"/>
  <c r="L246" i="128" s="1"/>
  <c r="K246" i="128" a="1"/>
  <c r="K246" i="128" s="1"/>
  <c r="J246" i="128" a="1"/>
  <c r="J246" i="128" s="1"/>
  <c r="I246" i="128" a="1"/>
  <c r="I246" i="128" s="1"/>
  <c r="H246" i="128" a="1"/>
  <c r="H246" i="128" s="1"/>
  <c r="G246" i="128" a="1"/>
  <c r="G246" i="128" s="1"/>
  <c r="F246" i="128" a="1"/>
  <c r="F246" i="128" s="1"/>
  <c r="E246" i="128" a="1"/>
  <c r="E246" i="128" s="1"/>
  <c r="D246" i="128" a="1"/>
  <c r="D246" i="128" s="1"/>
  <c r="S245" i="128" a="1"/>
  <c r="S245" i="128" s="1"/>
  <c r="R245" i="128" a="1"/>
  <c r="R245" i="128" s="1"/>
  <c r="Q245" i="128" a="1"/>
  <c r="Q245" i="128" s="1"/>
  <c r="P245" i="128" a="1"/>
  <c r="P245" i="128" s="1"/>
  <c r="O245" i="128" a="1"/>
  <c r="O245" i="128" s="1"/>
  <c r="N245" i="128" a="1"/>
  <c r="N245" i="128" s="1"/>
  <c r="M245" i="128" a="1"/>
  <c r="M245" i="128" s="1"/>
  <c r="L245" i="128" a="1"/>
  <c r="L245" i="128" s="1"/>
  <c r="K245" i="128" a="1"/>
  <c r="K245" i="128" s="1"/>
  <c r="J245" i="128" a="1"/>
  <c r="J245" i="128" s="1"/>
  <c r="I245" i="128" a="1"/>
  <c r="I245" i="128" s="1"/>
  <c r="H245" i="128" a="1"/>
  <c r="H245" i="128" s="1"/>
  <c r="G245" i="128" a="1"/>
  <c r="G245" i="128" s="1"/>
  <c r="F245" i="128" a="1"/>
  <c r="F245" i="128" s="1"/>
  <c r="E245" i="128" a="1"/>
  <c r="E245" i="128" s="1"/>
  <c r="D245" i="128" a="1"/>
  <c r="D245" i="128" s="1"/>
  <c r="S244" i="128" a="1"/>
  <c r="S244" i="128" s="1"/>
  <c r="R244" i="128" a="1"/>
  <c r="R244" i="128" s="1"/>
  <c r="Q244" i="128" a="1"/>
  <c r="Q244" i="128" s="1"/>
  <c r="P244" i="128" a="1"/>
  <c r="P244" i="128" s="1"/>
  <c r="O244" i="128" a="1"/>
  <c r="O244" i="128" s="1"/>
  <c r="N244" i="128" a="1"/>
  <c r="N244" i="128" s="1"/>
  <c r="M244" i="128" a="1"/>
  <c r="M244" i="128" s="1"/>
  <c r="L244" i="128" a="1"/>
  <c r="L244" i="128" s="1"/>
  <c r="K244" i="128" a="1"/>
  <c r="K244" i="128" s="1"/>
  <c r="J244" i="128" a="1"/>
  <c r="J244" i="128" s="1"/>
  <c r="I244" i="128" a="1"/>
  <c r="I244" i="128" s="1"/>
  <c r="H244" i="128" a="1"/>
  <c r="H244" i="128" s="1"/>
  <c r="G244" i="128" a="1"/>
  <c r="G244" i="128" s="1"/>
  <c r="F244" i="128" a="1"/>
  <c r="F244" i="128" s="1"/>
  <c r="E244" i="128" a="1"/>
  <c r="E244" i="128" s="1"/>
  <c r="D244" i="128" a="1"/>
  <c r="D244" i="128" s="1"/>
  <c r="S243" i="128" a="1"/>
  <c r="S243" i="128" s="1"/>
  <c r="R243" i="128" a="1"/>
  <c r="R243" i="128" s="1"/>
  <c r="Q243" i="128" a="1"/>
  <c r="Q243" i="128" s="1"/>
  <c r="P243" i="128" a="1"/>
  <c r="P243" i="128" s="1"/>
  <c r="O243" i="128" a="1"/>
  <c r="O243" i="128" s="1"/>
  <c r="N243" i="128" a="1"/>
  <c r="N243" i="128" s="1"/>
  <c r="M243" i="128" a="1"/>
  <c r="M243" i="128" s="1"/>
  <c r="L243" i="128" a="1"/>
  <c r="L243" i="128" s="1"/>
  <c r="K243" i="128" a="1"/>
  <c r="K243" i="128" s="1"/>
  <c r="J243" i="128" a="1"/>
  <c r="J243" i="128" s="1"/>
  <c r="I243" i="128" a="1"/>
  <c r="I243" i="128" s="1"/>
  <c r="H243" i="128" a="1"/>
  <c r="H243" i="128" s="1"/>
  <c r="G243" i="128" a="1"/>
  <c r="G243" i="128" s="1"/>
  <c r="F243" i="128" a="1"/>
  <c r="F243" i="128" s="1"/>
  <c r="E243" i="128" a="1"/>
  <c r="E243" i="128" s="1"/>
  <c r="D243" i="128" a="1"/>
  <c r="D243" i="128" s="1"/>
  <c r="S242" i="128" a="1"/>
  <c r="S242" i="128" s="1"/>
  <c r="R242" i="128" a="1"/>
  <c r="R242" i="128" s="1"/>
  <c r="Q242" i="128" a="1"/>
  <c r="Q242" i="128" s="1"/>
  <c r="P242" i="128" a="1"/>
  <c r="P242" i="128" s="1"/>
  <c r="O242" i="128" a="1"/>
  <c r="O242" i="128" s="1"/>
  <c r="N242" i="128" a="1"/>
  <c r="N242" i="128" s="1"/>
  <c r="M242" i="128" a="1"/>
  <c r="M242" i="128" s="1"/>
  <c r="L242" i="128" a="1"/>
  <c r="L242" i="128" s="1"/>
  <c r="K242" i="128" a="1"/>
  <c r="K242" i="128" s="1"/>
  <c r="J242" i="128" a="1"/>
  <c r="J242" i="128" s="1"/>
  <c r="I242" i="128" a="1"/>
  <c r="I242" i="128" s="1"/>
  <c r="H242" i="128" a="1"/>
  <c r="H242" i="128" s="1"/>
  <c r="G242" i="128" a="1"/>
  <c r="G242" i="128" s="1"/>
  <c r="F242" i="128" a="1"/>
  <c r="F242" i="128" s="1"/>
  <c r="E242" i="128" a="1"/>
  <c r="E242" i="128" s="1"/>
  <c r="D242" i="128" a="1"/>
  <c r="D242" i="128" s="1"/>
  <c r="S241" i="128" a="1"/>
  <c r="S241" i="128" s="1"/>
  <c r="R241" i="128" a="1"/>
  <c r="R241" i="128" s="1"/>
  <c r="Q241" i="128" a="1"/>
  <c r="Q241" i="128" s="1"/>
  <c r="P241" i="128" a="1"/>
  <c r="P241" i="128" s="1"/>
  <c r="O241" i="128" a="1"/>
  <c r="O241" i="128" s="1"/>
  <c r="N241" i="128" a="1"/>
  <c r="N241" i="128" s="1"/>
  <c r="M241" i="128" a="1"/>
  <c r="M241" i="128" s="1"/>
  <c r="L241" i="128" a="1"/>
  <c r="L241" i="128" s="1"/>
  <c r="K241" i="128" a="1"/>
  <c r="K241" i="128" s="1"/>
  <c r="J241" i="128" a="1"/>
  <c r="J241" i="128" s="1"/>
  <c r="I241" i="128" a="1"/>
  <c r="I241" i="128" s="1"/>
  <c r="H241" i="128" a="1"/>
  <c r="H241" i="128" s="1"/>
  <c r="G241" i="128" a="1"/>
  <c r="G241" i="128" s="1"/>
  <c r="F241" i="128" a="1"/>
  <c r="F241" i="128" s="1"/>
  <c r="E241" i="128" a="1"/>
  <c r="E241" i="128" s="1"/>
  <c r="D241" i="128" a="1"/>
  <c r="D241" i="128" s="1"/>
  <c r="S240" i="128" a="1"/>
  <c r="S240" i="128" s="1"/>
  <c r="R240" i="128" a="1"/>
  <c r="R240" i="128" s="1"/>
  <c r="Q240" i="128" a="1"/>
  <c r="Q240" i="128" s="1"/>
  <c r="P240" i="128" a="1"/>
  <c r="P240" i="128" s="1"/>
  <c r="O240" i="128" a="1"/>
  <c r="O240" i="128" s="1"/>
  <c r="N240" i="128" a="1"/>
  <c r="N240" i="128" s="1"/>
  <c r="M240" i="128" a="1"/>
  <c r="M240" i="128" s="1"/>
  <c r="L240" i="128" a="1"/>
  <c r="L240" i="128" s="1"/>
  <c r="K240" i="128" a="1"/>
  <c r="K240" i="128" s="1"/>
  <c r="J240" i="128" a="1"/>
  <c r="J240" i="128" s="1"/>
  <c r="I240" i="128" a="1"/>
  <c r="I240" i="128" s="1"/>
  <c r="H240" i="128" a="1"/>
  <c r="H240" i="128" s="1"/>
  <c r="G240" i="128" a="1"/>
  <c r="G240" i="128" s="1"/>
  <c r="F240" i="128" a="1"/>
  <c r="F240" i="128" s="1"/>
  <c r="E240" i="128" a="1"/>
  <c r="E240" i="128" s="1"/>
  <c r="D240" i="128" a="1"/>
  <c r="D240" i="128" s="1"/>
  <c r="S239" i="128" a="1"/>
  <c r="S239" i="128" s="1"/>
  <c r="R239" i="128" a="1"/>
  <c r="R239" i="128" s="1"/>
  <c r="Q239" i="128" a="1"/>
  <c r="Q239" i="128" s="1"/>
  <c r="P239" i="128" a="1"/>
  <c r="P239" i="128" s="1"/>
  <c r="O239" i="128" a="1"/>
  <c r="O239" i="128" s="1"/>
  <c r="N239" i="128" a="1"/>
  <c r="N239" i="128" s="1"/>
  <c r="M239" i="128" a="1"/>
  <c r="M239" i="128" s="1"/>
  <c r="L239" i="128" a="1"/>
  <c r="L239" i="128" s="1"/>
  <c r="K239" i="128" a="1"/>
  <c r="K239" i="128" s="1"/>
  <c r="J239" i="128" a="1"/>
  <c r="J239" i="128" s="1"/>
  <c r="I239" i="128" a="1"/>
  <c r="I239" i="128" s="1"/>
  <c r="H239" i="128" a="1"/>
  <c r="H239" i="128" s="1"/>
  <c r="G239" i="128" a="1"/>
  <c r="G239" i="128" s="1"/>
  <c r="F239" i="128" a="1"/>
  <c r="F239" i="128" s="1"/>
  <c r="E239" i="128" a="1"/>
  <c r="E239" i="128" s="1"/>
  <c r="D239" i="128" a="1"/>
  <c r="D239" i="128" s="1"/>
  <c r="S238" i="128" a="1"/>
  <c r="S238" i="128" s="1"/>
  <c r="R238" i="128" a="1"/>
  <c r="R238" i="128" s="1"/>
  <c r="Q238" i="128" a="1"/>
  <c r="Q238" i="128" s="1"/>
  <c r="P238" i="128" a="1"/>
  <c r="P238" i="128" s="1"/>
  <c r="O238" i="128" a="1"/>
  <c r="O238" i="128" s="1"/>
  <c r="N238" i="128" a="1"/>
  <c r="N238" i="128" s="1"/>
  <c r="M238" i="128" a="1"/>
  <c r="M238" i="128" s="1"/>
  <c r="L238" i="128" a="1"/>
  <c r="L238" i="128" s="1"/>
  <c r="K238" i="128" a="1"/>
  <c r="K238" i="128" s="1"/>
  <c r="J238" i="128" a="1"/>
  <c r="J238" i="128" s="1"/>
  <c r="I238" i="128" a="1"/>
  <c r="I238" i="128" s="1"/>
  <c r="H238" i="128" a="1"/>
  <c r="H238" i="128" s="1"/>
  <c r="G238" i="128" a="1"/>
  <c r="G238" i="128" s="1"/>
  <c r="F238" i="128" a="1"/>
  <c r="F238" i="128" s="1"/>
  <c r="E238" i="128" a="1"/>
  <c r="E238" i="128" s="1"/>
  <c r="D238" i="128" a="1"/>
  <c r="D238" i="128" s="1"/>
  <c r="S237" i="128" a="1"/>
  <c r="S237" i="128" s="1"/>
  <c r="R237" i="128" a="1"/>
  <c r="R237" i="128" s="1"/>
  <c r="Q237" i="128" a="1"/>
  <c r="Q237" i="128" s="1"/>
  <c r="P237" i="128" a="1"/>
  <c r="P237" i="128" s="1"/>
  <c r="O237" i="128" a="1"/>
  <c r="O237" i="128" s="1"/>
  <c r="N237" i="128" a="1"/>
  <c r="N237" i="128" s="1"/>
  <c r="M237" i="128" a="1"/>
  <c r="M237" i="128" s="1"/>
  <c r="L237" i="128" a="1"/>
  <c r="L237" i="128" s="1"/>
  <c r="K237" i="128" a="1"/>
  <c r="K237" i="128" s="1"/>
  <c r="J237" i="128" a="1"/>
  <c r="J237" i="128" s="1"/>
  <c r="I237" i="128" a="1"/>
  <c r="I237" i="128" s="1"/>
  <c r="H237" i="128" a="1"/>
  <c r="H237" i="128" s="1"/>
  <c r="G237" i="128" a="1"/>
  <c r="G237" i="128" s="1"/>
  <c r="F237" i="128" a="1"/>
  <c r="F237" i="128" s="1"/>
  <c r="E237" i="128" a="1"/>
  <c r="E237" i="128" s="1"/>
  <c r="D237" i="128" a="1"/>
  <c r="D237" i="128" s="1"/>
  <c r="S236" i="128" a="1"/>
  <c r="S236" i="128" s="1"/>
  <c r="R236" i="128" a="1"/>
  <c r="R236" i="128" s="1"/>
  <c r="Q236" i="128" a="1"/>
  <c r="Q236" i="128" s="1"/>
  <c r="P236" i="128" a="1"/>
  <c r="P236" i="128" s="1"/>
  <c r="O236" i="128" a="1"/>
  <c r="O236" i="128" s="1"/>
  <c r="N236" i="128" a="1"/>
  <c r="N236" i="128" s="1"/>
  <c r="M236" i="128" a="1"/>
  <c r="M236" i="128" s="1"/>
  <c r="L236" i="128" a="1"/>
  <c r="L236" i="128" s="1"/>
  <c r="K236" i="128" a="1"/>
  <c r="K236" i="128" s="1"/>
  <c r="J236" i="128" a="1"/>
  <c r="J236" i="128" s="1"/>
  <c r="I236" i="128" a="1"/>
  <c r="I236" i="128" s="1"/>
  <c r="H236" i="128" a="1"/>
  <c r="H236" i="128" s="1"/>
  <c r="G236" i="128" a="1"/>
  <c r="G236" i="128" s="1"/>
  <c r="F236" i="128" a="1"/>
  <c r="F236" i="128" s="1"/>
  <c r="E236" i="128" a="1"/>
  <c r="E236" i="128" s="1"/>
  <c r="D236" i="128" a="1"/>
  <c r="D236" i="128" s="1"/>
  <c r="S235" i="128" a="1"/>
  <c r="S235" i="128" s="1"/>
  <c r="R235" i="128" a="1"/>
  <c r="R235" i="128" s="1"/>
  <c r="Q235" i="128" a="1"/>
  <c r="Q235" i="128" s="1"/>
  <c r="P235" i="128" a="1"/>
  <c r="P235" i="128" s="1"/>
  <c r="O235" i="128" a="1"/>
  <c r="O235" i="128" s="1"/>
  <c r="N235" i="128" a="1"/>
  <c r="N235" i="128" s="1"/>
  <c r="M235" i="128" a="1"/>
  <c r="M235" i="128" s="1"/>
  <c r="L235" i="128" a="1"/>
  <c r="L235" i="128" s="1"/>
  <c r="K235" i="128" a="1"/>
  <c r="K235" i="128" s="1"/>
  <c r="J235" i="128" a="1"/>
  <c r="J235" i="128" s="1"/>
  <c r="I235" i="128" a="1"/>
  <c r="I235" i="128" s="1"/>
  <c r="H235" i="128" a="1"/>
  <c r="H235" i="128" s="1"/>
  <c r="G235" i="128" a="1"/>
  <c r="G235" i="128" s="1"/>
  <c r="F235" i="128" a="1"/>
  <c r="F235" i="128" s="1"/>
  <c r="E235" i="128" a="1"/>
  <c r="E235" i="128" s="1"/>
  <c r="D235" i="128" a="1"/>
  <c r="D235" i="128" s="1"/>
  <c r="S234" i="128" a="1"/>
  <c r="S234" i="128" s="1"/>
  <c r="R234" i="128" a="1"/>
  <c r="R234" i="128" s="1"/>
  <c r="Q234" i="128" a="1"/>
  <c r="Q234" i="128" s="1"/>
  <c r="P234" i="128" a="1"/>
  <c r="P234" i="128" s="1"/>
  <c r="O234" i="128" a="1"/>
  <c r="O234" i="128" s="1"/>
  <c r="N234" i="128" a="1"/>
  <c r="N234" i="128" s="1"/>
  <c r="M234" i="128" a="1"/>
  <c r="M234" i="128" s="1"/>
  <c r="L234" i="128" a="1"/>
  <c r="L234" i="128" s="1"/>
  <c r="K234" i="128" a="1"/>
  <c r="K234" i="128" s="1"/>
  <c r="J234" i="128" a="1"/>
  <c r="J234" i="128" s="1"/>
  <c r="I234" i="128" a="1"/>
  <c r="I234" i="128" s="1"/>
  <c r="H234" i="128" a="1"/>
  <c r="H234" i="128" s="1"/>
  <c r="G234" i="128" a="1"/>
  <c r="G234" i="128" s="1"/>
  <c r="F234" i="128" a="1"/>
  <c r="F234" i="128" s="1"/>
  <c r="E234" i="128" a="1"/>
  <c r="E234" i="128" s="1"/>
  <c r="D234" i="128" a="1"/>
  <c r="D234" i="128" s="1"/>
  <c r="S233" i="128" a="1"/>
  <c r="S233" i="128" s="1"/>
  <c r="R233" i="128" a="1"/>
  <c r="R233" i="128" s="1"/>
  <c r="Q233" i="128" a="1"/>
  <c r="Q233" i="128" s="1"/>
  <c r="P233" i="128" a="1"/>
  <c r="P233" i="128" s="1"/>
  <c r="O233" i="128" a="1"/>
  <c r="O233" i="128" s="1"/>
  <c r="N233" i="128" a="1"/>
  <c r="N233" i="128" s="1"/>
  <c r="M233" i="128" a="1"/>
  <c r="M233" i="128" s="1"/>
  <c r="L233" i="128" a="1"/>
  <c r="L233" i="128" s="1"/>
  <c r="K233" i="128" a="1"/>
  <c r="K233" i="128" s="1"/>
  <c r="J233" i="128" a="1"/>
  <c r="J233" i="128" s="1"/>
  <c r="I233" i="128" a="1"/>
  <c r="I233" i="128" s="1"/>
  <c r="H233" i="128" a="1"/>
  <c r="H233" i="128" s="1"/>
  <c r="G233" i="128" a="1"/>
  <c r="G233" i="128" s="1"/>
  <c r="F233" i="128" a="1"/>
  <c r="F233" i="128" s="1"/>
  <c r="E233" i="128" a="1"/>
  <c r="E233" i="128" s="1"/>
  <c r="D233" i="128" a="1"/>
  <c r="D233" i="128" s="1"/>
  <c r="S232" i="128" a="1"/>
  <c r="S232" i="128" s="1"/>
  <c r="R232" i="128" a="1"/>
  <c r="R232" i="128" s="1"/>
  <c r="Q232" i="128" a="1"/>
  <c r="Q232" i="128" s="1"/>
  <c r="P232" i="128" a="1"/>
  <c r="P232" i="128" s="1"/>
  <c r="O232" i="128" a="1"/>
  <c r="O232" i="128" s="1"/>
  <c r="N232" i="128" a="1"/>
  <c r="N232" i="128" s="1"/>
  <c r="M232" i="128" a="1"/>
  <c r="M232" i="128" s="1"/>
  <c r="L232" i="128" a="1"/>
  <c r="L232" i="128" s="1"/>
  <c r="K232" i="128" a="1"/>
  <c r="K232" i="128" s="1"/>
  <c r="J232" i="128" a="1"/>
  <c r="J232" i="128" s="1"/>
  <c r="I232" i="128" a="1"/>
  <c r="I232" i="128" s="1"/>
  <c r="H232" i="128" a="1"/>
  <c r="H232" i="128" s="1"/>
  <c r="G232" i="128" a="1"/>
  <c r="G232" i="128" s="1"/>
  <c r="F232" i="128" a="1"/>
  <c r="F232" i="128" s="1"/>
  <c r="E232" i="128" a="1"/>
  <c r="E232" i="128" s="1"/>
  <c r="D232" i="128" a="1"/>
  <c r="D232" i="128" s="1"/>
  <c r="D229" i="128" a="1"/>
  <c r="D229" i="128" s="1"/>
  <c r="D228" i="128" a="1"/>
  <c r="D228" i="128" s="1"/>
  <c r="D227" i="128" a="1"/>
  <c r="D227" i="128" s="1"/>
  <c r="E224" i="128" a="1"/>
  <c r="E224" i="128" s="1"/>
  <c r="D224" i="128" a="1"/>
  <c r="D224" i="128" s="1"/>
  <c r="E223" i="128" a="1"/>
  <c r="E223" i="128" s="1"/>
  <c r="D223" i="128" a="1"/>
  <c r="D223" i="128" s="1"/>
  <c r="E222" i="128" a="1"/>
  <c r="E222" i="128" s="1"/>
  <c r="D222" i="128" a="1"/>
  <c r="D222" i="128" s="1"/>
  <c r="E221" i="128" a="1"/>
  <c r="E221" i="128" s="1"/>
  <c r="D221" i="128" a="1"/>
  <c r="D221" i="128" s="1"/>
  <c r="E220" i="128" a="1"/>
  <c r="E220" i="128" s="1"/>
  <c r="D220" i="128" a="1"/>
  <c r="D220" i="128" s="1"/>
  <c r="E219" i="128" a="1"/>
  <c r="E219" i="128" s="1"/>
  <c r="D219" i="128" a="1"/>
  <c r="D219" i="128" s="1"/>
  <c r="E218" i="128" a="1"/>
  <c r="E218" i="128" s="1"/>
  <c r="D218" i="128" a="1"/>
  <c r="D218" i="128" s="1"/>
  <c r="E217" i="128" a="1"/>
  <c r="E217" i="128" s="1"/>
  <c r="D217" i="128" a="1"/>
  <c r="D217" i="128" s="1"/>
  <c r="E216" i="128" a="1"/>
  <c r="E216" i="128" s="1"/>
  <c r="D216" i="128" a="1"/>
  <c r="D216" i="128" s="1"/>
  <c r="E215" i="128" a="1"/>
  <c r="E215" i="128" s="1"/>
  <c r="D215" i="128" a="1"/>
  <c r="D215" i="128" s="1"/>
  <c r="E214" i="128" a="1"/>
  <c r="E214" i="128" s="1"/>
  <c r="D214" i="128" a="1"/>
  <c r="D214" i="128" s="1"/>
  <c r="E213" i="128" a="1"/>
  <c r="E213" i="128" s="1"/>
  <c r="D213" i="128" a="1"/>
  <c r="D213" i="128" s="1"/>
  <c r="D211" i="128" a="1"/>
  <c r="D211" i="128" s="1"/>
  <c r="E208" i="128" a="1"/>
  <c r="E208" i="128" s="1"/>
  <c r="D208" i="128" a="1"/>
  <c r="D208" i="128" s="1"/>
  <c r="E207" i="128" a="1"/>
  <c r="E207" i="128" s="1"/>
  <c r="D207" i="128" a="1"/>
  <c r="D207" i="128" s="1"/>
  <c r="D205" i="128" a="1"/>
  <c r="D205" i="128" s="1"/>
  <c r="D204" i="128" a="1"/>
  <c r="D204" i="128" s="1"/>
  <c r="D203" i="128" a="1"/>
  <c r="D203" i="128" s="1"/>
  <c r="D202" i="128" a="1"/>
  <c r="D202" i="128" s="1"/>
  <c r="H199" i="128" a="1"/>
  <c r="H199" i="128" s="1"/>
  <c r="G199" i="128" a="1"/>
  <c r="G199" i="128" s="1"/>
  <c r="F199" i="128" a="1"/>
  <c r="F199" i="128" s="1"/>
  <c r="E199" i="128" a="1"/>
  <c r="E199" i="128" s="1"/>
  <c r="D199" i="128" a="1"/>
  <c r="D199" i="128" s="1"/>
  <c r="H198" i="128" a="1"/>
  <c r="H198" i="128" s="1"/>
  <c r="G198" i="128" a="1"/>
  <c r="G198" i="128" s="1"/>
  <c r="F198" i="128" a="1"/>
  <c r="F198" i="128" s="1"/>
  <c r="E198" i="128" a="1"/>
  <c r="E198" i="128" s="1"/>
  <c r="D198" i="128" a="1"/>
  <c r="D198" i="128" s="1"/>
  <c r="H197" i="128" a="1"/>
  <c r="H197" i="128" s="1"/>
  <c r="G197" i="128" a="1"/>
  <c r="G197" i="128" s="1"/>
  <c r="F197" i="128" a="1"/>
  <c r="F197" i="128" s="1"/>
  <c r="E197" i="128" a="1"/>
  <c r="E197" i="128" s="1"/>
  <c r="D197" i="128" a="1"/>
  <c r="D197" i="128" s="1"/>
  <c r="H196" i="128" a="1"/>
  <c r="H196" i="128" s="1"/>
  <c r="G196" i="128" a="1"/>
  <c r="G196" i="128" s="1"/>
  <c r="F196" i="128" a="1"/>
  <c r="F196" i="128" s="1"/>
  <c r="E196" i="128" a="1"/>
  <c r="E196" i="128" s="1"/>
  <c r="D196" i="128" a="1"/>
  <c r="D196" i="128" s="1"/>
  <c r="H195" i="128" a="1"/>
  <c r="H195" i="128" s="1"/>
  <c r="G195" i="128" a="1"/>
  <c r="G195" i="128" s="1"/>
  <c r="F195" i="128" a="1"/>
  <c r="F195" i="128" s="1"/>
  <c r="E195" i="128" a="1"/>
  <c r="E195" i="128" s="1"/>
  <c r="D195" i="128" a="1"/>
  <c r="D195" i="128" s="1"/>
  <c r="H194" i="128" a="1"/>
  <c r="H194" i="128" s="1"/>
  <c r="G194" i="128" a="1"/>
  <c r="G194" i="128" s="1"/>
  <c r="F194" i="128" a="1"/>
  <c r="F194" i="128" s="1"/>
  <c r="E194" i="128" a="1"/>
  <c r="E194" i="128" s="1"/>
  <c r="D194" i="128" a="1"/>
  <c r="D194" i="128" s="1"/>
  <c r="H193" i="128" a="1"/>
  <c r="H193" i="128" s="1"/>
  <c r="G193" i="128" a="1"/>
  <c r="G193" i="128" s="1"/>
  <c r="F193" i="128" a="1"/>
  <c r="F193" i="128" s="1"/>
  <c r="E193" i="128" a="1"/>
  <c r="E193" i="128" s="1"/>
  <c r="D193" i="128" a="1"/>
  <c r="D193" i="128" s="1"/>
  <c r="H192" i="128" a="1"/>
  <c r="H192" i="128" s="1"/>
  <c r="G192" i="128" a="1"/>
  <c r="G192" i="128" s="1"/>
  <c r="F192" i="128" a="1"/>
  <c r="F192" i="128" s="1"/>
  <c r="E192" i="128" a="1"/>
  <c r="E192" i="128" s="1"/>
  <c r="D192" i="128" a="1"/>
  <c r="D192" i="128" s="1"/>
  <c r="H191" i="128" a="1"/>
  <c r="H191" i="128" s="1"/>
  <c r="G191" i="128" a="1"/>
  <c r="G191" i="128" s="1"/>
  <c r="F191" i="128" a="1"/>
  <c r="F191" i="128" s="1"/>
  <c r="E191" i="128" a="1"/>
  <c r="E191" i="128" s="1"/>
  <c r="D191" i="128" a="1"/>
  <c r="D191" i="128" s="1"/>
  <c r="H190" i="128" a="1"/>
  <c r="H190" i="128" s="1"/>
  <c r="G190" i="128" a="1"/>
  <c r="G190" i="128" s="1"/>
  <c r="F190" i="128" a="1"/>
  <c r="F190" i="128" s="1"/>
  <c r="E190" i="128" a="1"/>
  <c r="E190" i="128" s="1"/>
  <c r="D190" i="128" a="1"/>
  <c r="D190" i="128" s="1"/>
  <c r="H189" i="128" a="1"/>
  <c r="H189" i="128" s="1"/>
  <c r="G189" i="128" a="1"/>
  <c r="G189" i="128" s="1"/>
  <c r="F189" i="128" a="1"/>
  <c r="F189" i="128" s="1"/>
  <c r="E189" i="128" a="1"/>
  <c r="E189" i="128" s="1"/>
  <c r="D189" i="128" a="1"/>
  <c r="D189" i="128" s="1"/>
  <c r="H188" i="128" a="1"/>
  <c r="H188" i="128" s="1"/>
  <c r="G188" i="128" a="1"/>
  <c r="G188" i="128" s="1"/>
  <c r="F188" i="128" a="1"/>
  <c r="F188" i="128" s="1"/>
  <c r="E188" i="128" a="1"/>
  <c r="E188" i="128" s="1"/>
  <c r="D188" i="128" a="1"/>
  <c r="D188" i="128" s="1"/>
  <c r="H187" i="128" a="1"/>
  <c r="H187" i="128" s="1"/>
  <c r="G187" i="128" a="1"/>
  <c r="G187" i="128" s="1"/>
  <c r="F187" i="128" a="1"/>
  <c r="F187" i="128" s="1"/>
  <c r="E187" i="128" a="1"/>
  <c r="E187" i="128" s="1"/>
  <c r="D187" i="128" a="1"/>
  <c r="D187" i="128" s="1"/>
  <c r="D181" i="128" a="1"/>
  <c r="D181" i="128" s="1"/>
  <c r="D180" i="128" a="1"/>
  <c r="D180" i="128" s="1"/>
  <c r="D179" i="128"/>
  <c r="D179" i="128" a="1"/>
  <c r="D178" i="128" a="1"/>
  <c r="D178" i="128" s="1"/>
  <c r="E175" i="128" a="1"/>
  <c r="E175" i="128" s="1"/>
  <c r="D175" i="128" a="1"/>
  <c r="D175" i="128" s="1"/>
  <c r="D174" i="128" a="1"/>
  <c r="D174" i="128" s="1"/>
  <c r="D173" i="128" a="1"/>
  <c r="D173" i="128" s="1"/>
  <c r="D170" i="128" a="1"/>
  <c r="D170" i="128" s="1"/>
  <c r="D169" i="128"/>
  <c r="D169" i="128" a="1"/>
  <c r="D168" i="128" a="1"/>
  <c r="D168" i="128" s="1"/>
  <c r="D167" i="128" a="1"/>
  <c r="D167" i="128" s="1"/>
  <c r="D164" i="128" a="1"/>
  <c r="D164" i="128" s="1"/>
  <c r="D163" i="128" a="1"/>
  <c r="D163" i="128" s="1"/>
  <c r="D162" i="128" a="1"/>
  <c r="D162" i="128" s="1"/>
  <c r="D161" i="128" a="1"/>
  <c r="D161" i="128" s="1"/>
  <c r="E158" i="128" a="1"/>
  <c r="E158" i="128" s="1"/>
  <c r="D158" i="128" a="1"/>
  <c r="D158" i="128" s="1"/>
  <c r="E157" i="128" a="1"/>
  <c r="E157" i="128" s="1"/>
  <c r="D157" i="128" a="1"/>
  <c r="D157" i="128" s="1"/>
  <c r="E156" i="128" a="1"/>
  <c r="E156" i="128" s="1"/>
  <c r="D156" i="128" a="1"/>
  <c r="D156" i="128" s="1"/>
  <c r="E155" i="128" a="1"/>
  <c r="E155" i="128" s="1"/>
  <c r="D155" i="128" a="1"/>
  <c r="D155" i="128" s="1"/>
  <c r="E154" i="128" a="1"/>
  <c r="E154" i="128" s="1"/>
  <c r="D154" i="128" a="1"/>
  <c r="D154" i="128" s="1"/>
  <c r="D151" i="128"/>
  <c r="D151" i="128" a="1"/>
  <c r="D150" i="128" a="1"/>
  <c r="D150" i="128" s="1"/>
  <c r="E147" i="128" a="1"/>
  <c r="E147" i="128" s="1"/>
  <c r="D147" i="128" a="1"/>
  <c r="D147" i="128" s="1"/>
  <c r="E146" i="128" a="1"/>
  <c r="E146" i="128" s="1"/>
  <c r="D146" i="128" a="1"/>
  <c r="D146" i="128" s="1"/>
  <c r="E145" i="128" a="1"/>
  <c r="E145" i="128" s="1"/>
  <c r="D145" i="128" a="1"/>
  <c r="D145" i="128" s="1"/>
  <c r="E144" i="128" a="1"/>
  <c r="E144" i="128" s="1"/>
  <c r="D144" i="128" a="1"/>
  <c r="D144" i="128" s="1"/>
  <c r="E143" i="128" a="1"/>
  <c r="E143" i="128" s="1"/>
  <c r="D143" i="128" a="1"/>
  <c r="D143" i="128" s="1"/>
  <c r="D141" i="128" a="1"/>
  <c r="D141" i="128" s="1"/>
  <c r="D140" i="128" a="1"/>
  <c r="D140" i="128" s="1"/>
  <c r="D139" i="128"/>
  <c r="D139" i="128" a="1"/>
  <c r="E136" i="128" a="1"/>
  <c r="E136" i="128" s="1"/>
  <c r="D136" i="128" a="1"/>
  <c r="D136" i="128" s="1"/>
  <c r="E135" i="128" a="1"/>
  <c r="E135" i="128" s="1"/>
  <c r="D135" i="128" a="1"/>
  <c r="D135" i="128" s="1"/>
  <c r="D133" i="128"/>
  <c r="D133" i="128" a="1"/>
  <c r="D132" i="128" a="1"/>
  <c r="D132" i="128" s="1"/>
  <c r="E129" i="128" a="1"/>
  <c r="E129" i="128" s="1"/>
  <c r="D129" i="128" a="1"/>
  <c r="D129" i="128" s="1"/>
  <c r="E128" i="128" a="1"/>
  <c r="E128" i="128" s="1"/>
  <c r="D128" i="128" a="1"/>
  <c r="D128" i="128" s="1"/>
  <c r="D125" i="128"/>
  <c r="D125" i="128" a="1"/>
  <c r="D124" i="128"/>
  <c r="D124" i="128" a="1"/>
  <c r="G121" i="128" a="1"/>
  <c r="G121" i="128" s="1"/>
  <c r="F121" i="128" a="1"/>
  <c r="F121" i="128" s="1"/>
  <c r="E121" i="128" a="1"/>
  <c r="E121" i="128" s="1"/>
  <c r="D121" i="128" a="1"/>
  <c r="D121" i="128" s="1"/>
  <c r="G120" i="128" a="1"/>
  <c r="G120" i="128" s="1"/>
  <c r="F120" i="128" a="1"/>
  <c r="F120" i="128" s="1"/>
  <c r="E120" i="128" a="1"/>
  <c r="E120" i="128" s="1"/>
  <c r="D120" i="128" a="1"/>
  <c r="D120" i="128" s="1"/>
  <c r="D117" i="128"/>
  <c r="D117" i="128" a="1"/>
  <c r="D116" i="128" a="1"/>
  <c r="D116" i="128" s="1"/>
  <c r="D115" i="128" a="1"/>
  <c r="D115" i="128" s="1"/>
  <c r="G112" i="128" a="1"/>
  <c r="G112" i="128" s="1"/>
  <c r="F112" i="128" a="1"/>
  <c r="F112" i="128" s="1"/>
  <c r="E112" i="128" a="1"/>
  <c r="E112" i="128" s="1"/>
  <c r="D112" i="128" a="1"/>
  <c r="D112" i="128" s="1"/>
  <c r="G111" i="128" a="1"/>
  <c r="G111" i="128" s="1"/>
  <c r="F111" i="128" a="1"/>
  <c r="F111" i="128" s="1"/>
  <c r="E111" i="128" a="1"/>
  <c r="E111" i="128" s="1"/>
  <c r="D111" i="128" a="1"/>
  <c r="D111" i="128" s="1"/>
  <c r="G110" i="128" a="1"/>
  <c r="G110" i="128" s="1"/>
  <c r="F110" i="128" a="1"/>
  <c r="F110" i="128" s="1"/>
  <c r="E110" i="128" a="1"/>
  <c r="E110" i="128" s="1"/>
  <c r="D110" i="128" a="1"/>
  <c r="D110" i="128" s="1"/>
  <c r="D107" i="128"/>
  <c r="D107" i="128" a="1"/>
  <c r="D106" i="128" a="1"/>
  <c r="D106" i="128" s="1"/>
  <c r="D105" i="128" a="1"/>
  <c r="D105" i="128" s="1"/>
  <c r="D99" i="128" a="1"/>
  <c r="D99" i="128" s="1"/>
  <c r="S97" i="128" a="1"/>
  <c r="S97" i="128" s="1"/>
  <c r="R97" i="128" a="1"/>
  <c r="R97" i="128" s="1"/>
  <c r="Q97" i="128" a="1"/>
  <c r="Q97" i="128" s="1"/>
  <c r="P97" i="128" a="1"/>
  <c r="P97" i="128" s="1"/>
  <c r="O97" i="128" a="1"/>
  <c r="O97" i="128" s="1"/>
  <c r="N97" i="128" a="1"/>
  <c r="N97" i="128" s="1"/>
  <c r="M97" i="128" a="1"/>
  <c r="M97" i="128" s="1"/>
  <c r="L97" i="128" a="1"/>
  <c r="L97" i="128" s="1"/>
  <c r="K97" i="128" a="1"/>
  <c r="K97" i="128" s="1"/>
  <c r="J97" i="128" a="1"/>
  <c r="J97" i="128" s="1"/>
  <c r="I97" i="128" a="1"/>
  <c r="I97" i="128" s="1"/>
  <c r="H97" i="128" a="1"/>
  <c r="H97" i="128" s="1"/>
  <c r="G97" i="128" a="1"/>
  <c r="G97" i="128" s="1"/>
  <c r="F97" i="128" a="1"/>
  <c r="F97" i="128" s="1"/>
  <c r="E97" i="128" a="1"/>
  <c r="E97" i="128" s="1"/>
  <c r="D97" i="128" a="1"/>
  <c r="D97" i="128" s="1"/>
  <c r="S96" i="128" a="1"/>
  <c r="S96" i="128" s="1"/>
  <c r="R96" i="128" a="1"/>
  <c r="R96" i="128" s="1"/>
  <c r="Q96" i="128" a="1"/>
  <c r="Q96" i="128" s="1"/>
  <c r="P96" i="128" a="1"/>
  <c r="P96" i="128" s="1"/>
  <c r="O96" i="128" a="1"/>
  <c r="O96" i="128" s="1"/>
  <c r="N96" i="128" a="1"/>
  <c r="N96" i="128" s="1"/>
  <c r="M96" i="128" a="1"/>
  <c r="M96" i="128" s="1"/>
  <c r="L96" i="128" a="1"/>
  <c r="L96" i="128" s="1"/>
  <c r="K96" i="128" a="1"/>
  <c r="K96" i="128" s="1"/>
  <c r="J96" i="128" a="1"/>
  <c r="J96" i="128" s="1"/>
  <c r="I96" i="128" a="1"/>
  <c r="I96" i="128" s="1"/>
  <c r="H96" i="128" a="1"/>
  <c r="H96" i="128" s="1"/>
  <c r="G96" i="128" a="1"/>
  <c r="G96" i="128" s="1"/>
  <c r="F96" i="128" a="1"/>
  <c r="F96" i="128" s="1"/>
  <c r="E96" i="128" a="1"/>
  <c r="E96" i="128" s="1"/>
  <c r="D96" i="128" a="1"/>
  <c r="D96" i="128" s="1"/>
  <c r="S95" i="128" a="1"/>
  <c r="S95" i="128" s="1"/>
  <c r="R95" i="128" a="1"/>
  <c r="R95" i="128" s="1"/>
  <c r="Q95" i="128" a="1"/>
  <c r="Q95" i="128" s="1"/>
  <c r="P95" i="128" a="1"/>
  <c r="P95" i="128" s="1"/>
  <c r="O95" i="128" a="1"/>
  <c r="O95" i="128" s="1"/>
  <c r="N95" i="128" a="1"/>
  <c r="N95" i="128" s="1"/>
  <c r="M95" i="128" a="1"/>
  <c r="M95" i="128" s="1"/>
  <c r="L95" i="128" a="1"/>
  <c r="L95" i="128" s="1"/>
  <c r="K95" i="128" a="1"/>
  <c r="K95" i="128" s="1"/>
  <c r="J95" i="128" a="1"/>
  <c r="J95" i="128" s="1"/>
  <c r="I95" i="128" a="1"/>
  <c r="I95" i="128" s="1"/>
  <c r="H95" i="128" a="1"/>
  <c r="H95" i="128" s="1"/>
  <c r="G95" i="128" a="1"/>
  <c r="G95" i="128" s="1"/>
  <c r="F95" i="128" a="1"/>
  <c r="F95" i="128" s="1"/>
  <c r="E95" i="128" a="1"/>
  <c r="E95" i="128" s="1"/>
  <c r="D95" i="128" a="1"/>
  <c r="D95" i="128" s="1"/>
  <c r="S94" i="128" a="1"/>
  <c r="S94" i="128" s="1"/>
  <c r="R94" i="128" a="1"/>
  <c r="R94" i="128" s="1"/>
  <c r="Q94" i="128" a="1"/>
  <c r="Q94" i="128" s="1"/>
  <c r="P94" i="128" a="1"/>
  <c r="P94" i="128" s="1"/>
  <c r="O94" i="128" a="1"/>
  <c r="O94" i="128" s="1"/>
  <c r="N94" i="128" a="1"/>
  <c r="N94" i="128" s="1"/>
  <c r="M94" i="128" a="1"/>
  <c r="M94" i="128" s="1"/>
  <c r="L94" i="128" a="1"/>
  <c r="L94" i="128" s="1"/>
  <c r="K94" i="128" a="1"/>
  <c r="K94" i="128" s="1"/>
  <c r="J94" i="128" a="1"/>
  <c r="J94" i="128" s="1"/>
  <c r="I94" i="128" a="1"/>
  <c r="I94" i="128" s="1"/>
  <c r="H94" i="128" a="1"/>
  <c r="H94" i="128" s="1"/>
  <c r="G94" i="128" a="1"/>
  <c r="G94" i="128" s="1"/>
  <c r="F94" i="128" a="1"/>
  <c r="F94" i="128" s="1"/>
  <c r="E94" i="128" a="1"/>
  <c r="E94" i="128" s="1"/>
  <c r="D94" i="128" a="1"/>
  <c r="D94" i="128" s="1"/>
  <c r="S93" i="128" a="1"/>
  <c r="S93" i="128" s="1"/>
  <c r="R93" i="128" a="1"/>
  <c r="R93" i="128" s="1"/>
  <c r="Q93" i="128" a="1"/>
  <c r="Q93" i="128" s="1"/>
  <c r="P93" i="128" a="1"/>
  <c r="P93" i="128" s="1"/>
  <c r="O93" i="128" a="1"/>
  <c r="O93" i="128" s="1"/>
  <c r="N93" i="128" a="1"/>
  <c r="N93" i="128" s="1"/>
  <c r="M93" i="128" a="1"/>
  <c r="M93" i="128" s="1"/>
  <c r="L93" i="128" a="1"/>
  <c r="L93" i="128" s="1"/>
  <c r="K93" i="128" a="1"/>
  <c r="K93" i="128" s="1"/>
  <c r="J93" i="128" a="1"/>
  <c r="J93" i="128" s="1"/>
  <c r="I93" i="128" a="1"/>
  <c r="I93" i="128" s="1"/>
  <c r="H93" i="128" a="1"/>
  <c r="H93" i="128" s="1"/>
  <c r="G93" i="128" a="1"/>
  <c r="G93" i="128" s="1"/>
  <c r="F93" i="128" a="1"/>
  <c r="F93" i="128" s="1"/>
  <c r="E93" i="128" a="1"/>
  <c r="E93" i="128" s="1"/>
  <c r="D93" i="128" a="1"/>
  <c r="D93" i="128" s="1"/>
  <c r="S92" i="128" a="1"/>
  <c r="S92" i="128" s="1"/>
  <c r="R92" i="128" a="1"/>
  <c r="R92" i="128" s="1"/>
  <c r="Q92" i="128" a="1"/>
  <c r="Q92" i="128" s="1"/>
  <c r="P92" i="128" a="1"/>
  <c r="P92" i="128" s="1"/>
  <c r="O92" i="128" a="1"/>
  <c r="O92" i="128" s="1"/>
  <c r="N92" i="128" a="1"/>
  <c r="N92" i="128" s="1"/>
  <c r="M92" i="128" a="1"/>
  <c r="M92" i="128" s="1"/>
  <c r="L92" i="128" a="1"/>
  <c r="L92" i="128" s="1"/>
  <c r="K92" i="128" a="1"/>
  <c r="K92" i="128" s="1"/>
  <c r="J92" i="128" a="1"/>
  <c r="J92" i="128" s="1"/>
  <c r="I92" i="128" a="1"/>
  <c r="I92" i="128" s="1"/>
  <c r="H92" i="128" a="1"/>
  <c r="H92" i="128" s="1"/>
  <c r="G92" i="128" a="1"/>
  <c r="G92" i="128" s="1"/>
  <c r="F92" i="128" a="1"/>
  <c r="F92" i="128" s="1"/>
  <c r="E92" i="128" a="1"/>
  <c r="E92" i="128" s="1"/>
  <c r="D92" i="128" a="1"/>
  <c r="D92" i="128" s="1"/>
  <c r="S91" i="128" a="1"/>
  <c r="S91" i="128" s="1"/>
  <c r="R91" i="128" a="1"/>
  <c r="R91" i="128" s="1"/>
  <c r="Q91" i="128" a="1"/>
  <c r="Q91" i="128" s="1"/>
  <c r="P91" i="128" a="1"/>
  <c r="P91" i="128" s="1"/>
  <c r="O91" i="128" a="1"/>
  <c r="O91" i="128" s="1"/>
  <c r="N91" i="128" a="1"/>
  <c r="N91" i="128" s="1"/>
  <c r="M91" i="128" a="1"/>
  <c r="M91" i="128" s="1"/>
  <c r="L91" i="128" a="1"/>
  <c r="L91" i="128" s="1"/>
  <c r="K91" i="128" a="1"/>
  <c r="K91" i="128" s="1"/>
  <c r="J91" i="128" a="1"/>
  <c r="J91" i="128" s="1"/>
  <c r="I91" i="128" a="1"/>
  <c r="I91" i="128" s="1"/>
  <c r="H91" i="128" a="1"/>
  <c r="H91" i="128" s="1"/>
  <c r="G91" i="128" a="1"/>
  <c r="G91" i="128" s="1"/>
  <c r="F91" i="128" a="1"/>
  <c r="F91" i="128" s="1"/>
  <c r="E91" i="128" a="1"/>
  <c r="E91" i="128" s="1"/>
  <c r="D91" i="128" a="1"/>
  <c r="D91" i="128" s="1"/>
  <c r="S90" i="128" a="1"/>
  <c r="S90" i="128" s="1"/>
  <c r="R90" i="128" a="1"/>
  <c r="R90" i="128" s="1"/>
  <c r="Q90" i="128" a="1"/>
  <c r="Q90" i="128" s="1"/>
  <c r="P90" i="128" a="1"/>
  <c r="P90" i="128" s="1"/>
  <c r="O90" i="128" a="1"/>
  <c r="O90" i="128" s="1"/>
  <c r="N90" i="128" a="1"/>
  <c r="N90" i="128" s="1"/>
  <c r="M90" i="128" a="1"/>
  <c r="M90" i="128" s="1"/>
  <c r="L90" i="128" a="1"/>
  <c r="L90" i="128" s="1"/>
  <c r="K90" i="128" a="1"/>
  <c r="K90" i="128" s="1"/>
  <c r="J90" i="128" a="1"/>
  <c r="J90" i="128" s="1"/>
  <c r="I90" i="128" a="1"/>
  <c r="I90" i="128" s="1"/>
  <c r="H90" i="128" a="1"/>
  <c r="H90" i="128" s="1"/>
  <c r="G90" i="128" a="1"/>
  <c r="G90" i="128" s="1"/>
  <c r="F90" i="128" a="1"/>
  <c r="F90" i="128" s="1"/>
  <c r="E90" i="128" a="1"/>
  <c r="E90" i="128" s="1"/>
  <c r="D90" i="128" a="1"/>
  <c r="D90" i="128" s="1"/>
  <c r="D83" i="128" a="1"/>
  <c r="D83" i="128" s="1"/>
  <c r="D82" i="128"/>
  <c r="D82" i="128" a="1"/>
  <c r="D81" i="128" a="1"/>
  <c r="D81" i="128" s="1"/>
  <c r="E77" i="128" a="1"/>
  <c r="E77" i="128" s="1"/>
  <c r="D77" i="128" a="1"/>
  <c r="D77" i="128" s="1"/>
  <c r="E76" i="128" a="1"/>
  <c r="E76" i="128" s="1"/>
  <c r="D76" i="128" a="1"/>
  <c r="D76" i="128" s="1"/>
  <c r="E75" i="128" a="1"/>
  <c r="E75" i="128" s="1"/>
  <c r="D75" i="128" a="1"/>
  <c r="D75" i="128" s="1"/>
  <c r="E74" i="128" a="1"/>
  <c r="E74" i="128" s="1"/>
  <c r="D74" i="128" a="1"/>
  <c r="D74" i="128" s="1"/>
  <c r="E73" i="128" a="1"/>
  <c r="E73" i="128" s="1"/>
  <c r="D73" i="128" a="1"/>
  <c r="D73" i="128" s="1"/>
  <c r="E72" i="128" a="1"/>
  <c r="E72" i="128" s="1"/>
  <c r="D72" i="128" a="1"/>
  <c r="D72" i="128" s="1"/>
  <c r="E71" i="128" a="1"/>
  <c r="E71" i="128" s="1"/>
  <c r="D71" i="128" a="1"/>
  <c r="D71" i="128" s="1"/>
  <c r="E70" i="128" a="1"/>
  <c r="E70" i="128" s="1"/>
  <c r="D70" i="128" a="1"/>
  <c r="D70" i="128" s="1"/>
  <c r="E69" i="128" a="1"/>
  <c r="E69" i="128" s="1"/>
  <c r="D69" i="128" a="1"/>
  <c r="D69" i="128" s="1"/>
  <c r="E68" i="128" a="1"/>
  <c r="E68" i="128" s="1"/>
  <c r="D68" i="128" a="1"/>
  <c r="D68" i="128" s="1"/>
  <c r="E67" i="128" a="1"/>
  <c r="E67" i="128" s="1"/>
  <c r="D67" i="128" a="1"/>
  <c r="D67" i="128" s="1"/>
  <c r="E66" i="128" a="1"/>
  <c r="E66" i="128" s="1"/>
  <c r="D66" i="128" a="1"/>
  <c r="D66" i="128" s="1"/>
  <c r="E65" i="128" a="1"/>
  <c r="E65" i="128" s="1"/>
  <c r="D65" i="128" a="1"/>
  <c r="D65" i="128" s="1"/>
  <c r="E64" i="128" a="1"/>
  <c r="E64" i="128" s="1"/>
  <c r="D64" i="128" a="1"/>
  <c r="D64" i="128" s="1"/>
  <c r="D59" i="128" a="1"/>
  <c r="D59" i="128" s="1"/>
  <c r="D58" i="128" a="1"/>
  <c r="D58" i="128" s="1"/>
  <c r="D57" i="128" a="1"/>
  <c r="D57" i="128" s="1"/>
  <c r="G54" i="128" a="1"/>
  <c r="G54" i="128" s="1"/>
  <c r="F54" i="128" a="1"/>
  <c r="F54" i="128" s="1"/>
  <c r="E54" i="128" a="1"/>
  <c r="E54" i="128" s="1"/>
  <c r="D54" i="128" a="1"/>
  <c r="D54" i="128" s="1"/>
  <c r="G53" i="128" a="1"/>
  <c r="G53" i="128" s="1"/>
  <c r="F53" i="128" a="1"/>
  <c r="F53" i="128" s="1"/>
  <c r="E53" i="128" a="1"/>
  <c r="E53" i="128" s="1"/>
  <c r="D53" i="128" a="1"/>
  <c r="D53" i="128" s="1"/>
  <c r="G52" i="128" a="1"/>
  <c r="G52" i="128" s="1"/>
  <c r="F52" i="128" a="1"/>
  <c r="F52" i="128" s="1"/>
  <c r="E52" i="128" a="1"/>
  <c r="E52" i="128" s="1"/>
  <c r="D52" i="128" a="1"/>
  <c r="D52" i="128" s="1"/>
  <c r="G51" i="128" a="1"/>
  <c r="G51" i="128" s="1"/>
  <c r="F51" i="128" a="1"/>
  <c r="F51" i="128" s="1"/>
  <c r="E51" i="128" a="1"/>
  <c r="E51" i="128" s="1"/>
  <c r="D51" i="128" a="1"/>
  <c r="D51" i="128" s="1"/>
  <c r="G50" i="128" a="1"/>
  <c r="G50" i="128" s="1"/>
  <c r="F50" i="128" a="1"/>
  <c r="F50" i="128" s="1"/>
  <c r="E50" i="128" a="1"/>
  <c r="E50" i="128" s="1"/>
  <c r="D50" i="128" a="1"/>
  <c r="D50" i="128" s="1"/>
  <c r="G49" i="128" a="1"/>
  <c r="G49" i="128" s="1"/>
  <c r="F49" i="128" a="1"/>
  <c r="F49" i="128" s="1"/>
  <c r="E49" i="128" a="1"/>
  <c r="E49" i="128" s="1"/>
  <c r="D49" i="128" a="1"/>
  <c r="D49" i="128" s="1"/>
  <c r="G48" i="128" a="1"/>
  <c r="G48" i="128" s="1"/>
  <c r="F48" i="128" a="1"/>
  <c r="F48" i="128" s="1"/>
  <c r="E48" i="128" a="1"/>
  <c r="E48" i="128" s="1"/>
  <c r="D48" i="128" a="1"/>
  <c r="D48" i="128" s="1"/>
  <c r="D46" i="128" a="1"/>
  <c r="D46" i="128" s="1"/>
  <c r="D45" i="128" a="1"/>
  <c r="D45" i="128" s="1"/>
  <c r="E43" i="128" a="1"/>
  <c r="E43" i="128" s="1"/>
  <c r="D43" i="128" a="1"/>
  <c r="D43" i="128" s="1"/>
  <c r="E42" i="128" a="1"/>
  <c r="E42" i="128" s="1"/>
  <c r="D42" i="128" a="1"/>
  <c r="D42" i="128" s="1"/>
  <c r="E41" i="128" a="1"/>
  <c r="E41" i="128" s="1"/>
  <c r="D41" i="128" a="1"/>
  <c r="D41" i="128" s="1"/>
  <c r="E40" i="128" a="1"/>
  <c r="E40" i="128" s="1"/>
  <c r="D40" i="128" a="1"/>
  <c r="D40" i="128" s="1"/>
  <c r="E39" i="128" a="1"/>
  <c r="E39" i="128" s="1"/>
  <c r="D39" i="128" a="1"/>
  <c r="D39" i="128" s="1"/>
  <c r="E38" i="128" a="1"/>
  <c r="E38" i="128" s="1"/>
  <c r="D38" i="128" a="1"/>
  <c r="D38" i="128" s="1"/>
  <c r="E37" i="128" a="1"/>
  <c r="E37" i="128" s="1"/>
  <c r="D37" i="128" a="1"/>
  <c r="D37" i="128" s="1"/>
  <c r="D35" i="128" a="1"/>
  <c r="D35" i="128" s="1"/>
  <c r="D34" i="128" a="1"/>
  <c r="D34" i="128" s="1"/>
  <c r="D30" i="128" a="1"/>
  <c r="D30" i="128" s="1"/>
  <c r="D29" i="128" a="1"/>
  <c r="D29" i="128" s="1"/>
  <c r="D28" i="128" a="1"/>
  <c r="D28" i="128" s="1"/>
  <c r="D27" i="128" a="1"/>
  <c r="D27" i="128" s="1"/>
  <c r="D26" i="128" a="1"/>
  <c r="D26" i="128" s="1"/>
  <c r="D25" i="128" a="1"/>
  <c r="D25" i="128" s="1"/>
  <c r="D24" i="128" a="1"/>
  <c r="D24" i="128" s="1"/>
  <c r="D23" i="128" a="1"/>
  <c r="D23" i="128" s="1"/>
  <c r="D22" i="128" a="1"/>
  <c r="D22" i="128" s="1"/>
  <c r="D21" i="128" a="1"/>
  <c r="D21" i="128" s="1"/>
  <c r="D19" i="128" a="1"/>
  <c r="D19" i="128" s="1"/>
  <c r="D18" i="128" a="1"/>
  <c r="D18" i="128" s="1"/>
  <c r="F14" i="128" a="1"/>
  <c r="F14" i="128" s="1"/>
  <c r="E14" i="128" a="1"/>
  <c r="E14" i="128" s="1"/>
  <c r="D14" i="128" a="1"/>
  <c r="D14" i="128" s="1"/>
  <c r="F13" i="128" a="1"/>
  <c r="F13" i="128" s="1"/>
  <c r="E13" i="128" a="1"/>
  <c r="E13" i="128" s="1"/>
  <c r="D13" i="128" a="1"/>
  <c r="D13" i="128" s="1"/>
  <c r="F12" i="128" a="1"/>
  <c r="F12" i="128" s="1"/>
  <c r="E12" i="128" a="1"/>
  <c r="E12" i="128" s="1"/>
  <c r="D12" i="128" a="1"/>
  <c r="D12" i="128" s="1"/>
  <c r="F11" i="128" a="1"/>
  <c r="F11" i="128" s="1"/>
  <c r="E11" i="128" a="1"/>
  <c r="E11" i="128" s="1"/>
  <c r="D11" i="128" a="1"/>
  <c r="D11" i="128" s="1"/>
  <c r="F10" i="128" a="1"/>
  <c r="F10" i="128" s="1"/>
  <c r="E10" i="128" a="1"/>
  <c r="E10" i="128" s="1"/>
  <c r="D10" i="128" a="1"/>
  <c r="D10" i="128" s="1"/>
  <c r="F9" i="128" a="1"/>
  <c r="F9" i="128" s="1"/>
  <c r="E9" i="128" a="1"/>
  <c r="E9" i="128" s="1"/>
  <c r="D9" i="128" a="1"/>
  <c r="D9" i="128" s="1"/>
  <c r="F8" i="128" a="1"/>
  <c r="F8" i="128" s="1"/>
  <c r="E8" i="128" a="1"/>
  <c r="E8" i="128" s="1"/>
  <c r="D8" i="128" a="1"/>
  <c r="D8" i="128" s="1"/>
  <c r="F7" i="128" a="1"/>
  <c r="F7" i="128" s="1"/>
  <c r="E7" i="128" a="1"/>
  <c r="E7" i="128" s="1"/>
  <c r="D7" i="128" a="1"/>
  <c r="D7" i="128" s="1"/>
  <c r="D5" i="128" a="1"/>
  <c r="D5" i="128" s="1"/>
  <c r="E30" i="70"/>
  <c r="E29" i="70"/>
  <c r="E16" i="70"/>
  <c r="E6" i="70"/>
  <c r="J37" i="69"/>
  <c r="J33" i="69"/>
  <c r="J32" i="69"/>
  <c r="J31" i="69"/>
  <c r="I16" i="69"/>
  <c r="I14" i="69"/>
  <c r="D24" i="69" a="1"/>
  <c r="D24" i="69" s="1"/>
  <c r="H50" i="128" l="1"/>
  <c r="H54" i="128"/>
  <c r="H49" i="128"/>
  <c r="H52" i="128"/>
  <c r="H53" i="128"/>
  <c r="H48" i="128"/>
  <c r="H51" i="128"/>
  <c r="E48" i="70"/>
  <c r="H48" i="70"/>
  <c r="H39" i="70"/>
  <c r="H38" i="70"/>
  <c r="E47" i="70"/>
  <c r="H47" i="70"/>
  <c r="H46" i="70"/>
  <c r="E46" i="70"/>
  <c r="H37" i="70"/>
  <c r="I47" i="70"/>
  <c r="I37" i="70"/>
  <c r="H25" i="110" a="1"/>
  <c r="H25" i="110" s="1"/>
  <c r="G25" i="110" a="1"/>
  <c r="G25" i="110" s="1"/>
  <c r="F25" i="110" a="1"/>
  <c r="F25" i="110" s="1"/>
  <c r="E25" i="110" a="1"/>
  <c r="E25" i="110" s="1"/>
  <c r="J36" i="69" s="1" a="1"/>
  <c r="J36" i="69" s="1"/>
  <c r="D25" i="110" a="1"/>
  <c r="D25" i="110" s="1"/>
  <c r="D22" i="110" a="1"/>
  <c r="D22" i="110" s="1"/>
  <c r="D21" i="110" a="1"/>
  <c r="D21" i="110" s="1"/>
  <c r="E25" i="69" a="1"/>
  <c r="E25" i="69" l="1"/>
  <c r="I48" i="70"/>
  <c r="I39" i="70"/>
  <c r="I38" i="70"/>
  <c r="I46" i="70"/>
  <c r="D7" i="69" a="1"/>
  <c r="D7" i="69" s="1"/>
  <c r="H31" i="69" a="1"/>
  <c r="H31" i="69" s="1"/>
  <c r="D31" i="69" a="1"/>
  <c r="D31" i="69" s="1"/>
  <c r="E29" i="69" a="1"/>
  <c r="E29" i="69" s="1"/>
  <c r="F39" i="69" s="1"/>
  <c r="E28" i="69" a="1"/>
  <c r="E28" i="69" s="1"/>
  <c r="D23" i="69" a="1"/>
  <c r="D23" i="69" s="1"/>
  <c r="D22" i="69" a="1"/>
  <c r="D22" i="69" s="1"/>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22" i="70"/>
  <c r="E13" i="121"/>
  <c r="E8" i="69" a="1"/>
  <c r="E41" i="70" l="1"/>
  <c r="J34" i="69" s="1"/>
  <c r="E50" i="70"/>
  <c r="J35" i="69" s="1"/>
  <c r="I15" i="69" a="1"/>
  <c r="I15" i="69" s="1"/>
  <c r="E18" i="69" s="1" a="1"/>
  <c r="E18" i="69" s="1"/>
  <c r="E9" i="13" s="1"/>
  <c r="E8" i="69"/>
  <c r="E39" i="69" l="1" a="1"/>
  <c r="E39" i="69" s="1"/>
  <c r="E10" i="13" l="1"/>
  <c r="F10"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<sst xmlns="http://schemas.openxmlformats.org/spreadsheetml/2006/main" count="206" uniqueCount="156">
  <si>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</si>
  <si>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</si>
  <si>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</si>
  <si>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</si>
  <si>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</si>
  <si>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</si>
  <si>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</si>
  <si>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</si>
  <si>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</si>
  <si>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</si>
  <si>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</si>
  <si>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</si>
  <si>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</si>
  <si>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</si>
  <si>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</si>
  <si>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</si>
  <si>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</si>
  <si>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</si>
  <si>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</si>
  <si>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</si>
  <si>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</si>
  <si>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</si>
  <si>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</si>
  <si>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</si>
  <si>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</si>
  <si>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</si>
  <si>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</si>
  <si>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</si>
  <si>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</si>
  <si>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</si>
  <si>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</si>
  <si>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</si>
  <si>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</si>
  <si>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</si>
  <si>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</si>
  <si>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</si>
  <si>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</si>
  <si>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</si>
  <si>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</si>
  <si>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</si>
  <si>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</si>
  <si>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</si>
  <si>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</si>
  <si>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</si>
  <si>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</si>
  <si>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</si>
  <si>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</si>
  <si>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</si>
  <si>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</si>
  <si>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</si>
  <si>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</si>
  <si>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</si>
  <si>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</si>
  <si>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</si>
  <si>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</si>
  <si>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</si>
  <si>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</si>
  <si>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</si>
  <si>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</si>
  <si>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</si>
  <si>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</si>
  <si>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</si>
  <si>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</si>
  <si>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</si>
  <si>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</si>
  <si>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</si>
  <si>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</si>
  <si>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</si>
  <si>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</si>
  <si>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</si>
  <si>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</si>
  <si>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</si>
  <si>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</si>
  <si>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</si>
  <si>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</si>
  <si>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</si>
  <si>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</si>
  <si>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</si>
  <si>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</si>
  <si>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</si>
  <si>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</si>
  <si>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</si>
  <si>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</si>
  <si>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</si>
  <si>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</si>
  <si>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</si>
  <si>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</si>
  <si>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</si>
  <si>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</si>
  <si>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</si>
  <si>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</si>
  <si>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</si>
  <si>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</si>
  <si>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</si>
  <si>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</si>
  <si>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</si>
  <si>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</si>
  <si>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</si>
  <si>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</si>
  <si>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</si>
  <si>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</si>
  <si>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</si>
  <si>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</si>
  <si>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</si>
  <si>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</si>
  <si>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</si>
  <si>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</si>
  <si>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</si>
  <si>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</si>
  <si>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</si>
  <si>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</si>
  <si>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</si>
  <si>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</si>
  <si>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</si>
  <si>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</si>
  <si>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</si>
  <si>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</si>
  <si>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</si>
  <si>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</si>
  <si>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</si>
  <si>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</si>
  <si>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</si>
  <si>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</si>
  <si>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</si>
  <si>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</si>
  <si>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</si>
  <si>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</si>
  <si>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</si>
  <si>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</si>
  <si>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</si>
  <si>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</si>
  <si>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</si>
  <si>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</si>
  <si>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</si>
  <si>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</si>
  <si>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</si>
  <si>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</si>
  <si>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</si>
  <si>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</si>
  <si>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</si>
  <si>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</si>
  <si>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</si>
  <si>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</si>
  <si>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</si>
  <si>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</si>
  <si>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</si>
  <si>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</si>
  <si>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</si>
  <si>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</si>
  <si>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</si>
  <si>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</si>
  <si>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</si>
  <si>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</si>
  <si>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</si>
  <si>
    <t>How do you want to calculate electricity emissions?</t>
  </si>
  <si>
    <t>Location-based (simpler)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</si>
</sst>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47"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0">
    <xf numFmtId="0" fontId="0" fillId="0" borderId="0" xfId="0"/>
    <xf numFmtId="0" fontId="30"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34" fillId="13" borderId="10" xfId="39" applyBorder="1">
      <alignment horizontal="left" vertical="center"/>
    </xf>
    <xf numFmtId="0" fontId="40" fillId="4" borderId="0" xfId="59">
      <alignment horizontal="left" vertical="center"/>
    </xf>
    <xf numFmtId="0" fontId="36" fillId="11" borderId="0" xfId="60">
      <alignment horizontal="center" vertical="center"/>
    </xf>
    <xf numFmtId="0" fontId="30" fillId="4" borderId="0" xfId="8" applyAlignment="1">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46" fillId="0" borderId="0" xfId="0" applyFont="1" applyAlignment="1">
      <alignment vertical="center"/>
    </xf>
    <xf numFmtId="0" fontId="39" fillId="4" borderId="0" xfId="47">
      <alignment horizontal="left" vertical="center"/>
    </xf>
    <xf numFmtId="0" fontId="34" fillId="13" borderId="14" xfId="39" applyBorder="1">
      <alignment horizontal="left" vertical="center"/>
    </xf>
    <xf numFmtId="0" fontId="34"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8" fillId="0" borderId="0" xfId="5" applyFill="1">
      <alignment horizontal="left" vertical="center"/>
    </xf>
    <xf numFmtId="0" fontId="11" fillId="4" borderId="0" xfId="30">
      <alignment vertical="center"/>
    </xf>
    <xf numFmtId="0" fontId="33" fillId="0" borderId="0" xfId="6" applyFill="1">
      <alignment vertical="center"/>
    </xf>
    <xf numFmtId="0" fontId="2" fillId="0" borderId="2" xfId="14">
      <alignment horizontal="center" vertical="center"/>
    </xf>
    <xf numFmtId="0" fontId="2" fillId="4" borderId="0" xfId="7" applyFont="1">
      <alignment horizontal="left" vertical="center"/>
    </xf>
    <xf numFmtId="0" fontId="30" fillId="0" borderId="0" xfId="8" applyFill="1">
      <alignment horizontal="left" vertical="center"/>
    </xf>
    <xf numFmtId="0" fontId="34" fillId="13" borderId="17" xfId="39" applyBorder="1">
      <alignment horizontal="left" vertical="center"/>
    </xf>
    <xf numFmtId="0" fontId="34" fillId="13" borderId="18" xfId="39" applyBorder="1">
      <alignment horizontal="left" vertical="center"/>
    </xf>
    <xf numFmtId="0" fontId="48"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5"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9" fillId="0" borderId="0" xfId="0" applyFont="1" applyAlignment="1" applyProtection="1">
      <alignment horizontal="center" vertical="center"/>
      <protection locked="0"/>
    </xf>
    <xf numFmtId="4" fontId="50" fillId="0" borderId="0" xfId="17" applyFont="1" applyBorder="1">
      <alignment horizontal="center" vertical="center"/>
    </xf>
    <xf numFmtId="164" fontId="8" fillId="4" borderId="0" xfId="26" applyBorder="1">
      <alignment horizontal="center" vertical="center"/>
    </xf>
    <xf numFmtId="4" fontId="50" fillId="4" borderId="0" xfId="17" applyFont="1" applyFill="1" applyBorder="1">
      <alignment horizontal="center" vertical="center"/>
    </xf>
    <xf numFmtId="0" fontId="50" fillId="4" borderId="0" xfId="12" applyFont="1" applyAlignment="1">
      <alignment horizontal="center" vertical="center"/>
    </xf>
    <xf numFmtId="0" fontId="50" fillId="4" borderId="0" xfId="8" applyFont="1" applyAlignment="1">
      <alignment horizontal="center" vertical="center"/>
    </xf>
    <xf numFmtId="166" fontId="50" fillId="4" borderId="0" xfId="8" applyNumberFormat="1" applyFont="1" applyAlignment="1">
      <alignment horizontal="center" vertical="center"/>
    </xf>
    <xf numFmtId="9" fontId="50" fillId="4" borderId="0" xfId="69" applyFont="1" applyFill="1" applyBorder="1" applyAlignment="1">
      <alignment horizontal="center" vertical="center"/>
    </xf>
    <xf numFmtId="0" fontId="51" fillId="4" borderId="0" xfId="0" applyFont="1" applyFill="1" applyAlignment="1">
      <alignment horizontal="center" vertical="center"/>
    </xf>
    <xf numFmtId="0" fontId="51" fillId="4" borderId="0" xfId="0" applyFont="1" applyFill="1"/>
    <xf numFmtId="0" fontId="50" fillId="4" borderId="0" xfId="0" applyFont="1" applyFill="1"/>
    <xf numFmtId="0" fontId="50" fillId="0" borderId="0" xfId="0" applyFont="1"/>
    <xf numFmtId="0" fontId="52" fillId="4" borderId="0" xfId="7" applyFont="1" applyAlignment="1">
      <alignment horizontal="center" vertical="center"/>
    </xf>
    <xf numFmtId="0" fontId="53" fillId="4" borderId="0" xfId="7" applyFont="1" applyAlignment="1">
      <alignment horizontal="center" vertical="center"/>
    </xf>
    <xf numFmtId="166" fontId="53" fillId="4" borderId="0" xfId="7" applyNumberFormat="1" applyFont="1" applyAlignment="1">
      <alignment horizontal="center" vertical="center"/>
    </xf>
    <xf numFmtId="0" fontId="53" fillId="4" borderId="0" xfId="0" applyFont="1" applyFill="1" applyAlignment="1">
      <alignment horizontal="center" vertical="center"/>
    </xf>
    <xf numFmtId="0" fontId="54" fillId="4" borderId="0" xfId="0" applyFont="1" applyFill="1" applyAlignment="1">
      <alignment horizontal="center" vertical="center"/>
    </xf>
    <xf numFmtId="0" fontId="54" fillId="4" borderId="0" xfId="0" applyFont="1" applyFill="1" applyAlignment="1">
      <alignment horizontal="left" vertical="center"/>
    </xf>
    <xf numFmtId="14" fontId="3" fillId="4" borderId="0" xfId="7" applyNumberFormat="1">
      <alignment horizontal="left" vertical="center"/>
    </xf>
    <xf numFmtId="0" fontId="47"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5" fillId="4" borderId="0" xfId="0" applyFont="1" applyFill="1"/>
    <xf numFmtId="0" fontId="57" fillId="4" borderId="1" xfId="8" applyFont="1" applyBorder="1">
      <alignment horizontal="left" vertical="center"/>
    </xf>
    <xf numFmtId="0" fontId="30" fillId="4" borderId="1" xfId="8" applyBorder="1">
      <alignment horizontal="left" vertical="center"/>
    </xf>
    <xf numFmtId="0" fontId="56"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0"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29"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59" fillId="4" borderId="1" xfId="53" applyFont="1" applyBorder="1">
      <alignment horizontal="left" vertical="center"/>
    </xf>
    <xf numFmtId="17" fontId="0" fillId="0" borderId="0" xfId="8" applyNumberFormat="1" applyFont="1" applyFill="1">
      <alignment horizontal="left" vertical="center"/>
    </xf>
    <xf numFmtId="0" fontId="60" fillId="9" borderId="4" xfId="34" applyFont="1">
      <alignment horizontal="left" vertical="center" indent="1"/>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19"/>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18"/>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17">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9A165F-9435-414B-BD76-43B177ABA8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E71C241-61E8-4489-AA76-96443EAE034C}" name="State/Territory">
      <calculatedColumnFormula array="1">Common_InputFunctions.Utility_DisplayArrayInTable(Common_SourceData.Common_SourceData_AustralianStatesTerritories_Data(),Table_AustralianStates[[#Headers],[State/Territory]],0)</calculatedColumnFormula>
    </tableColumn>
    <tableColumn id="2" xr3:uid="{ACC3E50D-CE1E-459D-B928-9CDE4A67A1A2}" name="Common Name">
      <calculatedColumnFormula array="1">Common_InputFunctions.Utility_DisplayArrayInTable(Common_SourceData.Common_SourceData_AustralianStatesTerritories_Data(),Table_AustralianStates[[#Headers],[State/Territory]],0)</calculatedColumnFormula>
    </tableColumn>
    <tableColumn id="3" xr3:uid="{86CD3F57-A5E1-461A-9440-621D09F09F3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DA963B-8478-4AB1-8F1D-C1E8EAAA9347}" name="Table_WASA4Areas" displayName="Table_WASA4Areas" ref="D20:D30" totalsRowShown="0">
  <autoFilter ref="D20:D30" xr:uid="{5FA81339-C6C8-4D36-BEEA-6C4AEDD9E676}">
    <filterColumn colId="0" hiddenButton="1"/>
  </autoFilter>
  <tableColumns count="1">
    <tableColumn id="1" xr3:uid="{0070E606-E49D-4FE4-85EA-C0B588C6C3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BC3B980-BCF0-45EA-B194-1A23812AB71E}" name="Table_GWPData" displayName="Table_GWPData" ref="D36:E43" totalsRowShown="0">
  <autoFilter ref="D36:E43" xr:uid="{B8E87A66-3E41-4AD3-925D-01EE21B43D7A}">
    <filterColumn colId="0" hiddenButton="1"/>
    <filterColumn colId="1" hiddenButton="1"/>
  </autoFilter>
  <tableColumns count="2">
    <tableColumn id="1" xr3:uid="{47C418B3-C9EA-4555-91DE-E1FF1A90A524}" name="Gas">
      <calculatedColumnFormula array="1">Common_InputFunctions.Utility_DisplayArrayInTable(Common_SourceData.Common_SourceData_GWP_Data(), Table_GWPData[[#Headers],[Gas]], 0)</calculatedColumnFormula>
    </tableColumn>
    <tableColumn id="2" xr3:uid="{28631823-8572-452C-B0CD-79BB1E4EB90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24FC9B-368F-45A3-88F6-211F7A1F544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E0102E5-39C7-467E-ABA3-6D7448E15909}" name="Gas">
      <calculatedColumnFormula array="1">Common_InputFunctions.Utility_DisplayArrayInTable(Common_SourceData.Common_SourceData_ConvertGasElementalToMolecular_Data(),Table_GasToMolecularConversionFactor[[#Headers],[Gas]], 0)</calculatedColumnFormula>
    </tableColumn>
    <tableColumn id="5" xr3:uid="{305B303B-E0BD-401D-A43D-46BB79576AF1}" name="Conversion factor">
      <calculatedColumnFormula array="1">Common_InputFunctions.Utility_DisplayArrayInTable(Common_SourceData.Common_SourceData_ConvertGasElementalToMolecular_Data(),Table_GasToMolecularConversionFactor[[#Headers],[Gas]], 0)</calculatedColumnFormula>
    </tableColumn>
    <tableColumn id="2" xr3:uid="{BD313F47-C67B-4A2C-8D04-6EC8BAE84EB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1A4A22E-A47E-4205-911D-095C78950B9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B92919E-EEA8-4C10-BB85-04B4E14093E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8B290-90D6-446E-9DB8-A202D56AF96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6A5F01C-5883-41AF-AE28-D50B33672E8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1A7D61-1145-47CF-9231-81A191C5F525}" name="MA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3" xr3:uid="{71DB1B83-1EF9-4634-964A-C956AA7AF679}" name="MA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4" xr3:uid="{89E58885-C79C-49DA-BAE3-148D2762C05E}" name="Frost days per year"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5" xr3:uid="{56C31162-3402-4F22-95BA-6A91114DC55B}" name="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6" xr3:uid="{31F74135-44AD-4F36-A2FD-80E1F0FB4D15}" name="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7" xr3:uid="{2E0B3AA9-CA2C-4B68-ADB0-8647555F7F49}" name="Min temp"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8" xr3:uid="{07EDCFA0-D219-4138-BA2B-806B1E51A6AE}" name="Max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9" xr3:uid="{21F92A33-0D75-45A5-B10A-7B2610BF71B3}" name="Min rainfall"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0" xr3:uid="{2C70F876-426D-42B1-AEF9-6165CF598743}" name="Max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1" xr3:uid="{B9045312-700F-40E5-9187-039E98B47579}" name="Min frost days"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5" xr3:uid="{154F16DB-03E0-4224-AE8B-7CBF1AF45931}" name="Max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2" xr3:uid="{A9EFE373-8085-4335-BF5F-94DEC1E07441}" name="Min 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6" xr3:uid="{B3504ADE-D373-42DE-8048-5A75D80484B7}" name="Max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3" xr3:uid="{99152ED2-293E-4DC8-B70A-7732306119EB}" name="Min 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7" xr3:uid="{AE69E55F-A5CE-4821-9A38-0C899BF6270E}" name="Max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C067140-32A3-4019-BB9F-D94D581B010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088BAE6-7710-4DF8-BCE9-0D1B08F2A8D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D24F680-2739-467B-95AB-EBB83DA1BFFE}" name="Wet or Dry Zone" totalsRowDxfId="4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45A5184-C28E-4C9D-9CCE-2399F8562A8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B9AC30C-1502-403A-8B16-4C903DA4620D}" name="Temperature Zone">
      <calculatedColumnFormula array="1">Common_InputFunctions.Utility_DisplayArrayInTable(Common_SourceData.Common_SourceData_TemperatureZones_Data(),Table_SourceData_TemperatureZones[[#Headers],[Temperature Zone]],0)</calculatedColumnFormula>
    </tableColumn>
    <tableColumn id="2" xr3:uid="{5521103E-F249-4068-84C2-BACE5EFD5B71}" name="MAT">
      <calculatedColumnFormula array="1">Common_InputFunctions.Utility_DisplayArrayInTable(Common_SourceData.Common_SourceData_TemperatureZones_Data(),Table_SourceData_TemperatureZones[[#Headers],[Temperature Zone]],0)</calculatedColumnFormula>
    </tableColumn>
    <tableColumn id="3" xr3:uid="{1A5B2A0C-9FB7-4C83-BE24-2739F2EE4BBC}" name="Min MAT">
      <calculatedColumnFormula array="1">Common_InputFunctions.Utility_DisplayArrayInTable(Common_SourceData.Common_SourceData_TemperatureZones_Data(),Table_SourceData_TemperatureZones[[#Headers],[Temperature Zone]],0)</calculatedColumnFormula>
    </tableColumn>
    <tableColumn id="4" xr3:uid="{1644B56C-5210-463B-9955-0AD461E1041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3EDC5E-E2D1-49A9-AF31-977BE00CE79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08E0819-272F-4F79-BB59-D537CD4147E5}" name="Rainfall Zone">
      <calculatedColumnFormula array="1">Common_InputFunctions.Utility_DisplayArrayInTable(Common_SourceData.Common_SourceData_RainfallZones_Data(),Table_SourceData_RainfallZones[[#Headers],[Rainfall Zone]],0)</calculatedColumnFormula>
    </tableColumn>
    <tableColumn id="2" xr3:uid="{E07D5C59-5E5E-4237-878D-AA0908374DB3}" name="Annual rainfall">
      <calculatedColumnFormula array="1">Common_InputFunctions.Utility_DisplayArrayInTable(Common_SourceData.Common_SourceData_RainfallZones_Data(),Table_SourceData_RainfallZones[[#Headers],[Rainfall Zone]],0)</calculatedColumnFormula>
    </tableColumn>
    <tableColumn id="3" xr3:uid="{5754235C-6C2C-42B4-92AA-AEE240F95955}" name="Min rainfall">
      <calculatedColumnFormula array="1">Common_InputFunctions.Utility_DisplayArrayInTable(Common_SourceData.Common_SourceData_RainfallZones_Data(),Table_SourceData_RainfallZones[[#Headers],[Rainfall Zone]],0)</calculatedColumnFormula>
    </tableColumn>
    <tableColumn id="4" xr3:uid="{BA3EAC27-F8CD-4F25-8819-B30FCB46CC7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33DAE28-F4C2-48D9-ABB7-5B00FD092A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200DD7F-5532-4AD8-BBF9-FA19D2C5785B}" name="Leaching Zone">
      <calculatedColumnFormula array="1">Common_InputFunctions.Utility_DisplayArrayInTable(Common_SourceData.Common_SourceData_LeachingZones_Data(), Table_SourceData_LeachingZones[[#Headers],[Leaching Zone]], 0)</calculatedColumnFormula>
    </tableColumn>
    <tableColumn id="2" xr3:uid="{93FD9F5E-AA6E-498C-9AA2-CC977903211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CF6C0B-564B-424F-A169-7D59FCA2B3C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488E72E-D353-4324-AE9D-C442C4331FBF}" name="Data source">
      <calculatedColumnFormula array="1">Common_InputFunctions.Utility_DisplayArrayInTable(Common_SourceData.Common_SourceData_DataScores_Scope3_Data(), Table_SourceData_DataScores_Scope3[[#Headers],[Data source]], 0)</calculatedColumnFormula>
    </tableColumn>
    <tableColumn id="2" xr3:uid="{F5C32B98-48FD-4261-87B4-453D9BE9E2E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BFF4A5-8886-49EF-9F33-DCD76AE9B32A}" name="Table_SourceData_FracWET" displayName="Table_SourceData_FracWET" ref="D134:E136" totalsRowShown="0">
  <autoFilter ref="D134:E136" xr:uid="{308E99BE-FE1F-47A4-B2CA-97217277C4E9}">
    <filterColumn colId="0" hiddenButton="1"/>
    <filterColumn colId="1" hiddenButton="1"/>
  </autoFilter>
  <tableColumns count="2">
    <tableColumn id="1" xr3:uid="{BD2D0241-FFA4-42EF-A7B9-2CB0E0DEC201}" name="Is in leaching zone">
      <calculatedColumnFormula array="1">Common_InputFunctions.Utility_DisplayArrayInTable(Common_SourceData.Common_SourceData_FracWET_Data(),Table_SourceData_FracWET[[#Headers],[Is in leaching zone]],0)</calculatedColumnFormula>
    </tableColumn>
    <tableColumn id="2" xr3:uid="{AEC9B820-248B-4B84-96A9-0CB02F4FF2AA}" name="FracWET" dataDxfId="3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11E2A5E-657D-43DF-AB62-A1CD4CA0C88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52423E4-4B33-44EB-B4BD-3B8BD118AC9B}" name="Production system j">
      <calculatedColumnFormula array="1">Common_InputFunctions.Utility_DisplayArrayInTable(Common_SourceData.Common_SourceData_EFN2O_Data(), Table_SourceData_Common_EFN2O[[#Headers],[Production system j]], 0)</calculatedColumnFormula>
    </tableColumn>
    <tableColumn id="2" xr3:uid="{BB728903-2B86-4F84-A7DC-85309CFFECF2}" name="EFN2O">
      <calculatedColumnFormula array="1">Common_InputFunctions.Utility_DisplayArrayInTable(Common_SourceData.Common_SourceData_EFN2O_Data(), Table_SourceData_Common_EFN2O[[#Headers],[Production system j]], 0)</calculatedColumnFormula>
    </tableColumn>
    <tableColumn id="3" xr3:uid="{0EA81DC0-4AD6-4847-A018-E6FFA14025AC}" name="Production system only">
      <calculatedColumnFormula array="1">Common_InputFunctions.Utility_DisplayArrayInTable(Common_SourceData.Common_SourceData_EFN2O_Data(), Table_SourceData_Common_EFN2O[[#Headers],[Production system j]], 0)</calculatedColumnFormula>
    </tableColumn>
    <tableColumn id="4" xr3:uid="{6119E9D6-697F-45F3-9A0E-F8C0924FDC27}" name="Irrigation method">
      <calculatedColumnFormula array="1">Common_InputFunctions.Utility_DisplayArrayInTable(Common_SourceData.Common_SourceData_EFN2O_Data(), Table_SourceData_Common_EFN2O[[#Headers],[Production system j]], 0)</calculatedColumnFormula>
    </tableColumn>
    <tableColumn id="5" xr3:uid="{7E670E63-B90E-4E76-BED2-C10863007BCA}"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7DC09EA-3F9A-45F1-8271-976FC0C1045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AF64C62-0AB6-4E97-AC00-03D00A62ED3D}" name="Irrigation type i">
      <calculatedColumnFormula array="1">Common_InputFunctions.Utility_DisplayArrayInTable(Common_SourceData.Common_SourceData_FracWETIrrigation_Data(), Table_SourceData_FracWETIrrigation[[#Headers],[Irrigation type i]], 0)</calculatedColumnFormula>
    </tableColumn>
    <tableColumn id="2" xr3:uid="{34CAEC98-1032-45D6-9D51-DA9260C5AED3}" name="FracWET" dataDxfId="3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4A156B6-993A-4AC9-9D39-6F67361EC73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6D77EBA-360C-4CDF-9614-9DBBA42D2BB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0E51103-7E63-4EE2-AF8E-41F32599E6CA}" name="EFPRP" dataDxfId="3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1DE019-0A34-4762-99C4-D21E295B23F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A2B127-4200-46FC-A53B-C560147D65A2}" name="Month">
      <calculatedColumnFormula array="1">Common_InputFunctions.Utility_DisplayArrayInTable(Common_SourceData.Common_SourceData_MonthsToSeasons_Data(), Table_SourceData_Common_MonthToSeason[[#Headers],[Month]], 0)</calculatedColumnFormula>
    </tableColumn>
    <tableColumn id="2" xr3:uid="{360953E6-AC1A-4E0B-8B98-D3657D507C05}" name="Season" dataDxfId="3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B85262-003F-4B20-8577-B48CE5235BD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61DBD89-9B55-4023-96AB-B54A6C6EA4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AC9547C-A240-4811-97C7-6C4CCAF05D98}" name="MAT (ºC)"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00792E9-FF69-4654-AB53-6218F1DB0676}" name="Anaerobic lago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25C5524-B036-43DD-8A85-F0D3D7922182}" name="Digester / covered lagoons"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8AABE7A-A73E-429F-8993-05E0EFFEE698}" name="Liquid system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114649C-1BEC-4319-838D-3F2DD4A83E94}" name="Daily spread"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80B29E1-DB25-4930-8D66-EC59FDFA88F6}" name="Composting (passive windrow)"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11E2C6B-8A71-4622-8480-5043E8FC12A7}" name="Solid storage"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D9E7C3-C119-48EC-A3A3-E52AA592857C}" name="Pit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B5BBE2C-1F5F-471B-8C5B-3BF51A301F26}" name="Deep litter"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97FB6AD-5F85-4931-B3D2-205EF6077EB2}" name="Poultry manure with bedding"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1DBBC95-232F-4C60-884F-8409E757871F}" name="Poultry manure without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7BFF041-6262-4E72-A014-EC5417657D6B}" name="Direct process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B6394D4-A471-4D18-86B5-809AE59820F0}" name="Direct application"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50F0B7D-6541-44AD-B7B9-2D9A44E1F289}" name="Pasture range and paddock"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46A6F7-2F25-4EE9-BC06-43F9FB1B4FE1}" name="MAT ra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0FF0002-A042-450B-BE79-58C0DE6DE3C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E536E2D-59CB-407B-99E7-0996C3C538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B0CA143-FD75-4586-845D-12D6AC370D90}" name="EFNi &amp; EFN2Oi" dataDxfId="2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19"/>
  <sheetViews>
    <sheetView zoomScaleNormal="100" workbookViewId="0">
      <selection activeCell="A19" sqref="A19"/>
    </sheetView>
  </sheetViews>
  <sheetFormatPr defaultRowHeight="15" x14ac:dyDescent="0.25"/>
  <sheetData>
    <row r="1" spans="1:1" ht="25.5" x14ac:dyDescent="0.35">
      <c r="A1" s="32" t="e" vm="1">
        <v>#VALUE!</v>
      </c>
    </row>
    <row r="3" spans="1:1" ht="15.75" x14ac:dyDescent="0.25">
      <c r="A3" s="43" t="str">
        <f>HYPERLINK("#'Home'!A1", "Home")</f>
        <v>Home</v>
      </c>
    </row>
    <row r="4" spans="1:1" ht="15.75" x14ac:dyDescent="0.25">
      <c r="A4" s="14" t="str">
        <f>HYPERLINK("#'Overview'!A1", "Overview")</f>
        <v>Overview</v>
      </c>
    </row>
    <row r="5" spans="1:1" ht="15.75" x14ac:dyDescent="0.25">
      <c r="A5" s="14" t="str">
        <f>HYPERLINK("#'Results'!A1", "Results")</f>
        <v>Results</v>
      </c>
    </row>
    <row r="8" spans="1:1" x14ac:dyDescent="0.25">
      <c r="A8" s="16" t="s">
        <v>0</v>
      </c>
    </row>
    <row r="9" spans="1:1" ht="15.75" x14ac:dyDescent="0.25">
      <c r="A9" s="14" t="str">
        <f>HYPERLINK("#'Input - Site'!A1", "Site")</f>
        <v>Site</v>
      </c>
    </row>
    <row r="10" spans="1:1" ht="15.75" x14ac:dyDescent="0.25">
      <c r="A10" s="14" t="str">
        <f>HYPERLINK("#'Input - Electricity'!A1", "Electricity")</f>
        <v>Electricity</v>
      </c>
    </row>
    <row r="13" spans="1:1" x14ac:dyDescent="0.25">
      <c r="A13" s="15" t="s">
        <v>44</v>
      </c>
    </row>
    <row r="14" spans="1:1" ht="15.75" x14ac:dyDescent="0.25">
      <c r="A14" s="14" t="str">
        <f>HYPERLINK("#'14.1.1-2 Purchased electricity'!A1", "14.1.1-2 Purchased electricity")</f>
        <v>14.1.1-2 Purchased electricity</v>
      </c>
    </row>
    <row r="17" spans="1:1" x14ac:dyDescent="0.25">
      <c r="A17" s="119" t="s">
        <v>1</v>
      </c>
    </row>
    <row r="18" spans="1:1" ht="15.75" x14ac:dyDescent="0.25">
      <c r="A18" s="14" t="str">
        <f>HYPERLINK("#'Constants - Electricity'!A1", "Constants - Electricity")</f>
        <v>Constants - Electricity</v>
      </c>
    </row>
    <row r="19" spans="1:1" ht="15.75" x14ac:dyDescent="0.25">
      <c r="A19" s="14"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2" t="s">
        <v>145</v>
      </c>
      <c r="D1" s="53"/>
      <c r="E1" s="53"/>
      <c r="F1" s="53"/>
      <c r="G1" s="53"/>
      <c r="H1" s="53"/>
      <c r="I1" s="53"/>
      <c r="J1" s="53"/>
      <c r="K1" s="53"/>
      <c r="L1" s="53"/>
      <c r="M1" s="53"/>
      <c r="N1" s="53"/>
      <c r="O1" s="53"/>
      <c r="P1" s="53"/>
    </row>
    <row r="2" spans="1:17" ht="20.100000000000001" customHeight="1" x14ac:dyDescent="0.25">
      <c r="C2" s="53"/>
      <c r="D2" s="53"/>
      <c r="E2" s="53"/>
      <c r="F2" s="53"/>
      <c r="G2" s="53"/>
      <c r="H2" s="53"/>
      <c r="I2" s="53"/>
      <c r="J2" s="53"/>
      <c r="K2" s="53"/>
      <c r="L2" s="53"/>
      <c r="M2" s="53"/>
      <c r="N2" s="53"/>
      <c r="O2" s="53"/>
      <c r="P2" s="53"/>
      <c r="Q2" s="54"/>
    </row>
    <row r="3" spans="1:17" ht="20.100000000000001" customHeight="1" x14ac:dyDescent="0.25">
      <c r="A3" s="14" t="str">
        <f>HYPERLINK("#'Home'!A1", "Home")</f>
        <v>Home</v>
      </c>
      <c r="C3" s="55"/>
      <c r="D3" s="55"/>
      <c r="E3" s="55"/>
      <c r="F3" s="55"/>
      <c r="G3" s="55"/>
      <c r="H3" s="55"/>
      <c r="I3" s="55"/>
      <c r="J3" s="55"/>
      <c r="K3" s="55"/>
      <c r="L3" s="55"/>
      <c r="M3" s="55"/>
      <c r="N3" s="55"/>
      <c r="O3" s="55"/>
      <c r="P3" s="55"/>
    </row>
    <row r="4" spans="1:17" ht="20.100000000000001" customHeight="1" x14ac:dyDescent="0.25">
      <c r="A4" s="43" t="str">
        <f>HYPERLINK("#'Overview'!A1", "Overview")</f>
        <v>Overview</v>
      </c>
    </row>
    <row r="5" spans="1:17" ht="20.100000000000001" customHeight="1" x14ac:dyDescent="0.25">
      <c r="A5" s="14" t="str">
        <f>HYPERLINK("#'Results'!A1", "Results")</f>
        <v>Results</v>
      </c>
      <c r="D5" s="41" t="s">
        <v>82</v>
      </c>
      <c r="E5" s="36"/>
      <c r="F5" s="36"/>
      <c r="G5" s="36"/>
      <c r="H5" s="36"/>
      <c r="I5" s="36"/>
      <c r="J5" s="36"/>
      <c r="K5" s="36"/>
      <c r="L5" s="36"/>
      <c r="M5" s="36"/>
      <c r="N5" s="36"/>
      <c r="O5" s="33"/>
    </row>
    <row r="6" spans="1:17" ht="20.100000000000001" customHeight="1" x14ac:dyDescent="0.25">
      <c r="D6" s="56" t="s">
        <v>83</v>
      </c>
      <c r="E6" s="35"/>
      <c r="F6" s="35"/>
      <c r="G6" s="35"/>
      <c r="H6" s="35"/>
      <c r="I6" s="35"/>
      <c r="J6" s="35"/>
      <c r="K6" s="35"/>
      <c r="L6" s="35"/>
      <c r="M6" s="35"/>
      <c r="N6" s="35"/>
      <c r="O6" s="34"/>
    </row>
    <row r="7" spans="1:17" ht="20.100000000000001" customHeight="1" x14ac:dyDescent="0.25"/>
    <row r="8" spans="1:17" ht="20.100000000000001" customHeight="1" x14ac:dyDescent="0.25">
      <c r="A8" s="16" t="s">
        <v>0</v>
      </c>
    </row>
    <row r="9" spans="1:17" ht="20.100000000000001" customHeight="1" x14ac:dyDescent="0.25">
      <c r="A9" s="14" t="str">
        <f>HYPERLINK("#'Input - Site'!A1", "Site")</f>
        <v>Site</v>
      </c>
    </row>
    <row r="10" spans="1:17" ht="20.100000000000001" customHeight="1" x14ac:dyDescent="0.25">
      <c r="A10" s="14" t="str">
        <f>HYPERLINK("#'Input - Electricity'!A1", "Electricity")</f>
        <v>Electricity</v>
      </c>
    </row>
    <row r="11" spans="1:17" ht="20.100000000000001" customHeight="1" x14ac:dyDescent="0.25"/>
    <row r="12" spans="1:17" ht="20.100000000000001" customHeight="1" x14ac:dyDescent="0.25"/>
    <row r="13" spans="1:17" ht="20.100000000000001" customHeight="1" x14ac:dyDescent="0.25">
      <c r="A13" s="15" t="s">
        <v>44</v>
      </c>
    </row>
    <row r="14" spans="1:17" ht="20.100000000000001" customHeight="1" x14ac:dyDescent="0.25">
      <c r="A14" s="14" t="str">
        <f>HYPERLINK("#'14.1.1-2 Purchased electricity'!A1", "14.1.1-2 Purchased electricity")</f>
        <v>14.1.1-2 Purchased electricity</v>
      </c>
      <c r="O14" s="1" t="s">
        <v>84</v>
      </c>
    </row>
    <row r="15" spans="1:17" ht="20.100000000000001" customHeight="1" x14ac:dyDescent="0.25"/>
    <row r="16" spans="1:17" ht="20.100000000000001" customHeight="1" x14ac:dyDescent="0.25"/>
    <row r="17" spans="1:1" ht="20.100000000000001" customHeight="1" x14ac:dyDescent="0.25">
      <c r="A17" s="119" t="s">
        <v>1</v>
      </c>
    </row>
    <row r="18" spans="1:1" ht="20.100000000000001" customHeight="1" x14ac:dyDescent="0.25">
      <c r="A18" s="14" t="str">
        <f>HYPERLINK("#'Constants - Electricity'!A1", "Constants - Electricity")</f>
        <v>Constants - Electricity</v>
      </c>
    </row>
    <row r="19" spans="1:1" ht="20.100000000000001" customHeight="1" x14ac:dyDescent="0.25">
      <c r="A19" s="14" t="str">
        <f>HYPERLINK("#'Constants - Common'!A1", "Constants - Common")</f>
        <v>Constants - Common</v>
      </c>
    </row>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19" sqref="A19"/>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2" t="s">
        <v>146</v>
      </c>
    </row>
    <row r="2" spans="1:8" ht="20.100000000000001" customHeight="1" x14ac:dyDescent="0.25">
      <c r="C2" s="9"/>
    </row>
    <row r="3" spans="1:8" ht="20.100000000000001" customHeight="1" x14ac:dyDescent="0.25">
      <c r="A3" s="14" t="str">
        <f>HYPERLINK("#'Home'!A1", "Home")</f>
        <v>Home</v>
      </c>
      <c r="C3" s="18"/>
      <c r="D3" s="18"/>
      <c r="E3" s="18"/>
      <c r="F3" s="18"/>
      <c r="G3" s="18"/>
      <c r="H3" s="18"/>
    </row>
    <row r="4" spans="1:8" ht="20.100000000000001" customHeight="1" x14ac:dyDescent="0.25">
      <c r="A4" s="14" t="str">
        <f>HYPERLINK("#'Overview'!A1", "Overview")</f>
        <v>Overview</v>
      </c>
      <c r="C4" s="18"/>
      <c r="D4" s="6" t="s">
        <v>2</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C6" s="18"/>
      <c r="D6" s="17" t="s">
        <v>79</v>
      </c>
      <c r="E6" s="18"/>
      <c r="F6" s="18"/>
      <c r="G6" s="18"/>
      <c r="H6" s="18"/>
    </row>
    <row r="7" spans="1:8" ht="20.100000000000001" customHeight="1" x14ac:dyDescent="0.25">
      <c r="C7" s="18"/>
      <c r="D7" s="18"/>
      <c r="E7" s="18"/>
      <c r="F7" s="18"/>
      <c r="G7" s="18"/>
      <c r="H7" s="18"/>
    </row>
    <row r="8" spans="1:8" ht="20.100000000000001" customHeight="1" x14ac:dyDescent="0.25">
      <c r="A8" s="16" t="s">
        <v>0</v>
      </c>
      <c r="C8" s="18"/>
      <c r="D8" s="39" t="s">
        <v>49</v>
      </c>
      <c r="E8" s="39" t="s">
        <v>59</v>
      </c>
      <c r="F8" s="39" t="s">
        <v>60</v>
      </c>
      <c r="G8" s="39" t="s">
        <v>54</v>
      </c>
      <c r="H8" s="18"/>
    </row>
    <row r="9" spans="1:8" ht="20.100000000000001" customHeight="1" x14ac:dyDescent="0.25">
      <c r="A9" s="14" t="str">
        <f>HYPERLINK("#'Input - Site'!A1", "Site")</f>
        <v>Site</v>
      </c>
      <c r="C9" s="18"/>
      <c r="D9" s="1" t="s">
        <v>147</v>
      </c>
      <c r="E9" s="51">
        <f>VEERG_14_1_1__1_LocationBasedScopeElectricityEmissions_Result_Method1</f>
        <v>16.8</v>
      </c>
      <c r="F9" s="51">
        <f>E9</f>
        <v>16.8</v>
      </c>
      <c r="G9" s="30" t="s">
        <v>57</v>
      </c>
      <c r="H9" s="18"/>
    </row>
    <row r="10" spans="1:8" ht="20.100000000000001" customHeight="1" x14ac:dyDescent="0.25">
      <c r="A10" s="14" t="str">
        <f>HYPERLINK("#'Input - Electricity'!A1", "Electricity")</f>
        <v>Electricity</v>
      </c>
      <c r="C10" s="18"/>
      <c r="D10" s="1" t="s">
        <v>148</v>
      </c>
      <c r="E10" s="51">
        <f>VEERG_14_1_2__1_MarketBasedScopeElectricityEmissionsVariation_Result_Method1</f>
        <v>14.580000000000002</v>
      </c>
      <c r="F10" s="51">
        <f t="shared" ref="F10" si="0">E10</f>
        <v>14.580000000000002</v>
      </c>
      <c r="G10" s="30" t="s">
        <v>57</v>
      </c>
      <c r="H10" s="18"/>
    </row>
    <row r="11" spans="1:8" ht="20.100000000000001" customHeight="1" x14ac:dyDescent="0.25">
      <c r="C11" s="18"/>
      <c r="D11" s="1"/>
      <c r="E11" s="1"/>
      <c r="F11" s="1"/>
      <c r="G11" s="1"/>
      <c r="H11" s="18"/>
    </row>
    <row r="12" spans="1:8" ht="20.100000000000001" customHeight="1" x14ac:dyDescent="0.25">
      <c r="C12" s="18"/>
      <c r="D12" s="1"/>
      <c r="E12" s="1"/>
      <c r="F12" s="1"/>
      <c r="G12" s="1"/>
      <c r="H12" s="18"/>
    </row>
    <row r="13" spans="1:8" ht="20.100000000000001" customHeight="1" x14ac:dyDescent="0.25">
      <c r="A13" s="15" t="s">
        <v>44</v>
      </c>
      <c r="C13" s="18"/>
      <c r="D13" s="1"/>
      <c r="E13" s="1"/>
      <c r="F13" s="1"/>
      <c r="G13" s="1"/>
      <c r="H13" s="18"/>
    </row>
    <row r="14" spans="1:8" ht="20.100000000000001" customHeight="1" x14ac:dyDescent="0.25">
      <c r="A14" s="14" t="str">
        <f>HYPERLINK("#'14.1.1-2 Purchased electricity'!A1", "14.1.1-2 Purchased electricity")</f>
        <v>14.1.1-2 Purchased electricity</v>
      </c>
      <c r="C14" s="18"/>
      <c r="D14" s="1"/>
      <c r="E14" s="40"/>
      <c r="F14" s="30"/>
      <c r="G14" s="1"/>
      <c r="H14" s="18"/>
    </row>
    <row r="15" spans="1:8" ht="20.100000000000001" customHeight="1" x14ac:dyDescent="0.25">
      <c r="C15" s="18"/>
      <c r="D15" s="1"/>
      <c r="E15" s="40"/>
      <c r="F15" s="30"/>
      <c r="G15" s="1"/>
      <c r="H15" s="18"/>
    </row>
    <row r="16" spans="1:8" ht="20.100000000000001" customHeight="1" x14ac:dyDescent="0.25">
      <c r="C16" s="18"/>
      <c r="D16" s="1"/>
      <c r="E16" s="1"/>
      <c r="F16" s="1"/>
      <c r="G16" s="1"/>
      <c r="H16" s="18"/>
    </row>
    <row r="17" spans="1:8" ht="20.100000000000001" customHeight="1" x14ac:dyDescent="0.25">
      <c r="A17" s="119" t="s">
        <v>1</v>
      </c>
      <c r="C17" s="18"/>
      <c r="D17" s="1"/>
      <c r="E17" s="1"/>
      <c r="F17" s="1"/>
      <c r="G17" s="1"/>
      <c r="H17" s="18"/>
    </row>
    <row r="18" spans="1:8" ht="20.100000000000001" customHeight="1" x14ac:dyDescent="0.25">
      <c r="A18" s="14" t="str">
        <f>HYPERLINK("#'Constants - Electricity'!A1", "Constants - Electricity")</f>
        <v>Constants - Electricity</v>
      </c>
      <c r="C18" s="18"/>
      <c r="D18" s="1"/>
      <c r="E18" s="1"/>
      <c r="F18" s="1"/>
      <c r="G18" s="1"/>
      <c r="H18" s="18"/>
    </row>
    <row r="19" spans="1:8" ht="20.100000000000001" customHeight="1" x14ac:dyDescent="0.25">
      <c r="A19" s="14" t="str">
        <f>HYPERLINK("#'Constants - Common'!A1", "Constants - Common")</f>
        <v>Constants - Common</v>
      </c>
      <c r="C19" s="18"/>
      <c r="D19" s="1"/>
      <c r="E19" s="1"/>
      <c r="F19" s="1"/>
      <c r="G19" s="1"/>
      <c r="H19" s="18"/>
    </row>
    <row r="20" spans="1:8" ht="20.100000000000001" customHeight="1" x14ac:dyDescent="0.25">
      <c r="C20" s="18"/>
      <c r="D20" s="1"/>
      <c r="E20" s="1"/>
      <c r="F20" s="1"/>
      <c r="G20" s="1"/>
      <c r="H20" s="18"/>
    </row>
    <row r="21" spans="1:8" ht="20.100000000000001" customHeight="1" x14ac:dyDescent="0.25">
      <c r="C21" s="18"/>
      <c r="D21" s="1"/>
      <c r="E21" s="1"/>
      <c r="F21" s="1"/>
      <c r="G21" s="1"/>
      <c r="H21" s="18"/>
    </row>
    <row r="22" spans="1:8" ht="20.100000000000001" customHeight="1" x14ac:dyDescent="0.25">
      <c r="C22" s="18"/>
      <c r="D22" s="1"/>
      <c r="E22" s="1"/>
      <c r="F22" s="1"/>
      <c r="G22" s="1"/>
      <c r="H22" s="18"/>
    </row>
    <row r="23" spans="1:8" ht="20.100000000000001" customHeight="1" x14ac:dyDescent="0.25">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60"/>
  <sheetViews>
    <sheetView showGridLines="0" zoomScaleNormal="100" workbookViewId="0">
      <selection activeCell="A19" sqref="A19"/>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2" t="e" vm="1">
        <v>#VALUE!</v>
      </c>
      <c r="C1" s="63" t="s">
        <v>94</v>
      </c>
    </row>
    <row r="2" spans="1:24" s="7" customFormat="1" ht="20.100000000000001" customHeight="1" x14ac:dyDescent="0.25">
      <c r="A2"/>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4"/>
      <c r="D4" s="64"/>
      <c r="E4" s="64"/>
      <c r="F4" s="64"/>
      <c r="G4" s="64"/>
      <c r="H4" s="64"/>
      <c r="I4" s="64"/>
      <c r="J4" s="64"/>
      <c r="K4" s="64"/>
    </row>
    <row r="5" spans="1:24" ht="20.100000000000001" customHeight="1" x14ac:dyDescent="0.25">
      <c r="A5" s="14" t="str">
        <f>HYPERLINK("#'Results'!A1", "Results")</f>
        <v>Results</v>
      </c>
      <c r="D5" s="6" t="s">
        <v>95</v>
      </c>
      <c r="N5" s="65"/>
    </row>
    <row r="6" spans="1:24" ht="20.100000000000001" customHeight="1" x14ac:dyDescent="0.25">
      <c r="A6"/>
      <c r="D6" s="66"/>
      <c r="N6" s="67"/>
    </row>
    <row r="7" spans="1:24" ht="20.100000000000001" customHeight="1" x14ac:dyDescent="0.25">
      <c r="A7"/>
      <c r="D7" s="1" t="s">
        <v>96</v>
      </c>
      <c r="E7" s="68" t="s">
        <v>97</v>
      </c>
      <c r="F7" s="2"/>
    </row>
    <row r="8" spans="1:24" ht="20.100000000000001" customHeight="1" x14ac:dyDescent="0.25">
      <c r="A8" s="16" t="s">
        <v>0</v>
      </c>
      <c r="D8" s="69" t="s">
        <v>98</v>
      </c>
      <c r="E8" s="68" t="s">
        <v>99</v>
      </c>
    </row>
    <row r="9" spans="1:24" ht="20.100000000000001" customHeight="1" x14ac:dyDescent="0.25">
      <c r="A9" s="42" t="str">
        <f>HYPERLINK("#'Input - Site'!A1", "Site")</f>
        <v>Site</v>
      </c>
      <c r="N9" s="70"/>
    </row>
    <row r="10" spans="1:24" ht="20.100000000000001" customHeight="1" x14ac:dyDescent="0.25">
      <c r="A10" s="14" t="str">
        <f>HYPERLINK("#'Input - Electricity'!A1", "Electricity")</f>
        <v>Electricity</v>
      </c>
      <c r="D10" s="60" t="s">
        <v>100</v>
      </c>
      <c r="E10" s="71"/>
      <c r="F10" s="72"/>
      <c r="G10" s="61"/>
      <c r="N10" s="70"/>
    </row>
    <row r="11" spans="1:24" ht="20.100000000000001" customHeight="1" x14ac:dyDescent="0.25">
      <c r="A11"/>
      <c r="N11" s="73"/>
    </row>
    <row r="12" spans="1:24" ht="20.100000000000001" customHeight="1" x14ac:dyDescent="0.25">
      <c r="A12"/>
      <c r="D12" s="69" t="s">
        <v>101</v>
      </c>
      <c r="E12" s="74">
        <v>45292</v>
      </c>
      <c r="F12" s="2" t="s">
        <v>102</v>
      </c>
    </row>
    <row r="13" spans="1:24" ht="20.100000000000001" customHeight="1" x14ac:dyDescent="0.25">
      <c r="A13" s="15" t="s">
        <v>44</v>
      </c>
      <c r="D13" s="69" t="s">
        <v>103</v>
      </c>
      <c r="E13" s="75">
        <f>DATE(YEAR(E12)+1,MONTH(E12),DAY(E12))-1</f>
        <v>45657</v>
      </c>
      <c r="F13" s="2" t="s">
        <v>104</v>
      </c>
      <c r="N13" s="76"/>
      <c r="O13" s="76"/>
    </row>
    <row r="14" spans="1:24" ht="20.100000000000001" customHeight="1" x14ac:dyDescent="0.25">
      <c r="A14" s="14" t="str">
        <f>HYPERLINK("#'14.1.1-2 Purchased electricity'!A1", "14.1.1-2 Purchased electricity")</f>
        <v>14.1.1-2 Purchased electricity</v>
      </c>
      <c r="N14" s="76"/>
      <c r="O14" s="76"/>
    </row>
    <row r="15" spans="1:24" ht="20.100000000000001" customHeight="1" x14ac:dyDescent="0.25">
      <c r="A15"/>
      <c r="N15" s="76"/>
      <c r="O15" s="76"/>
    </row>
    <row r="16" spans="1:24" ht="20.100000000000001" customHeight="1" x14ac:dyDescent="0.25">
      <c r="A16"/>
      <c r="D16" s="6" t="s">
        <v>105</v>
      </c>
      <c r="N16" s="76"/>
      <c r="O16" s="76"/>
    </row>
    <row r="17" spans="1:25" ht="20.100000000000001" customHeight="1" x14ac:dyDescent="0.25">
      <c r="A17" s="119" t="s">
        <v>1</v>
      </c>
    </row>
    <row r="18" spans="1:25" ht="20.100000000000001" customHeight="1" x14ac:dyDescent="0.25">
      <c r="A18" s="14" t="str">
        <f>HYPERLINK("#'Constants - Electricity'!A1", "Constants - Electricity")</f>
        <v>Constants - Electricity</v>
      </c>
      <c r="D18" s="77" t="s">
        <v>106</v>
      </c>
      <c r="E18" s="36"/>
      <c r="F18" s="36"/>
      <c r="G18" s="33"/>
    </row>
    <row r="19" spans="1:25" ht="20.100000000000001" customHeight="1" x14ac:dyDescent="0.25">
      <c r="A19" s="14" t="str">
        <f>HYPERLINK("#'Constants - Common'!A1", "Constants - Common")</f>
        <v>Constants - Common</v>
      </c>
      <c r="D19" s="37" t="s">
        <v>107</v>
      </c>
      <c r="E19" s="35"/>
      <c r="F19" s="35"/>
      <c r="G19" s="34"/>
      <c r="N19" s="65"/>
    </row>
    <row r="20" spans="1:25" ht="20.100000000000001" customHeight="1" x14ac:dyDescent="0.25">
      <c r="A20"/>
      <c r="D20" s="1"/>
      <c r="E20" s="78"/>
      <c r="F20" s="2"/>
      <c r="N20" s="67"/>
    </row>
    <row r="21" spans="1:25" ht="20.100000000000001" customHeight="1" x14ac:dyDescent="0.25">
      <c r="A21"/>
      <c r="D21" s="1" t="s">
        <v>108</v>
      </c>
      <c r="E21" s="27" t="s">
        <v>109</v>
      </c>
      <c r="F21" s="2" t="s">
        <v>93</v>
      </c>
    </row>
    <row r="22" spans="1:25" ht="20.100000000000001" customHeight="1" x14ac:dyDescent="0.25">
      <c r="A22"/>
      <c r="D22" s="1" t="s">
        <v>110</v>
      </c>
      <c r="E22" s="27" t="s">
        <v>111</v>
      </c>
      <c r="F22" s="2" t="s">
        <v>93</v>
      </c>
      <c r="G22" s="1"/>
    </row>
    <row r="23" spans="1:25" ht="20.100000000000001" customHeight="1" x14ac:dyDescent="0.25">
      <c r="A23"/>
    </row>
    <row r="24" spans="1:25" ht="20.100000000000001" customHeight="1" x14ac:dyDescent="0.25">
      <c r="A24"/>
    </row>
    <row r="25" spans="1:25" ht="20.100000000000001" customHeight="1" x14ac:dyDescent="0.25">
      <c r="A25"/>
      <c r="N25" s="67"/>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79"/>
      <c r="L30" s="80"/>
      <c r="M30" s="80"/>
      <c r="N30" s="80"/>
      <c r="O30" s="80"/>
      <c r="P30" s="80"/>
      <c r="Q30" s="80"/>
      <c r="R30" s="80"/>
      <c r="S30" s="80"/>
      <c r="T30" s="80"/>
      <c r="U30" s="80"/>
      <c r="V30" s="80"/>
      <c r="W30" s="80"/>
      <c r="X30" s="80"/>
      <c r="Y30" s="80"/>
    </row>
    <row r="31" spans="1:25" ht="20.100000000000001" customHeight="1" x14ac:dyDescent="0.25">
      <c r="A31"/>
      <c r="G31" s="78"/>
      <c r="L31" s="81"/>
      <c r="M31" s="81"/>
      <c r="N31" s="81"/>
      <c r="O31" s="81"/>
      <c r="P31" s="81"/>
      <c r="Q31" s="81"/>
      <c r="R31" s="81"/>
      <c r="S31" s="81"/>
      <c r="T31" s="81"/>
      <c r="U31" s="81"/>
      <c r="V31" s="81"/>
      <c r="W31" s="81"/>
      <c r="X31" s="81"/>
      <c r="Y31" s="81"/>
    </row>
    <row r="32" spans="1:25" ht="20.100000000000001" customHeight="1" x14ac:dyDescent="0.25">
      <c r="A32"/>
      <c r="G32" s="78"/>
      <c r="L32" s="81"/>
      <c r="M32" s="81"/>
      <c r="N32" s="81"/>
      <c r="O32" s="81"/>
      <c r="P32" s="81"/>
      <c r="Q32" s="81"/>
      <c r="R32" s="81"/>
      <c r="S32" s="81"/>
      <c r="T32" s="81"/>
      <c r="U32" s="81"/>
      <c r="V32" s="81"/>
      <c r="W32" s="81"/>
      <c r="X32" s="81"/>
      <c r="Y32" s="81"/>
    </row>
    <row r="33" spans="1:25" ht="20.100000000000001" customHeight="1" x14ac:dyDescent="0.25">
      <c r="A33"/>
      <c r="G33" s="82"/>
      <c r="L33" s="81"/>
      <c r="M33" s="81"/>
      <c r="N33" s="81"/>
      <c r="O33" s="81"/>
      <c r="P33" s="81"/>
      <c r="Q33" s="81"/>
      <c r="R33" s="81"/>
      <c r="S33" s="81"/>
      <c r="T33" s="81"/>
      <c r="U33" s="81"/>
      <c r="V33" s="81"/>
      <c r="W33" s="81"/>
      <c r="X33" s="81"/>
      <c r="Y33" s="81"/>
    </row>
    <row r="34" spans="1:25" ht="20.100000000000001" customHeight="1" x14ac:dyDescent="0.25">
      <c r="A34"/>
      <c r="J34" s="83"/>
      <c r="K34" s="84"/>
      <c r="L34" s="81"/>
      <c r="M34" s="81"/>
      <c r="N34" s="81"/>
      <c r="O34" s="81"/>
      <c r="P34" s="81"/>
      <c r="Q34" s="81"/>
      <c r="R34" s="81"/>
      <c r="S34" s="81"/>
      <c r="T34" s="81"/>
      <c r="U34" s="81"/>
      <c r="V34" s="81"/>
      <c r="W34" s="81"/>
      <c r="X34" s="81"/>
      <c r="Y34" s="81"/>
    </row>
    <row r="35" spans="1:25" ht="20.100000000000001" customHeight="1" x14ac:dyDescent="0.25">
      <c r="A35"/>
      <c r="J35" s="83"/>
      <c r="K35" s="84"/>
      <c r="L35" s="81"/>
      <c r="M35" s="81"/>
      <c r="N35" s="81"/>
      <c r="O35" s="81"/>
      <c r="P35" s="81"/>
      <c r="Q35" s="81"/>
      <c r="R35" s="81"/>
      <c r="S35" s="81"/>
      <c r="T35" s="81"/>
      <c r="U35" s="81"/>
      <c r="V35" s="81"/>
      <c r="W35" s="81"/>
      <c r="X35" s="81"/>
      <c r="Y35" s="81"/>
    </row>
    <row r="36" spans="1:25" ht="20.100000000000001" customHeight="1" x14ac:dyDescent="0.25">
      <c r="A36"/>
      <c r="D36" s="85"/>
      <c r="E36" s="85"/>
      <c r="F36" s="86"/>
      <c r="G36" s="83"/>
      <c r="H36" s="83"/>
      <c r="I36" s="87"/>
      <c r="J36" s="83"/>
      <c r="K36" s="84"/>
      <c r="L36" s="81"/>
      <c r="M36" s="81"/>
      <c r="N36" s="81"/>
      <c r="O36" s="81"/>
      <c r="P36" s="81"/>
      <c r="Q36" s="81"/>
      <c r="R36" s="81"/>
      <c r="S36" s="81"/>
      <c r="T36" s="81"/>
      <c r="U36" s="81"/>
      <c r="V36" s="81"/>
      <c r="W36" s="81"/>
      <c r="X36" s="81"/>
      <c r="Y36" s="81"/>
    </row>
    <row r="37" spans="1:25" ht="20.100000000000001" customHeight="1" x14ac:dyDescent="0.25">
      <c r="A37"/>
      <c r="D37" s="85"/>
      <c r="E37" s="85"/>
      <c r="F37" s="86"/>
      <c r="G37" s="83"/>
      <c r="H37" s="83"/>
      <c r="I37" s="87"/>
      <c r="J37" s="83"/>
      <c r="K37" s="84"/>
      <c r="L37" s="81"/>
      <c r="M37" s="81"/>
      <c r="N37" s="81"/>
      <c r="O37" s="81"/>
      <c r="P37" s="81"/>
      <c r="Q37" s="81"/>
      <c r="R37" s="81"/>
      <c r="S37" s="81"/>
      <c r="T37" s="81"/>
      <c r="U37" s="81"/>
      <c r="V37" s="81"/>
      <c r="W37" s="81"/>
      <c r="X37" s="81"/>
      <c r="Y37" s="81"/>
    </row>
    <row r="38" spans="1:25" ht="20.100000000000001" customHeight="1" x14ac:dyDescent="0.25">
      <c r="A38"/>
      <c r="D38" s="85"/>
      <c r="E38" s="85"/>
      <c r="F38" s="86"/>
      <c r="G38" s="83"/>
      <c r="H38" s="83"/>
      <c r="I38" s="87"/>
      <c r="J38" s="83"/>
      <c r="K38" s="84"/>
      <c r="L38" s="81"/>
      <c r="M38" s="81"/>
      <c r="N38" s="81"/>
      <c r="O38" s="81"/>
      <c r="P38" s="81"/>
      <c r="Q38" s="81"/>
      <c r="R38" s="81"/>
      <c r="S38" s="81"/>
      <c r="T38" s="81"/>
      <c r="U38" s="81"/>
      <c r="V38" s="81"/>
      <c r="W38" s="81"/>
      <c r="X38" s="81"/>
      <c r="Y38" s="81"/>
    </row>
    <row r="39" spans="1:25" ht="20.100000000000001" customHeight="1" x14ac:dyDescent="0.25">
      <c r="A39"/>
      <c r="D39" s="85"/>
      <c r="E39" s="85"/>
      <c r="F39" s="86"/>
      <c r="G39" s="83"/>
      <c r="H39" s="83"/>
      <c r="I39" s="87"/>
      <c r="J39" s="83"/>
      <c r="K39" s="84"/>
      <c r="L39" s="81"/>
      <c r="M39" s="81"/>
      <c r="N39" s="81"/>
      <c r="O39" s="81"/>
      <c r="P39" s="81"/>
      <c r="Q39" s="81"/>
      <c r="R39" s="81"/>
      <c r="S39" s="81"/>
      <c r="T39" s="81"/>
      <c r="U39" s="81"/>
      <c r="V39" s="81"/>
      <c r="W39" s="81"/>
      <c r="X39" s="81"/>
      <c r="Y39" s="81"/>
    </row>
    <row r="40" spans="1:25" ht="20.100000000000001" customHeight="1" x14ac:dyDescent="0.25">
      <c r="A40"/>
      <c r="D40" s="88"/>
      <c r="E40" s="88"/>
      <c r="F40" s="88"/>
      <c r="G40" s="89"/>
      <c r="H40" s="90"/>
      <c r="I40" s="90"/>
      <c r="J40" s="90"/>
      <c r="K40" s="90"/>
      <c r="L40" s="91"/>
      <c r="M40" s="91"/>
      <c r="N40" s="91"/>
      <c r="O40" s="91"/>
      <c r="P40" s="91"/>
      <c r="Q40" s="91"/>
      <c r="R40" s="91"/>
      <c r="S40" s="91"/>
      <c r="T40" s="91"/>
      <c r="U40" s="91"/>
      <c r="V40" s="91"/>
      <c r="W40" s="91"/>
      <c r="X40" s="91"/>
      <c r="Y40" s="9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92"/>
      <c r="E47" s="92"/>
      <c r="F47" s="92"/>
      <c r="G47" s="92"/>
      <c r="H47" s="92"/>
    </row>
    <row r="48" spans="1:25" ht="20.100000000000001" customHeight="1" x14ac:dyDescent="0.25">
      <c r="A48"/>
      <c r="D48" s="93"/>
      <c r="E48" s="93"/>
      <c r="F48" s="94"/>
      <c r="G48" s="94"/>
      <c r="H48" s="93"/>
    </row>
    <row r="49" spans="1:8" ht="20.100000000000001" customHeight="1" x14ac:dyDescent="0.25">
      <c r="A49"/>
      <c r="D49" s="93"/>
      <c r="E49" s="93"/>
      <c r="F49" s="94"/>
      <c r="G49" s="94"/>
      <c r="H49" s="93"/>
    </row>
    <row r="50" spans="1:8" ht="20.100000000000001" customHeight="1" x14ac:dyDescent="0.25">
      <c r="A50"/>
      <c r="D50" s="93"/>
      <c r="E50" s="93"/>
      <c r="F50" s="94"/>
      <c r="G50" s="94"/>
      <c r="H50" s="93"/>
    </row>
    <row r="51" spans="1:8" ht="20.100000000000001" customHeight="1" x14ac:dyDescent="0.25">
      <c r="A51"/>
      <c r="D51" s="95"/>
      <c r="E51" s="96"/>
      <c r="F51" s="96"/>
      <c r="G51" s="96"/>
      <c r="H51" s="97"/>
    </row>
    <row r="52" spans="1:8" ht="20.100000000000001" customHeight="1" x14ac:dyDescent="0.25">
      <c r="A52"/>
    </row>
    <row r="53" spans="1:8" ht="20.100000000000001" customHeight="1" x14ac:dyDescent="0.25">
      <c r="A53"/>
    </row>
    <row r="54" spans="1:8" ht="20.100000000000001" customHeight="1" x14ac:dyDescent="0.25">
      <c r="A54"/>
      <c r="G54" s="98"/>
    </row>
    <row r="55" spans="1:8" ht="20.100000000000001" customHeight="1" x14ac:dyDescent="0.25">
      <c r="A55"/>
      <c r="D55" s="6"/>
    </row>
    <row r="56" spans="1:8" ht="20.100000000000001" customHeight="1" x14ac:dyDescent="0.25">
      <c r="A56"/>
    </row>
    <row r="57" spans="1:8" ht="20.100000000000001" customHeight="1" x14ac:dyDescent="0.25">
      <c r="A57"/>
      <c r="D57" s="17"/>
      <c r="F57" s="99"/>
    </row>
    <row r="58" spans="1:8" ht="20.100000000000001" customHeight="1" x14ac:dyDescent="0.25">
      <c r="A58"/>
      <c r="D58" s="1"/>
      <c r="E58" s="100"/>
    </row>
    <row r="59" spans="1:8" ht="20.100000000000001" customHeight="1" x14ac:dyDescent="0.25">
      <c r="A59"/>
      <c r="D59" s="1"/>
      <c r="E59" s="100"/>
    </row>
    <row r="60" spans="1:8" ht="20.100000000000001" customHeight="1" x14ac:dyDescent="0.25">
      <c r="A60"/>
      <c r="D60" s="1"/>
      <c r="E60" s="101"/>
    </row>
    <row r="61" spans="1:8" ht="20.100000000000001" customHeight="1" x14ac:dyDescent="0.25">
      <c r="A61"/>
      <c r="D61" s="1"/>
    </row>
    <row r="62" spans="1:8" ht="20.100000000000001" customHeight="1" x14ac:dyDescent="0.25">
      <c r="A62"/>
    </row>
    <row r="63" spans="1:8" ht="20.100000000000001" customHeight="1" x14ac:dyDescent="0.25">
      <c r="A63"/>
      <c r="D63" s="17"/>
    </row>
    <row r="64" spans="1:8" ht="20.100000000000001" customHeight="1" x14ac:dyDescent="0.25">
      <c r="A64"/>
      <c r="D64" s="1"/>
      <c r="E64" s="100"/>
    </row>
    <row r="65" spans="1:9" ht="20.100000000000001" customHeight="1" x14ac:dyDescent="0.25">
      <c r="A65"/>
      <c r="D65" s="1"/>
      <c r="E65" s="100"/>
    </row>
    <row r="66" spans="1:9" ht="20.100000000000001" customHeight="1" x14ac:dyDescent="0.25">
      <c r="A66"/>
      <c r="D66" s="1"/>
      <c r="E66" s="101"/>
    </row>
    <row r="67" spans="1:9" ht="20.100000000000001" customHeight="1" x14ac:dyDescent="0.25">
      <c r="A67"/>
    </row>
    <row r="68" spans="1:9" ht="20.100000000000001" customHeight="1" x14ac:dyDescent="0.25">
      <c r="A68"/>
    </row>
    <row r="69" spans="1:9" ht="20.100000000000001" customHeight="1" x14ac:dyDescent="0.25">
      <c r="A69"/>
      <c r="D69" s="102"/>
      <c r="E69" s="102"/>
      <c r="F69" s="102"/>
      <c r="G69" s="102"/>
      <c r="H69" s="102"/>
      <c r="I69" s="102"/>
    </row>
    <row r="70" spans="1:9" ht="20.100000000000001" customHeight="1" x14ac:dyDescent="0.25">
      <c r="A70"/>
      <c r="D70" s="102"/>
      <c r="E70" s="102"/>
      <c r="F70" s="102"/>
      <c r="G70" s="102"/>
      <c r="H70" s="102"/>
      <c r="I70" s="102"/>
    </row>
    <row r="71" spans="1:9" ht="20.100000000000001" customHeight="1" x14ac:dyDescent="0.25">
      <c r="A71"/>
      <c r="D71" s="102"/>
      <c r="E71" s="102"/>
      <c r="F71" s="102"/>
      <c r="G71" s="102"/>
      <c r="H71" s="102"/>
      <c r="I71" s="102"/>
    </row>
    <row r="72" spans="1:9" ht="20.100000000000001" customHeight="1" x14ac:dyDescent="0.25">
      <c r="A72"/>
      <c r="D72" s="102"/>
      <c r="E72" s="102"/>
      <c r="F72" s="102"/>
      <c r="G72" s="102"/>
      <c r="H72" s="102"/>
      <c r="I72" s="10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03"/>
    </row>
    <row r="79" spans="1:9" ht="20.100000000000001" customHeight="1" x14ac:dyDescent="0.25">
      <c r="A79"/>
      <c r="D79" s="103"/>
    </row>
    <row r="80" spans="1:9" ht="20.100000000000001" customHeight="1" x14ac:dyDescent="0.25">
      <c r="A80"/>
      <c r="D80" s="103"/>
    </row>
    <row r="81" spans="1:4" ht="20.100000000000001" customHeight="1" x14ac:dyDescent="0.25">
      <c r="A81"/>
      <c r="D81" s="103"/>
    </row>
    <row r="82" spans="1:4" ht="20.100000000000001" customHeight="1" x14ac:dyDescent="0.25">
      <c r="A82"/>
      <c r="D82" s="103"/>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opLeftCell="A24"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2" customFormat="1" ht="30" customHeight="1" x14ac:dyDescent="0.35">
      <c r="A1" s="32" t="e" vm="1">
        <v>#VALUE!</v>
      </c>
      <c r="C1" s="32" t="s">
        <v>85</v>
      </c>
    </row>
    <row r="2" spans="1:10" s="9" customFormat="1" ht="20.100000000000001" customHeight="1" x14ac:dyDescent="0.25">
      <c r="A2"/>
    </row>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1" t="s">
        <v>154</v>
      </c>
      <c r="E5" s="27" t="s">
        <v>155</v>
      </c>
      <c r="F5" s="2" t="s">
        <v>93</v>
      </c>
    </row>
    <row r="6" spans="1:10" ht="20.100000000000001" customHeight="1" x14ac:dyDescent="0.25">
      <c r="E6" s="38"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16" t="s">
        <v>0</v>
      </c>
      <c r="C8" s="105"/>
      <c r="D8" s="105"/>
      <c r="E8" s="105"/>
      <c r="F8" s="105"/>
      <c r="G8" s="105"/>
      <c r="H8" s="105"/>
      <c r="I8" s="105"/>
      <c r="J8" s="105"/>
    </row>
    <row r="9" spans="1:10" ht="20.100000000000001" customHeight="1" x14ac:dyDescent="0.25">
      <c r="A9" s="14" t="str">
        <f>HYPERLINK("#'Input - Site'!A1", "Site")</f>
        <v>Site</v>
      </c>
      <c r="D9" s="6" t="s">
        <v>134</v>
      </c>
    </row>
    <row r="10" spans="1:10" ht="20.100000000000001" customHeight="1" x14ac:dyDescent="0.25">
      <c r="A10" s="42" t="str">
        <f>HYPERLINK("#'Input - Electricity'!A1", "Electricity")</f>
        <v>Electricity</v>
      </c>
    </row>
    <row r="11" spans="1:10" ht="20.100000000000001" customHeight="1" x14ac:dyDescent="0.25">
      <c r="D11" s="59" t="s">
        <v>86</v>
      </c>
    </row>
    <row r="12" spans="1:10" ht="20.100000000000001" customHeight="1" x14ac:dyDescent="0.25"/>
    <row r="13" spans="1:10" ht="20.100000000000001" customHeight="1" x14ac:dyDescent="0.25">
      <c r="A13" s="15" t="s">
        <v>44</v>
      </c>
      <c r="D13" s="60" t="s">
        <v>87</v>
      </c>
      <c r="E13" s="61"/>
      <c r="F13" s="18"/>
    </row>
    <row r="14" spans="1:10" ht="20.100000000000001" customHeight="1" x14ac:dyDescent="0.25">
      <c r="A14" s="14" t="str">
        <f>HYPERLINK("#'14.1.1-2 Purchased electricity'!A1", "14.1.1-2 Purchased electricity")</f>
        <v>14.1.1-2 Purchased electricity</v>
      </c>
      <c r="D14" s="18"/>
      <c r="E14" s="18"/>
      <c r="F14" s="18"/>
    </row>
    <row r="15" spans="1:10" ht="20.100000000000001" customHeight="1" x14ac:dyDescent="0.25">
      <c r="D15" s="1" t="s">
        <v>88</v>
      </c>
      <c r="E15" s="62">
        <v>30000</v>
      </c>
      <c r="F15" s="2" t="s">
        <v>89</v>
      </c>
    </row>
    <row r="16" spans="1:10" ht="20.100000000000001" customHeight="1" x14ac:dyDescent="0.25">
      <c r="D16" s="1" t="s">
        <v>90</v>
      </c>
      <c r="E16" s="28" t="str">
        <f>IF(X_Cell_Site_State="Western Australia", X_Cell_Site_Region, X_Cell_Site_State)</f>
        <v>Western Australia - Outback (South)</v>
      </c>
      <c r="F16" s="18"/>
    </row>
    <row r="17" spans="1:11" ht="20.100000000000001" customHeight="1" x14ac:dyDescent="0.25">
      <c r="A17" s="119" t="s">
        <v>1</v>
      </c>
      <c r="D17" s="1" t="s">
        <v>91</v>
      </c>
      <c r="E17" s="27" t="s">
        <v>92</v>
      </c>
      <c r="F17" s="2" t="s">
        <v>93</v>
      </c>
    </row>
    <row r="18" spans="1:11" ht="20.100000000000001" customHeight="1" x14ac:dyDescent="0.25">
      <c r="A18" s="14" t="str">
        <f>HYPERLINK("#'Constants - Electricity'!A1", "Constants - Electricity")</f>
        <v>Constants - Electricity</v>
      </c>
    </row>
    <row r="19" spans="1:11" ht="20.100000000000001" customHeight="1" x14ac:dyDescent="0.25">
      <c r="A19" s="14" t="str">
        <f>HYPERLINK("#'Constants - Common'!A1", "Constants - Common")</f>
        <v>Constants - Common</v>
      </c>
    </row>
    <row r="20" spans="1:11" ht="20.100000000000001" customHeight="1" x14ac:dyDescent="0.25">
      <c r="C20" s="105"/>
      <c r="D20" s="105"/>
      <c r="E20" s="105"/>
      <c r="F20" s="105"/>
      <c r="G20" s="105"/>
      <c r="H20" s="105"/>
      <c r="I20" s="105"/>
      <c r="J20" s="105"/>
    </row>
    <row r="21" spans="1:11" ht="20.100000000000001" customHeight="1" x14ac:dyDescent="0.25">
      <c r="D21" s="6" t="s">
        <v>135</v>
      </c>
    </row>
    <row r="22" spans="1:11" ht="20.100000000000001" customHeight="1" x14ac:dyDescent="0.25">
      <c r="E22" s="38" t="str">
        <f>IF(E16="ACT", "", "ALERT: Your farm is not in the ACT, so the JRPP is not applicable")</f>
        <v>ALERT: Your farm is not in the ACT, so the JRPP is not applicable</v>
      </c>
    </row>
    <row r="23" spans="1:11" ht="20.100000000000001" customHeight="1" x14ac:dyDescent="0.25">
      <c r="D23" s="1" t="s">
        <v>128</v>
      </c>
      <c r="E23" s="62">
        <v>30000</v>
      </c>
      <c r="F23" s="2" t="s">
        <v>89</v>
      </c>
    </row>
    <row r="24" spans="1:11" ht="20.100000000000001" customHeight="1" x14ac:dyDescent="0.25">
      <c r="D24" s="1" t="s">
        <v>118</v>
      </c>
      <c r="E24" s="108">
        <v>0.1</v>
      </c>
      <c r="F24" s="2" t="s">
        <v>119</v>
      </c>
    </row>
    <row r="25" spans="1:11" ht="20.100000000000001" customHeight="1" x14ac:dyDescent="0.25">
      <c r="D25" s="1" t="s">
        <v>120</v>
      </c>
      <c r="E25" s="108">
        <v>0.1</v>
      </c>
      <c r="F25" s="2" t="s">
        <v>119</v>
      </c>
    </row>
    <row r="26" spans="1:11" ht="20.100000000000001" customHeight="1" x14ac:dyDescent="0.25"/>
    <row r="27" spans="1:11" ht="20.100000000000001" customHeight="1" x14ac:dyDescent="0.25">
      <c r="D27" s="1" t="s">
        <v>127</v>
      </c>
      <c r="E27" s="62">
        <v>10000</v>
      </c>
      <c r="F27" s="2" t="s">
        <v>89</v>
      </c>
    </row>
    <row r="28" spans="1:11" ht="20.100000000000001" customHeight="1" x14ac:dyDescent="0.25"/>
    <row r="29" spans="1:11" ht="20.100000000000001" customHeight="1" x14ac:dyDescent="0.25">
      <c r="D29" s="1" t="s">
        <v>141</v>
      </c>
      <c r="E29" s="112" t="str">
        <f>TEXT('Input - Site'!E12, "dd mmm yyyy")</f>
        <v>01 Jan 2024</v>
      </c>
      <c r="K29" s="47"/>
    </row>
    <row r="30" spans="1:11" ht="20.100000000000001" customHeight="1" x14ac:dyDescent="0.25">
      <c r="D30" s="1" t="s">
        <v>126</v>
      </c>
      <c r="E30" s="112" t="str">
        <f>TEXT('Input - Site'!E13, "dd mmm yyyy")</f>
        <v>31 Dec 2024</v>
      </c>
      <c r="K30" s="47"/>
    </row>
    <row r="31" spans="1:11" ht="20.100000000000001" customHeight="1" x14ac:dyDescent="0.25">
      <c r="K31" s="47"/>
    </row>
    <row r="32" spans="1:11" ht="20.100000000000001" customHeight="1" x14ac:dyDescent="0.25">
      <c r="D32" s="59" t="s">
        <v>125</v>
      </c>
      <c r="K32" s="47"/>
    </row>
    <row r="33" spans="1:12" ht="20.100000000000001" customHeight="1" x14ac:dyDescent="0.25">
      <c r="K33" s="47"/>
    </row>
    <row r="34" spans="1:12" ht="20.100000000000001" customHeight="1" x14ac:dyDescent="0.25">
      <c r="D34" s="60" t="s">
        <v>149</v>
      </c>
      <c r="E34" s="61"/>
      <c r="K34" s="47"/>
    </row>
    <row r="35" spans="1:12" ht="20.100000000000001" customHeight="1" x14ac:dyDescent="0.25"/>
    <row r="36" spans="1:12" ht="20.100000000000001" customHeight="1" x14ac:dyDescent="0.25">
      <c r="D36" s="110" t="s">
        <v>122</v>
      </c>
      <c r="E36" s="110" t="s">
        <v>131</v>
      </c>
      <c r="F36" s="110" t="s">
        <v>123</v>
      </c>
      <c r="G36" s="110" t="s">
        <v>124</v>
      </c>
      <c r="H36" s="110" t="s">
        <v>121</v>
      </c>
      <c r="I36" s="110" t="s">
        <v>142</v>
      </c>
      <c r="L36" s="47"/>
    </row>
    <row r="37" spans="1:12" ht="20.100000000000001" customHeight="1" x14ac:dyDescent="0.25">
      <c r="D37" s="26" t="s">
        <v>153</v>
      </c>
      <c r="E37" s="27" t="s">
        <v>132</v>
      </c>
      <c r="F37" s="111">
        <v>44185</v>
      </c>
      <c r="G37" s="26">
        <v>12</v>
      </c>
      <c r="H37" s="28">
        <f>Table_Input_RECSurrendered[[#This Row],[Number of certificates]]</f>
        <v>12</v>
      </c>
      <c r="I37" s="28" t="str">
        <f>IF(DATEDIF(Table_Input_RECSurrendered[[#This Row],[Generation date]],DATEVALUE($E$30),"M")&gt;36,"Ineligible - older than 36 months","Elegible")</f>
        <v>Ineligible - older than 36 months</v>
      </c>
      <c r="L37" s="47"/>
    </row>
    <row r="38" spans="1:12" ht="20.100000000000001" customHeight="1" x14ac:dyDescent="0.25">
      <c r="D38" s="26" t="s">
        <v>150</v>
      </c>
      <c r="E38" s="27" t="s">
        <v>133</v>
      </c>
      <c r="F38" s="111">
        <v>44575</v>
      </c>
      <c r="G38" s="26">
        <v>5</v>
      </c>
      <c r="H38" s="28">
        <f>Table_Input_RECSurrendered[[#This Row],[Number of certificates]]</f>
        <v>5</v>
      </c>
      <c r="I38" s="28" t="str">
        <f>IF(DATEDIF(Table_Input_RECSurrendered[[#This Row],[Generation date]],DATEVALUE($E$30),"M")&gt;36,"Ineligible - older than 36 months","Elegible")</f>
        <v>Elegible</v>
      </c>
    </row>
    <row r="39" spans="1:12" ht="20.100000000000001" customHeight="1" x14ac:dyDescent="0.25">
      <c r="D39" s="26" t="s">
        <v>151</v>
      </c>
      <c r="E39" s="27" t="s">
        <v>132</v>
      </c>
      <c r="F39" s="111">
        <v>45438</v>
      </c>
      <c r="G39" s="26">
        <v>5</v>
      </c>
      <c r="H39" s="28">
        <f>Table_Input_RECSurrendered[[#This Row],[Number of certificates]]</f>
        <v>5</v>
      </c>
      <c r="I39" s="28" t="str">
        <f>IF(DATEDIF(Table_Input_RECSurrendered[[#This Row],[Generation date]],DATEVALUE($E$30),"M")&gt;36,"Ineligible - older than 36 months","Elegible")</f>
        <v>Elegible</v>
      </c>
    </row>
    <row r="40" spans="1:12" s="47" customFormat="1" ht="20.100000000000001" customHeight="1" x14ac:dyDescent="0.25">
      <c r="A40"/>
      <c r="C40" s="1"/>
      <c r="D40" s="1"/>
      <c r="E40" s="1"/>
      <c r="F40" s="1"/>
      <c r="G40" s="1"/>
      <c r="H40" s="1"/>
      <c r="I40" s="1"/>
      <c r="J40" s="1"/>
    </row>
    <row r="41" spans="1:12" s="47" customFormat="1" ht="20.100000000000001" customHeight="1" x14ac:dyDescent="0.25">
      <c r="A41"/>
      <c r="C41" s="1"/>
      <c r="D41" s="1" t="s">
        <v>143</v>
      </c>
      <c r="E41" s="28">
        <f>SUMIF(Table_Input_RECSurrendered[Elegibility], "Elegible", Table_Input_RECSurrendered[MWh])</f>
        <v>10</v>
      </c>
      <c r="F41" s="2" t="s">
        <v>121</v>
      </c>
      <c r="G41" s="1"/>
      <c r="H41" s="1"/>
      <c r="I41" s="1"/>
      <c r="J41" s="1"/>
      <c r="L41" s="47" t="s">
        <v>84</v>
      </c>
    </row>
    <row r="42" spans="1:12" ht="20.100000000000001" customHeight="1" x14ac:dyDescent="0.25">
      <c r="C42" s="46"/>
    </row>
    <row r="43" spans="1:12" ht="20.100000000000001" customHeight="1" x14ac:dyDescent="0.25">
      <c r="C43" s="46"/>
      <c r="D43" s="59" t="s">
        <v>129</v>
      </c>
      <c r="J43" s="46"/>
    </row>
    <row r="44" spans="1:12" ht="20.100000000000001" customHeight="1" x14ac:dyDescent="0.25"/>
    <row r="45" spans="1:12" ht="20.100000000000001" customHeight="1" x14ac:dyDescent="0.25">
      <c r="D45" s="110" t="s">
        <v>122</v>
      </c>
      <c r="E45" s="110" t="s">
        <v>130</v>
      </c>
      <c r="F45" s="110" t="s">
        <v>123</v>
      </c>
      <c r="G45" s="110" t="s">
        <v>124</v>
      </c>
      <c r="H45" s="110" t="s">
        <v>121</v>
      </c>
      <c r="I45" s="110" t="s">
        <v>142</v>
      </c>
    </row>
    <row r="46" spans="1:12" ht="20.100000000000001" customHeight="1" x14ac:dyDescent="0.25">
      <c r="D46" s="26" t="s">
        <v>140</v>
      </c>
      <c r="E46" s="113" t="str">
        <f>"Issued for generated electricity"</f>
        <v>Issued for generated electricity</v>
      </c>
      <c r="F46" s="111">
        <v>44697</v>
      </c>
      <c r="G46" s="26">
        <v>10</v>
      </c>
      <c r="H46" s="28">
        <f>Table_Input_RECConsumedByEntity[[#This Row],[Number of certificates]]</f>
        <v>10</v>
      </c>
      <c r="I46" s="28"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26" t="s">
        <v>152</v>
      </c>
      <c r="E47" s="113" t="str">
        <f>"Issued for generated electricity"</f>
        <v>Issued for generated electricity</v>
      </c>
      <c r="F47" s="111">
        <v>45483</v>
      </c>
      <c r="G47" s="26">
        <v>4</v>
      </c>
      <c r="H47" s="28">
        <f>Table_Input_RECConsumedByEntity[[#This Row],[Number of certificates]]</f>
        <v>4</v>
      </c>
      <c r="I47" s="28"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18">
        <v>45597</v>
      </c>
      <c r="E48" s="113" t="str">
        <f>"Issued for generated electricity"</f>
        <v>Issued for generated electricity</v>
      </c>
      <c r="F48" s="111">
        <v>45607</v>
      </c>
      <c r="G48" s="26">
        <v>7</v>
      </c>
      <c r="H48" s="28">
        <f>Table_Input_RECConsumedByEntity[[#This Row],[Number of certificates]]</f>
        <v>7</v>
      </c>
      <c r="I48" s="28"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1" t="s">
        <v>144</v>
      </c>
      <c r="E50" s="28">
        <f>SUMIF(Table_Input_RECConsumedByEntity[Elegibility], "Elegible", Table_Input_RECConsumedByEntity[Number of certificates])</f>
        <v>11</v>
      </c>
      <c r="F50" s="2" t="s">
        <v>121</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9"/>
    </row>
    <row r="56" spans="4:6" ht="20.100000000000001" customHeight="1" x14ac:dyDescent="0.25">
      <c r="D56" s="109"/>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38"/>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79" operator="lessThan">
      <formula>0</formula>
    </cfRule>
  </conditionalFormatting>
  <conditionalFormatting sqref="J39 I40 J41 I43">
    <cfRule type="cellIs" dxfId="0" priority="62" operator="lessThan">
      <formula>0</formula>
    </cfRule>
  </conditionalFormatting>
  <dataValidations count="7">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7" xr:uid="{48A1E533-1334-4AAC-A5F5-B295A34573CB}">
      <formula1>INDIRECT("Table_SourceData_ElectricityEFs[State, Territory or grid description]")</formula1>
    </dataValidation>
    <dataValidation type="list" allowBlank="1" showInputMessage="1" showErrorMessage="1" sqref="E37:E39" xr:uid="{BE2CA0F8-93F9-493C-B304-DCA372760E4E}">
      <formula1>"Purchased certificate, Issued for generated electricity"</formula1>
    </dataValidation>
    <dataValidation type="list" allowBlank="1" showInputMessage="1" showErrorMessage="1" sqref="E5" xr:uid="{6E8FE260-89CA-4660-91C9-56FF67EFEEE9}">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C16"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2" t="e" vm="1">
        <v>#VALUE!</v>
      </c>
      <c r="C1" s="8" t="s">
        <v>117</v>
      </c>
    </row>
    <row r="2" spans="1:11" s="9" customFormat="1" ht="20.100000000000001" customHeight="1" x14ac:dyDescent="0.25">
      <c r="A2"/>
    </row>
    <row r="3" spans="1:11" ht="20.100000000000001" customHeight="1" x14ac:dyDescent="0.25">
      <c r="A3" s="14" t="str">
        <f>HYPERLINK("#'Home'!A1", "Home")</f>
        <v>Home</v>
      </c>
      <c r="C3" s="4"/>
      <c r="D3" s="4" t="s">
        <v>48</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D6" s="5" t="str" cm="1">
        <f t="array" ref="D6">Electricity_Equations.VEERG_14_1_1__1_LocationBasedScopeElectricityEmissions_Source()</f>
        <v>VEERG 2026: 14.1.1, Equation (1)</v>
      </c>
    </row>
    <row r="7" spans="1:11" ht="20.100000000000001" customHeight="1" x14ac:dyDescent="0.25">
      <c r="D7" s="31" t="str" cm="1">
        <f t="array" ref="D7">Electricity_Equations.VEERG_14_1_1__1_LocationBasedScopeElectricityEmissions_Variation()</f>
        <v>Added g variable to capture which grid electricity was purchased from</v>
      </c>
    </row>
    <row r="8" spans="1:11" ht="20.100000000000001" customHeight="1" x14ac:dyDescent="0.25">
      <c r="A8" s="16" t="s">
        <v>0</v>
      </c>
      <c r="D8" s="11" t="s">
        <v>9</v>
      </c>
      <c r="E8" s="11" t="str" cm="1">
        <f t="array" aca="1" ref="E8" ca="1">Common_InputFunctions.Utility_DisplayFunctionName(E18)</f>
        <v>=Electricity_Equations.VEERG_14_1_1__1_LocationBasedScopeElectricityEmissions</v>
      </c>
    </row>
    <row r="9" spans="1:11" ht="20.100000000000001" customHeight="1" x14ac:dyDescent="0.25">
      <c r="A9" s="14" t="str">
        <f>HYPERLINK("#'Input - Site'!A1", "Site")</f>
        <v>Site</v>
      </c>
    </row>
    <row r="10" spans="1:11" ht="20.100000000000001" customHeight="1" x14ac:dyDescent="0.25">
      <c r="A10" s="14" t="str">
        <f>HYPERLINK("#'Input - Electricity'!A1", "Electricity")</f>
        <v>Electricity</v>
      </c>
    </row>
    <row r="11" spans="1:11" ht="20.100000000000001" customHeight="1" x14ac:dyDescent="0.25">
      <c r="D11" s="29" t="s">
        <v>12</v>
      </c>
      <c r="E11" s="1" t="str" cm="1">
        <f t="array" ref="E11">Electricity_Equations.VEERG_14_1_1__1_LocationBasedScopeElectricityEmissions_Variable()</f>
        <v>E_2elec</v>
      </c>
    </row>
    <row r="12" spans="1:11" ht="20.100000000000001" customHeight="1" x14ac:dyDescent="0.25">
      <c r="D12" s="29" t="s">
        <v>4</v>
      </c>
      <c r="E12" s="30" t="str" cm="1">
        <f t="array" ref="E12">Electricity_Equations.VEERG_14_1_1__1_LocationBasedScopeElectricityEmissions_Unit()</f>
        <v>t CO2e</v>
      </c>
    </row>
    <row r="13" spans="1:11" ht="20.100000000000001" customHeight="1" x14ac:dyDescent="0.25">
      <c r="A13" s="15" t="s">
        <v>44</v>
      </c>
    </row>
    <row r="14" spans="1:11" ht="20.100000000000001" customHeight="1" x14ac:dyDescent="0.25">
      <c r="A14" s="116" t="str">
        <f>HYPERLINK("#'14.1.1-2 Purchased electricity'!A1", "14.1.1-2 Purchased electricity")</f>
        <v>14.1.1-2 Purchased electricity</v>
      </c>
      <c r="D14" s="48" t="str" cm="1">
        <f t="array" ref="D14:E16">_xlfn.CHOOSECOLS(Electricity_Equations.VEERG_14_1_1__1_LocationBasedScopeElectricityEmissions_Arguments(),1,2)</f>
        <v>Q_elec</v>
      </c>
      <c r="E14" s="50" t="str">
        <v>amount of electricity purchased from the grid</v>
      </c>
      <c r="F14" s="49"/>
      <c r="G14" s="48" t="str" cm="1">
        <f t="array" ref="G14:H16">_xlfn.CHOOSECOLS(Electricity_Equations.VEERG_14_1_1__1_LocationBasedScopeElectricityEmissions_Arguments(),3,4)</f>
        <v>kWh</v>
      </c>
      <c r="H14" s="45" t="str">
        <v>Input</v>
      </c>
      <c r="I14" s="50">
        <f>X_Cell_Electricity_Location_AmountPurchasedInkWh</f>
        <v>30000</v>
      </c>
      <c r="J14" s="49"/>
    </row>
    <row r="15" spans="1:11" ht="20.100000000000001" customHeight="1" x14ac:dyDescent="0.25">
      <c r="D15" s="48" t="str">
        <v>EF_2elec</v>
      </c>
      <c r="E15" s="50" t="str">
        <v>location-based Scope 2 emission factor for electricity</v>
      </c>
      <c r="F15" s="49"/>
      <c r="G15" s="48" t="str">
        <v>kg CO2e/kWh</v>
      </c>
      <c r="H15" s="44" t="str">
        <v>Constant</v>
      </c>
      <c r="I15" s="50" cm="1">
        <f t="array" ref="I15">Common_InputFunctions.Utility_LookupValueInTableNumber(I16,Table_SourceData_ElectricityEFs[State, Territory or grid description],Table_SourceData_ElectricityEFs[Scope 2 Emission Factors (kg CO2-e/kWh)])</f>
        <v>0.56000000000000005</v>
      </c>
      <c r="J15" s="49"/>
    </row>
    <row r="16" spans="1:11" ht="20.100000000000001" customHeight="1" x14ac:dyDescent="0.25">
      <c r="D16" s="48" t="str">
        <v>g</v>
      </c>
      <c r="E16" s="50" t="str">
        <v>Grid electricity was purchased from</v>
      </c>
      <c r="F16" s="49"/>
      <c r="G16" s="48" t="str">
        <v/>
      </c>
      <c r="H16" s="45" t="str">
        <v>Input</v>
      </c>
      <c r="I16" s="50" t="str">
        <f>X_Cell_Electricity_Location_GridElectricityPurchasedFrom</f>
        <v>Western Australia - North Western Interconnected System (NWIS)</v>
      </c>
      <c r="J16" s="49"/>
    </row>
    <row r="17" spans="1:11" ht="20.100000000000001" customHeight="1" x14ac:dyDescent="0.25">
      <c r="A17" s="119" t="s">
        <v>1</v>
      </c>
    </row>
    <row r="18" spans="1:11" ht="20.100000000000001" customHeight="1" x14ac:dyDescent="0.25">
      <c r="A18" s="14" t="str">
        <f>HYPERLINK("#'Constants - Electricity'!A1", "Constants - Electricity")</f>
        <v>Constants - Electricity</v>
      </c>
      <c r="D18" s="104" t="s">
        <v>116</v>
      </c>
      <c r="E18" s="106" cm="1">
        <f t="array" ref="E18">Electricity_Equations.VEERG_14_1_1__1_LocationBasedScopeElectricityEmissions(I14,I15)</f>
        <v>16.8</v>
      </c>
      <c r="F18" s="117" t="str">
        <f>$E$12</f>
        <v>t CO2e</v>
      </c>
    </row>
    <row r="19" spans="1:11" ht="20.100000000000001" customHeight="1" x14ac:dyDescent="0.25">
      <c r="A19" s="14" t="str">
        <f>HYPERLINK("#'Constants - Common'!A1", "Constants - Common")</f>
        <v>Constants - Common</v>
      </c>
    </row>
    <row r="20" spans="1:11" ht="20.100000000000001" customHeight="1" x14ac:dyDescent="0.25"/>
    <row r="21" spans="1:11" ht="20.100000000000001" customHeight="1" x14ac:dyDescent="0.25">
      <c r="C21" s="105"/>
      <c r="D21" s="105"/>
      <c r="E21" s="105"/>
      <c r="F21" s="105"/>
      <c r="G21" s="105"/>
      <c r="H21" s="105"/>
      <c r="I21" s="105"/>
      <c r="J21" s="105"/>
      <c r="K21" s="105"/>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D23" s="5" t="str" cm="1">
        <f t="array" ref="D23">Electricity_Equations.VEERG_14_1_2__1_MarketBasedScopeElectricityEmissions_Source()</f>
        <v>VEERG 2026: 14.1.2, Equation (1)</v>
      </c>
    </row>
    <row r="24" spans="1:11" ht="20.100000000000001" customHeight="1" x14ac:dyDescent="0.25">
      <c r="D24" s="31"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9</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29" t="s">
        <v>12</v>
      </c>
      <c r="E28" s="1" t="str" cm="1">
        <f t="array" ref="E28">Electricity_Equations.VEERG_14_1_2__1_MarketBasedScopeElectricityEmissions_Variable()</f>
        <v>E_2elec</v>
      </c>
    </row>
    <row r="29" spans="1:11" ht="20.100000000000001" customHeight="1" x14ac:dyDescent="0.25">
      <c r="D29" s="29" t="s">
        <v>4</v>
      </c>
      <c r="E29" s="30" t="str" cm="1">
        <f t="array" ref="E29">Electricity_Equations.VEERG_14_1_2__1_MarketBasedScopeElectricityEmissions_Unit()</f>
        <v>t CO2e</v>
      </c>
    </row>
    <row r="30" spans="1:11" ht="20.100000000000001" customHeight="1" x14ac:dyDescent="0.25"/>
    <row r="31" spans="1:11" ht="20.100000000000001" customHeight="1" x14ac:dyDescent="0.25">
      <c r="D31" s="48" t="str" cm="1">
        <f t="array" ref="D31:E37">_xlfn.CHOOSECOLS(Electricity_Equations.VEERG_14_1_2__1_MarketBasedScopeElectricityEmissions_Arguments(),1,2)</f>
        <v>Q_elec</v>
      </c>
      <c r="E31" s="50" t="str">
        <v>amount of electricity purchased from the grid</v>
      </c>
      <c r="F31" s="107"/>
      <c r="G31" s="107"/>
      <c r="H31" s="48" t="str" cm="1">
        <f t="array" ref="H31:I37">_xlfn.CHOOSECOLS(Electricity_Equations.VEERG_14_1_2__1_MarketBasedScopeElectricityEmissions_Arguments(),3,4)</f>
        <v>kWh</v>
      </c>
      <c r="I31" s="45" t="str">
        <v>Input</v>
      </c>
      <c r="J31" s="48">
        <f>X_Cell_Electricity_Market_AmountPurchasedExcludingGreenPower</f>
        <v>30000</v>
      </c>
    </row>
    <row r="32" spans="1:11" ht="20.100000000000001" customHeight="1" x14ac:dyDescent="0.25">
      <c r="D32" s="48" t="str">
        <v>RPP</v>
      </c>
      <c r="E32" s="50" t="str">
        <v>Renewable Power Percentage under the Large-scale Renewable Energy Target (LRET)</v>
      </c>
      <c r="F32" s="107"/>
      <c r="G32" s="107"/>
      <c r="H32" s="48" t="str">
        <v>per cent</v>
      </c>
      <c r="I32" s="45" t="str">
        <v>Input</v>
      </c>
      <c r="J32" s="114">
        <f>X_Cell_Electricity_Market_RenewablePowerPercentage</f>
        <v>0.1</v>
      </c>
    </row>
    <row r="33" spans="4:10" ht="20.100000000000001" customHeight="1" x14ac:dyDescent="0.25">
      <c r="D33" s="48" t="str">
        <v>JRPP</v>
      </c>
      <c r="E33" s="50" t="str">
        <v>jurisdictional renewable power percentage for the applicable period (ACT only)</v>
      </c>
      <c r="F33" s="107"/>
      <c r="G33" s="107"/>
      <c r="H33" s="48" t="str">
        <v>per cent</v>
      </c>
      <c r="I33" s="45" t="str">
        <v>Input</v>
      </c>
      <c r="J33" s="114" t="str">
        <f>IF(J37="ACT", X_Cell_Electricity_Market_JurisdictionalRenewablePowerPercentage, "N/A")</f>
        <v>N/A</v>
      </c>
    </row>
    <row r="34" spans="4:10" ht="20.100000000000001" customHeight="1" x14ac:dyDescent="0.25">
      <c r="D34" s="48" t="str">
        <v>REC_surrendered</v>
      </c>
      <c r="E34" s="50" t="str">
        <v>Renewable Energy Certificates voluntarily surrendered in the reporting year</v>
      </c>
      <c r="F34" s="107"/>
      <c r="G34" s="107"/>
      <c r="H34" s="48" t="str">
        <v>MWh</v>
      </c>
      <c r="I34" s="45" t="str">
        <v>Input</v>
      </c>
      <c r="J34" s="48">
        <f>(X_Cell_Electricity_Market_AmountPurchasedGreenPower*10^-3)+X_Cell_TotalElegibleVoluntarilySurrenderedRECs</f>
        <v>20</v>
      </c>
    </row>
    <row r="35" spans="4:10" ht="20.100000000000001" customHeight="1" x14ac:dyDescent="0.25">
      <c r="D35" s="48" t="str">
        <v>REC_onsite</v>
      </c>
      <c r="E35" s="50" t="str">
        <v>Renewable Energy Certificates issued for electricity produced on-site during the year and consumed by the entity</v>
      </c>
      <c r="F35" s="107"/>
      <c r="G35" s="107"/>
      <c r="H35" s="48" t="str">
        <v>MWh</v>
      </c>
      <c r="I35" s="45" t="str">
        <v>Input</v>
      </c>
      <c r="J35" s="48">
        <f>X_Cell_TotalElegibleRECsForElectricityProducedOnSite</f>
        <v>11</v>
      </c>
    </row>
    <row r="36" spans="4:10" ht="20.100000000000001" customHeight="1" x14ac:dyDescent="0.25">
      <c r="D36" s="48" t="str">
        <v>EF_RMF2elec</v>
      </c>
      <c r="E36" s="50" t="str">
        <v>Scope 2 residual mix emission factor for electricity</v>
      </c>
      <c r="F36" s="107"/>
      <c r="G36" s="107"/>
      <c r="H36" s="48" t="str">
        <v>kg CO2e/kWh</v>
      </c>
      <c r="I36" s="44" t="str">
        <v>Constant</v>
      </c>
      <c r="J36" s="48" cm="1">
        <f t="array" ref="J36">Table_SourceData_ElectricityEFsMarketBased[Scope 2 EF (kg CO2-e/kWh)]</f>
        <v>0.81</v>
      </c>
    </row>
    <row r="37" spans="4:10" ht="20.100000000000001" customHeight="1" x14ac:dyDescent="0.25">
      <c r="D37" s="48" t="str">
        <v>i</v>
      </c>
      <c r="E37" s="50" t="str">
        <v>state</v>
      </c>
      <c r="F37" s="107"/>
      <c r="G37" s="49"/>
      <c r="H37" s="48" t="str">
        <v/>
      </c>
      <c r="I37" s="45" t="str">
        <v>Input</v>
      </c>
      <c r="J37" s="48" t="str">
        <f>X_Cell_Site_State</f>
        <v>Western Australia</v>
      </c>
    </row>
    <row r="38" spans="4:10" ht="20.100000000000001" customHeight="1" x14ac:dyDescent="0.25"/>
    <row r="39" spans="4:10" ht="20.100000000000001" customHeight="1" x14ac:dyDescent="0.25">
      <c r="D39" s="104" t="s">
        <v>116</v>
      </c>
      <c r="E39" s="106" cm="1">
        <f t="array" ref="E39">Electricity_Equations.VEERG_14_1_2__1_MarketBasedScopeElectricityEmissionsVariation(J31,J32,IF(ISNUMBER(J33), J33, 0),J34,J35,J36)</f>
        <v>14.580000000000002</v>
      </c>
      <c r="F39" s="117" t="str">
        <f>E29</f>
        <v>t CO2e</v>
      </c>
    </row>
    <row r="40" spans="4:10" ht="20.100000000000001" customHeight="1" x14ac:dyDescent="0.25">
      <c r="H40" s="1" t="s">
        <v>84</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6"/>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7"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32" t="e" vm="1">
        <v>#VALUE!</v>
      </c>
      <c r="C1" s="8" t="s">
        <v>112</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D6" s="5" t="str" cm="1">
        <f t="array" ref="D6">Electricity_SourceData.Electricity_Scope2Scope3LocationBased_Source()</f>
        <v>Australian National Greenhouse Accounts Factors 2025 - Table 1</v>
      </c>
      <c r="E6" s="18"/>
      <c r="F6" s="18"/>
    </row>
    <row r="7" spans="1:35" ht="20.100000000000001" customHeight="1" x14ac:dyDescent="0.25">
      <c r="D7" s="31" t="str" cm="1">
        <f t="array" ref="D7">"⚠️" &amp; Electricity_SourceData.Electricity_Scope2Scope3LocationBased_Variation()</f>
        <v>⚠️VARIATION OF SOURCE DATA: NSW and ACT split into separate rows.</v>
      </c>
      <c r="E7" s="18"/>
      <c r="F7" s="18"/>
    </row>
    <row r="8" spans="1:35" ht="20.100000000000001" customHeight="1" x14ac:dyDescent="0.25">
      <c r="A8" s="16" t="s">
        <v>0</v>
      </c>
      <c r="D8" s="18"/>
      <c r="E8" s="18"/>
      <c r="F8" s="18"/>
    </row>
    <row r="9" spans="1:35" ht="20.100000000000001" customHeight="1" x14ac:dyDescent="0.25">
      <c r="A9" s="14" t="str">
        <f>HYPERLINK("#'Input - Site'!A1", "Site")</f>
        <v>Site</v>
      </c>
      <c r="D9" s="58" t="s">
        <v>113</v>
      </c>
      <c r="E9" s="58" t="s">
        <v>114</v>
      </c>
      <c r="F9" s="58" t="s">
        <v>115</v>
      </c>
    </row>
    <row r="10" spans="1:35" ht="20.100000000000001" customHeight="1" x14ac:dyDescent="0.25">
      <c r="A10" s="14" t="str">
        <f>HYPERLINK("#'Input - Electricity'!A1", "Electricity")</f>
        <v>Electricity</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44</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4" t="str">
        <f>HYPERLINK("#'14.1.1-2 Purchased electricity'!A1", "14.1.1-2 Purchased electricity")</f>
        <v>14.1.1-2 Purchased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119" t="s">
        <v>1</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7" t="str">
        <f>HYPERLINK("#'Constants - Electricity'!A1", "Constants - Electricity")</f>
        <v>Constants - 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14" t="str">
        <f>HYPERLINK("#'Constants - Common'!A1", "Constants - Common")</f>
        <v>Constants - Common</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row r="21" spans="1:8" ht="20.100000000000001" customHeight="1" x14ac:dyDescent="0.25">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row r="24" spans="1:8" ht="20.100000000000001" customHeight="1" x14ac:dyDescent="0.25">
      <c r="D24" s="115" t="s">
        <v>113</v>
      </c>
      <c r="E24" s="115" t="s">
        <v>136</v>
      </c>
      <c r="F24" s="115" t="s">
        <v>137</v>
      </c>
      <c r="G24" s="115" t="s">
        <v>138</v>
      </c>
      <c r="H24" s="115" t="s">
        <v>139</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45C4-0913-41FB-A369-8BB7C067FCFB}">
  <dimension ref="A1:BY259"/>
  <sheetViews>
    <sheetView showGridLines="0" tabSelected="1" topLeftCell="A86" zoomScaleNormal="100" workbookViewId="0">
      <selection activeCell="A18" sqref="A1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32" t="e" vm="1">
        <v>#VALUE!</v>
      </c>
      <c r="C1" s="8" t="s">
        <v>45</v>
      </c>
    </row>
    <row r="2" spans="1:65" s="9" customFormat="1" ht="20.100000000000001" customHeight="1" x14ac:dyDescent="0.25">
      <c r="A2"/>
    </row>
    <row r="3" spans="1:65" ht="20.100000000000001" customHeight="1" x14ac:dyDescent="0.25">
      <c r="A3" s="14" t="str">
        <f>HYPERLINK("#'Home'!A1", "Home")</f>
        <v>Home</v>
      </c>
      <c r="C3" s="4"/>
      <c r="D3" s="4"/>
      <c r="E3" s="4"/>
      <c r="F3" s="4"/>
      <c r="G3" s="4"/>
      <c r="H3" s="4"/>
      <c r="I3" s="4"/>
      <c r="J3" s="4"/>
      <c r="K3" s="4"/>
      <c r="L3" s="4"/>
      <c r="M3" s="4"/>
      <c r="N3" s="4"/>
      <c r="O3" s="4"/>
      <c r="P3" s="4"/>
      <c r="Q3" s="4"/>
      <c r="R3" s="4"/>
      <c r="S3" s="4"/>
      <c r="T3" s="4"/>
      <c r="U3" s="4"/>
      <c r="V3" s="10"/>
      <c r="W3" s="10"/>
    </row>
    <row r="4" spans="1:65" ht="20.100000000000001" customHeight="1" x14ac:dyDescent="0.25">
      <c r="A4" s="14" t="str">
        <f>HYPERLINK("#'Overview'!A1", "Overview")</f>
        <v>Overview</v>
      </c>
      <c r="BM4" s="3"/>
    </row>
    <row r="5" spans="1:65" ht="20.100000000000001" customHeight="1" x14ac:dyDescent="0.25">
      <c r="A5" s="14"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26" t="s">
        <v>5</v>
      </c>
      <c r="E6" s="26" t="s">
        <v>6</v>
      </c>
      <c r="F6" s="26" t="s">
        <v>7</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s="16" t="s">
        <v>0</v>
      </c>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s="14" t="str">
        <f>HYPERLINK("#'Input - Site'!A1", "Site")</f>
        <v>Site</v>
      </c>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s="14" t="str">
        <f>HYPERLINK("#'Input - Electricity'!A1", "Electricity")</f>
        <v>Electricity</v>
      </c>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5" t="s">
        <v>44</v>
      </c>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s="14" t="str">
        <f>HYPERLINK("#'14.1.1-2 Purchased electricity'!A1", "14.1.1-2 Purchased electricity")</f>
        <v>14.1.1-2 Purchased electricity</v>
      </c>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9" t="s">
        <v>1</v>
      </c>
    </row>
    <row r="18" spans="1:4" ht="20.100000000000001" customHeight="1" x14ac:dyDescent="0.25">
      <c r="A18" s="14" t="str">
        <f>HYPERLINK("#'Constants - Electricity'!A1", "Constants - Electricity")</f>
        <v>Constants - Electricity</v>
      </c>
      <c r="D18" s="6" t="str" cm="1">
        <f t="array" ref="D18">Common_SourceData.Common_SourceData_WASA4Areas_Title()</f>
        <v>ABS Statistcal Areas Level 4 - Western Australia</v>
      </c>
    </row>
    <row r="19" spans="1:4" ht="20.100000000000001" customHeight="1" x14ac:dyDescent="0.25">
      <c r="A19" s="57"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c r="D20" s="26" t="s">
        <v>8</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6" t="s">
        <v>10</v>
      </c>
      <c r="E36" s="26" t="s">
        <v>11</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A42"/>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A43"/>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26" t="s">
        <v>10</v>
      </c>
      <c r="E47" s="26" t="s">
        <v>13</v>
      </c>
      <c r="F47" s="26" t="s">
        <v>14</v>
      </c>
      <c r="G47" s="26" t="s">
        <v>15</v>
      </c>
      <c r="H47" s="26" t="s">
        <v>16</v>
      </c>
    </row>
    <row r="48" spans="1:8" ht="20.100000000000001" customHeight="1" x14ac:dyDescent="0.25">
      <c r="A48"/>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1:8" ht="20.100000000000001" customHeight="1" x14ac:dyDescent="0.25">
      <c r="A49"/>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1:8" ht="20.100000000000001" customHeight="1" x14ac:dyDescent="0.25">
      <c r="A50"/>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1:8" ht="20.100000000000001" customHeight="1" x14ac:dyDescent="0.25">
      <c r="A51"/>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1:8" ht="20.100000000000001" customHeight="1" x14ac:dyDescent="0.25">
      <c r="A52"/>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1:8" ht="20.100000000000001" customHeight="1" x14ac:dyDescent="0.25">
      <c r="A53"/>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1:8" ht="20.100000000000001" customHeight="1" x14ac:dyDescent="0.25">
      <c r="A54"/>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31" t="str" cm="1">
        <f t="array" ref="D59:D61">"⚠️" &amp; Common_SourceData.Common_SourceData_WetAndDryZones_Variation()</f>
        <v>⚠️VARIATION OF SOURCE DATA:</v>
      </c>
    </row>
    <row r="60" spans="1:8" ht="20.100000000000001" customHeight="1" x14ac:dyDescent="0.25">
      <c r="A60"/>
      <c r="D60" s="31" t="str">
        <v>⚠️Added warm / cool temperate moist / dry - low frost and high temp classes to accommodate climate scenarios excluded by VEERG criteria.</v>
      </c>
    </row>
    <row r="61" spans="1:8" ht="20.100000000000001" customHeight="1" x14ac:dyDescent="0.25">
      <c r="A61"/>
      <c r="D61" s="31" t="str">
        <v>⚠️Fixed typo - Changed 'Fry' to 'Dry'.</v>
      </c>
    </row>
    <row r="62" spans="1:8" ht="20.100000000000001" customHeight="1" x14ac:dyDescent="0.25">
      <c r="A62"/>
    </row>
    <row r="63" spans="1:8" ht="20.100000000000001" customHeight="1" x14ac:dyDescent="0.25">
      <c r="A63"/>
      <c r="D63" s="26" t="s">
        <v>3</v>
      </c>
      <c r="E63" s="26" t="s">
        <v>30</v>
      </c>
    </row>
    <row r="64" spans="1:8" ht="20.100000000000001" customHeight="1" x14ac:dyDescent="0.25">
      <c r="A64"/>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31" t="str" cm="1">
        <f t="array" ref="D83:D87">"⚠️" &amp; Common_SourceData.Common_SourceData_ClimateZones_Variation()</f>
        <v>⚠️VARIATION OF SOURCE DATA:</v>
      </c>
    </row>
    <row r="84" spans="1:20" ht="20.100000000000001" customHeight="1" x14ac:dyDescent="0.25">
      <c r="A84"/>
      <c r="D84" s="31" t="str">
        <v>⚠️Added warm / cool temperate moist / dry - low frost and high temp classes to accommodate climate scenarios excluded by VEERG criteria.</v>
      </c>
    </row>
    <row r="85" spans="1:20" ht="20.100000000000001" customHeight="1" x14ac:dyDescent="0.25">
      <c r="A85"/>
      <c r="D85" s="31" t="str">
        <v>⚠️Fixed typo in MAT value for warm temperate dry - changed 10 to 11.</v>
      </c>
    </row>
    <row r="86" spans="1:20" ht="20.100000000000001" customHeight="1" x14ac:dyDescent="0.25">
      <c r="A86"/>
      <c r="D86" s="31" t="str">
        <v>⚠️Added min and max columns for MAT, MAP, frost days per year, elevation, MAP:PET to calculate zones from real climate data.</v>
      </c>
    </row>
    <row r="87" spans="1:20" ht="20.100000000000001" customHeight="1" x14ac:dyDescent="0.25">
      <c r="A87"/>
      <c r="D87" s="31" t="str">
        <v>⚠️GAF accepts rainfall as a proxy for precipitation.</v>
      </c>
    </row>
    <row r="88" spans="1:20" ht="20.100000000000001" customHeight="1" x14ac:dyDescent="0.25">
      <c r="A88"/>
    </row>
    <row r="89" spans="1:20" ht="20.100000000000001" customHeight="1" x14ac:dyDescent="0.25">
      <c r="A89"/>
      <c r="D89" s="26" t="s">
        <v>3</v>
      </c>
      <c r="E89" s="26" t="s">
        <v>18</v>
      </c>
      <c r="F89" s="26" t="s">
        <v>19</v>
      </c>
      <c r="G89" s="26" t="s">
        <v>20</v>
      </c>
      <c r="H89" s="26" t="s">
        <v>21</v>
      </c>
      <c r="I89" s="26" t="s">
        <v>22</v>
      </c>
      <c r="J89" s="26" t="s">
        <v>23</v>
      </c>
      <c r="K89" s="26" t="s">
        <v>24</v>
      </c>
      <c r="L89" s="26" t="s">
        <v>25</v>
      </c>
      <c r="M89" s="26" t="s">
        <v>26</v>
      </c>
      <c r="N89" s="26" t="s">
        <v>27</v>
      </c>
      <c r="O89" s="26" t="s">
        <v>31</v>
      </c>
      <c r="P89" s="26" t="s">
        <v>28</v>
      </c>
      <c r="Q89" s="26" t="s">
        <v>32</v>
      </c>
      <c r="R89" s="26" t="s">
        <v>29</v>
      </c>
      <c r="S89" s="26" t="s">
        <v>33</v>
      </c>
      <c r="T89" s="26"/>
    </row>
    <row r="90" spans="1:20" ht="20.100000000000001" customHeight="1" x14ac:dyDescent="0.25">
      <c r="A90"/>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1:20" ht="20.100000000000001" customHeight="1" x14ac:dyDescent="0.25">
      <c r="A91"/>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1:20" ht="20.100000000000001" customHeight="1" x14ac:dyDescent="0.25">
      <c r="A92"/>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1:20" ht="20.100000000000001" customHeight="1" x14ac:dyDescent="0.25">
      <c r="A93"/>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1:20" ht="20.100000000000001" customHeight="1" x14ac:dyDescent="0.25">
      <c r="A94"/>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1:20" ht="20.100000000000001" customHeight="1" x14ac:dyDescent="0.25">
      <c r="A9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1:20" ht="20.100000000000001" customHeight="1" x14ac:dyDescent="0.25">
      <c r="A96"/>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1:20" ht="20.100000000000001" customHeight="1" x14ac:dyDescent="0.25">
      <c r="A97"/>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1:20" ht="20.100000000000001" customHeight="1" x14ac:dyDescent="0.25">
      <c r="A98"/>
    </row>
    <row r="99" spans="1:20" ht="20.100000000000001" customHeight="1" x14ac:dyDescent="0.25">
      <c r="A99"/>
      <c r="D99" s="30" t="str" cm="1">
        <f t="array" ref="D99:D102">Common_SourceData.Common_SourceData_ClimateZones_Appendices()</f>
        <v>Note:</v>
      </c>
    </row>
    <row r="100" spans="1:20" ht="20.100000000000001" customHeight="1" x14ac:dyDescent="0.25">
      <c r="A100"/>
      <c r="D100" s="30" t="str">
        <v>MAT = mean annual temperature</v>
      </c>
    </row>
    <row r="101" spans="1:20" ht="20.100000000000001" customHeight="1" x14ac:dyDescent="0.25">
      <c r="A101"/>
      <c r="D101" s="30" t="str">
        <v>MAP = mean annual precipitation</v>
      </c>
    </row>
    <row r="102" spans="1:20" ht="20.100000000000001" customHeight="1" x14ac:dyDescent="0.25">
      <c r="A102"/>
      <c r="D102" s="30" t="str">
        <v>PET = potential evapotranspiration</v>
      </c>
    </row>
    <row r="103" spans="1:20" ht="20.100000000000001" customHeight="1" x14ac:dyDescent="0.25">
      <c r="A103"/>
      <c r="D103" s="3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3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6" t="s">
        <v>35</v>
      </c>
      <c r="E109" s="26" t="s">
        <v>18</v>
      </c>
      <c r="F109" s="26" t="s">
        <v>36</v>
      </c>
      <c r="G109" s="26" t="s">
        <v>37</v>
      </c>
    </row>
    <row r="110" spans="1:20" ht="20.100000000000001" customHeight="1" x14ac:dyDescent="0.25">
      <c r="A110"/>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3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26" t="s">
        <v>38</v>
      </c>
      <c r="E119" s="26" t="s">
        <v>39</v>
      </c>
      <c r="F119" s="26" t="s">
        <v>25</v>
      </c>
      <c r="G119" s="26" t="s">
        <v>26</v>
      </c>
      <c r="BN119" s="7"/>
    </row>
    <row r="120" spans="1:66" ht="20.100000000000001" customHeight="1" x14ac:dyDescent="0.25">
      <c r="A120"/>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6" t="s">
        <v>40</v>
      </c>
      <c r="E127" s="26" t="s">
        <v>41</v>
      </c>
    </row>
    <row r="128" spans="1:66" ht="20.100000000000001" customHeight="1" x14ac:dyDescent="0.25">
      <c r="A128"/>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18"/>
    </row>
    <row r="133" spans="1:77" ht="20.100000000000001" customHeight="1" x14ac:dyDescent="0.25">
      <c r="A133"/>
      <c r="D133" s="5" t="str" cm="1">
        <f t="array" ref="D133">Common_SourceData.Common_SourceData_FracWET_Source()</f>
        <v>VEERG 2026:5.5.2.3 Constant Parameters</v>
      </c>
      <c r="E133" s="18"/>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26" t="s">
        <v>56</v>
      </c>
      <c r="E142" s="26" t="s">
        <v>47</v>
      </c>
      <c r="BN142" s="7"/>
    </row>
    <row r="143" spans="1:77" ht="20.100000000000001" customHeight="1" x14ac:dyDescent="0.25">
      <c r="A143"/>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26" t="s">
        <v>42</v>
      </c>
      <c r="E153" s="26" t="s">
        <v>43</v>
      </c>
      <c r="BC153" s="3"/>
      <c r="BD153" s="3"/>
      <c r="BE153" s="3"/>
      <c r="BF153" s="3"/>
      <c r="BG153" s="3"/>
      <c r="BH153" s="3"/>
      <c r="BI153" s="3"/>
      <c r="BJ153" s="3"/>
      <c r="BK153" s="3"/>
      <c r="BL153" s="3"/>
      <c r="BM153" s="3"/>
    </row>
    <row r="154" spans="1:66" ht="20.100000000000001" customHeight="1" x14ac:dyDescent="0.25">
      <c r="A154"/>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18"/>
    </row>
    <row r="162" spans="4:68" ht="20.100000000000001" customHeight="1" x14ac:dyDescent="0.25">
      <c r="D162" s="5" t="str" cm="1">
        <f t="array" ref="D162">Common_SourceData.Common_SourceData_FracLEACH_Source()</f>
        <v>VEERG 2026:5.5.2.3 Constant Parameters</v>
      </c>
      <c r="E162" s="18"/>
    </row>
    <row r="163" spans="4:68" ht="20.100000000000001" customHeight="1" x14ac:dyDescent="0.25">
      <c r="D163" s="5"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50</v>
      </c>
      <c r="E186" s="26" t="s">
        <v>51</v>
      </c>
      <c r="F186" s="26" t="s">
        <v>52</v>
      </c>
      <c r="G186" s="26" t="s">
        <v>53</v>
      </c>
      <c r="H186" s="26" t="s">
        <v>17</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3</v>
      </c>
      <c r="E206" s="26" t="s">
        <v>58</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55</v>
      </c>
      <c r="E212" s="26" t="s">
        <v>61</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34</v>
      </c>
      <c r="E231" s="26" t="s">
        <v>69</v>
      </c>
      <c r="F231" s="25" t="s">
        <v>70</v>
      </c>
      <c r="G231" s="26" t="s">
        <v>65</v>
      </c>
      <c r="H231" s="26" t="s">
        <v>71</v>
      </c>
      <c r="I231" s="26" t="s">
        <v>72</v>
      </c>
      <c r="J231" s="26" t="s">
        <v>64</v>
      </c>
      <c r="K231" s="26" t="s">
        <v>63</v>
      </c>
      <c r="L231" s="26" t="s">
        <v>73</v>
      </c>
      <c r="M231" s="26" t="s">
        <v>74</v>
      </c>
      <c r="N231" s="26" t="s">
        <v>62</v>
      </c>
      <c r="O231" s="26" t="s">
        <v>75</v>
      </c>
      <c r="P231" s="26" t="s">
        <v>67</v>
      </c>
      <c r="Q231" s="26" t="s">
        <v>68</v>
      </c>
      <c r="R231" s="26" t="s">
        <v>66</v>
      </c>
      <c r="S231" s="26" t="s">
        <v>76</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77</v>
      </c>
      <c r="E257" s="26" t="s">
        <v>78</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EUAbABlAGMAdAByAGkAYwBpAHQAeQBfAEUAcQB1AGEAdABpAG8AbgBzAC4AVgBFAEUAUgBHAF8AMQA0AF8AMQBfADEAXwBfADEAXwBMAG8AYwBhAHQAaQBvAG4AQgBhAHMAZQBkAFMAYwBvAHAAZQBFAGwAZQBjAHQAcgBpAGMAaQB0AHkARQBtAGkAcwBzAGkAbwBuAHMAIgAsACIARQBsAGUAYwB0AHIAaQBjAGkAdAB5AF8ARQBxAHUAYQB0AGkAbwBuAHMALgBWAEUARQBSAEcAXwAxADQAXwAxAF8AMQBfAF8AMQBfAEwAbwBjAGEAdABpAG8AbgBCAGEAcwBlAGQAUwBjAG8AcABlAEUAbABlAGMAdAByAGkAYwBpAHQAeQBFAG0AaQBzAHMAaQBvAG4AcwBfAFQAaQB0AGwAZQAiACwAIgBFAGwAZQBjAHQAcgBpAGMAaQB0AHkAXwBFAHEAdQBhAHQAaQBvAG4AcwAuAFYARQBFAFIARwBfADEANABfADEAXwAxAF8AXwAxAF8ATABvAGMAYQB0AGkAbwBuAEIAYQBzAGUAZABTAGMAbwBwAGUARQBsAGUAYwB0AHIAaQBjAGkAdAB5AEUAbQBpAHMAcwBpAG8AbgBzAF8AVgBhAHIAaQBhAGIAbABlACIALAAiAEUAbABlAGMAdAByAGkAYwBpAHQAeQBfAEUAcQB1AGEAdABpAG8AbgBzAC4AVgBFAEUAUgBHAF8AMQA0AF8AMQBfADEAXwBfADEAXwBMAG8AYwBhAHQAaQBvAG4AQgBhAHMAZQBkAFMAYwBvAHAAZQBFAGwAZQBjAHQAcgBpAGMAaQB0AHkARQBtAGkAcwBzAGkAbwBuAHMAXwBVAG4AaQB0ACIALAAiAEUAbABlAGMAdAByAGkAYwBpAHQAeQBfAEUAcQB1AGEAdABpAG8AbgBzAC4AVgBFAEUAUgBHAF8AMQA0AF8AMQBfADEAXwBfADEAXwBMAG8AYwBhAHQAaQBvAG4AQgBhAHMAZQBkAFMAYwBvAHAAZQBFAGwAZQBjAHQAcgBpAGMAaQB0AHkARQBtAGkAcwBzAGkAbwBuAHMAXwBTAG8AdQByAGMAZQAiACwAIgBFAGwAZQBjAHQAcgBpAGMAaQB0AHkAXwBFAHEAdQBhAHQAaQBvAG4AcwAuAFYARQBFAFIARwBfADEANABfADEAXwAxAF8AXwAxAF8ATABvAGMAYQB0AGkAbwBuAEIAYQBzAGUAZABTAGMAbwBwAGUARQBsAGUAYwB0AHIAaQBjAGkAdAB5AEUAbQBpAHMAcwBpAG8AbgBzAF8ATgBJAFIAUgBlAGYAZQByAGUAbgBjAGUAIgAsACIARQBsAGUAYwB0AHIAaQBjAGkAdAB5AF8ARQBxAHUAYQB0AGkAbwBuAHMALgBWAEUARQBSAEcAXwAxADQAXwAxAF8AMQBfAF8AMQBfAEwAbwBjAGEAdABpAG8AbgBCAGEAcwBlAGQAUwBjAG8AcABlAEUAbABlAGMAdAByAGkAYwBpAHQAeQBFAG0AaQBzAHMAaQBvAG4AcwBfAEwAYQB0AGUAeABFAHEAdQBhAHQAaQBvAG4AIgAsACIARQBsAGUAYwB0AHIAaQBjAGkAdAB5AF8ARQBxAHUAYQB0AGkAbwBuAHMALgBWAEUARQBSAEcAXwAxADQAXwAxAF8AMQBfAF8AMQBfAEwAbwBjAGEAdABpAG8AbgBCAGEAcwBlAGQAUwBjAG8AcABlAEUAbABlAGMAdAByAGkAYwBpAHQAeQBFAG0AaQBzAHMAaQBvAG4AcwBfAEEAcgBnAHUAbQBlAG4AdABzACIALAAiAEUAbABlAGMAdAByAGkAYwBpAHQAeQBfAEUAcQB1AGEAdABpAG8AbgBzAC4AVgBFAEUAUgBHAF8AMQA0AF8AMQBfADEAXwBfADEAXwBMAG8AYwBhAHQAaQBvAG4AQgBhAHMAZQBkAFMAYwBvAHAAZQBFAGwAZQBjAHQAcgBpAGMAaQB0AHkARQBtAGkAcwBzAGkAbwBuAHMAXwBWAGEAcgBpAGEAdABpAG8AbgAiACwAIgBFAGwAZQBjAHQAcgBpAGMAaQB0AHkAXwBFAHEAdQBhAHQAaQBvAG4AcwAuAFYARQBFAFIARwBfADEANABfADEAXwAyAF8AXwAxAF8ATQBhAHIAawBlAHQAQgBhAHMAZQBkAFMAYwBvAHAAZQBFAGwAZQBjAHQAcgBpAGMAaQB0AHkARQBtAGkAcwBzAGkAbwBuAHMAIgAsACIARQBsAGUAYwB0AHIAaQBjAGkAdAB5AF8ARQBxAHUAYQB0AGkAbwBuAHMALgBWAEUARQBSAEcAXwAxADQAXwAxAF8AMgBfAF8AMQBfAE0AYQByAGsAZQB0AEIAYQBzAGUAZABTAGMAbwBwAGUARQBsAGUAYwB0AHIAaQBjAGkAdAB5AEUAbQBpAHMAcwBpAG8AbgBzAFYAYQByAGkAYQB0AGkAbwBuACIALAAiAEUAbABlAGMAdAByAGkAYwBpAHQAeQBfAEUAcQB1AGEAdABpAG8AbgBzAC4AVgBFAEUAUgBHAF8AMQA0AF8AMQBfADIAXwBfADEAXwBNAGEAcgBrAGUAdABCAGEAcwBlAGQAUwBjAG8AcABlAEUAbABlAGMAdAByAGkAYwBpAHQAeQBFAG0AaQBzAHMAaQBvAG4AcwBfAFQAaQB0AGwAZQAiACwAIgBFAGwAZQBjAHQAcgBpAGMAaQB0AHkAXwBFAHEAdQBhAHQAaQBvAG4AcwAuAFYARQBFAFIARwBfADEANABfADEAXwAyAF8AXwAxAF8ATQBhAHIAawBlAHQAQgBhAHMAZQBkAFMAYwBvAHAAZQBFAGwAZQBjAHQAcgBpAGMAaQB0AHkARQBtAGkAcwBzAGkAbwBuAHMAXwBWAGEAcgBpAGEAYgBsAGUAIgAsACIARQBsAGUAYwB0AHIAaQBjAGkAdAB5AF8ARQBxAHUAYQB0AGkAbwBuAHMALgBWAEUARQBSAEcAXwAxADQAXwAxAF8AMgBfAF8AMQBfAE0AYQByAGsAZQB0AEIAYQBzAGUAZABTAGMAbwBwAGUARQBsAGUAYwB0AHIAaQBjAGkAdAB5AEUAbQBpAHMAcwBpAG8AbgBzAF8AVQBuAGkAdAAiACwAIgBFAGwAZQBjAHQAcgBpAGMAaQB0AHkAXwBFAHEAdQBhAHQAaQBvAG4AcwAuAFYARQBFAFIARwBfADEANABfADEAXwAyAF8AXwAxAF8ATQBhAHIAawBlAHQAQgBhAHMAZQBkAFMAYwBvAHAAZQBFAGwAZQBjAHQAcgBpAGMAaQB0AHkARQBtAGkAcwBzAGkAbwBuAHMAXwBTAG8AdQByAGMAZQAiACwAIgBFAGwAZQBjAHQAcgBpAGMAaQB0AHkAXwBFAHEAdQBhAHQAaQBvAG4AcwAuAFYARQBFAFIARwBfADEANABfADEAXwAyAF8AXwAxAF8ATQBhAHIAawBlAHQAQgBhAHMAZQBkAFMAYwBvAHAAZQBFAGwAZQBjAHQAcgBpAGMAaQB0AHkARQBtAGkAcwBzAGkAbwBuAHMAXwBOAEkAUgBSAGUAZgBlAHIAZQBuAGMAZQAiACwAIgBFAGwAZQBjAHQAcgBpAGMAaQB0AHkAXwBFAHEAdQBhAHQAaQBvAG4AcwAuAFYARQBFAFIARwBfADEANABfADEAXwAyAF8AXwAxAF8ATQBhAHIAawBlAHQAQgBhAHMAZQBkAFMAYwBvAHAAZQBFAGwAZQBjAHQAcgBpAGMAaQB0AHkARQBtAGkAcwBzAGkAbwBuAHMAXwBMAGEAdABlAHgARQBxAHUAYQB0AGkAbwBuACIALAAiAEUAbABlAGMAdAByAGkAYwBpAHQAeQBfAEUAcQB1AGEAdABpAG8AbgBzAC4AVgBFAEUAUgBHAF8AMQA0AF8AMQBfADIAXwBfADEAXwBNAGEAcgBrAGUAdABCAGEAcwBlAGQAUwBjAG8AcABlAEUAbABlAGMAdAByAGkAYwBpAHQAeQBFAG0AaQBzAHMAaQBvAG4AcwBWAGEAcgBpAGEAdABpAG8AbgBfAEwAYQB0AGUAeABFAHEAdQBhAHQAaQBvAG4AIgAsACIARQBsAGUAYwB0AHIAaQBjAGkAdAB5AF8ARQBxAHUAYQB0AGkAbwBuAHMALgBWAEUARQBSAEcAXwAxADQAXwAxAF8AMgBfAF8AMQBfAE0AYQByAGsAZQB0AEIAYQBzAGUAZABTAGMAbwBwAGUARQBsAGUAYwB0AHIAaQBjAGkAdAB5AEUAbQBpAHMAcwBpAG8AbgBzAF8AQQByAGcAdQBtAGUAbgB0AHMAIgAsACIARQBsAGUAYwB0AHIAaQBjAGkAdAB5AF8ARQBxAHUAYQB0AGkAbwBuAHMALgBWAEUARQBSAEcAXwAxADQAXwAxAF8AMgBfAF8AMQBfAE0AYQByAGsAZQB0AEIAYQBzAGUAZABTAGMAbwBwAGUARQBsAGUAYwB0AHIAaQBjAGkAdAB5AEUAbQBpAHMAcwBp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Home</vt:lpstr>
      <vt:lpstr>Overview</vt:lpstr>
      <vt:lpstr>Results</vt:lpstr>
      <vt:lpstr>Input - Site</vt:lpstr>
      <vt:lpstr>Input - Electricity</vt:lpstr>
      <vt:lpstr>14.1.1-2 Purchased electricity</vt:lpstr>
      <vt:lpstr>Constants - Electricity</vt:lpstr>
      <vt:lpstr>Constants - Common</vt:lpstr>
      <vt:lpstr>Common_SourceData_DensityOfMethane_Data</vt:lpstr>
      <vt:lpstr>VEERG_14_1_1__1_LocationBasedScopeElectricityEmissions_Result_Method1</vt:lpstr>
      <vt:lpstr>VEERG_14_1_2__1_MarketBasedScopeElectricityEmissionsVariation_Result_Method1</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X_Cell_Site_EndDate</vt:lpstr>
      <vt:lpstr>X_Cell_Site_FarmName</vt:lpstr>
      <vt:lpstr>X_Cell_Site_Region</vt:lpstr>
      <vt:lpstr>X_Cell_Site_ReportingEntityName</vt:lpstr>
      <vt:lpstr>X_Cell_Site_StartDate</vt:lpstr>
      <vt:lpstr>X_Cell_Site_State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