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66EF7645-49BA-40A4-BA01-2778C60C74FA}" xr6:coauthVersionLast="47" xr6:coauthVersionMax="47" xr10:uidLastSave="{00000000-0000-0000-0000-000000000000}"/>
  <bookViews>
    <workbookView xWindow="3510" yWindow="3510" windowWidth="28800" windowHeight="15345" firstSheet="7" activeTab="7" xr2:uid="{992023F3-CAB7-4E5B-A348-08D563A0EF40}"/>
  </bookViews>
  <sheets>
    <sheet name="Home" sheetId="71" r:id="rId1"/>
    <sheet name="Results" sheetId="13" r:id="rId2"/>
    <sheet name="Input - Site" sheetId="15" r:id="rId3"/>
    <sheet name="Input - MMS - Feedlot" sheetId="70" r:id="rId4"/>
    <sheet name="Calcs - CH4 MMS Feedlot" sheetId="69" r:id="rId5"/>
    <sheet name="Constants - Livestock" sheetId="43" r:id="rId6"/>
    <sheet name="Acknowledgements" sheetId="72" r:id="rId7"/>
    <sheet name="Constants - Common" sheetId="95" r:id="rId8"/>
  </sheets>
  <externalReferences>
    <externalReference r:id="rId9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[0]!Common_InputFunctions.Utility_LookupValueInTableNumber(_xlpm.LeachingZone, _xlpm.LeachingZoneLookup, _xlpm.LeachingZoneFracWETLookup), _xlpm.ProductionSystemFracWET, [0]!Common_InputFunctions.Utility_LookupValueInTableNumber(_xlpm.ProductionSystem,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7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3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7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delete_me">_xlfn.LAMBDA(_xlfn.MAKEARRAY(2, 2, _xlfn.LAMBDA(_xlpm.r,_xlpm.c, INDEX({"ECH4","Methane emissions (t CH4)";"GWPCH4","Global warming potential for methane (t CO2-e / t CH4)"}, _xlpm.r, _xlpm.c))))</definedName>
    <definedName name="delete_me_3">_xlfn.LAMBDA(_xlpm.E_CH4,_xlpm.GWP_CH4, _xlpm.E_CH4 * _xlpm.GWP_CH4)</definedName>
    <definedName name="delete_me2">_xlfn.LAMBDA(_xlpm.LookupValue,_xlpm.LookupArray,_xlpm.ReturnArray, IF(ISNUMBER(_xlfn.XLOOKUP(_xlpm.LookupValue, _xlpm.LookupArray, _xlpm.ReturnArray, "")), _xlfn.XLOOKUP(_xlpm.LookupValue, _xlpm.LookupArray, _xlpm.ReturnArray, ""), 0))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Methane_Equations.VEERG_4_1_1_1__1_TotalAnnualMethaneEmissions">_xlfn.LAMBDA(_xlpm.Dj,_xlpm.MjmT,_xlpm.Nj, SUMPRODUCT(_xlpm.Dj, _xlpm.MjmT, _xlpm.Nj) * 10 ^ -3)</definedName>
    <definedName name="MMS_Feedlot_Methane_Equations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_xlfn.LAMBDA("ECH4")</definedName>
    <definedName name="MMS_Feedlot_Methane_Equations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MS_Feedlot_Methane_Equations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_xlfn.LAMBDA("Mjm5T1")</definedName>
    <definedName name="MMS_Feedlot_Methane_Equations.VEERG_4_1_1_1__3_Stage2MethaneProduction">_xlfn.LAMBDA(_xlpm.VSL,_xlpm.VSj,_xlpm.BO,_xlpm.MMSmT2,_xlpm.MCFim,_xlpm.rho, (1 - _xlpm.VSL) * _xlpm.VSj * _xlpm.BO * _xlpm.MMSmT2 * _xlpm.MCFim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_xlfn.LAMBDA("MjmT2")</definedName>
    <definedName name="MMS_Feedlot_Methane_Equations.VEERG_4_1_1_1__4_Stage3MethaneProductionAnaerobicLagoon">_xlfn.LAMBDA(_xlpm.VSj,_xlpm.BO,_xlpm.MMSm1T3,_xlpm.MCFim1,_xlpm.rho, _xlpm.VSj * _xlpm.BO * _xlpm.MMSm1T3 * _xlpm.MCFim1 * _xlpm.rho)</definedName>
    <definedName name="MMS_Feedlot_Methane_Equations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_xlfn.LAMBDA("Mjm1T3")</definedName>
    <definedName name="MMS_Feedlot_Methane_Equations.VEERG_4_1_1_1__5_VolatileSolidProduction">_xlfn.LAMBDA(_xlpm.Ij,_xlpm.DMDj,_xlpm.A, _xlpm.Ij * (1 - _xlpm.DMDj) * (1 - _xlpm.A))</definedName>
    <definedName name="MMS_Feedlot_Methane_Equations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_xlfn.LAMBDA("VSj")</definedName>
    <definedName name="Range_LivestockStartingValues">#REF!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LivestockClasses">_xlfn.LAMBDA(_xlfn.MAKEARRAY(3, 1, _xlfn.LAMBDA(_xlpm.r,_xlpm.c, INDEX({"Domestic (70-80 days)";"Export mid fed (80-200 days)";"Export long fed (200+ days)"},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95" l="1" a="1"/>
  <c r="H188" i="95" s="1"/>
  <c r="G188" i="95" a="1"/>
  <c r="G188" i="95" s="1"/>
  <c r="F188" i="95" a="1"/>
  <c r="F188" i="95" s="1"/>
  <c r="E188" i="95" a="1"/>
  <c r="E188" i="95" s="1"/>
  <c r="D188" i="95" a="1"/>
  <c r="D188" i="95" s="1"/>
  <c r="H187" i="95" a="1"/>
  <c r="H187" i="95" s="1"/>
  <c r="G187" i="95" a="1"/>
  <c r="G187" i="95" s="1"/>
  <c r="F187" i="95" a="1"/>
  <c r="F187" i="95" s="1"/>
  <c r="E187" i="95" a="1"/>
  <c r="E187" i="95" s="1"/>
  <c r="D187" i="95" a="1"/>
  <c r="D187" i="95" s="1"/>
  <c r="H186" i="95" a="1"/>
  <c r="H186" i="95" s="1"/>
  <c r="G186" i="95" a="1"/>
  <c r="G186" i="95" s="1"/>
  <c r="F186" i="95" a="1"/>
  <c r="F186" i="95" s="1"/>
  <c r="E186" i="95" a="1"/>
  <c r="E186" i="95" s="1"/>
  <c r="D186" i="95" a="1"/>
  <c r="D186" i="95" s="1"/>
  <c r="H185" i="95" a="1"/>
  <c r="H185" i="95" s="1"/>
  <c r="G185" i="95" a="1"/>
  <c r="G185" i="95" s="1"/>
  <c r="F185" i="95" a="1"/>
  <c r="F185" i="95" s="1"/>
  <c r="E185" i="95" a="1"/>
  <c r="E185" i="95" s="1"/>
  <c r="D185" i="95" a="1"/>
  <c r="D185" i="95" s="1"/>
  <c r="H184" i="95" a="1"/>
  <c r="H184" i="95" s="1"/>
  <c r="G184" i="95" a="1"/>
  <c r="G184" i="95" s="1"/>
  <c r="F184" i="95" a="1"/>
  <c r="F184" i="95" s="1"/>
  <c r="E184" i="95" a="1"/>
  <c r="E184" i="95" s="1"/>
  <c r="D184" i="95" a="1"/>
  <c r="D184" i="95" s="1"/>
  <c r="H183" i="95" a="1"/>
  <c r="H183" i="95" s="1"/>
  <c r="G183" i="95" a="1"/>
  <c r="G183" i="95" s="1"/>
  <c r="F183" i="95" a="1"/>
  <c r="F183" i="95" s="1"/>
  <c r="E183" i="95" a="1"/>
  <c r="E183" i="95" s="1"/>
  <c r="D183" i="95" a="1"/>
  <c r="D183" i="95" s="1"/>
  <c r="H182" i="95" a="1"/>
  <c r="H182" i="95" s="1"/>
  <c r="G182" i="95" a="1"/>
  <c r="G182" i="95" s="1"/>
  <c r="F182" i="95" a="1"/>
  <c r="F182" i="95" s="1"/>
  <c r="E182" i="95" a="1"/>
  <c r="E182" i="95" s="1"/>
  <c r="D182" i="95" a="1"/>
  <c r="D182" i="95" s="1"/>
  <c r="H181" i="95" a="1"/>
  <c r="H181" i="95" s="1"/>
  <c r="G181" i="95" a="1"/>
  <c r="G181" i="95" s="1"/>
  <c r="F181" i="95" a="1"/>
  <c r="F181" i="95" s="1"/>
  <c r="E181" i="95" a="1"/>
  <c r="E181" i="95" s="1"/>
  <c r="D181" i="95" a="1"/>
  <c r="D181" i="95" s="1"/>
  <c r="H180" i="95" a="1"/>
  <c r="H180" i="95" s="1"/>
  <c r="G180" i="95" a="1"/>
  <c r="G180" i="95" s="1"/>
  <c r="F180" i="95" a="1"/>
  <c r="F180" i="95" s="1"/>
  <c r="E180" i="95" a="1"/>
  <c r="E180" i="95" s="1"/>
  <c r="D180" i="95" a="1"/>
  <c r="D180" i="95" s="1"/>
  <c r="H179" i="95" a="1"/>
  <c r="H179" i="95" s="1"/>
  <c r="G179" i="95" a="1"/>
  <c r="G179" i="95" s="1"/>
  <c r="F179" i="95" a="1"/>
  <c r="F179" i="95" s="1"/>
  <c r="E179" i="95" a="1"/>
  <c r="E179" i="95" s="1"/>
  <c r="D179" i="95" a="1"/>
  <c r="D179" i="95" s="1"/>
  <c r="H178" i="95" a="1"/>
  <c r="H178" i="95" s="1"/>
  <c r="G178" i="95" a="1"/>
  <c r="G178" i="95" s="1"/>
  <c r="F178" i="95" a="1"/>
  <c r="F178" i="95" s="1"/>
  <c r="E178" i="95" a="1"/>
  <c r="E178" i="95" s="1"/>
  <c r="D178" i="95" a="1"/>
  <c r="D178" i="95" s="1"/>
  <c r="H177" i="95" a="1"/>
  <c r="H177" i="95" s="1"/>
  <c r="G177" i="95" a="1"/>
  <c r="G177" i="95" s="1"/>
  <c r="F177" i="95" a="1"/>
  <c r="F177" i="95" s="1"/>
  <c r="E177" i="95" a="1"/>
  <c r="E177" i="95" s="1"/>
  <c r="D177" i="95" a="1"/>
  <c r="D177" i="95" s="1"/>
  <c r="H176" i="95" a="1"/>
  <c r="H176" i="95" s="1"/>
  <c r="G176" i="95" a="1"/>
  <c r="G176" i="95" s="1"/>
  <c r="F176" i="95" a="1"/>
  <c r="F176" i="95" s="1"/>
  <c r="E176" i="95" a="1"/>
  <c r="E176" i="95" s="1"/>
  <c r="D176" i="95" a="1"/>
  <c r="D176" i="95" s="1"/>
  <c r="D170" i="95" a="1"/>
  <c r="D170" i="95" s="1"/>
  <c r="D169" i="95" a="1"/>
  <c r="D169" i="95" s="1"/>
  <c r="D168" i="95"/>
  <c r="D168" i="95" a="1"/>
  <c r="D167" i="95" a="1"/>
  <c r="D167" i="95" s="1"/>
  <c r="E164" i="95" a="1"/>
  <c r="E164" i="95" s="1"/>
  <c r="D164" i="95" a="1"/>
  <c r="D164" i="95" s="1"/>
  <c r="D163" i="95" a="1"/>
  <c r="D163" i="95" s="1"/>
  <c r="D162" i="95" a="1"/>
  <c r="D162" i="95" s="1"/>
  <c r="D159" i="95" a="1"/>
  <c r="D159" i="95" s="1"/>
  <c r="D158" i="95" a="1"/>
  <c r="D158" i="95" s="1"/>
  <c r="D157" i="95" a="1"/>
  <c r="D157" i="95" s="1"/>
  <c r="D156" i="95" a="1"/>
  <c r="D156" i="95" s="1"/>
  <c r="D153" i="95" a="1"/>
  <c r="D153" i="95" s="1"/>
  <c r="D152" i="95" a="1"/>
  <c r="D152" i="95" s="1"/>
  <c r="D151" i="95" a="1"/>
  <c r="D151" i="95" s="1"/>
  <c r="D150" i="95" a="1"/>
  <c r="D150" i="95" s="1"/>
  <c r="E147" i="95" a="1"/>
  <c r="E147" i="95" s="1"/>
  <c r="D147" i="95" a="1"/>
  <c r="D147" i="95" s="1"/>
  <c r="E146" i="95" a="1"/>
  <c r="E146" i="95" s="1"/>
  <c r="D146" i="95" a="1"/>
  <c r="D146" i="95" s="1"/>
  <c r="E145" i="95" a="1"/>
  <c r="E145" i="95" s="1"/>
  <c r="D145" i="95" a="1"/>
  <c r="D145" i="95" s="1"/>
  <c r="E144" i="95" a="1"/>
  <c r="E144" i="95" s="1"/>
  <c r="D144" i="95" a="1"/>
  <c r="D144" i="95" s="1"/>
  <c r="E143" i="95" a="1"/>
  <c r="E143" i="95" s="1"/>
  <c r="D143" i="95" a="1"/>
  <c r="D143" i="95" s="1"/>
  <c r="D140" i="95" a="1"/>
  <c r="D140" i="95" s="1"/>
  <c r="D139" i="95" a="1"/>
  <c r="D139" i="95" s="1"/>
  <c r="E136" i="95" a="1"/>
  <c r="E136" i="95" s="1"/>
  <c r="D136" i="95" a="1"/>
  <c r="D136" i="95" s="1"/>
  <c r="E135" i="95" a="1"/>
  <c r="E135" i="95" s="1"/>
  <c r="D135" i="95" a="1"/>
  <c r="D135" i="95" s="1"/>
  <c r="D133" i="95"/>
  <c r="D133" i="95" a="1"/>
  <c r="D132" i="95" a="1"/>
  <c r="D132" i="95" s="1"/>
  <c r="E129" i="95" a="1"/>
  <c r="E129" i="95" s="1"/>
  <c r="D129" i="95" a="1"/>
  <c r="D129" i="95" s="1"/>
  <c r="E128" i="95" a="1"/>
  <c r="E128" i="95" s="1"/>
  <c r="D128" i="95" a="1"/>
  <c r="D128" i="95" s="1"/>
  <c r="D125" i="95" a="1"/>
  <c r="D125" i="95" s="1"/>
  <c r="D124" i="95" a="1"/>
  <c r="D124" i="95" s="1"/>
  <c r="G121" i="95" a="1"/>
  <c r="G121" i="95" s="1"/>
  <c r="F121" i="95" a="1"/>
  <c r="F121" i="95" s="1"/>
  <c r="E121" i="95" a="1"/>
  <c r="E121" i="95" s="1"/>
  <c r="D121" i="95" a="1"/>
  <c r="D121" i="95" s="1"/>
  <c r="G120" i="95" a="1"/>
  <c r="G120" i="95" s="1"/>
  <c r="F120" i="95" a="1"/>
  <c r="F120" i="95" s="1"/>
  <c r="E120" i="95" a="1"/>
  <c r="E120" i="95" s="1"/>
  <c r="D120" i="95" a="1"/>
  <c r="D120" i="95" s="1"/>
  <c r="D117" i="95" a="1"/>
  <c r="D117" i="95" s="1"/>
  <c r="D116" i="95" a="1"/>
  <c r="D116" i="95" s="1"/>
  <c r="D115" i="95" a="1"/>
  <c r="D115" i="95" s="1"/>
  <c r="G112" i="95" a="1"/>
  <c r="G112" i="95" s="1"/>
  <c r="F112" i="95" a="1"/>
  <c r="F112" i="95" s="1"/>
  <c r="E112" i="95" a="1"/>
  <c r="E112" i="95" s="1"/>
  <c r="D112" i="95" a="1"/>
  <c r="D112" i="95" s="1"/>
  <c r="G111" i="95" a="1"/>
  <c r="G111" i="95" s="1"/>
  <c r="F111" i="95" a="1"/>
  <c r="F111" i="95" s="1"/>
  <c r="E111" i="95" a="1"/>
  <c r="E111" i="95" s="1"/>
  <c r="D111" i="95" a="1"/>
  <c r="D111" i="95" s="1"/>
  <c r="G110" i="95" a="1"/>
  <c r="G110" i="95" s="1"/>
  <c r="F110" i="95" a="1"/>
  <c r="F110" i="95" s="1"/>
  <c r="E110" i="95" a="1"/>
  <c r="E110" i="95" s="1"/>
  <c r="D110" i="95" a="1"/>
  <c r="D110" i="95" s="1"/>
  <c r="D107" i="95" a="1"/>
  <c r="D107" i="95" s="1"/>
  <c r="D106" i="95" a="1"/>
  <c r="D106" i="95" s="1"/>
  <c r="D105" i="95" a="1"/>
  <c r="D105" i="95" s="1"/>
  <c r="D98" i="95" a="1"/>
  <c r="D98" i="95" s="1"/>
  <c r="S97" i="95" a="1"/>
  <c r="S97" i="95" s="1"/>
  <c r="R97" i="95" a="1"/>
  <c r="R97" i="95" s="1"/>
  <c r="Q97" i="95" a="1"/>
  <c r="Q97" i="95" s="1"/>
  <c r="P97" i="95" a="1"/>
  <c r="P97" i="95" s="1"/>
  <c r="O97" i="95" a="1"/>
  <c r="O97" i="95" s="1"/>
  <c r="N97" i="95" a="1"/>
  <c r="N97" i="95" s="1"/>
  <c r="M97" i="95" a="1"/>
  <c r="M97" i="95" s="1"/>
  <c r="L97" i="95" a="1"/>
  <c r="L97" i="95" s="1"/>
  <c r="K97" i="95" a="1"/>
  <c r="K97" i="95" s="1"/>
  <c r="J97" i="95" a="1"/>
  <c r="J97" i="95" s="1"/>
  <c r="I97" i="95" a="1"/>
  <c r="I97" i="95" s="1"/>
  <c r="H97" i="95" a="1"/>
  <c r="H97" i="95" s="1"/>
  <c r="G97" i="95" a="1"/>
  <c r="G97" i="95" s="1"/>
  <c r="F97" i="95" a="1"/>
  <c r="F97" i="95" s="1"/>
  <c r="E97" i="95" a="1"/>
  <c r="E97" i="95" s="1"/>
  <c r="D97" i="95" a="1"/>
  <c r="D97" i="95" s="1"/>
  <c r="S96" i="95" a="1"/>
  <c r="S96" i="95" s="1"/>
  <c r="R96" i="95" a="1"/>
  <c r="R96" i="95" s="1"/>
  <c r="Q96" i="95" a="1"/>
  <c r="Q96" i="95" s="1"/>
  <c r="P96" i="95" a="1"/>
  <c r="P96" i="95" s="1"/>
  <c r="O96" i="95" a="1"/>
  <c r="O96" i="95" s="1"/>
  <c r="N96" i="95" a="1"/>
  <c r="N96" i="95" s="1"/>
  <c r="M96" i="95" a="1"/>
  <c r="M96" i="95" s="1"/>
  <c r="L96" i="95" a="1"/>
  <c r="L96" i="95" s="1"/>
  <c r="K96" i="95" a="1"/>
  <c r="K96" i="95" s="1"/>
  <c r="J96" i="95" a="1"/>
  <c r="J96" i="95" s="1"/>
  <c r="I96" i="95" a="1"/>
  <c r="I96" i="95" s="1"/>
  <c r="H96" i="95" a="1"/>
  <c r="H96" i="95" s="1"/>
  <c r="G96" i="95" a="1"/>
  <c r="G96" i="95" s="1"/>
  <c r="F96" i="95" a="1"/>
  <c r="F96" i="95" s="1"/>
  <c r="E96" i="95" a="1"/>
  <c r="E96" i="95" s="1"/>
  <c r="D96" i="95" a="1"/>
  <c r="D96" i="95" s="1"/>
  <c r="S95" i="95" a="1"/>
  <c r="S95" i="95" s="1"/>
  <c r="R95" i="95" a="1"/>
  <c r="R95" i="95" s="1"/>
  <c r="Q95" i="95" a="1"/>
  <c r="Q95" i="95" s="1"/>
  <c r="P95" i="95" a="1"/>
  <c r="P95" i="95" s="1"/>
  <c r="O95" i="95" a="1"/>
  <c r="O95" i="95" s="1"/>
  <c r="N95" i="95" a="1"/>
  <c r="N95" i="95" s="1"/>
  <c r="M95" i="95" a="1"/>
  <c r="M95" i="95" s="1"/>
  <c r="L95" i="95" a="1"/>
  <c r="L95" i="95" s="1"/>
  <c r="K95" i="95" a="1"/>
  <c r="K95" i="95" s="1"/>
  <c r="J95" i="95" a="1"/>
  <c r="J95" i="95" s="1"/>
  <c r="I95" i="95" a="1"/>
  <c r="I95" i="95" s="1"/>
  <c r="H95" i="95" a="1"/>
  <c r="H95" i="95" s="1"/>
  <c r="G95" i="95" a="1"/>
  <c r="G95" i="95" s="1"/>
  <c r="F95" i="95" a="1"/>
  <c r="F95" i="95" s="1"/>
  <c r="E95" i="95" a="1"/>
  <c r="E95" i="95" s="1"/>
  <c r="D95" i="95" a="1"/>
  <c r="D95" i="95" s="1"/>
  <c r="S94" i="95" a="1"/>
  <c r="S94" i="95" s="1"/>
  <c r="R94" i="95" a="1"/>
  <c r="R94" i="95" s="1"/>
  <c r="Q94" i="95" a="1"/>
  <c r="Q94" i="95" s="1"/>
  <c r="P94" i="95" a="1"/>
  <c r="P94" i="95" s="1"/>
  <c r="O94" i="95" a="1"/>
  <c r="O94" i="95" s="1"/>
  <c r="N94" i="95" a="1"/>
  <c r="N94" i="95" s="1"/>
  <c r="M94" i="95" a="1"/>
  <c r="M94" i="95" s="1"/>
  <c r="L94" i="95" a="1"/>
  <c r="L94" i="95" s="1"/>
  <c r="K94" i="95" a="1"/>
  <c r="K94" i="95" s="1"/>
  <c r="J94" i="95" a="1"/>
  <c r="J94" i="95" s="1"/>
  <c r="I94" i="95" a="1"/>
  <c r="I94" i="95" s="1"/>
  <c r="H94" i="95" a="1"/>
  <c r="H94" i="95" s="1"/>
  <c r="G94" i="95" a="1"/>
  <c r="G94" i="95" s="1"/>
  <c r="F94" i="95" a="1"/>
  <c r="F94" i="95" s="1"/>
  <c r="E94" i="95" a="1"/>
  <c r="E94" i="95" s="1"/>
  <c r="D94" i="95" a="1"/>
  <c r="D94" i="95" s="1"/>
  <c r="S93" i="95" a="1"/>
  <c r="S93" i="95" s="1"/>
  <c r="R93" i="95" a="1"/>
  <c r="R93" i="95" s="1"/>
  <c r="Q93" i="95" a="1"/>
  <c r="Q93" i="95" s="1"/>
  <c r="P93" i="95" a="1"/>
  <c r="P93" i="95" s="1"/>
  <c r="O93" i="95" a="1"/>
  <c r="O93" i="95" s="1"/>
  <c r="N93" i="95" a="1"/>
  <c r="N93" i="95" s="1"/>
  <c r="M93" i="95" a="1"/>
  <c r="M93" i="95" s="1"/>
  <c r="L93" i="95" a="1"/>
  <c r="L93" i="95" s="1"/>
  <c r="K93" i="95" a="1"/>
  <c r="K93" i="95" s="1"/>
  <c r="J93" i="95" a="1"/>
  <c r="J93" i="95" s="1"/>
  <c r="I93" i="95" a="1"/>
  <c r="I93" i="95" s="1"/>
  <c r="H93" i="95" a="1"/>
  <c r="H93" i="95" s="1"/>
  <c r="G93" i="95" a="1"/>
  <c r="G93" i="95" s="1"/>
  <c r="F93" i="95" a="1"/>
  <c r="F93" i="95" s="1"/>
  <c r="E93" i="95" a="1"/>
  <c r="E93" i="95" s="1"/>
  <c r="D93" i="95" a="1"/>
  <c r="D93" i="95" s="1"/>
  <c r="S92" i="95" a="1"/>
  <c r="S92" i="95" s="1"/>
  <c r="R92" i="95" a="1"/>
  <c r="R92" i="95" s="1"/>
  <c r="Q92" i="95" a="1"/>
  <c r="Q92" i="95" s="1"/>
  <c r="P92" i="95" a="1"/>
  <c r="P92" i="95" s="1"/>
  <c r="O92" i="95" a="1"/>
  <c r="O92" i="95" s="1"/>
  <c r="N92" i="95" a="1"/>
  <c r="N92" i="95" s="1"/>
  <c r="M92" i="95" a="1"/>
  <c r="M92" i="95" s="1"/>
  <c r="L92" i="95" a="1"/>
  <c r="L92" i="95" s="1"/>
  <c r="K92" i="95" a="1"/>
  <c r="K92" i="95" s="1"/>
  <c r="J92" i="95" a="1"/>
  <c r="J92" i="95" s="1"/>
  <c r="I92" i="95" a="1"/>
  <c r="I92" i="95" s="1"/>
  <c r="H92" i="95" a="1"/>
  <c r="H92" i="95" s="1"/>
  <c r="G92" i="95" a="1"/>
  <c r="G92" i="95" s="1"/>
  <c r="F92" i="95" a="1"/>
  <c r="F92" i="95" s="1"/>
  <c r="E92" i="95" a="1"/>
  <c r="E92" i="95" s="1"/>
  <c r="D92" i="95" a="1"/>
  <c r="D92" i="95" s="1"/>
  <c r="S91" i="95" a="1"/>
  <c r="S91" i="95" s="1"/>
  <c r="R91" i="95" a="1"/>
  <c r="R91" i="95" s="1"/>
  <c r="Q91" i="95" a="1"/>
  <c r="Q91" i="95" s="1"/>
  <c r="P91" i="95" a="1"/>
  <c r="P91" i="95" s="1"/>
  <c r="O91" i="95" a="1"/>
  <c r="O91" i="95" s="1"/>
  <c r="N91" i="95" a="1"/>
  <c r="N91" i="95" s="1"/>
  <c r="M91" i="95" a="1"/>
  <c r="M91" i="95" s="1"/>
  <c r="L91" i="95" a="1"/>
  <c r="L91" i="95" s="1"/>
  <c r="K91" i="95" a="1"/>
  <c r="K91" i="95" s="1"/>
  <c r="J91" i="95" a="1"/>
  <c r="J91" i="95" s="1"/>
  <c r="I91" i="95" a="1"/>
  <c r="I91" i="95" s="1"/>
  <c r="H91" i="95" a="1"/>
  <c r="H91" i="95" s="1"/>
  <c r="G91" i="95" a="1"/>
  <c r="G91" i="95" s="1"/>
  <c r="F91" i="95" a="1"/>
  <c r="F91" i="95" s="1"/>
  <c r="E91" i="95" a="1"/>
  <c r="E91" i="95" s="1"/>
  <c r="D91" i="95" a="1"/>
  <c r="D91" i="95" s="1"/>
  <c r="S90" i="95" a="1"/>
  <c r="S90" i="95" s="1"/>
  <c r="R90" i="95" a="1"/>
  <c r="R90" i="95" s="1"/>
  <c r="Q90" i="95" a="1"/>
  <c r="Q90" i="95" s="1"/>
  <c r="P90" i="95" a="1"/>
  <c r="P90" i="95" s="1"/>
  <c r="O90" i="95" a="1"/>
  <c r="O90" i="95" s="1"/>
  <c r="N90" i="95" a="1"/>
  <c r="N90" i="95" s="1"/>
  <c r="M90" i="95" a="1"/>
  <c r="M90" i="95" s="1"/>
  <c r="L90" i="95" a="1"/>
  <c r="L90" i="95" s="1"/>
  <c r="K90" i="95" a="1"/>
  <c r="K90" i="95" s="1"/>
  <c r="J90" i="95" a="1"/>
  <c r="J90" i="95" s="1"/>
  <c r="I90" i="95" a="1"/>
  <c r="I90" i="95" s="1"/>
  <c r="H90" i="95" a="1"/>
  <c r="H90" i="95" s="1"/>
  <c r="G90" i="95" a="1"/>
  <c r="G90" i="95" s="1"/>
  <c r="F90" i="95" a="1"/>
  <c r="F90" i="95" s="1"/>
  <c r="E90" i="95" a="1"/>
  <c r="E90" i="95" s="1"/>
  <c r="D90" i="95" a="1"/>
  <c r="D90" i="95" s="1"/>
  <c r="D83" i="95" a="1"/>
  <c r="D83" i="95" s="1"/>
  <c r="D82" i="95" a="1"/>
  <c r="D82" i="95" s="1"/>
  <c r="D81" i="95" a="1"/>
  <c r="D81" i="95" s="1"/>
  <c r="E77" i="95" a="1"/>
  <c r="E77" i="95" s="1"/>
  <c r="D77" i="95" a="1"/>
  <c r="D77" i="95" s="1"/>
  <c r="E76" i="95" a="1"/>
  <c r="E76" i="95" s="1"/>
  <c r="D76" i="95" a="1"/>
  <c r="D76" i="95" s="1"/>
  <c r="E75" i="95" a="1"/>
  <c r="E75" i="95" s="1"/>
  <c r="D75" i="95" a="1"/>
  <c r="D75" i="95" s="1"/>
  <c r="E74" i="95" a="1"/>
  <c r="E74" i="95" s="1"/>
  <c r="D74" i="95" a="1"/>
  <c r="D74" i="95" s="1"/>
  <c r="E73" i="95" a="1"/>
  <c r="E73" i="95" s="1"/>
  <c r="D73" i="95" a="1"/>
  <c r="D73" i="95" s="1"/>
  <c r="E72" i="95" a="1"/>
  <c r="E72" i="95" s="1"/>
  <c r="D72" i="95" a="1"/>
  <c r="D72" i="95" s="1"/>
  <c r="E71" i="95" a="1"/>
  <c r="E71" i="95" s="1"/>
  <c r="D71" i="95" a="1"/>
  <c r="D71" i="95" s="1"/>
  <c r="E70" i="95" a="1"/>
  <c r="E70" i="95" s="1"/>
  <c r="D70" i="95" a="1"/>
  <c r="D70" i="95" s="1"/>
  <c r="E69" i="95" a="1"/>
  <c r="E69" i="95" s="1"/>
  <c r="D69" i="95" a="1"/>
  <c r="D69" i="95" s="1"/>
  <c r="E68" i="95" a="1"/>
  <c r="E68" i="95" s="1"/>
  <c r="D68" i="95" a="1"/>
  <c r="D68" i="95" s="1"/>
  <c r="E67" i="95" a="1"/>
  <c r="E67" i="95" s="1"/>
  <c r="D67" i="95" a="1"/>
  <c r="D67" i="95" s="1"/>
  <c r="E66" i="95" a="1"/>
  <c r="E66" i="95" s="1"/>
  <c r="D66" i="95" a="1"/>
  <c r="D66" i="95" s="1"/>
  <c r="E65" i="95" a="1"/>
  <c r="E65" i="95" s="1"/>
  <c r="D65" i="95" a="1"/>
  <c r="D65" i="95" s="1"/>
  <c r="E64" i="95" a="1"/>
  <c r="E64" i="95" s="1"/>
  <c r="D64" i="95" a="1"/>
  <c r="D64" i="95" s="1"/>
  <c r="D59" i="95" a="1"/>
  <c r="D59" i="95" s="1"/>
  <c r="D58" i="95" a="1"/>
  <c r="D58" i="95" s="1"/>
  <c r="D57" i="95" a="1"/>
  <c r="D57" i="95" s="1"/>
  <c r="G54" i="95" a="1"/>
  <c r="G54" i="95" s="1"/>
  <c r="F54" i="95" a="1"/>
  <c r="F54" i="95" s="1"/>
  <c r="E54" i="95" a="1"/>
  <c r="E54" i="95" s="1"/>
  <c r="D54" i="95" a="1"/>
  <c r="D54" i="95" s="1"/>
  <c r="G53" i="95" a="1"/>
  <c r="G53" i="95" s="1"/>
  <c r="F53" i="95" a="1"/>
  <c r="F53" i="95" s="1"/>
  <c r="E53" i="95" a="1"/>
  <c r="E53" i="95" s="1"/>
  <c r="D53" i="95" a="1"/>
  <c r="D53" i="95" s="1"/>
  <c r="G52" i="95" a="1"/>
  <c r="G52" i="95" s="1"/>
  <c r="F52" i="95" a="1"/>
  <c r="F52" i="95" s="1"/>
  <c r="E52" i="95" a="1"/>
  <c r="E52" i="95" s="1"/>
  <c r="D52" i="95" a="1"/>
  <c r="D52" i="95" s="1"/>
  <c r="G51" i="95" a="1"/>
  <c r="G51" i="95" s="1"/>
  <c r="F51" i="95" a="1"/>
  <c r="F51" i="95" s="1"/>
  <c r="E51" i="95" a="1"/>
  <c r="E51" i="95" s="1"/>
  <c r="D51" i="95" a="1"/>
  <c r="D51" i="95" s="1"/>
  <c r="G50" i="95" a="1"/>
  <c r="G50" i="95" s="1"/>
  <c r="F50" i="95" a="1"/>
  <c r="F50" i="95" s="1"/>
  <c r="E50" i="95" a="1"/>
  <c r="E50" i="95" s="1"/>
  <c r="D50" i="95" a="1"/>
  <c r="D50" i="95" s="1"/>
  <c r="G49" i="95" a="1"/>
  <c r="G49" i="95" s="1"/>
  <c r="F49" i="95" a="1"/>
  <c r="F49" i="95" s="1"/>
  <c r="E49" i="95" a="1"/>
  <c r="E49" i="95" s="1"/>
  <c r="D49" i="95" a="1"/>
  <c r="D49" i="95" s="1"/>
  <c r="G48" i="95" a="1"/>
  <c r="G48" i="95" s="1"/>
  <c r="F48" i="95" a="1"/>
  <c r="F48" i="95" s="1"/>
  <c r="E48" i="95" a="1"/>
  <c r="E48" i="95" s="1"/>
  <c r="D48" i="95" a="1"/>
  <c r="D48" i="95" s="1"/>
  <c r="D46" i="95" a="1"/>
  <c r="D46" i="95" s="1"/>
  <c r="D45" i="95" a="1"/>
  <c r="D45" i="95" s="1"/>
  <c r="E43" i="95" a="1"/>
  <c r="E43" i="95" s="1"/>
  <c r="D43" i="95" a="1"/>
  <c r="D43" i="95" s="1"/>
  <c r="E42" i="95" a="1"/>
  <c r="E42" i="95" s="1"/>
  <c r="D42" i="95" a="1"/>
  <c r="D42" i="95" s="1"/>
  <c r="E41" i="95" a="1"/>
  <c r="E41" i="95" s="1"/>
  <c r="D41" i="95" a="1"/>
  <c r="D41" i="95" s="1"/>
  <c r="E40" i="95" a="1"/>
  <c r="E40" i="95" s="1"/>
  <c r="D40" i="95" a="1"/>
  <c r="D40" i="95" s="1"/>
  <c r="E39" i="95" a="1"/>
  <c r="E39" i="95" s="1"/>
  <c r="D39" i="95" a="1"/>
  <c r="D39" i="95" s="1"/>
  <c r="E38" i="95" a="1"/>
  <c r="E38" i="95" s="1"/>
  <c r="D38" i="95" a="1"/>
  <c r="D38" i="95" s="1"/>
  <c r="E37" i="95" a="1"/>
  <c r="E37" i="95" s="1"/>
  <c r="D37" i="95" a="1"/>
  <c r="D37" i="95" s="1"/>
  <c r="D35" i="95"/>
  <c r="D35" i="95" a="1"/>
  <c r="D34" i="95"/>
  <c r="D34" i="95" a="1"/>
  <c r="D30" i="95" a="1"/>
  <c r="D30" i="95" s="1"/>
  <c r="D29" i="95" a="1"/>
  <c r="D29" i="95" s="1"/>
  <c r="D28" i="95" a="1"/>
  <c r="D28" i="95" s="1"/>
  <c r="D27" i="95" a="1"/>
  <c r="D27" i="95" s="1"/>
  <c r="D26" i="95" a="1"/>
  <c r="D26" i="95" s="1"/>
  <c r="D25" i="95" a="1"/>
  <c r="D25" i="95" s="1"/>
  <c r="D24" i="95" a="1"/>
  <c r="D24" i="95" s="1"/>
  <c r="D23" i="95" a="1"/>
  <c r="D23" i="95" s="1"/>
  <c r="D22" i="95" a="1"/>
  <c r="D22" i="95" s="1"/>
  <c r="D21" i="95" a="1"/>
  <c r="D21" i="95" s="1"/>
  <c r="D19" i="95" a="1"/>
  <c r="D19" i="95" s="1"/>
  <c r="D18" i="95" a="1"/>
  <c r="D18" i="95" s="1"/>
  <c r="F14" i="95" a="1"/>
  <c r="F14" i="95" s="1"/>
  <c r="E14" i="95" a="1"/>
  <c r="E14" i="95" s="1"/>
  <c r="D14" i="95" a="1"/>
  <c r="D14" i="95" s="1"/>
  <c r="F13" i="95" a="1"/>
  <c r="F13" i="95" s="1"/>
  <c r="E13" i="95" a="1"/>
  <c r="E13" i="95" s="1"/>
  <c r="D13" i="95" a="1"/>
  <c r="D13" i="95" s="1"/>
  <c r="F12" i="95" a="1"/>
  <c r="F12" i="95" s="1"/>
  <c r="E12" i="95" a="1"/>
  <c r="E12" i="95" s="1"/>
  <c r="D12" i="95" a="1"/>
  <c r="D12" i="95" s="1"/>
  <c r="F11" i="95" a="1"/>
  <c r="F11" i="95" s="1"/>
  <c r="E11" i="95" a="1"/>
  <c r="E11" i="95" s="1"/>
  <c r="D11" i="95" a="1"/>
  <c r="D11" i="95" s="1"/>
  <c r="F10" i="95" a="1"/>
  <c r="F10" i="95" s="1"/>
  <c r="E10" i="95" a="1"/>
  <c r="E10" i="95" s="1"/>
  <c r="D10" i="95" a="1"/>
  <c r="D10" i="95" s="1"/>
  <c r="F9" i="95" a="1"/>
  <c r="F9" i="95" s="1"/>
  <c r="E9" i="95" a="1"/>
  <c r="E9" i="95" s="1"/>
  <c r="D9" i="95" a="1"/>
  <c r="D9" i="95" s="1"/>
  <c r="F8" i="95" a="1"/>
  <c r="F8" i="95" s="1"/>
  <c r="E8" i="95" a="1"/>
  <c r="E8" i="95" s="1"/>
  <c r="D8" i="95" a="1"/>
  <c r="D8" i="95" s="1"/>
  <c r="F7" i="95" a="1"/>
  <c r="F7" i="95" s="1"/>
  <c r="E7" i="95" a="1"/>
  <c r="E7" i="95" s="1"/>
  <c r="D7" i="95" a="1"/>
  <c r="D7" i="95" s="1"/>
  <c r="D5" i="95" a="1"/>
  <c r="D5" i="95" s="1"/>
  <c r="E162" i="69"/>
  <c r="G174" i="69" a="1"/>
  <c r="G174" i="69" s="1"/>
  <c r="D173" i="69" a="1"/>
  <c r="D173" i="69" s="1"/>
  <c r="F176" i="69" a="1"/>
  <c r="F176" i="69" s="1"/>
  <c r="E129" i="69" a="1"/>
  <c r="H50" i="95" l="1"/>
  <c r="H54" i="95"/>
  <c r="H48" i="95"/>
  <c r="H51" i="95"/>
  <c r="H52" i="95"/>
  <c r="H53" i="95"/>
  <c r="H49" i="95"/>
  <c r="E129" i="69"/>
  <c r="E148" i="69" l="1"/>
  <c r="F157" i="69"/>
  <c r="E157" i="69"/>
  <c r="D157" i="69"/>
  <c r="H136" i="69"/>
  <c r="H138" i="69"/>
  <c r="H137" i="69"/>
  <c r="F143" i="69"/>
  <c r="E143" i="69"/>
  <c r="D143" i="69"/>
  <c r="D8" i="70"/>
  <c r="D9" i="70"/>
  <c r="E134" i="69" l="1" a="1"/>
  <c r="E134" i="69" s="1"/>
  <c r="F171" i="69" s="1"/>
  <c r="E133" i="69" a="1"/>
  <c r="E133" i="69" s="1"/>
  <c r="D128" i="69" a="1"/>
  <c r="D128" i="69" s="1"/>
  <c r="D136" i="69" a="1"/>
  <c r="D136" i="69" s="1"/>
  <c r="D127" i="69" a="1"/>
  <c r="D127" i="69" s="1"/>
  <c r="D96" i="69"/>
  <c r="D95" i="69"/>
  <c r="D94" i="69"/>
  <c r="D123" i="69"/>
  <c r="D118" i="69"/>
  <c r="H110" i="69"/>
  <c r="H112" i="69"/>
  <c r="H108" i="69"/>
  <c r="D101" i="69" a="1"/>
  <c r="D101" i="69" s="1"/>
  <c r="E105" i="69" a="1"/>
  <c r="E105" i="69" s="1"/>
  <c r="E106" i="69" a="1"/>
  <c r="E106" i="69" s="1"/>
  <c r="H123" i="69" s="1"/>
  <c r="D108" i="69" a="1"/>
  <c r="D108" i="69" s="1"/>
  <c r="D100" i="69" a="1"/>
  <c r="D100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G47" i="69" a="1"/>
  <c r="G47" i="69" s="1"/>
  <c r="A11" i="70"/>
  <c r="A8" i="70"/>
  <c r="A15" i="70"/>
  <c r="D69" i="69" a="1"/>
  <c r="D69" i="69" s="1"/>
  <c r="E67" i="69" a="1"/>
  <c r="E67" i="69" s="1"/>
  <c r="I96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H57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G30" i="69" s="1"/>
  <c r="E10" i="69" a="1"/>
  <c r="E10" i="69" s="1"/>
  <c r="D6" i="69" a="1"/>
  <c r="D6" i="69" s="1"/>
  <c r="D5" i="69" a="1"/>
  <c r="D5" i="69" s="1"/>
  <c r="D89" i="69"/>
  <c r="D88" i="69"/>
  <c r="D87" i="69"/>
  <c r="E63" i="69" a="1"/>
  <c r="E102" i="69" a="1"/>
  <c r="I94" i="69" l="1"/>
  <c r="I95" i="69"/>
  <c r="E63" i="69"/>
  <c r="G75" i="69" a="1"/>
  <c r="G75" i="69" s="1"/>
  <c r="H113" i="69" a="1"/>
  <c r="H113" i="69" s="1"/>
  <c r="E102" i="69"/>
  <c r="E31" i="15" a="1"/>
  <c r="E31" i="15" s="1"/>
  <c r="E30" i="15" a="1"/>
  <c r="E30" i="15" s="1"/>
  <c r="H82" i="69"/>
  <c r="G82" i="69"/>
  <c r="F82" i="69"/>
  <c r="H81" i="69"/>
  <c r="G81" i="69"/>
  <c r="F81" i="69"/>
  <c r="H80" i="69"/>
  <c r="G80" i="69"/>
  <c r="F80" i="69"/>
  <c r="D82" i="69"/>
  <c r="D81" i="69"/>
  <c r="D80" i="69"/>
  <c r="G74" i="69"/>
  <c r="D57" i="69"/>
  <c r="G52" i="69"/>
  <c r="F52" i="69"/>
  <c r="E52" i="69"/>
  <c r="D52" i="69"/>
  <c r="D39" i="70"/>
  <c r="D27" i="70"/>
  <c r="G47" i="70"/>
  <c r="F47" i="70"/>
  <c r="E47" i="70"/>
  <c r="G44" i="70"/>
  <c r="F44" i="70"/>
  <c r="E44" i="70"/>
  <c r="G41" i="70"/>
  <c r="F41" i="70"/>
  <c r="E41" i="70"/>
  <c r="M37" i="69" a="1"/>
  <c r="M37" i="69" s="1"/>
  <c r="N37" i="69" a="1"/>
  <c r="N37" i="69" s="1"/>
  <c r="O37" i="69" a="1"/>
  <c r="O37" i="69" s="1"/>
  <c r="P37" i="69" a="1"/>
  <c r="P37" i="69" s="1"/>
  <c r="Q37" i="69" a="1"/>
  <c r="Q37" i="69" s="1"/>
  <c r="R37" i="69" a="1"/>
  <c r="R37" i="69" s="1"/>
  <c r="S37" i="69" a="1"/>
  <c r="S37" i="69" s="1"/>
  <c r="T37" i="69" a="1"/>
  <c r="T37" i="69" s="1"/>
  <c r="U37" i="69" a="1"/>
  <c r="U37" i="69" s="1"/>
  <c r="V37" i="69" a="1"/>
  <c r="V37" i="69" s="1"/>
  <c r="W37" i="69" a="1"/>
  <c r="W37" i="69" s="1"/>
  <c r="M36" i="69" a="1"/>
  <c r="M36" i="69" s="1"/>
  <c r="N36" i="69" a="1"/>
  <c r="N36" i="69" s="1"/>
  <c r="O36" i="69" a="1"/>
  <c r="O36" i="69" s="1"/>
  <c r="P36" i="69" a="1"/>
  <c r="P36" i="69" s="1"/>
  <c r="Q36" i="69" a="1"/>
  <c r="Q36" i="69" s="1"/>
  <c r="R36" i="69" a="1"/>
  <c r="R36" i="69" s="1"/>
  <c r="S36" i="69" a="1"/>
  <c r="S36" i="69" s="1"/>
  <c r="T36" i="69" a="1"/>
  <c r="T36" i="69" s="1"/>
  <c r="U36" i="69" a="1"/>
  <c r="U36" i="69" s="1"/>
  <c r="V36" i="69" a="1"/>
  <c r="V36" i="69" s="1"/>
  <c r="W36" i="69" a="1"/>
  <c r="W36" i="69" s="1"/>
  <c r="M35" i="69" a="1"/>
  <c r="M35" i="69" s="1"/>
  <c r="N35" i="69" a="1"/>
  <c r="N35" i="69" s="1"/>
  <c r="O35" i="69" a="1"/>
  <c r="O35" i="69" s="1"/>
  <c r="P35" i="69" a="1"/>
  <c r="P35" i="69" s="1"/>
  <c r="Q35" i="69" a="1"/>
  <c r="Q35" i="69" s="1"/>
  <c r="R35" i="69" a="1"/>
  <c r="R35" i="69" s="1"/>
  <c r="S35" i="69" a="1"/>
  <c r="S35" i="69" s="1"/>
  <c r="T35" i="69" a="1"/>
  <c r="T35" i="69" s="1"/>
  <c r="U35" i="69" a="1"/>
  <c r="U35" i="69" s="1"/>
  <c r="V35" i="69" a="1"/>
  <c r="V35" i="69" s="1"/>
  <c r="W35" i="69" a="1"/>
  <c r="W35" i="69" s="1"/>
  <c r="M34" i="69" a="1"/>
  <c r="M34" i="69" s="1"/>
  <c r="N34" i="69" a="1"/>
  <c r="N34" i="69" s="1"/>
  <c r="O34" i="69" a="1"/>
  <c r="O34" i="69" s="1"/>
  <c r="P34" i="69" a="1"/>
  <c r="P34" i="69" s="1"/>
  <c r="Q34" i="69" a="1"/>
  <c r="Q34" i="69" s="1"/>
  <c r="R34" i="69" a="1"/>
  <c r="R34" i="69" s="1"/>
  <c r="S34" i="69" a="1"/>
  <c r="S34" i="69" s="1"/>
  <c r="T34" i="69" a="1"/>
  <c r="T34" i="69" s="1"/>
  <c r="U34" i="69" a="1"/>
  <c r="U34" i="69" s="1"/>
  <c r="V34" i="69" a="1"/>
  <c r="V34" i="69" s="1"/>
  <c r="W34" i="69" a="1"/>
  <c r="W34" i="69" s="1"/>
  <c r="W33" i="69" a="1"/>
  <c r="W33" i="69" s="1"/>
  <c r="V33" i="69" a="1"/>
  <c r="V33" i="69" s="1"/>
  <c r="U33" i="69" a="1"/>
  <c r="U33" i="69" s="1"/>
  <c r="T33" i="69" a="1"/>
  <c r="T33" i="69" s="1"/>
  <c r="S33" i="69" a="1"/>
  <c r="S33" i="69" s="1"/>
  <c r="R33" i="69" a="1"/>
  <c r="R33" i="69" s="1"/>
  <c r="Q33" i="69" a="1"/>
  <c r="Q33" i="69" s="1"/>
  <c r="P33" i="69" a="1"/>
  <c r="P33" i="69" s="1"/>
  <c r="O33" i="69" a="1"/>
  <c r="O33" i="69" s="1"/>
  <c r="G45" i="69" s="1"/>
  <c r="N33" i="69" a="1"/>
  <c r="N33" i="69" s="1"/>
  <c r="M33" i="69" a="1"/>
  <c r="M33" i="69" s="1"/>
  <c r="M27" i="69" a="1"/>
  <c r="M27" i="69" s="1"/>
  <c r="M26" i="69" a="1"/>
  <c r="M26" i="69" s="1"/>
  <c r="M25" i="69" a="1"/>
  <c r="M25" i="69" s="1"/>
  <c r="O22" i="69" a="1"/>
  <c r="O22" i="69" s="1"/>
  <c r="N22" i="69" a="1"/>
  <c r="N22" i="69" s="1"/>
  <c r="M22" i="69" a="1"/>
  <c r="M22" i="69" s="1"/>
  <c r="M21" i="69" a="1"/>
  <c r="M21" i="69" s="1"/>
  <c r="M20" i="69" a="1"/>
  <c r="M20" i="69" s="1"/>
  <c r="G46" i="69"/>
  <c r="F25" i="69"/>
  <c r="E25" i="69"/>
  <c r="D25" i="69"/>
  <c r="F20" i="69"/>
  <c r="E20" i="69"/>
  <c r="D20" i="69"/>
  <c r="A14" i="70"/>
  <c r="A7" i="70"/>
  <c r="A4" i="70"/>
  <c r="O17" i="69" a="1"/>
  <c r="O17" i="69" s="1"/>
  <c r="N17" i="69" a="1"/>
  <c r="N17" i="69" s="1"/>
  <c r="G15" i="69" s="1"/>
  <c r="M17" i="69" a="1"/>
  <c r="M17" i="69" s="1"/>
  <c r="M16" i="69" a="1"/>
  <c r="M16" i="69" s="1"/>
  <c r="M15" i="69" a="1"/>
  <c r="M15" i="69" s="1"/>
  <c r="O12" i="69" a="1"/>
  <c r="O12" i="69" s="1"/>
  <c r="N12" i="69" a="1"/>
  <c r="N12" i="69" s="1"/>
  <c r="M12" i="69" a="1"/>
  <c r="M12" i="69" s="1"/>
  <c r="M11" i="69" a="1"/>
  <c r="M11" i="69" s="1"/>
  <c r="M10" i="69" a="1"/>
  <c r="M10" i="69" s="1"/>
  <c r="M6" i="69" a="1"/>
  <c r="M6" i="69" s="1"/>
  <c r="M7" i="69" a="1"/>
  <c r="M7" i="69" s="1"/>
  <c r="N7" i="69" a="1"/>
  <c r="N7" i="69" s="1"/>
  <c r="G69" i="69" s="1"/>
  <c r="O7" i="69" a="1"/>
  <c r="O7" i="69" s="1"/>
  <c r="M5" i="69" a="1"/>
  <c r="M5" i="69" s="1"/>
  <c r="E36" i="69" a="1"/>
  <c r="E7" i="69" a="1"/>
  <c r="D30" i="69" l="1" a="1"/>
  <c r="D30" i="69" s="1"/>
  <c r="E30" i="69" a="1"/>
  <c r="E30" i="69" s="1"/>
  <c r="F30" i="69" a="1"/>
  <c r="F30" i="69" s="1"/>
  <c r="G36" i="70"/>
  <c r="G118" i="69" s="1"/>
  <c r="E36" i="70"/>
  <c r="E118" i="69" s="1"/>
  <c r="F36" i="70"/>
  <c r="F118" i="69" s="1"/>
  <c r="G43" i="69"/>
  <c r="H109" i="69"/>
  <c r="H111" i="69"/>
  <c r="G71" i="69"/>
  <c r="D58" i="69"/>
  <c r="E36" i="69"/>
  <c r="E7" i="69"/>
  <c r="G123" i="69" l="1" a="1"/>
  <c r="G123" i="69" s="1"/>
  <c r="H152" i="69" s="1"/>
  <c r="H166" i="69" s="1" a="1"/>
  <c r="H166" i="69" s="1"/>
  <c r="F123" i="69" a="1"/>
  <c r="F123" i="69" s="1"/>
  <c r="G152" i="69" s="1"/>
  <c r="G166" i="69" s="1" a="1"/>
  <c r="G166" i="69" s="1"/>
  <c r="E123" i="69" a="1"/>
  <c r="E123" i="69" s="1"/>
  <c r="F152" i="69" s="1"/>
  <c r="F166" i="69" s="1" a="1"/>
  <c r="F166" i="69" s="1"/>
  <c r="G57" i="69" a="1"/>
  <c r="G57" i="69" s="1"/>
  <c r="H148" i="69" s="1"/>
  <c r="H162" i="69" s="1" a="1"/>
  <c r="H162" i="69" s="1"/>
  <c r="E57" i="69" a="1"/>
  <c r="E57" i="69" s="1"/>
  <c r="F148" i="69" s="1"/>
  <c r="F162" i="69" s="1" a="1"/>
  <c r="F162" i="69" s="1"/>
  <c r="F57" i="69" a="1"/>
  <c r="F57" i="69" s="1"/>
  <c r="G148" i="69" s="1"/>
  <c r="G162" i="69" s="1" a="1"/>
  <c r="G162" i="69" s="1"/>
  <c r="A11" i="43"/>
  <c r="A10" i="43"/>
  <c r="J51" i="13"/>
  <c r="J50" i="13"/>
  <c r="J49" i="13"/>
  <c r="J48" i="13"/>
  <c r="J45" i="13"/>
  <c r="J44" i="13"/>
  <c r="J43" i="13"/>
  <c r="H51" i="13"/>
  <c r="H50" i="13"/>
  <c r="H49" i="13"/>
  <c r="H48" i="13"/>
  <c r="H45" i="13"/>
  <c r="H44" i="13"/>
  <c r="H43" i="13"/>
  <c r="A39" i="43" l="1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F27" i="43" l="1" a="1"/>
  <c r="F27" i="43" s="1"/>
  <c r="E27" i="43" a="1"/>
  <c r="E27" i="43" s="1"/>
  <c r="D27" i="43" a="1"/>
  <c r="D27" i="43" s="1"/>
  <c r="F26" i="43" a="1"/>
  <c r="F26" i="43" s="1"/>
  <c r="N46" i="69" s="1"/>
  <c r="E26" i="43" a="1"/>
  <c r="E26" i="43" s="1"/>
  <c r="M46" i="69" s="1"/>
  <c r="D30" i="70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N45" i="69" s="1"/>
  <c r="E17" i="43" a="1"/>
  <c r="E17" i="43" s="1"/>
  <c r="M45" i="69" s="1"/>
  <c r="D29" i="70" s="1"/>
  <c r="D17" i="43" a="1"/>
  <c r="D17" i="43" s="1"/>
  <c r="F16" i="43" a="1"/>
  <c r="F16" i="43" s="1"/>
  <c r="N43" i="69" s="1"/>
  <c r="E16" i="43" a="1"/>
  <c r="E16" i="43" s="1"/>
  <c r="M43" i="69" s="1"/>
  <c r="D16" i="43" a="1"/>
  <c r="D16" i="43" s="1"/>
  <c r="F15" i="43" a="1"/>
  <c r="F15" i="43" s="1"/>
  <c r="N44" i="69" s="1"/>
  <c r="E15" i="43" a="1"/>
  <c r="E15" i="43" s="1"/>
  <c r="M44" i="69" s="1"/>
  <c r="D28" i="70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N47" i="69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96" i="69" l="1"/>
  <c r="E151" i="69"/>
  <c r="E165" i="69"/>
  <c r="E94" i="69"/>
  <c r="E163" i="69"/>
  <c r="E149" i="69"/>
  <c r="E95" i="69"/>
  <c r="E164" i="69"/>
  <c r="E150" i="69"/>
  <c r="E87" i="69"/>
  <c r="F87" i="69" s="1" a="1"/>
  <c r="F87" i="69" s="1"/>
  <c r="E80" i="69"/>
  <c r="D40" i="70"/>
  <c r="D41" i="70"/>
  <c r="D46" i="70"/>
  <c r="E39" i="70"/>
  <c r="D47" i="70"/>
  <c r="G31" i="70"/>
  <c r="E82" i="69"/>
  <c r="F31" i="70"/>
  <c r="E27" i="70"/>
  <c r="E89" i="69"/>
  <c r="F89" i="69" s="1" a="1"/>
  <c r="F89" i="69" s="1"/>
  <c r="E31" i="70"/>
  <c r="M47" i="69"/>
  <c r="D36" i="70" s="1"/>
  <c r="E88" i="69"/>
  <c r="F88" i="69" s="1" a="1"/>
  <c r="F88" i="69" s="1"/>
  <c r="E81" i="69"/>
  <c r="D44" i="70"/>
  <c r="D43" i="70"/>
  <c r="E33" i="15" a="1"/>
  <c r="E33" i="15" s="1"/>
  <c r="E166" i="69" l="1"/>
  <c r="E152" i="69"/>
  <c r="H94" i="69" a="1"/>
  <c r="H94" i="69" s="1"/>
  <c r="H149" i="69" s="1"/>
  <c r="H163" i="69" s="1" a="1"/>
  <c r="H163" i="69" s="1"/>
  <c r="G94" i="69" a="1"/>
  <c r="G94" i="69" s="1"/>
  <c r="G149" i="69" s="1"/>
  <c r="G163" i="69" s="1" a="1"/>
  <c r="G163" i="69" s="1"/>
  <c r="F94" i="69" a="1"/>
  <c r="F94" i="69" s="1"/>
  <c r="F149" i="69" s="1"/>
  <c r="F163" i="69" s="1" a="1"/>
  <c r="F163" i="69" s="1"/>
  <c r="E171" i="69" s="1"/>
  <c r="G173" i="69" s="1"/>
  <c r="E176" i="69" s="1" a="1"/>
  <c r="E176" i="69" s="1"/>
  <c r="H95" i="69" a="1"/>
  <c r="H95" i="69" s="1"/>
  <c r="H150" i="69" s="1"/>
  <c r="H164" i="69" s="1" a="1"/>
  <c r="H164" i="69" s="1"/>
  <c r="G95" i="69" a="1"/>
  <c r="G95" i="69" s="1"/>
  <c r="G150" i="69" s="1"/>
  <c r="G164" i="69" s="1" a="1"/>
  <c r="G164" i="69" s="1"/>
  <c r="F95" i="69" a="1"/>
  <c r="F95" i="69" s="1"/>
  <c r="F150" i="69" s="1"/>
  <c r="F164" i="69" s="1" a="1"/>
  <c r="F164" i="69" s="1"/>
  <c r="F96" i="69" a="1"/>
  <c r="F96" i="69" s="1"/>
  <c r="F151" i="69" s="1"/>
  <c r="F165" i="69" s="1" a="1"/>
  <c r="F165" i="69" s="1"/>
  <c r="H96" i="69" a="1"/>
  <c r="H96" i="69" s="1"/>
  <c r="H151" i="69" s="1"/>
  <c r="H165" i="69" s="1" a="1"/>
  <c r="H165" i="69" s="1"/>
  <c r="G96" i="69" a="1"/>
  <c r="G96" i="69" s="1"/>
  <c r="G151" i="69" s="1"/>
  <c r="G165" i="69" s="1" a="1"/>
  <c r="G165" i="69" s="1"/>
  <c r="I38" i="13"/>
  <c r="G38" i="13" l="1"/>
  <c r="E29" i="15" l="1"/>
  <c r="E32" i="15" s="1" a="1"/>
  <c r="E32" i="15" s="1"/>
  <c r="E47" i="13" l="1"/>
  <c r="H47" i="13" l="1"/>
  <c r="J47" i="13"/>
  <c r="E70" i="13" l="1"/>
  <c r="E62" i="13"/>
  <c r="E71" i="13" l="1"/>
  <c r="E42" i="13"/>
  <c r="E39" i="13"/>
  <c r="E52" i="13"/>
  <c r="H52" i="13" l="1"/>
  <c r="J52" i="13"/>
  <c r="J39" i="13"/>
  <c r="H39" i="13"/>
  <c r="H42" i="13"/>
  <c r="J42" i="13"/>
  <c r="E40" i="13" l="1"/>
  <c r="J40" i="13" l="1"/>
  <c r="H40" i="13"/>
  <c r="E46" i="13"/>
  <c r="H46" i="13" l="1"/>
  <c r="J46" i="13"/>
  <c r="E13" i="15" l="1"/>
  <c r="E11" i="13" l="1"/>
  <c r="E33" i="13" l="1"/>
  <c r="E32" i="13"/>
  <c r="E28" i="13"/>
  <c r="E27" i="13"/>
  <c r="E23" i="13"/>
  <c r="E22" i="13"/>
  <c r="C1" i="13"/>
  <c r="E41" i="13" l="1"/>
  <c r="J41" i="13" l="1"/>
  <c r="J53" i="13" s="1"/>
  <c r="H41" i="13"/>
  <c r="H53" i="13" s="1"/>
  <c r="E5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<sst xmlns="http://schemas.openxmlformats.org/spreadsheetml/2006/main" count="398" uniqueCount="244">
  <si>
    <t>Home</t>
  </si>
  <si>
    <t>N2O MMS</t>
  </si>
  <si>
    <t>Sources &amp; acknowledgements</t>
  </si>
  <si>
    <t>INPUTS</t>
  </si>
  <si>
    <t>APPENDICES</t>
  </si>
  <si>
    <t>Scope 1</t>
  </si>
  <si>
    <t>CO2 : Fuel</t>
  </si>
  <si>
    <t>Total scope 1 emissions</t>
  </si>
  <si>
    <t>Scope 2</t>
  </si>
  <si>
    <t>Total scope 2 emissions</t>
  </si>
  <si>
    <t>Scope 3</t>
  </si>
  <si>
    <t>Total scope 3 emissions</t>
  </si>
  <si>
    <r>
      <t>Sequestered CO</t>
    </r>
    <r>
      <rPr>
        <b/>
        <vertAlign val="subscript"/>
        <sz val="16"/>
        <color theme="0"/>
        <rFont val="Times New Roman"/>
        <family val="1"/>
      </rPr>
      <t>2</t>
    </r>
  </si>
  <si>
    <t>Net emissions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</si>
  <si>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grains</t>
    </r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</si>
  <si>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farm</t>
    </r>
  </si>
  <si>
    <t>Grains emissions intensity : Including sequestration</t>
  </si>
  <si>
    <t>Grains emissions intensity : Excluding sequestration</t>
  </si>
  <si>
    <t>Fodder emissions intensity : Excluding sequestration</t>
  </si>
  <si>
    <t>Fodder emissions intensity : Including sequestration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</si>
  <si>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</t>
    </r>
  </si>
  <si>
    <t>Sequestration</t>
  </si>
  <si>
    <t>Net farm emissions</t>
  </si>
  <si>
    <t>Plantings</t>
  </si>
  <si>
    <t>CO2 - Fuel</t>
  </si>
  <si>
    <t>CO2 - Lime</t>
  </si>
  <si>
    <t>CO2 - Urea</t>
  </si>
  <si>
    <t>CH4 - Fuel</t>
  </si>
  <si>
    <t>CH4 - Enteric</t>
  </si>
  <si>
    <t>CH4 - Manure Management</t>
  </si>
  <si>
    <t>CH4 - Savannah Burning</t>
  </si>
  <si>
    <t>N2O - Urine and Dung</t>
  </si>
  <si>
    <t>N2O - Atmospheric Deposition</t>
  </si>
  <si>
    <t>N2O - Leaching and Runoff</t>
  </si>
  <si>
    <t xml:space="preserve">N2O - Savannah Burning </t>
  </si>
  <si>
    <t xml:space="preserve">N2O - Fuel </t>
  </si>
  <si>
    <t>Fertiliser</t>
  </si>
  <si>
    <t>Purchased mineral supplementation</t>
  </si>
  <si>
    <t>Purchased feed</t>
  </si>
  <si>
    <t>Herbicides/pesticides</t>
  </si>
  <si>
    <t xml:space="preserve">Electricity </t>
  </si>
  <si>
    <t>Fuel</t>
  </si>
  <si>
    <t>Lime</t>
  </si>
  <si>
    <t>Purchased livestock</t>
  </si>
  <si>
    <t>percent</t>
  </si>
  <si>
    <t>Grains emissions intensity</t>
  </si>
  <si>
    <t>Fodder emissions intensity</t>
  </si>
  <si>
    <t>Grains allocation</t>
  </si>
  <si>
    <t>Fodder allocation</t>
  </si>
  <si>
    <t>Emissions breakdown</t>
  </si>
  <si>
    <t>CH4 : Methane</t>
  </si>
  <si>
    <t>Scope 1 greenhouse gas breakdown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</si>
  <si>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fodder</t>
    </r>
  </si>
  <si>
    <r>
      <t>Total scope sequestered CO</t>
    </r>
    <r>
      <rPr>
        <b/>
        <vertAlign val="subscript"/>
        <sz val="14"/>
        <color theme="1"/>
        <rFont val="Times New Roman"/>
        <family val="1"/>
        <scheme val="minor"/>
      </rPr>
      <t>2</t>
    </r>
    <r>
      <rPr>
        <b/>
        <sz val="14"/>
        <color theme="1"/>
        <rFont val="Times New Roman"/>
        <family val="1"/>
        <scheme val="minor"/>
      </rPr>
      <t xml:space="preserve"> emissions</t>
    </r>
  </si>
  <si>
    <t>CO2 : Carbon dioxide</t>
  </si>
  <si>
    <t>N2O : Nitrous oxide</t>
  </si>
  <si>
    <t>Emissions overview</t>
  </si>
  <si>
    <t>Allocation method: Mass</t>
  </si>
  <si>
    <t>Residual product X allocation</t>
  </si>
  <si>
    <t>N/A</t>
  </si>
  <si>
    <t>Grains yield</t>
  </si>
  <si>
    <t>tonnes</t>
  </si>
  <si>
    <t>Fodder yield</t>
  </si>
  <si>
    <t>Residual product X emissions intensity : Excluding sequestration</t>
  </si>
  <si>
    <t>Residual product X yield / amount produced</t>
  </si>
  <si>
    <t>Residual product X emissions intensity : Including sequestration</t>
  </si>
  <si>
    <t>Allocation of net emissions between primary product, co-products and residual products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</si>
  <si>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</si>
  <si>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</si>
  <si>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</si>
  <si>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</si>
  <si>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</si>
  <si>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</si>
  <si>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</si>
  <si>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</si>
  <si>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</si>
  <si>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</si>
  <si>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</si>
  <si>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</si>
  <si>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</si>
  <si>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Notes</t>
  </si>
  <si>
    <t>Residual product X emissions intensity (only the processing of the residual product)</t>
  </si>
  <si>
    <r>
      <t xml:space="preserve">For production timeframes that touch multiple years, use the </t>
    </r>
    <r>
      <rPr>
        <b/>
        <sz val="11"/>
        <color rgb="FFFF0000"/>
        <rFont val="Times New Roman"/>
        <family val="1"/>
        <scheme val="minor"/>
      </rPr>
      <t>emissions intensity</t>
    </r>
    <r>
      <rPr>
        <sz val="11"/>
        <color rgb="FFFF0000"/>
        <rFont val="Times New Roman"/>
        <family val="1"/>
        <scheme val="minor"/>
      </rPr>
      <t xml:space="preserve"> tool</t>
    </r>
  </si>
  <si>
    <t>Dry matter digestibility</t>
  </si>
  <si>
    <t>Percent</t>
  </si>
  <si>
    <t>Emissions intensity - IF THIS YEAR IS FULL PRODUCTION CYCLE</t>
  </si>
  <si>
    <t>Unit</t>
  </si>
  <si>
    <t>Manure management system</t>
  </si>
  <si>
    <t>Equations</t>
  </si>
  <si>
    <t>Source data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</si>
  <si>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</si>
  <si>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</si>
  <si>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</si>
  <si>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</si>
  <si>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</si>
  <si>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</si>
  <si>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</si>
  <si>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</si>
  <si>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</si>
  <si>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</si>
  <si>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</si>
  <si>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</si>
  <si>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</si>
  <si>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</si>
  <si>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</si>
  <si>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N2O - Fertiliser - inorganic</t>
  </si>
  <si>
    <t>N2O - Fertiliser - organic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</si>
  <si>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</si>
  <si>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</si>
  <si>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</si>
  <si>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</si>
  <si>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</si>
  <si>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</si>
  <si>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</si>
  <si>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</si>
  <si>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</si>
  <si>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</si>
  <si>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</si>
  <si>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</si>
  <si>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</si>
  <si>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</si>
  <si>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</si>
  <si>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</si>
  <si>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</si>
  <si>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</si>
  <si>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</si>
  <si>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</si>
  <si>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</si>
  <si>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</si>
  <si>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</si>
  <si>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</si>
  <si>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</si>
  <si>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</si>
  <si>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</si>
  <si>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</si>
  <si>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</si>
  <si>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</si>
  <si>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</si>
  <si>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</si>
  <si>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</si>
  <si>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</si>
  <si>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</si>
  <si>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</si>
  <si>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</si>
  <si>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</si>
  <si>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</si>
  <si>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</si>
  <si>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</si>
  <si>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</si>
  <si>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</si>
  <si>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</si>
  <si>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</si>
  <si>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</si>
  <si>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</si>
  <si>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</si>
  <si>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</si>
  <si>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</si>
  <si>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</si>
  <si>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</si>
  <si>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</si>
  <si>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</si>
  <si>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</si>
  <si>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</si>
  <si>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</si>
  <si>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</si>
  <si>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</si>
  <si>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</si>
  <si>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Most fuel used at harvest</t>
  </si>
  <si>
    <t>Applied lime before planting</t>
  </si>
  <si>
    <t>Urea at start</t>
  </si>
  <si>
    <t>Cows all the way through</t>
  </si>
  <si>
    <t>burned at end</t>
  </si>
  <si>
    <t>3 fert applications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</si>
  <si>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</si>
  <si>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</si>
  <si>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</si>
  <si>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</si>
  <si>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Total (must equal 100%)</t>
  </si>
  <si>
    <t>Fraction</t>
  </si>
  <si>
    <t>Table_VS_j</t>
  </si>
  <si>
    <t>Table_MCF_i_m</t>
  </si>
  <si>
    <t>Drylot (feed pad)</t>
  </si>
  <si>
    <t>Production system 1: Post-treatment destinations</t>
  </si>
  <si>
    <t>Stage 2 MMS</t>
  </si>
  <si>
    <t>Intake</t>
  </si>
  <si>
    <t>Dry matter intake</t>
  </si>
  <si>
    <t>kg DM/head/day</t>
  </si>
  <si>
    <t>Volatile solid production</t>
  </si>
  <si>
    <t>No MMS</t>
  </si>
  <si>
    <t>MMS m</t>
  </si>
  <si>
    <t>Stage 1 MMS</t>
  </si>
  <si>
    <t>Table_I_j</t>
  </si>
  <si>
    <t>Input - MMS - Feedlot</t>
  </si>
  <si>
    <t>Domestic (70-80 days)</t>
  </si>
  <si>
    <t>Export mid fed (80-200 days)</t>
  </si>
  <si>
    <t>Export long fed (200+ days)</t>
  </si>
  <si>
    <t>kg dry matter / head  day</t>
  </si>
  <si>
    <t>Table_DMD_j</t>
  </si>
  <si>
    <t>Fraction of manure in primary system drylot</t>
  </si>
  <si>
    <t>Treatment stage T</t>
  </si>
  <si>
    <t>Table_MMS_m-5_T-1</t>
  </si>
  <si>
    <t>Manure management systems</t>
  </si>
  <si>
    <t>Table_M_j_m-5_T-1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</si>
  <si>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</si>
  <si>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</si>
  <si>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</si>
  <si>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</si>
  <si>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</si>
  <si>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</si>
  <si>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</si>
  <si>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</si>
  <si>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Fraction of manure sent to tertiary MMS</t>
  </si>
  <si>
    <t>Table_M_j_m-1_T-3</t>
  </si>
  <si>
    <t>Production of methane stage 1 MMS</t>
  </si>
  <si>
    <t>Table_M_j_m_T-2</t>
  </si>
  <si>
    <t>Production of methane in stage 2 MMS</t>
  </si>
  <si>
    <t>Production of methane in stage 3 MMS</t>
  </si>
  <si>
    <t>Calculations - Manure management - Methane - Feedlot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</si>
  <si>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</si>
  <si>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</si>
  <si>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</si>
  <si>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</si>
  <si>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</si>
  <si>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</si>
  <si>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</si>
  <si>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Table_M_j_m_T</t>
  </si>
  <si>
    <t>Table_N_j</t>
  </si>
  <si>
    <t>Number of head in each group</t>
  </si>
  <si>
    <t>Methane production for all livestock groups, MMS and treatment stages</t>
  </si>
  <si>
    <t>Head</t>
  </si>
  <si>
    <t>Stage</t>
  </si>
  <si>
    <t>kg CH4/head/day</t>
  </si>
  <si>
    <t>ECH4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</si>
  <si>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</si>
  <si>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</si>
  <si>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</si>
  <si>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Production system j</t>
  </si>
  <si>
    <t>EFN2O</t>
  </si>
  <si>
    <t>Production system only</t>
  </si>
  <si>
    <t>Irrigation method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</si>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</sst>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b/>
      <vertAlign val="subscript"/>
      <sz val="16"/>
      <color theme="0"/>
      <name val="Times New Roman"/>
      <family val="1"/>
    </font>
    <font>
      <i/>
      <vertAlign val="subscript"/>
      <sz val="12"/>
      <color theme="1" tint="0.34998626667073579"/>
      <name val="Times New Roman"/>
      <family val="1"/>
    </font>
    <font>
      <b/>
      <vertAlign val="subscript"/>
      <sz val="14"/>
      <color theme="1"/>
      <name val="Times New Roman"/>
      <family val="1"/>
      <scheme val="minor"/>
    </font>
    <font>
      <i/>
      <sz val="12"/>
      <color theme="4" tint="-0.249977111117893"/>
      <name val="Times New Roman"/>
      <family val="1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color rgb="FFFF0000"/>
      <name val="Times New Roman"/>
      <family val="1"/>
      <scheme val="minor"/>
    </font>
    <font>
      <b/>
      <sz val="11"/>
      <color rgb="FFFF0000"/>
      <name val="Times New Roman"/>
      <family val="1"/>
      <scheme val="minor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4763"/>
        <bgColor indexed="64"/>
      </patternFill>
    </fill>
    <fill>
      <patternFill patternType="solid">
        <fgColor rgb="FFC44340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2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44" fillId="4" borderId="0">
      <alignment horizontal="left" vertical="center"/>
    </xf>
    <xf numFmtId="0" fontId="51" fillId="4" borderId="0">
      <alignment vertical="center"/>
    </xf>
    <xf numFmtId="0" fontId="3" fillId="4" borderId="0">
      <alignment horizontal="left" vertical="center"/>
    </xf>
    <xf numFmtId="0" fontId="47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6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54" fillId="17" borderId="9">
      <alignment horizontal="left" vertical="center"/>
    </xf>
    <xf numFmtId="43" fontId="10" fillId="0" borderId="0" applyFont="0" applyFill="0" applyBorder="0" applyAlignment="0" applyProtection="0"/>
    <xf numFmtId="3" fontId="39" fillId="4" borderId="2">
      <alignment horizontal="center" vertical="center"/>
    </xf>
    <xf numFmtId="168" fontId="2" fillId="0" borderId="2">
      <alignment horizontal="center" vertical="center"/>
    </xf>
    <xf numFmtId="0" fontId="40" fillId="0" borderId="0"/>
    <xf numFmtId="0" fontId="10" fillId="0" borderId="0"/>
    <xf numFmtId="0" fontId="40" fillId="0" borderId="0"/>
    <xf numFmtId="166" fontId="39" fillId="4" borderId="2">
      <alignment horizontal="center" vertical="center"/>
    </xf>
    <xf numFmtId="4" fontId="39" fillId="4" borderId="2">
      <alignment horizontal="center" vertical="center"/>
    </xf>
    <xf numFmtId="0" fontId="46" fillId="4" borderId="0">
      <alignment horizontal="left" vertical="center"/>
    </xf>
    <xf numFmtId="0" fontId="45" fillId="4" borderId="0" applyNumberFormat="0">
      <alignment horizontal="center" vertical="center"/>
    </xf>
    <xf numFmtId="165" fontId="39" fillId="4" borderId="2">
      <alignment horizontal="center" vertical="center"/>
    </xf>
    <xf numFmtId="0" fontId="38" fillId="4" borderId="0">
      <alignment horizontal="left" vertical="center"/>
    </xf>
    <xf numFmtId="169" fontId="39" fillId="4" borderId="2">
      <alignment horizontal="center" vertical="center"/>
    </xf>
    <xf numFmtId="0" fontId="39" fillId="4" borderId="2">
      <alignment horizontal="center" vertical="center"/>
    </xf>
    <xf numFmtId="0" fontId="6" fillId="4" borderId="0">
      <alignment horizontal="left" vertical="center"/>
    </xf>
    <xf numFmtId="0" fontId="50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7" fillId="4" borderId="0">
      <alignment horizontal="left" vertical="center"/>
    </xf>
    <xf numFmtId="0" fontId="58" fillId="4" borderId="0">
      <alignment horizontal="left" vertical="center"/>
    </xf>
  </cellStyleXfs>
  <cellXfs count="143">
    <xf numFmtId="0" fontId="0" fillId="0" borderId="0" xfId="0"/>
    <xf numFmtId="0" fontId="47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51" fillId="4" borderId="0" xfId="6">
      <alignment vertical="center"/>
    </xf>
    <xf numFmtId="0" fontId="44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0" fillId="8" borderId="0" xfId="0" applyFill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54" fillId="17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6" fillId="4" borderId="1" xfId="12" applyBorder="1" applyAlignment="1">
      <alignment horizontal="left" indent="1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 applyAlignment="1">
      <alignment vertical="center"/>
    </xf>
    <xf numFmtId="0" fontId="17" fillId="12" borderId="0" xfId="4" applyFill="1">
      <alignment vertical="center"/>
    </xf>
    <xf numFmtId="0" fontId="0" fillId="12" borderId="0" xfId="0" applyFill="1"/>
    <xf numFmtId="2" fontId="0" fillId="12" borderId="0" xfId="0" applyNumberFormat="1" applyFill="1" applyAlignment="1">
      <alignment vertical="center"/>
    </xf>
    <xf numFmtId="0" fontId="17" fillId="13" borderId="0" xfId="4" applyFill="1">
      <alignment vertical="center"/>
    </xf>
    <xf numFmtId="0" fontId="0" fillId="13" borderId="0" xfId="0" applyFill="1"/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14" borderId="0" xfId="0" applyFill="1"/>
    <xf numFmtId="0" fontId="17" fillId="14" borderId="0" xfId="4" applyFill="1">
      <alignment vertical="center"/>
    </xf>
    <xf numFmtId="0" fontId="17" fillId="8" borderId="0" xfId="4" applyFill="1">
      <alignment vertical="center"/>
    </xf>
    <xf numFmtId="0" fontId="32" fillId="4" borderId="1" xfId="0" applyFont="1" applyFill="1" applyBorder="1"/>
    <xf numFmtId="0" fontId="47" fillId="4" borderId="0" xfId="8" applyAlignment="1">
      <alignment horizontal="right" vertical="center"/>
    </xf>
    <xf numFmtId="0" fontId="3" fillId="4" borderId="6" xfId="7" applyBorder="1">
      <alignment horizontal="left" vertical="center"/>
    </xf>
    <xf numFmtId="0" fontId="17" fillId="15" borderId="0" xfId="4" applyFill="1">
      <alignment vertical="center"/>
    </xf>
    <xf numFmtId="0" fontId="36" fillId="11" borderId="0" xfId="6" applyFont="1" applyFill="1">
      <alignment vertical="center"/>
    </xf>
    <xf numFmtId="2" fontId="0" fillId="11" borderId="0" xfId="0" applyNumberFormat="1" applyFill="1" applyAlignment="1">
      <alignment vertical="center"/>
    </xf>
    <xf numFmtId="0" fontId="6" fillId="11" borderId="0" xfId="12" applyFill="1">
      <alignment horizontal="left" vertical="center" indent="1"/>
    </xf>
    <xf numFmtId="0" fontId="3" fillId="11" borderId="6" xfId="7" applyFill="1" applyBorder="1">
      <alignment horizontal="left" vertical="center"/>
    </xf>
    <xf numFmtId="0" fontId="0" fillId="11" borderId="6" xfId="0" applyFill="1" applyBorder="1"/>
    <xf numFmtId="0" fontId="47" fillId="11" borderId="0" xfId="8" applyFill="1">
      <alignment horizontal="left" vertical="center"/>
    </xf>
    <xf numFmtId="0" fontId="0" fillId="11" borderId="0" xfId="0" applyFill="1"/>
    <xf numFmtId="0" fontId="3" fillId="4" borderId="0" xfId="8" applyFont="1" applyAlignment="1">
      <alignment horizontal="right" vertical="center"/>
    </xf>
    <xf numFmtId="0" fontId="0" fillId="11" borderId="0" xfId="0" applyFill="1" applyAlignment="1">
      <alignment horizontal="right" vertical="center"/>
    </xf>
    <xf numFmtId="9" fontId="2" fillId="11" borderId="0" xfId="14" applyFont="1" applyFill="1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6" borderId="2" xfId="16">
      <alignment horizontal="center" vertical="center"/>
    </xf>
    <xf numFmtId="0" fontId="44" fillId="0" borderId="0" xfId="5" applyFill="1">
      <alignment horizontal="left" vertical="center"/>
    </xf>
    <xf numFmtId="0" fontId="51" fillId="0" borderId="0" xfId="6" applyFill="1">
      <alignment vertical="center"/>
    </xf>
    <xf numFmtId="0" fontId="47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41" fillId="0" borderId="0" xfId="0" applyFont="1"/>
    <xf numFmtId="0" fontId="47" fillId="4" borderId="1" xfId="8" applyBorder="1">
      <alignment horizontal="left" vertical="center"/>
    </xf>
    <xf numFmtId="0" fontId="42" fillId="4" borderId="0" xfId="0" applyFont="1" applyFill="1"/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46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9" fillId="4" borderId="2" xfId="55">
      <alignment horizontal="center" vertical="center"/>
    </xf>
    <xf numFmtId="0" fontId="49" fillId="4" borderId="0" xfId="8" applyFont="1">
      <alignment horizontal="left" vertical="center"/>
    </xf>
    <xf numFmtId="0" fontId="6" fillId="4" borderId="0" xfId="56">
      <alignment horizontal="left" vertical="center"/>
    </xf>
    <xf numFmtId="0" fontId="50" fillId="4" borderId="0" xfId="57">
      <alignment horizontal="left" vertical="center"/>
    </xf>
    <xf numFmtId="0" fontId="10" fillId="0" borderId="0" xfId="58"/>
    <xf numFmtId="0" fontId="39" fillId="4" borderId="2" xfId="55" applyAlignment="1">
      <alignment horizontal="left" vertical="center"/>
    </xf>
    <xf numFmtId="0" fontId="39" fillId="4" borderId="8" xfId="55" applyBorder="1" applyAlignment="1">
      <alignment horizontal="left" vertical="center"/>
    </xf>
    <xf numFmtId="0" fontId="39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53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9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7" fillId="4" borderId="0" xfId="0" applyFont="1" applyFill="1"/>
    <xf numFmtId="0" fontId="54" fillId="17" borderId="11" xfId="41" applyBorder="1">
      <alignment horizontal="left" vertical="center"/>
    </xf>
    <xf numFmtId="0" fontId="54" fillId="17" borderId="13" xfId="41" applyBorder="1">
      <alignment horizontal="left" vertical="center"/>
    </xf>
    <xf numFmtId="0" fontId="54" fillId="17" borderId="15" xfId="41" applyBorder="1">
      <alignment horizontal="left" vertical="center"/>
    </xf>
    <xf numFmtId="0" fontId="54" fillId="17" borderId="14" xfId="41" applyBorder="1">
      <alignment horizontal="left" vertical="center"/>
    </xf>
    <xf numFmtId="0" fontId="54" fillId="17" borderId="16" xfId="41" applyBorder="1">
      <alignment horizontal="left" vertical="center"/>
    </xf>
    <xf numFmtId="0" fontId="54" fillId="17" borderId="18" xfId="41" applyBorder="1">
      <alignment horizontal="left" vertical="center"/>
    </xf>
    <xf numFmtId="0" fontId="54" fillId="17" borderId="12" xfId="41" applyBorder="1">
      <alignment horizontal="left" vertical="center"/>
    </xf>
    <xf numFmtId="0" fontId="54" fillId="17" borderId="17" xfId="41" applyBorder="1">
      <alignment horizontal="left" vertical="center"/>
    </xf>
    <xf numFmtId="0" fontId="54" fillId="17" borderId="19" xfId="41" applyBorder="1">
      <alignment horizontal="left" vertical="center"/>
    </xf>
    <xf numFmtId="0" fontId="55" fillId="17" borderId="10" xfId="41" applyFont="1" applyBorder="1">
      <alignment horizontal="left" vertical="center"/>
    </xf>
    <xf numFmtId="0" fontId="52" fillId="6" borderId="0" xfId="30" applyFont="1" applyProtection="1">
      <alignment horizontal="center" vertical="center"/>
    </xf>
    <xf numFmtId="0" fontId="56" fillId="14" borderId="0" xfId="4" applyFont="1" applyFill="1">
      <alignment vertical="center"/>
    </xf>
    <xf numFmtId="9" fontId="39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8" fillId="4" borderId="0" xfId="61">
      <alignment horizontal="left" vertical="center"/>
    </xf>
    <xf numFmtId="0" fontId="57" fillId="4" borderId="0" xfId="60">
      <alignment horizontal="left" vertical="center"/>
    </xf>
    <xf numFmtId="0" fontId="59" fillId="4" borderId="0" xfId="57" applyFont="1">
      <alignment horizontal="left" vertical="center"/>
    </xf>
    <xf numFmtId="0" fontId="22" fillId="15" borderId="0" xfId="38" applyFill="1">
      <alignment horizontal="left" vertical="center" indent="1"/>
    </xf>
    <xf numFmtId="0" fontId="39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9" fillId="4" borderId="2" xfId="55" applyNumberFormat="1">
      <alignment horizontal="center" vertical="center"/>
    </xf>
    <xf numFmtId="0" fontId="60" fillId="4" borderId="1" xfId="8" applyFont="1" applyBorder="1">
      <alignment horizontal="left" vertical="center"/>
    </xf>
    <xf numFmtId="0" fontId="61" fillId="4" borderId="1" xfId="8" applyFont="1" applyBorder="1">
      <alignment horizontal="left" vertical="center"/>
    </xf>
    <xf numFmtId="0" fontId="62" fillId="4" borderId="1" xfId="56" applyFont="1" applyBorder="1">
      <alignment horizontal="left" vertical="center"/>
    </xf>
    <xf numFmtId="0" fontId="39" fillId="4" borderId="20" xfId="55" applyBorder="1">
      <alignment horizontal="center" vertical="center"/>
    </xf>
    <xf numFmtId="0" fontId="6" fillId="4" borderId="1" xfId="56" applyBorder="1">
      <alignment horizontal="left" vertical="center"/>
    </xf>
  </cellXfs>
  <cellStyles count="62"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  <tableStyleElement type="secondRowStripe" dxfId="34"/>
    </tableStyle>
    <tableStyle name="Equation table" pivot="0" count="6" xr9:uid="{B247698E-E41D-4CCD-AA0A-C14817E9DE65}">
      <tableStyleElement type="wholeTable" dxfId="33"/>
      <tableStyleElement type="headerRow" dxfId="32"/>
      <tableStyleElement type="totalRow" dxfId="31"/>
      <tableStyleElement type="firstColumn" dxfId="30"/>
      <tableStyleElement type="firstRowStripe" dxfId="29"/>
      <tableStyleElement type="secondRowStripe" dxfId="2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6319621022384"/>
          <c:y val="0.15050929286470213"/>
          <c:w val="0.89242065469880916"/>
          <c:h val="0.8072736943124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47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A-4896-ABD0-4837ACDC677E}"/>
              </c:ext>
            </c:extLst>
          </c:dPt>
          <c:dPt>
            <c:idx val="1"/>
            <c:invertIfNegative val="0"/>
            <c:bubble3D val="0"/>
            <c:spPr>
              <a:solidFill>
                <a:srgbClr val="8947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A-4896-ABD0-4837ACDC677E}"/>
              </c:ext>
            </c:extLst>
          </c:dPt>
          <c:dPt>
            <c:idx val="2"/>
            <c:invertIfNegative val="0"/>
            <c:bubble3D val="0"/>
            <c:spPr>
              <a:solidFill>
                <a:srgbClr val="C443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7A-4896-ABD0-4837ACDC677E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A-4896-ABD0-4837ACDC67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A-4896-ABD0-4837ACDC677E}"/>
              </c:ext>
            </c:extLst>
          </c:dPt>
          <c:dLbls>
            <c:delete val="1"/>
          </c:dLbls>
          <c:cat>
            <c:strRef>
              <c:f>Results!$D$7:$D$11</c:f>
              <c:strCache>
                <c:ptCount val="5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  <c:pt idx="3">
                  <c:v>Sequestration</c:v>
                </c:pt>
                <c:pt idx="4">
                  <c:v>Net farm emissions</c:v>
                </c:pt>
              </c:strCache>
            </c:strRef>
          </c:cat>
          <c:val>
            <c:numRef>
              <c:f>Results!$E$7:$E$11</c:f>
              <c:numCache>
                <c:formatCode>General</c:formatCode>
                <c:ptCount val="5"/>
                <c:pt idx="0">
                  <c:v>123</c:v>
                </c:pt>
                <c:pt idx="1">
                  <c:v>20</c:v>
                </c:pt>
                <c:pt idx="2">
                  <c:v>300</c:v>
                </c:pt>
                <c:pt idx="3">
                  <c:v>-10</c:v>
                </c:pt>
                <c:pt idx="4" formatCode="0.00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896-ABD0-4837ACDC67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47233007"/>
        <c:axId val="1247233487"/>
      </c:barChart>
      <c:catAx>
        <c:axId val="1247233007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sq" cmpd="dbl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487"/>
        <c:crosses val="autoZero"/>
        <c:auto val="1"/>
        <c:lblAlgn val="ctr"/>
        <c:lblOffset val="100"/>
        <c:noMultiLvlLbl val="0"/>
      </c:catAx>
      <c:valAx>
        <c:axId val="1247233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007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7-4C2A-B35C-A4A95399D1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7-4C2A-B35C-A4A95399D1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A7-4C2A-B35C-A4A95399D1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A7-4C2A-B35C-A4A95399D1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A7-4C2A-B35C-A4A95399D1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A7-4C2A-B35C-A4A95399D1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A7-4C2A-B35C-A4A95399D1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A7-4C2A-B35C-A4A95399D1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A7-4C2A-B35C-A4A95399D1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A7-4C2A-B35C-A4A95399D1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A7-4C2A-B35C-A4A95399D1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A7-4C2A-B35C-A4A95399D1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A7-4C2A-B35C-A4A95399D12E}"/>
              </c:ext>
            </c:extLst>
          </c:dPt>
          <c:cat>
            <c:strRef>
              <c:f>Results!$D$66:$D$77</c:f>
              <c:strCache>
                <c:ptCount val="12"/>
                <c:pt idx="0">
                  <c:v>Fertiliser</c:v>
                </c:pt>
                <c:pt idx="1">
                  <c:v>Purchased mineral supplementation</c:v>
                </c:pt>
                <c:pt idx="2">
                  <c:v>Purchased feed</c:v>
                </c:pt>
                <c:pt idx="3">
                  <c:v>Herbicides/pesticides</c:v>
                </c:pt>
                <c:pt idx="4">
                  <c:v>Electricity </c:v>
                </c:pt>
                <c:pt idx="5">
                  <c:v>Fuel</c:v>
                </c:pt>
                <c:pt idx="6">
                  <c:v>Lime</c:v>
                </c:pt>
                <c:pt idx="7">
                  <c:v>Purchased livestock</c:v>
                </c:pt>
                <c:pt idx="8">
                  <c:v>CO2 : Fuel</c:v>
                </c:pt>
                <c:pt idx="9">
                  <c:v>CO2 : Fuel</c:v>
                </c:pt>
                <c:pt idx="10">
                  <c:v>CO2 : Fuel</c:v>
                </c:pt>
                <c:pt idx="11">
                  <c:v>CO2 : Fuel</c:v>
                </c:pt>
              </c:strCache>
            </c:strRef>
          </c:cat>
          <c:val>
            <c:numRef>
              <c:f>Results!$E$66:$E$77</c:f>
              <c:numCache>
                <c:formatCode>General</c:formatCode>
                <c:ptCount val="12"/>
                <c:pt idx="0">
                  <c:v>123</c:v>
                </c:pt>
                <c:pt idx="1">
                  <c:v>80</c:v>
                </c:pt>
                <c:pt idx="2">
                  <c:v>654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180</c:v>
                </c:pt>
                <c:pt idx="8">
                  <c:v>12</c:v>
                </c:pt>
                <c:pt idx="9">
                  <c:v>67</c:v>
                </c:pt>
                <c:pt idx="10">
                  <c:v>123</c:v>
                </c:pt>
                <c:pt idx="11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A7-4C2A-B35C-A4A95399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D-45F4-BCDB-962266C57E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D-45F4-BCDB-962266C57E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D-45F4-BCDB-962266C57E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D-45F4-BCDB-962266C57E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CD-45F4-BCDB-962266C57E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CD-45F4-BCDB-962266C57E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CD-45F4-BCDB-962266C57E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CD-45F4-BCDB-962266C57E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CD-45F4-BCDB-962266C57E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CD-45F4-BCDB-962266C57E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CD-45F4-BCDB-962266C57E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CD-45F4-BCDB-962266C57E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CD-45F4-BCDB-962266C57E5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C6-40B5-8993-4C2FFE189B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57-485E-BC75-B9CA18B2FB7B}"/>
              </c:ext>
            </c:extLst>
          </c:dPt>
          <c:cat>
            <c:strRef>
              <c:f>Results!$D$39:$D$52</c:f>
              <c:strCache>
                <c:ptCount val="14"/>
                <c:pt idx="0">
                  <c:v>CO2 - Fuel</c:v>
                </c:pt>
                <c:pt idx="1">
                  <c:v>CO2 - Lime</c:v>
                </c:pt>
                <c:pt idx="2">
                  <c:v>CO2 - Urea</c:v>
                </c:pt>
                <c:pt idx="3">
                  <c:v>CH4 - Fuel</c:v>
                </c:pt>
                <c:pt idx="4">
                  <c:v>CH4 - Enteric</c:v>
                </c:pt>
                <c:pt idx="5">
                  <c:v>CH4 - Manure Management</c:v>
                </c:pt>
                <c:pt idx="6">
                  <c:v>CH4 - Savannah Burning</c:v>
                </c:pt>
                <c:pt idx="7">
                  <c:v>N2O - Fertiliser - inorganic</c:v>
                </c:pt>
                <c:pt idx="8">
                  <c:v>N2O - Fertiliser - organic</c:v>
                </c:pt>
                <c:pt idx="9">
                  <c:v>N2O - Urine and Dung</c:v>
                </c:pt>
                <c:pt idx="10">
                  <c:v>N2O - Atmospheric Deposition</c:v>
                </c:pt>
                <c:pt idx="11">
                  <c:v>N2O - Leaching and Runoff</c:v>
                </c:pt>
                <c:pt idx="12">
                  <c:v>N2O - Savannah Burning </c:v>
                </c:pt>
                <c:pt idx="13">
                  <c:v>N2O - Fuel </c:v>
                </c:pt>
              </c:strCache>
            </c:strRef>
          </c:cat>
          <c:val>
            <c:numRef>
              <c:f>Results!$E$39:$E$52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123</c:v>
                </c:pt>
                <c:pt idx="7">
                  <c:v>0</c:v>
                </c:pt>
                <c:pt idx="8">
                  <c:v>0</c:v>
                </c:pt>
                <c:pt idx="9">
                  <c:v>123</c:v>
                </c:pt>
                <c:pt idx="10">
                  <c:v>1054</c:v>
                </c:pt>
                <c:pt idx="11">
                  <c:v>600</c:v>
                </c:pt>
                <c:pt idx="12">
                  <c:v>82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CD-45F4-BCDB-962266C57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D-47BB-B11C-1A86027E9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D-47BB-B11C-1A86027E9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D-47BB-B11C-1A86027E95A0}"/>
              </c:ext>
            </c:extLst>
          </c:dPt>
          <c:cat>
            <c:strRef>
              <c:f>Results!$D$56:$D$58</c:f>
              <c:strCache>
                <c:ptCount val="3"/>
                <c:pt idx="0">
                  <c:v>CO2 : Carbon dioxide</c:v>
                </c:pt>
                <c:pt idx="1">
                  <c:v>CH4 : Methane</c:v>
                </c:pt>
                <c:pt idx="2">
                  <c:v>N2O : Nitrous oxide</c:v>
                </c:pt>
              </c:strCache>
            </c:strRef>
          </c:cat>
          <c:val>
            <c:numRef>
              <c:f>Results!$E$56:$E$58</c:f>
              <c:numCache>
                <c:formatCode>General</c:formatCode>
                <c:ptCount val="3"/>
                <c:pt idx="0">
                  <c:v>300</c:v>
                </c:pt>
                <c:pt idx="1">
                  <c:v>500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9D-47BB-B11C-1A86027E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460562</xdr:colOff>
      <xdr:row>5</xdr:row>
      <xdr:rowOff>108696</xdr:rowOff>
    </xdr:from>
    <xdr:to>
      <xdr:col>11</xdr:col>
      <xdr:colOff>412936</xdr:colOff>
      <xdr:row>18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F57B7-3E43-BA29-E49D-43B7937A6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9</xdr:col>
      <xdr:colOff>2381250</xdr:colOff>
      <xdr:row>77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066C3-101F-42EE-A54C-2F7806F8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</xdr:colOff>
      <xdr:row>38</xdr:row>
      <xdr:rowOff>142876</xdr:rowOff>
    </xdr:from>
    <xdr:to>
      <xdr:col>14</xdr:col>
      <xdr:colOff>1066800</xdr:colOff>
      <xdr:row>50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C43D78-0E51-49C7-B669-59542A62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52</xdr:row>
      <xdr:rowOff>57150</xdr:rowOff>
    </xdr:from>
    <xdr:to>
      <xdr:col>8</xdr:col>
      <xdr:colOff>3524249</xdr:colOff>
      <xdr:row>59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3BD7F2-E312-496C-B50E-9B5D85B0D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102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129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𝐸_𝐶𝐻4=∑8_𝑗▒∑8_𝑚▒∑8_𝑇▒(𝐷_𝑗×𝑀_𝑗𝑚𝑇×𝑁_𝑗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M32:W37" totalsRowShown="0">
  <autoFilter ref="M32:W37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2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2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2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2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2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2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2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2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1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1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M42:N48" totalsRowShown="0">
  <autoFilter ref="M42:N48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A4F54E-95E6-47AB-8CAA-70E3B96C0074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7FA1F0D3-9E1D-4333-926D-F03FAE64329A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E0C672-009C-4611-BC10-F6CBCB0BE53E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DA89F514-008C-465A-BDC3-A1B737DBF7ED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3D2C43D-5E4A-4BDB-B803-1EE0A61C24EB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4ACA06D6-C5B7-4C17-A6D7-BCD86CFFF635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0F41AE-D522-4505-B68A-598AB15D7035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47177734-7650-4A7E-95AC-61A468FA02A1}" name="Gas">
      <calculatedColumnFormula array="1">Common_InputFunctions.Utility_DisplayArrayInTable(Common_SourceData.Common_SourceData_GWP_Data(), Table_GWPData[[#Headers],[Gas]], 0)</calculatedColumnFormula>
    </tableColumn>
    <tableColumn id="2" xr3:uid="{3C8F01E1-B7A2-4FAF-B759-4878ADC0BDC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943D7E-7083-46F6-BE2F-D8216C29D938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C51B26D-ABEB-4C15-B141-9CD901684786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C0CB8D55-16B3-48FE-81FC-A352E97AF33E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D55F4685-4A4A-4A8C-BB53-6D003B62FB12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19FE1AB8-00E2-4870-B2CF-61BF0E1156B2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23A3B6C1-E908-455A-8524-35C9EA7DDC5A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738408-5D7F-4C38-9649-274955E3EB53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C652209-D888-4338-9694-BE4FBF7687A4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D6BE5039-ADBC-4253-B5F8-21A54B56D86F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D2E75E17-3FE9-4B20-901E-B1FE46F7B015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A438D104-B91C-4D48-ABCC-8AB795C64AC5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32AD681D-D812-4BE9-BD3A-3F63714A7960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1EF3B2F7-EF7D-451D-8087-9201C8C926EE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775E115C-90F1-4E51-9B0F-5A5FF09455D6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4DF0CD1D-CC0A-448E-837A-5F8D9B4E5F9A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F1A89653-999D-4778-B950-3FB5D6CECF95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D6DABDA5-771D-4B27-84F1-97DB52D2D801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87A787E2-A1A3-4BD1-8412-4231D5E0A53B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259B6D60-0510-4257-8429-489FEED97AEB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9E1375E0-9F8B-47EC-93D3-1948D1B6BA6B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8C08B76-81F8-4939-BFB5-B59CFAD6926F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5FC508F5-7FE1-450C-BE2A-F6BDB271F3F2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EB927FC8-5247-4B8C-A144-4F5D82FB3762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F3D1B4-F9A3-4967-B386-9D9E290BD1E1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6CAEB2CD-E358-4175-8E51-9181D52E9440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CEEC9E19-8842-41D7-9CE2-72A2B8BC0BD8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9D0E967-8D80-4F4C-9B48-818340CA391A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531D0254-1B3E-4C63-BB80-02278696E144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05648E4B-8B79-4A96-970E-0269F6E9D169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C7D631D-1978-427D-9A91-7C258F20DE83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CD2B6638-1D34-4B3E-B39A-3CECAEF35846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3EC59C-2AAD-48DF-BF6C-FE0C600AC325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7FEB3DA1-F482-4C99-9B1E-7AFCC27FEB08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F9856D3-3B70-427E-A807-D7DC87770AF5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913068D1-4BEF-4EAD-BD38-4512F9E5091D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6705FD70-B239-49CA-9F0F-53FE1042E569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C4C996C-6627-4BA0-8706-DB0DA17E0FC0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0681F27E-3D98-483B-936B-6F96BB5B7CF5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33326076-9213-4D89-8A96-EF6F4B0FC913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7DC15D8-4A72-45C8-9423-E550816487C6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7FFA5C10-464A-4912-BE11-85C1A5A0FF4B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DB85C819-D064-4528-97E9-32B6E84F31A3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2803ACB-4E35-4051-8548-60BCB119329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55187CE-0D74-4602-9421-A4D68D284BB2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A8B03EFF-E4C3-49A8-95B3-8678DA3CA185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9E2CDFC-810E-43EB-9A2A-8970516DBF02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6514DA3-CB02-4AF2-9A6C-621B41385C9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41FAF42-BEAA-4EEB-A03F-DE71AE996A92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DC8F8345-F7C5-40FA-A127-A276204AA7C0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C9A51C7E-1000-4565-80EA-67A09175B5B5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F4332953-CBD0-4D81-8B94-E7123F788323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18" sqref="A18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97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8" t="str">
        <f>HYPERLINK("#'Home'!A1", "Home")</f>
        <v>Home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ht="20.100000000000001" customHeight="1" x14ac:dyDescent="0.25">
      <c r="A4" s="134" t="str">
        <f>HYPERLINK("#'Results'!A1", "Results")</f>
        <v>Results</v>
      </c>
      <c r="C4" s="25"/>
      <c r="D4" s="6" t="s">
        <v>56</v>
      </c>
      <c r="E4" s="6"/>
      <c r="F4" s="6"/>
      <c r="G4" s="6"/>
      <c r="H4" s="6"/>
      <c r="I4" s="6"/>
      <c r="J4" s="6"/>
      <c r="K4" s="29"/>
    </row>
    <row r="5" spans="1:11" ht="20.100000000000001" customHeight="1" x14ac:dyDescent="0.3">
      <c r="A5" s="17"/>
      <c r="C5" s="25"/>
      <c r="D5" s="5"/>
      <c r="E5" s="31"/>
      <c r="F5" s="32"/>
      <c r="G5" s="27"/>
      <c r="H5" s="27"/>
      <c r="I5" s="25"/>
      <c r="J5" s="25"/>
      <c r="K5" s="25"/>
    </row>
    <row r="6" spans="1:11" ht="20.100000000000001" customHeight="1" x14ac:dyDescent="0.25">
      <c r="A6" s="21" t="s">
        <v>3</v>
      </c>
      <c r="C6" s="25"/>
      <c r="D6" s="47" t="s">
        <v>13</v>
      </c>
      <c r="E6" s="47"/>
      <c r="F6" s="47"/>
      <c r="G6" s="27"/>
      <c r="H6" s="27"/>
      <c r="I6" s="25"/>
      <c r="J6" s="25"/>
      <c r="K6" s="25"/>
    </row>
    <row r="7" spans="1:11" ht="20.100000000000001" customHeight="1" x14ac:dyDescent="0.25">
      <c r="A7" s="18" t="str">
        <f>HYPERLINK("#'Input - Site'!A1", "Site")</f>
        <v>Site</v>
      </c>
      <c r="C7" s="25"/>
      <c r="D7" s="1" t="s">
        <v>5</v>
      </c>
      <c r="E7" s="45">
        <v>123</v>
      </c>
      <c r="F7" s="2"/>
      <c r="G7" s="27"/>
      <c r="H7" s="27"/>
      <c r="I7" s="25"/>
      <c r="J7" s="25"/>
      <c r="K7" s="25"/>
    </row>
    <row r="8" spans="1:11" ht="20.100000000000001" customHeight="1" x14ac:dyDescent="0.25">
      <c r="A8" s="18" t="str">
        <f>HYPERLINK("#'Input - MMS - Feedlot'!A1", "MMS - Feedlot")</f>
        <v>MMS - Feedlot</v>
      </c>
      <c r="C8" s="25"/>
      <c r="D8" s="1" t="s">
        <v>8</v>
      </c>
      <c r="E8" s="45">
        <v>20</v>
      </c>
      <c r="F8" s="2"/>
      <c r="G8" s="27"/>
      <c r="H8" s="27"/>
      <c r="I8" s="25"/>
      <c r="J8" s="25"/>
      <c r="K8" s="25"/>
    </row>
    <row r="9" spans="1:11" ht="20.100000000000001" customHeight="1" x14ac:dyDescent="0.25">
      <c r="A9" s="18"/>
      <c r="C9" s="25"/>
      <c r="D9" s="1" t="s">
        <v>10</v>
      </c>
      <c r="E9" s="45">
        <v>300</v>
      </c>
      <c r="F9" s="2"/>
      <c r="G9" s="27"/>
      <c r="H9" s="27"/>
      <c r="I9" s="25"/>
      <c r="J9" s="25"/>
      <c r="K9" s="25"/>
    </row>
    <row r="10" spans="1:11" ht="20.100000000000001" customHeight="1" x14ac:dyDescent="0.25">
      <c r="A10" s="20" t="s">
        <v>147</v>
      </c>
      <c r="C10" s="25"/>
      <c r="D10" s="1" t="s">
        <v>21</v>
      </c>
      <c r="E10" s="45">
        <v>-10</v>
      </c>
      <c r="F10" s="2"/>
      <c r="G10" s="27"/>
      <c r="H10" s="27"/>
      <c r="I10" s="25"/>
      <c r="J10" s="25"/>
      <c r="K10" s="25"/>
    </row>
    <row r="11" spans="1:11" ht="20.100000000000001" customHeight="1" x14ac:dyDescent="0.35">
      <c r="A11" s="18" t="str">
        <f>HYPERLINK("#'Calcs - CH4 MMS Feedlot'!A1", "MMS Methane")</f>
        <v>MMS Methane</v>
      </c>
      <c r="C11" s="25"/>
      <c r="D11" s="33" t="s">
        <v>22</v>
      </c>
      <c r="E11" s="26">
        <f>SUM(E7:E10)</f>
        <v>433</v>
      </c>
      <c r="F11" s="28" t="s">
        <v>15</v>
      </c>
      <c r="G11" s="27"/>
      <c r="H11" s="27"/>
      <c r="I11" s="25"/>
      <c r="J11" s="25"/>
      <c r="K11" s="25"/>
    </row>
    <row r="12" spans="1:11" ht="20.100000000000001" customHeight="1" x14ac:dyDescent="0.25">
      <c r="A12" s="18"/>
      <c r="C12" s="25"/>
      <c r="D12" s="25"/>
      <c r="E12" s="25"/>
      <c r="F12" s="25"/>
      <c r="G12" s="27"/>
      <c r="H12" s="27"/>
      <c r="I12" s="25"/>
      <c r="J12" s="25"/>
      <c r="K12" s="25"/>
    </row>
    <row r="13" spans="1:11" ht="20.100000000000001" customHeight="1" x14ac:dyDescent="0.25">
      <c r="A13" s="19" t="s">
        <v>4</v>
      </c>
      <c r="C13" s="25"/>
      <c r="D13" s="47" t="s">
        <v>85</v>
      </c>
      <c r="E13" s="47"/>
      <c r="F13" s="47"/>
      <c r="G13" s="25"/>
      <c r="H13" s="25"/>
      <c r="I13" s="25"/>
      <c r="J13" s="25"/>
      <c r="K13" s="25"/>
    </row>
    <row r="14" spans="1:11" ht="20.100000000000001" customHeight="1" x14ac:dyDescent="0.25">
      <c r="A14" s="18" t="str">
        <f>HYPERLINK("#'Constants - Common'!A1", "Constants - Common")</f>
        <v>Constants - Common</v>
      </c>
      <c r="C14" s="25"/>
      <c r="D14" s="48" t="s">
        <v>57</v>
      </c>
      <c r="E14" s="49"/>
      <c r="F14" s="50"/>
      <c r="G14" s="27"/>
      <c r="H14" s="27"/>
      <c r="I14" s="25"/>
      <c r="J14" s="25"/>
      <c r="K14" s="25"/>
    </row>
    <row r="15" spans="1:11" ht="20.100000000000001" customHeight="1" x14ac:dyDescent="0.25">
      <c r="A15" s="18" t="str">
        <f>HYPERLINK("#'Constants - Livestock'!A1", "Constants - Livestock")</f>
        <v>Constants - Livestock</v>
      </c>
      <c r="C15" s="25"/>
      <c r="D15" s="51" t="s">
        <v>66</v>
      </c>
      <c r="E15" s="52"/>
      <c r="F15" s="52"/>
      <c r="G15" s="25"/>
      <c r="H15" s="25"/>
      <c r="I15" s="25"/>
      <c r="J15" s="25"/>
      <c r="K15" s="25"/>
    </row>
    <row r="16" spans="1:11" ht="20.100000000000001" customHeight="1" x14ac:dyDescent="0.25">
      <c r="A16" s="18" t="str">
        <f>HYPERLINK("#'Acknowledgements'!A1", "Acknowledgements")</f>
        <v>Acknowledgements</v>
      </c>
      <c r="C16" s="25"/>
      <c r="D16" s="53" t="s">
        <v>47</v>
      </c>
      <c r="E16" s="57">
        <v>0.9</v>
      </c>
      <c r="F16" s="50" t="s">
        <v>44</v>
      </c>
      <c r="G16" s="27"/>
      <c r="H16" s="27"/>
      <c r="I16" s="25"/>
      <c r="J16" s="25"/>
      <c r="K16" s="25"/>
    </row>
    <row r="17" spans="1:11" ht="20.100000000000001" customHeight="1" x14ac:dyDescent="0.25">
      <c r="A17" s="96"/>
      <c r="C17" s="25"/>
      <c r="D17" s="53" t="s">
        <v>48</v>
      </c>
      <c r="E17" s="57">
        <v>0.1</v>
      </c>
      <c r="F17" s="50" t="s">
        <v>44</v>
      </c>
      <c r="G17" s="27"/>
      <c r="H17" s="27"/>
      <c r="I17" s="25"/>
      <c r="J17" s="25"/>
      <c r="K17" s="25"/>
    </row>
    <row r="18" spans="1:11" ht="20.100000000000001" customHeight="1" x14ac:dyDescent="0.25">
      <c r="A18" s="18"/>
      <c r="C18" s="25"/>
      <c r="D18" s="54" t="s">
        <v>58</v>
      </c>
      <c r="E18" s="56" t="s">
        <v>59</v>
      </c>
      <c r="F18" s="54"/>
      <c r="G18" s="27"/>
      <c r="H18" s="27"/>
      <c r="I18" s="25"/>
      <c r="J18" s="25"/>
      <c r="K18" s="25"/>
    </row>
    <row r="19" spans="1:11" ht="20.100000000000001" customHeight="1" x14ac:dyDescent="0.25">
      <c r="A19" s="18"/>
      <c r="C19" s="25"/>
      <c r="D19" s="74" t="s">
        <v>82</v>
      </c>
      <c r="E19" s="25"/>
      <c r="F19" s="25"/>
      <c r="G19" s="25"/>
      <c r="H19" s="25"/>
      <c r="I19" s="25"/>
      <c r="J19" s="25"/>
      <c r="K19" s="25"/>
    </row>
    <row r="20" spans="1:11" ht="20.100000000000001" customHeight="1" x14ac:dyDescent="0.25">
      <c r="C20" s="25"/>
      <c r="D20" s="46" t="s">
        <v>45</v>
      </c>
      <c r="E20" s="40"/>
      <c r="F20" s="39"/>
      <c r="G20" s="25"/>
      <c r="H20" s="25"/>
      <c r="I20" s="25"/>
      <c r="J20" s="25"/>
      <c r="K20" s="25"/>
    </row>
    <row r="21" spans="1:11" ht="20.100000000000001" customHeight="1" x14ac:dyDescent="0.25">
      <c r="C21" s="25"/>
      <c r="D21" s="25" t="s">
        <v>60</v>
      </c>
      <c r="E21" s="30">
        <v>100</v>
      </c>
      <c r="F21" s="2" t="s">
        <v>61</v>
      </c>
      <c r="G21" s="25"/>
      <c r="H21" s="25"/>
      <c r="I21" s="25"/>
      <c r="J21" s="25"/>
      <c r="K21" s="25"/>
    </row>
    <row r="22" spans="1:11" ht="20.100000000000001" customHeight="1" x14ac:dyDescent="0.25">
      <c r="C22" s="25"/>
      <c r="D22" s="1" t="s">
        <v>17</v>
      </c>
      <c r="E22" s="55">
        <f>(E11+E10)*E16/E21</f>
        <v>3.8069999999999999</v>
      </c>
      <c r="F22" s="2" t="s">
        <v>14</v>
      </c>
      <c r="G22" s="25"/>
      <c r="H22" s="25"/>
      <c r="I22" s="25"/>
      <c r="J22" s="25"/>
      <c r="K22" s="25"/>
    </row>
    <row r="23" spans="1:11" ht="20.100000000000001" customHeight="1" x14ac:dyDescent="0.25">
      <c r="C23" s="25"/>
      <c r="D23" s="1" t="s">
        <v>16</v>
      </c>
      <c r="E23" s="55">
        <f>E11*E16/E21</f>
        <v>3.8969999999999998</v>
      </c>
      <c r="F23" s="2" t="s">
        <v>14</v>
      </c>
      <c r="G23" s="25"/>
      <c r="H23" s="25"/>
      <c r="I23" s="25"/>
      <c r="J23" s="25"/>
      <c r="K23" s="25"/>
    </row>
    <row r="24" spans="1:11" ht="20.100000000000001" customHeight="1" x14ac:dyDescent="0.25">
      <c r="C24" s="25"/>
      <c r="D24" s="25"/>
      <c r="E24" s="1"/>
      <c r="F24" s="25"/>
      <c r="G24" s="25"/>
      <c r="H24" s="25"/>
      <c r="I24" s="25"/>
      <c r="J24" s="25"/>
      <c r="K24" s="25"/>
    </row>
    <row r="25" spans="1:11" ht="20.100000000000001" customHeight="1" x14ac:dyDescent="0.25">
      <c r="C25" s="25"/>
      <c r="D25" s="46" t="s">
        <v>46</v>
      </c>
      <c r="E25" s="40"/>
      <c r="F25" s="39"/>
      <c r="G25" s="25"/>
      <c r="H25" s="25"/>
      <c r="I25" s="25"/>
      <c r="J25" s="25"/>
      <c r="K25" s="25"/>
    </row>
    <row r="26" spans="1:11" ht="20.100000000000001" customHeight="1" x14ac:dyDescent="0.25">
      <c r="C26" s="25"/>
      <c r="D26" s="25" t="s">
        <v>62</v>
      </c>
      <c r="E26" s="30">
        <v>10</v>
      </c>
      <c r="F26" s="2" t="s">
        <v>61</v>
      </c>
      <c r="G26" s="25"/>
      <c r="H26" s="25"/>
      <c r="I26" s="25"/>
      <c r="J26" s="25"/>
      <c r="K26" s="25"/>
    </row>
    <row r="27" spans="1:11" ht="20.100000000000001" customHeight="1" x14ac:dyDescent="0.25">
      <c r="C27" s="25"/>
      <c r="D27" s="1" t="s">
        <v>18</v>
      </c>
      <c r="E27" s="55">
        <f>(E11+E10)*E17/E26</f>
        <v>4.2300000000000004</v>
      </c>
      <c r="F27" s="2" t="s">
        <v>52</v>
      </c>
      <c r="G27" s="27"/>
      <c r="H27" s="27"/>
      <c r="I27" s="25"/>
      <c r="J27" s="25"/>
      <c r="K27" s="25"/>
    </row>
    <row r="28" spans="1:11" ht="20.100000000000001" customHeight="1" x14ac:dyDescent="0.3">
      <c r="C28" s="25"/>
      <c r="D28" s="1" t="s">
        <v>19</v>
      </c>
      <c r="E28" s="55">
        <f>E11*E17/E26</f>
        <v>4.33</v>
      </c>
      <c r="F28" s="2" t="s">
        <v>52</v>
      </c>
      <c r="G28" s="31"/>
      <c r="H28" s="31"/>
      <c r="I28" s="25"/>
      <c r="J28" s="25"/>
      <c r="K28" s="25"/>
    </row>
    <row r="29" spans="1:11" ht="20.100000000000001" customHeight="1" x14ac:dyDescent="0.25"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20.100000000000001" customHeight="1" x14ac:dyDescent="0.25">
      <c r="C30" s="25"/>
      <c r="D30" s="46" t="s">
        <v>81</v>
      </c>
      <c r="E30" s="40"/>
      <c r="F30" s="39"/>
      <c r="G30" s="25"/>
      <c r="H30" s="25"/>
      <c r="I30" s="25"/>
      <c r="J30" s="25"/>
      <c r="K30" s="25"/>
    </row>
    <row r="31" spans="1:11" ht="20.100000000000001" customHeight="1" x14ac:dyDescent="0.25">
      <c r="C31" s="25"/>
      <c r="D31" s="25" t="s">
        <v>64</v>
      </c>
      <c r="E31" s="30">
        <v>50</v>
      </c>
      <c r="F31" s="2" t="s">
        <v>61</v>
      </c>
      <c r="G31" s="25"/>
      <c r="H31" s="25"/>
      <c r="I31" s="25"/>
      <c r="J31" s="25"/>
      <c r="K31" s="25"/>
    </row>
    <row r="32" spans="1:11" ht="20.100000000000001" customHeight="1" x14ac:dyDescent="0.25">
      <c r="C32" s="25"/>
      <c r="D32" s="1" t="s">
        <v>63</v>
      </c>
      <c r="E32" s="55">
        <f>(E11+E10)/E31</f>
        <v>8.4600000000000009</v>
      </c>
      <c r="F32" s="2" t="s">
        <v>52</v>
      </c>
      <c r="G32" s="27"/>
      <c r="H32" s="27"/>
      <c r="I32" s="25"/>
      <c r="J32" s="25"/>
      <c r="K32" s="25"/>
    </row>
    <row r="33" spans="3:11" ht="20.100000000000001" customHeight="1" x14ac:dyDescent="0.3">
      <c r="C33" s="25"/>
      <c r="D33" s="1" t="s">
        <v>65</v>
      </c>
      <c r="E33" s="55">
        <f>E11/E31</f>
        <v>8.66</v>
      </c>
      <c r="F33" s="2" t="s">
        <v>52</v>
      </c>
      <c r="G33" s="31"/>
      <c r="H33" s="31"/>
      <c r="I33" s="25"/>
      <c r="J33" s="25"/>
      <c r="K33" s="25"/>
    </row>
    <row r="34" spans="3:11" ht="20.100000000000001" customHeight="1" x14ac:dyDescent="0.25">
      <c r="C34" s="25"/>
      <c r="D34" s="25"/>
      <c r="E34" s="25"/>
      <c r="F34" s="25"/>
      <c r="G34" s="25"/>
      <c r="H34" s="25"/>
      <c r="I34" s="25"/>
      <c r="J34" s="25"/>
      <c r="K34" s="25"/>
    </row>
    <row r="35" spans="3:11" ht="20.100000000000001" customHeight="1" x14ac:dyDescent="0.25">
      <c r="C35" s="25"/>
      <c r="D35" s="25"/>
      <c r="E35" s="25"/>
      <c r="F35" s="25"/>
      <c r="G35" s="25"/>
      <c r="H35" s="25"/>
      <c r="I35" s="25"/>
      <c r="J35" s="25"/>
      <c r="K35" s="25"/>
    </row>
    <row r="36" spans="3:11" ht="20.100000000000001" customHeight="1" x14ac:dyDescent="0.25">
      <c r="C36" s="25"/>
      <c r="D36" s="6" t="s">
        <v>49</v>
      </c>
      <c r="E36" s="27"/>
      <c r="F36" s="27"/>
      <c r="G36" s="27"/>
      <c r="H36" s="25"/>
      <c r="I36" s="25"/>
      <c r="J36" s="25"/>
      <c r="K36" s="25"/>
    </row>
    <row r="37" spans="3:11" ht="20.100000000000001" customHeight="1" x14ac:dyDescent="0.3">
      <c r="C37" s="25"/>
      <c r="D37" s="30"/>
      <c r="E37" s="31"/>
      <c r="F37" s="31"/>
      <c r="G37" s="31"/>
      <c r="H37" s="29"/>
      <c r="I37" s="25"/>
      <c r="J37" s="25"/>
      <c r="K37" s="25"/>
    </row>
    <row r="38" spans="3:11" ht="20.100000000000001" customHeight="1" x14ac:dyDescent="0.25">
      <c r="C38" s="25"/>
      <c r="D38" s="42" t="s">
        <v>5</v>
      </c>
      <c r="E38" s="42"/>
      <c r="F38" s="128" t="s">
        <v>80</v>
      </c>
      <c r="G38" s="128" t="e">
        <f>#REF!</f>
        <v>#REF!</v>
      </c>
      <c r="H38" s="41"/>
      <c r="I38" s="128" t="e">
        <f>#REF!</f>
        <v>#REF!</v>
      </c>
      <c r="J38" s="41"/>
      <c r="K38" s="25"/>
    </row>
    <row r="39" spans="3:11" ht="20.100000000000001" customHeight="1" x14ac:dyDescent="0.25">
      <c r="C39" s="25"/>
      <c r="D39" s="1" t="s">
        <v>24</v>
      </c>
      <c r="E39" s="45" t="e">
        <f>#REF!</f>
        <v>#REF!</v>
      </c>
      <c r="F39" s="60" t="s">
        <v>167</v>
      </c>
      <c r="G39" s="75">
        <v>0.2</v>
      </c>
      <c r="H39" s="45" t="e">
        <f>E39*G39</f>
        <v>#REF!</v>
      </c>
      <c r="I39" s="75">
        <v>0.8</v>
      </c>
      <c r="J39" s="45" t="e">
        <f>E39*I39</f>
        <v>#REF!</v>
      </c>
      <c r="K39" s="25"/>
    </row>
    <row r="40" spans="3:11" ht="20.100000000000001" customHeight="1" x14ac:dyDescent="0.25">
      <c r="C40" s="25"/>
      <c r="D40" s="1" t="s">
        <v>25</v>
      </c>
      <c r="E40" s="45" t="e">
        <f>#REF!</f>
        <v>#REF!</v>
      </c>
      <c r="F40" s="60" t="s">
        <v>168</v>
      </c>
      <c r="G40" s="75">
        <v>1</v>
      </c>
      <c r="H40" s="45" t="e">
        <f t="shared" ref="H40:H52" si="0">E40*G40</f>
        <v>#REF!</v>
      </c>
      <c r="I40" s="75">
        <v>0</v>
      </c>
      <c r="J40" s="45" t="e">
        <f t="shared" ref="J40:J52" si="1">E40*I40</f>
        <v>#REF!</v>
      </c>
      <c r="K40" s="25"/>
    </row>
    <row r="41" spans="3:11" ht="20.100000000000001" customHeight="1" x14ac:dyDescent="0.25">
      <c r="C41" s="25"/>
      <c r="D41" s="1" t="s">
        <v>26</v>
      </c>
      <c r="E41" s="45" t="e">
        <f>#REF!</f>
        <v>#REF!</v>
      </c>
      <c r="F41" s="60" t="s">
        <v>169</v>
      </c>
      <c r="G41" s="75">
        <v>1</v>
      </c>
      <c r="H41" s="45" t="e">
        <f t="shared" si="0"/>
        <v>#REF!</v>
      </c>
      <c r="I41" s="75">
        <v>0</v>
      </c>
      <c r="J41" s="45" t="e">
        <f t="shared" si="1"/>
        <v>#REF!</v>
      </c>
      <c r="K41" s="25"/>
    </row>
    <row r="42" spans="3:11" ht="20.100000000000001" customHeight="1" x14ac:dyDescent="0.25">
      <c r="C42" s="25"/>
      <c r="D42" s="1" t="s">
        <v>27</v>
      </c>
      <c r="E42" s="45" t="e">
        <f>#REF!</f>
        <v>#REF!</v>
      </c>
      <c r="F42" s="60" t="s">
        <v>167</v>
      </c>
      <c r="G42" s="75">
        <v>0.2</v>
      </c>
      <c r="H42" s="45" t="e">
        <f t="shared" si="0"/>
        <v>#REF!</v>
      </c>
      <c r="I42" s="75">
        <v>0.8</v>
      </c>
      <c r="J42" s="45" t="e">
        <f t="shared" si="1"/>
        <v>#REF!</v>
      </c>
      <c r="K42" s="25"/>
    </row>
    <row r="43" spans="3:11" ht="20.100000000000001" customHeight="1" x14ac:dyDescent="0.25">
      <c r="C43" s="25"/>
      <c r="D43" s="1" t="s">
        <v>28</v>
      </c>
      <c r="E43" s="45">
        <v>3</v>
      </c>
      <c r="F43" s="60" t="s">
        <v>170</v>
      </c>
      <c r="G43" s="75">
        <v>0.5</v>
      </c>
      <c r="H43" s="45">
        <f t="shared" si="0"/>
        <v>1.5</v>
      </c>
      <c r="I43" s="75">
        <v>0.5</v>
      </c>
      <c r="J43" s="45">
        <f t="shared" si="1"/>
        <v>1.5</v>
      </c>
      <c r="K43" s="25"/>
    </row>
    <row r="44" spans="3:11" ht="20.100000000000001" customHeight="1" x14ac:dyDescent="0.25">
      <c r="C44" s="25"/>
      <c r="D44" s="1" t="s">
        <v>29</v>
      </c>
      <c r="E44" s="45">
        <v>7</v>
      </c>
      <c r="F44" s="60" t="s">
        <v>170</v>
      </c>
      <c r="G44" s="75">
        <v>0.5</v>
      </c>
      <c r="H44" s="45">
        <f t="shared" si="0"/>
        <v>3.5</v>
      </c>
      <c r="I44" s="75">
        <v>0.5</v>
      </c>
      <c r="J44" s="45">
        <f t="shared" si="1"/>
        <v>3.5</v>
      </c>
      <c r="K44" s="25"/>
    </row>
    <row r="45" spans="3:11" ht="20.100000000000001" customHeight="1" x14ac:dyDescent="0.25">
      <c r="C45" s="25"/>
      <c r="D45" s="1" t="s">
        <v>30</v>
      </c>
      <c r="E45" s="45">
        <v>123</v>
      </c>
      <c r="F45" s="60" t="s">
        <v>171</v>
      </c>
      <c r="G45" s="75">
        <v>0</v>
      </c>
      <c r="H45" s="45">
        <f t="shared" si="0"/>
        <v>0</v>
      </c>
      <c r="I45" s="75">
        <v>1</v>
      </c>
      <c r="J45" s="45">
        <f t="shared" si="1"/>
        <v>123</v>
      </c>
      <c r="K45" s="25"/>
    </row>
    <row r="46" spans="3:11" ht="20.100000000000001" customHeight="1" x14ac:dyDescent="0.25">
      <c r="C46" s="25"/>
      <c r="D46" s="1" t="s">
        <v>105</v>
      </c>
      <c r="E46" s="45" t="e">
        <f>#REF!</f>
        <v>#REF!</v>
      </c>
      <c r="F46" s="60" t="s">
        <v>172</v>
      </c>
      <c r="G46" s="75">
        <v>0.6</v>
      </c>
      <c r="H46" s="45" t="e">
        <f t="shared" si="0"/>
        <v>#REF!</v>
      </c>
      <c r="I46" s="75">
        <v>0.4</v>
      </c>
      <c r="J46" s="45" t="e">
        <f t="shared" si="1"/>
        <v>#REF!</v>
      </c>
      <c r="K46" s="25"/>
    </row>
    <row r="47" spans="3:11" ht="20.100000000000001" customHeight="1" x14ac:dyDescent="0.25">
      <c r="C47" s="25"/>
      <c r="D47" s="1" t="s">
        <v>106</v>
      </c>
      <c r="E47" s="45" t="e">
        <f>#REF!</f>
        <v>#REF!</v>
      </c>
      <c r="F47" s="60"/>
      <c r="G47" s="75"/>
      <c r="H47" s="45" t="e">
        <f t="shared" si="0"/>
        <v>#REF!</v>
      </c>
      <c r="I47" s="75"/>
      <c r="J47" s="45" t="e">
        <f t="shared" si="1"/>
        <v>#REF!</v>
      </c>
      <c r="K47" s="25"/>
    </row>
    <row r="48" spans="3:11" ht="20.100000000000001" customHeight="1" x14ac:dyDescent="0.25">
      <c r="C48" s="25"/>
      <c r="D48" s="1" t="s">
        <v>31</v>
      </c>
      <c r="E48" s="45">
        <v>123</v>
      </c>
      <c r="F48" s="60" t="s">
        <v>170</v>
      </c>
      <c r="G48" s="75">
        <v>0.5</v>
      </c>
      <c r="H48" s="45">
        <f t="shared" si="0"/>
        <v>61.5</v>
      </c>
      <c r="I48" s="75">
        <v>0.5</v>
      </c>
      <c r="J48" s="45">
        <f t="shared" si="1"/>
        <v>61.5</v>
      </c>
      <c r="K48" s="25"/>
    </row>
    <row r="49" spans="3:11" ht="20.100000000000001" customHeight="1" x14ac:dyDescent="0.25">
      <c r="C49" s="25"/>
      <c r="D49" s="1" t="s">
        <v>32</v>
      </c>
      <c r="E49" s="45">
        <v>1054</v>
      </c>
      <c r="F49" s="60"/>
      <c r="G49" s="75"/>
      <c r="H49" s="45">
        <f t="shared" si="0"/>
        <v>0</v>
      </c>
      <c r="I49" s="75"/>
      <c r="J49" s="45">
        <f t="shared" si="1"/>
        <v>0</v>
      </c>
      <c r="K49" s="25"/>
    </row>
    <row r="50" spans="3:11" ht="20.100000000000001" customHeight="1" x14ac:dyDescent="0.25">
      <c r="C50" s="25"/>
      <c r="D50" s="1" t="s">
        <v>33</v>
      </c>
      <c r="E50" s="45">
        <v>600</v>
      </c>
      <c r="F50" s="60"/>
      <c r="G50" s="75"/>
      <c r="H50" s="45">
        <f t="shared" si="0"/>
        <v>0</v>
      </c>
      <c r="I50" s="75"/>
      <c r="J50" s="45">
        <f t="shared" si="1"/>
        <v>0</v>
      </c>
      <c r="K50" s="25"/>
    </row>
    <row r="51" spans="3:11" ht="20.100000000000001" customHeight="1" x14ac:dyDescent="0.25">
      <c r="C51" s="25"/>
      <c r="D51" s="1" t="s">
        <v>34</v>
      </c>
      <c r="E51" s="45">
        <v>82</v>
      </c>
      <c r="F51" s="60"/>
      <c r="G51" s="75"/>
      <c r="H51" s="45">
        <f t="shared" si="0"/>
        <v>0</v>
      </c>
      <c r="I51" s="75"/>
      <c r="J51" s="45">
        <f t="shared" si="1"/>
        <v>0</v>
      </c>
      <c r="K51" s="25"/>
    </row>
    <row r="52" spans="3:11" ht="20.100000000000001" customHeight="1" x14ac:dyDescent="0.25">
      <c r="C52" s="25"/>
      <c r="D52" s="1" t="s">
        <v>35</v>
      </c>
      <c r="E52" s="45" t="e">
        <f>#REF!</f>
        <v>#REF!</v>
      </c>
      <c r="F52" s="60"/>
      <c r="G52" s="75"/>
      <c r="H52" s="45" t="e">
        <f t="shared" si="0"/>
        <v>#REF!</v>
      </c>
      <c r="I52" s="75"/>
      <c r="J52" s="45" t="e">
        <f t="shared" si="1"/>
        <v>#REF!</v>
      </c>
      <c r="K52" s="25"/>
    </row>
    <row r="53" spans="3:11" ht="20.100000000000001" customHeight="1" x14ac:dyDescent="0.3">
      <c r="C53" s="25"/>
      <c r="D53" s="44" t="s">
        <v>7</v>
      </c>
      <c r="E53" s="26" t="e">
        <f>SUM(E39:E52)</f>
        <v>#REF!</v>
      </c>
      <c r="F53" s="28"/>
      <c r="G53" s="25"/>
      <c r="H53" s="26" t="e">
        <f>SUM(H39:H52)</f>
        <v>#REF!</v>
      </c>
      <c r="I53" s="25"/>
      <c r="J53" s="26" t="e">
        <f>SUM(J39:J52)</f>
        <v>#REF!</v>
      </c>
      <c r="K53" s="25"/>
    </row>
    <row r="54" spans="3:11" ht="20.100000000000001" customHeight="1" x14ac:dyDescent="0.25">
      <c r="C54" s="25"/>
      <c r="D54" s="25"/>
      <c r="E54" s="25"/>
      <c r="F54" s="25"/>
      <c r="G54" s="25"/>
      <c r="H54" s="25"/>
      <c r="I54" s="25"/>
      <c r="J54" s="25"/>
      <c r="K54" s="25"/>
    </row>
    <row r="55" spans="3:11" ht="20.100000000000001" customHeight="1" x14ac:dyDescent="0.25">
      <c r="C55" s="25"/>
      <c r="D55" s="46" t="s">
        <v>51</v>
      </c>
      <c r="E55" s="39"/>
      <c r="F55" s="39"/>
      <c r="G55" s="25"/>
      <c r="H55" s="25"/>
      <c r="I55" s="25"/>
      <c r="J55" s="25"/>
      <c r="K55" s="25"/>
    </row>
    <row r="56" spans="3:11" ht="20.100000000000001" customHeight="1" x14ac:dyDescent="0.35">
      <c r="C56" s="25"/>
      <c r="D56" s="1" t="s">
        <v>54</v>
      </c>
      <c r="E56" s="45">
        <v>300</v>
      </c>
      <c r="F56" s="28" t="s">
        <v>20</v>
      </c>
      <c r="G56" s="25"/>
      <c r="H56" s="25"/>
      <c r="I56" s="25"/>
      <c r="J56" s="25"/>
      <c r="K56" s="25"/>
    </row>
    <row r="57" spans="3:11" ht="20.100000000000001" customHeight="1" x14ac:dyDescent="0.35">
      <c r="C57" s="25"/>
      <c r="D57" s="1" t="s">
        <v>50</v>
      </c>
      <c r="E57" s="45">
        <v>500</v>
      </c>
      <c r="F57" s="32" t="s">
        <v>20</v>
      </c>
      <c r="G57" s="25"/>
      <c r="H57" s="25"/>
      <c r="I57" s="25"/>
      <c r="J57" s="25"/>
      <c r="K57" s="25"/>
    </row>
    <row r="58" spans="3:11" ht="20.100000000000001" customHeight="1" x14ac:dyDescent="0.35">
      <c r="C58" s="25"/>
      <c r="D58" s="1" t="s">
        <v>55</v>
      </c>
      <c r="E58" s="45">
        <v>20</v>
      </c>
      <c r="F58" s="32" t="s">
        <v>20</v>
      </c>
      <c r="G58" s="25"/>
      <c r="H58" s="25"/>
      <c r="I58" s="25"/>
      <c r="J58" s="25"/>
      <c r="K58" s="25"/>
    </row>
    <row r="59" spans="3:11" ht="20.100000000000001" customHeight="1" x14ac:dyDescent="0.25">
      <c r="C59" s="25"/>
      <c r="D59" s="25"/>
      <c r="E59" s="25"/>
      <c r="F59" s="25"/>
      <c r="G59" s="25"/>
      <c r="H59" s="25"/>
      <c r="I59" s="25"/>
      <c r="J59" s="25"/>
      <c r="K59" s="25"/>
    </row>
    <row r="60" spans="3:11" ht="20.100000000000001" customHeight="1" x14ac:dyDescent="0.25">
      <c r="C60" s="25"/>
      <c r="D60" s="25"/>
      <c r="E60" s="25"/>
      <c r="F60" s="25"/>
      <c r="G60" s="25"/>
      <c r="H60" s="25"/>
      <c r="I60" s="25"/>
      <c r="J60" s="25"/>
      <c r="K60" s="25"/>
    </row>
    <row r="61" spans="3:11" ht="20.100000000000001" customHeight="1" x14ac:dyDescent="0.25">
      <c r="C61" s="25"/>
      <c r="D61" s="34" t="s">
        <v>8</v>
      </c>
      <c r="E61" s="34"/>
      <c r="F61" s="34"/>
      <c r="G61" s="35"/>
      <c r="H61" s="36"/>
      <c r="I61" s="35"/>
      <c r="J61" s="35"/>
      <c r="K61" s="25"/>
    </row>
    <row r="62" spans="3:11" ht="20.100000000000001" customHeight="1" x14ac:dyDescent="0.3">
      <c r="C62" s="25"/>
      <c r="D62" s="1" t="s">
        <v>6</v>
      </c>
      <c r="E62" s="45" t="e">
        <f>#REF!</f>
        <v>#REF!</v>
      </c>
      <c r="F62" s="2"/>
      <c r="G62" s="25"/>
      <c r="H62" s="31"/>
      <c r="I62" s="25"/>
      <c r="J62" s="25"/>
      <c r="K62" s="25"/>
    </row>
    <row r="63" spans="3:11" ht="20.100000000000001" customHeight="1" x14ac:dyDescent="0.35">
      <c r="C63" s="25"/>
      <c r="D63" s="44" t="s">
        <v>9</v>
      </c>
      <c r="E63" s="26">
        <v>123</v>
      </c>
      <c r="F63" s="28" t="s">
        <v>20</v>
      </c>
      <c r="G63" s="25"/>
      <c r="H63" s="25"/>
      <c r="I63" s="25"/>
      <c r="J63" s="25"/>
      <c r="K63" s="25"/>
    </row>
    <row r="64" spans="3:11" ht="20.100000000000001" customHeight="1" x14ac:dyDescent="0.25">
      <c r="C64" s="25"/>
      <c r="D64" s="25"/>
      <c r="E64" s="25"/>
      <c r="F64" s="25"/>
      <c r="G64" s="25"/>
      <c r="H64" s="25"/>
      <c r="I64" s="25"/>
      <c r="J64" s="25"/>
      <c r="K64" s="25"/>
    </row>
    <row r="65" spans="3:11" ht="20.100000000000001" customHeight="1" x14ac:dyDescent="0.25">
      <c r="C65" s="25"/>
      <c r="D65" s="37" t="s">
        <v>10</v>
      </c>
      <c r="E65" s="37"/>
      <c r="F65" s="37"/>
      <c r="G65" s="38"/>
      <c r="H65" s="38"/>
      <c r="I65" s="38"/>
      <c r="J65" s="38"/>
      <c r="K65" s="25"/>
    </row>
    <row r="66" spans="3:11" ht="20.100000000000001" customHeight="1" x14ac:dyDescent="0.25">
      <c r="C66" s="25"/>
      <c r="D66" s="1" t="s">
        <v>36</v>
      </c>
      <c r="E66" s="45">
        <v>123</v>
      </c>
      <c r="F66" s="2"/>
      <c r="G66" s="25"/>
      <c r="H66" s="25"/>
      <c r="I66" s="25"/>
      <c r="J66" s="25"/>
      <c r="K66" s="25"/>
    </row>
    <row r="67" spans="3:11" ht="20.100000000000001" customHeight="1" x14ac:dyDescent="0.25">
      <c r="C67" s="25"/>
      <c r="D67" s="1" t="s">
        <v>37</v>
      </c>
      <c r="E67" s="45">
        <v>80</v>
      </c>
      <c r="F67" s="2"/>
      <c r="G67" s="25"/>
      <c r="H67" s="25"/>
      <c r="I67" s="25"/>
      <c r="J67" s="25"/>
      <c r="K67" s="25"/>
    </row>
    <row r="68" spans="3:11" ht="20.100000000000001" customHeight="1" x14ac:dyDescent="0.25">
      <c r="C68" s="25"/>
      <c r="D68" s="1" t="s">
        <v>38</v>
      </c>
      <c r="E68" s="45">
        <v>654</v>
      </c>
      <c r="F68" s="2"/>
      <c r="G68" s="25"/>
      <c r="H68" s="25"/>
      <c r="I68" s="25"/>
      <c r="J68" s="25"/>
      <c r="K68" s="25"/>
    </row>
    <row r="69" spans="3:11" ht="20.100000000000001" customHeight="1" x14ac:dyDescent="0.25">
      <c r="C69" s="25"/>
      <c r="D69" s="1" t="s">
        <v>39</v>
      </c>
      <c r="E69" s="45">
        <v>6</v>
      </c>
      <c r="F69" s="2"/>
      <c r="G69" s="25"/>
      <c r="H69" s="25"/>
      <c r="I69" s="25"/>
      <c r="J69" s="25"/>
      <c r="K69" s="25"/>
    </row>
    <row r="70" spans="3:11" ht="20.100000000000001" customHeight="1" x14ac:dyDescent="0.25">
      <c r="C70" s="25"/>
      <c r="D70" s="1" t="s">
        <v>40</v>
      </c>
      <c r="E70" s="45" t="e">
        <f>#REF!</f>
        <v>#REF!</v>
      </c>
      <c r="F70" s="2"/>
      <c r="G70" s="25"/>
      <c r="H70" s="25"/>
      <c r="I70" s="25"/>
      <c r="J70" s="25"/>
      <c r="K70" s="25"/>
    </row>
    <row r="71" spans="3:11" ht="20.100000000000001" customHeight="1" x14ac:dyDescent="0.25">
      <c r="C71" s="25"/>
      <c r="D71" s="1" t="s">
        <v>41</v>
      </c>
      <c r="E71" s="45" t="e">
        <f>#REF!</f>
        <v>#REF!</v>
      </c>
      <c r="F71" s="2"/>
      <c r="G71" s="25"/>
      <c r="H71" s="25"/>
      <c r="I71" s="25"/>
      <c r="J71" s="25"/>
      <c r="K71" s="25"/>
    </row>
    <row r="72" spans="3:11" ht="20.100000000000001" customHeight="1" x14ac:dyDescent="0.25">
      <c r="C72" s="25"/>
      <c r="D72" s="1" t="s">
        <v>42</v>
      </c>
      <c r="E72" s="45">
        <v>3</v>
      </c>
      <c r="F72" s="2"/>
      <c r="G72" s="25"/>
      <c r="H72" s="25"/>
      <c r="I72" s="25"/>
      <c r="J72" s="25"/>
      <c r="K72" s="25"/>
    </row>
    <row r="73" spans="3:11" ht="20.100000000000001" customHeight="1" x14ac:dyDescent="0.25">
      <c r="C73" s="25"/>
      <c r="D73" s="1" t="s">
        <v>43</v>
      </c>
      <c r="E73" s="45">
        <v>180</v>
      </c>
      <c r="F73" s="2"/>
      <c r="G73" s="25"/>
      <c r="H73" s="25"/>
      <c r="I73" s="25"/>
      <c r="J73" s="25"/>
      <c r="K73" s="25"/>
    </row>
    <row r="74" spans="3:11" ht="20.100000000000001" customHeight="1" x14ac:dyDescent="0.25">
      <c r="C74" s="25"/>
      <c r="D74" s="1" t="s">
        <v>6</v>
      </c>
      <c r="E74" s="45">
        <v>12</v>
      </c>
      <c r="F74" s="2"/>
      <c r="G74" s="25"/>
      <c r="H74" s="25"/>
      <c r="I74" s="25"/>
      <c r="J74" s="25"/>
      <c r="K74" s="25"/>
    </row>
    <row r="75" spans="3:11" ht="20.100000000000001" customHeight="1" x14ac:dyDescent="0.25">
      <c r="C75" s="25"/>
      <c r="D75" s="1" t="s">
        <v>6</v>
      </c>
      <c r="E75" s="45">
        <v>67</v>
      </c>
      <c r="F75" s="2"/>
      <c r="G75" s="25"/>
      <c r="H75" s="25"/>
      <c r="I75" s="25"/>
      <c r="J75" s="25"/>
      <c r="K75" s="25"/>
    </row>
    <row r="76" spans="3:11" ht="15.75" x14ac:dyDescent="0.25">
      <c r="C76" s="25"/>
      <c r="D76" s="1" t="s">
        <v>6</v>
      </c>
      <c r="E76" s="45">
        <v>123</v>
      </c>
      <c r="F76" s="2"/>
      <c r="G76" s="25"/>
      <c r="H76" s="25"/>
      <c r="I76" s="25"/>
      <c r="J76" s="25"/>
      <c r="K76" s="25"/>
    </row>
    <row r="77" spans="3:11" ht="15.75" x14ac:dyDescent="0.25">
      <c r="C77" s="25"/>
      <c r="D77" s="1" t="s">
        <v>6</v>
      </c>
      <c r="E77" s="45">
        <v>893</v>
      </c>
      <c r="F77" s="2"/>
      <c r="G77" s="25"/>
      <c r="H77" s="25"/>
      <c r="I77" s="25"/>
      <c r="J77" s="25"/>
      <c r="K77" s="25"/>
    </row>
    <row r="78" spans="3:11" ht="19.5" x14ac:dyDescent="0.35">
      <c r="C78" s="25"/>
      <c r="D78" s="44" t="s">
        <v>11</v>
      </c>
      <c r="E78" s="26">
        <v>123</v>
      </c>
      <c r="F78" s="28" t="s">
        <v>20</v>
      </c>
      <c r="G78" s="25"/>
      <c r="H78" s="25"/>
      <c r="I78" s="25"/>
      <c r="J78" s="25"/>
      <c r="K78" s="25"/>
    </row>
    <row r="79" spans="3:11" x14ac:dyDescent="0.25">
      <c r="C79" s="25"/>
      <c r="D79" s="25"/>
      <c r="E79" s="25"/>
      <c r="F79" s="25"/>
      <c r="G79" s="25"/>
      <c r="H79" s="25"/>
      <c r="I79" s="25"/>
      <c r="J79" s="25"/>
      <c r="K79" s="25"/>
    </row>
    <row r="80" spans="3:11" x14ac:dyDescent="0.25">
      <c r="C80" s="25"/>
      <c r="D80" s="25"/>
      <c r="E80" s="25"/>
      <c r="F80" s="25"/>
      <c r="G80" s="25"/>
      <c r="H80" s="25"/>
      <c r="I80" s="25"/>
      <c r="J80" s="25"/>
      <c r="K80" s="25"/>
    </row>
    <row r="81" spans="3:11" x14ac:dyDescent="0.25">
      <c r="C81" s="25"/>
      <c r="D81" s="25"/>
      <c r="E81" s="25"/>
      <c r="F81" s="25"/>
      <c r="G81" s="25"/>
      <c r="H81" s="25"/>
      <c r="I81" s="25"/>
      <c r="J81" s="25"/>
      <c r="K81" s="25"/>
    </row>
    <row r="82" spans="3:11" ht="23.25" x14ac:dyDescent="0.25">
      <c r="C82" s="25"/>
      <c r="D82" s="43" t="s">
        <v>12</v>
      </c>
      <c r="E82" s="43"/>
      <c r="F82" s="43"/>
      <c r="G82" s="13"/>
      <c r="H82" s="13"/>
      <c r="I82" s="13"/>
      <c r="J82" s="13"/>
      <c r="K82" s="25"/>
    </row>
    <row r="83" spans="3:11" ht="15.75" x14ac:dyDescent="0.25">
      <c r="C83" s="25"/>
      <c r="D83" s="1" t="s">
        <v>23</v>
      </c>
      <c r="E83" s="45">
        <v>123</v>
      </c>
      <c r="F83" s="2"/>
      <c r="G83" s="25"/>
      <c r="H83" s="25"/>
      <c r="I83" s="25"/>
      <c r="J83" s="25"/>
      <c r="K83" s="25"/>
    </row>
    <row r="84" spans="3:11" ht="20.25" x14ac:dyDescent="0.35">
      <c r="C84" s="25"/>
      <c r="D84" s="44" t="s">
        <v>53</v>
      </c>
      <c r="E84" s="26">
        <v>123</v>
      </c>
      <c r="F84" s="28" t="s">
        <v>20</v>
      </c>
      <c r="G84" s="25"/>
      <c r="H84" s="25"/>
      <c r="I84" s="25"/>
      <c r="J84" s="25"/>
      <c r="K84" s="25"/>
    </row>
    <row r="85" spans="3:11" x14ac:dyDescent="0.25">
      <c r="C85" s="25"/>
      <c r="D85" s="25"/>
      <c r="E85" s="25"/>
      <c r="F85" s="25"/>
      <c r="G85" s="25"/>
      <c r="H85" s="25"/>
      <c r="I85" s="25"/>
      <c r="J85" s="25"/>
      <c r="K85" s="25"/>
    </row>
    <row r="86" spans="3:11" x14ac:dyDescent="0.25">
      <c r="C86" s="25"/>
      <c r="D86" s="25"/>
      <c r="E86" s="25"/>
      <c r="F86" s="25"/>
      <c r="G86" s="25"/>
      <c r="H86" s="25"/>
      <c r="I86" s="25"/>
      <c r="J86" s="25"/>
      <c r="K86" s="25"/>
    </row>
    <row r="87" spans="3:11" x14ac:dyDescent="0.25">
      <c r="C87" s="25"/>
      <c r="D87" s="25"/>
      <c r="E87" s="25"/>
      <c r="F87" s="25"/>
      <c r="G87" s="25"/>
      <c r="H87" s="25"/>
      <c r="I87" s="25"/>
      <c r="J87" s="25"/>
      <c r="K87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topLeftCell="A2" zoomScaleNormal="100" workbookViewId="0">
      <selection activeCell="E21" sqref="E21"/>
    </sheetView>
  </sheetViews>
  <sheetFormatPr defaultColWidth="9.140625" defaultRowHeight="15.75" x14ac:dyDescent="0.25"/>
  <cols>
    <col min="1" max="1" width="30.7109375" style="17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97" t="e" vm="1">
        <v>#VALUE!</v>
      </c>
      <c r="C1" s="12" t="s">
        <v>162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  <c r="J3" s="16"/>
      <c r="K3" s="16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8" t="str">
        <f>HYPERLINK("#'Results'!A1", "Results")</f>
        <v>Results</v>
      </c>
      <c r="C4" s="99"/>
      <c r="D4" s="99"/>
      <c r="E4" s="99"/>
      <c r="F4" s="99"/>
      <c r="G4" s="99"/>
      <c r="H4" s="99"/>
      <c r="I4" s="99"/>
      <c r="J4" s="99"/>
      <c r="K4" s="99"/>
    </row>
    <row r="5" spans="1:24" ht="20.100000000000001" customHeight="1" x14ac:dyDescent="0.25">
      <c r="D5" s="6" t="s">
        <v>76</v>
      </c>
      <c r="N5" s="68"/>
    </row>
    <row r="6" spans="1:24" ht="20.100000000000001" customHeight="1" x14ac:dyDescent="0.25">
      <c r="A6" s="21" t="s">
        <v>3</v>
      </c>
      <c r="D6" s="15"/>
      <c r="N6" s="69"/>
    </row>
    <row r="7" spans="1:24" ht="20.100000000000001" customHeight="1" x14ac:dyDescent="0.25">
      <c r="A7" s="22" t="str">
        <f>HYPERLINK("#'Input - Site'!A1", "Site")</f>
        <v>Site</v>
      </c>
      <c r="D7" s="1" t="s">
        <v>68</v>
      </c>
      <c r="E7" s="60" t="s">
        <v>67</v>
      </c>
      <c r="F7" s="2"/>
    </row>
    <row r="8" spans="1:24" ht="20.100000000000001" customHeight="1" x14ac:dyDescent="0.25">
      <c r="A8" s="18" t="str">
        <f>HYPERLINK("#'Input - MMS - Feedlot'!A1", "MMS - Feedlot")</f>
        <v>MMS - Feedlot</v>
      </c>
      <c r="D8" s="10" t="s">
        <v>143</v>
      </c>
      <c r="E8" s="60" t="s">
        <v>144</v>
      </c>
    </row>
    <row r="9" spans="1:24" ht="20.100000000000001" customHeight="1" x14ac:dyDescent="0.25">
      <c r="A9" s="18"/>
      <c r="N9" s="70"/>
    </row>
    <row r="10" spans="1:24" ht="20.100000000000001" customHeight="1" x14ac:dyDescent="0.25">
      <c r="A10" s="20" t="s">
        <v>147</v>
      </c>
      <c r="D10" s="124" t="s">
        <v>161</v>
      </c>
      <c r="E10" s="122"/>
      <c r="F10" s="125"/>
      <c r="G10" s="119"/>
      <c r="N10" s="70"/>
    </row>
    <row r="11" spans="1:24" ht="20.100000000000001" customHeight="1" x14ac:dyDescent="0.25">
      <c r="A11" s="18" t="str">
        <f>HYPERLINK("#'Calcs - CH4 MMS Feedlot'!A1", "MMS Methane")</f>
        <v>MMS Methane</v>
      </c>
      <c r="N11" s="71"/>
    </row>
    <row r="12" spans="1:24" ht="20.100000000000001" customHeight="1" x14ac:dyDescent="0.25">
      <c r="A12" s="18"/>
      <c r="D12" s="10" t="s">
        <v>173</v>
      </c>
      <c r="E12" s="93">
        <v>45292</v>
      </c>
      <c r="F12" s="2" t="s">
        <v>141</v>
      </c>
    </row>
    <row r="13" spans="1:24" ht="20.100000000000001" customHeight="1" x14ac:dyDescent="0.25">
      <c r="A13" s="19" t="s">
        <v>4</v>
      </c>
      <c r="D13" s="10" t="s">
        <v>174</v>
      </c>
      <c r="E13" s="100">
        <f>DATE(YEAR(E12)+1,MONTH(E12),DAY(E12))-1</f>
        <v>45657</v>
      </c>
      <c r="F13" s="2" t="s">
        <v>78</v>
      </c>
      <c r="N13" s="65"/>
      <c r="O13" s="65"/>
    </row>
    <row r="14" spans="1:24" ht="20.100000000000001" customHeight="1" x14ac:dyDescent="0.25">
      <c r="A14" s="18" t="str">
        <f>HYPERLINK("#'Constants - Common'!A1", "Constants - Common")</f>
        <v>Constants - Common</v>
      </c>
      <c r="N14" s="65"/>
      <c r="O14" s="65"/>
    </row>
    <row r="15" spans="1:24" ht="20.100000000000001" customHeight="1" x14ac:dyDescent="0.25">
      <c r="A15" s="18" t="str">
        <f>HYPERLINK("#'Constants - Livestock'!A1", "Constants - Livestock")</f>
        <v>Constants - Livestock</v>
      </c>
      <c r="N15" s="65"/>
      <c r="O15" s="65"/>
    </row>
    <row r="16" spans="1:24" ht="20.100000000000001" customHeight="1" x14ac:dyDescent="0.25">
      <c r="A16" s="18" t="str">
        <f>HYPERLINK("#'Acknowledgements'!A1", "Acknowledgements")</f>
        <v>Acknowledgements</v>
      </c>
      <c r="D16" s="6" t="s">
        <v>75</v>
      </c>
      <c r="N16" s="65"/>
      <c r="O16" s="65"/>
    </row>
    <row r="17" spans="1:25" ht="20.100000000000001" customHeight="1" x14ac:dyDescent="0.25">
      <c r="A17" s="96"/>
    </row>
    <row r="18" spans="1:25" ht="20.100000000000001" customHeight="1" x14ac:dyDescent="0.25">
      <c r="A18" s="18"/>
      <c r="D18" s="126" t="s">
        <v>77</v>
      </c>
      <c r="E18" s="121"/>
      <c r="F18" s="121"/>
      <c r="G18" s="117"/>
    </row>
    <row r="19" spans="1:25" ht="20.100000000000001" customHeight="1" x14ac:dyDescent="0.25">
      <c r="A19"/>
      <c r="D19" s="123" t="s">
        <v>142</v>
      </c>
      <c r="E19" s="120"/>
      <c r="F19" s="120"/>
      <c r="G19" s="118"/>
      <c r="N19" s="68"/>
    </row>
    <row r="20" spans="1:25" ht="20.100000000000001" customHeight="1" x14ac:dyDescent="0.25">
      <c r="A20"/>
      <c r="D20" s="1"/>
      <c r="E20" s="58"/>
      <c r="F20" s="2"/>
      <c r="N20" s="69"/>
    </row>
    <row r="21" spans="1:25" ht="20.100000000000001" customHeight="1" x14ac:dyDescent="0.25">
      <c r="A21"/>
      <c r="D21" s="1" t="s">
        <v>69</v>
      </c>
      <c r="E21" s="67" t="s">
        <v>208</v>
      </c>
      <c r="F21" s="2" t="s">
        <v>72</v>
      </c>
    </row>
    <row r="22" spans="1:25" ht="20.100000000000001" customHeight="1" x14ac:dyDescent="0.25">
      <c r="A22"/>
      <c r="D22" s="1" t="s">
        <v>94</v>
      </c>
      <c r="E22" s="67" t="s">
        <v>103</v>
      </c>
      <c r="F22" s="2" t="s">
        <v>72</v>
      </c>
      <c r="G22" s="1"/>
    </row>
    <row r="23" spans="1:25" ht="20.100000000000001" customHeight="1" x14ac:dyDescent="0.25">
      <c r="A23"/>
      <c r="D23" s="1" t="s">
        <v>70</v>
      </c>
      <c r="E23" s="67" t="s">
        <v>166</v>
      </c>
      <c r="F23" s="2" t="s">
        <v>72</v>
      </c>
    </row>
    <row r="24" spans="1:25" ht="20.100000000000001" customHeight="1" x14ac:dyDescent="0.25">
      <c r="A24"/>
      <c r="D24" s="1" t="s">
        <v>110</v>
      </c>
      <c r="E24" s="60">
        <v>307.7</v>
      </c>
      <c r="F24" s="2" t="s">
        <v>124</v>
      </c>
    </row>
    <row r="25" spans="1:25" ht="20.100000000000001" customHeight="1" x14ac:dyDescent="0.25">
      <c r="A25"/>
      <c r="D25" s="1" t="s">
        <v>132</v>
      </c>
      <c r="E25" s="60">
        <v>18</v>
      </c>
      <c r="F25" s="2" t="s">
        <v>73</v>
      </c>
      <c r="N25" s="69"/>
    </row>
    <row r="26" spans="1:25" ht="20.100000000000001" customHeight="1" x14ac:dyDescent="0.25">
      <c r="A26"/>
      <c r="D26" s="1" t="s">
        <v>133</v>
      </c>
      <c r="E26" s="60">
        <v>3000</v>
      </c>
      <c r="F26" s="2" t="s">
        <v>74</v>
      </c>
    </row>
    <row r="27" spans="1:25" ht="20.100000000000001" customHeight="1" x14ac:dyDescent="0.25">
      <c r="A27"/>
      <c r="D27" s="10" t="s">
        <v>134</v>
      </c>
      <c r="E27" s="60">
        <v>1326</v>
      </c>
      <c r="F27" s="2" t="s">
        <v>74</v>
      </c>
    </row>
    <row r="28" spans="1:25" ht="20.100000000000001" customHeight="1" x14ac:dyDescent="0.25">
      <c r="A28"/>
      <c r="D28" s="1" t="s">
        <v>135</v>
      </c>
      <c r="E28" s="60">
        <v>7</v>
      </c>
      <c r="F28" s="2" t="s">
        <v>125</v>
      </c>
    </row>
    <row r="29" spans="1:25" ht="20.100000000000001" customHeight="1" x14ac:dyDescent="0.25">
      <c r="A29"/>
      <c r="D29" s="10" t="s">
        <v>131</v>
      </c>
      <c r="E29" s="81">
        <f>E26/E27</f>
        <v>2.2624434389140271</v>
      </c>
      <c r="F29" s="2"/>
    </row>
    <row r="30" spans="1:25" ht="20.100000000000001" customHeight="1" x14ac:dyDescent="0.25">
      <c r="A30"/>
      <c r="D30" s="10" t="s">
        <v>104</v>
      </c>
      <c r="E30" s="81" t="e" cm="1">
        <f t="array" ref="E30">Common_InputFunctions.Utility_LookupItemFromMinMax(E26,#REF!,#REF!,#REF!)</f>
        <v>#REF!</v>
      </c>
      <c r="G30" s="59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ht="20.100000000000001" customHeight="1" x14ac:dyDescent="0.25">
      <c r="A31"/>
      <c r="D31" s="1" t="s">
        <v>71</v>
      </c>
      <c r="E31" s="81" t="e" cm="1">
        <f t="array" ref="E31">Common_InputFunctions.Utility_GetClimateZone(E25,E26,E28,E24,E29)</f>
        <v>#REF!</v>
      </c>
      <c r="F31" s="1"/>
      <c r="G31" s="58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20.100000000000001" customHeight="1" x14ac:dyDescent="0.25">
      <c r="A32"/>
      <c r="D32" s="1" t="s">
        <v>163</v>
      </c>
      <c r="E32" s="81" t="e" cm="1">
        <f t="array" ref="E32">Common_InputFunctions.Utility_LookupValueInTable($E$31,#REF!,#REF!)</f>
        <v>#REF!</v>
      </c>
      <c r="F32" s="1"/>
      <c r="G32" s="58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20.100000000000001" customHeight="1" x14ac:dyDescent="0.25">
      <c r="A33"/>
      <c r="D33" s="1" t="s">
        <v>123</v>
      </c>
      <c r="E33" s="81" t="e" cm="1">
        <f t="array" ref="E33">Common_InputFunctions.Utility_LookupItemFromMinMax(E25,#REF!,#REF!,#REF!)</f>
        <v>#REF!</v>
      </c>
      <c r="G33" s="101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20.100000000000001" customHeight="1" x14ac:dyDescent="0.25">
      <c r="A34"/>
      <c r="J34" s="90"/>
      <c r="K34" s="10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20.100000000000001" customHeight="1" x14ac:dyDescent="0.25">
      <c r="A35"/>
      <c r="J35" s="90"/>
      <c r="K35" s="104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20.100000000000001" customHeight="1" x14ac:dyDescent="0.25">
      <c r="A36"/>
      <c r="D36" s="102"/>
      <c r="E36" s="102"/>
      <c r="F36" s="103"/>
      <c r="G36" s="90"/>
      <c r="H36" s="90"/>
      <c r="I36" s="91"/>
      <c r="J36" s="90"/>
      <c r="K36" s="10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20.100000000000001" customHeight="1" x14ac:dyDescent="0.25">
      <c r="A37"/>
      <c r="D37" s="102"/>
      <c r="E37" s="102"/>
      <c r="F37" s="103"/>
      <c r="G37" s="90"/>
      <c r="H37" s="90"/>
      <c r="I37" s="91"/>
      <c r="J37" s="90"/>
      <c r="K37" s="10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20.100000000000001" customHeight="1" x14ac:dyDescent="0.25">
      <c r="A38"/>
      <c r="D38" s="102"/>
      <c r="E38" s="102"/>
      <c r="F38" s="103"/>
      <c r="G38" s="90"/>
      <c r="H38" s="90"/>
      <c r="I38" s="91"/>
      <c r="J38" s="90"/>
      <c r="K38" s="10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20.100000000000001" customHeight="1" x14ac:dyDescent="0.25">
      <c r="A39"/>
      <c r="D39" s="102"/>
      <c r="E39" s="102"/>
      <c r="F39" s="103"/>
      <c r="G39" s="90"/>
      <c r="H39" s="90"/>
      <c r="I39" s="91"/>
      <c r="J39" s="90"/>
      <c r="K39" s="10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20.100000000000001" customHeight="1" x14ac:dyDescent="0.25">
      <c r="A40"/>
      <c r="D40" s="105"/>
      <c r="E40" s="105"/>
      <c r="F40" s="105"/>
      <c r="G40" s="106"/>
      <c r="H40" s="107"/>
      <c r="I40" s="107"/>
      <c r="J40" s="107"/>
      <c r="K40" s="107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4"/>
    </row>
    <row r="47" spans="1:25" ht="20.100000000000001" customHeight="1" x14ac:dyDescent="0.25">
      <c r="D47" s="108"/>
      <c r="E47" s="108"/>
      <c r="F47" s="108"/>
      <c r="G47" s="108"/>
      <c r="H47" s="108"/>
    </row>
    <row r="48" spans="1:25" ht="20.100000000000001" customHeight="1" x14ac:dyDescent="0.25">
      <c r="D48" s="61"/>
      <c r="E48" s="61"/>
      <c r="F48" s="62"/>
      <c r="G48" s="62"/>
      <c r="H48" s="61"/>
    </row>
    <row r="49" spans="4:8" ht="20.100000000000001" customHeight="1" x14ac:dyDescent="0.25">
      <c r="D49" s="61"/>
      <c r="E49" s="61"/>
      <c r="F49" s="62"/>
      <c r="G49" s="62"/>
      <c r="H49" s="61"/>
    </row>
    <row r="50" spans="4:8" ht="20.100000000000001" customHeight="1" x14ac:dyDescent="0.25">
      <c r="D50" s="61"/>
      <c r="E50" s="61"/>
      <c r="F50" s="62"/>
      <c r="G50" s="62"/>
      <c r="H50" s="61"/>
    </row>
    <row r="51" spans="4:8" ht="20.100000000000001" customHeight="1" x14ac:dyDescent="0.25">
      <c r="D51" s="109"/>
      <c r="E51" s="110"/>
      <c r="F51" s="110"/>
      <c r="G51" s="110"/>
      <c r="H51" s="11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11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4"/>
      <c r="F57" s="113"/>
    </row>
    <row r="58" spans="4:8" ht="20.100000000000001" customHeight="1" x14ac:dyDescent="0.25">
      <c r="D58" s="1"/>
      <c r="E58" s="114"/>
    </row>
    <row r="59" spans="4:8" ht="20.100000000000001" customHeight="1" x14ac:dyDescent="0.25">
      <c r="D59" s="1"/>
      <c r="E59" s="114"/>
    </row>
    <row r="60" spans="4:8" ht="20.100000000000001" customHeight="1" x14ac:dyDescent="0.25">
      <c r="D60" s="1"/>
      <c r="E60" s="11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4"/>
    </row>
    <row r="64" spans="4:8" ht="20.100000000000001" customHeight="1" x14ac:dyDescent="0.25">
      <c r="D64" s="1"/>
      <c r="E64" s="114"/>
    </row>
    <row r="65" spans="4:9" ht="20.100000000000001" customHeight="1" x14ac:dyDescent="0.25">
      <c r="D65" s="1"/>
      <c r="E65" s="114"/>
    </row>
    <row r="66" spans="4:9" ht="20.100000000000001" customHeight="1" x14ac:dyDescent="0.25">
      <c r="D66" s="1"/>
      <c r="E66" s="11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89"/>
      <c r="E69" s="89"/>
      <c r="F69" s="89"/>
      <c r="G69" s="89"/>
      <c r="H69" s="89"/>
      <c r="I69" s="89"/>
    </row>
    <row r="70" spans="4:9" ht="20.100000000000001" customHeight="1" x14ac:dyDescent="0.25">
      <c r="D70" s="89"/>
      <c r="E70" s="89"/>
      <c r="F70" s="89"/>
      <c r="G70" s="89"/>
      <c r="H70" s="89"/>
      <c r="I70" s="89"/>
    </row>
    <row r="71" spans="4:9" ht="20.100000000000001" customHeight="1" x14ac:dyDescent="0.25">
      <c r="D71" s="89"/>
      <c r="E71" s="89"/>
      <c r="F71" s="89"/>
      <c r="G71" s="89"/>
      <c r="H71" s="89"/>
      <c r="I71" s="89"/>
    </row>
    <row r="72" spans="4:9" ht="20.100000000000001" customHeight="1" x14ac:dyDescent="0.25">
      <c r="D72" s="89"/>
      <c r="E72" s="89"/>
      <c r="F72" s="89"/>
      <c r="G72" s="89"/>
      <c r="H72" s="89"/>
      <c r="I72" s="89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116"/>
    </row>
    <row r="79" spans="4:9" ht="20.100000000000001" customHeight="1" x14ac:dyDescent="0.25">
      <c r="D79" s="116"/>
    </row>
    <row r="80" spans="4:9" ht="20.100000000000001" customHeight="1" x14ac:dyDescent="0.25">
      <c r="D80" s="116"/>
    </row>
    <row r="81" spans="4:4" ht="20.100000000000001" customHeight="1" x14ac:dyDescent="0.25">
      <c r="D81" s="116"/>
    </row>
    <row r="82" spans="4:4" ht="20.100000000000001" customHeight="1" x14ac:dyDescent="0.25">
      <c r="D82" s="11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topLeftCell="A7" workbookViewId="0">
      <selection activeCell="F13" sqref="F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85" customWidth="1"/>
    <col min="12" max="17" width="30.7109375" style="85" customWidth="1"/>
    <col min="18" max="18" width="4.7109375" style="85" customWidth="1"/>
  </cols>
  <sheetData>
    <row r="1" spans="1:18" s="97" customFormat="1" ht="30" customHeight="1" x14ac:dyDescent="0.35">
      <c r="A1" s="97" t="e" vm="1">
        <v>#VALUE!</v>
      </c>
      <c r="C1" s="97" t="s">
        <v>192</v>
      </c>
      <c r="K1" s="85"/>
      <c r="L1" s="85"/>
      <c r="M1" s="85"/>
      <c r="N1" s="85"/>
      <c r="O1" s="85"/>
      <c r="P1" s="85"/>
      <c r="Q1" s="85"/>
      <c r="R1" s="85"/>
    </row>
    <row r="2" spans="1:18" s="9" customFormat="1" ht="20.100000000000001" customHeight="1" x14ac:dyDescent="0.25">
      <c r="K2" s="85"/>
      <c r="L2" s="85"/>
      <c r="M2" s="85"/>
      <c r="N2" s="85"/>
      <c r="O2" s="85"/>
      <c r="P2" s="85"/>
      <c r="Q2" s="85"/>
      <c r="R2" s="85"/>
    </row>
    <row r="3" spans="1:18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</row>
    <row r="4" spans="1:18" ht="20.100000000000001" customHeight="1" x14ac:dyDescent="0.25">
      <c r="A4" s="18" t="str">
        <f>HYPERLINK("#'Results'!A1", "Results")</f>
        <v>Results</v>
      </c>
    </row>
    <row r="5" spans="1:18" ht="20.100000000000001" customHeight="1" x14ac:dyDescent="0.25">
      <c r="A5" s="17"/>
      <c r="D5" s="6" t="s">
        <v>218</v>
      </c>
    </row>
    <row r="6" spans="1:18" ht="20.100000000000001" customHeight="1" x14ac:dyDescent="0.25">
      <c r="A6" s="21" t="s">
        <v>3</v>
      </c>
    </row>
    <row r="7" spans="1:18" ht="20.100000000000001" customHeight="1" x14ac:dyDescent="0.25">
      <c r="A7" s="18" t="str">
        <f>HYPERLINK("#'Input - Site'!A1", "Site")</f>
        <v>Site</v>
      </c>
      <c r="D7" s="92"/>
      <c r="E7" s="66" t="s">
        <v>193</v>
      </c>
      <c r="F7" s="66" t="s">
        <v>194</v>
      </c>
      <c r="G7" s="66" t="s">
        <v>195</v>
      </c>
    </row>
    <row r="8" spans="1:18" ht="20.100000000000001" customHeight="1" x14ac:dyDescent="0.25">
      <c r="A8" s="22" t="str">
        <f>HYPERLINK("#'Input - MMS - Feedlot'!A1", "MMS - Feedlot")</f>
        <v>MMS - 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36">
        <v>4300</v>
      </c>
      <c r="F8" s="136">
        <v>100</v>
      </c>
      <c r="G8" s="136">
        <v>100</v>
      </c>
      <c r="H8" s="2" t="s">
        <v>220</v>
      </c>
    </row>
    <row r="9" spans="1:18" ht="20.100000000000001" customHeight="1" x14ac:dyDescent="0.25">
      <c r="A9" s="18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36">
        <v>90</v>
      </c>
      <c r="F9" s="136">
        <v>140</v>
      </c>
      <c r="G9" s="136">
        <v>250</v>
      </c>
      <c r="H9" s="2" t="s">
        <v>125</v>
      </c>
    </row>
    <row r="10" spans="1:18" ht="20.100000000000001" customHeight="1" x14ac:dyDescent="0.25">
      <c r="A10" s="20" t="s">
        <v>147</v>
      </c>
    </row>
    <row r="11" spans="1:18" ht="20.100000000000001" customHeight="1" x14ac:dyDescent="0.25">
      <c r="A11" s="18" t="str">
        <f>HYPERLINK("#'Calcs - CH4 MMS Feedlot'!A1", "MMS Methane")</f>
        <v>MMS Methane</v>
      </c>
      <c r="D11" s="6" t="s">
        <v>184</v>
      </c>
    </row>
    <row r="12" spans="1:18" ht="20.100000000000001" customHeight="1" x14ac:dyDescent="0.25">
      <c r="A12" s="18"/>
    </row>
    <row r="13" spans="1:18" ht="20.100000000000001" customHeight="1" x14ac:dyDescent="0.25">
      <c r="A13" s="19" t="s">
        <v>4</v>
      </c>
      <c r="D13" s="92"/>
      <c r="E13" s="66" t="s">
        <v>193</v>
      </c>
      <c r="F13" s="66" t="s">
        <v>194</v>
      </c>
      <c r="G13" s="66" t="s">
        <v>195</v>
      </c>
    </row>
    <row r="14" spans="1:18" ht="20.100000000000001" customHeight="1" x14ac:dyDescent="0.25">
      <c r="A14" s="18" t="str">
        <f>HYPERLINK("#'Constants - Common'!A1", "Constants - Common")</f>
        <v>Constants - Common</v>
      </c>
      <c r="D14" s="1" t="s">
        <v>185</v>
      </c>
      <c r="E14" s="95">
        <v>10.4</v>
      </c>
      <c r="F14" s="95">
        <v>10.8</v>
      </c>
      <c r="G14" s="95">
        <v>8.1999999999999993</v>
      </c>
      <c r="H14" s="2" t="s">
        <v>196</v>
      </c>
    </row>
    <row r="15" spans="1:18" ht="20.100000000000001" customHeight="1" x14ac:dyDescent="0.25">
      <c r="A15" s="18" t="str">
        <f>HYPERLINK("#'Constants - Livestock'!A1", "Constants - Livestock")</f>
        <v>Constants - Livestock</v>
      </c>
      <c r="D15" s="1" t="s">
        <v>83</v>
      </c>
      <c r="E15" s="75">
        <v>0.81</v>
      </c>
      <c r="F15" s="75">
        <v>0.81</v>
      </c>
      <c r="G15" s="75">
        <v>0.79</v>
      </c>
      <c r="H15" s="2" t="s">
        <v>84</v>
      </c>
    </row>
    <row r="16" spans="1:18" ht="20.100000000000001" customHeight="1" x14ac:dyDescent="0.25">
      <c r="A16" s="18" t="str">
        <f>HYPERLINK("#'Acknowledgements'!A1", "Acknowledgements")</f>
        <v>Acknowledgements</v>
      </c>
    </row>
    <row r="17" spans="1:8" ht="20.100000000000001" customHeight="1" x14ac:dyDescent="0.25">
      <c r="A17" s="96"/>
    </row>
    <row r="18" spans="1:8" ht="20.100000000000001" customHeight="1" x14ac:dyDescent="0.25">
      <c r="A18" s="18"/>
      <c r="D18" s="6" t="s">
        <v>201</v>
      </c>
    </row>
    <row r="19" spans="1:8" ht="20.100000000000001" customHeight="1" x14ac:dyDescent="0.25">
      <c r="A19" s="18"/>
    </row>
    <row r="20" spans="1:8" ht="20.100000000000001" customHeight="1" x14ac:dyDescent="0.25">
      <c r="D20" s="77" t="s">
        <v>221</v>
      </c>
    </row>
    <row r="21" spans="1:8" ht="20.100000000000001" customHeight="1" x14ac:dyDescent="0.25">
      <c r="D21" s="92" t="s">
        <v>190</v>
      </c>
      <c r="E21" s="127" t="s">
        <v>193</v>
      </c>
      <c r="F21" s="127" t="s">
        <v>194</v>
      </c>
      <c r="G21" s="127" t="s">
        <v>195</v>
      </c>
    </row>
    <row r="22" spans="1:8" ht="20.100000000000001" customHeight="1" x14ac:dyDescent="0.25">
      <c r="D22" s="81" t="s">
        <v>181</v>
      </c>
      <c r="E22" s="129">
        <v>1</v>
      </c>
      <c r="F22" s="129">
        <v>1</v>
      </c>
      <c r="G22" s="129">
        <v>1</v>
      </c>
      <c r="H22" s="2" t="s">
        <v>84</v>
      </c>
    </row>
    <row r="23" spans="1:8" ht="20.100000000000001" customHeight="1" x14ac:dyDescent="0.25">
      <c r="A23" s="96"/>
    </row>
    <row r="24" spans="1:8" ht="20.100000000000001" customHeight="1" x14ac:dyDescent="0.25"/>
    <row r="25" spans="1:8" ht="20.100000000000001" customHeight="1" x14ac:dyDescent="0.25">
      <c r="A25" s="18"/>
      <c r="D25" s="77" t="s">
        <v>222</v>
      </c>
    </row>
    <row r="26" spans="1:8" ht="20.100000000000001" customHeight="1" x14ac:dyDescent="0.25">
      <c r="A26" s="18"/>
      <c r="D26" s="127" t="s">
        <v>183</v>
      </c>
      <c r="E26" s="127" t="s">
        <v>193</v>
      </c>
      <c r="F26" s="127" t="s">
        <v>194</v>
      </c>
      <c r="G26" s="127" t="s">
        <v>195</v>
      </c>
    </row>
    <row r="27" spans="1:8" ht="20.100000000000001" customHeight="1" x14ac:dyDescent="0.25">
      <c r="A27" s="18"/>
      <c r="D27" s="1" t="str">
        <f>"Sent from " &amp; $D$22</f>
        <v>Sent from Drylot (feed pad)</v>
      </c>
      <c r="E27" s="84" t="str">
        <f>IF($D$30="Pasture range and paddock", "⚠️ ALERT: Manure sent to 'pasture range and paddock do not go to stage 2. Select 'No MMS'.", "")</f>
        <v/>
      </c>
    </row>
    <row r="28" spans="1:8" ht="20.100000000000001" customHeight="1" x14ac:dyDescent="0.25">
      <c r="A28" s="18"/>
      <c r="D28" s="81" t="str">
        <f>'Calcs - CH4 MMS Feedlot'!M44</f>
        <v>Solid storage</v>
      </c>
      <c r="E28" s="75">
        <v>0.2</v>
      </c>
      <c r="F28" s="75">
        <v>0.2</v>
      </c>
      <c r="G28" s="75">
        <v>0.2</v>
      </c>
      <c r="H28" s="2" t="s">
        <v>84</v>
      </c>
    </row>
    <row r="29" spans="1:8" ht="20.100000000000001" customHeight="1" x14ac:dyDescent="0.25">
      <c r="A29" s="18"/>
      <c r="D29" s="81" t="str">
        <f>'Calcs - CH4 MMS Feedlot'!M45</f>
        <v>Composting (passive windrow)</v>
      </c>
      <c r="E29" s="75">
        <v>0.2</v>
      </c>
      <c r="F29" s="75">
        <v>0.2</v>
      </c>
      <c r="G29" s="75">
        <v>0.2</v>
      </c>
      <c r="H29" s="2" t="s">
        <v>84</v>
      </c>
    </row>
    <row r="30" spans="1:8" ht="20.100000000000001" customHeight="1" x14ac:dyDescent="0.25">
      <c r="A30" s="18"/>
      <c r="D30" s="81" t="str">
        <f>'Calcs - CH4 MMS Feedlot'!M46</f>
        <v>Direct application</v>
      </c>
      <c r="E30" s="75">
        <v>0.6</v>
      </c>
      <c r="F30" s="75">
        <v>0.6</v>
      </c>
      <c r="G30" s="75">
        <v>0.6</v>
      </c>
      <c r="H30" s="2" t="s">
        <v>84</v>
      </c>
    </row>
    <row r="31" spans="1:8" ht="20.100000000000001" customHeight="1" x14ac:dyDescent="0.25">
      <c r="A31" s="96"/>
      <c r="D31" s="1" t="s">
        <v>177</v>
      </c>
      <c r="E31" s="129">
        <f>IF($D$30="Pasture range and paddock", "N/A", SUM(E28:E30))</f>
        <v>1</v>
      </c>
      <c r="F31" s="129">
        <f>IF($D$30="Pasture range and paddock", "N/A", SUM(F28:F30))</f>
        <v>1</v>
      </c>
      <c r="G31" s="129">
        <f>IF($D$30="Pasture range and paddock", "N/A", SUM(G28:G30))</f>
        <v>1</v>
      </c>
      <c r="H31" s="2" t="s">
        <v>84</v>
      </c>
    </row>
    <row r="32" spans="1:8" ht="20.100000000000001" customHeight="1" x14ac:dyDescent="0.25">
      <c r="A32" s="96"/>
    </row>
    <row r="33" spans="1:8" ht="20.100000000000001" customHeight="1" x14ac:dyDescent="0.25">
      <c r="A33" s="18"/>
    </row>
    <row r="34" spans="1:8" ht="20.100000000000001" customHeight="1" x14ac:dyDescent="0.25">
      <c r="D34" s="77" t="s">
        <v>223</v>
      </c>
    </row>
    <row r="35" spans="1:8" ht="20.100000000000001" customHeight="1" x14ac:dyDescent="0.25">
      <c r="D35" s="92" t="s">
        <v>210</v>
      </c>
      <c r="E35" s="127" t="s">
        <v>193</v>
      </c>
      <c r="F35" s="127" t="s">
        <v>194</v>
      </c>
      <c r="G35" s="127" t="s">
        <v>195</v>
      </c>
    </row>
    <row r="36" spans="1:8" ht="20.100000000000001" customHeight="1" x14ac:dyDescent="0.25">
      <c r="D36" s="81" t="str">
        <f>'Calcs - CH4 MMS Feedlot'!$M$47</f>
        <v>Anaerobic lagoon</v>
      </c>
      <c r="E36" s="129">
        <f>'Calcs - CH4 MMS Feedlot'!$N$12</f>
        <v>0.02</v>
      </c>
      <c r="F36" s="129">
        <f>'Calcs - CH4 MMS Feedlot'!$N$12</f>
        <v>0.02</v>
      </c>
      <c r="G36" s="129">
        <f>'Calcs - CH4 MMS Feedlot'!$N$12</f>
        <v>0.02</v>
      </c>
      <c r="H36" s="2" t="s">
        <v>84</v>
      </c>
    </row>
    <row r="37" spans="1:8" ht="20.100000000000001" customHeight="1" x14ac:dyDescent="0.25"/>
    <row r="38" spans="1:8" ht="20.100000000000001" customHeight="1" x14ac:dyDescent="0.25">
      <c r="D38" s="77" t="s">
        <v>182</v>
      </c>
    </row>
    <row r="39" spans="1:8" ht="20.100000000000001" customHeight="1" x14ac:dyDescent="0.25">
      <c r="A39" s="18"/>
      <c r="D39" s="82" t="str">
        <f>"Sent from " &amp; $D$22</f>
        <v>Sent from Drylot (feed pad)</v>
      </c>
      <c r="E39" s="84" t="str">
        <f>IF($D$30="Pasture range and paddock", "⚠️ ALERT Manure sent to 'pasture range and paddock do not go to stage 2, or post-treatment destinations.", "")</f>
        <v/>
      </c>
    </row>
    <row r="40" spans="1:8" ht="20.100000000000001" customHeight="1" x14ac:dyDescent="0.25">
      <c r="D40" s="1" t="str">
        <f>"Percent sold from " &amp; $D$28</f>
        <v>Percent sold from Solid storage</v>
      </c>
      <c r="E40" s="75">
        <v>0.25</v>
      </c>
      <c r="F40" s="75">
        <v>0.25</v>
      </c>
      <c r="G40" s="75">
        <v>0.25</v>
      </c>
      <c r="H40" s="2" t="s">
        <v>84</v>
      </c>
    </row>
    <row r="41" spans="1:8" ht="20.100000000000001" customHeight="1" x14ac:dyDescent="0.25">
      <c r="A41" s="72"/>
      <c r="D41" s="1" t="str">
        <f>"Percent deposited on farm soils from " &amp; $D$28</f>
        <v>Percent deposited on farm soils from Solid storage</v>
      </c>
      <c r="E41" s="129">
        <f>1-E40</f>
        <v>0.75</v>
      </c>
      <c r="F41" s="129">
        <f>1-F40</f>
        <v>0.75</v>
      </c>
      <c r="G41" s="129">
        <f>1-G40</f>
        <v>0.75</v>
      </c>
      <c r="H41" s="2" t="s">
        <v>84</v>
      </c>
    </row>
    <row r="42" spans="1:8" ht="20.100000000000001" customHeight="1" x14ac:dyDescent="0.25"/>
    <row r="43" spans="1:8" ht="20.100000000000001" customHeight="1" x14ac:dyDescent="0.25">
      <c r="D43" s="1" t="str">
        <f>"Percent sold from " &amp; $D$29</f>
        <v>Percent sold from Composting (passive windrow)</v>
      </c>
      <c r="E43" s="75">
        <v>0.25</v>
      </c>
      <c r="F43" s="75">
        <v>0.25</v>
      </c>
      <c r="G43" s="75">
        <v>0.25</v>
      </c>
      <c r="H43" s="2" t="s">
        <v>84</v>
      </c>
    </row>
    <row r="44" spans="1:8" ht="20.100000000000001" customHeight="1" x14ac:dyDescent="0.25">
      <c r="D44" s="1" t="str">
        <f>"Percent deposited on farm soils from " &amp; $D$29</f>
        <v>Percent deposited on farm soils from Composting (passive windrow)</v>
      </c>
      <c r="E44" s="129">
        <f>1-E43</f>
        <v>0.75</v>
      </c>
      <c r="F44" s="129">
        <f>1-F43</f>
        <v>0.75</v>
      </c>
      <c r="G44" s="129">
        <f>1-G43</f>
        <v>0.75</v>
      </c>
      <c r="H44" s="2" t="s">
        <v>84</v>
      </c>
    </row>
    <row r="45" spans="1:8" ht="20.100000000000001" customHeight="1" x14ac:dyDescent="0.25"/>
    <row r="46" spans="1:8" ht="20.100000000000001" customHeight="1" x14ac:dyDescent="0.25">
      <c r="D46" s="1" t="str">
        <f>"Percent sold from " &amp; $D$30 &amp; " for sale"</f>
        <v>Percent sold from Direct application for sale</v>
      </c>
      <c r="E46" s="75">
        <v>0.25</v>
      </c>
      <c r="F46" s="75">
        <v>0.25</v>
      </c>
      <c r="G46" s="75">
        <v>0.25</v>
      </c>
      <c r="H46" s="2" t="s">
        <v>84</v>
      </c>
    </row>
    <row r="47" spans="1:8" ht="20.100000000000001" customHeight="1" x14ac:dyDescent="0.25">
      <c r="D47" s="1" t="str">
        <f>"Percent deposited on farm soils from " &amp; $D$30</f>
        <v>Percent deposited on farm soils from Direct application</v>
      </c>
      <c r="E47" s="129">
        <f>1-E46</f>
        <v>0.75</v>
      </c>
      <c r="F47" s="129">
        <f>1-F46</f>
        <v>0.75</v>
      </c>
      <c r="G47" s="129">
        <f>1-G46</f>
        <v>0.75</v>
      </c>
      <c r="H47" s="2" t="s">
        <v>84</v>
      </c>
    </row>
    <row r="48" spans="1: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3">
    <dataValidation type="list" allowBlank="1" showInputMessage="1" showErrorMessage="1" sqref="D23" xr:uid="{4E913AB3-F90B-4C35-BCE1-5DBB8FC05107}">
      <formula1>INDIRECT("Table_SourceData_PoultryMMSStage1[MMS]")</formula1>
    </dataValidation>
    <dataValidation type="whole" operator="equal" allowBlank="1" showInputMessage="1" showErrorMessage="1" sqref="E22:G22" xr:uid="{AD2F5710-950E-4169-B1DB-B494F727C0BB}">
      <formula1>1</formula1>
    </dataValidation>
    <dataValidation operator="equal" allowBlank="1" showInputMessage="1" showErrorMessage="1" sqref="E36:G36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D22</xm:sqref>
        </x14:dataValidation>
        <x14:dataValidation type="list" allowBlank="1" showInputMessage="1" showErrorMessage="1" xr:uid="{E07FB3AA-F53C-4B65-95CE-912A14C9716E}">
          <x14:formula1>
            <xm:f>'Calcs - CH4 MMS Feedlot'!$M$47</xm:f>
          </x14:formula1>
          <xm:sqref>D36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76"/>
  <sheetViews>
    <sheetView showGridLines="0" topLeftCell="A141" workbookViewId="0">
      <selection activeCell="F172" sqref="F17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97" t="e" vm="1">
        <v>#VALUE!</v>
      </c>
      <c r="C1" s="8" t="s">
        <v>217</v>
      </c>
    </row>
    <row r="2" spans="1:24" s="9" customFormat="1" ht="20.100000000000001" customHeight="1" x14ac:dyDescent="0.25"/>
    <row r="3" spans="1:24" ht="20.100000000000001" customHeight="1" x14ac:dyDescent="0.25">
      <c r="A3" s="18" t="str">
        <f>HYPERLINK("#'Home'!A1", "Home")</f>
        <v>Home</v>
      </c>
      <c r="C3" s="4"/>
      <c r="D3" s="4" t="s">
        <v>88</v>
      </c>
      <c r="E3" s="4"/>
      <c r="F3" s="4"/>
      <c r="G3" s="4"/>
      <c r="H3" s="4"/>
      <c r="I3" s="4"/>
      <c r="J3" s="4"/>
      <c r="L3" s="4"/>
      <c r="M3" s="4" t="s">
        <v>89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8" t="str">
        <f>HYPERLINK("#'Results'!A1", "Results")</f>
        <v>Results</v>
      </c>
    </row>
    <row r="5" spans="1:24" ht="20.100000000000001" customHeight="1" x14ac:dyDescent="0.25">
      <c r="A5" s="17"/>
      <c r="D5" s="6" t="str" cm="1">
        <f t="array" ref="D5">MMS_Feedlot_Methane_Equations.VEERG_4_1_1_1__5_VolatileSolidProduction_Title()</f>
        <v>Volatile solid production</v>
      </c>
      <c r="M5" s="6" t="str" cm="1">
        <f t="array" ref="M5">SourceData_Feedlot.SourceData_Feedlot_VSL_Title()</f>
        <v>Feedlot - Fraction of volatile solids lost during storage in the primary system</v>
      </c>
    </row>
    <row r="6" spans="1:24" ht="20.100000000000001" customHeight="1" x14ac:dyDescent="0.25">
      <c r="A6" s="21" t="s">
        <v>3</v>
      </c>
      <c r="D6" s="5" t="str" cm="1">
        <f t="array" ref="D6">MMS_Feedlot_Methane_Equations.VEERG_4_1_1_1__5_VolatileSolidProduction_Source()</f>
        <v>VEERG 2026: 4.1.1.1, Equation (5)</v>
      </c>
      <c r="M6" s="5" t="str" cm="1">
        <f t="array" ref="M6">SourceData_Feedlot.SourceData_Feedlot_VSL_Source()</f>
        <v>VEERG 2026: 4.1.2.3 CONSTANTS</v>
      </c>
    </row>
    <row r="7" spans="1:24" ht="20.100000000000001" customHeight="1" x14ac:dyDescent="0.25">
      <c r="A7" s="18" t="str">
        <f>HYPERLINK("#'Input - Site'!A1", "Site")</f>
        <v>Site</v>
      </c>
      <c r="D7" s="14" t="s">
        <v>95</v>
      </c>
      <c r="E7" s="14" t="str" cm="1">
        <f t="array" aca="1" ref="E7" ca="1">Common_InputFunctions.Utility_DisplayFunctionName(D30)</f>
        <v>=MMS_Feedlot_Methane_Equations.VEERG_4_1_1_1__5_VolatileSolidProduction(D20,D25,$G$15)</v>
      </c>
      <c r="M7" s="82" t="str" cm="1">
        <f t="array" ref="M7">SourceData_Feedlot.SourceData_Feedlot_VSL_Variable()</f>
        <v>VSL</v>
      </c>
      <c r="N7" s="1" cm="1">
        <f t="array" ref="N7">SourceData_Feedlot.SourceData_Feedlot_VSL_Data()</f>
        <v>0.5</v>
      </c>
      <c r="O7" s="83" t="str" cm="1">
        <f t="array" ref="O7">SourceData_Feedlot.SourceData_Feedlot_VSL_Unit()</f>
        <v>Fraction</v>
      </c>
    </row>
    <row r="8" spans="1:24" ht="20.100000000000001" customHeight="1" x14ac:dyDescent="0.25">
      <c r="A8" s="18" t="str">
        <f>HYPERLINK("#'Input - MMS - Feedlot'!A1", "MMS - Feedlot")</f>
        <v>MMS - Feedlot</v>
      </c>
    </row>
    <row r="9" spans="1:24" ht="20.100000000000001" customHeight="1" x14ac:dyDescent="0.25">
      <c r="A9" s="18"/>
    </row>
    <row r="10" spans="1:24" ht="20.100000000000001" customHeight="1" x14ac:dyDescent="0.25">
      <c r="A10" s="20" t="s">
        <v>147</v>
      </c>
      <c r="D10" s="82" t="s">
        <v>98</v>
      </c>
      <c r="E10" s="1" t="str" cm="1">
        <f t="array" ref="E10">MMS_Feedlot_Methane_Equations.VEERG_4_1_1_1__5_VolatileSolidProduction_Variable()</f>
        <v>VSj</v>
      </c>
      <c r="M10" s="6" t="str" cm="1">
        <f t="array" ref="M10">SourceData_Feedlot.SourceData_Feedlot_MMSm1T3_Title()</f>
        <v>Fraction of volatile solids to each tertiary system assumed that 2 per cent is run - off from the feed pad.</v>
      </c>
    </row>
    <row r="11" spans="1:24" ht="20.100000000000001" customHeight="1" x14ac:dyDescent="0.25">
      <c r="A11" s="23" t="str">
        <f>HYPERLINK("#'Calcs - CH4 MMS Feedlot'!A1", "MMS Methane")</f>
        <v>MMS Methane</v>
      </c>
      <c r="D11" s="82" t="s">
        <v>86</v>
      </c>
      <c r="E11" s="83" t="str" cm="1">
        <f t="array" ref="E11">MMS_Feedlot_Methane_Equations.VEERG_4_1_1_1__5_VolatileSolidProduction_Unit()</f>
        <v>kg/head/day</v>
      </c>
      <c r="M11" s="5" t="str" cm="1">
        <f t="array" ref="M11">SourceData_Feedlot.SourceData_Feedlot_MMSm1T3_Source()</f>
        <v>VEERG 2026: 4.1.2.3 CONSTANTS</v>
      </c>
    </row>
    <row r="12" spans="1:24" ht="20.100000000000001" customHeight="1" x14ac:dyDescent="0.25">
      <c r="A12" s="18" t="s">
        <v>207</v>
      </c>
      <c r="M12" s="82" t="str" cm="1">
        <f t="array" ref="M12">SourceData_Feedlot.SourceData_Feedlot_MMSm1T3_Variable()</f>
        <v>MMSm1T3</v>
      </c>
      <c r="N12" s="1" cm="1">
        <f t="array" ref="N12">SourceData_Feedlot.SourceData_Feedlot_MMSm1T3_Data()</f>
        <v>0.02</v>
      </c>
      <c r="O12" s="83" t="str" cm="1">
        <f t="array" ref="O12">SourceData_Feedlot.SourceData_Feedlot_MMSm1T3_Unit()</f>
        <v>Fraction</v>
      </c>
    </row>
    <row r="13" spans="1:24" ht="20.100000000000001" customHeight="1" x14ac:dyDescent="0.25">
      <c r="D13" s="86" t="str" cm="1">
        <f t="array" ref="D13:E15">MMS_Feedlot_Methane_Equations.VEERG_4_1_1_1__5_VolatileSolidProduction_Arguments()</f>
        <v>Ij</v>
      </c>
      <c r="E13" s="87" t="str">
        <v>dry matter intake for each group : kg DM/head/day</v>
      </c>
      <c r="F13" s="88"/>
      <c r="G13" s="86" t="str">
        <f>"See " &amp; D17</f>
        <v>See Table_I_j</v>
      </c>
    </row>
    <row r="14" spans="1:24" ht="20.100000000000001" customHeight="1" x14ac:dyDescent="0.25">
      <c r="A14" s="19" t="s">
        <v>4</v>
      </c>
      <c r="D14" s="86" t="str">
        <v>DMDj</v>
      </c>
      <c r="E14" s="87" t="str">
        <v>dry matter digestibility for each group : fraction</v>
      </c>
      <c r="F14" s="88"/>
      <c r="G14" s="86" t="str">
        <f>"See " &amp; D22</f>
        <v>See Table_DMD_j</v>
      </c>
    </row>
    <row r="15" spans="1:24" ht="20.100000000000001" customHeight="1" x14ac:dyDescent="0.25">
      <c r="A15" s="18" t="str">
        <f>HYPERLINK("#'Constants - Common'!A1", "Constants - Common")</f>
        <v>Constants - Common</v>
      </c>
      <c r="D15" s="86" t="str">
        <v>A</v>
      </c>
      <c r="E15" s="87" t="str">
        <v>ash content of manure : fraction</v>
      </c>
      <c r="F15" s="88"/>
      <c r="G15" s="81">
        <f>$N$17</f>
        <v>0.16</v>
      </c>
      <c r="M15" s="6" t="str" cm="1">
        <f t="array" ref="M15">SourceData_Feedlot.SourceData_Feedlot_AshContent_Title()</f>
        <v>Ash content of manure.</v>
      </c>
    </row>
    <row r="16" spans="1:24" ht="20.100000000000001" customHeight="1" x14ac:dyDescent="0.25">
      <c r="A16" s="18" t="str">
        <f>HYPERLINK("#'Constants - Livestock'!A1", "Constants - Livestock")</f>
        <v>Constants - Livestock</v>
      </c>
      <c r="M16" s="5" t="str" cm="1">
        <f t="array" ref="M16">SourceData_Feedlot.SourceData_Feedlot_AshContent_Source()</f>
        <v>VEERG 2026: 4.1.2.3 CONSTANTS</v>
      </c>
    </row>
    <row r="17" spans="1:23" ht="20.100000000000001" customHeight="1" x14ac:dyDescent="0.25">
      <c r="A17" s="18" t="str">
        <f>HYPERLINK("#'Acknowledgements'!A1", "Acknowledgements")</f>
        <v>Acknowledgements</v>
      </c>
      <c r="D17" s="132" t="s">
        <v>191</v>
      </c>
      <c r="M17" s="82" t="str" cm="1">
        <f t="array" ref="M17">SourceData_Feedlot.SourceData_Feedlot_AshContent_Variable()</f>
        <v>A</v>
      </c>
      <c r="N17" s="1" cm="1">
        <f t="array" ref="N17">SourceData_Feedlot.SourceData_Feedlot_AshContent_Data()</f>
        <v>0.16</v>
      </c>
      <c r="O17" s="83" t="str" cm="1">
        <f t="array" ref="O17">SourceData_Feedlot.SourceData_Feedlot_AshContent_Unit()</f>
        <v>Fraction</v>
      </c>
    </row>
    <row r="18" spans="1:23" ht="20.100000000000001" customHeight="1" x14ac:dyDescent="0.25">
      <c r="A18" s="96"/>
      <c r="D18" s="131" t="s">
        <v>185</v>
      </c>
    </row>
    <row r="19" spans="1:23" ht="20.100000000000001" customHeight="1" x14ac:dyDescent="0.25">
      <c r="A19" s="18"/>
      <c r="D19" s="80" t="s">
        <v>193</v>
      </c>
      <c r="E19" s="80" t="s">
        <v>194</v>
      </c>
      <c r="F19" s="80" t="s">
        <v>195</v>
      </c>
    </row>
    <row r="20" spans="1:23" ht="20.100000000000001" customHeight="1" x14ac:dyDescent="0.25">
      <c r="A20" s="18"/>
      <c r="D20" s="81">
        <f>'Input - MMS - Feedlot'!$E$14</f>
        <v>10.4</v>
      </c>
      <c r="E20" s="81">
        <f>'Input - MMS - Feedlot'!$F$14</f>
        <v>10.8</v>
      </c>
      <c r="F20" s="81">
        <f>'Input - MMS - Feedlot'!$G$14</f>
        <v>8.1999999999999993</v>
      </c>
      <c r="G20" s="2" t="s">
        <v>186</v>
      </c>
      <c r="M20" s="6" t="str" cm="1">
        <f t="array" ref="M20">SourceData_Feedlot.SourceData_Feedlot_MethaneEmissionsPotential_Title()</f>
        <v>Methane emissions potential.</v>
      </c>
    </row>
    <row r="21" spans="1:23" ht="20.100000000000001" customHeight="1" x14ac:dyDescent="0.25">
      <c r="A21" t="s">
        <v>79</v>
      </c>
      <c r="M21" s="5" t="str" cm="1">
        <f t="array" ref="M21">SourceData_Feedlot.SourceData_Feedlot_MethaneEmissionsPotential_Source()</f>
        <v>VEERG 2026: 4.1.2.3 CONSTANTS</v>
      </c>
    </row>
    <row r="22" spans="1:23" ht="20.100000000000001" customHeight="1" x14ac:dyDescent="0.25">
      <c r="D22" s="132" t="s">
        <v>197</v>
      </c>
      <c r="M22" s="82" t="str" cm="1">
        <f t="array" ref="M22">SourceData_Feedlot.SourceData_Feedlot_MethaneEmissionsPotential_Variable()</f>
        <v>B0</v>
      </c>
      <c r="N22" s="1" cm="1">
        <f t="array" ref="N22">SourceData_Feedlot.SourceData_Feedlot_MethaneEmissionsPotential_Data()</f>
        <v>0.19</v>
      </c>
      <c r="O22" s="83" t="str" cm="1">
        <f t="array" ref="O22">SourceData_Feedlot.SourceData_Feedlot_MethaneEmissionsPotential_Unit()</f>
        <v>m3 CH4 / kg VS</v>
      </c>
    </row>
    <row r="23" spans="1:23" ht="20.100000000000001" customHeight="1" x14ac:dyDescent="0.25">
      <c r="D23" s="131" t="s">
        <v>83</v>
      </c>
    </row>
    <row r="24" spans="1:23" ht="20.100000000000001" customHeight="1" x14ac:dyDescent="0.25">
      <c r="D24" s="80" t="s">
        <v>193</v>
      </c>
      <c r="E24" s="80" t="s">
        <v>194</v>
      </c>
      <c r="F24" s="80" t="s">
        <v>195</v>
      </c>
    </row>
    <row r="25" spans="1:23" ht="20.100000000000001" customHeight="1" x14ac:dyDescent="0.25">
      <c r="D25" s="81">
        <f>'Input - MMS - Feedlot'!$E$15</f>
        <v>0.81</v>
      </c>
      <c r="E25" s="81">
        <f>'Input - MMS - Feedlot'!$F$15</f>
        <v>0.81</v>
      </c>
      <c r="F25" s="81">
        <f>'Input - MMS - Feedlot'!$G$15</f>
        <v>0.79</v>
      </c>
      <c r="G25" s="2" t="s">
        <v>178</v>
      </c>
      <c r="M25" s="6" t="str" cm="1">
        <f t="array" ref="M25">SourceData_Feedlot.SourceData_Feedlot_MCF_Title()</f>
        <v>Feedlot - MCFs</v>
      </c>
    </row>
    <row r="26" spans="1:23" ht="20.100000000000001" customHeight="1" x14ac:dyDescent="0.25">
      <c r="M26" s="5" t="str" cm="1">
        <f t="array" ref="M26">SourceData_Feedlot.SourceData_Feedlot_MCF_Source()</f>
        <v>VEERG 2026: Table A.1.7.4: Feedlot - MCFs</v>
      </c>
    </row>
    <row r="27" spans="1:23" ht="20.100000000000001" customHeight="1" x14ac:dyDescent="0.25">
      <c r="D27" s="132" t="s">
        <v>179</v>
      </c>
      <c r="M27" s="84" t="str" cm="1">
        <f t="array" ref="M27:M30">SourceData_Feedlot.SourceData_Feedlot_MCF_Variation()</f>
        <v>VARIATION ON SOURCE:</v>
      </c>
    </row>
    <row r="28" spans="1:23" ht="20.100000000000001" customHeight="1" x14ac:dyDescent="0.25">
      <c r="D28" s="131" t="s">
        <v>187</v>
      </c>
      <c r="M28" s="84" t="str">
        <v>Duplicated NSW values for ACT</v>
      </c>
    </row>
    <row r="29" spans="1:23" ht="20.100000000000001" customHeight="1" x14ac:dyDescent="0.25">
      <c r="D29" s="80" t="s">
        <v>193</v>
      </c>
      <c r="E29" s="80" t="s">
        <v>194</v>
      </c>
      <c r="F29" s="80" t="s">
        <v>195</v>
      </c>
      <c r="M29" s="84" t="str">
        <v>Added NT and TAS columns with 'no data' values</v>
      </c>
    </row>
    <row r="30" spans="1:23" ht="20.100000000000001" customHeight="1" x14ac:dyDescent="0.25">
      <c r="D30" s="81" cm="1">
        <f t="array" ref="D30">MMS_Feedlot_Methane_Equations.VEERG_4_1_1_1__5_VolatileSolidProduction(D20,D25,$G$15)</f>
        <v>1.6598399999999995</v>
      </c>
      <c r="E30" s="81" cm="1">
        <f t="array" ref="E30">MMS_Feedlot_Methane_Equations.VEERG_4_1_1_1__5_VolatileSolidProduction(E20,E25,$G$15)</f>
        <v>1.7236799999999997</v>
      </c>
      <c r="F30" s="81" cm="1">
        <f t="array" ref="F30">MMS_Feedlot_Methane_Equations.VEERG_4_1_1_1__5_VolatileSolidProduction(F20,F25,$G$15)</f>
        <v>1.4464799999999995</v>
      </c>
      <c r="G30" s="2" t="str">
        <f>$E$11</f>
        <v>kg/head/day</v>
      </c>
      <c r="M30" s="84" t="str">
        <v>Added 'NIR definition' column with MMS names that match NIR definitions.</v>
      </c>
    </row>
    <row r="31" spans="1:23" ht="20.100000000000001" customHeight="1" x14ac:dyDescent="0.25"/>
    <row r="32" spans="1:23" ht="20.100000000000001" customHeight="1" x14ac:dyDescent="0.25">
      <c r="M32" s="64" t="s">
        <v>199</v>
      </c>
      <c r="N32" s="64" t="s">
        <v>189</v>
      </c>
      <c r="O32" s="64" t="s">
        <v>154</v>
      </c>
      <c r="P32" s="64" t="s">
        <v>153</v>
      </c>
      <c r="Q32" s="64" t="s">
        <v>156</v>
      </c>
      <c r="R32" s="64" t="s">
        <v>155</v>
      </c>
      <c r="S32" s="64" t="s">
        <v>157</v>
      </c>
      <c r="T32" s="64" t="s">
        <v>159</v>
      </c>
      <c r="U32" s="64" t="s">
        <v>160</v>
      </c>
      <c r="V32" s="64" t="s">
        <v>158</v>
      </c>
      <c r="W32" s="64" t="s">
        <v>176</v>
      </c>
    </row>
    <row r="33" spans="3:23" ht="20.100000000000001" customHeight="1" x14ac:dyDescent="0.25">
      <c r="C33" s="73"/>
      <c r="D33" s="73"/>
      <c r="E33" s="73"/>
      <c r="F33" s="73"/>
      <c r="G33" s="73"/>
      <c r="H33" s="73"/>
      <c r="I33" s="73"/>
      <c r="J33" s="73"/>
      <c r="M33" s="64" t="str" cm="1">
        <f t="array" ref="M33">Common_InputFunctions.Utility_DisplayArrayInTable(SourceData_Feedlot.SourceData_Feedlot_MCF_Data(), Table_SourceData_Feedlot_MCF[[#Headers],[Treatment stage T]], 0)</f>
        <v>Primary</v>
      </c>
      <c r="N33" s="64" t="str" cm="1">
        <f t="array" ref="N33">Common_InputFunctions.Utility_DisplayArrayInTable(SourceData_Feedlot.SourceData_Feedlot_MCF_Data(), Table_SourceData_Feedlot_MCF[[#Headers],[Treatment stage T]], 0)</f>
        <v>Dry lot (Feedpad)</v>
      </c>
      <c r="O33" s="64" cm="1">
        <f t="array" ref="O33">Common_InputFunctions.Utility_DisplayArrayInTable(SourceData_Feedlot.SourceData_Feedlot_MCF_Data(), Table_SourceData_Feedlot_MCF[[#Headers],[Treatment stage T]], 0)</f>
        <v>0.01</v>
      </c>
      <c r="P33" s="64" cm="1">
        <f t="array" ref="P33">Common_InputFunctions.Utility_DisplayArrayInTable(SourceData_Feedlot.SourceData_Feedlot_MCF_Data(), Table_SourceData_Feedlot_MCF[[#Headers],[Treatment stage T]], 0)</f>
        <v>0.01</v>
      </c>
      <c r="Q33" s="64" cm="1">
        <f t="array" ref="Q33">Common_InputFunctions.Utility_DisplayArrayInTable(SourceData_Feedlot.SourceData_Feedlot_MCF_Data(), Table_SourceData_Feedlot_MCF[[#Headers],[Treatment stage T]], 0)</f>
        <v>0.03</v>
      </c>
      <c r="R33" s="64" t="str" cm="1">
        <f t="array" ref="R33">Common_InputFunctions.Utility_DisplayArrayInTable(SourceData_Feedlot.SourceData_Feedlot_MCF_Data(), Table_SourceData_Feedlot_MCF[[#Headers],[Treatment stage T]], 0)</f>
        <v>No data</v>
      </c>
      <c r="S33" s="64" cm="1">
        <f t="array" ref="S33">Common_InputFunctions.Utility_DisplayArrayInTable(SourceData_Feedlot.SourceData_Feedlot_MCF_Data(), Table_SourceData_Feedlot_MCF[[#Headers],[Treatment stage T]], 0)</f>
        <v>0.01</v>
      </c>
      <c r="T33" s="64" cm="1">
        <f t="array" ref="T33">Common_InputFunctions.Utility_DisplayArrayInTable(SourceData_Feedlot.SourceData_Feedlot_MCF_Data(), Table_SourceData_Feedlot_MCF[[#Headers],[Treatment stage T]], 0)</f>
        <v>0.01</v>
      </c>
      <c r="U33" s="64" cm="1">
        <f t="array" ref="U33">Common_InputFunctions.Utility_DisplayArrayInTable(SourceData_Feedlot.SourceData_Feedlot_MCF_Data(), Table_SourceData_Feedlot_MCF[[#Headers],[Treatment stage T]], 0)</f>
        <v>0.01</v>
      </c>
      <c r="V33" s="64" t="str" cm="1">
        <f t="array" ref="V33">Common_InputFunctions.Utility_DisplayArrayInTable(SourceData_Feedlot.SourceData_Feedlot_MCF_Data(), Table_SourceData_Feedlot_MCF[[#Headers],[Treatment stage T]], 0)</f>
        <v>No data</v>
      </c>
      <c r="W33" s="64" t="str" cm="1">
        <f t="array" ref="W33">Common_InputFunctions.Utility_DisplayArrayInTable(SourceData_Feedlot.SourceData_Feedlot_MCF_Data(), Table_SourceData_Feedlot_MCF[[#Headers],[Treatment stage T]], 0)</f>
        <v>Drylot (feed pad)</v>
      </c>
    </row>
    <row r="34" spans="3:23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  <c r="M34" s="1" t="str" cm="1">
        <f t="array" ref="M34">Common_InputFunctions.Utility_DisplayArrayInTable(SourceData_Feedlot.SourceData_Feedlot_MCF_Data(), Table_SourceData_Feedlot_MCF[[#Headers],[Treatment stage T]], 0)</f>
        <v>Secondary</v>
      </c>
      <c r="N34" s="64" t="str" cm="1">
        <f t="array" ref="N34">Common_InputFunctions.Utility_DisplayArrayInTable(SourceData_Feedlot.SourceData_Feedlot_MCF_Data(), Table_SourceData_Feedlot_MCF[[#Headers],[Treatment stage T]], 0)</f>
        <v>Solid Storage (Stockpile)</v>
      </c>
      <c r="O34" s="64" cm="1">
        <f t="array" ref="O34">Common_InputFunctions.Utility_DisplayArrayInTable(SourceData_Feedlot.SourceData_Feedlot_MCF_Data(), Table_SourceData_Feedlot_MCF[[#Headers],[Treatment stage T]], 0)</f>
        <v>0.02</v>
      </c>
      <c r="P34" s="64" cm="1">
        <f t="array" ref="P34">Common_InputFunctions.Utility_DisplayArrayInTable(SourceData_Feedlot.SourceData_Feedlot_MCF_Data(), Table_SourceData_Feedlot_MCF[[#Headers],[Treatment stage T]], 0)</f>
        <v>0.02</v>
      </c>
      <c r="Q34" s="64" cm="1">
        <f t="array" ref="Q34">Common_InputFunctions.Utility_DisplayArrayInTable(SourceData_Feedlot.SourceData_Feedlot_MCF_Data(), Table_SourceData_Feedlot_MCF[[#Headers],[Treatment stage T]], 0)</f>
        <v>0.02</v>
      </c>
      <c r="R34" s="64" t="str" cm="1">
        <f t="array" ref="R34">Common_InputFunctions.Utility_DisplayArrayInTable(SourceData_Feedlot.SourceData_Feedlot_MCF_Data(), Table_SourceData_Feedlot_MCF[[#Headers],[Treatment stage T]], 0)</f>
        <v>No data</v>
      </c>
      <c r="S34" s="64" cm="1">
        <f t="array" ref="S34">Common_InputFunctions.Utility_DisplayArrayInTable(SourceData_Feedlot.SourceData_Feedlot_MCF_Data(), Table_SourceData_Feedlot_MCF[[#Headers],[Treatment stage T]], 0)</f>
        <v>0.02</v>
      </c>
      <c r="T34" s="64" cm="1">
        <f t="array" ref="T34">Common_InputFunctions.Utility_DisplayArrayInTable(SourceData_Feedlot.SourceData_Feedlot_MCF_Data(), Table_SourceData_Feedlot_MCF[[#Headers],[Treatment stage T]], 0)</f>
        <v>0.02</v>
      </c>
      <c r="U34" s="64" cm="1">
        <f t="array" ref="U34">Common_InputFunctions.Utility_DisplayArrayInTable(SourceData_Feedlot.SourceData_Feedlot_MCF_Data(), Table_SourceData_Feedlot_MCF[[#Headers],[Treatment stage T]], 0)</f>
        <v>0.02</v>
      </c>
      <c r="V34" s="64" t="str" cm="1">
        <f t="array" ref="V34">Common_InputFunctions.Utility_DisplayArrayInTable(SourceData_Feedlot.SourceData_Feedlot_MCF_Data(), Table_SourceData_Feedlot_MCF[[#Headers],[Treatment stage T]], 0)</f>
        <v>No data</v>
      </c>
      <c r="W34" s="64" t="str" cm="1">
        <f t="array" ref="W34">Common_InputFunctions.Utility_DisplayArrayInTable(SourceData_Feedlot.SourceData_Feedlot_MCF_Data(), Table_SourceData_Feedlot_MCF[[#Headers],[Treatment stage T]], 0)</f>
        <v>Solid storage</v>
      </c>
    </row>
    <row r="35" spans="3:23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  <c r="M35" s="1" t="str" cm="1">
        <f t="array" ref="M35">Common_InputFunctions.Utility_DisplayArrayInTable(SourceData_Feedlot.SourceData_Feedlot_MCF_Data(), Table_SourceData_Feedlot_MCF[[#Headers],[Treatment stage T]], 0)</f>
        <v>Secondary</v>
      </c>
      <c r="N35" s="64" t="str" cm="1">
        <f t="array" ref="N35">Common_InputFunctions.Utility_DisplayArrayInTable(SourceData_Feedlot.SourceData_Feedlot_MCF_Data(), Table_SourceData_Feedlot_MCF[[#Headers],[Treatment stage T]], 0)</f>
        <v>Composting (Passive Windrow)</v>
      </c>
      <c r="O35" s="64" cm="1">
        <f t="array" ref="O35">Common_InputFunctions.Utility_DisplayArrayInTable(SourceData_Feedlot.SourceData_Feedlot_MCF_Data(), Table_SourceData_Feedlot_MCF[[#Headers],[Treatment stage T]], 0)</f>
        <v>0.01</v>
      </c>
      <c r="P35" s="64" cm="1">
        <f t="array" ref="P35">Common_InputFunctions.Utility_DisplayArrayInTable(SourceData_Feedlot.SourceData_Feedlot_MCF_Data(), Table_SourceData_Feedlot_MCF[[#Headers],[Treatment stage T]], 0)</f>
        <v>0.01</v>
      </c>
      <c r="Q35" s="64" cm="1">
        <f t="array" ref="Q35">Common_InputFunctions.Utility_DisplayArrayInTable(SourceData_Feedlot.SourceData_Feedlot_MCF_Data(), Table_SourceData_Feedlot_MCF[[#Headers],[Treatment stage T]], 0)</f>
        <v>0.01</v>
      </c>
      <c r="R35" s="64" t="str" cm="1">
        <f t="array" ref="R35">Common_InputFunctions.Utility_DisplayArrayInTable(SourceData_Feedlot.SourceData_Feedlot_MCF_Data(), Table_SourceData_Feedlot_MCF[[#Headers],[Treatment stage T]], 0)</f>
        <v>No data</v>
      </c>
      <c r="S35" s="64" cm="1">
        <f t="array" ref="S35">Common_InputFunctions.Utility_DisplayArrayInTable(SourceData_Feedlot.SourceData_Feedlot_MCF_Data(), Table_SourceData_Feedlot_MCF[[#Headers],[Treatment stage T]], 0)</f>
        <v>0.01</v>
      </c>
      <c r="T35" s="64" cm="1">
        <f t="array" ref="T35">Common_InputFunctions.Utility_DisplayArrayInTable(SourceData_Feedlot.SourceData_Feedlot_MCF_Data(), Table_SourceData_Feedlot_MCF[[#Headers],[Treatment stage T]], 0)</f>
        <v>0.01</v>
      </c>
      <c r="U35" s="64" cm="1">
        <f t="array" ref="U35">Common_InputFunctions.Utility_DisplayArrayInTable(SourceData_Feedlot.SourceData_Feedlot_MCF_Data(), Table_SourceData_Feedlot_MCF[[#Headers],[Treatment stage T]], 0)</f>
        <v>0.01</v>
      </c>
      <c r="V35" s="64" t="str" cm="1">
        <f t="array" ref="V35">Common_InputFunctions.Utility_DisplayArrayInTable(SourceData_Feedlot.SourceData_Feedlot_MCF_Data(), Table_SourceData_Feedlot_MCF[[#Headers],[Treatment stage T]], 0)</f>
        <v>No data</v>
      </c>
      <c r="W35" s="64" t="str" cm="1">
        <f t="array" ref="W35">Common_InputFunctions.Utility_DisplayArrayInTable(SourceData_Feedlot.SourceData_Feedlot_MCF_Data(), Table_SourceData_Feedlot_MCF[[#Headers],[Treatment stage T]], 0)</f>
        <v>Composting (passive windrow)</v>
      </c>
    </row>
    <row r="36" spans="3:23" ht="20.100000000000001" customHeight="1" x14ac:dyDescent="0.25">
      <c r="D36" s="14" t="s">
        <v>95</v>
      </c>
      <c r="E36" s="14" t="str" cm="1">
        <f t="array" aca="1" ref="E36" ca="1">Common_InputFunctions.Utility_DisplayFunctionName(E57)</f>
        <v>=MMS_Feedlot_Methane_Equations.VEERG_4_1_1_1__2_Stage1MethaneProductionDrylot(D30,$G$43,E52,$G$45,$G$46)</v>
      </c>
      <c r="M36" s="1" t="str" cm="1">
        <f t="array" ref="M36">Common_InputFunctions.Utility_DisplayArrayInTable(SourceData_Feedlot.SourceData_Feedlot_MCF_Data(), Table_SourceData_Feedlot_MCF[[#Headers],[Treatment stage T]], 0)</f>
        <v>Secondary</v>
      </c>
      <c r="N36" s="64" t="str" cm="1">
        <f t="array" ref="N36">Common_InputFunctions.Utility_DisplayArrayInTable(SourceData_Feedlot.SourceData_Feedlot_MCF_Data(), Table_SourceData_Feedlot_MCF[[#Headers],[Treatment stage T]], 0)</f>
        <v>Direct Application to soil</v>
      </c>
      <c r="O36" s="64" cm="1">
        <f t="array" ref="O36">Common_InputFunctions.Utility_DisplayArrayInTable(SourceData_Feedlot.SourceData_Feedlot_MCF_Data(), Table_SourceData_Feedlot_MCF[[#Headers],[Treatment stage T]], 0)</f>
        <v>0</v>
      </c>
      <c r="P36" s="64" cm="1">
        <f t="array" ref="P36">Common_InputFunctions.Utility_DisplayArrayInTable(SourceData_Feedlot.SourceData_Feedlot_MCF_Data(), Table_SourceData_Feedlot_MCF[[#Headers],[Treatment stage T]], 0)</f>
        <v>0</v>
      </c>
      <c r="Q36" s="64" cm="1">
        <f t="array" ref="Q36">Common_InputFunctions.Utility_DisplayArrayInTable(SourceData_Feedlot.SourceData_Feedlot_MCF_Data(), Table_SourceData_Feedlot_MCF[[#Headers],[Treatment stage T]], 0)</f>
        <v>0</v>
      </c>
      <c r="R36" s="64" t="str" cm="1">
        <f t="array" ref="R36">Common_InputFunctions.Utility_DisplayArrayInTable(SourceData_Feedlot.SourceData_Feedlot_MCF_Data(), Table_SourceData_Feedlot_MCF[[#Headers],[Treatment stage T]], 0)</f>
        <v>No data</v>
      </c>
      <c r="S36" s="64" cm="1">
        <f t="array" ref="S36">Common_InputFunctions.Utility_DisplayArrayInTable(SourceData_Feedlot.SourceData_Feedlot_MCF_Data(), Table_SourceData_Feedlot_MCF[[#Headers],[Treatment stage T]], 0)</f>
        <v>0</v>
      </c>
      <c r="T36" s="64" cm="1">
        <f t="array" ref="T36">Common_InputFunctions.Utility_DisplayArrayInTable(SourceData_Feedlot.SourceData_Feedlot_MCF_Data(), Table_SourceData_Feedlot_MCF[[#Headers],[Treatment stage T]], 0)</f>
        <v>0</v>
      </c>
      <c r="U36" s="64" cm="1">
        <f t="array" ref="U36">Common_InputFunctions.Utility_DisplayArrayInTable(SourceData_Feedlot.SourceData_Feedlot_MCF_Data(), Table_SourceData_Feedlot_MCF[[#Headers],[Treatment stage T]], 0)</f>
        <v>0</v>
      </c>
      <c r="V36" s="64" t="str" cm="1">
        <f t="array" ref="V36">Common_InputFunctions.Utility_DisplayArrayInTable(SourceData_Feedlot.SourceData_Feedlot_MCF_Data(), Table_SourceData_Feedlot_MCF[[#Headers],[Treatment stage T]], 0)</f>
        <v>No data</v>
      </c>
      <c r="W36" s="64" t="str" cm="1">
        <f t="array" ref="W36">Common_InputFunctions.Utility_DisplayArrayInTable(SourceData_Feedlot.SourceData_Feedlot_MCF_Data(), Table_SourceData_Feedlot_MCF[[#Headers],[Treatment stage T]], 0)</f>
        <v>Direct application</v>
      </c>
    </row>
    <row r="37" spans="3:23" ht="20.100000000000001" customHeight="1" x14ac:dyDescent="0.25">
      <c r="M37" s="1" t="str" cm="1">
        <f t="array" ref="M37">Common_InputFunctions.Utility_DisplayArrayInTable(SourceData_Feedlot.SourceData_Feedlot_MCF_Data(), Table_SourceData_Feedlot_MCF[[#Headers],[Treatment stage T]], 0)</f>
        <v>Tertiary</v>
      </c>
      <c r="N37" s="64" t="str" cm="1">
        <f t="array" ref="N37">Common_InputFunctions.Utility_DisplayArrayInTable(SourceData_Feedlot.SourceData_Feedlot_MCF_Data(), Table_SourceData_Feedlot_MCF[[#Headers],[Treatment stage T]], 0)</f>
        <v>Uncovered anaerobic lagoon (Effluent pond)</v>
      </c>
      <c r="O37" s="64" cm="1">
        <f t="array" ref="O37">Common_InputFunctions.Utility_DisplayArrayInTable(SourceData_Feedlot.SourceData_Feedlot_MCF_Data(), Table_SourceData_Feedlot_MCF[[#Headers],[Treatment stage T]], 0)</f>
        <v>0.75</v>
      </c>
      <c r="P37" s="64" cm="1">
        <f t="array" ref="P37">Common_InputFunctions.Utility_DisplayArrayInTable(SourceData_Feedlot.SourceData_Feedlot_MCF_Data(), Table_SourceData_Feedlot_MCF[[#Headers],[Treatment stage T]], 0)</f>
        <v>0.75</v>
      </c>
      <c r="Q37" s="64" cm="1">
        <f t="array" ref="Q37">Common_InputFunctions.Utility_DisplayArrayInTable(SourceData_Feedlot.SourceData_Feedlot_MCF_Data(), Table_SourceData_Feedlot_MCF[[#Headers],[Treatment stage T]], 0)</f>
        <v>0.77</v>
      </c>
      <c r="R37" s="64" t="str" cm="1">
        <f t="array" ref="R37">Common_InputFunctions.Utility_DisplayArrayInTable(SourceData_Feedlot.SourceData_Feedlot_MCF_Data(), Table_SourceData_Feedlot_MCF[[#Headers],[Treatment stage T]], 0)</f>
        <v>No data</v>
      </c>
      <c r="S37" s="64" cm="1">
        <f t="array" ref="S37">Common_InputFunctions.Utility_DisplayArrayInTable(SourceData_Feedlot.SourceData_Feedlot_MCF_Data(), Table_SourceData_Feedlot_MCF[[#Headers],[Treatment stage T]], 0)</f>
        <v>0.75</v>
      </c>
      <c r="T37" s="64" cm="1">
        <f t="array" ref="T37">Common_InputFunctions.Utility_DisplayArrayInTable(SourceData_Feedlot.SourceData_Feedlot_MCF_Data(), Table_SourceData_Feedlot_MCF[[#Headers],[Treatment stage T]], 0)</f>
        <v>0.75</v>
      </c>
      <c r="U37" s="64" cm="1">
        <f t="array" ref="U37">Common_InputFunctions.Utility_DisplayArrayInTable(SourceData_Feedlot.SourceData_Feedlot_MCF_Data(), Table_SourceData_Feedlot_MCF[[#Headers],[Treatment stage T]], 0)</f>
        <v>0.77</v>
      </c>
      <c r="V37" s="64" t="str" cm="1">
        <f t="array" ref="V37">Common_InputFunctions.Utility_DisplayArrayInTable(SourceData_Feedlot.SourceData_Feedlot_MCF_Data(), Table_SourceData_Feedlot_MCF[[#Headers],[Treatment stage T]], 0)</f>
        <v>No data</v>
      </c>
      <c r="W37" s="64" t="str" cm="1">
        <f t="array" ref="W37">Common_InputFunctions.Utility_DisplayArrayInTable(SourceData_Feedlot.SourceData_Feedlot_MCF_Data(), Table_SourceData_Feedlot_MCF[[#Headers],[Treatment stage T]], 0)</f>
        <v>Anaerobic lagoon</v>
      </c>
    </row>
    <row r="38" spans="3:23" ht="20.100000000000001" customHeight="1" x14ac:dyDescent="0.25"/>
    <row r="39" spans="3:23" ht="20.100000000000001" customHeight="1" x14ac:dyDescent="0.25">
      <c r="D39" s="82" t="s">
        <v>98</v>
      </c>
      <c r="E39" s="1" t="str" cm="1">
        <f t="array" ref="E39">MMS_Feedlot_Methane_Equations.VEERG_4_1_1_1__2_Stage1MethaneProductionDrylot_Variable()</f>
        <v>Mjm5T1</v>
      </c>
    </row>
    <row r="40" spans="3:23" ht="20.100000000000001" customHeight="1" x14ac:dyDescent="0.25">
      <c r="D40" s="82" t="s">
        <v>86</v>
      </c>
      <c r="E40" s="83" t="str" cm="1">
        <f t="array" ref="E40">MMS_Feedlot_Methane_Equations.VEERG_4_1_1_1__2_Stage1MethaneProductionDrylot_Unit()</f>
        <v>kg CH4/head/day</v>
      </c>
      <c r="M40" s="6" t="s">
        <v>205</v>
      </c>
    </row>
    <row r="41" spans="3:23" ht="20.100000000000001" customHeight="1" x14ac:dyDescent="0.25"/>
    <row r="42" spans="3:23" ht="20.100000000000001" customHeight="1" x14ac:dyDescent="0.25">
      <c r="D42" s="86" t="str" cm="1">
        <f t="array" ref="D42:E47">MMS_Feedlot_Methane_Equations.VEERG_4_1_1_1__2_Stage1MethaneProductionDrylot_Arguments()</f>
        <v>VSj</v>
      </c>
      <c r="E42" s="87" t="str">
        <v>volatile solid production from feedlot cattle in each group : kg/head/day</v>
      </c>
      <c r="F42" s="88"/>
      <c r="G42" s="86" t="str">
        <f>"See " &amp; $D$27</f>
        <v>See Table_VS_j</v>
      </c>
      <c r="M42" s="130" t="s">
        <v>138</v>
      </c>
      <c r="N42" s="64" t="s">
        <v>152</v>
      </c>
    </row>
    <row r="43" spans="3:23" ht="20.100000000000001" customHeight="1" x14ac:dyDescent="0.25">
      <c r="D43" s="86" t="str">
        <v>BO</v>
      </c>
      <c r="E43" s="87" t="str">
        <v>emissions potential : m3 CH4/kg VS</v>
      </c>
      <c r="F43" s="88"/>
      <c r="G43" s="86">
        <f>$N$22</f>
        <v>0.19</v>
      </c>
      <c r="M43" s="64" t="str">
        <f>'Constants - Livestock'!$E$16</f>
        <v>Drylot (feed pad)</v>
      </c>
      <c r="N43" s="64" t="str">
        <f>'Constants - Livestock'!$F$16</f>
        <v>Drylot (feed pad) (m=5)</v>
      </c>
    </row>
    <row r="44" spans="3:23" ht="20.100000000000001" customHeight="1" x14ac:dyDescent="0.25">
      <c r="D44" s="86" t="str">
        <v>MMSm5T1</v>
      </c>
      <c r="E44" s="87" t="str">
        <v>fraction of manure in primary system drylot MMS : fraction</v>
      </c>
      <c r="F44" s="88"/>
      <c r="G44" s="86" t="str">
        <f>"See" &amp; D49</f>
        <v>SeeTable_MMS_m-5_T-1</v>
      </c>
      <c r="M44" s="64" t="str">
        <f>'Constants - Livestock'!$E$15</f>
        <v>Solid storage</v>
      </c>
      <c r="N44" s="64" t="str">
        <f>'Constants - Livestock'!$F$15</f>
        <v>Solid storage (m=4)</v>
      </c>
    </row>
    <row r="45" spans="3:23" ht="20.100000000000001" customHeight="1" x14ac:dyDescent="0.25">
      <c r="D45" s="86" t="str">
        <v>MCFim5</v>
      </c>
      <c r="E45" s="87" t="str">
        <v>methane conversion factor for temperature zone and drylot system : fraction</v>
      </c>
      <c r="F45" s="88"/>
      <c r="G45" s="86" t="e">
        <f>HLOOKUP(G47, Table_SourceData_Feedlot_MCF[#All], 2, FALSE)</f>
        <v>#REF!</v>
      </c>
      <c r="M45" s="64" t="str">
        <f>'Constants - Livestock'!$E$17</f>
        <v>Composting (passive windrow)</v>
      </c>
      <c r="N45" s="64" t="str">
        <f>'Constants - Livestock'!$F$17</f>
        <v>Composting (passive windrow) (m=6)</v>
      </c>
    </row>
    <row r="46" spans="3:23" ht="20.100000000000001" customHeight="1" x14ac:dyDescent="0.25">
      <c r="D46" s="86" t="str">
        <v>rho</v>
      </c>
      <c r="E46" s="87" t="str">
        <v>density of methane : kg/m3</v>
      </c>
      <c r="F46" s="88"/>
      <c r="G46" s="86" t="e">
        <f>#REF!</f>
        <v>#REF!</v>
      </c>
      <c r="M46" s="64" t="str">
        <f>'Constants - Livestock'!$E$26</f>
        <v>Direct application</v>
      </c>
      <c r="N46" s="64" t="str">
        <f>'Constants - Livestock'!$F$26</f>
        <v>Direct application (m=13)</v>
      </c>
    </row>
    <row r="47" spans="3:23" ht="20.100000000000001" customHeight="1" x14ac:dyDescent="0.25">
      <c r="D47" s="86" t="str">
        <v>i</v>
      </c>
      <c r="E47" s="87" t="str">
        <v>state</v>
      </c>
      <c r="F47" s="88"/>
      <c r="G47" s="86" t="e" cm="1">
        <f t="array" ref="G47">Common_InputFunctions.Utility_LookupValueInTable('Input - Site'!$E$21,#REF!,#REF!)</f>
        <v>#REF!</v>
      </c>
      <c r="M47" s="1" t="str">
        <f>'Constants - Livestock'!$E$10</f>
        <v>Anaerobic lagoon</v>
      </c>
      <c r="N47" s="1" t="str">
        <f>'Constants - Livestock'!$F$10</f>
        <v>Anaerobic lagoon (m=1)</v>
      </c>
    </row>
    <row r="48" spans="3:23" ht="20.100000000000001" customHeight="1" x14ac:dyDescent="0.25">
      <c r="M48" s="1" t="s">
        <v>188</v>
      </c>
      <c r="N48" s="64" t="s">
        <v>188</v>
      </c>
    </row>
    <row r="49" spans="3:10" ht="20.100000000000001" customHeight="1" x14ac:dyDescent="0.25">
      <c r="D49" s="132" t="s">
        <v>200</v>
      </c>
    </row>
    <row r="50" spans="3:10" ht="20.100000000000001" customHeight="1" x14ac:dyDescent="0.25">
      <c r="D50" s="131" t="s">
        <v>198</v>
      </c>
    </row>
    <row r="51" spans="3:10" ht="20.100000000000001" customHeight="1" x14ac:dyDescent="0.25">
      <c r="D51" s="80" t="s">
        <v>190</v>
      </c>
      <c r="E51" s="80" t="s">
        <v>193</v>
      </c>
      <c r="F51" s="80" t="s">
        <v>194</v>
      </c>
      <c r="G51" s="80" t="s">
        <v>195</v>
      </c>
    </row>
    <row r="52" spans="3:10" ht="20.100000000000001" customHeight="1" x14ac:dyDescent="0.25">
      <c r="D52" s="81" t="str">
        <f>'Input - MMS - Feedlot'!$D$22</f>
        <v>Drylot (feed pad)</v>
      </c>
      <c r="E52" s="81">
        <f>'Input - MMS - Feedlot'!$E$22</f>
        <v>1</v>
      </c>
      <c r="F52" s="81">
        <f>'Input - MMS - Feedlot'!$F$22</f>
        <v>1</v>
      </c>
      <c r="G52" s="81">
        <f>'Input - MMS - Feedlot'!$G$22</f>
        <v>1</v>
      </c>
      <c r="H52" s="2" t="s">
        <v>84</v>
      </c>
    </row>
    <row r="53" spans="3:10" ht="20.100000000000001" customHeight="1" x14ac:dyDescent="0.25"/>
    <row r="54" spans="3:10" ht="20.100000000000001" customHeight="1" x14ac:dyDescent="0.25">
      <c r="D54" s="132" t="s">
        <v>202</v>
      </c>
    </row>
    <row r="55" spans="3:10" ht="20.100000000000001" customHeight="1" x14ac:dyDescent="0.25">
      <c r="D55" s="131" t="s">
        <v>213</v>
      </c>
    </row>
    <row r="56" spans="3:10" ht="20.100000000000001" customHeight="1" x14ac:dyDescent="0.25">
      <c r="D56" s="80" t="s">
        <v>190</v>
      </c>
      <c r="E56" s="80" t="s">
        <v>193</v>
      </c>
      <c r="F56" s="80" t="s">
        <v>194</v>
      </c>
      <c r="G56" s="80" t="s">
        <v>195</v>
      </c>
    </row>
    <row r="57" spans="3:10" ht="20.100000000000001" customHeight="1" x14ac:dyDescent="0.25">
      <c r="D57" s="81" t="str">
        <f>'Input - MMS - Feedlot'!$D$22</f>
        <v>Drylot (feed pad)</v>
      </c>
      <c r="E57" s="81" t="e" cm="1">
        <f t="array" ref="E57">MMS_Feedlot_Methane_Equations.VEERG_4_1_1_1__2_Stage1MethaneProductionDrylot(D30,$G$43,E52,$G$45,$G$46)</f>
        <v>#REF!</v>
      </c>
      <c r="F57" s="81" t="e" cm="1">
        <f t="array" ref="F57">MMS_Feedlot_Methane_Equations.VEERG_4_1_1_1__2_Stage1MethaneProductionDrylot(E30,$G$43,F52,$G$45,$G$46)</f>
        <v>#REF!</v>
      </c>
      <c r="G57" s="81" t="e" cm="1">
        <f t="array" ref="G57">MMS_Feedlot_Methane_Equations.VEERG_4_1_1_1__2_Stage1MethaneProductionDrylot(F30,$G$43,G52,$G$45,$G$46)</f>
        <v>#REF!</v>
      </c>
      <c r="H57" s="2" t="str">
        <f>$E$40</f>
        <v>kg CH4/head/day</v>
      </c>
    </row>
    <row r="58" spans="3:10" ht="20.100000000000001" customHeight="1" x14ac:dyDescent="0.25">
      <c r="D58" s="133" t="str">
        <f>IF(ISNUMBER($G$45),"", "⚠️ ALERT: No MCFim5 data provided. Zero is used instead.")</f>
        <v>⚠️ ALERT: No MCFim5 data provided. Zero is used instead.</v>
      </c>
    </row>
    <row r="59" spans="3:10" ht="20.100000000000001" customHeight="1" x14ac:dyDescent="0.25"/>
    <row r="60" spans="3:10" ht="20.100000000000001" customHeight="1" x14ac:dyDescent="0.25">
      <c r="C60" s="73"/>
      <c r="D60" s="73"/>
      <c r="E60" s="73"/>
      <c r="F60" s="73"/>
      <c r="G60" s="73"/>
      <c r="H60" s="73"/>
      <c r="I60" s="73"/>
      <c r="J60" s="73"/>
    </row>
    <row r="61" spans="3:1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0" ht="20.100000000000001" customHeight="1" x14ac:dyDescent="0.25">
      <c r="D63" s="14" t="s">
        <v>95</v>
      </c>
      <c r="E63" s="14" t="str" cm="1">
        <f t="array" aca="1" ref="E63" ca="1">Common_InputFunctions.Utility_DisplayFunctionName(F94)</f>
        <v>=MMS_Feedlot_Methane_Equations.VEERG_4_1_1_1__3_Stage2MethaneProduction($G$69,D$30,$G$71,F80,$F87,$G$74)</v>
      </c>
    </row>
    <row r="64" spans="3:1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82" t="s">
        <v>98</v>
      </c>
      <c r="E66" s="1" t="str" cm="1">
        <f t="array" ref="E66">MMS_Feedlot_Methane_Equations.VEERG_4_1_1_1__3_Stage2MethaneProduction_Variable()</f>
        <v>MjmT2</v>
      </c>
    </row>
    <row r="67" spans="4:9" ht="20.100000000000001" customHeight="1" x14ac:dyDescent="0.25">
      <c r="D67" s="82" t="s">
        <v>86</v>
      </c>
      <c r="E67" s="83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86" t="str" cm="1">
        <f t="array" ref="D69:E75">MMS_Feedlot_Methane_Equations.VEERG_4_1_1_1__3_Stage2MethaneProduction_Arguments()</f>
        <v>VSL</v>
      </c>
      <c r="E69" s="87" t="str">
        <v>fraction of volatile solids lost during storage in the primary system : fraction</v>
      </c>
      <c r="F69" s="88"/>
      <c r="G69" s="86">
        <f>$N$7</f>
        <v>0.5</v>
      </c>
    </row>
    <row r="70" spans="4:9" ht="20.100000000000001" customHeight="1" x14ac:dyDescent="0.25">
      <c r="D70" s="86" t="str">
        <v>VSj</v>
      </c>
      <c r="E70" s="87" t="str">
        <v>volatile solid production from feedlot cattle in each group : kg/head/day</v>
      </c>
      <c r="F70" s="88"/>
      <c r="G70" s="86" t="str">
        <f>"See " &amp; $D$27</f>
        <v>See Table_VS_j</v>
      </c>
    </row>
    <row r="71" spans="4:9" ht="20.100000000000001" customHeight="1" x14ac:dyDescent="0.25">
      <c r="D71" s="86" t="str">
        <v>BO</v>
      </c>
      <c r="E71" s="87" t="str">
        <v>emissions potential : m3 CH4/kg VS</v>
      </c>
      <c r="F71" s="88"/>
      <c r="G71" s="86">
        <f>$N$22</f>
        <v>0.19</v>
      </c>
    </row>
    <row r="72" spans="4:9" ht="20.100000000000001" customHeight="1" x14ac:dyDescent="0.25">
      <c r="D72" s="86" t="str">
        <v>MMSmT2</v>
      </c>
      <c r="E72" s="87" t="str">
        <v>fraction of manure in each secondary system : fraction</v>
      </c>
      <c r="F72" s="88"/>
      <c r="G72" s="86" t="str">
        <f>"See " &amp; D77</f>
        <v>See Table_MMS_m_T-2</v>
      </c>
    </row>
    <row r="73" spans="4:9" ht="20.100000000000001" customHeight="1" x14ac:dyDescent="0.25">
      <c r="D73" s="86" t="str">
        <v>MCFim</v>
      </c>
      <c r="E73" s="87" t="str">
        <v>methane conversion factor for temperature zone and MMS : fraction</v>
      </c>
      <c r="F73" s="88"/>
      <c r="G73" s="86" t="str">
        <f>"See " &amp; D84</f>
        <v>See Table_MCF_i_m</v>
      </c>
    </row>
    <row r="74" spans="4:9" ht="20.100000000000001" customHeight="1" x14ac:dyDescent="0.25">
      <c r="D74" s="86" t="str">
        <v>rho</v>
      </c>
      <c r="E74" s="87" t="str">
        <v>density of methane : kg/m3</v>
      </c>
      <c r="F74" s="88"/>
      <c r="G74" s="86" t="e">
        <f>#REF!</f>
        <v>#REF!</v>
      </c>
    </row>
    <row r="75" spans="4:9" ht="20.100000000000001" customHeight="1" x14ac:dyDescent="0.25">
      <c r="D75" s="86" t="str">
        <v>i</v>
      </c>
      <c r="E75" s="87" t="str">
        <v>state</v>
      </c>
      <c r="F75" s="88"/>
      <c r="G75" s="86" t="e" cm="1">
        <f t="array" ref="G75">Common_InputFunctions.Utility_LookupValueInTable('Input - Site'!$E$21,#REF!,#REF!)</f>
        <v>#REF!</v>
      </c>
    </row>
    <row r="76" spans="4:9" ht="20.100000000000001" customHeight="1" x14ac:dyDescent="0.25"/>
    <row r="77" spans="4:9" ht="20.100000000000001" customHeight="1" x14ac:dyDescent="0.25">
      <c r="D77" s="132" t="s">
        <v>203</v>
      </c>
    </row>
    <row r="78" spans="4:9" ht="20.100000000000001" customHeight="1" x14ac:dyDescent="0.25">
      <c r="D78" s="131" t="s">
        <v>204</v>
      </c>
    </row>
    <row r="79" spans="4:9" ht="20.100000000000001" customHeight="1" x14ac:dyDescent="0.25">
      <c r="D79" s="80" t="s">
        <v>190</v>
      </c>
      <c r="E79" s="80" t="s">
        <v>183</v>
      </c>
      <c r="F79" s="80" t="s">
        <v>193</v>
      </c>
      <c r="G79" s="80" t="s">
        <v>194</v>
      </c>
      <c r="H79" s="80" t="s">
        <v>195</v>
      </c>
    </row>
    <row r="80" spans="4:9" ht="20.100000000000001" customHeight="1" x14ac:dyDescent="0.25">
      <c r="D80" s="81" t="str">
        <f>'Input - MMS - Feedlot'!$D$22</f>
        <v>Drylot (feed pad)</v>
      </c>
      <c r="E80" s="81" t="str">
        <f>'Input - MMS - Feedlot'!$D$28</f>
        <v>Solid storage</v>
      </c>
      <c r="F80" s="81">
        <f>'Input - MMS - Feedlot'!E28</f>
        <v>0.2</v>
      </c>
      <c r="G80" s="81">
        <f>'Input - MMS - Feedlot'!F28</f>
        <v>0.2</v>
      </c>
      <c r="H80" s="81">
        <f>'Input - MMS - Feedlot'!G28</f>
        <v>0.2</v>
      </c>
      <c r="I80" s="2" t="s">
        <v>178</v>
      </c>
    </row>
    <row r="81" spans="4:9" ht="20.100000000000001" customHeight="1" x14ac:dyDescent="0.25">
      <c r="D81" s="81" t="str">
        <f>'Input - MMS - Feedlot'!$D$22</f>
        <v>Drylot (feed pad)</v>
      </c>
      <c r="E81" s="81" t="str">
        <f>'Input - MMS - Feedlot'!$D$29</f>
        <v>Composting (passive windrow)</v>
      </c>
      <c r="F81" s="81">
        <f>'Input - MMS - Feedlot'!E29</f>
        <v>0.2</v>
      </c>
      <c r="G81" s="81">
        <f>'Input - MMS - Feedlot'!F29</f>
        <v>0.2</v>
      </c>
      <c r="H81" s="81">
        <f>'Input - MMS - Feedlot'!G29</f>
        <v>0.2</v>
      </c>
      <c r="I81" s="2" t="s">
        <v>178</v>
      </c>
    </row>
    <row r="82" spans="4:9" ht="20.100000000000001" customHeight="1" x14ac:dyDescent="0.25">
      <c r="D82" s="81" t="str">
        <f>'Input - MMS - Feedlot'!$D$22</f>
        <v>Drylot (feed pad)</v>
      </c>
      <c r="E82" s="81" t="str">
        <f>'Input - MMS - Feedlot'!$D$30</f>
        <v>Direct application</v>
      </c>
      <c r="F82" s="81">
        <f>'Input - MMS - Feedlot'!E30</f>
        <v>0.6</v>
      </c>
      <c r="G82" s="81">
        <f>'Input - MMS - Feedlot'!F30</f>
        <v>0.6</v>
      </c>
      <c r="H82" s="81">
        <f>'Input - MMS - Feedlot'!G30</f>
        <v>0.6</v>
      </c>
      <c r="I82" s="2" t="s">
        <v>178</v>
      </c>
    </row>
    <row r="83" spans="4:9" ht="20.100000000000001" customHeight="1" x14ac:dyDescent="0.25"/>
    <row r="84" spans="4:9" ht="20.100000000000001" customHeight="1" x14ac:dyDescent="0.25">
      <c r="D84" s="132" t="s">
        <v>180</v>
      </c>
    </row>
    <row r="85" spans="4:9" ht="20.100000000000001" customHeight="1" x14ac:dyDescent="0.25">
      <c r="D85" s="131" t="s">
        <v>206</v>
      </c>
    </row>
    <row r="86" spans="4:9" ht="20.100000000000001" customHeight="1" x14ac:dyDescent="0.25">
      <c r="D86" s="80" t="s">
        <v>190</v>
      </c>
      <c r="E86" s="80" t="s">
        <v>183</v>
      </c>
      <c r="F86" s="80" t="s">
        <v>175</v>
      </c>
    </row>
    <row r="87" spans="4:9" ht="20.100000000000001" customHeight="1" x14ac:dyDescent="0.25">
      <c r="D87" s="81" t="str">
        <f>'Input - MMS - Feedlot'!$D$22</f>
        <v>Drylot (feed pad)</v>
      </c>
      <c r="E87" s="81" t="str">
        <f>'Input - MMS - Feedlot'!$D$28</f>
        <v>Solid storage</v>
      </c>
      <c r="F87" s="81" t="e" cm="1">
        <f t="array" ref="F87">_xlfn.XLOOKUP($G$75, Table_SourceData_Feedlot_MCF[#Headers], _xlfn.XLOOKUP(E87, Table_SourceData_Feedlot_MCF[NIR definition], Table_SourceData_Feedlot_MCF[]))</f>
        <v>#REF!</v>
      </c>
      <c r="G87" s="2" t="s">
        <v>178</v>
      </c>
    </row>
    <row r="88" spans="4:9" ht="20.100000000000001" customHeight="1" x14ac:dyDescent="0.25">
      <c r="D88" s="81" t="str">
        <f>'Input - MMS - Feedlot'!$D$22</f>
        <v>Drylot (feed pad)</v>
      </c>
      <c r="E88" s="81" t="str">
        <f>'Input - MMS - Feedlot'!$D$29</f>
        <v>Composting (passive windrow)</v>
      </c>
      <c r="F88" s="81" t="e" cm="1">
        <f t="array" ref="F88">_xlfn.XLOOKUP($G$75, Table_SourceData_Feedlot_MCF[#Headers], _xlfn.XLOOKUP(E88, Table_SourceData_Feedlot_MCF[NIR definition], Table_SourceData_Feedlot_MCF[]))</f>
        <v>#REF!</v>
      </c>
      <c r="G88" s="2" t="s">
        <v>178</v>
      </c>
    </row>
    <row r="89" spans="4:9" ht="20.100000000000001" customHeight="1" x14ac:dyDescent="0.25">
      <c r="D89" s="81" t="str">
        <f>'Input - MMS - Feedlot'!$D$22</f>
        <v>Drylot (feed pad)</v>
      </c>
      <c r="E89" s="81" t="str">
        <f>'Input - MMS - Feedlot'!$D$30</f>
        <v>Direct application</v>
      </c>
      <c r="F89" s="81" t="e" cm="1">
        <f t="array" ref="F89">_xlfn.XLOOKUP($G$75, Table_SourceData_Feedlot_MCF[#Headers], _xlfn.XLOOKUP(E89, Table_SourceData_Feedlot_MCF[NIR definition], Table_SourceData_Feedlot_MCF[]))</f>
        <v>#REF!</v>
      </c>
      <c r="G89" s="2" t="s">
        <v>178</v>
      </c>
    </row>
    <row r="90" spans="4:9" ht="20.100000000000001" customHeight="1" x14ac:dyDescent="0.25"/>
    <row r="91" spans="4:9" ht="20.100000000000001" customHeight="1" x14ac:dyDescent="0.25">
      <c r="D91" s="132" t="s">
        <v>214</v>
      </c>
    </row>
    <row r="92" spans="4:9" ht="20.100000000000001" customHeight="1" x14ac:dyDescent="0.25">
      <c r="D92" s="131" t="s">
        <v>215</v>
      </c>
    </row>
    <row r="93" spans="4:9" ht="20.100000000000001" customHeight="1" x14ac:dyDescent="0.25">
      <c r="D93" s="80" t="s">
        <v>190</v>
      </c>
      <c r="E93" s="80" t="s">
        <v>183</v>
      </c>
      <c r="F93" s="80" t="s">
        <v>193</v>
      </c>
      <c r="G93" s="80" t="s">
        <v>194</v>
      </c>
      <c r="H93" s="80" t="s">
        <v>195</v>
      </c>
    </row>
    <row r="94" spans="4:9" ht="20.100000000000001" customHeight="1" x14ac:dyDescent="0.25">
      <c r="D94" s="81" t="str">
        <f>'Input - MMS - Feedlot'!$D$22</f>
        <v>Drylot (feed pad)</v>
      </c>
      <c r="E94" s="81" t="str">
        <f>'Input - MMS - Feedlot'!$D$28</f>
        <v>Solid storage</v>
      </c>
      <c r="F94" s="81" t="e" cm="1">
        <f t="array" ref="F94">MMS_Feedlot_Methane_Equations.VEERG_4_1_1_1__3_Stage2MethaneProduction($G$69,D$30,$G$71,F80,$F87,$G$74)</f>
        <v>#REF!</v>
      </c>
      <c r="G94" s="81" t="e" cm="1">
        <f t="array" ref="G94">MMS_Feedlot_Methane_Equations.VEERG_4_1_1_1__3_Stage2MethaneProduction($G$69,E$30,$G$71,G80,$F87,$G$74)</f>
        <v>#REF!</v>
      </c>
      <c r="H94" s="81" t="e" cm="1">
        <f t="array" ref="H94">MMS_Feedlot_Methane_Equations.VEERG_4_1_1_1__3_Stage2MethaneProduction($G$69,F$30,$G$71,H80,$F87,$G$74)</f>
        <v>#REF!</v>
      </c>
      <c r="I94" s="2" t="str">
        <f>$E$67</f>
        <v>kg CH4/head/day</v>
      </c>
    </row>
    <row r="95" spans="4:9" ht="20.100000000000001" customHeight="1" x14ac:dyDescent="0.25">
      <c r="D95" s="81" t="str">
        <f>'Input - MMS - Feedlot'!$D$22</f>
        <v>Drylot (feed pad)</v>
      </c>
      <c r="E95" s="81" t="str">
        <f>'Input - MMS - Feedlot'!$D$29</f>
        <v>Composting (passive windrow)</v>
      </c>
      <c r="F95" s="81" t="e" cm="1">
        <f t="array" ref="F95">MMS_Feedlot_Methane_Equations.VEERG_4_1_1_1__3_Stage2MethaneProduction($G$69,D$30,$G$71,F81,$F88,$G$74)</f>
        <v>#REF!</v>
      </c>
      <c r="G95" s="81" t="e" cm="1">
        <f t="array" ref="G95">MMS_Feedlot_Methane_Equations.VEERG_4_1_1_1__3_Stage2MethaneProduction($G$69,E$30,$G$71,G81,$F88,$G$74)</f>
        <v>#REF!</v>
      </c>
      <c r="H95" s="81" t="e" cm="1">
        <f t="array" ref="H95">MMS_Feedlot_Methane_Equations.VEERG_4_1_1_1__3_Stage2MethaneProduction($G$69,F$30,$G$71,H81,$F88,$G$74)</f>
        <v>#REF!</v>
      </c>
      <c r="I95" s="2" t="str">
        <f t="shared" ref="I95:I96" si="0">$E$67</f>
        <v>kg CH4/head/day</v>
      </c>
    </row>
    <row r="96" spans="4:9" ht="20.100000000000001" customHeight="1" x14ac:dyDescent="0.25">
      <c r="D96" s="81" t="str">
        <f>'Input - MMS - Feedlot'!$D$22</f>
        <v>Drylot (feed pad)</v>
      </c>
      <c r="E96" s="81" t="str">
        <f>'Input - MMS - Feedlot'!$D$30</f>
        <v>Direct application</v>
      </c>
      <c r="F96" s="81" t="e" cm="1">
        <f t="array" ref="F96">MMS_Feedlot_Methane_Equations.VEERG_4_1_1_1__3_Stage2MethaneProduction($G$69,D$30,$G$71,F82,$F89,$G$74)</f>
        <v>#REF!</v>
      </c>
      <c r="G96" s="81" t="e" cm="1">
        <f t="array" ref="G96">MMS_Feedlot_Methane_Equations.VEERG_4_1_1_1__3_Stage2MethaneProduction($G$69,E$30,$G$71,G82,$F89,$G$74)</f>
        <v>#REF!</v>
      </c>
      <c r="H96" s="81" t="e" cm="1">
        <f t="array" ref="H96">MMS_Feedlot_Methane_Equations.VEERG_4_1_1_1__3_Stage2MethaneProduction($G$69,F$30,$G$71,H82,$F89,$G$74)</f>
        <v>#REF!</v>
      </c>
      <c r="I96" s="2" t="str">
        <f t="shared" si="0"/>
        <v>kg CH4/head/day</v>
      </c>
    </row>
    <row r="97" spans="3:10" ht="20.100000000000001" customHeight="1" x14ac:dyDescent="0.25"/>
    <row r="98" spans="3:10" ht="20.100000000000001" customHeight="1" x14ac:dyDescent="0.25"/>
    <row r="99" spans="3:10" ht="20.100000000000001" customHeight="1" x14ac:dyDescent="0.25">
      <c r="C99" s="73"/>
      <c r="D99" s="73"/>
      <c r="E99" s="73"/>
      <c r="F99" s="73"/>
      <c r="G99" s="73"/>
      <c r="H99" s="73"/>
      <c r="I99" s="73"/>
      <c r="J99" s="73"/>
    </row>
    <row r="100" spans="3:10" ht="20.100000000000001" customHeight="1" x14ac:dyDescent="0.25">
      <c r="D100" s="6" t="str" cm="1">
        <f t="array" ref="D100">MMS_Feedlot_Methane_Equations.VEERG_4_1_1_1__4_Stage3MethaneProductionAnaerobicLagoon_Title()</f>
        <v>Production of methane in treatment stage 3 MMS</v>
      </c>
    </row>
    <row r="101" spans="3:10" ht="20.100000000000001" customHeight="1" x14ac:dyDescent="0.25">
      <c r="D101" s="5" t="str" cm="1">
        <f t="array" ref="D101">MMS_Feedlot_Methane_Equations.VEERG_4_1_1_1__4_Stage3MethaneProductionAnaerobicLagoon_Source()</f>
        <v>VEERG 2026: 4.1.1.1, Equation (4)</v>
      </c>
    </row>
    <row r="102" spans="3:10" ht="20.100000000000001" customHeight="1" x14ac:dyDescent="0.25">
      <c r="D102" s="14" t="s">
        <v>95</v>
      </c>
      <c r="E102" s="14" t="str" cm="1">
        <f t="array" aca="1" ref="E102" ca="1">Common_InputFunctions.Utility_DisplayFunctionName(E123)</f>
        <v>=MMS_Feedlot_Methane_Equations.VEERG_4_1_1_1__4_Stage3MethaneProductionAnaerobicLagoon(D$30, $H$109,E118,$H$111,$H$112)</v>
      </c>
    </row>
    <row r="103" spans="3:10" ht="20.100000000000001" customHeight="1" x14ac:dyDescent="0.25"/>
    <row r="104" spans="3:10" ht="20.100000000000001" customHeight="1" x14ac:dyDescent="0.25">
      <c r="D104" s="6"/>
    </row>
    <row r="105" spans="3:10" ht="20.100000000000001" customHeight="1" x14ac:dyDescent="0.25">
      <c r="D105" s="82" t="s">
        <v>98</v>
      </c>
      <c r="E105" s="1" t="str" cm="1">
        <f t="array" ref="E105">MMS_Feedlot_Methane_Equations.VEERG_4_1_1_1__4_Stage3MethaneProductionAnaerobicLagoon_Variable()</f>
        <v>Mjm1T3</v>
      </c>
    </row>
    <row r="106" spans="3:10" ht="20.100000000000001" customHeight="1" x14ac:dyDescent="0.25">
      <c r="D106" s="82" t="s">
        <v>86</v>
      </c>
      <c r="E106" s="83" t="str" cm="1">
        <f t="array" ref="E106">MMS_Feedlot_Methane_Equations.VEERG_4_1_1_1__4_Stage3MethaneProductionAnaerobicLagoon_Unit()</f>
        <v>kg CH4/head/day</v>
      </c>
    </row>
    <row r="107" spans="3:10" ht="20.100000000000001" customHeight="1" x14ac:dyDescent="0.25"/>
    <row r="108" spans="3:10" ht="20.100000000000001" customHeight="1" x14ac:dyDescent="0.25">
      <c r="D108" s="86" t="str" cm="1">
        <f t="array" ref="D108:E113">MMS_Feedlot_Methane_Equations.VEERG_4_1_1_1__4_Stage3MethaneProductionAnaerobicLagoon_Arguments()</f>
        <v>VSj</v>
      </c>
      <c r="E108" s="87" t="str">
        <v>volatile solid production from feedlot cattle in each group : kg/head/day</v>
      </c>
      <c r="F108" s="135"/>
      <c r="G108" s="88"/>
      <c r="H108" s="86" t="str">
        <f>"See " &amp; $D$27</f>
        <v>See Table_VS_j</v>
      </c>
    </row>
    <row r="109" spans="3:10" ht="20.100000000000001" customHeight="1" x14ac:dyDescent="0.25">
      <c r="D109" s="86" t="str">
        <v>BO</v>
      </c>
      <c r="E109" s="87" t="str">
        <v>emissions potential : m3 CH4/kg VS</v>
      </c>
      <c r="F109" s="135"/>
      <c r="G109" s="88"/>
      <c r="H109" s="86">
        <f>$N$22</f>
        <v>0.19</v>
      </c>
    </row>
    <row r="110" spans="3:10" ht="20.100000000000001" customHeight="1" x14ac:dyDescent="0.25">
      <c r="D110" s="86" t="str">
        <v>MMSm1T3</v>
      </c>
      <c r="E110" s="87" t="str">
        <v>fraction of manure to tertiary anaerobic lagoon system : fraction</v>
      </c>
      <c r="F110" s="135"/>
      <c r="G110" s="88"/>
      <c r="H110" s="86" t="str">
        <f>"See " &amp; D115</f>
        <v>See Table_MMS_m-1_T-3</v>
      </c>
    </row>
    <row r="111" spans="3:10" ht="20.100000000000001" customHeight="1" x14ac:dyDescent="0.25">
      <c r="D111" s="86" t="str">
        <v>MCFim1</v>
      </c>
      <c r="E111" s="87" t="str">
        <v>methane conversion factor for temperature zone and anaerobic lagoon system : fraction</v>
      </c>
      <c r="F111" s="135"/>
      <c r="G111" s="88"/>
      <c r="H111" s="86" t="e">
        <f>HLOOKUP(H113, Table_SourceData_Feedlot_MCF[#All], 6, FALSE)</f>
        <v>#REF!</v>
      </c>
    </row>
    <row r="112" spans="3:10" ht="20.100000000000001" customHeight="1" x14ac:dyDescent="0.25">
      <c r="D112" s="86" t="str">
        <v>rho</v>
      </c>
      <c r="E112" s="87" t="str">
        <v>density of methane : kg/m3</v>
      </c>
      <c r="F112" s="135"/>
      <c r="G112" s="88"/>
      <c r="H112" s="86" t="e">
        <f>#REF!</f>
        <v>#REF!</v>
      </c>
    </row>
    <row r="113" spans="3:10" ht="20.100000000000001" customHeight="1" x14ac:dyDescent="0.25">
      <c r="D113" s="86" t="str">
        <v>i</v>
      </c>
      <c r="E113" s="87" t="str">
        <v>state</v>
      </c>
      <c r="F113" s="135"/>
      <c r="G113" s="88"/>
      <c r="H113" s="86" t="e" cm="1">
        <f t="array" ref="H113">Common_InputFunctions.Utility_LookupValueInTable('Input - Site'!$E$21,#REF!,#REF!)</f>
        <v>#REF!</v>
      </c>
    </row>
    <row r="114" spans="3:10" ht="20.100000000000001" customHeight="1" x14ac:dyDescent="0.25"/>
    <row r="115" spans="3:10" ht="20.100000000000001" customHeight="1" x14ac:dyDescent="0.25">
      <c r="D115" s="132" t="s">
        <v>209</v>
      </c>
    </row>
    <row r="116" spans="3:10" ht="20.100000000000001" customHeight="1" x14ac:dyDescent="0.25">
      <c r="D116" s="131" t="s">
        <v>211</v>
      </c>
    </row>
    <row r="117" spans="3:10" ht="20.100000000000001" customHeight="1" x14ac:dyDescent="0.25">
      <c r="D117" s="80" t="s">
        <v>190</v>
      </c>
      <c r="E117" s="80" t="s">
        <v>193</v>
      </c>
      <c r="F117" s="80" t="s">
        <v>194</v>
      </c>
      <c r="G117" s="80" t="s">
        <v>195</v>
      </c>
    </row>
    <row r="118" spans="3:10" ht="20.100000000000001" customHeight="1" x14ac:dyDescent="0.25">
      <c r="D118" s="81" t="str">
        <f>'Input - MMS - Feedlot'!$D$22</f>
        <v>Drylot (feed pad)</v>
      </c>
      <c r="E118" s="81">
        <f>'Input - MMS - Feedlot'!E36</f>
        <v>0.02</v>
      </c>
      <c r="F118" s="81">
        <f>'Input - MMS - Feedlot'!F36</f>
        <v>0.02</v>
      </c>
      <c r="G118" s="81">
        <f>'Input - MMS - Feedlot'!G36</f>
        <v>0.02</v>
      </c>
      <c r="H118" s="2" t="s">
        <v>178</v>
      </c>
    </row>
    <row r="119" spans="3:10" ht="20.100000000000001" customHeight="1" x14ac:dyDescent="0.25"/>
    <row r="120" spans="3:10" ht="20.100000000000001" customHeight="1" x14ac:dyDescent="0.25">
      <c r="D120" s="132" t="s">
        <v>212</v>
      </c>
    </row>
    <row r="121" spans="3:10" ht="20.100000000000001" customHeight="1" x14ac:dyDescent="0.25">
      <c r="D121" s="131" t="s">
        <v>216</v>
      </c>
    </row>
    <row r="122" spans="3:10" ht="20.100000000000001" customHeight="1" x14ac:dyDescent="0.25">
      <c r="D122" s="80" t="s">
        <v>190</v>
      </c>
      <c r="E122" s="80" t="s">
        <v>193</v>
      </c>
      <c r="F122" s="80" t="s">
        <v>194</v>
      </c>
      <c r="G122" s="80" t="s">
        <v>195</v>
      </c>
    </row>
    <row r="123" spans="3:10" ht="20.100000000000001" customHeight="1" x14ac:dyDescent="0.25">
      <c r="D123" s="81" t="str">
        <f>'Input - MMS - Feedlot'!$D$22</f>
        <v>Drylot (feed pad)</v>
      </c>
      <c r="E123" s="81" t="e" cm="1">
        <f t="array" ref="E123">MMS_Feedlot_Methane_Equations.VEERG_4_1_1_1__4_Stage3MethaneProductionAnaerobicLagoon(D$30, $H$109,E118,$H$111,$H$112)</f>
        <v>#REF!</v>
      </c>
      <c r="F123" s="81" t="e" cm="1">
        <f t="array" ref="F123">MMS_Feedlot_Methane_Equations.VEERG_4_1_1_1__4_Stage3MethaneProductionAnaerobicLagoon(E$30, $H$109,F118,$H$111,$H$112)</f>
        <v>#REF!</v>
      </c>
      <c r="G123" s="81" t="e" cm="1">
        <f t="array" ref="G123">MMS_Feedlot_Methane_Equations.VEERG_4_1_1_1__4_Stage3MethaneProductionAnaerobicLagoon(F$30, $H$109,G118,$H$111,$H$112)</f>
        <v>#REF!</v>
      </c>
      <c r="H123" s="2" t="str">
        <f>$E$106</f>
        <v>kg CH4/head/day</v>
      </c>
    </row>
    <row r="124" spans="3:10" ht="20.100000000000001" customHeight="1" x14ac:dyDescent="0.25"/>
    <row r="125" spans="3:10" ht="20.100000000000001" customHeight="1" x14ac:dyDescent="0.25"/>
    <row r="126" spans="3:10" ht="20.100000000000001" customHeight="1" x14ac:dyDescent="0.25">
      <c r="C126" s="73"/>
      <c r="D126" s="73"/>
      <c r="E126" s="73"/>
      <c r="F126" s="73"/>
      <c r="G126" s="73"/>
      <c r="H126" s="73"/>
      <c r="I126" s="73"/>
      <c r="J126" s="73"/>
    </row>
    <row r="127" spans="3:10" ht="20.100000000000001" customHeight="1" x14ac:dyDescent="0.25">
      <c r="D127" s="6" t="str" cm="1">
        <f t="array" ref="D127">MMS_Feedlot_Methane_Equations.VEERG_4_1_1_1__1_TotalAnnualMethaneEmissions_Title()</f>
        <v>Total annual methane emissions from manure management</v>
      </c>
    </row>
    <row r="128" spans="3:10" ht="20.100000000000001" customHeight="1" x14ac:dyDescent="0.25">
      <c r="D128" s="5" t="str" cm="1">
        <f t="array" ref="D128">MMS_Feedlot_Methane_Equations.VEERG_4_1_1_1__1_TotalAnnualMethaneEmissions_Source()</f>
        <v>VEERG 2026: 4.1.1.1, Equation (1)</v>
      </c>
    </row>
    <row r="129" spans="4:8" ht="20.100000000000001" customHeight="1" x14ac:dyDescent="0.25">
      <c r="D129" s="14" t="s">
        <v>95</v>
      </c>
      <c r="E129" s="14" t="str" cm="1">
        <f t="array" aca="1" ref="E129" ca="1">Common_InputFunctions.Utility_DisplayFunctionName(F162)</f>
        <v>=MMS_Feedlot_Methane_Equations.VEERG_4_1_1_1__1_TotalAnnualMethaneEmissions(D$143, F148, D$157)</v>
      </c>
    </row>
    <row r="130" spans="4:8" ht="20.100000000000001" customHeight="1" x14ac:dyDescent="0.25"/>
    <row r="131" spans="4:8" ht="20.100000000000001" customHeight="1" x14ac:dyDescent="0.25">
      <c r="D131" s="6"/>
    </row>
    <row r="132" spans="4:8" ht="20.100000000000001" customHeight="1" x14ac:dyDescent="0.25"/>
    <row r="133" spans="4:8" ht="20.100000000000001" customHeight="1" x14ac:dyDescent="0.25">
      <c r="D133" s="82" t="s">
        <v>98</v>
      </c>
      <c r="E133" s="1" t="str" cm="1">
        <f t="array" ref="E133">MMS_Feedlot_Methane_Equations.VEERG_4_1_1_1__1_TotalAnnualMethaneEmissions_Variable()</f>
        <v>ECH4</v>
      </c>
    </row>
    <row r="134" spans="4:8" ht="20.100000000000001" customHeight="1" x14ac:dyDescent="0.25">
      <c r="D134" s="82" t="s">
        <v>86</v>
      </c>
      <c r="E134" s="83" t="str" cm="1">
        <f t="array" ref="E134">MMS_Feedlot_Methane_Equations.VEERG_4_1_1_1__1_TotalAnnualMethaneEmissions_Unit()</f>
        <v>t CH4</v>
      </c>
    </row>
    <row r="135" spans="4:8" ht="20.100000000000001" customHeight="1" x14ac:dyDescent="0.25"/>
    <row r="136" spans="4:8" ht="20.100000000000001" customHeight="1" x14ac:dyDescent="0.25">
      <c r="D136" s="86" t="str" cm="1">
        <f t="array" ref="D136:E138">MMS_Feedlot_Methane_Equations.VEERG_4_1_1_1__1_TotalAnnualMethaneEmissions_Arguments()</f>
        <v>Dj</v>
      </c>
      <c r="E136" s="87" t="str">
        <v>length of stay of each cattle group : days</v>
      </c>
      <c r="F136" s="135"/>
      <c r="G136" s="88"/>
      <c r="H136" s="86" t="str">
        <f>"See " &amp; $D$140</f>
        <v>See Table_D_j</v>
      </c>
    </row>
    <row r="137" spans="4:8" ht="20.100000000000001" customHeight="1" x14ac:dyDescent="0.25">
      <c r="D137" s="86" t="str">
        <v>MjmT</v>
      </c>
      <c r="E137" s="87" t="str">
        <v>methane production from manure per cattle group, MMS, and treatment stage : kg CH4/head/day</v>
      </c>
      <c r="F137" s="135"/>
      <c r="G137" s="88"/>
      <c r="H137" s="86" t="str">
        <f>"See " &amp; $D$145</f>
        <v>See Table_M_j_m_T</v>
      </c>
    </row>
    <row r="138" spans="4:8" ht="20.100000000000001" customHeight="1" x14ac:dyDescent="0.25">
      <c r="D138" s="86" t="str">
        <v>Nj</v>
      </c>
      <c r="E138" s="87" t="str">
        <v>numbers of beef cattle in each group : head</v>
      </c>
      <c r="F138" s="135"/>
      <c r="G138" s="88"/>
      <c r="H138" s="86" t="str">
        <f>"See " &amp; $D$154</f>
        <v>See Table_N_j</v>
      </c>
    </row>
    <row r="139" spans="4:8" ht="20.100000000000001" customHeight="1" x14ac:dyDescent="0.25"/>
    <row r="140" spans="4:8" ht="20.100000000000001" customHeight="1" x14ac:dyDescent="0.25">
      <c r="D140" s="132" t="s">
        <v>224</v>
      </c>
    </row>
    <row r="141" spans="4:8" ht="20.100000000000001" customHeight="1" x14ac:dyDescent="0.25">
      <c r="D141" s="131" t="s">
        <v>219</v>
      </c>
    </row>
    <row r="142" spans="4:8" ht="20.100000000000001" customHeight="1" x14ac:dyDescent="0.25">
      <c r="D142" s="80" t="s">
        <v>193</v>
      </c>
      <c r="E142" s="80" t="s">
        <v>194</v>
      </c>
      <c r="F142" s="80" t="s">
        <v>195</v>
      </c>
    </row>
    <row r="143" spans="4:8" ht="20.100000000000001" customHeight="1" x14ac:dyDescent="0.25">
      <c r="D143" s="137">
        <f>'Input - MMS - Feedlot'!$E$9</f>
        <v>90</v>
      </c>
      <c r="E143" s="137">
        <f>'Input - MMS - Feedlot'!$F$9</f>
        <v>140</v>
      </c>
      <c r="F143" s="137">
        <f>'Input - MMS - Feedlot'!$G$9</f>
        <v>250</v>
      </c>
      <c r="G143" s="2" t="s">
        <v>125</v>
      </c>
    </row>
    <row r="144" spans="4:8" ht="20.100000000000001" customHeight="1" x14ac:dyDescent="0.25"/>
    <row r="145" spans="4:9" ht="20.100000000000001" customHeight="1" x14ac:dyDescent="0.25">
      <c r="D145" s="132" t="s">
        <v>225</v>
      </c>
    </row>
    <row r="146" spans="4:9" ht="20.100000000000001" customHeight="1" x14ac:dyDescent="0.25">
      <c r="D146" s="131" t="s">
        <v>228</v>
      </c>
    </row>
    <row r="147" spans="4:9" ht="20.100000000000001" customHeight="1" x14ac:dyDescent="0.25">
      <c r="D147" s="80" t="s">
        <v>230</v>
      </c>
      <c r="E147" s="80" t="s">
        <v>138</v>
      </c>
      <c r="F147" s="80" t="s">
        <v>193</v>
      </c>
      <c r="G147" s="80" t="s">
        <v>194</v>
      </c>
      <c r="H147" s="80" t="s">
        <v>195</v>
      </c>
    </row>
    <row r="148" spans="4:9" ht="20.100000000000001" customHeight="1" x14ac:dyDescent="0.25">
      <c r="D148" s="81">
        <v>1</v>
      </c>
      <c r="E148" s="81" t="str">
        <f>'Input - MMS - Feedlot'!$D$22</f>
        <v>Drylot (feed pad)</v>
      </c>
      <c r="F148" s="81" t="e">
        <f>$E$57</f>
        <v>#REF!</v>
      </c>
      <c r="G148" s="81" t="e">
        <f>$F$57</f>
        <v>#REF!</v>
      </c>
      <c r="H148" s="81" t="e">
        <f>$G$57</f>
        <v>#REF!</v>
      </c>
      <c r="I148" s="2" t="s">
        <v>231</v>
      </c>
    </row>
    <row r="149" spans="4:9" ht="20.100000000000001" customHeight="1" x14ac:dyDescent="0.25">
      <c r="D149" s="81">
        <v>2</v>
      </c>
      <c r="E149" s="81" t="str">
        <f>'Input - MMS - Feedlot'!$D$28</f>
        <v>Solid storage</v>
      </c>
      <c r="F149" s="81" t="e">
        <f>$F$94</f>
        <v>#REF!</v>
      </c>
      <c r="G149" s="81" t="e">
        <f>$G$94</f>
        <v>#REF!</v>
      </c>
      <c r="H149" s="81" t="e">
        <f>$H$94</f>
        <v>#REF!</v>
      </c>
      <c r="I149" s="2" t="s">
        <v>231</v>
      </c>
    </row>
    <row r="150" spans="4:9" ht="20.100000000000001" customHeight="1" x14ac:dyDescent="0.25">
      <c r="D150" s="81">
        <v>2</v>
      </c>
      <c r="E150" s="81" t="str">
        <f>'Input - MMS - Feedlot'!$D$29</f>
        <v>Composting (passive windrow)</v>
      </c>
      <c r="F150" s="81" t="e">
        <f>$F$95</f>
        <v>#REF!</v>
      </c>
      <c r="G150" s="81" t="e">
        <f>$G$95</f>
        <v>#REF!</v>
      </c>
      <c r="H150" s="81" t="e">
        <f>$H$95</f>
        <v>#REF!</v>
      </c>
      <c r="I150" s="2" t="s">
        <v>231</v>
      </c>
    </row>
    <row r="151" spans="4:9" ht="20.100000000000001" customHeight="1" x14ac:dyDescent="0.25">
      <c r="D151" s="81">
        <v>2</v>
      </c>
      <c r="E151" s="81" t="str">
        <f>'Input - MMS - Feedlot'!$D$30</f>
        <v>Direct application</v>
      </c>
      <c r="F151" s="81" t="e">
        <f>$F$96</f>
        <v>#REF!</v>
      </c>
      <c r="G151" s="81" t="e">
        <f>$G$96</f>
        <v>#REF!</v>
      </c>
      <c r="H151" s="81" t="e">
        <f>$H$96</f>
        <v>#REF!</v>
      </c>
      <c r="I151" s="2" t="s">
        <v>231</v>
      </c>
    </row>
    <row r="152" spans="4:9" ht="20.100000000000001" customHeight="1" x14ac:dyDescent="0.25">
      <c r="D152" s="81">
        <v>3</v>
      </c>
      <c r="E152" s="81" t="str">
        <f>'Input - MMS - Feedlot'!$D$36</f>
        <v>Anaerobic lagoon</v>
      </c>
      <c r="F152" s="81" t="e">
        <f>$E$123</f>
        <v>#REF!</v>
      </c>
      <c r="G152" s="81" t="e">
        <f>$F$123</f>
        <v>#REF!</v>
      </c>
      <c r="H152" s="81" t="e">
        <f>$G$123</f>
        <v>#REF!</v>
      </c>
      <c r="I152" s="2" t="s">
        <v>231</v>
      </c>
    </row>
    <row r="153" spans="4:9" ht="20.100000000000001" customHeight="1" x14ac:dyDescent="0.25"/>
    <row r="154" spans="4:9" ht="20.100000000000001" customHeight="1" x14ac:dyDescent="0.25">
      <c r="D154" s="132" t="s">
        <v>226</v>
      </c>
    </row>
    <row r="155" spans="4:9" ht="20.100000000000001" customHeight="1" x14ac:dyDescent="0.25">
      <c r="D155" s="131" t="s">
        <v>227</v>
      </c>
    </row>
    <row r="156" spans="4:9" ht="20.100000000000001" customHeight="1" x14ac:dyDescent="0.25">
      <c r="D156" s="80" t="s">
        <v>193</v>
      </c>
      <c r="E156" s="80" t="s">
        <v>194</v>
      </c>
      <c r="F156" s="80" t="s">
        <v>195</v>
      </c>
    </row>
    <row r="157" spans="4:9" ht="20.100000000000001" customHeight="1" x14ac:dyDescent="0.25">
      <c r="D157" s="137">
        <f>'Input - MMS - Feedlot'!$E$8</f>
        <v>4300</v>
      </c>
      <c r="E157" s="137">
        <f>'Input - MMS - Feedlot'!$F$8</f>
        <v>100</v>
      </c>
      <c r="F157" s="137">
        <f>'Input - MMS - Feedlot'!$G$8</f>
        <v>100</v>
      </c>
      <c r="G157" s="2" t="s">
        <v>229</v>
      </c>
    </row>
    <row r="158" spans="4:9" ht="20.100000000000001" customHeight="1" x14ac:dyDescent="0.25"/>
    <row r="159" spans="4:9" ht="20.100000000000001" customHeight="1" x14ac:dyDescent="0.25">
      <c r="D159" s="132" t="s">
        <v>234</v>
      </c>
    </row>
    <row r="160" spans="4:9" ht="20.100000000000001" customHeight="1" x14ac:dyDescent="0.25">
      <c r="D160" s="131" t="s">
        <v>235</v>
      </c>
    </row>
    <row r="161" spans="4:8" ht="20.100000000000001" customHeight="1" x14ac:dyDescent="0.25">
      <c r="D161" s="80" t="s">
        <v>230</v>
      </c>
      <c r="E161" s="80" t="s">
        <v>138</v>
      </c>
      <c r="F161" s="80" t="s">
        <v>193</v>
      </c>
      <c r="G161" s="80" t="s">
        <v>194</v>
      </c>
      <c r="H161" s="80" t="s">
        <v>195</v>
      </c>
    </row>
    <row r="162" spans="4:8" ht="20.100000000000001" customHeight="1" x14ac:dyDescent="0.25">
      <c r="D162" s="81">
        <v>1</v>
      </c>
      <c r="E162" s="81" t="str">
        <f>'Input - MMS - Feedlot'!$D$22</f>
        <v>Drylot (feed pad)</v>
      </c>
      <c r="F162" s="81" t="e" cm="1">
        <f t="array" ref="F162">MMS_Feedlot_Methane_Equations.VEERG_4_1_1_1__1_TotalAnnualMethaneEmissions(D$143, F148, D$157)</f>
        <v>#REF!</v>
      </c>
      <c r="G162" s="81" t="e" cm="1">
        <f t="array" ref="G162">MMS_Feedlot_Methane_Equations.VEERG_4_1_1_1__1_TotalAnnualMethaneEmissions(E$143, G148, E$157)</f>
        <v>#REF!</v>
      </c>
      <c r="H162" s="81" t="e" cm="1">
        <f t="array" ref="H162">MMS_Feedlot_Methane_Equations.VEERG_4_1_1_1__1_TotalAnnualMethaneEmissions(F$143, H148, F$157)</f>
        <v>#REF!</v>
      </c>
    </row>
    <row r="163" spans="4:8" ht="20.100000000000001" customHeight="1" x14ac:dyDescent="0.25">
      <c r="D163" s="81">
        <v>2</v>
      </c>
      <c r="E163" s="81" t="str">
        <f>'Input - MMS - Feedlot'!$D$28</f>
        <v>Solid storage</v>
      </c>
      <c r="F163" s="81" t="e" cm="1">
        <f t="array" ref="F163">MMS_Feedlot_Methane_Equations.VEERG_4_1_1_1__1_TotalAnnualMethaneEmissions(D$143, F149, D$157)</f>
        <v>#REF!</v>
      </c>
      <c r="G163" s="81" t="e" cm="1">
        <f t="array" ref="G163">MMS_Feedlot_Methane_Equations.VEERG_4_1_1_1__1_TotalAnnualMethaneEmissions(E$143, G149, E$157)</f>
        <v>#REF!</v>
      </c>
      <c r="H163" s="81" t="e" cm="1">
        <f t="array" ref="H163">MMS_Feedlot_Methane_Equations.VEERG_4_1_1_1__1_TotalAnnualMethaneEmissions(F$143, H149, F$157)</f>
        <v>#REF!</v>
      </c>
    </row>
    <row r="164" spans="4:8" ht="20.100000000000001" customHeight="1" x14ac:dyDescent="0.25">
      <c r="D164" s="81">
        <v>2</v>
      </c>
      <c r="E164" s="81" t="str">
        <f>'Input - MMS - Feedlot'!$D$29</f>
        <v>Composting (passive windrow)</v>
      </c>
      <c r="F164" s="81" t="e" cm="1">
        <f t="array" ref="F164">MMS_Feedlot_Methane_Equations.VEERG_4_1_1_1__1_TotalAnnualMethaneEmissions(D$143, F150, D$157)</f>
        <v>#REF!</v>
      </c>
      <c r="G164" s="81" t="e" cm="1">
        <f t="array" ref="G164">MMS_Feedlot_Methane_Equations.VEERG_4_1_1_1__1_TotalAnnualMethaneEmissions(E$143, G150, E$157)</f>
        <v>#REF!</v>
      </c>
      <c r="H164" s="81" t="e" cm="1">
        <f t="array" ref="H164">MMS_Feedlot_Methane_Equations.VEERG_4_1_1_1__1_TotalAnnualMethaneEmissions(F$143, H150, F$157)</f>
        <v>#REF!</v>
      </c>
    </row>
    <row r="165" spans="4:8" ht="20.100000000000001" customHeight="1" x14ac:dyDescent="0.25">
      <c r="D165" s="81">
        <v>2</v>
      </c>
      <c r="E165" s="81" t="str">
        <f>'Input - MMS - Feedlot'!$D$30</f>
        <v>Direct application</v>
      </c>
      <c r="F165" s="81" t="e" cm="1">
        <f t="array" ref="F165">MMS_Feedlot_Methane_Equations.VEERG_4_1_1_1__1_TotalAnnualMethaneEmissions(D$143, F151, D$157)</f>
        <v>#REF!</v>
      </c>
      <c r="G165" s="81" t="e" cm="1">
        <f t="array" ref="G165">MMS_Feedlot_Methane_Equations.VEERG_4_1_1_1__1_TotalAnnualMethaneEmissions(E$143, G151, E$157)</f>
        <v>#REF!</v>
      </c>
      <c r="H165" s="81" t="e" cm="1">
        <f t="array" ref="H165">MMS_Feedlot_Methane_Equations.VEERG_4_1_1_1__1_TotalAnnualMethaneEmissions(F$143, H151, F$157)</f>
        <v>#REF!</v>
      </c>
    </row>
    <row r="166" spans="4:8" x14ac:dyDescent="0.25">
      <c r="D166" s="81">
        <v>3</v>
      </c>
      <c r="E166" s="81" t="str">
        <f>'Input - MMS - Feedlot'!$D$36</f>
        <v>Anaerobic lagoon</v>
      </c>
      <c r="F166" s="81" t="e" cm="1">
        <f t="array" ref="F166">MMS_Feedlot_Methane_Equations.VEERG_4_1_1_1__1_TotalAnnualMethaneEmissions(D$143, F152, D$157)</f>
        <v>#REF!</v>
      </c>
      <c r="G166" s="81" t="e" cm="1">
        <f t="array" ref="G166">MMS_Feedlot_Methane_Equations.VEERG_4_1_1_1__1_TotalAnnualMethaneEmissions(E$143, G152, E$157)</f>
        <v>#REF!</v>
      </c>
      <c r="H166" s="81" t="e" cm="1">
        <f t="array" ref="H166">MMS_Feedlot_Methane_Equations.VEERG_4_1_1_1__1_TotalAnnualMethaneEmissions(F$143, H152, F$157)</f>
        <v>#REF!</v>
      </c>
    </row>
    <row r="171" spans="4:8" ht="20.25" x14ac:dyDescent="0.25">
      <c r="D171" s="138" t="s">
        <v>232</v>
      </c>
      <c r="E171" s="139" t="e">
        <f>SUM(F162:H166)</f>
        <v>#REF!</v>
      </c>
      <c r="F171" s="140" t="str">
        <f>E134</f>
        <v>t CH4</v>
      </c>
    </row>
    <row r="173" spans="4:8" x14ac:dyDescent="0.25">
      <c r="D173" s="86" t="str" cm="1">
        <f t="array" ref="D173:E174">Common_Equations.Common_ConvertCH4ToCO2e_Arguments()</f>
        <v>ECH4</v>
      </c>
      <c r="E173" s="87" t="str">
        <v>Methane emissions (t CH4)</v>
      </c>
      <c r="F173" s="141"/>
      <c r="G173" s="81" t="e">
        <f>E171</f>
        <v>#REF!</v>
      </c>
    </row>
    <row r="174" spans="4:8" x14ac:dyDescent="0.25">
      <c r="D174" s="86" t="str">
        <v>GWPCH4</v>
      </c>
      <c r="E174" s="87" t="str">
        <v>Global warming potential for methane (t CO2-e / t CH4)</v>
      </c>
      <c r="F174" s="141"/>
      <c r="G174" s="81" cm="1">
        <f t="array" ref="G174">Common_InputFunctions.Utility_LookupValueInTableNumber("CH4",#REF!,#REF!)</f>
        <v>0</v>
      </c>
    </row>
    <row r="176" spans="4:8" ht="18.75" x14ac:dyDescent="0.25">
      <c r="D176" s="73" t="s">
        <v>233</v>
      </c>
      <c r="E176" s="73" t="e" cm="1">
        <f t="array" ref="E176">Common_Equations.Common_ConvertCH4ToCO2e(G173,G174)</f>
        <v>#REF!</v>
      </c>
      <c r="F176" s="142" t="str" cm="1">
        <f t="array" ref="F176">Common_Equations.Common_ConvertN2OToCO2e_Unit()</f>
        <v>t CO2e</v>
      </c>
    </row>
  </sheetData>
  <dataValidations count="2">
    <dataValidation type="whole" operator="equal" allowBlank="1" showInputMessage="1" showErrorMessage="1" sqref="E52:G52" xr:uid="{AF7BB680-B75F-4AE8-AA2D-EDF03FCB10D8}">
      <formula1>1</formula1>
    </dataValidation>
    <dataValidation operator="equal" allowBlank="1" showInputMessage="1" showErrorMessage="1" sqref="E57:G57 E118:G118 E123:G123 D143:F143 D157:F157" xr:uid="{BF6C354D-1CC7-4759-8034-52BCA09E82CC}"/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94" t="e" vm="1">
        <v>#VALUE!</v>
      </c>
      <c r="C1" s="8" t="s">
        <v>150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8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8" t="str">
        <f>HYPERLINK("#'Results'!A1", "Results")</f>
        <v>Results</v>
      </c>
    </row>
    <row r="5" spans="1:13" ht="20.100000000000001" customHeight="1" x14ac:dyDescent="0.25">
      <c r="A5" s="17"/>
    </row>
    <row r="6" spans="1:13" ht="20.100000000000001" customHeight="1" x14ac:dyDescent="0.25">
      <c r="A6" s="21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8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8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8" t="str">
        <f>HYPERLINK("#'Input - Herd - Dairy'!A1", "Herd - Dairy")</f>
        <v>Herd - Dairy</v>
      </c>
      <c r="D9" s="63" t="s">
        <v>151</v>
      </c>
      <c r="E9" s="64" t="s">
        <v>87</v>
      </c>
      <c r="F9" s="64" t="s">
        <v>152</v>
      </c>
      <c r="G9" s="3"/>
    </row>
    <row r="10" spans="1:13" ht="20.100000000000001" customHeight="1" x14ac:dyDescent="0.25">
      <c r="A10" s="18" t="str">
        <f>HYPERLINK("#'Input - Feed - Dairy'!A1", "Purchased feed - Livestock")</f>
        <v>Purchased feed - Livestock</v>
      </c>
      <c r="D10" s="63" t="str" cm="1">
        <f t="array" ref="D10">Common_InputFunctions.Utility_DisplayArrayInTable(CommonLivestock_SourceData.SourceData_Livestock_Common_SymbolsMMS_Data(), Table_Data_MMSSymbols[[#Headers],[Symbol]], 0)</f>
        <v>1</v>
      </c>
      <c r="E10" s="63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63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8" t="str">
        <f>HYPERLINK("#'Input - Herd - Feedlot'!A1", "Herd - Feedlot")</f>
        <v>Herd - Feedlot</v>
      </c>
      <c r="D11" s="63" t="str" cm="1">
        <f t="array" ref="D11">Common_InputFunctions.Utility_DisplayArrayInTable(CommonLivestock_SourceData.SourceData_Livestock_Common_SymbolsMMS_Data(), Table_Data_MMSSymbols[[#Headers],[Symbol]], 0)</f>
        <v>2</v>
      </c>
      <c r="E11" s="63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63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8" t="str">
        <f>HYPERLINK("#'Input - Pasture'!A1", "Pasture")</f>
        <v>Pasture</v>
      </c>
      <c r="D12" s="64" t="str" cm="1">
        <f t="array" ref="D12">Common_InputFunctions.Utility_DisplayArrayInTable(CommonLivestock_SourceData.SourceData_Livestock_Common_SymbolsMMS_Data(), Table_Data_MMSSymbols[[#Headers],[Symbol]], 0)</f>
        <v>3</v>
      </c>
      <c r="E12" s="64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64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8" t="str">
        <f>HYPERLINK("#'Input - Grains'!A1", "Crop - Grains")</f>
        <v>Crop - Grains</v>
      </c>
      <c r="D13" s="64" t="str" cm="1">
        <f t="array" ref="D13">Common_InputFunctions.Utility_DisplayArrayInTable(CommonLivestock_SourceData.SourceData_Livestock_Common_SymbolsMMS_Data(), Table_Data_MMSSymbols[[#Headers],[Symbol]], 0)</f>
        <v>3a</v>
      </c>
      <c r="E13" s="64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64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8" t="str">
        <f>HYPERLINK("#'Input - Fert Lime Chem'!A1", "Fertiliser, Lime &amp; Chemicals")</f>
        <v>Fertiliser, Lime &amp; Chemicals</v>
      </c>
      <c r="D14" s="64" t="str" cm="1">
        <f t="array" ref="D14">Common_InputFunctions.Utility_DisplayArrayInTable(CommonLivestock_SourceData.SourceData_Livestock_Common_SymbolsMMS_Data(), Table_Data_MMSSymbols[[#Headers],[Symbol]], 0)</f>
        <v>3b</v>
      </c>
      <c r="E14" s="64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64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8" t="str">
        <f>HYPERLINK("#'Input - Fuel &amp; Energy'!A1", "Electricity and fuel")</f>
        <v>Electricity and fuel</v>
      </c>
      <c r="D15" s="64" t="str" cm="1">
        <f t="array" ref="D15">Common_InputFunctions.Utility_DisplayArrayInTable(CommonLivestock_SourceData.SourceData_Livestock_Common_SymbolsMMS_Data(), Table_Data_MMSSymbols[[#Headers],[Symbol]], 0)</f>
        <v>4</v>
      </c>
      <c r="E15" s="64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64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96" t="s">
        <v>149</v>
      </c>
      <c r="D16" s="64" t="str" cm="1">
        <f t="array" ref="D16">Common_InputFunctions.Utility_DisplayArrayInTable(CommonLivestock_SourceData.SourceData_Livestock_Common_SymbolsMMS_Data(), Table_Data_MMSSymbols[[#Headers],[Symbol]], 0)</f>
        <v>5</v>
      </c>
      <c r="E16" s="64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64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96" t="s">
        <v>145</v>
      </c>
      <c r="D17" s="64" t="str" cm="1">
        <f t="array" ref="D17">Common_InputFunctions.Utility_DisplayArrayInTable(CommonLivestock_SourceData.SourceData_Livestock_Common_SymbolsMMS_Data(), Table_Data_MMSSymbols[[#Headers],[Symbol]], 0)</f>
        <v>6</v>
      </c>
      <c r="E17" s="64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64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8" t="str">
        <f>HYPERLINK("#'Input - Other Farm Inputs'!A1", "Other farm inputs")</f>
        <v>Other farm inputs</v>
      </c>
      <c r="D18" s="64" t="str" cm="1">
        <f t="array" ref="D18">Common_InputFunctions.Utility_DisplayArrayInTable(CommonLivestock_SourceData.SourceData_Livestock_Common_SymbolsMMS_Data(), Table_Data_MMSSymbols[[#Headers],[Symbol]], 0)</f>
        <v>7</v>
      </c>
      <c r="E18" s="64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64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8" t="str">
        <f>HYPERLINK("#'Input - Data quality'!A1", "Data quality")</f>
        <v>Data quality</v>
      </c>
      <c r="D19" s="64" t="str" cm="1">
        <f t="array" ref="D19">Common_InputFunctions.Utility_DisplayArrayInTable(CommonLivestock_SourceData.SourceData_Livestock_Common_SymbolsMMS_Data(), Table_Data_MMSSymbols[[#Headers],[Symbol]], 0)</f>
        <v>8</v>
      </c>
      <c r="E19" s="64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64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64" t="str" cm="1">
        <f t="array" ref="D20">Common_InputFunctions.Utility_DisplayArrayInTable(CommonLivestock_SourceData.SourceData_Livestock_Common_SymbolsMMS_Data(), Table_Data_MMSSymbols[[#Headers],[Symbol]], 0)</f>
        <v>9</v>
      </c>
      <c r="E20" s="64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64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20" t="s">
        <v>147</v>
      </c>
      <c r="D21" s="64" t="str" cm="1">
        <f t="array" ref="D21">Common_InputFunctions.Utility_DisplayArrayInTable(CommonLivestock_SourceData.SourceData_Livestock_Common_SymbolsMMS_Data(), Table_Data_MMSSymbols[[#Headers],[Symbol]], 0)</f>
        <v>10</v>
      </c>
      <c r="E21" s="64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64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96" t="s">
        <v>1</v>
      </c>
      <c r="D22" s="64" t="str" cm="1">
        <f t="array" ref="D22">Common_InputFunctions.Utility_DisplayArrayInTable(CommonLivestock_SourceData.SourceData_Livestock_Common_SymbolsMMS_Data(), Table_Data_MMSSymbols[[#Headers],[Symbol]], 0)</f>
        <v>11</v>
      </c>
      <c r="E22" s="64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64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96" t="s">
        <v>146</v>
      </c>
      <c r="D23" s="64" t="str" cm="1">
        <f t="array" ref="D23">Common_InputFunctions.Utility_DisplayArrayInTable(CommonLivestock_SourceData.SourceData_Livestock_Common_SymbolsMMS_Data(), Table_Data_MMSSymbols[[#Headers],[Symbol]], 0)</f>
        <v>11a</v>
      </c>
      <c r="E23" s="64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64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8" t="str">
        <f>HYPERLINK("#'Calcs - Fert Lime'!A1", "Fertiliser &amp; soil amendments")</f>
        <v>Fertiliser &amp; soil amendments</v>
      </c>
      <c r="D24" s="64" t="str" cm="1">
        <f t="array" ref="D24">Common_InputFunctions.Utility_DisplayArrayInTable(CommonLivestock_SourceData.SourceData_Livestock_Common_SymbolsMMS_Data(), Table_Data_MMSSymbols[[#Headers],[Symbol]], 0)</f>
        <v>11b</v>
      </c>
      <c r="E24" s="64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64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8" t="str">
        <f>HYPERLINK("#'Calcs - Residue mgmt - Crop'!A1", "Residue management - Crop")</f>
        <v>Residue management - Crop</v>
      </c>
      <c r="D25" s="64" t="str" cm="1">
        <f t="array" ref="D25">Common_InputFunctions.Utility_DisplayArrayInTable(CommonLivestock_SourceData.SourceData_Livestock_Common_SymbolsMMS_Data(), Table_Data_MMSSymbols[[#Headers],[Symbol]], 0)</f>
        <v>12</v>
      </c>
      <c r="E25" s="64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64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8" t="str">
        <f>HYPERLINK("#'Calcs - Residue mgmt - Pasture'!A1", "Residue management - Pasture")</f>
        <v>Residue management - Pasture</v>
      </c>
      <c r="D26" s="64" t="str" cm="1">
        <f t="array" ref="D26">Common_InputFunctions.Utility_DisplayArrayInTable(CommonLivestock_SourceData.SourceData_Livestock_Common_SymbolsMMS_Data(), Table_Data_MMSSymbols[[#Headers],[Symbol]], 0)</f>
        <v>13</v>
      </c>
      <c r="E26" s="64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64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8" t="str">
        <f>HYPERLINK("#'Calcs - Field burning'!A1", "Field burning - Crop")</f>
        <v>Field burning - Crop</v>
      </c>
      <c r="D27" s="64" t="str" cm="1">
        <f t="array" ref="D27">Common_InputFunctions.Utility_DisplayArrayInTable(CommonLivestock_SourceData.SourceData_Livestock_Common_SymbolsMMS_Data(), Table_Data_MMSSymbols[[#Headers],[Symbol]], 0)</f>
        <v>14</v>
      </c>
      <c r="E27" s="64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64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8" t="str">
        <f>HYPERLINK("#'Calcs - Fuel'!A1", "Fuel")</f>
        <v>Fuel</v>
      </c>
      <c r="G28" s="3"/>
      <c r="H28" s="3"/>
    </row>
    <row r="29" spans="1:8" ht="20.100000000000001" customHeight="1" x14ac:dyDescent="0.25">
      <c r="A29" s="18" t="str">
        <f>HYPERLINK("#'Calcs - Electricity'!A1", "Electricity")</f>
        <v>Electricity</v>
      </c>
    </row>
    <row r="30" spans="1:8" ht="20.100000000000001" customHeight="1" x14ac:dyDescent="0.25">
      <c r="A30" s="18" t="str">
        <f>HYPERLINK("#'Calcs - Refrigerants'!A1", "Refrigerants")</f>
        <v>Refrigerants</v>
      </c>
    </row>
    <row r="31" spans="1:8" ht="20.100000000000001" customHeight="1" x14ac:dyDescent="0.25">
      <c r="A31" s="96" t="s">
        <v>149</v>
      </c>
    </row>
    <row r="32" spans="1:8" ht="20.100000000000001" customHeight="1" x14ac:dyDescent="0.25">
      <c r="A32" s="96" t="s">
        <v>145</v>
      </c>
    </row>
    <row r="33" spans="1:1" ht="20.100000000000001" customHeight="1" x14ac:dyDescent="0.25">
      <c r="A33" s="18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9" t="s">
        <v>4</v>
      </c>
    </row>
    <row r="36" spans="1:1" ht="20.100000000000001" customHeight="1" x14ac:dyDescent="0.25">
      <c r="A36" s="18" t="str">
        <f>HYPERLINK("#'Constants - Common'!A1", "Constants - Common")</f>
        <v>Constants - Common</v>
      </c>
    </row>
    <row r="37" spans="1:1" ht="20.100000000000001" customHeight="1" x14ac:dyDescent="0.25">
      <c r="A37" s="18" t="str">
        <f>HYPERLINK("#'Constants - Cropping'!A1", "Constants - Cropping")</f>
        <v>Constants - Cropping</v>
      </c>
    </row>
    <row r="38" spans="1:1" ht="20.100000000000001" customHeight="1" x14ac:dyDescent="0.25">
      <c r="A38" s="98" t="str">
        <f>HYPERLINK("#'Constants - Livestock'!A1", "Constants - Livestock")</f>
        <v>Constants - Livestock</v>
      </c>
    </row>
    <row r="39" spans="1:1" ht="20.100000000000001" customHeight="1" x14ac:dyDescent="0.25">
      <c r="A39" s="18" t="str">
        <f>HYPERLINK("#'Constants - Dairy'!A1", "Constants - Dairy")</f>
        <v>Constants - Dairy</v>
      </c>
    </row>
    <row r="40" spans="1:1" ht="20.100000000000001" customHeight="1" x14ac:dyDescent="0.25">
      <c r="A40" s="96" t="s">
        <v>2</v>
      </c>
    </row>
    <row r="41" spans="1:1" ht="20.100000000000001" customHeight="1" x14ac:dyDescent="0.25">
      <c r="A41" s="72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8344-4140-4D34-AE5E-0656D4E90852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148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64" t="s">
        <v>90</v>
      </c>
      <c r="E6" s="64" t="s">
        <v>91</v>
      </c>
      <c r="F6" s="64" t="s">
        <v>92</v>
      </c>
    </row>
    <row r="7" spans="1:64" ht="20.100000000000001" customHeight="1" x14ac:dyDescent="0.25">
      <c r="A7"/>
      <c r="D7" s="64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64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64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64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64" t="str" cm="1">
        <f t="array" ref="E8">Common_InputFunctions.Utility_DisplayArrayInTable(Common_SourceData.Common_SourceData_AustralianStatesTerritories_Data(),Table_AustralianStates[[#Headers],[State/Territory]],0)</f>
        <v>ACT</v>
      </c>
      <c r="F8" s="64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64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64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64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64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64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64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64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64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64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64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64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64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64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64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64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64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64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64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64" t="s">
        <v>93</v>
      </c>
    </row>
    <row r="21" spans="1:4" ht="20.100000000000001" customHeight="1" x14ac:dyDescent="0.25">
      <c r="A21"/>
      <c r="D21" s="64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64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64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64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64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64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64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64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64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64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64" t="s">
        <v>96</v>
      </c>
      <c r="E36" s="64" t="s">
        <v>97</v>
      </c>
    </row>
    <row r="37" spans="1:8" ht="20.100000000000001" customHeight="1" x14ac:dyDescent="0.25">
      <c r="A37"/>
      <c r="D37" s="64" t="str" cm="1">
        <f t="array" ref="D37">Common_InputFunctions.Utility_DisplayArrayInTable(Common_SourceData.Common_SourceData_GWP_Data(), Table_GWPData[[#Headers],[Gas]], 0)</f>
        <v>CO2</v>
      </c>
      <c r="E37" s="64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64" t="str" cm="1">
        <f t="array" ref="D38">Common_InputFunctions.Utility_DisplayArrayInTable(Common_SourceData.Common_SourceData_GWP_Data(), Table_GWPData[[#Headers],[Gas]], 0)</f>
        <v>CH4</v>
      </c>
      <c r="E38" s="64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64" t="str" cm="1">
        <f t="array" ref="D39">Common_InputFunctions.Utility_DisplayArrayInTable(Common_SourceData.Common_SourceData_GWP_Data(), Table_GWPData[[#Headers],[Gas]], 0)</f>
        <v>N2O</v>
      </c>
      <c r="E39" s="64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64" t="str" cm="1">
        <f t="array" ref="D40">Common_InputFunctions.Utility_DisplayArrayInTable(Common_SourceData.Common_SourceData_GWP_Data(), Table_GWPData[[#Headers],[Gas]], 0)</f>
        <v>CF4</v>
      </c>
      <c r="E40" s="64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64" t="str" cm="1">
        <f t="array" ref="D41">Common_InputFunctions.Utility_DisplayArrayInTable(Common_SourceData.Common_SourceData_GWP_Data(), Table_GWPData[[#Headers],[Gas]], 0)</f>
        <v>C2F6</v>
      </c>
      <c r="E41" s="64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64" t="str" cm="1">
        <f t="array" ref="D42">Common_InputFunctions.Utility_DisplayArrayInTable(Common_SourceData.Common_SourceData_GWP_Data(), Table_GWPData[[#Headers],[Gas]], 0)</f>
        <v>SF6</v>
      </c>
      <c r="E42" s="64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64" t="str" cm="1">
        <f t="array" ref="D43">Common_InputFunctions.Utility_DisplayArrayInTable(Common_SourceData.Common_SourceData_GWP_Data(), Table_GWPData[[#Headers],[Gas]], 0)</f>
        <v>NF3</v>
      </c>
      <c r="E43" s="64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64" t="s">
        <v>96</v>
      </c>
      <c r="E47" s="64" t="s">
        <v>99</v>
      </c>
      <c r="F47" s="64" t="s">
        <v>100</v>
      </c>
      <c r="G47" s="64" t="s">
        <v>101</v>
      </c>
      <c r="H47" s="64" t="s">
        <v>102</v>
      </c>
    </row>
    <row r="48" spans="1:8" ht="20.100000000000001" customHeight="1" x14ac:dyDescent="0.25">
      <c r="D48" s="64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64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64" cm="1">
        <f t="array" ref="F48">Common_InputFunctions.Utility_DisplayArrayInTable(Common_SourceData.Common_SourceData_ConvertGasElementalToMolecular_Data(),Table_GasToMolecularConversionFactor[[#Headers],[Gas]], 0)</f>
        <v>44</v>
      </c>
      <c r="G48" s="64" cm="1">
        <f t="array" ref="G48">Common_InputFunctions.Utility_DisplayArrayInTable(Common_SourceData.Common_SourceData_ConvertGasElementalToMolecular_Data(),Table_GasToMolecularConversionFactor[[#Headers],[Gas]], 0)</f>
        <v>12</v>
      </c>
      <c r="H48" s="64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64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64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64" cm="1">
        <f t="array" ref="F49">Common_InputFunctions.Utility_DisplayArrayInTable(Common_SourceData.Common_SourceData_ConvertGasElementalToMolecular_Data(),Table_GasToMolecularConversionFactor[[#Headers],[Gas]], 0)</f>
        <v>16</v>
      </c>
      <c r="G49" s="64" cm="1">
        <f t="array" ref="G49">Common_InputFunctions.Utility_DisplayArrayInTable(Common_SourceData.Common_SourceData_ConvertGasElementalToMolecular_Data(),Table_GasToMolecularConversionFactor[[#Headers],[Gas]], 0)</f>
        <v>12</v>
      </c>
      <c r="H49" s="64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64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64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64" cm="1">
        <f t="array" ref="F50">Common_InputFunctions.Utility_DisplayArrayInTable(Common_SourceData.Common_SourceData_ConvertGasElementalToMolecular_Data(),Table_GasToMolecularConversionFactor[[#Headers],[Gas]], 0)</f>
        <v>44</v>
      </c>
      <c r="G50" s="64" cm="1">
        <f t="array" ref="G50">Common_InputFunctions.Utility_DisplayArrayInTable(Common_SourceData.Common_SourceData_ConvertGasElementalToMolecular_Data(),Table_GasToMolecularConversionFactor[[#Headers],[Gas]], 0)</f>
        <v>28</v>
      </c>
      <c r="H50" s="64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64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64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64" cm="1">
        <f t="array" ref="F51">Common_InputFunctions.Utility_DisplayArrayInTable(Common_SourceData.Common_SourceData_ConvertGasElementalToMolecular_Data(),Table_GasToMolecularConversionFactor[[#Headers],[Gas]], 0)</f>
        <v>46</v>
      </c>
      <c r="G51" s="64" cm="1">
        <f t="array" ref="G51">Common_InputFunctions.Utility_DisplayArrayInTable(Common_SourceData.Common_SourceData_ConvertGasElementalToMolecular_Data(),Table_GasToMolecularConversionFactor[[#Headers],[Gas]], 0)</f>
        <v>14</v>
      </c>
      <c r="H51" s="64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64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64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64" cm="1">
        <f t="array" ref="F52">Common_InputFunctions.Utility_DisplayArrayInTable(Common_SourceData.Common_SourceData_ConvertGasElementalToMolecular_Data(),Table_GasToMolecularConversionFactor[[#Headers],[Gas]], 0)</f>
        <v>28</v>
      </c>
      <c r="G52" s="64" cm="1">
        <f t="array" ref="G52">Common_InputFunctions.Utility_DisplayArrayInTable(Common_SourceData.Common_SourceData_ConvertGasElementalToMolecular_Data(),Table_GasToMolecularConversionFactor[[#Headers],[Gas]], 0)</f>
        <v>12</v>
      </c>
      <c r="H52" s="64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64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64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64" cm="1">
        <f t="array" ref="F53">Common_InputFunctions.Utility_DisplayArrayInTable(Common_SourceData.Common_SourceData_ConvertGasElementalToMolecular_Data(),Table_GasToMolecularConversionFactor[[#Headers],[Gas]], 0)</f>
        <v>44</v>
      </c>
      <c r="G53" s="64" cm="1">
        <f t="array" ref="G53">Common_InputFunctions.Utility_DisplayArrayInTable(Common_SourceData.Common_SourceData_ConvertGasElementalToMolecular_Data(),Table_GasToMolecularConversionFactor[[#Headers],[Gas]], 0)</f>
        <v>12</v>
      </c>
      <c r="H53" s="64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64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64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64" cm="1">
        <f t="array" ref="F54">Common_InputFunctions.Utility_DisplayArrayInTable(Common_SourceData.Common_SourceData_ConvertGasElementalToMolecular_Data(),Table_GasToMolecularConversionFactor[[#Headers],[Gas]], 0)</f>
        <v>14</v>
      </c>
      <c r="G54" s="64" cm="1">
        <f t="array" ref="G54">Common_InputFunctions.Utility_DisplayArrayInTable(Common_SourceData.Common_SourceData_ConvertGasElementalToMolecular_Data(),Table_GasToMolecularConversionFactor[[#Headers],[Gas]], 0)</f>
        <v>12</v>
      </c>
      <c r="H54" s="64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84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84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84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64" t="s">
        <v>71</v>
      </c>
      <c r="E63" s="64" t="s">
        <v>119</v>
      </c>
    </row>
    <row r="64" spans="4:8" ht="20.100000000000001" customHeight="1" x14ac:dyDescent="0.25">
      <c r="D64" s="64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64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64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64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64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64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64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64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64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64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64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64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64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64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64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64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64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64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64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64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64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64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64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64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64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64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64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64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84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84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84" t="str">
        <v>⚠️Fixed typo in MAT value for warm temperate dry - changed 10 to 11.</v>
      </c>
    </row>
    <row r="86" spans="4:19" ht="20.100000000000001" customHeight="1" x14ac:dyDescent="0.25">
      <c r="D86" s="84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84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64" t="s">
        <v>71</v>
      </c>
      <c r="E89" s="64" t="s">
        <v>107</v>
      </c>
      <c r="F89" s="64" t="s">
        <v>108</v>
      </c>
      <c r="G89" s="64" t="s">
        <v>109</v>
      </c>
      <c r="H89" s="64" t="s">
        <v>110</v>
      </c>
      <c r="I89" s="64" t="s">
        <v>111</v>
      </c>
      <c r="J89" s="64" t="s">
        <v>112</v>
      </c>
      <c r="K89" s="64" t="s">
        <v>113</v>
      </c>
      <c r="L89" s="64" t="s">
        <v>114</v>
      </c>
      <c r="M89" s="64" t="s">
        <v>115</v>
      </c>
      <c r="N89" s="64" t="s">
        <v>116</v>
      </c>
      <c r="O89" s="64" t="s">
        <v>120</v>
      </c>
      <c r="P89" s="64" t="s">
        <v>117</v>
      </c>
      <c r="Q89" s="64" t="s">
        <v>121</v>
      </c>
      <c r="R89" s="64" t="s">
        <v>118</v>
      </c>
      <c r="S89" s="64" t="s">
        <v>122</v>
      </c>
    </row>
    <row r="90" spans="4:19" ht="20.100000000000001" customHeight="1" x14ac:dyDescent="0.25">
      <c r="D90" s="64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64" t="str" cm="1">
        <f t="array" ref="E90">Common_InputFunctions.Utility_DisplayArrayInTable(Common_SourceData.Common_SourceData_ClimateZones_Data(), Table_SourceData_ClimateZones[[#Headers],[Climate zone]], 0)</f>
        <v>&gt; 18 C</v>
      </c>
      <c r="F90" s="64" t="str" cm="1">
        <f t="array" ref="F90">Common_InputFunctions.Utility_DisplayArrayInTable(Common_SourceData.Common_SourceData_ClimateZones_Data(), Table_SourceData_ClimateZones[[#Headers],[Climate zone]], 0)</f>
        <v>Any</v>
      </c>
      <c r="G90" s="64" t="str" cm="1">
        <f t="array" ref="G90">Common_InputFunctions.Utility_DisplayArrayInTable(Common_SourceData.Common_SourceData_ClimateZones_Data(), Table_SourceData_ClimateZones[[#Headers],[Climate zone]], 0)</f>
        <v>≤ 7</v>
      </c>
      <c r="H90" s="64" t="str" cm="1">
        <f t="array" ref="H90">Common_InputFunctions.Utility_DisplayArrayInTable(Common_SourceData.Common_SourceData_ClimateZones_Data(), Table_SourceData_ClimateZones[[#Headers],[Climate zone]], 0)</f>
        <v>&gt; 1000 m</v>
      </c>
      <c r="I90" s="64" t="str" cm="1">
        <f t="array" ref="I90">Common_InputFunctions.Utility_DisplayArrayInTable(Common_SourceData.Common_SourceData_ClimateZones_Data(), Table_SourceData_ClimateZones[[#Headers],[Climate zone]], 0)</f>
        <v>Any</v>
      </c>
      <c r="J90" s="64" cm="1">
        <f t="array" ref="J90">Common_InputFunctions.Utility_DisplayArrayInTable(Common_SourceData.Common_SourceData_ClimateZones_Data(), Table_SourceData_ClimateZones[[#Headers],[Climate zone]], 0)</f>
        <v>18.001000000000001</v>
      </c>
      <c r="K90" s="64" cm="1">
        <f t="array" ref="K90">Common_InputFunctions.Utility_DisplayArrayInTable(Common_SourceData.Common_SourceData_ClimateZones_Data(), Table_SourceData_ClimateZones[[#Headers],[Climate zone]], 0)</f>
        <v>999999</v>
      </c>
      <c r="L90" s="64" cm="1">
        <f t="array" ref="L90">Common_InputFunctions.Utility_DisplayArrayInTable(Common_SourceData.Common_SourceData_ClimateZones_Data(), Table_SourceData_ClimateZones[[#Headers],[Climate zone]], 0)</f>
        <v>-999999</v>
      </c>
      <c r="M90" s="64" cm="1">
        <f t="array" ref="M90">Common_InputFunctions.Utility_DisplayArrayInTable(Common_SourceData.Common_SourceData_ClimateZones_Data(), Table_SourceData_ClimateZones[[#Headers],[Climate zone]], 0)</f>
        <v>999999</v>
      </c>
      <c r="N90" s="64" cm="1">
        <f t="array" ref="N90">Common_InputFunctions.Utility_DisplayArrayInTable(Common_SourceData.Common_SourceData_ClimateZones_Data(), Table_SourceData_ClimateZones[[#Headers],[Climate zone]], 0)</f>
        <v>-999999</v>
      </c>
      <c r="O90" s="64" cm="1">
        <f t="array" ref="O90">Common_InputFunctions.Utility_DisplayArrayInTable(Common_SourceData.Common_SourceData_ClimateZones_Data(), Table_SourceData_ClimateZones[[#Headers],[Climate zone]], 0)</f>
        <v>7</v>
      </c>
      <c r="P90" s="64" cm="1">
        <f t="array" ref="P90">Common_InputFunctions.Utility_DisplayArrayInTable(Common_SourceData.Common_SourceData_ClimateZones_Data(), Table_SourceData_ClimateZones[[#Headers],[Climate zone]], 0)</f>
        <v>1000</v>
      </c>
      <c r="Q90" s="64" cm="1">
        <f t="array" ref="Q90">Common_InputFunctions.Utility_DisplayArrayInTable(Common_SourceData.Common_SourceData_ClimateZones_Data(), Table_SourceData_ClimateZones[[#Headers],[Climate zone]], 0)</f>
        <v>999999</v>
      </c>
      <c r="R90" s="64" cm="1">
        <f t="array" ref="R90">Common_InputFunctions.Utility_DisplayArrayInTable(Common_SourceData.Common_SourceData_ClimateZones_Data(), Table_SourceData_ClimateZones[[#Headers],[Climate zone]], 0)</f>
        <v>-999999</v>
      </c>
      <c r="S90" s="64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64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64" t="str" cm="1">
        <f t="array" ref="E91">Common_InputFunctions.Utility_DisplayArrayInTable(Common_SourceData.Common_SourceData_ClimateZones_Data(), Table_SourceData_ClimateZones[[#Headers],[Climate zone]], 0)</f>
        <v>&gt; 18 C</v>
      </c>
      <c r="F91" s="64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64" t="str" cm="1">
        <f t="array" ref="G91">Common_InputFunctions.Utility_DisplayArrayInTable(Common_SourceData.Common_SourceData_ClimateZones_Data(), Table_SourceData_ClimateZones[[#Headers],[Climate zone]], 0)</f>
        <v>≤ 7</v>
      </c>
      <c r="H91" s="64" t="str" cm="1">
        <f t="array" ref="H91">Common_InputFunctions.Utility_DisplayArrayInTable(Common_SourceData.Common_SourceData_ClimateZones_Data(), Table_SourceData_ClimateZones[[#Headers],[Climate zone]], 0)</f>
        <v>≤ 1000 m</v>
      </c>
      <c r="I91" s="64" t="str" cm="1">
        <f t="array" ref="I91">Common_InputFunctions.Utility_DisplayArrayInTable(Common_SourceData.Common_SourceData_ClimateZones_Data(), Table_SourceData_ClimateZones[[#Headers],[Climate zone]], 0)</f>
        <v>Any</v>
      </c>
      <c r="J91" s="64" cm="1">
        <f t="array" ref="J91">Common_InputFunctions.Utility_DisplayArrayInTable(Common_SourceData.Common_SourceData_ClimateZones_Data(), Table_SourceData_ClimateZones[[#Headers],[Climate zone]], 0)</f>
        <v>18.001000000000001</v>
      </c>
      <c r="K91" s="64" cm="1">
        <f t="array" ref="K91">Common_InputFunctions.Utility_DisplayArrayInTable(Common_SourceData.Common_SourceData_ClimateZones_Data(), Table_SourceData_ClimateZones[[#Headers],[Climate zone]], 0)</f>
        <v>999999</v>
      </c>
      <c r="L91" s="64" cm="1">
        <f t="array" ref="L91">Common_InputFunctions.Utility_DisplayArrayInTable(Common_SourceData.Common_SourceData_ClimateZones_Data(), Table_SourceData_ClimateZones[[#Headers],[Climate zone]], 0)</f>
        <v>2000.001</v>
      </c>
      <c r="M91" s="64" cm="1">
        <f t="array" ref="M91">Common_InputFunctions.Utility_DisplayArrayInTable(Common_SourceData.Common_SourceData_ClimateZones_Data(), Table_SourceData_ClimateZones[[#Headers],[Climate zone]], 0)</f>
        <v>999999</v>
      </c>
      <c r="N91" s="64" cm="1">
        <f t="array" ref="N91">Common_InputFunctions.Utility_DisplayArrayInTable(Common_SourceData.Common_SourceData_ClimateZones_Data(), Table_SourceData_ClimateZones[[#Headers],[Climate zone]], 0)</f>
        <v>-999999</v>
      </c>
      <c r="O91" s="64" cm="1">
        <f t="array" ref="O91">Common_InputFunctions.Utility_DisplayArrayInTable(Common_SourceData.Common_SourceData_ClimateZones_Data(), Table_SourceData_ClimateZones[[#Headers],[Climate zone]], 0)</f>
        <v>7</v>
      </c>
      <c r="P91" s="64" cm="1">
        <f t="array" ref="P91">Common_InputFunctions.Utility_DisplayArrayInTable(Common_SourceData.Common_SourceData_ClimateZones_Data(), Table_SourceData_ClimateZones[[#Headers],[Climate zone]], 0)</f>
        <v>-999999</v>
      </c>
      <c r="Q91" s="64" cm="1">
        <f t="array" ref="Q91">Common_InputFunctions.Utility_DisplayArrayInTable(Common_SourceData.Common_SourceData_ClimateZones_Data(), Table_SourceData_ClimateZones[[#Headers],[Climate zone]], 0)</f>
        <v>999.99900000000002</v>
      </c>
      <c r="R91" s="64" cm="1">
        <f t="array" ref="R91">Common_InputFunctions.Utility_DisplayArrayInTable(Common_SourceData.Common_SourceData_ClimateZones_Data(), Table_SourceData_ClimateZones[[#Headers],[Climate zone]], 0)</f>
        <v>-999999</v>
      </c>
      <c r="S91" s="64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64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64" t="str" cm="1">
        <f t="array" ref="E92">Common_InputFunctions.Utility_DisplayArrayInTable(Common_SourceData.Common_SourceData_ClimateZones_Data(), Table_SourceData_ClimateZones[[#Headers],[Climate zone]], 0)</f>
        <v>&gt; 18 C</v>
      </c>
      <c r="F92" s="64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64" t="str" cm="1">
        <f t="array" ref="G92">Common_InputFunctions.Utility_DisplayArrayInTable(Common_SourceData.Common_SourceData_ClimateZones_Data(), Table_SourceData_ClimateZones[[#Headers],[Climate zone]], 0)</f>
        <v>≤ 7</v>
      </c>
      <c r="H92" s="64" t="str" cm="1">
        <f t="array" ref="H92">Common_InputFunctions.Utility_DisplayArrayInTable(Common_SourceData.Common_SourceData_ClimateZones_Data(), Table_SourceData_ClimateZones[[#Headers],[Climate zone]], 0)</f>
        <v>≤ 1000 m</v>
      </c>
      <c r="I92" s="64" t="str" cm="1">
        <f t="array" ref="I92">Common_InputFunctions.Utility_DisplayArrayInTable(Common_SourceData.Common_SourceData_ClimateZones_Data(), Table_SourceData_ClimateZones[[#Headers],[Climate zone]], 0)</f>
        <v>Any</v>
      </c>
      <c r="J92" s="64" cm="1">
        <f t="array" ref="J92">Common_InputFunctions.Utility_DisplayArrayInTable(Common_SourceData.Common_SourceData_ClimateZones_Data(), Table_SourceData_ClimateZones[[#Headers],[Climate zone]], 0)</f>
        <v>18.001000000000001</v>
      </c>
      <c r="K92" s="64" cm="1">
        <f t="array" ref="K92">Common_InputFunctions.Utility_DisplayArrayInTable(Common_SourceData.Common_SourceData_ClimateZones_Data(), Table_SourceData_ClimateZones[[#Headers],[Climate zone]], 0)</f>
        <v>999999</v>
      </c>
      <c r="L92" s="64" cm="1">
        <f t="array" ref="L92">Common_InputFunctions.Utility_DisplayArrayInTable(Common_SourceData.Common_SourceData_ClimateZones_Data(), Table_SourceData_ClimateZones[[#Headers],[Climate zone]], 0)</f>
        <v>1000.001</v>
      </c>
      <c r="M92" s="64" cm="1">
        <f t="array" ref="M92">Common_InputFunctions.Utility_DisplayArrayInTable(Common_SourceData.Common_SourceData_ClimateZones_Data(), Table_SourceData_ClimateZones[[#Headers],[Climate zone]], 0)</f>
        <v>2000</v>
      </c>
      <c r="N92" s="64" cm="1">
        <f t="array" ref="N92">Common_InputFunctions.Utility_DisplayArrayInTable(Common_SourceData.Common_SourceData_ClimateZones_Data(), Table_SourceData_ClimateZones[[#Headers],[Climate zone]], 0)</f>
        <v>-999999</v>
      </c>
      <c r="O92" s="64" cm="1">
        <f t="array" ref="O92">Common_InputFunctions.Utility_DisplayArrayInTable(Common_SourceData.Common_SourceData_ClimateZones_Data(), Table_SourceData_ClimateZones[[#Headers],[Climate zone]], 0)</f>
        <v>7</v>
      </c>
      <c r="P92" s="64" cm="1">
        <f t="array" ref="P92">Common_InputFunctions.Utility_DisplayArrayInTable(Common_SourceData.Common_SourceData_ClimateZones_Data(), Table_SourceData_ClimateZones[[#Headers],[Climate zone]], 0)</f>
        <v>-999999</v>
      </c>
      <c r="Q92" s="64" cm="1">
        <f t="array" ref="Q92">Common_InputFunctions.Utility_DisplayArrayInTable(Common_SourceData.Common_SourceData_ClimateZones_Data(), Table_SourceData_ClimateZones[[#Headers],[Climate zone]], 0)</f>
        <v>999.99900000000002</v>
      </c>
      <c r="R92" s="64" cm="1">
        <f t="array" ref="R92">Common_InputFunctions.Utility_DisplayArrayInTable(Common_SourceData.Common_SourceData_ClimateZones_Data(), Table_SourceData_ClimateZones[[#Headers],[Climate zone]], 0)</f>
        <v>-999999</v>
      </c>
      <c r="S92" s="64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64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64" t="str" cm="1">
        <f t="array" ref="E93">Common_InputFunctions.Utility_DisplayArrayInTable(Common_SourceData.Common_SourceData_ClimateZones_Data(), Table_SourceData_ClimateZones[[#Headers],[Climate zone]], 0)</f>
        <v>&gt; 18 C</v>
      </c>
      <c r="F93" s="64" t="str" cm="1">
        <f t="array" ref="F93">Common_InputFunctions.Utility_DisplayArrayInTable(Common_SourceData.Common_SourceData_ClimateZones_Data(), Table_SourceData_ClimateZones[[#Headers],[Climate zone]], 0)</f>
        <v>≤ 1000 mm</v>
      </c>
      <c r="G93" s="64" t="str" cm="1">
        <f t="array" ref="G93">Common_InputFunctions.Utility_DisplayArrayInTable(Common_SourceData.Common_SourceData_ClimateZones_Data(), Table_SourceData_ClimateZones[[#Headers],[Climate zone]], 0)</f>
        <v>≤ 7</v>
      </c>
      <c r="H93" s="64" t="str" cm="1">
        <f t="array" ref="H93">Common_InputFunctions.Utility_DisplayArrayInTable(Common_SourceData.Common_SourceData_ClimateZones_Data(), Table_SourceData_ClimateZones[[#Headers],[Climate zone]], 0)</f>
        <v>≤ 1000 m</v>
      </c>
      <c r="I93" s="64" t="str" cm="1">
        <f t="array" ref="I93">Common_InputFunctions.Utility_DisplayArrayInTable(Common_SourceData.Common_SourceData_ClimateZones_Data(), Table_SourceData_ClimateZones[[#Headers],[Climate zone]], 0)</f>
        <v>Any</v>
      </c>
      <c r="J93" s="64" cm="1">
        <f t="array" ref="J93">Common_InputFunctions.Utility_DisplayArrayInTable(Common_SourceData.Common_SourceData_ClimateZones_Data(), Table_SourceData_ClimateZones[[#Headers],[Climate zone]], 0)</f>
        <v>18.001000000000001</v>
      </c>
      <c r="K93" s="64" cm="1">
        <f t="array" ref="K93">Common_InputFunctions.Utility_DisplayArrayInTable(Common_SourceData.Common_SourceData_ClimateZones_Data(), Table_SourceData_ClimateZones[[#Headers],[Climate zone]], 0)</f>
        <v>999999</v>
      </c>
      <c r="L93" s="64" cm="1">
        <f t="array" ref="L93">Common_InputFunctions.Utility_DisplayArrayInTable(Common_SourceData.Common_SourceData_ClimateZones_Data(), Table_SourceData_ClimateZones[[#Headers],[Climate zone]], 0)</f>
        <v>-999999</v>
      </c>
      <c r="M93" s="64" cm="1">
        <f t="array" ref="M93">Common_InputFunctions.Utility_DisplayArrayInTable(Common_SourceData.Common_SourceData_ClimateZones_Data(), Table_SourceData_ClimateZones[[#Headers],[Climate zone]], 0)</f>
        <v>1000</v>
      </c>
      <c r="N93" s="64" cm="1">
        <f t="array" ref="N93">Common_InputFunctions.Utility_DisplayArrayInTable(Common_SourceData.Common_SourceData_ClimateZones_Data(), Table_SourceData_ClimateZones[[#Headers],[Climate zone]], 0)</f>
        <v>-999999</v>
      </c>
      <c r="O93" s="64" cm="1">
        <f t="array" ref="O93">Common_InputFunctions.Utility_DisplayArrayInTable(Common_SourceData.Common_SourceData_ClimateZones_Data(), Table_SourceData_ClimateZones[[#Headers],[Climate zone]], 0)</f>
        <v>7</v>
      </c>
      <c r="P93" s="64" cm="1">
        <f t="array" ref="P93">Common_InputFunctions.Utility_DisplayArrayInTable(Common_SourceData.Common_SourceData_ClimateZones_Data(), Table_SourceData_ClimateZones[[#Headers],[Climate zone]], 0)</f>
        <v>-999999</v>
      </c>
      <c r="Q93" s="64" cm="1">
        <f t="array" ref="Q93">Common_InputFunctions.Utility_DisplayArrayInTable(Common_SourceData.Common_SourceData_ClimateZones_Data(), Table_SourceData_ClimateZones[[#Headers],[Climate zone]], 0)</f>
        <v>999.99900000000002</v>
      </c>
      <c r="R93" s="64" cm="1">
        <f t="array" ref="R93">Common_InputFunctions.Utility_DisplayArrayInTable(Common_SourceData.Common_SourceData_ClimateZones_Data(), Table_SourceData_ClimateZones[[#Headers],[Climate zone]], 0)</f>
        <v>-999999</v>
      </c>
      <c r="S93" s="64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64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64" t="str" cm="1">
        <f t="array" ref="E94">Common_InputFunctions.Utility_DisplayArrayInTable(Common_SourceData.Common_SourceData_ClimateZones_Data(), Table_SourceData_ClimateZones[[#Headers],[Climate zone]], 0)</f>
        <v>&gt; 10 C</v>
      </c>
      <c r="F94" s="64" t="str" cm="1">
        <f t="array" ref="F94">Common_InputFunctions.Utility_DisplayArrayInTable(Common_SourceData.Common_SourceData_ClimateZones_Data(), Table_SourceData_ClimateZones[[#Headers],[Climate zone]], 0)</f>
        <v>Any</v>
      </c>
      <c r="G94" s="64" t="str" cm="1">
        <f t="array" ref="G94">Common_InputFunctions.Utility_DisplayArrayInTable(Common_SourceData.Common_SourceData_ClimateZones_Data(), Table_SourceData_ClimateZones[[#Headers],[Climate zone]], 0)</f>
        <v>Any</v>
      </c>
      <c r="H94" s="64" t="str" cm="1">
        <f t="array" ref="H94">Common_InputFunctions.Utility_DisplayArrayInTable(Common_SourceData.Common_SourceData_ClimateZones_Data(), Table_SourceData_ClimateZones[[#Headers],[Climate zone]], 0)</f>
        <v>Any</v>
      </c>
      <c r="I94" s="64" t="str" cm="1">
        <f t="array" ref="I94">Common_InputFunctions.Utility_DisplayArrayInTable(Common_SourceData.Common_SourceData_ClimateZones_Data(), Table_SourceData_ClimateZones[[#Headers],[Climate zone]], 0)</f>
        <v>&gt; 1</v>
      </c>
      <c r="J94" s="64" cm="1">
        <f t="array" ref="J94">Common_InputFunctions.Utility_DisplayArrayInTable(Common_SourceData.Common_SourceData_ClimateZones_Data(), Table_SourceData_ClimateZones[[#Headers],[Climate zone]], 0)</f>
        <v>10.000999999999999</v>
      </c>
      <c r="K94" s="64" cm="1">
        <f t="array" ref="K94">Common_InputFunctions.Utility_DisplayArrayInTable(Common_SourceData.Common_SourceData_ClimateZones_Data(), Table_SourceData_ClimateZones[[#Headers],[Climate zone]], 0)</f>
        <v>999999</v>
      </c>
      <c r="L94" s="64" cm="1">
        <f t="array" ref="L94">Common_InputFunctions.Utility_DisplayArrayInTable(Common_SourceData.Common_SourceData_ClimateZones_Data(), Table_SourceData_ClimateZones[[#Headers],[Climate zone]], 0)</f>
        <v>-999999</v>
      </c>
      <c r="M94" s="64" cm="1">
        <f t="array" ref="M94">Common_InputFunctions.Utility_DisplayArrayInTable(Common_SourceData.Common_SourceData_ClimateZones_Data(), Table_SourceData_ClimateZones[[#Headers],[Climate zone]], 0)</f>
        <v>999999</v>
      </c>
      <c r="N94" s="64" cm="1">
        <f t="array" ref="N94">Common_InputFunctions.Utility_DisplayArrayInTable(Common_SourceData.Common_SourceData_ClimateZones_Data(), Table_SourceData_ClimateZones[[#Headers],[Climate zone]], 0)</f>
        <v>-999999</v>
      </c>
      <c r="O94" s="64" cm="1">
        <f t="array" ref="O94">Common_InputFunctions.Utility_DisplayArrayInTable(Common_SourceData.Common_SourceData_ClimateZones_Data(), Table_SourceData_ClimateZones[[#Headers],[Climate zone]], 0)</f>
        <v>999999</v>
      </c>
      <c r="P94" s="64" cm="1">
        <f t="array" ref="P94">Common_InputFunctions.Utility_DisplayArrayInTable(Common_SourceData.Common_SourceData_ClimateZones_Data(), Table_SourceData_ClimateZones[[#Headers],[Climate zone]], 0)</f>
        <v>-999999</v>
      </c>
      <c r="Q94" s="64" cm="1">
        <f t="array" ref="Q94">Common_InputFunctions.Utility_DisplayArrayInTable(Common_SourceData.Common_SourceData_ClimateZones_Data(), Table_SourceData_ClimateZones[[#Headers],[Climate zone]], 0)</f>
        <v>999999</v>
      </c>
      <c r="R94" s="64" cm="1">
        <f t="array" ref="R94">Common_InputFunctions.Utility_DisplayArrayInTable(Common_SourceData.Common_SourceData_ClimateZones_Data(), Table_SourceData_ClimateZones[[#Headers],[Climate zone]], 0)</f>
        <v>1.0009999999999999</v>
      </c>
      <c r="S94" s="64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64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64" t="str" cm="1">
        <f t="array" ref="E95">Common_InputFunctions.Utility_DisplayArrayInTable(Common_SourceData.Common_SourceData_ClimateZones_Data(), Table_SourceData_ClimateZones[[#Headers],[Climate zone]], 0)</f>
        <v>&gt; 10 C</v>
      </c>
      <c r="F95" s="64" t="str" cm="1">
        <f t="array" ref="F95">Common_InputFunctions.Utility_DisplayArrayInTable(Common_SourceData.Common_SourceData_ClimateZones_Data(), Table_SourceData_ClimateZones[[#Headers],[Climate zone]], 0)</f>
        <v>Any</v>
      </c>
      <c r="G95" s="64" t="str" cm="1">
        <f t="array" ref="G95">Common_InputFunctions.Utility_DisplayArrayInTable(Common_SourceData.Common_SourceData_ClimateZones_Data(), Table_SourceData_ClimateZones[[#Headers],[Climate zone]], 0)</f>
        <v>Any</v>
      </c>
      <c r="H95" s="64" t="str" cm="1">
        <f t="array" ref="H95">Common_InputFunctions.Utility_DisplayArrayInTable(Common_SourceData.Common_SourceData_ClimateZones_Data(), Table_SourceData_ClimateZones[[#Headers],[Climate zone]], 0)</f>
        <v>Any</v>
      </c>
      <c r="I95" s="64" t="str" cm="1">
        <f t="array" ref="I95">Common_InputFunctions.Utility_DisplayArrayInTable(Common_SourceData.Common_SourceData_ClimateZones_Data(), Table_SourceData_ClimateZones[[#Headers],[Climate zone]], 0)</f>
        <v>≤ 1</v>
      </c>
      <c r="J95" s="64" cm="1">
        <f t="array" ref="J95">Common_InputFunctions.Utility_DisplayArrayInTable(Common_SourceData.Common_SourceData_ClimateZones_Data(), Table_SourceData_ClimateZones[[#Headers],[Climate zone]], 0)</f>
        <v>10.000999999999999</v>
      </c>
      <c r="K95" s="64" cm="1">
        <f t="array" ref="K95">Common_InputFunctions.Utility_DisplayArrayInTable(Common_SourceData.Common_SourceData_ClimateZones_Data(), Table_SourceData_ClimateZones[[#Headers],[Climate zone]], 0)</f>
        <v>999999</v>
      </c>
      <c r="L95" s="64" cm="1">
        <f t="array" ref="L95">Common_InputFunctions.Utility_DisplayArrayInTable(Common_SourceData.Common_SourceData_ClimateZones_Data(), Table_SourceData_ClimateZones[[#Headers],[Climate zone]], 0)</f>
        <v>-999999</v>
      </c>
      <c r="M95" s="64" cm="1">
        <f t="array" ref="M95">Common_InputFunctions.Utility_DisplayArrayInTable(Common_SourceData.Common_SourceData_ClimateZones_Data(), Table_SourceData_ClimateZones[[#Headers],[Climate zone]], 0)</f>
        <v>999999</v>
      </c>
      <c r="N95" s="64" cm="1">
        <f t="array" ref="N95">Common_InputFunctions.Utility_DisplayArrayInTable(Common_SourceData.Common_SourceData_ClimateZones_Data(), Table_SourceData_ClimateZones[[#Headers],[Climate zone]], 0)</f>
        <v>-999999</v>
      </c>
      <c r="O95" s="64" cm="1">
        <f t="array" ref="O95">Common_InputFunctions.Utility_DisplayArrayInTable(Common_SourceData.Common_SourceData_ClimateZones_Data(), Table_SourceData_ClimateZones[[#Headers],[Climate zone]], 0)</f>
        <v>999999</v>
      </c>
      <c r="P95" s="64" cm="1">
        <f t="array" ref="P95">Common_InputFunctions.Utility_DisplayArrayInTable(Common_SourceData.Common_SourceData_ClimateZones_Data(), Table_SourceData_ClimateZones[[#Headers],[Climate zone]], 0)</f>
        <v>-999999</v>
      </c>
      <c r="Q95" s="64" cm="1">
        <f t="array" ref="Q95">Common_InputFunctions.Utility_DisplayArrayInTable(Common_SourceData.Common_SourceData_ClimateZones_Data(), Table_SourceData_ClimateZones[[#Headers],[Climate zone]], 0)</f>
        <v>999999</v>
      </c>
      <c r="R95" s="64" cm="1">
        <f t="array" ref="R95">Common_InputFunctions.Utility_DisplayArrayInTable(Common_SourceData.Common_SourceData_ClimateZones_Data(), Table_SourceData_ClimateZones[[#Headers],[Climate zone]], 0)</f>
        <v>-999999</v>
      </c>
      <c r="S95" s="64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64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64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64" t="str" cm="1">
        <f t="array" ref="F96">Common_InputFunctions.Utility_DisplayArrayInTable(Common_SourceData.Common_SourceData_ClimateZones_Data(), Table_SourceData_ClimateZones[[#Headers],[Climate zone]], 0)</f>
        <v>Any</v>
      </c>
      <c r="G96" s="64" t="str" cm="1">
        <f t="array" ref="G96">Common_InputFunctions.Utility_DisplayArrayInTable(Common_SourceData.Common_SourceData_ClimateZones_Data(), Table_SourceData_ClimateZones[[#Headers],[Climate zone]], 0)</f>
        <v>Any</v>
      </c>
      <c r="H96" s="64" t="str" cm="1">
        <f t="array" ref="H96">Common_InputFunctions.Utility_DisplayArrayInTable(Common_SourceData.Common_SourceData_ClimateZones_Data(), Table_SourceData_ClimateZones[[#Headers],[Climate zone]], 0)</f>
        <v>Any</v>
      </c>
      <c r="I96" s="64" t="str" cm="1">
        <f t="array" ref="I96">Common_InputFunctions.Utility_DisplayArrayInTable(Common_SourceData.Common_SourceData_ClimateZones_Data(), Table_SourceData_ClimateZones[[#Headers],[Climate zone]], 0)</f>
        <v>&gt; 1</v>
      </c>
      <c r="J96" s="64" cm="1">
        <f t="array" ref="J96">Common_InputFunctions.Utility_DisplayArrayInTable(Common_SourceData.Common_SourceData_ClimateZones_Data(), Table_SourceData_ClimateZones[[#Headers],[Climate zone]], 0)</f>
        <v>-999999</v>
      </c>
      <c r="K96" s="64" cm="1">
        <f t="array" ref="K96">Common_InputFunctions.Utility_DisplayArrayInTable(Common_SourceData.Common_SourceData_ClimateZones_Data(), Table_SourceData_ClimateZones[[#Headers],[Climate zone]], 0)</f>
        <v>10</v>
      </c>
      <c r="L96" s="64" cm="1">
        <f t="array" ref="L96">Common_InputFunctions.Utility_DisplayArrayInTable(Common_SourceData.Common_SourceData_ClimateZones_Data(), Table_SourceData_ClimateZones[[#Headers],[Climate zone]], 0)</f>
        <v>-999999</v>
      </c>
      <c r="M96" s="64" cm="1">
        <f t="array" ref="M96">Common_InputFunctions.Utility_DisplayArrayInTable(Common_SourceData.Common_SourceData_ClimateZones_Data(), Table_SourceData_ClimateZones[[#Headers],[Climate zone]], 0)</f>
        <v>999999</v>
      </c>
      <c r="N96" s="64" cm="1">
        <f t="array" ref="N96">Common_InputFunctions.Utility_DisplayArrayInTable(Common_SourceData.Common_SourceData_ClimateZones_Data(), Table_SourceData_ClimateZones[[#Headers],[Climate zone]], 0)</f>
        <v>-999999</v>
      </c>
      <c r="O96" s="64" cm="1">
        <f t="array" ref="O96">Common_InputFunctions.Utility_DisplayArrayInTable(Common_SourceData.Common_SourceData_ClimateZones_Data(), Table_SourceData_ClimateZones[[#Headers],[Climate zone]], 0)</f>
        <v>999999</v>
      </c>
      <c r="P96" s="64" cm="1">
        <f t="array" ref="P96">Common_InputFunctions.Utility_DisplayArrayInTable(Common_SourceData.Common_SourceData_ClimateZones_Data(), Table_SourceData_ClimateZones[[#Headers],[Climate zone]], 0)</f>
        <v>-999999</v>
      </c>
      <c r="Q96" s="64" cm="1">
        <f t="array" ref="Q96">Common_InputFunctions.Utility_DisplayArrayInTable(Common_SourceData.Common_SourceData_ClimateZones_Data(), Table_SourceData_ClimateZones[[#Headers],[Climate zone]], 0)</f>
        <v>999999</v>
      </c>
      <c r="R96" s="64" cm="1">
        <f t="array" ref="R96">Common_InputFunctions.Utility_DisplayArrayInTable(Common_SourceData.Common_SourceData_ClimateZones_Data(), Table_SourceData_ClimateZones[[#Headers],[Climate zone]], 0)</f>
        <v>1.0009999999999999</v>
      </c>
      <c r="S96" s="64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64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64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64" t="str" cm="1">
        <f t="array" ref="F97">Common_InputFunctions.Utility_DisplayArrayInTable(Common_SourceData.Common_SourceData_ClimateZones_Data(), Table_SourceData_ClimateZones[[#Headers],[Climate zone]], 0)</f>
        <v>Any</v>
      </c>
      <c r="G97" s="64" t="str" cm="1">
        <f t="array" ref="G97">Common_InputFunctions.Utility_DisplayArrayInTable(Common_SourceData.Common_SourceData_ClimateZones_Data(), Table_SourceData_ClimateZones[[#Headers],[Climate zone]], 0)</f>
        <v>Any</v>
      </c>
      <c r="H97" s="64" t="str" cm="1">
        <f t="array" ref="H97">Common_InputFunctions.Utility_DisplayArrayInTable(Common_SourceData.Common_SourceData_ClimateZones_Data(), Table_SourceData_ClimateZones[[#Headers],[Climate zone]], 0)</f>
        <v>Any</v>
      </c>
      <c r="I97" s="64" t="str" cm="1">
        <f t="array" ref="I97">Common_InputFunctions.Utility_DisplayArrayInTable(Common_SourceData.Common_SourceData_ClimateZones_Data(), Table_SourceData_ClimateZones[[#Headers],[Climate zone]], 0)</f>
        <v>≤ 1</v>
      </c>
      <c r="J97" s="64" cm="1">
        <f t="array" ref="J97">Common_InputFunctions.Utility_DisplayArrayInTable(Common_SourceData.Common_SourceData_ClimateZones_Data(), Table_SourceData_ClimateZones[[#Headers],[Climate zone]], 0)</f>
        <v>-999999</v>
      </c>
      <c r="K97" s="64" cm="1">
        <f t="array" ref="K97">Common_InputFunctions.Utility_DisplayArrayInTable(Common_SourceData.Common_SourceData_ClimateZones_Data(), Table_SourceData_ClimateZones[[#Headers],[Climate zone]], 0)</f>
        <v>10</v>
      </c>
      <c r="L97" s="64" cm="1">
        <f t="array" ref="L97">Common_InputFunctions.Utility_DisplayArrayInTable(Common_SourceData.Common_SourceData_ClimateZones_Data(), Table_SourceData_ClimateZones[[#Headers],[Climate zone]], 0)</f>
        <v>-999999</v>
      </c>
      <c r="M97" s="64" cm="1">
        <f t="array" ref="M97">Common_InputFunctions.Utility_DisplayArrayInTable(Common_SourceData.Common_SourceData_ClimateZones_Data(), Table_SourceData_ClimateZones[[#Headers],[Climate zone]], 0)</f>
        <v>999999</v>
      </c>
      <c r="N97" s="64" cm="1">
        <f t="array" ref="N97">Common_InputFunctions.Utility_DisplayArrayInTable(Common_SourceData.Common_SourceData_ClimateZones_Data(), Table_SourceData_ClimateZones[[#Headers],[Climate zone]], 0)</f>
        <v>-999999</v>
      </c>
      <c r="O97" s="64" cm="1">
        <f t="array" ref="O97">Common_InputFunctions.Utility_DisplayArrayInTable(Common_SourceData.Common_SourceData_ClimateZones_Data(), Table_SourceData_ClimateZones[[#Headers],[Climate zone]], 0)</f>
        <v>999999</v>
      </c>
      <c r="P97" s="64" cm="1">
        <f t="array" ref="P97">Common_InputFunctions.Utility_DisplayArrayInTable(Common_SourceData.Common_SourceData_ClimateZones_Data(), Table_SourceData_ClimateZones[[#Headers],[Climate zone]], 0)</f>
        <v>-999999</v>
      </c>
      <c r="Q97" s="64" cm="1">
        <f t="array" ref="Q97">Common_InputFunctions.Utility_DisplayArrayInTable(Common_SourceData.Common_SourceData_ClimateZones_Data(), Table_SourceData_ClimateZones[[#Headers],[Climate zone]], 0)</f>
        <v>999999</v>
      </c>
      <c r="R97" s="64" cm="1">
        <f t="array" ref="R97">Common_InputFunctions.Utility_DisplayArrayInTable(Common_SourceData.Common_SourceData_ClimateZones_Data(), Table_SourceData_ClimateZones[[#Headers],[Climate zone]], 0)</f>
        <v>-999999</v>
      </c>
      <c r="S97" s="64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83" t="str" cm="1">
        <f t="array" ref="D98:D101">Common_SourceData.Common_SourceData_ClimateZones_Appendices()</f>
        <v>Note:</v>
      </c>
    </row>
    <row r="99" spans="4:19" ht="20.100000000000001" customHeight="1" x14ac:dyDescent="0.25">
      <c r="D99" s="83" t="str">
        <v>MAT = mean annual temperature</v>
      </c>
    </row>
    <row r="100" spans="4:19" ht="20.100000000000001" customHeight="1" x14ac:dyDescent="0.25">
      <c r="D100" s="83" t="str">
        <v>MAP = mean annual precipitation</v>
      </c>
    </row>
    <row r="101" spans="4:19" ht="20.100000000000001" customHeight="1" x14ac:dyDescent="0.25">
      <c r="D101" s="83" t="str">
        <v>PET = potential evapotranspiration</v>
      </c>
    </row>
    <row r="102" spans="4:19" ht="20.100000000000001" customHeight="1" x14ac:dyDescent="0.25">
      <c r="D102" s="83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84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64" t="s">
        <v>126</v>
      </c>
      <c r="E109" s="64" t="s">
        <v>107</v>
      </c>
      <c r="F109" s="64" t="s">
        <v>127</v>
      </c>
      <c r="G109" s="64" t="s">
        <v>128</v>
      </c>
    </row>
    <row r="110" spans="4:19" ht="20.100000000000001" customHeight="1" x14ac:dyDescent="0.25">
      <c r="D110" s="64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64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64" cm="1">
        <f t="array" ref="F110">Common_InputFunctions.Utility_DisplayArrayInTable(Common_SourceData.Common_SourceData_TemperatureZones_Data(),Table_SourceData_TemperatureZones[[#Headers],[Temperature Zone]],0)</f>
        <v>26</v>
      </c>
      <c r="G110" s="64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64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64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64" cm="1">
        <f t="array" ref="F111">Common_InputFunctions.Utility_DisplayArrayInTable(Common_SourceData.Common_SourceData_TemperatureZones_Data(),Table_SourceData_TemperatureZones[[#Headers],[Temperature Zone]],0)</f>
        <v>15</v>
      </c>
      <c r="G111" s="64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64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64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64" cm="1">
        <f t="array" ref="F112">Common_InputFunctions.Utility_DisplayArrayInTable(Common_SourceData.Common_SourceData_TemperatureZones_Data(),Table_SourceData_TemperatureZones[[#Headers],[Temperature Zone]],0)</f>
        <v>-999999</v>
      </c>
      <c r="G112" s="64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84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64" t="s">
        <v>129</v>
      </c>
      <c r="E119" s="64" t="s">
        <v>130</v>
      </c>
      <c r="F119" s="64" t="s">
        <v>114</v>
      </c>
      <c r="G119" s="64" t="s">
        <v>115</v>
      </c>
      <c r="BM119" s="7"/>
    </row>
    <row r="120" spans="4:65" ht="20.100000000000001" customHeight="1" x14ac:dyDescent="0.25">
      <c r="D120" s="64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64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64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64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64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64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64" cm="1">
        <f t="array" ref="F121">Common_InputFunctions.Utility_DisplayArrayInTable(Common_SourceData.Common_SourceData_RainfallZones_Data(),Table_SourceData_RainfallZones[[#Headers],[Rainfall Zone]],0)</f>
        <v>-999999</v>
      </c>
      <c r="G121" s="64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64" t="s">
        <v>136</v>
      </c>
      <c r="E127" s="64" t="s">
        <v>137</v>
      </c>
    </row>
    <row r="128" spans="4:65" ht="20.100000000000001" customHeight="1" x14ac:dyDescent="0.25">
      <c r="D128" s="64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64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64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64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5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5"/>
    </row>
    <row r="134" spans="4:76" ht="20.100000000000001" customHeight="1" x14ac:dyDescent="0.25">
      <c r="D134" t="s">
        <v>164</v>
      </c>
      <c r="E134" t="s">
        <v>165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64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64" t="s">
        <v>139</v>
      </c>
      <c r="E142" s="64" t="s">
        <v>140</v>
      </c>
      <c r="BM142" s="7"/>
    </row>
    <row r="143" spans="4:76" ht="20.100000000000001" customHeight="1" x14ac:dyDescent="0.25">
      <c r="D143" s="64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64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64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64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64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64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64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64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64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64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5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5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5"/>
      <c r="BM152" s="7"/>
    </row>
    <row r="153" spans="4:65" ht="20.100000000000001" customHeight="1" x14ac:dyDescent="0.25">
      <c r="D153" s="25" t="str" cm="1">
        <f t="array" ref="D153:E153">Common_SourceData.Common_SourceData_FracLEACH_Data()</f>
        <v>FracLEACH</v>
      </c>
      <c r="E153" s="25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83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83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84" t="str" cm="1">
        <f t="array" ref="D170:D173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84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84" t="str">
        <v>Removed asterisks to aid lookup.</v>
      </c>
      <c r="BM172" s="7"/>
      <c r="BN172" s="7"/>
      <c r="BO172" s="7"/>
    </row>
    <row r="173" spans="4:67" ht="20.100000000000001" customHeight="1" x14ac:dyDescent="0.25">
      <c r="D173" s="84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84"/>
      <c r="BM174" s="7"/>
      <c r="BN174" s="7"/>
      <c r="BO174" s="7"/>
    </row>
    <row r="175" spans="4:67" ht="20.100000000000001" customHeight="1" x14ac:dyDescent="0.25">
      <c r="D175" s="64" t="s">
        <v>236</v>
      </c>
      <c r="E175" s="64" t="s">
        <v>237</v>
      </c>
      <c r="F175" s="64" t="s">
        <v>238</v>
      </c>
      <c r="G175" s="64" t="s">
        <v>239</v>
      </c>
      <c r="H175" s="64" t="s">
        <v>104</v>
      </c>
      <c r="J175" s="1" t="s">
        <v>241</v>
      </c>
      <c r="BM175" s="7"/>
      <c r="BN175" s="7"/>
      <c r="BO175" s="7"/>
    </row>
    <row r="176" spans="4:67" ht="20.100000000000001" customHeight="1" x14ac:dyDescent="0.25">
      <c r="D176" s="64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64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64" t="str" cm="1">
        <f t="array" ref="F176">Common_InputFunctions.Utility_DisplayArrayInTable(Common_SourceData.Common_SourceData_EFN2O_Data(), Table_SourceData_Common_EFN2O[[#Headers],[Production system j]], 0)</f>
        <v>Pasture</v>
      </c>
      <c r="G176" s="64" t="str" cm="1">
        <f t="array" ref="G176">Common_InputFunctions.Utility_DisplayArrayInTable(Common_SourceData.Common_SourceData_EFN2O_Data(), Table_SourceData_Common_EFN2O[[#Headers],[Production system j]], 0)</f>
        <v>Any</v>
      </c>
      <c r="H176" s="64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242</v>
      </c>
      <c r="BM176" s="7"/>
      <c r="BN176" s="7"/>
      <c r="BO176" s="7"/>
    </row>
    <row r="177" spans="4:67" ht="20.100000000000001" customHeight="1" x14ac:dyDescent="0.25">
      <c r="D177" s="64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64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64" t="str" cm="1">
        <f t="array" ref="F177">Common_InputFunctions.Utility_DisplayArrayInTable(Common_SourceData.Common_SourceData_EFN2O_Data(), Table_SourceData_Common_EFN2O[[#Headers],[Production system j]], 0)</f>
        <v>Crop</v>
      </c>
      <c r="G177" s="64" t="str" cm="1">
        <f t="array" ref="G177">Common_InputFunctions.Utility_DisplayArrayInTable(Common_SourceData.Common_SourceData_EFN2O_Data(), Table_SourceData_Common_EFN2O[[#Headers],[Production system j]], 0)</f>
        <v>Any</v>
      </c>
      <c r="H177" s="64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243</v>
      </c>
      <c r="BM177" s="7"/>
      <c r="BN177" s="7"/>
      <c r="BO177" s="7"/>
    </row>
    <row r="178" spans="4:67" ht="20.100000000000001" customHeight="1" x14ac:dyDescent="0.25">
      <c r="D178" s="64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64" cm="1">
        <f t="array" ref="E178">Common_InputFunctions.Utility_DisplayArrayInTable(Common_SourceData.Common_SourceData_EFN2O_Data(), Table_SourceData_Common_EFN2O[[#Headers],[Production system j]], 0)</f>
        <v>1.8E-3</v>
      </c>
      <c r="F178" s="64" t="str" cm="1">
        <f t="array" ref="F178">Common_InputFunctions.Utility_DisplayArrayInTable(Common_SourceData.Common_SourceData_EFN2O_Data(), Table_SourceData_Common_EFN2O[[#Headers],[Production system j]], 0)</f>
        <v>Pasture</v>
      </c>
      <c r="G178" s="64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64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64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64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64" t="str" cm="1">
        <f t="array" ref="F179">Common_InputFunctions.Utility_DisplayArrayInTable(Common_SourceData.Common_SourceData_EFN2O_Data(), Table_SourceData_Common_EFN2O[[#Headers],[Production system j]], 0)</f>
        <v>Crop</v>
      </c>
      <c r="G179" s="64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64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7"/>
      <c r="BN179" s="7"/>
      <c r="BO179" s="7"/>
    </row>
    <row r="180" spans="4:67" ht="20.100000000000001" customHeight="1" x14ac:dyDescent="0.25">
      <c r="D180" s="64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64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64" t="str" cm="1">
        <f t="array" ref="F180">Common_InputFunctions.Utility_DisplayArrayInTable(Common_SourceData.Common_SourceData_EFN2O_Data(), Table_SourceData_Common_EFN2O[[#Headers],[Production system j]], 0)</f>
        <v>Crop</v>
      </c>
      <c r="G180" s="64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64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64" t="str" cm="1">
        <f t="array" ref="D181">Common_InputFunctions.Utility_DisplayArrayInTable(Common_SourceData.Common_SourceData_EFN2O_Data(), Table_SourceData_Common_EFN2O[[#Headers],[Production system j]], 0)</f>
        <v>Sugar</v>
      </c>
      <c r="E181" s="64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64" t="str" cm="1">
        <f t="array" ref="F181">Common_InputFunctions.Utility_DisplayArrayInTable(Common_SourceData.Common_SourceData_EFN2O_Data(), Table_SourceData_Common_EFN2O[[#Headers],[Production system j]], 0)</f>
        <v>Sugar</v>
      </c>
      <c r="G181" s="64" t="str" cm="1">
        <f t="array" ref="G181">Common_InputFunctions.Utility_DisplayArrayInTable(Common_SourceData.Common_SourceData_EFN2O_Data(), Table_SourceData_Common_EFN2O[[#Headers],[Production system j]], 0)</f>
        <v>Any</v>
      </c>
      <c r="H181" s="64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64" t="str" cm="1">
        <f t="array" ref="D182">Common_InputFunctions.Utility_DisplayArrayInTable(Common_SourceData.Common_SourceData_EFN2O_Data(), Table_SourceData_Common_EFN2O[[#Headers],[Production system j]], 0)</f>
        <v>Cotton</v>
      </c>
      <c r="E182" s="64" cm="1">
        <f t="array" ref="E182">Common_InputFunctions.Utility_DisplayArrayInTable(Common_SourceData.Common_SourceData_EFN2O_Data(), Table_SourceData_Common_EFN2O[[#Headers],[Production system j]], 0)</f>
        <v>5.3E-3</v>
      </c>
      <c r="F182" s="64" t="str" cm="1">
        <f t="array" ref="F182">Common_InputFunctions.Utility_DisplayArrayInTable(Common_SourceData.Common_SourceData_EFN2O_Data(), Table_SourceData_Common_EFN2O[[#Headers],[Production system j]], 0)</f>
        <v>Cotton</v>
      </c>
      <c r="G182" s="64" t="str" cm="1">
        <f t="array" ref="G182">Common_InputFunctions.Utility_DisplayArrayInTable(Common_SourceData.Common_SourceData_EFN2O_Data(), Table_SourceData_Common_EFN2O[[#Headers],[Production system j]], 0)</f>
        <v>Any</v>
      </c>
      <c r="H182" s="64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64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64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64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64" t="str" cm="1">
        <f t="array" ref="G183">Common_InputFunctions.Utility_DisplayArrayInTable(Common_SourceData.Common_SourceData_EFN2O_Data(), Table_SourceData_Common_EFN2O[[#Headers],[Production system j]], 0)</f>
        <v>Any</v>
      </c>
      <c r="H183" s="64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64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64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64" t="str" cm="1">
        <f t="array" ref="F184">Common_InputFunctions.Utility_DisplayArrayInTable(Common_SourceData.Common_SourceData_EFN2O_Data(), Table_SourceData_Common_EFN2O[[#Headers],[Production system j]], 0)</f>
        <v>Rice</v>
      </c>
      <c r="G184" s="64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64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64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64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64" t="str" cm="1">
        <f t="array" ref="F185">Common_InputFunctions.Utility_DisplayArrayInTable(Common_SourceData.Common_SourceData_EFN2O_Data(), Table_SourceData_Common_EFN2O[[#Headers],[Production system j]], 0)</f>
        <v>Rice</v>
      </c>
      <c r="G185" s="64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64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64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64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64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64" t="str" cm="1">
        <f t="array" ref="G186">Common_InputFunctions.Utility_DisplayArrayInTable(Common_SourceData.Common_SourceData_EFN2O_Data(), Table_SourceData_Common_EFN2O[[#Headers],[Production system j]], 0)</f>
        <v>Any</v>
      </c>
      <c r="H186" s="64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64" t="str" cm="1">
        <f t="array" ref="D187">Common_InputFunctions.Utility_DisplayArrayInTable(Common_SourceData.Common_SourceData_EFN2O_Data(), Table_SourceData_Common_EFN2O[[#Headers],[Production system j]], 0)</f>
        <v>Forestry</v>
      </c>
      <c r="E187" s="64" cm="1">
        <f t="array" ref="E187">Common_InputFunctions.Utility_DisplayArrayInTable(Common_SourceData.Common_SourceData_EFN2O_Data(), Table_SourceData_Common_EFN2O[[#Headers],[Production system j]], 0)</f>
        <v>1.8E-3</v>
      </c>
      <c r="F187" s="64" t="str" cm="1">
        <f t="array" ref="F187">Common_InputFunctions.Utility_DisplayArrayInTable(Common_SourceData.Common_SourceData_EFN2O_Data(), Table_SourceData_Common_EFN2O[[#Headers],[Production system j]], 0)</f>
        <v>Forestry</v>
      </c>
      <c r="G187" s="64" t="str" cm="1">
        <f t="array" ref="G187">Common_InputFunctions.Utility_DisplayArrayInTable(Common_SourceData.Common_SourceData_EFN2O_Data(), Table_SourceData_Common_EFN2O[[#Headers],[Production system j]], 0)</f>
        <v>Any</v>
      </c>
      <c r="H187" s="64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64" t="str" cm="1">
        <f t="array" ref="D188">Common_InputFunctions.Utility_DisplayArrayInTable(Common_SourceData.Common_SourceData_EFN2O_Data(), Table_SourceData_Common_EFN2O[[#Headers],[Production system j]], 0)</f>
        <v/>
      </c>
      <c r="E188" s="64" t="str" cm="1">
        <f t="array" ref="E188">Common_InputFunctions.Utility_DisplayArrayInTable(Common_SourceData.Common_SourceData_EFN2O_Data(), Table_SourceData_Common_EFN2O[[#Headers],[Production system j]], 0)</f>
        <v/>
      </c>
      <c r="F188" s="64" t="str" cm="1">
        <f t="array" ref="F188">Common_InputFunctions.Utility_DisplayArrayInTable(Common_SourceData.Common_SourceData_EFN2O_Data(), Table_SourceData_Common_EFN2O[[#Headers],[Production system j]], 0)</f>
        <v/>
      </c>
      <c r="G188" s="64" t="str" cm="1">
        <f t="array" ref="G188">Common_InputFunctions.Utility_DisplayArrayInTable(Common_SourceData.Common_SourceData_EFN2O_Data(), Table_SourceData_Common_EFN2O[[#Headers],[Production system j]], 0)</f>
        <v/>
      </c>
      <c r="H188" s="64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EAZ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QQB0AG0AbwBzAHAAaABlAHIAaQBjACAAZABlAHAAbwBzAGkAdABpAG8AbgAgACgAMwAuAEQALgBiAC4AMQ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QQB0AG0AbwBzAHAAaABlAHIAaQBjAEQAZQBwAG8AcwBpAHQAaQBvAG4AXABuAEEAdABtAG8AcwBwAGgAZQByAGkAYwAgAGQAZQBwAG8AcwBpAHQAaQBvAG4AIABlAG0AaQBzAHMAaQBvAG4AcwAgAGYAcgBvAG0AIAB1AHIAaQBuAGUAIABhAG4AZAAgAGQAdQBuAGcAIABkAGUAcABvAHMAaQB0AGUAZAAgAGIAeQAgAGcAcgBhAHoAaQBuAGcAIABhAG4AaQBtAGEAbABzACAAbwBuACAAcABhAHMAdAB1AHIAZQAsAFwAbgByAGEAbgBnAGUAIABhAG4AZAAgAHAAYQBkAGQAbwBjAGsAXABuAEUATgAyAE8AYQBkAFwAbgB0ACAATgAyAE8AXABuAEUATgAyAE8AYQBkACAAPQAgAE0AdgBvAGwAbQAgACoAIABFAEYAYQBkACAAKgAgAEMAZwBOADIATwAgACoAIAAxADAAXgAtADMAXABuAE0AdgBvAGwAbQAgADoATQBtAGEAcwBzACAAbwBmACAAbgBpAHQAcgBvAGcAZQBuACAAdgBvAGwAYQB0AGkAbABpAHMAZQBkACAAZgByAG8AbQAgAHUAcgBpAG4AZQAgAGEAbgBkACAAZgBhAGUAYwBlAHMAIABkAGUAcABvAHMAaQB0AGUAZAAgAG8AbgAgAHAAYQBzAHQAdQByAGUAIAA6ACAAawBnACAATgBcAG4ARQBGAGEAZAAgADoAIABFAG0AaQBzAHMAaQBvAG4AIABmAGEAYwB0AG8AcgAgAGYAbwByACAAYQB0AG0AbwBzAHAAaABlAHIAaQBjACAAZABlAHAAbwBzAGkAdABpAG8Ab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QQB0AG0AbwBzAHAAaABlAHIAaQBjAEQAZQBwAG8AcwBpAHQAaQBvAG4AXwBHAFcAUABcAG4AIAA9AEwAQQBNAEIARABBACgAXABuACAAIAAgACAARQBOADIATwBhAGQALABHAFcAUABOADIATwAsAFwAbgAgACAAIAAgACAAKABFAE4AMgBPAGEAZAAgACoAIABHAFcAUABOADIATwApAFwAbgAgACAAIAApADsAXABuAFwAbgBBAGcAUwBvAGkAbABzAF8AQQB0AG0AbwBzAHAAaABlAHIAaQBjAEQAZQBwAG8AcwBpAHQAaQBvAG4AXABuACAAIAA9AEwAQQBNAEIARABBACgAXABuACAAIAAgACAATQB2AG8AbABtACwARQBmAGEAZAAsAEMAZwBOADIATwAsAFwAbgAgACAAIAAgACgATQB2AG8AbABtACAAKgAgAEUAZgBhAGQAIAAqACAAQwBnAE4AMgBPACAAKgAgADEAMABeAC0AMwApAFwAbgAgACAAKQBcAG4AOwBcAG4AXABuAEEAZwBTAG8AaQBsAHMAXwBBAHQAbQBvAHMAcABoAGUAcgBpAGMARABlAHAAbwBzAGkAdABpAG8AbgBfAFQAaQB0AGwAZQBcAG4AIAAgAD0ATABBAE0AQgBEAEEAKABcACIAQQB0AG0AbwBzAHAAaABlAHIAaQBjACAAZABlAHAAbwBzAGkAdABpAG8AbgAgAGUAbQBpAHMAcwBpAG8AbgBzACAAZgByAG8AbQAgAHUAcgBpAG4AZQAgAGEAbgBkACAAZAB1AG4AZwAgAGQAZQBwAG8AcwBpAHQAZQBkACAAYgB5ACAAZwByAGEAegBpAG4AZwAgAGEAbgBpAG0AYQBsAHMAIABvAG4AIABwAGEAcwB0AHUAcgBlACwAIAByAGEAbgBnAGUAIABhAG4AZAAgAHAAYQBkAGQAbwBjAGsAXAAiACkAOwBcAG4AXABuAEEAZwBTAG8AaQBsAHMAXwBBAHQAbQBvAHMAcABoAGUAcgBpAGMARABlAHAAbwBzAGkAdABpAG8AbgBfAFYAYQByAGkAYQBiAGwAZQBcAG4AIAAgAD0ATABBAE0AQgBEAEEAKABcACIARQBOADIATwBhAGQAXAAiACkAOwBcAG4AXABuAEEAZwBTAG8AaQBsAHMAXwBBAHQAbQBvAHMAcABoAGUAcgBpAGMARABlAHAAbwBzAGkAdABpAG8AbgBfAFUAbgBpAHQAXABuACAAIAA9AEwAQQBNAEIARABBACgAXAAiAHQAIABOADIATwBcACIAKQA7AFwAbgBcAG4AQQBnAFMAbwBpAGwAcwBfAEEAdABtAG8AcwBwAGgAZQByAGkAYwBEAGUAcABvAHMAaQB0AGkAbwBuAF8ATgBJAFIAUgBlAGYAZQByAGUAbgBjAGUAXABuACAAIAA9AEwAQQBNAEIARABBACgAXAAiAE4AYQB0AGkAbwBuAGEAbAAgAEkAbgB2AGUAbgB0AG8AcgB5ACAAUgBlAHAAbwByAHQAIABWAG8AbAB1AG0AZQAgADEALAAgADIAMAAyADMAOgAgADMALgBEAC4AQgBfADQAXAAiACkAOwBcAG4AXABuAEEAZwBTAG8AaQBsAHMAXwBBAHQAbQBvAHMAcABoAGUAcgBpAGMARABlAHAAbwBzAGkAdABpAG8AbgBfAFIAZQBhAGQAYQBiAGwAZQBFAHEAdQBhAHQAaQBvAG4AXABuACAAIAA9AEwAQQBNAEIARABBACgAXAAiAEUATgAyAE8AYQBkACAAPQAgAE0AdgBvAGwAbQAgACoAIABFAEYAYQBkACAAKgAgAEMAZwBOADIATwAgACoAIAAxADAAIABeACAALQAgADMAXAAiACkAOwBcAG4AXABuAEEAZwBTAG8AaQBsAHMAXwBBAHQAbQBvAHMAcABoAGUAcgBpAGMARABlAHAAbwBzAGkAdABpAG8AbgBfAEEAcgBnAHUAbQBlAG4AdABzAFwAbgAgACAAPQBMAEEATQBCAEQAQQAoAFwAbgAgACAAIAAgAE0AQQBLAEUAQQBSAFIAQQBZACgAMwAsACAAMwAsACAAXABuACAAIAAgACAAIAAgAEwAQQBNAEIARABBACgAcgAsAGMALAAgAFwAbgAgACAAIAAgACAAIAAgACAASQBOAEQARQBYACgAewBcAG4AIAAgACAAIAAgACAAIAAgACAAIABcACIATQB2AG8AbABtAFwAIgAsAFwAIgBNAGEAcwBzACAAbwBmACAAbgBpAHQAcgBvAGcAZQBuACAAdgBvAGwAYQB0AGkAbABpAHMAZQBkACAAZgByAG8AbQAgAHUAcgBpAG4AZQAgAGEAbgBkACAAZgBhAGUAYwBlAHMAIABkAGUAcABvAHMAaQB0AGUAZAAgAG8AbgAgAHAAYQBzAHQAdQByAGUAXAAiACwAXAAiAGsAZwAgAE4AXAAiADsAXABuACAAIAAgACAAIAAgACAAIAAgACAAXAAiAEUARgBhAGQAXAAiACwAXAAiAEUAbQBpAHMAcwBpAG8AbgAgAGYAYQBjAHQAbwByACAAZgBvAHIAIABhAHQAbQBvAHMAcABoAGUAcgBpAGMAIABkAGUAcABvAHMAaQB0AGkAbwBu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FYAbwBsAGEAdABpAGwAaQBzAGUAZABBAG4AaQBtAGEAbABXAGEAcwB0AGUAXABuAFQAaABlACAAbQBhAHMAcwAgAG8AZgAgAG4AaQB0AHIAbwBnAGUAbgAgAHYAbwBsAGEAdABpAGwAaQBzAGUAZAAgAGYAcgBvAG0AIABtAGEAbgB1AHIAZQAsACAAdQByAGkAbgBlACAAYQBuAGQAIABmAGEAZQBjAGUAcwAgAGQAZQBwAG8AcwBpAHQAZQBkACAAbwBuACAAcwBvAGkAbABzAFwAbgBNAHYAbwBsAG0AXABuAGsAZwAgAE4AXABuAE0AdgBvAGwAbQAgAD0AIAAoAE0ATgBqAG0AIAArACAAVQBOAGoAbQAgACsAIABGAE4AagBtACkAIAAqACAARgByAGEAYwBHAEEAUwBNAHMAbwBpAGwAXABuAE0ATgBqAG0AIAA6ACAATQBhAHMAcwAgAG8AZgAgAG0AYQBuAHUAcgBlACAAbgBpAHQAcgBvAGcAZQBuACAAYQBwAHAAbABpAGUAZAAgAHQAbwAgAHMAbwBpAGwAcwAgADoAIABrAGcAIABOAFwAbgBVAE4AagBtACAAOgAgAE0AYQBzAHMAIABvAGYAIAB1AHIAaQBuAGUAIABuAGkAdAByAG8AZwBlAG4AIABlAHgAYwByAGUAdABlAGQAIABvAG4AIABwAGEAcwB0AHUAcgBlACwAIAByAGEAbgBnAGUAIABhAG4AZAAgAHAAYQBkAGQAbwBjAGsAIABmAG8AcgAgAGUAYQBjAGgAIABkAGEAaQByAHkAIABjAGEAdAB0AGwAZQAgAGMAbABhAHMAcwAgADoAIABrAGcAIABOAFwAbgBGAE4AagBtACAAOgAgAE0AYQBzAHMAIABvAGYAIABmAGEAZQBjAGEAbAAgAG4AaQB0AHIAbwBnAGUAbgAgAGUAeABjAHIAZQB0AGUAZAAgAG8AbgAgAHAAYQBzAHQAdQByAGUALAAgAHIAYQBuAGcAZQAgAGEAbgBkACAAcABhAGQAZABvAGMAawAgAGYAbwByACAAZQBhAGMAaAAgAGQAYQBpAHIAeQAgAGMAYQB0AHQAbABlACAAYwBsAGEAcwBzACAAOgAgAGsAZwAgAE4AXABuAEYAcgBhAGMARwBBAFMATQBzAG8AaQBsACAAOgAgAEYAcgBhAGMAdABpAG8AbgAgAG8AZgAgAG4AaQB0AHIAbwBnAGUAbgAgAHYAbwBsAGEAdABpAGwAaQBzAGUAZAAgAGYAcgBvAG0AIAB1AHIAaQBuAGUAIABhAG4AZAAgAGYAYQBlAGMAZQBzACAAZABlAHAAbwBzAGkAdABlAGQAIABvAG4AIABwAGEAcwB0AHUAcgBlACAAOgAgACgAawBnACAATgBIADMALQBOACAAKwAgAE4ATwB4AC0ATgApAC8AawBnACAATgBcAG4AXABuAC0ALQAtAC0ALQAtAC0ALQAtAC0ALQAtAC0ALQAtAC0ALQAtAC0ALQAtAC0ALQAtAC0ALQAtAC0ALQAtAC0ALQAtAC0ALQAtAC0ALQBcAG4AKgAvAFwAbgBcAG4AXABuAEEAZwBTAG8AaQBsAHMAXwBNAGEAcwBzAFYAbwBsAGEAdABpAGwAaQBzAGUAZABBAG4AaQBtAGEAbABXAGEAcwB0AGUAXABuACAAIAA9AEwAQQBNAEIARABBACgAXABuACAAIAAgACAATQBOAGoAbQAsACAAVQBOAGoAbQAsACAARgBOAGoAbQAsACAARgByAGEAYwBHAEEAUwBNAHMAbwBpAGwALABcAG4AIAAgACAAIAAoAE0ATgBqAG0AIAArACAAVQBOAGoAbQAgACsAIABGAE4AagBtACkAIAAqACAARgByAGEAYwBHAEEAUwBNAHMAbwBpAGwAXABuACAAIAApAFwAbgA7AFwAbgBcAG4AQQBnAFMAbwBpAGwAcwBfAE0AYQBzAHMAVgBvAGwAYQB0AGkAbABpAHMAZQBkAEEAbgBpAG0AYQBsAFcAYQBzAHQAZQBfAFQAaQB0AGwAZQBcAG4AIAAgAD0ATABBAE0AQgBEAEEAKABcACIATQBhAHMAcwAgAG8AZgAgAG4AaQB0AHIAbwBnAGUAbgAgAHYAbwBsAGEAdABpAGwAaQBzAGUAZAAgAGYAcgBvAG0AIABtAGEAbgB1AHIAZQAsACAAdQByAGkAbgBlACAAYQBuAGQAIABmAGEAZQBjAGUAcwAgAGQAZQBwAG8AcwBpAHQAZQBkACAAbwBuACAAcwBvAGkAbABzAFwAIgApADsAXABuAFwAbgBBAGcAUwBvAGkAbABzAF8ATQBhAHMAcwBWAG8AbABhAHQAaQBsAGkAcwBlAGQAQQBuAGkAbQBhAGwAVwBhAHMAdABlAF8AVgBhAHIAaQBhAGIAbABlAFwAbgAgACAAPQBMAEEATQBCAEQAQQAoAFwAIgBNAHYAbwBsAG0AXAAiACkAOwBcAG4AXABuAEEAZwBTAG8AaQBsAHMAXwBNAGEAcwBzAFYAbwBsAGEAdABpAGwAaQBzAGUAZABBAG4AaQBtAGEAbABXAGEAcwB0AGUAXwBVAG4AaQB0AFwAbgAgACAAPQBMAEEATQBCAEQAQQAoAFwAIgBrAGcAIABOAFwAIgApADsAXABuAFwAbgBBAGcAUwBvAGkAbABzAF8ATQBhAHMAcwBWAG8AbABhAHQAaQBsAGkAcwBlAGQAQQBuAGkAbQBhAGwAVwBhAHMAdABlAF8ATgBJAFIAUgBlAGYAZQByAGUAbgBjAGUAXABuACAAIAA9AEwAQQBNAEIARABBACgAXAAiAE4AYQB0AGkAbwBuAGEAbAAgAEkAbgB2AGUAbgB0AG8AcgB5ACAAUgBlAHAAbwByAHQAIABWAG8AbAB1AG0AZQAgADEALAAgADIAMAAyADMAOgAgADMALgBEAC4AQgBfADIAXAAiACkAOwBcAG4AXABuAEEAZwBTAG8AaQBsAHMAXwBNAGEAcwBzAFYAbwBsAGEAdABpAGwAaQBzAGUAZABBAG4AaQBtAGEAbABXAGEAcwB0AGUAXwBSAGUAYQBkAGEAYgBsAGUARQBxAHUAYQB0AGkAbwBuAFwAbgAgACAAPQBMAEEATQBCAEQAQQAoAFwAIgBNAHYAbwBsAG0AIAA9ACAAKABNAE4AagBtACAAKwAgAFUATgBqAG0AIAArACAARgBOAGoAbQApACAAKgAgAEYAcgBhAGMARwBBAFMATQBzAG8AaQBsAFwAIgApADsAXABuAFwAbgBBAGcAUwBvAGkAbABzAF8ATQBhAHMAcwBWAG8AbABhAHQAaQBsAGkAcwBlAGQAQQBuAGkAbQBhAGwAVwBhAHMAdABlAF8AQQByAGcAdQBtAGUAbgB0AHMAXABuACAAIAA9AEwAQQBNAEIARABBACgAXABuACAAIAAgACAATQBBAEsARQBBAFIAUgBBAFkAKAA0ACwAIAAzACwAIABcAG4AIAAgACAAIAAgACAATABBAE0AQgBEAEEAKAByACwAYwAsACAAXABuACAAIAAgACAAIAAgACAAIABJAE4ARABFAFgAKAB7AFwAbgAgACAAIAAgACAAIAAgACAAIAAgAFwAIgBNAE4AagBtAFwAIgAsAFwAIgBNAGEAcwBzACAAbwBmACAAbQBhAG4AdQByAGUAIABuAGkAdAByAG8AZwBlAG4AIABhAHAAcABsAGkAZQBkACAAdABvACAAcwBvAGkAbABzAFwAIgAsAFwAIgBrAGcAIABOAFwAIgA7AFwAbgAgACAAIAAgACAAIAAgACAAIAAgAFwAIgBVAE4AagBtAFwAIgAsAFwAIgBNAGEAcwBzACAAbwBmACAAdQByAGkAbgBlACAAbgBpAHQAcgBvAGcAZQBuACAAZQB4AGMAcgBlAHQAZQBkACAAbwBuACAAcABhAHMAdAB1AHIAZQAsACAAcgBhAG4AZwBlACAAYQBuAGQAIABwAGEAZABkAG8AYwBrACAAZgBvAHIAIABlAGEAYwBoACAAZABhAGkAcgB5ACAAYwBhAHQAdABsAGUAIABjAGwAYQBzAHMAXAAiACwAXAAiAGsAZwAgAE4AXAAiADsAXABuACAAIAAgACAAIAAgACAAIAAgACAAXAAiAEYATgBqAG0AXAAiACwAXAAiAE0AYQBzAHMAIABvAGYAIABmAGEAZQBjAGEAbAAgAG4AaQB0AHIAbwBnAGUAbgAgAGUAeABjAHIAZQB0AGUAZAAgAG8AbgAgAHAAYQBzAHQAdQByAGUALAAgAHIAYQBuAGcAZQAgAGEAbgBkACAAcABhAGQAZABvAGMAawAgAGYAbwByACAAZQBhAGMAaAAgAGQAYQBpAHIAeQAgAGMAYQB0AHQAbABlACAAYwBsAGEAcwBzAFwAIgAsAFwAIgBrAGcAIABOAFwAIgA7AFwAbgAgACAAIAAgACAAIAAgACAAIAAgAFwAIgBGAHIAYQBjAEcAQQBTAE0AcwBvAGkAbABcACIALABcACIARgByAGEAYwB0AGkAbwBuACAAbwBmACAAbgBpAHQAcgBvAGcAZQBuACAAdgBvAGwAYQB0AGkAbABpAHMAZQBkACAAZgByAG8AbQAgAHUAcgBpAG4AZQAgAGEAbgBkACAAZgBhAGUAYwBlAHMAIABkAGUAcABvAHMAaQB0AGUAZAAgAG8AbgAgAHAAYQBzAHQAdQByAGUAXAAiACwAXAAiACgAawBnACAATgBIADMALQBOACAAKwAgAE4ATwB4AC0ATgApAC8AawBnACAATgBcACIAXABuACAAIAAgACAAIAAgACAAIAB9ACwAIAByACwAIABjACkAXABuACAAIAAgACAAIAAgACkAXABuACAAIAAgACAAKQBcAG4AIAAgACkAOwBcAG4AXABuAFwAbgAvACoAIABcAG4ALQAtAC0ALQAtAC0ALQAtAC0ALQAtAC0ALQAtAC0ALQAtAC0ALQAtAC0ALQAtAC0ALQAtAC0ALQAtAC0ALQAtAC0ALQAtAC0ALQAtAFwAbgBBAGcAUwBvAGkAbABzAF8ATQBhAHMAcwBWAG8AbABhAHQAaQBsAGkAcwBlAGQASQBuAG8AcgBnAGEAbgBpAGMARgBlAHIAdABpAGwAaQBzAGUAcgBcAG4AVABoAGUAIABtAGEAcwBzACAAbwBmACAAbgBpAHQAcgBvAGcAZQBuACAAdgBvAGwAYQB0AGkAbABpAHMAZQBkACAAZgByAG8AbQAgAGkAbgBvAHIAZwBhAG4AaQBjACAAZgBlAHIAdABpAGwAaQBzAGUAcgAgAGEAcABwAGwAaQBlAGQAIAB0AG8AIABzAG8AaQBsAHMAXABuAE0AdgBvAGwAaQBuAG8AcgBnAGEAbgBpAGMAXABuAGsAZwAgAE4AXABuAE0AdgBvAGwAaQBuAG8AcgBnAGEAbgBpAGMAIAA9ACAATQBOAGYAIAAqACAARgByAGEAYwBHAEEAUwBGAGYAXABuAE0ATgBmACAAOgBNAGEAcwBzACAAbwBmACAAbgBpAHQAcgBvAGcAZQBuACAAaQBuACAAaQBuAG8AcgBnAGEAbgBpAGMAIABmAGUAcgB0AGkAbABpAHMAZQByACAAYQBwAHAAbABpAGUAZAAgADoAIABrAGcAIABOAFwAbgBGAHIAYQBjAEcAQQBTAEYAZgAgADoAIABGAHIAYQBjAHQAaQBvAG4AIABvAGYAIABpAG4AbwByAGcAYQBuAGkAYwAgAGYAZQByAHQAaQBsAGkAcwBlAHIAIAB0AGgAYQB0ACAAdgBvAGwAYQB0AGkAbABpAHMAZQBzACAAOgAgACgAawBnACAATgBIADMALQBOACAAKwAgAE4ATwB4AC0ATgApAC8AawBnACAATgBcAG4ALQAtAC0ALQAtAC0ALQAtAC0ALQAtAC0ALQAtAC0ALQAtAC0ALQAtAC0ALQAtAC0ALQAtAC0ALQAtAC0ALQAtAC0ALQAtAC0ALQAtAFwAbgAqAC8AXABuAFwAbgBcAG4AQQBnAHMAbwBpAGwAcwBfAE0AYQBzAHMAVgBvAGwAYQB0AGkAbABpAHMAZQBkAEkAbgBvAHIAZwBhAG4AaQBjAEYAZQByAHQAaQBsAGkAcwBlAHIAXABuACAAIAA9AEwAQQBNAEIARABBACgAXABuACAAIAAgACAATQBOAGYALAAgAEYAcgBhAGMARwBBAFMARgBmACwAXABuACAAIAAgACAATQBOAGYAIAAqACAARgByAGEAYwBHAEEAUwBGAGYAXABuACAAIAApAFwAbgA7AFwAbgBcAG4AQQBnAHMAbwBpAGwAcw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CAAZABlAHAAbwBzAGkAdABlAGQAIABvAG4AIABzAG8AaQBsAHMAXAAiACkAOwBcAG4AXABuAEEAZwBzAG8AaQBsAHMAXwBNAGEAcwBzAFYAbwBsAGEAdABpAGwAaQBzAGUAZABJAG4AbwByAGcAYQBuAGkAYwBGAGUAcgB0AGkAbABpAHMAZQByAF8AVgBhAHIAaQBhAGIAbABlAFwAbgAgACAAPQBMAEEATQBCAEQAQQAoAFwAIgBNAHYAbwBsAGkAbgBvAHIAZwBhAG4AaQBjAFwAIgApADsAXABuAFwAbgBBAGcAcwBvAGkAbABzAF8ATQBhAHMAcwBWAG8AbABhAHQAaQBsAGkAcwBlAGQASQBuAG8AcgBnAGEAbgBpAGMARgBlAHIAdABpAGwAaQBzAGUAcgBfAFUAbgBpAHQAXABuACAAIAA9AEwAQQBNAEIARABBACgAXAAiAGsAZwAgAE4AXAAiACkAOwBcAG4AXABuAEEAZwBzAG8AaQBsAHMAXwBNAGEAcwBzAFYAbwBsAGEAdABpAGwAaQBzAGUAZABJAG4AbwByAGcAYQBuAGkAYwBGAGUAcgB0AGkAbABpAHMAZQByAF8ATgBJAFIAUgBlAGYAZQByAGUAbgBjAGUAXABuACAAIAA9AEwAQQBNAEIARABBACgAXAAiAE4AYQB0AGkAbwBuAGEAbAAgAEkAbgB2AGUAbgB0AG8AcgB5ACAAUgBlAHAAbwByAHQAIABWAG8AbAB1AG0AZQAgADEALAAgADIAMAAyADMAOgAgADMALgBEAC4AQgBfADEAXAAiACkAOwBcAG4AXABuAEEAZwBzAG8AaQBsAHMAXwBNAGEAcwBzAFYAbwBsAGEAdABpAGwAaQBzAGUAZABJAG4AbwByAGcAYQBuAGkAYwBGAGUAcgB0AGkAbABpAHMAZQByAF8AUgBlAGEAZABhAGIAbABlAEUAcQB1AGEAdABpAG8AbgBcAG4AIAAgAD0ATABBAE0AQgBEAEEAKABcACIATQB2AG8AbABpAG4AbwByAGcAYQBuAGkAYwAgAD0AIABNAE4AZgAgACoAIABGAHIAYQBjAEcAQQBTAEYAZgBcACIAKQA7AFwAbgBcAG4AQQBnAHMAbwBpAGwAcwBfAE0AYQBzAHMAVgBvAGwAYQB0AGkAbABpAHMAZQBkAEkAbgBvAHIAZwBhAG4AaQBjAEYAZQByAHQAaQBsAGkAcwBlAHIAXwBBAHIAZwB1AG0AZQBuAHQAcwBcAG4AIAAgAD0ATABBAE0AQgBEAEEAKABcAG4AIAAgACAAIABNAEEASwBFAEEAUgBSAEEAWQAoADIALAAgADMALAAgAFwAbgAgACAAIAAgACAAIABMAEEATQBCAEQAQQAoAHIALABjACwAIABcAG4AIAAgACAAIAAgACAAIAAgAEkATgBEAEUAWAAoAHsAXABuACAAIAAgACAAIAAgACAAIAAgACAAXAAiAE0ATgBmAFwAIgAsAFwAIgBNAGEAcwBzACAAbwBmACAAbgBpAHQAcgBvAGcAZQBuACAAaQBuACAAaQBuAG8AcgBnAGEAbgBpAGMAIABmAGUAcgB0AGkAbABpAHMAZQByACAAYQBwAHAAbABpAGUAZABcACIALABcACIAawBnACAATgBcACIAOwBcAG4AIAAgACAAIAAgACAAIAAgACAAIABcACIARgByAGEAYwBHAEEAUwBGAGYAXAAiACwAXAAiAEYAcgBhAGMAdABpAG8AbgAgAG8AZgAgAGkAbgBvAHIAZwBhAG4AaQBjACAAZgBlAHIAdABpAGwAaQBzAGUAcgAgAHQAaABhAHQAIAB2AG8AbABhAHQAaQBsAGkAcwBlAHMAXAAiACwAXAAiACgAawBnACAATgBIADMAEyBOACAAKwAgAE4ATwB4ABMgTgApAC8AawBnACAAT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wAZQBhAGMAaABpAG4AZwAgAGEAbgBkACAAUgB1AG4AbwBmAGYAIAAoADMALgBEAC4AYgAuADI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wAZQBhAGMAaABpAG4AZwBBAG4AZABSAHUAbgBvAGYAZgBcAG4ATABlAGEAYwBoAGkAbgBnACAAYQBuAGQAIAByAHUAbgBvAGYAZgAgAGUAbQBpAHMAcwBpAG8AbgBzACAAZgByAG8AbQAgAGMAcgBvAHAAIAByAGUAcwBpAGQAdQBlACwAXABuAGkAbgBvAHIAZwBhAG4AaQBjACAAYQBuAGQAIABvAHIAZwBhAG4AaQBjACAAZgBlAHIAdABpAGwAaQBzAGUAcgAgAGEAcABwAGwAaQBlAGQAIAB0AG8AIABzAG8AaQBsACwAXABuAHUAcgBpAG4AZQAgAGEAbgBkACAAZAB1AG4AZwAgAGQAZQBwAG8AcwBpAHQAZQBkACAAbwBuACAAcABhAHMAdAB1AHIAZQBcAG4ARQBOADIATwBsAGUAYQBjAGgAIAA9ACAATQBsAGUAYQBjAGgAIAAqACAARQBGAGwAZQBhAGMAaAAgACoAIABDAGcATgAyAE8AIAAqACAAMQAwACAAXgAgAC0AIAAzAFwAbgBNAGwAZQBhAGMAaAAgADoAIABNAGEAcwBzACAAbwBmACAAbgBpAHQAcgBvAGcAZQBuACAAbABvAHMAdAAgAHQAbwAgAGwAZQBhAGMAaABlAGQAIABhAG4AZAAgAHIAdQBuACAAbwBmAGYAIAA6ACAAawBnACAATgBcAG4ARQBGAGwAZQBhAGMAaAAgADoAIABFAG0AaQBzAHMAaQBvAG4AIABmAGEAYwB0AG8AcgAgAGYAbwByACAAbABlAGEAYwBoAGkAbgBnACAAYQBuAGQAIAByAHUAbgBvAGYAZ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TABlAGEAYwBoAGkAbgBnAEEAbgBkAFIAdQBuAG8AZgBmAF8ARwBXAFAAXABuACAAPQBMAEEATQBCAEQAQQAoAFwAbgAgACAAIAAgAEUATgAyAE8AbABlAGEAYwBoACwARwBXAFAATgAyAE8ALABcAG4AIAAgACAAIAAgACgARQBOADIATwBsAGUAYQBjAGgAIAAqACAARwBXAFAATgAyAE8AKQBcAG4AIAAgACAAKQA7AFwAbgBcAG4AQQBnAFMAbwBpAGwAcwBfAEwAZQBhAGMAaABpAG4AZwBBAG4AZABSAHUAbgBvAGYAZgBcAG4AIAAgAD0ATABBAE0AQgBEAEEAKABcAG4AIAAgACAAIABNAGwAZQBhAGMAaAAsAEUARgBsAGUAYQBjAGgALABDAGcATgAyAE8ALABcAG4AIAAgACAAIAAoAE0AbABlAGEAYwBoACAAKgAgAEUARgBsAGUAYQBjAGgAIAAqACAAQwBnAE4AMgBPACAAKgAgADEAMABeAC0AMwApAFwAbgAgACAAKQBcAG4AOwBcAG4AXABuAEEAZwBTAG8AaQBsAHMAXwBMAGUAYQBjAGgAaQBuAGcAQQBuAGQAUgB1AG4AbwBmAGYAXwBUAGkAdABsAGUAXABuACAAIAA9AEwAQQBNAEIARABBACgAXAAiAEwAZQBhAGMAaABpAG4AZwAgAGEAbgBkACAAcgB1AG4AbwBmAGYAIABlAG0AaQBzAHMAaQBvAG4AcwAgAGYAcgBvAG0AIABjAHIAbwBwACAAcgBlAHMAaQBkAHUAZQAsAGkAbgBvAHIAZwBhAG4AaQBjACAAYQBuAGQAIABvAHIAZwBhAG4AaQBjACAAZgBlAHIAdABpAGwAaQBzAGUAcgAgAGEAcABwAGwAaQBlAGQAIAB0AG8AIABzAG8AaQBsACwAIAB1AHIAaQBuAGUAIABhAG4AZAAgAGQAdQBuAGcAIABkAGUAcABvAHMAaQB0AGUAZAAgAG8AbgAgAHAAYQBzAHQAdQByAGUAXAAiACkAOwBcAG4AXABuAEEAZwBTAG8AaQBsAHMAXwBMAGUAYQBjAGgAaQBuAGcAQQBuAGQAUgB1AG4AbwBmAGYAXwBWAGEAcgBpAGEAYgBsAGUAXABuACAAIAA9AEwAQQBNAEIARABBACgAXAAiAEUATgAyAE8AbABlAGEAYwBoAFwAIgApADsAXABuAFwAbgBBAGcAUwBvAGkAbABzAF8ATABlAGEAYwBoAGkAbgBnAEEAbgBkAFIAdQBuAG8AZgBmAF8AVQBuAGkAdABcAG4AIAAgAD0ATABBAE0AQgBEAEEAKABcACIAdAAgAE4AMgBPAFwAIgApADsAXABuAFwAbgBBAGcAUwBvAGkAbABzAF8ATABlAGEAYwBoAGkAbgBnAEEAbgBkAFIAdQBuAG8AZgBmAF8ATgBJAFIAUgBlAGYAZQByAGUAbgBjAGUAXABuACAAIAA9AEwAQQBNAEIARABBACgAXAAiAE4AYQB0AGkAbwBuAGEAbAAgAEkAbgB2AGUAbgB0AG8AcgB5ACAAUgBlAHAAbwByAHQAIABWAG8AbAB1AG0AZQAgADEALAAgADIAMAAyADMAOgAgADMALgBEAC4AQgBfADEAMABcACIAKQA7AFwAbgBcAG4AQQBnAFMAbwBpAGwAcwBfAEwAZQBhAGMAaABpAG4AZwBBAG4AZABSAHUAbgBvAGYAZgBfAFIAZQBhAGQAYQBiAGwAZQBFAHEAdQBhAHQAaQBvAG4AXABuACAAIAA9AEwAQQBNAEIARABBACgAXAAiAEUATgAyAE8AbABlAGEAYwBoACAAPQAgAE0AbABlAGEAYwBoACAAKgAgAEUARgBsAGUAYQBjAGgAIAAqACAAQwBnAE4AMgBPACAAKgAgADEAMAAgAF4AIAAtACAAMwBcACIAKQA7AFwAbgBcAG4AQQBnAFMAbwBpAGwAcwBfAEwAZQBhAGMAaABpAG4AZwBBAG4AZABSAHUAbgBvAGYAZgBfAEEAcgBnAHUAbQBlAG4AdABzAFwAbgAgACAAPQBMAEEATQBCAEQAQQAoAFwAbgAgACAAIAAgAE0AQQBLAEUAQQBSAFIAQQBZACgAMwAsACAAMwAsACAAXABuACAAIAAgACAAIAAgAEwAQQBNAEIARABBACgAcgAsAGMALAAgAFwAbgAgACAAIAAgACAAIAAgACAASQBOAEQARQBYACgAewBcAG4AIAAgACAAIAAgACAAIAAgACAAIABcACIATQBsAGUAYQBjAGgAXAAiACwAXAAiAE0AYQBzAHMAIABvAGYAIABuAGkAdAByAG8AZwBlAG4AIABsAG8AcwB0ACAAdABvACAAbABlAGEAYwBoAGUAZAAgAGEAbgBkACAAcgB1AG4AIABvAGYAZgBcACIALABcACIAawBnACAATgBcACIAOwBcAG4AIAAgACAAIAAgACAAIAAgACAAIABcACIARQBGAGwAZQBhAGMAaABcACIALABcACIARQBtAGkAcwBzAGkAbwBuACAAZgBhAGMAdABvAHIAIABmAG8AcgAgAGwAZQBhAGMAaABpAG4AZwAgAGEAbgBkACAAcgB1AG4AbwBmAGY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QQBuAGkAbQBhAGwAVwBhAHMAdABlAE4ATABvAHMAdABcAG4ATQBhAHMAcwAgAG8AZgAgAG4AaQB0AHIAbwBnAGUAbgAgAGwAbwBzAHQAIABmAHIAbwBtACAAbQBhAG4AdQByAGUALAAgAHUAcgBpAG4AZQAgAGEAbgBkACAAZAB1AG4AZwAgAHQAbwAgAGwAZQBhAGMAaABpAG4AZwAgAGEAbgBkACAAcgB1AG4AbwBmAGYAXABuAE0AbABlAGEAYwBoAGEAbgBpAG0AYQBsAHcAYQBzAHQAZQA9ACgATQBOAGoAbQArAFUATgBqAG0AKwBGAE4AagBtACkAKgBGAHIAYQBjAFcARQBUACoARgByAGEAYwBMAEUAQQBDAEgAXABuAE0AbABlAGEAYwBoAGEAbgBpAG0AYQBsAHcAYQBzAHQAZQBcAG4AawBnACAATgBcAG4ATQBOAGoAbQAgADoAIABNAGEAcwBzACAAbwBmACAAbgBpAHQAcgBvAGcAZQBuACAAaQBuACAAbQBhAG4AdQByAGUAIABhAHAAcABsAGkAZQBkACAAdABvACAAcwBvAGkAbABzACAAOgAgAGsAZwAgAE4AXABuAFUATgBqAG0AIAA6ACAATQBhAHMAcwAgAG8AZgAgAG4AaQB0AHIAbwBnAGUAbgAgAGkAbgAgAHUAcgBpAG4AZQAgAGQAZQBwAG8AcwBpAHQAZQBkACAAbwBuACAAcABhAHMAdAB1AHIAZQAsACAAcgBhAG4AZwBlACAAYQBuAGQAIABwAGEAZABkAG8AYwBrACAAOgAgAGsAZwAgAE4AXABuAEYATgBqAG0AIAA6ACAATQBhAHMAcwAgAG8AZgAgAG4AaQB0AHIAbwBnAGUAbgAgAGkAbgAgAGQAdQBuAGcAIABkAGUAcABvAHMAaQB0AGUAZAAgAG8AbgAgAHAAYQBzAHQAdQByAGUALAByAGEAbgBnAGUAIABhAG4AZAAgAHAAYQBkAGQAbwBjAGsAIAA6ACAAawBnACAATgBcAG4ARgByAGEAYwBXAEUAVAAgADoAIABGAHIAYQBjAHQAaQBvAG4AIABvAGYAIABO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E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BAG4AaQBtAGEAbABXAGEAcwB0AGUATgBMAG8AcwB0AFwAbgAgACAAPQBMAEEATQBCAEQAQQAoAFwAbgAgACAAIAAgAE0ATgBqAG0ALABVAE4AagBtACwARgBOAGoAbQAsAEYAcgBhAGMAVwBFAFQALABGAHIAYQBjAEwARQBBAEMASAAsAFwAbgAgACAAIAAgACgATQBOAGoAbQArAFUATgBqAG0AKwBGAE4AagBtACkAKgBGAHIAYQBjAFcARQBUACoARgByAGEAYwBMAEUAQQBDAEgAXABuACAAIAApAFwAbgA7AFwAbgBcAG4AQQBnAFMAbwBpAGwAcwBfAE0AYQBzAHMAQQBuAGkAbQBhAGwAVwBhAHMAdABlAE4ATABvAHMAdABfAFQAaQB0AGwAZQBcAG4AIAAgAD0ATABBAE0AQgBEAEEAKABcACIATQBhAHMAcwAgAG8AZgAgAG4AaQB0AHIAbwBnAGUAbgAgAGwAbwBzAHQAIABmAHIAbwBtACAAbQBhAG4AdQByAGUALAAgAHUAcgBpAG4AZQAgAGEAbgBkACAAZAB1AG4AZwAgAHQAbwAgAGwAZQBhAGMAaABpAG4AZwAgAGEAbgBkACAAcgB1AG4AbwBmAGYAXAAiACkAOwBcAG4AXABuAEEAZwBTAG8AaQBsAHMAXwBNAGEAcwBzAEEAbgBpAG0AYQBsAFcAYQBzAHQAZQBOAEwAbwBzAHQAXwBWAGEAcgBpAGEAYgBsAGUAXABuACAAIAA9AEwAQQBNAEIARABBACgAXAAiAE0AbABlAGEAYwBoAGEAbgBpAG0AYQBsAHcAYQBzAHQAZQBcACIAKQA7AFwAbgBcAG4AQQBnAFMAbwBpAGwAcwBfAE0AYQBzAHMAQQBuAGkAbQBhAGwAVwBhAHMAdABlAE4ATABvAHMAdABfAFUAbgBpAHQAXABuACAAIAA9AEwAQQBNAEIARABBACgAXAAiAGsAZwAgAE4AXAAiACkAOwBcAG4AXABuAEEAZwBTAG8AaQBsAHMAXwBNAGEAcwBzAEEAbgBpAG0AYQBsAFcAYQBzAHQAZQBOAEwAbwBzAHQAXwBOAEkAUgBSAGUAZgBlAHIAZQBuAGMAZQBcAG4AIAAgAD0ATABBAE0AQgBEAEEAKABcACIATgBhAHQAaQBvAG4AYQBsACAASQBuAHYAZQBuAHQAbwByAHkAIABSAGUAcABvAHIAdAAgAFYAbwBsAHUAbQBlACAAMQAsACAAMgAwADIAMwA6ACAAMwAuAEQALgBCAF8ANgBcACIAKQA7AFwAbgBcAG4AQQBnAFMAbwBpAGwAcwBfAE0AYQBzAHMAQQBuAGkAbQBhAGwAVwBhAHMAdABlAE4ATABvAHMAdABfAFIAZQBhAGQAYQBiAGwAZQBFAHEAdQBhAHQAaQBvAG4AXABuACAAIAA9AEwAQQBNAEIARABBACgAXAAiAE0AbABlAGEAYwBoAGEAbgBpAG0AYQBsAHcAYQBzAHQAZQA9ACgATQBOAGoAbQArAFUATgBqAG0AKwBGAE4AagBtACkAKgBGAHIAYQBjAFcARQBUACoARgByAGEAYwBMAEUAQQBDAEgAXAAiACkAOwBcAG4AXABuAEEAZwBTAG8AaQBsAHMAXwBNAGEAcwBzAEEAbgBpAG0AYQBsAFcAYQBzAHQAZQBOAEwAbwBzAHQAXwBBAHIAZwB1AG0AZQBuAHQAcwBcAG4AIAAgAD0ATABBAE0AQgBEAEEAKABcAG4AIAAgACAAIABNAEEASwBFAEEAUgBSAEEAWQAoADMALAAgADMALAAgAFwAbgAgACAAIAAgACAAIABMAEEATQBCAEQAQQAoAHIALABjACwAIABcAG4AIAAgACAAIAAgACAAIAAgAEkATgBEAEUAWAAoAHsAXABuACAAIAAgACAAIAAgACAAIAAgACAAXAAiAE0ATgBqAG0AXAAiACwAXAAiAE0AYQBzAHMAIABvAGYAIABuAGkAdAByAG8AZwBlAG4AIABpAG4AIABtAGEAbgB1AHIAZQAgAGEAcABwAGwAaQBlAGQAIAB0AG8AIABzAG8AaQBsAHMAXAAiACwAXAAiAGsAZwAgAE4AXAAiADsAXABuACAAIAAgACAAIAAgACAAIAAgACAAXAAiAFUATgBqAG0AXAAiACwAXAAiAE0AYQBzAHMAIABvAGYAIABuAGkAdAByAG8AZwBlAG4AIABpAG4AIAB1AHIAaQBuAGUAIABkAGUAcABvAHMAaQB0AGUAZAAgAG8AbgAgAHAAYQBzAHQAdQByAGUALAAgAHIAYQBuAGcAZQAgAGEAbgBkACAAcABhAGQAZABvAGMAawBcACIALABcACIAawBnACAATgBcACIAOwBcAG4AIAAgACAAIAAgACAAIAAgACAAIABcACIARgBOAGoAbQBcACIALABcACIATQBhAHMAcwAgAG8AZgAgAG4AaQB0AHIAbwBnAGUAbgAgAGkAbgAgAGQAdQBuAGcAIABkAGUAcABvAHMAaQB0AGUAZAAgAG8AbgAgAHAAYQBzAHQAdQByAGUALAByAGEAbgBnAGUAIABhAG4AZAAgAHAAYQBkAGQAbwBjAGs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kAbgBvAHIAZwBhAG4AaQBjAEYAZQByAHQAaQBsAGkAcwBlAHIATgBMAG8AcwB0AFwAbgBNAGwAZQBhAGMAaABpAG4AbwByAGcAYQBuAGkAYwBcAG4ATQBsAGUAYQBjAGgAaQBuAG8AcgBnAGEAbgBpAGMAIAA9ACAATQAgACoAIABGAHIAYQBjAFcARQBUACAAKgAgAEYAcgBhAGMATABFAEEAQwBIAFwAbgBNACAAOgAgAE0AYQBzAHMAIABvAGYAIABuAGkAdAByAG8AZwBlAG4AIABpAG4AIABpAG4AbwByAGcAYQBuAGkAYwAgAGYAZQByAHQAaQBsAGkAcwBlAHI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kAbgBvAHIAZwBhAG4AaQBjAEYAZQByAHQAaQBsAGkAcwBlAHIATgBMAG8AcwB0AFwAbgAgACAAPQBMAEEATQBCAEQAQQAoAFwAbgAgACAAIAAgAE0ALAAgAEYAcgBhAGMAVwBFAFQALAAgAEYAcgBhAGMATABFAEEAQwBIACwAXABuACAAIAAgACAATQAgACoAIABGAHIAYQBjAFcARQBUACAAKgAgAEYAcgBhAGMATABFAEEAQwBIAFwAbgAgACAAKQBcAG4AOwBcAG4AXABuAEEAZwBTAG8AaQBsAHMAXwBNAGEAcwBzAEkAbgBvAHIAZwBhAG4AaQBjAEYAZQByAHQAaQBsAGkAcwBlAHIATgBMAG8AcwB0AF8AVABpAHQAbABlAFwAbgAgACAAPQBMAEEATQBCAEQAQQAoAFwAIgBNAGEAcwBzACAAbwBmACAAbgBpAHQAcgBvAGcAZQBuACAAbABvAHMAdAAgAGYAcgBvAG0AIABpAG4AbwByAGcAYQBuAGkAYwAgAGYAZQByAHQAaQBsAGkAcwBlAHIAIAB0AG8AIABsAGUAYQBjAGgAaQBuAGcAIABhAG4AZAAgAHIAdQBuAG8AZgBmAFwAIgApADsAXABuAFwAbgBBAGcAUwBvAGkAbABzAF8ATQBhAHMAcwBJAG4AbwByAGcAYQBuAGkAYwBGAGUAcgB0AGkAbABpAHMAZQByAE4ATABvAHMAdABfAFYAYQByAGkAYQBiAGwAZQBcAG4AIAAgAD0ATABBAE0AQgBEAEEAKABcACIATQBsAGUAYQBjAGgAaQBuAG8AcgBnAGEAbgBpAGMAXAAiACkAOwBcAG4AXABuAEEAZwBTAG8AaQBsAHMAXwBNAGEAcwBzAEkAbgBvAHIAZwBhAG4AaQBjAEYAZQByAHQAaQBsAGkAcwBlAHIATgBMAG8AcwB0AF8AVQBuAGkAdABcAG4AIAAgAD0ATABBAE0AQgBEAEEAKABcACIAawBnACAATgBcACIAKQA7AFwAbgBcAG4AQQBnAFMAbwBpAGwAcwBfAE0AYQBzAHMASQBuAG8AcgBnAGEAbgBpAGMARgBlAHIAdABpAGwAaQBzAGUAcgBOAEwAbwBzAHQAXwBOAEkAUgBSAGUAZgBlAHIAZQBuAGMAZQBcAG4AIAAgAD0ATABBAE0AQgBEAEEAKABcACIATgBhAHQAaQBvAG4AYQBsACAASQBuAHYAZQBuAHQAbwByAHkAIABSAGUAcABvAHIAdAAgAFYAbwBsAHUAbQBlACAAMQAsACAAMgAwADIAMwA6ACAAMwAuAEQALgBCAF8ANQBcACIAKQA7AFwAbgBcAG4AQQBnAFMAbwBpAGwAcwBfAE0AYQBzAHMASQBuAG8AcgBnAGEAbgBpAGMARgBlAHIAdABpAGwAaQBzAGUAcgBOAEwAbwBzAHQAXwBSAGUAYQBkAGEAYgBsAGUARQBxAHUAYQB0AGkAbwBuAFwAbgAgACAAPQBMAEEATQBCAEQAQQAoAFwAIgBNAGwAZQBhAGMAaABpAG4AbwByAGcAYQBuAGkAYwAgAD0AIABNACAAKgAgAEYAcgBhAGMAVwBFAFQAIAAqACAARgByAGEAYwBMAEUAQQBDAEgAXAAiACkAOwBcAG4AXABuAEEAZwBTAG8AaQBsAHMAXwBNAGEAcwBzAEkAbgBvAHIAZwBhAG4AaQBjAEYAZQByAHQAaQBsAGkAcwBlAHI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aQBuAG8AcgBnAGEAbgBpAGMAIABmAGUAcgB0AGkAbABpAHMAZQBy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QwByAG8AcABSAGUAcwBpAGQAdQBlAE4ATABvAHMAdABcAG4ATQBsAGUAYQBjAGgAcgBlAHMAaQBkAHUAZQBcAG4ATQBsAGUAYQBjAGgAcgBlAHMAaQBkAHUAZQAgAD0AIABNACAAKgAgAEYAcgBhAGMAVwBFAFQAIAAqACAARgByAGEAYwBMAEUAQQBDAEgAXABuAE0AIAA6ACAATQBhAHMAcwAgAG8AZgAgAG4AaQB0AHIAbwBnAGUAbgAgAGkAbgAgAGMAcgBvAHAAIAByAGUAcwBpAGQAdQBl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DAHIAbwBwAFIAZQBzAGkAZAB1AGUATgBMAG8AcwB0AFwAbgAgACAAPQBMAEEATQBCAEQAQQAoAFwAbgAgACAAIAAgAE0ALAAgAEYAcgBhAGMAVwBFAFQALAAgAEYAcgBhAGMATABFAEEAQwBIACwAXABuACAAIAAgACAATQAgACoAIABGAHIAYQBjAFcARQBUACAAKgAgAEYAcgBhAGMATABFAEEAQwBIAFwAbgAgACAAKQBcAG4AOwBcAG4AXABuAEEAZwBTAG8AaQBsAHMAXwBNAGEAcwBzAEMAcgBvAHAAUgBlAHMAaQBkAHUAZQBOAEwAbwBzAHQAXwBUAGkAdABsAGUAXABuACAAIAA9AEwAQQBNAEIARABBACgAXAAiAE0AYQBzAHMAIABvAGYAIABuAGkAdAByAG8AZwBlAG4AIABsAG8AcwB0ACAAZgByAG8AbQAgAGMAcgBvAHAAIAByAGUAcwBpAGQAdQBlACAAdABvACAAbABlAGEAYwBoAGkAbgBnACAAYQBuAGQAIAByAHUAbgBvAGYAZgBcACIAKQA7AFwAbgBcAG4AQQBnAFMAbwBpAGwAcwBfAE0AYQBzAHMAQwByAG8AcABSAGUAcwBpAGQAdQBlAE4ATABvAHMAdABfAFYAYQByAGkAYQBiAGwAZQBcAG4AIAAgAD0ATABBAE0AQgBEAEEAKABcACIATQBsAGUAYQBjAGgAcgBlAHMAaQBkAHUAZQBcACIAKQA7AFwAbgBcAG4AQQBnAFMAbwBpAGwAcwBfAE0AYQBzAHMAQwByAG8AcABSAGUAcwBpAGQAdQBlAE4ATABvAHMAdABfAFUAbgBpAHQAXABuACAAIAA9AEwAQQBNAEIARABBACgAXAAiAGsAZwAgAE4AXAAiACkAOwBcAG4AXABuAEEAZwBTAG8AaQBsAHMAXwBNAGEAcwBzAEMAcgBvAHAAUgBlAHMAaQBkAHUAZQBOAEwAbwBzAHQAXwBOAEkAUgBSAGUAZgBlAHIAZQBuAGMAZQBcAG4AIAAgAD0ATABBAE0AQgBEAEEAKABcACIATgBhAHQAaQBvAG4AYQBsACAASQBuAHYAZQBuAHQAbwByAHkAIABSAGUAcABvAHIAdAAgAFYAbwBsAHUAbQBlACAAMQAsACAAMgAwADIAMwA6ACAAMwAuAEQALgBCAF8AOABcACIAKQA7AFwAbgBcAG4AQQBnAFMAbwBpAGwAcwBfAE0AYQBzAHMAQwByAG8AcABSAGUAcwBpAGQAdQBlAE4ATABvAHMAdABfAFIAZQBhAGQAYQBiAGwAZQBFAHEAdQBhAHQAaQBvAG4AXABuACAAIAA9AEwAQQBNAEIARABBACgAXAAiAE0AbABlAGEAYwBoAHIAZQBzAGkAZAB1AGUAIAA9ACAATQAgACoAIABGAHIAYQBjAFcARQBUACAAKgAgAEYAcgBhAGMATABFAEEAQwBIAFwAIgApADsAXABuAFwAbgBBAGcAUwBvAGkAbABzAF8ATQBhAHMAcwBDAHIAbwBwAFIAZQBzAGkAZAB1AGU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YwByAG8AcAAgAHIAZQBzAGkAZAB1AGU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FUAcgBpAG4AZQAgAGEAbgBkACAAZAB1AG4AZwAgAGQAZQBwAG8AcwBpAHQAZQBkACAAYgB5ACAAZwByAGEAegBpAG4AZwAgAGEAbgBpAG0AYQBsAHMAIAAoADMALgBEAC4AYQAuADMAK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UAcgBpAG4AZQBBAG4AZABEAHUAbgBnAEQAZQBwAG8AcwBpAHQAZQBkAFwAbgBOAGkAdAByAG8AdQBzACAAbwB4AGkAZABlACAAcAByAG8AZAB1AGMAdABpAG8AbgAgAGYAcgBvAG0AIAB1AHIAaQBuAGUAIABhAG4AZAAgAGQAdQBuAGcAIABkAGUAcABvAHMAaQB0AGUAZAAgAGIAeQAgAGcAcgBhAHoAaQBuAGcAIABhAG4AaQBtAGEAbABzACAAbwBuACAAcABhAHMAdAB1AHIAZQAsAFwAbgByAGEAbgBnAGUAIABhAG4AZAAgAHAAYQBkAGQAbwBjAGsAXABuAEUATgAyAE8AZABpAHIAXABuAHQAIABOADIATwBcAG4ARQBOADIATwBkAGkAcgAgAD0AIAAoACgAQQBGAGoAbQA9ADEANAAgACoAIABFAEYAUABSAFAAIAAqACAAQwBnAE4AMgBPACkAIAArACAAKABBAFUAagBtAD0AMQA0ACAAKgAgAEUARgBQAFIAUAAgACoAIABDAGcATgAyAE8AKQApACAAKgAgADEAMABeAC0AMwBcAG4AQQBGAGoAbQAgADoAIABtAGEAcwBzACAAbwBmACAAbgBpAHQAcgBvAGcAZQBuACAAaQBuACAAZAB1AG4AZwAgAGQAZQBwAG8AcwBpAHQAZQBkACAAbwBuACAAcABhAHMAdAB1AHIAZQAsACAAcgBhAG4AZwBlACAAYQBuAGQAIABwAGEAZABkAG8AYwBrACAAOgAgAGsAZwAgAE4AXABuAEEAVQBqAG0AIAA6ACAAbQBhAHMAcwAgAG8AZgAgAG4AaQB0AHIAbwBnAGUAbgAgAGkAbgAgAHUAcgBpAG4AZQAgAGQAZQBwAG8AcwBpAHQAZQBkACAAbwBuACAAcABhAHMAdAB1AHIAZQAsACAAcgBhAG4AZwBlACAAYQBuAGQAIABwAGEAZABkAG8AYwBrACAAOgAgAGsAZwAgAE4AXABuAEUARgBQAFIAUAAgADoAIABkAGkAcgBlAGMAdAAgAE4AMgBPACAAZQBtAGkAcwBzAGkAbwBuACAAZgBhAGMAdABvAHIAIABmAG8AcgAgAHAAYQBzAHQAdQByAGUALAAgAHIAYQBuAGcAZQAgAGEAbgBkACAAcABhAGQAZABvAGMAawAgADoAIABrAGcAIABOADIATwAtAE4ALwBrAGcAIABOAFwAbgBDAGcATgAyAE8AIAA6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QBnAFMAbwBpAGwAcwBfAFUAcgBpAG4AZQBBAG4AZABEAHUAbgBnAEQAZQBwAG8AcwBpAHQAZQBkAF8ARwBXAFAAXABuACAAPQBMAEEATQBCAEQAQQAoAFwAbgAgACAAIAAgAEUATgAyAE8AZABpAHIALABHAFcAUABOADIATwAsAFwAbgAgACAAIAAgACAAKABFAE4AMgBPAGQAaQByACAAKgAgAEcAVwBQAE4AMgBPACkAXABuACAAIAAgACkAOwBcAG4AXABuAEEAZwBTAG8AaQBsAHMAXwBVAHIAaQBuAGUAQQBuAGQARAB1AG4AZwBEAGUAcABvAHMAaQB0AGUAZABcAG4AIAAgAD0ATABBAE0AQgBEAEEAKABcAG4AIAAgACAAIABBAEYAagBtACwAIABBAFUAagBtACwAIABFAEYAUABSAFAALAAgAEMAZwBOADIATwAsAFwAbgAgACAAIAAgACgAKABBAEYAagBtACAAKgAgAEUARgBQAFIAUAAgACoAIABDAGcATgAyAE8AKQAgACsAIAAoAEEAVQBqAG0AIAAqACAARQBGAFAAUgBQACAAKgAgAEMAZwBOADIATwApACkAIAAqACAAMQAwAF4ALQAzAFwAbgAgACAAKQBcAG4AOwBcAG4AXABuAEEAZwBTAG8AaQBsAHMAXwBVAHIAaQBuAGUAQQBuAGQARAB1AG4AZwBEAGUAcABvAHMAaQB0AGUAZABfAFQAaQB0AGwAZQBcAG4AIAAgAD0ATABBAE0AQgBEAEEAKABcACIATgBpAHQAcgBvAHUAcwAgAG8AeABpAGQAZQAgAHAAcgBvAGQAdQBjAHQAaQBvAG4AIABmAHIAbwBtACAAdQByAGkAbgBlACAAYQBuAGQAIABkAHUAbgBnACAAZABlAHAAbwBzAGkAdABlAGQAIABiAHkAIABnAHIAYQB6AGkAbgBnACAAYQBuAGkAbQBhAGwAcwAgAG8AbgAgAHAAYQBzAHQAdQByAGUALAAgAHIAYQBuAGcAZQAgAGEAbgBkACAAcABhAGQAZABvAGMAawBcACIAKQA7AFwAbgBcAG4AQQBnAFMAbwBpAGwAcwBfAFUAcgBpAG4AZQBBAG4AZABEAHUAbgBnAEQAZQBwAG8AcwBpAHQAZQBkAF8AVgBhAHIAaQBhAGIAbABlAFwAbgAgACAAPQBMAEEATQBCAEQAQQAoAFwAIgBFAE4AMgBPAGQAaQByAFwAIgApADsAXABuAFwAbgBBAGcAUwBvAGkAbABzAF8AVQByAGkAbgBlAEEAbgBkAEQAdQBuAGcARABlAHAAbwBzAGkAdABlAGQAXwBVAG4AaQB0AFwAbgAgACAAPQBMAEEATQBCAEQAQQAoAFwAIgB0ACAATgAyAE8AXAAiACkAOwBcAG4AXABuAEEAZwBTAG8AaQBsAHMAXwBVAHIAaQBuAGUAQQBuAGQARAB1AG4AZwBEAGUAcABvAHMAaQB0AGUAZABfAE4ASQBSAFIAZQBmAGUAcgBlAG4AYwBlAFwAbgAgACAAPQBMAEEATQBCAEQAQQAoAFwAIgBOAGEAdABpAG8AbgBhAGwAIABJAG4AdgBlAG4AdABvAHIAeQAgAFIAZQBwAG8AcgB0ACAAVgBvAGwAdQBtAGUAIAAxACwAIAAyADAAMgAzADoAIAAzAC4ARAAuAGEALgAzAFwAIgApADsAXABuAFwAbgBBAGcAUwBvAGkAbABzAF8AVQByAGkAbgBlAEEAbgBkAEQAdQBuAGcARABlAHAAbwBzAGkAdABlAGQAXwBSAGUAYQBkAGEAYgBsAGUARQBxAHUAYQB0AGkAbwBuAFwAbgAgACAAPQBMAEEATQBCAEQAQQAoAFwAIgBFAE4AMgBPAGQAaQByACAAPQAgACgAKABBAEYAagBtAD0AMQA0ACAAKgAgAEUARgBQAFIAUAAgACoAIABDAGcATgAyAE8AKQAgACsAIAAoAEEAVQBqAG0APQAxADQAIAAqACAARQBGAFAAUgBQACAAKgAgAEMAZwBOADIATwApACkAIAAqACAAMQAwAF4ALQAzAFwAIgApADsAXABuAFwAbgBBAGcAUwBvAGkAbABzAF8AVQByAGkAbgBlAEEAbgBkAEQAdQBuAGcARABlAHAAbwBzAGkAdABlAGQAXwBBAHIAZwB1AG0AZQBuAHQAcwBcAG4AIAAgAD0ATABBAE0AQgBEAEEAKABcAG4AIAAgACAAIABNAEEASwBFAEEAUgBSAEEAWQAoADQALAAgADMALAAgAFwAbgAgACAAIAAgACAAIABMAEEATQBCAEQAQQAoAHIALABjACwAIABcAG4AIAAgACAAIAAgACAAIAAgAEkATgBEAEUAWAAoAHsAXABuACAAIAAgACAAIAAgACAAIAAgACAAXAAiAEEARgBqAG0AXAAiACwAXAAiAG0AYQBzAHMAIABvAGYAIABOACAAaQBuACAAZAB1AG4AZwAgAGQAZQBwAG8AcwBpAHQAZQBkACAAbwBuACAAcABhAHMAdAB1AHIAZQAsACAAcgBhAG4AZwBlACAAYQBuAGQAIABwAGEAZABkAG8AYwBrAFwAIgAsAFwAIgBrAGcAIABOAFwAIgA7AFwAbgAgACAAIAAgACAAIAAgACAAIAAgAFwAIgBBAFUAagBtAFwAIgAsAFwAIgBtAGEAcwBzACAAbwBmACAATgAgAGkAbgAgAHUAcgBpAG4AZQAgAGQAZQBwAG8AcwBpAHQAZQBkACAAbwBuACAAcABhAHMAdAB1AHIAZQAsACAAcgBhAG4AZwBlACAAYQBuAGQAIABwAGEAZABkAG8AYwBrAFwAIgAsAFwAIgBrAGcAIABOAFwAIgA7AFwAbgAgACAAIAAgACAAIAAgACAAIAAgAFwAIgBFAEYAUABSAFAAXAAiACwAXAAiAGQAaQByAGUAYwB0ACAATgAyAE8AIABlAG0AaQBzAHMAaQBvAG4AIABmAGEAYwB0AG8AcgAgAGYAbwByACAAcABhAHMAdAB1AHIAZQAsACAAcgBhAG4AZwBlACAAYQBuAGQAIABwAGEAZABkAG8AYwBrAFwAIgAsAFwAIgBrAGcAIABOADIATwAtAE4ALwBrAGcAIABOAFwAIgA7AFwAbgAgACAAIAAgACAAIAAgACAAIAAgAFwAIgBDAGcATgAyAE8AXAAiACwAXAAiAG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BcAHUAMAAwADIANwBuAG8AIABkAGEAdABhAFwAdQAwADAAMgA3ACAAdgBhAGwAdQBlAHM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QQBnAFMAbwBpAGwAcwBfAEUAcQB1AGEAdABpAG8AbgBzAC4AQQBnAFMAbwBpAGwAcwBfAEEAdABtAG8AcwBwAGgAZQByAGkAYwBEAGUAcABvAHMAaQB0AGkAbwBuAF8ARwBXAFAAIgAsACIAQwBvAG0AbQBvAG4AQQBnAFMAbwBpAGwAcwBfAEUAcQB1AGEAdABpAG8AbgBzAC4AQQBnAFMAbwBpAGwAcwBfAEEAdABtAG8AcwBwAGgAZQByAGkAYwBEAGUAcABvAHMAaQB0AGkAbwBuACIALAAiAEMAbwBtAG0AbwBuAEEAZwBTAG8AaQBsAHMAXwBFAHEAdQBhAHQAaQBvAG4AcwAuAEEAZwBTAG8AaQBsAHMAXwBBAHQAbQBvAHMAcABoAGUAcgBpAGMARABlAHAAbwBzAGkAdABpAG8AbgBfAFQAaQB0AGwAZQAiACwAIgBDAG8AbQBtAG8AbgBBAGcAUwBvAGkAbABzAF8ARQBxAHUAYQB0AGkAbwBuAHMALgBBAGcAUwBvAGkAbABzAF8AQQB0AG0AbwBzAHAAaABlAHIAaQBjAEQAZQBwAG8AcwBpAHQAaQBvAG4AXwBWAGEAcgBpAGEAYgBsAGUAIgAsACIAQwBvAG0AbQBvAG4AQQBnAFMAbwBpAGwAcwBfAEUAcQB1AGEAdABpAG8AbgBzAC4AQQBnAFMAbwBpAGwAcwBfAEEAdABtAG8AcwBwAGgAZQByAGkAYwBEAGUAcABvAHMAaQB0AGkAbwBuAF8AVQBuAGkAdAAiACwAIgBDAG8AbQBtAG8AbgBBAGcAUwBvAGkAbABzAF8ARQBxAHUAYQB0AGkAbwBuAHMALgBBAGcAUwBvAGkAbABzAF8AQQB0AG0AbwBzAHAAaABlAHIAaQBjAEQAZQBwAG8AcwBpAHQAaQBvAG4AXwBOAEkAUgBSAGUAZgBlAHIAZQBuAGMAZQAiACwAIgBDAG8AbQBtAG8AbgBBAGcAUwBvAGkAbABzAF8ARQBxAHUAYQB0AGkAbwBuAHMALgBBAGcAUwBvAGkAbABzAF8AQQB0AG0AbwBzAHAAaABlAHIAaQBjAEQAZQBwAG8AcwBpAHQAaQBvAG4AXwBSAGUAYQBkAGEAYgBsAGUARQBxAHUAYQB0AGkAbwBuACIALAAiAEMAbwBtAG0AbwBuAEEAZwBTAG8AaQBsAHMAXwBFAHEAdQBhAHQAaQBvAG4AcwAuAEEAZwBTAG8AaQBsAHMAXwBBAHQAbQBvAHMAcABoAGUAcgBpAGMARABlAHAAbwBzAGkAdABpAG8AbgBfAEEAcgBnAHUAbQBlAG4AdABzACIALAAiAEMAbwBtAG0AbwBuAEEAZwBTAG8AaQBsAHMAXwBFAHEAdQBhAHQAaQBvAG4AcwAuAEEAZwBTAG8AaQBsAHMAXwBNAGEAcwBzAFYAbwBsAGEAdABpAGwAaQBzAGUAZABBAG4AaQBtAGEAbABXAGEAcwB0AGUAIgAsACIAQwBvAG0AbQBvAG4AQQBnAFMAbwBpAGwAcwBfAEUAcQB1AGEAdABpAG8AbgBzAC4AQQBnAFMAbwBpAGwAcwBfAE0AYQBzAHMAVgBvAGwAYQB0AGkAbABpAHMAZQBkAEEAbgBpAG0AYQBsAFcAYQBzAHQAZQBfAFQAaQB0AGwAZQAiACwAIgBDAG8AbQBtAG8AbgBBAGcAUwBvAGkAbABzAF8ARQBxAHUAYQB0AGkAbwBuAHMALgBBAGcAUwBvAGkAbABzAF8ATQBhAHMAcwBWAG8AbABhAHQAaQBsAGkAcwBlAGQAQQBuAGkAbQBhAGwAVwBhAHMAdABlAF8AVgBhAHIAaQBhAGIAbABlACIALAAiAEMAbwBtAG0AbwBuAEEAZwBTAG8AaQBsAHMAXwBFAHEAdQBhAHQAaQBvAG4AcwAuAEEAZwBTAG8AaQBsAHMAXwBNAGEAcwBzAFYAbwBsAGEAdABpAGwAaQBzAGUAZABBAG4AaQBtAGEAbABXAGEAcwB0AGUAXwBVAG4AaQB0ACIALAAiAEMAbwBtAG0AbwBuAEEAZwBTAG8AaQBsAHMAXwBFAHEAdQBhAHQAaQBvAG4AcwAuAEEAZwBTAG8AaQBsAHMAXwBNAGEAcwBzAFYAbwBsAGEAdABpAGwAaQBzAGUAZABBAG4AaQBtAGEAbABXAGEAcwB0AGUAXwBOAEkAUgBSAGUAZgBlAHIAZQBuAGMAZQAiACwAIgBDAG8AbQBtAG8AbgBBAGcAUwBvAGkAbABzAF8ARQBxAHUAYQB0AGkAbwBuAHMALgBBAGcAUwBvAGkAbABzAF8ATQBhAHMAcwBWAG8AbABhAHQAaQBsAGkAcwBlAGQAQQBuAGkAbQBhAGwAVwBhAHMAdABlAF8AUgBlAGEAZABhAGIAbABlAEUAcQB1AGEAdABpAG8AbgAiACwAIgBDAG8AbQBtAG8AbgBBAGcAUwBvAGkAbABzAF8ARQBxAHUAYQB0AGkAbwBuAHMALgBBAGcAUwBvAGkAbABzAF8ATQBhAHMAcwBWAG8AbABhAHQAaQBsAGkAcwBlAGQAQQBuAGkAbQBhAGwAVwBhAHMAdABlAF8AQQByAGcAdQBtAGUAbgB0AHMAIgAsACIAQwBvAG0AbQBvAG4AQQBnAFMAbwBpAGwAcwBfAEUAcQB1AGEAdABpAG8AbgBzAC4AQQBnAHMAbwBpAGwAcwBfAE0AYQBzAHMAVgBvAGwAYQB0AGkAbABpAHMAZQBkAEkAbgBvAHIAZwBhAG4AaQBjAEYAZQByAHQAaQBsAGkAcwBlAHIAIgAsACIAQwBvAG0AbQBvAG4AQQBnAFMAbwBpAGwAcwBfAEUAcQB1AGEAdABpAG8AbgBzAC4AQQBnAHMAbwBpAGwAcwBfAE0AYQBzAHMAVgBvAGwAYQB0AGkAbABpAHMAZQBkAEkAbgBvAHIAZwBhAG4AaQBjAEYAZQByAHQAaQBsAGkAcwBlAHIAXwBUAGkAdABsAGUAIgAsACIAQwBvAG0AbQBvAG4AQQBnAFMAbwBpAGwAcwBfAEUAcQB1AGEAdABpAG8AbgBzAC4AQQBnAHMAbwBpAGwAcwBfAE0AYQBzAHMAVgBvAGwAYQB0AGkAbABpAHMAZQBkAEkAbgBvAHIAZwBhAG4AaQBjAEYAZQByAHQAaQBsAGkAcwBlAHIAXwBWAGEAcgBpAGEAYgBsAGUAIgAsACIAQwBvAG0AbQBvAG4AQQBnAFMAbwBpAGwAcwBfAEUAcQB1AGEAdABpAG8AbgBzAC4AQQBnAHMAbwBpAGwAcwBfAE0AYQBzAHMAVgBvAGwAYQB0AGkAbABpAHMAZQBkAEkAbgBvAHIAZwBhAG4AaQBjAEYAZQByAHQAaQBsAGkAcwBlAHIAXwBVAG4AaQB0ACIALAAiAEMAbwBtAG0AbwBuAEEAZwBTAG8AaQBsAHMAXwBFAHEAdQBhAHQAaQBvAG4AcwAuAEEAZwBzAG8AaQBsAHMAXwBNAGEAcwBzAFYAbwBsAGEAdABpAGwAaQBzAGUAZABJAG4AbwByAGcAYQBuAGkAYwBGAGUAcgB0AGkAbABpAHMAZQByAF8ATgBJAFIAUgBlAGYAZQByAGUAbgBjAGUAIgAsACIAQwBvAG0AbQBvAG4AQQBnAFMAbwBpAGwAcwBfAEUAcQB1AGEAdABpAG8AbgBzAC4AQQBnAHMAbwBpAGwAcwBfAE0AYQBzAHMAVgBvAGwAYQB0AGkAbABpAHMAZQBkAEkAbgBvAHIAZwBhAG4AaQBjAEYAZQByAHQAaQBsAGkAcwBlAHIAXwBSAGUAYQBkAGEAYgBsAGUARQBxAHUAYQB0AGkAbwBuACIALAAiAEMAbwBtAG0AbwBuAEEAZwBTAG8AaQBsAHMAXwBFAHEAdQBhAHQAaQBvAG4AcwAuAEEAZwBzAG8AaQBsAHMAXwBNAGEAcwBzAFYAbwBsAGEAdABpAGwAaQBzAGUAZABJAG4AbwByAGcAYQBuAGkAYwBGAGUAcgB0AGkAbABpAHMAZQByAF8AQQByAGcAdQBtAGUAbgB0AHMAIgAsACIAQwBvAG0AbQBvAG4AQQBnAFMAbwBpAGwAcwBfAEUAcQB1AGEAdABpAG8AbgBzAC4AQQBnAFMAbwBpAGwAcwBfAEwAZQBhAGMAaABpAG4AZwBBAG4AZABSAHUAbgBvAGYAZgBfAEcAVwBQACIALAAiAEMAbwBtAG0AbwBuAEEAZwBTAG8AaQBsAHMAXwBFAHEAdQBhAHQAaQBvAG4AcwAuAEEAZwBTAG8AaQBsAHMAXwBMAGUAYQBjAGgAaQBuAGcAQQBuAGQAUgB1AG4AbwBmAGYAIgAsACIAQwBvAG0AbQBvAG4AQQBnAFMAbwBpAGwAcwBfAEUAcQB1AGEAdABpAG8AbgBzAC4AQQBnAFMAbwBpAGwAcwBfAEwAZQBhAGMAaABpAG4AZwBBAG4AZABSAHUAbgBvAGYAZgBfAFQAaQB0AGwAZQAiACwAIgBDAG8AbQBtAG8AbgBBAGcAUwBvAGkAbABzAF8ARQBxAHUAYQB0AGkAbwBuAHMALgBBAGcAUwBvAGkAbABzAF8ATABlAGEAYwBoAGkAbgBnAEEAbgBkAFIAdQBuAG8AZgBmAF8AVgBhAHIAaQBhAGIAbABlACIALAAiAEMAbwBtAG0AbwBuAEEAZwBTAG8AaQBsAHMAXwBFAHEAdQBhAHQAaQBvAG4AcwAuAEEAZwBTAG8AaQBsAHMAXwBMAGUAYQBjAGgAaQBuAGcAQQBuAGQAUgB1AG4AbwBmAGYAXwBVAG4AaQB0ACIALAAiAEMAbwBtAG0AbwBuAEEAZwBTAG8AaQBsAHMAXwBFAHEAdQBhAHQAaQBvAG4AcwAuAEEAZwBTAG8AaQBsAHMAXwBMAGUAYQBjAGgAaQBuAGcAQQBuAGQAUgB1AG4AbwBmAGYAXwBOAEkAUgBSAGUAZgBlAHIAZQBuAGMAZQAiACwAIgBDAG8AbQBtAG8AbgBBAGcAUwBvAGkAbABzAF8ARQBxAHUAYQB0AGkAbwBuAHMALgBBAGcAUwBvAGkAbABzAF8ATABlAGEAYwBoAGkAbgBnAEEAbgBkAFIAdQBuAG8AZgBmAF8AUgBlAGEAZABhAGIAbABlAEUAcQB1AGEAdABpAG8AbgAiACwAIgBDAG8AbQBtAG8AbgBBAGcAUwBvAGkAbABzAF8ARQBxAHUAYQB0AGkAbwBuAHMALgBBAGcAUwBvAGkAbABzAF8ATABlAGEAYwBoAGkAbgBnAEEAbgBkAFIAdQBuAG8AZgBmAF8AQQByAGcAdQBtAGUAbgB0AHMAIgAsACIAQwBvAG0AbQBvAG4AQQBnAFMAbwBpAGwAcwBfAEUAcQB1AGEAdABpAG8AbgBzAC4AQQBnAFMAbwBpAGwAcwBfAE0AYQBzAHMAQQBuAGkAbQBhAGwAVwBhAHMAdABlAE4ATABvAHMAdAAiACwAIgBDAG8AbQBtAG8AbgBBAGcAUwBvAGkAbABzAF8ARQBxAHUAYQB0AGkAbwBuAHMALgBBAGcAUwBvAGkAbABzAF8ATQBhAHMAcwBBAG4AaQBtAGEAbABXAGEAcwB0AGUATgBMAG8AcwB0AF8AVABpAHQAbABlACIALAAiAEMAbwBtAG0AbwBuAEEAZwBTAG8AaQBsAHMAXwBFAHEAdQBhAHQAaQBvAG4AcwAuAEEAZwBTAG8AaQBsAHMAXwBNAGEAcwBzAEEAbgBpAG0AYQBsAFcAYQBzAHQAZQBOAEwAbwBzAHQAXwBWAGEAcgBpAGEAYgBsAGUAIgAsACIAQwBvAG0AbQBvAG4AQQBnAFMAbwBpAGwAcwBfAEUAcQB1AGEAdABpAG8AbgBzAC4AQQBnAFMAbwBpAGwAcwBfAE0AYQBzAHMAQQBuAGkAbQBhAGwAVwBhAHMAdABlAE4ATABvAHMAdABfAFUAbgBpAHQAIgAsACIAQwBvAG0AbQBvAG4AQQBnAFMAbwBpAGwAcwBfAEUAcQB1AGEAdABpAG8AbgBzAC4AQQBnAFMAbwBpAGwAcwBfAE0AYQBzAHMAQQBuAGkAbQBhAGwAVwBhAHMAdABlAE4ATABvAHMAdABfAE4ASQBSAFIAZQBmAGUAcgBlAG4AYwBlACIALAAiAEMAbwBtAG0AbwBuAEEAZwBTAG8AaQBsAHMAXwBFAHEAdQBhAHQAaQBvAG4AcwAuAEEAZwBTAG8AaQBsAHMAXwBNAGEAcwBzAEEAbgBpAG0AYQBsAFcAYQBzAHQAZQBOAEwAbwBzAHQAXwBSAGUAYQBkAGEAYgBsAGUARQBxAHUAYQB0AGkAbwBuACIALAAiAEMAbwBtAG0AbwBuAEEAZwBTAG8AaQBsAHMAXwBFAHEAdQBhAHQAaQBvAG4AcwAuAEEAZwBTAG8AaQBsAHMAXwBNAGEAcwBzAEEAbgBpAG0AYQBsAFcAYQBzAHQAZQBOAEwAbwBzAHQAXwBBAHIAZwB1AG0AZQBuAHQAcwAiACwAIgBDAG8AbQBtAG8AbgBBAGcAUwBvAGkAbABzAF8ARQBxAHUAYQB0AGkAbwBuAHMALgBBAGcAUwBvAGkAbABzAF8ATQBhAHMAcwBJAG4AbwByAGcAYQBuAGkAYwBGAGUAcgB0AGkAbABpAHMAZQByAE4ATABvAHMAdAAiACwAIgBDAG8AbQBtAG8AbgBBAGcAUwBvAGkAbABzAF8ARQBxAHUAYQB0AGkAbwBuAHMALgBBAGcAUwBvAGkAbABzAF8ATQBhAHMAcwBJAG4AbwByAGcAYQBuAGkAYwBGAGUAcgB0AGkAbABpAHMAZQByAE4ATABvAHMAdABfAFQAaQB0AGwAZQAiACwAIgBDAG8AbQBtAG8AbgBBAGcAUwBvAGkAbABzAF8ARQBxAHUAYQB0AGkAbwBuAHMALgBBAGcAUwBvAGkAbABzAF8ATQBhAHMAcwBJAG4AbwByAGcAYQBuAGkAYwBGAGUAcgB0AGkAbABpAHMAZQByAE4ATABvAHMAdABfAFYAYQByAGkAYQBiAGwAZQAiACwAIgBDAG8AbQBtAG8AbgBBAGcAUwBvAGkAbABzAF8ARQBxAHUAYQB0AGkAbwBuAHMALgBBAGcAUwBvAGkAbABzAF8ATQBhAHMAcwBJAG4AbwByAGcAYQBuAGkAYwBGAGUAcgB0AGkAbABpAHMAZQByAE4ATABvAHMAdABfAFUAbgBpAHQAIgAsACIAQwBvAG0AbQBvAG4AQQBnAFMAbwBpAGwAcwBfAEUAcQB1AGEAdABpAG8AbgBzAC4AQQBnAFMAbwBpAGwAcwBfAE0AYQBzAHMASQBuAG8AcgBnAGEAbgBpAGMARgBlAHIAdABpAGwAaQBzAGUAcgBOAEwAbwBzAHQAXwBOAEkAUgBSAGUAZgBlAHIAZQBuAGMAZQAiACwAIgBDAG8AbQBtAG8AbgBBAGcAUwBvAGkAbABzAF8ARQBxAHUAYQB0AGkAbwBuAHMALgBBAGcAUwBvAGkAbABzAF8ATQBhAHMAcwBJAG4AbwByAGcAYQBuAGkAYwBGAGUAcgB0AGkAbABpAHMAZQByAE4ATABvAHMAdABfAFIAZQBhAGQAYQBiAGwAZQBFAHEAdQBhAHQAaQBvAG4AIgAsACIAQwBvAG0AbQBvAG4AQQBnAFMAbwBpAGwAcwBfAEUAcQB1AGEAdABpAG8AbgBzAC4AQQBnAFMAbwBpAGwAcwBfAE0AYQBzAHMASQBuAG8AcgBnAGEAbgBpAGMARgBlAHIAdABpAGwAaQBzAGUAcgBOAEwAbwBzAHQAXwBBAHIAZwB1AG0AZQBuAHQAcwAiACwAIgBDAG8AbQBtAG8AbgBBAGcAUwBvAGkAbABzAF8ARQBxAHUAYQB0AGkAbwBuAHMALgBBAGcAUwBvAGkAbABzAF8ATQBhAHMAcwBDAHIAbwBwAFIAZQBzAGkAZAB1AGUATgBMAG8AcwB0ACIALAAiAEMAbwBtAG0AbwBuAEEAZwBTAG8AaQBsAHMAXwBFAHEAdQBhAHQAaQBvAG4AcwAuAEEAZwBTAG8AaQBsAHMAXwBNAGEAcwBzAEMAcgBvAHAAUgBlAHMAaQBkAHUAZQBOAEwAbwBzAHQAXwBUAGkAdABsAGUAIgAsACIAQwBvAG0AbQBvAG4AQQBnAFMAbwBpAGwAcwBfAEUAcQB1AGEAdABpAG8AbgBzAC4AQQBnAFMAbwBpAGwAcwBfAE0AYQBzAHMAQwByAG8AcABSAGUAcwBpAGQAdQBlAE4ATABvAHMAdABfAFYAYQByAGkAYQBiAGwAZQAiACwAIgBDAG8AbQBtAG8AbgBBAGcAUwBvAGkAbABzAF8ARQBxAHUAYQB0AGkAbwBuAHMALgBBAGcAUwBvAGkAbABzAF8ATQBhAHMAcwBDAHIAbwBwAFIAZQBzAGkAZAB1AGUATgBMAG8AcwB0AF8AVQBuAGkAdAAiACwAIgBDAG8AbQBtAG8AbgBBAGcAUwBvAGkAbABzAF8ARQBxAHUAYQB0AGkAbwBuAHMALgBBAGcAUwBvAGkAbABzAF8ATQBhAHMAcwBDAHIAbwBwAFIAZQBzAGkAZAB1AGUATgBMAG8AcwB0AF8ATgBJAFIAUgBlAGYAZQByAGUAbgBjAGUAIgAsACIAQwBvAG0AbQBvAG4AQQBnAFMAbwBpAGwAcwBfAEUAcQB1AGEAdABpAG8AbgBzAC4AQQBnAFMAbwBpAGwAcwBfAE0AYQBzAHMAQwByAG8AcABSAGUAcwBpAGQAdQBlAE4ATABvAHMAdABfAFIAZQBhAGQAYQBiAGwAZQBFAHEAdQBhAHQAaQBvAG4AIgAsACIAQwBvAG0AbQBvAG4AQQBnAFMAbwBpAGwAcwBfAEUAcQB1AGEAdABpAG8AbgBzAC4AQQBnAFMAbwBpAGwAcwBfAE0AYQBzAHMAQwByAG8AcABSAGUAcwBpAGQAdQBlAE4ATABvAHMAdABfAEEAcgBnAHUAbQBlAG4AdABzACIALAAiAEMAbwBtAG0AbwBuAEEAZwBTAG8AaQBsAHMAXwBFAHEAdQBhAHQAaQBvAG4AcwAuAEEAZwBTAG8AaQBsAHMAXwBVAHIAaQBuAGUAQQBuAGQARAB1AG4AZwBEAGUAcABvAHMAaQB0AGUAZABfAEcAVwBQACIALAAiAEMAbwBtAG0AbwBuAEEAZwBTAG8AaQBsAHMAXwBFAHEAdQBhAHQAaQBvAG4AcwAuAEEAZwBTAG8AaQBsAHMAXwBVAHIAaQBuAGUAQQBuAGQARAB1AG4AZwBEAGUAcABvAHMAaQB0AGUAZAAiACwAIgBDAG8AbQBtAG8AbgBBAGcAUwBvAGkAbABzAF8ARQBxAHUAYQB0AGkAbwBuAHMALgBBAGcAUwBvAGkAbABzAF8AVQByAGkAbgBlAEEAbgBkAEQAdQBuAGcARABlAHAAbwBzAGkAdABlAGQAXwBUAGkAdABsAGUAIgAsACIAQwBvAG0AbQBvAG4AQQBnAFMAbwBpAGwAcwBfAEUAcQB1AGEAdABpAG8AbgBzAC4AQQBnAFMAbwBpAGwAcwBfAFUAcgBpAG4AZQBBAG4AZABEAHUAbgBnAEQAZQBwAG8AcwBpAHQAZQBkAF8AVgBhAHIAaQBhAGIAbABlACIALAAiAEMAbwBtAG0AbwBuAEEAZwBTAG8AaQBsAHMAXwBFAHEAdQBhAHQAaQBvAG4AcwAuAEEAZwBTAG8AaQBsAHMAXwBVAHIAaQBuAGUAQQBuAGQARAB1AG4AZwBEAGUAcABvAHMAaQB0AGUAZABfAFUAbgBpAHQAIgAsACIAQwBvAG0AbQBvAG4AQQBnAFMAbwBpAGwAcwBfAEUAcQB1AGEAdABpAG8AbgBzAC4AQQBnAFMAbwBpAGwAcwBfAFUAcgBpAG4AZQBBAG4AZABEAHUAbgBnAEQAZQBwAG8AcwBpAHQAZQBkAF8ATgBJAFIAUgBlAGYAZQByAGUAbgBjAGUAIgAsACIAQwBvAG0AbQBvAG4AQQBnAFMAbwBpAGwAcwBfAEUAcQB1AGEAdABpAG8AbgBzAC4AQQBnAFMAbwBpAGwAcwBfAFUAcgBpAG4AZQBBAG4AZABEAHUAbgBnAEQAZQBwAG8AcwBpAHQAZQBkAF8AUgBlAGEAZABhAGIAbABlAEUAcQB1AGEAdABpAG8AbgAiACwAIgBDAG8AbQBtAG8AbgBBAGcAUwBvAGkAbABzAF8ARQBxAHUAYQB0AGkAbwBuAHMALgBBAGcAUwBvAGkAbABzAF8AVQByAGkAbgBlAEEAbgBkAEQAdQBuAGcARABlAHAAbwBzAGkAdABlAGQAXwBBAHIAZwB1AG0AZQBuAHQAcw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0AF8AUwB0AGEAZwBlADMATQBlAHQAaABhAG4AZQBQAHIAbwBkAHUAYwB0AGkAbwBuAEEAbgBhAGUAcgBvAGIAaQBjAEwAYQBnAG8AbwBuACIALAAiAE0ATQBTAF8ARgBlAGUAZABsAG8AdABfAE0AZQB0AGgAYQBuAGUAXwBFAHEAdQBhAHQAaQBvAG4AcwAuAFYARQBFAFIARwBfADQAXwAxAF8AMQBfADEAXwBfADQAXwBTAHQAYQBnAGUAMwBNAGUAdABoAGEAbgBlAFAAcgBvAGQAdQBjAHQAaQBvAG4AQQBuAGEAZQByAG8AYgBpAGMATABhAGcAbwBvAG4AXwBUAGkAdABsAGUAIgAsACIATQBNAFMAXwBGAGUAZQBkAGwAbwB0AF8ATQBlAHQAaABhAG4AZQBfAEUAcQB1AGEAdABpAG8AbgBzAC4AVgBFAEUAUgBHAF8ANABfADEAXwAxAF8AMQBfAF8ANABfAFMAdABhAGcAZQAzAE0AZQB0AGgAYQBuAGUAUAByAG8AZAB1AGMAdABpAG8AbgBBAG4AYQBlAHIAbwBiAGkAYwBMAGEAZwBvAG8AbgBfAFYAYQByAGkAYQBiAGwAZQAiACwAIgBNAE0AUwBfAEYAZQBlAGQAbABvAHQAXwBNAGUAdABoAGEAbgBlAF8ARQBxAHUAYQB0AGkAbwBuAHMALgBWAEUARQBSAEcAXwA0AF8AMQBfADEAXwAxAF8AXwA0AF8AUwB0AGEAZwBlADMATQBlAHQAaABhAG4AZQBQAHIAbwBkAHUAYwB0AGkAbwBuAEEAbgBhAGUAcgBvAGIAaQBjAEwAYQBnAG8AbwBuAF8AVQBuAGkAdAAiACwAIgBNAE0AUwBfAEYAZQBlAGQAbABvAHQAXwBNAGUAdABoAGEAbgBlAF8ARQBxAHUAYQB0AGkAbwBuAHMALgBWAEUARQBSAEcAXwA0AF8AMQBfADEAXwAxAF8AXwA0AF8AUwB0AGEAZwBlADMATQBlAHQAaABhAG4AZQBQAHIAbwBkAHUAYwB0AGkAbwBuAEEAbgBhAGUAcgBvAGIAaQBjAEwAYQBnAG8AbwBuAF8AUwBvAHUAcgBjAGUAIgAsACIATQBNAFMAXwBGAGUAZQBkAGwAbwB0AF8ATQBlAHQAaABhAG4AZQBfAEUAcQB1AGEAdABpAG8AbgBzAC4AVgBFAEUAUgBHAF8ANABfADEAXwAxAF8AMQBfAF8ANABfAFMAdABhAGcAZQAzAE0AZQB0AGgAYQBuAGUAUAByAG8AZAB1AGMAdABpAG8AbgBBAG4AYQBlAHIAbwBiAGkAYwBMAGEAZwBvAG8AbgBfAE4ASQBSAFIAZQBmAGUAcgBlAG4AYwBlACIALAAiAE0ATQBTAF8ARgBlAGUAZABsAG8AdABfAE0AZQB0AGgAYQBuAGUAXwBFAHEAdQBhAHQAaQBvAG4AcwAuAFYARQBFAFIARwBfADQAXwAxAF8AMQBfADEAXwBfADQAXwBTAHQAYQBnAGUAMwBNAGUAdABoAGEAbgBlAFAAcgBvAGQAdQBjAHQAaQBvAG4AQQBuAGEAZQByAG8AYgBpAGMATABhAGcAbwBvAG4AXwBMAGEAdABlAHgARQBxAHUAYQB0AGkAbwBuACIALAAiAE0ATQBTAF8ARgBlAGUAZABsAG8AdABfAE0AZQB0AGgAYQBuAGUAXwBFAHEAdQBhAHQAaQBvAG4AcwAuAFYARQBFAFIARwBfADQAXwAxAF8AMQBfADEAXwBfADQAXwBTAHQAYQBnAGUAMwBNAGUAdABoAGEAbgBlAFAAcgBvAGQAdQBjAHQAaQBvAG4AQQBuAGEAZQByAG8AYgBpAGMATABhAGcAbwBvAG4AXwBBAHIAZwB1AG0AZQBuAHQAcw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Results</vt:lpstr>
      <vt:lpstr>Input - Site</vt:lpstr>
      <vt:lpstr>Input - MMS - Feedlot</vt:lpstr>
      <vt:lpstr>Calcs - CH4 MMS Feedlot</vt:lpstr>
      <vt:lpstr>Constants - Livestock</vt:lpstr>
      <vt:lpstr>Acknowledgements</vt:lpstr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