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17ABB04-B1C5-4EBC-8909-56D816B67920}" xr6:coauthVersionLast="47" xr6:coauthVersionMax="47" xr10:uidLastSave="{00000000-0000-0000-0000-000000000000}"/>
  <bookViews>
    <workbookView xWindow="210" yWindow="120" windowWidth="37920" windowHeight="20415" firstSheet="2" activeTab="7" xr2:uid="{D37248E2-1193-4B5E-BE4F-D7532AB14CA0}"/>
  </bookViews>
  <sheets>
    <sheet name="Input - Site" sheetId="10" r:id="rId1"/>
    <sheet name="Input - Fertiliser" sheetId="7" r:id="rId2"/>
    <sheet name="Input - Feed - Dairy" sheetId="15" r:id="rId3"/>
    <sheet name="Input - Other Farm Inputs" sheetId="13" r:id="rId4"/>
    <sheet name="Input - Fuel" sheetId="5" r:id="rId5"/>
    <sheet name="Input - Electricity" sheetId="9" r:id="rId6"/>
    <sheet name="Input - Livestock" sheetId="17" r:id="rId7"/>
    <sheet name="Calcs - Scope 3" sheetId="12" r:id="rId8"/>
    <sheet name="Constants - Common Livestock" sheetId="18" r:id="rId9"/>
    <sheet name="Sheet1" sheetId="1" r:id="rId10"/>
    <sheet name="Constants - Fertiliser" sheetId="6" r:id="rId11"/>
    <sheet name="Constants - Fuel" sheetId="4" r:id="rId12"/>
    <sheet name="Constants - Electricity" sheetId="8" r:id="rId13"/>
    <sheet name="Constants - Common" sheetId="3" r:id="rId14"/>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#REF!</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Agrochemicals_Data">_xlfn.LAMBDA(_xlfn.MAKEARRAY(6, 7, _xlfn.LAMBDA(_xlpm.r,_xlpm.c, INDEX({"Category","Product","Source","Product Unit","Emission Factor","Embedded Emissions Unit","Emissions Intensity Unit";"Agrochemicals","Glyphosate","Location not specified","t",40101,"t","t CO2-e / t";"Agrochemicals","Paraquat, diquat","Location not specified","t",40102,"t","t CO2-e / t";"Agrochemicals","Generic Herbicide","Location not specified","t",40103,"t","t CO2-e / t";"Agrochemicals","Generic Insecticide","Location not specified","t",40104,"t","t CO2-e / t";"Agrochemicals","Generic Fungicide","Location not specified","t",40105,"t","t CO2-e / t"}, _xlpm.r, _xlpm.c))))</definedName>
    <definedName name="Scope3_SourceData.Scope3_Agrochemicals_Source">_xlfn.LAMBDA(("Lifecycles. (2026). Greenhouse Gas Emission Intensities for Material Inputs to Australian Agriculture, Fisheries and Forestry. Version 48. doi 10.5281/zenodo.19656580"))</definedName>
    <definedName name="Scope3_SourceData.Scope3_Agrochemicals_Title">_xlfn.LAMBDA(("Agrochemicals scope 3"))</definedName>
    <definedName name="Scope3_SourceData.Scope3_Agrochemicals_Variation">_xlfn.LAMBDA((""))</definedName>
    <definedName name="Scope3_SourceData.Scope3_AnimalFeed_Data">_xlfn.LAMBDA(_xlfn.MAKEARRAY(17, 7, _xlfn.LAMBDA(_xlpm.r,_xlpm.c, INDEX({"Category","Product","Source","Product Unit","Emission Factor","Embedded Emissions Unit","Emissions Intensity Unit";"Animal Feed","Grain","Location not specified","t",60101,"t","t CO2-e / t";"Animal Feed","Wheat","Location not specified","t",60102,"t","t CO2-e / t";"Animal Feed","Wheat Bran","Location not specified","t",60103,"t","t CO2-e / t";"Animal Feed","Barley","Location not specified","t",60104,"t","t CO2-e / t";"Animal Feed","Soybean","Location not specified","t",60105,"t","t CO2-e / t";"Animal Feed","Soybean meal","Location not specified","t",60106,"t","t CO2-e / t";"Animal Feed","Canola meal","Location not specified","t",60107,"t","t CO2-e / t";"Animal Feed","Canola oil","Location not specified","t",60108,"t","t CO2-e / t";"Animal Feed","Beet pulp","Location not specified","t",60109,"t","t CO2-e / t";"Animal Feed","Cotton seed","Location not specified","t",60110,"t","t CO2-e / t";"Animal Feed","Hay","Location not specified","t",60111,"t","t CO2-e / t";"Animal Feed","Feed formulations (chicken, pigs, cattle, dairy)","Location not specified","t",60112,"t","t CO2-e / t";"Animal Feed","Molasses","Location not specified","t",60113,"t","t CO2-e / t";"Animal Feed","Bentonite","Location not specified","t",60114,"t","t CO2-e / t";"Animal Feed","Meat meal","Location not specified","t",60115,"t","t CO2-e / t";"Animal Feed","BentLime, phosphorus, potashonite","Location not specified","t",60114,"t","t CO2-e / t"}, _xlpm.r, _xlpm.c))))</definedName>
    <definedName name="Scope3_SourceData.Scope3_AnimalFeed_Source">_xlfn.LAMBDA(("Lifecycles. (2026). Greenhouse Gas Emission Intensities for Material Inputs to Australian Agriculture, Fisheries and Forestry. Version 48. doi 10.5281/zenodo.19656580"))</definedName>
    <definedName name="Scope3_SourceData.Scope3_AnimalFeed_Title">_xlfn.LAMBDA(("Animal Feed scope 3"))</definedName>
    <definedName name="Scope3_SourceData.Scope3_AnimalFeed_Variation">_xlfn.LAMBDA((""))</definedName>
    <definedName name="Scope3_SourceData.Scope3_AquacultureFeedAndBait_Data">_xlfn.LAMBDA(_xlfn.MAKEARRAY(9, 7, _xlfn.LAMBDA(_xlpm.r,_xlpm.c, INDEX({"Category","Product","Source","Product Unit","Emission Factor","Embedded Emissions Unit","Emissions Intensity Unit";"Aquaculture Feed and Bait","Low Animal Protein Formulated Feed","Location not specified","t",70101,"t","t CO2-e / t";"Aquaculture Feed and Bait","High Animal Protein Formulated Feed","Location not specified","t",70102,"t","t CO2-e / t";"Aquaculture Feed and Bait","Cereal grain","Location not specified","t",70103,"t","t CO2-e / t";"Aquaculture Feed and Bait","Squid","Location not specified","t",70104,"t","t CO2-e / t";"Aquaculture Feed and Bait","Whole Fish","Location not specified","t",70105,"t","t CO2-e / t";"Aquaculture Feed and Bait","Whole Sardines","Location not specified","t",70106,"t","t CO2-e / t";"Aquaculture Feed and Bait","Fish Frames","Location not specified","t",70107,"t","t CO2-e / t";"Aquaculture Feed and Bait","Fish Heads","Location not specified","t",70108,"t","t CO2-e / t"}, _xlpm.r, _xlpm.c))))</definedName>
    <definedName name="Scope3_SourceData.Scope3_AquacultureFeedAndBait_Source">_xlfn.LAMBDA(("Lifecycles. (2026). Greenhouse Gas Emission Intensities for Material Inputs to Australian Agriculture, Fisheries and Forestry. Version 48. doi 10.5281/zenodo.19656580"))</definedName>
    <definedName name="Scope3_SourceData.Scope3_AquacultureFeedAndBait_Title">_xlfn.LAMBDA(("Aquaculture Feed and Bait scope 3"))</definedName>
    <definedName name="Scope3_SourceData.Scope3_AquacultureFeedAndBait_Variation">_xlfn.LAMBDA((""))</definedName>
    <definedName name="Scope3_SourceData.Scope3_CleaningChemicals_Data">_xlfn.LAMBDA(_xlfn.MAKEARRAY(4,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 _xlpm.r, _xlpm.c))))</definedName>
    <definedName name="Scope3_SourceData.Scope3_CleaningChemicals_Source">_xlfn.LAMBDA(("Lifecycles. (2026). Greenhouse Gas Emission Intensities for Material Inputs to Australian Agriculture, Fisheries and Forestry. Version 48. doi 10.5281/zenodo.19656580"))</definedName>
    <definedName name="Scope3_SourceData.Scope3_CleaningChemicals_Title">_xlfn.LAMBDA(("Cleaning chemicals scope 3"))</definedName>
    <definedName name="Scope3_SourceData.Scope3_CleaningChemicals_Variation">_xlfn.LAMBDA((""))</definedName>
    <definedName name="Scope3_SourceData.Scope3_Electricity_Data">_xlfn.LAMBDA(_xlfn.MAKEARRAY(11, 7, _xlfn.LAMBDA(_xlpm.r,_xlpm.c, INDEX({"Category","Product","Source","Product Unit","Emission Factor","Embedded Emissions Unit","Emissions Intensity Unit";"Electricity","State Grid","New South Wales","kWh","XXXXXX","t","t CO2 - e / Gj";"Electricity","State Grid","ACT","kWh","XXXXXX","t","t CO2 - e / Gj";"Electricity","State Grid","Victoria","kWh","XXXXXX","t","t CO2 - e / Gj";"Electricity","State Grid","Queensland","kWh","XXXXXX","t","t CO2 - e / Gj";"Electricity","State Grid","South Australia","kWh","XXXXXX","t","t CO2 - e / Gj";"Electricity","State Grid","Western Australia - South West Interconnected System (SWIS)","kWh","XXXXXX","t","t CO2 - e / Gj";"Electricity","State Grid","Western Australia - North Western Interconnected System (NWIS)","kWh","XXXXXX","t","t CO2 - e / Gj";"Electricity","State Grid","Tasmania","kWh","XXXXXX","t","t CO2 - e / Gj";"Electricity","State Grid","Northern Territory - Darwin Katherine Interconnected System (DKIS)","kWh","XXXXXX","t","t CO2 - e / Gj";"Electricity","State Grid","National","kWh","XXXXXX","t","t CO2 - e / Gj"}, _xlpm.r, _xlpm.c))))</definedName>
    <definedName name="Scope3_SourceData.Scope3_Electricity_Source">_xlfn.LAMBDA(("Scope 3 GHG Emission Factors for Australian Agriculture, Fisheries and Forestry 2026"))</definedName>
    <definedName name="Scope3_SourceData.Scope3_Electricity_Title">_xlfn.LAMBDA(("Electricity - State Grid scope 3"))</definedName>
    <definedName name="Scope3_SourceData.Scope3_Electricity_Variation">_xlfn.LAMBDA(("Emission factor values sourced from National Greenhouse Accounts Factors - See relevant table in 'Electricity Source Data'"))</definedName>
    <definedName name="Scope3_SourceData.Scope3_FuelStationaryGaseousData">_xlfn.LAMBDA(_xlfn.MAKEARRAY(17, 7, _xlfn.LAMBDA(_xlpm.r,_xlpm.c, INDEX({"Category","Product","Source","Product Unit","Emission Factor","Embedded Emissions Unit","Emissions Intensity Unit";"Fuel - Stationary - Gaseous","Natural gas distributed in a pipeline - Gigajoules","New South Wales","Gj","XXXXXX","t","t CO2 - e / Gj";"Fuel - Stationary - Gaseous","Natural gas distributed in a pipeline - Gigajoules","ACT","Gj","XXXXXX","t","t CO2 - e / Gj";"Fuel - Stationary - Gaseous","Natural gas distributed in a pipeline - Gigajoules","Victoria","Gj","XXXXXX","t","t CO2 - e / Gj";"Fuel - Stationary - Gaseous","Natural gas distributed in a pipeline - Gigajoules","Queensland","Gj","XXXXXX","t","t CO2 - e / Gj";"Fuel - Stationary - Gaseous","Natural gas distributed in a pipeline - Gigajoules","South Australia","Gj","XXXXXX","t","t CO2 - e / Gj";"Fuel - Stationary - Gaseous","Natural gas distributed in a pipeline - Gigajoules","Western Australia","Gj","XXXXXX","t","t CO2 - e / Gj";"Fuel - Stationary - Gaseous","Natural gas distributed in a pipeline - Gigajoules","Tasmania","Gj","XXXXXX","t","t CO2 - e / Gj";"Fuel - Stationary - Gaseous","Natural gas distributed in a pipeline - Gigajoules","Northern Territory","Gj","XXXXXX","t","t CO2 - e / Gj";"Fuel - Stationary - Gaseous","Town gas - Gigajoules","New South Wales","Gj","XXXXXX","t","t CO2 - e / Gj";"Fuel - Stationary - Gaseous","Town gas - Gigajoules","ACT","Gj","XXXXXX","t","t CO2 - e / Gj";"Fuel - Stationary - Gaseous","Town gas - Gigajoules","Victoria","Gj","XXXXXX","t","t CO2 - e / Gj";"Fuel - Stationary - Gaseous","Town gas - Gigajoules","Queensland","Gj","XXXXXX","t","t CO2 - e / Gj";"Fuel - Stationary - Gaseous","Town gas - Gigajoules","South Australia","Gj","XXXXXX","t","t CO2 - e / Gj";"Fuel - Stationary - Gaseous","Town gas - Gigajoules","Western Australia","Gj","XXXXXX","t","t CO2 - e / Gj";"Fuel - Stationary - Gaseous","Town gas - Gigajoules","Tasmania","Gj","XXXXXX","t","t CO2 - e / Gj";"Fuel - Stationary - Gaseous","Town gas - Gigajoules","Northern Territory","Gj","XXXXXX","t","t CO2 - e / Gj"}, _xlpm.r, _xlpm.c))))</definedName>
    <definedName name="Scope3_SourceData.Scope3_FuelStationaryGaseousSource">_xlfn.LAMBDA(("Scope 3 GHG Emission Factors for Australian Agriculture, Fisheries and Forestry 2026"))</definedName>
    <definedName name="Scope3_SourceData.Scope3_FuelStationaryGaseousTitle">_xlfn.LAMBDA(("Fuel - Stationary - Gaseous scope 3"))</definedName>
    <definedName name="Scope3_SourceData.Scope3_FuelStationaryGaseousVariation">_xlfn.LAMBDA(("Emission factor values sourced from National Greenhouse Accounts Factors - See relevant table in 'Fuel Source Data'"))</definedName>
    <definedName name="Scope3_SourceData.Scope3_FuelStationaryLiquid_Data">_xlfn.LAMBDA(_xlfn.MAKEARRAY(25, 7, _xlfn.LAMBDA(_xlpm.r,_xlpm.c, INDEX({"Category","Product","Source","Product Unit","Emission Factor","Embedded Emissions Unit","Emissions Intensity Unit";"Fuel - Stationary - Liquid","Petroleum based oils (other than petroleum based oil used as fuel), e.g. lubricants","Location not specified","kl","XXXXXX"," t ","t CO2 - e / kl ";"Fuel - Stationary - Liquid","Petroleum based greases","Location not specified","kl","XXXXXX","t","t CO2 - e / kl ";"Fuel - Stationary - Liquid","Crude oil including crude oil condensates","Location not specified","t","XXXXXX","t","t CO2 - e / t ";"Fuel - Stationary - Liquid","Other natural gas liquids","Location not specified","t","XXXXXX","t","t CO2 - e / t ";"Fuel - Stationary - Liquid","Automotive gasoline / petrol (other than for use as fuel in an aircraft)","Location not specified","kl","XXXXXX","t","t CO2 - e / kl ";"Fuel - Stationary - Liquid","Aviation gasoline","Location not specified","kl","XXXXXX","t","t CO2 - e / kl ";"Fuel - Stationary - Liquid","Kerosene (other than for use as fuel in an aircraft)","Location not specified","kl","XXXXXX","t","t CO2 - e / kl ";"Fuel - Stationary - Liquid","Aviation turbine fuel / kerosene","Location not specified","kl","XXXXXX","t","t CO2 - e / kl ";"Fuel - Stationary - Liquid","Heating oil","Location not specified","kl","XXXXXX","t","t CO2 - e / kl ";"Fuel - Stationary - Liquid","Diesel oil","Location not specified","kl","XXXXXX","t","t CO2 - e / kl ";"Fuel - Stationary - Liquid","Fuel oil","Location not specified","kl","XXXXXX","t","t CO2 - e / kl ";"Fuel - Stationary - Liquid","Liquefied aromatic hydrocarbons","Location not specified","kl","XXXXXX","t","t CO2 - e / kl ";"Fuel - Stationary - Liquid","Solvents: mineral turpentine or white spirits","Location not specified","kl","XXXXXX","t","t CO2 - e / kl ";"Fuel - Stationary - Liquid","Liquefied petroleum gas (LPG)","Location not specified","kl","XXXXXX","t","t CO2 - e / kl ";"Fuel - Stationary - Liquid","Naphtha","Location not specified","kl","XXXXXX","t","t CO2 - e / kl ";"Fuel - Stationary - Liquid","Petroleum coke","Location not specified","t","XXXXXX","t","t CO2 - e / t ";"Fuel - Stationary - Liquid","Refinery gas and liquids","Location not specified","t","XXXXXX","t","t CO2 - e / t ";"Fuel - Stationary - Liquid","Refinery coke","Location not specified","t","XXXXXX","t","t CO2 - e / t ";"Fuel - Stationary - Liquid","Petroleum based products other than mentioned in the items above","Location not specified","kl","XXXXXX","t","t CO2 - e / kl ";"Fuel - Stationary - Liquid","Biodiesel","Location not specified","kl","XXXXXX","t","t CO2 - e / kl ";"Fuel - Stationary - Liquid","Ethanol for use as a fuel in an internal combustion engine","Location not specified","kl","XXXXXX","t","t CO2 - e / kl ";"Fuel - Stationary - Liquid","Biofuels other than those mentioned in the items above and below","Location not specified","kl","XXXXXX","t","t CO2 - e / kl ";"Fuel - Stationary - Liquid","Renewable aviation kerosene","Location not specified","kl","XXXXXX","t","t CO2 - e / kl ";"Fuel - Stationary - Liquid","Renewable diesel","Location not specified","kl","XXXXXX","t","t CO2 - e / kl "}, _xlpm.r, _xlpm.c))))</definedName>
    <definedName name="Scope3_SourceData.Scope3_FuelStationaryLiquid_Source">_xlfn.LAMBDA(("Scope 3 GHG Emission Factors for Australian Agriculture, Fisheries and Forestry 2026"))</definedName>
    <definedName name="Scope3_SourceData.Scope3_FuelStationaryLiquid_Title">_xlfn.LAMBDA(("Fuel - Stationary - Liquid scope 3"))</definedName>
    <definedName name="Scope3_SourceData.Scope3_FuelStationaryLiquid_Variation">_xlfn.LAMBDA(("Emission factor values sourced from National Greenhouse Accounts Factors - See relevant table in 'Fuel Source Data'"))</definedName>
    <definedName name="Scope3_SourceData.Scope3_FuelTransport_Data">_xlfn.LAMBDA(_xlfn.MAKEARRAY(22, 7, _xlfn.LAMBDA(_xlpm.r,_xlpm.c, INDEX({"Category","Product","Source","Product Unit","Emission Factor","Embedded Emissions Unit","Emissions Intensity Unit";"Fuel - Transport - Cars and light commercial vehicles","Gasoline","Location not specified","kl","XXXXXX","t","t CO2-e / kl";"Fuel - Transport - Cars and light commercial vehicles","Diesel oil","Location not specified","kl","XXXXXX","t","t CO2-e / kl";"Fuel - Transport - Cars and light commercial vehicles","Liquefied petroleum gas (LPG)","Location not specified","kl","XXXXXX","t","t CO2-e / kl";"Fuel - Transport - Cars and light commercial vehicles","Fuel oil","Location not specified","kl","XXXXXX","t","t CO2-e / kl";"Fuel - Transport - Cars and light commercial vehicles","Ethanol","Location not specified","kl","XXXXXX","t","t CO2-e / kl";"Fuel - Transport - Cars and light commercial vehicles","Biodiesel","Location not specified","kl","XXXXXX","t","t CO2-e / kl";"Fuel - Transport - Cars and light commercial vehicles","Renewable diesel","Location not specified","kl","XXXXXX","t","t CO2-e / kl";"Fuel - Transport - Cars and light commercial vehicles","Other biofuels","Location not specified","kl","XXXXXX","t","t CO2-e / kl";"Fuel - Transport - Light duty vehicles","Compressed natural gas","Location not specified","m3","XXXXXX","t","t CO2-e / m3";"Fuel - Transport - Light duty vehicles","Liquefied natural gas","Location not specified","kl","XXXXXX","t","t CO2-e / kl";"Fuel - Transport - Heavy duty vehicles","Compressed natural gas","Location not specified","m3","XXXXXX","t","t CO2-e / m3";"Fuel - Transport - Heavy duty vehicles","Liquefied natural gas","Location not specified","kl","XXXXXX","t","t CO2-e / kl";"Fuel - Transport - Heavy duty vehicles","Diesel oil - Euro iv or higher","Location not specified","kl","XXXXXX","t","t CO2-e / kl";"Fuel - Transport - Heavy duty vehicles","Diesel oil - Euro iii","Location not specified","kl","XXXXXX","t","t CO2-e / kl";"Fuel - Transport - Heavy duty vehicles","Diesel oil - Euro i","Location not specified","kl","XXXXXX","t","t CO2-e / kl";"Fuel - Transport - Heavy duty vehicles","Renewable diesel - Euro iv or higher","Location not specified","kl","XXXXXX","t","t CO2-e / kl";"Fuel - Transport - Heavy duty vehicles","Renewable diesel - Euro iii","Location not specified","kl","XXXXXX","t","t CO2-e / kl";"Fuel - Transport - Heavy duty vehicles","Renewable diesel - Euro i","Location not specified","kl","XXXXXX","t","t CO2-e / kl";"Fuel - Transport - Aviation","Gasoline for use as fuel in an aircraft","Location not specified","kl","XXXXXX","t","t CO2-e / kl";"Fuel - Transport - Aviation","Kerosene for use as fuel in an aircraft","Location not specified","kl","XXXXXX","t","t CO2-e / kl";"Fuel - Transport - Aviation","Renewable aviation kerosene","Location not specified","kl","XXXXXX","t","t CO2-e / kl"}, _xlpm.r, _xlpm.c))))</definedName>
    <definedName name="Scope3_SourceData.Scope3_FuelTransport_Source">_xlfn.LAMBDA(("Scope 3 GHG Emission Factors for Australian Agriculture, Fisheries and Forestry 2026"))</definedName>
    <definedName name="Scope3_SourceData.Scope3_FuelTransport_Title">_xlfn.LAMBDA(("Fuel - Transport scope 3"))</definedName>
    <definedName name="Scope3_SourceData.Scope3_FuelTransport_Variation">_xlfn.LAMBDA(("Emission factor values sourced from National Greenhouse Accounts Factors - See relevant table in 'Fuel Source Data'"))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ckBlocks_Data">_xlfn.LAMBDA(_xlfn.MAKEARRAY(4, 7, _xlfn.LAMBDA(_xlpm.r,_xlpm.c, INDEX({"Category","Product","Source","Product Unit","Emission Factor","Embedded Emissions Unit","Emissions Intensity Unit";"Lick Blocks","Mineral block","Location not specified","t",50101,"t","t CO2-e / t";"Lick Blocks","Weaner block","Location not specified","t",50102,"t","t CO2-e / t";"Lick Blocks","Dry season mix","Location not specified","t",50103,"t","t CO2-e / t"}, _xlpm.r, _xlpm.c))))</definedName>
    <definedName name="Scope3_SourceData.Scope3_LickBlocks_Source">_xlfn.LAMBDA(("Lifecycles. (2026). Greenhouse Gas Emission Intensities for Material Inputs to Australian Agriculture, Fisheries and Forestry. Version 48. doi 10.5281/zenodo.19656580"))</definedName>
    <definedName name="Scope3_SourceData.Scope3_LickBlocks_Title">_xlfn.LAMBDA(("Lick Blocks scope 3"))</definedName>
    <definedName name="Scope3_SourceData.Scope3_LickBlock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rganicFertilisers_Data">_xlfn.LAMBDA(_xlfn.MAKEARRAY(11, 7, _xlfn.LAMBDA(_xlpm.r,_xlpm.c, INDEX({"Category","Product","Source","Product Unit","Emission Factor","Embedded Emissions Unit","Emissions Intensity Unit";"Organic Fertilisers","Dairy Manure","Primary MMS","t",20101,"t","t CO2-e / t";"Organic Fertilisers","Dairy Manure","Secondary MMS","t",20102,"t","t CO2-e / t";"Organic Fertilisers","Pork Manure","Primary MMS","t",20201,"t","t CO2-e / t";"Organic Fertilisers","Pork Manure","Secondary MMS","t",20202,"t","t CO2-e / t";"Organic Fertilisers","Feedlot Manure","Primary MMS","t",20301,"t","t CO2-e / t";"Organic Fertilisers","Feedlot Manure","Secondary MMS","t",20302,"t","t CO2-e / t";"Organic Fertilisers","Feedlot Manure","Tertiary MMS","t",20303,"t","t CO2-e / t";"Organic Fertilisers","Poultry Manure","Primary MMS","t",20401,"t","t CO2-e / t";"Organic Fertilisers","Poultry Manure","Secondary MMS","t",20402,"t","t CO2-e / t";"Organic Fertilisers","Other","Location not specified","t",20501,"t","t CO2-e / t"}, _xlpm.r, _xlpm.c))))</definedName>
    <definedName name="Scope3_SourceData.Scope3_OrganicFertilisers_Source">_xlfn.LAMBDA(("Lifecycles. (2026). Greenhouse Gas Emission Intensities for Material Inputs to Australian Agriculture, Fisheries and Forestry. Version 48. doi 10.5281/zenodo.19656580"))</definedName>
    <definedName name="Scope3_SourceData.Scope3_OrganicFertilisers_Title">_xlfn.LAMBDA(("Organic fertiliser scope 3"))</definedName>
    <definedName name="Scope3_SourceData.Scope3_OrganicFertilisers_Variation">_xlfn.LAMBDA((""))</definedName>
    <definedName name="Scope3_SourceData.Scope3_OtherAgriculturalInputs_Data">_xlfn.LAMBDA(_xlfn.MAKEARRAY(7, 7, _xlfn.LAMBDA(_xlpm.r,_xlpm.c, INDEX({"Category","Product","Source","Product Unit","Emission Factor","Embedded Emissions Unit","Emissions Intensity Unit";"Other Agricultural Inputs","CO2 for carbonation","Location not specified","t",120101,"t","t CO2-e / t";"Other Agricultural Inputs","Livestock antibiotics","Location not specified","t",110102,"t","t CO2-e / t";"Other Agricultural Inputs","Nylon netting for horticulture","Location not specified","t",110103,"t","t CO2-e / t";"Other Agricultural Inputs","Pallets - Wood","Location not specified","t",110104,"t","t CO2-e / t";"Other Agricultural Inputs","Pallets - Plastic","Location not specified","t",110105,"t","t CO2-e / t";"Other Agricultural Inputs","Livestock tags","Location not specified","t",110106,"t","t CO2-e / t"}, _xlpm.r, _xlpm.c))))</definedName>
    <definedName name="Scope3_SourceData.Scope3_OtherAgriculturalInputs_Source">_xlfn.LAMBDA(("Lifecycles. (2026). Greenhouse Gas Emission Intensities for Material Inputs to Australian Agriculture, Fisheries and Forestry. Version 48. doi 10.5281/zenodo.19656580"))</definedName>
    <definedName name="Scope3_SourceData.Scope3_OtherAgriculturalInputs_Title">_xlfn.LAMBDA(("Other agricultural inputs scope 3"))</definedName>
    <definedName name="Scope3_SourceData.Scope3_OtherAgriculturalInputs_Variation">_xlfn.LAMBDA((""))</definedName>
    <definedName name="Scope3_SourceData.Scope3_Packaging_Data">_xlfn.LAMBDA(_xlfn.MAKEARRAY(7, 7, _xlfn.LAMBDA(_xlpm.r,_xlpm.c, INDEX({"Category","Product","Source","Product Unit","Emission Factor","Embedded Emissions Unit","Emissions Intensity Unit";"Packaging","Wine bottles: Glass - conventional","Location not specified","bottle",90101,"bottle","kg CO2-e / bottle";"Packaging","Wine bottles: Glass - light","Location not specified","bottle",90102,"bottle","kg CO2-e / bottle";"Packaging","Plastic packaging","Location not specified","kg",90201,"kg","kg CO2-e / kg";"Packaging","Polyethylene terephthalate (PET)","Location not specified","kg",90202,"kg","kg CO2-e / kg";"Packaging","Polypropylene (PP)","Location not specified","kg",90203,"kg","kg CO2-e / kg";"Packaging","Cardboard","Location not specified","kg",90204,"kg","kg CO2-e / kg"},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harmacyChemicals_Data">_xlfn.LAMBDA(_xlfn.MAKEARRAY(5, 7, _xlfn.LAMBDA(_xlpm.r,_xlpm.c, INDEX({"Category","Sub-category","Product name","Region of origin","Product Unit","GHG emission intensity","System boundary";"Chemicals","Pharmacy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PharmacyChemicals_Source">_xlfn.LAMBDA(("Lifecycles. (2026). Greenhouse Gas Emission Intensities for Material Inputs to Australian Agriculture, Fisheries and Forestry. Version 48. doi 10.5281/zenodo.19656580"))</definedName>
    <definedName name="Scope3_SourceData.Scope3_PharmacyChemicals_Title">_xlfn.LAMBDA(("Pharmacy chemicals scope 3"))</definedName>
    <definedName name="Scope3_SourceData.Scope3_PharmacyChemicals_Variation">_xlfn.LAMBDA((""))</definedName>
    <definedName name="Scope3_SourceData.Scope3_SeedsAndSeedlings_Data">_xlfn.LAMBDA(_xlfn.MAKEARRAY(3, 7, _xlfn.LAMBDA(_xlpm.r,_xlpm.c, INDEX({"Category","Product","Source","Product Unit","Emission Factor","Embedded Emissions Unit","Emissions Intensity Unit";"Seeds and Seedlings","Seed (general crop and pasture)","Location not specified","t",100101,"t","t CO2-e / t";"Seeds and Seedlings","Seedlings (forestry, horticulture, environmental)","Location not specified","Seedling",100102,"t","t CO2-e / Seedling"}, _xlpm.r, _xlpm.c))))</definedName>
    <definedName name="Scope3_SourceData.Scope3_SeedsAndSeedlings_Source">_xlfn.LAMBDA(("Lifecycles. (2026). Greenhouse Gas Emission Intensities for Material Inputs to Australian Agriculture, Fisheries and Forestry. Version 48. doi 10.5281/zenodo.19656580"))</definedName>
    <definedName name="Scope3_SourceData.Scope3_SeedsAndSeedlings_Title">_xlfn.LAMBDA(("Seeds and Seedlings scope 3"))</definedName>
    <definedName name="Scope3_SourceData.Scope3_SeedsAndSeedlings_Variation">_xlfn.LAMBDA((""))</definedName>
    <definedName name="Scope3_SourceData.Scope3_SoilAmendments_Data">_xlfn.LAMBDA(_xlfn.MAKEARRAY(6, 7, _xlfn.LAMBDA(_xlpm.r,_xlpm.c, INDEX({"Category","Product","Source","Product Unit","Emission Factor","Embedded Emissions Unit","Emissions Intensity Unit";"Soil Amendments","Lime","Location not specified","t",30101,"t","t CO2-e / t";"Soil Amendments","Limesand","Location not specified","t",30102,"t","t CO2-e / t";"Soil Amendments","Dolomite","Location not specified","t",30103,"t","t CO2-e / t";"Soil Amendments","Gypsum","Location not specified","t",30104,"t","t CO2-e / t";"Soil Amendments","Potash","Location not specified","t",30105,"t","t CO2-e / 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#REF!</definedName>
    <definedName name="Step2">#REF!</definedName>
    <definedName name="Step3">#REF!</definedName>
    <definedName name="ValidLivestockClass">_xlfn.UNIQUE(_xlfn._xlws.FILTER(Table_Scope3_Livestock[Product], Table_Scope3_Livestock[Category] = Table_Input_LivestockPurchases[[#This Row],[Livestock type (select)]]))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M211" i="12" l="1"/>
  <c r="M210" i="12"/>
  <c r="M209" i="12"/>
  <c r="L211" i="12"/>
  <c r="L210" i="12"/>
  <c r="L209" i="12"/>
  <c r="K211" i="12"/>
  <c r="K210" i="12"/>
  <c r="K209" i="12"/>
  <c r="G211" i="12" a="1"/>
  <c r="G211" i="12" s="1"/>
  <c r="G210" i="12" a="1"/>
  <c r="G210" i="12" s="1"/>
  <c r="G209" i="12" a="1"/>
  <c r="G209" i="12" s="1"/>
  <c r="I211" i="12" a="1"/>
  <c r="I211" i="12" s="1"/>
  <c r="H211" i="12" a="1"/>
  <c r="H211" i="12" s="1"/>
  <c r="I210" i="12" a="1"/>
  <c r="I210" i="12" s="1"/>
  <c r="H210" i="12" a="1"/>
  <c r="H210" i="12" s="1"/>
  <c r="H209" i="12" a="1"/>
  <c r="H209" i="12" s="1"/>
  <c r="I209" i="12" a="1"/>
  <c r="I209" i="12" s="1"/>
  <c r="E211" i="12" a="1"/>
  <c r="E211" i="12" s="1"/>
  <c r="E210" i="12" a="1"/>
  <c r="E210" i="12" s="1"/>
  <c r="E209" i="12" a="1"/>
  <c r="E209" i="12" s="1"/>
  <c r="I13" i="17"/>
  <c r="I12" i="17"/>
  <c r="I11" i="17"/>
  <c r="I10" i="17"/>
  <c r="I9" i="17"/>
  <c r="I8" i="1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I102" i="12" a="1"/>
  <c r="I102" i="12" s="1"/>
  <c r="H102" i="12" a="1"/>
  <c r="H102" i="12" s="1"/>
  <c r="I101" i="12" a="1"/>
  <c r="I101" i="12" s="1"/>
  <c r="H101" i="12" a="1"/>
  <c r="H101" i="12" s="1"/>
  <c r="I100" i="12" a="1"/>
  <c r="I100" i="12" s="1"/>
  <c r="H100" i="12" a="1"/>
  <c r="H100" i="12" s="1"/>
  <c r="I99" i="12" a="1"/>
  <c r="I99" i="12" s="1"/>
  <c r="H99" i="12" a="1"/>
  <c r="H99" i="12" s="1"/>
  <c r="I98" i="12" a="1"/>
  <c r="I98" i="12" s="1"/>
  <c r="H98" i="12" a="1"/>
  <c r="H98" i="12" s="1"/>
  <c r="I97" i="12" a="1"/>
  <c r="I97" i="12" s="1"/>
  <c r="H97" i="12" a="1"/>
  <c r="H97" i="12" s="1"/>
  <c r="I96" i="12" a="1"/>
  <c r="I96" i="12" s="1"/>
  <c r="H96" i="12" a="1"/>
  <c r="H96" i="12" s="1"/>
  <c r="I95" i="12" a="1"/>
  <c r="I95" i="12" s="1"/>
  <c r="H95" i="12" a="1"/>
  <c r="H95" i="12" s="1"/>
  <c r="I94" i="12" a="1"/>
  <c r="I94" i="12" s="1"/>
  <c r="H94" i="12" a="1"/>
  <c r="H94" i="12" s="1"/>
  <c r="I93" i="12" a="1"/>
  <c r="I93" i="12" s="1"/>
  <c r="H93" i="12" a="1"/>
  <c r="H93" i="12" s="1"/>
  <c r="I92" i="12" a="1"/>
  <c r="I92" i="12" s="1"/>
  <c r="H92" i="12" a="1"/>
  <c r="H92" i="12" s="1"/>
  <c r="I91" i="12" a="1"/>
  <c r="I91" i="12" s="1"/>
  <c r="H91" i="12" a="1"/>
  <c r="H91" i="12" s="1"/>
  <c r="I90" i="12" a="1"/>
  <c r="I90" i="12" s="1"/>
  <c r="H90" i="12" a="1"/>
  <c r="H90" i="12" s="1"/>
  <c r="I89" i="12" a="1"/>
  <c r="I89" i="12" s="1"/>
  <c r="H89" i="12" a="1"/>
  <c r="H89" i="12" s="1"/>
  <c r="I88" i="12" a="1"/>
  <c r="I88" i="12" s="1"/>
  <c r="H88" i="12" a="1"/>
  <c r="H88" i="12" s="1"/>
  <c r="I87" i="12" a="1"/>
  <c r="I87" i="12" s="1"/>
  <c r="H87" i="12" a="1"/>
  <c r="H87" i="12" s="1"/>
  <c r="I86" i="12" a="1"/>
  <c r="I86" i="12" s="1"/>
  <c r="H86" i="12" a="1"/>
  <c r="H86" i="12" s="1"/>
  <c r="I85" i="12" a="1"/>
  <c r="I85" i="12" s="1"/>
  <c r="H85" i="12" a="1"/>
  <c r="H85" i="12" s="1"/>
  <c r="I84" i="12" a="1"/>
  <c r="I84" i="12" s="1"/>
  <c r="H84" i="12" a="1"/>
  <c r="H84" i="12" s="1"/>
  <c r="I83" i="12" a="1"/>
  <c r="I83" i="12" s="1"/>
  <c r="H83" i="12" a="1"/>
  <c r="H83" i="12" s="1"/>
  <c r="I82" i="12" a="1"/>
  <c r="I82" i="12" s="1"/>
  <c r="H82" i="12" a="1"/>
  <c r="H82" i="12" s="1"/>
  <c r="I81" i="12" a="1"/>
  <c r="I81" i="12" s="1"/>
  <c r="H81" i="12" a="1"/>
  <c r="H81" i="12" s="1"/>
  <c r="I80" i="12" a="1"/>
  <c r="I80" i="12" s="1"/>
  <c r="H80" i="12" a="1"/>
  <c r="H80" i="12" s="1"/>
  <c r="I79" i="12" a="1"/>
  <c r="I79" i="12" s="1"/>
  <c r="H79" i="12" a="1"/>
  <c r="H79" i="12" s="1"/>
  <c r="I78" i="12" a="1"/>
  <c r="I78" i="12" s="1"/>
  <c r="H78" i="12" a="1"/>
  <c r="H78" i="12" s="1"/>
  <c r="I77" i="12" a="1"/>
  <c r="I77" i="12" s="1"/>
  <c r="H77" i="12" a="1"/>
  <c r="H77" i="12" s="1"/>
  <c r="I76" i="12" a="1"/>
  <c r="I76" i="12" s="1"/>
  <c r="H76" i="12" a="1"/>
  <c r="H76" i="12" s="1"/>
  <c r="I75" i="12" a="1"/>
  <c r="I75" i="12" s="1"/>
  <c r="H75" i="12" a="1"/>
  <c r="H75" i="12" s="1"/>
  <c r="I74" i="12" a="1"/>
  <c r="I74" i="12" s="1"/>
  <c r="H74" i="12" a="1"/>
  <c r="H74" i="12" s="1"/>
  <c r="I73" i="12" a="1"/>
  <c r="I73" i="12" s="1"/>
  <c r="H73" i="12" a="1"/>
  <c r="H73" i="12" s="1"/>
  <c r="I72" i="12" a="1"/>
  <c r="I72" i="12" s="1"/>
  <c r="H72" i="12" a="1"/>
  <c r="H72" i="12" s="1"/>
  <c r="I71" i="12" a="1"/>
  <c r="I71" i="12" s="1"/>
  <c r="H71" i="12" a="1"/>
  <c r="H71" i="12" s="1"/>
  <c r="I70" i="12" a="1"/>
  <c r="I70" i="12" s="1"/>
  <c r="H70" i="12" a="1"/>
  <c r="H70" i="12" s="1"/>
  <c r="I69" i="12" a="1"/>
  <c r="I69" i="12" s="1"/>
  <c r="H69" i="12" a="1"/>
  <c r="H69" i="12" s="1"/>
  <c r="I68" i="12" a="1"/>
  <c r="I68" i="12" s="1"/>
  <c r="H68" i="12" a="1"/>
  <c r="H68" i="12" s="1"/>
  <c r="I67" i="12" a="1"/>
  <c r="I67" i="12" s="1"/>
  <c r="H67" i="12" a="1"/>
  <c r="H67" i="12" s="1"/>
  <c r="I66" i="12" a="1"/>
  <c r="I66" i="12" s="1"/>
  <c r="H66" i="12" a="1"/>
  <c r="H66" i="12" s="1"/>
  <c r="I65" i="12" a="1"/>
  <c r="I65" i="12" s="1"/>
  <c r="H65" i="12" a="1"/>
  <c r="H65" i="12" s="1"/>
  <c r="I64" i="12" a="1"/>
  <c r="I64" i="12" s="1"/>
  <c r="H64" i="12" a="1"/>
  <c r="H64" i="12" s="1"/>
  <c r="I63" i="12" a="1"/>
  <c r="I63" i="12" s="1"/>
  <c r="H63" i="12" a="1"/>
  <c r="H63" i="12" s="1"/>
  <c r="H62" i="12" a="1"/>
  <c r="H62" i="12" s="1"/>
  <c r="I62" i="12" a="1"/>
  <c r="I62" i="12"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1" i="18" a="1"/>
  <c r="E11" i="18" s="1"/>
  <c r="D11" i="18" a="1"/>
  <c r="D11" i="18" s="1"/>
  <c r="F10" i="18" a="1"/>
  <c r="F10" i="18" s="1"/>
  <c r="E10" i="18" a="1"/>
  <c r="E10" i="18"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K89" i="12" l="1"/>
  <c r="K76" i="12"/>
  <c r="K75" i="12"/>
  <c r="K62" i="12"/>
  <c r="K102" i="12"/>
  <c r="K101" i="12"/>
  <c r="K100" i="12"/>
  <c r="K99" i="12"/>
  <c r="K98" i="12"/>
  <c r="K97" i="12"/>
  <c r="K96" i="12"/>
  <c r="K95" i="12"/>
  <c r="K94" i="12"/>
  <c r="K93" i="12"/>
  <c r="K92" i="12"/>
  <c r="K91" i="12"/>
  <c r="K90" i="12"/>
  <c r="K88" i="12"/>
  <c r="K87" i="12"/>
  <c r="K86" i="12"/>
  <c r="K85" i="12"/>
  <c r="K84" i="12"/>
  <c r="K83" i="12"/>
  <c r="K82" i="12"/>
  <c r="K81" i="12"/>
  <c r="K80" i="12"/>
  <c r="K79" i="12"/>
  <c r="K78" i="12"/>
  <c r="K77" i="12"/>
  <c r="K74" i="12"/>
  <c r="K73" i="12"/>
  <c r="K72" i="12"/>
  <c r="K71" i="12"/>
  <c r="K70" i="12"/>
  <c r="K69" i="12"/>
  <c r="K68" i="12"/>
  <c r="K67" i="12"/>
  <c r="K66" i="12"/>
  <c r="K65" i="12"/>
  <c r="K64" i="12"/>
  <c r="K63" i="12"/>
  <c r="F102" i="12" a="1"/>
  <c r="F102" i="12" s="1"/>
  <c r="F101" i="12" a="1"/>
  <c r="F101" i="12" s="1"/>
  <c r="F100" i="12" a="1"/>
  <c r="F100" i="12" s="1"/>
  <c r="F99" i="12" a="1"/>
  <c r="F99" i="12" s="1"/>
  <c r="F98" i="12" a="1"/>
  <c r="F98" i="12" s="1"/>
  <c r="F97" i="12" a="1"/>
  <c r="F97" i="12" s="1"/>
  <c r="F96" i="12" a="1"/>
  <c r="F96" i="12" s="1"/>
  <c r="F95" i="12" a="1"/>
  <c r="F95" i="12" s="1"/>
  <c r="F94" i="12" a="1"/>
  <c r="F94" i="12" s="1"/>
  <c r="F93" i="12" a="1"/>
  <c r="F93" i="12" s="1"/>
  <c r="F92" i="12" a="1"/>
  <c r="F92" i="12" s="1"/>
  <c r="F91" i="12" a="1"/>
  <c r="F91" i="12" s="1"/>
  <c r="F90" i="12" a="1"/>
  <c r="F90" i="12" s="1"/>
  <c r="F89" i="12" a="1"/>
  <c r="F89" i="12" s="1"/>
  <c r="F88" i="12" a="1"/>
  <c r="F88" i="12" s="1"/>
  <c r="F87" i="12" a="1"/>
  <c r="F87" i="12" s="1"/>
  <c r="F86" i="12" a="1"/>
  <c r="F86" i="12" s="1"/>
  <c r="F85" i="12" a="1"/>
  <c r="F85" i="12" s="1"/>
  <c r="F84" i="12" a="1"/>
  <c r="F84" i="12" s="1"/>
  <c r="F83" i="12" a="1"/>
  <c r="F83" i="12" s="1"/>
  <c r="F82" i="12" a="1"/>
  <c r="F82" i="12" s="1"/>
  <c r="F81" i="12" a="1"/>
  <c r="F81" i="12" s="1"/>
  <c r="F80" i="12" a="1"/>
  <c r="F80" i="12" s="1"/>
  <c r="F79" i="12" a="1"/>
  <c r="F79" i="12" s="1"/>
  <c r="F78" i="12" a="1"/>
  <c r="F78" i="12" s="1"/>
  <c r="F77" i="12" a="1"/>
  <c r="F77" i="12" s="1"/>
  <c r="F76" i="12" a="1"/>
  <c r="F76" i="12" s="1"/>
  <c r="F75" i="12" a="1"/>
  <c r="F75" i="12" s="1"/>
  <c r="F74" i="12" a="1"/>
  <c r="F74" i="12" s="1"/>
  <c r="F73" i="12" a="1"/>
  <c r="F73" i="12" s="1"/>
  <c r="F72" i="12" a="1"/>
  <c r="F72" i="12" s="1"/>
  <c r="F71" i="12" a="1"/>
  <c r="F71" i="12" s="1"/>
  <c r="F70" i="12" a="1"/>
  <c r="F70" i="12" s="1"/>
  <c r="F69" i="12" a="1"/>
  <c r="F69" i="12" s="1"/>
  <c r="F68" i="12" a="1"/>
  <c r="F68" i="12" s="1"/>
  <c r="F67" i="12" a="1"/>
  <c r="F67" i="12" s="1"/>
  <c r="F66" i="12" a="1"/>
  <c r="F66" i="12" s="1"/>
  <c r="F65" i="12" a="1"/>
  <c r="F65" i="12" s="1"/>
  <c r="F64" i="12" a="1"/>
  <c r="F64" i="12" s="1"/>
  <c r="F63" i="12" a="1"/>
  <c r="F63" i="12" s="1"/>
  <c r="F62" i="12" a="1"/>
  <c r="F62" i="12" s="1"/>
  <c r="D102" i="12" a="1"/>
  <c r="D102" i="12" s="1"/>
  <c r="E102" i="12" a="1"/>
  <c r="E102" i="12" s="1"/>
  <c r="G102" i="12" s="1" a="1"/>
  <c r="G102" i="12" s="1"/>
  <c r="Q102" i="12" a="1"/>
  <c r="Q102" i="12" s="1"/>
  <c r="D101" i="12" a="1"/>
  <c r="D101" i="12" s="1"/>
  <c r="E101" i="12" a="1"/>
  <c r="E101" i="12" s="1"/>
  <c r="Q101" i="12" a="1"/>
  <c r="Q101" i="12" s="1"/>
  <c r="D100" i="12" a="1"/>
  <c r="D100" i="12" s="1"/>
  <c r="E100" i="12" a="1"/>
  <c r="E100" i="12" s="1"/>
  <c r="G100" i="12" s="1" a="1"/>
  <c r="G100" i="12" s="1"/>
  <c r="Q100" i="12" a="1"/>
  <c r="Q100" i="12" s="1"/>
  <c r="D99" i="12" a="1"/>
  <c r="D99" i="12" s="1"/>
  <c r="E99" i="12" a="1"/>
  <c r="E99" i="12" s="1"/>
  <c r="G99" i="12" s="1" a="1"/>
  <c r="G99" i="12" s="1"/>
  <c r="Q99" i="12" a="1"/>
  <c r="Q99" i="12" s="1"/>
  <c r="D98" i="12" a="1"/>
  <c r="D98" i="12" s="1"/>
  <c r="E98" i="12" a="1"/>
  <c r="E98" i="12" s="1"/>
  <c r="G98" i="12" s="1" a="1"/>
  <c r="G98" i="12" s="1"/>
  <c r="Q98" i="12" a="1"/>
  <c r="Q98" i="12" s="1"/>
  <c r="D97" i="12" a="1"/>
  <c r="D97" i="12" s="1"/>
  <c r="E97" i="12" a="1"/>
  <c r="E97" i="12" s="1"/>
  <c r="G97" i="12" s="1" a="1"/>
  <c r="G97" i="12" s="1"/>
  <c r="Q97" i="12" a="1"/>
  <c r="Q97" i="12" s="1"/>
  <c r="D96" i="12" a="1"/>
  <c r="D96" i="12" s="1"/>
  <c r="E96" i="12" a="1"/>
  <c r="E96" i="12" s="1"/>
  <c r="G96" i="12" s="1" a="1"/>
  <c r="G96" i="12" s="1"/>
  <c r="Q96" i="12" a="1"/>
  <c r="Q96" i="12" s="1"/>
  <c r="D95" i="12" a="1"/>
  <c r="D95" i="12" s="1"/>
  <c r="E95" i="12" a="1"/>
  <c r="E95" i="12" s="1"/>
  <c r="Q95" i="12" a="1"/>
  <c r="Q95" i="12"/>
  <c r="D94" i="12" a="1"/>
  <c r="D94" i="12" s="1"/>
  <c r="E94" i="12" a="1"/>
  <c r="E94" i="12" s="1"/>
  <c r="G94" i="12" s="1" a="1"/>
  <c r="G94" i="12" s="1"/>
  <c r="Q94" i="12" a="1"/>
  <c r="Q94" i="12" s="1"/>
  <c r="D93" i="12" a="1"/>
  <c r="D93" i="12" s="1"/>
  <c r="E93" i="12" a="1"/>
  <c r="E93" i="12" s="1"/>
  <c r="Q93" i="12" a="1"/>
  <c r="Q93" i="12"/>
  <c r="D92" i="12" a="1"/>
  <c r="D92" i="12" s="1"/>
  <c r="E92" i="12" a="1"/>
  <c r="E92" i="12" s="1"/>
  <c r="Q92" i="12" a="1"/>
  <c r="Q92" i="12" s="1"/>
  <c r="D91" i="12" a="1"/>
  <c r="D91" i="12" s="1"/>
  <c r="E91" i="12" a="1"/>
  <c r="E91" i="12" s="1"/>
  <c r="G91" i="12" s="1" a="1"/>
  <c r="G91" i="12" s="1"/>
  <c r="Q91" i="12" a="1"/>
  <c r="Q91" i="12" s="1"/>
  <c r="D90" i="12" a="1"/>
  <c r="D90" i="12" s="1"/>
  <c r="E90" i="12" a="1"/>
  <c r="E90" i="12" s="1"/>
  <c r="G90" i="12" s="1" a="1"/>
  <c r="G90" i="12" s="1"/>
  <c r="Q90" i="12" a="1"/>
  <c r="Q90" i="12" s="1"/>
  <c r="D89" i="12" a="1"/>
  <c r="D89" i="12" s="1"/>
  <c r="E89" i="12" a="1"/>
  <c r="E89" i="12" s="1"/>
  <c r="G89" i="12" s="1" a="1"/>
  <c r="G89" i="12" s="1"/>
  <c r="Q89" i="12" a="1"/>
  <c r="Q89" i="12" s="1"/>
  <c r="D88" i="12" a="1"/>
  <c r="D88" i="12" s="1"/>
  <c r="E88" i="12" a="1"/>
  <c r="E88" i="12" s="1"/>
  <c r="G88" i="12" s="1" a="1"/>
  <c r="G88" i="12" s="1"/>
  <c r="Q88" i="12" a="1"/>
  <c r="Q88" i="12" s="1"/>
  <c r="D87" i="12" a="1"/>
  <c r="D87" i="12" s="1"/>
  <c r="E87" i="12" a="1"/>
  <c r="E87" i="12" s="1"/>
  <c r="Q87" i="12" a="1"/>
  <c r="Q87" i="12" s="1"/>
  <c r="D86" i="12" a="1"/>
  <c r="D86" i="12" s="1"/>
  <c r="E86" i="12" a="1"/>
  <c r="E86" i="12" s="1"/>
  <c r="G86" i="12" s="1" a="1"/>
  <c r="G86" i="12" s="1"/>
  <c r="Q86" i="12" a="1"/>
  <c r="Q86" i="12" s="1"/>
  <c r="D85" i="12" a="1"/>
  <c r="D85" i="12" s="1"/>
  <c r="E85" i="12" a="1"/>
  <c r="E85" i="12" s="1"/>
  <c r="Q85" i="12" a="1"/>
  <c r="Q85" i="12" s="1"/>
  <c r="D84" i="12" a="1"/>
  <c r="D84" i="12" s="1"/>
  <c r="E84" i="12" a="1"/>
  <c r="E84" i="12" s="1"/>
  <c r="G84" i="12" s="1" a="1"/>
  <c r="G84" i="12" s="1"/>
  <c r="Q84" i="12" a="1"/>
  <c r="Q84" i="12" s="1"/>
  <c r="D83" i="12" a="1"/>
  <c r="D83" i="12" s="1"/>
  <c r="E83" i="12" a="1"/>
  <c r="E83" i="12" s="1"/>
  <c r="G83" i="12" s="1" a="1"/>
  <c r="G83" i="12" s="1"/>
  <c r="Q83" i="12" a="1"/>
  <c r="Q83" i="12" s="1"/>
  <c r="D82" i="12" a="1"/>
  <c r="D82" i="12" s="1"/>
  <c r="E82" i="12" a="1"/>
  <c r="E82" i="12" s="1"/>
  <c r="G82" i="12" s="1" a="1"/>
  <c r="G82" i="12" s="1"/>
  <c r="Q82" i="12" a="1"/>
  <c r="Q82" i="12" s="1"/>
  <c r="D81" i="12" a="1"/>
  <c r="D81" i="12" s="1"/>
  <c r="E81" i="12" a="1"/>
  <c r="E81" i="12" s="1"/>
  <c r="G81" i="12" s="1" a="1"/>
  <c r="G81" i="12" s="1"/>
  <c r="Q81" i="12" a="1"/>
  <c r="Q81" i="12" s="1"/>
  <c r="D80" i="12" a="1"/>
  <c r="D80" i="12" s="1"/>
  <c r="E80" i="12" a="1"/>
  <c r="E80" i="12" s="1"/>
  <c r="Q80" i="12" a="1"/>
  <c r="Q80" i="12" s="1"/>
  <c r="D79" i="12" a="1"/>
  <c r="D79" i="12" s="1"/>
  <c r="E79" i="12" a="1"/>
  <c r="E79" i="12" s="1"/>
  <c r="Q79" i="12" a="1"/>
  <c r="Q79" i="12" s="1"/>
  <c r="D78" i="12" a="1"/>
  <c r="D78" i="12" s="1"/>
  <c r="E78" i="12" a="1"/>
  <c r="E78" i="12" s="1"/>
  <c r="Q78" i="12" a="1"/>
  <c r="Q78" i="12" s="1"/>
  <c r="D77" i="12" a="1"/>
  <c r="D77" i="12" s="1"/>
  <c r="E77" i="12" a="1"/>
  <c r="E77" i="12" s="1"/>
  <c r="G77" i="12" s="1" a="1"/>
  <c r="G77" i="12" s="1"/>
  <c r="Q77" i="12" a="1"/>
  <c r="Q77" i="12" s="1"/>
  <c r="D76" i="12" a="1"/>
  <c r="D76" i="12" s="1"/>
  <c r="E76" i="12" a="1"/>
  <c r="E76" i="12" s="1"/>
  <c r="G76" i="12" s="1" a="1"/>
  <c r="G76" i="12" s="1"/>
  <c r="Q76" i="12" a="1"/>
  <c r="Q76" i="12" s="1"/>
  <c r="D75" i="12" a="1"/>
  <c r="D75" i="12" s="1"/>
  <c r="E75" i="12" a="1"/>
  <c r="E75" i="12" s="1"/>
  <c r="G75" i="12" s="1" a="1"/>
  <c r="G75" i="12" s="1"/>
  <c r="Q75" i="12" a="1"/>
  <c r="Q75" i="12" s="1"/>
  <c r="D74" i="12" a="1"/>
  <c r="D74" i="12" s="1"/>
  <c r="E74" i="12" a="1"/>
  <c r="E74" i="12" s="1"/>
  <c r="G74" i="12" s="1" a="1"/>
  <c r="G74" i="12" s="1"/>
  <c r="Q74" i="12" a="1"/>
  <c r="Q74" i="12" s="1"/>
  <c r="D73" i="12" a="1"/>
  <c r="D73" i="12" s="1"/>
  <c r="E73" i="12" a="1"/>
  <c r="E73" i="12" s="1"/>
  <c r="Q73" i="12" a="1"/>
  <c r="Q73" i="12" s="1"/>
  <c r="D72" i="12" a="1"/>
  <c r="D72" i="12" s="1"/>
  <c r="E72" i="12" a="1"/>
  <c r="E72" i="12" s="1"/>
  <c r="G72" i="12" s="1" a="1"/>
  <c r="G72" i="12" s="1"/>
  <c r="Q72" i="12" a="1"/>
  <c r="Q72" i="12" s="1"/>
  <c r="D71" i="12" a="1"/>
  <c r="D71" i="12" s="1"/>
  <c r="E71" i="12" a="1"/>
  <c r="E71" i="12" s="1"/>
  <c r="Q71" i="12" a="1"/>
  <c r="Q71" i="12" s="1"/>
  <c r="D70" i="12" a="1"/>
  <c r="D70" i="12" s="1"/>
  <c r="E70" i="12" a="1"/>
  <c r="E70" i="12" s="1"/>
  <c r="G70" i="12" s="1" a="1"/>
  <c r="G70" i="12" s="1"/>
  <c r="Q70" i="12" a="1"/>
  <c r="Q70" i="12" s="1"/>
  <c r="D69" i="12" a="1"/>
  <c r="D69" i="12" s="1"/>
  <c r="E69" i="12" a="1"/>
  <c r="E69" i="12" s="1"/>
  <c r="G69" i="12" s="1" a="1"/>
  <c r="G69" i="12" s="1"/>
  <c r="Q69" i="12" a="1"/>
  <c r="Q69" i="12" s="1"/>
  <c r="W19" i="7"/>
  <c r="F19" i="7"/>
  <c r="G19" i="7"/>
  <c r="I19" i="7" s="1"/>
  <c r="J19" i="7" a="1"/>
  <c r="J19" i="7" s="1"/>
  <c r="K19" i="7" a="1"/>
  <c r="K19" i="7" s="1"/>
  <c r="L19" i="7" a="1"/>
  <c r="L19" i="7" s="1"/>
  <c r="M19" i="7" a="1"/>
  <c r="M19" i="7" s="1"/>
  <c r="N19" i="7" a="1"/>
  <c r="N19" i="7" s="1"/>
  <c r="O19" i="7" a="1"/>
  <c r="O19" i="7" s="1"/>
  <c r="P19" i="7" a="1"/>
  <c r="P19" i="7" s="1"/>
  <c r="Q19" i="7" a="1"/>
  <c r="Q19" i="7" s="1"/>
  <c r="R19" i="7" a="1"/>
  <c r="R19" i="7" s="1"/>
  <c r="S19" i="7" a="1"/>
  <c r="S19" i="7" s="1"/>
  <c r="T19" i="7" a="1"/>
  <c r="T19" i="7" s="1"/>
  <c r="U19" i="7" a="1"/>
  <c r="U19" i="7" s="1"/>
  <c r="X19" i="7"/>
  <c r="G15" i="12"/>
  <c r="D38" i="6" a="1"/>
  <c r="D38" i="6" s="1"/>
  <c r="E38" i="6" a="1"/>
  <c r="E38" i="6" s="1"/>
  <c r="F38" i="6" a="1"/>
  <c r="F38" i="6" s="1"/>
  <c r="G38" i="6" a="1"/>
  <c r="G38" i="6" s="1"/>
  <c r="H38" i="6" a="1"/>
  <c r="H38" i="6" s="1"/>
  <c r="I38" i="6" a="1"/>
  <c r="I38" i="6" s="1"/>
  <c r="L33" i="12" a="1"/>
  <c r="L33" i="12" s="1"/>
  <c r="L32" i="12" a="1"/>
  <c r="L32" i="12" s="1"/>
  <c r="L31" i="12" a="1"/>
  <c r="L31" i="12" s="1"/>
  <c r="L30" i="12" a="1"/>
  <c r="L30" i="12" s="1"/>
  <c r="L29" i="12" a="1"/>
  <c r="L29" i="12" s="1"/>
  <c r="L28" i="12" a="1"/>
  <c r="L28" i="12" s="1"/>
  <c r="L27" i="12" a="1"/>
  <c r="L27" i="12" s="1"/>
  <c r="L26" i="12" a="1"/>
  <c r="L26" i="12" s="1"/>
  <c r="L25" i="12" a="1"/>
  <c r="L25" i="12" s="1"/>
  <c r="L24" i="12" a="1"/>
  <c r="L24" i="12" s="1"/>
  <c r="L23" i="12" a="1"/>
  <c r="L23" i="12" s="1"/>
  <c r="L22" i="12" a="1"/>
  <c r="L22" i="12" s="1"/>
  <c r="L21" i="12" a="1"/>
  <c r="L21" i="12" s="1"/>
  <c r="L20" i="12" a="1"/>
  <c r="L20" i="12" s="1"/>
  <c r="L19" i="12" a="1"/>
  <c r="L19" i="12" s="1"/>
  <c r="L18" i="12" a="1"/>
  <c r="L18" i="12" s="1"/>
  <c r="L17" i="12" a="1"/>
  <c r="L17" i="12" s="1"/>
  <c r="L16" i="12" a="1"/>
  <c r="L16" i="12" s="1"/>
  <c r="L15" i="12" a="1"/>
  <c r="L15" i="12" s="1"/>
  <c r="L14" i="12" a="1"/>
  <c r="L14" i="12" s="1"/>
  <c r="L13" i="12" a="1"/>
  <c r="L13" i="12" s="1"/>
  <c r="L12" i="12" a="1"/>
  <c r="L12" i="12" s="1"/>
  <c r="L11" i="12" a="1"/>
  <c r="L11" i="12" s="1"/>
  <c r="L10" i="12" a="1"/>
  <c r="L10" i="12" s="1"/>
  <c r="L9" i="12" a="1"/>
  <c r="L9" i="12" s="1"/>
  <c r="K33" i="12" a="1"/>
  <c r="K33" i="12" s="1"/>
  <c r="N33" i="12" s="1"/>
  <c r="K32" i="12" a="1"/>
  <c r="K32" i="12" s="1"/>
  <c r="N32" i="12" s="1"/>
  <c r="K31" i="12" a="1"/>
  <c r="K31" i="12" s="1"/>
  <c r="N31" i="12" s="1"/>
  <c r="K30" i="12" a="1"/>
  <c r="K30" i="12" s="1"/>
  <c r="N30" i="12" s="1"/>
  <c r="K29" i="12" a="1"/>
  <c r="K29" i="12" s="1"/>
  <c r="N29" i="12" s="1"/>
  <c r="K28" i="12" a="1"/>
  <c r="K28" i="12" s="1"/>
  <c r="N28" i="12" s="1"/>
  <c r="K27" i="12" a="1"/>
  <c r="K27" i="12" s="1"/>
  <c r="N27" i="12" s="1"/>
  <c r="K26" i="12" a="1"/>
  <c r="K26" i="12" s="1"/>
  <c r="N26" i="12" s="1"/>
  <c r="K25" i="12" a="1"/>
  <c r="K25" i="12" s="1"/>
  <c r="N25" i="12" s="1"/>
  <c r="K24" i="12" a="1"/>
  <c r="K24" i="12" s="1"/>
  <c r="N24" i="12" s="1"/>
  <c r="K23" i="12" a="1"/>
  <c r="K23" i="12" s="1"/>
  <c r="N23" i="12" s="1"/>
  <c r="K22" i="12" a="1"/>
  <c r="K22" i="12" s="1"/>
  <c r="N22" i="12" s="1"/>
  <c r="K21" i="12" a="1"/>
  <c r="K21" i="12" s="1"/>
  <c r="N21" i="12" s="1"/>
  <c r="K20" i="12" a="1"/>
  <c r="K20" i="12" s="1"/>
  <c r="N20" i="12" s="1"/>
  <c r="K19" i="12" a="1"/>
  <c r="K19" i="12" s="1"/>
  <c r="N19" i="12" s="1"/>
  <c r="K18" i="12" a="1"/>
  <c r="K18" i="12" s="1"/>
  <c r="N18" i="12" s="1"/>
  <c r="K17" i="12" a="1"/>
  <c r="K17" i="12" s="1"/>
  <c r="N17" i="12" s="1"/>
  <c r="K16" i="12" a="1"/>
  <c r="K16" i="12" s="1"/>
  <c r="N16" i="12" s="1"/>
  <c r="K15" i="12" a="1"/>
  <c r="K15" i="12" s="1"/>
  <c r="N15" i="12" s="1"/>
  <c r="K14" i="12" a="1"/>
  <c r="K14" i="12" s="1"/>
  <c r="N14" i="12" s="1"/>
  <c r="K13" i="12" a="1"/>
  <c r="K13" i="12" s="1"/>
  <c r="N13" i="12" s="1"/>
  <c r="K12" i="12" a="1"/>
  <c r="K12" i="12" s="1"/>
  <c r="N12" i="12" s="1"/>
  <c r="K11" i="12" a="1"/>
  <c r="K11" i="12" s="1"/>
  <c r="N11" i="12" s="1"/>
  <c r="K10" i="12" a="1"/>
  <c r="K10" i="12" s="1"/>
  <c r="N10" i="12" s="1"/>
  <c r="K9" i="12" a="1"/>
  <c r="K9" i="12" s="1"/>
  <c r="N9" i="12" s="1"/>
  <c r="F33" i="12" a="1"/>
  <c r="F33" i="12" s="1"/>
  <c r="F32" i="12" a="1"/>
  <c r="F32" i="12" s="1"/>
  <c r="F31" i="12" a="1"/>
  <c r="F31" i="12" s="1"/>
  <c r="F30" i="12" a="1"/>
  <c r="F30" i="12" s="1"/>
  <c r="F29" i="12" a="1"/>
  <c r="F29" i="12" s="1"/>
  <c r="F28" i="12" a="1"/>
  <c r="F28" i="12" s="1"/>
  <c r="F27" i="12" a="1"/>
  <c r="F27" i="12" s="1"/>
  <c r="F26" i="12" a="1"/>
  <c r="F26" i="12" s="1"/>
  <c r="F25" i="12" a="1"/>
  <c r="F25" i="12" s="1"/>
  <c r="F24" i="12" a="1"/>
  <c r="F24" i="12" s="1"/>
  <c r="F23" i="12" a="1"/>
  <c r="F23" i="12" s="1"/>
  <c r="F22" i="12" a="1"/>
  <c r="F22" i="12" s="1"/>
  <c r="F21" i="12" a="1"/>
  <c r="F21" i="12" s="1"/>
  <c r="F20" i="12" a="1"/>
  <c r="F20" i="12" s="1"/>
  <c r="F19" i="12" a="1"/>
  <c r="F19" i="12" s="1"/>
  <c r="F18" i="12" a="1"/>
  <c r="F18" i="12" s="1"/>
  <c r="F17" i="12" a="1"/>
  <c r="F17" i="12" s="1"/>
  <c r="F16" i="12" a="1"/>
  <c r="F16" i="12" s="1"/>
  <c r="F15" i="12" a="1"/>
  <c r="F15" i="12" s="1"/>
  <c r="F14" i="12" a="1"/>
  <c r="F14" i="12" s="1"/>
  <c r="F13" i="12" a="1"/>
  <c r="F13" i="12" s="1"/>
  <c r="F12" i="12" a="1"/>
  <c r="F12" i="12" s="1"/>
  <c r="F11" i="12" a="1"/>
  <c r="F11" i="12" s="1"/>
  <c r="F10" i="12" a="1"/>
  <c r="F10" i="12" s="1"/>
  <c r="F9" i="12" a="1"/>
  <c r="F9" i="12" s="1"/>
  <c r="F24" i="7"/>
  <c r="G24" i="7"/>
  <c r="G95" i="12" l="1" a="1"/>
  <c r="G95" i="12" s="1"/>
  <c r="M95" i="12" s="1"/>
  <c r="G79" i="12" a="1"/>
  <c r="G79" i="12" s="1"/>
  <c r="L79" i="12" s="1"/>
  <c r="G93" i="12" a="1"/>
  <c r="G93" i="12" s="1"/>
  <c r="L93" i="12" s="1"/>
  <c r="G78" i="12" a="1"/>
  <c r="G78" i="12" s="1"/>
  <c r="L78" i="12" s="1"/>
  <c r="G92" i="12" a="1"/>
  <c r="G92" i="12" s="1"/>
  <c r="L92" i="12" s="1"/>
  <c r="G71" i="12" a="1"/>
  <c r="G71" i="12" s="1"/>
  <c r="L71" i="12" s="1"/>
  <c r="G85" i="12" a="1"/>
  <c r="G85" i="12" s="1"/>
  <c r="M85" i="12" s="1"/>
  <c r="L95" i="12"/>
  <c r="L82" i="12"/>
  <c r="M82" i="12"/>
  <c r="M99" i="12"/>
  <c r="L99" i="12"/>
  <c r="L91" i="12"/>
  <c r="M91" i="12"/>
  <c r="G73" i="12" a="1"/>
  <c r="G73" i="12" s="1"/>
  <c r="G87" i="12" a="1"/>
  <c r="G87" i="12" s="1"/>
  <c r="M69" i="12"/>
  <c r="L69" i="12"/>
  <c r="L83" i="12"/>
  <c r="M83" i="12"/>
  <c r="L96" i="12"/>
  <c r="M96" i="12"/>
  <c r="L100" i="12"/>
  <c r="M100" i="12"/>
  <c r="M74" i="12"/>
  <c r="L74" i="12"/>
  <c r="M88" i="12"/>
  <c r="L88" i="12"/>
  <c r="L70" i="12"/>
  <c r="M70" i="12"/>
  <c r="M84" i="12"/>
  <c r="L84" i="12"/>
  <c r="G101" i="12" a="1"/>
  <c r="G101" i="12" s="1"/>
  <c r="L77" i="12"/>
  <c r="M77" i="12"/>
  <c r="M75" i="12"/>
  <c r="L75" i="12"/>
  <c r="L89" i="12"/>
  <c r="M89" i="12"/>
  <c r="L97" i="12"/>
  <c r="M97" i="12"/>
  <c r="G80" i="12" a="1"/>
  <c r="G80" i="12" s="1"/>
  <c r="L94" i="12"/>
  <c r="M94" i="12"/>
  <c r="L76" i="12"/>
  <c r="M76" i="12"/>
  <c r="L90" i="12"/>
  <c r="M90" i="12"/>
  <c r="M98" i="12"/>
  <c r="L98" i="12"/>
  <c r="M102" i="12"/>
  <c r="L102" i="12"/>
  <c r="L81" i="12"/>
  <c r="M81" i="12"/>
  <c r="M72" i="12"/>
  <c r="L72" i="12"/>
  <c r="L86" i="12"/>
  <c r="M86" i="12"/>
  <c r="V19" i="7"/>
  <c r="L85" i="12" l="1"/>
  <c r="M79" i="12"/>
  <c r="M78" i="12"/>
  <c r="M92" i="12"/>
  <c r="M93" i="12"/>
  <c r="M71" i="12"/>
  <c r="L80" i="12"/>
  <c r="M80" i="12"/>
  <c r="M73" i="12"/>
  <c r="L73" i="12"/>
  <c r="L87" i="12"/>
  <c r="M87" i="12"/>
  <c r="L101" i="12"/>
  <c r="M101" i="12"/>
  <c r="V23" i="6" a="1"/>
  <c r="V23" i="6" s="1"/>
  <c r="V22" i="6" a="1"/>
  <c r="V22" i="6" s="1"/>
  <c r="V21" i="6" a="1"/>
  <c r="V21" i="6" s="1"/>
  <c r="V20" i="6" a="1"/>
  <c r="V20" i="6" s="1"/>
  <c r="V18" i="6" a="1"/>
  <c r="V18" i="6" s="1"/>
  <c r="V17" i="6" a="1"/>
  <c r="V17" i="6" s="1"/>
  <c r="H18" i="7"/>
  <c r="G24" i="13"/>
  <c r="H24" i="13"/>
  <c r="H29" i="12" l="1"/>
  <c r="I9" i="12"/>
  <c r="I12" i="12"/>
  <c r="H32" i="12"/>
  <c r="I10" i="12"/>
  <c r="H30" i="12"/>
  <c r="I11" i="12"/>
  <c r="H31" i="12"/>
  <c r="E142" i="12" l="1"/>
  <c r="E141" i="12"/>
  <c r="E140" i="12"/>
  <c r="A39" i="15" l="1"/>
  <c r="A38" i="15"/>
  <c r="A37" i="15"/>
  <c r="A36" i="15"/>
  <c r="A33" i="15"/>
  <c r="A30" i="15"/>
  <c r="A29" i="15"/>
  <c r="A28" i="15"/>
  <c r="A27" i="15"/>
  <c r="A26" i="15"/>
  <c r="A25" i="15"/>
  <c r="A24" i="15"/>
  <c r="A19" i="15"/>
  <c r="A18" i="15"/>
  <c r="A15" i="15"/>
  <c r="A14" i="15"/>
  <c r="A13" i="15"/>
  <c r="A12" i="15"/>
  <c r="A11" i="15"/>
  <c r="A10" i="15"/>
  <c r="A9" i="15"/>
  <c r="A8" i="15"/>
  <c r="A7" i="15"/>
  <c r="A4" i="15"/>
  <c r="E233" i="12" l="1"/>
  <c r="E232" i="12"/>
  <c r="E243" i="12"/>
  <c r="E248" i="12"/>
  <c r="E247" i="12"/>
  <c r="E246" i="12"/>
  <c r="E245" i="12"/>
  <c r="E244" i="12"/>
  <c r="A39" i="13"/>
  <c r="A38" i="13"/>
  <c r="A37" i="13"/>
  <c r="A36" i="13"/>
  <c r="A33" i="13"/>
  <c r="A30" i="13"/>
  <c r="A29" i="13"/>
  <c r="A28" i="13"/>
  <c r="A27" i="13"/>
  <c r="A26" i="13"/>
  <c r="A25" i="13"/>
  <c r="A24" i="13"/>
  <c r="A19" i="13"/>
  <c r="A18" i="13"/>
  <c r="A15" i="13"/>
  <c r="A14" i="13"/>
  <c r="A13" i="13"/>
  <c r="A12" i="13"/>
  <c r="A11" i="13"/>
  <c r="A10" i="13"/>
  <c r="A9" i="13"/>
  <c r="A8" i="13"/>
  <c r="A7" i="13"/>
  <c r="A4" i="13"/>
  <c r="O248" i="12" l="1" a="1"/>
  <c r="O248" i="12" s="1"/>
  <c r="I248" i="12" a="1"/>
  <c r="I248" i="12" s="1"/>
  <c r="G248" i="12" a="1"/>
  <c r="G248" i="12" s="1"/>
  <c r="F248" i="12" a="1"/>
  <c r="F248" i="12" s="1"/>
  <c r="F11" i="13" s="1"/>
  <c r="D248" i="12" a="1"/>
  <c r="D248" i="12" s="1"/>
  <c r="D11" i="13" s="1"/>
  <c r="O247" i="12" a="1"/>
  <c r="O247" i="12" s="1"/>
  <c r="I247" i="12" a="1"/>
  <c r="I247" i="12" s="1"/>
  <c r="G247" i="12" a="1"/>
  <c r="G247" i="12" s="1"/>
  <c r="F247" i="12" a="1"/>
  <c r="F247" i="12" s="1"/>
  <c r="F10" i="13" s="1"/>
  <c r="D247" i="12" a="1"/>
  <c r="D247" i="12" s="1"/>
  <c r="D10" i="13" s="1"/>
  <c r="O246" i="12" a="1"/>
  <c r="O246" i="12" s="1"/>
  <c r="I246" i="12" a="1"/>
  <c r="I246" i="12" s="1"/>
  <c r="G246" i="12" a="1"/>
  <c r="G246" i="12" s="1"/>
  <c r="F246" i="12" a="1"/>
  <c r="F246" i="12" s="1"/>
  <c r="F9" i="13" s="1"/>
  <c r="D246" i="12" a="1"/>
  <c r="D246" i="12" s="1"/>
  <c r="D9" i="13" s="1"/>
  <c r="O245" i="12" a="1"/>
  <c r="O245" i="12" s="1"/>
  <c r="I245" i="12" a="1"/>
  <c r="I245" i="12" s="1"/>
  <c r="G245" i="12" a="1"/>
  <c r="G245" i="12" s="1"/>
  <c r="F245" i="12" a="1"/>
  <c r="F245" i="12" s="1"/>
  <c r="F8" i="13" s="1"/>
  <c r="D245" i="12" a="1"/>
  <c r="D245" i="12" s="1"/>
  <c r="D8" i="13" s="1"/>
  <c r="O244" i="12" a="1"/>
  <c r="O244" i="12" s="1"/>
  <c r="I244" i="12" a="1"/>
  <c r="I244" i="12" s="1"/>
  <c r="G244" i="12" a="1"/>
  <c r="G244" i="12" s="1"/>
  <c r="F244" i="12" a="1"/>
  <c r="F244" i="12" s="1"/>
  <c r="F7" i="13" s="1"/>
  <c r="D244" i="12" a="1"/>
  <c r="D244" i="12" s="1"/>
  <c r="D7" i="13" s="1"/>
  <c r="O243" i="12" a="1"/>
  <c r="O243" i="12" s="1"/>
  <c r="I243" i="12" a="1"/>
  <c r="I243" i="12" s="1"/>
  <c r="G243" i="12" a="1"/>
  <c r="G243" i="12" s="1"/>
  <c r="F243" i="12" a="1"/>
  <c r="F243" i="12" s="1"/>
  <c r="F6" i="13" s="1"/>
  <c r="D243" i="12" a="1"/>
  <c r="D243" i="12" s="1"/>
  <c r="D6" i="13" s="1"/>
  <c r="D240" i="12" a="1"/>
  <c r="D240" i="12" s="1"/>
  <c r="D239" i="12" a="1"/>
  <c r="D239" i="12" s="1"/>
  <c r="O233" i="12" a="1"/>
  <c r="O233" i="12" s="1"/>
  <c r="I233" i="12" a="1"/>
  <c r="I233" i="12" s="1"/>
  <c r="G233" i="12" a="1"/>
  <c r="G233" i="12" s="1"/>
  <c r="F233" i="12" a="1"/>
  <c r="F233" i="12" s="1"/>
  <c r="F13" i="13" s="1"/>
  <c r="D233" i="12" a="1"/>
  <c r="D233" i="12" s="1"/>
  <c r="O232" i="12" a="1"/>
  <c r="O232" i="12" s="1"/>
  <c r="K232" i="12"/>
  <c r="I232" i="12" a="1"/>
  <c r="I232" i="12" s="1"/>
  <c r="G232" i="12" a="1"/>
  <c r="G232" i="12" s="1"/>
  <c r="J232" i="12" s="1"/>
  <c r="F232" i="12" a="1"/>
  <c r="F232" i="12" s="1"/>
  <c r="F12" i="13" s="1"/>
  <c r="D232" i="12" a="1"/>
  <c r="D232" i="12" s="1"/>
  <c r="D229" i="12" a="1"/>
  <c r="D229" i="12" s="1"/>
  <c r="D228" i="12" a="1"/>
  <c r="D228" i="12" s="1"/>
  <c r="Q211" i="12" a="1"/>
  <c r="Q211" i="12" s="1"/>
  <c r="F211" i="12" a="1"/>
  <c r="F211" i="12" s="1"/>
  <c r="D211" i="12" a="1"/>
  <c r="D211" i="12" s="1"/>
  <c r="Q210" i="12" a="1"/>
  <c r="Q210" i="12" s="1"/>
  <c r="F210" i="12" a="1"/>
  <c r="F210" i="12" s="1"/>
  <c r="D210" i="12" a="1"/>
  <c r="D210" i="12" s="1"/>
  <c r="Q209" i="12" a="1"/>
  <c r="Q209" i="12" s="1"/>
  <c r="F209" i="12" a="1"/>
  <c r="F209" i="12" s="1"/>
  <c r="D209" i="12" a="1"/>
  <c r="D209" i="12" s="1"/>
  <c r="D206" i="12" a="1"/>
  <c r="D206" i="12" s="1"/>
  <c r="D205" i="12" a="1"/>
  <c r="D205" i="12" s="1"/>
  <c r="O199" i="12" a="1"/>
  <c r="O199" i="12" s="1"/>
  <c r="I199" i="12" a="1"/>
  <c r="I199" i="12" s="1"/>
  <c r="G199" i="12" a="1"/>
  <c r="G199" i="12" s="1"/>
  <c r="F199" i="12" a="1"/>
  <c r="F199" i="12" s="1"/>
  <c r="D199" i="12" a="1"/>
  <c r="D199" i="12" s="1"/>
  <c r="E199" i="12" s="1" a="1"/>
  <c r="E199" i="12" s="1"/>
  <c r="O198" i="12" a="1"/>
  <c r="O198" i="12" s="1"/>
  <c r="I198" i="12" a="1"/>
  <c r="I198" i="12" s="1"/>
  <c r="G198" i="12" a="1"/>
  <c r="G198" i="12" s="1"/>
  <c r="F198" i="12" a="1"/>
  <c r="F198" i="12" s="1"/>
  <c r="D198" i="12" a="1"/>
  <c r="D198" i="12" s="1"/>
  <c r="E198" i="12" s="1" a="1"/>
  <c r="E198" i="12" s="1"/>
  <c r="O197" i="12" a="1"/>
  <c r="O197" i="12" s="1"/>
  <c r="I197" i="12" a="1"/>
  <c r="I197" i="12" s="1"/>
  <c r="G197" i="12" a="1"/>
  <c r="G197" i="12" s="1"/>
  <c r="F197" i="12" a="1"/>
  <c r="F197" i="12" s="1"/>
  <c r="D197" i="12" a="1"/>
  <c r="D197" i="12" s="1"/>
  <c r="E197" i="12" s="1" a="1"/>
  <c r="E197" i="12" s="1"/>
  <c r="O196" i="12" a="1"/>
  <c r="O196" i="12" s="1"/>
  <c r="I196" i="12" a="1"/>
  <c r="I196" i="12" s="1"/>
  <c r="G196" i="12" a="1"/>
  <c r="G196" i="12" s="1"/>
  <c r="F196" i="12" a="1"/>
  <c r="F196" i="12" s="1"/>
  <c r="D196" i="12" a="1"/>
  <c r="D196" i="12" s="1"/>
  <c r="E196" i="12" s="1" a="1"/>
  <c r="E196" i="12" s="1"/>
  <c r="O195" i="12" a="1"/>
  <c r="O195" i="12" s="1"/>
  <c r="I195" i="12" a="1"/>
  <c r="I195" i="12" s="1"/>
  <c r="G195" i="12" a="1"/>
  <c r="G195" i="12" s="1"/>
  <c r="F195" i="12" a="1"/>
  <c r="F195" i="12" s="1"/>
  <c r="D195" i="12" a="1"/>
  <c r="D195" i="12" s="1"/>
  <c r="E195" i="12" s="1" a="1"/>
  <c r="E195" i="12" s="1"/>
  <c r="O194" i="12" a="1"/>
  <c r="O194" i="12" s="1"/>
  <c r="I194" i="12" a="1"/>
  <c r="I194" i="12" s="1"/>
  <c r="G194" i="12" a="1"/>
  <c r="G194" i="12" s="1"/>
  <c r="F194" i="12" a="1"/>
  <c r="F194" i="12" s="1"/>
  <c r="D194" i="12" a="1"/>
  <c r="D194" i="12" s="1"/>
  <c r="D191" i="12" a="1"/>
  <c r="D191" i="12" s="1"/>
  <c r="D190" i="12" a="1"/>
  <c r="D190" i="12" s="1"/>
  <c r="O184" i="12" a="1"/>
  <c r="O184" i="12" s="1"/>
  <c r="I184" i="12" a="1"/>
  <c r="I184" i="12" s="1"/>
  <c r="G184" i="12" a="1"/>
  <c r="G184" i="12" s="1"/>
  <c r="F184" i="12" a="1"/>
  <c r="F184" i="12" s="1"/>
  <c r="D184" i="12" a="1"/>
  <c r="D184" i="12" s="1"/>
  <c r="E184" i="12" s="1" a="1"/>
  <c r="E184" i="12" s="1"/>
  <c r="O183" i="12" a="1"/>
  <c r="O183" i="12" s="1"/>
  <c r="I183" i="12" a="1"/>
  <c r="I183" i="12" s="1"/>
  <c r="G183" i="12" a="1"/>
  <c r="G183" i="12" s="1"/>
  <c r="F183" i="12" a="1"/>
  <c r="F183" i="12" s="1"/>
  <c r="D183" i="12" a="1"/>
  <c r="D183" i="12" s="1"/>
  <c r="E183" i="12" s="1" a="1"/>
  <c r="E183" i="12" s="1"/>
  <c r="O182" i="12" a="1"/>
  <c r="O182" i="12" s="1"/>
  <c r="I182" i="12" a="1"/>
  <c r="I182" i="12" s="1"/>
  <c r="G182" i="12" a="1"/>
  <c r="G182" i="12" s="1"/>
  <c r="F182" i="12" a="1"/>
  <c r="F182" i="12" s="1"/>
  <c r="D182" i="12" a="1"/>
  <c r="D182" i="12" s="1"/>
  <c r="E182" i="12" s="1" a="1"/>
  <c r="E182" i="12" s="1"/>
  <c r="O181" i="12" a="1"/>
  <c r="O181" i="12" s="1"/>
  <c r="I181" i="12" a="1"/>
  <c r="I181" i="12" s="1"/>
  <c r="G181" i="12" a="1"/>
  <c r="G181" i="12" s="1"/>
  <c r="F181" i="12" a="1"/>
  <c r="F181" i="12" s="1"/>
  <c r="D181" i="12" a="1"/>
  <c r="D181" i="12" s="1"/>
  <c r="E181" i="12" s="1" a="1"/>
  <c r="E181" i="12" s="1"/>
  <c r="O180" i="12" a="1"/>
  <c r="O180" i="12" s="1"/>
  <c r="I180" i="12" a="1"/>
  <c r="I180" i="12" s="1"/>
  <c r="G180" i="12" a="1"/>
  <c r="G180" i="12" s="1"/>
  <c r="F180" i="12" a="1"/>
  <c r="F180" i="12" s="1"/>
  <c r="D180" i="12" a="1"/>
  <c r="D180" i="12" s="1"/>
  <c r="E180" i="12" s="1" a="1"/>
  <c r="E180" i="12" s="1"/>
  <c r="O179" i="12" a="1"/>
  <c r="O179" i="12" s="1"/>
  <c r="I179" i="12" a="1"/>
  <c r="I179" i="12" s="1"/>
  <c r="G179" i="12" a="1"/>
  <c r="G179" i="12" s="1"/>
  <c r="F179" i="12" a="1"/>
  <c r="F179" i="12" s="1"/>
  <c r="D179" i="12" a="1"/>
  <c r="D179" i="12" s="1"/>
  <c r="E179" i="12" s="1" a="1"/>
  <c r="E179" i="12" s="1"/>
  <c r="O178" i="12" a="1"/>
  <c r="O178" i="12" s="1"/>
  <c r="I178" i="12" a="1"/>
  <c r="I178" i="12" s="1"/>
  <c r="G178" i="12" a="1"/>
  <c r="G178" i="12" s="1"/>
  <c r="F178" i="12" a="1"/>
  <c r="F178" i="12" s="1"/>
  <c r="D178" i="12" a="1"/>
  <c r="D178" i="12" s="1"/>
  <c r="E178" i="12" s="1" a="1"/>
  <c r="E178" i="12" s="1"/>
  <c r="O177" i="12" a="1"/>
  <c r="O177" i="12" s="1"/>
  <c r="I177" i="12" a="1"/>
  <c r="I177" i="12" s="1"/>
  <c r="G177" i="12" a="1"/>
  <c r="G177" i="12" s="1"/>
  <c r="F177" i="12" a="1"/>
  <c r="F177" i="12" s="1"/>
  <c r="D177" i="12" a="1"/>
  <c r="D177" i="12" s="1"/>
  <c r="E177" i="12" s="1" a="1"/>
  <c r="E177" i="12" s="1"/>
  <c r="D174" i="12" a="1"/>
  <c r="D174" i="12" s="1"/>
  <c r="D173" i="12" a="1"/>
  <c r="D173" i="12" s="1"/>
  <c r="O167" i="12" a="1"/>
  <c r="O167" i="12" s="1"/>
  <c r="I167" i="12" a="1"/>
  <c r="I167" i="12" s="1"/>
  <c r="G167" i="12" a="1"/>
  <c r="G167" i="12" s="1"/>
  <c r="F167" i="12" a="1"/>
  <c r="F167" i="12" s="1"/>
  <c r="D167" i="12" a="1"/>
  <c r="D167" i="12" s="1"/>
  <c r="E167" i="12" s="1" a="1"/>
  <c r="E167" i="12" s="1"/>
  <c r="O166" i="12" a="1"/>
  <c r="O166" i="12" s="1"/>
  <c r="I166" i="12" a="1"/>
  <c r="I166" i="12" s="1"/>
  <c r="G166" i="12" a="1"/>
  <c r="G166" i="12" s="1"/>
  <c r="F166" i="12" a="1"/>
  <c r="F166" i="12" s="1"/>
  <c r="D166" i="12" a="1"/>
  <c r="D166" i="12" s="1"/>
  <c r="E166" i="12" s="1" a="1"/>
  <c r="E166" i="12" s="1"/>
  <c r="O165" i="12" a="1"/>
  <c r="O165" i="12" s="1"/>
  <c r="I165" i="12" a="1"/>
  <c r="I165" i="12" s="1"/>
  <c r="G165" i="12" a="1"/>
  <c r="G165" i="12" s="1"/>
  <c r="F165" i="12" a="1"/>
  <c r="F165" i="12" s="1"/>
  <c r="D165" i="12" a="1"/>
  <c r="D165" i="12" s="1"/>
  <c r="E165" i="12" s="1" a="1"/>
  <c r="E165" i="12" s="1"/>
  <c r="O164" i="12" a="1"/>
  <c r="O164" i="12" s="1"/>
  <c r="I164" i="12" a="1"/>
  <c r="I164" i="12" s="1"/>
  <c r="G164" i="12" a="1"/>
  <c r="G164" i="12" s="1"/>
  <c r="F164" i="12" a="1"/>
  <c r="F164" i="12" s="1"/>
  <c r="D164" i="12" a="1"/>
  <c r="D164" i="12" s="1"/>
  <c r="E164" i="12" s="1" a="1"/>
  <c r="E164" i="12" s="1"/>
  <c r="O163" i="12" a="1"/>
  <c r="O163" i="12" s="1"/>
  <c r="I163" i="12" a="1"/>
  <c r="I163" i="12" s="1"/>
  <c r="G163" i="12" a="1"/>
  <c r="G163" i="12" s="1"/>
  <c r="F163" i="12" a="1"/>
  <c r="F163" i="12" s="1"/>
  <c r="D163" i="12" a="1"/>
  <c r="D163" i="12" s="1"/>
  <c r="E163" i="12" s="1" a="1"/>
  <c r="E163" i="12" s="1"/>
  <c r="O162" i="12" a="1"/>
  <c r="O162" i="12" s="1"/>
  <c r="I162" i="12" a="1"/>
  <c r="I162" i="12" s="1"/>
  <c r="G162" i="12" a="1"/>
  <c r="G162" i="12" s="1"/>
  <c r="F162" i="12" a="1"/>
  <c r="F162" i="12" s="1"/>
  <c r="D162" i="12" a="1"/>
  <c r="D162" i="12" s="1"/>
  <c r="E162" i="12" s="1" a="1"/>
  <c r="E162" i="12" s="1"/>
  <c r="O161" i="12" a="1"/>
  <c r="O161" i="12" s="1"/>
  <c r="I161" i="12" a="1"/>
  <c r="I161" i="12" s="1"/>
  <c r="G161" i="12" a="1"/>
  <c r="G161" i="12" s="1"/>
  <c r="F161" i="12" a="1"/>
  <c r="F161" i="12" s="1"/>
  <c r="D161" i="12" a="1"/>
  <c r="D161" i="12" s="1"/>
  <c r="E161" i="12" s="1" a="1"/>
  <c r="E161" i="12" s="1"/>
  <c r="O160" i="12" a="1"/>
  <c r="O160" i="12" s="1"/>
  <c r="I160" i="12" a="1"/>
  <c r="I160" i="12" s="1"/>
  <c r="G160" i="12" a="1"/>
  <c r="G160" i="12" s="1"/>
  <c r="F160" i="12" a="1"/>
  <c r="F160" i="12" s="1"/>
  <c r="D160" i="12" a="1"/>
  <c r="D160" i="12" s="1"/>
  <c r="E160" i="12" s="1" a="1"/>
  <c r="E160" i="12" s="1"/>
  <c r="O159" i="12" a="1"/>
  <c r="O159" i="12" s="1"/>
  <c r="I159" i="12" a="1"/>
  <c r="I159" i="12" s="1"/>
  <c r="G159" i="12" a="1"/>
  <c r="G159" i="12" s="1"/>
  <c r="F159" i="12" a="1"/>
  <c r="F159" i="12" s="1"/>
  <c r="D159" i="12" a="1"/>
  <c r="D159" i="12" s="1"/>
  <c r="E159" i="12" s="1" a="1"/>
  <c r="E159" i="12" s="1"/>
  <c r="O158" i="12" a="1"/>
  <c r="O158" i="12" s="1"/>
  <c r="I158" i="12" a="1"/>
  <c r="I158" i="12" s="1"/>
  <c r="G158" i="12" a="1"/>
  <c r="G158" i="12" s="1"/>
  <c r="F158" i="12" a="1"/>
  <c r="F158" i="12" s="1"/>
  <c r="D158" i="12" a="1"/>
  <c r="D158" i="12" s="1"/>
  <c r="E158" i="12" s="1" a="1"/>
  <c r="E158" i="12" s="1"/>
  <c r="O157" i="12" a="1"/>
  <c r="O157" i="12" s="1"/>
  <c r="I157" i="12" a="1"/>
  <c r="I157" i="12" s="1"/>
  <c r="G157" i="12" a="1"/>
  <c r="G157" i="12" s="1"/>
  <c r="F157" i="12" a="1"/>
  <c r="F157" i="12" s="1"/>
  <c r="D157" i="12" a="1"/>
  <c r="D157" i="12" s="1"/>
  <c r="E157" i="12" s="1" a="1"/>
  <c r="E157" i="12" s="1"/>
  <c r="O156" i="12" a="1"/>
  <c r="O156" i="12" s="1"/>
  <c r="I156" i="12" a="1"/>
  <c r="I156" i="12" s="1"/>
  <c r="G156" i="12" a="1"/>
  <c r="G156" i="12" s="1"/>
  <c r="F156" i="12" a="1"/>
  <c r="F156" i="12" s="1"/>
  <c r="D156" i="12" a="1"/>
  <c r="D156" i="12" s="1"/>
  <c r="E156" i="12" s="1" a="1"/>
  <c r="E156" i="12" s="1"/>
  <c r="O155" i="12" a="1"/>
  <c r="O155" i="12" s="1"/>
  <c r="I155" i="12" a="1"/>
  <c r="I155" i="12" s="1"/>
  <c r="G155" i="12" a="1"/>
  <c r="G155" i="12" s="1"/>
  <c r="F155" i="12" a="1"/>
  <c r="F155" i="12" s="1"/>
  <c r="D155" i="12" a="1"/>
  <c r="D155" i="12" s="1"/>
  <c r="E155" i="12" s="1" a="1"/>
  <c r="E155" i="12" s="1"/>
  <c r="O154" i="12" a="1"/>
  <c r="O154" i="12" s="1"/>
  <c r="I154" i="12" a="1"/>
  <c r="I154" i="12" s="1"/>
  <c r="G154" i="12" a="1"/>
  <c r="G154" i="12" s="1"/>
  <c r="F154" i="12" a="1"/>
  <c r="F154" i="12" s="1"/>
  <c r="D154" i="12" a="1"/>
  <c r="D154" i="12" s="1"/>
  <c r="E154" i="12" s="1" a="1"/>
  <c r="E154" i="12" s="1"/>
  <c r="O153" i="12" a="1"/>
  <c r="O153" i="12" s="1"/>
  <c r="I153" i="12" a="1"/>
  <c r="I153" i="12" s="1"/>
  <c r="G153" i="12" a="1"/>
  <c r="G153" i="12" s="1"/>
  <c r="F153" i="12" a="1"/>
  <c r="F153" i="12" s="1"/>
  <c r="D153" i="12" a="1"/>
  <c r="D153" i="12" s="1"/>
  <c r="E153" i="12" s="1" a="1"/>
  <c r="E153" i="12" s="1"/>
  <c r="O152" i="12" a="1"/>
  <c r="O152" i="12" s="1"/>
  <c r="I152" i="12" a="1"/>
  <c r="I152" i="12" s="1"/>
  <c r="G152" i="12" a="1"/>
  <c r="G152" i="12" s="1"/>
  <c r="F152" i="12" a="1"/>
  <c r="F152" i="12" s="1"/>
  <c r="D152" i="12" a="1"/>
  <c r="D152" i="12" s="1"/>
  <c r="E152" i="12" s="1" a="1"/>
  <c r="E152" i="12" s="1"/>
  <c r="D149" i="12" a="1"/>
  <c r="D149" i="12" s="1"/>
  <c r="D148" i="12" a="1"/>
  <c r="D148" i="12" s="1"/>
  <c r="O142" i="12" a="1"/>
  <c r="O142" i="12" s="1"/>
  <c r="I142" i="12" a="1"/>
  <c r="I142" i="12" s="1"/>
  <c r="G142" i="12" a="1"/>
  <c r="G142" i="12" s="1"/>
  <c r="F142" i="12" a="1"/>
  <c r="F142" i="12" s="1"/>
  <c r="D142" i="12" a="1"/>
  <c r="D142" i="12" s="1"/>
  <c r="D11" i="15" s="1"/>
  <c r="O141" i="12" a="1"/>
  <c r="O141" i="12" s="1"/>
  <c r="I141" i="12" a="1"/>
  <c r="I141" i="12" s="1"/>
  <c r="G141" i="12" a="1"/>
  <c r="G141" i="12" s="1"/>
  <c r="F141" i="12" a="1"/>
  <c r="F141" i="12" s="1"/>
  <c r="D141" i="12" a="1"/>
  <c r="D141" i="12" s="1"/>
  <c r="D10" i="15" s="1"/>
  <c r="O140" i="12" a="1"/>
  <c r="O140" i="12" s="1"/>
  <c r="K140" i="12"/>
  <c r="I140" i="12" a="1"/>
  <c r="I140" i="12" s="1"/>
  <c r="G140" i="12" a="1"/>
  <c r="G140" i="12" s="1"/>
  <c r="J140" i="12" s="1"/>
  <c r="F140" i="12" a="1"/>
  <c r="F140" i="12" s="1"/>
  <c r="D140" i="12" a="1"/>
  <c r="D140" i="12" s="1"/>
  <c r="D9" i="15" s="1"/>
  <c r="D137" i="12" a="1"/>
  <c r="D137" i="12" s="1"/>
  <c r="D136" i="12" a="1"/>
  <c r="D136" i="12" s="1"/>
  <c r="O130" i="12" a="1"/>
  <c r="O130" i="12" s="1"/>
  <c r="I130" i="12" a="1"/>
  <c r="I130" i="12" s="1"/>
  <c r="G130" i="12" a="1"/>
  <c r="G130" i="12" s="1"/>
  <c r="F130" i="12" a="1"/>
  <c r="F130" i="12" s="1"/>
  <c r="D130" i="12" a="1"/>
  <c r="D130" i="12" s="1"/>
  <c r="E130" i="12" s="1" a="1"/>
  <c r="E130" i="12" s="1"/>
  <c r="O129" i="12" a="1"/>
  <c r="O129" i="12" s="1"/>
  <c r="I129" i="12" a="1"/>
  <c r="I129" i="12" s="1"/>
  <c r="G129" i="12" a="1"/>
  <c r="G129" i="12" s="1"/>
  <c r="F129" i="12" a="1"/>
  <c r="F129" i="12" s="1"/>
  <c r="D129" i="12" a="1"/>
  <c r="D129" i="12" s="1"/>
  <c r="E129" i="12" s="1" a="1"/>
  <c r="E129" i="12" s="1"/>
  <c r="O128" i="12" a="1"/>
  <c r="O128" i="12" s="1"/>
  <c r="I128" i="12" a="1"/>
  <c r="I128" i="12" s="1"/>
  <c r="G128" i="12" a="1"/>
  <c r="G128" i="12" s="1"/>
  <c r="F128" i="12" a="1"/>
  <c r="F128" i="12" s="1"/>
  <c r="D128" i="12" a="1"/>
  <c r="D128" i="12" s="1"/>
  <c r="E128" i="12" s="1" a="1"/>
  <c r="E128" i="12" s="1"/>
  <c r="O127" i="12" a="1"/>
  <c r="O127" i="12" s="1"/>
  <c r="I127" i="12" a="1"/>
  <c r="I127" i="12" s="1"/>
  <c r="G127" i="12" a="1"/>
  <c r="G127" i="12" s="1"/>
  <c r="F127" i="12" a="1"/>
  <c r="F127" i="12" s="1"/>
  <c r="D127" i="12" a="1"/>
  <c r="D127" i="12" s="1"/>
  <c r="E127" i="12" s="1" a="1"/>
  <c r="E127" i="12" s="1"/>
  <c r="O126" i="12" a="1"/>
  <c r="O126" i="12" s="1"/>
  <c r="I126" i="12" a="1"/>
  <c r="I126" i="12" s="1"/>
  <c r="G126" i="12" a="1"/>
  <c r="G126" i="12" s="1"/>
  <c r="F126" i="12" a="1"/>
  <c r="F126" i="12" s="1"/>
  <c r="D126" i="12" a="1"/>
  <c r="D126" i="12" s="1"/>
  <c r="E126" i="12" s="1" a="1"/>
  <c r="E126" i="12" s="1"/>
  <c r="D123" i="12" a="1"/>
  <c r="D123" i="12" s="1"/>
  <c r="D122" i="12" a="1"/>
  <c r="D122" i="12" s="1"/>
  <c r="O116" i="12" a="1"/>
  <c r="O116" i="12" s="1"/>
  <c r="I116" i="12" a="1"/>
  <c r="I116" i="12" s="1"/>
  <c r="G116" i="12" a="1"/>
  <c r="G116" i="12" s="1"/>
  <c r="F116" i="12" a="1"/>
  <c r="F116" i="12" s="1"/>
  <c r="D116" i="12" a="1"/>
  <c r="D116" i="12" s="1"/>
  <c r="O115" i="12" a="1"/>
  <c r="O115" i="12" s="1"/>
  <c r="I115" i="12" a="1"/>
  <c r="I115" i="12" s="1"/>
  <c r="G115" i="12" a="1"/>
  <c r="G115" i="12" s="1"/>
  <c r="F115" i="12" a="1"/>
  <c r="F115" i="12" s="1"/>
  <c r="D115" i="12" a="1"/>
  <c r="D115" i="12" s="1"/>
  <c r="O114" i="12" a="1"/>
  <c r="O114" i="12" s="1"/>
  <c r="I114" i="12" a="1"/>
  <c r="I114" i="12" s="1"/>
  <c r="G114" i="12" a="1"/>
  <c r="G114" i="12" s="1"/>
  <c r="F114" i="12" a="1"/>
  <c r="F114" i="12" s="1"/>
  <c r="D114" i="12" a="1"/>
  <c r="D114" i="12" s="1"/>
  <c r="O113" i="12" a="1"/>
  <c r="O113" i="12" s="1"/>
  <c r="I113" i="12" a="1"/>
  <c r="I113" i="12" s="1"/>
  <c r="G113" i="12" a="1"/>
  <c r="G113" i="12" s="1"/>
  <c r="F113" i="12" a="1"/>
  <c r="F113" i="12" s="1"/>
  <c r="D113" i="12" a="1"/>
  <c r="D113" i="12" s="1"/>
  <c r="O112" i="12" a="1"/>
  <c r="O112" i="12" s="1"/>
  <c r="I112" i="12" a="1"/>
  <c r="I112" i="12" s="1"/>
  <c r="G112" i="12" a="1"/>
  <c r="G112" i="12" s="1"/>
  <c r="F112" i="12" a="1"/>
  <c r="F112" i="12" s="1"/>
  <c r="D112" i="12" a="1"/>
  <c r="D112" i="12" s="1"/>
  <c r="D109" i="12" a="1"/>
  <c r="D109" i="12" s="1"/>
  <c r="D108" i="12" a="1"/>
  <c r="D108" i="12" s="1"/>
  <c r="Q68" i="12" a="1"/>
  <c r="Q68" i="12" s="1"/>
  <c r="E68" i="12" a="1"/>
  <c r="E68" i="12" s="1"/>
  <c r="G68" i="12" s="1" a="1"/>
  <c r="G68" i="12" s="1"/>
  <c r="D68" i="12" a="1"/>
  <c r="D68" i="12" s="1"/>
  <c r="Q67" i="12" a="1"/>
  <c r="Q67" i="12" s="1"/>
  <c r="E67" i="12" a="1"/>
  <c r="E67" i="12" s="1"/>
  <c r="G67" i="12" s="1" a="1"/>
  <c r="G67" i="12" s="1"/>
  <c r="D67" i="12" a="1"/>
  <c r="D67" i="12" s="1"/>
  <c r="Q66" i="12" a="1"/>
  <c r="Q66" i="12" s="1"/>
  <c r="E66" i="12" a="1"/>
  <c r="E66" i="12" s="1"/>
  <c r="G66" i="12" s="1" a="1"/>
  <c r="G66" i="12" s="1"/>
  <c r="D66" i="12" a="1"/>
  <c r="D66" i="12" s="1"/>
  <c r="Q65" i="12" a="1"/>
  <c r="Q65" i="12" s="1"/>
  <c r="E65" i="12" a="1"/>
  <c r="E65" i="12" s="1"/>
  <c r="G65" i="12" s="1" a="1"/>
  <c r="G65" i="12" s="1"/>
  <c r="D65" i="12" a="1"/>
  <c r="D65" i="12" s="1"/>
  <c r="Q64" i="12" a="1"/>
  <c r="Q64" i="12" s="1"/>
  <c r="E64" i="12" a="1"/>
  <c r="E64" i="12" s="1"/>
  <c r="G64" i="12" s="1" a="1"/>
  <c r="G64" i="12" s="1"/>
  <c r="D64" i="12" a="1"/>
  <c r="D64" i="12" s="1"/>
  <c r="Q63" i="12" a="1"/>
  <c r="Q63" i="12" s="1"/>
  <c r="E63" i="12" a="1"/>
  <c r="E63" i="12" s="1"/>
  <c r="G63" i="12" s="1" a="1"/>
  <c r="G63" i="12" s="1"/>
  <c r="D63" i="12" a="1"/>
  <c r="D63" i="12" s="1"/>
  <c r="Q62" i="12" a="1"/>
  <c r="Q62" i="12" s="1"/>
  <c r="E62" i="12" a="1"/>
  <c r="E62" i="12" s="1"/>
  <c r="G62" i="12" s="1" a="1"/>
  <c r="G62" i="12" s="1"/>
  <c r="D62" i="12" a="1"/>
  <c r="D62" i="12" s="1"/>
  <c r="D59" i="12" a="1"/>
  <c r="D59" i="12" s="1"/>
  <c r="D58" i="12" a="1"/>
  <c r="D58" i="12" s="1"/>
  <c r="P52" i="12" a="1"/>
  <c r="P52" i="12" s="1"/>
  <c r="J52" i="12" a="1"/>
  <c r="J52" i="12" s="1"/>
  <c r="H52" i="12" a="1"/>
  <c r="H52" i="12" s="1"/>
  <c r="G52" i="12" a="1"/>
  <c r="G52" i="12" s="1"/>
  <c r="E52" i="12" a="1"/>
  <c r="E52" i="12" s="1"/>
  <c r="D52" i="12" a="1"/>
  <c r="D52" i="12" s="1"/>
  <c r="P51" i="12" a="1"/>
  <c r="P51" i="12" s="1"/>
  <c r="J51" i="12" a="1"/>
  <c r="J51" i="12" s="1"/>
  <c r="H51" i="12" a="1"/>
  <c r="H51" i="12" s="1"/>
  <c r="G51" i="12" a="1"/>
  <c r="G51" i="12" s="1"/>
  <c r="E51" i="12" a="1"/>
  <c r="E51" i="12" s="1"/>
  <c r="D51" i="12" a="1"/>
  <c r="D51" i="12" s="1"/>
  <c r="P50" i="12" a="1"/>
  <c r="P50" i="12" s="1"/>
  <c r="J50" i="12" a="1"/>
  <c r="J50" i="12" s="1"/>
  <c r="H50" i="12" a="1"/>
  <c r="H50" i="12" s="1"/>
  <c r="G50" i="12" a="1"/>
  <c r="G50" i="12" s="1"/>
  <c r="E50" i="12" a="1"/>
  <c r="E50" i="12" s="1"/>
  <c r="D50" i="12" a="1"/>
  <c r="D50" i="12" s="1"/>
  <c r="P49" i="12" a="1"/>
  <c r="P49" i="12" s="1"/>
  <c r="J49" i="12" a="1"/>
  <c r="J49" i="12" s="1"/>
  <c r="H49" i="12" a="1"/>
  <c r="H49" i="12" s="1"/>
  <c r="G49" i="12" a="1"/>
  <c r="G49" i="12" s="1"/>
  <c r="E49" i="12" a="1"/>
  <c r="E49" i="12" s="1"/>
  <c r="D49" i="12" a="1"/>
  <c r="D49" i="12" s="1"/>
  <c r="P48" i="12" a="1"/>
  <c r="P48" i="12" s="1"/>
  <c r="J48" i="12" a="1"/>
  <c r="J48" i="12" s="1"/>
  <c r="H48" i="12" a="1"/>
  <c r="H48" i="12" s="1"/>
  <c r="G48" i="12" a="1"/>
  <c r="G48" i="12" s="1"/>
  <c r="E48" i="12" a="1"/>
  <c r="E48" i="12" s="1"/>
  <c r="D48" i="12" a="1"/>
  <c r="D48" i="12" s="1"/>
  <c r="P47" i="12" a="1"/>
  <c r="P47" i="12" s="1"/>
  <c r="J47" i="12" a="1"/>
  <c r="J47" i="12" s="1"/>
  <c r="H47" i="12" a="1"/>
  <c r="H47" i="12" s="1"/>
  <c r="G47" i="12" a="1"/>
  <c r="G47" i="12" s="1"/>
  <c r="E47" i="12" a="1"/>
  <c r="E47" i="12" s="1"/>
  <c r="D47" i="12" a="1"/>
  <c r="D47" i="12" s="1"/>
  <c r="P46" i="12" a="1"/>
  <c r="P46" i="12" s="1"/>
  <c r="J46" i="12" a="1"/>
  <c r="J46" i="12" s="1"/>
  <c r="H46" i="12" a="1"/>
  <c r="H46" i="12" s="1"/>
  <c r="G46" i="12" a="1"/>
  <c r="G46" i="12" s="1"/>
  <c r="E46" i="12" a="1"/>
  <c r="E46" i="12" s="1"/>
  <c r="D46" i="12" a="1"/>
  <c r="D46" i="12" s="1"/>
  <c r="P45" i="12" a="1"/>
  <c r="P45" i="12" s="1"/>
  <c r="J45" i="12" a="1"/>
  <c r="J45" i="12" s="1"/>
  <c r="H45" i="12" a="1"/>
  <c r="H45" i="12" s="1"/>
  <c r="G45" i="12" a="1"/>
  <c r="G45" i="12" s="1"/>
  <c r="E45" i="12" a="1"/>
  <c r="E45" i="12" s="1"/>
  <c r="D45" i="12" a="1"/>
  <c r="D45" i="12" s="1"/>
  <c r="P44" i="12" a="1"/>
  <c r="P44" i="12" s="1"/>
  <c r="J44" i="12" a="1"/>
  <c r="J44" i="12" s="1"/>
  <c r="H44" i="12" a="1"/>
  <c r="H44" i="12" s="1"/>
  <c r="G44" i="12" a="1"/>
  <c r="G44" i="12" s="1"/>
  <c r="E44" i="12" a="1"/>
  <c r="E44" i="12" s="1"/>
  <c r="D44" i="12" a="1"/>
  <c r="D44" i="12" s="1"/>
  <c r="P43" i="12" a="1"/>
  <c r="P43" i="12" s="1"/>
  <c r="J43" i="12" a="1"/>
  <c r="J43" i="12" s="1"/>
  <c r="H43" i="12" a="1"/>
  <c r="H43" i="12" s="1"/>
  <c r="G43" i="12" a="1"/>
  <c r="G43" i="12" s="1"/>
  <c r="E43" i="12" a="1"/>
  <c r="E43" i="12" s="1"/>
  <c r="D43" i="12" a="1"/>
  <c r="D43" i="12" s="1"/>
  <c r="D40" i="12" a="1"/>
  <c r="D40" i="12" s="1"/>
  <c r="D39" i="12" a="1"/>
  <c r="D39" i="12" s="1"/>
  <c r="A39" i="12"/>
  <c r="A38" i="12"/>
  <c r="A37" i="12"/>
  <c r="A36" i="12"/>
  <c r="T33" i="12" a="1"/>
  <c r="T33" i="12" s="1"/>
  <c r="E33" i="12" a="1"/>
  <c r="E33" i="12" s="1"/>
  <c r="D33" i="12" a="1"/>
  <c r="D33" i="12" s="1"/>
  <c r="A33" i="12"/>
  <c r="T32" i="12" a="1"/>
  <c r="T32" i="12" s="1"/>
  <c r="E32" i="12" a="1"/>
  <c r="E32" i="12" s="1"/>
  <c r="D32" i="12" a="1"/>
  <c r="D32" i="12" s="1"/>
  <c r="T31" i="12" a="1"/>
  <c r="T31" i="12" s="1"/>
  <c r="E31" i="12" a="1"/>
  <c r="E31" i="12" s="1"/>
  <c r="D31" i="12" a="1"/>
  <c r="D31" i="12" s="1"/>
  <c r="T30" i="12" a="1"/>
  <c r="T30" i="12" s="1"/>
  <c r="E30" i="12" a="1"/>
  <c r="E30" i="12" s="1"/>
  <c r="D30" i="12" a="1"/>
  <c r="D30" i="12" s="1"/>
  <c r="A30" i="12"/>
  <c r="T29" i="12" a="1"/>
  <c r="T29" i="12" s="1"/>
  <c r="E29" i="12" a="1"/>
  <c r="E29" i="12" s="1"/>
  <c r="D29" i="12" a="1"/>
  <c r="D29" i="12" s="1"/>
  <c r="A29" i="12"/>
  <c r="T28" i="12" a="1"/>
  <c r="T28" i="12" s="1"/>
  <c r="E28" i="12" a="1"/>
  <c r="E28" i="12" s="1"/>
  <c r="D28" i="12" a="1"/>
  <c r="D28" i="12" s="1"/>
  <c r="A28" i="12"/>
  <c r="T27" i="12" a="1"/>
  <c r="T27" i="12" s="1"/>
  <c r="E27" i="12" a="1"/>
  <c r="E27" i="12" s="1"/>
  <c r="D27" i="12" a="1"/>
  <c r="D27" i="12" s="1"/>
  <c r="A27" i="12"/>
  <c r="T26" i="12" a="1"/>
  <c r="T26" i="12" s="1"/>
  <c r="E26" i="12" a="1"/>
  <c r="E26" i="12" s="1"/>
  <c r="D26" i="12" a="1"/>
  <c r="D26" i="12" s="1"/>
  <c r="A26" i="12"/>
  <c r="T25" i="12" a="1"/>
  <c r="T25" i="12" s="1"/>
  <c r="E25" i="12" a="1"/>
  <c r="E25" i="12" s="1"/>
  <c r="D25" i="12" a="1"/>
  <c r="D25" i="12" s="1"/>
  <c r="A25" i="12"/>
  <c r="T24" i="12" a="1"/>
  <c r="T24" i="12" s="1"/>
  <c r="E24" i="12" a="1"/>
  <c r="E24" i="12" s="1"/>
  <c r="D24" i="12" a="1"/>
  <c r="D24" i="12" s="1"/>
  <c r="A24" i="12"/>
  <c r="T23" i="12" a="1"/>
  <c r="T23" i="12" s="1"/>
  <c r="E23" i="12" a="1"/>
  <c r="E23" i="12" s="1"/>
  <c r="D23" i="12" a="1"/>
  <c r="D23" i="12" s="1"/>
  <c r="T22" i="12" a="1"/>
  <c r="T22" i="12" s="1"/>
  <c r="E22" i="12" a="1"/>
  <c r="E22" i="12" s="1"/>
  <c r="D22" i="12" a="1"/>
  <c r="D22" i="12" s="1"/>
  <c r="T21" i="12" a="1"/>
  <c r="T21" i="12" s="1"/>
  <c r="E21" i="12" a="1"/>
  <c r="E21" i="12" s="1"/>
  <c r="D21" i="12" a="1"/>
  <c r="D21" i="12" s="1"/>
  <c r="T20" i="12" a="1"/>
  <c r="T20" i="12" s="1"/>
  <c r="E20" i="12" a="1"/>
  <c r="E20" i="12" s="1"/>
  <c r="D20" i="12" a="1"/>
  <c r="D20" i="12" s="1"/>
  <c r="T19" i="12" a="1"/>
  <c r="T19" i="12" s="1"/>
  <c r="E19" i="12" a="1"/>
  <c r="E19" i="12" s="1"/>
  <c r="D19" i="12" a="1"/>
  <c r="D19" i="12" s="1"/>
  <c r="A19" i="12"/>
  <c r="T18" i="12" a="1"/>
  <c r="T18" i="12" s="1"/>
  <c r="E18" i="12" a="1"/>
  <c r="E18" i="12" s="1"/>
  <c r="D18" i="12" a="1"/>
  <c r="D18" i="12" s="1"/>
  <c r="A18" i="12"/>
  <c r="T17" i="12" a="1"/>
  <c r="T17" i="12" s="1"/>
  <c r="E17" i="12" a="1"/>
  <c r="E17" i="12" s="1"/>
  <c r="D17" i="12" a="1"/>
  <c r="D17" i="12" s="1"/>
  <c r="T16" i="12" a="1"/>
  <c r="T16" i="12" s="1"/>
  <c r="E16" i="12" a="1"/>
  <c r="E16" i="12" s="1"/>
  <c r="D16" i="12" a="1"/>
  <c r="D16" i="12" s="1"/>
  <c r="T15" i="12" a="1"/>
  <c r="T15" i="12" s="1"/>
  <c r="E15" i="12" a="1"/>
  <c r="E15" i="12" s="1"/>
  <c r="D15" i="12" a="1"/>
  <c r="D15" i="12" s="1"/>
  <c r="A15" i="12"/>
  <c r="T14" i="12" a="1"/>
  <c r="T14" i="12" s="1"/>
  <c r="E14" i="12" a="1"/>
  <c r="E14" i="12" s="1"/>
  <c r="D14" i="12" a="1"/>
  <c r="D14" i="12" s="1"/>
  <c r="A14" i="12"/>
  <c r="T13" i="12" a="1"/>
  <c r="T13" i="12" s="1"/>
  <c r="E13" i="12" a="1"/>
  <c r="E13" i="12" s="1"/>
  <c r="D13" i="12" a="1"/>
  <c r="D13" i="12" s="1"/>
  <c r="A13" i="12"/>
  <c r="T12" i="12" a="1"/>
  <c r="T12" i="12" s="1"/>
  <c r="E12" i="12" a="1"/>
  <c r="E12" i="12" s="1"/>
  <c r="D12" i="12" a="1"/>
  <c r="D12" i="12" s="1"/>
  <c r="A12" i="12"/>
  <c r="T11" i="12" a="1"/>
  <c r="T11" i="12" s="1"/>
  <c r="E11" i="12" a="1"/>
  <c r="E11" i="12" s="1"/>
  <c r="D11" i="12" a="1"/>
  <c r="D11" i="12" s="1"/>
  <c r="A11" i="12"/>
  <c r="T10" i="12" a="1"/>
  <c r="T10" i="12" s="1"/>
  <c r="E10" i="12" a="1"/>
  <c r="E10" i="12" s="1"/>
  <c r="D10" i="12" a="1"/>
  <c r="D10" i="12" s="1"/>
  <c r="A10" i="12"/>
  <c r="T9" i="12" a="1"/>
  <c r="T9" i="12" s="1"/>
  <c r="E9" i="12" a="1"/>
  <c r="E9" i="12" s="1"/>
  <c r="D9" i="12" a="1"/>
  <c r="D9" i="12" s="1"/>
  <c r="A9" i="12"/>
  <c r="A8" i="12"/>
  <c r="A7" i="12"/>
  <c r="D6" i="12" a="1"/>
  <c r="D6" i="12" s="1"/>
  <c r="D5" i="12" a="1"/>
  <c r="D5" i="12" s="1"/>
  <c r="A4" i="12"/>
  <c r="L63" i="12" l="1"/>
  <c r="M63" i="12"/>
  <c r="M68" i="12"/>
  <c r="L68" i="12"/>
  <c r="L64" i="12"/>
  <c r="M64" i="12"/>
  <c r="L65" i="12"/>
  <c r="M65" i="12"/>
  <c r="M66" i="12"/>
  <c r="L66" i="12"/>
  <c r="M62" i="12"/>
  <c r="L62" i="12"/>
  <c r="M67" i="12"/>
  <c r="L67" i="12"/>
  <c r="G29" i="13" a="1"/>
  <c r="G29" i="13" s="1"/>
  <c r="G32" i="13" a="1"/>
  <c r="G32" i="13" s="1"/>
  <c r="G31" i="13" a="1"/>
  <c r="G31" i="13" s="1"/>
  <c r="G30" i="13" a="1"/>
  <c r="G30" i="13" s="1"/>
  <c r="E194" i="12" a="1"/>
  <c r="E194" i="12" s="1"/>
  <c r="J194" i="12" s="1"/>
  <c r="L46" i="12"/>
  <c r="L51" i="12"/>
  <c r="L48" i="12"/>
  <c r="K46" i="12"/>
  <c r="L43" i="12"/>
  <c r="K43" i="12"/>
  <c r="L50" i="12"/>
  <c r="K50" i="12"/>
  <c r="K45" i="12"/>
  <c r="L45" i="12"/>
  <c r="K51" i="12"/>
  <c r="K164" i="12"/>
  <c r="J164" i="12"/>
  <c r="K153" i="12"/>
  <c r="J153" i="12"/>
  <c r="K167" i="12"/>
  <c r="J167" i="12"/>
  <c r="K178" i="12"/>
  <c r="J178" i="12"/>
  <c r="K196" i="12"/>
  <c r="J196" i="12"/>
  <c r="J129" i="12"/>
  <c r="K129" i="12"/>
  <c r="K156" i="12"/>
  <c r="J156" i="12"/>
  <c r="K159" i="12"/>
  <c r="J159" i="12"/>
  <c r="K162" i="12"/>
  <c r="J162" i="12"/>
  <c r="K181" i="12"/>
  <c r="J181" i="12"/>
  <c r="K199" i="12"/>
  <c r="J199" i="12"/>
  <c r="K141" i="12"/>
  <c r="J141" i="12"/>
  <c r="K154" i="12"/>
  <c r="J154" i="12"/>
  <c r="K142" i="12"/>
  <c r="J142" i="12"/>
  <c r="K165" i="12"/>
  <c r="J165" i="12"/>
  <c r="J128" i="12"/>
  <c r="K128" i="12"/>
  <c r="K157" i="12"/>
  <c r="J157" i="12"/>
  <c r="K179" i="12"/>
  <c r="J179" i="12"/>
  <c r="K197" i="12"/>
  <c r="J197" i="12"/>
  <c r="J126" i="12"/>
  <c r="K126" i="12"/>
  <c r="K183" i="12"/>
  <c r="J183" i="12"/>
  <c r="K160" i="12"/>
  <c r="J160" i="12"/>
  <c r="K233" i="12"/>
  <c r="G236" i="12" s="1"/>
  <c r="J233" i="12"/>
  <c r="G235" i="12" s="1"/>
  <c r="K47" i="12"/>
  <c r="L47" i="12"/>
  <c r="K163" i="12"/>
  <c r="J163" i="12"/>
  <c r="K177" i="12"/>
  <c r="J177" i="12"/>
  <c r="K184" i="12"/>
  <c r="J184" i="12"/>
  <c r="K195" i="12"/>
  <c r="J195" i="12"/>
  <c r="K152" i="12"/>
  <c r="J152" i="12"/>
  <c r="K166" i="12"/>
  <c r="J166" i="12"/>
  <c r="K155" i="12"/>
  <c r="J155" i="12"/>
  <c r="K182" i="12"/>
  <c r="J182" i="12"/>
  <c r="J127" i="12"/>
  <c r="K127" i="12"/>
  <c r="J130" i="12"/>
  <c r="K130" i="12"/>
  <c r="K158" i="12"/>
  <c r="J158" i="12"/>
  <c r="K161" i="12"/>
  <c r="J161" i="12"/>
  <c r="K180" i="12"/>
  <c r="J180" i="12"/>
  <c r="K198" i="12"/>
  <c r="J198" i="12"/>
  <c r="G144" i="12" l="1"/>
  <c r="K194" i="12"/>
  <c r="G104" i="12"/>
  <c r="G105" i="12"/>
  <c r="G250" i="12"/>
  <c r="K48" i="12"/>
  <c r="G133" i="12"/>
  <c r="G132" i="12"/>
  <c r="K52" i="12"/>
  <c r="L52" i="12"/>
  <c r="G214" i="12"/>
  <c r="G145" i="12"/>
  <c r="L44" i="12"/>
  <c r="K44" i="12"/>
  <c r="G213" i="12"/>
  <c r="G186" i="12"/>
  <c r="G201" i="12"/>
  <c r="K248" i="12"/>
  <c r="J248" i="12"/>
  <c r="K246" i="12"/>
  <c r="J246" i="12"/>
  <c r="G187" i="12"/>
  <c r="G202" i="12"/>
  <c r="K244" i="12"/>
  <c r="J244" i="12"/>
  <c r="K247" i="12"/>
  <c r="J247" i="12"/>
  <c r="K245" i="12"/>
  <c r="J245" i="12"/>
  <c r="L49" i="12"/>
  <c r="K49" i="12"/>
  <c r="K243" i="12"/>
  <c r="J243" i="12"/>
  <c r="G170" i="12" l="1"/>
  <c r="G54" i="12"/>
  <c r="G169" i="12"/>
  <c r="G55" i="12"/>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4" i="7" l="1"/>
  <c r="I44" i="7" s="1"/>
  <c r="G44" i="7"/>
  <c r="H43" i="7"/>
  <c r="I43" i="7" s="1"/>
  <c r="G43" i="7"/>
  <c r="A44" i="7"/>
  <c r="L34" i="7"/>
  <c r="F34" i="7"/>
  <c r="G34" i="7" s="1"/>
  <c r="L33" i="7"/>
  <c r="F33" i="7"/>
  <c r="G33" i="7" s="1"/>
  <c r="F23" i="7"/>
  <c r="G23"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G25" i="12" s="1"/>
  <c r="I35" i="6" a="1"/>
  <c r="I35" i="6" s="1"/>
  <c r="H35" i="6" a="1"/>
  <c r="H35" i="6" s="1"/>
  <c r="G35" i="6" a="1"/>
  <c r="G35" i="6" s="1"/>
  <c r="F35" i="6" a="1"/>
  <c r="F35" i="6" s="1"/>
  <c r="E35" i="6" a="1"/>
  <c r="E35" i="6" s="1"/>
  <c r="D35" i="6" a="1"/>
  <c r="D35" i="6" s="1"/>
  <c r="G17" i="12" s="1"/>
  <c r="I34" i="6" a="1"/>
  <c r="I34" i="6" s="1"/>
  <c r="H34" i="6" a="1"/>
  <c r="H34" i="6" s="1"/>
  <c r="G34" i="6" a="1"/>
  <c r="G34" i="6" s="1"/>
  <c r="F34" i="6" a="1"/>
  <c r="F34" i="6" s="1"/>
  <c r="E34" i="6" a="1"/>
  <c r="E34" i="6" s="1"/>
  <c r="D34" i="6" a="1"/>
  <c r="D34" i="6" s="1"/>
  <c r="G19" i="12" s="1"/>
  <c r="I33" i="6" a="1"/>
  <c r="I33" i="6" s="1"/>
  <c r="H33" i="6" a="1"/>
  <c r="H33" i="6" s="1"/>
  <c r="G33" i="6" a="1"/>
  <c r="G33" i="6" s="1"/>
  <c r="F33" i="6" a="1"/>
  <c r="F33" i="6" s="1"/>
  <c r="E33" i="6" a="1"/>
  <c r="E33" i="6" s="1"/>
  <c r="D33" i="6" a="1"/>
  <c r="D33" i="6" s="1"/>
  <c r="G33" i="12" s="1"/>
  <c r="I32" i="6" a="1"/>
  <c r="I32" i="6" s="1"/>
  <c r="H32" i="6" a="1"/>
  <c r="H32" i="6" s="1"/>
  <c r="G32" i="6" a="1"/>
  <c r="G32" i="6" s="1"/>
  <c r="F32" i="6" a="1"/>
  <c r="F32" i="6" s="1"/>
  <c r="E32" i="6" a="1"/>
  <c r="E32" i="6" s="1"/>
  <c r="D32" i="6" a="1"/>
  <c r="D32" i="6" s="1"/>
  <c r="G26" i="12" s="1"/>
  <c r="I31" i="6" a="1"/>
  <c r="I31" i="6" s="1"/>
  <c r="H31" i="6" a="1"/>
  <c r="H31" i="6" s="1"/>
  <c r="G31" i="6" a="1"/>
  <c r="G31" i="6" s="1"/>
  <c r="F31" i="6" a="1"/>
  <c r="F31" i="6" s="1"/>
  <c r="E31" i="6" a="1"/>
  <c r="E31" i="6" s="1"/>
  <c r="D31" i="6" a="1"/>
  <c r="D31" i="6" s="1"/>
  <c r="G24" i="12" s="1"/>
  <c r="I30" i="6" a="1"/>
  <c r="I30" i="6" s="1"/>
  <c r="H30" i="6" a="1"/>
  <c r="H30" i="6" s="1"/>
  <c r="G30" i="6" a="1"/>
  <c r="G30" i="6" s="1"/>
  <c r="F30" i="6" a="1"/>
  <c r="F30" i="6" s="1"/>
  <c r="E30" i="6" a="1"/>
  <c r="E30" i="6" s="1"/>
  <c r="D30" i="6" a="1"/>
  <c r="D30" i="6" s="1"/>
  <c r="G23" i="12" s="1"/>
  <c r="I29" i="6" a="1"/>
  <c r="I29" i="6" s="1"/>
  <c r="H29" i="6" a="1"/>
  <c r="H29" i="6" s="1"/>
  <c r="G29" i="6" a="1"/>
  <c r="G29" i="6" s="1"/>
  <c r="F29" i="6" a="1"/>
  <c r="F29" i="6" s="1"/>
  <c r="E29" i="6" a="1"/>
  <c r="E29" i="6" s="1"/>
  <c r="D29" i="6" a="1"/>
  <c r="D29" i="6" s="1"/>
  <c r="G21" i="12" s="1"/>
  <c r="R28" i="6" a="1"/>
  <c r="R28" i="6" s="1"/>
  <c r="Q28" i="6" a="1"/>
  <c r="Q28" i="6" s="1"/>
  <c r="L28" i="6" a="1"/>
  <c r="L28" i="6" s="1"/>
  <c r="K28" i="6" a="1"/>
  <c r="K28" i="6" s="1"/>
  <c r="I28" i="6" a="1"/>
  <c r="I28" i="6" s="1"/>
  <c r="H28" i="6" a="1"/>
  <c r="H28" i="6" s="1"/>
  <c r="G28" i="6" a="1"/>
  <c r="G28" i="6" s="1"/>
  <c r="F28" i="6" a="1"/>
  <c r="F28" i="6" s="1"/>
  <c r="E28" i="6" a="1"/>
  <c r="E28" i="6" s="1"/>
  <c r="D28" i="6" a="1"/>
  <c r="D28" i="6" s="1"/>
  <c r="G22" i="12" s="1"/>
  <c r="R27" i="6" a="1"/>
  <c r="R27" i="6" s="1"/>
  <c r="Q27" i="6" a="1"/>
  <c r="Q27" i="6" s="1"/>
  <c r="L27" i="6" a="1"/>
  <c r="L27" i="6" s="1"/>
  <c r="K27" i="6" a="1"/>
  <c r="K27" i="6" s="1"/>
  <c r="I27" i="6" a="1"/>
  <c r="I27" i="6" s="1"/>
  <c r="H27" i="6" a="1"/>
  <c r="H27" i="6" s="1"/>
  <c r="G27" i="6" a="1"/>
  <c r="G27" i="6" s="1"/>
  <c r="F27" i="6" a="1"/>
  <c r="F27" i="6" s="1"/>
  <c r="E27" i="6" a="1"/>
  <c r="E27" i="6" s="1"/>
  <c r="D27" i="6" a="1"/>
  <c r="D27" i="6" s="1"/>
  <c r="G20" i="12" s="1"/>
  <c r="R26" i="6" a="1"/>
  <c r="R26" i="6" s="1"/>
  <c r="Q26" i="6" a="1"/>
  <c r="Q26" i="6" s="1"/>
  <c r="L26" i="6" a="1"/>
  <c r="L26" i="6" s="1"/>
  <c r="K26" i="6" a="1"/>
  <c r="K26" i="6" s="1"/>
  <c r="I26" i="6" a="1"/>
  <c r="I26" i="6" s="1"/>
  <c r="H26" i="6" a="1"/>
  <c r="H26" i="6" s="1"/>
  <c r="G26" i="6" a="1"/>
  <c r="G26" i="6" s="1"/>
  <c r="F26" i="6" a="1"/>
  <c r="F26" i="6" s="1"/>
  <c r="E26" i="6" a="1"/>
  <c r="E26" i="6" s="1"/>
  <c r="D26" i="6" a="1"/>
  <c r="D26" i="6" s="1"/>
  <c r="G14" i="12" s="1"/>
  <c r="R25" i="6" a="1"/>
  <c r="R25" i="6" s="1"/>
  <c r="Q25" i="6" a="1"/>
  <c r="Q25" i="6" s="1"/>
  <c r="L25" i="6" a="1"/>
  <c r="L25" i="6" s="1"/>
  <c r="K25" i="6" a="1"/>
  <c r="K25" i="6" s="1"/>
  <c r="I25" i="6" a="1"/>
  <c r="I25" i="6" s="1"/>
  <c r="H25" i="6" a="1"/>
  <c r="H25" i="6" s="1"/>
  <c r="G25" i="6" a="1"/>
  <c r="G25" i="6" s="1"/>
  <c r="F25" i="6" a="1"/>
  <c r="F25" i="6" s="1"/>
  <c r="E25" i="6" a="1"/>
  <c r="E25" i="6" s="1"/>
  <c r="D25" i="6" a="1"/>
  <c r="D25" i="6" s="1"/>
  <c r="G13" i="12" s="1"/>
  <c r="R24" i="6" a="1"/>
  <c r="R24" i="6" s="1"/>
  <c r="Q24" i="6" a="1"/>
  <c r="Q24" i="6" s="1"/>
  <c r="L24" i="6" a="1"/>
  <c r="L24" i="6" s="1"/>
  <c r="K24" i="6" a="1"/>
  <c r="K24" i="6" s="1"/>
  <c r="I24" i="6" a="1"/>
  <c r="I24" i="6" s="1"/>
  <c r="H24" i="6" a="1"/>
  <c r="H24" i="6" s="1"/>
  <c r="G24" i="6" a="1"/>
  <c r="G24" i="6" s="1"/>
  <c r="F24" i="6" a="1"/>
  <c r="F24" i="6" s="1"/>
  <c r="E24" i="6" a="1"/>
  <c r="E24" i="6" s="1"/>
  <c r="D24" i="6" a="1"/>
  <c r="D24" i="6" s="1"/>
  <c r="G28" i="12" s="1"/>
  <c r="R23" i="6" a="1"/>
  <c r="R23" i="6" s="1"/>
  <c r="Q23" i="6" a="1"/>
  <c r="Q23" i="6" s="1"/>
  <c r="L23" i="6" a="1"/>
  <c r="L23" i="6" s="1"/>
  <c r="K23" i="6" a="1"/>
  <c r="K23" i="6" s="1"/>
  <c r="I23" i="6" a="1"/>
  <c r="I23" i="6" s="1"/>
  <c r="H23" i="6" a="1"/>
  <c r="H23" i="6" s="1"/>
  <c r="G23" i="6" a="1"/>
  <c r="G23" i="6" s="1"/>
  <c r="F23" i="6" a="1"/>
  <c r="F23" i="6" s="1"/>
  <c r="E23" i="6" a="1"/>
  <c r="E23" i="6" s="1"/>
  <c r="D23" i="6" a="1"/>
  <c r="D23" i="6" s="1"/>
  <c r="G27" i="12"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G16" i="12"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G32" i="12" l="1"/>
  <c r="G31" i="12"/>
  <c r="G29" i="12"/>
  <c r="G30" i="12"/>
  <c r="G12" i="12"/>
  <c r="G11" i="12"/>
  <c r="G10" i="12"/>
  <c r="G9" i="12"/>
  <c r="G18" i="12"/>
  <c r="P24"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J44" i="7"/>
  <c r="D31" i="7"/>
  <c r="J43" i="7"/>
  <c r="E114" i="12" a="1"/>
  <c r="E114" i="12" s="1"/>
  <c r="E115" i="12" a="1"/>
  <c r="E115" i="12" s="1"/>
  <c r="E116" i="12" a="1"/>
  <c r="E116" i="12" s="1"/>
  <c r="E112" i="12" a="1"/>
  <c r="E112" i="12" s="1"/>
  <c r="E113" i="12" a="1"/>
  <c r="E113" i="12" s="1"/>
  <c r="D25" i="1" a="1"/>
  <c r="D25" i="1" s="1"/>
  <c r="P23" i="7"/>
  <c r="J29" i="12" l="1" a="1"/>
  <c r="J29" i="12" s="1"/>
  <c r="J32" i="12" a="1"/>
  <c r="J32" i="12" s="1"/>
  <c r="J31" i="12" a="1"/>
  <c r="J31" i="12" s="1"/>
  <c r="J30" i="12" a="1"/>
  <c r="J30" i="12" s="1"/>
  <c r="I18" i="7"/>
  <c r="J12" i="12" a="1"/>
  <c r="J12" i="12" s="1"/>
  <c r="J11" i="12" a="1"/>
  <c r="J11" i="12" s="1"/>
  <c r="J10" i="12" a="1"/>
  <c r="J10" i="12" s="1"/>
  <c r="J9" i="12" a="1"/>
  <c r="J9" i="12" s="1"/>
  <c r="O9" i="12" s="1"/>
  <c r="J33" i="12" a="1"/>
  <c r="J33" i="12" s="1"/>
  <c r="J17" i="12" a="1"/>
  <c r="J17" i="12" s="1"/>
  <c r="J22" i="12" a="1"/>
  <c r="J22" i="12" s="1"/>
  <c r="J28" i="12" a="1"/>
  <c r="J28" i="12" s="1"/>
  <c r="J16" i="12" a="1"/>
  <c r="J16" i="12" s="1"/>
  <c r="J27" i="12" a="1"/>
  <c r="J27" i="12" s="1"/>
  <c r="J26" i="12" a="1"/>
  <c r="J26" i="12" s="1"/>
  <c r="J15" i="12" a="1"/>
  <c r="J15" i="12" s="1"/>
  <c r="J25" i="12" a="1"/>
  <c r="J25" i="12" s="1"/>
  <c r="J14" i="12" a="1"/>
  <c r="J14" i="12" s="1"/>
  <c r="J21" i="12" a="1"/>
  <c r="J21" i="12" s="1"/>
  <c r="J24" i="12" a="1"/>
  <c r="J24" i="12" s="1"/>
  <c r="J13" i="12" a="1"/>
  <c r="J13" i="12" s="1"/>
  <c r="J23" i="12" a="1"/>
  <c r="J23" i="12" s="1"/>
  <c r="J20" i="12" a="1"/>
  <c r="J20" i="12" s="1"/>
  <c r="J18" i="12" a="1"/>
  <c r="J18" i="12" s="1"/>
  <c r="J19" i="12" a="1"/>
  <c r="J19" i="12" s="1"/>
  <c r="E39" i="1" a="1"/>
  <c r="E39" i="1" s="1"/>
  <c r="V18" i="7"/>
  <c r="J113" i="12"/>
  <c r="K113" i="12"/>
  <c r="K112" i="12"/>
  <c r="J112" i="12"/>
  <c r="J116" i="12"/>
  <c r="K116" i="12"/>
  <c r="K115" i="12"/>
  <c r="J115" i="12"/>
  <c r="J114" i="12"/>
  <c r="K114" i="12"/>
  <c r="E25" i="1" a="1"/>
  <c r="E25" i="1" s="1"/>
  <c r="E28" i="1" a="1"/>
  <c r="E28" i="1" s="1"/>
  <c r="E34" i="1" a="1"/>
  <c r="E34" i="1" s="1"/>
  <c r="E29" i="1" a="1"/>
  <c r="E29" i="1" s="1"/>
  <c r="E38" i="1" a="1"/>
  <c r="E38" i="1" s="1"/>
  <c r="E40" i="1" a="1"/>
  <c r="E40" i="1" s="1"/>
  <c r="E41" i="1" a="1"/>
  <c r="E41" i="1" s="1"/>
  <c r="E36" i="1" a="1"/>
  <c r="E36" i="1" s="1"/>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O29" i="12" l="1"/>
  <c r="P29" i="12"/>
  <c r="O30" i="12"/>
  <c r="P30" i="12"/>
  <c r="O31" i="12"/>
  <c r="P31" i="12"/>
  <c r="P32" i="12"/>
  <c r="O32" i="12"/>
  <c r="P9" i="12"/>
  <c r="P10" i="12"/>
  <c r="O10" i="12"/>
  <c r="O11" i="12"/>
  <c r="P11" i="12"/>
  <c r="O12" i="12"/>
  <c r="P12" i="12"/>
  <c r="P23" i="12"/>
  <c r="O23" i="12"/>
  <c r="O26" i="12"/>
  <c r="P26" i="12"/>
  <c r="P13" i="12"/>
  <c r="O13" i="12"/>
  <c r="P24" i="12"/>
  <c r="O24" i="12"/>
  <c r="P25" i="12"/>
  <c r="O25" i="12"/>
  <c r="O21" i="12"/>
  <c r="P21" i="12"/>
  <c r="P27" i="12"/>
  <c r="O27" i="12"/>
  <c r="P16" i="12"/>
  <c r="O16" i="12"/>
  <c r="P15" i="12"/>
  <c r="O15" i="12"/>
  <c r="P19" i="12"/>
  <c r="O19" i="12"/>
  <c r="P22" i="12"/>
  <c r="O22" i="12"/>
  <c r="P17" i="12"/>
  <c r="O17" i="12"/>
  <c r="O14" i="12"/>
  <c r="P14" i="12"/>
  <c r="P28" i="12"/>
  <c r="O28" i="12"/>
  <c r="P18" i="12"/>
  <c r="O18" i="12"/>
  <c r="P20" i="12"/>
  <c r="O20" i="12"/>
  <c r="P33" i="12"/>
  <c r="O33" i="12"/>
  <c r="E26" i="1" a="1"/>
  <c r="E26" i="1" s="1"/>
  <c r="E33" i="1" a="1"/>
  <c r="E33" i="1" s="1"/>
  <c r="E30" i="1" a="1"/>
  <c r="E30" i="1" s="1"/>
  <c r="E31" i="1" a="1"/>
  <c r="E31" i="1" s="1"/>
  <c r="E32" i="1" a="1"/>
  <c r="E32" i="1" s="1"/>
  <c r="E35" i="1" a="1"/>
  <c r="E35" i="1" s="1"/>
  <c r="E37" i="1" a="1"/>
  <c r="E37" i="1" s="1"/>
  <c r="E27" i="1" a="1"/>
  <c r="E27" i="1" s="1"/>
  <c r="E42" i="1" a="1"/>
  <c r="E42" i="1" s="1"/>
  <c r="G118" i="12"/>
  <c r="G119" i="12"/>
  <c r="F20" i="1"/>
  <c r="F19" i="1"/>
  <c r="F18" i="1"/>
  <c r="F17" i="1"/>
  <c r="F16" i="1"/>
  <c r="F15" i="1"/>
  <c r="D20" i="1"/>
  <c r="D19" i="1"/>
  <c r="D18" i="1"/>
  <c r="D17" i="1"/>
  <c r="D16" i="1"/>
  <c r="D15" i="1"/>
  <c r="D14" i="1"/>
  <c r="D13" i="1"/>
  <c r="D12" i="1"/>
  <c r="D11" i="1"/>
  <c r="D10" i="1"/>
  <c r="D9" i="1"/>
  <c r="D8" i="1"/>
  <c r="D7" i="1"/>
  <c r="D6" i="1"/>
  <c r="G35" i="12" l="1"/>
  <c r="G36" i="12"/>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E19" i="1" l="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<sst xmlns="http://schemas.openxmlformats.org/spreadsheetml/2006/main" count="824" uniqueCount="461">
  <si>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</si>
  <si>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</si>
  <si>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</si>
  <si>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</si>
  <si>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</si>
  <si>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</si>
  <si>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</si>
  <si>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</si>
  <si>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</si>
  <si>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</si>
  <si>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</si>
  <si>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</si>
  <si>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</si>
  <si>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</si>
  <si>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</si>
  <si>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</si>
  <si>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</si>
  <si>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</si>
  <si>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</si>
  <si>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</si>
  <si>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</si>
  <si>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</si>
  <si>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</si>
  <si>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</si>
  <si>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</si>
  <si>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</si>
  <si>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</si>
  <si>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</si>
  <si>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</si>
  <si>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</si>
  <si>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</si>
  <si>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</si>
  <si>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</si>
  <si>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</si>
  <si>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</si>
  <si>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</si>
  <si>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</si>
  <si>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</si>
  <si>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</si>
  <si>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</si>
  <si>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</si>
  <si>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</si>
  <si>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</si>
  <si>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</si>
  <si>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</si>
  <si>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</si>
  <si>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</si>
  <si>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</si>
  <si>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</si>
  <si>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</si>
  <si>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</si>
  <si>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</si>
  <si>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</si>
  <si>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</si>
  <si>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</si>
  <si>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</si>
  <si>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</si>
  <si>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</si>
  <si>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</si>
  <si>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</si>
  <si>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</si>
  <si>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</si>
  <si>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</si>
  <si>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</si>
  <si>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</si>
  <si>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</si>
  <si>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</si>
  <si>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</si>
  <si>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</si>
  <si>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</si>
  <si>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</si>
  <si>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</si>
  <si>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</si>
  <si>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</si>
  <si>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</si>
  <si>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</si>
  <si>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</si>
  <si>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</si>
  <si>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</si>
  <si>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</si>
  <si>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</si>
  <si>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</si>
  <si>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</si>
  <si>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</si>
  <si>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</si>
  <si>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</si>
  <si>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</si>
  <si>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</si>
  <si>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</si>
  <si>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</si>
  <si>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</si>
  <si>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</si>
  <si>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</si>
  <si>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</si>
  <si>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</si>
  <si>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</si>
  <si>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</si>
  <si>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</si>
  <si>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</si>
  <si>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</si>
  <si>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</si>
  <si>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</si>
  <si>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</si>
  <si>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</si>
  <si>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</si>
  <si>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</si>
  <si>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</si>
  <si>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</si>
  <si>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</si>
  <si>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</si>
  <si>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</si>
  <si>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</si>
  <si>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</si>
  <si>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</si>
  <si>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</si>
  <si>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</si>
  <si>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</si>
  <si>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</si>
  <si>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</si>
  <si>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</si>
  <si>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</si>
  <si>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</si>
  <si>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</si>
  <si>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</si>
  <si>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</si>
  <si>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</si>
  <si>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</si>
  <si>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</si>
  <si>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</si>
  <si>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</si>
  <si>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</si>
  <si>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</si>
  <si>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</si>
  <si>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</si>
  <si>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</si>
  <si>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</si>
  <si>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</si>
  <si>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</si>
  <si>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</si>
  <si>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</si>
  <si>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</si>
  <si>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</si>
  <si>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</si>
  <si>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</si>
  <si>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</si>
  <si>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</si>
  <si>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</si>
  <si>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</si>
  <si>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</si>
  <si>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</si>
  <si>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</si>
  <si>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</si>
  <si>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</si>
  <si>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</si>
  <si>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</si>
  <si>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</si>
  <si>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</si>
  <si>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</si>
  <si>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</si>
  <si>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</si>
  <si>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</si>
  <si>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</si>
  <si>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</si>
  <si>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</si>
  <si>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</si>
  <si>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</si>
  <si>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</si>
  <si>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</si>
  <si>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</si>
  <si>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</si>
  <si>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</si>
  <si>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</si>
  <si>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</si>
  <si>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</si>
  <si>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</si>
  <si>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</si>
  <si>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</si>
  <si>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</si>
  <si>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</si>
  <si>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</si>
  <si>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</si>
  <si>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</si>
  <si>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</si>
  <si>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</si>
  <si>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</si>
  <si>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</si>
  <si>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</si>
  <si>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</si>
  <si>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</si>
  <si>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</si>
  <si>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</si>
  <si>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</si>
  <si>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</si>
  <si>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</si>
  <si>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</si>
  <si>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</si>
  <si>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</si>
  <si>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</si>
  <si>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</si>
  <si>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</si>
  <si>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</si>
  <si>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</si>
  <si>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</si>
  <si>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</si>
  <si>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</si>
  <si>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</si>
  <si>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</si>
  <si>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</si>
  <si>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</si>
  <si>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</si>
  <si>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</si>
  <si>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</si>
  <si>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</si>
  <si>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</si>
  <si>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</si>
  <si>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</si>
  <si>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</si>
  <si>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</si>
  <si>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</si>
  <si>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Soil amendments</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</si>
  <si>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</si>
  <si>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</si>
  <si>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</si>
  <si>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</si>
  <si>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</si>
  <si>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</si>
  <si>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</si>
  <si>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</si>
  <si>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</si>
  <si>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</si>
  <si>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</si>
  <si>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</si>
  <si>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</si>
  <si>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</si>
  <si>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</si>
  <si>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</si>
  <si>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</si>
  <si>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</si>
  <si>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</si>
  <si>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</si>
  <si>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</si>
  <si>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</si>
  <si>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</si>
  <si>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</si>
  <si>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</si>
  <si>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</si>
  <si>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</si>
  <si>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</si>
  <si>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</si>
  <si>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</si>
  <si>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</si>
  <si>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</si>
  <si>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</si>
  <si>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</si>
  <si>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</si>
  <si>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</si>
  <si>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</si>
  <si>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</si>
  <si>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</si>
  <si>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</si>
  <si>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</si>
  <si>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</si>
  <si>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</si>
  <si>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</si>
  <si>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</si>
  <si>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</si>
  <si>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</si>
  <si>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</si>
  <si>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</si>
  <si>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</si>
  <si>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</si>
  <si>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</si>
  <si>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</si>
  <si>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</si>
  <si>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</si>
  <si>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</si>
  <si>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</si>
  <si>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</si>
  <si>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</si>
  <si>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</si>
  <si>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</si>
  <si>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</si>
  <si>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</si>
  <si>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</si>
  <si>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</si>
  <si>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</si>
  <si>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</si>
  <si>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</si>
  <si>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</si>
  <si>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</si>
  <si>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</si>
  <si>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</si>
  <si>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</si>
  <si>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</si>
  <si>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</si>
  <si>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</si>
  <si>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</si>
  <si>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</si>
  <si>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</si>
  <si>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</si>
  <si>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</si>
  <si>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Calculations - Purchased goods scope 3</t>
  </si>
  <si>
    <t>Home</t>
  </si>
  <si>
    <t>Chemical compound</t>
  </si>
  <si>
    <t>Quantity</t>
  </si>
  <si>
    <t>Quantity Unit</t>
  </si>
  <si>
    <t>AusLCI Emissions intensity</t>
  </si>
  <si>
    <t>Custom emissions intensity</t>
  </si>
  <si>
    <t>Emissions intensity unit</t>
  </si>
  <si>
    <t>Scope 3 emissions inc. custom (t CO2-e)2</t>
  </si>
  <si>
    <t>Custom emissions intensity source</t>
  </si>
  <si>
    <t>Custom emissions intensity source type (Select)</t>
  </si>
  <si>
    <t>Custom emissions intensity credential / certification link</t>
  </si>
  <si>
    <t>Scope 3 data score</t>
  </si>
  <si>
    <t>Emissions intensity calculated from approved method</t>
  </si>
  <si>
    <t>Waste</t>
  </si>
  <si>
    <t>Freight and transport</t>
  </si>
  <si>
    <t>N2O MMS</t>
  </si>
  <si>
    <t>Enteric methane</t>
  </si>
  <si>
    <t>Total scope 3 - Inorganic fertiliser chemical compounds exc. custom</t>
  </si>
  <si>
    <t>t CO2-e</t>
  </si>
  <si>
    <t>Total scope 3 - Inorganic fertiliser chemical compounds inc. custom</t>
  </si>
  <si>
    <t>Sources &amp; acknowledgements</t>
  </si>
  <si>
    <t>Scope 3 emissions exc. custom (t CO2-e)</t>
  </si>
  <si>
    <t>Total scope 3 - Organic fertiliser exc. custom</t>
  </si>
  <si>
    <t>Total scope 3 - Organic fertiliser inc. custom</t>
  </si>
  <si>
    <t>Total scope 3 - Purchased Livestock exc. custom</t>
  </si>
  <si>
    <t>Total scope 3 - Purchased Livestock inc. custom</t>
  </si>
  <si>
    <t>Soil amendment type</t>
  </si>
  <si>
    <t>Total scope 3 - Soil Amendments exc. custom</t>
  </si>
  <si>
    <t>Total scope 3 - Soil Amendments inc. custom</t>
  </si>
  <si>
    <t>Agrochemical type</t>
  </si>
  <si>
    <t>Total scope 3 - Agrochemicals exc. custom</t>
  </si>
  <si>
    <t>Total scope 3 - Agrochemicals inc. custom</t>
  </si>
  <si>
    <t>Lick block type</t>
  </si>
  <si>
    <t>Total scope 3 - Lick Blocks exc. custom</t>
  </si>
  <si>
    <t>Total scope 3 - Lick Blocks inc. custom</t>
  </si>
  <si>
    <t>Feed ingredient</t>
  </si>
  <si>
    <t>Total scope 3 - Animal Feed exc. custom</t>
  </si>
  <si>
    <t>Total scope 3 - Animal Feed inc. custom</t>
  </si>
  <si>
    <t>Feed / Bait ingredient</t>
  </si>
  <si>
    <t>Total scope 3 - Aquaculture feed and Bait exc. custom</t>
  </si>
  <si>
    <t>Total scope 3 - Aquaculture feed and Bait inc. custom</t>
  </si>
  <si>
    <t>Packaging component</t>
  </si>
  <si>
    <t>Verified credential matching ISO14067</t>
  </si>
  <si>
    <t>Total scope 3 - Packaging exc. custom</t>
  </si>
  <si>
    <t>Total scope 3 - Packaging inc. custom</t>
  </si>
  <si>
    <t>Total scope 3 - Cleaning chemicals exc. custom</t>
  </si>
  <si>
    <t>Total scope 3 - Cleaning chemicals inc. custom</t>
  </si>
  <si>
    <t>Type</t>
  </si>
  <si>
    <t>Total scope 3 - Seeds and seedlings exc. custom</t>
  </si>
  <si>
    <t>Total scope 3 - Seeds and seedlings inc. custom</t>
  </si>
  <si>
    <t>Total scope 3 - Other agricultural inputs exc. custom</t>
  </si>
  <si>
    <t>Input - Other farm inputs</t>
  </si>
  <si>
    <t>Tip: You can add more rows to the table by right-clicking on the table and selecting "Insert &gt; Table rows above/below".</t>
  </si>
  <si>
    <t>Packaging name</t>
  </si>
  <si>
    <t>Packaging component (select)</t>
  </si>
  <si>
    <t>Quantity purchased</t>
  </si>
  <si>
    <t>Quantity unit</t>
  </si>
  <si>
    <t>Reisling bottle</t>
  </si>
  <si>
    <t>Plastic packaging</t>
  </si>
  <si>
    <t>Cardboard</t>
  </si>
  <si>
    <t>Cleaning chemicals</t>
  </si>
  <si>
    <t>Chemical name</t>
  </si>
  <si>
    <t>Bleach</t>
  </si>
  <si>
    <t>Polypropylene (PP)</t>
  </si>
  <si>
    <t>Seed (general crop and pasture)</t>
  </si>
  <si>
    <t>Seedlings (forestry, horticulture, environmental)</t>
  </si>
  <si>
    <t>Input - Purchased feed - Livestock</t>
  </si>
  <si>
    <t>Supplemental feed</t>
  </si>
  <si>
    <t>Lick blocks</t>
  </si>
  <si>
    <t>Amount (t)</t>
  </si>
  <si>
    <t>Feed blends</t>
  </si>
  <si>
    <t>Feed blend name</t>
  </si>
  <si>
    <t>Amount fed (kg)</t>
  </si>
  <si>
    <t>Ingredient 2 (select)</t>
  </si>
  <si>
    <t>Ingredient 3 (select)</t>
  </si>
  <si>
    <t>Ingredient 4 (select)</t>
  </si>
  <si>
    <t>Ingredient 5 (select)</t>
  </si>
  <si>
    <t>Beet pulp</t>
  </si>
  <si>
    <t>Wheat</t>
  </si>
  <si>
    <t>Canola oil</t>
  </si>
  <si>
    <t>Bentonite</t>
  </si>
  <si>
    <t>Meat meal</t>
  </si>
  <si>
    <t>Wheat Bran</t>
  </si>
  <si>
    <t>Hay bales in paddock</t>
  </si>
  <si>
    <t>Hay</t>
  </si>
  <si>
    <t>Cotton seed</t>
  </si>
  <si>
    <r>
      <rPr>
        <b/>
        <i/>
        <sz val="12"/>
        <color rgb="FF0070C0"/>
        <rFont val="Times New Roman"/>
        <family val="1"/>
      </rPr>
      <t>Tip:</t>
    </r>
    <r>
      <rPr>
        <i/>
        <sz val="12"/>
        <color rgb="FF0070C0"/>
        <rFont val="Times New Roman"/>
        <family val="1"/>
      </rPr>
      <t xml:space="preserve"> You can add more rows to the table by right-clicking on the table and selecting "Insert &gt; Table rows above/below".</t>
    </r>
  </si>
  <si>
    <t>High Animal Protein Formulated Feed</t>
  </si>
  <si>
    <t>Cereal grain</t>
  </si>
  <si>
    <t>Squid</t>
  </si>
  <si>
    <t>Whole Sardines</t>
  </si>
  <si>
    <t>Feed blends Aquaculture and fishery</t>
  </si>
  <si>
    <t>Whole Fish</t>
  </si>
  <si>
    <t>Agrochemicals applied</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</si>
  <si>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</si>
  <si>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</si>
  <si>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</si>
  <si>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</si>
  <si>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</si>
  <si>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</si>
  <si>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</si>
  <si>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unit (select)</t>
  </si>
  <si>
    <t>Active ingredient 1 amount</t>
  </si>
  <si>
    <t>Active ingredient 2 (select)</t>
  </si>
  <si>
    <t>Active ingredient 2 unit (select)</t>
  </si>
  <si>
    <t>Active ingredient 2 amount</t>
  </si>
  <si>
    <t>Active ingredient 3 (select)</t>
  </si>
  <si>
    <t>Active ingredient 3 unit (select)</t>
  </si>
  <si>
    <t>Active ingredient 3 amount</t>
  </si>
  <si>
    <t>RELYON DI-PAR 250 SC HERBICIDE</t>
  </si>
  <si>
    <t>litre / hectare</t>
  </si>
  <si>
    <t>Paraquat, diquat</t>
  </si>
  <si>
    <t>Grams / litre</t>
  </si>
  <si>
    <t>Generic Insecticide</t>
  </si>
  <si>
    <t>Grams / kg</t>
  </si>
  <si>
    <t>Application area</t>
  </si>
  <si>
    <t>ACT</t>
  </si>
  <si>
    <t>Western Australia - South West Interconnected System (SWIS)</t>
  </si>
  <si>
    <t>Application unit</t>
  </si>
  <si>
    <t>Density</t>
  </si>
  <si>
    <t>Canada</t>
  </si>
  <si>
    <t>Category</t>
  </si>
  <si>
    <t>Region of origin</t>
  </si>
  <si>
    <t>Calcium nitrate</t>
  </si>
  <si>
    <t>Ammonia</t>
  </si>
  <si>
    <t>Amount applied per hectare</t>
  </si>
  <si>
    <t>Custom emissions intensity (Method 2)</t>
  </si>
  <si>
    <t>Average liveweight (kg/head)</t>
  </si>
  <si>
    <t>Livestock type (select)</t>
  </si>
  <si>
    <t>Class (select)</t>
  </si>
  <si>
    <t>Quantity (head)</t>
  </si>
  <si>
    <t>Total liveweight (kg)</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</si>
  <si>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</si>
  <si>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</si>
  <si>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</si>
  <si>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</si>
  <si>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</si>
  <si>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</si>
  <si>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</si>
  <si>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</si>
  <si>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</si>
  <si>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Australia</t>
  </si>
  <si>
    <t>NSW</t>
  </si>
  <si>
    <t>Table_SourceData_LivestockProduct_Chickens</t>
  </si>
  <si>
    <t>Table_SourceData_LivestockProduct_Dairycattle</t>
  </si>
  <si>
    <t>Table_SourceData_LivestockProduct_Pigs</t>
  </si>
  <si>
    <t>Dairy cattle</t>
  </si>
  <si>
    <t>Chickens</t>
  </si>
  <si>
    <t>Pigs</t>
  </si>
  <si>
    <t>Sheep</t>
  </si>
  <si>
    <t>Sheep, for mutton</t>
  </si>
  <si>
    <t>VIC</t>
  </si>
  <si>
    <t>Sheep, for prime lamb</t>
  </si>
  <si>
    <t>WA</t>
  </si>
  <si>
    <t>Dairy cows</t>
  </si>
  <si>
    <t>Type (select)</t>
  </si>
  <si>
    <t>Alkaline cleaner</t>
  </si>
  <si>
    <t>Phosphoric acid</t>
  </si>
  <si>
    <t>Quantity purchased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</si>
</sst>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64"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b/>
      <sz val="11"/>
      <color theme="7" tint="-0.499984740745262"/>
      <name val="Aptos Narrow"/>
      <family val="1"/>
      <scheme val="minor"/>
    </font>
    <font>
      <sz val="11"/>
      <color theme="1" tint="0.24994659260841701"/>
      <name val="Aptos Narrow"/>
      <family val="2"/>
      <scheme val="minor"/>
    </font>
    <font>
      <b/>
      <sz val="16"/>
      <color theme="1"/>
      <name val="Aptos Narrow"/>
      <family val="1"/>
      <scheme val="minor"/>
    </font>
    <font>
      <sz val="16"/>
      <color theme="1"/>
      <name val="Aptos Narrow"/>
      <family val="1"/>
      <scheme val="minor"/>
    </font>
    <font>
      <b/>
      <sz val="12"/>
      <color theme="1"/>
      <name val="Aptos Narrow"/>
      <family val="1"/>
      <scheme val="minor"/>
    </font>
    <font>
      <sz val="12"/>
      <color theme="1"/>
      <name val="Aptos Narrow"/>
      <family val="1"/>
      <scheme val="minor"/>
    </font>
    <font>
      <sz val="14"/>
      <color theme="5"/>
      <name val="Times New Roman"/>
      <family val="1"/>
    </font>
    <font>
      <b/>
      <i/>
      <sz val="12"/>
      <color rgb="FF0070C0"/>
      <name val="Times New Roman"/>
      <family val="1"/>
    </font>
    <font>
      <i/>
      <sz val="12"/>
      <color rgb="FF0070C0"/>
      <name val="Times New Roman"/>
      <family val="1"/>
    </font>
    <font>
      <b/>
      <sz val="11"/>
      <color theme="5" tint="-0.499984740745262"/>
      <name val="Aptos Narrow"/>
      <family val="1"/>
      <scheme val="minor"/>
    </font>
    <font>
      <sz val="8"/>
      <name val="Times New Roman"/>
      <family val="2"/>
    </font>
  </fonts>
  <fills count="14">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FFC000"/>
        <bgColor indexed="64"/>
      </patternFill>
    </fill>
    <fill>
      <patternFill patternType="solid">
        <fgColor rgb="FF008000"/>
        <bgColor indexed="64"/>
      </patternFill>
    </fill>
  </fills>
  <borders count="2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right style="thin">
        <color theme="0" tint="-0.34998626667073579"/>
      </right>
      <top/>
      <bottom/>
      <diagonal/>
    </border>
    <border>
      <left/>
      <right/>
      <top/>
      <bottom style="thin">
        <color indexed="64"/>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4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3" borderId="0">
      <alignment horizontal="left" vertical="center" indent="1"/>
    </xf>
    <xf numFmtId="0" fontId="59" fillId="2" borderId="0">
      <alignment horizontal="left" vertical="center"/>
    </xf>
  </cellStyleXfs>
  <cellXfs count="206">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52" fillId="0" borderId="0" xfId="44" applyFont="1" applyFill="1">
      <alignment horizontal="left" vertical="center" indent="1"/>
      <protection locked="0"/>
    </xf>
    <xf numFmtId="0" fontId="53" fillId="12" borderId="0" xfId="44" applyFont="1" applyFill="1">
      <alignment horizontal="left" vertical="center" indent="1"/>
      <protection locked="0"/>
    </xf>
    <xf numFmtId="4" fontId="11" fillId="5" borderId="1" xfId="32" applyFill="1">
      <alignment horizontal="center" vertical="center"/>
    </xf>
    <xf numFmtId="0" fontId="3" fillId="5" borderId="0" xfId="3" applyFill="1"/>
    <xf numFmtId="0" fontId="54" fillId="2" borderId="1" xfId="3" applyFont="1" applyFill="1" applyBorder="1"/>
    <xf numFmtId="0" fontId="4" fillId="5" borderId="1" xfId="19" applyFill="1">
      <alignment horizontal="center" vertical="center"/>
    </xf>
    <xf numFmtId="0" fontId="54" fillId="2" borderId="0" xfId="3" applyFont="1" applyFill="1"/>
    <xf numFmtId="0" fontId="18" fillId="13" borderId="0" xfId="45">
      <alignment horizontal="left" vertical="center" indent="1"/>
    </xf>
    <xf numFmtId="0" fontId="3" fillId="2" borderId="22" xfId="3" applyFill="1" applyBorder="1"/>
    <xf numFmtId="3" fontId="11" fillId="2" borderId="23" xfId="43" applyFill="1" applyBorder="1">
      <alignment horizontal="center" vertical="center"/>
    </xf>
    <xf numFmtId="0" fontId="55" fillId="2" borderId="10" xfId="3" applyFont="1" applyFill="1" applyBorder="1"/>
    <xf numFmtId="0" fontId="56" fillId="2" borderId="10" xfId="3" applyFont="1" applyFill="1" applyBorder="1"/>
    <xf numFmtId="0" fontId="3" fillId="2" borderId="10" xfId="3" applyFill="1" applyBorder="1"/>
    <xf numFmtId="0" fontId="10" fillId="2" borderId="10" xfId="10" applyBorder="1">
      <alignment horizontal="left" vertical="center"/>
    </xf>
    <xf numFmtId="0" fontId="57" fillId="2" borderId="10" xfId="3" applyFont="1" applyFill="1" applyBorder="1"/>
    <xf numFmtId="0" fontId="58" fillId="2" borderId="10" xfId="3" applyFont="1" applyFill="1" applyBorder="1"/>
    <xf numFmtId="0" fontId="12" fillId="0" borderId="0" xfId="3" applyFont="1"/>
    <xf numFmtId="0" fontId="52" fillId="4" borderId="0" xfId="44" applyFont="1" applyProtection="1">
      <alignment horizontal="left" vertical="center" indent="1"/>
    </xf>
    <xf numFmtId="0" fontId="53" fillId="12" borderId="0" xfId="44" applyFont="1" applyFill="1" applyProtection="1">
      <alignment horizontal="left" vertical="center" indent="1"/>
    </xf>
    <xf numFmtId="0" fontId="57" fillId="2" borderId="0" xfId="3" applyFont="1" applyFill="1"/>
    <xf numFmtId="0" fontId="58" fillId="2" borderId="0" xfId="3" applyFont="1" applyFill="1"/>
    <xf numFmtId="4" fontId="3" fillId="2" borderId="0" xfId="3" applyNumberFormat="1" applyFill="1"/>
    <xf numFmtId="0" fontId="54" fillId="5" borderId="1" xfId="3" applyFont="1" applyFill="1" applyBorder="1"/>
    <xf numFmtId="0" fontId="54" fillId="5" borderId="1" xfId="19" applyFont="1" applyFill="1">
      <alignment horizontal="center" vertical="center"/>
    </xf>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9" fillId="2" borderId="0" xfId="46">
      <alignment horizontal="left" vertical="center"/>
    </xf>
    <xf numFmtId="0" fontId="34" fillId="2" borderId="0" xfId="3" applyFont="1" applyFill="1" applyAlignment="1" applyProtection="1">
      <alignment horizontal="center"/>
      <protection locked="0"/>
    </xf>
    <xf numFmtId="4" fontId="0" fillId="0" borderId="0" xfId="32" applyFont="1" applyBorder="1">
      <alignment horizontal="center" vertical="center"/>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62" fillId="0" borderId="0" xfId="4" applyFont="1" applyFill="1" applyAlignment="1">
      <alignment horizontal="center" vertical="center"/>
    </xf>
    <xf numFmtId="0" fontId="0" fillId="5" borderId="0" xfId="4" applyFont="1" applyFill="1">
      <alignment horizontal="left" vertical="center"/>
    </xf>
    <xf numFmtId="0" fontId="11" fillId="0" borderId="1" xfId="32" applyNumberFormat="1">
      <alignment horizontal="center" vertical="center"/>
    </xf>
    <xf numFmtId="0" fontId="0" fillId="5" borderId="21" xfId="4" applyFont="1" applyFill="1" applyBorder="1">
      <alignment horizontal="left" vertical="center"/>
    </xf>
    <xf numFmtId="0" fontId="34" fillId="2" borderId="0" xfId="0" applyFont="1" applyFill="1" applyAlignment="1">
      <alignment horizontal="center" vertical="center"/>
    </xf>
    <xf numFmtId="0" fontId="34" fillId="2" borderId="0" xfId="0" applyFont="1" applyFill="1"/>
    <xf numFmtId="0" fontId="35" fillId="2" borderId="0" xfId="0" applyFont="1" applyFill="1"/>
    <xf numFmtId="0" fontId="0" fillId="0" borderId="0" xfId="0" applyAlignment="1">
      <alignment horizontal="center" vertical="center" wrapText="1"/>
    </xf>
    <xf numFmtId="4" fontId="39" fillId="0" borderId="1" xfId="32" applyFont="1" applyAlignment="1">
      <alignment horizontal="center" vertical="center" wrapText="1"/>
    </xf>
    <xf numFmtId="0" fontId="3" fillId="2" borderId="0" xfId="3" applyFont="1" applyFill="1"/>
    <xf numFmtId="0" fontId="54" fillId="5" borderId="1" xfId="19" applyFont="1" applyFill="1" applyBorder="1">
      <alignment horizontal="center" vertical="center"/>
    </xf>
    <xf numFmtId="0" fontId="3" fillId="2" borderId="0" xfId="3" applyFont="1" applyFill="1" applyBorder="1"/>
    <xf numFmtId="0" fontId="54" fillId="5" borderId="24" xfId="3" applyFont="1" applyFill="1" applyBorder="1"/>
    <xf numFmtId="0" fontId="54" fillId="2" borderId="24" xfId="3" applyFont="1" applyFill="1" applyBorder="1"/>
    <xf numFmtId="0" fontId="54" fillId="5" borderId="24" xfId="19" applyFont="1" applyFill="1" applyBorder="1">
      <alignment horizontal="center" vertical="center"/>
    </xf>
    <xf numFmtId="0" fontId="0" fillId="0" borderId="0" xfId="6" applyFont="1" applyFill="1" applyBorder="1">
      <alignment horizontal="left" vertical="center"/>
    </xf>
    <xf numFmtId="0" fontId="4" fillId="11" borderId="24" xfId="19" applyBorder="1">
      <alignment horizontal="center" vertical="center"/>
    </xf>
    <xf numFmtId="0" fontId="11" fillId="0" borderId="24" xfId="30" applyFill="1" applyBorder="1">
      <alignment horizontal="center" vertical="center"/>
    </xf>
    <xf numFmtId="0" fontId="24" fillId="2" borderId="24" xfId="20" applyBorder="1">
      <alignment horizontal="center" vertical="center"/>
    </xf>
    <xf numFmtId="0" fontId="6" fillId="2" borderId="0" xfId="6" applyNumberFormat="1" applyFont="1" applyFill="1" applyBorder="1" applyAlignment="1">
      <alignment horizontal="left" vertical="center"/>
    </xf>
    <xf numFmtId="0" fontId="3" fillId="0" borderId="24" xfId="19" applyFont="1" applyFill="1" applyBorder="1">
      <alignment horizontal="center" vertical="center"/>
    </xf>
  </cellXfs>
  <cellStyles count="47">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45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numFmt numFmtId="4" formatCode="#,##0.00"/>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left style="thin">
          <color theme="0" tint="-0.34998626667073579"/>
        </left>
      </border>
    </dxf>
    <dxf>
      <numFmt numFmtId="0" formatCode="General"/>
    </dxf>
    <dxf>
      <fill>
        <patternFill>
          <fgColor indexed="64"/>
          <bgColor theme="0"/>
        </patternFill>
      </fill>
      <border outline="0">
        <right style="thin">
          <color theme="0" tint="-0.34998626667073579"/>
        </right>
      </border>
    </dxf>
    <dxf>
      <font>
        <b/>
        <strike val="0"/>
        <outline val="0"/>
        <shadow val="0"/>
        <u val="none"/>
        <vertAlign val="baseline"/>
        <sz val="11"/>
        <color theme="5" tint="-0.499984740745262"/>
        <name val="Aptos Narrow"/>
        <family val="1"/>
        <scheme val="minor"/>
      </font>
      <alignment horizontal="center"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4" formatCode="#,##0.00"/>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Aptos Narrow"/>
        <family val="2"/>
        <scheme val="minor"/>
      </font>
      <fill>
        <patternFill patternType="solid">
          <fgColor indexed="64"/>
          <bgColor theme="0"/>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Aptos Narrow"/>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left style="thin">
          <color theme="0" tint="-0.34998626667073579"/>
        </left>
      </border>
    </dxf>
    <dxf>
      <fill>
        <patternFill patternType="solid">
          <fgColor indexed="64"/>
          <bgColor theme="0"/>
        </patternFill>
      </fill>
    </dxf>
    <dxf>
      <border outline="0">
        <right style="thin">
          <color theme="0" tint="-0.34998626667073579"/>
        </right>
      </border>
    </dxf>
    <dxf>
      <font>
        <b/>
        <strike val="0"/>
        <outline val="0"/>
        <shadow val="0"/>
        <u val="none"/>
        <vertAlign val="baseline"/>
        <sz val="11"/>
        <color rgb="FF183C1B"/>
        <name val="Aptos Narrow"/>
        <family val="1"/>
        <scheme val="minor"/>
      </font>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454"/>
      <tableStyleElement type="headerRow" dxfId="453"/>
      <tableStyleElement type="totalRow" dxfId="452"/>
      <tableStyleElement type="firstColumn" dxfId="451"/>
      <tableStyleElement type="firstRowStripe" dxfId="450"/>
      <tableStyleElement type="secondRowStripe" dxfId="449"/>
    </tableStyle>
    <tableStyle name="Equation table" pivot="0" count="6" xr9:uid="{0B4491E8-4F2C-4EE8-9336-DC99561B4B77}">
      <tableStyleElement type="wholeTable" dxfId="448"/>
      <tableStyleElement type="headerRow" dxfId="447"/>
      <tableStyleElement type="totalRow" dxfId="446"/>
      <tableStyleElement type="firstColumn" dxfId="445"/>
      <tableStyleElement type="firstRowStripe" dxfId="444"/>
      <tableStyleElement type="secondRowStripe" dxfId="4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19" headerRowDxfId="295" dataDxfId="294" totalsRowDxfId="293">
  <autoFilter ref="D17:X19"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292" totalsRowDxfId="291" dataCellStyle="Input select"/>
    <tableColumn id="23" xr3:uid="{F727E370-72E8-46CC-9F10-18494CAC017E}" name="Amount applied per hectare" totalsRowFunction="custom" dataDxfId="290" totalsRowDxfId="289">
      <totalsRowFormula>SUM(Table_Input_InorganicFertiliser_Brands[[#Headers],[#Data],[Amount applied per hectare]])</totalsRowFormula>
    </tableColumn>
    <tableColumn id="18" xr3:uid="{2253738D-C34B-45FC-A347-3594DD12A0FD}" name="Application unit" totalsRowDxfId="288"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287"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286" totalsRowDxfId="285">
      <calculatedColumnFormula>$E$9</calculatedColumnFormula>
    </tableColumn>
    <tableColumn id="1" xr3:uid="{DE25213C-DDD2-412A-85A4-29987D633B72}" name="Total applied (kg)" dataDxfId="284" totalsRowDxfId="28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282" totalsRowDxfId="281"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280" totalsRowDxfId="279"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278"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277" totalsRowDxfId="276"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275" totalsRowDxfId="274"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273" totalsRowDxfId="272"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271" totalsRowDxfId="270"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269"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268"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267"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266"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265"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264" totalsRowDxfId="263"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262" totalsRowDxfId="261"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260" totalsRowDxfId="259"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2:R24" totalsRowShown="0" headerRowDxfId="258" dataDxfId="257">
  <autoFilter ref="D22:R2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256"/>
    <tableColumn id="3" xr3:uid="{9EAF254B-17DE-4675-8AF9-F68B80BF582C}" name="Application area (ha)" dataDxfId="255" dataCellStyle="Input number 2 decimal places">
      <calculatedColumnFormula>$E$9</calculatedColumnFormula>
    </tableColumn>
    <tableColumn id="4" xr3:uid="{CFA5CCED-3BC5-4DD2-AC3F-E4DC58D9B605}" name="Total applied (kg)" dataDxfId="254"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253" dataCellStyle="Input select"/>
    <tableColumn id="6" xr3:uid="{3F30B499-2152-42DE-8F13-8F97800C0F82}" name="Ingredient 1 percent" dataDxfId="252"/>
    <tableColumn id="8" xr3:uid="{81DBD2AF-CE79-4DFA-ABE1-18247069D1B2}" name="Ingredient 2" dataDxfId="251" dataCellStyle="Input select"/>
    <tableColumn id="9" xr3:uid="{1CF7EE6F-57DF-414D-AEE5-FBCA6348094D}" name="Ingredient 2 percent" dataDxfId="250"/>
    <tableColumn id="11" xr3:uid="{A18D28AA-C181-4552-8786-2ECF509C16C8}" name="Ingredient 3" dataDxfId="249" dataCellStyle="Input select"/>
    <tableColumn id="12" xr3:uid="{B6A6831A-C9EE-4F80-B87F-A0C4C20DFCFD}" name="Ingredient 3 percent" dataDxfId="248"/>
    <tableColumn id="14" xr3:uid="{4467B432-BBEC-488F-912D-5D7123AE260A}" name="Ingredient 4" dataDxfId="247" dataCellStyle="Input select"/>
    <tableColumn id="15" xr3:uid="{0FA01265-32D2-4FC6-BCD7-17164873ADC9}" name="Ingredient 4 percent" dataCellStyle="Input percent"/>
    <tableColumn id="7" xr3:uid="{BF8B607F-8C2E-4E2B-B89D-E699723F771C}" name="N application rate (kg/ha)" dataDxfId="246"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245"/>
    <tableColumn id="13" xr3:uid="{CA785B69-1D00-4D4E-954C-77FAF8F67EDB}" name="Ammonia source" dataDxfId="244"/>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2:L34" totalsRowShown="0" headerRowDxfId="243" dataDxfId="242" headerRowCellStyle="Input table column header">
  <autoFilter ref="D32:L3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55C6D57-C99E-4560-95BE-1D32508E9DC1}" name="Product" dataDxfId="241"/>
    <tableColumn id="2" xr3:uid="{BBD9A28E-9144-4A75-B4E2-101A86320BD7}" name="Amount applied (t/hectare)" dataDxfId="240"/>
    <tableColumn id="4" xr3:uid="{28D6DB55-F183-4018-A8CF-F5EECD3B6F14}" name="Application area (ha)" dataDxfId="239">
      <calculatedColumnFormula>$E$9</calculatedColumnFormula>
    </tableColumn>
    <tableColumn id="3" xr3:uid="{A873C277-F431-4770-984D-50E37F5B322A}" name="Total amount applied (t)" dataDxfId="238"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DxfId="237"/>
    <tableColumn id="8" xr3:uid="{87445951-81DE-4186-A628-A263C2301F74}" name="Percent Dolomite CaMg(CO3)2" dataDxfId="236"/>
    <tableColumn id="7" xr3:uid="{7689CF48-369A-4C18-99A1-A2DDCFE99B7F}" name="Percent Gypsum" dataDxfId="235"/>
    <tableColumn id="9" xr3:uid="{6D9C9366-2A84-4F0D-B1D0-A748B17B5C0D}" name="Percent Potash" dataDxfId="234"/>
    <tableColumn id="10" xr3:uid="{E00BF7C1-7D20-4C62-A394-32D1C7721ABB}" name="Total" dataDxfId="233">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2:J44" totalsRowShown="0" headerRowDxfId="232" dataDxfId="231" headerRowCellStyle="Input table column header">
  <autoFilter ref="D42: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230" dataCellStyle="Input select"/>
    <tableColumn id="5" xr3:uid="{90211506-45BB-448E-9141-3C3CE3626033}" name="Percentage of N in fertiliser" dataDxfId="229"/>
    <tableColumn id="2" xr3:uid="{FBF064EA-8FB5-43A6-A6A6-369C36395228}" name="Amount applied (kg/hectare)" dataDxfId="228"/>
    <tableColumn id="11" xr3:uid="{C66580F9-10D5-43D2-89CD-7DC865B9F8D9}" name="Amount N applied (kg/hectare)" dataDxfId="227"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226">
      <calculatedColumnFormula>$E$9</calculatedColumnFormula>
    </tableColumn>
    <tableColumn id="7" xr3:uid="{C9641984-3538-4424-A9FC-1F56669263A3}" name="Total organic fertliser applied" dataDxfId="225"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22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41080D4-224C-452D-8770-96095FF2D84C}" name="Table_Input_LickBlocks" displayName="Table_Input_LickBlocks" ref="D8:E11" totalsRowShown="0">
  <autoFilter ref="D8:E11" xr:uid="{23CC8ACE-49F5-489C-AA70-D6D9F6B88E9E}">
    <filterColumn colId="0" hiddenButton="1"/>
    <filterColumn colId="1" hiddenButton="1"/>
  </autoFilter>
  <tableColumns count="2">
    <tableColumn id="1" xr3:uid="{38AE9B23-AA45-43DD-8732-E68556C90F92}" name="Product">
      <calculatedColumnFormula>'Calcs - Scope 3'!D140</calculatedColumnFormula>
    </tableColumn>
    <tableColumn id="2" xr3:uid="{44E220C6-A6A0-48E9-AABA-9EA1B21AD31B}" name="Amount (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O19" totalsRowShown="0">
  <autoFilter ref="D16:O19"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9491CF8-20F0-4FE5-B2E5-824F35323759}" name="Feed blend name"/>
    <tableColumn id="2" xr3:uid="{B20486A1-6FF2-452C-92CA-CCED9D67FD05}" name="Amount fed (kg)"/>
    <tableColumn id="4" xr3:uid="{47465BD2-065D-4E8F-9CB3-6E6F67E11E4D}" name="Ingredient 1 (select)" dataCellStyle="Input select"/>
    <tableColumn id="5" xr3:uid="{1B19298C-F8E3-4AF0-9B9E-CE0CD24308C3}" name="Ingredient 1 percent"/>
    <tableColumn id="6" xr3:uid="{250D764C-1759-4C06-9C17-CD1C40A86BF4}" name="Ingredient 2 (select)" dataCellStyle="Input select"/>
    <tableColumn id="7" xr3:uid="{F61D43DF-B902-4B65-AB44-E98C6D51FD13}" name="Ingredient 2 percent"/>
    <tableColumn id="8" xr3:uid="{B9F5222F-9F2A-4E26-931C-754BB15D7CDC}" name="Ingredient 3 (select)" dataCellStyle="Input select"/>
    <tableColumn id="9" xr3:uid="{30B89A53-F667-4FBE-AF8B-FB021EB3D926}" name="Ingredient 3 percent"/>
    <tableColumn id="10" xr3:uid="{51F803AC-A802-43FA-8B0E-24B789B98A9C}" name="Ingredient 4 (select)" dataCellStyle="Input select"/>
    <tableColumn id="11" xr3:uid="{33104403-8828-4357-9E7C-9063DE9C33A5}" name="Ingredient 4 percent"/>
    <tableColumn id="12" xr3:uid="{45138421-33E6-4367-A8DE-BFC8C4CBB63F}" name="Ingredient 5 (select)" dataCellStyle="Input select"/>
    <tableColumn id="13" xr3:uid="{986577A3-172B-40AF-A1FA-4DF40DB752F6}" name="Ingredient 5 percen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9522DB5-5990-4913-8C85-8036034BCCFF}" name="Table_Input_AquacultureFeed" displayName="Table_Input_AquacultureFeed" ref="D25:O27" totalsRowShown="0" headerRowDxfId="223">
  <autoFilter ref="D25:O27" xr:uid="{49522DB5-5990-4913-8C85-8036034BCCFF}"/>
  <tableColumns count="12">
    <tableColumn id="1" xr3:uid="{6383F67F-7EC8-4491-B6E2-F42CE1446819}" name="Feed blend name" dataDxfId="222"/>
    <tableColumn id="2" xr3:uid="{6F8228DB-F597-482F-8F7E-556A06B31A1E}" name="Amount fed (kg)" dataDxfId="221" dataCellStyle="Input number 2 decimal places"/>
    <tableColumn id="4" xr3:uid="{61190F26-0D6E-4E3D-BD15-3C34861B65BC}" name="Ingredient 1 (select)" dataDxfId="220" dataCellStyle="Input select"/>
    <tableColumn id="5" xr3:uid="{C8104EC4-4E8A-4566-AD11-22D595E84539}" name="Ingredient 1 percent" dataCellStyle="Input percent"/>
    <tableColumn id="6" xr3:uid="{2A996D99-E581-4763-A595-785729DB930E}" name="Ingredient 2 (select)" dataCellStyle="Input select"/>
    <tableColumn id="7" xr3:uid="{12F933A7-5B2F-4DF7-A1C8-49CC4A0A3B28}" name="Ingredient 2 percent" dataCellStyle="Input percent"/>
    <tableColumn id="8" xr3:uid="{8D83EC54-84AF-4F36-9C43-7DF24B21EF80}" name="Ingredient 3 (select)" dataCellStyle="Input select"/>
    <tableColumn id="9" xr3:uid="{2EADACC8-241A-4833-B15C-CA9E0CB6F878}" name="Ingredient 3 percent" dataCellStyle="Input percent"/>
    <tableColumn id="10" xr3:uid="{DE50EA53-AEBB-4D88-848D-446CB72B7F74}" name="Ingredient 4 (select)" dataCellStyle="Input select"/>
    <tableColumn id="11" xr3:uid="{5A91AE37-5D82-4188-B9BC-BACB6987541D}" name="Ingredient 4 percent" dataCellStyle="Input percent"/>
    <tableColumn id="12" xr3:uid="{C467554F-D728-4444-932E-4AB1AC3D91C3}" name="Ingredient 5 (select)" dataCellStyle="Input select"/>
    <tableColumn id="13" xr3:uid="{D54F08CC-198E-4895-AE8D-248008BA5417}" name="Ingredient 5 percent" dataCellStyle="Input percen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leaningChemicals" displayName="Table_Input_CleaningChemicals" ref="D39:F45" totalsRowShown="0" headerRowCellStyle="Input table column header">
  <autoFilter ref="D39:F45" xr:uid="{4FE24B05-BD40-4784-8F98-E98038ED84BF}">
    <filterColumn colId="0" hiddenButton="1"/>
    <filterColumn colId="1" hiddenButton="1"/>
    <filterColumn colId="2" hiddenButton="1"/>
  </autoFilter>
  <tableColumns count="3">
    <tableColumn id="3" xr3:uid="{E67DFCD7-C12B-4EA2-8140-D78C5ABDB407}" name="Chemical name" dataDxfId="219" dataCellStyle="Input selec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28:G32" totalsRowShown="0" headerRowCellStyle="Input table column header">
  <autoFilter ref="D28:G32" xr:uid="{3E433F59-4BF1-4341-8498-3E5DACCDF2D3}">
    <filterColumn colId="0" hiddenButton="1"/>
    <filterColumn colId="1" hiddenButton="1"/>
    <filterColumn colId="2" hiddenButton="1"/>
    <filterColumn colId="3" hiddenButton="1"/>
  </autoFilter>
  <tableColumns count="4">
    <tableColumn id="1" xr3:uid="{8E849261-8F35-48DE-BE22-FE2C6971C01F}" name="Packaging name"/>
    <tableColumn id="2" xr3:uid="{360D1B02-386E-49B9-8B92-E9676AD4A378}" name="Packaging component (select)" dataCellStyle="Input select"/>
    <tableColumn id="3" xr3:uid="{14ED4487-F547-485F-9AFB-212F5584207F}" name="Quantity purchased" dataCellStyle="Input number general"/>
    <tableColumn id="4" xr3:uid="{BBF04413-741D-4D84-88D9-1F89896D7D6F}" name="Quantity unit" dataCellStyle="Input number general calculated">
      <calculatedColumnFormula array="1">Common_InputFunctions.Utility_LookupValueInTable(Table_Input_Packaging[[#This Row],[Packaging component (select)]], Table_Scope3_Packaging[Packaging component],Table_Scope3_Packaging[Quantity Unit])</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Agrochemicals" displayName="Table_Input_Agrochemicals" ref="D23:Q24" totalsRowShown="0">
  <autoFilter ref="D23:Q24" xr:uid="{BA52E4BB-C3D1-441A-A568-0AD50449E880}"/>
  <tableColumns count="14">
    <tableColumn id="1" xr3:uid="{A72BC848-73BB-4B46-B499-37E30C638D3A}" name="Product"/>
    <tableColumn id="2" xr3:uid="{53230D96-4E84-460D-9046-7CE32E68C856}" name="Amount applied per ha"/>
    <tableColumn id="7" xr3:uid="{69498A75-62A6-484D-B013-ED14417EEBB4}" name="Application unit (select)" dataCellStyle="Input select"/>
    <tableColumn id="6" xr3:uid="{209ECDF7-51D4-4C0E-850D-19BAB4D0D3B8}" name="Application area (ha)">
      <calculatedColumnFormula>I20</calculatedColumnFormula>
    </tableColumn>
    <tableColumn id="3" xr3:uid="{DEE684A7-4E1A-46AA-B0D4-02E9625D315A}" name="Total applied" dataCellStyle="Input number general calculated">
      <calculatedColumnFormula>Table_Input_Agrochemicals[[#This Row],[Amount applied per ha]]*Table_Input_Agrochemicals[[#This Row],[Application area (ha)]]</calculatedColumnFormula>
    </tableColumn>
    <tableColumn id="4" xr3:uid="{EC89C89A-4D36-451B-BCBE-1C016D3F8F34}" name="Active ingredient 1 (select)" dataCellStyle="Input select"/>
    <tableColumn id="5" xr3:uid="{1DB0C7A3-E8B5-4E6D-AA5F-8D94DC978EA5}" name="Active ingredient 1 unit (select)" dataCellStyle="Input select"/>
    <tableColumn id="8" xr3:uid="{F058D2A6-41E8-4384-8586-262C5EAC5D9F}" name="Active ingredient 1 amount"/>
    <tableColumn id="9" xr3:uid="{74F84648-C9E3-4305-994A-7D3B973043A9}" name="Active ingredient 2 (select)" dataCellStyle="Input select"/>
    <tableColumn id="10" xr3:uid="{98D19D64-9603-4825-8116-20183EFA70DA}" name="Active ingredient 2 unit (select)" dataCellStyle="Input select"/>
    <tableColumn id="11" xr3:uid="{78375E20-4985-4634-B5B1-6B81635A6FC6}" name="Active ingredient 2 amount"/>
    <tableColumn id="12" xr3:uid="{7449CB84-4B0D-4B55-95E5-3523F3590622}" name="Active ingredient 3 (select)" dataCellStyle="Input select"/>
    <tableColumn id="13" xr3:uid="{2007A993-273E-48CE-AE78-DD96978BFFC3}" name="Active ingredient 3 unit (select)" dataCellStyle="Input select"/>
    <tableColumn id="14" xr3:uid="{71087BB0-6CBC-4FB4-9C30-2409748F8A46}" name="Active ingredient 3 amou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218"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217" dataCellStyle="Input select" totalsRowCellStyle="Input select"/>
    <tableColumn id="3" xr3:uid="{2F4926CE-6EFC-4996-91EA-985E04C68CA4}" name="Fuel type (select)" totalsRowDxfId="216" dataCellStyle="Input select" totalsRowCellStyle="Input select"/>
    <tableColumn id="4" xr3:uid="{1FFC5489-922D-4440-BFF8-1C82F89D7C13}" name="Amount purchased" totalsRowDxfId="215" totalsRowCellStyle="Content bold"/>
    <tableColumn id="6" xr3:uid="{8FECDE7F-72E1-4F9F-9717-51DFCFC8B7FA}" name="Amount unit" totalsRowDxfId="214"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213" totalsRowCellStyle="Input percent">
      <calculatedColumnFormula>1</calculatedColumnFormula>
    </tableColumn>
    <tableColumn id="1" xr3:uid="{0B1E778F-5088-434C-9ED2-6721724D18B8}" name="Amount consumed" totalsRowFunction="custom" totalsRowDxfId="212"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211"/>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210"/>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 displayName="Table_Input_LivestockPurchases" ref="D7:I13" totalsRowShown="0">
  <autoFilter ref="D7:I13" xr:uid="{A524718C-D2DE-4743-911C-43AE3F1EAEE3}">
    <filterColumn colId="0" hiddenButton="1"/>
    <filterColumn colId="1" hiddenButton="1"/>
    <filterColumn colId="2" hiddenButton="1"/>
    <filterColumn colId="3" hiddenButton="1"/>
    <filterColumn colId="4" hiddenButton="1"/>
    <filterColumn colId="5" hiddenButton="1"/>
  </autoFilter>
  <tableColumns count="6">
    <tableColumn id="1" xr3:uid="{ACF6D17C-6D3B-4B7A-BB32-3FC6652840C2}" name="Livestock type (select)" dataCellStyle="Input select"/>
    <tableColumn id="2" xr3:uid="{FA43F52A-7609-4014-A6D3-CAC2C970F57C}" name="Class (select)" dataCellStyle="Input select"/>
    <tableColumn id="6" xr3:uid="{41EDEC1E-1793-4BBD-B0C8-66DE9A0925D5}" name="Source region (Select)" dataCellStyle="Input select"/>
    <tableColumn id="3" xr3:uid="{34B46AEC-F18A-4C32-831B-7206C405BBE6}" name="Quantity (head)" dataCellStyle="Input number general"/>
    <tableColumn id="4" xr3:uid="{FCB04E36-ABA4-4D11-99EF-B10E5BE997E4}" name="Average liveweight (kg/head)" dataCellStyle="Input number general"/>
    <tableColumn id="5" xr3:uid="{0AF052DA-C2BE-4680-AC4D-78306992A2EF}" name="Total liveweight (kg)" dataCellStyle="Input number general calculated">
      <calculatedColumnFormula>Table_Input_LivestockPurchases[[#This Row],[Quantity (head)]]*Table_Input_LivestockPurchases[[#This Row],[Average liveweight (kg/head)]]</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889AA07-8652-4118-9D63-0669DF435473}" name="Table_Scope3_InorganicFertiliser" displayName="Table_Scope3_InorganicFertiliser" ref="D8:T33" totalsRowShown="0" headerRowDxfId="442">
  <autoFilter ref="D8:T33" xr:uid="{3792A08B-29D7-43AC-8F2D-9CFFDAF4E1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A26E62E6-9988-4467-98CF-5D143A43BCBC}" name="Category">
      <calculatedColumnFormula array="1">Common_InputFunctions.Utility_DisplayArrayInTable(Scope3_SourceData.Scope3_InorganicFertilisers_Data(), Table_Scope3_InorganicFertiliser[[#Headers],[Category]], 0, 2)</calculatedColumnFormula>
    </tableColumn>
    <tableColumn id="2" xr3:uid="{D116A3CB-B6B4-4AA0-8E1C-32CF32CE5F75}" name="Product">
      <calculatedColumnFormula array="1">Common_InputFunctions.Utility_DisplayArrayInTable(Scope3_SourceData.Scope3_InorganicFertilisers_Data(), Table_Scope3_InorganicFertiliser[[#Headers],[Category]], 0, 2)</calculatedColumnFormula>
    </tableColumn>
    <tableColumn id="13" xr3:uid="{C177358E-B721-4277-B535-3BCE77721E50}" name="Region of origin" dataCellStyle="Normal 2">
      <calculatedColumnFormula array="1">Common_InputFunctions.Utility_DisplayArrayInTable(Scope3_SourceData.Scope3_InorganicFertilisers_Data(), Table_Scope3_InorganicFertiliser[[#Headers],[Category]], 0, 2)</calculatedColumnFormula>
    </tableColumn>
    <tableColumn id="17" xr3:uid="{C63AD841-3779-4F9E-979C-C4B240019827}" name="Chemical compound" dataCellStyle="Normal 2"/>
    <tableColumn id="18" xr3:uid="{0F58EC34-CC51-4883-B676-2A758A134A0C}" name="Urea source" dataCellStyle="Normal 2"/>
    <tableColumn id="16" xr3:uid="{4351E302-6CA8-41C0-831F-6BF02C2156CF}" name="Ammonia source" dataCellStyle="Normal 2"/>
    <tableColumn id="3" xr3:uid="{094195E4-44D5-4A3A-BDF7-51BACCF8C322}" name="Quantity"/>
    <tableColumn id="4" xr3:uid="{F138BFEE-7488-47AA-B818-9AACC5E92950}" name="Quantity Unit">
      <calculatedColumnFormula array="1">Common_InputFunctions.Utility_DisplayArrayInTable(Scope3_SourceData.Scope3_InorganicFertilisers_Data(), Table_Scope3_InorganicFertiliser[[#Headers],[Category]], 0, 1)</calculatedColumnFormula>
    </tableColumn>
    <tableColumn id="5" xr3:uid="{01ECA038-88AE-47F2-8DBB-09545BB31DA7}" name="AusLCI Emissions intensity" dataDxfId="441">
      <calculatedColumnFormula array="1">Common_InputFunctions.Utility_DisplayArrayInTable(Scope3_SourceData.Scope3_InorganicFertilisers_Data(), Table_Scope3_InorganicFertiliser[[#Headers],[Category]], 0, 1)</calculatedColumnFormula>
    </tableColumn>
    <tableColumn id="6" xr3:uid="{F38E8F4D-9D96-4D94-AB35-84195C2383BF}" name="Custom emissions intensity (Method 2)" dataDxfId="440" dataCellStyle="Input number 2 decimal places"/>
    <tableColumn id="12" xr3:uid="{6CD7BF08-7733-491C-BA9F-1EAD8F25F6AB}" name="Emissions intensity unit" dataDxfId="439" dataCellStyle="Normal 2">
      <calculatedColumnFormula>"kg CO2e / " &amp; Table_Scope3_InorganicFertiliser[[#This Row],[Quantity Unit]]</calculatedColumnFormula>
    </tableColumn>
    <tableColumn id="14" xr3:uid="{78FD8AF0-6919-444D-9308-760263A10C62}" name="Scope 3 emissions exc. custom (t CO2-e)">
      <calculatedColumnFormula>Table_Scope3_InorganicFertiliser[[#This Row],[Quantity]]*Table_Scope3_InorganicFertiliser[[#This Row],[AusLCI Emissions intensity]]</calculatedColumnFormula>
    </tableColumn>
    <tableColumn id="15" xr3:uid="{2132CD9B-C820-453D-8EFD-A121ACE8F670}" name="Scope 3 emissions inc. custom (t CO2-e)2" dataDxfId="438">
      <calculatedColumnFormula>Table_Scope3_InorganicFertiliser[[#This Row],[Quantity]]*IF(Table_Scope3_InorganicFertiliser[[#This Row],[Custom emissions intensity (Method 2)]], Table_Scope3_InorganicFertiliser[[#This Row],[Custom emissions intensity (Method 2)]], Table_Scope3_InorganicFertiliser[[#This Row],[AusLCI Emissions intensity]])</calculatedColumnFormula>
    </tableColumn>
    <tableColumn id="7" xr3:uid="{31E6FB17-15EC-468A-8F48-0266EEBF3CAB}" name="Custom emissions intensity source" dataDxfId="437"/>
    <tableColumn id="8" xr3:uid="{CC453D67-3C9F-40DA-BAEA-31459E646CAA}" name="Custom emissions intensity source type (Select)" dataDxfId="436" dataCellStyle="Input select"/>
    <tableColumn id="9" xr3:uid="{392E54E6-4C8A-499A-BE04-EA7908E8D9F3}" name="Custom emissions intensity credential / certification link" dataDxfId="435"/>
    <tableColumn id="11" xr3:uid="{AD530986-C50B-4EE7-AABD-8864CCB8B330}" name="Scope 3 data score">
      <calculatedColumnFormula array="1">Common_InputFunctions.Utility_LookupValueInTableNumber(Table_Scope3_InorganicFertiliser[[#This Row],[Custom emissions intensity source type (Select)]],#REF!,#REF!)</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322E309-A1C9-4F30-AA3A-4C1BCEE1E6BE}" name="Table_Scope3_OrganicFertiliser" displayName="Table_Scope3_OrganicFertiliser" ref="D42:P52" totalsRowShown="0" headerRowDxfId="434" dataDxfId="433" headerRowCellStyle="Equation table header">
  <autoFilter ref="D42:P52" xr:uid="{E172E861-22BE-4FC8-A0B7-83CA1966C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6934AAE-98FF-4C43-9786-8EE25B1865FF}" name="Organic fertiliser type" dataDxfId="432">
      <calculatedColumnFormula array="1">Common_InputFunctions.Utility_DisplayArrayInTable(Scope3_SourceData.Scope3_OrganicFertilisers_Data(), Table_Scope3_OrganicFertiliser[[#Headers],[Organic fertiliser type]], 0, 2)</calculatedColumnFormula>
    </tableColumn>
    <tableColumn id="2" xr3:uid="{123D2550-6776-410A-8885-A8C46DC49525}" name="Source" dataDxfId="431">
      <calculatedColumnFormula array="1">Common_InputFunctions.Utility_DisplayArrayInTable(Scope3_SourceData.Scope3_OrganicFertilisers_Data(), Table_Scope3_OrganicFertiliser[[#Headers],[Organic fertiliser type]], 0, 2)</calculatedColumnFormula>
    </tableColumn>
    <tableColumn id="3" xr3:uid="{354D6E88-EC7E-4377-BB92-92661572380C}" name="Quantity" dataDxfId="430"/>
    <tableColumn id="4" xr3:uid="{AF3095DD-89D8-4D36-BD6B-1A36DE87634F}" name="Quantity Unit" dataDxfId="429">
      <calculatedColumnFormula array="1">Common_InputFunctions.Utility_DisplayArrayInTable(Scope3_SourceData.Scope3_OrganicFertilisers_Data(), Table_Scope3_OrganicFertiliser[[#Headers],[Organic fertiliser type]], 0, 1)</calculatedColumnFormula>
    </tableColumn>
    <tableColumn id="5" xr3:uid="{A46E2149-3367-4F3C-9A46-A9A7436F9AA8}" name="AusLCI Emissions intensity" dataDxfId="428">
      <calculatedColumnFormula array="1">Common_InputFunctions.Utility_DisplayArrayInTable(Scope3_SourceData.Scope3_OrganicFertilisers_Data(), Table_Scope3_OrganicFertiliser[[#Headers],[Organic fertiliser type]], 0, 1)</calculatedColumnFormula>
    </tableColumn>
    <tableColumn id="6" xr3:uid="{2F223D06-24D7-4DF6-ACB5-9F1A090C1476}" name="Custom emissions intensity" dataDxfId="427"/>
    <tableColumn id="7" xr3:uid="{ED194064-6E2B-4CA8-80FA-D34D7B7A9DFF}" name="Emissions intensity unit" dataDxfId="426">
      <calculatedColumnFormula array="1">Common_InputFunctions.Utility_DisplayArrayInTable(Scope3_SourceData.Scope3_OrganicFertilisers_Data(), Table_Scope3_OrganicFertiliser[[#Headers],[Organic fertiliser type]], 0, 1)</calculatedColumnFormula>
    </tableColumn>
    <tableColumn id="8" xr3:uid="{691E5BEE-9C3E-4416-AFF1-79DC8A265137}" name="Scope 3 emissions exc. custom (t CO2-e)" dataDxfId="425">
      <calculatedColumnFormula>Table_Scope3_OrganicFertiliser[[#This Row],[Quantity]]*Table_Scope3_OrganicFertiliser[[#This Row],[AusLCI Emissions intensity]]</calculatedColumnFormula>
    </tableColumn>
    <tableColumn id="9" xr3:uid="{AB077C2D-134C-40B4-BFA8-CF72021D901C}" name="Scope 3 emissions inc. custom (t CO2-e)2" dataDxfId="424">
      <calculatedColumnFormula>Table_Scope3_OrganicFertiliser[[#This Row],[Quantity]]*IF(Table_Scope3_OrganicFertiliser[[#This Row],[Custom emissions intensity]], Table_Scope3_OrganicFertiliser[[#This Row],[Custom emissions intensity]], Table_Scope3_OrganicFertiliser[[#This Row],[AusLCI Emissions intensity]])</calculatedColumnFormula>
    </tableColumn>
    <tableColumn id="10" xr3:uid="{0205BF8D-9906-495F-90B6-2D1BABCFFA7E}" name="Custom emissions intensity source" dataDxfId="423"/>
    <tableColumn id="11" xr3:uid="{20DE4F6F-5D34-47A0-96F7-613CB05A2F00}" name="Custom emissions intensity source type (Select)" dataCellStyle="Input select"/>
    <tableColumn id="12" xr3:uid="{BE6CEBBB-FC0D-4310-B460-1AF164F818D0}" name="Custom emissions intensity credential / certification link" dataDxfId="422"/>
    <tableColumn id="13" xr3:uid="{8FD29B83-E6F0-48D4-9BD8-4D62D615F8F8}" name="Scope 3 data score" dataDxfId="421">
      <calculatedColumnFormula array="1">Common_InputFunctions.Utility_LookupValueInTableNumber(Table_Scope3_OrganicFertiliser[[#This Row],[Custom emissions intensity source type (Select)]],#REF!,#REF!)</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C5BDA1E-9FCE-41CA-AA15-6DF12E27FC48}" name="Table_Scope3_SoilAmendments" displayName="Table_Scope3_SoilAmendments" ref="D111:O116" totalsRowShown="0" headerRowDxfId="420" dataDxfId="419" headerRowCellStyle="Equation table header">
  <autoFilter ref="D111:O116" xr:uid="{BCB52E1B-7F3C-4E5F-89B5-9DD992D6DF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ADE3720-C155-40DE-BF99-E5E961C227EC}" name="Soil amendment type" dataDxfId="418">
      <calculatedColumnFormula array="1">Common_InputFunctions.Utility_DisplayArrayInTable(Scope3_SourceData.Scope3_SoilAmendments_Data(), Table_Scope3_SoilAmendments[[#Headers],[Soil amendment type]], 0, 2)</calculatedColumnFormula>
    </tableColumn>
    <tableColumn id="3" xr3:uid="{81D43BA9-E39D-466C-B2A8-DE0C6296C924}" name="Quantity" dataDxfId="417" dataCellStyle="Normal 2">
      <calculatedColumnFormula array="1">Fertiliser_InputFunctions.Fertiliser_TotalSoilAmendmentApplied(Table_Input_Lime[Total amount applied (t)],Table_Input_Lime[Percent Lime CaCO3])</calculatedColumnFormula>
    </tableColumn>
    <tableColumn id="4" xr3:uid="{6501C009-A9A4-4181-BFF4-F9603616F2A9}" name="Quantity Unit" dataDxfId="416">
      <calculatedColumnFormula array="1">Common_InputFunctions.Utility_DisplayArrayInTable(Scope3_SourceData.Scope3_OrganicFertilisers_Data(), Table_Scope3_SoilAmendments[[#Headers],[Soil amendment type]], 0, 2)</calculatedColumnFormula>
    </tableColumn>
    <tableColumn id="5" xr3:uid="{39EECE04-C60D-46BD-9AFA-C54EC36D3FE7}" name="AusLCI Emissions intensity" dataDxfId="415">
      <calculatedColumnFormula array="1">Common_InputFunctions.Utility_DisplayArrayInTable(Scope3_SourceData.Scope3_SoilAmendments_Data(), Table_Scope3_SoilAmendments[[#Headers],[Soil amendment type]], 0, 2)</calculatedColumnFormula>
    </tableColumn>
    <tableColumn id="6" xr3:uid="{A5699586-0D6D-4174-B9FD-275D074320BB}" name="Custom emissions intensity" dataDxfId="414"/>
    <tableColumn id="7" xr3:uid="{98F1F39C-CAC6-4200-815B-D3698B75D8BA}" name="Emissions intensity unit" dataDxfId="413">
      <calculatedColumnFormula array="1">Common_InputFunctions.Utility_DisplayArrayInTable(Scope3_SourceData.Scope3_SoilAmendments_Data(), Table_Scope3_SoilAmendments[[#Headers],[Soil amendment type]], 0, 2)</calculatedColumnFormula>
    </tableColumn>
    <tableColumn id="8" xr3:uid="{FEFD5B3A-6044-4E89-B9F9-0A47CF9B6846}" name="Scope 3 emissions exc. custom (t CO2-e)" dataDxfId="412">
      <calculatedColumnFormula>Table_Scope3_SoilAmendments[[#This Row],[Quantity]]*Table_Scope3_SoilAmendments[[#This Row],[AusLCI Emissions intensity]]</calculatedColumnFormula>
    </tableColumn>
    <tableColumn id="9" xr3:uid="{543409B5-2E30-4E07-B328-34B9E02BCDB3}" name="Scope 3 emissions inc. custom (t CO2-e)2" dataDxfId="411">
      <calculatedColumnFormula>Table_Scope3_SoilAmendments[[#This Row],[Quantity]]*IF(Table_Scope3_SoilAmendments[[#This Row],[Custom emissions intensity]], Table_Scope3_SoilAmendments[[#This Row],[Custom emissions intensity]], Table_Scope3_SoilAmendments[[#This Row],[AusLCI Emissions intensity]])</calculatedColumnFormula>
    </tableColumn>
    <tableColumn id="10" xr3:uid="{C6CEB8A5-E71A-4D46-B435-1E1602BFEF90}" name="Custom emissions intensity source" dataDxfId="410"/>
    <tableColumn id="11" xr3:uid="{489B5F84-8E65-4F39-9BBC-E78CC0BE3CD0}" name="Custom emissions intensity source type (Select)" dataDxfId="409" dataCellStyle="Input select"/>
    <tableColumn id="12" xr3:uid="{4CF75BF2-BD55-4391-ACB4-588470EFA7A3}" name="Custom emissions intensity credential / certification link" dataDxfId="408"/>
    <tableColumn id="13" xr3:uid="{C3D5AA1F-E5A7-40F7-B344-D03BD1431326}" name="Scope 3 data score" dataDxfId="407">
      <calculatedColumnFormula array="1">Common_InputFunctions.Utility_LookupValueInTableNumber(Table_Scope3_SoilAmendments[[#This Row],[Custom emissions intensity source type (Select)]],#REF!,#REF!)</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E6974DB-8E99-4067-86AE-FE845D052DF7}" name="Table_Scope3_Agrochemicals" displayName="Table_Scope3_Agrochemicals" ref="D125:O130" totalsRowShown="0" headerRowDxfId="406" dataDxfId="405" headerRowCellStyle="Equation table header">
  <autoFilter ref="D125:O130" xr:uid="{3693AC8C-71E5-4A67-A7C1-3A271982E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B9239E5-8AE1-4DDB-80A7-778A50C75B04}" name="Agrochemical type" dataDxfId="404">
      <calculatedColumnFormula array="1">Common_InputFunctions.Utility_DisplayArrayInTable(Scope3_SourceData.Scope3_Agrochemicals_Data(), Table_Scope3_Agrochemicals[[#Headers],[Agrochemical type]], 0, 2)</calculatedColumnFormula>
    </tableColumn>
    <tableColumn id="3" xr3:uid="{C9915B4D-9645-4DA2-BCF5-1528B62C39F1}" name="Quantity" dataDxfId="403">
      <calculatedColumnFormula array="1">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calculatedColumnFormula>
    </tableColumn>
    <tableColumn id="4" xr3:uid="{DFB9053F-5CFC-4AE4-9036-4592828A192A}" name="Quantity Unit" dataDxfId="402">
      <calculatedColumnFormula array="1">Common_InputFunctions.Utility_DisplayArrayInTable(Scope3_SourceData.Scope3_Agrochemicals_Data(), Table_Scope3_Agrochemicals[[#Headers],[Agrochemical type]], 0, 2)</calculatedColumnFormula>
    </tableColumn>
    <tableColumn id="5" xr3:uid="{E8D3E719-2A5E-483A-9377-A79610CE84BA}" name="AusLCI Emissions intensity" dataDxfId="401">
      <calculatedColumnFormula array="1">Common_InputFunctions.Utility_DisplayArrayInTable(Scope3_SourceData.Scope3_Agrochemicals_Data(), Table_Scope3_Agrochemicals[[#Headers],[Agrochemical type]], 0, 2)</calculatedColumnFormula>
    </tableColumn>
    <tableColumn id="6" xr3:uid="{AE546F26-6FD4-4093-89DC-94C7CED9A9F2}" name="Custom emissions intensity" dataDxfId="400"/>
    <tableColumn id="7" xr3:uid="{A67960B4-7A0D-47E4-84DD-812458CC8633}" name="Emissions intensity unit" dataDxfId="399">
      <calculatedColumnFormula array="1">Common_InputFunctions.Utility_DisplayArrayInTable(Scope3_SourceData.Scope3_Agrochemicals_Data(), Table_Scope3_Agrochemicals[[#Headers],[Agrochemical type]], 0, 2)</calculatedColumnFormula>
    </tableColumn>
    <tableColumn id="8" xr3:uid="{A52E5303-9A66-40E6-B2D1-9BFB1F8DCB87}" name="Scope 3 emissions exc. custom (t CO2-e)" dataDxfId="398">
      <calculatedColumnFormula>Table_Scope3_Agrochemicals[[#This Row],[Quantity]]*Table_Scope3_Agrochemicals[[#This Row],[AusLCI Emissions intensity]]</calculatedColumnFormula>
    </tableColumn>
    <tableColumn id="9" xr3:uid="{9BEE8F3F-1516-4C76-A1DD-B80075407F60}" name="Scope 3 emissions inc. custom (t CO2-e)2" dataDxfId="397">
      <calculatedColumnFormula>Table_Scope3_Agrochemicals[[#This Row],[Quantity]]*IF(Table_Scope3_Agrochemicals[[#This Row],[Custom emissions intensity]], Table_Scope3_Agrochemicals[[#This Row],[Custom emissions intensity]], Table_Scope3_Agrochemicals[[#This Row],[AusLCI Emissions intensity]])</calculatedColumnFormula>
    </tableColumn>
    <tableColumn id="10" xr3:uid="{EB00C0C9-58CE-47C6-BC17-1630867D7EC7}" name="Custom emissions intensity source" dataDxfId="396"/>
    <tableColumn id="11" xr3:uid="{BCC280A4-70B3-4C0E-8867-0DDF4348CD1E}" name="Custom emissions intensity source type (Select)" dataDxfId="395" dataCellStyle="Input select"/>
    <tableColumn id="12" xr3:uid="{A488298E-41BE-414B-A691-6BF06CC16487}" name="Custom emissions intensity credential / certification link" dataDxfId="394"/>
    <tableColumn id="13" xr3:uid="{BAFCF88E-DDA4-4655-B797-2A797B0A305A}" name="Scope 3 data score" dataDxfId="393">
      <calculatedColumnFormula array="1">Common_InputFunctions.Utility_LookupValueInTableNumber(Table_Scope3_Agrochemicals[[#This Row],[Custom emissions intensity source type (Select)]],#REF!,#REF!)</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DCE235B-14D5-479C-8490-6C77374E0AD6}" name="Table68" displayName="Table68" ref="D139:O142" totalsRowShown="0" headerRowDxfId="392" dataDxfId="391" headerRowCellStyle="Equation table header">
  <autoFilter ref="D139:O142" xr:uid="{2BD37221-6228-41F3-8E25-E7922F3C09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201E3D2-D8B3-44F6-A2BB-3CB56697A062}" name="Lick block type" dataDxfId="390">
      <calculatedColumnFormula array="1">Common_InputFunctions.Utility_DisplayArrayInTable(Scope3_SourceData.Scope3_LickBlocks_Data(), Table68[[#Headers],[Lick block type]], 0, 2)</calculatedColumnFormula>
    </tableColumn>
    <tableColumn id="2" xr3:uid="{DA652F67-ACF2-45FA-B5F7-8948109EB6E0}" name="Quantity" dataDxfId="389">
      <calculatedColumnFormula>'Input - Feed - Dairy'!E9</calculatedColumnFormula>
    </tableColumn>
    <tableColumn id="3" xr3:uid="{19B996C8-D69C-4B31-8A1A-53E04E32DD8B}" name="Quantity Unit" dataDxfId="388">
      <calculatedColumnFormula array="1">Common_InputFunctions.Utility_DisplayArrayInTable(Scope3_SourceData.Scope3_LickBlocks_Data(), Table68[[#Headers],[Lick block type]], 0, 2)</calculatedColumnFormula>
    </tableColumn>
    <tableColumn id="4" xr3:uid="{0BBA9652-55A0-4ADC-8679-910D7D9BECE8}" name="AusLCI Emissions intensity" dataDxfId="387">
      <calculatedColumnFormula array="1">Common_InputFunctions.Utility_DisplayArrayInTable(Scope3_SourceData.Scope3_LickBlocks_Data(), Table68[[#Headers],[Lick block type]], 0, 2)</calculatedColumnFormula>
    </tableColumn>
    <tableColumn id="5" xr3:uid="{35DFE3B5-382A-4DD4-AF8A-5BEEF9989085}" name="Custom emissions intensity" dataDxfId="386"/>
    <tableColumn id="6" xr3:uid="{57CCC596-EAA4-4752-99FE-80BB013322CC}" name="Emissions intensity unit" dataDxfId="385">
      <calculatedColumnFormula array="1">Common_InputFunctions.Utility_DisplayArrayInTable(Scope3_SourceData.Scope3_LickBlocks_Data(), Table68[[#Headers],[Lick block type]], 0, 2)</calculatedColumnFormula>
    </tableColumn>
    <tableColumn id="7" xr3:uid="{52FCEC3F-745B-45BC-848C-FDF48E168366}" name="Scope 3 emissions exc. custom (t CO2-e)" dataDxfId="384">
      <calculatedColumnFormula>Table68[[#This Row],[Quantity]]*Table68[[#This Row],[AusLCI Emissions intensity]]</calculatedColumnFormula>
    </tableColumn>
    <tableColumn id="8" xr3:uid="{ACEAD9C0-64C5-4DB5-A632-9C95391E16BA}" name="Scope 3 emissions inc. custom (t CO2-e)2" dataDxfId="383">
      <calculatedColumnFormula>Table68[[#This Row],[Quantity]]*IF(Table68[[#This Row],[Custom emissions intensity]], Table68[[#This Row],[Custom emissions intensity]], Table68[[#This Row],[AusLCI Emissions intensity]])</calculatedColumnFormula>
    </tableColumn>
    <tableColumn id="9" xr3:uid="{6D56F11C-FDD6-4BDF-B8E1-B3B94F441CF6}" name="Custom emissions intensity source" dataDxfId="382"/>
    <tableColumn id="10" xr3:uid="{3FE4C6F0-46BC-4CAE-BB4B-E2388FD8F5DE}" name="Custom emissions intensity source type (Select)" dataDxfId="381" dataCellStyle="Input select"/>
    <tableColumn id="11" xr3:uid="{7C058F3A-D9B7-4B57-988F-7C114A1D1B0E}" name="Custom emissions intensity credential / certification link" dataDxfId="380"/>
    <tableColumn id="12" xr3:uid="{91B54F2B-4870-4004-BA7C-24F0081E7D43}" name="Scope 3 data score" dataDxfId="379">
      <calculatedColumnFormula array="1">Common_InputFunctions.Utility_LookupValueInTableNumber(Table68[[#This Row],[Custom emissions intensity source type (Select)]],#REF!,#REF!)</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B67CB68-19C9-41C6-BD2C-B7ED574A900C}" name="Table_Scope3_AnimalFeed" displayName="Table_Scope3_AnimalFeed" ref="D151:O167" totalsRowShown="0" headerRowDxfId="378" dataDxfId="377" headerRowCellStyle="Equation table header">
  <autoFilter ref="D151:O167" xr:uid="{DAB87CE6-879B-4536-B39F-9EB7F056F7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BD27C13-197F-40CA-90A4-FCB9A876CA6F}" name="Feed ingredient" dataDxfId="376">
      <calculatedColumnFormula array="1">Common_InputFunctions.Utility_DisplayArrayInTable(Scope3_SourceData.Scope3_AnimalFeed_Data(), Table_Scope3_AnimalFeed[[#Headers],[Feed ingredient]], 0, 2)</calculatedColumnFormula>
    </tableColumn>
    <tableColumn id="2" xr3:uid="{2C47578D-1CC6-4911-9115-3B20D15CC269}" name="Quantity" dataDxfId="375">
      <calculatedColumnFormula array="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calculatedColumnFormula>
    </tableColumn>
    <tableColumn id="3" xr3:uid="{B6D0EB09-D24D-437B-9239-AC59FD1E1DE6}" name="Quantity Unit" dataDxfId="374">
      <calculatedColumnFormula array="1">Common_InputFunctions.Utility_DisplayArrayInTable(Scope3_SourceData.Scope3_AnimalFeed_Data(), Table_Scope3_AnimalFeed[[#Headers],[Feed ingredient]], 0, 2)</calculatedColumnFormula>
    </tableColumn>
    <tableColumn id="4" xr3:uid="{6B296D7E-154E-4113-AC1F-979122BFC644}" name="AusLCI Emissions intensity" dataDxfId="373">
      <calculatedColumnFormula array="1">Common_InputFunctions.Utility_DisplayArrayInTable(Scope3_SourceData.Scope3_AnimalFeed_Data(), Table_Scope3_AnimalFeed[[#Headers],[Feed ingredient]], 0, 2)</calculatedColumnFormula>
    </tableColumn>
    <tableColumn id="5" xr3:uid="{5004FF5B-716F-4260-A746-601E5243C2C0}" name="Custom emissions intensity" dataDxfId="372"/>
    <tableColumn id="6" xr3:uid="{7E2A15D3-418B-4623-BB0A-004779B919AE}" name="Emissions intensity unit" dataDxfId="371">
      <calculatedColumnFormula array="1">Common_InputFunctions.Utility_DisplayArrayInTable(Scope3_SourceData.Scope3_AnimalFeed_Data(), Table_Scope3_AnimalFeed[[#Headers],[Feed ingredient]], 0, 2)</calculatedColumnFormula>
    </tableColumn>
    <tableColumn id="7" xr3:uid="{767AED52-72E7-49C0-B02C-E266D9C271EA}" name="Scope 3 emissions exc. custom (t CO2-e)" dataDxfId="370">
      <calculatedColumnFormula>Table_Scope3_AnimalFeed[[#This Row],[Quantity]]*Table_Scope3_AnimalFeed[[#This Row],[AusLCI Emissions intensity]]</calculatedColumnFormula>
    </tableColumn>
    <tableColumn id="8" xr3:uid="{EB611953-88C5-4706-B438-ADDF33321847}" name="Scope 3 emissions inc. custom (t CO2-e)2" dataDxfId="369">
      <calculatedColumnFormula>Table_Scope3_AnimalFeed[[#This Row],[Quantity]]*IF(Table_Scope3_AnimalFeed[[#This Row],[Custom emissions intensity]], Table_Scope3_AnimalFeed[[#This Row],[Custom emissions intensity]], Table_Scope3_AnimalFeed[[#This Row],[AusLCI Emissions intensity]])</calculatedColumnFormula>
    </tableColumn>
    <tableColumn id="9" xr3:uid="{AE7A4E20-4DA5-43E0-BCE1-D83D4F7740FE}" name="Custom emissions intensity source" dataDxfId="368"/>
    <tableColumn id="10" xr3:uid="{8DE4F761-3544-4E4C-BDE3-DC02EE855AE6}" name="Custom emissions intensity source type (Select)" dataDxfId="367" dataCellStyle="Input select"/>
    <tableColumn id="11" xr3:uid="{3921779E-8049-4FA4-863E-C1CB0FC21B60}" name="Custom emissions intensity credential / certification link" dataDxfId="366"/>
    <tableColumn id="12" xr3:uid="{C378A2CF-3CA8-42AE-8BCC-9E749FEE7162}" name="Scope 3 data score" dataDxfId="365">
      <calculatedColumnFormula array="1">Common_InputFunctions.Utility_LookupValueInTableNumber(Table_Scope3_AnimalFeed[[#This Row],[Custom emissions intensity source type (Select)]],#REF!,#REF!)</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68A9F2B-5819-40D8-A5BC-B9E88CC6AFB2}" name="Table_Scope3_AquacultureFeedBait" displayName="Table_Scope3_AquacultureFeedBait" ref="D176:O184" totalsRowShown="0" headerRowDxfId="364" dataDxfId="363" headerRowCellStyle="Equation table header">
  <autoFilter ref="D176:O184" xr:uid="{F7E7200E-0C08-48D1-8A07-9947FD77E2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188F981-9EE9-4FE8-9CA6-CE7AB469CF85}" name="Feed / Bait ingredient" dataDxfId="362">
      <calculatedColumnFormula array="1">Common_InputFunctions.Utility_DisplayArrayInTable(Scope3_SourceData.Scope3_AquacultureFeedAndBait_Data(), Table_Scope3_AquacultureFeedBait[[#Headers],[Feed / Bait ingredient]], 0, 2)</calculatedColumnFormula>
    </tableColumn>
    <tableColumn id="2" xr3:uid="{D68BA8D2-5829-4CDB-824F-394076346A27}" name="Quantity" dataDxfId="361">
      <calculatedColumnFormula array="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calculatedColumnFormula>
    </tableColumn>
    <tableColumn id="3" xr3:uid="{2619AB87-005B-4BC3-BF2C-4DF1E341C37D}" name="Quantity Unit" dataDxfId="360">
      <calculatedColumnFormula array="1">Common_InputFunctions.Utility_DisplayArrayInTable(Scope3_SourceData.Scope3_AquacultureFeedAndBait_Data(), Table_Scope3_AquacultureFeedBait[[#Headers],[Feed / Bait ingredient]], 0, 2)</calculatedColumnFormula>
    </tableColumn>
    <tableColumn id="4" xr3:uid="{1367638C-1D66-455D-B92C-D9F4792B2F62}" name="AusLCI Emissions intensity" dataDxfId="359">
      <calculatedColumnFormula array="1">Common_InputFunctions.Utility_DisplayArrayInTable(Scope3_SourceData.Scope3_AquacultureFeedAndBait_Data(), Table_Scope3_AquacultureFeedBait[[#Headers],[Feed / Bait ingredient]], 0, 2)</calculatedColumnFormula>
    </tableColumn>
    <tableColumn id="5" xr3:uid="{B74F0CD0-6052-409E-A908-0E970AB4B509}" name="Custom emissions intensity" dataDxfId="358"/>
    <tableColumn id="6" xr3:uid="{487B1346-7F0C-4540-843A-47F14BF4CBDF}" name="Emissions intensity unit" dataDxfId="357">
      <calculatedColumnFormula array="1">Common_InputFunctions.Utility_DisplayArrayInTable(Scope3_SourceData.Scope3_AquacultureFeedAndBait_Data(), Table_Scope3_AquacultureFeedBait[[#Headers],[Feed / Bait ingredient]], 0, 2)</calculatedColumnFormula>
    </tableColumn>
    <tableColumn id="7" xr3:uid="{27CEE63D-18C5-4029-9958-274DCF0DF53A}" name="Scope 3 emissions exc. custom (t CO2-e)" dataDxfId="356">
      <calculatedColumnFormula>Table_Scope3_AquacultureFeedBait[[#This Row],[Quantity]]*Table_Scope3_AquacultureFeedBait[[#This Row],[AusLCI Emissions intensity]]</calculatedColumnFormula>
    </tableColumn>
    <tableColumn id="8" xr3:uid="{90F179EF-9158-4D18-B1E6-2CC2AD7DE50E}" name="Scope 3 emissions inc. custom (t CO2-e)2" dataDxfId="355">
      <calculatedColumnFormula>Table_Scope3_AquacultureFeedBait[[#This Row],[Quantity]]*IF(Table_Scope3_AquacultureFeedBait[[#This Row],[Custom emissions intensity]], Table_Scope3_AquacultureFeedBait[[#This Row],[Custom emissions intensity]], Table_Scope3_AquacultureFeedBait[[#This Row],[AusLCI Emissions intensity]])</calculatedColumnFormula>
    </tableColumn>
    <tableColumn id="9" xr3:uid="{D3E5C197-F174-4357-9FFD-7C31D1749DBD}" name="Custom emissions intensity source" dataDxfId="354"/>
    <tableColumn id="10" xr3:uid="{6E51CC5A-A48D-4108-B0FC-9C3FD2967088}" name="Custom emissions intensity source type (Select)" dataDxfId="353" dataCellStyle="Input select"/>
    <tableColumn id="11" xr3:uid="{D7926F02-B044-4771-8CD8-3404809FC58C}" name="Custom emissions intensity credential / certification link" dataDxfId="352"/>
    <tableColumn id="12" xr3:uid="{02355A58-E083-4126-96A0-2A4D76149118}" name="Scope 3 data score" dataDxfId="351">
      <calculatedColumnFormula array="1">Common_InputFunctions.Utility_LookupValueInTableNumber(Table_Scope3_AquacultureFeedBait[[#This Row],[Custom emissions intensity source type (Select)]],#REF!,#REF!)</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A61C346-2591-4183-84C6-77A652B432D8}" name="Table_Scope3_Livestock" displayName="Table_Scope3_Livestock" ref="D61:Q102" totalsRowShown="0" headerRowDxfId="93" dataDxfId="92" headerRowCellStyle="Equation table header">
  <autoFilter ref="D61:Q102" xr:uid="{F10D1153-4A60-475C-B050-639402A54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72CF0FA-0926-4C2A-A087-50B6323D88D1}" name="Category" dataDxfId="91">
      <calculatedColumnFormula array="1">Common_InputFunctions.Utility_DisplayArrayInTable(Scope3_SourceData.Scope3_Livestock_Data(), Table_Scope3_Livestock[[#Headers],[Category]], 0, 2)</calculatedColumnFormula>
    </tableColumn>
    <tableColumn id="13" xr3:uid="{3316FFAF-CA1A-40A3-A5AA-4CD3F33D4A04}" name="Product" dataDxfId="90">
      <calculatedColumnFormula array="1">Common_InputFunctions.Utility_DisplayArrayInTable(Scope3_SourceData.Scope3_Livestock_Data(), Table_Scope3_Livestock[[#Headers],[Category]], 0, 2)</calculatedColumnFormula>
    </tableColumn>
    <tableColumn id="2" xr3:uid="{CCC5F36E-AD44-4679-97C2-0FBE53FF44CF}" name="Region of origin" dataDxfId="83" dataCellStyle="Normal 2">
      <calculatedColumnFormula array="1">Common_InputFunctions.Utility_DisplayArrayInTable(Scope3_SourceData.Scope3_Livestock_Data(), Table_Scope3_Livestock[[#Headers],[Category]], 0, 2)</calculatedColumnFormula>
    </tableColumn>
    <tableColumn id="14" xr3:uid="{7A07DB9D-2E36-4E0C-96D9-2A450034AC06}" name="Quantity" dataDxfId="74" dataCellStyle="Normal 2">
      <calculatedColumnFormula array="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calculatedColumnFormula>
    </tableColumn>
    <tableColumn id="3" xr3:uid="{F57AEE38-889B-43EC-B866-CDA3EDB7AF3B}" name="Quantity unit" dataDxfId="82" dataCellStyle="Normal 2">
      <calculatedColumnFormula array="1">Common_InputFunctions.Utility_DisplayArrayInTable(Scope3_SourceData.Scope3_Livestock_Data(), Table_Scope3_Livestock[[#Headers],[Category]], 0, 2)</calculatedColumnFormula>
    </tableColumn>
    <tableColumn id="4" xr3:uid="{98556593-DBA8-4E21-A6DF-CACBCBC9DD88}" name="AusLCI Emissions intensity" dataDxfId="89">
      <calculatedColumnFormula array="1">Common_InputFunctions.Utility_DisplayArrayInTable(Scope3_SourceData.Scope3_Livestock_Data(), Table_Scope3_Livestock[[#Headers],[Category]], 0, 1)</calculatedColumnFormula>
    </tableColumn>
    <tableColumn id="5" xr3:uid="{62B9E2F2-BA64-4F8D-9EDC-45950F3D431D}" name="Custom emissions intensity" dataDxfId="88"/>
    <tableColumn id="6" xr3:uid="{36CCFC7B-DFDE-40CB-A235-6BB125639B81}" name="Emissions intensity unit" dataDxfId="81" dataCellStyle="Normal 2">
      <calculatedColumnFormula>"kg CO2e / " &amp;Table_Scope3_Livestock[[#This Row],[Quantity unit]]</calculatedColumnFormula>
    </tableColumn>
    <tableColumn id="7" xr3:uid="{DAF93A78-9B42-492A-BFB2-234CE5059B38}" name="Scope 3 emissions exc. custom (t CO2-e)" dataDxfId="76" dataCellStyle="Normal 2">
      <calculatedColumnFormula>Table_Scope3_Livestock[[#This Row],[Quantity]]*Table_Scope3_Livestock[[#This Row],[AusLCI Emissions intensity]]</calculatedColumnFormula>
    </tableColumn>
    <tableColumn id="8" xr3:uid="{CBFBC27A-62AB-4957-AA65-46A0F2D4E298}" name="Scope 3 emissions inc. custom (t CO2-e)2" dataDxfId="75" dataCellStyle="Normal 2">
      <calculatedColumnFormula>Table_Scope3_Livestock[[#This Row],[Quantity]]*IF(Table_Scope3_Livestock[[#This Row],[Custom emissions intensity]], Table_Scope3_Livestock[[#This Row],[Custom emissions intensity]], Table_Scope3_Livestock[[#This Row],[AusLCI Emissions intensity]])</calculatedColumnFormula>
    </tableColumn>
    <tableColumn id="9" xr3:uid="{172F798E-0852-464E-A052-9321163FFE0B}" name="Custom emissions intensity source" dataDxfId="87"/>
    <tableColumn id="10" xr3:uid="{140DD246-897A-4254-ABC3-184B0752C8BC}" name="Custom emissions intensity source type (Select)" dataDxfId="86" dataCellStyle="Input select"/>
    <tableColumn id="11" xr3:uid="{024D51E6-1B28-4F3F-87A3-0C69EE7C1A2B}" name="Custom emissions intensity credential / certification link" dataDxfId="85"/>
    <tableColumn id="12" xr3:uid="{76186394-3B2E-4C37-920B-CE8FD85249D2}" name="Scope 3 data score" dataDxfId="84">
      <calculatedColumnFormula array="1">Common_InputFunctions.Utility_LookupValueInTableNumber(Table_Scope3_Livestock[[#This Row],[Custom emissions intensity source type (Select)]],#REF!,#REF!)</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BCF46AD-0532-4CB4-A4E7-D6FE0618ECB0}" name="Table_Scope3_Packaging" displayName="Table_Scope3_Packaging" ref="D193:O199" totalsRowShown="0" headerRowDxfId="350" dataDxfId="349" headerRowCellStyle="Equation table header">
  <autoFilter ref="D193:O199" xr:uid="{3F2FA35B-A7CA-4FCD-B882-1E7CEC13CD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28A72D9-C0CD-4DC2-84C8-D5F5F073E6A0}" name="Packaging component" dataDxfId="348">
      <calculatedColumnFormula array="1">Common_InputFunctions.Utility_DisplayArrayInTable(Scope3_SourceData.Scope3_Packaging_Data(),Table_Scope3_Packaging[[#Headers],[Packaging component]], 0, 2)</calculatedColumnFormula>
    </tableColumn>
    <tableColumn id="2" xr3:uid="{97453D1F-B100-4444-9D44-D6A3C09C4D0E}" name="Quantity" dataDxfId="347">
      <calculatedColumnFormula array="1">Common_InputFunctions.Utility_SumQuantityFromCriteria(Table_Scope3_Packaging[[#This Row],[Packaging component]],Table_Input_Packaging[Packaging component (select)],Table_Input_Packaging[Quantity purchased])</calculatedColumnFormula>
    </tableColumn>
    <tableColumn id="3" xr3:uid="{E73E745C-5683-475B-838D-AEA14ACD15A8}" name="Quantity Unit" dataDxfId="346">
      <calculatedColumnFormula array="1">Common_InputFunctions.Utility_DisplayArrayInTable(Scope3_SourceData.Scope3_Packaging_Data(),Table_Scope3_Packaging[[#Headers],[Packaging component]], 0, 2)</calculatedColumnFormula>
    </tableColumn>
    <tableColumn id="4" xr3:uid="{3FD643F8-559E-4D30-B7ED-16C4E920F33D}" name="AusLCI Emissions intensity" dataDxfId="345">
      <calculatedColumnFormula array="1">Common_InputFunctions.Utility_DisplayArrayInTable(Scope3_SourceData.Scope3_Packaging_Data(),Table_Scope3_Packaging[[#Headers],[Packaging component]], 0, 2)</calculatedColumnFormula>
    </tableColumn>
    <tableColumn id="5" xr3:uid="{FD8AC028-A450-47E2-90D5-151005AF9D58}" name="Custom emissions intensity" dataDxfId="344"/>
    <tableColumn id="6" xr3:uid="{ECCFA26D-A2BD-472C-9EE5-9589D767755D}" name="Emissions intensity unit" dataDxfId="343">
      <calculatedColumnFormula array="1">Common_InputFunctions.Utility_DisplayArrayInTable(Scope3_SourceData.Scope3_Packaging_Data(),Table_Scope3_Packaging[[#Headers],[Packaging component]], 0, 2)</calculatedColumnFormula>
    </tableColumn>
    <tableColumn id="7" xr3:uid="{30C79202-10CD-44D3-8398-686225EE1EB4}" name="Scope 3 emissions exc. custom (t CO2-e)" dataDxfId="342">
      <calculatedColumnFormula>Table_Scope3_Packaging[[#This Row],[Quantity]]*Table_Scope3_Packaging[[#This Row],[AusLCI Emissions intensity]]</calculatedColumnFormula>
    </tableColumn>
    <tableColumn id="8" xr3:uid="{3232BA05-6709-45B1-96A7-5A89E22A7648}" name="Scope 3 emissions inc. custom (t CO2-e)2" dataDxfId="341">
      <calculatedColumnFormula>Table_Scope3_Packaging[[#This Row],[Quantity]]*IF(Table_Scope3_Packaging[[#This Row],[Custom emissions intensity]], Table_Scope3_Packaging[[#This Row],[Custom emissions intensity]], Table_Scope3_Packaging[[#This Row],[AusLCI Emissions intensity]])</calculatedColumnFormula>
    </tableColumn>
    <tableColumn id="9" xr3:uid="{573CA4B3-9514-4539-9FDD-798316EC634C}" name="Custom emissions intensity source" dataDxfId="340"/>
    <tableColumn id="10" xr3:uid="{03479FBE-F8B9-4A37-9A74-4F7F8B621BCF}" name="Custom emissions intensity source type (Select)" dataDxfId="339" dataCellStyle="Input select"/>
    <tableColumn id="11" xr3:uid="{DF57E7E3-AB6B-4CCA-94A5-B8E8874AFE53}" name="Custom emissions intensity credential / certification link" dataDxfId="338"/>
    <tableColumn id="12" xr3:uid="{DDCFA855-4F48-43FD-A178-71B5B9D9EDE6}" name="Scope 3 data score" dataDxfId="337">
      <calculatedColumnFormula array="1">Common_InputFunctions.Utility_LookupValueInTableNumber(Table_Scope3_Packaging[[#This Row],[Custom emissions intensity source type (Select)]],#REF!,#REF!)</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69C855B-5B8B-430F-9B78-16BD3F75EB22}" name="Table_Scope3_CleaningChemicals" displayName="Table_Scope3_CleaningChemicals" ref="D208:Q211" totalsRowShown="0" headerRowDxfId="336" dataDxfId="335" headerRowCellStyle="Equation table header">
  <autoFilter ref="D208:Q211" xr:uid="{26083B28-B3BC-4816-8CAE-E89967B2E9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150FEC9-7493-4B26-9160-0C5E34EAE1BB}" name="Category" dataDxfId="334">
      <calculatedColumnFormula array="1">Common_InputFunctions.Utility_DisplayArrayInTable(Scope3_SourceData.Scope3_CleaningChemicals_Data(), Table_Scope3_CleaningChemicals[[#Headers],[Category]], 0, 2)</calculatedColumnFormula>
    </tableColumn>
    <tableColumn id="2" xr3:uid="{1D36C3F8-D0F4-4EB8-921C-E057BF8EE780}" name="Product" dataDxfId="333" dataCellStyle="Normal 2"/>
    <tableColumn id="3" xr3:uid="{67B3B0D4-A203-4DF9-9685-A7D04DCD58F5}" name="Region of origin" dataDxfId="332">
      <calculatedColumnFormula array="1">Common_InputFunctions.Utility_DisplayArrayInTable(Scope3_SourceData.Scope3_CleaningChemicals_Data(), Table_Scope3_CleaningChemicals[[#Headers],[Category]], 0, 2)</calculatedColumnFormula>
    </tableColumn>
    <tableColumn id="14" xr3:uid="{0C53F15C-BC21-4CEC-9921-8EFAF06F7370}" name="Quantity" dataDxfId="63" dataCellStyle="Normal 2">
      <calculatedColumnFormula array="1">Common_InputFunctions.Utility_SumQuantityFromCriteria(Table_Scope3_CleaningChemicals[[#This Row],[Product]],Table_Input_CleaningChemicals[Type (select)],Table_Input_CleaningChemicals[Quantity purchased (kg)])</calculatedColumnFormula>
    </tableColumn>
    <tableColumn id="13" xr3:uid="{65C7938F-0502-4BD1-B221-5711FCA71C52}" name="Quantity unit" dataDxfId="64" dataCellStyle="Normal 2"/>
    <tableColumn id="4" xr3:uid="{56A0010A-0F49-4283-856B-AD8BFFD20FE5}" name="AusLCI Emissions intensity" dataDxfId="331">
      <calculatedColumnFormula array="1">Common_InputFunctions.Utility_DisplayArrayInTable(Scope3_SourceData.Scope3_CleaningChemicals_Data(), Table_Scope3_CleaningChemicals[[#Headers],[Category]], 0, 2)</calculatedColumnFormula>
    </tableColumn>
    <tableColumn id="5" xr3:uid="{6579B8BB-E0F3-4022-AA1B-B7667E2C4B9E}" name="Custom emissions intensity" dataDxfId="330"/>
    <tableColumn id="6" xr3:uid="{42FD4F88-135A-433F-817B-5EF0A2C1CC99}" name="Emissions intensity unit" dataDxfId="329">
      <calculatedColumnFormula array="1">Common_InputFunctions.Utility_DisplayArrayInTable(Scope3_SourceData.Scope3_CleaningChemicals_Data(), Table_Scope3_CleaningChemicals[[#Headers],[Category]], 0, 2)</calculatedColumnFormula>
    </tableColumn>
    <tableColumn id="7" xr3:uid="{B55FCB45-7851-4DC1-B0D0-27B7D1EAA91E}" name="Scope 3 emissions exc. custom (t CO2-e)" dataDxfId="328">
      <calculatedColumnFormula>Table_Scope3_CleaningChemicals[[#This Row],[Product]]*Table_Scope3_CleaningChemicals[[#This Row],[AusLCI Emissions intensity]]</calculatedColumnFormula>
    </tableColumn>
    <tableColumn id="8" xr3:uid="{B36A1114-E107-4736-814E-862B9005C600}" name="Scope 3 emissions inc. custom (t CO2-e)2" dataDxfId="62" dataCellStyle="Normal 2">
      <calculatedColumnFormula>Table_Scope3_CleaningChemicals[[#This Row],[Quantity]]*IF(Table_Scope3_CleaningChemicals[[#This Row],[Custom emissions intensity]], Table_Scope3_CleaningChemicals[[#This Row],[Custom emissions intensity]], Table_Scope3_CleaningChemicals[[#This Row],[AusLCI Emissions intensity]])</calculatedColumnFormula>
    </tableColumn>
    <tableColumn id="9" xr3:uid="{B97981A5-BFCD-4796-BF56-AB27C9696A26}" name="Custom emissions intensity source" dataDxfId="327"/>
    <tableColumn id="10" xr3:uid="{EEB70F68-6156-49E4-B0B4-208B3E4F7026}" name="Custom emissions intensity source type (Select)" dataDxfId="326" dataCellStyle="Input select"/>
    <tableColumn id="11" xr3:uid="{BA5DFBCA-79FA-4F03-9757-F52930F566CC}" name="Custom emissions intensity credential / certification link" dataDxfId="325"/>
    <tableColumn id="12" xr3:uid="{5DD64AB4-D99C-4EA4-A163-66A5344CAE67}" name="Scope 3 data score" dataDxfId="324">
      <calculatedColumnFormula array="1">Common_InputFunctions.Utility_LookupValueInTableNumber(Table_Scope3_CleaningChemicals[[#This Row],[Custom emissions intensity source type (Select)]],#REF!,#REF!)</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BCD346-7A40-4750-B0EE-EC53FA5BD9E6}" name="Table_Scope3_SeedsAndSeedlings" displayName="Table_Scope3_SeedsAndSeedlings" ref="D231:O233" totalsRowShown="0" headerRowDxfId="323" dataDxfId="322" headerRowCellStyle="Equation table header">
  <autoFilter ref="D231:O233" xr:uid="{554A9086-F44A-4342-A732-951CBF128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8D98FCA-668D-4B49-885B-2D37B18AB688}" name="Type" dataDxfId="321">
      <calculatedColumnFormula array="1">Common_InputFunctions.Utility_DisplayArrayInTable(Scope3_SourceData.Scope3_SeedsAndSeedlings_Data(), Table_Scope3_SeedsAndSeedlings[[#Headers],[Type]], 0, 2)</calculatedColumnFormula>
    </tableColumn>
    <tableColumn id="2" xr3:uid="{7B694384-D0B4-4B10-977F-338E97AEE84C}" name="Quantity" dataDxfId="320">
      <calculatedColumnFormula>'Input - Other Farm Inputs'!E12</calculatedColumnFormula>
    </tableColumn>
    <tableColumn id="3" xr3:uid="{63805590-3971-4A60-929B-D93809E38DF0}" name="Quantity Unit" dataDxfId="319">
      <calculatedColumnFormula array="1">Common_InputFunctions.Utility_DisplayArrayInTable(Scope3_SourceData.Scope3_SeedsAndSeedlings_Data(), Table_Scope3_SeedsAndSeedlings[[#Headers],[Type]], 0, 2)</calculatedColumnFormula>
    </tableColumn>
    <tableColumn id="4" xr3:uid="{AE0CF8BA-0345-4457-B150-DB9D2E95C744}" name="AusLCI Emissions intensity" dataDxfId="318">
      <calculatedColumnFormula array="1">Common_InputFunctions.Utility_DisplayArrayInTable(Scope3_SourceData.Scope3_SeedsAndSeedlings_Data(), Table_Scope3_SeedsAndSeedlings[[#Headers],[Type]], 0, 2)</calculatedColumnFormula>
    </tableColumn>
    <tableColumn id="5" xr3:uid="{2D5A096B-DC1A-4FC8-80BF-74CFB631F8F7}" name="Custom emissions intensity" dataDxfId="317"/>
    <tableColumn id="6" xr3:uid="{960D495E-0E8D-4D30-BC61-38A22BE904C7}" name="Emissions intensity unit" dataDxfId="316">
      <calculatedColumnFormula array="1">Common_InputFunctions.Utility_DisplayArrayInTable(Scope3_SourceData.Scope3_SeedsAndSeedlings_Data(), Table_Scope3_SeedsAndSeedlings[[#Headers],[Type]], 0, 2)</calculatedColumnFormula>
    </tableColumn>
    <tableColumn id="7" xr3:uid="{D3780652-803F-47CE-9DAF-E4A037066AB0}" name="Scope 3 emissions exc. custom (t CO2-e)" dataDxfId="315">
      <calculatedColumnFormula>Table_Scope3_SeedsAndSeedlings[[#This Row],[Quantity]]*Table_Scope3_SeedsAndSeedlings[[#This Row],[AusLCI Emissions intensity]]</calculatedColumnFormula>
    </tableColumn>
    <tableColumn id="8" xr3:uid="{AE235AA0-F3A1-4253-9D93-564F20006938}" name="Scope 3 emissions inc. custom (t CO2-e)2" dataDxfId="314">
      <calculatedColumnFormula>Table_Scope3_SeedsAndSeedlings[[#This Row],[Quantity]]*IF(Table_Scope3_SeedsAndSeedlings[[#This Row],[Custom emissions intensity]], Table_Scope3_SeedsAndSeedlings[[#This Row],[Custom emissions intensity]], Table_Scope3_SeedsAndSeedlings[[#This Row],[AusLCI Emissions intensity]])</calculatedColumnFormula>
    </tableColumn>
    <tableColumn id="9" xr3:uid="{F8EC6892-59F4-4D09-89F0-B86407819470}" name="Custom emissions intensity source" dataDxfId="313"/>
    <tableColumn id="10" xr3:uid="{5E3F759A-7CF7-4F32-AC47-C403C13E0582}" name="Custom emissions intensity source type (Select)" dataDxfId="312" dataCellStyle="Input select"/>
    <tableColumn id="11" xr3:uid="{A13B6EC5-BD65-4FA5-8B09-64B174833640}" name="Custom emissions intensity credential / certification link" dataDxfId="311"/>
    <tableColumn id="12" xr3:uid="{DC7BD0B8-3757-44E3-B057-917F174C2634}" name="Scope 3 data score" dataDxfId="310">
      <calculatedColumnFormula array="1">Common_InputFunctions.Utility_LookupValueInTableNumber(Table_Scope3_SeedsAndSeedlings[[#This Row],[Custom emissions intensity source type (Select)]],#REF!,#REF!)</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CAAF18-1BF9-4F9F-A8A1-7B710191EF2E}" name="Table_Scope3_OtherInputs" displayName="Table_Scope3_OtherInputs" ref="D242:O248" totalsRowShown="0" headerRowDxfId="309" dataDxfId="308" headerRowCellStyle="Equation table header">
  <autoFilter ref="D242:O248" xr:uid="{79FBD0D7-6F21-4960-82E5-53B1BF766321}"/>
  <tableColumns count="12">
    <tableColumn id="1" xr3:uid="{9118B514-5A77-4BBB-9BA7-F9D0F1CFE720}" name="Type" dataDxfId="307">
      <calculatedColumnFormula array="1">Common_InputFunctions.Utility_DisplayArrayInTable(Scope3_SourceData.Scope3_OtherAgriculturalInputs_Data(), Table_Scope3_OtherInputs[[#Headers],[Type]], 0, 2)</calculatedColumnFormula>
    </tableColumn>
    <tableColumn id="2" xr3:uid="{7C701687-D054-4D5D-8D50-2C3451587D5E}" name="Quantity" dataDxfId="306">
      <calculatedColumnFormula>'Input - Other Farm Inputs'!E6</calculatedColumnFormula>
    </tableColumn>
    <tableColumn id="3" xr3:uid="{57057AAD-AF35-42B5-85F1-B6F80380B944}" name="Quantity Unit" dataDxfId="305">
      <calculatedColumnFormula array="1">Common_InputFunctions.Utility_DisplayArrayInTable(Scope3_SourceData.Scope3_OtherAgriculturalInputs_Data(), Table_Scope3_OtherInputs[[#Headers],[Type]], 0, 2)</calculatedColumnFormula>
    </tableColumn>
    <tableColumn id="4" xr3:uid="{1523AD08-BCA3-4978-9878-634E3C3C38FE}" name="AusLCI Emissions intensity" dataDxfId="304">
      <calculatedColumnFormula array="1">Common_InputFunctions.Utility_DisplayArrayInTable(Scope3_SourceData.Scope3_OtherAgriculturalInputs_Data(), Table_Scope3_OtherInputs[[#Headers],[Type]], 0, 2)</calculatedColumnFormula>
    </tableColumn>
    <tableColumn id="5" xr3:uid="{022ACB78-B94C-412F-A59C-CBC62C09C189}" name="Custom emissions intensity" dataDxfId="303"/>
    <tableColumn id="6" xr3:uid="{22BAB356-6544-4E5A-A0DE-8695FBE35E4E}" name="Emissions intensity unit" dataDxfId="302">
      <calculatedColumnFormula array="1">Common_InputFunctions.Utility_DisplayArrayInTable(Scope3_SourceData.Scope3_OtherAgriculturalInputs_Data(), Table_Scope3_OtherInputs[[#Headers],[Type]], 0, 2)</calculatedColumnFormula>
    </tableColumn>
    <tableColumn id="7" xr3:uid="{66A32FD2-5926-463E-87BB-086E704122DD}" name="Scope 3 emissions exc. custom (t CO2-e)" dataDxfId="301">
      <calculatedColumnFormula>Table_Scope3_OtherInputs[[#This Row],[Quantity]]*Table_Scope3_OtherInputs[[#This Row],[AusLCI Emissions intensity]]</calculatedColumnFormula>
    </tableColumn>
    <tableColumn id="8" xr3:uid="{473A5C7C-830F-414E-AA0D-66B41B3BE560}" name="Scope 3 emissions inc. custom (t CO2-e)2" dataDxfId="300">
      <calculatedColumnFormula>Table_Scope3_OtherInputs[[#This Row],[Quantity]]*IF(Table_Scope3_OtherInputs[[#This Row],[Custom emissions intensity]], Table_Scope3_OtherInputs[[#This Row],[Custom emissions intensity]], Table_Scope3_OtherInputs[[#This Row],[AusLCI Emissions intensity]])</calculatedColumnFormula>
    </tableColumn>
    <tableColumn id="9" xr3:uid="{AFFB28D0-B534-48B1-8DEE-44E340FC0D95}" name="Custom emissions intensity source" dataDxfId="299"/>
    <tableColumn id="10" xr3:uid="{5072550B-A59D-4A10-A807-07808D4CD2E2}" name="Custom emissions intensity source type (Select)" dataDxfId="298" dataCellStyle="Input select"/>
    <tableColumn id="11" xr3:uid="{6C77E12A-D02E-43F8-94B3-23590AFE1962}" name="Custom emissions intensity credential / certification link" dataDxfId="297"/>
    <tableColumn id="12" xr3:uid="{8D10CD65-7F4F-4AE1-8545-9C47C0955D63}" name="Scope 3 data score" dataDxfId="296">
      <calculatedColumnFormula array="1">Common_InputFunctions.Utility_LookupValueInTableNumber(Table_Scope3_OtherInputs[[#This Row],[Custom emissions intensity source type (Select)]],#REF!,#REF!)</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80"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79" dataCellStyle="Content normal">
  <autoFilter ref="D40:E47" xr:uid="{879A0650-599F-46E3-BDCA-CF804D191F3B}">
    <filterColumn colId="0" hiddenButton="1"/>
    <filterColumn colId="1" hiddenButton="1"/>
  </autoFilter>
  <tableColumns count="2">
    <tableColumn id="1" xr3:uid="{F237F8B2-5CE9-4094-A201-E708B82BA8BF}" name="Product" dataDxfId="78"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77"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73" dataCellStyle="Content normal">
  <autoFilter ref="D51:E52" xr:uid="{5D161BB1-95E1-405D-861A-B4883D49A51C}">
    <filterColumn colId="0" hiddenButton="1"/>
    <filterColumn colId="1" hiddenButton="1"/>
  </autoFilter>
  <tableColumns count="2">
    <tableColumn id="1" xr3:uid="{44557688-3D5A-45A6-818D-F1328BB9ECC9}" name="Product" dataDxfId="72"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71"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70" dataCellStyle="Content normal">
  <autoFilter ref="D56:E57" xr:uid="{91542D18-4304-4E66-85EA-4F5A2B9391FE}">
    <filterColumn colId="0" hiddenButton="1"/>
    <filterColumn colId="1" hiddenButton="1"/>
  </autoFilter>
  <tableColumns count="2">
    <tableColumn id="1" xr3:uid="{B414FDE1-8B5E-4532-8C69-A9C006972E91}" name="Product" dataDxfId="6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68"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67" dataCellStyle="Content normal">
  <autoFilter ref="D61:E62" xr:uid="{4B96D517-47DA-49C8-8030-0D501D458198}">
    <filterColumn colId="0" hiddenButton="1"/>
    <filterColumn colId="1" hiddenButton="1"/>
  </autoFilter>
  <tableColumns count="2">
    <tableColumn id="1" xr3:uid="{20B25AB9-804F-4D21-9C93-F44C0DAF008F}" name="Product" dataDxfId="66"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65"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209"/>
    <tableColumn id="2" xr3:uid="{B4717C55-1B95-4E74-B4A0-5CE7A609A36B}" name="Notes" totalsRowDxfId="208"/>
    <tableColumn id="3" xr3:uid="{D976AB1A-52FF-4FBD-9860-B9717ABA5514}" name="Company" totalsRowDxfId="207"/>
    <tableColumn id="4" xr3:uid="{D8F5EA32-4865-44AD-B9C7-F91CA2638E8B}" name="Product name" totalsRowDxfId="206"/>
    <tableColumn id="5" xr3:uid="{D241BEEC-C636-4A92-9BDB-FA8FAA1CAFB2}" name="Unit" totalsRowDxfId="205"/>
    <tableColumn id="6" xr3:uid="{78DBDBE9-27C7-4A0D-B9DA-9F57440C9DE9}" name="Density / gravity" totalsRowDxfId="204"/>
    <tableColumn id="7" xr3:uid="{A50CBE27-EC38-4A34-A2CE-1002E6BA3DD3}" name="Urea source" totalsRowDxfId="203"/>
    <tableColumn id="8" xr3:uid="{16B5D74A-9810-4E92-A540-3E051DC2151D}" name="Ammonia source" totalsRowDxfId="202"/>
    <tableColumn id="9" xr3:uid="{DA7A3BF5-8B40-4495-AD97-6B95B429B465}" name="Ingredient 1" totalsRowDxfId="201"/>
    <tableColumn id="10" xr3:uid="{2A0B8472-D8FF-4086-BE70-2E8BCA80080B}" name="Ingredient 1 percent" totalsRowDxfId="200"/>
    <tableColumn id="11" xr3:uid="{F12415FE-ED65-47A4-AFBE-CEA738CED011}" name="Ingredient 2" totalsRowDxfId="199"/>
    <tableColumn id="12" xr3:uid="{26500CB3-2A36-4020-8DCD-96905995028A}" name="Ingredient 2 percent" totalsRowDxfId="198"/>
    <tableColumn id="13" xr3:uid="{8F8E6FFC-24C1-4EC1-A491-92E852D1C21B}" name="Ingredient 3" totalsRowDxfId="197"/>
    <tableColumn id="14" xr3:uid="{0D08C50E-A1D4-4D59-8D20-E9C72FE59C88}" name="Ingredient 3 percent" totalsRowDxfId="196"/>
    <tableColumn id="15" xr3:uid="{E71FD370-71A1-4861-8573-8E095564A6C6}" name="Ingredient 4" totalsRowDxfId="195"/>
    <tableColumn id="16" xr3:uid="{05524065-59E0-4732-9D5C-80182402ACED}" name="Ingredient 4 percent" totalsRowDxfId="194"/>
    <tableColumn id="17" xr3:uid="{E73E9DAE-88FE-451C-83BB-46CE2CD11EAC}" name="Ingredient 5" totalsRowDxfId="193"/>
    <tableColumn id="18" xr3:uid="{E43B92CC-872A-4D81-AE03-F2A3A1AA9B65}" name="Ingredient 5 percent" totalsRowDxfId="192"/>
    <tableColumn id="19" xr3:uid="{877362A6-7696-4C2B-9AC9-A50CEF0951B6}" name="Ingredient 6" totalsRowDxfId="191"/>
    <tableColumn id="37" xr3:uid="{22756E59-4033-405C-B6C2-0A2E122D072F}" name="Ingredient 6 percent" totalsRowDxfId="190"/>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8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8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8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86" dataCellStyle="Content normal">
  <autoFilter ref="K19:L28" xr:uid="{27B93029-EB1F-4C4A-A946-CD673A8A6C46}">
    <filterColumn colId="0" hiddenButton="1"/>
    <filterColumn colId="1" hiddenButton="1"/>
  </autoFilter>
  <tableColumns count="2">
    <tableColumn id="1" xr3:uid="{D0F0FE53-48EF-4C1D-923D-46B182A1D219}" name="Fertiliser type f" dataDxfId="185"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8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83" dataCellStyle="Content normal">
  <autoFilter ref="Q19:R28" xr:uid="{791CEA59-796C-47AB-86BC-41E8F699030C}">
    <filterColumn colId="0" hiddenButton="1"/>
    <filterColumn colId="1" hiddenButton="1"/>
  </autoFilter>
  <tableColumns count="2">
    <tableColumn id="1" xr3:uid="{8D461AD8-9C85-4218-9322-36C1AD6A4022}" name="Fertiliser type f" dataDxfId="182"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8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180" dataDxfId="17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178">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177">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176">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175">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174">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173">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172">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17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170" dataDxfId="16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168">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167">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166">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165">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164">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163">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162">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161">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16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159" dataDxfId="158">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157"/>
    <tableColumn id="2" xr3:uid="{13C467F2-26C0-4F6F-B92F-24A4B990E442}" name="Power standalone machinery or heating" dataDxfId="156"/>
    <tableColumn id="3" xr3:uid="{15E7EDC3-8A83-409D-86B7-926996BE8FBC}" name="Aviation" dataDxfId="155"/>
    <tableColumn id="5" xr3:uid="{F31E6FAB-A518-436D-BFB8-D7426676641C}" name="Cars and light commercial vehicles" dataDxfId="154"/>
    <tableColumn id="7" xr3:uid="{6CC11CFE-89B6-44EE-8AED-42AC5C27DB07}" name="Off-road Agriculture and forestry equipment" dataDxfId="153" dataCellStyle="Content bold"/>
    <tableColumn id="8" xr3:uid="{30476670-3728-4B3D-9436-B58D01B767DE}" name="Vessels" dataDxfId="152" dataCellStyle="Content bold"/>
    <tableColumn id="6" xr3:uid="{701F62A8-8600-449C-8513-D7CA0BE9C5D9}" name="General use" dataDxfId="151"/>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150" dataDxfId="14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148">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147">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146">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145">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44">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43">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4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41" totalsRowDxfId="140">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39">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38">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3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3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3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30">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1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1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1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1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1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1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9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2.bin"/><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2" Type="http://schemas.openxmlformats.org/officeDocument/2006/relationships/table" Target="../tables/table16.xml"/><Relationship Id="rId1" Type="http://schemas.openxmlformats.org/officeDocument/2006/relationships/table" Target="../tables/table15.xm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table" Target="../tables/table27.xml"/><Relationship Id="rId6" Type="http://schemas.openxmlformats.org/officeDocument/2006/relationships/table" Target="../tables/table32.xml"/><Relationship Id="rId5" Type="http://schemas.openxmlformats.org/officeDocument/2006/relationships/table" Target="../tables/table31.xml"/><Relationship Id="rId4" Type="http://schemas.openxmlformats.org/officeDocument/2006/relationships/table" Target="../tables/table30.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2" Type="http://schemas.openxmlformats.org/officeDocument/2006/relationships/table" Target="../tables/table34.xml"/><Relationship Id="rId1" Type="http://schemas.openxmlformats.org/officeDocument/2006/relationships/table" Target="../tables/table33.xml"/><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table" Target="../tables/table44.xml"/><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59.xml"/><Relationship Id="rId13" Type="http://schemas.openxmlformats.org/officeDocument/2006/relationships/table" Target="../tables/table64.xml"/><Relationship Id="rId18" Type="http://schemas.openxmlformats.org/officeDocument/2006/relationships/table" Target="../tables/table69.xml"/><Relationship Id="rId3" Type="http://schemas.openxmlformats.org/officeDocument/2006/relationships/table" Target="../tables/table54.xml"/><Relationship Id="rId7" Type="http://schemas.openxmlformats.org/officeDocument/2006/relationships/table" Target="../tables/table58.xml"/><Relationship Id="rId12" Type="http://schemas.openxmlformats.org/officeDocument/2006/relationships/table" Target="../tables/table63.xml"/><Relationship Id="rId17" Type="http://schemas.openxmlformats.org/officeDocument/2006/relationships/table" Target="../tables/table68.xml"/><Relationship Id="rId2" Type="http://schemas.openxmlformats.org/officeDocument/2006/relationships/table" Target="../tables/table53.xml"/><Relationship Id="rId16" Type="http://schemas.openxmlformats.org/officeDocument/2006/relationships/table" Target="../tables/table67.xml"/><Relationship Id="rId1" Type="http://schemas.openxmlformats.org/officeDocument/2006/relationships/printerSettings" Target="../printerSettings/printerSettings5.bin"/><Relationship Id="rId6" Type="http://schemas.openxmlformats.org/officeDocument/2006/relationships/table" Target="../tables/table57.xml"/><Relationship Id="rId11" Type="http://schemas.openxmlformats.org/officeDocument/2006/relationships/table" Target="../tables/table62.xml"/><Relationship Id="rId5" Type="http://schemas.openxmlformats.org/officeDocument/2006/relationships/table" Target="../tables/table56.xml"/><Relationship Id="rId15" Type="http://schemas.openxmlformats.org/officeDocument/2006/relationships/table" Target="../tables/table66.xml"/><Relationship Id="rId10" Type="http://schemas.openxmlformats.org/officeDocument/2006/relationships/table" Target="../tables/table61.xml"/><Relationship Id="rId4" Type="http://schemas.openxmlformats.org/officeDocument/2006/relationships/table" Target="../tables/table55.xml"/><Relationship Id="rId9" Type="http://schemas.openxmlformats.org/officeDocument/2006/relationships/table" Target="../tables/table60.xml"/><Relationship Id="rId14" Type="http://schemas.openxmlformats.org/officeDocument/2006/relationships/table" Target="../tables/table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279</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280</v>
      </c>
      <c r="N5" s="110"/>
    </row>
    <row r="6" spans="1:24" ht="20.100000000000001" customHeight="1" x14ac:dyDescent="0.25">
      <c r="D6" s="111"/>
      <c r="N6" s="112"/>
    </row>
    <row r="7" spans="1:24" ht="20.100000000000001" customHeight="1" x14ac:dyDescent="0.25">
      <c r="A7" s="19" t="s">
        <v>67</v>
      </c>
      <c r="D7" s="8" t="s">
        <v>281</v>
      </c>
      <c r="E7" s="86" t="s">
        <v>282</v>
      </c>
      <c r="F7" s="68"/>
    </row>
    <row r="8" spans="1:24" ht="20.100000000000001" customHeight="1" x14ac:dyDescent="0.25">
      <c r="A8" s="16" t="str">
        <f>HYPERLINK("#'Input - Electricity'!A1", "Electricity")</f>
        <v>Electricity</v>
      </c>
      <c r="D8" s="113" t="s">
        <v>283</v>
      </c>
      <c r="E8" s="86" t="s">
        <v>284</v>
      </c>
    </row>
    <row r="9" spans="1:24" ht="20.100000000000001" customHeight="1" x14ac:dyDescent="0.25">
      <c r="A9" s="16"/>
      <c r="N9" s="114"/>
    </row>
    <row r="10" spans="1:24" ht="20.100000000000001" customHeight="1" x14ac:dyDescent="0.25">
      <c r="A10" s="21" t="s">
        <v>77</v>
      </c>
      <c r="D10" s="100" t="s">
        <v>285</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286</v>
      </c>
      <c r="E12" s="118">
        <v>45292</v>
      </c>
      <c r="F12" s="68" t="s">
        <v>287</v>
      </c>
    </row>
    <row r="13" spans="1:24" ht="20.100000000000001" customHeight="1" x14ac:dyDescent="0.25">
      <c r="A13" s="23" t="s">
        <v>78</v>
      </c>
      <c r="D13" s="113" t="s">
        <v>288</v>
      </c>
      <c r="E13" s="119">
        <f>DATE(YEAR(E12)+1,MONTH(E12),DAY(E12))-1</f>
        <v>45657</v>
      </c>
      <c r="F13" s="68" t="s">
        <v>289</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290</v>
      </c>
      <c r="N16" s="120"/>
      <c r="O16" s="120"/>
    </row>
    <row r="17" spans="1:25" ht="20.100000000000001" customHeight="1" x14ac:dyDescent="0.25">
      <c r="A17" s="3"/>
    </row>
    <row r="18" spans="1:25" ht="20.100000000000001" customHeight="1" x14ac:dyDescent="0.25">
      <c r="A18" s="3"/>
      <c r="D18" s="121" t="s">
        <v>291</v>
      </c>
      <c r="E18" s="41"/>
      <c r="F18" s="41"/>
      <c r="G18" s="42"/>
    </row>
    <row r="19" spans="1:25" ht="20.100000000000001" customHeight="1" x14ac:dyDescent="0.25">
      <c r="A19" s="3"/>
      <c r="D19" s="44" t="s">
        <v>292</v>
      </c>
      <c r="E19" s="45"/>
      <c r="F19" s="45"/>
      <c r="G19" s="46"/>
      <c r="N19" s="110"/>
    </row>
    <row r="20" spans="1:25" ht="20.100000000000001" customHeight="1" x14ac:dyDescent="0.25">
      <c r="A20" s="3"/>
      <c r="D20" s="8"/>
      <c r="E20" s="122"/>
      <c r="F20" s="68"/>
      <c r="N20" s="112"/>
    </row>
    <row r="21" spans="1:25" ht="20.100000000000001" customHeight="1" x14ac:dyDescent="0.25">
      <c r="A21" s="3"/>
      <c r="D21" s="8" t="s">
        <v>293</v>
      </c>
      <c r="E21" s="48" t="s">
        <v>418</v>
      </c>
      <c r="F21" s="68" t="s">
        <v>198</v>
      </c>
    </row>
    <row r="22" spans="1:25" ht="20.100000000000001" customHeight="1" x14ac:dyDescent="0.25">
      <c r="A22" s="3"/>
      <c r="D22" s="8" t="s">
        <v>294</v>
      </c>
      <c r="E22" s="48" t="s">
        <v>295</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0"/>
  <sheetViews>
    <sheetView showGridLines="0" topLeftCell="A6" zoomScale="85" zoomScaleNormal="85" workbookViewId="0">
      <selection activeCell="E19" sqref="E19"/>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427</v>
      </c>
      <c r="F17" s="67" t="s">
        <v>420</v>
      </c>
      <c r="G17" s="67" t="s">
        <v>421</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211</v>
      </c>
      <c r="E19" s="77">
        <v>200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1.2150000000000001</v>
      </c>
      <c r="H19" s="77">
        <v>0</v>
      </c>
      <c r="I19" s="78">
        <f>(Table_Input_InorganicFertiliser_Brands[[#This Row],[Amount applied per hectare]]*Table_Input_InorganicFertiliser_Brands[[#This Row],[Density]])*Table_Input_InorganicFertiliser_Brands[[#This Row],[Application area (ha)]]</f>
        <v>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0.1</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Boron</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8"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8"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29.160000009720008</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9"/>
      <c r="E20" s="80"/>
      <c r="F20" s="81"/>
      <c r="G20" s="81"/>
      <c r="H20" s="81"/>
      <c r="I20" s="81"/>
      <c r="J20" s="82"/>
      <c r="K20" s="82"/>
      <c r="L20" s="83"/>
      <c r="M20" s="83"/>
      <c r="N20" s="53"/>
      <c r="O20" s="53"/>
      <c r="P20" s="53"/>
      <c r="Q20" s="53"/>
      <c r="R20" s="53"/>
      <c r="S20" s="53"/>
      <c r="T20" s="53"/>
      <c r="U20" s="53"/>
      <c r="V20" s="53"/>
      <c r="W20" s="53"/>
      <c r="X20" s="53"/>
    </row>
    <row r="21" spans="1:24" ht="36" customHeight="1" x14ac:dyDescent="0.25">
      <c r="A21" s="16" t="str">
        <f>HYPERLINK("#'Constants - Common'!A1", "Constants - Common")</f>
        <v>Constants - Common</v>
      </c>
      <c r="D21" s="84" t="s">
        <v>212</v>
      </c>
      <c r="E21" s="85"/>
      <c r="F21" s="85"/>
      <c r="G21" s="85"/>
      <c r="H21" s="85"/>
      <c r="I21" s="85"/>
      <c r="J21" s="85"/>
      <c r="K21" s="85"/>
      <c r="L21" s="85"/>
      <c r="M21" s="85"/>
      <c r="N21" s="53"/>
      <c r="O21" s="53"/>
      <c r="P21" s="53"/>
      <c r="Q21" s="53"/>
      <c r="R21" s="53"/>
      <c r="S21" s="53"/>
      <c r="T21" s="53"/>
      <c r="U21" s="53"/>
      <c r="V21" s="53"/>
      <c r="W21" s="53"/>
      <c r="X21" s="53"/>
    </row>
    <row r="22" spans="1:24" ht="36" customHeight="1" x14ac:dyDescent="0.25">
      <c r="D22" s="67" t="s">
        <v>213</v>
      </c>
      <c r="E22" s="67" t="s">
        <v>207</v>
      </c>
      <c r="F22" s="67" t="s">
        <v>208</v>
      </c>
      <c r="G22" s="67" t="s">
        <v>209</v>
      </c>
      <c r="H22" s="67" t="s">
        <v>214</v>
      </c>
      <c r="I22" s="67" t="s">
        <v>178</v>
      </c>
      <c r="J22" s="67" t="s">
        <v>179</v>
      </c>
      <c r="K22" s="67" t="s">
        <v>180</v>
      </c>
      <c r="L22" s="67" t="s">
        <v>181</v>
      </c>
      <c r="M22" s="67" t="s">
        <v>182</v>
      </c>
      <c r="N22" s="67" t="s">
        <v>183</v>
      </c>
      <c r="O22" s="67" t="s">
        <v>184</v>
      </c>
      <c r="P22" s="67" t="s">
        <v>210</v>
      </c>
      <c r="Q22" s="75" t="s">
        <v>175</v>
      </c>
      <c r="R22" s="75" t="s">
        <v>176</v>
      </c>
      <c r="S22" s="53"/>
      <c r="T22" s="53"/>
      <c r="U22" s="53"/>
      <c r="V22" s="53"/>
      <c r="W22" s="53"/>
      <c r="X22" s="53"/>
    </row>
    <row r="23" spans="1:24" ht="36" customHeight="1" x14ac:dyDescent="0.25">
      <c r="A23" s="16"/>
      <c r="D23" s="86" t="s">
        <v>215</v>
      </c>
      <c r="E23" s="67">
        <v>0</v>
      </c>
      <c r="F23" s="77">
        <f>$E$9</f>
        <v>100</v>
      </c>
      <c r="G23" s="78">
        <f>Table_Input_InorganicFertiliser_Custom[[#This Row],[Amount applied (kg / ha)]]*Table_Input_InorganicFertiliser_Custom[[#This Row],[Application area (ha)]]</f>
        <v>0</v>
      </c>
      <c r="H23" s="87" t="s">
        <v>426</v>
      </c>
      <c r="I23" s="88">
        <v>0.45</v>
      </c>
      <c r="J23" s="87" t="s">
        <v>425</v>
      </c>
      <c r="K23" s="88">
        <v>0.3</v>
      </c>
      <c r="L23" s="87" t="s">
        <v>217</v>
      </c>
      <c r="M23" s="88">
        <v>0.1</v>
      </c>
      <c r="N23" s="89" t="s">
        <v>218</v>
      </c>
      <c r="O23" s="90">
        <v>0.1</v>
      </c>
      <c r="P23"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3" s="48" t="s">
        <v>422</v>
      </c>
      <c r="R23" s="48" t="s">
        <v>422</v>
      </c>
    </row>
    <row r="24" spans="1:24" ht="36" customHeight="1" x14ac:dyDescent="0.25">
      <c r="D24" s="86"/>
      <c r="E24" s="67">
        <v>0</v>
      </c>
      <c r="F24" s="193">
        <f>$E$9</f>
        <v>100</v>
      </c>
      <c r="G24" s="78">
        <f>Table_Input_InorganicFertiliser_Custom[[#This Row],[Amount applied (kg / ha)]]*Table_Input_InorganicFertiliser_Custom[[#This Row],[Application area (ha)]]</f>
        <v>0</v>
      </c>
      <c r="H24" s="87" t="s">
        <v>216</v>
      </c>
      <c r="I24" s="91">
        <v>0.9</v>
      </c>
      <c r="J24" s="87" t="s">
        <v>426</v>
      </c>
      <c r="K24" s="91">
        <v>0.1</v>
      </c>
      <c r="L24" s="87"/>
      <c r="M24" s="91"/>
      <c r="N24" s="89"/>
      <c r="O24" s="90"/>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4" s="76" t="s">
        <v>422</v>
      </c>
      <c r="R24" s="76" t="s">
        <v>422</v>
      </c>
    </row>
    <row r="25" spans="1:24" ht="36" customHeight="1" x14ac:dyDescent="0.25"/>
    <row r="26" spans="1:24" ht="36" customHeight="1" x14ac:dyDescent="0.25">
      <c r="D26" s="9" t="s">
        <v>219</v>
      </c>
      <c r="E26" s="7"/>
      <c r="F26" s="7"/>
      <c r="G26" s="7"/>
      <c r="H26" s="7"/>
      <c r="I26" s="7"/>
      <c r="J26" s="7"/>
      <c r="K26" s="14"/>
      <c r="L26" s="14"/>
      <c r="M26" s="14"/>
    </row>
    <row r="27" spans="1:24" ht="20.100000000000001" customHeight="1" x14ac:dyDescent="0.25">
      <c r="D27" s="14"/>
      <c r="E27" s="14"/>
      <c r="F27" s="14"/>
      <c r="G27" s="14"/>
      <c r="H27" s="14"/>
      <c r="I27" s="14"/>
      <c r="J27" s="14"/>
      <c r="K27" s="14"/>
      <c r="L27" s="14"/>
      <c r="M27" s="7"/>
    </row>
    <row r="28" spans="1:24" ht="20.100000000000001" customHeight="1" x14ac:dyDescent="0.25">
      <c r="D28" s="40" t="s">
        <v>220</v>
      </c>
      <c r="E28" s="41"/>
      <c r="F28" s="42"/>
      <c r="G28" s="40"/>
      <c r="H28" s="42"/>
      <c r="I28" s="7"/>
      <c r="J28" s="7"/>
      <c r="K28" s="14"/>
      <c r="L28" s="14"/>
      <c r="M28" s="14"/>
    </row>
    <row r="29" spans="1:24" ht="20.100000000000001" customHeight="1" x14ac:dyDescent="0.25">
      <c r="A29" s="16"/>
      <c r="D29" s="92" t="s">
        <v>221</v>
      </c>
      <c r="E29" s="93"/>
      <c r="F29" s="94"/>
      <c r="G29" s="92"/>
      <c r="H29" s="94"/>
      <c r="I29" s="14"/>
      <c r="J29" s="14"/>
      <c r="K29" s="14"/>
      <c r="L29" s="14"/>
      <c r="M29" s="7"/>
    </row>
    <row r="30" spans="1:24" ht="20.100000000000001" customHeight="1" x14ac:dyDescent="0.25">
      <c r="A30" s="16"/>
      <c r="D30" s="44" t="s">
        <v>204</v>
      </c>
      <c r="E30" s="45"/>
      <c r="F30" s="45"/>
      <c r="G30" s="45"/>
      <c r="H30" s="46"/>
      <c r="I30" s="14"/>
      <c r="J30" s="14"/>
      <c r="K30" s="14"/>
      <c r="L30" s="14"/>
      <c r="M30" s="7"/>
    </row>
    <row r="31" spans="1:24" ht="20.100000000000001" customHeight="1" x14ac:dyDescent="0.25">
      <c r="A31" s="52"/>
      <c r="D31" s="57" t="str">
        <f>IF(MAX(Table_Input_Lime[Total]) &gt; 1, "There can not be more than 100% ingredients in a product. Check the table below.", "")</f>
        <v/>
      </c>
    </row>
    <row r="32" spans="1:24" ht="20.100000000000001" customHeight="1" x14ac:dyDescent="0.25">
      <c r="A32" s="52"/>
      <c r="D32" s="95" t="s">
        <v>222</v>
      </c>
      <c r="E32" s="95" t="s">
        <v>223</v>
      </c>
      <c r="F32" s="95" t="s">
        <v>208</v>
      </c>
      <c r="G32" s="95" t="s">
        <v>224</v>
      </c>
      <c r="H32" s="95" t="s">
        <v>225</v>
      </c>
      <c r="I32" s="95" t="s">
        <v>226</v>
      </c>
      <c r="J32" s="95" t="s">
        <v>227</v>
      </c>
      <c r="K32" s="95" t="s">
        <v>228</v>
      </c>
      <c r="L32" s="95" t="s">
        <v>229</v>
      </c>
    </row>
    <row r="33" spans="1:25" ht="36" customHeight="1" x14ac:dyDescent="0.25">
      <c r="A33" s="16"/>
      <c r="D33" s="96" t="s">
        <v>230</v>
      </c>
      <c r="E33" s="77">
        <v>100</v>
      </c>
      <c r="F33" s="77">
        <f>$E$9</f>
        <v>100</v>
      </c>
      <c r="G33" s="78">
        <f>IFERROR(Table_Input_Lime[[#This Row],[Amount applied (t/hectare)]]*Table_Input_Lime[[#This Row],[Application area (ha)]], 0)</f>
        <v>10000</v>
      </c>
      <c r="H33" s="97">
        <v>0.4</v>
      </c>
      <c r="I33" s="97">
        <v>0.3</v>
      </c>
      <c r="J33" s="97">
        <v>0.25</v>
      </c>
      <c r="K33" s="97">
        <v>0.05</v>
      </c>
      <c r="L33" s="98">
        <f>SUM(Table_Input_Lime[[#This Row],[Percent Lime CaCO3]:[Percent Potash]])</f>
        <v>1</v>
      </c>
    </row>
    <row r="34" spans="1:25" ht="36" customHeight="1" x14ac:dyDescent="0.25">
      <c r="D34" s="96" t="s">
        <v>231</v>
      </c>
      <c r="E34" s="77">
        <v>100</v>
      </c>
      <c r="F34" s="77">
        <f>$E$9</f>
        <v>100</v>
      </c>
      <c r="G34" s="78">
        <f>IFERROR(Table_Input_Lime[[#This Row],[Amount applied (t/hectare)]]*Table_Input_Lime[[#This Row],[Application area (ha)]], 0)</f>
        <v>10000</v>
      </c>
      <c r="H34" s="97"/>
      <c r="I34" s="97">
        <v>1</v>
      </c>
      <c r="J34" s="97"/>
      <c r="K34" s="97"/>
      <c r="L34" s="98">
        <f>SUM(Table_Input_Lime[[#This Row],[Percent Lime CaCO3]:[Percent Potash]])</f>
        <v>1</v>
      </c>
    </row>
    <row r="35" spans="1:25" ht="36" customHeight="1" x14ac:dyDescent="0.25">
      <c r="D35" s="14"/>
      <c r="E35" s="14"/>
      <c r="F35" s="14"/>
      <c r="G35" s="14"/>
      <c r="H35" s="14"/>
      <c r="I35" s="14"/>
      <c r="J35" s="14"/>
      <c r="L35" s="7"/>
      <c r="M35" s="7"/>
    </row>
    <row r="36" spans="1:25" ht="36" customHeight="1" x14ac:dyDescent="0.25">
      <c r="D36" s="14"/>
      <c r="E36" s="14"/>
      <c r="F36" s="14"/>
      <c r="G36" s="14"/>
      <c r="H36" s="14"/>
      <c r="I36" s="14"/>
      <c r="J36" s="99"/>
      <c r="K36" s="7"/>
      <c r="L36" s="7"/>
      <c r="M36" s="7"/>
    </row>
    <row r="37" spans="1:25" ht="20.100000000000001" customHeight="1" x14ac:dyDescent="0.25">
      <c r="D37" s="9" t="s">
        <v>232</v>
      </c>
      <c r="E37" s="7"/>
      <c r="F37" s="7"/>
      <c r="G37" s="7"/>
      <c r="H37" s="14"/>
      <c r="I37" s="14"/>
      <c r="J37" s="14"/>
      <c r="K37" s="14"/>
      <c r="L37" s="14"/>
      <c r="M37" s="14"/>
    </row>
    <row r="38" spans="1:25" ht="20.100000000000001" customHeight="1" x14ac:dyDescent="0.25">
      <c r="C38" s="53"/>
      <c r="D38" s="14"/>
      <c r="E38" s="14"/>
      <c r="F38" s="14"/>
      <c r="G38" s="14"/>
      <c r="H38" s="14"/>
      <c r="I38" s="14"/>
      <c r="J38" s="14"/>
      <c r="K38" s="14"/>
      <c r="L38" s="14"/>
      <c r="M38" s="14"/>
    </row>
    <row r="39" spans="1:25" ht="20.100000000000001" customHeight="1" x14ac:dyDescent="0.25">
      <c r="A39" s="16"/>
      <c r="C39" s="53"/>
      <c r="D39" s="40" t="s">
        <v>220</v>
      </c>
      <c r="E39" s="41"/>
      <c r="F39" s="41"/>
      <c r="G39" s="41"/>
      <c r="H39" s="42"/>
      <c r="I39" s="14"/>
      <c r="J39" s="14"/>
      <c r="K39" s="14"/>
      <c r="L39" s="14"/>
      <c r="M39" s="14"/>
      <c r="Q39" s="53"/>
      <c r="R39" s="53"/>
      <c r="S39" s="53"/>
    </row>
    <row r="40" spans="1:25" s="54" customFormat="1" ht="20.100000000000001" customHeight="1" x14ac:dyDescent="0.25">
      <c r="C40" s="8"/>
      <c r="D40" s="44" t="s">
        <v>204</v>
      </c>
      <c r="E40" s="45"/>
      <c r="F40" s="45"/>
      <c r="G40" s="45"/>
      <c r="H40" s="46"/>
      <c r="I40" s="14"/>
      <c r="J40" s="14"/>
      <c r="K40" s="14"/>
      <c r="L40" s="14"/>
      <c r="M40" s="14"/>
      <c r="N40" s="8"/>
      <c r="O40" s="53"/>
      <c r="P40" s="53"/>
      <c r="Q40" s="53"/>
      <c r="R40" s="53"/>
      <c r="S40" s="53"/>
      <c r="T40" s="8"/>
      <c r="U40" s="8"/>
      <c r="V40" s="8"/>
      <c r="W40" s="8"/>
      <c r="X40" s="8"/>
      <c r="Y40" s="8"/>
    </row>
    <row r="41" spans="1:25" s="54" customFormat="1" ht="20.100000000000001" customHeight="1" x14ac:dyDescent="0.25">
      <c r="A41" s="55"/>
      <c r="C41" s="8"/>
      <c r="D41" s="14"/>
      <c r="E41" s="14"/>
      <c r="F41" s="14"/>
      <c r="G41" s="14"/>
      <c r="H41" s="14"/>
      <c r="I41" s="14"/>
      <c r="J41" s="14"/>
      <c r="K41" s="14"/>
      <c r="L41" s="14"/>
      <c r="M41" s="53"/>
      <c r="N41" s="53"/>
      <c r="O41" s="53"/>
      <c r="P41" s="53"/>
      <c r="Q41" s="8"/>
      <c r="R41" s="8"/>
      <c r="S41" s="8"/>
      <c r="T41" s="8"/>
      <c r="U41" s="8"/>
      <c r="V41" s="8"/>
      <c r="W41" s="8"/>
      <c r="X41" s="8"/>
      <c r="Y41" s="8"/>
    </row>
    <row r="42" spans="1:25" ht="20.100000000000001" customHeight="1" x14ac:dyDescent="0.25">
      <c r="D42" s="95" t="s">
        <v>233</v>
      </c>
      <c r="E42" s="95" t="s">
        <v>234</v>
      </c>
      <c r="F42" s="95" t="s">
        <v>235</v>
      </c>
      <c r="G42" s="95" t="s">
        <v>236</v>
      </c>
      <c r="H42" s="95" t="s">
        <v>208</v>
      </c>
      <c r="I42" s="95" t="s">
        <v>237</v>
      </c>
      <c r="J42" s="95" t="s">
        <v>238</v>
      </c>
      <c r="K42" s="85"/>
      <c r="L42" s="85"/>
      <c r="M42" s="53"/>
      <c r="N42" s="53"/>
    </row>
    <row r="43" spans="1:25" ht="36" customHeight="1" x14ac:dyDescent="0.25">
      <c r="D43" s="76" t="s">
        <v>162</v>
      </c>
      <c r="E43" s="97">
        <v>0.3</v>
      </c>
      <c r="F43" s="77">
        <v>10</v>
      </c>
      <c r="G43" s="78">
        <f>Table_Input_OrganicFertiliser[[#This Row],[Amount applied (kg/hectare)]]*Table_Input_OrganicFertiliser[[#This Row],[Percentage of N in fertiliser]]</f>
        <v>3</v>
      </c>
      <c r="H43" s="77">
        <f>$E$9</f>
        <v>100</v>
      </c>
      <c r="I43" s="78">
        <f>Table_Input_OrganicFertiliser[[#This Row],[Amount applied (kg/hectare)]]*Table_Input_OrganicFertiliser[[#This Row],[Application area (ha)]]</f>
        <v>1000</v>
      </c>
      <c r="J43" s="78">
        <f>IFERROR(Table_Input_OrganicFertiliser[[#This Row],[Amount N applied (kg/hectare)]]*Table_Input_OrganicFertiliser[[#This Row],[Application area (ha)]], 0)</f>
        <v>300</v>
      </c>
      <c r="K43" s="85"/>
      <c r="L43" s="85"/>
    </row>
    <row r="44" spans="1:25" ht="36" customHeight="1" x14ac:dyDescent="0.25">
      <c r="A44" s="56" t="str">
        <f>HYPERLINK("#A1", "▲ Back to top")</f>
        <v>▲ Back to top</v>
      </c>
      <c r="D44" s="76" t="s">
        <v>156</v>
      </c>
      <c r="E44" s="97">
        <v>0.25</v>
      </c>
      <c r="F44" s="77">
        <v>10</v>
      </c>
      <c r="G44" s="78">
        <f>Table_Input_OrganicFertiliser[[#This Row],[Amount applied (kg/hectare)]]*Table_Input_OrganicFertiliser[[#This Row],[Percentage of N in fertiliser]]</f>
        <v>2.5</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250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c r="M110" s="7"/>
    </row>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9" spans="12:12" x14ac:dyDescent="0.25">
      <c r="L209" s="68"/>
    </row>
    <row r="210" spans="12:12" x14ac:dyDescent="0.25">
      <c r="L210" s="68"/>
    </row>
    <row r="211" spans="12:12" x14ac:dyDescent="0.25">
      <c r="L211" s="68"/>
    </row>
    <row r="212" spans="12:12" x14ac:dyDescent="0.25">
      <c r="L212" s="68"/>
    </row>
    <row r="213" spans="12:12" x14ac:dyDescent="0.25">
      <c r="L213" s="68"/>
    </row>
    <row r="215" spans="12:12" x14ac:dyDescent="0.25">
      <c r="L215" s="68"/>
    </row>
    <row r="217" spans="12:12" x14ac:dyDescent="0.25">
      <c r="L217" s="68"/>
    </row>
    <row r="218" spans="12:12" x14ac:dyDescent="0.25">
      <c r="L218" s="68"/>
    </row>
    <row r="219" spans="12:12" x14ac:dyDescent="0.25">
      <c r="L219" s="68"/>
    </row>
    <row r="220" spans="12:12" x14ac:dyDescent="0.25">
      <c r="L220" s="68"/>
    </row>
    <row r="222" spans="12:12" x14ac:dyDescent="0.25">
      <c r="L222" s="68"/>
    </row>
    <row r="230" spans="12:12" x14ac:dyDescent="0.25">
      <c r="L230" s="68"/>
    </row>
    <row r="231" spans="12:12" x14ac:dyDescent="0.25">
      <c r="L231" s="68"/>
    </row>
    <row r="232" spans="12:12" x14ac:dyDescent="0.25">
      <c r="L232" s="68"/>
    </row>
    <row r="235" spans="12:12" x14ac:dyDescent="0.25">
      <c r="L235" s="68"/>
    </row>
    <row r="236" spans="12:12" x14ac:dyDescent="0.25">
      <c r="L236" s="68"/>
    </row>
    <row r="237" spans="12:12" x14ac:dyDescent="0.25">
      <c r="L237" s="68"/>
    </row>
    <row r="240" spans="12:12" x14ac:dyDescent="0.25">
      <c r="L240" s="68"/>
    </row>
    <row r="241" spans="11:12" x14ac:dyDescent="0.25">
      <c r="L241" s="68"/>
    </row>
    <row r="242" spans="11:12" x14ac:dyDescent="0.25">
      <c r="L242" s="68"/>
    </row>
    <row r="245" spans="11:12" x14ac:dyDescent="0.25">
      <c r="L245" s="68"/>
    </row>
    <row r="246" spans="11:12" x14ac:dyDescent="0.25">
      <c r="K246" s="68"/>
      <c r="L246" s="68"/>
    </row>
    <row r="247" spans="11:12" x14ac:dyDescent="0.25">
      <c r="L247" s="68"/>
    </row>
    <row r="251" spans="11:12" x14ac:dyDescent="0.25">
      <c r="K251" s="68"/>
    </row>
    <row r="254" spans="11:12" x14ac:dyDescent="0.25">
      <c r="L254" s="68"/>
    </row>
    <row r="255" spans="11:12" x14ac:dyDescent="0.25">
      <c r="L255" s="68"/>
    </row>
    <row r="256" spans="11:12" x14ac:dyDescent="0.25">
      <c r="K256" s="68"/>
      <c r="L256" s="68"/>
    </row>
    <row r="259" spans="11:12" x14ac:dyDescent="0.25">
      <c r="L259" s="68"/>
    </row>
    <row r="260" spans="11:12" x14ac:dyDescent="0.25">
      <c r="L260" s="68"/>
    </row>
    <row r="261" spans="11:12" x14ac:dyDescent="0.25">
      <c r="K261" s="68"/>
      <c r="L261" s="68"/>
    </row>
    <row r="262" spans="11:12" x14ac:dyDescent="0.25">
      <c r="K262" s="68"/>
    </row>
    <row r="263" spans="11:12" x14ac:dyDescent="0.25">
      <c r="K263" s="68"/>
    </row>
    <row r="264" spans="11:12" x14ac:dyDescent="0.25">
      <c r="K264" s="68"/>
      <c r="L264" s="68"/>
    </row>
    <row r="265" spans="11:12" x14ac:dyDescent="0.25">
      <c r="K265" s="68"/>
      <c r="L265" s="68"/>
    </row>
    <row r="266" spans="11:12" x14ac:dyDescent="0.25">
      <c r="L266" s="68"/>
    </row>
    <row r="267" spans="11:12" x14ac:dyDescent="0.25">
      <c r="K267" s="68"/>
    </row>
    <row r="269" spans="11:12" x14ac:dyDescent="0.25">
      <c r="K269" s="68"/>
      <c r="L269" s="68"/>
    </row>
    <row r="270" spans="11:12" x14ac:dyDescent="0.25">
      <c r="K270" s="68"/>
      <c r="L270" s="68"/>
    </row>
    <row r="271" spans="11:12" x14ac:dyDescent="0.25">
      <c r="K271" s="68"/>
      <c r="L271" s="68"/>
    </row>
    <row r="272" spans="11:12" x14ac:dyDescent="0.25">
      <c r="K272" s="68"/>
    </row>
    <row r="274" spans="11:11" x14ac:dyDescent="0.25">
      <c r="K274" s="68"/>
    </row>
    <row r="280" spans="11:11" x14ac:dyDescent="0.25">
      <c r="K280" s="68"/>
    </row>
    <row r="285" spans="11:11" x14ac:dyDescent="0.25">
      <c r="K285" s="68"/>
    </row>
    <row r="290" spans="11:11" x14ac:dyDescent="0.25">
      <c r="K290" s="68"/>
    </row>
    <row r="295" spans="11:11" x14ac:dyDescent="0.25">
      <c r="K295" s="68"/>
    </row>
    <row r="296" spans="11:11" x14ac:dyDescent="0.25">
      <c r="K296" s="68"/>
    </row>
    <row r="297" spans="11:11" x14ac:dyDescent="0.25">
      <c r="K297" s="68"/>
    </row>
    <row r="298" spans="11:11" x14ac:dyDescent="0.25">
      <c r="K298" s="68"/>
    </row>
    <row r="299" spans="11:11" x14ac:dyDescent="0.25">
      <c r="K299" s="68"/>
    </row>
    <row r="301" spans="11:11" x14ac:dyDescent="0.25">
      <c r="K301" s="68"/>
    </row>
    <row r="303" spans="11:11" x14ac:dyDescent="0.25">
      <c r="K303" s="68"/>
    </row>
    <row r="304" spans="11:11" x14ac:dyDescent="0.25">
      <c r="K304" s="68"/>
    </row>
    <row r="305" spans="11:11" x14ac:dyDescent="0.25">
      <c r="K305" s="68"/>
    </row>
    <row r="306" spans="11:11" x14ac:dyDescent="0.25">
      <c r="K306" s="68"/>
    </row>
    <row r="308" spans="11:11" x14ac:dyDescent="0.25">
      <c r="K308" s="68"/>
    </row>
    <row r="316" spans="11:11" x14ac:dyDescent="0.25">
      <c r="K316" s="68"/>
    </row>
    <row r="317" spans="11:11" x14ac:dyDescent="0.25">
      <c r="K317" s="68"/>
    </row>
    <row r="318" spans="11:11" x14ac:dyDescent="0.25">
      <c r="K318"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40" spans="11:11" x14ac:dyDescent="0.25">
      <c r="K340" s="68"/>
    </row>
    <row r="341" spans="11:11" x14ac:dyDescent="0.25">
      <c r="K341" s="68"/>
    </row>
    <row r="342" spans="11:11" x14ac:dyDescent="0.25">
      <c r="K342"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D360" s="57"/>
    </row>
  </sheetData>
  <conditionalFormatting sqref="F46">
    <cfRule type="cellIs" dxfId="61" priority="19" operator="lessThan">
      <formula>0</formula>
    </cfRule>
  </conditionalFormatting>
  <conditionalFormatting sqref="F125:F126">
    <cfRule type="cellIs" dxfId="60" priority="17" operator="lessThan">
      <formula>0</formula>
    </cfRule>
  </conditionalFormatting>
  <conditionalFormatting sqref="F137:F138">
    <cfRule type="cellIs" dxfId="59" priority="16" operator="lessThan">
      <formula>0</formula>
    </cfRule>
  </conditionalFormatting>
  <conditionalFormatting sqref="F149:F150">
    <cfRule type="cellIs" dxfId="58" priority="15" operator="lessThan">
      <formula>0</formula>
    </cfRule>
  </conditionalFormatting>
  <conditionalFormatting sqref="F161:F162">
    <cfRule type="cellIs" dxfId="57" priority="14" operator="lessThan">
      <formula>0</formula>
    </cfRule>
  </conditionalFormatting>
  <conditionalFormatting sqref="F249:F250">
    <cfRule type="cellIs" dxfId="56" priority="27" operator="lessThan">
      <formula>0</formula>
    </cfRule>
  </conditionalFormatting>
  <conditionalFormatting sqref="F254:F255">
    <cfRule type="cellIs" dxfId="55" priority="26" operator="lessThan">
      <formula>0</formula>
    </cfRule>
  </conditionalFormatting>
  <conditionalFormatting sqref="F259:F260">
    <cfRule type="cellIs" dxfId="54" priority="25" operator="lessThan">
      <formula>0</formula>
    </cfRule>
  </conditionalFormatting>
  <conditionalFormatting sqref="F283:F284">
    <cfRule type="cellIs" dxfId="53" priority="24" operator="lessThan">
      <formula>0</formula>
    </cfRule>
  </conditionalFormatting>
  <conditionalFormatting sqref="F288:F289">
    <cfRule type="cellIs" dxfId="52" priority="23" operator="lessThan">
      <formula>0</formula>
    </cfRule>
  </conditionalFormatting>
  <conditionalFormatting sqref="F293:F294">
    <cfRule type="cellIs" dxfId="51" priority="22" operator="lessThan">
      <formula>0</formula>
    </cfRule>
  </conditionalFormatting>
  <conditionalFormatting sqref="I30 I32:I36 I40:I41 H42:H44 O43 N44 I45 I47:I49 I51:I52 I203:J203 K208:L208 E209:G209 I209:J209 K246 J247 K251 J252 K256 J257 K261:K265 J262:J266 K267 J268 K269:K272 J270:J273 K274 J275 K280 J281 K285 J286 K290 J291 K295:K299 J296:J300 K301 J302 K303:K306 J304:J307 K308 J309">
    <cfRule type="cellIs" dxfId="50" priority="21" operator="lessThan">
      <formula>0</formula>
    </cfRule>
  </conditionalFormatting>
  <conditionalFormatting sqref="I56:I60">
    <cfRule type="cellIs" dxfId="49" priority="4" operator="lessThan">
      <formula>0</formula>
    </cfRule>
  </conditionalFormatting>
  <conditionalFormatting sqref="I64 M103 I123:J123 K183:L183 K187:L188 K191:L192 K197:L198 K201:L202">
    <cfRule type="cellIs" dxfId="48" priority="20" operator="lessThan">
      <formula>0</formula>
    </cfRule>
  </conditionalFormatting>
  <conditionalFormatting sqref="I75:I77">
    <cfRule type="cellIs" dxfId="47" priority="3" operator="lessThan">
      <formula>0</formula>
    </cfRule>
  </conditionalFormatting>
  <conditionalFormatting sqref="I81:I84">
    <cfRule type="cellIs" dxfId="46" priority="2" operator="lessThan">
      <formula>0</formula>
    </cfRule>
  </conditionalFormatting>
  <conditionalFormatting sqref="I88:I92">
    <cfRule type="cellIs" dxfId="45" priority="1" operator="lessThan">
      <formula>0</formula>
    </cfRule>
  </conditionalFormatting>
  <conditionalFormatting sqref="J151">
    <cfRule type="cellIs" dxfId="44" priority="18" operator="lessThan">
      <formula>0</formula>
    </cfRule>
  </conditionalFormatting>
  <conditionalFormatting sqref="L116:L119">
    <cfRule type="cellIs" dxfId="43" priority="8" operator="lessThan">
      <formula>0</formula>
    </cfRule>
  </conditionalFormatting>
  <conditionalFormatting sqref="L122">
    <cfRule type="cellIs" dxfId="42" priority="13" operator="lessThan">
      <formula>0</formula>
    </cfRule>
  </conditionalFormatting>
  <conditionalFormatting sqref="L128:L131">
    <cfRule type="cellIs" dxfId="41" priority="7" operator="lessThan">
      <formula>0</formula>
    </cfRule>
  </conditionalFormatting>
  <conditionalFormatting sqref="L134">
    <cfRule type="cellIs" dxfId="40" priority="12" operator="lessThan">
      <formula>0</formula>
    </cfRule>
  </conditionalFormatting>
  <conditionalFormatting sqref="L140:L143">
    <cfRule type="cellIs" dxfId="39" priority="6" operator="lessThan">
      <formula>0</formula>
    </cfRule>
  </conditionalFormatting>
  <conditionalFormatting sqref="L146">
    <cfRule type="cellIs" dxfId="38" priority="11" operator="lessThan">
      <formula>0</formula>
    </cfRule>
  </conditionalFormatting>
  <conditionalFormatting sqref="L152:L155">
    <cfRule type="cellIs" dxfId="37" priority="5" operator="lessThan">
      <formula>0</formula>
    </cfRule>
  </conditionalFormatting>
  <conditionalFormatting sqref="L158">
    <cfRule type="cellIs" dxfId="36" priority="10" operator="lessThan">
      <formula>0</formula>
    </cfRule>
  </conditionalFormatting>
  <conditionalFormatting sqref="L162:L163">
    <cfRule type="cellIs" dxfId="35" priority="9" operator="lessThan">
      <formula>0</formula>
    </cfRule>
  </conditionalFormatting>
  <conditionalFormatting sqref="L209:L213 L215 L217:L220 L222 J227:J229 J232:J234">
    <cfRule type="cellIs" dxfId="34" priority="28" operator="lessThan">
      <formula>0</formula>
    </cfRule>
  </conditionalFormatting>
  <dataValidations count="12">
    <dataValidation type="list" allowBlank="1" showInputMessage="1" showErrorMessage="1" sqref="D18:D19" xr:uid="{DFB1096D-C6F6-4F85-BE80-B4F0EFA04D5F}">
      <formula1>INDIRECT("FertiliserProducts[Product Name]")</formula1>
    </dataValidation>
    <dataValidation type="list" allowBlank="1" showInputMessage="1" showErrorMessage="1" sqref="D43:D44" xr:uid="{933F6C75-4F8D-4677-98CD-E5EE702A5D18}">
      <formula1>INDIRECT("Table_SourceData_OrganicFertiliserTypes[Organic fertiliser type]")</formula1>
    </dataValidation>
    <dataValidation type="list" allowBlank="1" showInputMessage="1" showErrorMessage="1" sqref="H23:H24 J23:J24 L23:L24 N23:N24"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3" xr:uid="{0C22F7DB-C841-4220-875C-77CE00E27B46}">
      <formula1>INDIRECT("Table_SourceData_Swine_CropProdSystems[Production system]")</formula1>
    </dataValidation>
    <dataValidation type="list" allowBlank="1" showInputMessage="1" showErrorMessage="1" sqref="E64" xr:uid="{1A26CE76-D0A3-489D-A86A-781AB458D170}">
      <formula1>INDIRECT("Table_SourceData_Swine_IrrigationMethods[Irrigation method]")</formula1>
    </dataValidation>
    <dataValidation type="list" allowBlank="1" showInputMessage="1" showErrorMessage="1" sqref="E248 E253 E258 E292 E287 E282 E160 E148 E124 E136" xr:uid="{25F6A59C-0583-41B9-9DD8-3BA15915AFD8}">
      <formula1>"Yes, No"</formula1>
    </dataValidation>
    <dataValidation type="list" allowBlank="1" showInputMessage="1" showErrorMessage="1" sqref="E224" xr:uid="{2695B8EE-F17D-4863-835D-8745430A24C1}">
      <formula1>INDIRECT("Table_SourceData_Dairy_ProductionSystemTemplates[Area]")</formula1>
    </dataValidation>
    <dataValidation type="list" allowBlank="1" showInputMessage="1" showErrorMessage="1" sqref="D276" xr:uid="{B3E90F14-EC39-4891-8BD5-CB7DD89D5A7E}">
      <formula1>INDIRECT("Table_SourceData_PoultryMMSStage1[MMS]")</formula1>
    </dataValidation>
    <dataValidation type="list" allowBlank="1" showInputMessage="1" showErrorMessage="1" sqref="Q23:R24"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zoomScaleNormal="100" workbookViewId="0">
      <selection activeCell="F26" sqref="F26"/>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4.125" style="7" customWidth="1"/>
    <col min="17" max="24" width="26.875" style="4" customWidth="1"/>
    <col min="25" max="25" width="25.125" style="4" customWidth="1"/>
    <col min="26" max="27" width="8" style="4"/>
    <col min="28" max="16384" width="8" style="7"/>
  </cols>
  <sheetData>
    <row r="1" spans="1:149" s="4" customFormat="1" ht="30" customHeight="1" x14ac:dyDescent="0.35">
      <c r="A1" s="150" t="e" vm="1">
        <v>#VALUE!</v>
      </c>
      <c r="C1" s="108" t="s">
        <v>368</v>
      </c>
    </row>
    <row r="2" spans="1:149" s="4" customFormat="1" ht="20.100000000000001" customHeight="1" x14ac:dyDescent="0.25">
      <c r="C2" s="2"/>
      <c r="D2" s="2"/>
      <c r="E2" s="2"/>
      <c r="F2" s="2"/>
      <c r="G2" s="2"/>
      <c r="H2" s="2"/>
      <c r="I2" s="2"/>
      <c r="J2" s="2"/>
    </row>
    <row r="3" spans="1:149" ht="20.100000000000001" customHeight="1" x14ac:dyDescent="0.25">
      <c r="A3" s="16" t="s">
        <v>302</v>
      </c>
      <c r="C3" s="39"/>
      <c r="D3" s="39"/>
      <c r="E3" s="39"/>
      <c r="F3" s="39"/>
      <c r="G3" s="39"/>
      <c r="H3" s="39"/>
      <c r="I3" s="39"/>
      <c r="J3" s="39"/>
      <c r="K3" s="39"/>
      <c r="L3" s="39"/>
      <c r="M3" s="39"/>
      <c r="N3" s="39"/>
      <c r="O3" s="39"/>
      <c r="P3" s="39"/>
      <c r="Q3" s="177"/>
      <c r="R3" s="177"/>
      <c r="S3" s="177"/>
      <c r="T3" s="177"/>
      <c r="U3" s="177"/>
      <c r="V3" s="177"/>
      <c r="W3" s="177"/>
      <c r="X3" s="177"/>
      <c r="Y3" s="177"/>
      <c r="Z3" s="177"/>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49" ht="20.100000000000001" customHeight="1" x14ac:dyDescent="0.25">
      <c r="A4" s="16" t="str">
        <f>HYPERLINK("#'Results'!A1", "Results")</f>
        <v>Results</v>
      </c>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49" ht="20.100000000000001" customHeight="1" x14ac:dyDescent="0.25">
      <c r="D5" s="9" t="s">
        <v>369</v>
      </c>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49" ht="20.100000000000001" customHeight="1" x14ac:dyDescent="0.25">
      <c r="A6" s="19" t="s">
        <v>67</v>
      </c>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49" ht="20.100000000000001" customHeight="1" x14ac:dyDescent="0.25">
      <c r="A7" s="16" t="str">
        <f>HYPERLINK("#'Input - Site'!A1", "Site")</f>
        <v>Site</v>
      </c>
      <c r="D7" s="178" t="s">
        <v>370</v>
      </c>
      <c r="E7" s="179"/>
      <c r="F7" s="70"/>
      <c r="G7" s="70"/>
      <c r="H7" s="70"/>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49" ht="20.100000000000001" customHeight="1" x14ac:dyDescent="0.25">
      <c r="A8" s="16" t="str">
        <f>HYPERLINK("#'Input - Production'!A1", "Production and outputs")</f>
        <v>Production and outputs</v>
      </c>
      <c r="D8" s="67" t="s">
        <v>222</v>
      </c>
      <c r="E8" s="67" t="s">
        <v>371</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row>
    <row r="9" spans="1:149" ht="20.100000000000001" customHeight="1" x14ac:dyDescent="0.25">
      <c r="A9" s="16" t="str">
        <f>HYPERLINK("#'Input - Herd - Dairy'!A1", "Herd - Dairy")</f>
        <v>Herd - Dairy</v>
      </c>
      <c r="D9" s="176" t="str">
        <f>'Calcs - Scope 3'!D140</f>
        <v>Mineral block</v>
      </c>
      <c r="E9" s="180">
        <v>10</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row>
    <row r="10" spans="1:149" ht="20.100000000000001" customHeight="1" x14ac:dyDescent="0.25">
      <c r="A10" s="43" t="str">
        <f>HYPERLINK("#'Input - Feed - Dairy'!A1", "Purchased feed - Livestock")</f>
        <v>Purchased feed - Livestock</v>
      </c>
      <c r="D10" s="176" t="str">
        <f>'Calcs - Scope 3'!D141</f>
        <v>Weaner block</v>
      </c>
      <c r="E10" s="180">
        <v>20</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row>
    <row r="11" spans="1:149" ht="20.100000000000001" customHeight="1" x14ac:dyDescent="0.25">
      <c r="A11" s="16" t="str">
        <f>HYPERLINK("#'Input - Herd - Feedlot'!A1", "Herd - Feedlot")</f>
        <v>Herd - Feedlot</v>
      </c>
      <c r="C11" s="181"/>
      <c r="D11" s="176" t="str">
        <f>'Calcs - Scope 3'!D142</f>
        <v>Dry season mix</v>
      </c>
      <c r="E11" s="180">
        <v>30</v>
      </c>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row>
    <row r="12" spans="1:149" ht="20.100000000000001" customHeight="1" x14ac:dyDescent="0.25">
      <c r="A12" s="16" t="str">
        <f>HYPERLINK("#'Input - Pasture'!A1", "Pasture")</f>
        <v>Pasture</v>
      </c>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49" ht="20.100000000000001" customHeight="1" x14ac:dyDescent="0.25">
      <c r="A13" s="16" t="str">
        <f>HYPERLINK("#'Input - Grains'!A1", "Crop - Grains")</f>
        <v>Crop - Grains</v>
      </c>
      <c r="D13" s="178" t="s">
        <v>372</v>
      </c>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49" ht="20.100000000000001" customHeight="1" x14ac:dyDescent="0.25">
      <c r="A14" s="16" t="str">
        <f>HYPERLINK("#'Input - Fert Lime Chem'!A1", "Fertiliser, Lime &amp; Chemicals")</f>
        <v>Fertiliser, Lime &amp; Chemicals</v>
      </c>
      <c r="D14" s="100" t="s">
        <v>354</v>
      </c>
      <c r="E14" s="116"/>
      <c r="F14" s="116"/>
      <c r="G14" s="101"/>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49" ht="20.100000000000001" customHeight="1" x14ac:dyDescent="0.25">
      <c r="A15" s="16" t="str">
        <f>HYPERLINK("#'Input - Fuel &amp; Energy'!A1", "Electricity and fuel")</f>
        <v>Electricity and fuel</v>
      </c>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49" ht="20.100000000000001" customHeight="1" x14ac:dyDescent="0.25">
      <c r="A16" s="52" t="s">
        <v>315</v>
      </c>
      <c r="D16" s="49" t="s">
        <v>373</v>
      </c>
      <c r="E16" s="49" t="s">
        <v>374</v>
      </c>
      <c r="F16" s="49" t="s">
        <v>214</v>
      </c>
      <c r="G16" s="49" t="s">
        <v>178</v>
      </c>
      <c r="H16" s="49" t="s">
        <v>375</v>
      </c>
      <c r="I16" s="49" t="s">
        <v>180</v>
      </c>
      <c r="J16" s="49" t="s">
        <v>376</v>
      </c>
      <c r="K16" s="49" t="s">
        <v>182</v>
      </c>
      <c r="L16" s="49" t="s">
        <v>377</v>
      </c>
      <c r="M16" s="49" t="s">
        <v>184</v>
      </c>
      <c r="N16" s="49" t="s">
        <v>378</v>
      </c>
      <c r="O16" s="49" t="s">
        <v>186</v>
      </c>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row>
    <row r="17" spans="1:150" ht="20.100000000000001" customHeight="1" x14ac:dyDescent="0.25">
      <c r="A17" s="52" t="s">
        <v>316</v>
      </c>
      <c r="D17" s="15"/>
      <c r="E17" s="182">
        <v>1200</v>
      </c>
      <c r="F17" s="48" t="s">
        <v>379</v>
      </c>
      <c r="G17" s="51">
        <v>0.35</v>
      </c>
      <c r="H17" s="48" t="s">
        <v>380</v>
      </c>
      <c r="I17" s="51">
        <v>0.22</v>
      </c>
      <c r="J17" s="48" t="s">
        <v>381</v>
      </c>
      <c r="K17" s="51">
        <v>0.12</v>
      </c>
      <c r="L17" s="48" t="s">
        <v>382</v>
      </c>
      <c r="M17" s="51">
        <v>0.05</v>
      </c>
      <c r="N17" s="48" t="s">
        <v>383</v>
      </c>
      <c r="O17" s="51">
        <v>0.02</v>
      </c>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row>
    <row r="18" spans="1:150" ht="20.100000000000001" customHeight="1" x14ac:dyDescent="0.25">
      <c r="A18" s="16" t="str">
        <f>HYPERLINK("#'Input - Other Farm Inputs'!A1", "Other farm inputs")</f>
        <v>Other farm inputs</v>
      </c>
      <c r="D18" s="15"/>
      <c r="E18" s="182">
        <v>3456</v>
      </c>
      <c r="F18" s="48" t="s">
        <v>387</v>
      </c>
      <c r="G18" s="51">
        <v>0.2</v>
      </c>
      <c r="H18" s="48" t="s">
        <v>384</v>
      </c>
      <c r="I18" s="51">
        <v>0.2</v>
      </c>
      <c r="J18" s="48"/>
      <c r="K18" s="51"/>
      <c r="L18" s="48"/>
      <c r="M18" s="51"/>
      <c r="N18" s="48"/>
      <c r="O18" s="51"/>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row>
    <row r="19" spans="1:150" ht="20.100000000000001" customHeight="1" x14ac:dyDescent="0.25">
      <c r="A19" s="16" t="str">
        <f>HYPERLINK("#'Input - Data quality'!A1", "Data quality")</f>
        <v>Data quality</v>
      </c>
      <c r="D19" s="15" t="s">
        <v>385</v>
      </c>
      <c r="E19" s="182">
        <v>300</v>
      </c>
      <c r="F19" s="48" t="s">
        <v>386</v>
      </c>
      <c r="G19" s="51">
        <v>1</v>
      </c>
      <c r="H19" s="48" t="s">
        <v>386</v>
      </c>
      <c r="I19" s="51">
        <v>0.2</v>
      </c>
      <c r="J19" s="48"/>
      <c r="K19" s="51"/>
      <c r="L19" s="48"/>
      <c r="M19" s="51"/>
      <c r="N19" s="48"/>
      <c r="O19" s="51"/>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row>
    <row r="20" spans="1:150" ht="20.100000000000001" customHeight="1" x14ac:dyDescent="0.25">
      <c r="A20" s="3"/>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0" ht="20.100000000000001" customHeight="1" x14ac:dyDescent="0.25">
      <c r="A21" s="21" t="s">
        <v>77</v>
      </c>
      <c r="P21" s="181"/>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0" ht="20.100000000000001" customHeight="1" x14ac:dyDescent="0.25">
      <c r="A22" s="52" t="s">
        <v>317</v>
      </c>
      <c r="J22" s="9"/>
      <c r="K22" s="9"/>
      <c r="L22" s="9"/>
      <c r="M22" s="9"/>
      <c r="N22" s="9"/>
      <c r="O22" s="9"/>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0" ht="20.100000000000001" customHeight="1" x14ac:dyDescent="0.25">
      <c r="A23" s="52" t="s">
        <v>318</v>
      </c>
      <c r="D23" s="9" t="s">
        <v>393</v>
      </c>
      <c r="P23" s="18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0" ht="20.100000000000001" customHeight="1" x14ac:dyDescent="0.25">
      <c r="A24" s="16" t="str">
        <f>HYPERLINK("#'Calcs - Fert Lime'!A1", "Fertiliser &amp; soil amendments")</f>
        <v>Fertiliser &amp; soil amendments</v>
      </c>
      <c r="D24" s="143" t="s">
        <v>388</v>
      </c>
      <c r="P24" s="18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0" ht="20.100000000000001" customHeight="1" x14ac:dyDescent="0.25">
      <c r="A25" s="16" t="str">
        <f>HYPERLINK("#'Calcs - Residue mgmt - Crop'!A1", "Residue management - Crop")</f>
        <v>Residue management - Crop</v>
      </c>
      <c r="D25" s="185" t="s">
        <v>373</v>
      </c>
      <c r="E25" s="185" t="s">
        <v>374</v>
      </c>
      <c r="F25" s="185" t="s">
        <v>214</v>
      </c>
      <c r="G25" s="185" t="s">
        <v>178</v>
      </c>
      <c r="H25" s="185" t="s">
        <v>375</v>
      </c>
      <c r="I25" s="185" t="s">
        <v>180</v>
      </c>
      <c r="J25" s="185" t="s">
        <v>376</v>
      </c>
      <c r="K25" s="185" t="s">
        <v>182</v>
      </c>
      <c r="L25" s="185" t="s">
        <v>377</v>
      </c>
      <c r="M25" s="185" t="s">
        <v>184</v>
      </c>
      <c r="N25" s="185" t="s">
        <v>378</v>
      </c>
      <c r="O25" s="185" t="s">
        <v>186</v>
      </c>
      <c r="P25" s="18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0" ht="20.100000000000001" customHeight="1" x14ac:dyDescent="0.25">
      <c r="A26" s="16" t="str">
        <f>HYPERLINK("#'Calcs - Residue mgmt - Pasture'!A1", "Residue management - Pasture")</f>
        <v>Residue management - Pasture</v>
      </c>
      <c r="D26" s="186"/>
      <c r="E26" s="187">
        <v>1200</v>
      </c>
      <c r="F26" s="48" t="s">
        <v>394</v>
      </c>
      <c r="G26" s="90">
        <v>0.35</v>
      </c>
      <c r="H26" s="48" t="s">
        <v>389</v>
      </c>
      <c r="I26" s="90">
        <v>0.22</v>
      </c>
      <c r="J26" s="48" t="s">
        <v>390</v>
      </c>
      <c r="K26" s="90">
        <v>0.12</v>
      </c>
      <c r="L26" s="48" t="s">
        <v>391</v>
      </c>
      <c r="M26" s="90">
        <v>0.05</v>
      </c>
      <c r="N26" s="48" t="s">
        <v>392</v>
      </c>
      <c r="O26" s="90">
        <v>0.02</v>
      </c>
      <c r="P26" s="18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0" ht="20.100000000000001" customHeight="1" x14ac:dyDescent="0.25">
      <c r="A27" s="16" t="str">
        <f>HYPERLINK("#'Calcs - Field burning'!A1", "Field burning - Crop")</f>
        <v>Field burning - Crop</v>
      </c>
      <c r="D27" s="188"/>
      <c r="E27" s="187">
        <v>1200</v>
      </c>
      <c r="F27" s="48" t="s">
        <v>391</v>
      </c>
      <c r="G27" s="90">
        <v>1</v>
      </c>
      <c r="H27" s="48"/>
      <c r="I27" s="90"/>
      <c r="J27" s="48"/>
      <c r="K27" s="90"/>
      <c r="L27" s="48"/>
      <c r="M27" s="90"/>
      <c r="N27" s="48"/>
      <c r="O27" s="90"/>
      <c r="P27" s="18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0" ht="20.100000000000001" customHeight="1" x14ac:dyDescent="0.25">
      <c r="A28" s="16" t="str">
        <f>HYPERLINK("#'Calcs - Fuel'!A1", "Fuel")</f>
        <v>Fuel</v>
      </c>
      <c r="P28" s="18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0" ht="20.100000000000001" customHeight="1" x14ac:dyDescent="0.25">
      <c r="A29" s="16" t="str">
        <f>HYPERLINK("#'Calcs - Electricity'!A1", "Electricity")</f>
        <v>Electricity</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0" ht="20.100000000000001" customHeight="1" x14ac:dyDescent="0.25">
      <c r="A30" s="16" t="str">
        <f>HYPERLINK("#'Calcs - Refrigerants'!A1", "Refrigerants")</f>
        <v>Refrigerants</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0" ht="20.100000000000001" customHeight="1" x14ac:dyDescent="0.25">
      <c r="A31" s="52" t="s">
        <v>315</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0" ht="20.100000000000001" customHeight="1" x14ac:dyDescent="0.25">
      <c r="A32" s="52" t="s">
        <v>316</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81"/>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Q38" s="177"/>
      <c r="R38" s="177"/>
      <c r="S38" s="177"/>
      <c r="T38" s="177"/>
      <c r="U38" s="177"/>
      <c r="V38" s="177"/>
      <c r="W38" s="177"/>
      <c r="X38" s="177"/>
      <c r="Y38" s="177"/>
      <c r="Z38" s="177"/>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322</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67"/>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M57" s="183"/>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77"/>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77"/>
      <c r="S75" s="177"/>
      <c r="T75" s="177"/>
      <c r="U75" s="177"/>
      <c r="V75" s="177"/>
      <c r="W75" s="177"/>
      <c r="X75" s="177"/>
      <c r="Y75" s="177"/>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2">
    <dataValidation type="list" allowBlank="1" showInputMessage="1" showErrorMessage="1" sqref="F17:F19 H17:H19 J17:J19 L17:L19 N17:N19" xr:uid="{AD4035C5-A084-45C8-A8A0-BC37F25E0AE4}">
      <formula1>INDIRECT("Table_Scope3_AnimalFeed[Feed ingredient]")</formula1>
    </dataValidation>
    <dataValidation type="list" allowBlank="1" showInputMessage="1" showErrorMessage="1" sqref="F26:F27 H26:H27 J26:J27 L26:L27 N26:N27" xr:uid="{0AD8851A-09E8-483B-9827-926349C05F01}">
      <formula1>INDIRECT("Table_Scope3_AquacultureFeedBait[Feed / Bait ingredient]")</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Q73"/>
  <sheetViews>
    <sheetView showGridLines="0" topLeftCell="A23" workbookViewId="0">
      <selection activeCell="F40" sqref="F40"/>
    </sheetView>
  </sheetViews>
  <sheetFormatPr defaultRowHeight="15" x14ac:dyDescent="0.25"/>
  <cols>
    <col min="1" max="1" width="26.875" style="3" customWidth="1"/>
    <col min="2" max="2" width="4.125" style="3" customWidth="1"/>
    <col min="3" max="3" width="4.125" style="14" customWidth="1"/>
    <col min="4" max="10" width="26.875" style="14" customWidth="1"/>
    <col min="11" max="14" width="26.875" style="3" customWidth="1"/>
    <col min="15" max="16384" width="9" style="3"/>
  </cols>
  <sheetData>
    <row r="1" spans="1:10" ht="30" customHeight="1" x14ac:dyDescent="0.35">
      <c r="A1" s="150" t="e" vm="1">
        <v>#VALUE!</v>
      </c>
      <c r="C1" s="108" t="s">
        <v>353</v>
      </c>
      <c r="D1" s="4"/>
      <c r="E1" s="4"/>
      <c r="F1" s="4"/>
      <c r="G1" s="4"/>
      <c r="H1" s="4"/>
      <c r="I1" s="4"/>
      <c r="J1" s="4"/>
    </row>
    <row r="2" spans="1:10" ht="20.100000000000001" customHeight="1" x14ac:dyDescent="0.25">
      <c r="A2" s="4"/>
      <c r="C2" s="2"/>
      <c r="D2" s="2"/>
      <c r="E2" s="2"/>
      <c r="F2" s="2"/>
      <c r="G2" s="2"/>
      <c r="H2" s="2"/>
      <c r="I2" s="2"/>
      <c r="J2" s="2"/>
    </row>
    <row r="3" spans="1:10" ht="20.100000000000001" customHeight="1" x14ac:dyDescent="0.25">
      <c r="A3" s="16" t="s">
        <v>302</v>
      </c>
      <c r="C3" s="39"/>
      <c r="D3" s="39"/>
      <c r="E3" s="39"/>
      <c r="F3" s="39"/>
      <c r="G3" s="39"/>
      <c r="H3" s="39"/>
      <c r="I3" s="39"/>
      <c r="J3" s="39"/>
    </row>
    <row r="4" spans="1:10" ht="20.100000000000001" customHeight="1" x14ac:dyDescent="0.25">
      <c r="A4" s="16" t="str">
        <f>HYPERLINK("#'Results'!A1", "Results")</f>
        <v>Results</v>
      </c>
      <c r="C4" s="7"/>
      <c r="D4" s="7"/>
      <c r="E4" s="7"/>
      <c r="F4" s="7"/>
      <c r="G4" s="7"/>
      <c r="H4" s="7"/>
      <c r="I4" s="7"/>
      <c r="J4" s="7"/>
    </row>
    <row r="5" spans="1:10" ht="20.100000000000001" customHeight="1" x14ac:dyDescent="0.25">
      <c r="A5" s="18"/>
      <c r="C5" s="8"/>
      <c r="G5" s="8"/>
      <c r="H5" s="8"/>
      <c r="I5" s="8"/>
      <c r="J5" s="8"/>
    </row>
    <row r="6" spans="1:10" ht="20.100000000000001" customHeight="1" x14ac:dyDescent="0.25">
      <c r="A6" s="19" t="s">
        <v>67</v>
      </c>
      <c r="C6" s="8"/>
      <c r="D6" s="8" t="str">
        <f>'Calcs - Scope 3'!D243</f>
        <v>CO2 for carbonation</v>
      </c>
      <c r="E6" s="69">
        <v>100</v>
      </c>
      <c r="F6" s="68" t="str">
        <f>'Calcs - Scope 3'!F243</f>
        <v>t</v>
      </c>
      <c r="G6" s="8"/>
      <c r="H6" s="8"/>
      <c r="I6" s="8"/>
      <c r="J6" s="8"/>
    </row>
    <row r="7" spans="1:10" ht="20.100000000000001" customHeight="1" x14ac:dyDescent="0.25">
      <c r="A7" s="16" t="str">
        <f>HYPERLINK("#'Input - Site'!A1", "Site")</f>
        <v>Site</v>
      </c>
      <c r="C7" s="8"/>
      <c r="D7" s="8" t="str">
        <f>'Calcs - Scope 3'!D244</f>
        <v>Livestock antibiotics</v>
      </c>
      <c r="E7" s="69">
        <v>200</v>
      </c>
      <c r="F7" s="68" t="str">
        <f>'Calcs - Scope 3'!F244</f>
        <v>t</v>
      </c>
      <c r="G7" s="8"/>
      <c r="H7" s="8"/>
      <c r="I7" s="8"/>
      <c r="J7" s="8"/>
    </row>
    <row r="8" spans="1:10" ht="20.100000000000001" customHeight="1" x14ac:dyDescent="0.25">
      <c r="A8" s="16" t="str">
        <f>HYPERLINK("#'Input - Production'!A1", "Production and outputs")</f>
        <v>Production and outputs</v>
      </c>
      <c r="C8" s="8"/>
      <c r="D8" s="8" t="str">
        <f>'Calcs - Scope 3'!D245</f>
        <v>Nylon netting for horticulture</v>
      </c>
      <c r="E8" s="69">
        <v>300</v>
      </c>
      <c r="F8" s="68" t="str">
        <f>'Calcs - Scope 3'!F245</f>
        <v>t</v>
      </c>
      <c r="G8" s="8"/>
      <c r="H8" s="8"/>
      <c r="I8" s="8"/>
      <c r="J8" s="8"/>
    </row>
    <row r="9" spans="1:10" ht="20.100000000000001" customHeight="1" x14ac:dyDescent="0.25">
      <c r="A9" s="16" t="str">
        <f>HYPERLINK("#'Input - Herd - Dairy'!A1", "Herd - Dairy")</f>
        <v>Herd - Dairy</v>
      </c>
      <c r="C9" s="8"/>
      <c r="D9" s="8" t="str">
        <f>'Calcs - Scope 3'!D246</f>
        <v>Pallets - Wood</v>
      </c>
      <c r="E9" s="69">
        <v>400</v>
      </c>
      <c r="F9" s="68" t="str">
        <f>'Calcs - Scope 3'!F246</f>
        <v>t</v>
      </c>
      <c r="G9" s="8"/>
      <c r="H9" s="8"/>
      <c r="I9" s="8"/>
      <c r="J9" s="8"/>
    </row>
    <row r="10" spans="1:10" ht="20.100000000000001" customHeight="1" x14ac:dyDescent="0.25">
      <c r="A10" s="16" t="str">
        <f>HYPERLINK("#'Input - Feed - Dairy'!A1", "Purchased feed - Livestock")</f>
        <v>Purchased feed - Livestock</v>
      </c>
      <c r="C10" s="8"/>
      <c r="D10" s="8" t="str">
        <f>'Calcs - Scope 3'!D247</f>
        <v>Pallets - Plastic</v>
      </c>
      <c r="E10" s="69">
        <v>500</v>
      </c>
      <c r="F10" s="68" t="str">
        <f>'Calcs - Scope 3'!F247</f>
        <v>t</v>
      </c>
      <c r="G10" s="8"/>
      <c r="H10" s="8"/>
      <c r="I10" s="8"/>
      <c r="J10" s="8"/>
    </row>
    <row r="11" spans="1:10" ht="20.100000000000001" customHeight="1" x14ac:dyDescent="0.25">
      <c r="A11" s="16" t="str">
        <f>HYPERLINK("#'Input - Herd - Feedlot'!A1", "Herd - Feedlot")</f>
        <v>Herd - Feedlot</v>
      </c>
      <c r="C11" s="8"/>
      <c r="D11" s="8" t="str">
        <f>'Calcs - Scope 3'!D248</f>
        <v>Livestock tags</v>
      </c>
      <c r="E11" s="69">
        <v>600</v>
      </c>
      <c r="F11" s="68" t="str">
        <f>'Calcs - Scope 3'!F248</f>
        <v>t</v>
      </c>
      <c r="G11" s="8"/>
      <c r="H11" s="8"/>
      <c r="I11" s="8"/>
      <c r="J11" s="8"/>
    </row>
    <row r="12" spans="1:10" ht="20.100000000000001" customHeight="1" x14ac:dyDescent="0.25">
      <c r="A12" s="16" t="str">
        <f>HYPERLINK("#'Input - Pasture'!A1", "Pasture")</f>
        <v>Pasture</v>
      </c>
      <c r="D12" s="14" t="s">
        <v>366</v>
      </c>
      <c r="E12" s="69">
        <v>700</v>
      </c>
      <c r="F12" s="14" t="str">
        <f>'Calcs - Scope 3'!F232</f>
        <v>t</v>
      </c>
    </row>
    <row r="13" spans="1:10" ht="20.100000000000001" customHeight="1" x14ac:dyDescent="0.25">
      <c r="A13" s="16" t="str">
        <f>HYPERLINK("#'Input - Grains'!A1", "Crop - Grains")</f>
        <v>Crop - Grains</v>
      </c>
      <c r="D13" s="8" t="s">
        <v>367</v>
      </c>
      <c r="E13" s="69">
        <v>800</v>
      </c>
      <c r="F13" s="14" t="str">
        <f>'Calcs - Scope 3'!F233</f>
        <v>Seedling</v>
      </c>
      <c r="G13" s="8"/>
      <c r="H13" s="8"/>
      <c r="I13" s="8"/>
    </row>
    <row r="14" spans="1:10" ht="20.100000000000001" customHeight="1" x14ac:dyDescent="0.25">
      <c r="A14" s="16" t="str">
        <f>HYPERLINK("#'Input - Fert Lime Chem'!A1", "Fertiliser, Lime &amp; Chemicals")</f>
        <v>Fertiliser, Lime &amp; Chemicals</v>
      </c>
      <c r="D14" s="8"/>
      <c r="E14" s="8"/>
      <c r="F14" s="8"/>
      <c r="G14" s="8"/>
      <c r="H14" s="8"/>
      <c r="I14" s="8"/>
    </row>
    <row r="15" spans="1:10" ht="20.100000000000001" customHeight="1" x14ac:dyDescent="0.25">
      <c r="A15" s="16" t="str">
        <f>HYPERLINK("#'Input - Fuel &amp; Energy'!A1", "Electricity and fuel")</f>
        <v>Electricity and fuel</v>
      </c>
      <c r="C15" s="8"/>
      <c r="D15" s="8"/>
      <c r="E15" s="8"/>
      <c r="F15" s="8"/>
      <c r="G15" s="8"/>
      <c r="H15" s="8"/>
      <c r="I15" s="8"/>
      <c r="J15" s="8"/>
    </row>
    <row r="16" spans="1:10" ht="20.100000000000001" customHeight="1" x14ac:dyDescent="0.25">
      <c r="A16" s="52" t="s">
        <v>315</v>
      </c>
      <c r="C16" s="8"/>
      <c r="D16" s="8"/>
      <c r="E16" s="8"/>
      <c r="F16" s="8"/>
      <c r="G16" s="8"/>
      <c r="H16" s="8"/>
      <c r="I16" s="8"/>
      <c r="J16" s="8"/>
    </row>
    <row r="17" spans="1:17" ht="20.100000000000001" customHeight="1" x14ac:dyDescent="0.25">
      <c r="A17" s="52" t="s">
        <v>316</v>
      </c>
      <c r="D17" s="9" t="s">
        <v>395</v>
      </c>
      <c r="E17" s="7"/>
      <c r="F17" s="7"/>
      <c r="G17" s="7"/>
      <c r="H17" s="7"/>
      <c r="I17" s="7"/>
      <c r="J17" s="7"/>
      <c r="K17" s="7"/>
      <c r="L17" s="7"/>
      <c r="M17" s="7"/>
      <c r="N17" s="113"/>
      <c r="O17" s="113"/>
      <c r="P17" s="7"/>
      <c r="Q17" s="7"/>
    </row>
    <row r="18" spans="1:17" ht="20.100000000000001" customHeight="1" x14ac:dyDescent="0.25">
      <c r="A18" s="43" t="str">
        <f>HYPERLINK("#'Input - Other Farm Inputs'!A1", "Other farm inputs")</f>
        <v>Other farm inputs</v>
      </c>
      <c r="D18" s="184"/>
      <c r="E18" s="184"/>
      <c r="F18" s="184"/>
      <c r="G18" s="184"/>
      <c r="H18" s="184"/>
      <c r="I18" s="184"/>
      <c r="J18" s="184"/>
      <c r="K18" s="184"/>
      <c r="L18" s="184"/>
      <c r="M18" s="184"/>
      <c r="N18" s="184"/>
      <c r="O18" s="184"/>
      <c r="P18" s="184"/>
      <c r="Q18" s="184"/>
    </row>
    <row r="19" spans="1:17" ht="20.100000000000001" customHeight="1" x14ac:dyDescent="0.25">
      <c r="A19" s="16" t="str">
        <f>HYPERLINK("#'Input - Data quality'!A1", "Data quality")</f>
        <v>Data quality</v>
      </c>
      <c r="D19" s="40" t="s">
        <v>396</v>
      </c>
      <c r="E19" s="41"/>
      <c r="F19" s="42"/>
      <c r="G19" s="189"/>
      <c r="H19" s="189"/>
      <c r="I19" s="189"/>
      <c r="J19" s="190"/>
      <c r="K19" s="191"/>
      <c r="L19" s="191"/>
      <c r="M19" s="191"/>
      <c r="N19" s="191"/>
      <c r="O19" s="191"/>
      <c r="P19" s="191"/>
      <c r="Q19" s="191"/>
    </row>
    <row r="20" spans="1:17" ht="20.100000000000001" customHeight="1" x14ac:dyDescent="0.25">
      <c r="D20" s="92" t="s">
        <v>397</v>
      </c>
      <c r="E20" s="93"/>
      <c r="F20" s="94"/>
      <c r="G20" s="7"/>
      <c r="H20" s="7" t="s">
        <v>417</v>
      </c>
      <c r="I20" s="7">
        <v>100</v>
      </c>
      <c r="J20" s="7"/>
      <c r="K20" s="7"/>
      <c r="L20" s="7"/>
      <c r="M20" s="7"/>
      <c r="N20" s="7"/>
      <c r="O20" s="7"/>
      <c r="P20" s="7"/>
      <c r="Q20" s="7"/>
    </row>
    <row r="21" spans="1:17" ht="20.100000000000001" customHeight="1" x14ac:dyDescent="0.25">
      <c r="A21" s="21" t="s">
        <v>77</v>
      </c>
      <c r="D21" s="44" t="s">
        <v>398</v>
      </c>
      <c r="E21" s="45"/>
      <c r="F21" s="46"/>
      <c r="G21" s="7"/>
      <c r="H21" s="7"/>
      <c r="I21" s="7"/>
      <c r="J21" s="7"/>
      <c r="K21" s="7"/>
      <c r="L21" s="7"/>
      <c r="M21" s="7"/>
      <c r="N21" s="7"/>
      <c r="O21" s="7"/>
      <c r="P21" s="7"/>
      <c r="Q21" s="7"/>
    </row>
    <row r="22" spans="1:17" ht="20.100000000000001" customHeight="1" x14ac:dyDescent="0.25">
      <c r="A22" s="52" t="s">
        <v>317</v>
      </c>
      <c r="D22" s="184"/>
      <c r="E22" s="184"/>
      <c r="F22" s="184"/>
      <c r="G22" s="184"/>
      <c r="H22" s="184"/>
      <c r="I22" s="184"/>
      <c r="J22" s="184"/>
      <c r="K22" s="184"/>
      <c r="L22" s="184"/>
      <c r="M22" s="184"/>
      <c r="N22" s="184"/>
      <c r="O22" s="184"/>
      <c r="P22" s="184"/>
      <c r="Q22" s="184"/>
    </row>
    <row r="23" spans="1:17" ht="20.100000000000001" customHeight="1" x14ac:dyDescent="0.25">
      <c r="A23" s="52" t="s">
        <v>318</v>
      </c>
      <c r="C23" s="8"/>
      <c r="D23" s="192" t="s">
        <v>222</v>
      </c>
      <c r="E23" s="192" t="s">
        <v>399</v>
      </c>
      <c r="F23" s="192" t="s">
        <v>400</v>
      </c>
      <c r="G23" s="192" t="s">
        <v>208</v>
      </c>
      <c r="H23" s="192" t="s">
        <v>401</v>
      </c>
      <c r="I23" s="192" t="s">
        <v>402</v>
      </c>
      <c r="J23" s="192" t="s">
        <v>403</v>
      </c>
      <c r="K23" s="192" t="s">
        <v>404</v>
      </c>
      <c r="L23" s="192" t="s">
        <v>405</v>
      </c>
      <c r="M23" s="192" t="s">
        <v>406</v>
      </c>
      <c r="N23" s="192" t="s">
        <v>407</v>
      </c>
      <c r="O23" s="192" t="s">
        <v>408</v>
      </c>
      <c r="P23" s="192" t="s">
        <v>409</v>
      </c>
      <c r="Q23" s="192" t="s">
        <v>410</v>
      </c>
    </row>
    <row r="24" spans="1:17" ht="20.100000000000001" customHeight="1" x14ac:dyDescent="0.25">
      <c r="A24" s="16" t="str">
        <f>HYPERLINK("#'Calcs - Fert Lime'!A1", "Fertiliser &amp; soil amendments")</f>
        <v>Fertiliser &amp; soil amendments</v>
      </c>
      <c r="C24" s="8"/>
      <c r="D24" s="175" t="s">
        <v>411</v>
      </c>
      <c r="E24" s="180">
        <v>10</v>
      </c>
      <c r="F24" s="48" t="s">
        <v>412</v>
      </c>
      <c r="G24" s="180">
        <f>I20</f>
        <v>100</v>
      </c>
      <c r="H24" s="50">
        <f>Table_Input_Agrochemicals[[#This Row],[Amount applied per ha]]*Table_Input_Agrochemicals[[#This Row],[Application area (ha)]]</f>
        <v>1000</v>
      </c>
      <c r="I24" s="48" t="s">
        <v>415</v>
      </c>
      <c r="J24" s="48" t="s">
        <v>416</v>
      </c>
      <c r="K24" s="180">
        <v>115</v>
      </c>
      <c r="L24" s="48" t="s">
        <v>415</v>
      </c>
      <c r="M24" s="48" t="s">
        <v>414</v>
      </c>
      <c r="N24" s="180">
        <v>135</v>
      </c>
      <c r="O24" s="48" t="s">
        <v>413</v>
      </c>
      <c r="P24" s="48" t="s">
        <v>414</v>
      </c>
      <c r="Q24" s="180">
        <v>200</v>
      </c>
    </row>
    <row r="25" spans="1:17" ht="20.100000000000001" customHeight="1" x14ac:dyDescent="0.25">
      <c r="A25" s="16" t="str">
        <f>HYPERLINK("#'Calcs - Residue mgmt - Crop'!A1", "Residue management - Crop")</f>
        <v>Residue management - Crop</v>
      </c>
      <c r="C25" s="8"/>
      <c r="D25" s="7"/>
      <c r="E25" s="7"/>
      <c r="F25" s="7"/>
      <c r="G25" s="7"/>
      <c r="H25" s="7"/>
      <c r="I25" s="7"/>
      <c r="J25" s="7"/>
      <c r="K25" s="7"/>
      <c r="L25" s="7"/>
      <c r="M25" s="7"/>
      <c r="N25" s="7"/>
      <c r="O25" s="7"/>
      <c r="P25" s="7"/>
      <c r="Q25" s="7"/>
    </row>
    <row r="26" spans="1:17" ht="20.100000000000001" customHeight="1" x14ac:dyDescent="0.25">
      <c r="A26" s="16" t="str">
        <f>HYPERLINK("#'Calcs - Residue mgmt - Pasture'!A1", "Residue management - Pasture")</f>
        <v>Residue management - Pasture</v>
      </c>
      <c r="C26" s="8"/>
      <c r="D26" s="100" t="s">
        <v>354</v>
      </c>
      <c r="E26" s="116"/>
      <c r="F26" s="116"/>
      <c r="G26" s="101"/>
      <c r="H26" s="8"/>
      <c r="I26" s="8"/>
      <c r="J26" s="8"/>
    </row>
    <row r="27" spans="1:17" ht="20.100000000000001" customHeight="1" x14ac:dyDescent="0.25">
      <c r="A27" s="16" t="str">
        <f>HYPERLINK("#'Calcs - Field burning'!A1", "Field burning - Crop")</f>
        <v>Field burning - Crop</v>
      </c>
      <c r="C27" s="8"/>
      <c r="H27" s="8"/>
      <c r="I27" s="8"/>
      <c r="J27" s="8"/>
    </row>
    <row r="28" spans="1:17" ht="20.100000000000001" customHeight="1" x14ac:dyDescent="0.25">
      <c r="A28" s="16" t="str">
        <f>HYPERLINK("#'Calcs - Fuel'!A1", "Fuel")</f>
        <v>Fuel</v>
      </c>
      <c r="C28" s="8"/>
      <c r="D28" s="47" t="s">
        <v>355</v>
      </c>
      <c r="E28" s="47" t="s">
        <v>356</v>
      </c>
      <c r="F28" s="47" t="s">
        <v>357</v>
      </c>
      <c r="G28" s="47" t="s">
        <v>358</v>
      </c>
      <c r="H28" s="8"/>
      <c r="I28" s="8"/>
      <c r="J28" s="8"/>
    </row>
    <row r="29" spans="1:17" ht="20.100000000000001" customHeight="1" x14ac:dyDescent="0.25">
      <c r="A29" s="16" t="str">
        <f>HYPERLINK("#'Calcs - Electricity'!A1", "Electricity")</f>
        <v>Electricity</v>
      </c>
      <c r="C29" s="8"/>
      <c r="D29" s="175" t="s">
        <v>359</v>
      </c>
      <c r="E29" s="48" t="s">
        <v>365</v>
      </c>
      <c r="F29" s="69">
        <v>100</v>
      </c>
      <c r="G29" s="50" t="str" cm="1">
        <f t="array" ref="G29">Common_InputFunctions.Utility_LookupValueInTable(Table_Input_Packaging[[#This Row],[Packaging component (select)]], Table_Scope3_Packaging[Packaging component],Table_Scope3_Packaging[Quantity Unit])</f>
        <v>kg</v>
      </c>
      <c r="H29" s="8"/>
      <c r="I29" s="8"/>
      <c r="J29" s="8"/>
    </row>
    <row r="30" spans="1:17" ht="20.100000000000001" customHeight="1" x14ac:dyDescent="0.25">
      <c r="A30" s="16" t="str">
        <f>HYPERLINK("#'Calcs - Refrigerants'!A1", "Refrigerants")</f>
        <v>Refrigerants</v>
      </c>
      <c r="C30" s="8"/>
      <c r="D30" s="175"/>
      <c r="E30" s="48" t="s">
        <v>365</v>
      </c>
      <c r="F30" s="69">
        <v>1000</v>
      </c>
      <c r="G30" s="50" t="str" cm="1">
        <f t="array" ref="G30">Common_InputFunctions.Utility_LookupValueInTable(Table_Input_Packaging[[#This Row],[Packaging component (select)]], Table_Scope3_Packaging[Packaging component],Table_Scope3_Packaging[Quantity Unit])</f>
        <v>kg</v>
      </c>
      <c r="H30" s="8"/>
      <c r="I30" s="8"/>
      <c r="J30" s="8"/>
    </row>
    <row r="31" spans="1:17" ht="20.100000000000001" customHeight="1" x14ac:dyDescent="0.25">
      <c r="A31" s="52" t="s">
        <v>315</v>
      </c>
      <c r="C31" s="8"/>
      <c r="D31" s="175"/>
      <c r="E31" s="48" t="s">
        <v>360</v>
      </c>
      <c r="F31" s="69">
        <v>456</v>
      </c>
      <c r="G31" s="50" t="str" cm="1">
        <f t="array" ref="G31">Common_InputFunctions.Utility_LookupValueInTable(Table_Input_Packaging[[#This Row],[Packaging component (select)]], Table_Scope3_Packaging[Packaging component],Table_Scope3_Packaging[Quantity Unit])</f>
        <v>kg</v>
      </c>
      <c r="H31" s="8"/>
      <c r="I31" s="8"/>
      <c r="J31" s="8"/>
    </row>
    <row r="32" spans="1:17" ht="20.100000000000001" customHeight="1" x14ac:dyDescent="0.25">
      <c r="A32" s="52" t="s">
        <v>316</v>
      </c>
      <c r="D32" s="175"/>
      <c r="E32" s="48" t="s">
        <v>361</v>
      </c>
      <c r="F32" s="69">
        <v>1234</v>
      </c>
      <c r="G32" s="50" t="str" cm="1">
        <f t="array" ref="G32">Common_InputFunctions.Utility_LookupValueInTable(Table_Input_Packaging[[#This Row],[Packaging component (select)]], Table_Scope3_Packaging[Packaging component],Table_Scope3_Packaging[Quantity Unit])</f>
        <v>kg</v>
      </c>
      <c r="H32" s="8"/>
    </row>
    <row r="33" spans="1:8" ht="20.100000000000001" customHeight="1" x14ac:dyDescent="0.25">
      <c r="A33" s="16" t="str">
        <f>HYPERLINK("#'Calcs - Scope 3'!A1", "Purchased goods scope 3")</f>
        <v>Purchased goods scope 3</v>
      </c>
      <c r="D33" s="8"/>
      <c r="E33" s="8"/>
      <c r="F33" s="8"/>
      <c r="G33" s="8"/>
    </row>
    <row r="34" spans="1:8" ht="20.100000000000001" customHeight="1" x14ac:dyDescent="0.25">
      <c r="D34" s="8"/>
      <c r="E34" s="8"/>
      <c r="F34" s="8"/>
      <c r="G34" s="8"/>
    </row>
    <row r="35" spans="1:8" ht="20.100000000000001" customHeight="1" x14ac:dyDescent="0.25">
      <c r="A35" s="23" t="s">
        <v>78</v>
      </c>
      <c r="D35" s="9" t="s">
        <v>362</v>
      </c>
      <c r="E35" s="8"/>
      <c r="F35" s="8"/>
      <c r="G35" s="8"/>
      <c r="H35" s="8"/>
    </row>
    <row r="36" spans="1:8" ht="20.100000000000001" customHeight="1" x14ac:dyDescent="0.25">
      <c r="A36" s="16" t="str">
        <f>HYPERLINK("#'Constants - Common'!A1", "Constants - Common")</f>
        <v>Constants - Common</v>
      </c>
      <c r="H36" s="8"/>
    </row>
    <row r="37" spans="1:8" ht="20.100000000000001" customHeight="1" x14ac:dyDescent="0.25">
      <c r="A37" s="16" t="str">
        <f>HYPERLINK("#'Constants - Cropping'!A1", "Constants - Cropping")</f>
        <v>Constants - Cropping</v>
      </c>
      <c r="D37" s="100" t="s">
        <v>354</v>
      </c>
      <c r="E37" s="116"/>
      <c r="F37" s="116"/>
      <c r="G37" s="101"/>
    </row>
    <row r="38" spans="1:8" ht="20.100000000000001" customHeight="1" x14ac:dyDescent="0.25">
      <c r="A38" s="16" t="str">
        <f>HYPERLINK("#'Constants - Livestock'!A1", "Constants - Livestock")</f>
        <v>Constants - Livestock</v>
      </c>
      <c r="G38" s="8"/>
    </row>
    <row r="39" spans="1:8" ht="20.100000000000001" customHeight="1" x14ac:dyDescent="0.25">
      <c r="A39" s="16" t="str">
        <f>HYPERLINK("#'Constants - Dairy'!A1", "Constants - Dairy")</f>
        <v>Constants - Dairy</v>
      </c>
      <c r="D39" s="47" t="s">
        <v>363</v>
      </c>
      <c r="E39" s="47" t="s">
        <v>457</v>
      </c>
      <c r="F39" s="47" t="s">
        <v>460</v>
      </c>
      <c r="G39" s="8"/>
    </row>
    <row r="40" spans="1:8" ht="20.100000000000001" customHeight="1" x14ac:dyDescent="0.25">
      <c r="A40" s="52" t="s">
        <v>322</v>
      </c>
      <c r="D40" s="176"/>
      <c r="E40" s="48" t="s">
        <v>458</v>
      </c>
      <c r="F40" s="69">
        <v>100</v>
      </c>
    </row>
    <row r="41" spans="1:8" ht="20.100000000000001" customHeight="1" x14ac:dyDescent="0.25">
      <c r="A41" s="167"/>
      <c r="D41" s="205"/>
      <c r="E41" s="201" t="s">
        <v>458</v>
      </c>
      <c r="F41" s="202">
        <v>100</v>
      </c>
    </row>
    <row r="42" spans="1:8" ht="20.100000000000001" customHeight="1" x14ac:dyDescent="0.25">
      <c r="D42" s="205"/>
      <c r="E42" s="201" t="s">
        <v>364</v>
      </c>
      <c r="F42" s="202">
        <v>100</v>
      </c>
    </row>
    <row r="43" spans="1:8" ht="20.100000000000001" customHeight="1" x14ac:dyDescent="0.25">
      <c r="D43" s="205"/>
      <c r="E43" s="201" t="s">
        <v>364</v>
      </c>
      <c r="F43" s="202">
        <v>100</v>
      </c>
    </row>
    <row r="44" spans="1:8" ht="20.100000000000001" customHeight="1" x14ac:dyDescent="0.25">
      <c r="D44" s="205"/>
      <c r="E44" s="201" t="s">
        <v>459</v>
      </c>
      <c r="F44" s="202">
        <v>100</v>
      </c>
    </row>
    <row r="45" spans="1:8" ht="20.100000000000001" customHeight="1" x14ac:dyDescent="0.25">
      <c r="D45" s="205"/>
      <c r="E45" s="201" t="s">
        <v>459</v>
      </c>
      <c r="F45" s="202">
        <v>100</v>
      </c>
    </row>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sheetData>
  <dataValidations count="5">
    <dataValidation type="list" allowBlank="1" showInputMessage="1" showErrorMessage="1" sqref="E40:E45" xr:uid="{C432D3D7-90B5-49EB-9686-44E33AA46DF7}">
      <formula1>INDIRECT("Table_Scope3_CleaningChemicals[Product]")</formula1>
    </dataValidation>
    <dataValidation type="list" allowBlank="1" showInputMessage="1" showErrorMessage="1" sqref="E29:E32" xr:uid="{C1194F4C-B4BA-4C6C-9335-96226E3C874D}">
      <formula1>INDIRECT("Table_Scope3_Packaging[Packaging component]")</formula1>
    </dataValidation>
    <dataValidation type="list" allowBlank="1" showInputMessage="1" showErrorMessage="1" sqref="I24 L24 O24" xr:uid="{4EB7609B-9081-416E-B296-83CB5579804F}">
      <formula1>INDIRECT("Table_Scope3_Agrochemicals[Agrochemical type]")</formula1>
    </dataValidation>
    <dataValidation type="list" allowBlank="1" showInputMessage="1" showErrorMessage="1" sqref="J24 M24 P24" xr:uid="{8108ECDB-1F4C-43F2-85A5-19117852A987}">
      <formula1>"Grams / litre, Grams / kg, Percent of product"</formula1>
    </dataValidation>
    <dataValidation type="list" allowBlank="1" showInputMessage="1" showErrorMessage="1" sqref="F24" xr:uid="{3E384BB8-0CCC-45EA-83A2-5F436B025D10}">
      <formula1>"kg / hectare, litre / hectare"</formula1>
    </dataValidation>
  </dataValidation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248</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249</v>
      </c>
    </row>
    <row r="6" spans="1:10" ht="20.100000000000001" customHeight="1" x14ac:dyDescent="0.25">
      <c r="A6" s="18"/>
    </row>
    <row r="7" spans="1:10" ht="20.100000000000001" customHeight="1" x14ac:dyDescent="0.25">
      <c r="A7" s="19" t="s">
        <v>67</v>
      </c>
      <c r="D7" s="74" t="s">
        <v>250</v>
      </c>
    </row>
    <row r="8" spans="1:10" ht="20.100000000000001" customHeight="1" x14ac:dyDescent="0.25">
      <c r="A8" s="43" t="str">
        <f>HYPERLINK("#'Input - Electricity'!A1", "Electricity")</f>
        <v>Electricity</v>
      </c>
    </row>
    <row r="9" spans="1:10" ht="20.100000000000001" customHeight="1" x14ac:dyDescent="0.25">
      <c r="A9" s="16"/>
      <c r="D9" s="100" t="s">
        <v>251</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252</v>
      </c>
      <c r="E11" s="102">
        <v>500</v>
      </c>
      <c r="F11" s="68" t="s">
        <v>253</v>
      </c>
    </row>
    <row r="12" spans="1:10" ht="20.100000000000001" customHeight="1" x14ac:dyDescent="0.25">
      <c r="A12" s="16"/>
      <c r="D12" s="8" t="s">
        <v>254</v>
      </c>
      <c r="E12" s="50" t="str">
        <f>IF('Input - Site'!E21="Western Australia", 'Input - Site'!E22, 'Input - Site'!E21)</f>
        <v>ACT</v>
      </c>
      <c r="F12" s="14"/>
    </row>
    <row r="13" spans="1:10" ht="20.100000000000001" customHeight="1" x14ac:dyDescent="0.25">
      <c r="A13" s="23" t="s">
        <v>78</v>
      </c>
      <c r="D13" s="8" t="s">
        <v>255</v>
      </c>
      <c r="E13" s="48" t="s">
        <v>419</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256</v>
      </c>
    </row>
    <row r="18" spans="1:11" ht="20.100000000000001" customHeight="1" x14ac:dyDescent="0.25">
      <c r="E18" s="57" t="str">
        <f>IF(E12="ACT", "", "ALERT: Your farm is not in the ACT, so the JRPP is not applicable")</f>
        <v/>
      </c>
    </row>
    <row r="19" spans="1:11" ht="20.100000000000001" customHeight="1" x14ac:dyDescent="0.25">
      <c r="D19" s="8" t="s">
        <v>257</v>
      </c>
      <c r="E19" s="102">
        <v>30000</v>
      </c>
      <c r="F19" s="68" t="s">
        <v>253</v>
      </c>
    </row>
    <row r="20" spans="1:11" ht="20.100000000000001" customHeight="1" x14ac:dyDescent="0.25">
      <c r="A20" s="16"/>
      <c r="D20" s="8" t="s">
        <v>258</v>
      </c>
      <c r="E20" s="90">
        <v>0.1</v>
      </c>
      <c r="F20" s="68" t="s">
        <v>259</v>
      </c>
    </row>
    <row r="21" spans="1:11" ht="20.100000000000001" customHeight="1" x14ac:dyDescent="0.25">
      <c r="A21" s="16"/>
      <c r="D21" s="8" t="s">
        <v>260</v>
      </c>
      <c r="E21" s="90">
        <v>0.1</v>
      </c>
      <c r="F21" s="68" t="s">
        <v>259</v>
      </c>
    </row>
    <row r="22" spans="1:11" ht="20.100000000000001" customHeight="1" x14ac:dyDescent="0.25"/>
    <row r="23" spans="1:11" ht="20.100000000000001" customHeight="1" x14ac:dyDescent="0.25">
      <c r="A23" s="16"/>
      <c r="D23" s="8" t="s">
        <v>261</v>
      </c>
      <c r="E23" s="102">
        <v>10000</v>
      </c>
      <c r="F23" s="68" t="s">
        <v>253</v>
      </c>
    </row>
    <row r="24" spans="1:11" ht="20.100000000000001" customHeight="1" x14ac:dyDescent="0.25"/>
    <row r="25" spans="1:11" ht="20.100000000000001" customHeight="1" x14ac:dyDescent="0.25">
      <c r="D25" s="8" t="s">
        <v>262</v>
      </c>
      <c r="E25" s="104" t="str">
        <f>TEXT('Input - Site'!$E$12, "dd mmm yyyy")</f>
        <v>01 Jan 2024</v>
      </c>
    </row>
    <row r="26" spans="1:11" ht="20.100000000000001" customHeight="1" x14ac:dyDescent="0.25">
      <c r="D26" s="8" t="s">
        <v>263</v>
      </c>
      <c r="E26" s="104" t="str">
        <f>TEXT('Input - Site'!$E$13, "dd mmm yyyy")</f>
        <v>31 Dec 2024</v>
      </c>
    </row>
    <row r="27" spans="1:11" ht="20.100000000000001" customHeight="1" x14ac:dyDescent="0.25"/>
    <row r="28" spans="1:11" ht="20.100000000000001" customHeight="1" x14ac:dyDescent="0.25">
      <c r="D28" s="74" t="s">
        <v>264</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265</v>
      </c>
      <c r="E32" s="47" t="s">
        <v>266</v>
      </c>
      <c r="F32" s="47" t="s">
        <v>267</v>
      </c>
      <c r="G32" s="47" t="s">
        <v>268</v>
      </c>
      <c r="H32" s="47" t="s">
        <v>269</v>
      </c>
      <c r="I32" s="47" t="s">
        <v>270</v>
      </c>
      <c r="K32" s="54"/>
    </row>
    <row r="33" spans="1:12" ht="20.100000000000001" customHeight="1" x14ac:dyDescent="0.25">
      <c r="A33" s="16"/>
      <c r="D33" s="10" t="s">
        <v>271</v>
      </c>
      <c r="E33" s="48" t="s">
        <v>272</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273</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272</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274</v>
      </c>
      <c r="E37" s="50">
        <f>SUMIF(Table_Input_RECSurrendered[Elegibility], "Elegible", Table_Input_RECSurrendered[MWh])</f>
        <v>10</v>
      </c>
      <c r="F37" s="68" t="s">
        <v>269</v>
      </c>
      <c r="L37" s="54"/>
    </row>
    <row r="38" spans="1:12" ht="20.100000000000001" customHeight="1" x14ac:dyDescent="0.25">
      <c r="C38" s="53"/>
    </row>
    <row r="39" spans="1:12" ht="20.100000000000001" customHeight="1" x14ac:dyDescent="0.25">
      <c r="A39" s="16"/>
      <c r="C39" s="53"/>
      <c r="D39" s="74" t="s">
        <v>275</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265</v>
      </c>
      <c r="E41" s="47" t="s">
        <v>143</v>
      </c>
      <c r="F41" s="47" t="s">
        <v>267</v>
      </c>
      <c r="G41" s="47" t="s">
        <v>268</v>
      </c>
      <c r="H41" s="47" t="s">
        <v>269</v>
      </c>
      <c r="I41" s="47" t="s">
        <v>270</v>
      </c>
      <c r="J41" s="8"/>
      <c r="L41" s="54" t="s">
        <v>276</v>
      </c>
    </row>
    <row r="42" spans="1:12" ht="20.100000000000001" customHeight="1" x14ac:dyDescent="0.25">
      <c r="D42" s="10" t="s">
        <v>277</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278</v>
      </c>
      <c r="E46" s="50">
        <f>SUMIF(Table_Input_RECConsumedByEntity[Elegibility], "Elegible", Table_Input_RECConsumedByEntity[Number of certificates])</f>
        <v>11</v>
      </c>
      <c r="F46" s="68" t="s">
        <v>269</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871B-344C-4776-8BEE-F3723A4575A9}">
  <dimension ref="C1:J60"/>
  <sheetViews>
    <sheetView showGridLines="0" workbookViewId="0">
      <selection activeCell="E10" sqref="E10"/>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 min="11" max="12" width="30.625" customWidth="1"/>
  </cols>
  <sheetData>
    <row r="1" spans="3:10" ht="30" customHeight="1" x14ac:dyDescent="0.35">
      <c r="C1" s="38"/>
      <c r="D1" s="38"/>
      <c r="E1" s="38"/>
      <c r="F1" s="38"/>
      <c r="G1" s="38"/>
      <c r="H1" s="38"/>
      <c r="I1" s="38"/>
      <c r="J1" s="38"/>
    </row>
    <row r="2" spans="3:10" ht="20.100000000000001" customHeight="1" x14ac:dyDescent="0.25">
      <c r="C2" s="39"/>
      <c r="D2" s="39"/>
      <c r="E2" s="39"/>
      <c r="F2" s="39"/>
      <c r="G2" s="39"/>
      <c r="H2" s="39"/>
      <c r="I2" s="39"/>
      <c r="J2" s="39"/>
    </row>
    <row r="3" spans="3:10" ht="20.100000000000001" customHeight="1" x14ac:dyDescent="0.25"/>
    <row r="4" spans="3:10" ht="20.100000000000001" customHeight="1" x14ac:dyDescent="0.25"/>
    <row r="5" spans="3:10" ht="20.100000000000001" customHeight="1" x14ac:dyDescent="0.25"/>
    <row r="6" spans="3:10" ht="20.100000000000001" customHeight="1" x14ac:dyDescent="0.25"/>
    <row r="7" spans="3:10" ht="20.100000000000001" customHeight="1" x14ac:dyDescent="0.25">
      <c r="D7" s="200" t="s">
        <v>430</v>
      </c>
      <c r="E7" s="200" t="s">
        <v>431</v>
      </c>
      <c r="F7" s="200" t="s">
        <v>435</v>
      </c>
      <c r="G7" s="200" t="s">
        <v>432</v>
      </c>
      <c r="H7" s="200" t="s">
        <v>429</v>
      </c>
      <c r="I7" s="200" t="s">
        <v>433</v>
      </c>
    </row>
    <row r="8" spans="3:10" ht="20.100000000000001" customHeight="1" x14ac:dyDescent="0.25">
      <c r="D8" s="48" t="s">
        <v>449</v>
      </c>
      <c r="E8" s="48" t="s">
        <v>449</v>
      </c>
      <c r="F8" s="48" t="s">
        <v>443</v>
      </c>
      <c r="G8" s="69">
        <v>100</v>
      </c>
      <c r="H8" s="69">
        <v>250</v>
      </c>
      <c r="I8" s="50">
        <f>Table_Input_LivestockPurchases[[#This Row],[Quantity (head)]]*Table_Input_LivestockPurchases[[#This Row],[Average liveweight (kg/head)]]</f>
        <v>25000</v>
      </c>
    </row>
    <row r="9" spans="3:10" ht="20.100000000000001" customHeight="1" x14ac:dyDescent="0.25">
      <c r="D9" s="201" t="s">
        <v>434</v>
      </c>
      <c r="E9" s="201" t="s">
        <v>442</v>
      </c>
      <c r="F9" s="201" t="s">
        <v>444</v>
      </c>
      <c r="G9" s="69">
        <v>100</v>
      </c>
      <c r="H9" s="69">
        <v>250</v>
      </c>
      <c r="I9" s="203">
        <f>Table_Input_LivestockPurchases[[#This Row],[Quantity (head)]]*Table_Input_LivestockPurchases[[#This Row],[Average liveweight (kg/head)]]</f>
        <v>25000</v>
      </c>
    </row>
    <row r="10" spans="3:10" ht="20.100000000000001" customHeight="1" x14ac:dyDescent="0.25">
      <c r="D10" s="201" t="s">
        <v>448</v>
      </c>
      <c r="E10" s="201" t="s">
        <v>456</v>
      </c>
      <c r="F10" s="201" t="s">
        <v>453</v>
      </c>
      <c r="G10" s="69">
        <v>100</v>
      </c>
      <c r="H10" s="69">
        <v>250</v>
      </c>
      <c r="I10" s="203">
        <f>Table_Input_LivestockPurchases[[#This Row],[Quantity (head)]]*Table_Input_LivestockPurchases[[#This Row],[Average liveweight (kg/head)]]</f>
        <v>25000</v>
      </c>
    </row>
    <row r="11" spans="3:10" ht="20.100000000000001" customHeight="1" x14ac:dyDescent="0.25">
      <c r="D11" s="201" t="s">
        <v>450</v>
      </c>
      <c r="E11" s="201" t="s">
        <v>450</v>
      </c>
      <c r="F11" s="201" t="s">
        <v>443</v>
      </c>
      <c r="G11" s="69">
        <v>100</v>
      </c>
      <c r="H11" s="69">
        <v>250</v>
      </c>
      <c r="I11" s="203">
        <f>Table_Input_LivestockPurchases[[#This Row],[Quantity (head)]]*Table_Input_LivestockPurchases[[#This Row],[Average liveweight (kg/head)]]</f>
        <v>25000</v>
      </c>
    </row>
    <row r="12" spans="3:10" ht="20.100000000000001" customHeight="1" x14ac:dyDescent="0.25">
      <c r="D12" s="201" t="s">
        <v>451</v>
      </c>
      <c r="E12" s="201" t="s">
        <v>452</v>
      </c>
      <c r="F12" s="201" t="s">
        <v>443</v>
      </c>
      <c r="G12" s="69">
        <v>100</v>
      </c>
      <c r="H12" s="69">
        <v>250</v>
      </c>
      <c r="I12" s="203">
        <f>Table_Input_LivestockPurchases[[#This Row],[Quantity (head)]]*Table_Input_LivestockPurchases[[#This Row],[Average liveweight (kg/head)]]</f>
        <v>25000</v>
      </c>
    </row>
    <row r="13" spans="3:10" ht="20.100000000000001" customHeight="1" x14ac:dyDescent="0.25">
      <c r="D13" s="201" t="s">
        <v>451</v>
      </c>
      <c r="E13" s="201" t="s">
        <v>454</v>
      </c>
      <c r="F13" s="201" t="s">
        <v>455</v>
      </c>
      <c r="G13" s="69">
        <v>100</v>
      </c>
      <c r="H13" s="69">
        <v>250</v>
      </c>
      <c r="I13" s="203">
        <f>Table_Input_LivestockPurchases[[#This Row],[Quantity (head)]]*Table_Input_LivestockPurchases[[#This Row],[Average liveweight (kg/head)]]</f>
        <v>25000</v>
      </c>
    </row>
    <row r="14" spans="3:10" ht="20.100000000000001" customHeight="1" x14ac:dyDescent="0.25"/>
    <row r="15" spans="3:10" ht="20.100000000000001" customHeight="1" x14ac:dyDescent="0.25"/>
    <row r="16" spans="3:10"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sheetData>
  <dataValidations count="3">
    <dataValidation type="list" allowBlank="1" showInputMessage="1" showErrorMessage="1" sqref="D8:D13" xr:uid="{6CCA3DD5-7553-433B-A61D-B1416ABD99D7}">
      <formula1>INDIRECT(_xlfn.UNIQUE("Table_Scope3_Livestock[Category]"))</formula1>
    </dataValidation>
    <dataValidation type="list" allowBlank="1" showInputMessage="1" showErrorMessage="1" sqref="F8:F13" xr:uid="{B7FC47C0-9DBB-402B-AB78-565B6B988EE8}">
      <formula1>INDIRECT(TRIM("Table_SourceData_LivestockProduct_" &amp; SUBSTITUTE(D8, " ", "") &amp; "[Source region]"))</formula1>
    </dataValidation>
    <dataValidation type="list" allowBlank="1" showInputMessage="1" showErrorMessage="1" sqref="E8:E13" xr:uid="{D038D161-4CB4-4F66-9EA9-1B3DFD795E64}">
      <formula1>INDIRECT(TRIM("Table_SourceData_LivestockProduct_" &amp; SUBSTITUTE(D8, " ", "") &amp; "[Product]"))</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BD5-A401-4793-9FB4-FD8FB3165AFB}">
  <dimension ref="A1:U252"/>
  <sheetViews>
    <sheetView showGridLines="0" tabSelected="1" topLeftCell="A192" zoomScale="40" zoomScaleNormal="40" workbookViewId="0">
      <selection activeCell="C228" sqref="C228:Q252"/>
    </sheetView>
  </sheetViews>
  <sheetFormatPr defaultRowHeight="15" x14ac:dyDescent="0.25"/>
  <cols>
    <col min="1" max="1" width="26.875" style="3" customWidth="1"/>
    <col min="2" max="3" width="4.125" style="3" customWidth="1"/>
    <col min="4" max="4" width="37.75" style="3" customWidth="1"/>
    <col min="5" max="5" width="33" style="3" customWidth="1"/>
    <col min="6" max="6" width="26.875" style="3" customWidth="1"/>
    <col min="7" max="8" width="27.25" style="3" customWidth="1"/>
    <col min="9" max="9" width="26.875" style="3" customWidth="1"/>
    <col min="10" max="10" width="37.875" style="3" customWidth="1"/>
    <col min="11" max="11" width="38.375" style="3" customWidth="1"/>
    <col min="12" max="12" width="50.125" style="3" customWidth="1"/>
    <col min="13" max="13" width="52.5" style="3" customWidth="1"/>
    <col min="14" max="14" width="53" style="3" customWidth="1"/>
    <col min="15" max="15" width="50.125" style="3" customWidth="1"/>
    <col min="16" max="16" width="26.875" style="3" customWidth="1"/>
    <col min="17" max="17" width="4.125" style="3" customWidth="1"/>
    <col min="18" max="18" width="26.875" style="3" customWidth="1"/>
    <col min="19" max="16384" width="9" style="3"/>
  </cols>
  <sheetData>
    <row r="1" spans="1:21" ht="30" customHeight="1" x14ac:dyDescent="0.35">
      <c r="A1" s="150" t="e" vm="1">
        <v>#VALUE!</v>
      </c>
      <c r="C1" s="1" t="s">
        <v>301</v>
      </c>
    </row>
    <row r="2" spans="1:21" ht="20.100000000000001" customHeight="1" x14ac:dyDescent="0.25">
      <c r="A2" s="4"/>
    </row>
    <row r="3" spans="1:21" ht="20.100000000000001" customHeight="1" x14ac:dyDescent="0.25">
      <c r="A3" s="16" t="s">
        <v>302</v>
      </c>
      <c r="C3" s="5"/>
      <c r="D3" s="5"/>
      <c r="E3" s="5"/>
      <c r="F3" s="5"/>
      <c r="G3" s="5"/>
      <c r="H3" s="5"/>
      <c r="I3" s="5"/>
      <c r="J3" s="5"/>
      <c r="K3" s="5"/>
      <c r="L3" s="5"/>
      <c r="M3" s="5"/>
      <c r="N3" s="5"/>
      <c r="O3" s="5"/>
      <c r="P3" s="5"/>
      <c r="Q3" s="5"/>
    </row>
    <row r="4" spans="1:21" ht="20.100000000000001" customHeight="1" x14ac:dyDescent="0.25">
      <c r="A4" s="16" t="str">
        <f>HYPERLINK("#'Results'!A1", "Results")</f>
        <v>Results</v>
      </c>
      <c r="C4" s="14"/>
      <c r="D4" s="14"/>
      <c r="E4" s="14"/>
      <c r="F4" s="14"/>
      <c r="G4" s="14"/>
      <c r="H4" s="14"/>
      <c r="I4" s="14"/>
      <c r="J4" s="14"/>
      <c r="K4" s="14"/>
      <c r="L4" s="14"/>
      <c r="M4" s="14"/>
      <c r="N4" s="14"/>
      <c r="O4" s="14"/>
      <c r="P4" s="14"/>
      <c r="Q4" s="14"/>
    </row>
    <row r="5" spans="1:21" ht="20.100000000000001" customHeight="1" x14ac:dyDescent="0.25">
      <c r="A5" s="18"/>
      <c r="C5" s="14"/>
      <c r="D5" s="9" t="str" cm="1">
        <f t="array" ref="D5">Scope3_SourceData.Scope3_InorganicFertilisers_Title()</f>
        <v>Inorganic fertiliser chemical compound scope 3</v>
      </c>
      <c r="E5" s="14"/>
      <c r="F5" s="14"/>
      <c r="G5" s="14"/>
      <c r="H5" s="14"/>
      <c r="I5" s="14"/>
      <c r="J5" s="14"/>
      <c r="K5" s="14"/>
      <c r="L5" s="14"/>
      <c r="M5" s="14"/>
      <c r="N5" s="14"/>
      <c r="O5" s="14"/>
      <c r="P5" s="14"/>
      <c r="Q5" s="14"/>
    </row>
    <row r="6" spans="1:21" ht="20.100000000000001" customHeight="1" x14ac:dyDescent="0.25">
      <c r="A6" s="19" t="s">
        <v>67</v>
      </c>
      <c r="C6" s="14"/>
      <c r="D6" s="11" t="str" cm="1">
        <f t="array" ref="D6">Scope3_SourceData.Scope3_InorganicFertilisers_Source()</f>
        <v>Lifecycles. (2026). Greenhouse Gas Emission Intensities for Material Inputs to Australian Agriculture, Fisheries and Forestry. Version 48. doi 10.5281/zenodo.19656580</v>
      </c>
      <c r="E6" s="14"/>
      <c r="F6" s="14"/>
      <c r="G6" s="14"/>
      <c r="H6" s="14"/>
      <c r="I6" s="14"/>
      <c r="J6" s="14"/>
      <c r="K6" s="14"/>
      <c r="L6" s="14"/>
      <c r="M6" s="14"/>
      <c r="N6" s="14"/>
      <c r="O6" s="14"/>
      <c r="P6" s="14"/>
      <c r="Q6" s="14"/>
    </row>
    <row r="7" spans="1:21" ht="20.100000000000001" customHeight="1" x14ac:dyDescent="0.25">
      <c r="A7" s="16" t="str">
        <f>HYPERLINK("#'Input - Site'!A1", "Site")</f>
        <v>Site</v>
      </c>
      <c r="C7" s="14"/>
      <c r="D7" s="14"/>
      <c r="E7" s="14"/>
      <c r="F7" s="14"/>
      <c r="G7" s="14"/>
      <c r="H7" s="14"/>
      <c r="I7" s="14"/>
      <c r="J7" s="14"/>
      <c r="K7" s="14"/>
      <c r="L7" s="14"/>
      <c r="M7" s="14"/>
      <c r="N7" s="14"/>
      <c r="O7" s="14"/>
      <c r="P7" s="14"/>
      <c r="Q7" s="14"/>
    </row>
    <row r="8" spans="1:21" ht="20.100000000000001" customHeight="1" x14ac:dyDescent="0.25">
      <c r="A8" s="16" t="str">
        <f>HYPERLINK("#'Input - Production'!A1", "Production and outputs")</f>
        <v>Production and outputs</v>
      </c>
      <c r="C8" s="14"/>
      <c r="D8" s="151" t="s">
        <v>423</v>
      </c>
      <c r="E8" s="151" t="s">
        <v>222</v>
      </c>
      <c r="F8" s="151" t="s">
        <v>424</v>
      </c>
      <c r="G8" s="151" t="s">
        <v>303</v>
      </c>
      <c r="H8" s="151" t="s">
        <v>175</v>
      </c>
      <c r="I8" s="151" t="s">
        <v>176</v>
      </c>
      <c r="J8" s="151" t="s">
        <v>304</v>
      </c>
      <c r="K8" s="151" t="s">
        <v>305</v>
      </c>
      <c r="L8" s="151" t="s">
        <v>306</v>
      </c>
      <c r="M8" s="152" t="s">
        <v>428</v>
      </c>
      <c r="N8" s="151" t="s">
        <v>308</v>
      </c>
      <c r="O8" s="151" t="s">
        <v>323</v>
      </c>
      <c r="P8" s="151" t="s">
        <v>309</v>
      </c>
      <c r="Q8" s="152" t="s">
        <v>310</v>
      </c>
      <c r="R8" s="152" t="s">
        <v>311</v>
      </c>
      <c r="S8" s="152" t="s">
        <v>312</v>
      </c>
      <c r="T8" s="151" t="s">
        <v>313</v>
      </c>
      <c r="U8" s="14"/>
    </row>
    <row r="9" spans="1:21" ht="20.100000000000001" customHeight="1" x14ac:dyDescent="0.25">
      <c r="A9" s="16" t="str">
        <f>HYPERLINK("#'Input - Herd - Dairy'!A1", "Herd - Dairy")</f>
        <v>Herd - Dairy</v>
      </c>
      <c r="C9" s="14"/>
      <c r="D9" s="3" t="str" cm="1">
        <f t="array" ref="D9">Common_InputFunctions.Utility_DisplayArrayInTable(Scope3_SourceData.Scope3_InorganicFertilisers_Data(), Table_Scope3_InorganicFertiliser[[#Headers],[Category]], 0, 2)</f>
        <v>Inorganic fertilisers</v>
      </c>
      <c r="E9" s="3" t="str" cm="1">
        <f t="array" ref="E9">Common_InputFunctions.Utility_DisplayArrayInTable(Scope3_SourceData.Scope3_InorganicFertilisers_Data(), Table_Scope3_InorganicFertiliser[[#Headers],[Category]], 0, 2)</f>
        <v>Ammonia, AU market mix</v>
      </c>
      <c r="F9" s="3" t="str" cm="1">
        <f t="array" ref="F9">Common_InputFunctions.Utility_DisplayArrayInTable(Scope3_SourceData.Scope3_InorganicFertilisers_Data(), Table_Scope3_InorganicFertiliser[[#Headers],[Category]], 0, 2)</f>
        <v>Global</v>
      </c>
      <c r="G9" s="3" t="str">
        <f>'Constants - Fertiliser'!$D$37</f>
        <v>Ammonia</v>
      </c>
      <c r="I9" s="3" t="str">
        <f>'Constants - Fertiliser'!$V$20</f>
        <v>Global</v>
      </c>
      <c r="J9" s="3" cm="1">
        <f t="array" ref="J9">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9" s="3" t="str" cm="1">
        <f t="array" ref="K9">Common_InputFunctions.Utility_DisplayArrayInTable(Scope3_SourceData.Scope3_InorganicFertilisers_Data(), Table_Scope3_InorganicFertiliser[[#Headers],[Category]], 0, -2)</f>
        <v>kg</v>
      </c>
      <c r="L9" s="3" cm="1">
        <f t="array" ref="L9">Common_InputFunctions.Utility_DisplayArrayInTable(Scope3_SourceData.Scope3_InorganicFertilisers_Data(), Table_Scope3_InorganicFertiliser[[#Headers],[Category]], 0, -2)</f>
        <v>2.3199999999999998</v>
      </c>
      <c r="M9" s="153"/>
      <c r="N9" s="3" t="str">
        <f>"kg CO2e / " &amp; Table_Scope3_InorganicFertiliser[[#This Row],[Quantity Unit]]</f>
        <v>kg CO2e / kg</v>
      </c>
      <c r="O9" s="3">
        <f>Table_Scope3_InorganicFertiliser[[#This Row],[Quantity]]*Table_Scope3_InorganicFertiliser[[#This Row],[AusLCI Emissions intensity]]</f>
        <v>0</v>
      </c>
      <c r="P9"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9" s="154"/>
      <c r="R9" s="48" t="s">
        <v>314</v>
      </c>
      <c r="S9" s="154"/>
      <c r="T9" s="155" cm="1">
        <f t="array" ref="T9">Common_InputFunctions.Utility_LookupValueInTableNumber(Table_Scope3_InorganicFertiliser[[#This Row],[Custom emissions intensity source type (Select)]],#REF!,#REF!)</f>
        <v>0</v>
      </c>
      <c r="U9" s="14"/>
    </row>
    <row r="10" spans="1:21" ht="20.100000000000001" customHeight="1" x14ac:dyDescent="0.25">
      <c r="A10" s="16" t="str">
        <f>HYPERLINK("#'Input - Feed - Dairy'!A1", "Purchased feed - Livestock")</f>
        <v>Purchased feed - Livestock</v>
      </c>
      <c r="C10" s="14"/>
      <c r="D10" s="3" t="str" cm="1">
        <f t="array" ref="D10">Common_InputFunctions.Utility_DisplayArrayInTable(Scope3_SourceData.Scope3_InorganicFertilisers_Data(), Table_Scope3_InorganicFertiliser[[#Headers],[Category]], 0, 2)</f>
        <v>Inorganic fertilisers</v>
      </c>
      <c r="E10" s="3" t="str" cm="1">
        <f t="array" ref="E10">Common_InputFunctions.Utility_DisplayArrayInTable(Scope3_SourceData.Scope3_InorganicFertilisers_Data(), Table_Scope3_InorganicFertiliser[[#Headers],[Category]], 0, 2)</f>
        <v>Ammonia, Canada</v>
      </c>
      <c r="F10" s="3" t="str" cm="1">
        <f t="array" ref="F10">Common_InputFunctions.Utility_DisplayArrayInTable(Scope3_SourceData.Scope3_InorganicFertilisers_Data(), Table_Scope3_InorganicFertiliser[[#Headers],[Category]], 0, 2)</f>
        <v>Canada</v>
      </c>
      <c r="G10" s="3" t="str">
        <f>'Constants - Fertiliser'!$D$37</f>
        <v>Ammonia</v>
      </c>
      <c r="I10" s="3" t="str">
        <f>'Constants - Fertiliser'!$V$21</f>
        <v>Canada</v>
      </c>
      <c r="J10" s="3" cm="1">
        <f t="array" ref="J10">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0" s="3" t="str" cm="1">
        <f t="array" ref="K10">Common_InputFunctions.Utility_DisplayArrayInTable(Scope3_SourceData.Scope3_InorganicFertilisers_Data(), Table_Scope3_InorganicFertiliser[[#Headers],[Category]], 0, -2)</f>
        <v>kg</v>
      </c>
      <c r="L10" s="3" cm="1">
        <f t="array" ref="L10">Common_InputFunctions.Utility_DisplayArrayInTable(Scope3_SourceData.Scope3_InorganicFertilisers_Data(), Table_Scope3_InorganicFertiliser[[#Headers],[Category]], 0, -2)</f>
        <v>2.12</v>
      </c>
      <c r="M10" s="153"/>
      <c r="N10" s="3" t="str">
        <f>"kg CO2e / " &amp; Table_Scope3_InorganicFertiliser[[#This Row],[Quantity Unit]]</f>
        <v>kg CO2e / kg</v>
      </c>
      <c r="O10" s="3">
        <f>Table_Scope3_InorganicFertiliser[[#This Row],[Quantity]]*Table_Scope3_InorganicFertiliser[[#This Row],[AusLCI Emissions intensity]]</f>
        <v>0</v>
      </c>
      <c r="P10"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0" s="154"/>
      <c r="R10" s="156"/>
      <c r="S10" s="154"/>
      <c r="T10" s="157" cm="1">
        <f t="array" ref="T10">Common_InputFunctions.Utility_LookupValueInTableNumber(Table_Scope3_InorganicFertiliser[[#This Row],[Custom emissions intensity source type (Select)]],#REF!,#REF!)</f>
        <v>0</v>
      </c>
      <c r="U10" s="14"/>
    </row>
    <row r="11" spans="1:21" ht="20.100000000000001" customHeight="1" x14ac:dyDescent="0.25">
      <c r="A11" s="16" t="str">
        <f>HYPERLINK("#'Input - Herd - Feedlot'!A1", "Herd - Feedlot")</f>
        <v>Herd - Feedlot</v>
      </c>
      <c r="C11" s="14"/>
      <c r="D11" s="3" t="str" cm="1">
        <f t="array" ref="D11">Common_InputFunctions.Utility_DisplayArrayInTable(Scope3_SourceData.Scope3_InorganicFertilisers_Data(), Table_Scope3_InorganicFertiliser[[#Headers],[Category]], 0, 2)</f>
        <v>Inorganic fertilisers</v>
      </c>
      <c r="E11" s="3" t="str" cm="1">
        <f t="array" ref="E11">Common_InputFunctions.Utility_DisplayArrayInTable(Scope3_SourceData.Scope3_InorganicFertilisers_Data(), Table_Scope3_InorganicFertiliser[[#Headers],[Category]], 0, 2)</f>
        <v>Ammonia, China</v>
      </c>
      <c r="F11" s="3" t="str" cm="1">
        <f t="array" ref="F11">Common_InputFunctions.Utility_DisplayArrayInTable(Scope3_SourceData.Scope3_InorganicFertilisers_Data(), Table_Scope3_InorganicFertiliser[[#Headers],[Category]], 0, 2)</f>
        <v>China</v>
      </c>
      <c r="G11" s="3" t="str">
        <f>'Constants - Fertiliser'!$D$37</f>
        <v>Ammonia</v>
      </c>
      <c r="I11" s="3" t="str">
        <f>'Constants - Fertiliser'!$V$22</f>
        <v>China</v>
      </c>
      <c r="J11" s="3" cm="1">
        <f t="array" ref="J11">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1" s="3" t="str" cm="1">
        <f t="array" ref="K11">Common_InputFunctions.Utility_DisplayArrayInTable(Scope3_SourceData.Scope3_InorganicFertilisers_Data(), Table_Scope3_InorganicFertiliser[[#Headers],[Category]], 0, -2)</f>
        <v>kg</v>
      </c>
      <c r="L11" s="3" cm="1">
        <f t="array" ref="L11">Common_InputFunctions.Utility_DisplayArrayInTable(Scope3_SourceData.Scope3_InorganicFertilisers_Data(), Table_Scope3_InorganicFertiliser[[#Headers],[Category]], 0, -2)</f>
        <v>4.17</v>
      </c>
      <c r="M11" s="153"/>
      <c r="N11" s="3" t="str">
        <f>"kg CO2e / " &amp; Table_Scope3_InorganicFertiliser[[#This Row],[Quantity Unit]]</f>
        <v>kg CO2e / kg</v>
      </c>
      <c r="O11" s="3">
        <f>Table_Scope3_InorganicFertiliser[[#This Row],[Quantity]]*Table_Scope3_InorganicFertiliser[[#This Row],[AusLCI Emissions intensity]]</f>
        <v>0</v>
      </c>
      <c r="P11"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1" s="154"/>
      <c r="R11" s="156"/>
      <c r="S11" s="154"/>
      <c r="T11" s="157" cm="1">
        <f t="array" ref="T11">Common_InputFunctions.Utility_LookupValueInTableNumber(Table_Scope3_InorganicFertiliser[[#This Row],[Custom emissions intensity source type (Select)]],#REF!,#REF!)</f>
        <v>0</v>
      </c>
      <c r="U11" s="14"/>
    </row>
    <row r="12" spans="1:21" ht="20.100000000000001" customHeight="1" x14ac:dyDescent="0.25">
      <c r="A12" s="16" t="str">
        <f>HYPERLINK("#'Input - Pasture'!A1", "Pasture")</f>
        <v>Pasture</v>
      </c>
      <c r="C12" s="14"/>
      <c r="D12" s="3" t="str" cm="1">
        <f t="array" ref="D12">Common_InputFunctions.Utility_DisplayArrayInTable(Scope3_SourceData.Scope3_InorganicFertilisers_Data(), Table_Scope3_InorganicFertiliser[[#Headers],[Category]], 0, 2)</f>
        <v>Inorganic fertilisers</v>
      </c>
      <c r="E12" s="3" t="str" cm="1">
        <f t="array" ref="E12">Common_InputFunctions.Utility_DisplayArrayInTable(Scope3_SourceData.Scope3_InorganicFertilisers_Data(), Table_Scope3_InorganicFertiliser[[#Headers],[Category]], 0, 2)</f>
        <v>Ammonia, Yemen</v>
      </c>
      <c r="F12" s="3" t="str" cm="1">
        <f t="array" ref="F12">Common_InputFunctions.Utility_DisplayArrayInTable(Scope3_SourceData.Scope3_InorganicFertilisers_Data(), Table_Scope3_InorganicFertiliser[[#Headers],[Category]], 0, 2)</f>
        <v>Yemen</v>
      </c>
      <c r="G12" s="3" t="str">
        <f>'Constants - Fertiliser'!$D$37</f>
        <v>Ammonia</v>
      </c>
      <c r="I12" s="3" t="str">
        <f>'Constants - Fertiliser'!$V$23</f>
        <v>Yemen</v>
      </c>
      <c r="J12" s="3" cm="1">
        <f t="array" ref="J12">Fertiliser_InputFunctions.Fertiliser_TotalChemicalCompoundtAppliedBySourceAllIngredients(Table_Scope3_InorganicFertiliser[[#This Row],[Chemical compound]],Table_Scope3_InorganicFertiliser[[#This Row],[Ammonia source]],(Table_Input_InorganicFertiliser_Brands[Amount applied per hectare]*Table_Input_InorganicFertiliser_Brands[Density]),Table_Input_InorganicFertiliser_Brands[Ingredient 1],Table_Input_InorganicFertiliser_Brands[Ingredient 1 percent],Table_Input_InorganicFertiliser_Brands[Ammonia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Row],[Ammonia source]],Table_Input_InorganicFertiliser_Custom[Amount applied (kg / ha)],Table_Input_InorganicFertiliser_Custom[Ingredient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2" s="3" t="str" cm="1">
        <f t="array" ref="K12">Common_InputFunctions.Utility_DisplayArrayInTable(Scope3_SourceData.Scope3_InorganicFertilisers_Data(), Table_Scope3_InorganicFertiliser[[#Headers],[Category]], 0, -2)</f>
        <v>kg</v>
      </c>
      <c r="L12" s="3" cm="1">
        <f t="array" ref="L12">Common_InputFunctions.Utility_DisplayArrayInTable(Scope3_SourceData.Scope3_InorganicFertilisers_Data(), Table_Scope3_InorganicFertiliser[[#Headers],[Category]], 0, -2)</f>
        <v>2.2599999999999998</v>
      </c>
      <c r="M12" s="153"/>
      <c r="N12" s="3" t="str">
        <f>"kg CO2e / " &amp; Table_Scope3_InorganicFertiliser[[#This Row],[Quantity Unit]]</f>
        <v>kg CO2e / kg</v>
      </c>
      <c r="O12" s="3">
        <f>Table_Scope3_InorganicFertiliser[[#This Row],[Quantity]]*Table_Scope3_InorganicFertiliser[[#This Row],[AusLCI Emissions intensity]]</f>
        <v>0</v>
      </c>
      <c r="P12"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2" s="154"/>
      <c r="R12" s="156"/>
      <c r="S12" s="154"/>
      <c r="T12" s="157" cm="1">
        <f t="array" ref="T12">Common_InputFunctions.Utility_LookupValueInTableNumber(Table_Scope3_InorganicFertiliser[[#This Row],[Custom emissions intensity source type (Select)]],#REF!,#REF!)</f>
        <v>0</v>
      </c>
      <c r="U12" s="14"/>
    </row>
    <row r="13" spans="1:21" ht="20.100000000000001" customHeight="1" x14ac:dyDescent="0.25">
      <c r="A13" s="16" t="str">
        <f>HYPERLINK("#'Input - Grains'!A1", "Crop - Grains")</f>
        <v>Crop - Grains</v>
      </c>
      <c r="C13" s="14"/>
      <c r="D13" s="3" t="str" cm="1">
        <f t="array" ref="D13">Common_InputFunctions.Utility_DisplayArrayInTable(Scope3_SourceData.Scope3_InorganicFertilisers_Data(), Table_Scope3_InorganicFertiliser[[#Headers],[Category]], 0, 2)</f>
        <v>Inorganic fertilisers</v>
      </c>
      <c r="E13" s="3" t="str" cm="1">
        <f t="array" ref="E13">Common_InputFunctions.Utility_DisplayArrayInTable(Scope3_SourceData.Scope3_InorganicFertilisers_Data(), Table_Scope3_InorganicFertiliser[[#Headers],[Category]], 0, 2)</f>
        <v>Ammonium nitrate, AU market mix</v>
      </c>
      <c r="F13" s="3" t="str" cm="1">
        <f t="array" ref="F13">Common_InputFunctions.Utility_DisplayArrayInTable(Scope3_SourceData.Scope3_InorganicFertilisers_Data(), Table_Scope3_InorganicFertiliser[[#Headers],[Category]], 0, 2)</f>
        <v>Global</v>
      </c>
      <c r="G13" s="3" t="str">
        <f>'Constants - Fertiliser'!D25</f>
        <v>Ammonium nitrate (AN)</v>
      </c>
      <c r="J13" s="3" cm="1">
        <f t="array" ref="J13">Fertiliser_InputFunctions.Fertiliser_TotalChemicalCompoundAppliedAllIngredients($G13,Table_Input_InorganicFertiliser_Brands[Total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3" s="3" t="str" cm="1">
        <f t="array" ref="K13">Common_InputFunctions.Utility_DisplayArrayInTable(Scope3_SourceData.Scope3_InorganicFertilisers_Data(), Table_Scope3_InorganicFertiliser[[#Headers],[Category]], 0, -2)</f>
        <v>kg</v>
      </c>
      <c r="L13" s="3" cm="1">
        <f t="array" ref="L13">Common_InputFunctions.Utility_DisplayArrayInTable(Scope3_SourceData.Scope3_InorganicFertilisers_Data(), Table_Scope3_InorganicFertiliser[[#Headers],[Category]], 0, -2)</f>
        <v>2.21</v>
      </c>
      <c r="M13" s="153"/>
      <c r="N13" s="3" t="str">
        <f>"kg CO2e / " &amp; Table_Scope3_InorganicFertiliser[[#This Row],[Quantity Unit]]</f>
        <v>kg CO2e / kg</v>
      </c>
      <c r="O13" s="3">
        <f>Table_Scope3_InorganicFertiliser[[#This Row],[Quantity]]*Table_Scope3_InorganicFertiliser[[#This Row],[AusLCI Emissions intensity]]</f>
        <v>0</v>
      </c>
      <c r="P13"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3" s="154"/>
      <c r="R13" s="156"/>
      <c r="S13" s="154"/>
      <c r="T13" s="157" cm="1">
        <f t="array" ref="T13">Common_InputFunctions.Utility_LookupValueInTableNumber(Table_Scope3_InorganicFertiliser[[#This Row],[Custom emissions intensity source type (Select)]],#REF!,#REF!)</f>
        <v>0</v>
      </c>
      <c r="U13" s="14"/>
    </row>
    <row r="14" spans="1:21" ht="20.100000000000001" customHeight="1" x14ac:dyDescent="0.25">
      <c r="A14" s="16" t="str">
        <f>HYPERLINK("#'Input - Fert Lime Chem'!A1", "Fertiliser, Lime &amp; Chemicals")</f>
        <v>Fertiliser, Lime &amp; Chemicals</v>
      </c>
      <c r="C14" s="14"/>
      <c r="D14" s="3" t="str" cm="1">
        <f t="array" ref="D14">Common_InputFunctions.Utility_DisplayArrayInTable(Scope3_SourceData.Scope3_InorganicFertilisers_Data(), Table_Scope3_InorganicFertiliser[[#Headers],[Category]], 0, 2)</f>
        <v>Inorganic fertilisers</v>
      </c>
      <c r="E14" s="3" t="str" cm="1">
        <f t="array" ref="E14">Common_InputFunctions.Utility_DisplayArrayInTable(Scope3_SourceData.Scope3_InorganicFertilisers_Data(), Table_Scope3_InorganicFertiliser[[#Headers],[Category]], 0, 2)</f>
        <v>Calcium ammonium nitrate, AU market mix</v>
      </c>
      <c r="F14" s="3" t="str" cm="1">
        <f t="array" ref="F14">Common_InputFunctions.Utility_DisplayArrayInTable(Scope3_SourceData.Scope3_InorganicFertilisers_Data(), Table_Scope3_InorganicFertiliser[[#Headers],[Category]], 0, 2)</f>
        <v>Global</v>
      </c>
      <c r="G14" s="3" t="str">
        <f>'Constants - Fertiliser'!$D$26</f>
        <v>Calcium ammonium nitrate (CAN)</v>
      </c>
      <c r="J14" s="3" cm="1">
        <f t="array" ref="J14">Fertiliser_InputFunctions.Fertiliser_TotalChemicalCompoundAppliedAllIngredients($G14,Table_Input_InorganicFertiliser_Brands[Total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4" s="3" t="str" cm="1">
        <f t="array" ref="K14">Common_InputFunctions.Utility_DisplayArrayInTable(Scope3_SourceData.Scope3_InorganicFertilisers_Data(), Table_Scope3_InorganicFertiliser[[#Headers],[Category]], 0, -2)</f>
        <v>kg</v>
      </c>
      <c r="L14" s="3" cm="1">
        <f t="array" ref="L14">Common_InputFunctions.Utility_DisplayArrayInTable(Scope3_SourceData.Scope3_InorganicFertilisers_Data(), Table_Scope3_InorganicFertiliser[[#Headers],[Category]], 0, -2)</f>
        <v>1.1499999999999999</v>
      </c>
      <c r="M14" s="153"/>
      <c r="N14" s="3" t="str">
        <f>"kg CO2e / " &amp; Table_Scope3_InorganicFertiliser[[#This Row],[Quantity Unit]]</f>
        <v>kg CO2e / kg</v>
      </c>
      <c r="O14" s="3">
        <f>Table_Scope3_InorganicFertiliser[[#This Row],[Quantity]]*Table_Scope3_InorganicFertiliser[[#This Row],[AusLCI Emissions intensity]]</f>
        <v>0</v>
      </c>
      <c r="P14"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4" s="154"/>
      <c r="R14" s="156"/>
      <c r="S14" s="154"/>
      <c r="T14" s="157" cm="1">
        <f t="array" ref="T14">Common_InputFunctions.Utility_LookupValueInTableNumber(Table_Scope3_InorganicFertiliser[[#This Row],[Custom emissions intensity source type (Select)]],#REF!,#REF!)</f>
        <v>0</v>
      </c>
      <c r="U14" s="14"/>
    </row>
    <row r="15" spans="1:21" ht="20.100000000000001" customHeight="1" x14ac:dyDescent="0.25">
      <c r="A15" s="16" t="str">
        <f>HYPERLINK("#'Input - Fuel &amp; Energy'!A1", "Electricity and fuel")</f>
        <v>Electricity and fuel</v>
      </c>
      <c r="C15" s="14"/>
      <c r="D15" s="3" t="str" cm="1">
        <f t="array" ref="D15">Common_InputFunctions.Utility_DisplayArrayInTable(Scope3_SourceData.Scope3_InorganicFertilisers_Data(), Table_Scope3_InorganicFertiliser[[#Headers],[Category]], 0, 2)</f>
        <v>Inorganic fertilisers</v>
      </c>
      <c r="E15" s="3" t="str" cm="1">
        <f t="array" ref="E15">Common_InputFunctions.Utility_DisplayArrayInTable(Scope3_SourceData.Scope3_InorganicFertilisers_Data(), Table_Scope3_InorganicFertiliser[[#Headers],[Category]], 0, 2)</f>
        <v>Calcium nitrate</v>
      </c>
      <c r="F15" s="3" t="str" cm="1">
        <f t="array" ref="F15">Common_InputFunctions.Utility_DisplayArrayInTable(Scope3_SourceData.Scope3_InorganicFertilisers_Data(), Table_Scope3_InorganicFertiliser[[#Headers],[Category]], 0, 2)</f>
        <v>Global</v>
      </c>
      <c r="G15" s="3" t="str">
        <f>'Constants - Fertiliser'!$D$38</f>
        <v>Calcium nitrate</v>
      </c>
      <c r="J15" s="3" cm="1">
        <f t="array" ref="J15">Fertiliser_InputFunctions.Fertiliser_TotalChemicalCompoundAppliedAllIngredients($G15,Table_Input_InorganicFertiliser_Brands[Total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5" s="3" t="str" cm="1">
        <f t="array" ref="K15">Common_InputFunctions.Utility_DisplayArrayInTable(Scope3_SourceData.Scope3_InorganicFertilisers_Data(), Table_Scope3_InorganicFertiliser[[#Headers],[Category]], 0, -2)</f>
        <v>kg</v>
      </c>
      <c r="L15" s="3" cm="1">
        <f t="array" ref="L15">Common_InputFunctions.Utility_DisplayArrayInTable(Scope3_SourceData.Scope3_InorganicFertilisers_Data(), Table_Scope3_InorganicFertiliser[[#Headers],[Category]], 0, -2)</f>
        <v>0.75</v>
      </c>
      <c r="M15" s="153"/>
      <c r="N15" s="3" t="str">
        <f>"kg CO2e / " &amp; Table_Scope3_InorganicFertiliser[[#This Row],[Quantity Unit]]</f>
        <v>kg CO2e / kg</v>
      </c>
      <c r="O15" s="3">
        <f>Table_Scope3_InorganicFertiliser[[#This Row],[Quantity]]*Table_Scope3_InorganicFertiliser[[#This Row],[AusLCI Emissions intensity]]</f>
        <v>0</v>
      </c>
      <c r="P15"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5" s="154"/>
      <c r="R15" s="156"/>
      <c r="S15" s="154"/>
      <c r="T15" s="157" cm="1">
        <f t="array" ref="T15">Common_InputFunctions.Utility_LookupValueInTableNumber(Table_Scope3_InorganicFertiliser[[#This Row],[Custom emissions intensity source type (Select)]],#REF!,#REF!)</f>
        <v>0</v>
      </c>
      <c r="U15" s="14"/>
    </row>
    <row r="16" spans="1:21" ht="20.100000000000001" customHeight="1" x14ac:dyDescent="0.25">
      <c r="A16" s="52" t="s">
        <v>315</v>
      </c>
      <c r="C16" s="14"/>
      <c r="D16" s="3" t="str" cm="1">
        <f t="array" ref="D16">Common_InputFunctions.Utility_DisplayArrayInTable(Scope3_SourceData.Scope3_InorganicFertilisers_Data(), Table_Scope3_InorganicFertiliser[[#Headers],[Category]], 0, 2)</f>
        <v>Inorganic fertilisers</v>
      </c>
      <c r="E16" s="3" t="str" cm="1">
        <f t="array" ref="E16">Common_InputFunctions.Utility_DisplayArrayInTable(Scope3_SourceData.Scope3_InorganicFertilisers_Data(), Table_Scope3_InorganicFertiliser[[#Headers],[Category]], 0, 2)</f>
        <v>Diammonium phosphate, AU market mix</v>
      </c>
      <c r="F16" s="3" t="str" cm="1">
        <f t="array" ref="F16">Common_InputFunctions.Utility_DisplayArrayInTable(Scope3_SourceData.Scope3_InorganicFertilisers_Data(), Table_Scope3_InorganicFertiliser[[#Headers],[Category]], 0, 2)</f>
        <v>Global</v>
      </c>
      <c r="G16" s="3" t="str">
        <f>'Constants - Fertiliser'!$D$21</f>
        <v>Diammonium phosphate (DAP)</v>
      </c>
      <c r="J16" s="3" cm="1">
        <f t="array" ref="J16">Fertiliser_InputFunctions.Fertiliser_TotalChemicalCompoundAppliedAllIngredients($G16,Table_Input_InorganicFertiliser_Brands[Total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6" s="3" t="str" cm="1">
        <f t="array" ref="K16">Common_InputFunctions.Utility_DisplayArrayInTable(Scope3_SourceData.Scope3_InorganicFertilisers_Data(), Table_Scope3_InorganicFertiliser[[#Headers],[Category]], 0, -2)</f>
        <v>kg</v>
      </c>
      <c r="L16" s="3" cm="1">
        <f t="array" ref="L16">Common_InputFunctions.Utility_DisplayArrayInTable(Scope3_SourceData.Scope3_InorganicFertilisers_Data(), Table_Scope3_InorganicFertiliser[[#Headers],[Category]], 0, -2)</f>
        <v>1.34</v>
      </c>
      <c r="M16" s="153"/>
      <c r="N16" s="3" t="str">
        <f>"kg CO2e / " &amp; Table_Scope3_InorganicFertiliser[[#This Row],[Quantity Unit]]</f>
        <v>kg CO2e / kg</v>
      </c>
      <c r="O16" s="3">
        <f>Table_Scope3_InorganicFertiliser[[#This Row],[Quantity]]*Table_Scope3_InorganicFertiliser[[#This Row],[AusLCI Emissions intensity]]</f>
        <v>0</v>
      </c>
      <c r="P16"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6" s="154"/>
      <c r="R16" s="156"/>
      <c r="S16" s="154"/>
      <c r="T16" s="157" cm="1">
        <f t="array" ref="T16">Common_InputFunctions.Utility_LookupValueInTableNumber(Table_Scope3_InorganicFertiliser[[#This Row],[Custom emissions intensity source type (Select)]],#REF!,#REF!)</f>
        <v>0</v>
      </c>
      <c r="U16" s="14"/>
    </row>
    <row r="17" spans="1:21" ht="20.100000000000001" customHeight="1" x14ac:dyDescent="0.25">
      <c r="A17" s="52" t="s">
        <v>316</v>
      </c>
      <c r="C17" s="14"/>
      <c r="D17" s="3" t="str" cm="1">
        <f t="array" ref="D17">Common_InputFunctions.Utility_DisplayArrayInTable(Scope3_SourceData.Scope3_InorganicFertilisers_Data(), Table_Scope3_InorganicFertiliser[[#Headers],[Category]], 0, 2)</f>
        <v>Inorganic fertilisers</v>
      </c>
      <c r="E17" s="3" t="str" cm="1">
        <f t="array" ref="E17">Common_InputFunctions.Utility_DisplayArrayInTable(Scope3_SourceData.Scope3_InorganicFertilisers_Data(), Table_Scope3_InorganicFertiliser[[#Headers],[Category]], 0, 2)</f>
        <v>Double superphosphate, AU market mix</v>
      </c>
      <c r="F17" s="3" t="str" cm="1">
        <f t="array" ref="F17">Common_InputFunctions.Utility_DisplayArrayInTable(Scope3_SourceData.Scope3_InorganicFertilisers_Data(), Table_Scope3_InorganicFertiliser[[#Headers],[Category]], 0, 2)</f>
        <v>Global</v>
      </c>
      <c r="G17" s="3" t="str">
        <f>'Constants - Fertiliser'!$D$35</f>
        <v>Double superphosphate</v>
      </c>
      <c r="J17" s="3" cm="1">
        <f t="array" ref="J17">Fertiliser_InputFunctions.Fertiliser_TotalChemicalCompoundAppliedAllIngredients($G17,Table_Input_InorganicFertiliser_Brands[Total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7" s="3" t="str" cm="1">
        <f t="array" ref="K17">Common_InputFunctions.Utility_DisplayArrayInTable(Scope3_SourceData.Scope3_InorganicFertilisers_Data(), Table_Scope3_InorganicFertiliser[[#Headers],[Category]], 0, -2)</f>
        <v>kg</v>
      </c>
      <c r="L17" s="3" cm="1">
        <f t="array" ref="L17">Common_InputFunctions.Utility_DisplayArrayInTable(Scope3_SourceData.Scope3_InorganicFertilisers_Data(), Table_Scope3_InorganicFertiliser[[#Headers],[Category]], 0, -2)</f>
        <v>0.39200000000000002</v>
      </c>
      <c r="M17" s="153"/>
      <c r="N17" s="3" t="str">
        <f>"kg CO2e / " &amp; Table_Scope3_InorganicFertiliser[[#This Row],[Quantity Unit]]</f>
        <v>kg CO2e / kg</v>
      </c>
      <c r="O17" s="3">
        <f>Table_Scope3_InorganicFertiliser[[#This Row],[Quantity]]*Table_Scope3_InorganicFertiliser[[#This Row],[AusLCI Emissions intensity]]</f>
        <v>0</v>
      </c>
      <c r="P17"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7" s="154"/>
      <c r="R17" s="156"/>
      <c r="S17" s="154"/>
      <c r="T17" s="157" cm="1">
        <f t="array" ref="T17">Common_InputFunctions.Utility_LookupValueInTableNumber(Table_Scope3_InorganicFertiliser[[#This Row],[Custom emissions intensity source type (Select)]],#REF!,#REF!)</f>
        <v>0</v>
      </c>
      <c r="U17" s="14"/>
    </row>
    <row r="18" spans="1:21" ht="20.100000000000001" customHeight="1" x14ac:dyDescent="0.25">
      <c r="A18" s="16" t="str">
        <f>HYPERLINK("#'Input - Other Farm Inputs'!A1", "Other farm inputs")</f>
        <v>Other farm inputs</v>
      </c>
      <c r="C18" s="14"/>
      <c r="D18" s="3" t="str" cm="1">
        <f t="array" ref="D18">Common_InputFunctions.Utility_DisplayArrayInTable(Scope3_SourceData.Scope3_InorganicFertilisers_Data(), Table_Scope3_InorganicFertiliser[[#Headers],[Category]], 0, 2)</f>
        <v>Inorganic fertilisers</v>
      </c>
      <c r="E18" s="3" t="str" cm="1">
        <f t="array" ref="E18">Common_InputFunctions.Utility_DisplayArrayInTable(Scope3_SourceData.Scope3_InorganicFertilisers_Data(), Table_Scope3_InorganicFertiliser[[#Headers],[Category]], 0, 2)</f>
        <v>Monoammonium phosphate, AU market mix</v>
      </c>
      <c r="F18" s="3" t="str" cm="1">
        <f t="array" ref="F18">Common_InputFunctions.Utility_DisplayArrayInTable(Scope3_SourceData.Scope3_InorganicFertilisers_Data(), Table_Scope3_InorganicFertiliser[[#Headers],[Category]], 0, 2)</f>
        <v>Global</v>
      </c>
      <c r="G18" s="3" t="str">
        <f>'Constants - Fertiliser'!$D$20</f>
        <v>Monoammonium phosphate (MAP)</v>
      </c>
      <c r="J18" s="3" cm="1">
        <f t="array" ref="J18">Fertiliser_InputFunctions.Fertiliser_TotalChemicalCompoundAppliedAllIngredients($G18,Table_Input_InorganicFertiliser_Brands[Total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8" s="3" t="str" cm="1">
        <f t="array" ref="K18">Common_InputFunctions.Utility_DisplayArrayInTable(Scope3_SourceData.Scope3_InorganicFertilisers_Data(), Table_Scope3_InorganicFertiliser[[#Headers],[Category]], 0, -2)</f>
        <v>kg</v>
      </c>
      <c r="L18" s="3" cm="1">
        <f t="array" ref="L18">Common_InputFunctions.Utility_DisplayArrayInTable(Scope3_SourceData.Scope3_InorganicFertilisers_Data(), Table_Scope3_InorganicFertiliser[[#Headers],[Category]], 0, -2)</f>
        <v>0.82699999999999996</v>
      </c>
      <c r="M18" s="153"/>
      <c r="N18" s="3" t="str">
        <f>"kg CO2e / " &amp; Table_Scope3_InorganicFertiliser[[#This Row],[Quantity Unit]]</f>
        <v>kg CO2e / kg</v>
      </c>
      <c r="O18" s="3">
        <f>Table_Scope3_InorganicFertiliser[[#This Row],[Quantity]]*Table_Scope3_InorganicFertiliser[[#This Row],[AusLCI Emissions intensity]]</f>
        <v>0</v>
      </c>
      <c r="P18"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8" s="154"/>
      <c r="R18" s="156"/>
      <c r="S18" s="154"/>
      <c r="T18" s="157" cm="1">
        <f t="array" ref="T18">Common_InputFunctions.Utility_LookupValueInTableNumber(Table_Scope3_InorganicFertiliser[[#This Row],[Custom emissions intensity source type (Select)]],#REF!,#REF!)</f>
        <v>0</v>
      </c>
      <c r="U18" s="14"/>
    </row>
    <row r="19" spans="1:21" ht="20.100000000000001" customHeight="1" x14ac:dyDescent="0.25">
      <c r="A19" s="16" t="str">
        <f>HYPERLINK("#'Input - Data quality'!A1", "Data quality")</f>
        <v>Data quality</v>
      </c>
      <c r="C19" s="14"/>
      <c r="D19" s="3" t="str" cm="1">
        <f t="array" ref="D19">Common_InputFunctions.Utility_DisplayArrayInTable(Scope3_SourceData.Scope3_InorganicFertilisers_Data(), Table_Scope3_InorganicFertiliser[[#Headers],[Category]], 0, 2)</f>
        <v>Inorganic fertilisers</v>
      </c>
      <c r="E19" s="3" t="str" cm="1">
        <f t="array" ref="E19">Common_InputFunctions.Utility_DisplayArrayInTable(Scope3_SourceData.Scope3_InorganicFertilisers_Data(), Table_Scope3_InorganicFertiliser[[#Headers],[Category]], 0, 2)</f>
        <v>Muriate of potash, AU market mix</v>
      </c>
      <c r="F19" s="3" t="str" cm="1">
        <f t="array" ref="F19">Common_InputFunctions.Utility_DisplayArrayInTable(Scope3_SourceData.Scope3_InorganicFertilisers_Data(), Table_Scope3_InorganicFertiliser[[#Headers],[Category]], 0, 2)</f>
        <v>Global</v>
      </c>
      <c r="G19" s="3" t="str">
        <f>'Constants - Fertiliser'!$D$34</f>
        <v>Muriate of potash (MOP)</v>
      </c>
      <c r="J19" s="3" cm="1">
        <f t="array" ref="J19">Fertiliser_InputFunctions.Fertiliser_TotalChemicalCompoundAppliedAllIngredients($G19,Table_Input_InorganicFertiliser_Brands[Total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19" s="3" t="str" cm="1">
        <f t="array" ref="K19">Common_InputFunctions.Utility_DisplayArrayInTable(Scope3_SourceData.Scope3_InorganicFertilisers_Data(), Table_Scope3_InorganicFertiliser[[#Headers],[Category]], 0, -2)</f>
        <v>kg</v>
      </c>
      <c r="L19" s="3" cm="1">
        <f t="array" ref="L19">Common_InputFunctions.Utility_DisplayArrayInTable(Scope3_SourceData.Scope3_InorganicFertilisers_Data(), Table_Scope3_InorganicFertiliser[[#Headers],[Category]], 0, -2)</f>
        <v>0.54900000000000004</v>
      </c>
      <c r="M19" s="153"/>
      <c r="N19" s="3" t="str">
        <f>"kg CO2e / " &amp; Table_Scope3_InorganicFertiliser[[#This Row],[Quantity Unit]]</f>
        <v>kg CO2e / kg</v>
      </c>
      <c r="O19" s="3">
        <f>Table_Scope3_InorganicFertiliser[[#This Row],[Quantity]]*Table_Scope3_InorganicFertiliser[[#This Row],[AusLCI Emissions intensity]]</f>
        <v>0</v>
      </c>
      <c r="P19"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19" s="154"/>
      <c r="R19" s="156"/>
      <c r="S19" s="154"/>
      <c r="T19" s="157" cm="1">
        <f t="array" ref="T19">Common_InputFunctions.Utility_LookupValueInTableNumber(Table_Scope3_InorganicFertiliser[[#This Row],[Custom emissions intensity source type (Select)]],#REF!,#REF!)</f>
        <v>0</v>
      </c>
      <c r="U19" s="14"/>
    </row>
    <row r="20" spans="1:21" ht="20.100000000000001" customHeight="1" x14ac:dyDescent="0.25">
      <c r="C20" s="14"/>
      <c r="D20" s="3" t="str" cm="1">
        <f t="array" ref="D20">Common_InputFunctions.Utility_DisplayArrayInTable(Scope3_SourceData.Scope3_InorganicFertilisers_Data(), Table_Scope3_InorganicFertiliser[[#Headers],[Category]], 0, 2)</f>
        <v>Inorganic fertilisers</v>
      </c>
      <c r="E20" s="3" t="str" cm="1">
        <f t="array" ref="E20">Common_InputFunctions.Utility_DisplayArrayInTable(Scope3_SourceData.Scope3_InorganicFertilisers_Data(), Table_Scope3_InorganicFertiliser[[#Headers],[Category]], 0, 2)</f>
        <v>Nitrogen from ammonia, AU market mix</v>
      </c>
      <c r="F20" s="3" t="str" cm="1">
        <f t="array" ref="F20">Common_InputFunctions.Utility_DisplayArrayInTable(Scope3_SourceData.Scope3_InorganicFertilisers_Data(), Table_Scope3_InorganicFertiliser[[#Headers],[Category]], 0, 2)</f>
        <v>Global</v>
      </c>
      <c r="G20" s="3" t="str">
        <f>'Constants - Fertiliser'!$D$27</f>
        <v>Nitrogen - Ammoniacal</v>
      </c>
      <c r="J20" s="3" cm="1">
        <f t="array" ref="J20">Fertiliser_InputFunctions.Fertiliser_TotalChemicalCompoundAppliedAllIngredients($G20,Table_Input_InorganicFertiliser_Brands[Total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0" s="3" t="str" cm="1">
        <f t="array" ref="K20">Common_InputFunctions.Utility_DisplayArrayInTable(Scope3_SourceData.Scope3_InorganicFertilisers_Data(), Table_Scope3_InorganicFertiliser[[#Headers],[Category]], 0, -2)</f>
        <v>kg N</v>
      </c>
      <c r="L20" s="3" cm="1">
        <f t="array" ref="L20">Common_InputFunctions.Utility_DisplayArrayInTable(Scope3_SourceData.Scope3_InorganicFertilisers_Data(), Table_Scope3_InorganicFertiliser[[#Headers],[Category]], 0, -2)</f>
        <v>2.83</v>
      </c>
      <c r="M20" s="153"/>
      <c r="N20" s="3" t="str">
        <f>"kg CO2e / " &amp; Table_Scope3_InorganicFertiliser[[#This Row],[Quantity Unit]]</f>
        <v>kg CO2e / kg N</v>
      </c>
      <c r="O20" s="3">
        <f>Table_Scope3_InorganicFertiliser[[#This Row],[Quantity]]*Table_Scope3_InorganicFertiliser[[#This Row],[AusLCI Emissions intensity]]</f>
        <v>0</v>
      </c>
      <c r="P20"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0" s="154"/>
      <c r="R20" s="156"/>
      <c r="S20" s="154"/>
      <c r="T20" s="157" cm="1">
        <f t="array" ref="T20">Common_InputFunctions.Utility_LookupValueInTableNumber(Table_Scope3_InorganicFertiliser[[#This Row],[Custom emissions intensity source type (Select)]],#REF!,#REF!)</f>
        <v>0</v>
      </c>
      <c r="U20" s="14"/>
    </row>
    <row r="21" spans="1:21" ht="20.100000000000001" customHeight="1" x14ac:dyDescent="0.25">
      <c r="A21" s="21" t="s">
        <v>77</v>
      </c>
      <c r="C21" s="14"/>
      <c r="D21" s="3" t="str" cm="1">
        <f t="array" ref="D21">Common_InputFunctions.Utility_DisplayArrayInTable(Scope3_SourceData.Scope3_InorganicFertilisers_Data(), Table_Scope3_InorganicFertiliser[[#Headers],[Category]], 0, 2)</f>
        <v>Inorganic fertilisers</v>
      </c>
      <c r="E21" s="3" t="str" cm="1">
        <f t="array" ref="E21">Common_InputFunctions.Utility_DisplayArrayInTable(Scope3_SourceData.Scope3_InorganicFertilisers_Data(), Table_Scope3_InorganicFertiliser[[#Headers],[Category]], 0, 2)</f>
        <v>Nitrogen from fertilizer, AU market mix</v>
      </c>
      <c r="F21" s="3" t="str" cm="1">
        <f t="array" ref="F21">Common_InputFunctions.Utility_DisplayArrayInTable(Scope3_SourceData.Scope3_InorganicFertilisers_Data(), Table_Scope3_InorganicFertiliser[[#Headers],[Category]], 0, 2)</f>
        <v>Global</v>
      </c>
      <c r="G21" s="3" t="str">
        <f>'Constants - Fertiliser'!$D$29</f>
        <v>Nitrogen - Generic</v>
      </c>
      <c r="J21" s="3" cm="1">
        <f t="array" ref="J21">Fertiliser_InputFunctions.Fertiliser_TotalChemicalCompoundAppliedAllIngredients($G21,Table_Input_InorganicFertiliser_Brands[Total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364.50000000000006</v>
      </c>
      <c r="K21" s="3" t="str" cm="1">
        <f t="array" ref="K21">Common_InputFunctions.Utility_DisplayArrayInTable(Scope3_SourceData.Scope3_InorganicFertilisers_Data(), Table_Scope3_InorganicFertiliser[[#Headers],[Category]], 0, -2)</f>
        <v>kg N</v>
      </c>
      <c r="L21" s="3" cm="1">
        <f t="array" ref="L21">Common_InputFunctions.Utility_DisplayArrayInTable(Scope3_SourceData.Scope3_InorganicFertilisers_Data(), Table_Scope3_InorganicFertiliser[[#Headers],[Category]], 0, -2)</f>
        <v>4.2</v>
      </c>
      <c r="M21" s="153">
        <v>4</v>
      </c>
      <c r="N21" s="3" t="str">
        <f>"kg CO2e / " &amp; Table_Scope3_InorganicFertiliser[[#This Row],[Quantity Unit]]</f>
        <v>kg CO2e / kg N</v>
      </c>
      <c r="O21" s="3">
        <f>Table_Scope3_InorganicFertiliser[[#This Row],[Quantity]]*Table_Scope3_InorganicFertiliser[[#This Row],[AusLCI Emissions intensity]]</f>
        <v>1530.9000000000003</v>
      </c>
      <c r="P21" s="3">
        <f>Table_Scope3_InorganicFertiliser[[#This Row],[Quantity]]*IF(Table_Scope3_InorganicFertiliser[[#This Row],[Custom emissions intensity (Method 2)]], Table_Scope3_InorganicFertiliser[[#This Row],[Custom emissions intensity (Method 2)]], Table_Scope3_InorganicFertiliser[[#This Row],[AusLCI Emissions intensity]])</f>
        <v>1458.0000000000002</v>
      </c>
      <c r="Q21" s="154"/>
      <c r="R21" s="156"/>
      <c r="S21" s="154"/>
      <c r="T21" s="157" cm="1">
        <f t="array" ref="T21">Common_InputFunctions.Utility_LookupValueInTableNumber(Table_Scope3_InorganicFertiliser[[#This Row],[Custom emissions intensity source type (Select)]],#REF!,#REF!)</f>
        <v>0</v>
      </c>
      <c r="U21" s="14"/>
    </row>
    <row r="22" spans="1:21" ht="20.100000000000001" customHeight="1" x14ac:dyDescent="0.25">
      <c r="A22" s="52" t="s">
        <v>317</v>
      </c>
      <c r="C22" s="14"/>
      <c r="D22" s="3" t="str" cm="1">
        <f t="array" ref="D22">Common_InputFunctions.Utility_DisplayArrayInTable(Scope3_SourceData.Scope3_InorganicFertilisers_Data(), Table_Scope3_InorganicFertiliser[[#Headers],[Category]], 0, 2)</f>
        <v>Inorganic fertilisers</v>
      </c>
      <c r="E22" s="3" t="str" cm="1">
        <f t="array" ref="E22">Common_InputFunctions.Utility_DisplayArrayInTable(Scope3_SourceData.Scope3_InorganicFertilisers_Data(), Table_Scope3_InorganicFertiliser[[#Headers],[Category]], 0, 2)</f>
        <v>Nitrogen from nitrate fertilizer, AU market mix</v>
      </c>
      <c r="F22" s="3" t="str" cm="1">
        <f t="array" ref="F22">Common_InputFunctions.Utility_DisplayArrayInTable(Scope3_SourceData.Scope3_InorganicFertilisers_Data(), Table_Scope3_InorganicFertiliser[[#Headers],[Category]], 0, 2)</f>
        <v>Global</v>
      </c>
      <c r="G22" s="3" t="str">
        <f>'Constants - Fertiliser'!$D$28</f>
        <v>Nitrogen - Nitrate</v>
      </c>
      <c r="J22" s="3" cm="1">
        <f t="array" ref="J22">Fertiliser_InputFunctions.Fertiliser_TotalChemicalCompoundAppliedAllIngredients($G22,Table_Input_InorganicFertiliser_Brands[Total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2" s="3" t="str" cm="1">
        <f t="array" ref="K22">Common_InputFunctions.Utility_DisplayArrayInTable(Scope3_SourceData.Scope3_InorganicFertilisers_Data(), Table_Scope3_InorganicFertiliser[[#Headers],[Category]], 0, -2)</f>
        <v>kg N</v>
      </c>
      <c r="L22" s="3" cm="1">
        <f t="array" ref="L22">Common_InputFunctions.Utility_DisplayArrayInTable(Scope3_SourceData.Scope3_InorganicFertilisers_Data(), Table_Scope3_InorganicFertiliser[[#Headers],[Category]], 0, -2)</f>
        <v>5.47</v>
      </c>
      <c r="M22" s="153"/>
      <c r="N22" s="3" t="str">
        <f>"kg CO2e / " &amp; Table_Scope3_InorganicFertiliser[[#This Row],[Quantity Unit]]</f>
        <v>kg CO2e / kg N</v>
      </c>
      <c r="O22" s="3">
        <f>Table_Scope3_InorganicFertiliser[[#This Row],[Quantity]]*Table_Scope3_InorganicFertiliser[[#This Row],[AusLCI Emissions intensity]]</f>
        <v>0</v>
      </c>
      <c r="P22"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2" s="154"/>
      <c r="R22" s="156"/>
      <c r="S22" s="154"/>
      <c r="T22" s="157" cm="1">
        <f t="array" ref="T22">Common_InputFunctions.Utility_LookupValueInTableNumber(Table_Scope3_InorganicFertiliser[[#This Row],[Custom emissions intensity source type (Select)]],#REF!,#REF!)</f>
        <v>0</v>
      </c>
      <c r="U22" s="14"/>
    </row>
    <row r="23" spans="1:21" ht="20.100000000000001" customHeight="1" x14ac:dyDescent="0.25">
      <c r="A23" s="52" t="s">
        <v>318</v>
      </c>
      <c r="C23" s="14"/>
      <c r="D23" s="3" t="str" cm="1">
        <f t="array" ref="D23">Common_InputFunctions.Utility_DisplayArrayInTable(Scope3_SourceData.Scope3_InorganicFertilisers_Data(), Table_Scope3_InorganicFertiliser[[#Headers],[Category]], 0, 2)</f>
        <v>Inorganic fertilisers</v>
      </c>
      <c r="E23" s="3" t="str" cm="1">
        <f t="array" ref="E23">Common_InputFunctions.Utility_DisplayArrayInTable(Scope3_SourceData.Scope3_InorganicFertilisers_Data(), Table_Scope3_InorganicFertiliser[[#Headers],[Category]], 0, 2)</f>
        <v>Phosphorus from fertilizer, AU market mix</v>
      </c>
      <c r="F23" s="3" t="str" cm="1">
        <f t="array" ref="F23">Common_InputFunctions.Utility_DisplayArrayInTable(Scope3_SourceData.Scope3_InorganicFertilisers_Data(), Table_Scope3_InorganicFertiliser[[#Headers],[Category]], 0, 2)</f>
        <v>Global</v>
      </c>
      <c r="G23" s="3" t="str">
        <f>'Constants - Fertiliser'!$D$30</f>
        <v>Phosphorus - Generic</v>
      </c>
      <c r="J23" s="3" cm="1">
        <f t="array" ref="J23">Fertiliser_InputFunctions.Fertiliser_TotalChemicalCompoundAppliedAllIngredients($G23,Table_Input_InorganicFertiliser_Brands[Total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3" s="3" t="str" cm="1">
        <f t="array" ref="K23">Common_InputFunctions.Utility_DisplayArrayInTable(Scope3_SourceData.Scope3_InorganicFertilisers_Data(), Table_Scope3_InorganicFertiliser[[#Headers],[Category]], 0, -2)</f>
        <v>kg P</v>
      </c>
      <c r="L23" s="3" cm="1">
        <f t="array" ref="L23">Common_InputFunctions.Utility_DisplayArrayInTable(Scope3_SourceData.Scope3_InorganicFertilisers_Data(), Table_Scope3_InorganicFertiliser[[#Headers],[Category]], 0, -2)</f>
        <v>3.96</v>
      </c>
      <c r="M23" s="153"/>
      <c r="N23" s="3" t="str">
        <f>"kg CO2e / " &amp; Table_Scope3_InorganicFertiliser[[#This Row],[Quantity Unit]]</f>
        <v>kg CO2e / kg P</v>
      </c>
      <c r="O23" s="3">
        <f>Table_Scope3_InorganicFertiliser[[#This Row],[Quantity]]*Table_Scope3_InorganicFertiliser[[#This Row],[AusLCI Emissions intensity]]</f>
        <v>0</v>
      </c>
      <c r="P23"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3" s="154"/>
      <c r="R23" s="156"/>
      <c r="S23" s="154"/>
      <c r="T23" s="157" cm="1">
        <f t="array" ref="T23">Common_InputFunctions.Utility_LookupValueInTableNumber(Table_Scope3_InorganicFertiliser[[#This Row],[Custom emissions intensity source type (Select)]],#REF!,#REF!)</f>
        <v>0</v>
      </c>
      <c r="U23" s="14"/>
    </row>
    <row r="24" spans="1:21" ht="20.100000000000001" customHeight="1" x14ac:dyDescent="0.25">
      <c r="A24" s="16" t="str">
        <f>HYPERLINK("#'Calcs - Fert Lime'!A1", "Fertiliser &amp; soil amendments")</f>
        <v>Fertiliser &amp; soil amendments</v>
      </c>
      <c r="C24" s="14"/>
      <c r="D24" s="3" t="str" cm="1">
        <f t="array" ref="D24">Common_InputFunctions.Utility_DisplayArrayInTable(Scope3_SourceData.Scope3_InorganicFertilisers_Data(), Table_Scope3_InorganicFertiliser[[#Headers],[Category]], 0, 2)</f>
        <v>Inorganic fertilisers</v>
      </c>
      <c r="E24" s="3" t="str" cm="1">
        <f t="array" ref="E24">Common_InputFunctions.Utility_DisplayArrayInTable(Scope3_SourceData.Scope3_InorganicFertilisers_Data(), Table_Scope3_InorganicFertiliser[[#Headers],[Category]], 0, 2)</f>
        <v>Potassium from fertilizer, AU market mix</v>
      </c>
      <c r="F24" s="3" t="str" cm="1">
        <f t="array" ref="F24">Common_InputFunctions.Utility_DisplayArrayInTable(Scope3_SourceData.Scope3_InorganicFertilisers_Data(), Table_Scope3_InorganicFertiliser[[#Headers],[Category]], 0, 2)</f>
        <v>Global</v>
      </c>
      <c r="G24" s="3" t="str">
        <f>'Constants - Fertiliser'!$D$31</f>
        <v>Potassium - Generic</v>
      </c>
      <c r="J24" s="3" cm="1">
        <f t="array" ref="J24">Fertiliser_InputFunctions.Fertiliser_TotalChemicalCompoundAppliedAllIngredients($G24,Table_Input_InorganicFertiliser_Brands[Total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1215.0000000000002</v>
      </c>
      <c r="K24" s="3" t="str" cm="1">
        <f t="array" ref="K24">Common_InputFunctions.Utility_DisplayArrayInTable(Scope3_SourceData.Scope3_InorganicFertilisers_Data(), Table_Scope3_InorganicFertiliser[[#Headers],[Category]], 0, -2)</f>
        <v>kg K</v>
      </c>
      <c r="L24" s="3" cm="1">
        <f t="array" ref="L24">Common_InputFunctions.Utility_DisplayArrayInTable(Scope3_SourceData.Scope3_InorganicFertilisers_Data(), Table_Scope3_InorganicFertiliser[[#Headers],[Category]], 0, -2)</f>
        <v>0.90900000000000003</v>
      </c>
      <c r="M24" s="153"/>
      <c r="N24" s="3" t="str">
        <f>"kg CO2e / " &amp; Table_Scope3_InorganicFertiliser[[#This Row],[Quantity Unit]]</f>
        <v>kg CO2e / kg K</v>
      </c>
      <c r="O24" s="3">
        <f>Table_Scope3_InorganicFertiliser[[#This Row],[Quantity]]*Table_Scope3_InorganicFertiliser[[#This Row],[AusLCI Emissions intensity]]</f>
        <v>1104.4350000000002</v>
      </c>
      <c r="P24" s="3">
        <f>Table_Scope3_InorganicFertiliser[[#This Row],[Quantity]]*IF(Table_Scope3_InorganicFertiliser[[#This Row],[Custom emissions intensity (Method 2)]], Table_Scope3_InorganicFertiliser[[#This Row],[Custom emissions intensity (Method 2)]], Table_Scope3_InorganicFertiliser[[#This Row],[AusLCI Emissions intensity]])</f>
        <v>1104.4350000000002</v>
      </c>
      <c r="Q24" s="154"/>
      <c r="R24" s="156"/>
      <c r="S24" s="154"/>
      <c r="T24" s="157" cm="1">
        <f t="array" ref="T24">Common_InputFunctions.Utility_LookupValueInTableNumber(Table_Scope3_InorganicFertiliser[[#This Row],[Custom emissions intensity source type (Select)]],#REF!,#REF!)</f>
        <v>0</v>
      </c>
      <c r="U24" s="14"/>
    </row>
    <row r="25" spans="1:21" ht="20.100000000000001" customHeight="1" x14ac:dyDescent="0.25">
      <c r="A25" s="16" t="str">
        <f>HYPERLINK("#'Calcs - Residue mgmt - Crop'!A1", "Residue management - Crop")</f>
        <v>Residue management - Crop</v>
      </c>
      <c r="C25" s="14"/>
      <c r="D25" s="3" t="str" cm="1">
        <f t="array" ref="D25">Common_InputFunctions.Utility_DisplayArrayInTable(Scope3_SourceData.Scope3_InorganicFertilisers_Data(), Table_Scope3_InorganicFertiliser[[#Headers],[Category]], 0, 2)</f>
        <v>Inorganic fertilisers</v>
      </c>
      <c r="E25" s="3" t="str" cm="1">
        <f t="array" ref="E25">Common_InputFunctions.Utility_DisplayArrayInTable(Scope3_SourceData.Scope3_InorganicFertilisers_Data(), Table_Scope3_InorganicFertiliser[[#Headers],[Category]], 0, 2)</f>
        <v>Single superphosphate, AU market mix</v>
      </c>
      <c r="F25" s="3" t="str" cm="1">
        <f t="array" ref="F25">Common_InputFunctions.Utility_DisplayArrayInTable(Scope3_SourceData.Scope3_InorganicFertilisers_Data(), Table_Scope3_InorganicFertiliser[[#Headers],[Category]], 0, 2)</f>
        <v>Global</v>
      </c>
      <c r="G25" s="3" t="str">
        <f>'Constants - Fertiliser'!$D$36</f>
        <v>Single superphosphate (SSP)</v>
      </c>
      <c r="J25" s="3" cm="1">
        <f t="array" ref="J25">Fertiliser_InputFunctions.Fertiliser_TotalChemicalCompoundAppliedAllIngredients($G25,Table_Input_InorganicFertiliser_Brands[Total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5" s="3" t="str" cm="1">
        <f t="array" ref="K25">Common_InputFunctions.Utility_DisplayArrayInTable(Scope3_SourceData.Scope3_InorganicFertilisers_Data(), Table_Scope3_InorganicFertiliser[[#Headers],[Category]], 0, -2)</f>
        <v>kg</v>
      </c>
      <c r="L25" s="3" cm="1">
        <f t="array" ref="L25">Common_InputFunctions.Utility_DisplayArrayInTable(Scope3_SourceData.Scope3_InorganicFertilisers_Data(), Table_Scope3_InorganicFertiliser[[#Headers],[Category]], 0, -2)</f>
        <v>0.22700000000000001</v>
      </c>
      <c r="M25" s="153"/>
      <c r="N25" s="3" t="str">
        <f>"kg CO2e / " &amp; Table_Scope3_InorganicFertiliser[[#This Row],[Quantity Unit]]</f>
        <v>kg CO2e / kg</v>
      </c>
      <c r="O25" s="3">
        <f>Table_Scope3_InorganicFertiliser[[#This Row],[Quantity]]*Table_Scope3_InorganicFertiliser[[#This Row],[AusLCI Emissions intensity]]</f>
        <v>0</v>
      </c>
      <c r="P25"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5" s="154"/>
      <c r="R25" s="156"/>
      <c r="S25" s="154"/>
      <c r="T25" s="157" cm="1">
        <f t="array" ref="T25">Common_InputFunctions.Utility_LookupValueInTableNumber(Table_Scope3_InorganicFertiliser[[#This Row],[Custom emissions intensity source type (Select)]],#REF!,#REF!)</f>
        <v>0</v>
      </c>
      <c r="U25" s="14"/>
    </row>
    <row r="26" spans="1:21" ht="20.100000000000001" customHeight="1" x14ac:dyDescent="0.25">
      <c r="A26" s="16" t="str">
        <f>HYPERLINK("#'Calcs - Residue mgmt - Pasture'!A1", "Residue management - Pasture")</f>
        <v>Residue management - Pasture</v>
      </c>
      <c r="C26" s="14"/>
      <c r="D26" s="3" t="str" cm="1">
        <f t="array" ref="D26">Common_InputFunctions.Utility_DisplayArrayInTable(Scope3_SourceData.Scope3_InorganicFertilisers_Data(), Table_Scope3_InorganicFertiliser[[#Headers],[Category]], 0, 2)</f>
        <v>Inorganic fertilisers</v>
      </c>
      <c r="E26" s="3" t="str" cm="1">
        <f t="array" ref="E26">Common_InputFunctions.Utility_DisplayArrayInTable(Scope3_SourceData.Scope3_InorganicFertilisers_Data(), Table_Scope3_InorganicFertiliser[[#Headers],[Category]], 0, 2)</f>
        <v>Sulfur from fertilizer, AU market mix</v>
      </c>
      <c r="F26" s="3" t="str" cm="1">
        <f t="array" ref="F26">Common_InputFunctions.Utility_DisplayArrayInTable(Scope3_SourceData.Scope3_InorganicFertilisers_Data(), Table_Scope3_InorganicFertiliser[[#Headers],[Category]], 0, 2)</f>
        <v>Global</v>
      </c>
      <c r="G26" s="3" t="str">
        <f>'Constants - Fertiliser'!$D$32</f>
        <v>Sulfur - Generic</v>
      </c>
      <c r="J26" s="3" cm="1">
        <f t="array" ref="J26">Fertiliser_InputFunctions.Fertiliser_TotalChemicalCompoundAppliedAllIngredients($G26,Table_Input_InorganicFertiliser_Brands[Total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6" s="3" t="str" cm="1">
        <f t="array" ref="K26">Common_InputFunctions.Utility_DisplayArrayInTable(Scope3_SourceData.Scope3_InorganicFertilisers_Data(), Table_Scope3_InorganicFertiliser[[#Headers],[Category]], 0, -2)</f>
        <v>kg S</v>
      </c>
      <c r="L26" s="3" cm="1">
        <f t="array" ref="L26">Common_InputFunctions.Utility_DisplayArrayInTable(Scope3_SourceData.Scope3_InorganicFertilisers_Data(), Table_Scope3_InorganicFertiliser[[#Headers],[Category]], 0, -2)</f>
        <v>2.5</v>
      </c>
      <c r="M26" s="153"/>
      <c r="N26" s="3" t="str">
        <f>"kg CO2e / " &amp; Table_Scope3_InorganicFertiliser[[#This Row],[Quantity Unit]]</f>
        <v>kg CO2e / kg S</v>
      </c>
      <c r="O26" s="3">
        <f>Table_Scope3_InorganicFertiliser[[#This Row],[Quantity]]*Table_Scope3_InorganicFertiliser[[#This Row],[AusLCI Emissions intensity]]</f>
        <v>0</v>
      </c>
      <c r="P26"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6" s="154"/>
      <c r="R26" s="156"/>
      <c r="S26" s="154"/>
      <c r="T26" s="157" cm="1">
        <f t="array" ref="T26">Common_InputFunctions.Utility_LookupValueInTableNumber(Table_Scope3_InorganicFertiliser[[#This Row],[Custom emissions intensity source type (Select)]],#REF!,#REF!)</f>
        <v>0</v>
      </c>
      <c r="U26" s="14"/>
    </row>
    <row r="27" spans="1:21" ht="20.100000000000001" customHeight="1" x14ac:dyDescent="0.25">
      <c r="A27" s="16" t="str">
        <f>HYPERLINK("#'Calcs - Field burning'!A1", "Field burning - Crop")</f>
        <v>Field burning - Crop</v>
      </c>
      <c r="C27" s="14"/>
      <c r="D27" s="3" t="str" cm="1">
        <f t="array" ref="D27">Common_InputFunctions.Utility_DisplayArrayInTable(Scope3_SourceData.Scope3_InorganicFertilisers_Data(), Table_Scope3_InorganicFertiliser[[#Headers],[Category]], 0, 2)</f>
        <v>Inorganic fertilisers</v>
      </c>
      <c r="E27" s="3" t="str" cm="1">
        <f t="array" ref="E27">Common_InputFunctions.Utility_DisplayArrayInTable(Scope3_SourceData.Scope3_InorganicFertilisers_Data(), Table_Scope3_InorganicFertiliser[[#Headers],[Category]], 0, 2)</f>
        <v>Ammonium sulphate, AU market mix</v>
      </c>
      <c r="F27" s="3" t="str" cm="1">
        <f t="array" ref="F27">Common_InputFunctions.Utility_DisplayArrayInTable(Scope3_SourceData.Scope3_InorganicFertilisers_Data(), Table_Scope3_InorganicFertiliser[[#Headers],[Category]], 0, 2)</f>
        <v>Global</v>
      </c>
      <c r="G27" s="3" t="str">
        <f>'Constants - Fertiliser'!$D$23</f>
        <v>Sulphate of ammonia (SOA)</v>
      </c>
      <c r="J27" s="3" cm="1">
        <f t="array" ref="J27">Fertiliser_InputFunctions.Fertiliser_TotalChemicalCompoundAppliedAllIngredients($G27,Table_Input_InorganicFertiliser_Brands[Total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7" s="3" t="str" cm="1">
        <f t="array" ref="K27">Common_InputFunctions.Utility_DisplayArrayInTable(Scope3_SourceData.Scope3_InorganicFertilisers_Data(), Table_Scope3_InorganicFertiliser[[#Headers],[Category]], 0, -2)</f>
        <v>kg</v>
      </c>
      <c r="L27" s="3" cm="1">
        <f t="array" ref="L27">Common_InputFunctions.Utility_DisplayArrayInTable(Scope3_SourceData.Scope3_InorganicFertilisers_Data(), Table_Scope3_InorganicFertiliser[[#Headers],[Category]], 0, -2)</f>
        <v>0.86499999999999999</v>
      </c>
      <c r="M27" s="153"/>
      <c r="N27" s="3" t="str">
        <f>"kg CO2e / " &amp; Table_Scope3_InorganicFertiliser[[#This Row],[Quantity Unit]]</f>
        <v>kg CO2e / kg</v>
      </c>
      <c r="O27" s="3">
        <f>Table_Scope3_InorganicFertiliser[[#This Row],[Quantity]]*Table_Scope3_InorganicFertiliser[[#This Row],[AusLCI Emissions intensity]]</f>
        <v>0</v>
      </c>
      <c r="P27"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7" s="154"/>
      <c r="R27" s="156"/>
      <c r="S27" s="154"/>
      <c r="T27" s="157" cm="1">
        <f t="array" ref="T27">Common_InputFunctions.Utility_LookupValueInTableNumber(Table_Scope3_InorganicFertiliser[[#This Row],[Custom emissions intensity source type (Select)]],#REF!,#REF!)</f>
        <v>0</v>
      </c>
      <c r="U27" s="14"/>
    </row>
    <row r="28" spans="1:21" ht="20.100000000000001" customHeight="1" x14ac:dyDescent="0.25">
      <c r="A28" s="16" t="str">
        <f>HYPERLINK("#'Calcs - Fuel'!A1", "Fuel")</f>
        <v>Fuel</v>
      </c>
      <c r="C28" s="14"/>
      <c r="D28" s="3" t="str" cm="1">
        <f t="array" ref="D28">Common_InputFunctions.Utility_DisplayArrayInTable(Scope3_SourceData.Scope3_InorganicFertilisers_Data(), Table_Scope3_InorganicFertiliser[[#Headers],[Category]], 0, 2)</f>
        <v>Inorganic fertilisers</v>
      </c>
      <c r="E28" s="3" t="str" cm="1">
        <f t="array" ref="E28">Common_InputFunctions.Utility_DisplayArrayInTable(Scope3_SourceData.Scope3_InorganicFertilisers_Data(), Table_Scope3_InorganicFertiliser[[#Headers],[Category]], 0, 2)</f>
        <v>Urea ammonium nitrate, AU market mix</v>
      </c>
      <c r="F28" s="3" t="str" cm="1">
        <f t="array" ref="F28">Common_InputFunctions.Utility_DisplayArrayInTable(Scope3_SourceData.Scope3_InorganicFertilisers_Data(), Table_Scope3_InorganicFertiliser[[#Headers],[Category]], 0, 2)</f>
        <v>Global</v>
      </c>
      <c r="G28" s="3" t="str">
        <f>'Constants - Fertiliser'!$D$24</f>
        <v>Urea-ammonium nitrate (UAN)</v>
      </c>
      <c r="J28" s="3" cm="1">
        <f t="array" ref="J28">Fertiliser_InputFunctions.Fertiliser_TotalChemicalCompoundAppliedAllIngredients($G28,Table_Input_InorganicFertiliser_Brands[Total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28" s="3" t="str" cm="1">
        <f t="array" ref="K28">Common_InputFunctions.Utility_DisplayArrayInTable(Scope3_SourceData.Scope3_InorganicFertilisers_Data(), Table_Scope3_InorganicFertiliser[[#Headers],[Category]], 0, -2)</f>
        <v>kg</v>
      </c>
      <c r="L28" s="3" cm="1">
        <f t="array" ref="L28">Common_InputFunctions.Utility_DisplayArrayInTable(Scope3_SourceData.Scope3_InorganicFertilisers_Data(), Table_Scope3_InorganicFertiliser[[#Headers],[Category]], 0, -2)</f>
        <v>1.75</v>
      </c>
      <c r="M28" s="153"/>
      <c r="N28" s="3" t="str">
        <f>"kg CO2e / " &amp; Table_Scope3_InorganicFertiliser[[#This Row],[Quantity Unit]]</f>
        <v>kg CO2e / kg</v>
      </c>
      <c r="O28" s="3">
        <f>Table_Scope3_InorganicFertiliser[[#This Row],[Quantity]]*Table_Scope3_InorganicFertiliser[[#This Row],[AusLCI Emissions intensity]]</f>
        <v>0</v>
      </c>
      <c r="P28"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28" s="154"/>
      <c r="R28" s="156"/>
      <c r="S28" s="154"/>
      <c r="T28" s="157" cm="1">
        <f t="array" ref="T28">Common_InputFunctions.Utility_LookupValueInTableNumber(Table_Scope3_InorganicFertiliser[[#This Row],[Custom emissions intensity source type (Select)]],#REF!,#REF!)</f>
        <v>0</v>
      </c>
      <c r="U28" s="14"/>
    </row>
    <row r="29" spans="1:21" ht="20.100000000000001" customHeight="1" x14ac:dyDescent="0.25">
      <c r="A29" s="16" t="str">
        <f>HYPERLINK("#'Calcs - Electricity'!A1", "Electricity")</f>
        <v>Electricity</v>
      </c>
      <c r="C29" s="14"/>
      <c r="D29" s="3" t="str" cm="1">
        <f t="array" ref="D29">Common_InputFunctions.Utility_DisplayArrayInTable(Scope3_SourceData.Scope3_InorganicFertilisers_Data(), Table_Scope3_InorganicFertiliser[[#Headers],[Category]], 0, 2)</f>
        <v>Inorganic fertilisers</v>
      </c>
      <c r="E29" s="3" t="str" cm="1">
        <f t="array" ref="E29">Common_InputFunctions.Utility_DisplayArrayInTable(Scope3_SourceData.Scope3_InorganicFertilisers_Data(), Table_Scope3_InorganicFertiliser[[#Headers],[Category]], 0, 2)</f>
        <v>Urea, AU market mix</v>
      </c>
      <c r="F29" s="3" t="str" cm="1">
        <f t="array" ref="F29">Common_InputFunctions.Utility_DisplayArrayInTable(Scope3_SourceData.Scope3_InorganicFertilisers_Data(), Table_Scope3_InorganicFertiliser[[#Headers],[Category]], 0, 2)</f>
        <v>Global</v>
      </c>
      <c r="G29" s="3" t="str">
        <f>'Constants - Fertiliser'!$D$22</f>
        <v>Urea</v>
      </c>
      <c r="H29" s="3" t="str">
        <f>'Constants - Fertiliser'!$V$20</f>
        <v>Global</v>
      </c>
      <c r="J29" s="3" cm="1">
        <f t="array" ref="J29">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71.315217423000007</v>
      </c>
      <c r="K29" s="3" t="str" cm="1">
        <f t="array" ref="K29">Common_InputFunctions.Utility_DisplayArrayInTable(Scope3_SourceData.Scope3_InorganicFertilisers_Data(), Table_Scope3_InorganicFertiliser[[#Headers],[Category]], 0, -2)</f>
        <v>kg</v>
      </c>
      <c r="L29" s="3" cm="1">
        <f t="array" ref="L29">Common_InputFunctions.Utility_DisplayArrayInTable(Scope3_SourceData.Scope3_InorganicFertilisers_Data(), Table_Scope3_InorganicFertiliser[[#Headers],[Category]], 0, -2)</f>
        <v>0.96799999999999997</v>
      </c>
      <c r="M29" s="153"/>
      <c r="N29" s="3" t="str">
        <f>"kg CO2e / " &amp; Table_Scope3_InorganicFertiliser[[#This Row],[Quantity Unit]]</f>
        <v>kg CO2e / kg</v>
      </c>
      <c r="O29" s="3">
        <f>Table_Scope3_InorganicFertiliser[[#This Row],[Quantity]]*Table_Scope3_InorganicFertiliser[[#This Row],[AusLCI Emissions intensity]]</f>
        <v>69.033130465463998</v>
      </c>
      <c r="P29" s="3">
        <f>Table_Scope3_InorganicFertiliser[[#This Row],[Quantity]]*IF(Table_Scope3_InorganicFertiliser[[#This Row],[Custom emissions intensity (Method 2)]], Table_Scope3_InorganicFertiliser[[#This Row],[Custom emissions intensity (Method 2)]], Table_Scope3_InorganicFertiliser[[#This Row],[AusLCI Emissions intensity]])</f>
        <v>69.033130465463998</v>
      </c>
      <c r="Q29" s="154"/>
      <c r="R29" s="156"/>
      <c r="S29" s="154"/>
      <c r="T29" s="157" cm="1">
        <f t="array" ref="T29">Common_InputFunctions.Utility_LookupValueInTableNumber(Table_Scope3_InorganicFertiliser[[#This Row],[Custom emissions intensity source type (Select)]],#REF!,#REF!)</f>
        <v>0</v>
      </c>
      <c r="U29" s="14"/>
    </row>
    <row r="30" spans="1:21" ht="20.100000000000001" customHeight="1" x14ac:dyDescent="0.25">
      <c r="A30" s="16" t="str">
        <f>HYPERLINK("#'Calcs - Refrigerants'!A1", "Refrigerants")</f>
        <v>Refrigerants</v>
      </c>
      <c r="C30" s="14"/>
      <c r="D30" s="3" t="str" cm="1">
        <f t="array" ref="D30">Common_InputFunctions.Utility_DisplayArrayInTable(Scope3_SourceData.Scope3_InorganicFertilisers_Data(), Table_Scope3_InorganicFertiliser[[#Headers],[Category]], 0, 2)</f>
        <v>Inorganic fertilisers</v>
      </c>
      <c r="E30" s="3" t="str" cm="1">
        <f t="array" ref="E30">Common_InputFunctions.Utility_DisplayArrayInTable(Scope3_SourceData.Scope3_InorganicFertilisers_Data(), Table_Scope3_InorganicFertiliser[[#Headers],[Category]], 0, 2)</f>
        <v>Urea, Canada</v>
      </c>
      <c r="F30" s="3" t="str" cm="1">
        <f t="array" ref="F30">Common_InputFunctions.Utility_DisplayArrayInTable(Scope3_SourceData.Scope3_InorganicFertilisers_Data(), Table_Scope3_InorganicFertiliser[[#Headers],[Category]], 0, 2)</f>
        <v>Canada</v>
      </c>
      <c r="G30" s="3" t="str">
        <f>'Constants - Fertiliser'!$D$22</f>
        <v>Urea</v>
      </c>
      <c r="H30" s="3" t="str">
        <f>'Constants - Fertiliser'!$V$21</f>
        <v>Canada</v>
      </c>
      <c r="J30" s="3" cm="1">
        <f t="array" ref="J30">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0" s="3" t="str" cm="1">
        <f t="array" ref="K30">Common_InputFunctions.Utility_DisplayArrayInTable(Scope3_SourceData.Scope3_InorganicFertilisers_Data(), Table_Scope3_InorganicFertiliser[[#Headers],[Category]], 0, -2)</f>
        <v>kg</v>
      </c>
      <c r="L30" s="3" cm="1">
        <f t="array" ref="L30">Common_InputFunctions.Utility_DisplayArrayInTable(Scope3_SourceData.Scope3_InorganicFertilisers_Data(), Table_Scope3_InorganicFertiliser[[#Headers],[Category]], 0, -2)</f>
        <v>0.82299999999999995</v>
      </c>
      <c r="M30" s="153"/>
      <c r="N30" s="3" t="str">
        <f>"kg CO2e / " &amp; Table_Scope3_InorganicFertiliser[[#This Row],[Quantity Unit]]</f>
        <v>kg CO2e / kg</v>
      </c>
      <c r="O30" s="3">
        <f>Table_Scope3_InorganicFertiliser[[#This Row],[Quantity]]*Table_Scope3_InorganicFertiliser[[#This Row],[AusLCI Emissions intensity]]</f>
        <v>0</v>
      </c>
      <c r="P30"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30" s="154"/>
      <c r="R30" s="156"/>
      <c r="S30" s="154"/>
      <c r="T30" s="157" cm="1">
        <f t="array" ref="T30">Common_InputFunctions.Utility_LookupValueInTableNumber(Table_Scope3_InorganicFertiliser[[#This Row],[Custom emissions intensity source type (Select)]],#REF!,#REF!)</f>
        <v>0</v>
      </c>
      <c r="U30" s="14"/>
    </row>
    <row r="31" spans="1:21" ht="20.100000000000001" customHeight="1" x14ac:dyDescent="0.25">
      <c r="A31" s="52" t="s">
        <v>315</v>
      </c>
      <c r="C31" s="14"/>
      <c r="D31" s="3" t="str" cm="1">
        <f t="array" ref="D31">Common_InputFunctions.Utility_DisplayArrayInTable(Scope3_SourceData.Scope3_InorganicFertilisers_Data(), Table_Scope3_InorganicFertiliser[[#Headers],[Category]], 0, 2)</f>
        <v>Inorganic fertilisers</v>
      </c>
      <c r="E31" s="3" t="str" cm="1">
        <f t="array" ref="E31">Common_InputFunctions.Utility_DisplayArrayInTable(Scope3_SourceData.Scope3_InorganicFertilisers_Data(), Table_Scope3_InorganicFertiliser[[#Headers],[Category]], 0, 2)</f>
        <v>Urea, China</v>
      </c>
      <c r="F31" s="3" t="str" cm="1">
        <f t="array" ref="F31">Common_InputFunctions.Utility_DisplayArrayInTable(Scope3_SourceData.Scope3_InorganicFertilisers_Data(), Table_Scope3_InorganicFertiliser[[#Headers],[Category]], 0, 2)</f>
        <v>China</v>
      </c>
      <c r="G31" s="3" t="str">
        <f>'Constants - Fertiliser'!$D$22</f>
        <v>Urea</v>
      </c>
      <c r="H31" s="3" t="str">
        <f>'Constants - Fertiliser'!$V$22</f>
        <v>China</v>
      </c>
      <c r="J31" s="3" cm="1">
        <f t="array" ref="J31">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1" s="3" t="str" cm="1">
        <f t="array" ref="K31">Common_InputFunctions.Utility_DisplayArrayInTable(Scope3_SourceData.Scope3_InorganicFertilisers_Data(), Table_Scope3_InorganicFertiliser[[#Headers],[Category]], 0, -2)</f>
        <v>kg</v>
      </c>
      <c r="L31" s="3" cm="1">
        <f t="array" ref="L31">Common_InputFunctions.Utility_DisplayArrayInTable(Scope3_SourceData.Scope3_InorganicFertilisers_Data(), Table_Scope3_InorganicFertiliser[[#Headers],[Category]], 0, -2)</f>
        <v>2.09</v>
      </c>
      <c r="M31" s="153"/>
      <c r="N31" s="3" t="str">
        <f>"kg CO2e / " &amp; Table_Scope3_InorganicFertiliser[[#This Row],[Quantity Unit]]</f>
        <v>kg CO2e / kg</v>
      </c>
      <c r="O31" s="3">
        <f>Table_Scope3_InorganicFertiliser[[#This Row],[Quantity]]*Table_Scope3_InorganicFertiliser[[#This Row],[AusLCI Emissions intensity]]</f>
        <v>0</v>
      </c>
      <c r="P31"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31" s="154"/>
      <c r="R31" s="156"/>
      <c r="S31" s="154"/>
      <c r="T31" s="157" cm="1">
        <f t="array" ref="T31">Common_InputFunctions.Utility_LookupValueInTableNumber(Table_Scope3_InorganicFertiliser[[#This Row],[Custom emissions intensity source type (Select)]],#REF!,#REF!)</f>
        <v>0</v>
      </c>
      <c r="U31" s="14"/>
    </row>
    <row r="32" spans="1:21" ht="20.100000000000001" customHeight="1" x14ac:dyDescent="0.25">
      <c r="A32" s="52" t="s">
        <v>316</v>
      </c>
      <c r="C32" s="14"/>
      <c r="D32" s="3" t="str" cm="1">
        <f t="array" ref="D32">Common_InputFunctions.Utility_DisplayArrayInTable(Scope3_SourceData.Scope3_InorganicFertilisers_Data(), Table_Scope3_InorganicFertiliser[[#Headers],[Category]], 0, 2)</f>
        <v>Inorganic fertilisers</v>
      </c>
      <c r="E32" s="3" t="str" cm="1">
        <f t="array" ref="E32">Common_InputFunctions.Utility_DisplayArrayInTable(Scope3_SourceData.Scope3_InorganicFertilisers_Data(), Table_Scope3_InorganicFertiliser[[#Headers],[Category]], 0, 2)</f>
        <v>Urea, Yemen</v>
      </c>
      <c r="F32" s="3" t="str" cm="1">
        <f t="array" ref="F32">Common_InputFunctions.Utility_DisplayArrayInTable(Scope3_SourceData.Scope3_InorganicFertilisers_Data(), Table_Scope3_InorganicFertiliser[[#Headers],[Category]], 0, 2)</f>
        <v>Yemen</v>
      </c>
      <c r="G32" s="3" t="str">
        <f>'Constants - Fertiliser'!$D$22</f>
        <v>Urea</v>
      </c>
      <c r="H32" s="3" t="str">
        <f>'Constants - Fertiliser'!$V$23</f>
        <v>Yemen</v>
      </c>
      <c r="J32" s="3" cm="1">
        <f t="array" ref="J32">Fertiliser_InputFunctions.Fertiliser_TotalChemicalCompoundtAppliedBySourceAllIngredients(Table_Scope3_InorganicFertiliser[[#This Row],[Chemical compound]],Table_Scope3_InorganicFertiliser[[#This Row],[Urea source]],(Table_Input_InorganicFertiliser_Brands[Amount applied per hectare]*Table_Input_InorganicFertiliser_Brands[Density]),Table_Input_InorganicFertiliser_Brands[Ingredient 1],Table_Input_InorganicFertiliser_Brands[Ingredient 1 percent],Table_Input_InorganicFertiliser_Brands[Urea source],Table_Input_InorganicFertiliser_Brands[Ingredient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Fertiliser_InputFunctions.Fertiliser_TotalChemicalCompoundtAppliedBySourceAllIngredients(Table_Scope3_InorganicFertiliser[[#This Row],[Chemical compound]],Table_Scope3_InorganicFertiliser[[#This Row],[Urea source]],Table_Input_InorganicFertiliser_Custom[Amount applied (kg / ha)],Table_Input_InorganicFertiliser_Custom[Ingredient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2" s="3" t="str" cm="1">
        <f t="array" ref="K32">Common_InputFunctions.Utility_DisplayArrayInTable(Scope3_SourceData.Scope3_InorganicFertilisers_Data(), Table_Scope3_InorganicFertiliser[[#Headers],[Category]], 0, -2)</f>
        <v>kg</v>
      </c>
      <c r="L32" s="3" cm="1">
        <f t="array" ref="L32">Common_InputFunctions.Utility_DisplayArrayInTable(Scope3_SourceData.Scope3_InorganicFertilisers_Data(), Table_Scope3_InorganicFertiliser[[#Headers],[Category]], 0, -2)</f>
        <v>0.96299999999999997</v>
      </c>
      <c r="M32" s="153"/>
      <c r="N32" s="3" t="str">
        <f>"kg CO2e / " &amp; Table_Scope3_InorganicFertiliser[[#This Row],[Quantity Unit]]</f>
        <v>kg CO2e / kg</v>
      </c>
      <c r="O32" s="3">
        <f>Table_Scope3_InorganicFertiliser[[#This Row],[Quantity]]*Table_Scope3_InorganicFertiliser[[#This Row],[AusLCI Emissions intensity]]</f>
        <v>0</v>
      </c>
      <c r="P32"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32" s="154"/>
      <c r="R32" s="156"/>
      <c r="S32" s="154"/>
      <c r="T32" s="157" cm="1">
        <f t="array" ref="T32">Common_InputFunctions.Utility_LookupValueInTableNumber(Table_Scope3_InorganicFertiliser[[#This Row],[Custom emissions intensity source type (Select)]],#REF!,#REF!)</f>
        <v>0</v>
      </c>
      <c r="U32" s="14"/>
    </row>
    <row r="33" spans="1:21" ht="20.100000000000001" customHeight="1" x14ac:dyDescent="0.25">
      <c r="A33" s="158" t="str">
        <f>HYPERLINK("#'Calcs - Scope 3'!A1", "Purchased goods scope 3")</f>
        <v>Purchased goods scope 3</v>
      </c>
      <c r="C33" s="14"/>
      <c r="D33" s="3" t="str" cm="1">
        <f t="array" ref="D33">Common_InputFunctions.Utility_DisplayArrayInTable(Scope3_SourceData.Scope3_InorganicFertilisers_Data(), Table_Scope3_InorganicFertiliser[[#Headers],[Category]], 0, 2)</f>
        <v>Inorganic fertilisers</v>
      </c>
      <c r="E33" s="3" t="str" cm="1">
        <f t="array" ref="E33">Common_InputFunctions.Utility_DisplayArrayInTable(Scope3_SourceData.Scope3_InorganicFertilisers_Data(), Table_Scope3_InorganicFertiliser[[#Headers],[Category]], 0, 2)</f>
        <v>Zinc from fertilizer</v>
      </c>
      <c r="F33" s="3" t="str" cm="1">
        <f t="array" ref="F33">Common_InputFunctions.Utility_DisplayArrayInTable(Scope3_SourceData.Scope3_InorganicFertilisers_Data(), Table_Scope3_InorganicFertiliser[[#Headers],[Category]], 0, 2)</f>
        <v>Global</v>
      </c>
      <c r="G33" s="3" t="str">
        <f>'Constants - Fertiliser'!$D$33</f>
        <v>Zinc - Generic</v>
      </c>
      <c r="J33" s="3" cm="1">
        <f t="array" ref="J33">Fertiliser_InputFunctions.Fertiliser_TotalChemicalCompoundAppliedAllIngredients($G33,Table_Input_InorganicFertiliser_Brands[Total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Fertiliser_InputFunctions.Fertiliser_TotalChemicalCompoundAppliedAllIngredients($G33,Table_Input_InorganicFertiliser_Custom[Total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K33" s="3" t="str" cm="1">
        <f t="array" ref="K33">Common_InputFunctions.Utility_DisplayArrayInTable(Scope3_SourceData.Scope3_InorganicFertilisers_Data(), Table_Scope3_InorganicFertiliser[[#Headers],[Category]], 0, -2)</f>
        <v>kg Zn</v>
      </c>
      <c r="L33" s="3" cm="1">
        <f t="array" ref="L33">Common_InputFunctions.Utility_DisplayArrayInTable(Scope3_SourceData.Scope3_InorganicFertilisers_Data(), Table_Scope3_InorganicFertiliser[[#Headers],[Category]], 0, -2)</f>
        <v>4.82</v>
      </c>
      <c r="M33" s="153"/>
      <c r="N33" s="3" t="str">
        <f>"kg CO2e / " &amp; Table_Scope3_InorganicFertiliser[[#This Row],[Quantity Unit]]</f>
        <v>kg CO2e / kg Zn</v>
      </c>
      <c r="O33" s="3">
        <f>Table_Scope3_InorganicFertiliser[[#This Row],[Quantity]]*Table_Scope3_InorganicFertiliser[[#This Row],[AusLCI Emissions intensity]]</f>
        <v>0</v>
      </c>
      <c r="P33" s="3">
        <f>Table_Scope3_InorganicFertiliser[[#This Row],[Quantity]]*IF(Table_Scope3_InorganicFertiliser[[#This Row],[Custom emissions intensity (Method 2)]], Table_Scope3_InorganicFertiliser[[#This Row],[Custom emissions intensity (Method 2)]], Table_Scope3_InorganicFertiliser[[#This Row],[AusLCI Emissions intensity]])</f>
        <v>0</v>
      </c>
      <c r="Q33" s="154"/>
      <c r="R33" s="156"/>
      <c r="S33" s="154"/>
      <c r="T33" s="157" cm="1">
        <f t="array" ref="T33">Common_InputFunctions.Utility_LookupValueInTableNumber(Table_Scope3_InorganicFertiliser[[#This Row],[Custom emissions intensity source type (Select)]],#REF!,#REF!)</f>
        <v>0</v>
      </c>
      <c r="U33" s="14"/>
    </row>
    <row r="34" spans="1:21" ht="20.100000000000001" customHeight="1" x14ac:dyDescent="0.25">
      <c r="C34" s="14"/>
      <c r="D34" s="14"/>
      <c r="E34" s="14"/>
      <c r="F34" s="14"/>
      <c r="G34" s="14"/>
      <c r="H34" s="159"/>
      <c r="I34" s="160"/>
      <c r="J34" s="14"/>
      <c r="K34" s="14"/>
      <c r="L34" s="14"/>
      <c r="M34" s="14"/>
      <c r="N34" s="14"/>
      <c r="O34" s="14"/>
      <c r="P34" s="14"/>
      <c r="Q34" s="14"/>
    </row>
    <row r="35" spans="1:21" ht="20.100000000000001" customHeight="1" x14ac:dyDescent="0.35">
      <c r="A35" s="23" t="s">
        <v>78</v>
      </c>
      <c r="C35" s="14"/>
      <c r="D35" s="161" t="s">
        <v>319</v>
      </c>
      <c r="E35" s="162"/>
      <c r="F35" s="163"/>
      <c r="G35" s="161">
        <f>SUM(Table_Scope3_InorganicFertiliser[Scope 3 emissions exc. custom (t CO2-e)])</f>
        <v>2704.3681304654647</v>
      </c>
      <c r="H35" s="164" t="s">
        <v>320</v>
      </c>
      <c r="I35" s="14"/>
      <c r="J35" s="14"/>
      <c r="K35" s="14"/>
      <c r="L35" s="14"/>
      <c r="M35" s="14"/>
      <c r="N35" s="14"/>
      <c r="O35" s="14"/>
      <c r="P35" s="14"/>
      <c r="Q35" s="14"/>
    </row>
    <row r="36" spans="1:21" ht="20.100000000000001" customHeight="1" x14ac:dyDescent="0.25">
      <c r="A36" s="16" t="str">
        <f>HYPERLINK("#'Constants - Common'!A1", "Constants - Common")</f>
        <v>Constants - Common</v>
      </c>
      <c r="C36" s="14"/>
      <c r="D36" s="165" t="s">
        <v>321</v>
      </c>
      <c r="E36" s="166"/>
      <c r="F36" s="166"/>
      <c r="G36" s="165">
        <f>SUM(Table_Scope3_InorganicFertiliser[Scope 3 emissions inc. custom (t CO2-e)2])</f>
        <v>2631.4681304654646</v>
      </c>
      <c r="H36" s="164" t="s">
        <v>320</v>
      </c>
      <c r="I36" s="14"/>
      <c r="J36" s="14"/>
      <c r="K36" s="14"/>
      <c r="L36" s="14"/>
      <c r="M36" s="14"/>
      <c r="N36" s="14"/>
      <c r="O36" s="14"/>
      <c r="P36" s="14"/>
      <c r="Q36" s="14"/>
    </row>
    <row r="37" spans="1:21" ht="20.100000000000001" customHeight="1" x14ac:dyDescent="0.25">
      <c r="A37" s="16" t="str">
        <f>HYPERLINK("#'Constants - Cropping'!A1", "Constants - Cropping")</f>
        <v>Constants - Cropping</v>
      </c>
      <c r="C37" s="14"/>
      <c r="D37" s="14"/>
      <c r="E37" s="14"/>
      <c r="F37" s="14"/>
      <c r="G37" s="14"/>
      <c r="H37" s="14"/>
      <c r="I37" s="14"/>
      <c r="J37" s="14"/>
      <c r="K37" s="14"/>
      <c r="L37" s="14"/>
      <c r="M37" s="14"/>
      <c r="N37" s="14"/>
      <c r="O37" s="14"/>
      <c r="P37" s="14"/>
      <c r="Q37" s="14"/>
    </row>
    <row r="38" spans="1:21" ht="20.100000000000001" customHeight="1" x14ac:dyDescent="0.25">
      <c r="A38" s="16" t="str">
        <f>HYPERLINK("#'Constants - Livestock'!A1", "Constants - Livestock")</f>
        <v>Constants - Livestock</v>
      </c>
      <c r="C38" s="14"/>
      <c r="D38" s="14"/>
      <c r="E38" s="14"/>
      <c r="F38" s="14"/>
      <c r="G38" s="14"/>
      <c r="H38" s="14"/>
      <c r="I38" s="14"/>
      <c r="J38" s="14"/>
      <c r="K38" s="14"/>
      <c r="L38" s="14"/>
      <c r="M38" s="14"/>
      <c r="N38" s="14"/>
      <c r="O38" s="14"/>
      <c r="P38" s="14"/>
      <c r="Q38" s="14"/>
    </row>
    <row r="39" spans="1:21" ht="20.100000000000001" customHeight="1" x14ac:dyDescent="0.25">
      <c r="A39" s="16" t="str">
        <f>HYPERLINK("#'Constants - Dairy'!A1", "Constants - Dairy")</f>
        <v>Constants - Dairy</v>
      </c>
      <c r="C39" s="14"/>
      <c r="D39" s="9" t="str" cm="1">
        <f t="array" ref="D39">Scope3_SourceData.Scope3_OrganicFertilisers_Title()</f>
        <v>Organic fertiliser scope 3</v>
      </c>
      <c r="E39" s="14"/>
      <c r="F39" s="14"/>
      <c r="G39" s="14"/>
      <c r="H39" s="14"/>
      <c r="I39" s="14"/>
      <c r="J39" s="14"/>
      <c r="K39" s="14"/>
      <c r="L39" s="14"/>
      <c r="M39" s="14"/>
      <c r="N39" s="14"/>
      <c r="O39" s="14"/>
      <c r="P39" s="14"/>
      <c r="Q39" s="14"/>
    </row>
    <row r="40" spans="1:21" ht="20.100000000000001" customHeight="1" x14ac:dyDescent="0.25">
      <c r="A40" s="52" t="s">
        <v>322</v>
      </c>
      <c r="C40" s="14"/>
      <c r="D40" s="11" t="str" cm="1">
        <f t="array" ref="D40">Scope3_SourceData.Scope3_OrganicFertilisers_Source()</f>
        <v>Lifecycles. (2026). Greenhouse Gas Emission Intensities for Material Inputs to Australian Agriculture, Fisheries and Forestry. Version 48. doi 10.5281/zenodo.19656580</v>
      </c>
      <c r="E40" s="14"/>
      <c r="F40" s="14"/>
      <c r="G40" s="14"/>
      <c r="H40" s="14"/>
      <c r="I40" s="14"/>
      <c r="J40" s="14"/>
      <c r="K40" s="14"/>
      <c r="L40" s="14"/>
      <c r="M40" s="14"/>
      <c r="N40" s="14"/>
      <c r="O40" s="14"/>
      <c r="P40" s="14"/>
      <c r="Q40" s="14"/>
    </row>
    <row r="41" spans="1:21" ht="20.100000000000001" customHeight="1" x14ac:dyDescent="0.25">
      <c r="A41" s="167"/>
      <c r="C41" s="14"/>
      <c r="D41" s="14"/>
      <c r="E41" s="14"/>
      <c r="F41" s="14"/>
      <c r="G41" s="14"/>
      <c r="H41" s="14"/>
      <c r="I41" s="14"/>
      <c r="J41" s="14"/>
      <c r="K41" s="14"/>
      <c r="L41" s="14"/>
      <c r="M41" s="14"/>
      <c r="N41" s="14"/>
      <c r="O41" s="14"/>
      <c r="P41" s="14"/>
      <c r="Q41" s="14"/>
    </row>
    <row r="42" spans="1:21" ht="20.100000000000001" customHeight="1" x14ac:dyDescent="0.25">
      <c r="C42" s="14"/>
      <c r="D42" s="168" t="s">
        <v>149</v>
      </c>
      <c r="E42" s="168" t="s">
        <v>143</v>
      </c>
      <c r="F42" s="168" t="s">
        <v>304</v>
      </c>
      <c r="G42" s="168" t="s">
        <v>305</v>
      </c>
      <c r="H42" s="168" t="s">
        <v>306</v>
      </c>
      <c r="I42" s="169" t="s">
        <v>307</v>
      </c>
      <c r="J42" s="168" t="s">
        <v>308</v>
      </c>
      <c r="K42" s="168" t="s">
        <v>323</v>
      </c>
      <c r="L42" s="168" t="s">
        <v>309</v>
      </c>
      <c r="M42" s="169" t="s">
        <v>310</v>
      </c>
      <c r="N42" s="169" t="s">
        <v>311</v>
      </c>
      <c r="O42" s="169" t="s">
        <v>312</v>
      </c>
      <c r="P42" s="168" t="s">
        <v>313</v>
      </c>
      <c r="Q42" s="14"/>
    </row>
    <row r="43" spans="1:21" ht="20.100000000000001" customHeight="1" x14ac:dyDescent="0.25">
      <c r="C43" s="14"/>
      <c r="D43" s="14" t="str" cm="1">
        <f t="array" ref="D43">Common_InputFunctions.Utility_DisplayArrayInTable(Scope3_SourceData.Scope3_OrganicFertilisers_Data(), Table_Scope3_OrganicFertiliser[[#Headers],[Organic fertiliser type]], 0, 2)</f>
        <v>Dairy Manure</v>
      </c>
      <c r="E43" s="14" t="str" cm="1">
        <f t="array" ref="E43">Common_InputFunctions.Utility_DisplayArrayInTable(Scope3_SourceData.Scope3_OrganicFertilisers_Data(), Table_Scope3_OrganicFertiliser[[#Headers],[Organic fertiliser type]], 0, 2)</f>
        <v>Primary MMS</v>
      </c>
      <c r="F43" s="14"/>
      <c r="G43" s="14" t="str" cm="1">
        <f t="array" ref="G43">Common_InputFunctions.Utility_DisplayArrayInTable(Scope3_SourceData.Scope3_OrganicFertilisers_Data(), Table_Scope3_OrganicFertiliser[[#Headers],[Organic fertiliser type]], 0, 1)</f>
        <v>t</v>
      </c>
      <c r="H43" s="14" cm="1">
        <f t="array" ref="H43">Common_InputFunctions.Utility_DisplayArrayInTable(Scope3_SourceData.Scope3_OrganicFertilisers_Data(), Table_Scope3_OrganicFertiliser[[#Headers],[Organic fertiliser type]], 0, 1)</f>
        <v>20101</v>
      </c>
      <c r="I43" s="154">
        <v>100</v>
      </c>
      <c r="J43" s="14" t="str" cm="1">
        <f t="array" ref="J43">Common_InputFunctions.Utility_DisplayArrayInTable(Scope3_SourceData.Scope3_OrganicFertilisers_Data(), Table_Scope3_OrganicFertiliser[[#Headers],[Organic fertiliser type]], 0, 1)</f>
        <v>t CO2-e / t</v>
      </c>
      <c r="K43" s="14">
        <f>Table_Scope3_OrganicFertiliser[[#This Row],[Quantity]]*Table_Scope3_OrganicFertiliser[[#This Row],[AusLCI Emissions intensity]]</f>
        <v>0</v>
      </c>
      <c r="L43" s="14">
        <f>Table_Scope3_OrganicFertiliser[[#This Row],[Quantity]]*IF(Table_Scope3_OrganicFertiliser[[#This Row],[Custom emissions intensity]], Table_Scope3_OrganicFertiliser[[#This Row],[Custom emissions intensity]], Table_Scope3_OrganicFertiliser[[#This Row],[AusLCI Emissions intensity]])</f>
        <v>0</v>
      </c>
      <c r="M43" s="154"/>
      <c r="N43" s="48"/>
      <c r="O43" s="154"/>
      <c r="P43" s="155" cm="1">
        <f t="array" ref="P43">Common_InputFunctions.Utility_LookupValueInTableNumber(Table_Scope3_OrganicFertiliser[[#This Row],[Custom emissions intensity source type (Select)]],#REF!,#REF!)</f>
        <v>0</v>
      </c>
      <c r="Q43" s="14"/>
    </row>
    <row r="44" spans="1:21" ht="20.100000000000001" customHeight="1" x14ac:dyDescent="0.25">
      <c r="C44" s="14"/>
      <c r="D44" s="14" t="str" cm="1">
        <f t="array" ref="D44">Common_InputFunctions.Utility_DisplayArrayInTable(Scope3_SourceData.Scope3_OrganicFertilisers_Data(), Table_Scope3_OrganicFertiliser[[#Headers],[Organic fertiliser type]], 0, 2)</f>
        <v>Dairy Manure</v>
      </c>
      <c r="E44" s="14" t="str" cm="1">
        <f t="array" ref="E44">Common_InputFunctions.Utility_DisplayArrayInTable(Scope3_SourceData.Scope3_OrganicFertilisers_Data(), Table_Scope3_OrganicFertiliser[[#Headers],[Organic fertiliser type]], 0, 2)</f>
        <v>Secondary MMS</v>
      </c>
      <c r="F44" s="14"/>
      <c r="G44" s="14" t="str" cm="1">
        <f t="array" ref="G44">Common_InputFunctions.Utility_DisplayArrayInTable(Scope3_SourceData.Scope3_OrganicFertilisers_Data(), Table_Scope3_OrganicFertiliser[[#Headers],[Organic fertiliser type]], 0, 1)</f>
        <v>t</v>
      </c>
      <c r="H44" s="14" cm="1">
        <f t="array" ref="H44">Common_InputFunctions.Utility_DisplayArrayInTable(Scope3_SourceData.Scope3_OrganicFertilisers_Data(), Table_Scope3_OrganicFertiliser[[#Headers],[Organic fertiliser type]], 0, 1)</f>
        <v>20102</v>
      </c>
      <c r="I44" s="154"/>
      <c r="J44" s="14" t="str" cm="1">
        <f t="array" ref="J44">Common_InputFunctions.Utility_DisplayArrayInTable(Scope3_SourceData.Scope3_OrganicFertilisers_Data(), Table_Scope3_OrganicFertiliser[[#Headers],[Organic fertiliser type]], 0, 1)</f>
        <v>t CO2-e / t</v>
      </c>
      <c r="K44" s="14">
        <f>Table_Scope3_OrganicFertiliser[[#This Row],[Quantity]]*Table_Scope3_OrganicFertiliser[[#This Row],[AusLCI Emissions intensity]]</f>
        <v>0</v>
      </c>
      <c r="L44" s="14">
        <f>Table_Scope3_OrganicFertiliser[[#This Row],[Quantity]]*IF(Table_Scope3_OrganicFertiliser[[#This Row],[Custom emissions intensity]], Table_Scope3_OrganicFertiliser[[#This Row],[Custom emissions intensity]], Table_Scope3_OrganicFertiliser[[#This Row],[AusLCI Emissions intensity]])</f>
        <v>0</v>
      </c>
      <c r="M44" s="154"/>
      <c r="N44" s="48"/>
      <c r="O44" s="154"/>
      <c r="P44" s="157" cm="1">
        <f t="array" ref="P44">Common_InputFunctions.Utility_LookupValueInTableNumber(Table_Scope3_OrganicFertiliser[[#This Row],[Custom emissions intensity source type (Select)]],#REF!,#REF!)</f>
        <v>0</v>
      </c>
      <c r="Q44" s="14"/>
    </row>
    <row r="45" spans="1:21" ht="20.100000000000001" customHeight="1" x14ac:dyDescent="0.25">
      <c r="C45" s="14"/>
      <c r="D45" s="14" t="str" cm="1">
        <f t="array" ref="D45">Common_InputFunctions.Utility_DisplayArrayInTable(Scope3_SourceData.Scope3_OrganicFertilisers_Data(), Table_Scope3_OrganicFertiliser[[#Headers],[Organic fertiliser type]], 0, 2)</f>
        <v>Pork Manure</v>
      </c>
      <c r="E45" s="14" t="str" cm="1">
        <f t="array" ref="E45">Common_InputFunctions.Utility_DisplayArrayInTable(Scope3_SourceData.Scope3_OrganicFertilisers_Data(), Table_Scope3_OrganicFertiliser[[#Headers],[Organic fertiliser type]], 0, 2)</f>
        <v>Primary MMS</v>
      </c>
      <c r="F45" s="14"/>
      <c r="G45" s="14" t="str" cm="1">
        <f t="array" ref="G45">Common_InputFunctions.Utility_DisplayArrayInTable(Scope3_SourceData.Scope3_OrganicFertilisers_Data(), Table_Scope3_OrganicFertiliser[[#Headers],[Organic fertiliser type]], 0, 1)</f>
        <v>t</v>
      </c>
      <c r="H45" s="14" cm="1">
        <f t="array" ref="H45">Common_InputFunctions.Utility_DisplayArrayInTable(Scope3_SourceData.Scope3_OrganicFertilisers_Data(), Table_Scope3_OrganicFertiliser[[#Headers],[Organic fertiliser type]], 0, 1)</f>
        <v>20201</v>
      </c>
      <c r="I45" s="154"/>
      <c r="J45" s="14" t="str" cm="1">
        <f t="array" ref="J45">Common_InputFunctions.Utility_DisplayArrayInTable(Scope3_SourceData.Scope3_OrganicFertilisers_Data(), Table_Scope3_OrganicFertiliser[[#Headers],[Organic fertiliser type]], 0, 1)</f>
        <v>t CO2-e / t</v>
      </c>
      <c r="K45" s="14">
        <f>Table_Scope3_OrganicFertiliser[[#This Row],[Quantity]]*Table_Scope3_OrganicFertiliser[[#This Row],[AusLCI Emissions intensity]]</f>
        <v>0</v>
      </c>
      <c r="L45" s="14">
        <f>Table_Scope3_OrganicFertiliser[[#This Row],[Quantity]]*IF(Table_Scope3_OrganicFertiliser[[#This Row],[Custom emissions intensity]], Table_Scope3_OrganicFertiliser[[#This Row],[Custom emissions intensity]], Table_Scope3_OrganicFertiliser[[#This Row],[AusLCI Emissions intensity]])</f>
        <v>0</v>
      </c>
      <c r="M45" s="154"/>
      <c r="N45" s="48"/>
      <c r="O45" s="154"/>
      <c r="P45" s="157" cm="1">
        <f t="array" ref="P45">Common_InputFunctions.Utility_LookupValueInTableNumber(Table_Scope3_OrganicFertiliser[[#This Row],[Custom emissions intensity source type (Select)]],#REF!,#REF!)</f>
        <v>0</v>
      </c>
      <c r="Q45" s="14"/>
    </row>
    <row r="46" spans="1:21" ht="20.100000000000001" customHeight="1" x14ac:dyDescent="0.25">
      <c r="C46" s="14"/>
      <c r="D46" s="14" t="str" cm="1">
        <f t="array" ref="D46">Common_InputFunctions.Utility_DisplayArrayInTable(Scope3_SourceData.Scope3_OrganicFertilisers_Data(), Table_Scope3_OrganicFertiliser[[#Headers],[Organic fertiliser type]], 0, 2)</f>
        <v>Pork Manure</v>
      </c>
      <c r="E46" s="14" t="str" cm="1">
        <f t="array" ref="E46">Common_InputFunctions.Utility_DisplayArrayInTable(Scope3_SourceData.Scope3_OrganicFertilisers_Data(), Table_Scope3_OrganicFertiliser[[#Headers],[Organic fertiliser type]], 0, 2)</f>
        <v>Secondary MMS</v>
      </c>
      <c r="F46" s="14"/>
      <c r="G46" s="14" t="str" cm="1">
        <f t="array" ref="G46">Common_InputFunctions.Utility_DisplayArrayInTable(Scope3_SourceData.Scope3_OrganicFertilisers_Data(), Table_Scope3_OrganicFertiliser[[#Headers],[Organic fertiliser type]], 0, 1)</f>
        <v>t</v>
      </c>
      <c r="H46" s="14" cm="1">
        <f t="array" ref="H46">Common_InputFunctions.Utility_DisplayArrayInTable(Scope3_SourceData.Scope3_OrganicFertilisers_Data(), Table_Scope3_OrganicFertiliser[[#Headers],[Organic fertiliser type]], 0, 1)</f>
        <v>20202</v>
      </c>
      <c r="I46" s="154"/>
      <c r="J46" s="14" t="str" cm="1">
        <f t="array" ref="J46">Common_InputFunctions.Utility_DisplayArrayInTable(Scope3_SourceData.Scope3_OrganicFertilisers_Data(), Table_Scope3_OrganicFertiliser[[#Headers],[Organic fertiliser type]], 0, 1)</f>
        <v>t CO2-e / t</v>
      </c>
      <c r="K46" s="14">
        <f>Table_Scope3_OrganicFertiliser[[#This Row],[Quantity]]*Table_Scope3_OrganicFertiliser[[#This Row],[AusLCI Emissions intensity]]</f>
        <v>0</v>
      </c>
      <c r="L46" s="14">
        <f>Table_Scope3_OrganicFertiliser[[#This Row],[Quantity]]*IF(Table_Scope3_OrganicFertiliser[[#This Row],[Custom emissions intensity]], Table_Scope3_OrganicFertiliser[[#This Row],[Custom emissions intensity]], Table_Scope3_OrganicFertiliser[[#This Row],[AusLCI Emissions intensity]])</f>
        <v>0</v>
      </c>
      <c r="M46" s="154"/>
      <c r="N46" s="48"/>
      <c r="O46" s="154"/>
      <c r="P46" s="157" cm="1">
        <f t="array" ref="P46">Common_InputFunctions.Utility_LookupValueInTableNumber(Table_Scope3_OrganicFertiliser[[#This Row],[Custom emissions intensity source type (Select)]],#REF!,#REF!)</f>
        <v>0</v>
      </c>
      <c r="Q46" s="14"/>
    </row>
    <row r="47" spans="1:21" ht="20.100000000000001" customHeight="1" x14ac:dyDescent="0.25">
      <c r="C47" s="14"/>
      <c r="D47" s="14" t="str" cm="1">
        <f t="array" ref="D47">Common_InputFunctions.Utility_DisplayArrayInTable(Scope3_SourceData.Scope3_OrganicFertilisers_Data(), Table_Scope3_OrganicFertiliser[[#Headers],[Organic fertiliser type]], 0, 2)</f>
        <v>Feedlot Manure</v>
      </c>
      <c r="E47" s="14" t="str" cm="1">
        <f t="array" ref="E47">Common_InputFunctions.Utility_DisplayArrayInTable(Scope3_SourceData.Scope3_OrganicFertilisers_Data(), Table_Scope3_OrganicFertiliser[[#Headers],[Organic fertiliser type]], 0, 2)</f>
        <v>Primary MMS</v>
      </c>
      <c r="F47" s="14"/>
      <c r="G47" s="14" t="str" cm="1">
        <f t="array" ref="G47">Common_InputFunctions.Utility_DisplayArrayInTable(Scope3_SourceData.Scope3_OrganicFertilisers_Data(), Table_Scope3_OrganicFertiliser[[#Headers],[Organic fertiliser type]], 0, 1)</f>
        <v>t</v>
      </c>
      <c r="H47" s="14" cm="1">
        <f t="array" ref="H47">Common_InputFunctions.Utility_DisplayArrayInTable(Scope3_SourceData.Scope3_OrganicFertilisers_Data(), Table_Scope3_OrganicFertiliser[[#Headers],[Organic fertiliser type]], 0, 1)</f>
        <v>20301</v>
      </c>
      <c r="I47" s="154"/>
      <c r="J47" s="14" t="str" cm="1">
        <f t="array" ref="J47">Common_InputFunctions.Utility_DisplayArrayInTable(Scope3_SourceData.Scope3_OrganicFertilisers_Data(), Table_Scope3_OrganicFertiliser[[#Headers],[Organic fertiliser type]], 0, 1)</f>
        <v>t CO2-e / t</v>
      </c>
      <c r="K47" s="14">
        <f>Table_Scope3_OrganicFertiliser[[#This Row],[Quantity]]*Table_Scope3_OrganicFertiliser[[#This Row],[AusLCI Emissions intensity]]</f>
        <v>0</v>
      </c>
      <c r="L47" s="14">
        <f>Table_Scope3_OrganicFertiliser[[#This Row],[Quantity]]*IF(Table_Scope3_OrganicFertiliser[[#This Row],[Custom emissions intensity]], Table_Scope3_OrganicFertiliser[[#This Row],[Custom emissions intensity]], Table_Scope3_OrganicFertiliser[[#This Row],[AusLCI Emissions intensity]])</f>
        <v>0</v>
      </c>
      <c r="M47" s="154"/>
      <c r="N47" s="48"/>
      <c r="O47" s="154"/>
      <c r="P47" s="157" cm="1">
        <f t="array" ref="P47">Common_InputFunctions.Utility_LookupValueInTableNumber(Table_Scope3_OrganicFertiliser[[#This Row],[Custom emissions intensity source type (Select)]],#REF!,#REF!)</f>
        <v>0</v>
      </c>
      <c r="Q47" s="14"/>
    </row>
    <row r="48" spans="1:21" ht="20.100000000000001" customHeight="1" x14ac:dyDescent="0.25">
      <c r="C48" s="14"/>
      <c r="D48" s="14" t="str" cm="1">
        <f t="array" ref="D48">Common_InputFunctions.Utility_DisplayArrayInTable(Scope3_SourceData.Scope3_OrganicFertilisers_Data(), Table_Scope3_OrganicFertiliser[[#Headers],[Organic fertiliser type]], 0, 2)</f>
        <v>Feedlot Manure</v>
      </c>
      <c r="E48" s="14" t="str" cm="1">
        <f t="array" ref="E48">Common_InputFunctions.Utility_DisplayArrayInTable(Scope3_SourceData.Scope3_OrganicFertilisers_Data(), Table_Scope3_OrganicFertiliser[[#Headers],[Organic fertiliser type]], 0, 2)</f>
        <v>Secondary MMS</v>
      </c>
      <c r="F48" s="14"/>
      <c r="G48" s="14" t="str" cm="1">
        <f t="array" ref="G48">Common_InputFunctions.Utility_DisplayArrayInTable(Scope3_SourceData.Scope3_OrganicFertilisers_Data(), Table_Scope3_OrganicFertiliser[[#Headers],[Organic fertiliser type]], 0, 1)</f>
        <v>t</v>
      </c>
      <c r="H48" s="14" cm="1">
        <f t="array" ref="H48">Common_InputFunctions.Utility_DisplayArrayInTable(Scope3_SourceData.Scope3_OrganicFertilisers_Data(), Table_Scope3_OrganicFertiliser[[#Headers],[Organic fertiliser type]], 0, 1)</f>
        <v>20302</v>
      </c>
      <c r="I48" s="154"/>
      <c r="J48" s="14" t="str" cm="1">
        <f t="array" ref="J48">Common_InputFunctions.Utility_DisplayArrayInTable(Scope3_SourceData.Scope3_OrganicFertilisers_Data(), Table_Scope3_OrganicFertiliser[[#Headers],[Organic fertiliser type]], 0, 1)</f>
        <v>t CO2-e / t</v>
      </c>
      <c r="K48" s="14">
        <f>Table_Scope3_OrganicFertiliser[[#This Row],[Quantity]]*Table_Scope3_OrganicFertiliser[[#This Row],[AusLCI Emissions intensity]]</f>
        <v>0</v>
      </c>
      <c r="L48" s="14">
        <f>Table_Scope3_OrganicFertiliser[[#This Row],[Quantity]]*IF(Table_Scope3_OrganicFertiliser[[#This Row],[Custom emissions intensity]], Table_Scope3_OrganicFertiliser[[#This Row],[Custom emissions intensity]], Table_Scope3_OrganicFertiliser[[#This Row],[AusLCI Emissions intensity]])</f>
        <v>0</v>
      </c>
      <c r="M48" s="154"/>
      <c r="N48" s="48"/>
      <c r="O48" s="154"/>
      <c r="P48" s="157" cm="1">
        <f t="array" ref="P48">Common_InputFunctions.Utility_LookupValueInTableNumber(Table_Scope3_OrganicFertiliser[[#This Row],[Custom emissions intensity source type (Select)]],#REF!,#REF!)</f>
        <v>0</v>
      </c>
      <c r="Q48" s="14"/>
    </row>
    <row r="49" spans="3:18" ht="20.100000000000001" customHeight="1" x14ac:dyDescent="0.25">
      <c r="C49" s="14"/>
      <c r="D49" s="14" t="str" cm="1">
        <f t="array" ref="D49">Common_InputFunctions.Utility_DisplayArrayInTable(Scope3_SourceData.Scope3_OrganicFertilisers_Data(), Table_Scope3_OrganicFertiliser[[#Headers],[Organic fertiliser type]], 0, 2)</f>
        <v>Feedlot Manure</v>
      </c>
      <c r="E49" s="14" t="str" cm="1">
        <f t="array" ref="E49">Common_InputFunctions.Utility_DisplayArrayInTable(Scope3_SourceData.Scope3_OrganicFertilisers_Data(), Table_Scope3_OrganicFertiliser[[#Headers],[Organic fertiliser type]], 0, 2)</f>
        <v>Tertiary MMS</v>
      </c>
      <c r="F49" s="14"/>
      <c r="G49" s="14" t="str" cm="1">
        <f t="array" ref="G49">Common_InputFunctions.Utility_DisplayArrayInTable(Scope3_SourceData.Scope3_OrganicFertilisers_Data(), Table_Scope3_OrganicFertiliser[[#Headers],[Organic fertiliser type]], 0, 1)</f>
        <v>t</v>
      </c>
      <c r="H49" s="14" cm="1">
        <f t="array" ref="H49">Common_InputFunctions.Utility_DisplayArrayInTable(Scope3_SourceData.Scope3_OrganicFertilisers_Data(), Table_Scope3_OrganicFertiliser[[#Headers],[Organic fertiliser type]], 0, 1)</f>
        <v>20303</v>
      </c>
      <c r="I49" s="154"/>
      <c r="J49" s="14" t="str" cm="1">
        <f t="array" ref="J49">Common_InputFunctions.Utility_DisplayArrayInTable(Scope3_SourceData.Scope3_OrganicFertilisers_Data(), Table_Scope3_OrganicFertiliser[[#Headers],[Organic fertiliser type]], 0, 1)</f>
        <v>t CO2-e / t</v>
      </c>
      <c r="K49" s="14">
        <f>Table_Scope3_OrganicFertiliser[[#This Row],[Quantity]]*Table_Scope3_OrganicFertiliser[[#This Row],[AusLCI Emissions intensity]]</f>
        <v>0</v>
      </c>
      <c r="L49" s="14">
        <f>Table_Scope3_OrganicFertiliser[[#This Row],[Quantity]]*IF(Table_Scope3_OrganicFertiliser[[#This Row],[Custom emissions intensity]], Table_Scope3_OrganicFertiliser[[#This Row],[Custom emissions intensity]], Table_Scope3_OrganicFertiliser[[#This Row],[AusLCI Emissions intensity]])</f>
        <v>0</v>
      </c>
      <c r="M49" s="154"/>
      <c r="N49" s="48"/>
      <c r="O49" s="154"/>
      <c r="P49" s="157" cm="1">
        <f t="array" ref="P49">Common_InputFunctions.Utility_LookupValueInTableNumber(Table_Scope3_OrganicFertiliser[[#This Row],[Custom emissions intensity source type (Select)]],#REF!,#REF!)</f>
        <v>0</v>
      </c>
      <c r="Q49" s="14"/>
    </row>
    <row r="50" spans="3:18" ht="20.100000000000001" customHeight="1" x14ac:dyDescent="0.25">
      <c r="C50" s="14"/>
      <c r="D50" s="14" t="str" cm="1">
        <f t="array" ref="D50">Common_InputFunctions.Utility_DisplayArrayInTable(Scope3_SourceData.Scope3_OrganicFertilisers_Data(), Table_Scope3_OrganicFertiliser[[#Headers],[Organic fertiliser type]], 0, 2)</f>
        <v>Poultry Manure</v>
      </c>
      <c r="E50" s="14" t="str" cm="1">
        <f t="array" ref="E50">Common_InputFunctions.Utility_DisplayArrayInTable(Scope3_SourceData.Scope3_OrganicFertilisers_Data(), Table_Scope3_OrganicFertiliser[[#Headers],[Organic fertiliser type]], 0, 2)</f>
        <v>Primary MMS</v>
      </c>
      <c r="F50" s="14"/>
      <c r="G50" s="14" t="str" cm="1">
        <f t="array" ref="G50">Common_InputFunctions.Utility_DisplayArrayInTable(Scope3_SourceData.Scope3_OrganicFertilisers_Data(), Table_Scope3_OrganicFertiliser[[#Headers],[Organic fertiliser type]], 0, 1)</f>
        <v>t</v>
      </c>
      <c r="H50" s="14" cm="1">
        <f t="array" ref="H50">Common_InputFunctions.Utility_DisplayArrayInTable(Scope3_SourceData.Scope3_OrganicFertilisers_Data(), Table_Scope3_OrganicFertiliser[[#Headers],[Organic fertiliser type]], 0, 1)</f>
        <v>20401</v>
      </c>
      <c r="I50" s="154"/>
      <c r="J50" s="14" t="str" cm="1">
        <f t="array" ref="J50">Common_InputFunctions.Utility_DisplayArrayInTable(Scope3_SourceData.Scope3_OrganicFertilisers_Data(), Table_Scope3_OrganicFertiliser[[#Headers],[Organic fertiliser type]], 0, 1)</f>
        <v>t CO2-e / t</v>
      </c>
      <c r="K50" s="14">
        <f>Table_Scope3_OrganicFertiliser[[#This Row],[Quantity]]*Table_Scope3_OrganicFertiliser[[#This Row],[AusLCI Emissions intensity]]</f>
        <v>0</v>
      </c>
      <c r="L50" s="14">
        <f>Table_Scope3_OrganicFertiliser[[#This Row],[Quantity]]*IF(Table_Scope3_OrganicFertiliser[[#This Row],[Custom emissions intensity]], Table_Scope3_OrganicFertiliser[[#This Row],[Custom emissions intensity]], Table_Scope3_OrganicFertiliser[[#This Row],[AusLCI Emissions intensity]])</f>
        <v>0</v>
      </c>
      <c r="M50" s="154"/>
      <c r="N50" s="48"/>
      <c r="O50" s="154"/>
      <c r="P50" s="157" cm="1">
        <f t="array" ref="P50">Common_InputFunctions.Utility_LookupValueInTableNumber(Table_Scope3_OrganicFertiliser[[#This Row],[Custom emissions intensity source type (Select)]],#REF!,#REF!)</f>
        <v>0</v>
      </c>
      <c r="Q50" s="14"/>
    </row>
    <row r="51" spans="3:18" ht="20.100000000000001" customHeight="1" x14ac:dyDescent="0.25">
      <c r="C51" s="14"/>
      <c r="D51" s="14" t="str" cm="1">
        <f t="array" ref="D51">Common_InputFunctions.Utility_DisplayArrayInTable(Scope3_SourceData.Scope3_OrganicFertilisers_Data(), Table_Scope3_OrganicFertiliser[[#Headers],[Organic fertiliser type]], 0, 2)</f>
        <v>Poultry Manure</v>
      </c>
      <c r="E51" s="14" t="str" cm="1">
        <f t="array" ref="E51">Common_InputFunctions.Utility_DisplayArrayInTable(Scope3_SourceData.Scope3_OrganicFertilisers_Data(), Table_Scope3_OrganicFertiliser[[#Headers],[Organic fertiliser type]], 0, 2)</f>
        <v>Secondary MMS</v>
      </c>
      <c r="F51" s="14"/>
      <c r="G51" s="14" t="str" cm="1">
        <f t="array" ref="G51">Common_InputFunctions.Utility_DisplayArrayInTable(Scope3_SourceData.Scope3_OrganicFertilisers_Data(), Table_Scope3_OrganicFertiliser[[#Headers],[Organic fertiliser type]], 0, 1)</f>
        <v>t</v>
      </c>
      <c r="H51" s="14" cm="1">
        <f t="array" ref="H51">Common_InputFunctions.Utility_DisplayArrayInTable(Scope3_SourceData.Scope3_OrganicFertilisers_Data(), Table_Scope3_OrganicFertiliser[[#Headers],[Organic fertiliser type]], 0, 1)</f>
        <v>20402</v>
      </c>
      <c r="I51" s="154"/>
      <c r="J51" s="14" t="str" cm="1">
        <f t="array" ref="J51">Common_InputFunctions.Utility_DisplayArrayInTable(Scope3_SourceData.Scope3_OrganicFertilisers_Data(), Table_Scope3_OrganicFertiliser[[#Headers],[Organic fertiliser type]], 0, 1)</f>
        <v>t CO2-e / t</v>
      </c>
      <c r="K51" s="14">
        <f>Table_Scope3_OrganicFertiliser[[#This Row],[Quantity]]*Table_Scope3_OrganicFertiliser[[#This Row],[AusLCI Emissions intensity]]</f>
        <v>0</v>
      </c>
      <c r="L51" s="14">
        <f>Table_Scope3_OrganicFertiliser[[#This Row],[Quantity]]*IF(Table_Scope3_OrganicFertiliser[[#This Row],[Custom emissions intensity]], Table_Scope3_OrganicFertiliser[[#This Row],[Custom emissions intensity]], Table_Scope3_OrganicFertiliser[[#This Row],[AusLCI Emissions intensity]])</f>
        <v>0</v>
      </c>
      <c r="M51" s="154"/>
      <c r="N51" s="48"/>
      <c r="O51" s="154"/>
      <c r="P51" s="157" cm="1">
        <f t="array" ref="P51">Common_InputFunctions.Utility_LookupValueInTableNumber(Table_Scope3_OrganicFertiliser[[#This Row],[Custom emissions intensity source type (Select)]],#REF!,#REF!)</f>
        <v>0</v>
      </c>
      <c r="Q51" s="14"/>
    </row>
    <row r="52" spans="3:18" ht="20.100000000000001" customHeight="1" x14ac:dyDescent="0.25">
      <c r="C52" s="14"/>
      <c r="D52" s="14" t="str" cm="1">
        <f t="array" ref="D52">Common_InputFunctions.Utility_DisplayArrayInTable(Scope3_SourceData.Scope3_OrganicFertilisers_Data(), Table_Scope3_OrganicFertiliser[[#Headers],[Organic fertiliser type]], 0, 2)</f>
        <v>Other</v>
      </c>
      <c r="E52" s="14" t="str" cm="1">
        <f t="array" ref="E52">Common_InputFunctions.Utility_DisplayArrayInTable(Scope3_SourceData.Scope3_OrganicFertilisers_Data(), Table_Scope3_OrganicFertiliser[[#Headers],[Organic fertiliser type]], 0, 2)</f>
        <v>Location not specified</v>
      </c>
      <c r="F52" s="14"/>
      <c r="G52" s="14" t="str" cm="1">
        <f t="array" ref="G52">Common_InputFunctions.Utility_DisplayArrayInTable(Scope3_SourceData.Scope3_OrganicFertilisers_Data(), Table_Scope3_OrganicFertiliser[[#Headers],[Organic fertiliser type]], 0, 1)</f>
        <v>t</v>
      </c>
      <c r="H52" s="14" cm="1">
        <f t="array" ref="H52">Common_InputFunctions.Utility_DisplayArrayInTable(Scope3_SourceData.Scope3_OrganicFertilisers_Data(), Table_Scope3_OrganicFertiliser[[#Headers],[Organic fertiliser type]], 0, 1)</f>
        <v>20501</v>
      </c>
      <c r="I52" s="154"/>
      <c r="J52" s="14" t="str" cm="1">
        <f t="array" ref="J52">Common_InputFunctions.Utility_DisplayArrayInTable(Scope3_SourceData.Scope3_OrganicFertilisers_Data(), Table_Scope3_OrganicFertiliser[[#Headers],[Organic fertiliser type]], 0, 1)</f>
        <v>t CO2-e / t</v>
      </c>
      <c r="K52" s="14">
        <f>Table_Scope3_OrganicFertiliser[[#This Row],[Quantity]]*Table_Scope3_OrganicFertiliser[[#This Row],[AusLCI Emissions intensity]]</f>
        <v>0</v>
      </c>
      <c r="L52" s="14">
        <f>Table_Scope3_OrganicFertiliser[[#This Row],[Quantity]]*IF(Table_Scope3_OrganicFertiliser[[#This Row],[Custom emissions intensity]], Table_Scope3_OrganicFertiliser[[#This Row],[Custom emissions intensity]], Table_Scope3_OrganicFertiliser[[#This Row],[AusLCI Emissions intensity]])</f>
        <v>0</v>
      </c>
      <c r="M52" s="154"/>
      <c r="N52" s="48"/>
      <c r="O52" s="154"/>
      <c r="P52" s="157" cm="1">
        <f t="array" ref="P52">Common_InputFunctions.Utility_LookupValueInTableNumber(Table_Scope3_OrganicFertiliser[[#This Row],[Custom emissions intensity source type (Select)]],#REF!,#REF!)</f>
        <v>0</v>
      </c>
      <c r="Q52" s="14"/>
    </row>
    <row r="53" spans="3:18" ht="20.100000000000001" customHeight="1" x14ac:dyDescent="0.25">
      <c r="C53" s="14"/>
      <c r="D53" s="14"/>
      <c r="E53" s="14"/>
      <c r="F53" s="14"/>
      <c r="G53" s="14"/>
      <c r="H53" s="14"/>
      <c r="I53" s="14"/>
      <c r="J53" s="14"/>
      <c r="K53" s="14"/>
      <c r="L53" s="14"/>
      <c r="M53" s="14"/>
      <c r="N53" s="14"/>
      <c r="O53" s="14"/>
      <c r="P53" s="14"/>
      <c r="Q53" s="14"/>
    </row>
    <row r="54" spans="3:18" ht="20.100000000000001" customHeight="1" x14ac:dyDescent="0.35">
      <c r="C54" s="14"/>
      <c r="D54" s="161" t="s">
        <v>324</v>
      </c>
      <c r="E54" s="162"/>
      <c r="F54" s="163"/>
      <c r="G54" s="161">
        <f>SUM(Table_Scope3_OrganicFertiliser[Scope 3 emissions exc. custom (t CO2-e)])</f>
        <v>0</v>
      </c>
      <c r="H54" s="164" t="s">
        <v>320</v>
      </c>
      <c r="I54" s="14"/>
      <c r="J54" s="14"/>
      <c r="K54" s="14"/>
      <c r="L54" s="14"/>
      <c r="M54" s="14"/>
      <c r="N54" s="14"/>
      <c r="O54" s="14"/>
      <c r="P54" s="14"/>
      <c r="Q54" s="14"/>
    </row>
    <row r="55" spans="3:18" ht="20.100000000000001" customHeight="1" x14ac:dyDescent="0.25">
      <c r="C55" s="14"/>
      <c r="D55" s="165" t="s">
        <v>325</v>
      </c>
      <c r="E55" s="166"/>
      <c r="F55" s="166"/>
      <c r="G55" s="165">
        <f>SUM(Table_Scope3_OrganicFertiliser[Scope 3 emissions inc. custom (t CO2-e)2])</f>
        <v>0</v>
      </c>
      <c r="H55" s="164" t="s">
        <v>320</v>
      </c>
      <c r="I55" s="14"/>
      <c r="J55" s="14"/>
      <c r="K55" s="14"/>
      <c r="L55" s="14"/>
      <c r="M55" s="14"/>
      <c r="N55" s="14"/>
      <c r="O55" s="14"/>
      <c r="P55" s="14"/>
      <c r="Q55" s="14"/>
    </row>
    <row r="56" spans="3:18" ht="20.100000000000001" customHeight="1" x14ac:dyDescent="0.25">
      <c r="C56" s="14"/>
      <c r="D56" s="170"/>
      <c r="E56" s="171"/>
      <c r="F56" s="171"/>
      <c r="G56" s="170"/>
      <c r="H56" s="13"/>
      <c r="I56" s="14"/>
      <c r="J56" s="14"/>
      <c r="K56" s="14"/>
      <c r="L56" s="14"/>
      <c r="M56" s="14"/>
      <c r="N56" s="14"/>
      <c r="O56" s="14"/>
      <c r="P56" s="14"/>
      <c r="Q56" s="14"/>
    </row>
    <row r="57" spans="3:18" ht="20.100000000000001" customHeight="1" x14ac:dyDescent="0.25">
      <c r="C57" s="14"/>
      <c r="D57" s="14"/>
      <c r="E57" s="14"/>
      <c r="F57" s="14"/>
      <c r="G57" s="14"/>
      <c r="H57" s="14"/>
      <c r="I57" s="14"/>
      <c r="J57" s="14"/>
      <c r="K57" s="14"/>
      <c r="L57" s="14"/>
      <c r="M57" s="14"/>
      <c r="N57" s="14"/>
      <c r="O57" s="14"/>
      <c r="P57" s="14"/>
      <c r="Q57" s="14"/>
    </row>
    <row r="58" spans="3:18" ht="20.100000000000001" customHeight="1" x14ac:dyDescent="0.25">
      <c r="C58" s="14"/>
      <c r="D58" s="9" t="str" cm="1">
        <f t="array" ref="D58">Scope3_SourceData.Scope3_Livestock_Title()</f>
        <v>Livestock scope 3</v>
      </c>
      <c r="E58" s="14"/>
      <c r="F58" s="14"/>
      <c r="G58" s="14"/>
      <c r="H58" s="14"/>
      <c r="I58" s="14"/>
      <c r="J58" s="14"/>
      <c r="K58" s="14"/>
      <c r="L58" s="14"/>
      <c r="M58" s="14"/>
      <c r="N58" s="14"/>
      <c r="O58" s="14"/>
      <c r="P58" s="14"/>
      <c r="Q58" s="14"/>
    </row>
    <row r="59" spans="3:18" ht="20.100000000000001" customHeight="1" x14ac:dyDescent="0.25">
      <c r="C59" s="14"/>
      <c r="D59" s="11" t="str" cm="1">
        <f t="array" ref="D59">Scope3_SourceData.Scope3_Livestock_Source()</f>
        <v>Lifecycles. (2026). Greenhouse Gas Emission Intensities for Material Inputs to Australian Agriculture, Fisheries and Forestry. Version 48. doi 10.5281/zenodo.19656580</v>
      </c>
      <c r="E59" s="14"/>
      <c r="F59" s="14"/>
      <c r="G59" s="14"/>
      <c r="H59" s="14"/>
      <c r="I59" s="14"/>
      <c r="J59" s="14"/>
      <c r="K59" s="14"/>
      <c r="L59" s="14"/>
      <c r="M59" s="14"/>
      <c r="N59" s="14"/>
      <c r="O59" s="14"/>
      <c r="P59" s="14"/>
      <c r="Q59" s="14"/>
    </row>
    <row r="60" spans="3:18" ht="20.100000000000001" customHeight="1" x14ac:dyDescent="0.25">
      <c r="C60" s="14"/>
      <c r="D60" s="14"/>
      <c r="E60" s="14"/>
      <c r="F60" s="14"/>
      <c r="G60" s="14"/>
      <c r="H60" s="14"/>
      <c r="I60" s="14"/>
      <c r="J60" s="14"/>
      <c r="K60" s="14"/>
      <c r="L60" s="14"/>
      <c r="M60" s="14"/>
      <c r="N60" s="14"/>
      <c r="O60" s="14"/>
      <c r="P60" s="14"/>
      <c r="Q60" s="14"/>
    </row>
    <row r="61" spans="3:18" ht="20.100000000000001" customHeight="1" x14ac:dyDescent="0.25">
      <c r="C61" s="14"/>
      <c r="D61" s="60" t="s">
        <v>423</v>
      </c>
      <c r="E61" s="60" t="s">
        <v>222</v>
      </c>
      <c r="F61" s="60" t="s">
        <v>424</v>
      </c>
      <c r="G61" s="60" t="s">
        <v>304</v>
      </c>
      <c r="H61" s="168" t="s">
        <v>358</v>
      </c>
      <c r="I61" s="168" t="s">
        <v>306</v>
      </c>
      <c r="J61" s="169" t="s">
        <v>307</v>
      </c>
      <c r="K61" s="168" t="s">
        <v>308</v>
      </c>
      <c r="L61" s="168" t="s">
        <v>323</v>
      </c>
      <c r="M61" s="168" t="s">
        <v>309</v>
      </c>
      <c r="N61" s="169" t="s">
        <v>310</v>
      </c>
      <c r="O61" s="169" t="s">
        <v>311</v>
      </c>
      <c r="P61" s="169" t="s">
        <v>312</v>
      </c>
      <c r="Q61" s="168" t="s">
        <v>313</v>
      </c>
      <c r="R61" s="14"/>
    </row>
    <row r="62" spans="3:18" ht="20.100000000000001" customHeight="1" x14ac:dyDescent="0.25">
      <c r="C62" s="14"/>
      <c r="D62" s="14" t="str" cm="1">
        <f t="array" ref="D62">Common_InputFunctions.Utility_DisplayArrayInTable(Scope3_SourceData.Scope3_Livestock_Data(), Table_Scope3_Livestock[[#Headers],[Category]], 0, 2)</f>
        <v>Beef cattle</v>
      </c>
      <c r="E62" s="14" t="str" cm="1">
        <f t="array" ref="E62">Common_InputFunctions.Utility_DisplayArrayInTable(Scope3_SourceData.Scope3_Livestock_Data(), Table_Scope3_Livestock[[#Headers],[Category]], 0, 2)</f>
        <v>Cattle, for manufacturing beef</v>
      </c>
      <c r="F62" s="14" t="str" cm="1">
        <f t="array" ref="F62">Common_InputFunctions.Utility_DisplayArrayInTable(Scope3_SourceData.Scope3_Livestock_Data(), Table_Scope3_Livestock[[#Headers],[Category]], 0, 2)</f>
        <v>Australia</v>
      </c>
      <c r="G62" s="14" cm="1">
        <f t="array" ref="G6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2" s="14" t="str" cm="1">
        <f t="array" ref="H62">Common_InputFunctions.Utility_DisplayArrayInTable(Scope3_SourceData.Scope3_Livestock_Data(), Table_Scope3_Livestock[[#Headers],[Category]], 0, 1)</f>
        <v>kg liveweight</v>
      </c>
      <c r="I62" s="14" cm="1">
        <f t="array" ref="I62">Common_InputFunctions.Utility_DisplayArrayInTable(Scope3_SourceData.Scope3_Livestock_Data(), Table_Scope3_Livestock[[#Headers],[Category]], 0, 1)</f>
        <v>11</v>
      </c>
      <c r="J62" s="173">
        <v>100</v>
      </c>
      <c r="K62" s="14" t="str">
        <f>"kg CO2e / " &amp;Table_Scope3_Livestock[[#This Row],[Quantity unit]]</f>
        <v>kg CO2e / kg liveweight</v>
      </c>
      <c r="L62" s="14">
        <f>Table_Scope3_Livestock[[#This Row],[Quantity]]*Table_Scope3_Livestock[[#This Row],[AusLCI Emissions intensity]]</f>
        <v>0</v>
      </c>
      <c r="M62" s="155">
        <f>Table_Scope3_Livestock[[#This Row],[Quantity]]*IF(Table_Scope3_Livestock[[#This Row],[Custom emissions intensity]], Table_Scope3_Livestock[[#This Row],[Custom emissions intensity]], Table_Scope3_Livestock[[#This Row],[AusLCI Emissions intensity]])</f>
        <v>0</v>
      </c>
      <c r="N62" s="173"/>
      <c r="O62" s="48"/>
      <c r="P62" s="173"/>
      <c r="Q62" s="155" cm="1">
        <f t="array" ref="Q62">Common_InputFunctions.Utility_LookupValueInTableNumber(Table_Scope3_Livestock[[#This Row],[Custom emissions intensity source type (Select)]],#REF!,#REF!)</f>
        <v>0</v>
      </c>
      <c r="R62" s="14"/>
    </row>
    <row r="63" spans="3:18" ht="20.100000000000001" customHeight="1" x14ac:dyDescent="0.25">
      <c r="C63" s="14"/>
      <c r="D63" s="14" t="str" cm="1">
        <f t="array" ref="D63">Common_InputFunctions.Utility_DisplayArrayInTable(Scope3_SourceData.Scope3_Livestock_Data(), Table_Scope3_Livestock[[#Headers],[Category]], 0, 2)</f>
        <v>Beef cattle</v>
      </c>
      <c r="E63" s="14" t="str" cm="1">
        <f t="array" ref="E63">Common_InputFunctions.Utility_DisplayArrayInTable(Scope3_SourceData.Scope3_Livestock_Data(), Table_Scope3_Livestock[[#Headers],[Category]], 0, 2)</f>
        <v>Cattle, for manufacturing beef</v>
      </c>
      <c r="F63" s="14" t="str" cm="1">
        <f t="array" ref="F63">Common_InputFunctions.Utility_DisplayArrayInTable(Scope3_SourceData.Scope3_Livestock_Data(), Table_Scope3_Livestock[[#Headers],[Category]], 0, 2)</f>
        <v>NSW</v>
      </c>
      <c r="G63" s="14" cm="1">
        <f t="array" ref="G6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63" s="14" t="str" cm="1">
        <f t="array" ref="H63">Common_InputFunctions.Utility_DisplayArrayInTable(Scope3_SourceData.Scope3_Livestock_Data(), Table_Scope3_Livestock[[#Headers],[Category]], 0, 1)</f>
        <v>kg liveweight</v>
      </c>
      <c r="I63" s="14" cm="1">
        <f t="array" ref="I63">Common_InputFunctions.Utility_DisplayArrayInTable(Scope3_SourceData.Scope3_Livestock_Data(), Table_Scope3_Livestock[[#Headers],[Category]], 0, 1)</f>
        <v>8.2100000000000009</v>
      </c>
      <c r="J63" s="173">
        <v>8</v>
      </c>
      <c r="K63" s="14" t="str">
        <f>"kg CO2e / " &amp;Table_Scope3_Livestock[[#This Row],[Quantity unit]]</f>
        <v>kg CO2e / kg liveweight</v>
      </c>
      <c r="L63" s="14">
        <f>Table_Scope3_Livestock[[#This Row],[Quantity]]*Table_Scope3_Livestock[[#This Row],[AusLCI Emissions intensity]]</f>
        <v>205250.00000000003</v>
      </c>
      <c r="M63" s="155">
        <f>Table_Scope3_Livestock[[#This Row],[Quantity]]*IF(Table_Scope3_Livestock[[#This Row],[Custom emissions intensity]], Table_Scope3_Livestock[[#This Row],[Custom emissions intensity]], Table_Scope3_Livestock[[#This Row],[AusLCI Emissions intensity]])</f>
        <v>200000</v>
      </c>
      <c r="N63" s="173"/>
      <c r="O63" s="174"/>
      <c r="P63" s="173"/>
      <c r="Q63" s="155" cm="1">
        <f t="array" ref="Q63">Common_InputFunctions.Utility_LookupValueInTableNumber(Table_Scope3_Livestock[[#This Row],[Custom emissions intensity source type (Select)]],#REF!,#REF!)</f>
        <v>0</v>
      </c>
      <c r="R63" s="14"/>
    </row>
    <row r="64" spans="3:18" ht="20.100000000000001" customHeight="1" x14ac:dyDescent="0.25">
      <c r="C64" s="14"/>
      <c r="D64" s="14" t="str" cm="1">
        <f t="array" ref="D64">Common_InputFunctions.Utility_DisplayArrayInTable(Scope3_SourceData.Scope3_Livestock_Data(), Table_Scope3_Livestock[[#Headers],[Category]], 0, 2)</f>
        <v>Beef cattle</v>
      </c>
      <c r="E64" s="14" t="str" cm="1">
        <f t="array" ref="E64">Common_InputFunctions.Utility_DisplayArrayInTable(Scope3_SourceData.Scope3_Livestock_Data(), Table_Scope3_Livestock[[#Headers],[Category]], 0, 2)</f>
        <v>Cattle, for manufacturing beef</v>
      </c>
      <c r="F64" s="14" t="str" cm="1">
        <f t="array" ref="F64">Common_InputFunctions.Utility_DisplayArrayInTable(Scope3_SourceData.Scope3_Livestock_Data(), Table_Scope3_Livestock[[#Headers],[Category]], 0, 2)</f>
        <v>NT</v>
      </c>
      <c r="G64" s="14" cm="1">
        <f t="array" ref="G6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4" s="14" t="str" cm="1">
        <f t="array" ref="H64">Common_InputFunctions.Utility_DisplayArrayInTable(Scope3_SourceData.Scope3_Livestock_Data(), Table_Scope3_Livestock[[#Headers],[Category]], 0, 1)</f>
        <v>kg liveweight</v>
      </c>
      <c r="I64" s="14" cm="1">
        <f t="array" ref="I64">Common_InputFunctions.Utility_DisplayArrayInTable(Scope3_SourceData.Scope3_Livestock_Data(), Table_Scope3_Livestock[[#Headers],[Category]], 0, 1)</f>
        <v>12.2</v>
      </c>
      <c r="J64" s="173"/>
      <c r="K64" s="14" t="str">
        <f>"kg CO2e / " &amp;Table_Scope3_Livestock[[#This Row],[Quantity unit]]</f>
        <v>kg CO2e / kg liveweight</v>
      </c>
      <c r="L64" s="14">
        <f>Table_Scope3_Livestock[[#This Row],[Quantity]]*Table_Scope3_Livestock[[#This Row],[AusLCI Emissions intensity]]</f>
        <v>0</v>
      </c>
      <c r="M64" s="155">
        <f>Table_Scope3_Livestock[[#This Row],[Quantity]]*IF(Table_Scope3_Livestock[[#This Row],[Custom emissions intensity]], Table_Scope3_Livestock[[#This Row],[Custom emissions intensity]], Table_Scope3_Livestock[[#This Row],[AusLCI Emissions intensity]])</f>
        <v>0</v>
      </c>
      <c r="N64" s="173"/>
      <c r="O64" s="174"/>
      <c r="P64" s="173"/>
      <c r="Q64" s="155" cm="1">
        <f t="array" ref="Q64">Common_InputFunctions.Utility_LookupValueInTableNumber(Table_Scope3_Livestock[[#This Row],[Custom emissions intensity source type (Select)]],#REF!,#REF!)</f>
        <v>0</v>
      </c>
      <c r="R64" s="14"/>
    </row>
    <row r="65" spans="3:18" ht="20.100000000000001" customHeight="1" x14ac:dyDescent="0.25">
      <c r="C65" s="14"/>
      <c r="D65" s="14" t="str" cm="1">
        <f t="array" ref="D65">Common_InputFunctions.Utility_DisplayArrayInTable(Scope3_SourceData.Scope3_Livestock_Data(), Table_Scope3_Livestock[[#Headers],[Category]], 0, 2)</f>
        <v>Beef cattle</v>
      </c>
      <c r="E65" s="14" t="str" cm="1">
        <f t="array" ref="E65">Common_InputFunctions.Utility_DisplayArrayInTable(Scope3_SourceData.Scope3_Livestock_Data(), Table_Scope3_Livestock[[#Headers],[Category]], 0, 2)</f>
        <v>Cattle, for manufacturing beef</v>
      </c>
      <c r="F65" s="14" t="str" cm="1">
        <f t="array" ref="F65">Common_InputFunctions.Utility_DisplayArrayInTable(Scope3_SourceData.Scope3_Livestock_Data(), Table_Scope3_Livestock[[#Headers],[Category]], 0, 2)</f>
        <v>QLD</v>
      </c>
      <c r="G65" s="14" cm="1">
        <f t="array" ref="G6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5" s="14" t="str" cm="1">
        <f t="array" ref="H65">Common_InputFunctions.Utility_DisplayArrayInTable(Scope3_SourceData.Scope3_Livestock_Data(), Table_Scope3_Livestock[[#Headers],[Category]], 0, 1)</f>
        <v>kg liveweight</v>
      </c>
      <c r="I65" s="14" cm="1">
        <f t="array" ref="I65">Common_InputFunctions.Utility_DisplayArrayInTable(Scope3_SourceData.Scope3_Livestock_Data(), Table_Scope3_Livestock[[#Headers],[Category]], 0, 1)</f>
        <v>10.9</v>
      </c>
      <c r="J65" s="173"/>
      <c r="K65" s="14" t="str">
        <f>"kg CO2e / " &amp;Table_Scope3_Livestock[[#This Row],[Quantity unit]]</f>
        <v>kg CO2e / kg liveweight</v>
      </c>
      <c r="L65" s="14">
        <f>Table_Scope3_Livestock[[#This Row],[Quantity]]*Table_Scope3_Livestock[[#This Row],[AusLCI Emissions intensity]]</f>
        <v>0</v>
      </c>
      <c r="M65" s="155">
        <f>Table_Scope3_Livestock[[#This Row],[Quantity]]*IF(Table_Scope3_Livestock[[#This Row],[Custom emissions intensity]], Table_Scope3_Livestock[[#This Row],[Custom emissions intensity]], Table_Scope3_Livestock[[#This Row],[AusLCI Emissions intensity]])</f>
        <v>0</v>
      </c>
      <c r="N65" s="173"/>
      <c r="O65" s="174"/>
      <c r="P65" s="173"/>
      <c r="Q65" s="155" cm="1">
        <f t="array" ref="Q65">Common_InputFunctions.Utility_LookupValueInTableNumber(Table_Scope3_Livestock[[#This Row],[Custom emissions intensity source type (Select)]],#REF!,#REF!)</f>
        <v>0</v>
      </c>
      <c r="R65" s="14"/>
    </row>
    <row r="66" spans="3:18" ht="20.100000000000001" customHeight="1" x14ac:dyDescent="0.25">
      <c r="C66" s="14"/>
      <c r="D66" s="14" t="str" cm="1">
        <f t="array" ref="D66">Common_InputFunctions.Utility_DisplayArrayInTable(Scope3_SourceData.Scope3_Livestock_Data(), Table_Scope3_Livestock[[#Headers],[Category]], 0, 2)</f>
        <v>Beef cattle</v>
      </c>
      <c r="E66" s="14" t="str" cm="1">
        <f t="array" ref="E66">Common_InputFunctions.Utility_DisplayArrayInTable(Scope3_SourceData.Scope3_Livestock_Data(), Table_Scope3_Livestock[[#Headers],[Category]], 0, 2)</f>
        <v>Cattle, for manufacturing beef</v>
      </c>
      <c r="F66" s="14" t="str" cm="1">
        <f t="array" ref="F66">Common_InputFunctions.Utility_DisplayArrayInTable(Scope3_SourceData.Scope3_Livestock_Data(), Table_Scope3_Livestock[[#Headers],[Category]], 0, 2)</f>
        <v>SA</v>
      </c>
      <c r="G66" s="14" cm="1">
        <f t="array" ref="G6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6" s="14" t="str" cm="1">
        <f t="array" ref="H66">Common_InputFunctions.Utility_DisplayArrayInTable(Scope3_SourceData.Scope3_Livestock_Data(), Table_Scope3_Livestock[[#Headers],[Category]], 0, 1)</f>
        <v>kg liveweight</v>
      </c>
      <c r="I66" s="14" cm="1">
        <f t="array" ref="I66">Common_InputFunctions.Utility_DisplayArrayInTable(Scope3_SourceData.Scope3_Livestock_Data(), Table_Scope3_Livestock[[#Headers],[Category]], 0, 1)</f>
        <v>7.63</v>
      </c>
      <c r="J66" s="173"/>
      <c r="K66" s="14" t="str">
        <f>"kg CO2e / " &amp;Table_Scope3_Livestock[[#This Row],[Quantity unit]]</f>
        <v>kg CO2e / kg liveweight</v>
      </c>
      <c r="L66" s="14">
        <f>Table_Scope3_Livestock[[#This Row],[Quantity]]*Table_Scope3_Livestock[[#This Row],[AusLCI Emissions intensity]]</f>
        <v>0</v>
      </c>
      <c r="M66" s="155">
        <f>Table_Scope3_Livestock[[#This Row],[Quantity]]*IF(Table_Scope3_Livestock[[#This Row],[Custom emissions intensity]], Table_Scope3_Livestock[[#This Row],[Custom emissions intensity]], Table_Scope3_Livestock[[#This Row],[AusLCI Emissions intensity]])</f>
        <v>0</v>
      </c>
      <c r="N66" s="173"/>
      <c r="O66" s="174"/>
      <c r="P66" s="173"/>
      <c r="Q66" s="155" cm="1">
        <f t="array" ref="Q66">Common_InputFunctions.Utility_LookupValueInTableNumber(Table_Scope3_Livestock[[#This Row],[Custom emissions intensity source type (Select)]],#REF!,#REF!)</f>
        <v>0</v>
      </c>
      <c r="R66" s="14"/>
    </row>
    <row r="67" spans="3:18" ht="20.100000000000001" customHeight="1" x14ac:dyDescent="0.25">
      <c r="C67" s="14"/>
      <c r="D67" s="14" t="str" cm="1">
        <f t="array" ref="D67">Common_InputFunctions.Utility_DisplayArrayInTable(Scope3_SourceData.Scope3_Livestock_Data(), Table_Scope3_Livestock[[#Headers],[Category]], 0, 2)</f>
        <v>Beef cattle</v>
      </c>
      <c r="E67" s="14" t="str" cm="1">
        <f t="array" ref="E67">Common_InputFunctions.Utility_DisplayArrayInTable(Scope3_SourceData.Scope3_Livestock_Data(), Table_Scope3_Livestock[[#Headers],[Category]], 0, 2)</f>
        <v>Cattle, for manufacturing beef</v>
      </c>
      <c r="F67" s="14" t="str" cm="1">
        <f t="array" ref="F67">Common_InputFunctions.Utility_DisplayArrayInTable(Scope3_SourceData.Scope3_Livestock_Data(), Table_Scope3_Livestock[[#Headers],[Category]], 0, 2)</f>
        <v>TAS</v>
      </c>
      <c r="G67" s="14" cm="1">
        <f t="array" ref="G6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7" s="14" t="str" cm="1">
        <f t="array" ref="H67">Common_InputFunctions.Utility_DisplayArrayInTable(Scope3_SourceData.Scope3_Livestock_Data(), Table_Scope3_Livestock[[#Headers],[Category]], 0, 1)</f>
        <v>kg liveweight</v>
      </c>
      <c r="I67" s="14" cm="1">
        <f t="array" ref="I67">Common_InputFunctions.Utility_DisplayArrayInTable(Scope3_SourceData.Scope3_Livestock_Data(), Table_Scope3_Livestock[[#Headers],[Category]], 0, 1)</f>
        <v>8.75</v>
      </c>
      <c r="J67" s="173"/>
      <c r="K67" s="14" t="str">
        <f>"kg CO2e / " &amp;Table_Scope3_Livestock[[#This Row],[Quantity unit]]</f>
        <v>kg CO2e / kg liveweight</v>
      </c>
      <c r="L67" s="14">
        <f>Table_Scope3_Livestock[[#This Row],[Quantity]]*Table_Scope3_Livestock[[#This Row],[AusLCI Emissions intensity]]</f>
        <v>0</v>
      </c>
      <c r="M67" s="155">
        <f>Table_Scope3_Livestock[[#This Row],[Quantity]]*IF(Table_Scope3_Livestock[[#This Row],[Custom emissions intensity]], Table_Scope3_Livestock[[#This Row],[Custom emissions intensity]], Table_Scope3_Livestock[[#This Row],[AusLCI Emissions intensity]])</f>
        <v>0</v>
      </c>
      <c r="N67" s="173"/>
      <c r="O67" s="174"/>
      <c r="P67" s="173"/>
      <c r="Q67" s="155" cm="1">
        <f t="array" ref="Q67">Common_InputFunctions.Utility_LookupValueInTableNumber(Table_Scope3_Livestock[[#This Row],[Custom emissions intensity source type (Select)]],#REF!,#REF!)</f>
        <v>0</v>
      </c>
      <c r="R67" s="14"/>
    </row>
    <row r="68" spans="3:18" ht="20.100000000000001" customHeight="1" x14ac:dyDescent="0.25">
      <c r="C68" s="14"/>
      <c r="D68" s="14" t="str" cm="1">
        <f t="array" ref="D68">Common_InputFunctions.Utility_DisplayArrayInTable(Scope3_SourceData.Scope3_Livestock_Data(), Table_Scope3_Livestock[[#Headers],[Category]], 0, 2)</f>
        <v>Beef cattle</v>
      </c>
      <c r="E68" s="14" t="str" cm="1">
        <f t="array" ref="E68">Common_InputFunctions.Utility_DisplayArrayInTable(Scope3_SourceData.Scope3_Livestock_Data(), Table_Scope3_Livestock[[#Headers],[Category]], 0, 2)</f>
        <v>Cattle, for manufacturing beef</v>
      </c>
      <c r="F68" s="14" t="str" cm="1">
        <f t="array" ref="F68">Common_InputFunctions.Utility_DisplayArrayInTable(Scope3_SourceData.Scope3_Livestock_Data(), Table_Scope3_Livestock[[#Headers],[Category]], 0, 2)</f>
        <v>VIC</v>
      </c>
      <c r="G68" s="14" cm="1">
        <f t="array" ref="G6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8" s="14" t="str" cm="1">
        <f t="array" ref="H68">Common_InputFunctions.Utility_DisplayArrayInTable(Scope3_SourceData.Scope3_Livestock_Data(), Table_Scope3_Livestock[[#Headers],[Category]], 0, 1)</f>
        <v>kg liveweight</v>
      </c>
      <c r="I68" s="14" cm="1">
        <f t="array" ref="I68">Common_InputFunctions.Utility_DisplayArrayInTable(Scope3_SourceData.Scope3_Livestock_Data(), Table_Scope3_Livestock[[#Headers],[Category]], 0, 1)</f>
        <v>8.17</v>
      </c>
      <c r="J68" s="173"/>
      <c r="K68" s="14" t="str">
        <f>"kg CO2e / " &amp;Table_Scope3_Livestock[[#This Row],[Quantity unit]]</f>
        <v>kg CO2e / kg liveweight</v>
      </c>
      <c r="L68" s="14">
        <f>Table_Scope3_Livestock[[#This Row],[Quantity]]*Table_Scope3_Livestock[[#This Row],[AusLCI Emissions intensity]]</f>
        <v>0</v>
      </c>
      <c r="M68" s="155">
        <f>Table_Scope3_Livestock[[#This Row],[Quantity]]*IF(Table_Scope3_Livestock[[#This Row],[Custom emissions intensity]], Table_Scope3_Livestock[[#This Row],[Custom emissions intensity]], Table_Scope3_Livestock[[#This Row],[AusLCI Emissions intensity]])</f>
        <v>0</v>
      </c>
      <c r="N68" s="173"/>
      <c r="O68" s="174"/>
      <c r="P68" s="173"/>
      <c r="Q68" s="155" cm="1">
        <f t="array" ref="Q68">Common_InputFunctions.Utility_LookupValueInTableNumber(Table_Scope3_Livestock[[#This Row],[Custom emissions intensity source type (Select)]],#REF!,#REF!)</f>
        <v>0</v>
      </c>
      <c r="R68" s="14"/>
    </row>
    <row r="69" spans="3:18" ht="20.100000000000001" customHeight="1" x14ac:dyDescent="0.25">
      <c r="C69" s="14"/>
      <c r="D69" s="194" t="str" cm="1">
        <f t="array" ref="D69">Common_InputFunctions.Utility_DisplayArrayInTable(Scope3_SourceData.Scope3_Livestock_Data(), Table_Scope3_Livestock[[#Headers],[Category]], 0, 2)</f>
        <v>Beef cattle</v>
      </c>
      <c r="E69" s="194" t="str" cm="1">
        <f t="array" ref="E69">Common_InputFunctions.Utility_DisplayArrayInTable(Scope3_SourceData.Scope3_Livestock_Data(), Table_Scope3_Livestock[[#Headers],[Category]], 0, 2)</f>
        <v>Cattle, for manufacturing beef</v>
      </c>
      <c r="F69" s="14" t="str" cm="1">
        <f t="array" ref="F69">Common_InputFunctions.Utility_DisplayArrayInTable(Scope3_SourceData.Scope3_Livestock_Data(), Table_Scope3_Livestock[[#Headers],[Category]], 0, 2)</f>
        <v>WA</v>
      </c>
      <c r="G69" s="14" cm="1">
        <f t="array" ref="G6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69" s="14" t="str" cm="1">
        <f t="array" ref="H69">Common_InputFunctions.Utility_DisplayArrayInTable(Scope3_SourceData.Scope3_Livestock_Data(), Table_Scope3_Livestock[[#Headers],[Category]], 0, 1)</f>
        <v>kg liveweight</v>
      </c>
      <c r="I69" s="14" cm="1">
        <f t="array" ref="I69">Common_InputFunctions.Utility_DisplayArrayInTable(Scope3_SourceData.Scope3_Livestock_Data(), Table_Scope3_Livestock[[#Headers],[Category]], 0, 1)</f>
        <v>13.1</v>
      </c>
      <c r="J69" s="173"/>
      <c r="K69" s="14" t="str">
        <f>"kg CO2e / " &amp;Table_Scope3_Livestock[[#This Row],[Quantity unit]]</f>
        <v>kg CO2e / kg liveweight</v>
      </c>
      <c r="L69" s="14">
        <f>Table_Scope3_Livestock[[#This Row],[Quantity]]*Table_Scope3_Livestock[[#This Row],[AusLCI Emissions intensity]]</f>
        <v>0</v>
      </c>
      <c r="M69" s="155">
        <f>Table_Scope3_Livestock[[#This Row],[Quantity]]*IF(Table_Scope3_Livestock[[#This Row],[Custom emissions intensity]], Table_Scope3_Livestock[[#This Row],[Custom emissions intensity]], Table_Scope3_Livestock[[#This Row],[AusLCI Emissions intensity]])</f>
        <v>0</v>
      </c>
      <c r="N69" s="173"/>
      <c r="O69" s="195"/>
      <c r="P69" s="173"/>
      <c r="Q69" s="155" cm="1">
        <f t="array" ref="Q69">Common_InputFunctions.Utility_LookupValueInTableNumber(Table_Scope3_Livestock[[#This Row],[Custom emissions intensity source type (Select)]],#REF!,#REF!)</f>
        <v>0</v>
      </c>
      <c r="R69" s="14"/>
    </row>
    <row r="70" spans="3:18" ht="20.100000000000001" customHeight="1" x14ac:dyDescent="0.25">
      <c r="C70" s="14"/>
      <c r="D70" s="194" t="str" cm="1">
        <f t="array" ref="D70">Common_InputFunctions.Utility_DisplayArrayInTable(Scope3_SourceData.Scope3_Livestock_Data(), Table_Scope3_Livestock[[#Headers],[Category]], 0, 2)</f>
        <v>Beef cattle</v>
      </c>
      <c r="E70" s="194" t="str" cm="1">
        <f t="array" ref="E70">Common_InputFunctions.Utility_DisplayArrayInTable(Scope3_SourceData.Scope3_Livestock_Data(), Table_Scope3_Livestock[[#Headers],[Category]], 0, 2)</f>
        <v>Cattle, for prime beef</v>
      </c>
      <c r="F70" s="14" t="str" cm="1">
        <f t="array" ref="F70">Common_InputFunctions.Utility_DisplayArrayInTable(Scope3_SourceData.Scope3_Livestock_Data(), Table_Scope3_Livestock[[#Headers],[Category]], 0, 2)</f>
        <v>Australia</v>
      </c>
      <c r="G70" s="14" cm="1">
        <f t="array" ref="G7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0" s="14" t="str" cm="1">
        <f t="array" ref="H70">Common_InputFunctions.Utility_DisplayArrayInTable(Scope3_SourceData.Scope3_Livestock_Data(), Table_Scope3_Livestock[[#Headers],[Category]], 0, 1)</f>
        <v>kg liveweight</v>
      </c>
      <c r="I70" s="14" cm="1">
        <f t="array" ref="I70">Common_InputFunctions.Utility_DisplayArrayInTable(Scope3_SourceData.Scope3_Livestock_Data(), Table_Scope3_Livestock[[#Headers],[Category]], 0, 1)</f>
        <v>14.5</v>
      </c>
      <c r="J70" s="173"/>
      <c r="K70" s="14" t="str">
        <f>"kg CO2e / " &amp;Table_Scope3_Livestock[[#This Row],[Quantity unit]]</f>
        <v>kg CO2e / kg liveweight</v>
      </c>
      <c r="L70" s="14">
        <f>Table_Scope3_Livestock[[#This Row],[Quantity]]*Table_Scope3_Livestock[[#This Row],[AusLCI Emissions intensity]]</f>
        <v>0</v>
      </c>
      <c r="M70" s="155">
        <f>Table_Scope3_Livestock[[#This Row],[Quantity]]*IF(Table_Scope3_Livestock[[#This Row],[Custom emissions intensity]], Table_Scope3_Livestock[[#This Row],[Custom emissions intensity]], Table_Scope3_Livestock[[#This Row],[AusLCI Emissions intensity]])</f>
        <v>0</v>
      </c>
      <c r="N70" s="173"/>
      <c r="O70" s="195"/>
      <c r="P70" s="173"/>
      <c r="Q70" s="155" cm="1">
        <f t="array" ref="Q70">Common_InputFunctions.Utility_LookupValueInTableNumber(Table_Scope3_Livestock[[#This Row],[Custom emissions intensity source type (Select)]],#REF!,#REF!)</f>
        <v>0</v>
      </c>
      <c r="R70" s="14"/>
    </row>
    <row r="71" spans="3:18" ht="20.100000000000001" customHeight="1" x14ac:dyDescent="0.25">
      <c r="C71" s="14"/>
      <c r="D71" s="194" t="str" cm="1">
        <f t="array" ref="D71">Common_InputFunctions.Utility_DisplayArrayInTable(Scope3_SourceData.Scope3_Livestock_Data(), Table_Scope3_Livestock[[#Headers],[Category]], 0, 2)</f>
        <v>Beef cattle</v>
      </c>
      <c r="E71" s="194" t="str" cm="1">
        <f t="array" ref="E71">Common_InputFunctions.Utility_DisplayArrayInTable(Scope3_SourceData.Scope3_Livestock_Data(), Table_Scope3_Livestock[[#Headers],[Category]], 0, 2)</f>
        <v>Cattle, for prime beef</v>
      </c>
      <c r="F71" s="14" t="str" cm="1">
        <f t="array" ref="F71">Common_InputFunctions.Utility_DisplayArrayInTable(Scope3_SourceData.Scope3_Livestock_Data(), Table_Scope3_Livestock[[#Headers],[Category]], 0, 2)</f>
        <v>NSW</v>
      </c>
      <c r="G71" s="14" cm="1">
        <f t="array" ref="G7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1" s="14" t="str" cm="1">
        <f t="array" ref="H71">Common_InputFunctions.Utility_DisplayArrayInTable(Scope3_SourceData.Scope3_Livestock_Data(), Table_Scope3_Livestock[[#Headers],[Category]], 0, 1)</f>
        <v>kg liveweight</v>
      </c>
      <c r="I71" s="14" cm="1">
        <f t="array" ref="I71">Common_InputFunctions.Utility_DisplayArrayInTable(Scope3_SourceData.Scope3_Livestock_Data(), Table_Scope3_Livestock[[#Headers],[Category]], 0, 1)</f>
        <v>11.3</v>
      </c>
      <c r="J71" s="173"/>
      <c r="K71" s="14" t="str">
        <f>"kg CO2e / " &amp;Table_Scope3_Livestock[[#This Row],[Quantity unit]]</f>
        <v>kg CO2e / kg liveweight</v>
      </c>
      <c r="L71" s="14">
        <f>Table_Scope3_Livestock[[#This Row],[Quantity]]*Table_Scope3_Livestock[[#This Row],[AusLCI Emissions intensity]]</f>
        <v>0</v>
      </c>
      <c r="M71" s="155">
        <f>Table_Scope3_Livestock[[#This Row],[Quantity]]*IF(Table_Scope3_Livestock[[#This Row],[Custom emissions intensity]], Table_Scope3_Livestock[[#This Row],[Custom emissions intensity]], Table_Scope3_Livestock[[#This Row],[AusLCI Emissions intensity]])</f>
        <v>0</v>
      </c>
      <c r="N71" s="173"/>
      <c r="O71" s="195"/>
      <c r="P71" s="173"/>
      <c r="Q71" s="155" cm="1">
        <f t="array" ref="Q71">Common_InputFunctions.Utility_LookupValueInTableNumber(Table_Scope3_Livestock[[#This Row],[Custom emissions intensity source type (Select)]],#REF!,#REF!)</f>
        <v>0</v>
      </c>
      <c r="R71" s="14"/>
    </row>
    <row r="72" spans="3:18" ht="20.100000000000001" customHeight="1" x14ac:dyDescent="0.25">
      <c r="C72" s="14"/>
      <c r="D72" s="196" t="str" cm="1">
        <f t="array" ref="D72">Common_InputFunctions.Utility_DisplayArrayInTable(Scope3_SourceData.Scope3_Livestock_Data(), Table_Scope3_Livestock[[#Headers],[Category]], 0, 2)</f>
        <v>Beef cattle</v>
      </c>
      <c r="E72" s="196" t="str" cm="1">
        <f t="array" ref="E72">Common_InputFunctions.Utility_DisplayArrayInTable(Scope3_SourceData.Scope3_Livestock_Data(), Table_Scope3_Livestock[[#Headers],[Category]], 0, 2)</f>
        <v>Cattle, for prime beef</v>
      </c>
      <c r="F72" s="14" t="str" cm="1">
        <f t="array" ref="F72">Common_InputFunctions.Utility_DisplayArrayInTable(Scope3_SourceData.Scope3_Livestock_Data(), Table_Scope3_Livestock[[#Headers],[Category]], 0, 2)</f>
        <v>NT</v>
      </c>
      <c r="G72" s="14" cm="1">
        <f t="array" ref="G7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2" s="14" t="str" cm="1">
        <f t="array" ref="H72">Common_InputFunctions.Utility_DisplayArrayInTable(Scope3_SourceData.Scope3_Livestock_Data(), Table_Scope3_Livestock[[#Headers],[Category]], 0, 1)</f>
        <v>kg liveweight</v>
      </c>
      <c r="I72" s="14" cm="1">
        <f t="array" ref="I72">Common_InputFunctions.Utility_DisplayArrayInTable(Scope3_SourceData.Scope3_Livestock_Data(), Table_Scope3_Livestock[[#Headers],[Category]], 0, 1)</f>
        <v>18.899999999999999</v>
      </c>
      <c r="J72" s="197"/>
      <c r="K72" s="14" t="str">
        <f>"kg CO2e / " &amp;Table_Scope3_Livestock[[#This Row],[Quantity unit]]</f>
        <v>kg CO2e / kg liveweight</v>
      </c>
      <c r="L72" s="14">
        <f>Table_Scope3_Livestock[[#This Row],[Quantity]]*Table_Scope3_Livestock[[#This Row],[AusLCI Emissions intensity]]</f>
        <v>0</v>
      </c>
      <c r="M72" s="155">
        <f>Table_Scope3_Livestock[[#This Row],[Quantity]]*IF(Table_Scope3_Livestock[[#This Row],[Custom emissions intensity]], Table_Scope3_Livestock[[#This Row],[Custom emissions intensity]], Table_Scope3_Livestock[[#This Row],[AusLCI Emissions intensity]])</f>
        <v>0</v>
      </c>
      <c r="N72" s="197"/>
      <c r="O72" s="199"/>
      <c r="P72" s="197"/>
      <c r="Q72" s="198" cm="1">
        <f t="array" ref="Q72">Common_InputFunctions.Utility_LookupValueInTableNumber(Table_Scope3_Livestock[[#This Row],[Custom emissions intensity source type (Select)]],#REF!,#REF!)</f>
        <v>0</v>
      </c>
      <c r="R72" s="14"/>
    </row>
    <row r="73" spans="3:18" ht="20.100000000000001" customHeight="1" x14ac:dyDescent="0.25">
      <c r="D73" s="196" t="str" cm="1">
        <f t="array" ref="D73">Common_InputFunctions.Utility_DisplayArrayInTable(Scope3_SourceData.Scope3_Livestock_Data(), Table_Scope3_Livestock[[#Headers],[Category]], 0, 2)</f>
        <v>Beef cattle</v>
      </c>
      <c r="E73" s="196" t="str" cm="1">
        <f t="array" ref="E73">Common_InputFunctions.Utility_DisplayArrayInTable(Scope3_SourceData.Scope3_Livestock_Data(), Table_Scope3_Livestock[[#Headers],[Category]], 0, 2)</f>
        <v>Cattle, for prime beef</v>
      </c>
      <c r="F73" s="14" t="str" cm="1">
        <f t="array" ref="F73">Common_InputFunctions.Utility_DisplayArrayInTable(Scope3_SourceData.Scope3_Livestock_Data(), Table_Scope3_Livestock[[#Headers],[Category]], 0, 2)</f>
        <v>QLD</v>
      </c>
      <c r="G73" s="14" cm="1">
        <f t="array" ref="G7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3" s="14" t="str" cm="1">
        <f t="array" ref="H73">Common_InputFunctions.Utility_DisplayArrayInTable(Scope3_SourceData.Scope3_Livestock_Data(), Table_Scope3_Livestock[[#Headers],[Category]], 0, 1)</f>
        <v>kg liveweight</v>
      </c>
      <c r="I73" s="14" cm="1">
        <f t="array" ref="I73">Common_InputFunctions.Utility_DisplayArrayInTable(Scope3_SourceData.Scope3_Livestock_Data(), Table_Scope3_Livestock[[#Headers],[Category]], 0, 1)</f>
        <v>13.9</v>
      </c>
      <c r="J73" s="197"/>
      <c r="K73" s="14" t="str">
        <f>"kg CO2e / " &amp;Table_Scope3_Livestock[[#This Row],[Quantity unit]]</f>
        <v>kg CO2e / kg liveweight</v>
      </c>
      <c r="L73" s="14">
        <f>Table_Scope3_Livestock[[#This Row],[Quantity]]*Table_Scope3_Livestock[[#This Row],[AusLCI Emissions intensity]]</f>
        <v>0</v>
      </c>
      <c r="M73" s="155">
        <f>Table_Scope3_Livestock[[#This Row],[Quantity]]*IF(Table_Scope3_Livestock[[#This Row],[Custom emissions intensity]], Table_Scope3_Livestock[[#This Row],[Custom emissions intensity]], Table_Scope3_Livestock[[#This Row],[AusLCI Emissions intensity]])</f>
        <v>0</v>
      </c>
      <c r="N73" s="197"/>
      <c r="O73" s="199"/>
      <c r="P73" s="197"/>
      <c r="Q73" s="198" cm="1">
        <f t="array" ref="Q73">Common_InputFunctions.Utility_LookupValueInTableNumber(Table_Scope3_Livestock[[#This Row],[Custom emissions intensity source type (Select)]],#REF!,#REF!)</f>
        <v>0</v>
      </c>
    </row>
    <row r="74" spans="3:18" ht="20.100000000000001" customHeight="1" x14ac:dyDescent="0.25">
      <c r="D74" s="196" t="str" cm="1">
        <f t="array" ref="D74">Common_InputFunctions.Utility_DisplayArrayInTable(Scope3_SourceData.Scope3_Livestock_Data(), Table_Scope3_Livestock[[#Headers],[Category]], 0, 2)</f>
        <v>Beef cattle</v>
      </c>
      <c r="E74" s="196" t="str" cm="1">
        <f t="array" ref="E74">Common_InputFunctions.Utility_DisplayArrayInTable(Scope3_SourceData.Scope3_Livestock_Data(), Table_Scope3_Livestock[[#Headers],[Category]], 0, 2)</f>
        <v>Cattle, for prime beef</v>
      </c>
      <c r="F74" s="14" t="str" cm="1">
        <f t="array" ref="F74">Common_InputFunctions.Utility_DisplayArrayInTable(Scope3_SourceData.Scope3_Livestock_Data(), Table_Scope3_Livestock[[#Headers],[Category]], 0, 2)</f>
        <v>SA</v>
      </c>
      <c r="G74" s="14" cm="1">
        <f t="array" ref="G7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4" s="14" t="str" cm="1">
        <f t="array" ref="H74">Common_InputFunctions.Utility_DisplayArrayInTable(Scope3_SourceData.Scope3_Livestock_Data(), Table_Scope3_Livestock[[#Headers],[Category]], 0, 1)</f>
        <v>kg liveweight</v>
      </c>
      <c r="I74" s="14" cm="1">
        <f t="array" ref="I74">Common_InputFunctions.Utility_DisplayArrayInTable(Scope3_SourceData.Scope3_Livestock_Data(), Table_Scope3_Livestock[[#Headers],[Category]], 0, 1)</f>
        <v>12.3</v>
      </c>
      <c r="J74" s="197"/>
      <c r="K74" s="14" t="str">
        <f>"kg CO2e / " &amp;Table_Scope3_Livestock[[#This Row],[Quantity unit]]</f>
        <v>kg CO2e / kg liveweight</v>
      </c>
      <c r="L74" s="14">
        <f>Table_Scope3_Livestock[[#This Row],[Quantity]]*Table_Scope3_Livestock[[#This Row],[AusLCI Emissions intensity]]</f>
        <v>0</v>
      </c>
      <c r="M74" s="155">
        <f>Table_Scope3_Livestock[[#This Row],[Quantity]]*IF(Table_Scope3_Livestock[[#This Row],[Custom emissions intensity]], Table_Scope3_Livestock[[#This Row],[Custom emissions intensity]], Table_Scope3_Livestock[[#This Row],[AusLCI Emissions intensity]])</f>
        <v>0</v>
      </c>
      <c r="N74" s="197"/>
      <c r="O74" s="199"/>
      <c r="P74" s="197"/>
      <c r="Q74" s="198" cm="1">
        <f t="array" ref="Q74">Common_InputFunctions.Utility_LookupValueInTableNumber(Table_Scope3_Livestock[[#This Row],[Custom emissions intensity source type (Select)]],#REF!,#REF!)</f>
        <v>0</v>
      </c>
    </row>
    <row r="75" spans="3:18" ht="20.100000000000001" customHeight="1" x14ac:dyDescent="0.25">
      <c r="D75" s="196" t="str" cm="1">
        <f t="array" ref="D75">Common_InputFunctions.Utility_DisplayArrayInTable(Scope3_SourceData.Scope3_Livestock_Data(), Table_Scope3_Livestock[[#Headers],[Category]], 0, 2)</f>
        <v>Beef cattle</v>
      </c>
      <c r="E75" s="196" t="str" cm="1">
        <f t="array" ref="E75">Common_InputFunctions.Utility_DisplayArrayInTable(Scope3_SourceData.Scope3_Livestock_Data(), Table_Scope3_Livestock[[#Headers],[Category]], 0, 2)</f>
        <v>Cattle, for prime beef</v>
      </c>
      <c r="F75" s="14" t="str" cm="1">
        <f t="array" ref="F75">Common_InputFunctions.Utility_DisplayArrayInTable(Scope3_SourceData.Scope3_Livestock_Data(), Table_Scope3_Livestock[[#Headers],[Category]], 0, 2)</f>
        <v>TAS</v>
      </c>
      <c r="G75" s="14" cm="1">
        <f t="array" ref="G7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5" s="14" t="str" cm="1">
        <f t="array" ref="H75">Common_InputFunctions.Utility_DisplayArrayInTable(Scope3_SourceData.Scope3_Livestock_Data(), Table_Scope3_Livestock[[#Headers],[Category]], 0, 1)</f>
        <v>kg liveweight</v>
      </c>
      <c r="I75" s="14" cm="1">
        <f t="array" ref="I75">Common_InputFunctions.Utility_DisplayArrayInTable(Scope3_SourceData.Scope3_Livestock_Data(), Table_Scope3_Livestock[[#Headers],[Category]], 0, 1)</f>
        <v>11.5</v>
      </c>
      <c r="J75" s="197"/>
      <c r="K75" s="14" t="str">
        <f>"kg CO2e / " &amp;Table_Scope3_Livestock[[#This Row],[Quantity unit]]</f>
        <v>kg CO2e / kg liveweight</v>
      </c>
      <c r="L75" s="14">
        <f>Table_Scope3_Livestock[[#This Row],[Quantity]]*Table_Scope3_Livestock[[#This Row],[AusLCI Emissions intensity]]</f>
        <v>0</v>
      </c>
      <c r="M75" s="155">
        <f>Table_Scope3_Livestock[[#This Row],[Quantity]]*IF(Table_Scope3_Livestock[[#This Row],[Custom emissions intensity]], Table_Scope3_Livestock[[#This Row],[Custom emissions intensity]], Table_Scope3_Livestock[[#This Row],[AusLCI Emissions intensity]])</f>
        <v>0</v>
      </c>
      <c r="N75" s="197"/>
      <c r="O75" s="199"/>
      <c r="P75" s="197"/>
      <c r="Q75" s="198" cm="1">
        <f t="array" ref="Q75">Common_InputFunctions.Utility_LookupValueInTableNumber(Table_Scope3_Livestock[[#This Row],[Custom emissions intensity source type (Select)]],#REF!,#REF!)</f>
        <v>0</v>
      </c>
    </row>
    <row r="76" spans="3:18" ht="20.100000000000001" customHeight="1" x14ac:dyDescent="0.25">
      <c r="D76" s="196" t="str" cm="1">
        <f t="array" ref="D76">Common_InputFunctions.Utility_DisplayArrayInTable(Scope3_SourceData.Scope3_Livestock_Data(), Table_Scope3_Livestock[[#Headers],[Category]], 0, 2)</f>
        <v>Beef cattle</v>
      </c>
      <c r="E76" s="196" t="str" cm="1">
        <f t="array" ref="E76">Common_InputFunctions.Utility_DisplayArrayInTable(Scope3_SourceData.Scope3_Livestock_Data(), Table_Scope3_Livestock[[#Headers],[Category]], 0, 2)</f>
        <v>Cattle, for prime beef</v>
      </c>
      <c r="F76" s="14" t="str" cm="1">
        <f t="array" ref="F76">Common_InputFunctions.Utility_DisplayArrayInTable(Scope3_SourceData.Scope3_Livestock_Data(), Table_Scope3_Livestock[[#Headers],[Category]], 0, 2)</f>
        <v>VIC</v>
      </c>
      <c r="G76" s="14" cm="1">
        <f t="array" ref="G7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6" s="14" t="str" cm="1">
        <f t="array" ref="H76">Common_InputFunctions.Utility_DisplayArrayInTable(Scope3_SourceData.Scope3_Livestock_Data(), Table_Scope3_Livestock[[#Headers],[Category]], 0, 1)</f>
        <v>kg liveweight</v>
      </c>
      <c r="I76" s="14" cm="1">
        <f t="array" ref="I76">Common_InputFunctions.Utility_DisplayArrayInTable(Scope3_SourceData.Scope3_Livestock_Data(), Table_Scope3_Livestock[[#Headers],[Category]], 0, 1)</f>
        <v>11.5</v>
      </c>
      <c r="J76" s="197"/>
      <c r="K76" s="14" t="str">
        <f>"kg CO2e / " &amp;Table_Scope3_Livestock[[#This Row],[Quantity unit]]</f>
        <v>kg CO2e / kg liveweight</v>
      </c>
      <c r="L76" s="14">
        <f>Table_Scope3_Livestock[[#This Row],[Quantity]]*Table_Scope3_Livestock[[#This Row],[AusLCI Emissions intensity]]</f>
        <v>0</v>
      </c>
      <c r="M76" s="155">
        <f>Table_Scope3_Livestock[[#This Row],[Quantity]]*IF(Table_Scope3_Livestock[[#This Row],[Custom emissions intensity]], Table_Scope3_Livestock[[#This Row],[Custom emissions intensity]], Table_Scope3_Livestock[[#This Row],[AusLCI Emissions intensity]])</f>
        <v>0</v>
      </c>
      <c r="N76" s="197"/>
      <c r="O76" s="199"/>
      <c r="P76" s="197"/>
      <c r="Q76" s="198" cm="1">
        <f t="array" ref="Q76">Common_InputFunctions.Utility_LookupValueInTableNumber(Table_Scope3_Livestock[[#This Row],[Custom emissions intensity source type (Select)]],#REF!,#REF!)</f>
        <v>0</v>
      </c>
    </row>
    <row r="77" spans="3:18" ht="20.100000000000001" customHeight="1" x14ac:dyDescent="0.25">
      <c r="D77" s="196" t="str" cm="1">
        <f t="array" ref="D77">Common_InputFunctions.Utility_DisplayArrayInTable(Scope3_SourceData.Scope3_Livestock_Data(), Table_Scope3_Livestock[[#Headers],[Category]], 0, 2)</f>
        <v>Beef cattle</v>
      </c>
      <c r="E77" s="196" t="str" cm="1">
        <f t="array" ref="E77">Common_InputFunctions.Utility_DisplayArrayInTable(Scope3_SourceData.Scope3_Livestock_Data(), Table_Scope3_Livestock[[#Headers],[Category]], 0, 2)</f>
        <v>Cattle, for prime beef</v>
      </c>
      <c r="F77" s="14" t="str" cm="1">
        <f t="array" ref="F77">Common_InputFunctions.Utility_DisplayArrayInTable(Scope3_SourceData.Scope3_Livestock_Data(), Table_Scope3_Livestock[[#Headers],[Category]], 0, 2)</f>
        <v>WA</v>
      </c>
      <c r="G77" s="14" cm="1">
        <f t="array" ref="G7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7" s="14" t="str" cm="1">
        <f t="array" ref="H77">Common_InputFunctions.Utility_DisplayArrayInTable(Scope3_SourceData.Scope3_Livestock_Data(), Table_Scope3_Livestock[[#Headers],[Category]], 0, 1)</f>
        <v>kg liveweight</v>
      </c>
      <c r="I77" s="14" cm="1">
        <f t="array" ref="I77">Common_InputFunctions.Utility_DisplayArrayInTable(Scope3_SourceData.Scope3_Livestock_Data(), Table_Scope3_Livestock[[#Headers],[Category]], 0, 1)</f>
        <v>20.8</v>
      </c>
      <c r="J77" s="197"/>
      <c r="K77" s="14" t="str">
        <f>"kg CO2e / " &amp;Table_Scope3_Livestock[[#This Row],[Quantity unit]]</f>
        <v>kg CO2e / kg liveweight</v>
      </c>
      <c r="L77" s="14">
        <f>Table_Scope3_Livestock[[#This Row],[Quantity]]*Table_Scope3_Livestock[[#This Row],[AusLCI Emissions intensity]]</f>
        <v>0</v>
      </c>
      <c r="M77" s="155">
        <f>Table_Scope3_Livestock[[#This Row],[Quantity]]*IF(Table_Scope3_Livestock[[#This Row],[Custom emissions intensity]], Table_Scope3_Livestock[[#This Row],[Custom emissions intensity]], Table_Scope3_Livestock[[#This Row],[AusLCI Emissions intensity]])</f>
        <v>0</v>
      </c>
      <c r="N77" s="197"/>
      <c r="O77" s="199"/>
      <c r="P77" s="197"/>
      <c r="Q77" s="198" cm="1">
        <f t="array" ref="Q77">Common_InputFunctions.Utility_LookupValueInTableNumber(Table_Scope3_Livestock[[#This Row],[Custom emissions intensity source type (Select)]],#REF!,#REF!)</f>
        <v>0</v>
      </c>
    </row>
    <row r="78" spans="3:18" ht="20.100000000000001" customHeight="1" x14ac:dyDescent="0.25">
      <c r="D78" s="196" t="str" cm="1">
        <f t="array" ref="D78">Common_InputFunctions.Utility_DisplayArrayInTable(Scope3_SourceData.Scope3_Livestock_Data(), Table_Scope3_Livestock[[#Headers],[Category]], 0, 2)</f>
        <v>Beef cattle</v>
      </c>
      <c r="E78" s="196" t="str" cm="1">
        <f t="array" ref="E78">Common_InputFunctions.Utility_DisplayArrayInTable(Scope3_SourceData.Scope3_Livestock_Data(), Table_Scope3_Livestock[[#Headers],[Category]], 0, 2)</f>
        <v>Cattle, weaners</v>
      </c>
      <c r="F78" s="14" t="str" cm="1">
        <f t="array" ref="F78">Common_InputFunctions.Utility_DisplayArrayInTable(Scope3_SourceData.Scope3_Livestock_Data(), Table_Scope3_Livestock[[#Headers],[Category]], 0, 2)</f>
        <v>Australia</v>
      </c>
      <c r="G78" s="14" cm="1">
        <f t="array" ref="G7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8" s="14" t="str" cm="1">
        <f t="array" ref="H78">Common_InputFunctions.Utility_DisplayArrayInTable(Scope3_SourceData.Scope3_Livestock_Data(), Table_Scope3_Livestock[[#Headers],[Category]], 0, 1)</f>
        <v>kg liveweight</v>
      </c>
      <c r="I78" s="14" cm="1">
        <f t="array" ref="I78">Common_InputFunctions.Utility_DisplayArrayInTable(Scope3_SourceData.Scope3_Livestock_Data(), Table_Scope3_Livestock[[#Headers],[Category]], 0, 1)</f>
        <v>15.5</v>
      </c>
      <c r="J78" s="197"/>
      <c r="K78" s="14" t="str">
        <f>"kg CO2e / " &amp;Table_Scope3_Livestock[[#This Row],[Quantity unit]]</f>
        <v>kg CO2e / kg liveweight</v>
      </c>
      <c r="L78" s="14">
        <f>Table_Scope3_Livestock[[#This Row],[Quantity]]*Table_Scope3_Livestock[[#This Row],[AusLCI Emissions intensity]]</f>
        <v>0</v>
      </c>
      <c r="M78" s="155">
        <f>Table_Scope3_Livestock[[#This Row],[Quantity]]*IF(Table_Scope3_Livestock[[#This Row],[Custom emissions intensity]], Table_Scope3_Livestock[[#This Row],[Custom emissions intensity]], Table_Scope3_Livestock[[#This Row],[AusLCI Emissions intensity]])</f>
        <v>0</v>
      </c>
      <c r="N78" s="197"/>
      <c r="O78" s="199"/>
      <c r="P78" s="197"/>
      <c r="Q78" s="198" cm="1">
        <f t="array" ref="Q78">Common_InputFunctions.Utility_LookupValueInTableNumber(Table_Scope3_Livestock[[#This Row],[Custom emissions intensity source type (Select)]],#REF!,#REF!)</f>
        <v>0</v>
      </c>
    </row>
    <row r="79" spans="3:18" ht="20.100000000000001" customHeight="1" x14ac:dyDescent="0.25">
      <c r="D79" s="196" t="str" cm="1">
        <f t="array" ref="D79">Common_InputFunctions.Utility_DisplayArrayInTable(Scope3_SourceData.Scope3_Livestock_Data(), Table_Scope3_Livestock[[#Headers],[Category]], 0, 2)</f>
        <v>Beef cattle</v>
      </c>
      <c r="E79" s="196" t="str" cm="1">
        <f t="array" ref="E79">Common_InputFunctions.Utility_DisplayArrayInTable(Scope3_SourceData.Scope3_Livestock_Data(), Table_Scope3_Livestock[[#Headers],[Category]], 0, 2)</f>
        <v>Cattle, weaners</v>
      </c>
      <c r="F79" s="14" t="str" cm="1">
        <f t="array" ref="F79">Common_InputFunctions.Utility_DisplayArrayInTable(Scope3_SourceData.Scope3_Livestock_Data(), Table_Scope3_Livestock[[#Headers],[Category]], 0, 2)</f>
        <v>NSW</v>
      </c>
      <c r="G79" s="14" cm="1">
        <f t="array" ref="G7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79" s="14" t="str" cm="1">
        <f t="array" ref="H79">Common_InputFunctions.Utility_DisplayArrayInTable(Scope3_SourceData.Scope3_Livestock_Data(), Table_Scope3_Livestock[[#Headers],[Category]], 0, 1)</f>
        <v>kg liveweight</v>
      </c>
      <c r="I79" s="14" cm="1">
        <f t="array" ref="I79">Common_InputFunctions.Utility_DisplayArrayInTable(Scope3_SourceData.Scope3_Livestock_Data(), Table_Scope3_Livestock[[#Headers],[Category]], 0, 1)</f>
        <v>12.7</v>
      </c>
      <c r="J79" s="197"/>
      <c r="K79" s="14" t="str">
        <f>"kg CO2e / " &amp;Table_Scope3_Livestock[[#This Row],[Quantity unit]]</f>
        <v>kg CO2e / kg liveweight</v>
      </c>
      <c r="L79" s="14">
        <f>Table_Scope3_Livestock[[#This Row],[Quantity]]*Table_Scope3_Livestock[[#This Row],[AusLCI Emissions intensity]]</f>
        <v>0</v>
      </c>
      <c r="M79" s="155">
        <f>Table_Scope3_Livestock[[#This Row],[Quantity]]*IF(Table_Scope3_Livestock[[#This Row],[Custom emissions intensity]], Table_Scope3_Livestock[[#This Row],[Custom emissions intensity]], Table_Scope3_Livestock[[#This Row],[AusLCI Emissions intensity]])</f>
        <v>0</v>
      </c>
      <c r="N79" s="197"/>
      <c r="O79" s="199"/>
      <c r="P79" s="197"/>
      <c r="Q79" s="198" cm="1">
        <f t="array" ref="Q79">Common_InputFunctions.Utility_LookupValueInTableNumber(Table_Scope3_Livestock[[#This Row],[Custom emissions intensity source type (Select)]],#REF!,#REF!)</f>
        <v>0</v>
      </c>
    </row>
    <row r="80" spans="3:18" ht="20.100000000000001" customHeight="1" x14ac:dyDescent="0.25">
      <c r="D80" s="196" t="str" cm="1">
        <f t="array" ref="D80">Common_InputFunctions.Utility_DisplayArrayInTable(Scope3_SourceData.Scope3_Livestock_Data(), Table_Scope3_Livestock[[#Headers],[Category]], 0, 2)</f>
        <v>Beef cattle</v>
      </c>
      <c r="E80" s="196" t="str" cm="1">
        <f t="array" ref="E80">Common_InputFunctions.Utility_DisplayArrayInTable(Scope3_SourceData.Scope3_Livestock_Data(), Table_Scope3_Livestock[[#Headers],[Category]], 0, 2)</f>
        <v>Cattle, weaners</v>
      </c>
      <c r="F80" s="14" t="str" cm="1">
        <f t="array" ref="F80">Common_InputFunctions.Utility_DisplayArrayInTable(Scope3_SourceData.Scope3_Livestock_Data(), Table_Scope3_Livestock[[#Headers],[Category]], 0, 2)</f>
        <v>NT</v>
      </c>
      <c r="G80" s="14" cm="1">
        <f t="array" ref="G8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0" s="14" t="str" cm="1">
        <f t="array" ref="H80">Common_InputFunctions.Utility_DisplayArrayInTable(Scope3_SourceData.Scope3_Livestock_Data(), Table_Scope3_Livestock[[#Headers],[Category]], 0, 1)</f>
        <v>kg liveweight</v>
      </c>
      <c r="I80" s="14" cm="1">
        <f t="array" ref="I80">Common_InputFunctions.Utility_DisplayArrayInTable(Scope3_SourceData.Scope3_Livestock_Data(), Table_Scope3_Livestock[[#Headers],[Category]], 0, 1)</f>
        <v>19.100000000000001</v>
      </c>
      <c r="J80" s="197"/>
      <c r="K80" s="14" t="str">
        <f>"kg CO2e / " &amp;Table_Scope3_Livestock[[#This Row],[Quantity unit]]</f>
        <v>kg CO2e / kg liveweight</v>
      </c>
      <c r="L80" s="14">
        <f>Table_Scope3_Livestock[[#This Row],[Quantity]]*Table_Scope3_Livestock[[#This Row],[AusLCI Emissions intensity]]</f>
        <v>0</v>
      </c>
      <c r="M80" s="155">
        <f>Table_Scope3_Livestock[[#This Row],[Quantity]]*IF(Table_Scope3_Livestock[[#This Row],[Custom emissions intensity]], Table_Scope3_Livestock[[#This Row],[Custom emissions intensity]], Table_Scope3_Livestock[[#This Row],[AusLCI Emissions intensity]])</f>
        <v>0</v>
      </c>
      <c r="N80" s="197"/>
      <c r="O80" s="199"/>
      <c r="P80" s="197"/>
      <c r="Q80" s="198" cm="1">
        <f t="array" ref="Q80">Common_InputFunctions.Utility_LookupValueInTableNumber(Table_Scope3_Livestock[[#This Row],[Custom emissions intensity source type (Select)]],#REF!,#REF!)</f>
        <v>0</v>
      </c>
    </row>
    <row r="81" spans="4:17" ht="20.100000000000001" customHeight="1" x14ac:dyDescent="0.25">
      <c r="D81" s="196" t="str" cm="1">
        <f t="array" ref="D81">Common_InputFunctions.Utility_DisplayArrayInTable(Scope3_SourceData.Scope3_Livestock_Data(), Table_Scope3_Livestock[[#Headers],[Category]], 0, 2)</f>
        <v>Beef cattle</v>
      </c>
      <c r="E81" s="196" t="str" cm="1">
        <f t="array" ref="E81">Common_InputFunctions.Utility_DisplayArrayInTable(Scope3_SourceData.Scope3_Livestock_Data(), Table_Scope3_Livestock[[#Headers],[Category]], 0, 2)</f>
        <v>Cattle, weaners</v>
      </c>
      <c r="F81" s="14" t="str" cm="1">
        <f t="array" ref="F81">Common_InputFunctions.Utility_DisplayArrayInTable(Scope3_SourceData.Scope3_Livestock_Data(), Table_Scope3_Livestock[[#Headers],[Category]], 0, 2)</f>
        <v>QLD</v>
      </c>
      <c r="G81" s="14" cm="1">
        <f t="array" ref="G8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1" s="14" t="str" cm="1">
        <f t="array" ref="H81">Common_InputFunctions.Utility_DisplayArrayInTable(Scope3_SourceData.Scope3_Livestock_Data(), Table_Scope3_Livestock[[#Headers],[Category]], 0, 1)</f>
        <v>kg liveweight</v>
      </c>
      <c r="I81" s="14" cm="1">
        <f t="array" ref="I81">Common_InputFunctions.Utility_DisplayArrayInTable(Scope3_SourceData.Scope3_Livestock_Data(), Table_Scope3_Livestock[[#Headers],[Category]], 0, 1)</f>
        <v>20.5</v>
      </c>
      <c r="J81" s="197"/>
      <c r="K81" s="14" t="str">
        <f>"kg CO2e / " &amp;Table_Scope3_Livestock[[#This Row],[Quantity unit]]</f>
        <v>kg CO2e / kg liveweight</v>
      </c>
      <c r="L81" s="14">
        <f>Table_Scope3_Livestock[[#This Row],[Quantity]]*Table_Scope3_Livestock[[#This Row],[AusLCI Emissions intensity]]</f>
        <v>0</v>
      </c>
      <c r="M81" s="155">
        <f>Table_Scope3_Livestock[[#This Row],[Quantity]]*IF(Table_Scope3_Livestock[[#This Row],[Custom emissions intensity]], Table_Scope3_Livestock[[#This Row],[Custom emissions intensity]], Table_Scope3_Livestock[[#This Row],[AusLCI Emissions intensity]])</f>
        <v>0</v>
      </c>
      <c r="N81" s="197"/>
      <c r="O81" s="199"/>
      <c r="P81" s="197"/>
      <c r="Q81" s="198" cm="1">
        <f t="array" ref="Q81">Common_InputFunctions.Utility_LookupValueInTableNumber(Table_Scope3_Livestock[[#This Row],[Custom emissions intensity source type (Select)]],#REF!,#REF!)</f>
        <v>0</v>
      </c>
    </row>
    <row r="82" spans="4:17" ht="20.100000000000001" customHeight="1" x14ac:dyDescent="0.25">
      <c r="D82" s="196" t="str" cm="1">
        <f t="array" ref="D82">Common_InputFunctions.Utility_DisplayArrayInTable(Scope3_SourceData.Scope3_Livestock_Data(), Table_Scope3_Livestock[[#Headers],[Category]], 0, 2)</f>
        <v>Beef cattle</v>
      </c>
      <c r="E82" s="196" t="str" cm="1">
        <f t="array" ref="E82">Common_InputFunctions.Utility_DisplayArrayInTable(Scope3_SourceData.Scope3_Livestock_Data(), Table_Scope3_Livestock[[#Headers],[Category]], 0, 2)</f>
        <v>Cattle, weaners</v>
      </c>
      <c r="F82" s="14" t="str" cm="1">
        <f t="array" ref="F82">Common_InputFunctions.Utility_DisplayArrayInTable(Scope3_SourceData.Scope3_Livestock_Data(), Table_Scope3_Livestock[[#Headers],[Category]], 0, 2)</f>
        <v>SA</v>
      </c>
      <c r="G82" s="14" cm="1">
        <f t="array" ref="G8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2" s="14" t="str" cm="1">
        <f t="array" ref="H82">Common_InputFunctions.Utility_DisplayArrayInTable(Scope3_SourceData.Scope3_Livestock_Data(), Table_Scope3_Livestock[[#Headers],[Category]], 0, 1)</f>
        <v>kg liveweight</v>
      </c>
      <c r="I82" s="14" cm="1">
        <f t="array" ref="I82">Common_InputFunctions.Utility_DisplayArrayInTable(Scope3_SourceData.Scope3_Livestock_Data(), Table_Scope3_Livestock[[#Headers],[Category]], 0, 1)</f>
        <v>10.8</v>
      </c>
      <c r="J82" s="197"/>
      <c r="K82" s="14" t="str">
        <f>"kg CO2e / " &amp;Table_Scope3_Livestock[[#This Row],[Quantity unit]]</f>
        <v>kg CO2e / kg liveweight</v>
      </c>
      <c r="L82" s="14">
        <f>Table_Scope3_Livestock[[#This Row],[Quantity]]*Table_Scope3_Livestock[[#This Row],[AusLCI Emissions intensity]]</f>
        <v>0</v>
      </c>
      <c r="M82" s="155">
        <f>Table_Scope3_Livestock[[#This Row],[Quantity]]*IF(Table_Scope3_Livestock[[#This Row],[Custom emissions intensity]], Table_Scope3_Livestock[[#This Row],[Custom emissions intensity]], Table_Scope3_Livestock[[#This Row],[AusLCI Emissions intensity]])</f>
        <v>0</v>
      </c>
      <c r="N82" s="197"/>
      <c r="O82" s="199"/>
      <c r="P82" s="197"/>
      <c r="Q82" s="198" cm="1">
        <f t="array" ref="Q82">Common_InputFunctions.Utility_LookupValueInTableNumber(Table_Scope3_Livestock[[#This Row],[Custom emissions intensity source type (Select)]],#REF!,#REF!)</f>
        <v>0</v>
      </c>
    </row>
    <row r="83" spans="4:17" ht="20.100000000000001" customHeight="1" x14ac:dyDescent="0.25">
      <c r="D83" s="196" t="str" cm="1">
        <f t="array" ref="D83">Common_InputFunctions.Utility_DisplayArrayInTable(Scope3_SourceData.Scope3_Livestock_Data(), Table_Scope3_Livestock[[#Headers],[Category]], 0, 2)</f>
        <v>Beef cattle</v>
      </c>
      <c r="E83" s="196" t="str" cm="1">
        <f t="array" ref="E83">Common_InputFunctions.Utility_DisplayArrayInTable(Scope3_SourceData.Scope3_Livestock_Data(), Table_Scope3_Livestock[[#Headers],[Category]], 0, 2)</f>
        <v>Cattle, weaners</v>
      </c>
      <c r="F83" s="14" t="str" cm="1">
        <f t="array" ref="F83">Common_InputFunctions.Utility_DisplayArrayInTable(Scope3_SourceData.Scope3_Livestock_Data(), Table_Scope3_Livestock[[#Headers],[Category]], 0, 2)</f>
        <v>TAS</v>
      </c>
      <c r="G83" s="14" cm="1">
        <f t="array" ref="G8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3" s="14" t="str" cm="1">
        <f t="array" ref="H83">Common_InputFunctions.Utility_DisplayArrayInTable(Scope3_SourceData.Scope3_Livestock_Data(), Table_Scope3_Livestock[[#Headers],[Category]], 0, 1)</f>
        <v>kg liveweight</v>
      </c>
      <c r="I83" s="14" cm="1">
        <f t="array" ref="I83">Common_InputFunctions.Utility_DisplayArrayInTable(Scope3_SourceData.Scope3_Livestock_Data(), Table_Scope3_Livestock[[#Headers],[Category]], 0, 1)</f>
        <v>13.4</v>
      </c>
      <c r="J83" s="197"/>
      <c r="K83" s="14" t="str">
        <f>"kg CO2e / " &amp;Table_Scope3_Livestock[[#This Row],[Quantity unit]]</f>
        <v>kg CO2e / kg liveweight</v>
      </c>
      <c r="L83" s="14">
        <f>Table_Scope3_Livestock[[#This Row],[Quantity]]*Table_Scope3_Livestock[[#This Row],[AusLCI Emissions intensity]]</f>
        <v>0</v>
      </c>
      <c r="M83" s="155">
        <f>Table_Scope3_Livestock[[#This Row],[Quantity]]*IF(Table_Scope3_Livestock[[#This Row],[Custom emissions intensity]], Table_Scope3_Livestock[[#This Row],[Custom emissions intensity]], Table_Scope3_Livestock[[#This Row],[AusLCI Emissions intensity]])</f>
        <v>0</v>
      </c>
      <c r="N83" s="197"/>
      <c r="O83" s="199"/>
      <c r="P83" s="197"/>
      <c r="Q83" s="198" cm="1">
        <f t="array" ref="Q83">Common_InputFunctions.Utility_LookupValueInTableNumber(Table_Scope3_Livestock[[#This Row],[Custom emissions intensity source type (Select)]],#REF!,#REF!)</f>
        <v>0</v>
      </c>
    </row>
    <row r="84" spans="4:17" ht="20.100000000000001" customHeight="1" x14ac:dyDescent="0.25">
      <c r="D84" s="196" t="str" cm="1">
        <f t="array" ref="D84">Common_InputFunctions.Utility_DisplayArrayInTable(Scope3_SourceData.Scope3_Livestock_Data(), Table_Scope3_Livestock[[#Headers],[Category]], 0, 2)</f>
        <v>Beef cattle</v>
      </c>
      <c r="E84" s="196" t="str" cm="1">
        <f t="array" ref="E84">Common_InputFunctions.Utility_DisplayArrayInTable(Scope3_SourceData.Scope3_Livestock_Data(), Table_Scope3_Livestock[[#Headers],[Category]], 0, 2)</f>
        <v>Cattle, weaners</v>
      </c>
      <c r="F84" s="14" t="str" cm="1">
        <f t="array" ref="F84">Common_InputFunctions.Utility_DisplayArrayInTable(Scope3_SourceData.Scope3_Livestock_Data(), Table_Scope3_Livestock[[#Headers],[Category]], 0, 2)</f>
        <v>VIC</v>
      </c>
      <c r="G84" s="14" cm="1">
        <f t="array" ref="G8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4" s="14" t="str" cm="1">
        <f t="array" ref="H84">Common_InputFunctions.Utility_DisplayArrayInTable(Scope3_SourceData.Scope3_Livestock_Data(), Table_Scope3_Livestock[[#Headers],[Category]], 0, 1)</f>
        <v>kg liveweight</v>
      </c>
      <c r="I84" s="14" cm="1">
        <f t="array" ref="I84">Common_InputFunctions.Utility_DisplayArrayInTable(Scope3_SourceData.Scope3_Livestock_Data(), Table_Scope3_Livestock[[#Headers],[Category]], 0, 1)</f>
        <v>12</v>
      </c>
      <c r="J84" s="197"/>
      <c r="K84" s="14" t="str">
        <f>"kg CO2e / " &amp;Table_Scope3_Livestock[[#This Row],[Quantity unit]]</f>
        <v>kg CO2e / kg liveweight</v>
      </c>
      <c r="L84" s="14">
        <f>Table_Scope3_Livestock[[#This Row],[Quantity]]*Table_Scope3_Livestock[[#This Row],[AusLCI Emissions intensity]]</f>
        <v>0</v>
      </c>
      <c r="M84" s="155">
        <f>Table_Scope3_Livestock[[#This Row],[Quantity]]*IF(Table_Scope3_Livestock[[#This Row],[Custom emissions intensity]], Table_Scope3_Livestock[[#This Row],[Custom emissions intensity]], Table_Scope3_Livestock[[#This Row],[AusLCI Emissions intensity]])</f>
        <v>0</v>
      </c>
      <c r="N84" s="197"/>
      <c r="O84" s="199"/>
      <c r="P84" s="197"/>
      <c r="Q84" s="198" cm="1">
        <f t="array" ref="Q84">Common_InputFunctions.Utility_LookupValueInTableNumber(Table_Scope3_Livestock[[#This Row],[Custom emissions intensity source type (Select)]],#REF!,#REF!)</f>
        <v>0</v>
      </c>
    </row>
    <row r="85" spans="4:17" ht="20.100000000000001" customHeight="1" x14ac:dyDescent="0.25">
      <c r="D85" s="196" t="str" cm="1">
        <f t="array" ref="D85">Common_InputFunctions.Utility_DisplayArrayInTable(Scope3_SourceData.Scope3_Livestock_Data(), Table_Scope3_Livestock[[#Headers],[Category]], 0, 2)</f>
        <v>Beef cattle</v>
      </c>
      <c r="E85" s="196" t="str" cm="1">
        <f t="array" ref="E85">Common_InputFunctions.Utility_DisplayArrayInTable(Scope3_SourceData.Scope3_Livestock_Data(), Table_Scope3_Livestock[[#Headers],[Category]], 0, 2)</f>
        <v>Cattle, weaners</v>
      </c>
      <c r="F85" s="14" t="str" cm="1">
        <f t="array" ref="F85">Common_InputFunctions.Utility_DisplayArrayInTable(Scope3_SourceData.Scope3_Livestock_Data(), Table_Scope3_Livestock[[#Headers],[Category]], 0, 2)</f>
        <v>WA</v>
      </c>
      <c r="G85" s="14" cm="1">
        <f t="array" ref="G8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85" s="14" t="str" cm="1">
        <f t="array" ref="H85">Common_InputFunctions.Utility_DisplayArrayInTable(Scope3_SourceData.Scope3_Livestock_Data(), Table_Scope3_Livestock[[#Headers],[Category]], 0, 1)</f>
        <v>kg liveweight</v>
      </c>
      <c r="I85" s="14" cm="1">
        <f t="array" ref="I85">Common_InputFunctions.Utility_DisplayArrayInTable(Scope3_SourceData.Scope3_Livestock_Data(), Table_Scope3_Livestock[[#Headers],[Category]], 0, 1)</f>
        <v>12.4</v>
      </c>
      <c r="J85" s="197"/>
      <c r="K85" s="14" t="str">
        <f>"kg CO2e / " &amp;Table_Scope3_Livestock[[#This Row],[Quantity unit]]</f>
        <v>kg CO2e / kg liveweight</v>
      </c>
      <c r="L85" s="14">
        <f>Table_Scope3_Livestock[[#This Row],[Quantity]]*Table_Scope3_Livestock[[#This Row],[AusLCI Emissions intensity]]</f>
        <v>0</v>
      </c>
      <c r="M85" s="155">
        <f>Table_Scope3_Livestock[[#This Row],[Quantity]]*IF(Table_Scope3_Livestock[[#This Row],[Custom emissions intensity]], Table_Scope3_Livestock[[#This Row],[Custom emissions intensity]], Table_Scope3_Livestock[[#This Row],[AusLCI Emissions intensity]])</f>
        <v>0</v>
      </c>
      <c r="N85" s="197"/>
      <c r="O85" s="199"/>
      <c r="P85" s="197"/>
      <c r="Q85" s="198" cm="1">
        <f t="array" ref="Q85">Common_InputFunctions.Utility_LookupValueInTableNumber(Table_Scope3_Livestock[[#This Row],[Custom emissions intensity source type (Select)]],#REF!,#REF!)</f>
        <v>0</v>
      </c>
    </row>
    <row r="86" spans="4:17" ht="20.100000000000001" customHeight="1" x14ac:dyDescent="0.25">
      <c r="D86" s="196" t="str" cm="1">
        <f t="array" ref="D86">Common_InputFunctions.Utility_DisplayArrayInTable(Scope3_SourceData.Scope3_Livestock_Data(), Table_Scope3_Livestock[[#Headers],[Category]], 0, 2)</f>
        <v>Chickens</v>
      </c>
      <c r="E86" s="196" t="str" cm="1">
        <f t="array" ref="E86">Common_InputFunctions.Utility_DisplayArrayInTable(Scope3_SourceData.Scope3_Livestock_Data(), Table_Scope3_Livestock[[#Headers],[Category]], 0, 2)</f>
        <v>Chickens</v>
      </c>
      <c r="F86" s="14" t="str" cm="1">
        <f t="array" ref="F86">Common_InputFunctions.Utility_DisplayArrayInTable(Scope3_SourceData.Scope3_Livestock_Data(), Table_Scope3_Livestock[[#Headers],[Category]], 0, 2)</f>
        <v>Australia</v>
      </c>
      <c r="G86" s="14" cm="1">
        <f t="array" ref="G8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6" s="14" t="str" cm="1">
        <f t="array" ref="H86">Common_InputFunctions.Utility_DisplayArrayInTable(Scope3_SourceData.Scope3_Livestock_Data(), Table_Scope3_Livestock[[#Headers],[Category]], 0, 1)</f>
        <v>kg liveweight</v>
      </c>
      <c r="I86" s="14" cm="1">
        <f t="array" ref="I86">Common_InputFunctions.Utility_DisplayArrayInTable(Scope3_SourceData.Scope3_Livestock_Data(), Table_Scope3_Livestock[[#Headers],[Category]], 0, 1)</f>
        <v>1.36</v>
      </c>
      <c r="J86" s="197"/>
      <c r="K86" s="14" t="str">
        <f>"kg CO2e / " &amp;Table_Scope3_Livestock[[#This Row],[Quantity unit]]</f>
        <v>kg CO2e / kg liveweight</v>
      </c>
      <c r="L86" s="14">
        <f>Table_Scope3_Livestock[[#This Row],[Quantity]]*Table_Scope3_Livestock[[#This Row],[AusLCI Emissions intensity]]</f>
        <v>34000</v>
      </c>
      <c r="M86" s="155">
        <f>Table_Scope3_Livestock[[#This Row],[Quantity]]*IF(Table_Scope3_Livestock[[#This Row],[Custom emissions intensity]], Table_Scope3_Livestock[[#This Row],[Custom emissions intensity]], Table_Scope3_Livestock[[#This Row],[AusLCI Emissions intensity]])</f>
        <v>34000</v>
      </c>
      <c r="N86" s="197"/>
      <c r="O86" s="199"/>
      <c r="P86" s="197"/>
      <c r="Q86" s="198" cm="1">
        <f t="array" ref="Q86">Common_InputFunctions.Utility_LookupValueInTableNumber(Table_Scope3_Livestock[[#This Row],[Custom emissions intensity source type (Select)]],#REF!,#REF!)</f>
        <v>0</v>
      </c>
    </row>
    <row r="87" spans="4:17" ht="20.100000000000001" customHeight="1" x14ac:dyDescent="0.25">
      <c r="D87" s="196" t="str" cm="1">
        <f t="array" ref="D87">Common_InputFunctions.Utility_DisplayArrayInTable(Scope3_SourceData.Scope3_Livestock_Data(), Table_Scope3_Livestock[[#Headers],[Category]], 0, 2)</f>
        <v>Dairy cattle</v>
      </c>
      <c r="E87" s="196" t="str" cm="1">
        <f t="array" ref="E87">Common_InputFunctions.Utility_DisplayArrayInTable(Scope3_SourceData.Scope3_Livestock_Data(), Table_Scope3_Livestock[[#Headers],[Category]], 0, 2)</f>
        <v>Dairy cows</v>
      </c>
      <c r="F87" s="14" t="str" cm="1">
        <f t="array" ref="F87">Common_InputFunctions.Utility_DisplayArrayInTable(Scope3_SourceData.Scope3_Livestock_Data(), Table_Scope3_Livestock[[#Headers],[Category]], 0, 2)</f>
        <v>VIC</v>
      </c>
      <c r="G87" s="14" cm="1">
        <f t="array" ref="G8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"VIC", Table_Input_LivestockPurchases[Source region (Select)]))</f>
        <v>25000</v>
      </c>
      <c r="H87" s="14" t="str" cm="1">
        <f t="array" ref="H87">Common_InputFunctions.Utility_DisplayArrayInTable(Scope3_SourceData.Scope3_Livestock_Data(), Table_Scope3_Livestock[[#Headers],[Category]], 0, 1)</f>
        <v>kg liveweight</v>
      </c>
      <c r="I87" s="14" cm="1">
        <f t="array" ref="I87">Common_InputFunctions.Utility_DisplayArrayInTable(Scope3_SourceData.Scope3_Livestock_Data(), Table_Scope3_Livestock[[#Headers],[Category]], 0, 1)</f>
        <v>4.41</v>
      </c>
      <c r="J87" s="197"/>
      <c r="K87" s="14" t="str">
        <f>"kg CO2e / " &amp;Table_Scope3_Livestock[[#This Row],[Quantity unit]]</f>
        <v>kg CO2e / kg liveweight</v>
      </c>
      <c r="L87" s="14">
        <f>Table_Scope3_Livestock[[#This Row],[Quantity]]*Table_Scope3_Livestock[[#This Row],[AusLCI Emissions intensity]]</f>
        <v>110250</v>
      </c>
      <c r="M87" s="155">
        <f>Table_Scope3_Livestock[[#This Row],[Quantity]]*IF(Table_Scope3_Livestock[[#This Row],[Custom emissions intensity]], Table_Scope3_Livestock[[#This Row],[Custom emissions intensity]], Table_Scope3_Livestock[[#This Row],[AusLCI Emissions intensity]])</f>
        <v>110250</v>
      </c>
      <c r="N87" s="197"/>
      <c r="O87" s="199"/>
      <c r="P87" s="197"/>
      <c r="Q87" s="198" cm="1">
        <f t="array" ref="Q87">Common_InputFunctions.Utility_LookupValueInTableNumber(Table_Scope3_Livestock[[#This Row],[Custom emissions intensity source type (Select)]],#REF!,#REF!)</f>
        <v>0</v>
      </c>
    </row>
    <row r="88" spans="4:17" ht="20.100000000000001" customHeight="1" x14ac:dyDescent="0.25">
      <c r="D88" s="196" t="str" cm="1">
        <f t="array" ref="D88">Common_InputFunctions.Utility_DisplayArrayInTable(Scope3_SourceData.Scope3_Livestock_Data(), Table_Scope3_Livestock[[#Headers],[Category]], 0, 2)</f>
        <v>Pigs</v>
      </c>
      <c r="E88" s="196" t="str" cm="1">
        <f t="array" ref="E88">Common_InputFunctions.Utility_DisplayArrayInTable(Scope3_SourceData.Scope3_Livestock_Data(), Table_Scope3_Livestock[[#Headers],[Category]], 0, 2)</f>
        <v>Pigs</v>
      </c>
      <c r="F88" s="14" t="str" cm="1">
        <f t="array" ref="F88">Common_InputFunctions.Utility_DisplayArrayInTable(Scope3_SourceData.Scope3_Livestock_Data(), Table_Scope3_Livestock[[#Headers],[Category]], 0, 2)</f>
        <v>Australia</v>
      </c>
      <c r="G88" s="14" cm="1">
        <f t="array" ref="G8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8" s="14" t="str" cm="1">
        <f t="array" ref="H88">Common_InputFunctions.Utility_DisplayArrayInTable(Scope3_SourceData.Scope3_Livestock_Data(), Table_Scope3_Livestock[[#Headers],[Category]], 0, 1)</f>
        <v>kg liveweight</v>
      </c>
      <c r="I88" s="14" cm="1">
        <f t="array" ref="I88">Common_InputFunctions.Utility_DisplayArrayInTable(Scope3_SourceData.Scope3_Livestock_Data(), Table_Scope3_Livestock[[#Headers],[Category]], 0, 1)</f>
        <v>3.38</v>
      </c>
      <c r="J88" s="197"/>
      <c r="K88" s="14" t="str">
        <f>"kg CO2e / " &amp;Table_Scope3_Livestock[[#This Row],[Quantity unit]]</f>
        <v>kg CO2e / kg liveweight</v>
      </c>
      <c r="L88" s="14">
        <f>Table_Scope3_Livestock[[#This Row],[Quantity]]*Table_Scope3_Livestock[[#This Row],[AusLCI Emissions intensity]]</f>
        <v>84500</v>
      </c>
      <c r="M88" s="155">
        <f>Table_Scope3_Livestock[[#This Row],[Quantity]]*IF(Table_Scope3_Livestock[[#This Row],[Custom emissions intensity]], Table_Scope3_Livestock[[#This Row],[Custom emissions intensity]], Table_Scope3_Livestock[[#This Row],[AusLCI Emissions intensity]])</f>
        <v>84500</v>
      </c>
      <c r="N88" s="197"/>
      <c r="O88" s="199"/>
      <c r="P88" s="197"/>
      <c r="Q88" s="198" cm="1">
        <f t="array" ref="Q88">Common_InputFunctions.Utility_LookupValueInTableNumber(Table_Scope3_Livestock[[#This Row],[Custom emissions intensity source type (Select)]],#REF!,#REF!)</f>
        <v>0</v>
      </c>
    </row>
    <row r="89" spans="4:17" ht="20.100000000000001" customHeight="1" x14ac:dyDescent="0.25">
      <c r="D89" s="196" t="str" cm="1">
        <f t="array" ref="D89">Common_InputFunctions.Utility_DisplayArrayInTable(Scope3_SourceData.Scope3_Livestock_Data(), Table_Scope3_Livestock[[#Headers],[Category]], 0, 2)</f>
        <v>Sheep</v>
      </c>
      <c r="E89" s="196" t="str" cm="1">
        <f t="array" ref="E89">Common_InputFunctions.Utility_DisplayArrayInTable(Scope3_SourceData.Scope3_Livestock_Data(), Table_Scope3_Livestock[[#Headers],[Category]], 0, 2)</f>
        <v>Sheep, for mutton</v>
      </c>
      <c r="F89" s="14" t="str" cm="1">
        <f t="array" ref="F89">Common_InputFunctions.Utility_DisplayArrayInTable(Scope3_SourceData.Scope3_Livestock_Data(), Table_Scope3_Livestock[[#Headers],[Category]], 0, 2)</f>
        <v>Australia</v>
      </c>
      <c r="G89" s="14" cm="1">
        <f t="array" ref="G8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89" s="14" t="str" cm="1">
        <f t="array" ref="H89">Common_InputFunctions.Utility_DisplayArrayInTable(Scope3_SourceData.Scope3_Livestock_Data(), Table_Scope3_Livestock[[#Headers],[Category]], 0, 1)</f>
        <v>kg liveweight</v>
      </c>
      <c r="I89" s="14" cm="1">
        <f t="array" ref="I89">Common_InputFunctions.Utility_DisplayArrayInTable(Scope3_SourceData.Scope3_Livestock_Data(), Table_Scope3_Livestock[[#Headers],[Category]], 0, 1)</f>
        <v>6.81</v>
      </c>
      <c r="J89" s="197"/>
      <c r="K89" s="14" t="str">
        <f>"kg CO2e / " &amp;Table_Scope3_Livestock[[#This Row],[Quantity unit]]</f>
        <v>kg CO2e / kg liveweight</v>
      </c>
      <c r="L89" s="14">
        <f>Table_Scope3_Livestock[[#This Row],[Quantity]]*Table_Scope3_Livestock[[#This Row],[AusLCI Emissions intensity]]</f>
        <v>170250</v>
      </c>
      <c r="M89" s="155">
        <f>Table_Scope3_Livestock[[#This Row],[Quantity]]*IF(Table_Scope3_Livestock[[#This Row],[Custom emissions intensity]], Table_Scope3_Livestock[[#This Row],[Custom emissions intensity]], Table_Scope3_Livestock[[#This Row],[AusLCI Emissions intensity]])</f>
        <v>170250</v>
      </c>
      <c r="N89" s="197"/>
      <c r="O89" s="199"/>
      <c r="P89" s="197"/>
      <c r="Q89" s="198" cm="1">
        <f t="array" ref="Q89">Common_InputFunctions.Utility_LookupValueInTableNumber(Table_Scope3_Livestock[[#This Row],[Custom emissions intensity source type (Select)]],#REF!,#REF!)</f>
        <v>0</v>
      </c>
    </row>
    <row r="90" spans="4:17" ht="20.100000000000001" customHeight="1" x14ac:dyDescent="0.25">
      <c r="D90" s="196" t="str" cm="1">
        <f t="array" ref="D90">Common_InputFunctions.Utility_DisplayArrayInTable(Scope3_SourceData.Scope3_Livestock_Data(), Table_Scope3_Livestock[[#Headers],[Category]], 0, 2)</f>
        <v>Sheep</v>
      </c>
      <c r="E90" s="196" t="str" cm="1">
        <f t="array" ref="E90">Common_InputFunctions.Utility_DisplayArrayInTable(Scope3_SourceData.Scope3_Livestock_Data(), Table_Scope3_Livestock[[#Headers],[Category]], 0, 2)</f>
        <v>Sheep, for mutton</v>
      </c>
      <c r="F90" s="14" t="str" cm="1">
        <f t="array" ref="F90">Common_InputFunctions.Utility_DisplayArrayInTable(Scope3_SourceData.Scope3_Livestock_Data(), Table_Scope3_Livestock[[#Headers],[Category]], 0, 2)</f>
        <v>NSW</v>
      </c>
      <c r="G90" s="14" cm="1">
        <f t="array" ref="G9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0" s="14" t="str" cm="1">
        <f t="array" ref="H90">Common_InputFunctions.Utility_DisplayArrayInTable(Scope3_SourceData.Scope3_Livestock_Data(), Table_Scope3_Livestock[[#Headers],[Category]], 0, 1)</f>
        <v>kg liveweight</v>
      </c>
      <c r="I90" s="14" cm="1">
        <f t="array" ref="I90">Common_InputFunctions.Utility_DisplayArrayInTable(Scope3_SourceData.Scope3_Livestock_Data(), Table_Scope3_Livestock[[#Headers],[Category]], 0, 1)</f>
        <v>2.2599999999999998</v>
      </c>
      <c r="J90" s="197"/>
      <c r="K90" s="14" t="str">
        <f>"kg CO2e / " &amp;Table_Scope3_Livestock[[#This Row],[Quantity unit]]</f>
        <v>kg CO2e / kg liveweight</v>
      </c>
      <c r="L90" s="14">
        <f>Table_Scope3_Livestock[[#This Row],[Quantity]]*Table_Scope3_Livestock[[#This Row],[AusLCI Emissions intensity]]</f>
        <v>0</v>
      </c>
      <c r="M90" s="155">
        <f>Table_Scope3_Livestock[[#This Row],[Quantity]]*IF(Table_Scope3_Livestock[[#This Row],[Custom emissions intensity]], Table_Scope3_Livestock[[#This Row],[Custom emissions intensity]], Table_Scope3_Livestock[[#This Row],[AusLCI Emissions intensity]])</f>
        <v>0</v>
      </c>
      <c r="N90" s="197"/>
      <c r="O90" s="199"/>
      <c r="P90" s="197"/>
      <c r="Q90" s="198" cm="1">
        <f t="array" ref="Q90">Common_InputFunctions.Utility_LookupValueInTableNumber(Table_Scope3_Livestock[[#This Row],[Custom emissions intensity source type (Select)]],#REF!,#REF!)</f>
        <v>0</v>
      </c>
    </row>
    <row r="91" spans="4:17" ht="20.100000000000001" customHeight="1" x14ac:dyDescent="0.25">
      <c r="D91" s="196" t="str" cm="1">
        <f t="array" ref="D91">Common_InputFunctions.Utility_DisplayArrayInTable(Scope3_SourceData.Scope3_Livestock_Data(), Table_Scope3_Livestock[[#Headers],[Category]], 0, 2)</f>
        <v>Sheep</v>
      </c>
      <c r="E91" s="196" t="str" cm="1">
        <f t="array" ref="E91">Common_InputFunctions.Utility_DisplayArrayInTable(Scope3_SourceData.Scope3_Livestock_Data(), Table_Scope3_Livestock[[#Headers],[Category]], 0, 2)</f>
        <v>Sheep, for mutton</v>
      </c>
      <c r="F91" s="14" t="str" cm="1">
        <f t="array" ref="F91">Common_InputFunctions.Utility_DisplayArrayInTable(Scope3_SourceData.Scope3_Livestock_Data(), Table_Scope3_Livestock[[#Headers],[Category]], 0, 2)</f>
        <v>QLD</v>
      </c>
      <c r="G91" s="14" cm="1">
        <f t="array" ref="G9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1" s="14" t="str" cm="1">
        <f t="array" ref="H91">Common_InputFunctions.Utility_DisplayArrayInTable(Scope3_SourceData.Scope3_Livestock_Data(), Table_Scope3_Livestock[[#Headers],[Category]], 0, 1)</f>
        <v>kg liveweight</v>
      </c>
      <c r="I91" s="14" cm="1">
        <f t="array" ref="I91">Common_InputFunctions.Utility_DisplayArrayInTable(Scope3_SourceData.Scope3_Livestock_Data(), Table_Scope3_Livestock[[#Headers],[Category]], 0, 1)</f>
        <v>6.33</v>
      </c>
      <c r="J91" s="197"/>
      <c r="K91" s="14" t="str">
        <f>"kg CO2e / " &amp;Table_Scope3_Livestock[[#This Row],[Quantity unit]]</f>
        <v>kg CO2e / kg liveweight</v>
      </c>
      <c r="L91" s="14">
        <f>Table_Scope3_Livestock[[#This Row],[Quantity]]*Table_Scope3_Livestock[[#This Row],[AusLCI Emissions intensity]]</f>
        <v>0</v>
      </c>
      <c r="M91" s="155">
        <f>Table_Scope3_Livestock[[#This Row],[Quantity]]*IF(Table_Scope3_Livestock[[#This Row],[Custom emissions intensity]], Table_Scope3_Livestock[[#This Row],[Custom emissions intensity]], Table_Scope3_Livestock[[#This Row],[AusLCI Emissions intensity]])</f>
        <v>0</v>
      </c>
      <c r="N91" s="197"/>
      <c r="O91" s="199"/>
      <c r="P91" s="197"/>
      <c r="Q91" s="198" cm="1">
        <f t="array" ref="Q91">Common_InputFunctions.Utility_LookupValueInTableNumber(Table_Scope3_Livestock[[#This Row],[Custom emissions intensity source type (Select)]],#REF!,#REF!)</f>
        <v>0</v>
      </c>
    </row>
    <row r="92" spans="4:17" ht="20.100000000000001" customHeight="1" x14ac:dyDescent="0.25">
      <c r="D92" s="196" t="str" cm="1">
        <f t="array" ref="D92">Common_InputFunctions.Utility_DisplayArrayInTable(Scope3_SourceData.Scope3_Livestock_Data(), Table_Scope3_Livestock[[#Headers],[Category]], 0, 2)</f>
        <v>Sheep</v>
      </c>
      <c r="E92" s="196" t="str" cm="1">
        <f t="array" ref="E92">Common_InputFunctions.Utility_DisplayArrayInTable(Scope3_SourceData.Scope3_Livestock_Data(), Table_Scope3_Livestock[[#Headers],[Category]], 0, 2)</f>
        <v>Sheep, for mutton</v>
      </c>
      <c r="F92" s="14" t="str" cm="1">
        <f t="array" ref="F92">Common_InputFunctions.Utility_DisplayArrayInTable(Scope3_SourceData.Scope3_Livestock_Data(), Table_Scope3_Livestock[[#Headers],[Category]], 0, 2)</f>
        <v>SA</v>
      </c>
      <c r="G92" s="14" cm="1">
        <f t="array" ref="G9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2" s="14" t="str" cm="1">
        <f t="array" ref="H92">Common_InputFunctions.Utility_DisplayArrayInTable(Scope3_SourceData.Scope3_Livestock_Data(), Table_Scope3_Livestock[[#Headers],[Category]], 0, 1)</f>
        <v>kg liveweight</v>
      </c>
      <c r="I92" s="14" cm="1">
        <f t="array" ref="I92">Common_InputFunctions.Utility_DisplayArrayInTable(Scope3_SourceData.Scope3_Livestock_Data(), Table_Scope3_Livestock[[#Headers],[Category]], 0, 1)</f>
        <v>6.18</v>
      </c>
      <c r="J92" s="197"/>
      <c r="K92" s="14" t="str">
        <f>"kg CO2e / " &amp;Table_Scope3_Livestock[[#This Row],[Quantity unit]]</f>
        <v>kg CO2e / kg liveweight</v>
      </c>
      <c r="L92" s="14">
        <f>Table_Scope3_Livestock[[#This Row],[Quantity]]*Table_Scope3_Livestock[[#This Row],[AusLCI Emissions intensity]]</f>
        <v>0</v>
      </c>
      <c r="M92" s="155">
        <f>Table_Scope3_Livestock[[#This Row],[Quantity]]*IF(Table_Scope3_Livestock[[#This Row],[Custom emissions intensity]], Table_Scope3_Livestock[[#This Row],[Custom emissions intensity]], Table_Scope3_Livestock[[#This Row],[AusLCI Emissions intensity]])</f>
        <v>0</v>
      </c>
      <c r="N92" s="197"/>
      <c r="O92" s="199"/>
      <c r="P92" s="197"/>
      <c r="Q92" s="198" cm="1">
        <f t="array" ref="Q92">Common_InputFunctions.Utility_LookupValueInTableNumber(Table_Scope3_Livestock[[#This Row],[Custom emissions intensity source type (Select)]],#REF!,#REF!)</f>
        <v>0</v>
      </c>
    </row>
    <row r="93" spans="4:17" ht="20.100000000000001" customHeight="1" x14ac:dyDescent="0.25">
      <c r="D93" s="196" t="str" cm="1">
        <f t="array" ref="D93">Common_InputFunctions.Utility_DisplayArrayInTable(Scope3_SourceData.Scope3_Livestock_Data(), Table_Scope3_Livestock[[#Headers],[Category]], 0, 2)</f>
        <v>Sheep</v>
      </c>
      <c r="E93" s="196" t="str" cm="1">
        <f t="array" ref="E93">Common_InputFunctions.Utility_DisplayArrayInTable(Scope3_SourceData.Scope3_Livestock_Data(), Table_Scope3_Livestock[[#Headers],[Category]], 0, 2)</f>
        <v>Sheep, for mutton</v>
      </c>
      <c r="F93" s="14" t="str" cm="1">
        <f t="array" ref="F93">Common_InputFunctions.Utility_DisplayArrayInTable(Scope3_SourceData.Scope3_Livestock_Data(), Table_Scope3_Livestock[[#Headers],[Category]], 0, 2)</f>
        <v>TAS</v>
      </c>
      <c r="G93" s="14" cm="1">
        <f t="array" ref="G93">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3" s="14" t="str" cm="1">
        <f t="array" ref="H93">Common_InputFunctions.Utility_DisplayArrayInTable(Scope3_SourceData.Scope3_Livestock_Data(), Table_Scope3_Livestock[[#Headers],[Category]], 0, 1)</f>
        <v>kg liveweight</v>
      </c>
      <c r="I93" s="14" cm="1">
        <f t="array" ref="I93">Common_InputFunctions.Utility_DisplayArrayInTable(Scope3_SourceData.Scope3_Livestock_Data(), Table_Scope3_Livestock[[#Headers],[Category]], 0, 1)</f>
        <v>7.5</v>
      </c>
      <c r="J93" s="197"/>
      <c r="K93" s="14" t="str">
        <f>"kg CO2e / " &amp;Table_Scope3_Livestock[[#This Row],[Quantity unit]]</f>
        <v>kg CO2e / kg liveweight</v>
      </c>
      <c r="L93" s="14">
        <f>Table_Scope3_Livestock[[#This Row],[Quantity]]*Table_Scope3_Livestock[[#This Row],[AusLCI Emissions intensity]]</f>
        <v>0</v>
      </c>
      <c r="M93" s="155">
        <f>Table_Scope3_Livestock[[#This Row],[Quantity]]*IF(Table_Scope3_Livestock[[#This Row],[Custom emissions intensity]], Table_Scope3_Livestock[[#This Row],[Custom emissions intensity]], Table_Scope3_Livestock[[#This Row],[AusLCI Emissions intensity]])</f>
        <v>0</v>
      </c>
      <c r="N93" s="197"/>
      <c r="O93" s="199"/>
      <c r="P93" s="197"/>
      <c r="Q93" s="198" cm="1">
        <f t="array" ref="Q93">Common_InputFunctions.Utility_LookupValueInTableNumber(Table_Scope3_Livestock[[#This Row],[Custom emissions intensity source type (Select)]],#REF!,#REF!)</f>
        <v>0</v>
      </c>
    </row>
    <row r="94" spans="4:17" ht="20.100000000000001" customHeight="1" x14ac:dyDescent="0.25">
      <c r="D94" s="196" t="str" cm="1">
        <f t="array" ref="D94">Common_InputFunctions.Utility_DisplayArrayInTable(Scope3_SourceData.Scope3_Livestock_Data(), Table_Scope3_Livestock[[#Headers],[Category]], 0, 2)</f>
        <v>Sheep</v>
      </c>
      <c r="E94" s="196" t="str" cm="1">
        <f t="array" ref="E94">Common_InputFunctions.Utility_DisplayArrayInTable(Scope3_SourceData.Scope3_Livestock_Data(), Table_Scope3_Livestock[[#Headers],[Category]], 0, 2)</f>
        <v>Sheep, for mutton</v>
      </c>
      <c r="F94" s="14" t="str" cm="1">
        <f t="array" ref="F94">Common_InputFunctions.Utility_DisplayArrayInTable(Scope3_SourceData.Scope3_Livestock_Data(), Table_Scope3_Livestock[[#Headers],[Category]], 0, 2)</f>
        <v>VIC</v>
      </c>
      <c r="G94" s="14" cm="1">
        <f t="array" ref="G94">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4" s="14" t="str" cm="1">
        <f t="array" ref="H94">Common_InputFunctions.Utility_DisplayArrayInTable(Scope3_SourceData.Scope3_Livestock_Data(), Table_Scope3_Livestock[[#Headers],[Category]], 0, 1)</f>
        <v>kg liveweight</v>
      </c>
      <c r="I94" s="14" cm="1">
        <f t="array" ref="I94">Common_InputFunctions.Utility_DisplayArrayInTable(Scope3_SourceData.Scope3_Livestock_Data(), Table_Scope3_Livestock[[#Headers],[Category]], 0, 1)</f>
        <v>8.08</v>
      </c>
      <c r="J94" s="197"/>
      <c r="K94" s="14" t="str">
        <f>"kg CO2e / " &amp;Table_Scope3_Livestock[[#This Row],[Quantity unit]]</f>
        <v>kg CO2e / kg liveweight</v>
      </c>
      <c r="L94" s="14">
        <f>Table_Scope3_Livestock[[#This Row],[Quantity]]*Table_Scope3_Livestock[[#This Row],[AusLCI Emissions intensity]]</f>
        <v>0</v>
      </c>
      <c r="M94" s="155">
        <f>Table_Scope3_Livestock[[#This Row],[Quantity]]*IF(Table_Scope3_Livestock[[#This Row],[Custom emissions intensity]], Table_Scope3_Livestock[[#This Row],[Custom emissions intensity]], Table_Scope3_Livestock[[#This Row],[AusLCI Emissions intensity]])</f>
        <v>0</v>
      </c>
      <c r="N94" s="197"/>
      <c r="O94" s="199"/>
      <c r="P94" s="197"/>
      <c r="Q94" s="198" cm="1">
        <f t="array" ref="Q94">Common_InputFunctions.Utility_LookupValueInTableNumber(Table_Scope3_Livestock[[#This Row],[Custom emissions intensity source type (Select)]],#REF!,#REF!)</f>
        <v>0</v>
      </c>
    </row>
    <row r="95" spans="4:17" ht="20.100000000000001" customHeight="1" x14ac:dyDescent="0.25">
      <c r="D95" s="196" t="str" cm="1">
        <f t="array" ref="D95">Common_InputFunctions.Utility_DisplayArrayInTable(Scope3_SourceData.Scope3_Livestock_Data(), Table_Scope3_Livestock[[#Headers],[Category]], 0, 2)</f>
        <v>Sheep</v>
      </c>
      <c r="E95" s="196" t="str" cm="1">
        <f t="array" ref="E95">Common_InputFunctions.Utility_DisplayArrayInTable(Scope3_SourceData.Scope3_Livestock_Data(), Table_Scope3_Livestock[[#Headers],[Category]], 0, 2)</f>
        <v>Sheep, for mutton</v>
      </c>
      <c r="F95" s="14" t="str" cm="1">
        <f t="array" ref="F95">Common_InputFunctions.Utility_DisplayArrayInTable(Scope3_SourceData.Scope3_Livestock_Data(), Table_Scope3_Livestock[[#Headers],[Category]], 0, 2)</f>
        <v>WA</v>
      </c>
      <c r="G95" s="14" cm="1">
        <f t="array" ref="G95">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5" s="14" t="str" cm="1">
        <f t="array" ref="H95">Common_InputFunctions.Utility_DisplayArrayInTable(Scope3_SourceData.Scope3_Livestock_Data(), Table_Scope3_Livestock[[#Headers],[Category]], 0, 1)</f>
        <v>kg liveweight</v>
      </c>
      <c r="I95" s="14" cm="1">
        <f t="array" ref="I95">Common_InputFunctions.Utility_DisplayArrayInTable(Scope3_SourceData.Scope3_Livestock_Data(), Table_Scope3_Livestock[[#Headers],[Category]], 0, 1)</f>
        <v>5.45</v>
      </c>
      <c r="J95" s="197"/>
      <c r="K95" s="14" t="str">
        <f>"kg CO2e / " &amp;Table_Scope3_Livestock[[#This Row],[Quantity unit]]</f>
        <v>kg CO2e / kg liveweight</v>
      </c>
      <c r="L95" s="14">
        <f>Table_Scope3_Livestock[[#This Row],[Quantity]]*Table_Scope3_Livestock[[#This Row],[AusLCI Emissions intensity]]</f>
        <v>0</v>
      </c>
      <c r="M95" s="155">
        <f>Table_Scope3_Livestock[[#This Row],[Quantity]]*IF(Table_Scope3_Livestock[[#This Row],[Custom emissions intensity]], Table_Scope3_Livestock[[#This Row],[Custom emissions intensity]], Table_Scope3_Livestock[[#This Row],[AusLCI Emissions intensity]])</f>
        <v>0</v>
      </c>
      <c r="N95" s="197"/>
      <c r="O95" s="199"/>
      <c r="P95" s="197"/>
      <c r="Q95" s="198" cm="1">
        <f t="array" ref="Q95">Common_InputFunctions.Utility_LookupValueInTableNumber(Table_Scope3_Livestock[[#This Row],[Custom emissions intensity source type (Select)]],#REF!,#REF!)</f>
        <v>0</v>
      </c>
    </row>
    <row r="96" spans="4:17" ht="20.100000000000001" customHeight="1" x14ac:dyDescent="0.25">
      <c r="D96" s="196" t="str" cm="1">
        <f t="array" ref="D96">Common_InputFunctions.Utility_DisplayArrayInTable(Scope3_SourceData.Scope3_Livestock_Data(), Table_Scope3_Livestock[[#Headers],[Category]], 0, 2)</f>
        <v>Sheep</v>
      </c>
      <c r="E96" s="196" t="str" cm="1">
        <f t="array" ref="E96">Common_InputFunctions.Utility_DisplayArrayInTable(Scope3_SourceData.Scope3_Livestock_Data(), Table_Scope3_Livestock[[#Headers],[Category]], 0, 2)</f>
        <v>Sheep, for prime lamb</v>
      </c>
      <c r="F96" s="14" t="str" cm="1">
        <f t="array" ref="F96">Common_InputFunctions.Utility_DisplayArrayInTable(Scope3_SourceData.Scope3_Livestock_Data(), Table_Scope3_Livestock[[#Headers],[Category]], 0, 2)</f>
        <v>Australia</v>
      </c>
      <c r="G96" s="14" cm="1">
        <f t="array" ref="G96">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6" s="14" t="str" cm="1">
        <f t="array" ref="H96">Common_InputFunctions.Utility_DisplayArrayInTable(Scope3_SourceData.Scope3_Livestock_Data(), Table_Scope3_Livestock[[#Headers],[Category]], 0, 1)</f>
        <v>kg liveweight</v>
      </c>
      <c r="I96" s="14" cm="1">
        <f t="array" ref="I96">Common_InputFunctions.Utility_DisplayArrayInTable(Scope3_SourceData.Scope3_Livestock_Data(), Table_Scope3_Livestock[[#Headers],[Category]], 0, 1)</f>
        <v>7.15</v>
      </c>
      <c r="J96" s="197"/>
      <c r="K96" s="14" t="str">
        <f>"kg CO2e / " &amp;Table_Scope3_Livestock[[#This Row],[Quantity unit]]</f>
        <v>kg CO2e / kg liveweight</v>
      </c>
      <c r="L96" s="14">
        <f>Table_Scope3_Livestock[[#This Row],[Quantity]]*Table_Scope3_Livestock[[#This Row],[AusLCI Emissions intensity]]</f>
        <v>0</v>
      </c>
      <c r="M96" s="155">
        <f>Table_Scope3_Livestock[[#This Row],[Quantity]]*IF(Table_Scope3_Livestock[[#This Row],[Custom emissions intensity]], Table_Scope3_Livestock[[#This Row],[Custom emissions intensity]], Table_Scope3_Livestock[[#This Row],[AusLCI Emissions intensity]])</f>
        <v>0</v>
      </c>
      <c r="N96" s="197"/>
      <c r="O96" s="199"/>
      <c r="P96" s="197"/>
      <c r="Q96" s="198" cm="1">
        <f t="array" ref="Q96">Common_InputFunctions.Utility_LookupValueInTableNumber(Table_Scope3_Livestock[[#This Row],[Custom emissions intensity source type (Select)]],#REF!,#REF!)</f>
        <v>0</v>
      </c>
    </row>
    <row r="97" spans="3:17" ht="20.100000000000001" customHeight="1" x14ac:dyDescent="0.25">
      <c r="D97" s="196" t="str" cm="1">
        <f t="array" ref="D97">Common_InputFunctions.Utility_DisplayArrayInTable(Scope3_SourceData.Scope3_Livestock_Data(), Table_Scope3_Livestock[[#Headers],[Category]], 0, 2)</f>
        <v>Sheep</v>
      </c>
      <c r="E97" s="196" t="str" cm="1">
        <f t="array" ref="E97">Common_InputFunctions.Utility_DisplayArrayInTable(Scope3_SourceData.Scope3_Livestock_Data(), Table_Scope3_Livestock[[#Headers],[Category]], 0, 2)</f>
        <v>Sheep, for prime lamb</v>
      </c>
      <c r="F97" s="14" t="str" cm="1">
        <f t="array" ref="F97">Common_InputFunctions.Utility_DisplayArrayInTable(Scope3_SourceData.Scope3_Livestock_Data(), Table_Scope3_Livestock[[#Headers],[Category]], 0, 2)</f>
        <v>NSW</v>
      </c>
      <c r="G97" s="14" cm="1">
        <f t="array" ref="G97">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7" s="14" t="str" cm="1">
        <f t="array" ref="H97">Common_InputFunctions.Utility_DisplayArrayInTable(Scope3_SourceData.Scope3_Livestock_Data(), Table_Scope3_Livestock[[#Headers],[Category]], 0, 1)</f>
        <v>kg liveweight</v>
      </c>
      <c r="I97" s="14" cm="1">
        <f t="array" ref="I97">Common_InputFunctions.Utility_DisplayArrayInTable(Scope3_SourceData.Scope3_Livestock_Data(), Table_Scope3_Livestock[[#Headers],[Category]], 0, 1)</f>
        <v>8.2899999999999991</v>
      </c>
      <c r="J97" s="197"/>
      <c r="K97" s="14" t="str">
        <f>"kg CO2e / " &amp;Table_Scope3_Livestock[[#This Row],[Quantity unit]]</f>
        <v>kg CO2e / kg liveweight</v>
      </c>
      <c r="L97" s="14">
        <f>Table_Scope3_Livestock[[#This Row],[Quantity]]*Table_Scope3_Livestock[[#This Row],[AusLCI Emissions intensity]]</f>
        <v>0</v>
      </c>
      <c r="M97" s="155">
        <f>Table_Scope3_Livestock[[#This Row],[Quantity]]*IF(Table_Scope3_Livestock[[#This Row],[Custom emissions intensity]], Table_Scope3_Livestock[[#This Row],[Custom emissions intensity]], Table_Scope3_Livestock[[#This Row],[AusLCI Emissions intensity]])</f>
        <v>0</v>
      </c>
      <c r="N97" s="197"/>
      <c r="O97" s="199"/>
      <c r="P97" s="197"/>
      <c r="Q97" s="198" cm="1">
        <f t="array" ref="Q97">Common_InputFunctions.Utility_LookupValueInTableNumber(Table_Scope3_Livestock[[#This Row],[Custom emissions intensity source type (Select)]],#REF!,#REF!)</f>
        <v>0</v>
      </c>
    </row>
    <row r="98" spans="3:17" ht="20.100000000000001" customHeight="1" x14ac:dyDescent="0.25">
      <c r="D98" s="196" t="str" cm="1">
        <f t="array" ref="D98">Common_InputFunctions.Utility_DisplayArrayInTable(Scope3_SourceData.Scope3_Livestock_Data(), Table_Scope3_Livestock[[#Headers],[Category]], 0, 2)</f>
        <v>Sheep</v>
      </c>
      <c r="E98" s="196" t="str" cm="1">
        <f t="array" ref="E98">Common_InputFunctions.Utility_DisplayArrayInTable(Scope3_SourceData.Scope3_Livestock_Data(), Table_Scope3_Livestock[[#Headers],[Category]], 0, 2)</f>
        <v>Sheep, for prime lamb</v>
      </c>
      <c r="F98" s="14" t="str" cm="1">
        <f t="array" ref="F98">Common_InputFunctions.Utility_DisplayArrayInTable(Scope3_SourceData.Scope3_Livestock_Data(), Table_Scope3_Livestock[[#Headers],[Category]], 0, 2)</f>
        <v>QLD</v>
      </c>
      <c r="G98" s="14" cm="1">
        <f t="array" ref="G98">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8" s="14" t="str" cm="1">
        <f t="array" ref="H98">Common_InputFunctions.Utility_DisplayArrayInTable(Scope3_SourceData.Scope3_Livestock_Data(), Table_Scope3_Livestock[[#Headers],[Category]], 0, 1)</f>
        <v>kg liveweight</v>
      </c>
      <c r="I98" s="14" cm="1">
        <f t="array" ref="I98">Common_InputFunctions.Utility_DisplayArrayInTable(Scope3_SourceData.Scope3_Livestock_Data(), Table_Scope3_Livestock[[#Headers],[Category]], 0, 1)</f>
        <v>6.39</v>
      </c>
      <c r="J98" s="197"/>
      <c r="K98" s="14" t="str">
        <f>"kg CO2e / " &amp;Table_Scope3_Livestock[[#This Row],[Quantity unit]]</f>
        <v>kg CO2e / kg liveweight</v>
      </c>
      <c r="L98" s="14">
        <f>Table_Scope3_Livestock[[#This Row],[Quantity]]*Table_Scope3_Livestock[[#This Row],[AusLCI Emissions intensity]]</f>
        <v>0</v>
      </c>
      <c r="M98" s="155">
        <f>Table_Scope3_Livestock[[#This Row],[Quantity]]*IF(Table_Scope3_Livestock[[#This Row],[Custom emissions intensity]], Table_Scope3_Livestock[[#This Row],[Custom emissions intensity]], Table_Scope3_Livestock[[#This Row],[AusLCI Emissions intensity]])</f>
        <v>0</v>
      </c>
      <c r="N98" s="197"/>
      <c r="O98" s="199"/>
      <c r="P98" s="197"/>
      <c r="Q98" s="198" cm="1">
        <f t="array" ref="Q98">Common_InputFunctions.Utility_LookupValueInTableNumber(Table_Scope3_Livestock[[#This Row],[Custom emissions intensity source type (Select)]],#REF!,#REF!)</f>
        <v>0</v>
      </c>
    </row>
    <row r="99" spans="3:17" ht="20.100000000000001" customHeight="1" x14ac:dyDescent="0.25">
      <c r="D99" s="196" t="str" cm="1">
        <f t="array" ref="D99">Common_InputFunctions.Utility_DisplayArrayInTable(Scope3_SourceData.Scope3_Livestock_Data(), Table_Scope3_Livestock[[#Headers],[Category]], 0, 2)</f>
        <v>Sheep</v>
      </c>
      <c r="E99" s="196" t="str" cm="1">
        <f t="array" ref="E99">Common_InputFunctions.Utility_DisplayArrayInTable(Scope3_SourceData.Scope3_Livestock_Data(), Table_Scope3_Livestock[[#Headers],[Category]], 0, 2)</f>
        <v>Sheep, for prime lamb</v>
      </c>
      <c r="F99" s="14" t="str" cm="1">
        <f t="array" ref="F99">Common_InputFunctions.Utility_DisplayArrayInTable(Scope3_SourceData.Scope3_Livestock_Data(), Table_Scope3_Livestock[[#Headers],[Category]], 0, 2)</f>
        <v>SA</v>
      </c>
      <c r="G99" s="14" cm="1">
        <f t="array" ref="G99">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99" s="14" t="str" cm="1">
        <f t="array" ref="H99">Common_InputFunctions.Utility_DisplayArrayInTable(Scope3_SourceData.Scope3_Livestock_Data(), Table_Scope3_Livestock[[#Headers],[Category]], 0, 1)</f>
        <v>kg liveweight</v>
      </c>
      <c r="I99" s="14" cm="1">
        <f t="array" ref="I99">Common_InputFunctions.Utility_DisplayArrayInTable(Scope3_SourceData.Scope3_Livestock_Data(), Table_Scope3_Livestock[[#Headers],[Category]], 0, 1)</f>
        <v>6.87</v>
      </c>
      <c r="J99" s="197"/>
      <c r="K99" s="14" t="str">
        <f>"kg CO2e / " &amp;Table_Scope3_Livestock[[#This Row],[Quantity unit]]</f>
        <v>kg CO2e / kg liveweight</v>
      </c>
      <c r="L99" s="14">
        <f>Table_Scope3_Livestock[[#This Row],[Quantity]]*Table_Scope3_Livestock[[#This Row],[AusLCI Emissions intensity]]</f>
        <v>0</v>
      </c>
      <c r="M99" s="155">
        <f>Table_Scope3_Livestock[[#This Row],[Quantity]]*IF(Table_Scope3_Livestock[[#This Row],[Custom emissions intensity]], Table_Scope3_Livestock[[#This Row],[Custom emissions intensity]], Table_Scope3_Livestock[[#This Row],[AusLCI Emissions intensity]])</f>
        <v>0</v>
      </c>
      <c r="N99" s="197"/>
      <c r="O99" s="199"/>
      <c r="P99" s="197"/>
      <c r="Q99" s="198" cm="1">
        <f t="array" ref="Q99">Common_InputFunctions.Utility_LookupValueInTableNumber(Table_Scope3_Livestock[[#This Row],[Custom emissions intensity source type (Select)]],#REF!,#REF!)</f>
        <v>0</v>
      </c>
    </row>
    <row r="100" spans="3:17" ht="20.100000000000001" customHeight="1" x14ac:dyDescent="0.25">
      <c r="D100" s="196" t="str" cm="1">
        <f t="array" ref="D100">Common_InputFunctions.Utility_DisplayArrayInTable(Scope3_SourceData.Scope3_Livestock_Data(), Table_Scope3_Livestock[[#Headers],[Category]], 0, 2)</f>
        <v>Sheep</v>
      </c>
      <c r="E100" s="196" t="str" cm="1">
        <f t="array" ref="E100">Common_InputFunctions.Utility_DisplayArrayInTable(Scope3_SourceData.Scope3_Livestock_Data(), Table_Scope3_Livestock[[#Headers],[Category]], 0, 2)</f>
        <v>Sheep, for prime lamb</v>
      </c>
      <c r="F100" s="14" t="str" cm="1">
        <f t="array" ref="F100">Common_InputFunctions.Utility_DisplayArrayInTable(Scope3_SourceData.Scope3_Livestock_Data(), Table_Scope3_Livestock[[#Headers],[Category]], 0, 2)</f>
        <v>TAS</v>
      </c>
      <c r="G100" s="14" cm="1">
        <f t="array" ref="G100">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100" s="14" t="str" cm="1">
        <f t="array" ref="H100">Common_InputFunctions.Utility_DisplayArrayInTable(Scope3_SourceData.Scope3_Livestock_Data(), Table_Scope3_Livestock[[#Headers],[Category]], 0, 1)</f>
        <v>kg liveweight</v>
      </c>
      <c r="I100" s="14" cm="1">
        <f t="array" ref="I100">Common_InputFunctions.Utility_DisplayArrayInTable(Scope3_SourceData.Scope3_Livestock_Data(), Table_Scope3_Livestock[[#Headers],[Category]], 0, 1)</f>
        <v>8.66</v>
      </c>
      <c r="J100" s="197"/>
      <c r="K100" s="14" t="str">
        <f>"kg CO2e / " &amp;Table_Scope3_Livestock[[#This Row],[Quantity unit]]</f>
        <v>kg CO2e / kg liveweight</v>
      </c>
      <c r="L100" s="14">
        <f>Table_Scope3_Livestock[[#This Row],[Quantity]]*Table_Scope3_Livestock[[#This Row],[AusLCI Emissions intensity]]</f>
        <v>0</v>
      </c>
      <c r="M100" s="155">
        <f>Table_Scope3_Livestock[[#This Row],[Quantity]]*IF(Table_Scope3_Livestock[[#This Row],[Custom emissions intensity]], Table_Scope3_Livestock[[#This Row],[Custom emissions intensity]], Table_Scope3_Livestock[[#This Row],[AusLCI Emissions intensity]])</f>
        <v>0</v>
      </c>
      <c r="N100" s="197"/>
      <c r="O100" s="199"/>
      <c r="P100" s="197"/>
      <c r="Q100" s="198" cm="1">
        <f t="array" ref="Q100">Common_InputFunctions.Utility_LookupValueInTableNumber(Table_Scope3_Livestock[[#This Row],[Custom emissions intensity source type (Select)]],#REF!,#REF!)</f>
        <v>0</v>
      </c>
    </row>
    <row r="101" spans="3:17" ht="20.100000000000001" customHeight="1" x14ac:dyDescent="0.25">
      <c r="D101" s="196" t="str" cm="1">
        <f t="array" ref="D101">Common_InputFunctions.Utility_DisplayArrayInTable(Scope3_SourceData.Scope3_Livestock_Data(), Table_Scope3_Livestock[[#Headers],[Category]], 0, 2)</f>
        <v>Sheep</v>
      </c>
      <c r="E101" s="196" t="str" cm="1">
        <f t="array" ref="E101">Common_InputFunctions.Utility_DisplayArrayInTable(Scope3_SourceData.Scope3_Livestock_Data(), Table_Scope3_Livestock[[#Headers],[Category]], 0, 2)</f>
        <v>Sheep, for prime lamb</v>
      </c>
      <c r="F101" s="14" t="str" cm="1">
        <f t="array" ref="F101">Common_InputFunctions.Utility_DisplayArrayInTable(Scope3_SourceData.Scope3_Livestock_Data(), Table_Scope3_Livestock[[#Headers],[Category]], 0, 2)</f>
        <v>VIC</v>
      </c>
      <c r="G101" s="14" cm="1">
        <f t="array" ref="G101">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0</v>
      </c>
      <c r="H101" s="14" t="str" cm="1">
        <f t="array" ref="H101">Common_InputFunctions.Utility_DisplayArrayInTable(Scope3_SourceData.Scope3_Livestock_Data(), Table_Scope3_Livestock[[#Headers],[Category]], 0, 1)</f>
        <v>kg liveweight</v>
      </c>
      <c r="I101" s="14" cm="1">
        <f t="array" ref="I101">Common_InputFunctions.Utility_DisplayArrayInTable(Scope3_SourceData.Scope3_Livestock_Data(), Table_Scope3_Livestock[[#Headers],[Category]], 0, 1)</f>
        <v>10</v>
      </c>
      <c r="J101" s="197"/>
      <c r="K101" s="14" t="str">
        <f>"kg CO2e / " &amp;Table_Scope3_Livestock[[#This Row],[Quantity unit]]</f>
        <v>kg CO2e / kg liveweight</v>
      </c>
      <c r="L101" s="14">
        <f>Table_Scope3_Livestock[[#This Row],[Quantity]]*Table_Scope3_Livestock[[#This Row],[AusLCI Emissions intensity]]</f>
        <v>0</v>
      </c>
      <c r="M101" s="155">
        <f>Table_Scope3_Livestock[[#This Row],[Quantity]]*IF(Table_Scope3_Livestock[[#This Row],[Custom emissions intensity]], Table_Scope3_Livestock[[#This Row],[Custom emissions intensity]], Table_Scope3_Livestock[[#This Row],[AusLCI Emissions intensity]])</f>
        <v>0</v>
      </c>
      <c r="N101" s="197"/>
      <c r="O101" s="199"/>
      <c r="P101" s="197"/>
      <c r="Q101" s="198" cm="1">
        <f t="array" ref="Q101">Common_InputFunctions.Utility_LookupValueInTableNumber(Table_Scope3_Livestock[[#This Row],[Custom emissions intensity source type (Select)]],#REF!,#REF!)</f>
        <v>0</v>
      </c>
    </row>
    <row r="102" spans="3:17" ht="20.100000000000001" customHeight="1" x14ac:dyDescent="0.25">
      <c r="D102" s="196" t="str" cm="1">
        <f t="array" ref="D102">Common_InputFunctions.Utility_DisplayArrayInTable(Scope3_SourceData.Scope3_Livestock_Data(), Table_Scope3_Livestock[[#Headers],[Category]], 0, 2)</f>
        <v>Sheep</v>
      </c>
      <c r="E102" s="196" t="str" cm="1">
        <f t="array" ref="E102">Common_InputFunctions.Utility_DisplayArrayInTable(Scope3_SourceData.Scope3_Livestock_Data(), Table_Scope3_Livestock[[#Headers],[Category]], 0, 2)</f>
        <v>Sheep, for prime lamb</v>
      </c>
      <c r="F102" s="14" t="str" cm="1">
        <f t="array" ref="F102">Common_InputFunctions.Utility_DisplayArrayInTable(Scope3_SourceData.Scope3_Livestock_Data(), Table_Scope3_Livestock[[#Headers],[Category]], 0, 2)</f>
        <v>WA</v>
      </c>
      <c r="G102" s="14" cm="1">
        <f t="array" ref="G102">Common_InputFunctions.Utility_SumQuantityFromCriteria(Table_Scope3_Livestock[[#This Row],[Product]],Table_Input_LivestockPurchases[Class (select)],Table_Input_LivestockPurchases[Quantity (head)],Table_Input_LivestockPurchases[Average liveweight (kg/head)],Table_Scope3_Livestock[[#This Row],[Region of origin]],IF(Table_Input_LivestockPurchases[Source region (Select)]="", "Australia", Table_Input_LivestockPurchases[Source region (Select)]))</f>
        <v>25000</v>
      </c>
      <c r="H102" s="14" t="str" cm="1">
        <f t="array" ref="H102">Common_InputFunctions.Utility_DisplayArrayInTable(Scope3_SourceData.Scope3_Livestock_Data(), Table_Scope3_Livestock[[#Headers],[Category]], 0, 1)</f>
        <v>kg liveweight</v>
      </c>
      <c r="I102" s="14" cm="1">
        <f t="array" ref="I102">Common_InputFunctions.Utility_DisplayArrayInTable(Scope3_SourceData.Scope3_Livestock_Data(), Table_Scope3_Livestock[[#Headers],[Category]], 0, 1)</f>
        <v>5.67</v>
      </c>
      <c r="J102" s="197"/>
      <c r="K102" s="14" t="str">
        <f>"kg CO2e / " &amp;Table_Scope3_Livestock[[#This Row],[Quantity unit]]</f>
        <v>kg CO2e / kg liveweight</v>
      </c>
      <c r="L102" s="14">
        <f>Table_Scope3_Livestock[[#This Row],[Quantity]]*Table_Scope3_Livestock[[#This Row],[AusLCI Emissions intensity]]</f>
        <v>141750</v>
      </c>
      <c r="M102" s="155">
        <f>Table_Scope3_Livestock[[#This Row],[Quantity]]*IF(Table_Scope3_Livestock[[#This Row],[Custom emissions intensity]], Table_Scope3_Livestock[[#This Row],[Custom emissions intensity]], Table_Scope3_Livestock[[#This Row],[AusLCI Emissions intensity]])</f>
        <v>141750</v>
      </c>
      <c r="N102" s="197"/>
      <c r="O102" s="199"/>
      <c r="P102" s="197"/>
      <c r="Q102" s="198" cm="1">
        <f t="array" ref="Q102">Common_InputFunctions.Utility_LookupValueInTableNumber(Table_Scope3_Livestock[[#This Row],[Custom emissions intensity source type (Select)]],#REF!,#REF!)</f>
        <v>0</v>
      </c>
    </row>
    <row r="103" spans="3:17" ht="20.100000000000001" customHeight="1" x14ac:dyDescent="0.25"/>
    <row r="104" spans="3:17" ht="20.100000000000001" customHeight="1" x14ac:dyDescent="0.35">
      <c r="C104" s="14"/>
      <c r="D104" s="161" t="s">
        <v>326</v>
      </c>
      <c r="E104" s="162"/>
      <c r="F104" s="163"/>
      <c r="G104" s="161">
        <f>SUM(Table_Scope3_Livestock[Scope 3 emissions exc. custom (t CO2-e)])</f>
        <v>746000</v>
      </c>
      <c r="H104" s="164" t="s">
        <v>320</v>
      </c>
      <c r="I104" s="14"/>
      <c r="J104" s="14"/>
      <c r="K104" s="14"/>
      <c r="L104" s="14"/>
      <c r="M104" s="14"/>
      <c r="N104" s="14"/>
      <c r="O104" s="14"/>
      <c r="P104" s="14"/>
      <c r="Q104" s="14"/>
    </row>
    <row r="105" spans="3:17" ht="20.100000000000001" customHeight="1" x14ac:dyDescent="0.25">
      <c r="C105" s="14"/>
      <c r="D105" s="165" t="s">
        <v>327</v>
      </c>
      <c r="E105" s="166"/>
      <c r="F105" s="166"/>
      <c r="G105" s="165">
        <f>SUM(Table_Scope3_Livestock[Scope 3 emissions inc. custom (t CO2-e)2])</f>
        <v>740750</v>
      </c>
      <c r="H105" s="164" t="s">
        <v>320</v>
      </c>
      <c r="I105" s="14"/>
      <c r="J105" s="14"/>
      <c r="K105" s="14"/>
      <c r="L105" s="14"/>
      <c r="M105" s="14"/>
      <c r="N105" s="14"/>
      <c r="O105" s="14"/>
      <c r="P105" s="14"/>
      <c r="Q105" s="14"/>
    </row>
    <row r="106" spans="3:17" ht="20.100000000000001" customHeight="1" x14ac:dyDescent="0.25">
      <c r="C106" s="14"/>
      <c r="D106" s="170"/>
      <c r="E106" s="171"/>
      <c r="F106" s="171"/>
      <c r="G106" s="170"/>
      <c r="H106" s="13"/>
      <c r="I106" s="14"/>
      <c r="J106" s="14"/>
      <c r="K106" s="14"/>
      <c r="L106" s="14"/>
      <c r="M106" s="14"/>
      <c r="N106" s="14"/>
      <c r="O106" s="14"/>
      <c r="P106" s="14"/>
      <c r="Q106" s="14"/>
    </row>
    <row r="107" spans="3:17" ht="20.100000000000001" customHeight="1" x14ac:dyDescent="0.25">
      <c r="C107" s="14"/>
      <c r="D107" s="170"/>
      <c r="E107" s="171"/>
      <c r="F107" s="171"/>
      <c r="G107" s="170"/>
      <c r="H107" s="13"/>
      <c r="I107" s="14"/>
      <c r="J107" s="14"/>
      <c r="K107" s="14"/>
      <c r="L107" s="14"/>
      <c r="M107" s="14"/>
      <c r="N107" s="14"/>
      <c r="O107" s="14"/>
      <c r="P107" s="14"/>
      <c r="Q107" s="14"/>
    </row>
    <row r="108" spans="3:17" ht="20.100000000000001" customHeight="1" x14ac:dyDescent="0.25">
      <c r="C108" s="14"/>
      <c r="D108" s="9" t="str" cm="1">
        <f t="array" ref="D108">Scope3_SourceData.Scope3_SoilAmendments_Title()</f>
        <v>Soil amendments scope 3</v>
      </c>
      <c r="E108" s="14"/>
      <c r="F108" s="14"/>
      <c r="G108" s="14"/>
      <c r="H108" s="14"/>
      <c r="I108" s="14"/>
      <c r="J108" s="14"/>
      <c r="K108" s="14"/>
      <c r="L108" s="14"/>
      <c r="M108" s="14"/>
      <c r="N108" s="14"/>
      <c r="O108" s="14"/>
      <c r="P108" s="14"/>
      <c r="Q108" s="14"/>
    </row>
    <row r="109" spans="3:17" ht="20.100000000000001" customHeight="1" x14ac:dyDescent="0.25">
      <c r="C109" s="14"/>
      <c r="D109" s="11" t="str" cm="1">
        <f t="array" ref="D109">Scope3_SourceData.Scope3_SoilAmendments_Source()</f>
        <v>Lifecycles. (2026). Greenhouse Gas Emission Intensities for Material Inputs to Australian Agriculture, Fisheries and Forestry. Version 48. doi 10.5281/zenodo.19656580</v>
      </c>
      <c r="E109" s="14"/>
      <c r="F109" s="14"/>
      <c r="G109" s="14"/>
      <c r="H109" s="14"/>
      <c r="I109" s="14"/>
      <c r="J109" s="14"/>
      <c r="K109" s="14"/>
      <c r="L109" s="14"/>
      <c r="M109" s="14"/>
      <c r="N109" s="14"/>
      <c r="O109" s="14"/>
      <c r="P109" s="14"/>
      <c r="Q109" s="14"/>
    </row>
    <row r="110" spans="3:17" ht="20.100000000000001" customHeight="1" x14ac:dyDescent="0.25">
      <c r="C110" s="14"/>
      <c r="D110" s="14"/>
      <c r="E110" s="14"/>
      <c r="F110" s="14"/>
      <c r="G110" s="14"/>
      <c r="H110" s="14"/>
      <c r="I110" s="14"/>
      <c r="J110" s="14"/>
      <c r="K110" s="14"/>
      <c r="L110" s="14"/>
      <c r="M110" s="14"/>
      <c r="N110" s="14"/>
      <c r="O110" s="14"/>
      <c r="P110" s="14"/>
      <c r="Q110" s="14"/>
    </row>
    <row r="111" spans="3:17" ht="20.100000000000001" customHeight="1" x14ac:dyDescent="0.25">
      <c r="C111" s="14"/>
      <c r="D111" s="168" t="s">
        <v>328</v>
      </c>
      <c r="E111" s="168" t="s">
        <v>304</v>
      </c>
      <c r="F111" s="168" t="s">
        <v>305</v>
      </c>
      <c r="G111" s="168" t="s">
        <v>306</v>
      </c>
      <c r="H111" s="169" t="s">
        <v>307</v>
      </c>
      <c r="I111" s="168" t="s">
        <v>308</v>
      </c>
      <c r="J111" s="168" t="s">
        <v>323</v>
      </c>
      <c r="K111" s="168" t="s">
        <v>309</v>
      </c>
      <c r="L111" s="169" t="s">
        <v>310</v>
      </c>
      <c r="M111" s="169" t="s">
        <v>311</v>
      </c>
      <c r="N111" s="169" t="s">
        <v>312</v>
      </c>
      <c r="O111" s="168" t="s">
        <v>313</v>
      </c>
      <c r="P111" s="14"/>
      <c r="Q111" s="14"/>
    </row>
    <row r="112" spans="3:17" ht="20.100000000000001" customHeight="1" x14ac:dyDescent="0.25">
      <c r="C112" s="14"/>
      <c r="D112" s="14" t="str" cm="1">
        <f t="array" ref="D112">Common_InputFunctions.Utility_DisplayArrayInTable(Scope3_SourceData.Scope3_SoilAmendments_Data(), Table_Scope3_SoilAmendments[[#Headers],[Soil amendment type]], 0, 2)</f>
        <v>Lime</v>
      </c>
      <c r="E112" s="14" cm="1">
        <f t="array" ref="E112">Fertiliser_InputFunctions.Fertiliser_TotalSoilAmendmentApplied(Table_Input_Lime[Total amount applied (t)],Table_Input_Lime[Percent Lime CaCO3])</f>
        <v>4000</v>
      </c>
      <c r="F112" s="14" t="str" cm="1">
        <f t="array" ref="F112">Common_InputFunctions.Utility_DisplayArrayInTable(Scope3_SourceData.Scope3_OrganicFertilisers_Data(), Table_Scope3_SoilAmendments[[#Headers],[Soil amendment type]], 0, 2)</f>
        <v>t</v>
      </c>
      <c r="G112" s="14" cm="1">
        <f t="array" ref="G112">Common_InputFunctions.Utility_DisplayArrayInTable(Scope3_SourceData.Scope3_SoilAmendments_Data(), Table_Scope3_SoilAmendments[[#Headers],[Soil amendment type]], 0, 2)</f>
        <v>30101</v>
      </c>
      <c r="H112" s="154">
        <v>100</v>
      </c>
      <c r="I112" s="14" t="str" cm="1">
        <f t="array" ref="I112">Common_InputFunctions.Utility_DisplayArrayInTable(Scope3_SourceData.Scope3_SoilAmendments_Data(), Table_Scope3_SoilAmendments[[#Headers],[Soil amendment type]], 0, 2)</f>
        <v>t CO2-e / t</v>
      </c>
      <c r="J112" s="14">
        <f>Table_Scope3_SoilAmendments[[#This Row],[Quantity]]*Table_Scope3_SoilAmendments[[#This Row],[AusLCI Emissions intensity]]</f>
        <v>120404000</v>
      </c>
      <c r="K112" s="14">
        <f>Table_Scope3_SoilAmendments[[#This Row],[Quantity]]*IF(Table_Scope3_SoilAmendments[[#This Row],[Custom emissions intensity]], Table_Scope3_SoilAmendments[[#This Row],[Custom emissions intensity]], Table_Scope3_SoilAmendments[[#This Row],[AusLCI Emissions intensity]])</f>
        <v>400000</v>
      </c>
      <c r="L112" s="154"/>
      <c r="M112" s="48"/>
      <c r="N112" s="154"/>
      <c r="O112" s="155" cm="1">
        <f t="array" ref="O112">Common_InputFunctions.Utility_LookupValueInTableNumber(Table_Scope3_SoilAmendments[[#This Row],[Custom emissions intensity source type (Select)]],#REF!,#REF!)</f>
        <v>0</v>
      </c>
      <c r="P112" s="14"/>
      <c r="Q112" s="14"/>
    </row>
    <row r="113" spans="3:17" ht="20.100000000000001" customHeight="1" x14ac:dyDescent="0.25">
      <c r="C113" s="14"/>
      <c r="D113" s="14" t="str" cm="1">
        <f t="array" ref="D113">Common_InputFunctions.Utility_DisplayArrayInTable(Scope3_SourceData.Scope3_SoilAmendments_Data(), Table_Scope3_SoilAmendments[[#Headers],[Soil amendment type]], 0, 2)</f>
        <v>Limesand</v>
      </c>
      <c r="E113" s="14" cm="1">
        <f t="array" ref="E113">Fertiliser_InputFunctions.Fertiliser_TotalSoilAmendmentApplied(Table_Input_Lime[Total amount applied (t)],Table_Input_Lime[Percent Lime CaCO3])</f>
        <v>4000</v>
      </c>
      <c r="F113" s="14" t="str" cm="1">
        <f t="array" ref="F113">Common_InputFunctions.Utility_DisplayArrayInTable(Scope3_SourceData.Scope3_OrganicFertilisers_Data(), Table_Scope3_SoilAmendments[[#Headers],[Soil amendment type]], 0, 2)</f>
        <v>t</v>
      </c>
      <c r="G113" s="14" cm="1">
        <f t="array" ref="G113">Common_InputFunctions.Utility_DisplayArrayInTable(Scope3_SourceData.Scope3_SoilAmendments_Data(), Table_Scope3_SoilAmendments[[#Headers],[Soil amendment type]], 0, 2)</f>
        <v>30102</v>
      </c>
      <c r="H113" s="154"/>
      <c r="I113" s="14" t="str" cm="1">
        <f t="array" ref="I113">Common_InputFunctions.Utility_DisplayArrayInTable(Scope3_SourceData.Scope3_SoilAmendments_Data(), Table_Scope3_SoilAmendments[[#Headers],[Soil amendment type]], 0, 2)</f>
        <v>t CO2-e / t</v>
      </c>
      <c r="J113" s="14">
        <f>Table_Scope3_SoilAmendments[[#This Row],[Quantity]]*Table_Scope3_SoilAmendments[[#This Row],[AusLCI Emissions intensity]]</f>
        <v>120408000</v>
      </c>
      <c r="K113" s="14">
        <f>Table_Scope3_SoilAmendments[[#This Row],[Quantity]]*IF(Table_Scope3_SoilAmendments[[#This Row],[Custom emissions intensity]], Table_Scope3_SoilAmendments[[#This Row],[Custom emissions intensity]], Table_Scope3_SoilAmendments[[#This Row],[AusLCI Emissions intensity]])</f>
        <v>120408000</v>
      </c>
      <c r="L113" s="154"/>
      <c r="M113" s="48"/>
      <c r="N113" s="154"/>
      <c r="O113" s="155" cm="1">
        <f t="array" ref="O113">Common_InputFunctions.Utility_LookupValueInTableNumber(Table_Scope3_SoilAmendments[[#This Row],[Custom emissions intensity source type (Select)]],#REF!,#REF!)</f>
        <v>0</v>
      </c>
      <c r="P113" s="14"/>
      <c r="Q113" s="14"/>
    </row>
    <row r="114" spans="3:17" ht="20.100000000000001" customHeight="1" x14ac:dyDescent="0.25">
      <c r="C114" s="14"/>
      <c r="D114" s="14" t="str" cm="1">
        <f t="array" ref="D114">Common_InputFunctions.Utility_DisplayArrayInTable(Scope3_SourceData.Scope3_SoilAmendments_Data(), Table_Scope3_SoilAmendments[[#Headers],[Soil amendment type]], 0, 2)</f>
        <v>Dolomite</v>
      </c>
      <c r="E114" s="14" cm="1">
        <f t="array" ref="E114">Fertiliser_InputFunctions.Fertiliser_TotalSoilAmendmentApplied(Table_Input_Lime[Total amount applied (t)],Table_Input_Lime[Percent Lime CaCO3])</f>
        <v>4000</v>
      </c>
      <c r="F114" s="14" t="str" cm="1">
        <f t="array" ref="F114">Common_InputFunctions.Utility_DisplayArrayInTable(Scope3_SourceData.Scope3_OrganicFertilisers_Data(), Table_Scope3_SoilAmendments[[#Headers],[Soil amendment type]], 0, 2)</f>
        <v>t</v>
      </c>
      <c r="G114" s="14" cm="1">
        <f t="array" ref="G114">Common_InputFunctions.Utility_DisplayArrayInTable(Scope3_SourceData.Scope3_SoilAmendments_Data(), Table_Scope3_SoilAmendments[[#Headers],[Soil amendment type]], 0, 2)</f>
        <v>30103</v>
      </c>
      <c r="H114" s="154"/>
      <c r="I114" s="14" t="str" cm="1">
        <f t="array" ref="I114">Common_InputFunctions.Utility_DisplayArrayInTable(Scope3_SourceData.Scope3_SoilAmendments_Data(), Table_Scope3_SoilAmendments[[#Headers],[Soil amendment type]], 0, 2)</f>
        <v>t CO2-e / t</v>
      </c>
      <c r="J114" s="14">
        <f>Table_Scope3_SoilAmendments[[#This Row],[Quantity]]*Table_Scope3_SoilAmendments[[#This Row],[AusLCI Emissions intensity]]</f>
        <v>120412000</v>
      </c>
      <c r="K114" s="14">
        <f>Table_Scope3_SoilAmendments[[#This Row],[Quantity]]*IF(Table_Scope3_SoilAmendments[[#This Row],[Custom emissions intensity]], Table_Scope3_SoilAmendments[[#This Row],[Custom emissions intensity]], Table_Scope3_SoilAmendments[[#This Row],[AusLCI Emissions intensity]])</f>
        <v>120412000</v>
      </c>
      <c r="L114" s="154"/>
      <c r="M114" s="48"/>
      <c r="N114" s="154"/>
      <c r="O114" s="155" cm="1">
        <f t="array" ref="O114">Common_InputFunctions.Utility_LookupValueInTableNumber(Table_Scope3_SoilAmendments[[#This Row],[Custom emissions intensity source type (Select)]],#REF!,#REF!)</f>
        <v>0</v>
      </c>
      <c r="P114" s="14"/>
      <c r="Q114" s="14"/>
    </row>
    <row r="115" spans="3:17" ht="20.100000000000001" customHeight="1" x14ac:dyDescent="0.25">
      <c r="C115" s="14"/>
      <c r="D115" s="14" t="str" cm="1">
        <f t="array" ref="D115">Common_InputFunctions.Utility_DisplayArrayInTable(Scope3_SourceData.Scope3_SoilAmendments_Data(), Table_Scope3_SoilAmendments[[#Headers],[Soil amendment type]], 0, 2)</f>
        <v>Gypsum</v>
      </c>
      <c r="E115" s="14" cm="1">
        <f t="array" ref="E115">Fertiliser_InputFunctions.Fertiliser_TotalSoilAmendmentApplied(Table_Input_Lime[Total amount applied (t)],Table_Input_Lime[Percent Lime CaCO3])</f>
        <v>4000</v>
      </c>
      <c r="F115" s="14" t="str" cm="1">
        <f t="array" ref="F115">Common_InputFunctions.Utility_DisplayArrayInTable(Scope3_SourceData.Scope3_OrganicFertilisers_Data(), Table_Scope3_SoilAmendments[[#Headers],[Soil amendment type]], 0, 2)</f>
        <v>t</v>
      </c>
      <c r="G115" s="14" cm="1">
        <f t="array" ref="G115">Common_InputFunctions.Utility_DisplayArrayInTable(Scope3_SourceData.Scope3_SoilAmendments_Data(), Table_Scope3_SoilAmendments[[#Headers],[Soil amendment type]], 0, 2)</f>
        <v>30104</v>
      </c>
      <c r="H115" s="154"/>
      <c r="I115" s="14" t="str" cm="1">
        <f t="array" ref="I115">Common_InputFunctions.Utility_DisplayArrayInTable(Scope3_SourceData.Scope3_SoilAmendments_Data(), Table_Scope3_SoilAmendments[[#Headers],[Soil amendment type]], 0, 2)</f>
        <v>t CO2-e / t</v>
      </c>
      <c r="J115" s="14">
        <f>Table_Scope3_SoilAmendments[[#This Row],[Quantity]]*Table_Scope3_SoilAmendments[[#This Row],[AusLCI Emissions intensity]]</f>
        <v>120416000</v>
      </c>
      <c r="K115" s="14">
        <f>Table_Scope3_SoilAmendments[[#This Row],[Quantity]]*IF(Table_Scope3_SoilAmendments[[#This Row],[Custom emissions intensity]], Table_Scope3_SoilAmendments[[#This Row],[Custom emissions intensity]], Table_Scope3_SoilAmendments[[#This Row],[AusLCI Emissions intensity]])</f>
        <v>120416000</v>
      </c>
      <c r="L115" s="154"/>
      <c r="M115" s="48"/>
      <c r="N115" s="154"/>
      <c r="O115" s="155" cm="1">
        <f t="array" ref="O115">Common_InputFunctions.Utility_LookupValueInTableNumber(Table_Scope3_SoilAmendments[[#This Row],[Custom emissions intensity source type (Select)]],#REF!,#REF!)</f>
        <v>0</v>
      </c>
      <c r="P115" s="14"/>
      <c r="Q115" s="14"/>
    </row>
    <row r="116" spans="3:17" ht="20.100000000000001" customHeight="1" x14ac:dyDescent="0.25">
      <c r="C116" s="14"/>
      <c r="D116" s="14" t="str" cm="1">
        <f t="array" ref="D116">Common_InputFunctions.Utility_DisplayArrayInTable(Scope3_SourceData.Scope3_SoilAmendments_Data(), Table_Scope3_SoilAmendments[[#Headers],[Soil amendment type]], 0, 2)</f>
        <v>Potash</v>
      </c>
      <c r="E116" s="14" cm="1">
        <f t="array" ref="E116">Fertiliser_InputFunctions.Fertiliser_TotalSoilAmendmentApplied(Table_Input_Lime[Total amount applied (t)],Table_Input_Lime[Percent Lime CaCO3])</f>
        <v>4000</v>
      </c>
      <c r="F116" s="14" t="str" cm="1">
        <f t="array" ref="F116">Common_InputFunctions.Utility_DisplayArrayInTable(Scope3_SourceData.Scope3_OrganicFertilisers_Data(), Table_Scope3_SoilAmendments[[#Headers],[Soil amendment type]], 0, 2)</f>
        <v>t</v>
      </c>
      <c r="G116" s="14" cm="1">
        <f t="array" ref="G116">Common_InputFunctions.Utility_DisplayArrayInTable(Scope3_SourceData.Scope3_SoilAmendments_Data(), Table_Scope3_SoilAmendments[[#Headers],[Soil amendment type]], 0, 2)</f>
        <v>30105</v>
      </c>
      <c r="H116" s="154"/>
      <c r="I116" s="14" t="str" cm="1">
        <f t="array" ref="I116">Common_InputFunctions.Utility_DisplayArrayInTable(Scope3_SourceData.Scope3_SoilAmendments_Data(), Table_Scope3_SoilAmendments[[#Headers],[Soil amendment type]], 0, 2)</f>
        <v>t CO2-e / t</v>
      </c>
      <c r="J116" s="14">
        <f>Table_Scope3_SoilAmendments[[#This Row],[Quantity]]*Table_Scope3_SoilAmendments[[#This Row],[AusLCI Emissions intensity]]</f>
        <v>120420000</v>
      </c>
      <c r="K116" s="14">
        <f>Table_Scope3_SoilAmendments[[#This Row],[Quantity]]*IF(Table_Scope3_SoilAmendments[[#This Row],[Custom emissions intensity]], Table_Scope3_SoilAmendments[[#This Row],[Custom emissions intensity]], Table_Scope3_SoilAmendments[[#This Row],[AusLCI Emissions intensity]])</f>
        <v>120420000</v>
      </c>
      <c r="L116" s="154"/>
      <c r="M116" s="48"/>
      <c r="N116" s="154"/>
      <c r="O116" s="155" cm="1">
        <f t="array" ref="O116">Common_InputFunctions.Utility_LookupValueInTableNumber(Table_Scope3_SoilAmendments[[#This Row],[Custom emissions intensity source type (Select)]],#REF!,#REF!)</f>
        <v>0</v>
      </c>
      <c r="P116" s="14"/>
      <c r="Q116" s="14"/>
    </row>
    <row r="117" spans="3:17" ht="20.100000000000001" customHeight="1" x14ac:dyDescent="0.25">
      <c r="C117" s="14"/>
      <c r="D117" s="14"/>
      <c r="E117" s="14"/>
      <c r="F117" s="14"/>
      <c r="G117" s="14"/>
      <c r="H117" s="14"/>
      <c r="I117" s="14"/>
      <c r="J117" s="14"/>
      <c r="K117" s="14"/>
      <c r="L117" s="14"/>
      <c r="M117" s="14"/>
      <c r="N117" s="14"/>
      <c r="O117" s="14"/>
      <c r="P117" s="14"/>
      <c r="Q117" s="14"/>
    </row>
    <row r="118" spans="3:17" ht="20.100000000000001" customHeight="1" x14ac:dyDescent="0.35">
      <c r="C118" s="14"/>
      <c r="D118" s="161" t="s">
        <v>329</v>
      </c>
      <c r="E118" s="162"/>
      <c r="F118" s="163"/>
      <c r="G118" s="161">
        <f>SUM(Table_Scope3_SoilAmendments[Scope 3 emissions exc. custom (t CO2-e)])</f>
        <v>602060000</v>
      </c>
      <c r="H118" s="164" t="s">
        <v>320</v>
      </c>
      <c r="I118" s="14"/>
      <c r="J118" s="14"/>
      <c r="K118" s="14"/>
      <c r="L118" s="14"/>
      <c r="M118" s="14"/>
      <c r="N118" s="14"/>
      <c r="O118" s="14"/>
      <c r="P118" s="14"/>
      <c r="Q118" s="14"/>
    </row>
    <row r="119" spans="3:17" ht="20.100000000000001" customHeight="1" x14ac:dyDescent="0.25">
      <c r="C119" s="14"/>
      <c r="D119" s="165" t="s">
        <v>330</v>
      </c>
      <c r="E119" s="166"/>
      <c r="F119" s="166"/>
      <c r="G119" s="165">
        <f>SUM(Table_Scope3_SoilAmendments[Scope 3 emissions inc. custom (t CO2-e)2])</f>
        <v>482056000</v>
      </c>
      <c r="H119" s="164" t="s">
        <v>320</v>
      </c>
      <c r="I119" s="14"/>
      <c r="J119" s="14"/>
      <c r="K119" s="14"/>
      <c r="L119" s="14"/>
      <c r="M119" s="14"/>
      <c r="N119" s="14"/>
      <c r="O119" s="14"/>
      <c r="P119" s="14"/>
      <c r="Q119" s="14"/>
    </row>
    <row r="120" spans="3:17" ht="20.100000000000001" customHeight="1" x14ac:dyDescent="0.25">
      <c r="C120" s="14"/>
      <c r="D120" s="14"/>
      <c r="E120" s="14"/>
      <c r="F120" s="14"/>
      <c r="G120" s="14"/>
      <c r="H120" s="14"/>
      <c r="I120" s="14"/>
      <c r="J120" s="14"/>
      <c r="K120" s="14"/>
      <c r="L120" s="14"/>
      <c r="M120" s="14"/>
      <c r="N120" s="14"/>
      <c r="O120" s="14"/>
      <c r="P120" s="14"/>
      <c r="Q120" s="14"/>
    </row>
    <row r="121" spans="3:17" ht="20.100000000000001" customHeight="1" x14ac:dyDescent="0.25">
      <c r="C121" s="14"/>
      <c r="D121" s="14"/>
      <c r="E121" s="14"/>
      <c r="F121" s="14"/>
      <c r="G121" s="14"/>
      <c r="H121" s="14"/>
      <c r="I121" s="14"/>
      <c r="J121" s="14"/>
      <c r="K121" s="14"/>
      <c r="L121" s="14"/>
      <c r="M121" s="14"/>
      <c r="N121" s="14"/>
      <c r="O121" s="14"/>
      <c r="P121" s="14"/>
      <c r="Q121" s="14"/>
    </row>
    <row r="122" spans="3:17" ht="20.100000000000001" customHeight="1" x14ac:dyDescent="0.25">
      <c r="C122" s="14"/>
      <c r="D122" s="9" t="str" cm="1">
        <f t="array" ref="D122">Scope3_SourceData.Scope3_Agrochemicals_Title()</f>
        <v>Agrochemicals scope 3</v>
      </c>
      <c r="E122" s="14"/>
      <c r="F122" s="14"/>
      <c r="G122" s="14"/>
      <c r="H122" s="14"/>
      <c r="I122" s="14"/>
      <c r="J122" s="14"/>
      <c r="K122" s="14"/>
      <c r="L122" s="14"/>
      <c r="M122" s="14"/>
      <c r="N122" s="14"/>
      <c r="O122" s="14"/>
      <c r="P122" s="14"/>
      <c r="Q122" s="14"/>
    </row>
    <row r="123" spans="3:17" ht="20.100000000000001" customHeight="1" x14ac:dyDescent="0.25">
      <c r="C123" s="14"/>
      <c r="D123" s="11" t="str" cm="1">
        <f t="array" ref="D123">Scope3_SourceData.Scope3_Agrochemicals_Source()</f>
        <v>Lifecycles. (2026). Greenhouse Gas Emission Intensities for Material Inputs to Australian Agriculture, Fisheries and Forestry. Version 48. doi 10.5281/zenodo.19656580</v>
      </c>
      <c r="E123" s="14"/>
      <c r="F123" s="14"/>
      <c r="G123" s="14"/>
      <c r="H123" s="14"/>
      <c r="I123" s="14"/>
      <c r="J123" s="14"/>
      <c r="K123" s="14"/>
      <c r="L123" s="14"/>
      <c r="M123" s="14"/>
      <c r="N123" s="14"/>
      <c r="O123" s="14"/>
      <c r="P123" s="14"/>
      <c r="Q123" s="14"/>
    </row>
    <row r="124" spans="3:17" ht="20.100000000000001" customHeight="1" x14ac:dyDescent="0.25">
      <c r="C124" s="14"/>
      <c r="D124" s="14"/>
      <c r="E124" s="14"/>
      <c r="F124" s="14"/>
      <c r="G124" s="14"/>
      <c r="H124" s="14"/>
      <c r="I124" s="14"/>
      <c r="J124" s="14"/>
      <c r="K124" s="14"/>
      <c r="L124" s="14"/>
      <c r="M124" s="14"/>
      <c r="N124" s="14"/>
      <c r="O124" s="14"/>
      <c r="P124" s="14"/>
      <c r="Q124" s="14"/>
    </row>
    <row r="125" spans="3:17" ht="20.100000000000001" customHeight="1" x14ac:dyDescent="0.25">
      <c r="C125" s="14"/>
      <c r="D125" s="168" t="s">
        <v>331</v>
      </c>
      <c r="E125" s="168" t="s">
        <v>304</v>
      </c>
      <c r="F125" s="168" t="s">
        <v>305</v>
      </c>
      <c r="G125" s="168" t="s">
        <v>306</v>
      </c>
      <c r="H125" s="169" t="s">
        <v>307</v>
      </c>
      <c r="I125" s="168" t="s">
        <v>308</v>
      </c>
      <c r="J125" s="168" t="s">
        <v>323</v>
      </c>
      <c r="K125" s="168" t="s">
        <v>309</v>
      </c>
      <c r="L125" s="169" t="s">
        <v>310</v>
      </c>
      <c r="M125" s="169" t="s">
        <v>311</v>
      </c>
      <c r="N125" s="169" t="s">
        <v>312</v>
      </c>
      <c r="O125" s="168" t="s">
        <v>313</v>
      </c>
      <c r="P125" s="14"/>
      <c r="Q125" s="14"/>
    </row>
    <row r="126" spans="3:17" ht="20.100000000000001" customHeight="1" x14ac:dyDescent="0.25">
      <c r="C126" s="14"/>
      <c r="D126" s="14" t="str" cm="1">
        <f t="array" ref="D126">Common_InputFunctions.Utility_DisplayArrayInTable(Scope3_SourceData.Scope3_Agrochemicals_Data(), Table_Scope3_Agrochemicals[[#Headers],[Agrochemical type]], 0, 2)</f>
        <v>Glyphosate</v>
      </c>
      <c r="E126" s="14" cm="1">
        <f t="array" ref="E126">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26" s="14" t="str" cm="1">
        <f t="array" ref="F126">Common_InputFunctions.Utility_DisplayArrayInTable(Scope3_SourceData.Scope3_Agrochemicals_Data(), Table_Scope3_Agrochemicals[[#Headers],[Agrochemical type]], 0, 2)</f>
        <v>t</v>
      </c>
      <c r="G126" s="14" cm="1">
        <f t="array" ref="G126">Common_InputFunctions.Utility_DisplayArrayInTable(Scope3_SourceData.Scope3_Agrochemicals_Data(), Table_Scope3_Agrochemicals[[#Headers],[Agrochemical type]], 0, 2)</f>
        <v>40101</v>
      </c>
      <c r="H126" s="154">
        <v>100</v>
      </c>
      <c r="I126" s="14" t="str" cm="1">
        <f t="array" ref="I126">Common_InputFunctions.Utility_DisplayArrayInTable(Scope3_SourceData.Scope3_Agrochemicals_Data(), Table_Scope3_Agrochemicals[[#Headers],[Agrochemical type]], 0, 2)</f>
        <v>t CO2-e / t</v>
      </c>
      <c r="J126" s="14">
        <f>Table_Scope3_Agrochemicals[[#This Row],[Quantity]]*Table_Scope3_Agrochemicals[[#This Row],[AusLCI Emissions intensity]]</f>
        <v>0</v>
      </c>
      <c r="K126" s="14">
        <f>Table_Scope3_Agrochemicals[[#This Row],[Quantity]]*IF(Table_Scope3_Agrochemicals[[#This Row],[Custom emissions intensity]], Table_Scope3_Agrochemicals[[#This Row],[Custom emissions intensity]], Table_Scope3_Agrochemicals[[#This Row],[AusLCI Emissions intensity]])</f>
        <v>0</v>
      </c>
      <c r="L126" s="154"/>
      <c r="M126" s="48"/>
      <c r="N126" s="154"/>
      <c r="O126" s="155" cm="1">
        <f t="array" ref="O126">Common_InputFunctions.Utility_LookupValueInTableNumber(Table_Scope3_Agrochemicals[[#This Row],[Custom emissions intensity source type (Select)]],#REF!,#REF!)</f>
        <v>0</v>
      </c>
      <c r="P126" s="14"/>
      <c r="Q126" s="14"/>
    </row>
    <row r="127" spans="3:17" ht="20.100000000000001" customHeight="1" x14ac:dyDescent="0.25">
      <c r="C127" s="14"/>
      <c r="D127" s="14" t="str" cm="1">
        <f t="array" ref="D127">Common_InputFunctions.Utility_DisplayArrayInTable(Scope3_SourceData.Scope3_Agrochemicals_Data(), Table_Scope3_Agrochemicals[[#Headers],[Agrochemical type]], 0, 2)</f>
        <v>Paraquat, diquat</v>
      </c>
      <c r="E127" s="14" cm="1">
        <f t="array" ref="E127">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v>
      </c>
      <c r="F127" s="14" t="str" cm="1">
        <f t="array" ref="F127">Common_InputFunctions.Utility_DisplayArrayInTable(Scope3_SourceData.Scope3_Agrochemicals_Data(), Table_Scope3_Agrochemicals[[#Headers],[Agrochemical type]], 0, 2)</f>
        <v>t</v>
      </c>
      <c r="G127" s="14" cm="1">
        <f t="array" ref="G127">Common_InputFunctions.Utility_DisplayArrayInTable(Scope3_SourceData.Scope3_Agrochemicals_Data(), Table_Scope3_Agrochemicals[[#Headers],[Agrochemical type]], 0, 2)</f>
        <v>40102</v>
      </c>
      <c r="H127" s="154"/>
      <c r="I127" s="14" t="str" cm="1">
        <f t="array" ref="I127">Common_InputFunctions.Utility_DisplayArrayInTable(Scope3_SourceData.Scope3_Agrochemicals_Data(), Table_Scope3_Agrochemicals[[#Headers],[Agrochemical type]], 0, 2)</f>
        <v>t CO2-e / t</v>
      </c>
      <c r="J127" s="14">
        <f>Table_Scope3_Agrochemicals[[#This Row],[Quantity]]*Table_Scope3_Agrochemicals[[#This Row],[AusLCI Emissions intensity]]</f>
        <v>8020.4000000000005</v>
      </c>
      <c r="K127" s="14">
        <f>Table_Scope3_Agrochemicals[[#This Row],[Quantity]]*IF(Table_Scope3_Agrochemicals[[#This Row],[Custom emissions intensity]], Table_Scope3_Agrochemicals[[#This Row],[Custom emissions intensity]], Table_Scope3_Agrochemicals[[#This Row],[AusLCI Emissions intensity]])</f>
        <v>8020.4000000000005</v>
      </c>
      <c r="L127" s="154"/>
      <c r="M127" s="48"/>
      <c r="N127" s="154"/>
      <c r="O127" s="155" cm="1">
        <f t="array" ref="O127">Common_InputFunctions.Utility_LookupValueInTableNumber(Table_Scope3_Agrochemicals[[#This Row],[Custom emissions intensity source type (Select)]],#REF!,#REF!)</f>
        <v>0</v>
      </c>
      <c r="P127" s="14"/>
      <c r="Q127" s="14"/>
    </row>
    <row r="128" spans="3:17" ht="20.100000000000001" customHeight="1" x14ac:dyDescent="0.25">
      <c r="C128" s="14"/>
      <c r="D128" s="14" t="str" cm="1">
        <f t="array" ref="D128">Common_InputFunctions.Utility_DisplayArrayInTable(Scope3_SourceData.Scope3_Agrochemicals_Data(), Table_Scope3_Agrochemicals[[#Headers],[Agrochemical type]], 0, 2)</f>
        <v>Generic Herbicide</v>
      </c>
      <c r="E128" s="14" cm="1">
        <f t="array" ref="E128">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28" s="14" t="str" cm="1">
        <f t="array" ref="F128">Common_InputFunctions.Utility_DisplayArrayInTable(Scope3_SourceData.Scope3_Agrochemicals_Data(), Table_Scope3_Agrochemicals[[#Headers],[Agrochemical type]], 0, 2)</f>
        <v>t</v>
      </c>
      <c r="G128" s="14" cm="1">
        <f t="array" ref="G128">Common_InputFunctions.Utility_DisplayArrayInTable(Scope3_SourceData.Scope3_Agrochemicals_Data(), Table_Scope3_Agrochemicals[[#Headers],[Agrochemical type]], 0, 2)</f>
        <v>40103</v>
      </c>
      <c r="H128" s="154"/>
      <c r="I128" s="14" t="str" cm="1">
        <f t="array" ref="I128">Common_InputFunctions.Utility_DisplayArrayInTable(Scope3_SourceData.Scope3_Agrochemicals_Data(), Table_Scope3_Agrochemicals[[#Headers],[Agrochemical type]], 0, 2)</f>
        <v>t CO2-e / t</v>
      </c>
      <c r="J128" s="14">
        <f>Table_Scope3_Agrochemicals[[#This Row],[Quantity]]*Table_Scope3_Agrochemicals[[#This Row],[AusLCI Emissions intensity]]</f>
        <v>0</v>
      </c>
      <c r="K128" s="14">
        <f>Table_Scope3_Agrochemicals[[#This Row],[Quantity]]*IF(Table_Scope3_Agrochemicals[[#This Row],[Custom emissions intensity]], Table_Scope3_Agrochemicals[[#This Row],[Custom emissions intensity]], Table_Scope3_Agrochemicals[[#This Row],[AusLCI Emissions intensity]])</f>
        <v>0</v>
      </c>
      <c r="L128" s="154"/>
      <c r="M128" s="48"/>
      <c r="N128" s="154"/>
      <c r="O128" s="155" cm="1">
        <f t="array" ref="O128">Common_InputFunctions.Utility_LookupValueInTableNumber(Table_Scope3_Agrochemicals[[#This Row],[Custom emissions intensity source type (Select)]],#REF!,#REF!)</f>
        <v>0</v>
      </c>
      <c r="P128" s="14"/>
      <c r="Q128" s="14"/>
    </row>
    <row r="129" spans="3:17" ht="20.100000000000001" customHeight="1" x14ac:dyDescent="0.25">
      <c r="C129" s="14"/>
      <c r="D129" s="14" t="str" cm="1">
        <f t="array" ref="D129">Common_InputFunctions.Utility_DisplayArrayInTable(Scope3_SourceData.Scope3_Agrochemicals_Data(), Table_Scope3_Agrochemicals[[#Headers],[Agrochemical type]], 0, 2)</f>
        <v>Generic Insecticide</v>
      </c>
      <c r="E129" s="14" cm="1">
        <f t="array" ref="E129">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0.25</v>
      </c>
      <c r="F129" s="14" t="str" cm="1">
        <f t="array" ref="F129">Common_InputFunctions.Utility_DisplayArrayInTable(Scope3_SourceData.Scope3_Agrochemicals_Data(), Table_Scope3_Agrochemicals[[#Headers],[Agrochemical type]], 0, 2)</f>
        <v>t</v>
      </c>
      <c r="G129" s="14" cm="1">
        <f t="array" ref="G129">Common_InputFunctions.Utility_DisplayArrayInTable(Scope3_SourceData.Scope3_Agrochemicals_Data(), Table_Scope3_Agrochemicals[[#Headers],[Agrochemical type]], 0, 2)</f>
        <v>40104</v>
      </c>
      <c r="H129" s="154"/>
      <c r="I129" s="14" t="str" cm="1">
        <f t="array" ref="I129">Common_InputFunctions.Utility_DisplayArrayInTable(Scope3_SourceData.Scope3_Agrochemicals_Data(), Table_Scope3_Agrochemicals[[#Headers],[Agrochemical type]], 0, 2)</f>
        <v>t CO2-e / t</v>
      </c>
      <c r="J129" s="14">
        <f>Table_Scope3_Agrochemicals[[#This Row],[Quantity]]*Table_Scope3_Agrochemicals[[#This Row],[AusLCI Emissions intensity]]</f>
        <v>10026</v>
      </c>
      <c r="K129" s="14">
        <f>Table_Scope3_Agrochemicals[[#This Row],[Quantity]]*IF(Table_Scope3_Agrochemicals[[#This Row],[Custom emissions intensity]], Table_Scope3_Agrochemicals[[#This Row],[Custom emissions intensity]], Table_Scope3_Agrochemicals[[#This Row],[AusLCI Emissions intensity]])</f>
        <v>10026</v>
      </c>
      <c r="L129" s="154"/>
      <c r="M129" s="48"/>
      <c r="N129" s="154"/>
      <c r="O129" s="155" cm="1">
        <f t="array" ref="O129">Common_InputFunctions.Utility_LookupValueInTableNumber(Table_Scope3_Agrochemicals[[#This Row],[Custom emissions intensity source type (Select)]],#REF!,#REF!)</f>
        <v>0</v>
      </c>
      <c r="P129" s="14"/>
      <c r="Q129" s="14"/>
    </row>
    <row r="130" spans="3:17" ht="20.100000000000001" customHeight="1" x14ac:dyDescent="0.25">
      <c r="C130" s="14"/>
      <c r="D130" s="14" t="str" cm="1">
        <f t="array" ref="D130">Common_InputFunctions.Utility_DisplayArrayInTable(Scope3_SourceData.Scope3_Agrochemicals_Data(), Table_Scope3_Agrochemicals[[#Headers],[Agrochemical type]], 0, 2)</f>
        <v>Generic Fungicide</v>
      </c>
      <c r="E130" s="14" cm="1">
        <f t="array" ref="E130">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130" s="14" t="str" cm="1">
        <f t="array" ref="F130">Common_InputFunctions.Utility_DisplayArrayInTable(Scope3_SourceData.Scope3_Agrochemicals_Data(), Table_Scope3_Agrochemicals[[#Headers],[Agrochemical type]], 0, 2)</f>
        <v>t</v>
      </c>
      <c r="G130" s="14" cm="1">
        <f t="array" ref="G130">Common_InputFunctions.Utility_DisplayArrayInTable(Scope3_SourceData.Scope3_Agrochemicals_Data(), Table_Scope3_Agrochemicals[[#Headers],[Agrochemical type]], 0, 2)</f>
        <v>40105</v>
      </c>
      <c r="H130" s="154"/>
      <c r="I130" s="14" t="str" cm="1">
        <f t="array" ref="I130">Common_InputFunctions.Utility_DisplayArrayInTable(Scope3_SourceData.Scope3_Agrochemicals_Data(), Table_Scope3_Agrochemicals[[#Headers],[Agrochemical type]], 0, 2)</f>
        <v>t CO2-e / t</v>
      </c>
      <c r="J130" s="14">
        <f>Table_Scope3_Agrochemicals[[#This Row],[Quantity]]*Table_Scope3_Agrochemicals[[#This Row],[AusLCI Emissions intensity]]</f>
        <v>0</v>
      </c>
      <c r="K130" s="14">
        <f>Table_Scope3_Agrochemicals[[#This Row],[Quantity]]*IF(Table_Scope3_Agrochemicals[[#This Row],[Custom emissions intensity]], Table_Scope3_Agrochemicals[[#This Row],[Custom emissions intensity]], Table_Scope3_Agrochemicals[[#This Row],[AusLCI Emissions intensity]])</f>
        <v>0</v>
      </c>
      <c r="L130" s="154"/>
      <c r="M130" s="48"/>
      <c r="N130" s="154"/>
      <c r="O130" s="155" cm="1">
        <f t="array" ref="O130">Common_InputFunctions.Utility_LookupValueInTableNumber(Table_Scope3_Agrochemicals[[#This Row],[Custom emissions intensity source type (Select)]],#REF!,#REF!)</f>
        <v>0</v>
      </c>
      <c r="P130" s="14"/>
      <c r="Q130" s="14"/>
    </row>
    <row r="131" spans="3:17" ht="20.100000000000001" customHeight="1" x14ac:dyDescent="0.25">
      <c r="C131" s="14"/>
      <c r="D131" s="14"/>
      <c r="E131" s="14"/>
      <c r="F131" s="14"/>
      <c r="G131" s="14"/>
      <c r="H131" s="14"/>
      <c r="I131" s="14"/>
      <c r="J131" s="14"/>
      <c r="K131" s="14"/>
      <c r="L131" s="14"/>
      <c r="M131" s="14"/>
      <c r="N131" s="14"/>
      <c r="O131" s="14"/>
      <c r="P131" s="14"/>
      <c r="Q131" s="14"/>
    </row>
    <row r="132" spans="3:17" ht="20.100000000000001" customHeight="1" x14ac:dyDescent="0.35">
      <c r="C132" s="14"/>
      <c r="D132" s="161" t="s">
        <v>332</v>
      </c>
      <c r="E132" s="162" t="s">
        <v>276</v>
      </c>
      <c r="F132" s="163"/>
      <c r="G132" s="161">
        <f>SUM(Table_Scope3_Agrochemicals[Scope 3 emissions exc. custom (t CO2-e)])</f>
        <v>18046.400000000001</v>
      </c>
      <c r="H132" s="164" t="s">
        <v>320</v>
      </c>
      <c r="I132" s="14"/>
      <c r="J132" s="14"/>
      <c r="K132" s="14"/>
      <c r="L132" s="14"/>
      <c r="M132" s="14"/>
      <c r="N132" s="14"/>
      <c r="O132" s="14"/>
      <c r="P132" s="14"/>
      <c r="Q132" s="14"/>
    </row>
    <row r="133" spans="3:17" ht="20.100000000000001" customHeight="1" x14ac:dyDescent="0.25">
      <c r="C133" s="14"/>
      <c r="D133" s="165" t="s">
        <v>333</v>
      </c>
      <c r="E133" s="166"/>
      <c r="F133" s="166"/>
      <c r="G133" s="165">
        <f>SUM(Table_Scope3_Agrochemicals[Scope 3 emissions inc. custom (t CO2-e)2])</f>
        <v>18046.400000000001</v>
      </c>
      <c r="H133" s="164" t="s">
        <v>320</v>
      </c>
      <c r="I133" s="14"/>
      <c r="J133" s="14"/>
      <c r="K133" s="14"/>
      <c r="L133" s="14"/>
      <c r="M133" s="14"/>
      <c r="N133" s="14"/>
      <c r="O133" s="14"/>
      <c r="P133" s="14"/>
      <c r="Q133" s="14"/>
    </row>
    <row r="134" spans="3:17" ht="20.100000000000001" customHeight="1" x14ac:dyDescent="0.25">
      <c r="C134" s="14"/>
      <c r="D134" s="14"/>
      <c r="E134" s="14"/>
      <c r="F134" s="14"/>
      <c r="G134" s="14"/>
      <c r="H134" s="14"/>
      <c r="I134" s="14"/>
      <c r="J134" s="14"/>
      <c r="K134" s="14"/>
      <c r="L134" s="14"/>
      <c r="M134" s="14"/>
      <c r="N134" s="14"/>
      <c r="O134" s="14"/>
      <c r="P134" s="14"/>
      <c r="Q134" s="14"/>
    </row>
    <row r="135" spans="3:17" ht="20.100000000000001" customHeight="1" x14ac:dyDescent="0.25">
      <c r="C135" s="14"/>
      <c r="D135" s="14"/>
      <c r="E135" s="14"/>
      <c r="F135" s="14"/>
      <c r="G135" s="14"/>
      <c r="H135" s="14"/>
      <c r="I135" s="14"/>
      <c r="J135" s="14"/>
      <c r="K135" s="14"/>
      <c r="L135" s="14"/>
      <c r="M135" s="14"/>
      <c r="N135" s="14"/>
      <c r="O135" s="14"/>
      <c r="P135" s="14"/>
      <c r="Q135" s="14"/>
    </row>
    <row r="136" spans="3:17" ht="20.100000000000001" customHeight="1" x14ac:dyDescent="0.25">
      <c r="C136" s="14"/>
      <c r="D136" s="9" t="str" cm="1">
        <f t="array" ref="D136">Scope3_SourceData.Scope3_LickBlocks_Title()</f>
        <v>Lick Blocks scope 3</v>
      </c>
      <c r="E136" s="14"/>
      <c r="F136" s="14"/>
      <c r="G136" s="14"/>
      <c r="H136" s="14"/>
      <c r="I136" s="14"/>
      <c r="J136" s="14"/>
      <c r="K136" s="14"/>
      <c r="L136" s="14"/>
      <c r="M136" s="14"/>
      <c r="N136" s="14"/>
      <c r="O136" s="14"/>
      <c r="P136" s="14"/>
      <c r="Q136" s="14"/>
    </row>
    <row r="137" spans="3:17" ht="20.100000000000001" customHeight="1" x14ac:dyDescent="0.25">
      <c r="C137" s="14"/>
      <c r="D137" s="11" t="str" cm="1">
        <f t="array" ref="D137">Scope3_SourceData.Scope3_LickBlocks_Source()</f>
        <v>Lifecycles. (2026). Greenhouse Gas Emission Intensities for Material Inputs to Australian Agriculture, Fisheries and Forestry. Version 48. doi 10.5281/zenodo.19656580</v>
      </c>
      <c r="E137" s="14"/>
      <c r="F137" s="14"/>
      <c r="G137" s="14"/>
      <c r="H137" s="14"/>
      <c r="I137" s="14"/>
      <c r="J137" s="14"/>
      <c r="K137" s="14"/>
      <c r="L137" s="14"/>
      <c r="M137" s="14"/>
      <c r="N137" s="14"/>
      <c r="O137" s="14"/>
      <c r="P137" s="14"/>
      <c r="Q137" s="14"/>
    </row>
    <row r="138" spans="3:17" ht="20.100000000000001" customHeight="1" x14ac:dyDescent="0.25">
      <c r="C138" s="14"/>
      <c r="D138" s="14"/>
      <c r="E138" s="14"/>
      <c r="F138" s="14"/>
      <c r="G138" s="14"/>
      <c r="H138" s="14"/>
      <c r="I138" s="14"/>
      <c r="J138" s="14"/>
      <c r="K138" s="14"/>
      <c r="L138" s="14"/>
      <c r="M138" s="14"/>
      <c r="N138" s="14"/>
      <c r="O138" s="14"/>
      <c r="P138" s="14"/>
      <c r="Q138" s="14"/>
    </row>
    <row r="139" spans="3:17" ht="20.100000000000001" customHeight="1" x14ac:dyDescent="0.25">
      <c r="C139" s="14"/>
      <c r="D139" s="168" t="s">
        <v>334</v>
      </c>
      <c r="E139" s="168" t="s">
        <v>304</v>
      </c>
      <c r="F139" s="168" t="s">
        <v>305</v>
      </c>
      <c r="G139" s="168" t="s">
        <v>306</v>
      </c>
      <c r="H139" s="169" t="s">
        <v>307</v>
      </c>
      <c r="I139" s="168" t="s">
        <v>308</v>
      </c>
      <c r="J139" s="168" t="s">
        <v>323</v>
      </c>
      <c r="K139" s="168" t="s">
        <v>309</v>
      </c>
      <c r="L139" s="169" t="s">
        <v>310</v>
      </c>
      <c r="M139" s="169" t="s">
        <v>311</v>
      </c>
      <c r="N139" s="169" t="s">
        <v>312</v>
      </c>
      <c r="O139" s="168" t="s">
        <v>313</v>
      </c>
      <c r="P139" s="14"/>
      <c r="Q139" s="14"/>
    </row>
    <row r="140" spans="3:17" ht="20.100000000000001" customHeight="1" x14ac:dyDescent="0.25">
      <c r="C140" s="14"/>
      <c r="D140" s="14" t="str" cm="1">
        <f t="array" ref="D140">Common_InputFunctions.Utility_DisplayArrayInTable(Scope3_SourceData.Scope3_LickBlocks_Data(), Table68[[#Headers],[Lick block type]], 0, 2)</f>
        <v>Mineral block</v>
      </c>
      <c r="E140" s="172">
        <f>'Input - Feed - Dairy'!E9</f>
        <v>10</v>
      </c>
      <c r="F140" s="14" t="str" cm="1">
        <f t="array" ref="F140">Common_InputFunctions.Utility_DisplayArrayInTable(Scope3_SourceData.Scope3_LickBlocks_Data(), Table68[[#Headers],[Lick block type]], 0, 2)</f>
        <v>t</v>
      </c>
      <c r="G140" s="14" cm="1">
        <f t="array" ref="G140">Common_InputFunctions.Utility_DisplayArrayInTable(Scope3_SourceData.Scope3_LickBlocks_Data(), Table68[[#Headers],[Lick block type]], 0, 2)</f>
        <v>50101</v>
      </c>
      <c r="H140" s="173">
        <v>100</v>
      </c>
      <c r="I140" s="14" t="str" cm="1">
        <f t="array" ref="I140">Common_InputFunctions.Utility_DisplayArrayInTable(Scope3_SourceData.Scope3_LickBlocks_Data(), Table68[[#Headers],[Lick block type]], 0, 2)</f>
        <v>t CO2-e / t</v>
      </c>
      <c r="J140" s="14">
        <f>Table68[[#This Row],[Quantity]]*Table68[[#This Row],[AusLCI Emissions intensity]]</f>
        <v>501010</v>
      </c>
      <c r="K140" s="155">
        <f>Table68[[#This Row],[Quantity]]*IF(Table68[[#This Row],[Custom emissions intensity]], Table68[[#This Row],[Custom emissions intensity]], Table68[[#This Row],[AusLCI Emissions intensity]])</f>
        <v>1000</v>
      </c>
      <c r="L140" s="173"/>
      <c r="M140" s="48"/>
      <c r="N140" s="173"/>
      <c r="O140" s="155" cm="1">
        <f t="array" ref="O140">Common_InputFunctions.Utility_LookupValueInTableNumber(Table68[[#This Row],[Custom emissions intensity source type (Select)]],#REF!,#REF!)</f>
        <v>0</v>
      </c>
      <c r="P140" s="14"/>
      <c r="Q140" s="14"/>
    </row>
    <row r="141" spans="3:17" ht="20.100000000000001" customHeight="1" x14ac:dyDescent="0.25">
      <c r="C141" s="14"/>
      <c r="D141" s="14" t="str" cm="1">
        <f t="array" ref="D141">Common_InputFunctions.Utility_DisplayArrayInTable(Scope3_SourceData.Scope3_LickBlocks_Data(), Table68[[#Headers],[Lick block type]], 0, 2)</f>
        <v>Weaner block</v>
      </c>
      <c r="E141" s="172">
        <f>'Input - Feed - Dairy'!E10</f>
        <v>20</v>
      </c>
      <c r="F141" s="14" t="str" cm="1">
        <f t="array" ref="F141">Common_InputFunctions.Utility_DisplayArrayInTable(Scope3_SourceData.Scope3_LickBlocks_Data(), Table68[[#Headers],[Lick block type]], 0, 2)</f>
        <v>t</v>
      </c>
      <c r="G141" s="14" cm="1">
        <f t="array" ref="G141">Common_InputFunctions.Utility_DisplayArrayInTable(Scope3_SourceData.Scope3_LickBlocks_Data(), Table68[[#Headers],[Lick block type]], 0, 2)</f>
        <v>50102</v>
      </c>
      <c r="H141" s="173"/>
      <c r="I141" s="14" t="str" cm="1">
        <f t="array" ref="I141">Common_InputFunctions.Utility_DisplayArrayInTable(Scope3_SourceData.Scope3_LickBlocks_Data(), Table68[[#Headers],[Lick block type]], 0, 2)</f>
        <v>t CO2-e / t</v>
      </c>
      <c r="J141" s="155">
        <f>Table68[[#This Row],[Quantity]]*Table68[[#This Row],[AusLCI Emissions intensity]]</f>
        <v>1002040</v>
      </c>
      <c r="K141" s="155">
        <f>Table68[[#This Row],[Quantity]]*IF(Table68[[#This Row],[Custom emissions intensity]], Table68[[#This Row],[Custom emissions intensity]], Table68[[#This Row],[AusLCI Emissions intensity]])</f>
        <v>1002040</v>
      </c>
      <c r="L141" s="173"/>
      <c r="M141" s="48"/>
      <c r="N141" s="173"/>
      <c r="O141" s="155" cm="1">
        <f t="array" ref="O141">Common_InputFunctions.Utility_LookupValueInTableNumber(Table68[[#This Row],[Custom emissions intensity source type (Select)]],#REF!,#REF!)</f>
        <v>0</v>
      </c>
      <c r="P141" s="14"/>
      <c r="Q141" s="14"/>
    </row>
    <row r="142" spans="3:17" ht="20.100000000000001" customHeight="1" x14ac:dyDescent="0.25">
      <c r="C142" s="14"/>
      <c r="D142" s="14" t="str" cm="1">
        <f t="array" ref="D142">Common_InputFunctions.Utility_DisplayArrayInTable(Scope3_SourceData.Scope3_LickBlocks_Data(), Table68[[#Headers],[Lick block type]], 0, 2)</f>
        <v>Dry season mix</v>
      </c>
      <c r="E142" s="172">
        <f>'Input - Feed - Dairy'!E11</f>
        <v>30</v>
      </c>
      <c r="F142" s="14" t="str" cm="1">
        <f t="array" ref="F142">Common_InputFunctions.Utility_DisplayArrayInTable(Scope3_SourceData.Scope3_LickBlocks_Data(), Table68[[#Headers],[Lick block type]], 0, 2)</f>
        <v>t</v>
      </c>
      <c r="G142" s="14" cm="1">
        <f t="array" ref="G142">Common_InputFunctions.Utility_DisplayArrayInTable(Scope3_SourceData.Scope3_LickBlocks_Data(), Table68[[#Headers],[Lick block type]], 0, 2)</f>
        <v>50103</v>
      </c>
      <c r="H142" s="173"/>
      <c r="I142" s="14" t="str" cm="1">
        <f t="array" ref="I142">Common_InputFunctions.Utility_DisplayArrayInTable(Scope3_SourceData.Scope3_LickBlocks_Data(), Table68[[#Headers],[Lick block type]], 0, 2)</f>
        <v>t CO2-e / t</v>
      </c>
      <c r="J142" s="155">
        <f>Table68[[#This Row],[Quantity]]*Table68[[#This Row],[AusLCI Emissions intensity]]</f>
        <v>1503090</v>
      </c>
      <c r="K142" s="155">
        <f>Table68[[#This Row],[Quantity]]*IF(Table68[[#This Row],[Custom emissions intensity]], Table68[[#This Row],[Custom emissions intensity]], Table68[[#This Row],[AusLCI Emissions intensity]])</f>
        <v>1503090</v>
      </c>
      <c r="L142" s="173"/>
      <c r="M142" s="48"/>
      <c r="N142" s="173"/>
      <c r="O142" s="155" cm="1">
        <f t="array" ref="O142">Common_InputFunctions.Utility_LookupValueInTableNumber(Table68[[#This Row],[Custom emissions intensity source type (Select)]],#REF!,#REF!)</f>
        <v>0</v>
      </c>
      <c r="P142" s="14"/>
      <c r="Q142" s="14"/>
    </row>
    <row r="143" spans="3:17" ht="20.100000000000001" customHeight="1" x14ac:dyDescent="0.25">
      <c r="C143" s="14"/>
      <c r="D143" s="14"/>
      <c r="E143" s="14"/>
      <c r="F143" s="14"/>
      <c r="G143" s="14"/>
      <c r="H143" s="14"/>
      <c r="I143" s="14"/>
      <c r="J143" s="14"/>
      <c r="K143" s="14"/>
      <c r="L143" s="14"/>
      <c r="M143" s="14"/>
      <c r="N143" s="14"/>
      <c r="O143" s="14"/>
      <c r="P143" s="14"/>
      <c r="Q143" s="14"/>
    </row>
    <row r="144" spans="3:17" ht="20.100000000000001" customHeight="1" x14ac:dyDescent="0.35">
      <c r="C144" s="14"/>
      <c r="D144" s="161" t="s">
        <v>335</v>
      </c>
      <c r="E144" s="162"/>
      <c r="F144" s="163"/>
      <c r="G144" s="161">
        <f>SUM(Table68[Scope 3 emissions exc. custom (t CO2-e)])</f>
        <v>3006140</v>
      </c>
      <c r="H144" s="164" t="s">
        <v>320</v>
      </c>
      <c r="I144" s="14"/>
      <c r="J144" s="14"/>
      <c r="K144" s="14"/>
      <c r="L144" s="14"/>
      <c r="M144" s="14"/>
      <c r="N144" s="14"/>
      <c r="O144" s="14"/>
      <c r="P144" s="14"/>
      <c r="Q144" s="14"/>
    </row>
    <row r="145" spans="3:17" ht="20.100000000000001" customHeight="1" x14ac:dyDescent="0.25">
      <c r="C145" s="14"/>
      <c r="D145" s="165" t="s">
        <v>336</v>
      </c>
      <c r="E145" s="166"/>
      <c r="F145" s="166"/>
      <c r="G145" s="165">
        <f>SUM(Table68[Scope 3 emissions inc. custom (t CO2-e)2])</f>
        <v>2506130</v>
      </c>
      <c r="H145" s="164" t="s">
        <v>320</v>
      </c>
      <c r="I145" s="14"/>
      <c r="J145" s="14"/>
      <c r="K145" s="14"/>
      <c r="L145" s="14"/>
      <c r="M145" s="14"/>
      <c r="N145" s="14"/>
      <c r="O145" s="14"/>
      <c r="P145" s="14"/>
      <c r="Q145" s="14"/>
    </row>
    <row r="146" spans="3:17" ht="20.100000000000001" customHeight="1" x14ac:dyDescent="0.25">
      <c r="C146" s="14"/>
      <c r="D146" s="14"/>
      <c r="E146" s="14"/>
      <c r="F146" s="14"/>
      <c r="G146" s="14"/>
      <c r="H146" s="14"/>
      <c r="I146" s="14"/>
      <c r="J146" s="14"/>
      <c r="K146" s="14"/>
      <c r="L146" s="14"/>
      <c r="M146" s="14"/>
      <c r="N146" s="14"/>
      <c r="O146" s="14"/>
      <c r="P146" s="14"/>
      <c r="Q146" s="14"/>
    </row>
    <row r="147" spans="3:17" ht="20.100000000000001" customHeight="1" x14ac:dyDescent="0.25">
      <c r="C147" s="14"/>
      <c r="D147" s="14"/>
      <c r="E147" s="14"/>
      <c r="F147" s="14"/>
      <c r="G147" s="14"/>
      <c r="H147" s="14"/>
      <c r="I147" s="14"/>
      <c r="J147" s="14"/>
      <c r="K147" s="14"/>
      <c r="L147" s="14"/>
      <c r="M147" s="14"/>
      <c r="N147" s="14"/>
      <c r="O147" s="14"/>
      <c r="P147" s="14"/>
      <c r="Q147" s="14"/>
    </row>
    <row r="148" spans="3:17" ht="20.100000000000001" customHeight="1" x14ac:dyDescent="0.25">
      <c r="C148" s="14"/>
      <c r="D148" s="9" t="str" cm="1">
        <f t="array" ref="D148">Scope3_SourceData.Scope3_AnimalFeed_Title()</f>
        <v>Animal Feed scope 3</v>
      </c>
      <c r="E148" s="14"/>
      <c r="F148" s="14"/>
      <c r="G148" s="14"/>
      <c r="H148" s="14"/>
      <c r="I148" s="14"/>
      <c r="J148" s="14"/>
      <c r="K148" s="14"/>
      <c r="L148" s="14"/>
      <c r="M148" s="14"/>
      <c r="N148" s="14"/>
      <c r="O148" s="14"/>
      <c r="P148" s="14"/>
      <c r="Q148" s="14"/>
    </row>
    <row r="149" spans="3:17" ht="20.100000000000001" customHeight="1" x14ac:dyDescent="0.25">
      <c r="C149" s="14"/>
      <c r="D149" s="11" t="str" cm="1">
        <f t="array" ref="D149">Scope3_SourceData.Scope3_AnimalFeed_Source()</f>
        <v>Lifecycles. (2026). Greenhouse Gas Emission Intensities for Material Inputs to Australian Agriculture, Fisheries and Forestry. Version 48. doi 10.5281/zenodo.19656580</v>
      </c>
      <c r="E149" s="14"/>
      <c r="F149" s="14"/>
      <c r="G149" s="14"/>
      <c r="H149" s="14"/>
      <c r="I149" s="14"/>
      <c r="J149" s="14"/>
      <c r="K149" s="14"/>
      <c r="L149" s="14"/>
      <c r="M149" s="14"/>
      <c r="N149" s="14"/>
      <c r="O149" s="14"/>
      <c r="P149" s="14"/>
      <c r="Q149" s="14"/>
    </row>
    <row r="150" spans="3:17" ht="20.100000000000001" customHeight="1" x14ac:dyDescent="0.25">
      <c r="C150" s="14"/>
      <c r="D150" s="14"/>
      <c r="E150" s="14"/>
      <c r="F150" s="14"/>
      <c r="G150" s="14"/>
      <c r="H150" s="14"/>
      <c r="I150" s="14"/>
      <c r="J150" s="14"/>
      <c r="K150" s="14"/>
      <c r="L150" s="14"/>
      <c r="M150" s="14"/>
      <c r="N150" s="14"/>
      <c r="O150" s="14"/>
      <c r="P150" s="14"/>
      <c r="Q150" s="14"/>
    </row>
    <row r="151" spans="3:17" ht="20.100000000000001" customHeight="1" x14ac:dyDescent="0.25">
      <c r="C151" s="14"/>
      <c r="D151" s="168" t="s">
        <v>337</v>
      </c>
      <c r="E151" s="168" t="s">
        <v>304</v>
      </c>
      <c r="F151" s="168" t="s">
        <v>305</v>
      </c>
      <c r="G151" s="168" t="s">
        <v>306</v>
      </c>
      <c r="H151" s="169" t="s">
        <v>307</v>
      </c>
      <c r="I151" s="168" t="s">
        <v>308</v>
      </c>
      <c r="J151" s="168" t="s">
        <v>323</v>
      </c>
      <c r="K151" s="168" t="s">
        <v>309</v>
      </c>
      <c r="L151" s="169" t="s">
        <v>310</v>
      </c>
      <c r="M151" s="169" t="s">
        <v>311</v>
      </c>
      <c r="N151" s="169" t="s">
        <v>312</v>
      </c>
      <c r="O151" s="168" t="s">
        <v>313</v>
      </c>
      <c r="P151" s="14"/>
      <c r="Q151" s="14"/>
    </row>
    <row r="152" spans="3:17" ht="20.100000000000001" customHeight="1" x14ac:dyDescent="0.25">
      <c r="C152" s="14"/>
      <c r="D152" s="14" t="str" cm="1">
        <f t="array" ref="D152">Common_InputFunctions.Utility_DisplayArrayInTable(Scope3_SourceData.Scope3_AnimalFeed_Data(), Table_Scope3_AnimalFeed[[#Headers],[Feed ingredient]], 0, 2)</f>
        <v>Grain</v>
      </c>
      <c r="E152" s="14" cm="1">
        <f t="array" ref="E15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2" s="14" t="str" cm="1">
        <f t="array" ref="F152">Common_InputFunctions.Utility_DisplayArrayInTable(Scope3_SourceData.Scope3_AnimalFeed_Data(), Table_Scope3_AnimalFeed[[#Headers],[Feed ingredient]], 0, 2)</f>
        <v>t</v>
      </c>
      <c r="G152" s="14" cm="1">
        <f t="array" ref="G152">Common_InputFunctions.Utility_DisplayArrayInTable(Scope3_SourceData.Scope3_AnimalFeed_Data(), Table_Scope3_AnimalFeed[[#Headers],[Feed ingredient]], 0, 2)</f>
        <v>60101</v>
      </c>
      <c r="H152" s="173">
        <v>100</v>
      </c>
      <c r="I152" s="14" t="str" cm="1">
        <f t="array" ref="I152">Common_InputFunctions.Utility_DisplayArrayInTable(Scope3_SourceData.Scope3_AnimalFeed_Data(), Table_Scope3_AnimalFeed[[#Headers],[Feed ingredient]], 0, 2)</f>
        <v>t CO2-e / t</v>
      </c>
      <c r="J152" s="14">
        <f>Table_Scope3_AnimalFeed[[#This Row],[Quantity]]*Table_Scope3_AnimalFeed[[#This Row],[AusLCI Emissions intensity]]</f>
        <v>0</v>
      </c>
      <c r="K152" s="155">
        <f>Table_Scope3_AnimalFeed[[#This Row],[Quantity]]*IF(Table_Scope3_AnimalFeed[[#This Row],[Custom emissions intensity]], Table_Scope3_AnimalFeed[[#This Row],[Custom emissions intensity]], Table_Scope3_AnimalFeed[[#This Row],[AusLCI Emissions intensity]])</f>
        <v>0</v>
      </c>
      <c r="L152" s="173"/>
      <c r="M152" s="48"/>
      <c r="N152" s="173"/>
      <c r="O152" s="155" cm="1">
        <f t="array" ref="O152">Common_InputFunctions.Utility_LookupValueInTableNumber(Table_Scope3_AnimalFeed[[#This Row],[Custom emissions intensity source type (Select)]],#REF!,#REF!)</f>
        <v>0</v>
      </c>
      <c r="P152" s="14"/>
      <c r="Q152" s="14"/>
    </row>
    <row r="153" spans="3:17" ht="20.100000000000001" customHeight="1" x14ac:dyDescent="0.25">
      <c r="C153" s="14"/>
      <c r="D153" s="14" t="str" cm="1">
        <f t="array" ref="D153">Common_InputFunctions.Utility_DisplayArrayInTable(Scope3_SourceData.Scope3_AnimalFeed_Data(), Table_Scope3_AnimalFeed[[#Headers],[Feed ingredient]], 0, 2)</f>
        <v>Wheat</v>
      </c>
      <c r="E153" s="14" cm="1">
        <f t="array" ref="E15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0.26400000000000001</v>
      </c>
      <c r="F153" s="14" t="str" cm="1">
        <f t="array" ref="F153">Common_InputFunctions.Utility_DisplayArrayInTable(Scope3_SourceData.Scope3_AnimalFeed_Data(), Table_Scope3_AnimalFeed[[#Headers],[Feed ingredient]], 0, 2)</f>
        <v>t</v>
      </c>
      <c r="G153" s="14" cm="1">
        <f t="array" ref="G153">Common_InputFunctions.Utility_DisplayArrayInTable(Scope3_SourceData.Scope3_AnimalFeed_Data(), Table_Scope3_AnimalFeed[[#Headers],[Feed ingredient]], 0, 2)</f>
        <v>60102</v>
      </c>
      <c r="H153" s="173"/>
      <c r="I153" s="14" t="str" cm="1">
        <f t="array" ref="I153">Common_InputFunctions.Utility_DisplayArrayInTable(Scope3_SourceData.Scope3_AnimalFeed_Data(), Table_Scope3_AnimalFeed[[#Headers],[Feed ingredient]], 0, 2)</f>
        <v>t CO2-e / t</v>
      </c>
      <c r="J153" s="155">
        <f>Table_Scope3_AnimalFeed[[#This Row],[Quantity]]*Table_Scope3_AnimalFeed[[#This Row],[AusLCI Emissions intensity]]</f>
        <v>15866.928</v>
      </c>
      <c r="K153" s="155">
        <f>Table_Scope3_AnimalFeed[[#This Row],[Quantity]]*IF(Table_Scope3_AnimalFeed[[#This Row],[Custom emissions intensity]], Table_Scope3_AnimalFeed[[#This Row],[Custom emissions intensity]], Table_Scope3_AnimalFeed[[#This Row],[AusLCI Emissions intensity]])</f>
        <v>15866.928</v>
      </c>
      <c r="L153" s="173"/>
      <c r="M153" s="48"/>
      <c r="N153" s="173"/>
      <c r="O153" s="155" cm="1">
        <f t="array" ref="O153">Common_InputFunctions.Utility_LookupValueInTableNumber(Table_Scope3_AnimalFeed[[#This Row],[Custom emissions intensity source type (Select)]],#REF!,#REF!)</f>
        <v>0</v>
      </c>
      <c r="P153" s="14"/>
      <c r="Q153" s="14"/>
    </row>
    <row r="154" spans="3:17" ht="20.100000000000001" customHeight="1" x14ac:dyDescent="0.25">
      <c r="C154" s="14"/>
      <c r="D154" s="14" t="str" cm="1">
        <f t="array" ref="D154">Common_InputFunctions.Utility_DisplayArrayInTable(Scope3_SourceData.Scope3_AnimalFeed_Data(), Table_Scope3_AnimalFeed[[#Headers],[Feed ingredient]], 0, 2)</f>
        <v>Wheat Bran</v>
      </c>
      <c r="E154" s="14" cm="1">
        <f t="array" ref="E15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54" s="14" t="str" cm="1">
        <f t="array" ref="F154">Common_InputFunctions.Utility_DisplayArrayInTable(Scope3_SourceData.Scope3_AnimalFeed_Data(), Table_Scope3_AnimalFeed[[#Headers],[Feed ingredient]], 0, 2)</f>
        <v>t</v>
      </c>
      <c r="G154" s="14" cm="1">
        <f t="array" ref="G154">Common_InputFunctions.Utility_DisplayArrayInTable(Scope3_SourceData.Scope3_AnimalFeed_Data(), Table_Scope3_AnimalFeed[[#Headers],[Feed ingredient]], 0, 2)</f>
        <v>60103</v>
      </c>
      <c r="H154" s="173"/>
      <c r="I154" s="14" t="str" cm="1">
        <f t="array" ref="I154">Common_InputFunctions.Utility_DisplayArrayInTable(Scope3_SourceData.Scope3_AnimalFeed_Data(), Table_Scope3_AnimalFeed[[#Headers],[Feed ingredient]], 0, 2)</f>
        <v>t CO2-e / t</v>
      </c>
      <c r="J154" s="155">
        <f>Table_Scope3_AnimalFeed[[#This Row],[Quantity]]*Table_Scope3_AnimalFeed[[#This Row],[AusLCI Emissions intensity]]</f>
        <v>41543.193599999999</v>
      </c>
      <c r="K154" s="155">
        <f>Table_Scope3_AnimalFeed[[#This Row],[Quantity]]*IF(Table_Scope3_AnimalFeed[[#This Row],[Custom emissions intensity]], Table_Scope3_AnimalFeed[[#This Row],[Custom emissions intensity]], Table_Scope3_AnimalFeed[[#This Row],[AusLCI Emissions intensity]])</f>
        <v>41543.193599999999</v>
      </c>
      <c r="L154" s="173"/>
      <c r="M154" s="48"/>
      <c r="N154" s="173"/>
      <c r="O154" s="155" cm="1">
        <f t="array" ref="O154">Common_InputFunctions.Utility_LookupValueInTableNumber(Table_Scope3_AnimalFeed[[#This Row],[Custom emissions intensity source type (Select)]],#REF!,#REF!)</f>
        <v>0</v>
      </c>
      <c r="P154" s="14"/>
      <c r="Q154" s="14"/>
    </row>
    <row r="155" spans="3:17" ht="20.100000000000001" customHeight="1" x14ac:dyDescent="0.25">
      <c r="C155" s="14"/>
      <c r="D155" s="14" t="str" cm="1">
        <f t="array" ref="D155">Common_InputFunctions.Utility_DisplayArrayInTable(Scope3_SourceData.Scope3_AnimalFeed_Data(), Table_Scope3_AnimalFeed[[#Headers],[Feed ingredient]], 0, 2)</f>
        <v>Barley</v>
      </c>
      <c r="E155" s="14" cm="1">
        <f t="array" ref="E15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5" s="14" t="str" cm="1">
        <f t="array" ref="F155">Common_InputFunctions.Utility_DisplayArrayInTable(Scope3_SourceData.Scope3_AnimalFeed_Data(), Table_Scope3_AnimalFeed[[#Headers],[Feed ingredient]], 0, 2)</f>
        <v>t</v>
      </c>
      <c r="G155" s="14" cm="1">
        <f t="array" ref="G155">Common_InputFunctions.Utility_DisplayArrayInTable(Scope3_SourceData.Scope3_AnimalFeed_Data(), Table_Scope3_AnimalFeed[[#Headers],[Feed ingredient]], 0, 2)</f>
        <v>60104</v>
      </c>
      <c r="H155" s="173"/>
      <c r="I155" s="14" t="str" cm="1">
        <f t="array" ref="I155">Common_InputFunctions.Utility_DisplayArrayInTable(Scope3_SourceData.Scope3_AnimalFeed_Data(), Table_Scope3_AnimalFeed[[#Headers],[Feed ingredient]], 0, 2)</f>
        <v>t CO2-e / t</v>
      </c>
      <c r="J155" s="155">
        <f>Table_Scope3_AnimalFeed[[#This Row],[Quantity]]*Table_Scope3_AnimalFeed[[#This Row],[AusLCI Emissions intensity]]</f>
        <v>0</v>
      </c>
      <c r="K155" s="155">
        <f>Table_Scope3_AnimalFeed[[#This Row],[Quantity]]*IF(Table_Scope3_AnimalFeed[[#This Row],[Custom emissions intensity]], Table_Scope3_AnimalFeed[[#This Row],[Custom emissions intensity]], Table_Scope3_AnimalFeed[[#This Row],[AusLCI Emissions intensity]])</f>
        <v>0</v>
      </c>
      <c r="L155" s="173"/>
      <c r="M155" s="48"/>
      <c r="N155" s="173"/>
      <c r="O155" s="155" cm="1">
        <f t="array" ref="O155">Common_InputFunctions.Utility_LookupValueInTableNumber(Table_Scope3_AnimalFeed[[#This Row],[Custom emissions intensity source type (Select)]],#REF!,#REF!)</f>
        <v>0</v>
      </c>
      <c r="P155" s="14"/>
      <c r="Q155" s="14"/>
    </row>
    <row r="156" spans="3:17" ht="20.100000000000001" customHeight="1" x14ac:dyDescent="0.25">
      <c r="C156" s="14"/>
      <c r="D156" s="14" t="str" cm="1">
        <f t="array" ref="D156">Common_InputFunctions.Utility_DisplayArrayInTable(Scope3_SourceData.Scope3_AnimalFeed_Data(), Table_Scope3_AnimalFeed[[#Headers],[Feed ingredient]], 0, 2)</f>
        <v>Soybean</v>
      </c>
      <c r="E156" s="14" cm="1">
        <f t="array" ref="E15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6" s="14" t="str" cm="1">
        <f t="array" ref="F156">Common_InputFunctions.Utility_DisplayArrayInTable(Scope3_SourceData.Scope3_AnimalFeed_Data(), Table_Scope3_AnimalFeed[[#Headers],[Feed ingredient]], 0, 2)</f>
        <v>t</v>
      </c>
      <c r="G156" s="14" cm="1">
        <f t="array" ref="G156">Common_InputFunctions.Utility_DisplayArrayInTable(Scope3_SourceData.Scope3_AnimalFeed_Data(), Table_Scope3_AnimalFeed[[#Headers],[Feed ingredient]], 0, 2)</f>
        <v>60105</v>
      </c>
      <c r="H156" s="173"/>
      <c r="I156" s="14" t="str" cm="1">
        <f t="array" ref="I156">Common_InputFunctions.Utility_DisplayArrayInTable(Scope3_SourceData.Scope3_AnimalFeed_Data(), Table_Scope3_AnimalFeed[[#Headers],[Feed ingredient]], 0, 2)</f>
        <v>t CO2-e / t</v>
      </c>
      <c r="J156" s="155">
        <f>Table_Scope3_AnimalFeed[[#This Row],[Quantity]]*Table_Scope3_AnimalFeed[[#This Row],[AusLCI Emissions intensity]]</f>
        <v>0</v>
      </c>
      <c r="K156" s="155">
        <f>Table_Scope3_AnimalFeed[[#This Row],[Quantity]]*IF(Table_Scope3_AnimalFeed[[#This Row],[Custom emissions intensity]], Table_Scope3_AnimalFeed[[#This Row],[Custom emissions intensity]], Table_Scope3_AnimalFeed[[#This Row],[AusLCI Emissions intensity]])</f>
        <v>0</v>
      </c>
      <c r="L156" s="173"/>
      <c r="M156" s="48"/>
      <c r="N156" s="173"/>
      <c r="O156" s="155" cm="1">
        <f t="array" ref="O156">Common_InputFunctions.Utility_LookupValueInTableNumber(Table_Scope3_AnimalFeed[[#This Row],[Custom emissions intensity source type (Select)]],#REF!,#REF!)</f>
        <v>0</v>
      </c>
      <c r="P156" s="14"/>
      <c r="Q156" s="14"/>
    </row>
    <row r="157" spans="3:17" ht="20.100000000000001" customHeight="1" x14ac:dyDescent="0.25">
      <c r="C157" s="14"/>
      <c r="D157" s="14" t="str" cm="1">
        <f t="array" ref="D157">Common_InputFunctions.Utility_DisplayArrayInTable(Scope3_SourceData.Scope3_AnimalFeed_Data(), Table_Scope3_AnimalFeed[[#Headers],[Feed ingredient]], 0, 2)</f>
        <v>Soybean meal</v>
      </c>
      <c r="E157" s="14" cm="1">
        <f t="array" ref="E15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7" s="14" t="str" cm="1">
        <f t="array" ref="F157">Common_InputFunctions.Utility_DisplayArrayInTable(Scope3_SourceData.Scope3_AnimalFeed_Data(), Table_Scope3_AnimalFeed[[#Headers],[Feed ingredient]], 0, 2)</f>
        <v>t</v>
      </c>
      <c r="G157" s="14" cm="1">
        <f t="array" ref="G157">Common_InputFunctions.Utility_DisplayArrayInTable(Scope3_SourceData.Scope3_AnimalFeed_Data(), Table_Scope3_AnimalFeed[[#Headers],[Feed ingredient]], 0, 2)</f>
        <v>60106</v>
      </c>
      <c r="H157" s="173"/>
      <c r="I157" s="14" t="str" cm="1">
        <f t="array" ref="I157">Common_InputFunctions.Utility_DisplayArrayInTable(Scope3_SourceData.Scope3_AnimalFeed_Data(), Table_Scope3_AnimalFeed[[#Headers],[Feed ingredient]], 0, 2)</f>
        <v>t CO2-e / t</v>
      </c>
      <c r="J157" s="155">
        <f>Table_Scope3_AnimalFeed[[#This Row],[Quantity]]*Table_Scope3_AnimalFeed[[#This Row],[AusLCI Emissions intensity]]</f>
        <v>0</v>
      </c>
      <c r="K157" s="155">
        <f>Table_Scope3_AnimalFeed[[#This Row],[Quantity]]*IF(Table_Scope3_AnimalFeed[[#This Row],[Custom emissions intensity]], Table_Scope3_AnimalFeed[[#This Row],[Custom emissions intensity]], Table_Scope3_AnimalFeed[[#This Row],[AusLCI Emissions intensity]])</f>
        <v>0</v>
      </c>
      <c r="L157" s="173"/>
      <c r="M157" s="48"/>
      <c r="N157" s="173"/>
      <c r="O157" s="155" cm="1">
        <f t="array" ref="O157">Common_InputFunctions.Utility_LookupValueInTableNumber(Table_Scope3_AnimalFeed[[#This Row],[Custom emissions intensity source type (Select)]],#REF!,#REF!)</f>
        <v>0</v>
      </c>
      <c r="P157" s="14"/>
      <c r="Q157" s="14"/>
    </row>
    <row r="158" spans="3:17" ht="20.100000000000001" customHeight="1" x14ac:dyDescent="0.25">
      <c r="C158" s="14"/>
      <c r="D158" s="14" t="str" cm="1">
        <f t="array" ref="D158">Common_InputFunctions.Utility_DisplayArrayInTable(Scope3_SourceData.Scope3_AnimalFeed_Data(), Table_Scope3_AnimalFeed[[#Headers],[Feed ingredient]], 0, 2)</f>
        <v>Canola meal</v>
      </c>
      <c r="E158" s="14" cm="1">
        <f t="array" ref="E15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58" s="14" t="str" cm="1">
        <f t="array" ref="F158">Common_InputFunctions.Utility_DisplayArrayInTable(Scope3_SourceData.Scope3_AnimalFeed_Data(), Table_Scope3_AnimalFeed[[#Headers],[Feed ingredient]], 0, 2)</f>
        <v>t</v>
      </c>
      <c r="G158" s="14" cm="1">
        <f t="array" ref="G158">Common_InputFunctions.Utility_DisplayArrayInTable(Scope3_SourceData.Scope3_AnimalFeed_Data(), Table_Scope3_AnimalFeed[[#Headers],[Feed ingredient]], 0, 2)</f>
        <v>60107</v>
      </c>
      <c r="H158" s="173"/>
      <c r="I158" s="14" t="str" cm="1">
        <f t="array" ref="I158">Common_InputFunctions.Utility_DisplayArrayInTable(Scope3_SourceData.Scope3_AnimalFeed_Data(), Table_Scope3_AnimalFeed[[#Headers],[Feed ingredient]], 0, 2)</f>
        <v>t CO2-e / t</v>
      </c>
      <c r="J158" s="155">
        <f>Table_Scope3_AnimalFeed[[#This Row],[Quantity]]*Table_Scope3_AnimalFeed[[#This Row],[AusLCI Emissions intensity]]</f>
        <v>0</v>
      </c>
      <c r="K158" s="155">
        <f>Table_Scope3_AnimalFeed[[#This Row],[Quantity]]*IF(Table_Scope3_AnimalFeed[[#This Row],[Custom emissions intensity]], Table_Scope3_AnimalFeed[[#This Row],[Custom emissions intensity]], Table_Scope3_AnimalFeed[[#This Row],[AusLCI Emissions intensity]])</f>
        <v>0</v>
      </c>
      <c r="L158" s="173"/>
      <c r="M158" s="48"/>
      <c r="N158" s="173"/>
      <c r="O158" s="155" cm="1">
        <f t="array" ref="O158">Common_InputFunctions.Utility_LookupValueInTableNumber(Table_Scope3_AnimalFeed[[#This Row],[Custom emissions intensity source type (Select)]],#REF!,#REF!)</f>
        <v>0</v>
      </c>
      <c r="P158" s="14"/>
      <c r="Q158" s="14"/>
    </row>
    <row r="159" spans="3:17" ht="20.100000000000001" customHeight="1" x14ac:dyDescent="0.25">
      <c r="C159" s="14"/>
      <c r="D159" s="14" t="str" cm="1">
        <f t="array" ref="D159">Common_InputFunctions.Utility_DisplayArrayInTable(Scope3_SourceData.Scope3_AnimalFeed_Data(), Table_Scope3_AnimalFeed[[#Headers],[Feed ingredient]], 0, 2)</f>
        <v>Canola oil</v>
      </c>
      <c r="E159" s="14" cm="1">
        <f t="array" ref="E15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0.14400000000000002</v>
      </c>
      <c r="F159" s="14" t="str" cm="1">
        <f t="array" ref="F159">Common_InputFunctions.Utility_DisplayArrayInTable(Scope3_SourceData.Scope3_AnimalFeed_Data(), Table_Scope3_AnimalFeed[[#Headers],[Feed ingredient]], 0, 2)</f>
        <v>t</v>
      </c>
      <c r="G159" s="14" cm="1">
        <f t="array" ref="G159">Common_InputFunctions.Utility_DisplayArrayInTable(Scope3_SourceData.Scope3_AnimalFeed_Data(), Table_Scope3_AnimalFeed[[#Headers],[Feed ingredient]], 0, 2)</f>
        <v>60108</v>
      </c>
      <c r="H159" s="173"/>
      <c r="I159" s="14" t="str" cm="1">
        <f t="array" ref="I159">Common_InputFunctions.Utility_DisplayArrayInTable(Scope3_SourceData.Scope3_AnimalFeed_Data(), Table_Scope3_AnimalFeed[[#Headers],[Feed ingredient]], 0, 2)</f>
        <v>t CO2-e / t</v>
      </c>
      <c r="J159" s="155">
        <f>Table_Scope3_AnimalFeed[[#This Row],[Quantity]]*Table_Scope3_AnimalFeed[[#This Row],[AusLCI Emissions intensity]]</f>
        <v>8655.5520000000015</v>
      </c>
      <c r="K159" s="155">
        <f>Table_Scope3_AnimalFeed[[#This Row],[Quantity]]*IF(Table_Scope3_AnimalFeed[[#This Row],[Custom emissions intensity]], Table_Scope3_AnimalFeed[[#This Row],[Custom emissions intensity]], Table_Scope3_AnimalFeed[[#This Row],[AusLCI Emissions intensity]])</f>
        <v>8655.5520000000015</v>
      </c>
      <c r="L159" s="173"/>
      <c r="M159" s="48"/>
      <c r="N159" s="173"/>
      <c r="O159" s="155" cm="1">
        <f t="array" ref="O159">Common_InputFunctions.Utility_LookupValueInTableNumber(Table_Scope3_AnimalFeed[[#This Row],[Custom emissions intensity source type (Select)]],#REF!,#REF!)</f>
        <v>0</v>
      </c>
      <c r="P159" s="14"/>
      <c r="Q159" s="14"/>
    </row>
    <row r="160" spans="3:17" ht="20.100000000000001" customHeight="1" x14ac:dyDescent="0.25">
      <c r="C160" s="14"/>
      <c r="D160" s="14" t="str" cm="1">
        <f t="array" ref="D160">Common_InputFunctions.Utility_DisplayArrayInTable(Scope3_SourceData.Scope3_AnimalFeed_Data(), Table_Scope3_AnimalFeed[[#Headers],[Feed ingredient]], 0, 2)</f>
        <v>Beet pulp</v>
      </c>
      <c r="E160" s="14" cm="1">
        <f t="array" ref="E16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0.42</v>
      </c>
      <c r="F160" s="14" t="str" cm="1">
        <f t="array" ref="F160">Common_InputFunctions.Utility_DisplayArrayInTable(Scope3_SourceData.Scope3_AnimalFeed_Data(), Table_Scope3_AnimalFeed[[#Headers],[Feed ingredient]], 0, 2)</f>
        <v>t</v>
      </c>
      <c r="G160" s="14" cm="1">
        <f t="array" ref="G160">Common_InputFunctions.Utility_DisplayArrayInTable(Scope3_SourceData.Scope3_AnimalFeed_Data(), Table_Scope3_AnimalFeed[[#Headers],[Feed ingredient]], 0, 2)</f>
        <v>60109</v>
      </c>
      <c r="H160" s="173"/>
      <c r="I160" s="14" t="str" cm="1">
        <f t="array" ref="I160">Common_InputFunctions.Utility_DisplayArrayInTable(Scope3_SourceData.Scope3_AnimalFeed_Data(), Table_Scope3_AnimalFeed[[#Headers],[Feed ingredient]], 0, 2)</f>
        <v>t CO2-e / t</v>
      </c>
      <c r="J160" s="155">
        <f>Table_Scope3_AnimalFeed[[#This Row],[Quantity]]*Table_Scope3_AnimalFeed[[#This Row],[AusLCI Emissions intensity]]</f>
        <v>25245.78</v>
      </c>
      <c r="K160" s="155">
        <f>Table_Scope3_AnimalFeed[[#This Row],[Quantity]]*IF(Table_Scope3_AnimalFeed[[#This Row],[Custom emissions intensity]], Table_Scope3_AnimalFeed[[#This Row],[Custom emissions intensity]], Table_Scope3_AnimalFeed[[#This Row],[AusLCI Emissions intensity]])</f>
        <v>25245.78</v>
      </c>
      <c r="L160" s="173"/>
      <c r="M160" s="48"/>
      <c r="N160" s="173"/>
      <c r="O160" s="155" cm="1">
        <f t="array" ref="O160">Common_InputFunctions.Utility_LookupValueInTableNumber(Table_Scope3_AnimalFeed[[#This Row],[Custom emissions intensity source type (Select)]],#REF!,#REF!)</f>
        <v>0</v>
      </c>
      <c r="P160" s="14"/>
      <c r="Q160" s="14"/>
    </row>
    <row r="161" spans="3:17" ht="20.100000000000001" customHeight="1" x14ac:dyDescent="0.25">
      <c r="C161" s="14"/>
      <c r="D161" s="14" t="str" cm="1">
        <f t="array" ref="D161">Common_InputFunctions.Utility_DisplayArrayInTable(Scope3_SourceData.Scope3_AnimalFeed_Data(), Table_Scope3_AnimalFeed[[#Headers],[Feed ingredient]], 0, 2)</f>
        <v>Cotton seed</v>
      </c>
      <c r="E161" s="14" cm="1">
        <f t="array" ref="E16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61" s="14" t="str" cm="1">
        <f t="array" ref="F161">Common_InputFunctions.Utility_DisplayArrayInTable(Scope3_SourceData.Scope3_AnimalFeed_Data(), Table_Scope3_AnimalFeed[[#Headers],[Feed ingredient]], 0, 2)</f>
        <v>t</v>
      </c>
      <c r="G161" s="14" cm="1">
        <f t="array" ref="G161">Common_InputFunctions.Utility_DisplayArrayInTable(Scope3_SourceData.Scope3_AnimalFeed_Data(), Table_Scope3_AnimalFeed[[#Headers],[Feed ingredient]], 0, 2)</f>
        <v>60110</v>
      </c>
      <c r="H161" s="173"/>
      <c r="I161" s="14" t="str" cm="1">
        <f t="array" ref="I161">Common_InputFunctions.Utility_DisplayArrayInTable(Scope3_SourceData.Scope3_AnimalFeed_Data(), Table_Scope3_AnimalFeed[[#Headers],[Feed ingredient]], 0, 2)</f>
        <v>t CO2-e / t</v>
      </c>
      <c r="J161" s="155">
        <f>Table_Scope3_AnimalFeed[[#This Row],[Quantity]]*Table_Scope3_AnimalFeed[[#This Row],[AusLCI Emissions intensity]]</f>
        <v>41548.031999999999</v>
      </c>
      <c r="K161" s="155">
        <f>Table_Scope3_AnimalFeed[[#This Row],[Quantity]]*IF(Table_Scope3_AnimalFeed[[#This Row],[Custom emissions intensity]], Table_Scope3_AnimalFeed[[#This Row],[Custom emissions intensity]], Table_Scope3_AnimalFeed[[#This Row],[AusLCI Emissions intensity]])</f>
        <v>41548.031999999999</v>
      </c>
      <c r="L161" s="173"/>
      <c r="M161" s="48"/>
      <c r="N161" s="173"/>
      <c r="O161" s="155" cm="1">
        <f t="array" ref="O161">Common_InputFunctions.Utility_LookupValueInTableNumber(Table_Scope3_AnimalFeed[[#This Row],[Custom emissions intensity source type (Select)]],#REF!,#REF!)</f>
        <v>0</v>
      </c>
      <c r="P161" s="14"/>
      <c r="Q161" s="14"/>
    </row>
    <row r="162" spans="3:17" ht="20.100000000000001" customHeight="1" x14ac:dyDescent="0.25">
      <c r="C162" s="14"/>
      <c r="D162" s="14" t="str" cm="1">
        <f t="array" ref="D162">Common_InputFunctions.Utility_DisplayArrayInTable(Scope3_SourceData.Scope3_AnimalFeed_Data(), Table_Scope3_AnimalFeed[[#Headers],[Feed ingredient]], 0, 2)</f>
        <v>Hay</v>
      </c>
      <c r="E162" s="14" cm="1">
        <f t="array" ref="E16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0.36</v>
      </c>
      <c r="F162" s="14" t="str" cm="1">
        <f t="array" ref="F162">Common_InputFunctions.Utility_DisplayArrayInTable(Scope3_SourceData.Scope3_AnimalFeed_Data(), Table_Scope3_AnimalFeed[[#Headers],[Feed ingredient]], 0, 2)</f>
        <v>t</v>
      </c>
      <c r="G162" s="14" cm="1">
        <f t="array" ref="G162">Common_InputFunctions.Utility_DisplayArrayInTable(Scope3_SourceData.Scope3_AnimalFeed_Data(), Table_Scope3_AnimalFeed[[#Headers],[Feed ingredient]], 0, 2)</f>
        <v>60111</v>
      </c>
      <c r="H162" s="173"/>
      <c r="I162" s="14" t="str" cm="1">
        <f t="array" ref="I162">Common_InputFunctions.Utility_DisplayArrayInTable(Scope3_SourceData.Scope3_AnimalFeed_Data(), Table_Scope3_AnimalFeed[[#Headers],[Feed ingredient]], 0, 2)</f>
        <v>t CO2-e / t</v>
      </c>
      <c r="J162" s="155">
        <f>Table_Scope3_AnimalFeed[[#This Row],[Quantity]]*Table_Scope3_AnimalFeed[[#This Row],[AusLCI Emissions intensity]]</f>
        <v>21639.96</v>
      </c>
      <c r="K162" s="155">
        <f>Table_Scope3_AnimalFeed[[#This Row],[Quantity]]*IF(Table_Scope3_AnimalFeed[[#This Row],[Custom emissions intensity]], Table_Scope3_AnimalFeed[[#This Row],[Custom emissions intensity]], Table_Scope3_AnimalFeed[[#This Row],[AusLCI Emissions intensity]])</f>
        <v>21639.96</v>
      </c>
      <c r="L162" s="173"/>
      <c r="M162" s="48"/>
      <c r="N162" s="173"/>
      <c r="O162" s="155" cm="1">
        <f t="array" ref="O162">Common_InputFunctions.Utility_LookupValueInTableNumber(Table_Scope3_AnimalFeed[[#This Row],[Custom emissions intensity source type (Select)]],#REF!,#REF!)</f>
        <v>0</v>
      </c>
      <c r="P162" s="14"/>
      <c r="Q162" s="14"/>
    </row>
    <row r="163" spans="3:17" ht="20.100000000000001" customHeight="1" x14ac:dyDescent="0.25">
      <c r="C163" s="14"/>
      <c r="D163" s="14" t="str" cm="1">
        <f t="array" ref="D163">Common_InputFunctions.Utility_DisplayArrayInTable(Scope3_SourceData.Scope3_AnimalFeed_Data(), Table_Scope3_AnimalFeed[[#Headers],[Feed ingredient]], 0, 2)</f>
        <v>Feed formulations (chicken, pigs, cattle, dairy)</v>
      </c>
      <c r="E163" s="14" cm="1">
        <f t="array" ref="E16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3" s="14" t="str" cm="1">
        <f t="array" ref="F163">Common_InputFunctions.Utility_DisplayArrayInTable(Scope3_SourceData.Scope3_AnimalFeed_Data(), Table_Scope3_AnimalFeed[[#Headers],[Feed ingredient]], 0, 2)</f>
        <v>t</v>
      </c>
      <c r="G163" s="14" cm="1">
        <f t="array" ref="G163">Common_InputFunctions.Utility_DisplayArrayInTable(Scope3_SourceData.Scope3_AnimalFeed_Data(), Table_Scope3_AnimalFeed[[#Headers],[Feed ingredient]], 0, 2)</f>
        <v>60112</v>
      </c>
      <c r="H163" s="173"/>
      <c r="I163" s="14" t="str" cm="1">
        <f t="array" ref="I163">Common_InputFunctions.Utility_DisplayArrayInTable(Scope3_SourceData.Scope3_AnimalFeed_Data(), Table_Scope3_AnimalFeed[[#Headers],[Feed ingredient]], 0, 2)</f>
        <v>t CO2-e / t</v>
      </c>
      <c r="J163" s="155">
        <f>Table_Scope3_AnimalFeed[[#This Row],[Quantity]]*Table_Scope3_AnimalFeed[[#This Row],[AusLCI Emissions intensity]]</f>
        <v>0</v>
      </c>
      <c r="K163" s="155">
        <f>Table_Scope3_AnimalFeed[[#This Row],[Quantity]]*IF(Table_Scope3_AnimalFeed[[#This Row],[Custom emissions intensity]], Table_Scope3_AnimalFeed[[#This Row],[Custom emissions intensity]], Table_Scope3_AnimalFeed[[#This Row],[AusLCI Emissions intensity]])</f>
        <v>0</v>
      </c>
      <c r="L163" s="173"/>
      <c r="M163" s="48"/>
      <c r="N163" s="173"/>
      <c r="O163" s="155" cm="1">
        <f t="array" ref="O163">Common_InputFunctions.Utility_LookupValueInTableNumber(Table_Scope3_AnimalFeed[[#This Row],[Custom emissions intensity source type (Select)]],#REF!,#REF!)</f>
        <v>0</v>
      </c>
      <c r="P163" s="14"/>
      <c r="Q163" s="14"/>
    </row>
    <row r="164" spans="3:17" ht="20.100000000000001" customHeight="1" x14ac:dyDescent="0.25">
      <c r="C164" s="14"/>
      <c r="D164" s="14" t="str" cm="1">
        <f t="array" ref="D164">Common_InputFunctions.Utility_DisplayArrayInTable(Scope3_SourceData.Scope3_AnimalFeed_Data(), Table_Scope3_AnimalFeed[[#Headers],[Feed ingredient]], 0, 2)</f>
        <v>Molasses</v>
      </c>
      <c r="E164" s="14" cm="1">
        <f t="array" ref="E16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4" s="14" t="str" cm="1">
        <f t="array" ref="F164">Common_InputFunctions.Utility_DisplayArrayInTable(Scope3_SourceData.Scope3_AnimalFeed_Data(), Table_Scope3_AnimalFeed[[#Headers],[Feed ingredient]], 0, 2)</f>
        <v>t</v>
      </c>
      <c r="G164" s="14" cm="1">
        <f t="array" ref="G164">Common_InputFunctions.Utility_DisplayArrayInTable(Scope3_SourceData.Scope3_AnimalFeed_Data(), Table_Scope3_AnimalFeed[[#Headers],[Feed ingredient]], 0, 2)</f>
        <v>60113</v>
      </c>
      <c r="H164" s="173"/>
      <c r="I164" s="14" t="str" cm="1">
        <f t="array" ref="I164">Common_InputFunctions.Utility_DisplayArrayInTable(Scope3_SourceData.Scope3_AnimalFeed_Data(), Table_Scope3_AnimalFeed[[#Headers],[Feed ingredient]], 0, 2)</f>
        <v>t CO2-e / t</v>
      </c>
      <c r="J164" s="155">
        <f>Table_Scope3_AnimalFeed[[#This Row],[Quantity]]*Table_Scope3_AnimalFeed[[#This Row],[AusLCI Emissions intensity]]</f>
        <v>0</v>
      </c>
      <c r="K164" s="155">
        <f>Table_Scope3_AnimalFeed[[#This Row],[Quantity]]*IF(Table_Scope3_AnimalFeed[[#This Row],[Custom emissions intensity]], Table_Scope3_AnimalFeed[[#This Row],[Custom emissions intensity]], Table_Scope3_AnimalFeed[[#This Row],[AusLCI Emissions intensity]])</f>
        <v>0</v>
      </c>
      <c r="L164" s="173"/>
      <c r="M164" s="48"/>
      <c r="N164" s="173"/>
      <c r="O164" s="155" cm="1">
        <f t="array" ref="O164">Common_InputFunctions.Utility_LookupValueInTableNumber(Table_Scope3_AnimalFeed[[#This Row],[Custom emissions intensity source type (Select)]],#REF!,#REF!)</f>
        <v>0</v>
      </c>
      <c r="P164" s="14"/>
      <c r="Q164" s="14"/>
    </row>
    <row r="165" spans="3:17" ht="20.100000000000001" customHeight="1" x14ac:dyDescent="0.25">
      <c r="C165" s="14"/>
      <c r="D165" s="14" t="str" cm="1">
        <f t="array" ref="D165">Common_InputFunctions.Utility_DisplayArrayInTable(Scope3_SourceData.Scope3_AnimalFeed_Data(), Table_Scope3_AnimalFeed[[#Headers],[Feed ingredient]], 0, 2)</f>
        <v>Bentonite</v>
      </c>
      <c r="E165" s="14" cm="1">
        <f t="array" ref="E16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0.06</v>
      </c>
      <c r="F165" s="14" t="str" cm="1">
        <f t="array" ref="F165">Common_InputFunctions.Utility_DisplayArrayInTable(Scope3_SourceData.Scope3_AnimalFeed_Data(), Table_Scope3_AnimalFeed[[#Headers],[Feed ingredient]], 0, 2)</f>
        <v>t</v>
      </c>
      <c r="G165" s="14" cm="1">
        <f t="array" ref="G165">Common_InputFunctions.Utility_DisplayArrayInTable(Scope3_SourceData.Scope3_AnimalFeed_Data(), Table_Scope3_AnimalFeed[[#Headers],[Feed ingredient]], 0, 2)</f>
        <v>60114</v>
      </c>
      <c r="H165" s="173"/>
      <c r="I165" s="14" t="str" cm="1">
        <f t="array" ref="I165">Common_InputFunctions.Utility_DisplayArrayInTable(Scope3_SourceData.Scope3_AnimalFeed_Data(), Table_Scope3_AnimalFeed[[#Headers],[Feed ingredient]], 0, 2)</f>
        <v>t CO2-e / t</v>
      </c>
      <c r="J165" s="155">
        <f>Table_Scope3_AnimalFeed[[#This Row],[Quantity]]*Table_Scope3_AnimalFeed[[#This Row],[AusLCI Emissions intensity]]</f>
        <v>3606.8399999999997</v>
      </c>
      <c r="K165" s="155">
        <f>Table_Scope3_AnimalFeed[[#This Row],[Quantity]]*IF(Table_Scope3_AnimalFeed[[#This Row],[Custom emissions intensity]], Table_Scope3_AnimalFeed[[#This Row],[Custom emissions intensity]], Table_Scope3_AnimalFeed[[#This Row],[AusLCI Emissions intensity]])</f>
        <v>3606.8399999999997</v>
      </c>
      <c r="L165" s="173"/>
      <c r="M165" s="48"/>
      <c r="N165" s="173"/>
      <c r="O165" s="155" cm="1">
        <f t="array" ref="O165">Common_InputFunctions.Utility_LookupValueInTableNumber(Table_Scope3_AnimalFeed[[#This Row],[Custom emissions intensity source type (Select)]],#REF!,#REF!)</f>
        <v>0</v>
      </c>
      <c r="P165" s="14"/>
      <c r="Q165" s="14"/>
    </row>
    <row r="166" spans="3:17" ht="20.100000000000001" customHeight="1" x14ac:dyDescent="0.25">
      <c r="C166" s="14"/>
      <c r="D166" s="14" t="str" cm="1">
        <f t="array" ref="D166">Common_InputFunctions.Utility_DisplayArrayInTable(Scope3_SourceData.Scope3_AnimalFeed_Data(), Table_Scope3_AnimalFeed[[#Headers],[Feed ingredient]], 0, 2)</f>
        <v>Meat meal</v>
      </c>
      <c r="E166" s="14" cm="1">
        <f t="array" ref="E16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2.4E-2</v>
      </c>
      <c r="F166" s="14" t="str" cm="1">
        <f t="array" ref="F166">Common_InputFunctions.Utility_DisplayArrayInTable(Scope3_SourceData.Scope3_AnimalFeed_Data(), Table_Scope3_AnimalFeed[[#Headers],[Feed ingredient]], 0, 2)</f>
        <v>t</v>
      </c>
      <c r="G166" s="14" cm="1">
        <f t="array" ref="G166">Common_InputFunctions.Utility_DisplayArrayInTable(Scope3_SourceData.Scope3_AnimalFeed_Data(), Table_Scope3_AnimalFeed[[#Headers],[Feed ingredient]], 0, 2)</f>
        <v>60115</v>
      </c>
      <c r="H166" s="173"/>
      <c r="I166" s="14" t="str" cm="1">
        <f t="array" ref="I166">Common_InputFunctions.Utility_DisplayArrayInTable(Scope3_SourceData.Scope3_AnimalFeed_Data(), Table_Scope3_AnimalFeed[[#Headers],[Feed ingredient]], 0, 2)</f>
        <v>t CO2-e / t</v>
      </c>
      <c r="J166" s="155">
        <f>Table_Scope3_AnimalFeed[[#This Row],[Quantity]]*Table_Scope3_AnimalFeed[[#This Row],[AusLCI Emissions intensity]]</f>
        <v>1442.76</v>
      </c>
      <c r="K166" s="155">
        <f>Table_Scope3_AnimalFeed[[#This Row],[Quantity]]*IF(Table_Scope3_AnimalFeed[[#This Row],[Custom emissions intensity]], Table_Scope3_AnimalFeed[[#This Row],[Custom emissions intensity]], Table_Scope3_AnimalFeed[[#This Row],[AusLCI Emissions intensity]])</f>
        <v>1442.76</v>
      </c>
      <c r="L166" s="173"/>
      <c r="M166" s="48"/>
      <c r="N166" s="173"/>
      <c r="O166" s="155" cm="1">
        <f t="array" ref="O166">Common_InputFunctions.Utility_LookupValueInTableNumber(Table_Scope3_AnimalFeed[[#This Row],[Custom emissions intensity source type (Select)]],#REF!,#REF!)</f>
        <v>0</v>
      </c>
      <c r="P166" s="14"/>
      <c r="Q166" s="14"/>
    </row>
    <row r="167" spans="3:17" ht="20.100000000000001" customHeight="1" x14ac:dyDescent="0.25">
      <c r="C167" s="14"/>
      <c r="D167" s="14" t="str" cm="1">
        <f t="array" ref="D167">Common_InputFunctions.Utility_DisplayArrayInTable(Scope3_SourceData.Scope3_AnimalFeed_Data(), Table_Scope3_AnimalFeed[[#Headers],[Feed ingredient]], 0, 2)</f>
        <v>BentLime, phosphorus, potashonite</v>
      </c>
      <c r="E167" s="14" cm="1">
        <f t="array" ref="E16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67" s="14" t="str" cm="1">
        <f t="array" ref="F167">Common_InputFunctions.Utility_DisplayArrayInTable(Scope3_SourceData.Scope3_AnimalFeed_Data(), Table_Scope3_AnimalFeed[[#Headers],[Feed ingredient]], 0, 2)</f>
        <v>t</v>
      </c>
      <c r="G167" s="14" cm="1">
        <f t="array" ref="G167">Common_InputFunctions.Utility_DisplayArrayInTable(Scope3_SourceData.Scope3_AnimalFeed_Data(), Table_Scope3_AnimalFeed[[#Headers],[Feed ingredient]], 0, 2)</f>
        <v>60114</v>
      </c>
      <c r="H167" s="173"/>
      <c r="I167" s="14" t="str" cm="1">
        <f t="array" ref="I167">Common_InputFunctions.Utility_DisplayArrayInTable(Scope3_SourceData.Scope3_AnimalFeed_Data(), Table_Scope3_AnimalFeed[[#Headers],[Feed ingredient]], 0, 2)</f>
        <v>t CO2-e / t</v>
      </c>
      <c r="J167" s="155">
        <f>Table_Scope3_AnimalFeed[[#This Row],[Quantity]]*Table_Scope3_AnimalFeed[[#This Row],[AusLCI Emissions intensity]]</f>
        <v>0</v>
      </c>
      <c r="K167" s="155">
        <f>Table_Scope3_AnimalFeed[[#This Row],[Quantity]]*IF(Table_Scope3_AnimalFeed[[#This Row],[Custom emissions intensity]], Table_Scope3_AnimalFeed[[#This Row],[Custom emissions intensity]], Table_Scope3_AnimalFeed[[#This Row],[AusLCI Emissions intensity]])</f>
        <v>0</v>
      </c>
      <c r="L167" s="173"/>
      <c r="M167" s="48"/>
      <c r="N167" s="173"/>
      <c r="O167" s="155" cm="1">
        <f t="array" ref="O167">Common_InputFunctions.Utility_LookupValueInTableNumber(Table_Scope3_AnimalFeed[[#This Row],[Custom emissions intensity source type (Select)]],#REF!,#REF!)</f>
        <v>0</v>
      </c>
      <c r="P167" s="14"/>
      <c r="Q167" s="14"/>
    </row>
    <row r="168" spans="3:17" ht="20.100000000000001" customHeight="1" x14ac:dyDescent="0.25">
      <c r="C168" s="14"/>
      <c r="D168" s="14"/>
      <c r="E168" s="14"/>
      <c r="F168" s="14"/>
      <c r="G168" s="14"/>
      <c r="H168" s="14"/>
      <c r="I168" s="14"/>
      <c r="J168" s="14"/>
      <c r="K168" s="14"/>
      <c r="L168" s="14"/>
      <c r="M168" s="14"/>
      <c r="N168" s="14"/>
      <c r="O168" s="14"/>
      <c r="P168" s="14"/>
      <c r="Q168" s="14"/>
    </row>
    <row r="169" spans="3:17" ht="20.100000000000001" customHeight="1" x14ac:dyDescent="0.35">
      <c r="C169" s="14"/>
      <c r="D169" s="161" t="s">
        <v>338</v>
      </c>
      <c r="E169" s="162"/>
      <c r="F169" s="163"/>
      <c r="G169" s="161">
        <f>SUM(Table_Scope3_OrganicFertiliser[Scope 3 emissions exc. custom (t CO2-e)])</f>
        <v>0</v>
      </c>
      <c r="H169" s="164" t="s">
        <v>320</v>
      </c>
      <c r="I169" s="14"/>
      <c r="J169" s="14"/>
      <c r="K169" s="14"/>
      <c r="L169" s="14"/>
      <c r="M169" s="14"/>
      <c r="N169" s="14"/>
      <c r="O169" s="14"/>
      <c r="P169" s="14"/>
      <c r="Q169" s="14"/>
    </row>
    <row r="170" spans="3:17" ht="20.100000000000001" customHeight="1" x14ac:dyDescent="0.25">
      <c r="C170" s="14"/>
      <c r="D170" s="165" t="s">
        <v>339</v>
      </c>
      <c r="E170" s="166"/>
      <c r="F170" s="166"/>
      <c r="G170" s="165">
        <f>SUM(Table_Scope3_OrganicFertiliser[Scope 3 emissions inc. custom (t CO2-e)2])</f>
        <v>0</v>
      </c>
      <c r="H170" s="164" t="s">
        <v>320</v>
      </c>
      <c r="I170" s="14"/>
      <c r="J170" s="14"/>
      <c r="K170" s="14"/>
      <c r="L170" s="14"/>
      <c r="M170" s="14"/>
      <c r="N170" s="14"/>
      <c r="O170" s="14"/>
      <c r="P170" s="14"/>
      <c r="Q170" s="14"/>
    </row>
    <row r="171" spans="3:17" ht="20.100000000000001" customHeight="1" x14ac:dyDescent="0.25">
      <c r="C171" s="14"/>
      <c r="D171" s="14"/>
      <c r="E171" s="14"/>
      <c r="F171" s="14"/>
      <c r="G171" s="14"/>
      <c r="H171" s="14"/>
      <c r="I171" s="14"/>
      <c r="J171" s="14"/>
      <c r="K171" s="14"/>
      <c r="L171" s="14"/>
      <c r="M171" s="14"/>
      <c r="N171" s="14"/>
      <c r="O171" s="14"/>
      <c r="P171" s="14"/>
      <c r="Q171" s="14"/>
    </row>
    <row r="172" spans="3:17" ht="20.100000000000001" customHeight="1" x14ac:dyDescent="0.25">
      <c r="C172" s="14"/>
      <c r="D172" s="14"/>
      <c r="E172" s="14"/>
      <c r="F172" s="14"/>
      <c r="G172" s="14"/>
      <c r="H172" s="14"/>
      <c r="I172" s="14"/>
      <c r="J172" s="14"/>
      <c r="K172" s="14"/>
      <c r="L172" s="14"/>
      <c r="M172" s="14"/>
      <c r="N172" s="14"/>
      <c r="O172" s="14"/>
      <c r="P172" s="14"/>
      <c r="Q172" s="14"/>
    </row>
    <row r="173" spans="3:17" ht="20.100000000000001" customHeight="1" x14ac:dyDescent="0.25">
      <c r="C173" s="14"/>
      <c r="D173" s="9" t="str" cm="1">
        <f t="array" ref="D173">Scope3_SourceData.Scope3_AquacultureFeedAndBait_Title()</f>
        <v>Aquaculture Feed and Bait scope 3</v>
      </c>
      <c r="E173" s="14"/>
      <c r="F173" s="14"/>
      <c r="G173" s="14"/>
      <c r="H173" s="14"/>
      <c r="I173" s="14"/>
      <c r="J173" s="14"/>
      <c r="K173" s="14"/>
      <c r="L173" s="14"/>
      <c r="M173" s="14"/>
      <c r="N173" s="14"/>
      <c r="O173" s="14"/>
      <c r="P173" s="14"/>
      <c r="Q173" s="14"/>
    </row>
    <row r="174" spans="3:17" ht="20.100000000000001" customHeight="1" x14ac:dyDescent="0.25">
      <c r="C174" s="14"/>
      <c r="D174" s="11" t="str" cm="1">
        <f t="array" ref="D174">Scope3_SourceData.Scope3_AquacultureFeedAndBait_Source()</f>
        <v>Lifecycles. (2026). Greenhouse Gas Emission Intensities for Material Inputs to Australian Agriculture, Fisheries and Forestry. Version 48. doi 10.5281/zenodo.19656580</v>
      </c>
      <c r="E174" s="14"/>
      <c r="F174" s="14"/>
      <c r="G174" s="14"/>
      <c r="H174" s="14"/>
      <c r="I174" s="14"/>
      <c r="J174" s="14"/>
      <c r="K174" s="14"/>
      <c r="L174" s="14"/>
      <c r="M174" s="14"/>
      <c r="N174" s="14"/>
      <c r="O174" s="14"/>
      <c r="P174" s="14"/>
      <c r="Q174" s="14"/>
    </row>
    <row r="175" spans="3:17" ht="20.100000000000001" customHeight="1" x14ac:dyDescent="0.25">
      <c r="C175" s="14"/>
      <c r="D175" s="14"/>
      <c r="E175" s="14"/>
      <c r="F175" s="14"/>
      <c r="G175" s="14"/>
      <c r="H175" s="14"/>
      <c r="I175" s="14"/>
      <c r="J175" s="14"/>
      <c r="K175" s="14"/>
      <c r="L175" s="14"/>
      <c r="M175" s="14"/>
      <c r="N175" s="14"/>
      <c r="O175" s="14"/>
      <c r="P175" s="14"/>
      <c r="Q175" s="14"/>
    </row>
    <row r="176" spans="3:17" ht="20.100000000000001" customHeight="1" x14ac:dyDescent="0.25">
      <c r="C176" s="14"/>
      <c r="D176" s="168" t="s">
        <v>340</v>
      </c>
      <c r="E176" s="168" t="s">
        <v>304</v>
      </c>
      <c r="F176" s="168" t="s">
        <v>305</v>
      </c>
      <c r="G176" s="168" t="s">
        <v>306</v>
      </c>
      <c r="H176" s="169" t="s">
        <v>307</v>
      </c>
      <c r="I176" s="168" t="s">
        <v>308</v>
      </c>
      <c r="J176" s="168" t="s">
        <v>323</v>
      </c>
      <c r="K176" s="168" t="s">
        <v>309</v>
      </c>
      <c r="L176" s="169" t="s">
        <v>310</v>
      </c>
      <c r="M176" s="169" t="s">
        <v>311</v>
      </c>
      <c r="N176" s="169" t="s">
        <v>312</v>
      </c>
      <c r="O176" s="168" t="s">
        <v>313</v>
      </c>
      <c r="P176" s="14"/>
      <c r="Q176" s="14"/>
    </row>
    <row r="177" spans="3:17" ht="20.100000000000001" customHeight="1" x14ac:dyDescent="0.25">
      <c r="C177" s="14"/>
      <c r="D177" s="14" t="str" cm="1">
        <f t="array" ref="D177">Common_InputFunctions.Utility_DisplayArrayInTable(Scope3_SourceData.Scope3_AquacultureFeedAndBait_Data(), Table_Scope3_AquacultureFeedBait[[#Headers],[Feed / Bait ingredient]], 0, 2)</f>
        <v>Low Animal Protein Formulated Feed</v>
      </c>
      <c r="E177" s="14" cm="1">
        <f t="array" ref="E177">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77" s="14" t="str" cm="1">
        <f t="array" ref="F177">Common_InputFunctions.Utility_DisplayArrayInTable(Scope3_SourceData.Scope3_AquacultureFeedAndBait_Data(), Table_Scope3_AquacultureFeedBait[[#Headers],[Feed / Bait ingredient]], 0, 2)</f>
        <v>t</v>
      </c>
      <c r="G177" s="14" cm="1">
        <f t="array" ref="G177">Common_InputFunctions.Utility_DisplayArrayInTable(Scope3_SourceData.Scope3_AquacultureFeedAndBait_Data(), Table_Scope3_AquacultureFeedBait[[#Headers],[Feed / Bait ingredient]], 0, 2)</f>
        <v>70101</v>
      </c>
      <c r="H177" s="173">
        <v>100</v>
      </c>
      <c r="I177" s="14" t="str" cm="1">
        <f t="array" ref="I177">Common_InputFunctions.Utility_DisplayArrayInTable(Scope3_SourceData.Scope3_AquacultureFeedAndBait_Data(), Table_Scope3_AquacultureFeedBait[[#Headers],[Feed / Bait ingredient]], 0, 2)</f>
        <v>t CO2-e / t</v>
      </c>
      <c r="J177" s="14">
        <f>Table_Scope3_AquacultureFeedBait[[#This Row],[Quantity]]*Table_Scope3_AquacultureFeedBait[[#This Row],[AusLCI Emissions intensity]]</f>
        <v>0</v>
      </c>
      <c r="K177" s="155">
        <f>Table_Scope3_AquacultureFeedBait[[#This Row],[Quantity]]*IF(Table_Scope3_AquacultureFeedBait[[#This Row],[Custom emissions intensity]], Table_Scope3_AquacultureFeedBait[[#This Row],[Custom emissions intensity]], Table_Scope3_AquacultureFeedBait[[#This Row],[AusLCI Emissions intensity]])</f>
        <v>0</v>
      </c>
      <c r="L177" s="173"/>
      <c r="M177" s="48"/>
      <c r="N177" s="173"/>
      <c r="O177" s="155" cm="1">
        <f t="array" ref="O177">Common_InputFunctions.Utility_LookupValueInTableNumber(Table_Scope3_AquacultureFeedBait[[#This Row],[Custom emissions intensity source type (Select)]],#REF!,#REF!)</f>
        <v>0</v>
      </c>
      <c r="P177" s="14"/>
      <c r="Q177" s="14"/>
    </row>
    <row r="178" spans="3:17" ht="20.100000000000001" customHeight="1" x14ac:dyDescent="0.25">
      <c r="C178" s="14"/>
      <c r="D178" s="14" t="str" cm="1">
        <f t="array" ref="D178">Common_InputFunctions.Utility_DisplayArrayInTable(Scope3_SourceData.Scope3_AquacultureFeedAndBait_Data(), Table_Scope3_AquacultureFeedBait[[#Headers],[Feed / Bait ingredient]], 0, 2)</f>
        <v>High Animal Protein Formulated Feed</v>
      </c>
      <c r="E178" s="14" cm="1">
        <f t="array" ref="E178">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264</v>
      </c>
      <c r="F178" s="14" t="str" cm="1">
        <f t="array" ref="F178">Common_InputFunctions.Utility_DisplayArrayInTable(Scope3_SourceData.Scope3_AquacultureFeedAndBait_Data(), Table_Scope3_AquacultureFeedBait[[#Headers],[Feed / Bait ingredient]], 0, 2)</f>
        <v>t</v>
      </c>
      <c r="G178" s="14" cm="1">
        <f t="array" ref="G178">Common_InputFunctions.Utility_DisplayArrayInTable(Scope3_SourceData.Scope3_AquacultureFeedAndBait_Data(), Table_Scope3_AquacultureFeedBait[[#Headers],[Feed / Bait ingredient]], 0, 2)</f>
        <v>70102</v>
      </c>
      <c r="H178" s="173"/>
      <c r="I178" s="14" t="str" cm="1">
        <f t="array" ref="I178">Common_InputFunctions.Utility_DisplayArrayInTable(Scope3_SourceData.Scope3_AquacultureFeedAndBait_Data(), Table_Scope3_AquacultureFeedBait[[#Headers],[Feed / Bait ingredient]], 0, 2)</f>
        <v>t CO2-e / t</v>
      </c>
      <c r="J178" s="155">
        <f>Table_Scope3_AquacultureFeedBait[[#This Row],[Quantity]]*Table_Scope3_AquacultureFeedBait[[#This Row],[AusLCI Emissions intensity]]</f>
        <v>18506928</v>
      </c>
      <c r="K178" s="155">
        <f>Table_Scope3_AquacultureFeedBait[[#This Row],[Quantity]]*IF(Table_Scope3_AquacultureFeedBait[[#This Row],[Custom emissions intensity]], Table_Scope3_AquacultureFeedBait[[#This Row],[Custom emissions intensity]], Table_Scope3_AquacultureFeedBait[[#This Row],[AusLCI Emissions intensity]])</f>
        <v>18506928</v>
      </c>
      <c r="L178" s="173"/>
      <c r="M178" s="48"/>
      <c r="N178" s="173"/>
      <c r="O178" s="155" cm="1">
        <f t="array" ref="O178">Common_InputFunctions.Utility_LookupValueInTableNumber(Table_Scope3_AquacultureFeedBait[[#This Row],[Custom emissions intensity source type (Select)]],#REF!,#REF!)</f>
        <v>0</v>
      </c>
      <c r="P178" s="14"/>
      <c r="Q178" s="14"/>
    </row>
    <row r="179" spans="3:17" ht="20.100000000000001" customHeight="1" x14ac:dyDescent="0.25">
      <c r="C179" s="14"/>
      <c r="D179" s="14" t="str" cm="1">
        <f t="array" ref="D179">Common_InputFunctions.Utility_DisplayArrayInTable(Scope3_SourceData.Scope3_AquacultureFeedAndBait_Data(), Table_Scope3_AquacultureFeedBait[[#Headers],[Feed / Bait ingredient]], 0, 2)</f>
        <v>Cereal grain</v>
      </c>
      <c r="E179" s="14" cm="1">
        <f t="array" ref="E179">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144</v>
      </c>
      <c r="F179" s="14" t="str" cm="1">
        <f t="array" ref="F179">Common_InputFunctions.Utility_DisplayArrayInTable(Scope3_SourceData.Scope3_AquacultureFeedAndBait_Data(), Table_Scope3_AquacultureFeedBait[[#Headers],[Feed / Bait ingredient]], 0, 2)</f>
        <v>t</v>
      </c>
      <c r="G179" s="14" cm="1">
        <f t="array" ref="G179">Common_InputFunctions.Utility_DisplayArrayInTable(Scope3_SourceData.Scope3_AquacultureFeedAndBait_Data(), Table_Scope3_AquacultureFeedBait[[#Headers],[Feed / Bait ingredient]], 0, 2)</f>
        <v>70103</v>
      </c>
      <c r="H179" s="173"/>
      <c r="I179" s="14" t="str" cm="1">
        <f t="array" ref="I179">Common_InputFunctions.Utility_DisplayArrayInTable(Scope3_SourceData.Scope3_AquacultureFeedAndBait_Data(), Table_Scope3_AquacultureFeedBait[[#Headers],[Feed / Bait ingredient]], 0, 2)</f>
        <v>t CO2-e / t</v>
      </c>
      <c r="J179" s="155">
        <f>Table_Scope3_AquacultureFeedBait[[#This Row],[Quantity]]*Table_Scope3_AquacultureFeedBait[[#This Row],[AusLCI Emissions intensity]]</f>
        <v>10094832</v>
      </c>
      <c r="K179" s="155">
        <f>Table_Scope3_AquacultureFeedBait[[#This Row],[Quantity]]*IF(Table_Scope3_AquacultureFeedBait[[#This Row],[Custom emissions intensity]], Table_Scope3_AquacultureFeedBait[[#This Row],[Custom emissions intensity]], Table_Scope3_AquacultureFeedBait[[#This Row],[AusLCI Emissions intensity]])</f>
        <v>10094832</v>
      </c>
      <c r="L179" s="173"/>
      <c r="M179" s="48"/>
      <c r="N179" s="173"/>
      <c r="O179" s="155" cm="1">
        <f t="array" ref="O179">Common_InputFunctions.Utility_LookupValueInTableNumber(Table_Scope3_AquacultureFeedBait[[#This Row],[Custom emissions intensity source type (Select)]],#REF!,#REF!)</f>
        <v>0</v>
      </c>
      <c r="P179" s="14"/>
      <c r="Q179" s="14"/>
    </row>
    <row r="180" spans="3:17" ht="20.100000000000001" customHeight="1" x14ac:dyDescent="0.25">
      <c r="C180" s="14"/>
      <c r="D180" s="14" t="str" cm="1">
        <f t="array" ref="D180">Common_InputFunctions.Utility_DisplayArrayInTable(Scope3_SourceData.Scope3_AquacultureFeedAndBait_Data(), Table_Scope3_AquacultureFeedBait[[#Headers],[Feed / Bait ingredient]], 0, 2)</f>
        <v>Squid</v>
      </c>
      <c r="E180" s="14" cm="1">
        <f t="array" ref="E180">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1260</v>
      </c>
      <c r="F180" s="14" t="str" cm="1">
        <f t="array" ref="F180">Common_InputFunctions.Utility_DisplayArrayInTable(Scope3_SourceData.Scope3_AquacultureFeedAndBait_Data(), Table_Scope3_AquacultureFeedBait[[#Headers],[Feed / Bait ingredient]], 0, 2)</f>
        <v>t</v>
      </c>
      <c r="G180" s="14" cm="1">
        <f t="array" ref="G180">Common_InputFunctions.Utility_DisplayArrayInTable(Scope3_SourceData.Scope3_AquacultureFeedAndBait_Data(), Table_Scope3_AquacultureFeedBait[[#Headers],[Feed / Bait ingredient]], 0, 2)</f>
        <v>70104</v>
      </c>
      <c r="H180" s="173"/>
      <c r="I180" s="14" t="str" cm="1">
        <f t="array" ref="I180">Common_InputFunctions.Utility_DisplayArrayInTable(Scope3_SourceData.Scope3_AquacultureFeedAndBait_Data(), Table_Scope3_AquacultureFeedBait[[#Headers],[Feed / Bait ingredient]], 0, 2)</f>
        <v>t CO2-e / t</v>
      </c>
      <c r="J180" s="155">
        <f>Table_Scope3_AquacultureFeedBait[[#This Row],[Quantity]]*Table_Scope3_AquacultureFeedBait[[#This Row],[AusLCI Emissions intensity]]</f>
        <v>88331040</v>
      </c>
      <c r="K180" s="155">
        <f>Table_Scope3_AquacultureFeedBait[[#This Row],[Quantity]]*IF(Table_Scope3_AquacultureFeedBait[[#This Row],[Custom emissions intensity]], Table_Scope3_AquacultureFeedBait[[#This Row],[Custom emissions intensity]], Table_Scope3_AquacultureFeedBait[[#This Row],[AusLCI Emissions intensity]])</f>
        <v>88331040</v>
      </c>
      <c r="L180" s="173"/>
      <c r="M180" s="48"/>
      <c r="N180" s="173"/>
      <c r="O180" s="155" cm="1">
        <f t="array" ref="O180">Common_InputFunctions.Utility_LookupValueInTableNumber(Table_Scope3_AquacultureFeedBait[[#This Row],[Custom emissions intensity source type (Select)]],#REF!,#REF!)</f>
        <v>0</v>
      </c>
      <c r="P180" s="14"/>
      <c r="Q180" s="14"/>
    </row>
    <row r="181" spans="3:17" ht="20.100000000000001" customHeight="1" x14ac:dyDescent="0.25">
      <c r="C181" s="14"/>
      <c r="D181" s="14" t="str" cm="1">
        <f t="array" ref="D181">Common_InputFunctions.Utility_DisplayArrayInTable(Scope3_SourceData.Scope3_AquacultureFeedAndBait_Data(), Table_Scope3_AquacultureFeedBait[[#Headers],[Feed / Bait ingredient]], 0, 2)</f>
        <v>Whole Fish</v>
      </c>
      <c r="E181" s="14" cm="1">
        <f t="array" ref="E18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420</v>
      </c>
      <c r="F181" s="14" t="str" cm="1">
        <f t="array" ref="F181">Common_InputFunctions.Utility_DisplayArrayInTable(Scope3_SourceData.Scope3_AquacultureFeedAndBait_Data(), Table_Scope3_AquacultureFeedBait[[#Headers],[Feed / Bait ingredient]], 0, 2)</f>
        <v>t</v>
      </c>
      <c r="G181" s="14" cm="1">
        <f t="array" ref="G181">Common_InputFunctions.Utility_DisplayArrayInTable(Scope3_SourceData.Scope3_AquacultureFeedAndBait_Data(), Table_Scope3_AquacultureFeedBait[[#Headers],[Feed / Bait ingredient]], 0, 2)</f>
        <v>70105</v>
      </c>
      <c r="H181" s="173"/>
      <c r="I181" s="14" t="str" cm="1">
        <f t="array" ref="I181">Common_InputFunctions.Utility_DisplayArrayInTable(Scope3_SourceData.Scope3_AquacultureFeedAndBait_Data(), Table_Scope3_AquacultureFeedBait[[#Headers],[Feed / Bait ingredient]], 0, 2)</f>
        <v>t CO2-e / t</v>
      </c>
      <c r="J181" s="155">
        <f>Table_Scope3_AquacultureFeedBait[[#This Row],[Quantity]]*Table_Scope3_AquacultureFeedBait[[#This Row],[AusLCI Emissions intensity]]</f>
        <v>29444100</v>
      </c>
      <c r="K181" s="155">
        <f>Table_Scope3_AquacultureFeedBait[[#This Row],[Quantity]]*IF(Table_Scope3_AquacultureFeedBait[[#This Row],[Custom emissions intensity]], Table_Scope3_AquacultureFeedBait[[#This Row],[Custom emissions intensity]], Table_Scope3_AquacultureFeedBait[[#This Row],[AusLCI Emissions intensity]])</f>
        <v>29444100</v>
      </c>
      <c r="L181" s="173"/>
      <c r="M181" s="48"/>
      <c r="N181" s="173"/>
      <c r="O181" s="155" cm="1">
        <f t="array" ref="O181">Common_InputFunctions.Utility_LookupValueInTableNumber(Table_Scope3_AquacultureFeedBait[[#This Row],[Custom emissions intensity source type (Select)]],#REF!,#REF!)</f>
        <v>0</v>
      </c>
      <c r="P181" s="14"/>
      <c r="Q181" s="14"/>
    </row>
    <row r="182" spans="3:17" ht="20.100000000000001" customHeight="1" x14ac:dyDescent="0.25">
      <c r="C182" s="14"/>
      <c r="D182" s="14" t="str" cm="1">
        <f t="array" ref="D182">Common_InputFunctions.Utility_DisplayArrayInTable(Scope3_SourceData.Scope3_AquacultureFeedAndBait_Data(), Table_Scope3_AquacultureFeedBait[[#Headers],[Feed / Bait ingredient]], 0, 2)</f>
        <v>Whole Sardines</v>
      </c>
      <c r="E182" s="14" cm="1">
        <f t="array" ref="E182">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24</v>
      </c>
      <c r="F182" s="14" t="str" cm="1">
        <f t="array" ref="F182">Common_InputFunctions.Utility_DisplayArrayInTable(Scope3_SourceData.Scope3_AquacultureFeedAndBait_Data(), Table_Scope3_AquacultureFeedBait[[#Headers],[Feed / Bait ingredient]], 0, 2)</f>
        <v>t</v>
      </c>
      <c r="G182" s="14" cm="1">
        <f t="array" ref="G182">Common_InputFunctions.Utility_DisplayArrayInTable(Scope3_SourceData.Scope3_AquacultureFeedAndBait_Data(), Table_Scope3_AquacultureFeedBait[[#Headers],[Feed / Bait ingredient]], 0, 2)</f>
        <v>70106</v>
      </c>
      <c r="H182" s="173"/>
      <c r="I182" s="14" t="str" cm="1">
        <f t="array" ref="I182">Common_InputFunctions.Utility_DisplayArrayInTable(Scope3_SourceData.Scope3_AquacultureFeedAndBait_Data(), Table_Scope3_AquacultureFeedBait[[#Headers],[Feed / Bait ingredient]], 0, 2)</f>
        <v>t CO2-e / t</v>
      </c>
      <c r="J182" s="155">
        <f>Table_Scope3_AquacultureFeedBait[[#This Row],[Quantity]]*Table_Scope3_AquacultureFeedBait[[#This Row],[AusLCI Emissions intensity]]</f>
        <v>1682544</v>
      </c>
      <c r="K182" s="155">
        <f>Table_Scope3_AquacultureFeedBait[[#This Row],[Quantity]]*IF(Table_Scope3_AquacultureFeedBait[[#This Row],[Custom emissions intensity]], Table_Scope3_AquacultureFeedBait[[#This Row],[Custom emissions intensity]], Table_Scope3_AquacultureFeedBait[[#This Row],[AusLCI Emissions intensity]])</f>
        <v>1682544</v>
      </c>
      <c r="L182" s="173"/>
      <c r="M182" s="48"/>
      <c r="N182" s="173"/>
      <c r="O182" s="155" cm="1">
        <f t="array" ref="O182">Common_InputFunctions.Utility_LookupValueInTableNumber(Table_Scope3_AquacultureFeedBait[[#This Row],[Custom emissions intensity source type (Select)]],#REF!,#REF!)</f>
        <v>0</v>
      </c>
      <c r="P182" s="14"/>
      <c r="Q182" s="14"/>
    </row>
    <row r="183" spans="3:17" ht="20.100000000000001" customHeight="1" x14ac:dyDescent="0.25">
      <c r="C183" s="14"/>
      <c r="D183" s="14" t="str" cm="1">
        <f t="array" ref="D183">Common_InputFunctions.Utility_DisplayArrayInTable(Scope3_SourceData.Scope3_AquacultureFeedAndBait_Data(), Table_Scope3_AquacultureFeedBait[[#Headers],[Feed / Bait ingredient]], 0, 2)</f>
        <v>Fish Frames</v>
      </c>
      <c r="E183" s="14" cm="1">
        <f t="array" ref="E183">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83" s="14" t="str" cm="1">
        <f t="array" ref="F183">Common_InputFunctions.Utility_DisplayArrayInTable(Scope3_SourceData.Scope3_AquacultureFeedAndBait_Data(), Table_Scope3_AquacultureFeedBait[[#Headers],[Feed / Bait ingredient]], 0, 2)</f>
        <v>t</v>
      </c>
      <c r="G183" s="14" cm="1">
        <f t="array" ref="G183">Common_InputFunctions.Utility_DisplayArrayInTable(Scope3_SourceData.Scope3_AquacultureFeedAndBait_Data(), Table_Scope3_AquacultureFeedBait[[#Headers],[Feed / Bait ingredient]], 0, 2)</f>
        <v>70107</v>
      </c>
      <c r="H183" s="173"/>
      <c r="I183" s="14" t="str" cm="1">
        <f t="array" ref="I183">Common_InputFunctions.Utility_DisplayArrayInTable(Scope3_SourceData.Scope3_AquacultureFeedAndBait_Data(), Table_Scope3_AquacultureFeedBait[[#Headers],[Feed / Bait ingredient]], 0, 2)</f>
        <v>t CO2-e / t</v>
      </c>
      <c r="J183" s="155">
        <f>Table_Scope3_AquacultureFeedBait[[#This Row],[Quantity]]*Table_Scope3_AquacultureFeedBait[[#This Row],[AusLCI Emissions intensity]]</f>
        <v>0</v>
      </c>
      <c r="K183" s="155">
        <f>Table_Scope3_AquacultureFeedBait[[#This Row],[Quantity]]*IF(Table_Scope3_AquacultureFeedBait[[#This Row],[Custom emissions intensity]], Table_Scope3_AquacultureFeedBait[[#This Row],[Custom emissions intensity]], Table_Scope3_AquacultureFeedBait[[#This Row],[AusLCI Emissions intensity]])</f>
        <v>0</v>
      </c>
      <c r="L183" s="173"/>
      <c r="M183" s="48"/>
      <c r="N183" s="173"/>
      <c r="O183" s="155" cm="1">
        <f t="array" ref="O183">Common_InputFunctions.Utility_LookupValueInTableNumber(Table_Scope3_AquacultureFeedBait[[#This Row],[Custom emissions intensity source type (Select)]],#REF!,#REF!)</f>
        <v>0</v>
      </c>
      <c r="P183" s="14"/>
      <c r="Q183" s="14"/>
    </row>
    <row r="184" spans="3:17" ht="20.100000000000001" customHeight="1" x14ac:dyDescent="0.25">
      <c r="C184" s="14"/>
      <c r="D184" s="14" t="str" cm="1">
        <f t="array" ref="D184">Common_InputFunctions.Utility_DisplayArrayInTable(Scope3_SourceData.Scope3_AquacultureFeedAndBait_Data(), Table_Scope3_AquacultureFeedBait[[#Headers],[Feed / Bait ingredient]], 0, 2)</f>
        <v>Fish Heads</v>
      </c>
      <c r="E184" s="14" cm="1">
        <f t="array" ref="E184">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84" s="14" t="str" cm="1">
        <f t="array" ref="F184">Common_InputFunctions.Utility_DisplayArrayInTable(Scope3_SourceData.Scope3_AquacultureFeedAndBait_Data(), Table_Scope3_AquacultureFeedBait[[#Headers],[Feed / Bait ingredient]], 0, 2)</f>
        <v>t</v>
      </c>
      <c r="G184" s="14" cm="1">
        <f t="array" ref="G184">Common_InputFunctions.Utility_DisplayArrayInTable(Scope3_SourceData.Scope3_AquacultureFeedAndBait_Data(), Table_Scope3_AquacultureFeedBait[[#Headers],[Feed / Bait ingredient]], 0, 2)</f>
        <v>70108</v>
      </c>
      <c r="H184" s="173"/>
      <c r="I184" s="14" t="str" cm="1">
        <f t="array" ref="I184">Common_InputFunctions.Utility_DisplayArrayInTable(Scope3_SourceData.Scope3_AquacultureFeedAndBait_Data(), Table_Scope3_AquacultureFeedBait[[#Headers],[Feed / Bait ingredient]], 0, 2)</f>
        <v>t CO2-e / t</v>
      </c>
      <c r="J184" s="155">
        <f>Table_Scope3_AquacultureFeedBait[[#This Row],[Quantity]]*Table_Scope3_AquacultureFeedBait[[#This Row],[AusLCI Emissions intensity]]</f>
        <v>0</v>
      </c>
      <c r="K184" s="155">
        <f>Table_Scope3_AquacultureFeedBait[[#This Row],[Quantity]]*IF(Table_Scope3_AquacultureFeedBait[[#This Row],[Custom emissions intensity]], Table_Scope3_AquacultureFeedBait[[#This Row],[Custom emissions intensity]], Table_Scope3_AquacultureFeedBait[[#This Row],[AusLCI Emissions intensity]])</f>
        <v>0</v>
      </c>
      <c r="L184" s="173"/>
      <c r="M184" s="48"/>
      <c r="N184" s="173"/>
      <c r="O184" s="155" cm="1">
        <f t="array" ref="O184">Common_InputFunctions.Utility_LookupValueInTableNumber(Table_Scope3_AquacultureFeedBait[[#This Row],[Custom emissions intensity source type (Select)]],#REF!,#REF!)</f>
        <v>0</v>
      </c>
      <c r="P184" s="14"/>
      <c r="Q184" s="14"/>
    </row>
    <row r="185" spans="3:17" ht="20.100000000000001" customHeight="1" x14ac:dyDescent="0.25">
      <c r="C185" s="14"/>
      <c r="D185" s="14"/>
      <c r="E185" s="14"/>
      <c r="F185" s="14"/>
      <c r="G185" s="14"/>
      <c r="H185" s="14"/>
      <c r="I185" s="14"/>
      <c r="J185" s="14"/>
      <c r="K185" s="14"/>
      <c r="L185" s="14"/>
      <c r="M185" s="14"/>
      <c r="N185" s="14"/>
      <c r="O185" s="14"/>
      <c r="P185" s="14"/>
      <c r="Q185" s="14"/>
    </row>
    <row r="186" spans="3:17" ht="20.100000000000001" customHeight="1" x14ac:dyDescent="0.35">
      <c r="C186" s="14"/>
      <c r="D186" s="161" t="s">
        <v>341</v>
      </c>
      <c r="E186" s="162"/>
      <c r="F186" s="163"/>
      <c r="G186" s="161">
        <f>SUM(Table_Scope3_AquacultureFeedBait[Scope 3 emissions exc. custom (t CO2-e)])</f>
        <v>148059444</v>
      </c>
      <c r="H186" s="164" t="s">
        <v>320</v>
      </c>
      <c r="I186" s="14"/>
      <c r="J186" s="14"/>
      <c r="K186" s="14"/>
      <c r="L186" s="14"/>
      <c r="M186" s="14"/>
      <c r="N186" s="14"/>
      <c r="O186" s="14"/>
      <c r="P186" s="14"/>
      <c r="Q186" s="14"/>
    </row>
    <row r="187" spans="3:17" ht="20.100000000000001" customHeight="1" x14ac:dyDescent="0.25">
      <c r="C187" s="14"/>
      <c r="D187" s="165" t="s">
        <v>342</v>
      </c>
      <c r="E187" s="166"/>
      <c r="F187" s="166"/>
      <c r="G187" s="165">
        <f>SUM(Table_Scope3_AquacultureFeedBait[Scope 3 emissions inc. custom (t CO2-e)2])</f>
        <v>148059444</v>
      </c>
      <c r="H187" s="164" t="s">
        <v>320</v>
      </c>
      <c r="I187" s="14"/>
      <c r="J187" s="14"/>
      <c r="K187" s="14"/>
      <c r="L187" s="14"/>
      <c r="M187" s="14"/>
      <c r="N187" s="14"/>
      <c r="O187" s="14"/>
      <c r="P187" s="14"/>
      <c r="Q187" s="14"/>
    </row>
    <row r="188" spans="3:17" ht="20.100000000000001" customHeight="1" x14ac:dyDescent="0.25">
      <c r="C188" s="14"/>
      <c r="D188" s="14"/>
      <c r="E188" s="14"/>
      <c r="F188" s="14"/>
      <c r="G188" s="14"/>
      <c r="H188" s="14"/>
      <c r="I188" s="14"/>
      <c r="J188" s="14"/>
      <c r="K188" s="14"/>
      <c r="L188" s="14"/>
      <c r="M188" s="14"/>
      <c r="N188" s="14"/>
      <c r="O188" s="14"/>
      <c r="P188" s="14"/>
      <c r="Q188" s="14"/>
    </row>
    <row r="189" spans="3:17" ht="20.100000000000001" customHeight="1" x14ac:dyDescent="0.25">
      <c r="C189" s="14"/>
      <c r="D189" s="14"/>
      <c r="E189" s="14"/>
      <c r="F189" s="14"/>
      <c r="G189" s="14"/>
      <c r="H189" s="14"/>
      <c r="I189" s="14"/>
      <c r="J189" s="14"/>
      <c r="K189" s="14"/>
      <c r="L189" s="14"/>
      <c r="M189" s="14"/>
      <c r="N189" s="14"/>
      <c r="O189" s="14"/>
      <c r="P189" s="14"/>
      <c r="Q189" s="14"/>
    </row>
    <row r="190" spans="3:17" ht="20.100000000000001" customHeight="1" x14ac:dyDescent="0.25">
      <c r="C190" s="14"/>
      <c r="D190" s="9" t="str" cm="1">
        <f t="array" ref="D190">Scope3_SourceData.Scope3_Packaging_Title()</f>
        <v>Packaging scope 3</v>
      </c>
      <c r="E190" s="14"/>
      <c r="F190" s="14"/>
      <c r="G190" s="14"/>
      <c r="H190" s="14"/>
      <c r="I190" s="14"/>
      <c r="J190" s="14"/>
      <c r="K190" s="14"/>
      <c r="L190" s="14"/>
      <c r="M190" s="14"/>
      <c r="N190" s="14"/>
      <c r="O190" s="14"/>
      <c r="P190" s="14"/>
      <c r="Q190" s="14"/>
    </row>
    <row r="191" spans="3:17" ht="20.100000000000001" customHeight="1" x14ac:dyDescent="0.25">
      <c r="C191" s="14"/>
      <c r="D191" s="11" t="str" cm="1">
        <f t="array" ref="D191">Scope3_SourceData.Scope3_Packaging_Source()</f>
        <v>Lifecycles. (2026). Greenhouse Gas Emission Intensities for Material Inputs to Australian Agriculture, Fisheries and Forestry. Version 48. doi 10.5281/zenodo.19656580</v>
      </c>
      <c r="E191" s="14"/>
      <c r="F191" s="14"/>
      <c r="G191" s="14"/>
      <c r="H191" s="14"/>
      <c r="I191" s="14"/>
      <c r="J191" s="14"/>
      <c r="K191" s="14"/>
      <c r="L191" s="14"/>
      <c r="M191" s="14"/>
      <c r="N191" s="14"/>
      <c r="O191" s="14"/>
      <c r="P191" s="14"/>
      <c r="Q191" s="14"/>
    </row>
    <row r="192" spans="3:17" ht="20.100000000000001" customHeight="1" x14ac:dyDescent="0.25">
      <c r="C192" s="14"/>
      <c r="D192" s="14"/>
      <c r="E192" s="14"/>
      <c r="F192" s="14"/>
      <c r="G192" s="14"/>
      <c r="H192" s="14"/>
      <c r="I192" s="14"/>
      <c r="J192" s="14"/>
      <c r="K192" s="14"/>
      <c r="L192" s="14"/>
      <c r="M192" s="14"/>
      <c r="N192" s="14"/>
      <c r="O192" s="14"/>
      <c r="P192" s="14"/>
      <c r="Q192" s="14"/>
    </row>
    <row r="193" spans="3:19" ht="20.100000000000001" customHeight="1" x14ac:dyDescent="0.25">
      <c r="C193" s="14"/>
      <c r="D193" s="168" t="s">
        <v>343</v>
      </c>
      <c r="E193" s="168" t="s">
        <v>304</v>
      </c>
      <c r="F193" s="168" t="s">
        <v>305</v>
      </c>
      <c r="G193" s="168" t="s">
        <v>306</v>
      </c>
      <c r="H193" s="169" t="s">
        <v>307</v>
      </c>
      <c r="I193" s="168" t="s">
        <v>308</v>
      </c>
      <c r="J193" s="168" t="s">
        <v>323</v>
      </c>
      <c r="K193" s="168" t="s">
        <v>309</v>
      </c>
      <c r="L193" s="169" t="s">
        <v>310</v>
      </c>
      <c r="M193" s="169" t="s">
        <v>311</v>
      </c>
      <c r="N193" s="169" t="s">
        <v>312</v>
      </c>
      <c r="O193" s="168" t="s">
        <v>313</v>
      </c>
      <c r="P193" s="14"/>
      <c r="Q193" s="14"/>
    </row>
    <row r="194" spans="3:19" ht="20.100000000000001" customHeight="1" x14ac:dyDescent="0.25">
      <c r="C194" s="14"/>
      <c r="D194" s="14" t="str" cm="1">
        <f t="array" ref="D194">Common_InputFunctions.Utility_DisplayArrayInTable(Scope3_SourceData.Scope3_Packaging_Data(),Table_Scope3_Packaging[[#Headers],[Packaging component]], 0, 2)</f>
        <v>Wine bottles: Glass - conventional</v>
      </c>
      <c r="E194" s="172" cm="1">
        <f t="array" ref="E194">Common_InputFunctions.Utility_SumQuantityFromCriteria(Table_Scope3_Packaging[[#This Row],[Packaging component]],Table_Input_Packaging[Packaging component (select)],Table_Input_Packaging[Quantity purchased])</f>
        <v>0</v>
      </c>
      <c r="F194" s="14" t="str" cm="1">
        <f t="array" ref="F194">Common_InputFunctions.Utility_DisplayArrayInTable(Scope3_SourceData.Scope3_Packaging_Data(),Table_Scope3_Packaging[[#Headers],[Packaging component]], 0, 2)</f>
        <v>bottle</v>
      </c>
      <c r="G194" s="14" cm="1">
        <f t="array" ref="G194">Common_InputFunctions.Utility_DisplayArrayInTable(Scope3_SourceData.Scope3_Packaging_Data(),Table_Scope3_Packaging[[#Headers],[Packaging component]], 0, 2)</f>
        <v>90101</v>
      </c>
      <c r="H194" s="173">
        <v>100</v>
      </c>
      <c r="I194" s="14" t="str" cm="1">
        <f t="array" ref="I194">Common_InputFunctions.Utility_DisplayArrayInTable(Scope3_SourceData.Scope3_Packaging_Data(),Table_Scope3_Packaging[[#Headers],[Packaging component]], 0, 2)</f>
        <v>kg CO2-e / bottle</v>
      </c>
      <c r="J194" s="14">
        <f>Table_Scope3_Packaging[[#This Row],[Quantity]]*Table_Scope3_Packaging[[#This Row],[AusLCI Emissions intensity]]</f>
        <v>0</v>
      </c>
      <c r="K194" s="155">
        <f>Table_Scope3_Packaging[[#This Row],[Quantity]]*IF(Table_Scope3_Packaging[[#This Row],[Custom emissions intensity]], Table_Scope3_Packaging[[#This Row],[Custom emissions intensity]], Table_Scope3_Packaging[[#This Row],[AusLCI Emissions intensity]])</f>
        <v>0</v>
      </c>
      <c r="L194" s="173"/>
      <c r="M194" s="48" t="s">
        <v>344</v>
      </c>
      <c r="N194" s="173"/>
      <c r="O194" s="155" cm="1">
        <f t="array" ref="O194">Common_InputFunctions.Utility_LookupValueInTableNumber(Table_Scope3_Packaging[[#This Row],[Custom emissions intensity source type (Select)]],#REF!,#REF!)</f>
        <v>0</v>
      </c>
      <c r="P194" s="14"/>
      <c r="Q194" s="14"/>
    </row>
    <row r="195" spans="3:19" ht="20.100000000000001" customHeight="1" x14ac:dyDescent="0.25">
      <c r="C195" s="14"/>
      <c r="D195" s="14" t="str" cm="1">
        <f t="array" ref="D195">Common_InputFunctions.Utility_DisplayArrayInTable(Scope3_SourceData.Scope3_Packaging_Data(),Table_Scope3_Packaging[[#Headers],[Packaging component]], 0, 2)</f>
        <v>Wine bottles: Glass - light</v>
      </c>
      <c r="E195" s="172" cm="1">
        <f t="array" ref="E195">Common_InputFunctions.Utility_SumQuantityFromCriteria(Table_Scope3_Packaging[[#This Row],[Packaging component]],Table_Input_Packaging[Packaging component (select)],Table_Input_Packaging[Quantity purchased])</f>
        <v>0</v>
      </c>
      <c r="F195" s="14" t="str" cm="1">
        <f t="array" ref="F195">Common_InputFunctions.Utility_DisplayArrayInTable(Scope3_SourceData.Scope3_Packaging_Data(),Table_Scope3_Packaging[[#Headers],[Packaging component]], 0, 2)</f>
        <v>bottle</v>
      </c>
      <c r="G195" s="14" cm="1">
        <f t="array" ref="G195">Common_InputFunctions.Utility_DisplayArrayInTable(Scope3_SourceData.Scope3_Packaging_Data(),Table_Scope3_Packaging[[#Headers],[Packaging component]], 0, 2)</f>
        <v>90102</v>
      </c>
      <c r="H195" s="173"/>
      <c r="I195" s="14" t="str" cm="1">
        <f t="array" ref="I195">Common_InputFunctions.Utility_DisplayArrayInTable(Scope3_SourceData.Scope3_Packaging_Data(),Table_Scope3_Packaging[[#Headers],[Packaging component]], 0, 2)</f>
        <v>kg CO2-e / bottle</v>
      </c>
      <c r="J195" s="155">
        <f>Table_Scope3_Packaging[[#This Row],[Quantity]]*Table_Scope3_Packaging[[#This Row],[AusLCI Emissions intensity]]</f>
        <v>0</v>
      </c>
      <c r="K195" s="155">
        <f>Table_Scope3_Packaging[[#This Row],[Quantity]]*IF(Table_Scope3_Packaging[[#This Row],[Custom emissions intensity]], Table_Scope3_Packaging[[#This Row],[Custom emissions intensity]], Table_Scope3_Packaging[[#This Row],[AusLCI Emissions intensity]])</f>
        <v>0</v>
      </c>
      <c r="L195" s="173"/>
      <c r="M195" s="174"/>
      <c r="N195" s="173"/>
      <c r="O195" s="155" cm="1">
        <f t="array" ref="O195">Common_InputFunctions.Utility_LookupValueInTableNumber(Table_Scope3_Packaging[[#This Row],[Custom emissions intensity source type (Select)]],#REF!,#REF!)</f>
        <v>0</v>
      </c>
      <c r="P195" s="14"/>
      <c r="Q195" s="14"/>
    </row>
    <row r="196" spans="3:19" ht="20.100000000000001" customHeight="1" x14ac:dyDescent="0.25">
      <c r="C196" s="14"/>
      <c r="D196" s="14" t="str" cm="1">
        <f t="array" ref="D196">Common_InputFunctions.Utility_DisplayArrayInTable(Scope3_SourceData.Scope3_Packaging_Data(),Table_Scope3_Packaging[[#Headers],[Packaging component]], 0, 2)</f>
        <v>Plastic packaging</v>
      </c>
      <c r="E196" s="172" cm="1">
        <f t="array" ref="E196">Common_InputFunctions.Utility_SumQuantityFromCriteria(Table_Scope3_Packaging[[#This Row],[Packaging component]],Table_Input_Packaging[Packaging component (select)],Table_Input_Packaging[Quantity purchased])</f>
        <v>456</v>
      </c>
      <c r="F196" s="14" t="str" cm="1">
        <f t="array" ref="F196">Common_InputFunctions.Utility_DisplayArrayInTable(Scope3_SourceData.Scope3_Packaging_Data(),Table_Scope3_Packaging[[#Headers],[Packaging component]], 0, 2)</f>
        <v>kg</v>
      </c>
      <c r="G196" s="14" cm="1">
        <f t="array" ref="G196">Common_InputFunctions.Utility_DisplayArrayInTable(Scope3_SourceData.Scope3_Packaging_Data(),Table_Scope3_Packaging[[#Headers],[Packaging component]], 0, 2)</f>
        <v>90201</v>
      </c>
      <c r="H196" s="173"/>
      <c r="I196" s="14" t="str" cm="1">
        <f t="array" ref="I196">Common_InputFunctions.Utility_DisplayArrayInTable(Scope3_SourceData.Scope3_Packaging_Data(),Table_Scope3_Packaging[[#Headers],[Packaging component]], 0, 2)</f>
        <v>kg CO2-e / kg</v>
      </c>
      <c r="J196" s="155">
        <f>Table_Scope3_Packaging[[#This Row],[Quantity]]*Table_Scope3_Packaging[[#This Row],[AusLCI Emissions intensity]]</f>
        <v>41131656</v>
      </c>
      <c r="K196" s="155">
        <f>Table_Scope3_Packaging[[#This Row],[Quantity]]*IF(Table_Scope3_Packaging[[#This Row],[Custom emissions intensity]], Table_Scope3_Packaging[[#This Row],[Custom emissions intensity]], Table_Scope3_Packaging[[#This Row],[AusLCI Emissions intensity]])</f>
        <v>41131656</v>
      </c>
      <c r="L196" s="173"/>
      <c r="M196" s="174"/>
      <c r="N196" s="173"/>
      <c r="O196" s="155" cm="1">
        <f t="array" ref="O196">Common_InputFunctions.Utility_LookupValueInTableNumber(Table_Scope3_Packaging[[#This Row],[Custom emissions intensity source type (Select)]],#REF!,#REF!)</f>
        <v>0</v>
      </c>
      <c r="P196" s="14"/>
      <c r="Q196" s="14"/>
    </row>
    <row r="197" spans="3:19" ht="20.100000000000001" customHeight="1" x14ac:dyDescent="0.25">
      <c r="C197" s="14"/>
      <c r="D197" s="14" t="str" cm="1">
        <f t="array" ref="D197">Common_InputFunctions.Utility_DisplayArrayInTable(Scope3_SourceData.Scope3_Packaging_Data(),Table_Scope3_Packaging[[#Headers],[Packaging component]], 0, 2)</f>
        <v>Polyethylene terephthalate (PET)</v>
      </c>
      <c r="E197" s="172" cm="1">
        <f t="array" ref="E197">Common_InputFunctions.Utility_SumQuantityFromCriteria(Table_Scope3_Packaging[[#This Row],[Packaging component]],Table_Input_Packaging[Packaging component (select)],Table_Input_Packaging[Quantity purchased])</f>
        <v>0</v>
      </c>
      <c r="F197" s="14" t="str" cm="1">
        <f t="array" ref="F197">Common_InputFunctions.Utility_DisplayArrayInTable(Scope3_SourceData.Scope3_Packaging_Data(),Table_Scope3_Packaging[[#Headers],[Packaging component]], 0, 2)</f>
        <v>kg</v>
      </c>
      <c r="G197" s="14" cm="1">
        <f t="array" ref="G197">Common_InputFunctions.Utility_DisplayArrayInTable(Scope3_SourceData.Scope3_Packaging_Data(),Table_Scope3_Packaging[[#Headers],[Packaging component]], 0, 2)</f>
        <v>90202</v>
      </c>
      <c r="H197" s="173"/>
      <c r="I197" s="14" t="str" cm="1">
        <f t="array" ref="I197">Common_InputFunctions.Utility_DisplayArrayInTable(Scope3_SourceData.Scope3_Packaging_Data(),Table_Scope3_Packaging[[#Headers],[Packaging component]], 0, 2)</f>
        <v>kg CO2-e / kg</v>
      </c>
      <c r="J197" s="155">
        <f>Table_Scope3_Packaging[[#This Row],[Quantity]]*Table_Scope3_Packaging[[#This Row],[AusLCI Emissions intensity]]</f>
        <v>0</v>
      </c>
      <c r="K197" s="155">
        <f>Table_Scope3_Packaging[[#This Row],[Quantity]]*IF(Table_Scope3_Packaging[[#This Row],[Custom emissions intensity]], Table_Scope3_Packaging[[#This Row],[Custom emissions intensity]], Table_Scope3_Packaging[[#This Row],[AusLCI Emissions intensity]])</f>
        <v>0</v>
      </c>
      <c r="L197" s="173"/>
      <c r="M197" s="174"/>
      <c r="N197" s="173"/>
      <c r="O197" s="155" cm="1">
        <f t="array" ref="O197">Common_InputFunctions.Utility_LookupValueInTableNumber(Table_Scope3_Packaging[[#This Row],[Custom emissions intensity source type (Select)]],#REF!,#REF!)</f>
        <v>0</v>
      </c>
      <c r="P197" s="14"/>
      <c r="Q197" s="14"/>
    </row>
    <row r="198" spans="3:19" ht="20.100000000000001" customHeight="1" x14ac:dyDescent="0.25">
      <c r="C198" s="14"/>
      <c r="D198" s="14" t="str" cm="1">
        <f t="array" ref="D198">Common_InputFunctions.Utility_DisplayArrayInTable(Scope3_SourceData.Scope3_Packaging_Data(),Table_Scope3_Packaging[[#Headers],[Packaging component]], 0, 2)</f>
        <v>Polypropylene (PP)</v>
      </c>
      <c r="E198" s="172" cm="1">
        <f t="array" ref="E198">Common_InputFunctions.Utility_SumQuantityFromCriteria(Table_Scope3_Packaging[[#This Row],[Packaging component]],Table_Input_Packaging[Packaging component (select)],Table_Input_Packaging[Quantity purchased])</f>
        <v>1100</v>
      </c>
      <c r="F198" s="14" t="str" cm="1">
        <f t="array" ref="F198">Common_InputFunctions.Utility_DisplayArrayInTable(Scope3_SourceData.Scope3_Packaging_Data(),Table_Scope3_Packaging[[#Headers],[Packaging component]], 0, 2)</f>
        <v>kg</v>
      </c>
      <c r="G198" s="14" cm="1">
        <f t="array" ref="G198">Common_InputFunctions.Utility_DisplayArrayInTable(Scope3_SourceData.Scope3_Packaging_Data(),Table_Scope3_Packaging[[#Headers],[Packaging component]], 0, 2)</f>
        <v>90203</v>
      </c>
      <c r="H198" s="173"/>
      <c r="I198" s="14" t="str" cm="1">
        <f t="array" ref="I198">Common_InputFunctions.Utility_DisplayArrayInTable(Scope3_SourceData.Scope3_Packaging_Data(),Table_Scope3_Packaging[[#Headers],[Packaging component]], 0, 2)</f>
        <v>kg CO2-e / kg</v>
      </c>
      <c r="J198" s="155">
        <f>Table_Scope3_Packaging[[#This Row],[Quantity]]*Table_Scope3_Packaging[[#This Row],[AusLCI Emissions intensity]]</f>
        <v>99223300</v>
      </c>
      <c r="K198" s="155">
        <f>Table_Scope3_Packaging[[#This Row],[Quantity]]*IF(Table_Scope3_Packaging[[#This Row],[Custom emissions intensity]], Table_Scope3_Packaging[[#This Row],[Custom emissions intensity]], Table_Scope3_Packaging[[#This Row],[AusLCI Emissions intensity]])</f>
        <v>99223300</v>
      </c>
      <c r="L198" s="173"/>
      <c r="M198" s="174"/>
      <c r="N198" s="173"/>
      <c r="O198" s="155" cm="1">
        <f t="array" ref="O198">Common_InputFunctions.Utility_LookupValueInTableNumber(Table_Scope3_Packaging[[#This Row],[Custom emissions intensity source type (Select)]],#REF!,#REF!)</f>
        <v>0</v>
      </c>
      <c r="P198" s="14"/>
      <c r="Q198" s="14"/>
    </row>
    <row r="199" spans="3:19" ht="20.100000000000001" customHeight="1" x14ac:dyDescent="0.25">
      <c r="C199" s="14"/>
      <c r="D199" s="14" t="str" cm="1">
        <f t="array" ref="D199">Common_InputFunctions.Utility_DisplayArrayInTable(Scope3_SourceData.Scope3_Packaging_Data(),Table_Scope3_Packaging[[#Headers],[Packaging component]], 0, 2)</f>
        <v>Cardboard</v>
      </c>
      <c r="E199" s="172" cm="1">
        <f t="array" ref="E199">Common_InputFunctions.Utility_SumQuantityFromCriteria(Table_Scope3_Packaging[[#This Row],[Packaging component]],Table_Input_Packaging[Packaging component (select)],Table_Input_Packaging[Quantity purchased])</f>
        <v>1234</v>
      </c>
      <c r="F199" s="14" t="str" cm="1">
        <f t="array" ref="F199">Common_InputFunctions.Utility_DisplayArrayInTable(Scope3_SourceData.Scope3_Packaging_Data(),Table_Scope3_Packaging[[#Headers],[Packaging component]], 0, 2)</f>
        <v>kg</v>
      </c>
      <c r="G199" s="14" cm="1">
        <f t="array" ref="G199">Common_InputFunctions.Utility_DisplayArrayInTable(Scope3_SourceData.Scope3_Packaging_Data(),Table_Scope3_Packaging[[#Headers],[Packaging component]], 0, 2)</f>
        <v>90204</v>
      </c>
      <c r="H199" s="173"/>
      <c r="I199" s="14" t="str" cm="1">
        <f t="array" ref="I199">Common_InputFunctions.Utility_DisplayArrayInTable(Scope3_SourceData.Scope3_Packaging_Data(),Table_Scope3_Packaging[[#Headers],[Packaging component]], 0, 2)</f>
        <v>kg CO2-e / kg</v>
      </c>
      <c r="J199" s="155">
        <f>Table_Scope3_Packaging[[#This Row],[Quantity]]*Table_Scope3_Packaging[[#This Row],[AusLCI Emissions intensity]]</f>
        <v>111311736</v>
      </c>
      <c r="K199" s="155">
        <f>Table_Scope3_Packaging[[#This Row],[Quantity]]*IF(Table_Scope3_Packaging[[#This Row],[Custom emissions intensity]], Table_Scope3_Packaging[[#This Row],[Custom emissions intensity]], Table_Scope3_Packaging[[#This Row],[AusLCI Emissions intensity]])</f>
        <v>111311736</v>
      </c>
      <c r="L199" s="173"/>
      <c r="M199" s="174"/>
      <c r="N199" s="173"/>
      <c r="O199" s="155" cm="1">
        <f t="array" ref="O199">Common_InputFunctions.Utility_LookupValueInTableNumber(Table_Scope3_Packaging[[#This Row],[Custom emissions intensity source type (Select)]],#REF!,#REF!)</f>
        <v>0</v>
      </c>
      <c r="P199" s="14"/>
      <c r="Q199" s="14"/>
    </row>
    <row r="200" spans="3:19" ht="20.100000000000001" customHeight="1" x14ac:dyDescent="0.25">
      <c r="C200" s="14"/>
      <c r="D200" s="14"/>
      <c r="E200" s="14"/>
      <c r="F200" s="14"/>
      <c r="G200" s="14"/>
      <c r="H200" s="14"/>
      <c r="I200" s="14"/>
      <c r="J200" s="14"/>
      <c r="K200" s="14"/>
      <c r="L200" s="14"/>
      <c r="M200" s="14"/>
      <c r="N200" s="14"/>
      <c r="O200" s="14"/>
      <c r="P200" s="14"/>
      <c r="Q200" s="14"/>
    </row>
    <row r="201" spans="3:19" ht="20.100000000000001" customHeight="1" x14ac:dyDescent="0.35">
      <c r="C201" s="14"/>
      <c r="D201" s="161" t="s">
        <v>345</v>
      </c>
      <c r="E201" s="162"/>
      <c r="F201" s="163"/>
      <c r="G201" s="161">
        <f>SUM(Table_Scope3_Packaging[Scope 3 emissions exc. custom (t CO2-e)])</f>
        <v>251666692</v>
      </c>
      <c r="H201" s="164" t="s">
        <v>320</v>
      </c>
      <c r="I201" s="14"/>
      <c r="J201" s="14"/>
      <c r="K201" s="14"/>
      <c r="L201" s="14"/>
      <c r="M201" s="14"/>
      <c r="N201" s="14"/>
      <c r="O201" s="14"/>
      <c r="P201" s="14"/>
      <c r="Q201" s="14"/>
    </row>
    <row r="202" spans="3:19" ht="20.100000000000001" customHeight="1" x14ac:dyDescent="0.25">
      <c r="C202" s="14"/>
      <c r="D202" s="165" t="s">
        <v>346</v>
      </c>
      <c r="E202" s="166"/>
      <c r="F202" s="166"/>
      <c r="G202" s="165">
        <f>SUM(Table_Scope3_Packaging[Scope 3 emissions inc. custom (t CO2-e)2])</f>
        <v>251666692</v>
      </c>
      <c r="H202" s="164" t="s">
        <v>320</v>
      </c>
      <c r="I202" s="14"/>
      <c r="J202" s="14"/>
      <c r="K202" s="14"/>
      <c r="L202" s="14"/>
      <c r="M202" s="14"/>
      <c r="N202" s="14"/>
      <c r="O202" s="14"/>
      <c r="P202" s="14"/>
      <c r="Q202" s="14"/>
    </row>
    <row r="203" spans="3:19" ht="20.100000000000001" customHeight="1" x14ac:dyDescent="0.25">
      <c r="C203" s="14"/>
      <c r="D203" s="14"/>
      <c r="E203" s="14"/>
      <c r="F203" s="14"/>
      <c r="G203" s="14"/>
      <c r="H203" s="14"/>
      <c r="I203" s="14"/>
      <c r="J203" s="14"/>
      <c r="K203" s="14"/>
      <c r="L203" s="14"/>
      <c r="M203" s="14"/>
      <c r="N203" s="14"/>
      <c r="O203" s="14"/>
      <c r="P203" s="14"/>
      <c r="Q203" s="14"/>
    </row>
    <row r="204" spans="3:19" ht="20.100000000000001" customHeight="1" x14ac:dyDescent="0.25">
      <c r="C204" s="14"/>
      <c r="D204" s="14"/>
      <c r="E204" s="14"/>
      <c r="F204" s="14"/>
      <c r="G204" s="14"/>
      <c r="H204" s="14"/>
      <c r="I204" s="14"/>
      <c r="J204" s="14"/>
      <c r="K204" s="14"/>
      <c r="L204" s="14"/>
      <c r="M204" s="14"/>
      <c r="N204" s="14"/>
      <c r="O204" s="14"/>
      <c r="P204" s="14"/>
      <c r="Q204" s="14"/>
    </row>
    <row r="205" spans="3:19" ht="20.100000000000001" customHeight="1" x14ac:dyDescent="0.25">
      <c r="C205" s="14"/>
      <c r="D205" s="9" t="str" cm="1">
        <f t="array" ref="D205">Scope3_SourceData.Scope3_CleaningChemicals_Title()</f>
        <v>Cleaning chemicals scope 3</v>
      </c>
      <c r="E205" s="14"/>
      <c r="F205" s="14"/>
      <c r="G205" s="14"/>
      <c r="H205" s="14"/>
      <c r="I205" s="14"/>
      <c r="J205" s="14"/>
      <c r="K205" s="14"/>
      <c r="L205" s="14"/>
      <c r="M205" s="14"/>
      <c r="N205" s="14"/>
      <c r="O205" s="14"/>
      <c r="P205" s="14"/>
      <c r="Q205" s="14"/>
    </row>
    <row r="206" spans="3:19" ht="20.100000000000001" customHeight="1" x14ac:dyDescent="0.25">
      <c r="C206" s="14"/>
      <c r="D206" s="11" t="str" cm="1">
        <f t="array" ref="D206">Scope3_SourceData.Scope3_CleaningChemicals_Source()</f>
        <v>Lifecycles. (2026). Greenhouse Gas Emission Intensities for Material Inputs to Australian Agriculture, Fisheries and Forestry. Version 48. doi 10.5281/zenodo.19656580</v>
      </c>
      <c r="E206" s="14"/>
      <c r="F206" s="14"/>
      <c r="G206" s="14"/>
      <c r="H206" s="14"/>
      <c r="I206" s="14"/>
      <c r="J206" s="14"/>
      <c r="K206" s="14"/>
      <c r="L206" s="14"/>
      <c r="M206" s="14"/>
      <c r="N206" s="14"/>
      <c r="O206" s="14"/>
      <c r="P206" s="14"/>
      <c r="Q206" s="14"/>
    </row>
    <row r="207" spans="3:19" ht="20.100000000000001" customHeight="1" x14ac:dyDescent="0.25">
      <c r="C207" s="14"/>
      <c r="D207" s="14"/>
      <c r="E207" s="14"/>
      <c r="F207" s="14"/>
      <c r="G207" s="14"/>
      <c r="H207" s="14"/>
      <c r="I207" s="14"/>
      <c r="J207" s="14"/>
      <c r="K207" s="14"/>
      <c r="L207" s="14"/>
      <c r="M207" s="14"/>
      <c r="N207" s="14"/>
      <c r="O207" s="14"/>
      <c r="P207" s="14"/>
      <c r="Q207" s="14"/>
    </row>
    <row r="208" spans="3:19" ht="20.100000000000001" customHeight="1" x14ac:dyDescent="0.25">
      <c r="C208" s="14"/>
      <c r="D208" s="60" t="s">
        <v>423</v>
      </c>
      <c r="E208" s="60" t="s">
        <v>222</v>
      </c>
      <c r="F208" s="60" t="s">
        <v>424</v>
      </c>
      <c r="G208" s="60" t="s">
        <v>304</v>
      </c>
      <c r="H208" s="168" t="s">
        <v>358</v>
      </c>
      <c r="I208" s="168" t="s">
        <v>306</v>
      </c>
      <c r="J208" s="169" t="s">
        <v>307</v>
      </c>
      <c r="K208" s="168" t="s">
        <v>308</v>
      </c>
      <c r="L208" s="168" t="s">
        <v>323</v>
      </c>
      <c r="M208" s="168" t="s">
        <v>309</v>
      </c>
      <c r="N208" s="169" t="s">
        <v>310</v>
      </c>
      <c r="O208" s="169" t="s">
        <v>311</v>
      </c>
      <c r="P208" s="169" t="s">
        <v>312</v>
      </c>
      <c r="Q208" s="168" t="s">
        <v>313</v>
      </c>
      <c r="R208" s="14"/>
      <c r="S208" s="14"/>
    </row>
    <row r="209" spans="3:19" ht="20.100000000000001" customHeight="1" x14ac:dyDescent="0.25">
      <c r="C209" s="14"/>
      <c r="D209" s="14" t="str" cm="1">
        <f t="array" ref="D209">Common_InputFunctions.Utility_DisplayArrayInTable(Scope3_SourceData.Scope3_CleaningChemicals_Data(), Table_Scope3_CleaningChemicals[[#Headers],[Category]], 0, 2)</f>
        <v>Cleaning chemicals</v>
      </c>
      <c r="E209" s="14" t="str" cm="1">
        <f t="array" ref="E209">Common_InputFunctions.Utility_DisplayArrayInTable(Scope3_SourceData.Scope3_CleaningChemicals_Data(), Table_Scope3_CleaningChemicals[[#Headers],[Category]], 0, 2)</f>
        <v>Alkaline cleaner</v>
      </c>
      <c r="F209" s="14" t="str" cm="1">
        <f t="array" ref="F209">Common_InputFunctions.Utility_DisplayArrayInTable(Scope3_SourceData.Scope3_CleaningChemicals_Data(), Table_Scope3_CleaningChemicals[[#Headers],[Category]], 0, 2)</f>
        <v>Global</v>
      </c>
      <c r="G209" s="172" cm="1">
        <f t="array" ref="G209">Common_InputFunctions.Utility_SumQuantityFromCriteria(Table_Scope3_CleaningChemicals[[#This Row],[Product]],Table_Input_CleaningChemicals[Type (select)],Table_Input_CleaningChemicals[Quantity purchased (kg)])</f>
        <v>200</v>
      </c>
      <c r="H209" s="14" t="str" cm="1">
        <f t="array" ref="H209">Common_InputFunctions.Utility_DisplayArrayInTable(Scope3_SourceData.Scope3_CleaningChemicals_Data(), Table_Scope3_CleaningChemicals[[#Headers],[Category]], 0, 1)</f>
        <v>kg</v>
      </c>
      <c r="I209" s="14" cm="1">
        <f t="array" ref="I209">Common_InputFunctions.Utility_DisplayArrayInTable(Scope3_SourceData.Scope3_CleaningChemicals_Data(), Table_Scope3_CleaningChemicals[[#Headers],[Category]], 0, 1)</f>
        <v>0.72199999999999998</v>
      </c>
      <c r="J209" s="173">
        <v>0.65</v>
      </c>
      <c r="K209" s="14" t="str">
        <f>"t CO@e / " &amp;Table_Scope3_CleaningChemicals[[#This Row],[Quantity unit]]</f>
        <v>t CO@e / kg</v>
      </c>
      <c r="L209" s="14">
        <f>Table_Scope3_CleaningChemicals[[#This Row],[Quantity]]*Table_Scope3_CleaningChemicals[[#This Row],[AusLCI Emissions intensity]]</f>
        <v>144.4</v>
      </c>
      <c r="M209" s="155">
        <f>Table_Scope3_CleaningChemicals[[#This Row],[Quantity]]*IF(Table_Scope3_CleaningChemicals[[#This Row],[Custom emissions intensity]], Table_Scope3_CleaningChemicals[[#This Row],[Custom emissions intensity]], Table_Scope3_CleaningChemicals[[#This Row],[AusLCI Emissions intensity]])</f>
        <v>130</v>
      </c>
      <c r="N209" s="173"/>
      <c r="O209" s="48"/>
      <c r="P209" s="173"/>
      <c r="Q209" s="155" cm="1">
        <f t="array" ref="Q209">Common_InputFunctions.Utility_LookupValueInTableNumber(Table_Scope3_CleaningChemicals[[#This Row],[Custom emissions intensity source type (Select)]],#REF!,#REF!)</f>
        <v>0</v>
      </c>
      <c r="R209" s="14"/>
      <c r="S209" s="14"/>
    </row>
    <row r="210" spans="3:19" ht="20.100000000000001" customHeight="1" x14ac:dyDescent="0.25">
      <c r="C210" s="14"/>
      <c r="D210" s="14" t="str" cm="1">
        <f t="array" ref="D210">Common_InputFunctions.Utility_DisplayArrayInTable(Scope3_SourceData.Scope3_CleaningChemicals_Data(), Table_Scope3_CleaningChemicals[[#Headers],[Category]], 0, 2)</f>
        <v>Cleaning chemicals</v>
      </c>
      <c r="E210" s="14" t="str" cm="1">
        <f t="array" ref="E210">Common_InputFunctions.Utility_DisplayArrayInTable(Scope3_SourceData.Scope3_CleaningChemicals_Data(), Table_Scope3_CleaningChemicals[[#Headers],[Category]], 0, 2)</f>
        <v>Bleach</v>
      </c>
      <c r="F210" s="14" t="str" cm="1">
        <f t="array" ref="F210">Common_InputFunctions.Utility_DisplayArrayInTable(Scope3_SourceData.Scope3_CleaningChemicals_Data(), Table_Scope3_CleaningChemicals[[#Headers],[Category]], 0, 2)</f>
        <v>Global</v>
      </c>
      <c r="G210" s="172" cm="1">
        <f t="array" ref="G210">Common_InputFunctions.Utility_SumQuantityFromCriteria(Table_Scope3_CleaningChemicals[[#This Row],[Product]],Table_Input_CleaningChemicals[Type (select)],Table_Input_CleaningChemicals[Quantity purchased (kg)])</f>
        <v>200</v>
      </c>
      <c r="H210" s="14" t="str" cm="1">
        <f t="array" ref="H210">Common_InputFunctions.Utility_DisplayArrayInTable(Scope3_SourceData.Scope3_CleaningChemicals_Data(), Table_Scope3_CleaningChemicals[[#Headers],[Category]], 0, 1)</f>
        <v>kg</v>
      </c>
      <c r="I210" s="14" cm="1">
        <f t="array" ref="I210">Common_InputFunctions.Utility_DisplayArrayInTable(Scope3_SourceData.Scope3_CleaningChemicals_Data(), Table_Scope3_CleaningChemicals[[#Headers],[Category]], 0, 1)</f>
        <v>0.80400000000000005</v>
      </c>
      <c r="J210" s="173"/>
      <c r="K210" s="14" t="str">
        <f>"t CO@e / " &amp;Table_Scope3_CleaningChemicals[[#This Row],[Quantity unit]]</f>
        <v>t CO@e / kg</v>
      </c>
      <c r="L210" s="14">
        <f>Table_Scope3_CleaningChemicals[[#This Row],[Quantity]]*Table_Scope3_CleaningChemicals[[#This Row],[AusLCI Emissions intensity]]</f>
        <v>160.80000000000001</v>
      </c>
      <c r="M210" s="155">
        <f>Table_Scope3_CleaningChemicals[[#This Row],[Quantity]]*IF(Table_Scope3_CleaningChemicals[[#This Row],[Custom emissions intensity]], Table_Scope3_CleaningChemicals[[#This Row],[Custom emissions intensity]], Table_Scope3_CleaningChemicals[[#This Row],[AusLCI Emissions intensity]])</f>
        <v>160.80000000000001</v>
      </c>
      <c r="N210" s="173"/>
      <c r="O210" s="48"/>
      <c r="P210" s="173"/>
      <c r="Q210" s="155" cm="1">
        <f t="array" ref="Q210">Common_InputFunctions.Utility_LookupValueInTableNumber(Table_Scope3_CleaningChemicals[[#This Row],[Custom emissions intensity source type (Select)]],#REF!,#REF!)</f>
        <v>0</v>
      </c>
      <c r="R210" s="14"/>
      <c r="S210" s="14"/>
    </row>
    <row r="211" spans="3:19" ht="20.100000000000001" customHeight="1" x14ac:dyDescent="0.25">
      <c r="C211" s="14"/>
      <c r="D211" s="14" t="str" cm="1">
        <f t="array" ref="D211">Common_InputFunctions.Utility_DisplayArrayInTable(Scope3_SourceData.Scope3_CleaningChemicals_Data(), Table_Scope3_CleaningChemicals[[#Headers],[Category]], 0, 2)</f>
        <v>Cleaning chemicals</v>
      </c>
      <c r="E211" s="14" t="str" cm="1">
        <f t="array" ref="E211">Common_InputFunctions.Utility_DisplayArrayInTable(Scope3_SourceData.Scope3_CleaningChemicals_Data(), Table_Scope3_CleaningChemicals[[#Headers],[Category]], 0, 2)</f>
        <v>Phosphoric acid</v>
      </c>
      <c r="F211" s="14" t="str" cm="1">
        <f t="array" ref="F211">Common_InputFunctions.Utility_DisplayArrayInTable(Scope3_SourceData.Scope3_CleaningChemicals_Data(), Table_Scope3_CleaningChemicals[[#Headers],[Category]], 0, 2)</f>
        <v>Global</v>
      </c>
      <c r="G211" s="172" cm="1">
        <f t="array" ref="G211">Common_InputFunctions.Utility_SumQuantityFromCriteria(Table_Scope3_CleaningChemicals[[#This Row],[Product]],Table_Input_CleaningChemicals[Type (select)],Table_Input_CleaningChemicals[Quantity purchased (kg)])</f>
        <v>200</v>
      </c>
      <c r="H211" s="14" t="str" cm="1">
        <f t="array" ref="H211">Common_InputFunctions.Utility_DisplayArrayInTable(Scope3_SourceData.Scope3_CleaningChemicals_Data(), Table_Scope3_CleaningChemicals[[#Headers],[Category]], 0, 1)</f>
        <v>kg</v>
      </c>
      <c r="I211" s="14" cm="1">
        <f t="array" ref="I211">Common_InputFunctions.Utility_DisplayArrayInTable(Scope3_SourceData.Scope3_CleaningChemicals_Data(), Table_Scope3_CleaningChemicals[[#Headers],[Category]], 0, 1)</f>
        <v>0.90700000000000003</v>
      </c>
      <c r="J211" s="173"/>
      <c r="K211" s="14" t="str">
        <f>"t CO@e / " &amp;Table_Scope3_CleaningChemicals[[#This Row],[Quantity unit]]</f>
        <v>t CO@e / kg</v>
      </c>
      <c r="L211" s="14">
        <f>Table_Scope3_CleaningChemicals[[#This Row],[Quantity]]*Table_Scope3_CleaningChemicals[[#This Row],[AusLCI Emissions intensity]]</f>
        <v>181.4</v>
      </c>
      <c r="M211" s="155">
        <f>Table_Scope3_CleaningChemicals[[#This Row],[Quantity]]*IF(Table_Scope3_CleaningChemicals[[#This Row],[Custom emissions intensity]], Table_Scope3_CleaningChemicals[[#This Row],[Custom emissions intensity]], Table_Scope3_CleaningChemicals[[#This Row],[AusLCI Emissions intensity]])</f>
        <v>181.4</v>
      </c>
      <c r="N211" s="173"/>
      <c r="O211" s="48"/>
      <c r="P211" s="173"/>
      <c r="Q211" s="155" cm="1">
        <f t="array" ref="Q211">Common_InputFunctions.Utility_LookupValueInTableNumber(Table_Scope3_CleaningChemicals[[#This Row],[Custom emissions intensity source type (Select)]],#REF!,#REF!)</f>
        <v>0</v>
      </c>
      <c r="R211" s="14"/>
      <c r="S211" s="14"/>
    </row>
    <row r="212" spans="3:19" ht="20.100000000000001" customHeight="1" x14ac:dyDescent="0.25">
      <c r="C212" s="14"/>
      <c r="D212" s="14"/>
      <c r="E212" s="14"/>
      <c r="F212" s="14"/>
      <c r="G212" s="14"/>
      <c r="H212" s="14"/>
      <c r="I212" s="14"/>
      <c r="J212" s="14"/>
      <c r="K212" s="14"/>
      <c r="L212" s="14"/>
      <c r="M212" s="14"/>
      <c r="N212" s="14"/>
      <c r="O212" s="14"/>
      <c r="P212" s="14"/>
      <c r="Q212" s="14"/>
    </row>
    <row r="213" spans="3:19" ht="20.100000000000001" customHeight="1" x14ac:dyDescent="0.35">
      <c r="C213" s="14"/>
      <c r="D213" s="161" t="s">
        <v>347</v>
      </c>
      <c r="E213" s="162"/>
      <c r="F213" s="163"/>
      <c r="G213" s="161">
        <f>SUM(Table_Scope3_CleaningChemicals[Scope 3 emissions exc. custom (t CO2-e)])</f>
        <v>486.6</v>
      </c>
      <c r="H213" s="164" t="s">
        <v>320</v>
      </c>
      <c r="I213" s="14"/>
      <c r="J213" s="14"/>
      <c r="K213" s="14"/>
      <c r="L213" s="14"/>
      <c r="M213" s="14"/>
      <c r="N213" s="14"/>
      <c r="O213" s="14"/>
      <c r="P213" s="14"/>
      <c r="Q213" s="14"/>
    </row>
    <row r="214" spans="3:19" ht="20.100000000000001" customHeight="1" x14ac:dyDescent="0.25">
      <c r="C214" s="14"/>
      <c r="D214" s="165" t="s">
        <v>348</v>
      </c>
      <c r="E214" s="166"/>
      <c r="F214" s="166"/>
      <c r="G214" s="165">
        <f>SUM(Table_Scope3_CleaningChemicals[Scope 3 emissions inc. custom (t CO2-e)2])</f>
        <v>472.20000000000005</v>
      </c>
      <c r="H214" s="164" t="s">
        <v>320</v>
      </c>
      <c r="I214" s="14"/>
      <c r="J214" s="14"/>
      <c r="K214" s="14"/>
      <c r="L214" s="14"/>
      <c r="M214" s="14"/>
      <c r="N214" s="14"/>
      <c r="O214" s="14"/>
      <c r="P214" s="14"/>
      <c r="Q214" s="14"/>
    </row>
    <row r="215" spans="3:19" ht="20.100000000000001" customHeight="1" x14ac:dyDescent="0.25">
      <c r="C215" s="14"/>
      <c r="D215" s="14"/>
      <c r="E215" s="14"/>
      <c r="F215" s="14"/>
      <c r="G215" s="14"/>
      <c r="H215" s="14"/>
      <c r="I215" s="14"/>
      <c r="J215" s="14"/>
      <c r="K215" s="14"/>
      <c r="L215" s="14"/>
      <c r="M215" s="14"/>
      <c r="N215" s="14"/>
      <c r="O215" s="14"/>
      <c r="P215" s="14"/>
      <c r="Q215" s="14"/>
    </row>
    <row r="216" spans="3:19" ht="20.100000000000001" customHeight="1" x14ac:dyDescent="0.25">
      <c r="C216" s="14"/>
      <c r="D216" s="14"/>
      <c r="E216" s="14"/>
      <c r="F216" s="14"/>
      <c r="G216" s="14"/>
      <c r="H216" s="14"/>
      <c r="I216" s="14"/>
      <c r="J216" s="14"/>
      <c r="K216" s="14"/>
      <c r="L216" s="14"/>
      <c r="M216" s="14"/>
      <c r="N216" s="14"/>
      <c r="O216" s="14"/>
      <c r="P216" s="14"/>
      <c r="Q216" s="14"/>
    </row>
    <row r="217" spans="3:19" ht="20.100000000000001" customHeight="1" x14ac:dyDescent="0.25"/>
    <row r="218" spans="3:19" ht="20.100000000000001" customHeight="1" x14ac:dyDescent="0.25"/>
    <row r="219" spans="3:19" ht="20.100000000000001" customHeight="1" x14ac:dyDescent="0.25"/>
    <row r="220" spans="3:19" ht="20.100000000000001" customHeight="1" x14ac:dyDescent="0.25"/>
    <row r="221" spans="3:19" ht="20.100000000000001" customHeight="1" x14ac:dyDescent="0.25"/>
    <row r="222" spans="3:19" ht="20.100000000000001" customHeight="1" x14ac:dyDescent="0.25"/>
    <row r="223" spans="3:19" ht="20.100000000000001" customHeight="1" x14ac:dyDescent="0.25"/>
    <row r="224" spans="3:19" ht="20.100000000000001" customHeight="1" x14ac:dyDescent="0.25"/>
    <row r="225" spans="3:17" ht="20.100000000000001" customHeight="1" x14ac:dyDescent="0.25"/>
    <row r="226" spans="3:17" ht="20.100000000000001" customHeight="1" x14ac:dyDescent="0.25"/>
    <row r="227" spans="3:17" ht="20.100000000000001" customHeight="1" x14ac:dyDescent="0.25"/>
    <row r="228" spans="3:17" ht="20.100000000000001" customHeight="1" x14ac:dyDescent="0.25">
      <c r="C228" s="14"/>
      <c r="D228" s="9" t="str" cm="1">
        <f t="array" ref="D228">Scope3_SourceData.Scope3_SeedsAndSeedlings_Title()</f>
        <v>Seeds and Seedlings scope 3</v>
      </c>
      <c r="E228" s="14"/>
      <c r="F228" s="14"/>
      <c r="G228" s="14"/>
      <c r="H228" s="14"/>
      <c r="I228" s="14"/>
      <c r="J228" s="14"/>
      <c r="K228" s="14"/>
      <c r="L228" s="14"/>
      <c r="M228" s="14"/>
      <c r="N228" s="14"/>
      <c r="O228" s="14"/>
      <c r="P228" s="14"/>
      <c r="Q228" s="14"/>
    </row>
    <row r="229" spans="3:17" ht="20.100000000000001" customHeight="1" x14ac:dyDescent="0.25">
      <c r="C229" s="14"/>
      <c r="D229" s="11" t="str" cm="1">
        <f t="array" ref="D229">Scope3_SourceData.Scope3_SeedsAndSeedlings_Source()</f>
        <v>Lifecycles. (2026). Greenhouse Gas Emission Intensities for Material Inputs to Australian Agriculture, Fisheries and Forestry. Version 48. doi 10.5281/zenodo.19656580</v>
      </c>
      <c r="E229" s="14"/>
      <c r="F229" s="14"/>
      <c r="G229" s="14"/>
      <c r="H229" s="14"/>
      <c r="I229" s="14"/>
      <c r="J229" s="14"/>
      <c r="K229" s="14"/>
      <c r="L229" s="14"/>
      <c r="M229" s="14"/>
      <c r="N229" s="14"/>
      <c r="O229" s="14"/>
      <c r="P229" s="14"/>
      <c r="Q229" s="14"/>
    </row>
    <row r="230" spans="3:17" ht="20.100000000000001" customHeight="1" x14ac:dyDescent="0.25">
      <c r="C230" s="14"/>
      <c r="D230" s="14"/>
      <c r="E230" s="14"/>
      <c r="F230" s="14"/>
      <c r="G230" s="14"/>
      <c r="H230" s="14"/>
      <c r="I230" s="14"/>
      <c r="J230" s="14"/>
      <c r="K230" s="14"/>
      <c r="L230" s="14"/>
      <c r="M230" s="14"/>
      <c r="N230" s="14"/>
      <c r="O230" s="14"/>
      <c r="P230" s="14"/>
      <c r="Q230" s="14"/>
    </row>
    <row r="231" spans="3:17" ht="20.100000000000001" customHeight="1" x14ac:dyDescent="0.25">
      <c r="C231" s="14"/>
      <c r="D231" s="168" t="s">
        <v>349</v>
      </c>
      <c r="E231" s="168" t="s">
        <v>304</v>
      </c>
      <c r="F231" s="168" t="s">
        <v>305</v>
      </c>
      <c r="G231" s="168" t="s">
        <v>306</v>
      </c>
      <c r="H231" s="169" t="s">
        <v>307</v>
      </c>
      <c r="I231" s="168" t="s">
        <v>308</v>
      </c>
      <c r="J231" s="168" t="s">
        <v>323</v>
      </c>
      <c r="K231" s="168" t="s">
        <v>309</v>
      </c>
      <c r="L231" s="169" t="s">
        <v>310</v>
      </c>
      <c r="M231" s="169" t="s">
        <v>311</v>
      </c>
      <c r="N231" s="169" t="s">
        <v>312</v>
      </c>
      <c r="O231" s="168" t="s">
        <v>313</v>
      </c>
      <c r="P231" s="14"/>
      <c r="Q231" s="14"/>
    </row>
    <row r="232" spans="3:17" ht="20.100000000000001" customHeight="1" x14ac:dyDescent="0.25">
      <c r="C232" s="14"/>
      <c r="D232" s="14" t="str" cm="1">
        <f t="array" ref="D232">Common_InputFunctions.Utility_DisplayArrayInTable(Scope3_SourceData.Scope3_SeedsAndSeedlings_Data(), Table_Scope3_SeedsAndSeedlings[[#Headers],[Type]], 0, 2)</f>
        <v>Seed (general crop and pasture)</v>
      </c>
      <c r="E232" s="172">
        <f>'Input - Other Farm Inputs'!E12</f>
        <v>700</v>
      </c>
      <c r="F232" s="14" t="str" cm="1">
        <f t="array" ref="F232">Common_InputFunctions.Utility_DisplayArrayInTable(Scope3_SourceData.Scope3_SeedsAndSeedlings_Data(), Table_Scope3_SeedsAndSeedlings[[#Headers],[Type]], 0, 2)</f>
        <v>t</v>
      </c>
      <c r="G232" s="14" cm="1">
        <f t="array" ref="G232">Common_InputFunctions.Utility_DisplayArrayInTable(Scope3_SourceData.Scope3_SeedsAndSeedlings_Data(), Table_Scope3_SeedsAndSeedlings[[#Headers],[Type]], 0, 2)</f>
        <v>100101</v>
      </c>
      <c r="H232" s="173">
        <v>100</v>
      </c>
      <c r="I232" s="14" t="str" cm="1">
        <f t="array" ref="I232">Common_InputFunctions.Utility_DisplayArrayInTable(Scope3_SourceData.Scope3_SeedsAndSeedlings_Data(), Table_Scope3_SeedsAndSeedlings[[#Headers],[Type]], 0, 2)</f>
        <v>t CO2-e / t</v>
      </c>
      <c r="J232" s="14">
        <f>Table_Scope3_SeedsAndSeedlings[[#This Row],[Quantity]]*Table_Scope3_SeedsAndSeedlings[[#This Row],[AusLCI Emissions intensity]]</f>
        <v>70070700</v>
      </c>
      <c r="K232" s="155">
        <f>Table_Scope3_SeedsAndSeedlings[[#This Row],[Quantity]]*IF(Table_Scope3_SeedsAndSeedlings[[#This Row],[Custom emissions intensity]], Table_Scope3_SeedsAndSeedlings[[#This Row],[Custom emissions intensity]], Table_Scope3_SeedsAndSeedlings[[#This Row],[AusLCI Emissions intensity]])</f>
        <v>70000</v>
      </c>
      <c r="L232" s="173"/>
      <c r="M232" s="48"/>
      <c r="N232" s="173"/>
      <c r="O232" s="155" cm="1">
        <f t="array" ref="O232">Common_InputFunctions.Utility_LookupValueInTableNumber(Table_Scope3_SeedsAndSeedlings[[#This Row],[Custom emissions intensity source type (Select)]],#REF!,#REF!)</f>
        <v>0</v>
      </c>
      <c r="P232" s="14"/>
      <c r="Q232" s="14"/>
    </row>
    <row r="233" spans="3:17" ht="20.100000000000001" customHeight="1" x14ac:dyDescent="0.25">
      <c r="C233" s="14"/>
      <c r="D233" s="14" t="str" cm="1">
        <f t="array" ref="D233">Common_InputFunctions.Utility_DisplayArrayInTable(Scope3_SourceData.Scope3_SeedsAndSeedlings_Data(), Table_Scope3_SeedsAndSeedlings[[#Headers],[Type]], 0, 2)</f>
        <v>Seedlings (forestry, horticulture, environmental)</v>
      </c>
      <c r="E233" s="172">
        <f>'Input - Other Farm Inputs'!E13</f>
        <v>800</v>
      </c>
      <c r="F233" s="14" t="str" cm="1">
        <f t="array" ref="F233">Common_InputFunctions.Utility_DisplayArrayInTable(Scope3_SourceData.Scope3_SeedsAndSeedlings_Data(), Table_Scope3_SeedsAndSeedlings[[#Headers],[Type]], 0, 2)</f>
        <v>Seedling</v>
      </c>
      <c r="G233" s="14" cm="1">
        <f t="array" ref="G233">Common_InputFunctions.Utility_DisplayArrayInTable(Scope3_SourceData.Scope3_SeedsAndSeedlings_Data(), Table_Scope3_SeedsAndSeedlings[[#Headers],[Type]], 0, 2)</f>
        <v>100102</v>
      </c>
      <c r="H233" s="173"/>
      <c r="I233" s="14" t="str" cm="1">
        <f t="array" ref="I233">Common_InputFunctions.Utility_DisplayArrayInTable(Scope3_SourceData.Scope3_SeedsAndSeedlings_Data(), Table_Scope3_SeedsAndSeedlings[[#Headers],[Type]], 0, 2)</f>
        <v>t CO2-e / Seedling</v>
      </c>
      <c r="J233" s="155">
        <f>Table_Scope3_SeedsAndSeedlings[[#This Row],[Quantity]]*Table_Scope3_SeedsAndSeedlings[[#This Row],[AusLCI Emissions intensity]]</f>
        <v>80081600</v>
      </c>
      <c r="K233" s="155">
        <f>Table_Scope3_SeedsAndSeedlings[[#This Row],[Quantity]]*IF(Table_Scope3_SeedsAndSeedlings[[#This Row],[Custom emissions intensity]], Table_Scope3_SeedsAndSeedlings[[#This Row],[Custom emissions intensity]], Table_Scope3_SeedsAndSeedlings[[#This Row],[AusLCI Emissions intensity]])</f>
        <v>80081600</v>
      </c>
      <c r="L233" s="173"/>
      <c r="M233" s="174"/>
      <c r="N233" s="173"/>
      <c r="O233" s="155" cm="1">
        <f t="array" ref="O233">Common_InputFunctions.Utility_LookupValueInTableNumber(Table_Scope3_SeedsAndSeedlings[[#This Row],[Custom emissions intensity source type (Select)]],#REF!,#REF!)</f>
        <v>0</v>
      </c>
      <c r="P233" s="14"/>
      <c r="Q233" s="14"/>
    </row>
    <row r="234" spans="3:17" ht="20.100000000000001" customHeight="1" x14ac:dyDescent="0.25">
      <c r="C234" s="14"/>
      <c r="D234" s="14"/>
      <c r="E234" s="14"/>
      <c r="F234" s="14"/>
      <c r="G234" s="14"/>
      <c r="H234" s="14"/>
      <c r="I234" s="14"/>
      <c r="J234" s="14"/>
      <c r="K234" s="14"/>
      <c r="L234" s="14"/>
      <c r="M234" s="14"/>
      <c r="N234" s="14"/>
      <c r="O234" s="14"/>
      <c r="P234" s="14"/>
      <c r="Q234" s="14"/>
    </row>
    <row r="235" spans="3:17" ht="20.100000000000001" customHeight="1" x14ac:dyDescent="0.35">
      <c r="C235" s="14"/>
      <c r="D235" s="161" t="s">
        <v>350</v>
      </c>
      <c r="E235" s="162"/>
      <c r="F235" s="163"/>
      <c r="G235" s="161">
        <f>SUM(Table_Scope3_SeedsAndSeedlings[Scope 3 emissions exc. custom (t CO2-e)])</f>
        <v>150152300</v>
      </c>
      <c r="H235" s="164" t="s">
        <v>320</v>
      </c>
      <c r="I235" s="14"/>
      <c r="J235" s="14"/>
      <c r="K235" s="14"/>
      <c r="L235" s="14"/>
      <c r="M235" s="14"/>
      <c r="N235" s="14"/>
      <c r="O235" s="14"/>
      <c r="P235" s="14"/>
      <c r="Q235" s="14"/>
    </row>
    <row r="236" spans="3:17" ht="20.100000000000001" customHeight="1" x14ac:dyDescent="0.25">
      <c r="C236" s="14"/>
      <c r="D236" s="165" t="s">
        <v>351</v>
      </c>
      <c r="E236" s="166"/>
      <c r="F236" s="166"/>
      <c r="G236" s="165">
        <f>SUM(Table_Scope3_SeedsAndSeedlings[Scope 3 emissions inc. custom (t CO2-e)2])</f>
        <v>80151600</v>
      </c>
      <c r="H236" s="164" t="s">
        <v>320</v>
      </c>
      <c r="I236" s="14"/>
      <c r="J236" s="14"/>
      <c r="K236" s="14"/>
      <c r="L236" s="14"/>
      <c r="M236" s="14"/>
      <c r="N236" s="14"/>
      <c r="O236" s="14"/>
      <c r="P236" s="14"/>
      <c r="Q236" s="14"/>
    </row>
    <row r="237" spans="3:17" ht="20.100000000000001" customHeight="1" x14ac:dyDescent="0.25">
      <c r="C237" s="14"/>
      <c r="D237" s="14"/>
      <c r="E237" s="14"/>
      <c r="F237" s="14"/>
      <c r="G237" s="14"/>
      <c r="H237" s="14"/>
      <c r="I237" s="14"/>
      <c r="J237" s="14"/>
      <c r="K237" s="14"/>
      <c r="L237" s="14"/>
      <c r="M237" s="14"/>
      <c r="N237" s="14"/>
      <c r="O237" s="14"/>
      <c r="P237" s="14"/>
      <c r="Q237" s="14"/>
    </row>
    <row r="238" spans="3:17" ht="20.100000000000001" customHeight="1" x14ac:dyDescent="0.25">
      <c r="C238" s="14"/>
      <c r="D238" s="14"/>
      <c r="E238" s="14"/>
      <c r="F238" s="14"/>
      <c r="G238" s="14"/>
      <c r="H238" s="14"/>
      <c r="I238" s="14"/>
      <c r="J238" s="14"/>
      <c r="K238" s="14"/>
      <c r="L238" s="14"/>
      <c r="M238" s="14"/>
      <c r="N238" s="14"/>
      <c r="O238" s="14"/>
      <c r="P238" s="14"/>
      <c r="Q238" s="14"/>
    </row>
    <row r="239" spans="3:17" ht="20.100000000000001" customHeight="1" x14ac:dyDescent="0.25">
      <c r="C239" s="14"/>
      <c r="D239" s="9" t="str" cm="1">
        <f t="array" ref="D239">Scope3_SourceData.Scope3_OtherAgriculturalInputs_Title()</f>
        <v>Other agricultural inputs scope 3</v>
      </c>
      <c r="E239" s="14"/>
      <c r="F239" s="14"/>
      <c r="G239" s="14"/>
      <c r="H239" s="14"/>
      <c r="I239" s="14"/>
      <c r="J239" s="14"/>
      <c r="K239" s="14"/>
      <c r="L239" s="14"/>
      <c r="M239" s="14"/>
      <c r="N239" s="14"/>
      <c r="O239" s="14"/>
      <c r="P239" s="14"/>
      <c r="Q239" s="14"/>
    </row>
    <row r="240" spans="3:17" ht="20.100000000000001" customHeight="1" x14ac:dyDescent="0.25">
      <c r="C240" s="14"/>
      <c r="D240" s="11" t="str" cm="1">
        <f t="array" ref="D240">Scope3_SourceData.Scope3_OtherAgriculturalInputs_Source()</f>
        <v>Lifecycles. (2026). Greenhouse Gas Emission Intensities for Material Inputs to Australian Agriculture, Fisheries and Forestry. Version 48. doi 10.5281/zenodo.19656580</v>
      </c>
      <c r="E240" s="14"/>
      <c r="F240" s="14"/>
      <c r="G240" s="14"/>
      <c r="H240" s="14"/>
      <c r="I240" s="14"/>
      <c r="J240" s="14"/>
      <c r="K240" s="14"/>
      <c r="L240" s="14"/>
      <c r="M240" s="14"/>
      <c r="N240" s="14"/>
      <c r="O240" s="14"/>
      <c r="P240" s="14"/>
      <c r="Q240" s="14"/>
    </row>
    <row r="241" spans="3:17" ht="20.100000000000001" customHeight="1" x14ac:dyDescent="0.25">
      <c r="C241" s="14"/>
      <c r="D241" s="14"/>
      <c r="E241" s="14"/>
      <c r="F241" s="14"/>
      <c r="G241" s="14"/>
      <c r="H241" s="14"/>
      <c r="I241" s="14"/>
      <c r="J241" s="14"/>
      <c r="K241" s="14"/>
      <c r="L241" s="14"/>
      <c r="M241" s="14"/>
      <c r="N241" s="14"/>
      <c r="O241" s="14"/>
      <c r="P241" s="14"/>
      <c r="Q241" s="14"/>
    </row>
    <row r="242" spans="3:17" ht="20.100000000000001" customHeight="1" x14ac:dyDescent="0.25">
      <c r="C242" s="14"/>
      <c r="D242" s="168" t="s">
        <v>349</v>
      </c>
      <c r="E242" s="168" t="s">
        <v>304</v>
      </c>
      <c r="F242" s="168" t="s">
        <v>305</v>
      </c>
      <c r="G242" s="168" t="s">
        <v>306</v>
      </c>
      <c r="H242" s="169" t="s">
        <v>307</v>
      </c>
      <c r="I242" s="168" t="s">
        <v>308</v>
      </c>
      <c r="J242" s="168" t="s">
        <v>323</v>
      </c>
      <c r="K242" s="168" t="s">
        <v>309</v>
      </c>
      <c r="L242" s="169" t="s">
        <v>310</v>
      </c>
      <c r="M242" s="169" t="s">
        <v>311</v>
      </c>
      <c r="N242" s="169" t="s">
        <v>312</v>
      </c>
      <c r="O242" s="168" t="s">
        <v>313</v>
      </c>
      <c r="P242" s="14"/>
      <c r="Q242" s="14"/>
    </row>
    <row r="243" spans="3:17" ht="20.100000000000001" customHeight="1" x14ac:dyDescent="0.25">
      <c r="C243" s="14"/>
      <c r="D243" s="14" t="str" cm="1">
        <f t="array" ref="D243">Common_InputFunctions.Utility_DisplayArrayInTable(Scope3_SourceData.Scope3_OtherAgriculturalInputs_Data(), Table_Scope3_OtherInputs[[#Headers],[Type]], 0, 2)</f>
        <v>CO2 for carbonation</v>
      </c>
      <c r="E243" s="172">
        <f>'Input - Other Farm Inputs'!E6</f>
        <v>100</v>
      </c>
      <c r="F243" s="14" t="str" cm="1">
        <f t="array" ref="F243">Common_InputFunctions.Utility_DisplayArrayInTable(Scope3_SourceData.Scope3_OtherAgriculturalInputs_Data(), Table_Scope3_OtherInputs[[#Headers],[Type]], 0, 2)</f>
        <v>t</v>
      </c>
      <c r="G243" s="14" cm="1">
        <f t="array" ref="G243">Common_InputFunctions.Utility_DisplayArrayInTable(Scope3_SourceData.Scope3_OtherAgriculturalInputs_Data(), Table_Scope3_OtherInputs[[#Headers],[Type]], 0, 2)</f>
        <v>120101</v>
      </c>
      <c r="H243" s="173">
        <v>100</v>
      </c>
      <c r="I243" s="14" t="str" cm="1">
        <f t="array" ref="I243">Common_InputFunctions.Utility_DisplayArrayInTable(Scope3_SourceData.Scope3_OtherAgriculturalInputs_Data(), Table_Scope3_OtherInputs[[#Headers],[Type]], 0, 2)</f>
        <v>t CO2-e / t</v>
      </c>
      <c r="J243" s="14">
        <f>Table_Scope3_OtherInputs[[#This Row],[Quantity]]*Table_Scope3_OtherInputs[[#This Row],[AusLCI Emissions intensity]]</f>
        <v>12010100</v>
      </c>
      <c r="K243" s="155">
        <f>Table_Scope3_OtherInputs[[#This Row],[Quantity]]*IF(Table_Scope3_OtherInputs[[#This Row],[Custom emissions intensity]], Table_Scope3_OtherInputs[[#This Row],[Custom emissions intensity]], Table_Scope3_OtherInputs[[#This Row],[AusLCI Emissions intensity]])</f>
        <v>10000</v>
      </c>
      <c r="L243" s="173"/>
      <c r="M243" s="48"/>
      <c r="N243" s="173"/>
      <c r="O243" s="155" cm="1">
        <f t="array" ref="O243">Common_InputFunctions.Utility_LookupValueInTableNumber(Table_Scope3_OtherInputs[[#This Row],[Custom emissions intensity source type (Select)]],#REF!,#REF!)</f>
        <v>0</v>
      </c>
      <c r="P243" s="14"/>
      <c r="Q243" s="14"/>
    </row>
    <row r="244" spans="3:17" ht="20.100000000000001" customHeight="1" x14ac:dyDescent="0.25">
      <c r="C244" s="14"/>
      <c r="D244" s="14" t="str" cm="1">
        <f t="array" ref="D244">Common_InputFunctions.Utility_DisplayArrayInTable(Scope3_SourceData.Scope3_OtherAgriculturalInputs_Data(), Table_Scope3_OtherInputs[[#Headers],[Type]], 0, 2)</f>
        <v>Livestock antibiotics</v>
      </c>
      <c r="E244" s="172">
        <f>'Input - Other Farm Inputs'!E7</f>
        <v>200</v>
      </c>
      <c r="F244" s="14" t="str" cm="1">
        <f t="array" ref="F244">Common_InputFunctions.Utility_DisplayArrayInTable(Scope3_SourceData.Scope3_OtherAgriculturalInputs_Data(), Table_Scope3_OtherInputs[[#Headers],[Type]], 0, 2)</f>
        <v>t</v>
      </c>
      <c r="G244" s="14" cm="1">
        <f t="array" ref="G244">Common_InputFunctions.Utility_DisplayArrayInTable(Scope3_SourceData.Scope3_OtherAgriculturalInputs_Data(), Table_Scope3_OtherInputs[[#Headers],[Type]], 0, 2)</f>
        <v>110102</v>
      </c>
      <c r="H244" s="173"/>
      <c r="I244" s="14" t="str" cm="1">
        <f t="array" ref="I244">Common_InputFunctions.Utility_DisplayArrayInTable(Scope3_SourceData.Scope3_OtherAgriculturalInputs_Data(), Table_Scope3_OtherInputs[[#Headers],[Type]], 0, 2)</f>
        <v>t CO2-e / t</v>
      </c>
      <c r="J244" s="155">
        <f>Table_Scope3_OtherInputs[[#This Row],[Quantity]]*Table_Scope3_OtherInputs[[#This Row],[AusLCI Emissions intensity]]</f>
        <v>22020400</v>
      </c>
      <c r="K244" s="155">
        <f>Table_Scope3_OtherInputs[[#This Row],[Quantity]]*IF(Table_Scope3_OtherInputs[[#This Row],[Custom emissions intensity]], Table_Scope3_OtherInputs[[#This Row],[Custom emissions intensity]], Table_Scope3_OtherInputs[[#This Row],[AusLCI Emissions intensity]])</f>
        <v>22020400</v>
      </c>
      <c r="L244" s="173"/>
      <c r="M244" s="48"/>
      <c r="N244" s="173"/>
      <c r="O244" s="155" cm="1">
        <f t="array" ref="O244">Common_InputFunctions.Utility_LookupValueInTableNumber(Table_Scope3_OtherInputs[[#This Row],[Custom emissions intensity source type (Select)]],#REF!,#REF!)</f>
        <v>0</v>
      </c>
      <c r="P244" s="14"/>
      <c r="Q244" s="14"/>
    </row>
    <row r="245" spans="3:17" ht="20.100000000000001" customHeight="1" x14ac:dyDescent="0.25">
      <c r="C245" s="14"/>
      <c r="D245" s="14" t="str" cm="1">
        <f t="array" ref="D245">Common_InputFunctions.Utility_DisplayArrayInTable(Scope3_SourceData.Scope3_OtherAgriculturalInputs_Data(), Table_Scope3_OtherInputs[[#Headers],[Type]], 0, 2)</f>
        <v>Nylon netting for horticulture</v>
      </c>
      <c r="E245" s="172">
        <f>'Input - Other Farm Inputs'!E8</f>
        <v>300</v>
      </c>
      <c r="F245" s="14" t="str" cm="1">
        <f t="array" ref="F245">Common_InputFunctions.Utility_DisplayArrayInTable(Scope3_SourceData.Scope3_OtherAgriculturalInputs_Data(), Table_Scope3_OtherInputs[[#Headers],[Type]], 0, 2)</f>
        <v>t</v>
      </c>
      <c r="G245" s="14" cm="1">
        <f t="array" ref="G245">Common_InputFunctions.Utility_DisplayArrayInTable(Scope3_SourceData.Scope3_OtherAgriculturalInputs_Data(), Table_Scope3_OtherInputs[[#Headers],[Type]], 0, 2)</f>
        <v>110103</v>
      </c>
      <c r="H245" s="173"/>
      <c r="I245" s="14" t="str" cm="1">
        <f t="array" ref="I245">Common_InputFunctions.Utility_DisplayArrayInTable(Scope3_SourceData.Scope3_OtherAgriculturalInputs_Data(), Table_Scope3_OtherInputs[[#Headers],[Type]], 0, 2)</f>
        <v>t CO2-e / t</v>
      </c>
      <c r="J245" s="155">
        <f>Table_Scope3_OtherInputs[[#This Row],[Quantity]]*Table_Scope3_OtherInputs[[#This Row],[AusLCI Emissions intensity]]</f>
        <v>33030900</v>
      </c>
      <c r="K245" s="155">
        <f>Table_Scope3_OtherInputs[[#This Row],[Quantity]]*IF(Table_Scope3_OtherInputs[[#This Row],[Custom emissions intensity]], Table_Scope3_OtherInputs[[#This Row],[Custom emissions intensity]], Table_Scope3_OtherInputs[[#This Row],[AusLCI Emissions intensity]])</f>
        <v>33030900</v>
      </c>
      <c r="L245" s="173"/>
      <c r="M245" s="48"/>
      <c r="N245" s="173"/>
      <c r="O245" s="155" cm="1">
        <f t="array" ref="O245">Common_InputFunctions.Utility_LookupValueInTableNumber(Table_Scope3_OtherInputs[[#This Row],[Custom emissions intensity source type (Select)]],#REF!,#REF!)</f>
        <v>0</v>
      </c>
      <c r="P245" s="14"/>
      <c r="Q245" s="14"/>
    </row>
    <row r="246" spans="3:17" ht="20.100000000000001" customHeight="1" x14ac:dyDescent="0.25">
      <c r="C246" s="14"/>
      <c r="D246" s="14" t="str" cm="1">
        <f t="array" ref="D246">Common_InputFunctions.Utility_DisplayArrayInTable(Scope3_SourceData.Scope3_OtherAgriculturalInputs_Data(), Table_Scope3_OtherInputs[[#Headers],[Type]], 0, 2)</f>
        <v>Pallets - Wood</v>
      </c>
      <c r="E246" s="172">
        <f>'Input - Other Farm Inputs'!E9</f>
        <v>400</v>
      </c>
      <c r="F246" s="14" t="str" cm="1">
        <f t="array" ref="F246">Common_InputFunctions.Utility_DisplayArrayInTable(Scope3_SourceData.Scope3_OtherAgriculturalInputs_Data(), Table_Scope3_OtherInputs[[#Headers],[Type]], 0, 2)</f>
        <v>t</v>
      </c>
      <c r="G246" s="14" cm="1">
        <f t="array" ref="G246">Common_InputFunctions.Utility_DisplayArrayInTable(Scope3_SourceData.Scope3_OtherAgriculturalInputs_Data(), Table_Scope3_OtherInputs[[#Headers],[Type]], 0, 2)</f>
        <v>110104</v>
      </c>
      <c r="H246" s="173"/>
      <c r="I246" s="14" t="str" cm="1">
        <f t="array" ref="I246">Common_InputFunctions.Utility_DisplayArrayInTable(Scope3_SourceData.Scope3_OtherAgriculturalInputs_Data(), Table_Scope3_OtherInputs[[#Headers],[Type]], 0, 2)</f>
        <v>t CO2-e / t</v>
      </c>
      <c r="J246" s="155">
        <f>Table_Scope3_OtherInputs[[#This Row],[Quantity]]*Table_Scope3_OtherInputs[[#This Row],[AusLCI Emissions intensity]]</f>
        <v>44041600</v>
      </c>
      <c r="K246" s="155">
        <f>Table_Scope3_OtherInputs[[#This Row],[Quantity]]*IF(Table_Scope3_OtherInputs[[#This Row],[Custom emissions intensity]], Table_Scope3_OtherInputs[[#This Row],[Custom emissions intensity]], Table_Scope3_OtherInputs[[#This Row],[AusLCI Emissions intensity]])</f>
        <v>44041600</v>
      </c>
      <c r="L246" s="173"/>
      <c r="M246" s="48"/>
      <c r="N246" s="173"/>
      <c r="O246" s="155" cm="1">
        <f t="array" ref="O246">Common_InputFunctions.Utility_LookupValueInTableNumber(Table_Scope3_OtherInputs[[#This Row],[Custom emissions intensity source type (Select)]],#REF!,#REF!)</f>
        <v>0</v>
      </c>
      <c r="P246" s="14"/>
      <c r="Q246" s="14"/>
    </row>
    <row r="247" spans="3:17" ht="20.100000000000001" customHeight="1" x14ac:dyDescent="0.25">
      <c r="C247" s="14"/>
      <c r="D247" s="14" t="str" cm="1">
        <f t="array" ref="D247">Common_InputFunctions.Utility_DisplayArrayInTable(Scope3_SourceData.Scope3_OtherAgriculturalInputs_Data(), Table_Scope3_OtherInputs[[#Headers],[Type]], 0, 2)</f>
        <v>Pallets - Plastic</v>
      </c>
      <c r="E247" s="172">
        <f>'Input - Other Farm Inputs'!E10</f>
        <v>500</v>
      </c>
      <c r="F247" s="14" t="str" cm="1">
        <f t="array" ref="F247">Common_InputFunctions.Utility_DisplayArrayInTable(Scope3_SourceData.Scope3_OtherAgriculturalInputs_Data(), Table_Scope3_OtherInputs[[#Headers],[Type]], 0, 2)</f>
        <v>t</v>
      </c>
      <c r="G247" s="14" cm="1">
        <f t="array" ref="G247">Common_InputFunctions.Utility_DisplayArrayInTable(Scope3_SourceData.Scope3_OtherAgriculturalInputs_Data(), Table_Scope3_OtherInputs[[#Headers],[Type]], 0, 2)</f>
        <v>110105</v>
      </c>
      <c r="H247" s="173"/>
      <c r="I247" s="14" t="str" cm="1">
        <f t="array" ref="I247">Common_InputFunctions.Utility_DisplayArrayInTable(Scope3_SourceData.Scope3_OtherAgriculturalInputs_Data(), Table_Scope3_OtherInputs[[#Headers],[Type]], 0, 2)</f>
        <v>t CO2-e / t</v>
      </c>
      <c r="J247" s="155">
        <f>Table_Scope3_OtherInputs[[#This Row],[Quantity]]*Table_Scope3_OtherInputs[[#This Row],[AusLCI Emissions intensity]]</f>
        <v>55052500</v>
      </c>
      <c r="K247" s="155">
        <f>Table_Scope3_OtherInputs[[#This Row],[Quantity]]*IF(Table_Scope3_OtherInputs[[#This Row],[Custom emissions intensity]], Table_Scope3_OtherInputs[[#This Row],[Custom emissions intensity]], Table_Scope3_OtherInputs[[#This Row],[AusLCI Emissions intensity]])</f>
        <v>55052500</v>
      </c>
      <c r="L247" s="173"/>
      <c r="M247" s="48"/>
      <c r="N247" s="173"/>
      <c r="O247" s="155" cm="1">
        <f t="array" ref="O247">Common_InputFunctions.Utility_LookupValueInTableNumber(Table_Scope3_OtherInputs[[#This Row],[Custom emissions intensity source type (Select)]],#REF!,#REF!)</f>
        <v>0</v>
      </c>
      <c r="P247" s="14"/>
      <c r="Q247" s="14"/>
    </row>
    <row r="248" spans="3:17" ht="20.100000000000001" customHeight="1" x14ac:dyDescent="0.25">
      <c r="C248" s="14"/>
      <c r="D248" s="14" t="str" cm="1">
        <f t="array" ref="D248">Common_InputFunctions.Utility_DisplayArrayInTable(Scope3_SourceData.Scope3_OtherAgriculturalInputs_Data(), Table_Scope3_OtherInputs[[#Headers],[Type]], 0, 2)</f>
        <v>Livestock tags</v>
      </c>
      <c r="E248" s="172">
        <f>'Input - Other Farm Inputs'!E11</f>
        <v>600</v>
      </c>
      <c r="F248" s="14" t="str" cm="1">
        <f t="array" ref="F248">Common_InputFunctions.Utility_DisplayArrayInTable(Scope3_SourceData.Scope3_OtherAgriculturalInputs_Data(), Table_Scope3_OtherInputs[[#Headers],[Type]], 0, 2)</f>
        <v>t</v>
      </c>
      <c r="G248" s="14" cm="1">
        <f t="array" ref="G248">Common_InputFunctions.Utility_DisplayArrayInTable(Scope3_SourceData.Scope3_OtherAgriculturalInputs_Data(), Table_Scope3_OtherInputs[[#Headers],[Type]], 0, 2)</f>
        <v>110106</v>
      </c>
      <c r="H248" s="173"/>
      <c r="I248" s="14" t="str" cm="1">
        <f t="array" ref="I248">Common_InputFunctions.Utility_DisplayArrayInTable(Scope3_SourceData.Scope3_OtherAgriculturalInputs_Data(), Table_Scope3_OtherInputs[[#Headers],[Type]], 0, 2)</f>
        <v>t CO2-e / t</v>
      </c>
      <c r="J248" s="155">
        <f>Table_Scope3_OtherInputs[[#This Row],[Quantity]]*Table_Scope3_OtherInputs[[#This Row],[AusLCI Emissions intensity]]</f>
        <v>66063600</v>
      </c>
      <c r="K248" s="155">
        <f>Table_Scope3_OtherInputs[[#This Row],[Quantity]]*IF(Table_Scope3_OtherInputs[[#This Row],[Custom emissions intensity]], Table_Scope3_OtherInputs[[#This Row],[Custom emissions intensity]], Table_Scope3_OtherInputs[[#This Row],[AusLCI Emissions intensity]])</f>
        <v>66063600</v>
      </c>
      <c r="L248" s="173"/>
      <c r="M248" s="48"/>
      <c r="N248" s="173"/>
      <c r="O248" s="155" cm="1">
        <f t="array" ref="O248">Common_InputFunctions.Utility_LookupValueInTableNumber(Table_Scope3_OtherInputs[[#This Row],[Custom emissions intensity source type (Select)]],#REF!,#REF!)</f>
        <v>0</v>
      </c>
      <c r="P248" s="14"/>
      <c r="Q248" s="14"/>
    </row>
    <row r="249" spans="3:17" ht="20.100000000000001" customHeight="1" x14ac:dyDescent="0.25">
      <c r="C249" s="14"/>
      <c r="D249" s="14"/>
      <c r="E249" s="14"/>
      <c r="F249" s="14"/>
      <c r="G249" s="14"/>
      <c r="H249" s="14"/>
      <c r="I249" s="14"/>
      <c r="J249" s="14"/>
      <c r="K249" s="14"/>
      <c r="L249" s="14"/>
      <c r="M249" s="14"/>
      <c r="N249" s="14"/>
      <c r="O249" s="14"/>
      <c r="P249" s="14"/>
      <c r="Q249" s="14"/>
    </row>
    <row r="250" spans="3:17" ht="21" x14ac:dyDescent="0.35">
      <c r="C250" s="14"/>
      <c r="D250" s="161" t="s">
        <v>352</v>
      </c>
      <c r="E250" s="162"/>
      <c r="F250" s="163"/>
      <c r="G250" s="161">
        <f>SUM(Table_Scope3_SeedsAndSeedlings[Scope 3 emissions exc. custom (t CO2-e)])</f>
        <v>150152300</v>
      </c>
      <c r="H250" s="164" t="s">
        <v>320</v>
      </c>
      <c r="I250" s="14"/>
      <c r="J250" s="14"/>
      <c r="K250" s="14"/>
      <c r="L250" s="14"/>
      <c r="M250" s="14"/>
      <c r="N250" s="14"/>
      <c r="O250" s="14"/>
      <c r="P250" s="14"/>
      <c r="Q250" s="14"/>
    </row>
    <row r="251" spans="3:17" x14ac:dyDescent="0.25">
      <c r="C251" s="14"/>
      <c r="D251" s="14"/>
      <c r="E251" s="14"/>
      <c r="F251" s="14"/>
      <c r="G251" s="14"/>
      <c r="H251" s="14"/>
      <c r="I251" s="14"/>
      <c r="J251" s="14"/>
      <c r="K251" s="14"/>
      <c r="L251" s="14"/>
      <c r="M251" s="14"/>
      <c r="N251" s="14"/>
      <c r="O251" s="14"/>
      <c r="P251" s="14"/>
      <c r="Q251" s="14"/>
    </row>
    <row r="252" spans="3:17" x14ac:dyDescent="0.25">
      <c r="C252" s="14"/>
      <c r="D252" s="14"/>
      <c r="E252" s="14"/>
      <c r="F252" s="14"/>
      <c r="G252" s="14"/>
      <c r="H252" s="14"/>
      <c r="I252" s="14"/>
      <c r="J252" s="14"/>
      <c r="K252" s="14"/>
      <c r="L252" s="14"/>
      <c r="M252" s="14"/>
      <c r="N252" s="14"/>
      <c r="O252" s="14"/>
      <c r="P252" s="14"/>
      <c r="Q252" s="14"/>
    </row>
  </sheetData>
  <dataValidations disablePrompts="1" count="1">
    <dataValidation type="list" allowBlank="1" showInputMessage="1" showErrorMessage="1" sqref="M112:M116 M126:M130 M140:M142 M152:M167 M177:M184 M243:M248 O209:O211 M194:M199 R9:R33 N43:N52 M232:M233 O62:O102" xr:uid="{EED79F87-0F18-411D-94E0-BF3FA07AB1A0}">
      <formula1>INDIRECT("Table_SourceData_DataScores_Scope3[Data source]")</formula1>
    </dataValidation>
  </dataValidation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K74"/>
  <sheetViews>
    <sheetView showGridLines="0" topLeftCell="A29" workbookViewId="0">
      <selection activeCell="E62" sqref="E62"/>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200" t="s">
        <v>436</v>
      </c>
      <c r="E6" s="200" t="s">
        <v>437</v>
      </c>
      <c r="F6" s="200" t="s">
        <v>438</v>
      </c>
    </row>
    <row r="7" spans="3:11" ht="20.100000000000001" customHeight="1" x14ac:dyDescent="0.25">
      <c r="D7" s="200" t="str" cm="1">
        <f t="array" ref="D7">Common_InputFunctions.Utility_DisplayArrayInTable(CommonLivestock_SourceData.SourceData_Livestock_Common_SymbolsMMS_Data(), Table_Data_MMSSymbols[[#Headers],[Symbol]], 0)</f>
        <v>1</v>
      </c>
      <c r="E7" s="200" t="str" cm="1">
        <f t="array" ref="E7">Common_InputFunctions.Utility_DisplayArrayInTable(CommonLivestock_SourceData.SourceData_Livestock_Common_SymbolsMMS_Data(), Table_Data_MMSSymbols[[#Headers],[Symbol]], 0)</f>
        <v>Anaerobic lagoon</v>
      </c>
      <c r="F7" s="20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200" t="str" cm="1">
        <f t="array" ref="D8">Common_InputFunctions.Utility_DisplayArrayInTable(CommonLivestock_SourceData.SourceData_Livestock_Common_SymbolsMMS_Data(), Table_Data_MMSSymbols[[#Headers],[Symbol]], 0)</f>
        <v>2</v>
      </c>
      <c r="E8" s="200" t="str" cm="1">
        <f t="array" ref="E8">Common_InputFunctions.Utility_DisplayArrayInTable(CommonLivestock_SourceData.SourceData_Livestock_Common_SymbolsMMS_Data(), Table_Data_MMSSymbols[[#Headers],[Symbol]], 0)</f>
        <v>Liquid systems</v>
      </c>
      <c r="F8" s="20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200" t="str" cm="1">
        <f t="array" ref="D9">Common_InputFunctions.Utility_DisplayArrayInTable(CommonLivestock_SourceData.SourceData_Livestock_Common_SymbolsMMS_Data(), Table_Data_MMSSymbols[[#Headers],[Symbol]], 0)</f>
        <v>3</v>
      </c>
      <c r="E9" s="200" t="str" cm="1">
        <f t="array" ref="E9">Common_InputFunctions.Utility_DisplayArrayInTable(CommonLivestock_SourceData.SourceData_Livestock_Common_SymbolsMMS_Data(), Table_Data_MMSSymbols[[#Headers],[Symbol]], 0)</f>
        <v>Daily spread</v>
      </c>
      <c r="F9" s="20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200" t="str" cm="1">
        <f t="array" ref="D10">Common_InputFunctions.Utility_DisplayArrayInTable(CommonLivestock_SourceData.SourceData_Livestock_Common_SymbolsMMS_Data(), Table_Data_MMSSymbols[[#Headers],[Symbol]], 0)</f>
        <v>3a</v>
      </c>
      <c r="E10" s="200" t="str" cm="1">
        <f t="array" ref="E10">Common_InputFunctions.Utility_DisplayArrayInTable(CommonLivestock_SourceData.SourceData_Livestock_Common_SymbolsMMS_Data(), Table_Data_MMSSymbols[[#Headers],[Symbol]], 0)</f>
        <v>Sump and dispersal system</v>
      </c>
      <c r="F10" s="20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200" t="str" cm="1">
        <f t="array" ref="D11">Common_InputFunctions.Utility_DisplayArrayInTable(CommonLivestock_SourceData.SourceData_Livestock_Common_SymbolsMMS_Data(), Table_Data_MMSSymbols[[#Headers],[Symbol]], 0)</f>
        <v>3b</v>
      </c>
      <c r="E11" s="200" t="str" cm="1">
        <f t="array" ref="E11">Common_InputFunctions.Utility_DisplayArrayInTable(CommonLivestock_SourceData.SourceData_Livestock_Common_SymbolsMMS_Data(), Table_Data_MMSSymbols[[#Headers],[Symbol]], 0)</f>
        <v>Drains to paddock</v>
      </c>
      <c r="F11" s="20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200" t="str" cm="1">
        <f t="array" ref="D12">Common_InputFunctions.Utility_DisplayArrayInTable(CommonLivestock_SourceData.SourceData_Livestock_Common_SymbolsMMS_Data(), Table_Data_MMSSymbols[[#Headers],[Symbol]], 0)</f>
        <v>4</v>
      </c>
      <c r="E12" s="200" t="str" cm="1">
        <f t="array" ref="E12">Common_InputFunctions.Utility_DisplayArrayInTable(CommonLivestock_SourceData.SourceData_Livestock_Common_SymbolsMMS_Data(), Table_Data_MMSSymbols[[#Headers],[Symbol]], 0)</f>
        <v>Solid storage</v>
      </c>
      <c r="F12" s="20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200" t="str" cm="1">
        <f t="array" ref="D13">Common_InputFunctions.Utility_DisplayArrayInTable(CommonLivestock_SourceData.SourceData_Livestock_Common_SymbolsMMS_Data(), Table_Data_MMSSymbols[[#Headers],[Symbol]], 0)</f>
        <v>5</v>
      </c>
      <c r="E13" s="200" t="str" cm="1">
        <f t="array" ref="E13">Common_InputFunctions.Utility_DisplayArrayInTable(CommonLivestock_SourceData.SourceData_Livestock_Common_SymbolsMMS_Data(), Table_Data_MMSSymbols[[#Headers],[Symbol]], 0)</f>
        <v>Drylot (feed pad)</v>
      </c>
      <c r="F13" s="20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200" t="str" cm="1">
        <f t="array" ref="D14">Common_InputFunctions.Utility_DisplayArrayInTable(CommonLivestock_SourceData.SourceData_Livestock_Common_SymbolsMMS_Data(), Table_Data_MMSSymbols[[#Headers],[Symbol]], 0)</f>
        <v>6</v>
      </c>
      <c r="E14" s="200" t="str" cm="1">
        <f t="array" ref="E14">Common_InputFunctions.Utility_DisplayArrayInTable(CommonLivestock_SourceData.SourceData_Livestock_Common_SymbolsMMS_Data(), Table_Data_MMSSymbols[[#Headers],[Symbol]], 0)</f>
        <v>Composting (passive windrow)</v>
      </c>
      <c r="F14" s="20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200" t="str" cm="1">
        <f t="array" ref="D15">Common_InputFunctions.Utility_DisplayArrayInTable(CommonLivestock_SourceData.SourceData_Livestock_Common_SymbolsMMS_Data(), Table_Data_MMSSymbols[[#Headers],[Symbol]], 0)</f>
        <v>7</v>
      </c>
      <c r="E15" s="200" t="str" cm="1">
        <f t="array" ref="E15">Common_InputFunctions.Utility_DisplayArrayInTable(CommonLivestock_SourceData.SourceData_Livestock_Common_SymbolsMMS_Data(), Table_Data_MMSSymbols[[#Headers],[Symbol]], 0)</f>
        <v>Digester / covered lagoons</v>
      </c>
      <c r="F15" s="20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200" t="str" cm="1">
        <f t="array" ref="D16">Common_InputFunctions.Utility_DisplayArrayInTable(CommonLivestock_SourceData.SourceData_Livestock_Common_SymbolsMMS_Data(), Table_Data_MMSSymbols[[#Headers],[Symbol]], 0)</f>
        <v>8</v>
      </c>
      <c r="E16" s="200" t="str" cm="1">
        <f t="array" ref="E16">Common_InputFunctions.Utility_DisplayArrayInTable(CommonLivestock_SourceData.SourceData_Livestock_Common_SymbolsMMS_Data(), Table_Data_MMSSymbols[[#Headers],[Symbol]], 0)</f>
        <v>Deep litter</v>
      </c>
      <c r="F16" s="20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200" t="str" cm="1">
        <f t="array" ref="D17">Common_InputFunctions.Utility_DisplayArrayInTable(CommonLivestock_SourceData.SourceData_Livestock_Common_SymbolsMMS_Data(), Table_Data_MMSSymbols[[#Headers],[Symbol]], 0)</f>
        <v>9</v>
      </c>
      <c r="E17" s="200" t="str" cm="1">
        <f t="array" ref="E17">Common_InputFunctions.Utility_DisplayArrayInTable(CommonLivestock_SourceData.SourceData_Livestock_Common_SymbolsMMS_Data(), Table_Data_MMSSymbols[[#Headers],[Symbol]], 0)</f>
        <v>Pit storage</v>
      </c>
      <c r="F17" s="20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200" t="str" cm="1">
        <f t="array" ref="D18">Common_InputFunctions.Utility_DisplayArrayInTable(CommonLivestock_SourceData.SourceData_Livestock_Common_SymbolsMMS_Data(), Table_Data_MMSSymbols[[#Headers],[Symbol]], 0)</f>
        <v>10</v>
      </c>
      <c r="E18" s="200" t="str" cm="1">
        <f t="array" ref="E18">Common_InputFunctions.Utility_DisplayArrayInTable(CommonLivestock_SourceData.SourceData_Livestock_Common_SymbolsMMS_Data(), Table_Data_MMSSymbols[[#Headers],[Symbol]], 0)</f>
        <v>Poultry manure with bedding</v>
      </c>
      <c r="F18" s="20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200" t="str" cm="1">
        <f t="array" ref="D19">Common_InputFunctions.Utility_DisplayArrayInTable(CommonLivestock_SourceData.SourceData_Livestock_Common_SymbolsMMS_Data(), Table_Data_MMSSymbols[[#Headers],[Symbol]], 0)</f>
        <v>11</v>
      </c>
      <c r="E19" s="200" t="str" cm="1">
        <f t="array" ref="E19">Common_InputFunctions.Utility_DisplayArrayInTable(CommonLivestock_SourceData.SourceData_Livestock_Common_SymbolsMMS_Data(), Table_Data_MMSSymbols[[#Headers],[Symbol]], 0)</f>
        <v>Poultry manure without bedding</v>
      </c>
      <c r="F19" s="20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200" t="str" cm="1">
        <f t="array" ref="D20">Common_InputFunctions.Utility_DisplayArrayInTable(CommonLivestock_SourceData.SourceData_Livestock_Common_SymbolsMMS_Data(), Table_Data_MMSSymbols[[#Headers],[Symbol]], 0)</f>
        <v>11a</v>
      </c>
      <c r="E20" s="200" t="str" cm="1">
        <f t="array" ref="E20">Common_InputFunctions.Utility_DisplayArrayInTable(CommonLivestock_SourceData.SourceData_Livestock_Common_SymbolsMMS_Data(), Table_Data_MMSSymbols[[#Headers],[Symbol]], 0)</f>
        <v>Belt manure removal</v>
      </c>
      <c r="F20" s="20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200" t="str" cm="1">
        <f t="array" ref="D21">Common_InputFunctions.Utility_DisplayArrayInTable(CommonLivestock_SourceData.SourceData_Livestock_Common_SymbolsMMS_Data(), Table_Data_MMSSymbols[[#Headers],[Symbol]], 0)</f>
        <v>11b</v>
      </c>
      <c r="E21" s="200" t="str" cm="1">
        <f t="array" ref="E21">Common_InputFunctions.Utility_DisplayArrayInTable(CommonLivestock_SourceData.SourceData_Livestock_Common_SymbolsMMS_Data(), Table_Data_MMSSymbols[[#Headers],[Symbol]], 0)</f>
        <v>Manure stored in house</v>
      </c>
      <c r="F21" s="20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200" t="str" cm="1">
        <f t="array" ref="D22">Common_InputFunctions.Utility_DisplayArrayInTable(CommonLivestock_SourceData.SourceData_Livestock_Common_SymbolsMMS_Data(), Table_Data_MMSSymbols[[#Headers],[Symbol]], 0)</f>
        <v>12</v>
      </c>
      <c r="E22" s="200" t="str" cm="1">
        <f t="array" ref="E22">Common_InputFunctions.Utility_DisplayArrayInTable(CommonLivestock_SourceData.SourceData_Livestock_Common_SymbolsMMS_Data(), Table_Data_MMSSymbols[[#Headers],[Symbol]], 0)</f>
        <v>Direct processing</v>
      </c>
      <c r="F22" s="20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200" t="str" cm="1">
        <f t="array" ref="D23">Common_InputFunctions.Utility_DisplayArrayInTable(CommonLivestock_SourceData.SourceData_Livestock_Common_SymbolsMMS_Data(), Table_Data_MMSSymbols[[#Headers],[Symbol]], 0)</f>
        <v>13</v>
      </c>
      <c r="E23" s="200" t="str" cm="1">
        <f t="array" ref="E23">Common_InputFunctions.Utility_DisplayArrayInTable(CommonLivestock_SourceData.SourceData_Livestock_Common_SymbolsMMS_Data(), Table_Data_MMSSymbols[[#Headers],[Symbol]], 0)</f>
        <v>Direct application</v>
      </c>
      <c r="F23" s="20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200" t="str" cm="1">
        <f t="array" ref="D24">Common_InputFunctions.Utility_DisplayArrayInTable(CommonLivestock_SourceData.SourceData_Livestock_Common_SymbolsMMS_Data(), Table_Data_MMSSymbols[[#Headers],[Symbol]], 0)</f>
        <v>14</v>
      </c>
      <c r="E24" s="200" t="str" cm="1">
        <f t="array" ref="E24">Common_InputFunctions.Utility_DisplayArrayInTable(CommonLivestock_SourceData.SourceData_Livestock_Common_SymbolsMMS_Data(), Table_Data_MMSSymbols[[#Headers],[Symbol]], 0)</f>
        <v>Pasture range and paddock</v>
      </c>
      <c r="F24" s="20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200" t="s">
        <v>222</v>
      </c>
      <c r="E28" s="200" t="s">
        <v>439</v>
      </c>
      <c r="F28" s="8" t="s">
        <v>440</v>
      </c>
    </row>
    <row r="29" spans="4:6" ht="20.100000000000001" customHeight="1" x14ac:dyDescent="0.25">
      <c r="D29" s="200" t="str" cm="1">
        <f t="array" ref="D29">Common_InputFunctions.Utility_DisplayArrayInTable(CommonLivestock_SourceData.SourceData_Livestock_Product_BeefCattle_Data(),Table_SourceData_LivestockProduct_Beefcattle[[#Headers],[Product]],0)</f>
        <v>Cattle, for manufacturing beef</v>
      </c>
      <c r="E29" s="20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200" t="s">
        <v>222</v>
      </c>
      <c r="E40" s="200" t="s">
        <v>439</v>
      </c>
      <c r="F40" s="8" t="s">
        <v>441</v>
      </c>
    </row>
    <row r="41" spans="4:6" ht="20.100000000000001" customHeight="1" x14ac:dyDescent="0.25">
      <c r="D41" s="200" t="str" cm="1">
        <f t="array" ref="D41">Common_InputFunctions.Utility_DisplayArrayInTable(CommonLivestock_SourceData.SourceData_Livestock_Product_Sheep_Data(),Table_SourceData_LivestockProduct_Sheep[[#Headers],[Product]],0)</f>
        <v>Sheep, for mutton</v>
      </c>
      <c r="E41" s="20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200" t="str" cm="1">
        <f t="array" ref="D42">Common_InputFunctions.Utility_DisplayArrayInTable(CommonLivestock_SourceData.SourceData_Livestock_Product_Sheep_Data(),Table_SourceData_LivestockProduct_Sheep[[#Headers],[Product]],0)</f>
        <v>Sheep, for prime lamb</v>
      </c>
      <c r="E42" s="20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200" t="str" cm="1">
        <f t="array" ref="D43">Common_InputFunctions.Utility_DisplayArrayInTable(CommonLivestock_SourceData.SourceData_Livestock_Product_Sheep_Data(),Table_SourceData_LivestockProduct_Sheep[[#Headers],[Product]],0)</f>
        <v/>
      </c>
      <c r="E43" s="20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200" t="str" cm="1">
        <f t="array" ref="D44">Common_InputFunctions.Utility_DisplayArrayInTable(CommonLivestock_SourceData.SourceData_Livestock_Product_Sheep_Data(),Table_SourceData_LivestockProduct_Sheep[[#Headers],[Product]],0)</f>
        <v/>
      </c>
      <c r="E44" s="20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200" t="str" cm="1">
        <f t="array" ref="D45">Common_InputFunctions.Utility_DisplayArrayInTable(CommonLivestock_SourceData.SourceData_Livestock_Product_Sheep_Data(),Table_SourceData_LivestockProduct_Sheep[[#Headers],[Product]],0)</f>
        <v/>
      </c>
      <c r="E45" s="20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200" t="str" cm="1">
        <f t="array" ref="D46">Common_InputFunctions.Utility_DisplayArrayInTable(CommonLivestock_SourceData.SourceData_Livestock_Product_Sheep_Data(),Table_SourceData_LivestockProduct_Sheep[[#Headers],[Product]],0)</f>
        <v/>
      </c>
      <c r="E46" s="20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200" t="str" cm="1">
        <f t="array" ref="D47">Common_InputFunctions.Utility_DisplayArrayInTable(CommonLivestock_SourceData.SourceData_Livestock_Product_Sheep_Data(),Table_SourceData_LivestockProduct_Sheep[[#Headers],[Product]],0)</f>
        <v/>
      </c>
      <c r="E47" s="20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200" t="s">
        <v>222</v>
      </c>
      <c r="E51" s="200" t="s">
        <v>439</v>
      </c>
      <c r="F51" s="204" t="s">
        <v>445</v>
      </c>
    </row>
    <row r="52" spans="4:6" ht="20.100000000000001" customHeight="1" x14ac:dyDescent="0.25">
      <c r="D52" s="200" t="str" cm="1">
        <f t="array" ref="D52">Common_InputFunctions.Utility_DisplayArrayInTable(CommonLivestock_SourceData.SourceData_Livestock_Product_Chickens_Data(),Table_SourceData_LivestockProduct_Chickens[[#Headers],[Product]],0)</f>
        <v>Chickens</v>
      </c>
      <c r="E52" s="20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200" t="s">
        <v>222</v>
      </c>
      <c r="E56" s="200" t="s">
        <v>439</v>
      </c>
      <c r="F56" s="8" t="s">
        <v>446</v>
      </c>
    </row>
    <row r="57" spans="4:6" ht="20.100000000000001" customHeight="1" x14ac:dyDescent="0.25">
      <c r="D57" s="200" t="str" cm="1">
        <f t="array" ref="D57">Common_InputFunctions.Utility_DisplayArrayInTable(CommonLivestock_SourceData.SourceData_Livestock_Product_Dairycattle_Data(),Table_SourceData_LivestockProduct_Dairycattle[[#Headers],[Product]],0)</f>
        <v>Dairy cows</v>
      </c>
      <c r="E57" s="20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200" t="s">
        <v>222</v>
      </c>
      <c r="E61" s="200" t="s">
        <v>439</v>
      </c>
      <c r="F61" s="8" t="s">
        <v>447</v>
      </c>
    </row>
    <row r="62" spans="4:6" ht="20.100000000000001" customHeight="1" x14ac:dyDescent="0.25">
      <c r="D62" s="200" t="str" cm="1">
        <f t="array" ref="D62">Common_InputFunctions.Utility_DisplayArrayInTable(CommonLivestock_SourceData.SourceData_Livestock_Product_Pigs_Data(),Table_SourceData_LivestockProduct_Pigs[[#Headers],[Product]],0)</f>
        <v>Pigs</v>
      </c>
      <c r="E62" s="20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phoneticPr fontId="63" type="noConversion"/>
  <pageMargins left="0.7" right="0.7" top="0.75" bottom="0.75" header="0.3" footer="0.3"/>
  <tableParts count="6">
    <tablePart r:id="rId1"/>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workbookViewId="0">
      <selection activeCell="E25" sqref="E25"/>
    </sheetView>
  </sheetViews>
  <sheetFormatPr defaultRowHeight="15.75" x14ac:dyDescent="0.25"/>
  <cols>
    <col min="4" max="4" width="39" customWidth="1"/>
    <col min="5" max="5" width="33.75" customWidth="1"/>
    <col min="6" max="6" width="37.375" customWidth="1"/>
  </cols>
  <sheetData>
    <row r="2" spans="4:8" x14ac:dyDescent="0.25">
      <c r="D2" t="s">
        <v>296</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297</v>
      </c>
    </row>
    <row r="24" spans="4:8" ht="17.25" x14ac:dyDescent="0.25">
      <c r="D24" s="60" t="s">
        <v>138</v>
      </c>
      <c r="E24" s="47" t="s">
        <v>239</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2377.1739141000007</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364.50000000000006</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1215.0000000000002</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3" spans="4:5" x14ac:dyDescent="0.25">
      <c r="D43" t="str">
        <v>Calcium nitrate</v>
      </c>
    </row>
    <row r="44" spans="4:5" x14ac:dyDescent="0.25">
      <c r="D44" t="s">
        <v>298</v>
      </c>
    </row>
    <row r="45" spans="4:5" x14ac:dyDescent="0.25">
      <c r="D45" t="s">
        <v>299</v>
      </c>
      <c r="E45" s="149">
        <f>'Input - Electricity'!E11</f>
        <v>500</v>
      </c>
    </row>
    <row r="46" spans="4:5" x14ac:dyDescent="0.25">
      <c r="D46" t="s">
        <v>300</v>
      </c>
      <c r="E46" t="str">
        <f>'Input - Electricity'!E13</f>
        <v>Western Australia - South West Interconnected System (SWIS)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topLeftCell="N1"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F18" sqref="F1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240</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241</v>
      </c>
      <c r="E9" s="26" t="s">
        <v>242</v>
      </c>
      <c r="F9" s="26" t="s">
        <v>243</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241</v>
      </c>
      <c r="E24" s="65" t="s">
        <v>244</v>
      </c>
      <c r="F24" s="65" t="s">
        <v>245</v>
      </c>
      <c r="G24" s="65" t="s">
        <v>246</v>
      </c>
      <c r="H24" s="65" t="s">
        <v>247</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BcAG4AIAAgACAAIABYAEwATwBPAEsAVQBQACgAMQAsACAAKABMAG8AbwBrAHUAcABBAHIAcgBhAHkAMQA9AEwAbwBvAGsAdQBwAFYAYQBsAHUAZQAxACkAKgAoAEwAbwBvAGsAdQBwAEEAcgByAGEAeQAyAD0ATABvAG8AawB1AHAAVgBhAGwAdQBlADIAKQAsACAAUgBlAHQAdQByAG4AQQByAHIAYQB5ACwAIABcACIAXAAi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BcAG4AIAAgACAAIABYAEwATwBPAEsAVQBQACgATABvAG8AawB1AHAAVgBhAGwAdQBlADEALAAgAEwAbwBvAGsAdQBwAEEAcgByAGEAeQAxACwAXABuACAAIAAgACAAIAAgACAAIABYAEwATwBPAEsAVQBQACgATABvAG8AawB1AHAAVgBhAGwAdQBlADIALAAgAEwAbwBvAGsAdQBwAEEAcgByAGEAeQAyACwAIABSAGUAdAB1AHIAbgBBAHIAcgBhAHk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DwAPQBhAHYAZwBUAGUAbQBwACkAKgBcAG4AIAAgACAAIAAgACAAIAAgACgAVgBBAEwAVQBFACgAbQBhAHgAVABlAG0AcABBAHIAcgBhAHkAKQA+AD0AYQB2AGcAVABlAG0AcAApACoAXABuACAAIAAgACAAIAAgACAAIAAoAFYAQQBMAFUARQAoAG0AaQBuAFIAYQBpAG4AZgBhAGwAbABBAHIAcgBhAHkAKQA8AD0AYQB2AGcAUgBhAGkAbgApACoAXABuACAAIAAgACAAIAAgACAAIAAoAFYAQQBMAFUARQAoAG0AYQB4AFIAYQBpAG4AZgBhAGwAbABBAHIAcgBhAHkAKQA+AD0AYQB2AGcAUgBhAGkAbgApACoAXABuACAAIAAgACAAIAAgACAAIAAoAFYAQQBMAFUARQAoAG0AaQBuAEYAcgBvAHMAdABBAHIAcgBhAHkAKQA8AD0AZgByAG8AcwB0AEQAYQB5AHMAKQAqAFwAbgAgACAAIAAgACAAIAAgACAAKABWAEEATABVAEUAKABtAGEAeABGAHIAbwBzAHQAQQByAHIAYQB5ACkAPgA9AGYAcgBvAHMAdABEAGEAeQBzACkAKgBcAG4AIAAgACAAIAAgACAAIAAgACgAVgBBAEwAVQBFACgAbQBpAG4ARQBsAGUAdgBhAHQAaQBvAG4AQQByAHIAYQB5ACkAPAA9AGUAbABlAHYAKQAqAFwAbgAgACAAIAAgACAAIAAgACAAKABWAEEATABVAEUAKABtAGEAeABFAGwAZQB2AGEAdABpAG8AbgBBAHIAcgBhAHkAKQA+AD0AZQBsAGUAdgApACoAXABuACAAIAAgACAAIAAgACAAIAAoAFYAQQBMAFUARQAoAG0AaQBuAFAARQBUAEEAcgByAGEAeQApADwAPQBtAGEAcABfAHAAZQB0ACkAKgBcAG4AIAAgACAAIAAgACAAIAAgACgAVgBBAEwAVQBFACgAbQBhAHgAUABFAFQAQQByAHIAYQB5ACkAPg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FwAbgAgACAAIAAgAFAAcgBvAGQAdQBjAHQASQBuAGcAcgBlAGQAaQBlAG4AdABTAG8AdQByAGMAZQAsACAASQBGACgAUAByAG8AZAB1AGMAdABJAG4AZwByAGUAZABpAGUAbgB0AFMAbwB1AHIAYwBlAD0AXAAiAFwAIgAsACAAXAAiAEcAbABvAGIAYQBsAFwAIgAsACAAUAByAG8AZAB1AGMAdABJAG4AZwByAGUAZABpAGUAbgB0AFMAbwB1AHIAYwBlACkAL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wByAGcAYQBuAGkAYwAgAGYAZQByAHQAaQBsAGkAcwBlAHIAcwAgAFwAbgA9AD0APQA9AD0APQA9AD0APQA9AD0APQA9AD0APQA9AD0APQA9AD0APQA9AD0APQA9AD0APQA9AD0APQA9AD0APQA9AD0APQA9AD0APQA9AD0APQA9AD0APQA9AD0APQA9AD0APQA9AD0APQA9AD0APQA9AD0APQA9AD0APQA9AD0APQA9AD0APQA9AD0APQA9AD0APQA9AFwAbgAqAC8AXABuAFwAbgBTAGMAbwBwAGUAMwBfAE8AcgBnAGEAbgBpAGMARgBlAHIAdABpAGwAaQBzAGUAcgBzAF8AVABpAHQAbABlAFwAbgA9AEwAQQBNAEIARABBACgAKABcACIATwByAGcAYQBuAGkAYwAgAGYAZQByAHQAaQBsAGkAcwBlAHIAIABzAGMAbwBwAGUAIAAzAFwAIgApACkAOwBcAG4AXABuAFMAYwBvAHAAZQAzAF8AT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IAZwBhAG4AaQBjAEYAZQByAHQAaQBsAGkAcwBlAHIAcwBfAFYAYQByAGkAYQB0AGkAbwBuAFwAbgA9AEwAQQBNAEIARABBACgAKABcACIAXAAiACkAKQA7AFwAbgBcAG4AUwBjAG8AcABlADMAXwBPAHIAZwBhAG4AaQBjAEYAZQByAHQAaQBsAGkAcwBlAHIAcwBfAEQAYQB0AGEAXABuAD0ATABBAE0AQgBEAEEAKABcAG4AIAAgAE0AQQBLAEUAQQBSAFIAQQBZACgAMQAx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PAHIAZwBhAG4AaQBjACAARgBlAHIAdABpAGwAaQBzAGUAcgBzAFwAIgAsACAAXAAiAEQAYQBpAHIAeQAgAE0AYQBuAHUAcgBlAFwAIgAsACAAXAAiAFAAcgBpAG0AYQByAHkAIABNAE0AUwBcACIALAAgAFwAIgB0AFwAIgAsACAAMAAyADAAMQAwADEALAAgAFwAIgB0AFwAIgAsACAAXAAiAHQAIABDAE8AMgAtAGUAIAAvACAAdABcACIAOwBcAG4AIAAgACAAIAAgACAAIAAgAFwAIgBPAHIAZwBhAG4AaQBjACAARgBlAHIAdABpAGwAaQBzAGUAcgBzAFwAIgAsACAAXAAiAEQAYQBpAHIAeQAgAE0AYQBuAHUAcgBlAFwAIgAsACAAXAAiAFMAZQBjAG8AbgBkAGEAcgB5ACAATQBNAFMAXAAiACwAIABcACIAdABcACIALAAgADAAMgAwADEAMAAyACwAIABcACIAdABcACIALAAgAFwAIgB0ACAAQwBPADIALQBlACAALwAgAHQAXAAiADsAXABuACAAIAAgACAAIAAgACAAIABcACIATwByAGcAYQBuAGkAYwAgAEYAZQByAHQAaQBsAGkAcwBlAHIAcwBcACIALAAgAFwAIgBQAG8AcgBrACAATQBhAG4AdQByAGUAXAAiACwAIABcACIAUAByAGkAbQBhAHIAeQAgAE0ATQBTAFwAIgAsACAAXAAiAHQAXAAiACwAIAAwADIAMAAyADAAMQAsACAAXAAiAHQAXAAiACwAIABcACIAdAAgAEMATwAyAC0AZQAgAC8AIAB0AFwAIgA7AFwAbgAgACAAIAAgACAAIAAgACAAXAAiAE8AcgBnAGEAbgBpAGMAIABGAGUAcgB0AGkAbABpAHMAZQByAHMAXAAiACwAIABcACIAUABvAHIAawAgAE0AYQBuAHUAcgBlAFwAIgAsACAAXAAiAFMAZQBjAG8AbgBkAGEAcgB5ACAATQBNAFMAXAAiACwAIABcACIAdABcACIALAAgADAAMgAwADIAMAAyACwAIABcACIAdABcACIALAAgAFwAIgB0ACAAQwBPADIALQBlACAALwAgAHQAXAAiADsAXABuACAAIAAgACAAIAAgACAAIABcACIATwByAGcAYQBuAGkAYwAgAEYAZQByAHQAaQBsAGkAcwBlAHIAcwBcACIALAAgAFwAIgBGAGUAZQBkAGwAbwB0ACAATQBhAG4AdQByAGUAXAAiACwAIABcACIAUAByAGkAbQBhAHIAeQAgAE0ATQBTAFwAIgAsACAAXAAiAHQAXAAiACwAIAAwADIAMAAzADAAMQAsACAAXAAiAHQAXAAiACwAIABcACIAdAAgAEMATwAyAC0AZQAgAC8AIAB0AFwAIgA7AFwAbgAgACAAIAAgACAAIAAgACAAXAAiAE8AcgBnAGEAbgBpAGMAIABGAGUAcgB0AGkAbABpAHMAZQByAHMAXAAiACwAIABcACIARgBlAGUAZABsAG8AdAAgAE0AYQBuAHUAcgBlAFwAIgAsACAAXAAiAFMAZQBjAG8AbgBkAGEAcgB5ACAATQBNAFMAXAAiACwAIABcACIAdABcACIALAAgADAAMgAwADMAMAAyACwAIABcACIAdABcACIALAAgAFwAIgB0ACAAQwBPADIALQBlACAALwAgAHQAXAAiADsAXABuACAAIAAgACAAIAAgACAAIABcACIATwByAGcAYQBuAGkAYwAgAEYAZQByAHQAaQBsAGkAcwBlAHIAcwBcACIALAAgAFwAIgBGAGUAZQBkAGwAbwB0ACAATQBhAG4AdQByAGUAXAAiACwAIABcACIAVABlAHIAdABpAGEAcgB5ACAATQBNAFMAXAAiACwAIABcACIAdABcACIALAAgADAAMgAwADMAMAAzACwAIABcACIAdABcACIALAAgAFwAIgB0ACAAQwBPADIALQBlACAALwAgAHQAXAAiADsAXABuACAAIAAgACAAIAAgACAAIABcACIATwByAGcAYQBuAGkAYwAgAEYAZQByAHQAaQBsAGkAcwBlAHIAcwBcACIALAAgAFwAIgBQAG8AdQBsAHQAcgB5ACAATQBhAG4AdQByAGUAXAAiACwAIABcACIAUAByAGkAbQBhAHIAeQAgAE0ATQBTAFwAIgAsACAAXAAiAHQAXAAiACwAIAAwADIAMAA0ADAAMQAsACAAXAAiAHQAXAAiACwAIABcACIAdAAgAEMATwAyAC0AZQAgAC8AIAB0AFwAIgA7AFwAbgAgACAAIAAgACAAIAAgACAAXAAiAE8AcgBnAGEAbgBpAGMAIABGAGUAcgB0AGkAbABpAHMAZQByAHMAXAAiACwAIABcACIAUABvAHUAbAB0AHIAeQAgAE0AYQBuAHUAcgBlAFwAIgAsACAAXAAiAFMAZQBjAG8AbgBkAGEAcgB5ACAATQBNAFMAXAAiACwAIABcACIAdABcACIALAAgADAAMgAwADQAMAAyACwAIABcACIAdABcACIALAAgAFwAIgB0ACAAQwBPADIALQBlACAALwAgAHQAXAAiADsAXABuACAAIAAgACAAIAAgACAAIABcACIATwByAGcAYQBuAGkAYwAgAEYAZQByAHQAaQBsAGkAcwBlAHIAcwBcACIALAAgAFwAIgBPAHQAaABlAHIAXAAiACwAIABcACIATABvAGMAYQB0AGkAbwBuACAAbgBvAHQAIABzAHAAZQBjAGkAZgBpAGUAZABcACIALAAgAFwAIgB0AFwAIgAsACAAMAAyADAANQAwADE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vAGkAbAAgAEEAbQBlAG4AZABtAGUAbgB0AHMAXAAiACwAIABcACIATABpAG0AZQBcACIALAAgAFwAIgBMAG8AYwBhAHQAaQBvAG4AIABuAG8AdAAgAHMAcABlAGMAaQBmAGkAZQBkAFwAIgAsACAAXAAiAHQAXAAiACwAIAAwADMAMAAxADAAMQAsACAAXAAiAHQAXAAiACwAIABcACIAdAAgAEMATwAyAC0AZQAgAC8AIAB0AFwAIgA7AFwAbgAgACAAIAAgACAAIAAgACAAXAAiAFMAbwBpAGwAIABBAG0AZQBuAGQAbQBlAG4AdABzAFwAIgAsACAAXAAiAEwAaQBtAGUAcwBhAG4AZABcACIALAAgAFwAIgBMAG8AYwBhAHQAaQBvAG4AIABuAG8AdAAgAHMAcABlAGMAaQBmAGkAZQBkAFwAIgAsACAAXAAiAHQAXAAiACwAIAAwADMAMAAxADAAMgAsACAAXAAiAHQAXAAiACwAIABcACIAdAAgAEMATwAyAC0AZQAgAC8AIAB0AFwAIgA7AFwAbgAgACAAIAAgACAAIAAgACAAXAAiAFMAbwBpAGwAIABBAG0AZQBuAGQAbQBlAG4AdABzAFwAIgAsACAAXAAiAEQAbwBsAG8AbQBpAHQAZQBcACIALAAgAFwAIgBMAG8AYwBhAHQAaQBvAG4AIABuAG8AdAAgAHMAcABlAGMAaQBmAGkAZQBkAFwAIgAsACAAXAAiAHQAXAAiACwAIAAwADMAMAAxADAAMwAsACAAXAAiAHQAXAAiACwAIABcACIAdAAgAEMATwAyAC0AZQAgAC8AIAB0AFwAIgA7AFwAbgAgACAAIAAgACAAIAAgACAAXAAiAFMAbwBpAGwAIABBAG0AZQBuAGQAbQBlAG4AdABzAFwAIgAsACAAXAAiAEcAeQBwAHMAdQBtAFwAIgAsACAAXAAiAEwAbwBjAGEAdABpAG8AbgAgAG4AbwB0ACAAcwBwAGUAYwBpAGYAaQBlAGQAXAAiACwAIABcACIAdABcACIALAAgADAAMwAwADEAMAA0ACwAIABcACIAdABcACIALAAgAFwAIgB0ACAAQwBPADIALQBlACAALwAgAHQAXAAiADsAXABuACAAIAAgACAAIAAgACAAIABcACIAUwBvAGkAbAAgAEEAbQBlAG4AZABtAGUAbgB0AHMAXAAiACwAIABcACIAUABvAHQAYQBzAGgAXAAiACwAIABcACIATABvAGMAYQB0AGkAbwBuACAAbgBvAHQAIABzAHAAZQBjAGkAZgBpAGUAZABcACIALAAgAFwAIgB0AFwAIgAsACAAMAAzADAAMQAwADU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nAHIAbwBjAGgAZQBtAGkAYwBhAGwAcwBcAG4APQA9AD0APQA9AD0APQA9AD0APQA9AD0APQA9AD0APQA9AD0APQA9AD0APQA9AD0APQA9AD0APQA9AD0APQA9AD0APQA9AD0APQA9AD0APQA9AD0APQA9AD0APQA9AD0APQA9AD0APQA9AD0APQA9AD0APQA9AD0APQA9AD0APQA9AD0APQA9AD0APQA9AD0APQA9AD0APQBcAG4AKgAvAFwAbgBcAG4AUwBjAG8AcABlADMAXwBBAGcAcgBvAGMAaABlAG0AaQBjAGEAbABzAF8AVABpAHQAbABlAFwAbgA9AEwAQQBNAEIARABBACgAKABcACIAQQBnAHIAbwBjAGgAZQBtAGkAYwBhAGwAcwAgAHMAYwBvAHAAZQAgADMAXAAiACkAKQA7AFwAbgBcAG4AUwBjAG8AcABlADMAXwBBAGcAcgBvAG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QBnAHIAbwBjAGgAZQBtAGkAYwBhAGwAcwBfAFYAYQByAGkAYQB0AGkAbwBuAFwAbgA9AEwAQQBNAEIARABBACgAKABcACIAXAAiACkAKQA7AFwAbgBcAG4AUwBjAG8AcABlADMAXwBBAGcAcgBvAGMAaABlAG0AaQBjAGEAb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GcAcgBvAGMAaABlAG0AaQBjAGEAbABzAFwAIgAsACAAXAAiAEcAbAB5AHAAaABvAHMAYQB0AGUAXAAiACwAIABcACIATABvAGMAYQB0AGkAbwBuACAAbgBvAHQAIABzAHAAZQBjAGkAZgBpAGUAZABcACIALAAgAFwAIgB0AFwAIgAsACAAMAA0ADAAMQAwADEALAAgAFwAIgB0AFwAIgAsACAAXAAiAHQAIABDAE8AMgAtAGUAIAAvACAAdABcACIAOwBcAG4AIAAgACAAIAAgACAAIAAgAFwAIgBBAGcAcgBvAGMAaABlAG0AaQBjAGEAbABzAFwAIgAsACAAXAAiAFAAYQByAGEAcQB1AGEAdAAsACAAZABpAHEAdQBhAHQAXAAiACwAIABcACIATABvAGMAYQB0AGkAbwBuACAAbgBvAHQAIABzAHAAZQBjAGkAZgBpAGUAZABcACIALAAgAFwAIgB0AFwAIgAsACAAMAA0ADAAMQAwADIALAAgAFwAIgB0AFwAIgAsACAAXAAiAHQAIABDAE8AMgAtAGUAIAAvACAAdABcACIAOwBcAG4AIAAgACAAIAAgACAAIAAgAFwAIgBBAGcAcgBvAGMAaABlAG0AaQBjAGEAbABzAFwAIgAsACAAXAAiAEcAZQBuAGUAcgBpAGMAIABIAGUAcgBiAGkAYwBpAGQAZQBcACIALAAgAFwAIgBMAG8AYwBhAHQAaQBvAG4AIABuAG8AdAAgAHMAcABlAGMAaQBmAGkAZQBkAFwAIgAsACAAXAAiAHQAXAAiACwAIAAwADQAMAAxADAAMwAsACAAXAAiAHQAXAAiACwAIABcACIAdAAgAEMATwAyAC0AZQAgAC8AIAB0AFwAIgA7AFwAbgAgACAAIAAgACAAIAAgACAAXAAiAEEAZwByAG8AYwBoAGUAbQBpAGMAYQBsAHMAXAAiACwAIABcACIARwBlAG4AZQByAGkAYwAgAEkAbgBzAGUAYwB0AGkAYwBpAGQAZQBcACIALAAgAFwAIgBMAG8AYwBhAHQAaQBvAG4AIABuAG8AdAAgAHMAcABlAGMAaQBmAGkAZQBkAFwAIgAsACAAXAAiAHQAXAAiACwAIAAwADQAMAAxADAANAAsACAAXAAiAHQAXAAiACwAIABcACIAdAAgAEMATwAyAC0AZQAgAC8AIAB0AFwAIgA7AFwAbgAgACAAIAAgACAAIAAgACAAXAAiAEEAZwByAG8AYwBoAGUAbQBpAGMAYQBsAHMAXAAiACwAIABcACIARwBlAG4AZQByAGkAYwAgAEYAdQBuAGcAaQBjAGkAZABlAFwAIgAsACAAXAAiAEwAbwBjAGEAdABpAG8AbgAgAG4AbwB0ACAAcwBwAGUAYwBpAGYAaQBlAGQAXAAiACwAIABcACIAdABcACIALAAgADAANAAwADEAMAA1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jAGsAIABCAGwAbwBjAGsAcwBcAG4APQA9AD0APQA9AD0APQA9AD0APQA9AD0APQA9AD0APQA9AD0APQA9AD0APQA9AD0APQA9AD0APQA9AD0APQA9AD0APQA9AD0APQA9AD0APQA9AD0APQA9AD0APQA9AD0APQA9AD0APQA9AD0APQA9AD0APQA9AD0APQA9AD0APQA9AD0APQA9AD0APQA9AD0APQA9AD0APQBcAG4AKgAvAFwAbgBcAG4AUwBjAG8AcABlADMAXwBMAGkAYwBrAEIAbABvAGMAawBzAF8AVABpAHQAbABlAFwAbgA9AEwAQQBNAEIARABBACgAKABcACIATABpAGMAawAgAEIAbABvAGMAawBzACAAcwBjAG8AcABlACAAMwBcACIAKQApADsAXABuAFwAbgBTAGMAbwBwAGUAMwBfAEwAaQBjAGsAQgBsAG8AYwBr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YwBrAEIAbABvAGMAawBzAF8AVgBhAHIAaQBhAHQAaQBvAG4AXABuAD0ATABBAE0AQgBEAEEAKAAoAFwAIgBcACIAKQApADsAXABuAFwAbgBTAGMAbwBwAGUAMwBfAEwAaQBjAGsAQgBsAG8AYwBrAHMAXwBEAGEAdABhAFwAbgA9AEwAQQBNAEIARABBACgAXABuACAAIABNAEEASwBFAEEAUgBSAEEAWQAoADQ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wAaQBjAGsAIABCAGwAbwBjAGsAcwBcACIALAAgAFwAIgBNAGkAbgBlAHIAYQBsACAAYgBsAG8AYwBrAFwAIgAsACAAXAAiAEwAbwBjAGEAdABpAG8AbgAgAG4AbwB0ACAAcwBwAGUAYwBpAGYAaQBlAGQAXAAiACwAIABcACIAdABcACIALAAgADAANQAwADEAMAAxACwAIABcACIAdABcACIALAAgAFwAIgB0ACAAQwBPADIALQBlACAALwAgAHQAXAAiADsAXABuACAAIAAgACAAIAAgACAAIABcACIATABpAGMAawAgAEIAbABvAGMAawBzAFwAIgAsACAAXAAiAFcAZQBhAG4AZQByACAAYgBsAG8AYwBrAFwAIgAsACAAXAAiAEwAbwBjAGEAdABpAG8AbgAgAG4AbwB0ACAAcwBwAGUAYwBpAGYAaQBlAGQAXAAiACwAIABcACIAdABcACIALAAgADAANQAwADEAMAAyACwAIABcACIAdABcACIALAAgAFwAIgB0ACAAQwBPADIALQBlACAALwAgAHQAXAAiADsAXABuACAAIAAgACAAIAAgACAAIABcACIATABpAGMAawAgAEIAbABvAGMAawBzAFwAIgAsACAAXAAiAEQAcgB5ACAAcwBlAGEAcwBvAG4AIABtAGkAeABcACIALAAgAFwAIgBMAG8AYwBhAHQAaQBvAG4AIABuAG8AdAAgAHMAcABlAGMAaQBmAGkAZQBkAFwAIgAsACAAXAAiAHQAXAAiACwAIAAwADUAMAAxADAAMw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G4AaQBtAGEAbAAgAEYAZQBlAGQAXABuAD0APQA9AD0APQA9AD0APQA9AD0APQA9AD0APQA9AD0APQA9AD0APQA9AD0APQA9AD0APQA9AD0APQA9AD0APQA9AD0APQA9AD0APQA9AD0APQA9AD0APQA9AD0APQA9AD0APQA9AD0APQA9AD0APQA9AD0APQA9AD0APQA9AD0APQA9AD0APQA9AD0APQA9AD0APQA9AD0AXABuACoALwBcAG4AXABuAFMAYwBvAHAAZQAzAF8AQQBuAGkAbQBhAGwARgBlAGUAZABfAFQAaQB0AGwAZQBcAG4APQBMAEEATQBCAEQAQQAoACgAXAAiAEEAbgBpAG0AYQBsACAARgBlAGUAZAAgAHMAYwBvAHAAZQAgADMAXAAiACkAKQA7AFwAbgBcAG4AUwBjAG8AcABlADMAXwBBAG4AaQBtAGEAbA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QBuAGkAbQBhAGwARgBlAGUAZABfAFYAYQByAGkAYQB0AGkAbwBuAFwAbgA9AEwAQQBNAEIARABBACgAKABcACIAXAAiACkAKQA7AFwAbgBcAG4AUwBjAG8AcABlADMAXwBBAG4AaQBtAGEAbABGAGUAZQBkAF8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bgBpAG0AYQBsACAARgBlAGUAZABcACIALAAgAFwAIgBHAHIAYQBpAG4AXAAiACwAIABcACIATABvAGMAYQB0AGkAbwBuACAAbgBvAHQAIABzAHAAZQBjAGkAZgBpAGUAZABcACIALAAgAFwAIgB0AFwAIgAsACAAMAA2ADAAMQAwADEALAAgAFwAIgB0AFwAIgAsACAAXAAiAHQAIABDAE8AMgAtAGUAIAAvACAAdABcACIAOwBcAG4AIAAgACAAIAAgACAAIAAgAFwAIgBBAG4AaQBtAGEAbAAgAEYAZQBlAGQAXAAiACwAIABcACIAVwBoAGUAYQB0AFwAIgAsACAAXAAiAEwAbwBjAGEAdABpAG8AbgAgAG4AbwB0ACAAcwBwAGUAYwBpAGYAaQBlAGQAXAAiACwAIABcACIAdABcACIALAAgADAANgAwADEAMAAyACwAIABcACIAdABcACIALAAgAFwAIgB0ACAAQwBPADIALQBlACAALwAgAHQAXAAiADsAXABuACAAIAAgACAAIAAgACAAIABcACIAQQBuAGkAbQBhAGwAIABGAGUAZQBkAFwAIgAsACAAXAAiAFcAaABlAGEAdAAgAEIAcgBhAG4AXAAiACwAIABcACIATABvAGMAYQB0AGkAbwBuACAAbgBvAHQAIABzAHAAZQBjAGkAZgBpAGUAZABcACIALAAgAFwAIgB0AFwAIgAsACAAMAA2ADAAMQAwADMALAAgAFwAIgB0AFwAIgAsACAAXAAiAHQAIABDAE8AMgAtAGUAIAAvACAAdABcACIAOwBcAG4AIAAgACAAIAAgACAAIAAgAFwAIgBBAG4AaQBtAGEAbAAgAEYAZQBlAGQAXAAiACwAIABcACIAQgBhAHIAbABlAHkAXAAiACwAIABcACIATABvAGMAYQB0AGkAbwBuACAAbgBvAHQAIABzAHAAZQBjAGkAZgBpAGUAZABcACIALAAgAFwAIgB0AFwAIgAsACAAMAA2ADAAMQAwADQALAAgAFwAIgB0AFwAIgAsACAAXAAiAHQAIABDAE8AMgAtAGUAIAAvACAAdABcACIAOwBcAG4AIAAgACAAIAAgACAAIAAgAFwAIgBBAG4AaQBtAGEAbAAgAEYAZQBlAGQAXAAiACwAIABcACIAUwBvAHkAYgBlAGEAbgBcACIALAAgAFwAIgBMAG8AYwBhAHQAaQBvAG4AIABuAG8AdAAgAHMAcABlAGMAaQBmAGkAZQBkAFwAIgAsACAAXAAiAHQAXAAiACwAIAAwADYAMAAxADAANQAsACAAXAAiAHQAXAAiACwAIABcACIAdAAgAEMATwAyAC0AZQAgAC8AIAB0AFwAIgA7AFwAbgAgACAAIAAgACAAIAAgACAAXAAiAEEAbgBpAG0AYQBsACAARgBlAGUAZABcACIALAAgAFwAIgBTAG8AeQBiAGUAYQBuACAAbQBlAGEAbABcACIALAAgAFwAIgBMAG8AYwBhAHQAaQBvAG4AIABuAG8AdAAgAHMAcABlAGMAaQBmAGkAZQBkAFwAIgAsACAAXAAiAHQAXAAiACwAIAAwADYAMAAxADAANgAsACAAXAAiAHQAXAAiACwAIABcACIAdAAgAEMATwAyAC0AZQAgAC8AIAB0AFwAIgA7AFwAbgAgACAAIAAgACAAIAAgACAAXAAiAEEAbgBpAG0AYQBsACAARgBlAGUAZABcACIALAAgAFwAIgBDAGEAbgBvAGwAYQAgAG0AZQBhAGwAXAAiACwAIABcACIATABvAGMAYQB0AGkAbwBuACAAbgBvAHQAIABzAHAAZQBjAGkAZgBpAGUAZABcACIALAAgAFwAIgB0AFwAIgAsACAAMAA2ADAAMQAwADcALAAgAFwAIgB0AFwAIgAsACAAXAAiAHQAIABDAE8AMgAtAGUAIAAvACAAdABcACIAOwBcAG4AIAAgACAAIAAgACAAIAAgAFwAIgBBAG4AaQBtAGEAbAAgAEYAZQBlAGQAXAAiACwAIABcACIAQwBhAG4AbwBsAGEAIABvAGkAbABcACIALAAgAFwAIgBMAG8AYwBhAHQAaQBvAG4AIABuAG8AdAAgAHMAcABlAGMAaQBmAGkAZQBkAFwAIgAsACAAXAAiAHQAXAAiACwAIAAwADYAMAAxADAAOAAsACAAXAAiAHQAXAAiACwAIABcACIAdAAgAEMATwAyAC0AZQAgAC8AIAB0AFwAIgA7AFwAbgAgACAAIAAgACAAIAAgACAAXAAiAEEAbgBpAG0AYQBsACAARgBlAGUAZABcACIALAAgAFwAIgBCAGUAZQB0ACAAcAB1AGwAcABcACIALAAgAFwAIgBMAG8AYwBhAHQAaQBvAG4AIABuAG8AdAAgAHMAcABlAGMAaQBmAGkAZQBkAFwAIgAsACAAXAAiAHQAXAAiACwAIAAwADYAMAAxADAAOQAsACAAXAAiAHQAXAAiACwAIABcACIAdAAgAEMATwAyAC0AZQAgAC8AIAB0AFwAIgA7AFwAbgAgACAAIAAgACAAIAAgACAAXAAiAEEAbgBpAG0AYQBsACAARgBlAGUAZABcACIALAAgAFwAIgBDAG8AdAB0AG8AbgAgAHMAZQBlAGQAXAAiACwAIABcACIATABvAGMAYQB0AGkAbwBuACAAbgBvAHQAIABzAHAAZQBjAGkAZgBpAGUAZABcACIALAAgAFwAIgB0AFwAIgAsACAAMAA2ADAAMQAxADAALAAgAFwAIgB0AFwAIgAsACAAXAAiAHQAIABDAE8AMgAtAGUAIAAvACAAdABcACIAOwBcAG4AIAAgACAAIAAgACAAIAAgAFwAIgBBAG4AaQBtAGEAbAAgAEYAZQBlAGQAXAAiACwAIABcACIASABhAHkAXAAiACwAIABcACIATABvAGMAYQB0AGkAbwBuACAAbgBvAHQAIABzAHAAZQBjAGkAZgBpAGUAZABcACIALAAgAFwAIgB0AFwAIgAsACAAMAA2ADAAMQAxADEALAAgAFwAIgB0AFwAIgAsACAAXAAiAHQAIABDAE8AMgAtAGUAIAAvACAAdABcACIAOwBcAG4AIAAgACAAIAAgACAAIAAgAFwAIgBBAG4AaQBtAGEAbAAgAEYAZQBlAGQAXAAiACwAIABcACIARgBlAGUAZAAgAGYAbwByAG0AdQBsAGEAdABpAG8AbgBzACAAKABjAGgAaQBjAGsAZQBuACwAIABwAGkAZwBzACwAIABjAGEAdAB0AGwAZQAsACAAZABhAGkAcgB5ACkAXAAiACwAIABcACIATABvAGMAYQB0AGkAbwBuACAAbgBvAHQAIABzAHAAZQBjAGkAZgBpAGUAZABcACIALAAgAFwAIgB0AFwAIgAsACAAMAA2ADAAMQAxADIALAAgAFwAIgB0AFwAIgAsACAAXAAiAHQAIABDAE8AMgAtAGUAIAAvACAAdABcACIAOwBcAG4AIAAgACAAIAAgACAAIAAgAFwAIgBBAG4AaQBtAGEAbAAgAEYAZQBlAGQAXAAiACwAIABcACIATQBvAGwAYQBzAHMAZQBzAFwAIgAsACAAXAAiAEwAbwBjAGEAdABpAG8AbgAgAG4AbwB0ACAAcwBwAGUAYwBpAGYAaQBlAGQAXAAiACwAIABcACIAdABcACIALAAgADAANgAwADEAMQAzACwAIABcACIAdABcACIALAAgAFwAIgB0ACAAQwBPADIALQBlACAALwAgAHQAXAAiADsAXABuACAAIAAgACAAIAAgACAAIABcACIAQQBuAGkAbQBhAGwAIABGAGUAZQBkAFwAIgAsACAAXAAiAEIAZQBuAHQAbwBuAGkAdABlAFwAIgAsACAAXAAiAEwAbwBjAGEAdABpAG8AbgAgAG4AbwB0ACAAcwBwAGUAYwBpAGYAaQBlAGQAXAAiACwAIABcACIAdABcACIALAAgADAANgAwADEAMQA0ACwAIABcACIAdABcACIALAAgAFwAIgB0ACAAQwBPADIALQBlACAALwAgAHQAXAAiADsAXABuACAAIAAgACAAIAAgACAAIABcACIAQQBuAGkAbQBhAGwAIABGAGUAZQBkAFwAIgAsACAAXAAiAE0AZQBhAHQAIABtAGUAYQBsAFwAIgAsACAAXAAiAEwAbwBjAGEAdABpAG8AbgAgAG4AbwB0ACAAcwBwAGUAYwBpAGYAaQBlAGQAXAAiACwAIABcACIAdABcACIALAAgADAANgAwADEAMQA1ACwAIABcACIAdABcACIALAAgAFwAIgB0ACAAQwBPADIALQBlACAALwAgAHQAXAAiADsAXABuACAAIAAgACAAIAAgACAAIABcACIAQQBuAGkAbQBhAGwAIABGAGUAZQBkAFwAIgAsACAAXAAiAEIAZQBuAHQATABpAG0AZQAsACAAcABoAG8AcwBwAGgAbwByAHUAcwAsACAAcABvAHQAYQBzAGgAbwBuAGkAdABlAFwAIgAsACAAXAAiAEwAbwBjAGEAdABpAG8AbgAgAG4AbwB0ACAAcwBwAGUAYwBpAGYAaQBlAGQAXAAiACwAIABcACIAdABcACIALAAgADAANgAwADEAMQA0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cQB1AGEAYwB1AGwAdAB1AHIAZQAgAEYAZQBlAGQAIABhAG4AZAAgAEIAYQBpAHQAXABuAD0APQA9AD0APQA9AD0APQA9AD0APQA9AD0APQA9AD0APQA9AD0APQA9AD0APQA9AD0APQA9AD0APQA9AD0APQA9AD0APQA9AD0APQA9AD0APQA9AD0APQA9AD0APQA9AD0APQA9AD0APQA9AD0APQA9AD0APQA9AD0APQA9AD0APQA9AD0APQA9AD0APQA9AD0APQA9AD0AXABuACoALwBcAG4AXABuAFMAYwBvAHAAZQAzAF8AQQBxAHUAYQBjAHUAbAB0AHUAcgBlAEYAZQBlAGQAQQBuAGQAQgBhAGkAdABfAFQAaQB0AGwAZQBcAG4APQBMAEEATQBCAEQAQQAoACgAXAAiAEEAcQB1AGEAYwB1AGwAdAB1AHIAZQAgAEYAZQBlAGQAIABhAG4AZAAgAEIAYQBpAHQAIABzAGMAbwBwAGUAIAAzAFwAIgApACkAOwBcAG4AXABuAFMAYwBvAHAAZQAzAF8AQQBxAHUAYQBjAHUAbAB0AHUAcgBlAEYAZQBlAGQAQQBuAGQAQgBhAGkAd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EAcQB1AGEAYwB1AGwAdAB1AHIAZQBGAGUAZQBkAEEAbgBkAEIAYQBpAHQAXwBWAGEAcgBpAGEAdABpAG8AbgBcAG4APQBMAEEATQBCAEQAQQAoACgAXAAiAFwAIgApACkAOwBcAG4AXABuAFMAYwBvAHAAZQAzAF8AQQBxAHUAYQBjAHUAbAB0AHUAcgBlAEYAZQBlAGQAQQBuAGQAQgBhAGkAdABfAEQAYQB0AGEAXABuAD0ATABBAE0AQgBEAEEAKABcAG4AIAAgAE0AQQBLAEUAQQBSAFIAQQBZACgAO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xAHUAYQBjAHUAbAB0AHUAcgBlACAARgBlAGUAZAAgAGEAbgBkACAAQgBhAGkAdABcACIALAAgAFwAIgBMAG8AdwAgAEEAbgBpAG0AYQBsACAAUAByAG8AdABlAGkAbgAgAEYAbwByAG0AdQBsAGEAdABlAGQAIABGAGUAZQBkAFwAIgAsACAAXAAiAEwAbwBjAGEAdABpAG8AbgAgAG4AbwB0ACAAcwBwAGUAYwBpAGYAaQBlAGQAXAAiACwAIABcACIAdABcACIALAAgADAANwAwADEAMAAxACwAIABcACIAdABcACIALAAgAFwAIgB0ACAAQwBPADIALQBlACAALwAgAHQAXAAiADsAXABuACAAIAAgACAAIAAgACAAIABcACIAQQBxAHUAYQBjAHUAbAB0AHUAcgBlACAARgBlAGUAZAAgAGEAbgBkACAAQgBhAGkAdABcACIALAAgAFwAIgBIAGkAZwBoACAAQQBuAGkAbQBhAGwAIABQAHIAbwB0AGUAaQBuACAARgBvAHIAbQB1AGwAYQB0AGUAZAAgAEYAZQBlAGQAXAAiACwAIABcACIATABvAGMAYQB0AGkAbwBuACAAbgBvAHQAIABzAHAAZQBjAGkAZgBpAGUAZABcACIALAAgAFwAIgB0AFwAIgAsACAAMAA3ADAAMQAwADIALAAgAFwAIgB0AFwAIgAsACAAXAAiAHQAIABDAE8AMgAtAGUAIAAvACAAdABcACIAOwBcAG4AIAAgACAAIAAgACAAIAAgAFwAIgBBAHEAdQBhAGMAdQBsAHQAdQByAGUAIABGAGUAZQBkACAAYQBuAGQAIABCAGEAaQB0AFwAIgAsACAAXAAiAEMAZQByAGUAYQBsACAAZwByAGEAaQBuAFwAIgAsACAAXAAiAEwAbwBjAGEAdABpAG8AbgAgAG4AbwB0ACAAcwBwAGUAYwBpAGYAaQBlAGQAXAAiACwAIABcACIAdABcACIALAAgADAANwAwADEAMAAzACwAIABcACIAdABcACIALAAgAFwAIgB0ACAAQwBPADIALQBlACAALwAgAHQAXAAiADsAXABuACAAIAAgACAAIAAgACAAIABcACIAQQBxAHUAYQBjAHUAbAB0AHUAcgBlACAARgBlAGUAZAAgAGEAbgBkACAAQgBhAGkAdABcACIALAAgAFwAIgBTAHEAdQBpAGQAXAAiACwAIABcACIATABvAGMAYQB0AGkAbwBuACAAbgBvAHQAIABzAHAAZQBjAGkAZgBpAGUAZABcACIALAAgAFwAIgB0AFwAIgAsACAAMAA3ADAAMQAwADQALAAgAFwAIgB0AFwAIgAsACAAXAAiAHQAIABDAE8AMgAtAGUAIAAvACAAdABcACIAOwBcAG4AIAAgACAAIAAgACAAIAAgAFwAIgBBAHEAdQBhAGMAdQBsAHQAdQByAGUAIABGAGUAZQBkACAAYQBuAGQAIABCAGEAaQB0AFwAIgAsACAAXAAiAFcAaABvAGwAZQAgAEYAaQBzAGgAXAAiACwAIABcACIATABvAGMAYQB0AGkAbwBuACAAbgBvAHQAIABzAHAAZQBjAGkAZgBpAGUAZABcACIALAAgAFwAIgB0AFwAIgAsACAAMAA3ADAAMQAwADUALAAgAFwAIgB0AFwAIgAsACAAXAAiAHQAIABDAE8AMgAtAGUAIAAvACAAdABcACIAOwBcAG4AIAAgACAAIAAgACAAIAAgAFwAIgBBAHEAdQBhAGMAdQBsAHQAdQByAGUAIABGAGUAZQBkACAAYQBuAGQAIABCAGEAaQB0AFwAIgAsACAAXAAiAFcAaABvAGwAZQAgAFMAYQByAGQAaQBuAGUAcwBcACIALAAgAFwAIgBMAG8AYwBhAHQAaQBvAG4AIABuAG8AdAAgAHMAcABlAGMAaQBmAGkAZQBkAFwAIgAsACAAXAAiAHQAXAAiACwAIAAwADcAMAAxADAANgAsACAAXAAiAHQAXAAiACwAIABcACIAdAAgAEMATwAyAC0AZQAgAC8AIAB0AFwAIgA7AFwAbgAgACAAIAAgACAAIAAgACAAXAAiAEEAcQB1AGEAYwB1AGwAdAB1AHIAZQAgAEYAZQBlAGQAIABhAG4AZAAgAEIAYQBpAHQAXAAiACwAIABcACIARgBpAHMAaAAgAEYAcgBhAG0AZQBzAFwAIgAsACAAXAAiAEwAbwBjAGEAdABpAG8AbgAgAG4AbwB0ACAAcwBwAGUAYwBpAGYAaQBlAGQAXAAiACwAIABcACIAdABcACIALAAgADAANwAwADEAMAA3ACwAIABcACIAdABcACIALAAgAFwAIgB0ACAAQwBPADIALQBlACAALwAgAHQAXAAiADsAXABuACAAIAAgACAAIAAgACAAIABcACIAQQBxAHUAYQBjAHUAbAB0AHUAcgBlACAARgBlAGUAZAAgAGEAbgBkACAAQgBhAGkAdABcACIALAAgAFwAIgBGAGkAcwBoACAASABlAGEAZABzAFwAIgAsACAAXAAiAEwAbwBjAGEAdABpAG8AbgAgAG4AbwB0ACAAcwBwAGUAYwBpAGYAaQBlAGQAXAAiACwAIABcACIAdABcACIALAAgADAANwAwADEAMAA4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2AGUAcwB0AG8AYwBr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AAYQBjAGsAYQBnAGkAbgBnAFwAIgAsACAAXAAiAFcAaQBuAGUAIABiAG8AdAB0AGwAZQBzADoAIABHAGwAYQBzAHMAIAAtACAAYwBvAG4AdgBlAG4AdABpAG8AbgBhAGwAXAAiACwAIABcACIATABvAGMAYQB0AGkAbwBuACAAbgBvAHQAIABzAHAAZQBjAGkAZgBpAGUAZABcACIALAAgAFwAIgBiAG8AdAB0AGwAZQBcACIALAAgADAAOQAwADEAMAAxACwAIABcACIAYgBvAHQAdABsAGUAXAAiACwAIABcACIAawBnACAAQwBPADIALQBlACAALwAgAGIAbwB0AHQAbABlAFwAIgA7AFwAbgAgACAAIAAgACAAIAAgACAAXAAiAFAAYQBjAGsAYQBnAGkAbgBnAFwAIgAsACAAXAAiAFcAaQBuAGUAIABiAG8AdAB0AGwAZQBzADoAIABHAGwAYQBzAHMAIAAtACAAbABpAGcAaAB0AFwAIgAsACAAXAAiAEwAbwBjAGEAdABpAG8AbgAgAG4AbwB0ACAAcwBwAGUAYwBpAGYAaQBlAGQAXAAiACwAIABcACIAYgBvAHQAdABsAGUAXAAiACwAIAAwADkAMAAxADAAMgAsACAAXAAiAGIAbwB0AHQAbABlAFwAIgAsACAAXAAiAGsAZwAgAEMATwAyAC0AZQAgAC8AIABiAG8AdAB0AGwAZQBcACIAOwBcAG4AIAAgACAAIAAgACAAIAAgAFwAIgBQAGEAYwBrAGEAZwBpAG4AZwBcACIALAAgAFwAIgBQAGwAYQBzAHQAaQBjACAAcABhAGMAawBhAGcAaQBuAGcAXAAiACwAIABcACIATABvAGMAYQB0AGkAbwBuACAAbgBvAHQAIABzAHAAZQBjAGkAZgBpAGUAZABcACIALAAgAFwAIgBrAGcAXAAiACwAIAAwADkAMAAyADAAMQAsACAAXAAiAGsAZwBcACIALAAgAFwAIgBrAGcAIABDAE8AMgAtAGUAIAAvACAAawBnAFwAIgA7AFwAbgAgACAAIAAgACAAIAAgACAAXAAiAFAAYQBjAGsAYQBnAGkAbgBnAFwAIgAsACAAXAAiAFAAbwBsAHkAZQB0AGgAeQBsAGUAbgBlACAAdABlAHIAZQBwAGgAdABoAGEAbABhAHQAZQAgACgAUABFAFQAKQBcACIALAAgAFwAIgBMAG8AYwBhAHQAaQBvAG4AIABuAG8AdAAgAHMAcABlAGMAaQBmAGkAZQBkAFwAIgAsACAAXAAiAGsAZwBcACIALAAgADAAOQAwADIAMAAyACwAIABcACIAawBnAFwAIgAsACAAXAAiAGsAZwAgAEMATwAyAC0AZQAgAC8AIABrAGcAXAAiADsAXABuACAAIAAgACAAIAAgACAAIABcACIAUABhAGMAawBhAGcAaQBuAGcAXAAiACwAIABcACIAUABvAGwAeQBwAHIAbwBwAHkAbABlAG4AZQAgACgAUABQACkAXAAiACwAIABcACIATABvAGMAYQB0AGkAbwBuACAAbgBvAHQAIABzAHAAZQBjAGkAZgBpAGUAZABcACIALAAgAFwAIgBrAGcAXAAiACwAIAAwADkAMAAyADAAMwAsACAAXAAiAGsAZwBcACIALAAgAFwAIgBrAGcAIABDAE8AMgAtAGUAIAAvACAAawBnAFwAIgA7AFwAbgAgACAAIAAgACAAIAAgACAAXAAiAFAAYQBjAGsAYQBnAGkAbgBnAFwAIgAsACAAXAAiAEMAYQByAGQAYgBvAGEAcgBkAFwAIgAsACAAXAAiAEwAbwBjAGEAdABpAG8AbgAgAG4AbwB0ACAAcwBwAGUAYwBpAGYAaQBlAGQAXAAiACwAIABcACIAawBnAFwAIgAsACAAMAA5ADAAMgAwADQALAAgAFwAIgBrAGcAXAAiACwAIABcACIAawBnACAAQwBPADIALQBlACAALwAgAGs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wBlAGUAZABzACAAYQBuAGQAIABTAGUAZQBkAGwAaQBuAGcAcwBcAG4APQA9AD0APQA9AD0APQA9AD0APQA9AD0APQA9AD0APQA9AD0APQA9AD0APQA9AD0APQA9AD0APQA9AD0APQA9AD0APQA9AD0APQA9AD0APQA9AD0APQA9AD0APQA9AD0APQA9AD0APQA9AD0APQA9AD0APQA9AD0APQA9AD0APQA9AD0APQA9AD0APQA9AD0APQA9AD0APQBcAG4AKgAvAFwAbgBcAG4AUwBjAG8AcABlADMAXwBTAGUAZQBkAHMAQQBuAGQAUwBlAGUAZABsAGkAbgBnAHMAXwBUAGkAdABsAGUAXABuAD0ATABBAE0AQgBEAEEAKAAoAFwAIgBTAGUAZQBkAHMAIABhAG4AZAAgAFMAZQBlAGQAbABpAG4AZwBzACAAcwBjAG8AcABlACAAMwBcACIAKQApADsAXABuAFwAbgBTAGMAbwBwAGUAMwBfAFMAZQBlAGQAcwBBAG4AZABTAGUAZQBkAGwAaQBuAGc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ZQBlAGQAcwBBAG4AZABTAGUAZQBkAGwAaQBuAGcAcwBfAFYAYQByAGkAYQB0AGkAbwBuAFwAbgA9AEwAQQBNAEIARABBACgAKABcACIAXAAiACkAKQA7AFwAbgBcAG4AUwBjAG8AcABlADMAXwBTAGUAZQBkAHMAQQBuAGQAUwBlAGUAZABsAGkAbgBnAHMAXwBEAGEAdABhAFwAbgA9AEwAQQBNAEIARABBACgAXABuACAAIABNAEEASwBFAEEAUgBSAEEAWQAoADM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MAZQBlAGQAcwAgAGEAbgBkACAAUwBlAGUAZABsAGkAbgBnAHMAXAAiACAALABcACIAUwBlAGUAZAAgACgAZwBlAG4AZQByAGEAbAAgAGMAcgBvAHAAIABhAG4AZAAgAHAAYQBzAHQAdQByAGUAKQBcACIALAAgAFwAIgBMAG8AYwBhAHQAaQBvAG4AIABuAG8AdAAgAHMAcABlAGMAaQBmAGkAZQBkAFwAIgAsACAAXAAiAHQAXAAiACwAIAAxADAAMAAxADAAMQAsACAAXAAiAHQAXAAiACwAIABcACIAdAAgAEMATwAyAC0AZQAgAC8AIAB0AFwAIgA7AFwAbgAgACAAIAAgACAAIAAgACAAXAAiAFMAZQBlAGQAcwAgAGEAbgBkACAAUwBlAGUAZABsAGkAbgBnAHMAXAAiACAALABcACIAUwBlAGUAZABsAGkAbgBnAHMAIAAoAGYAbwByAGUAcwB0AHIAeQAsACAAaABvAHIAdABpAGMAdQBsAHQAdQByAGUALAAgAGUAbgB2AGkAcgBvAG4AbQBlAG4AdABhAGwAKQBcACIALAAgAFwAIgBMAG8AYwBhAHQAaQBvAG4AIABuAG8AdAAgAHMAcABlAGMAaQBmAGkAZQBkAFwAIgAsACAAXAAiAFMAZQBlAGQAbABpAG4AZwBcACIALAAgADEAMAAwADEAMAAyACwAIABcACIAdABcACIALAAgAFwAIgB0ACAAQwBPADIALQBlACAALwAgAFMAZQBlAGQAbABpAG4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sAGUAYQBuAGkAbgBnACAAYwBoAGUAbQBpAGMAYQBsAHMAXABuAD0APQA9AD0APQA9AD0APQA9AD0APQA9AD0APQA9AD0APQA9AD0APQA9AD0APQA9AD0APQA9AD0APQA9AD0APQA9AD0APQA9AD0APQA9AD0APQA9AD0APQA9AD0APQA9AD0APQA9AD0APQA9AD0APQA9AD0APQA9AD0APQA9AD0APQA9AD0APQA9AD0APQA9AD0APQA9AD0AXABuACoALwBcAG4AXABuAFMAYwBvAHAAZQAzAF8AQwBsAGUAYQBuAGkAbgBnAEMAaABlAG0AaQBjAGEAbABzAF8AVABpAHQAbABlAFwAbgA9AEwAQQBNAEIARABBACgAKABcACIAQwBsAGUAYQBuAGkAbgBnACAAYwBoAGUAbQBpAGMAYQBsAHMAIABzAGMAbwBwAGUAIAAzAFwAIgApACkAOwBcAG4AXABuAFMAYwBvAHAAZQAzAF8AQwBsAGUAYQBuAGkAbgBn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sAGUAYQBuAGkAbgBnAEMAaABlAG0AaQBjAGEAbABzAF8AVgBhAHIAaQBhAHQAaQBvAG4AXABuAD0ATABBAE0AQgBEAEEAKAAoAFwAIgBcACIAKQApADsAXABuAFwAbgBTAGMAbwBwAGUAMwBfAEMAbABlAGEAbgBpAG4AZwBDAGgAZQBtAGkAYwBhAGw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gAYQByAG0AYQBjAHkAIABjAGgAZQBtAGkAYwBhAGwAcwBcAG4APQA9AD0APQA9AD0APQA9AD0APQA9AD0APQA9AD0APQA9AD0APQA9AD0APQA9AD0APQA9AD0APQA9AD0APQA9AD0APQA9AD0APQA9AD0APQA9AD0APQA9AD0APQA9AD0APQA9AD0APQA9AD0APQA9AD0APQA9AD0APQA9AD0APQA9AD0APQA9AD0APQA9AD0APQA9AD0APQBcAG4AKgAvAFwAbgBcAG4AUwBjAG8AcABlADMAXwBQAGgAYQByAG0AYQBjAHkAQwBoAGUAbQBpAGMAYQBsAHMAXwBUAGkAdABsAGUAXABuAD0ATABBAE0AQgBEAEEAKAAoAFwAIgBQAGgAYQByAG0AYQBjAHkAIABjAGgAZQBtAGkAYwBhAGwAcwAgAHMAYwBvAHAAZQAgADMAXAAiACkAKQA7AFwAbgBcAG4AUwBjAG8AcABlADMAXwBQAGgAYQByAG0AYQBjAHk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gAYQByAG0AYQBjAHkAQwBoAGUAbQBpAGMAYQBsAHMAXwBWAGEAcgBpAGEAdABpAG8AbgBcAG4APQBMAEEATQBCAEQAQQAoACgAXAAiAFwAIgApACkAOwBcAG4AXABuAFMAYwBvAHAAZQAzAF8AUABoAGEAcgBtAGEAYwB5AEMAaABlAG0AaQBjAGEAbABz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BAGcAcgBpAGMAdQBsAHQAdQByAGEAbABJAG4AcAB1AHQAcwBfAFQAaQB0AGwAZQBcAG4APQBMAEEATQBCAEQAQQAoACgAXAAiAE8AdABoAGUAcgAgAGEAZwByAGkAYwB1AGwAdAB1AHIAYQBsACAAaQBuAHAAdQB0AHMAIABzAGMAbwBwAGUAIAAzAFwAIgApACkAOwBcAG4AXABuAFMAYwBvAHAAZQAzAF8ATwB0AGgAZQByAEEAZwByAGkAYwB1AGwAdAB1AHIAYQBsAEkAbgBwAHU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EEAZwByAGkAYwB1AGwAdAB1AHIAYQBsAEkAbgBwAHUAdABzAF8AVgBhAHIAaQBhAHQAaQBvAG4AXABuAD0ATABBAE0AQgBEAEEAKAAoAFwAIgBcACIAKQApADsAXABuAFwAbgBTAGMAbwBwAGUAMwBfAE8AdABoAGUAcgBBAGcAcgBpAGMAdQBsAHQAdQByAGEAbABJAG4AcAB1AHQAcwBfAEQAYQB0AGEAXABuAD0ATABBAE0AQgBEAEEAKABcAG4AIAAgAE0AQQBLAEUAQQBSAFIAQQBZACg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wB0AGgAZQByACAAQQBnAHIAaQBjAHUAbAB0AHUAcgBhAGwAIABJAG4AcAB1AHQAcwBcACIALAAgAFwAIgBDAE8AMgAgAGYAbwByACAAYwBhAHIAYgBvAG4AYQB0AGkAbwBuAFwAIgAsACAAXAAiAEwAbwBjAGEAdABpAG8AbgAgAG4AbwB0ACAAcwBwAGUAYwBpAGYAaQBlAGQAXAAiACwAIABcACIAdABcACIALAAgADEAMgAwADEAMAAxACwAIABcACIAdABcACIALAAgAFwAIgB0ACAAQwBPADIALQBlACAALwAgAHQAXAAiADsAXABuACAAIAAgACAAIAAgACAAIABcACIATwB0AGgAZQByACAAQQBnAHIAaQBjAHUAbAB0AHUAcgBhAGwAIABJAG4AcAB1AHQAcwBcACIALAAgAFwAIgBMAGkAdgBlAHMAdABvAGMAawAgAGEAbgB0AGkAYgBpAG8AdABpAGMAcwBcACIALAAgAFwAIgBMAG8AYwBhAHQAaQBvAG4AIABuAG8AdAAgAHMAcABlAGMAaQBmAGkAZQBkAFwAIgAsACAAXAAiAHQAXAAiACwAIAAxADEAMAAxADAAMgAsACAAXAAiAHQAXAAiACwAIABcACIAdAAgAEMATwAyAC0AZQAgAC8AIAB0AFwAIgA7AFwAbgAgACAAIAAgACAAIAAgACAAXAAiAE8AdABoAGUAcgAgAEEAZwByAGkAYwB1AGwAdAB1AHIAYQBsACAASQBuAHAAdQB0AHMAXAAiACwAIABcACIATgB5AGwAbwBuACAAbgBlAHQAdABpAG4AZwAgAGYAbwByACAAaABvAHIAdABpAGMAdQBsAHQAdQByAGUAXAAiACwAIABcACIATABvAGMAYQB0AGkAbwBuACAAbgBvAHQAIABzAHAAZQBjAGkAZgBpAGUAZABcACIALAAgAFwAIgB0AFwAIgAsACAAMQAxADAAMQAwADMALAAgAFwAIgB0AFwAIgAsACAAXAAiAHQAIABDAE8AMgAtAGUAIAAvACAAdABcACIAOwBcAG4AIAAgACAAIAAgACAAIAAgAFwAIgBPAHQAaABlAHIAIABBAGcAcgBpAGMAdQBsAHQAdQByAGEAbAAgAEkAbgBwAHUAdABzAFwAIgAsACAAXAAiAFAAYQBsAGwAZQB0AHMAIAAtACAAVwBvAG8AZABcACIALAAgAFwAIgBMAG8AYwBhAHQAaQBvAG4AIABuAG8AdAAgAHMAcABlAGMAaQBmAGkAZQBkAFwAIgAsACAAXAAiAHQAXAAiACwAIAAxADEAMAAxADAANAAsACAAXAAiAHQAXAAiACwAIABcACIAdAAgAEMATwAyAC0AZQAgAC8AIAB0AFwAIgA7AFwAbgAgACAAIAAgACAAIAAgACAAXAAiAE8AdABoAGUAcgAgAEEAZwByAGkAYwB1AGwAdAB1AHIAYQBsACAASQBuAHAAdQB0AHMAXAAiACwAIABcACIAUABhAGwAbABlAHQAcwAgAC0AIABQAGwAYQBzAHQAaQBjAFwAIgAsACAAXAAiAEwAbwBjAGEAdABpAG8AbgAgAG4AbwB0ACAAcwBwAGUAYwBpAGYAaQBlAGQAXAAiACwAIABcACIAdABcACIALAAgADEAMQAwADEAMAA1ACwAIABcACIAdABcACIALAAgAFwAIgB0ACAAQwBPADIALQBlACAALwAgAHQAXAAiADsAXABuACAAIAAgACAAIAAgACAAIABcACIATwB0AGgAZQByACAAQQBnAHIAaQBjAHUAbAB0AHUAcgBhAGwAIABJAG4AcAB1AHQAcwBcACIALAAgAFwAIgBMAGkAdgBlAHMAdABvAGMAawAgAHQAYQBnAHMAXAAiACwAIABcACIATABvAGMAYQB0AGkAbwBuACAAbgBvAHQAIABzAHAAZQBjAGkAZgBpAGUAZABcACIALAAgAFwAIgB0AFwAIgAsACAAMQAxADAAMQAwADY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1AGUAbAAgAC0AIABUAHIAYQBuAHMAcABvAHIAdABcAG4APQA9AD0APQA9AD0APQA9AD0APQA9AD0APQA9AD0APQA9AD0APQA9AD0APQA9AD0APQA9AD0APQA9AD0APQA9AD0APQA9AD0APQA9AD0APQA9AD0APQA9AD0APQA9AD0APQA9AD0APQA9AD0APQA9AD0APQA9AD0APQA9AD0APQA9AD0APQA9AD0APQA9AD0APQA9AD0APQBcAG4AKgAvAFwAbgBcAG4AUwBjAG8AcABlADMAXwBGAHUAZQBsAFQAcgBhAG4AcwBwAG8AcgB0AF8AVABpAHQAbABlAFwAbgA9AEwAQQBNAEIARABBACgAKABcACIARgB1AGUAbAAgAC0AIABUAHIAYQBuAHMAcABvAHIAdAAgAHMAYwBvAHAAZQAgADMAXAAiACkAKQA7AFwAbgBcAG4AUwBjAG8AcABlADMAXwBGAHUAZQBsAFQAcgBhAG4AcwBwAG8AcgB0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YAdQBlAGwAVAByAGEAbgBzAHAAbwByAH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QAcgBhAG4AcwBwAG8AcgB0AF8ARABhAHQAYQBcAG4APQBMAEEATQBCAEQAQQAoAFwAbgAgACAATQBBAEsARQBBAFIAUgBBAFkAKAAyADI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VAByAGEAbgBzAHAAbwByAHQAIAAtACAAQwBhAHIAcwAgAGEAbgBkACAAbABpAGcAaAB0ACAAYwBvAG0AbQBlAHIAYwBpAGEAbAAgAHYAZQBoAGkAYwBsAGUAcwBcACIALAAgAFwAIgBHAGEAcwBvAGwAaQBuAGU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ABpAGUAcw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MAGkAcQB1AGUAZgBpAGUAZAAgAHAAZQB0AHIAbwBsAGUAdQBtACAAZwBhAHMAIAAoAEwAUABHAC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gB1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UAdABoAGEAbgBv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QgBpAG8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UgBlAG4AZQB3AGEAYgBsAGUAIA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PAHQAaABlAHIAIABiAGkAbwBmAHUAZQBs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wAaQBnAGgAdA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TABpAGcAaAB0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IAGUAYQB2AHk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cAYQBzAG8AbABp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SwBlAHIAbwBzAGU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SAGUAbgBlAHcAYQBiAGwAZQAgAGEAdgBpAGEAdABpAG8AbgAgAGsAZQByAG8AcwBlAG4AZQBcACIALAAgAFwAIgBMAG8AYwBhAHQAaQBvAG4AIABuAG8AdAAgAHMAcABlAGMAaQBmAGkAZQBkAFwAIgAsACAAXAAiAGsAbABcACIALAAgAFwAIgBYAFgAWABYAFgAWABcACIALAAgAFwAIgB0AFwAIgAsACAAXAAiAHQAIABDAE8AMgAtAGUAIAAvACAAawBs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TABpAHEAdQBpAGQAXABuAD0APQA9AD0APQA9AD0APQA9AD0APQA9AD0APQA9AD0APQA9AD0APQA9AD0APQA9AD0APQA9AD0APQA9AD0APQA9AD0APQA9AD0APQA9AD0APQA9AD0APQA9AD0APQA9AD0APQA9AD0APQA9AD0APQA9AD0APQA9AD0APQA9AD0APQA9AD0APQA9AD0APQA9AD0APQA9AD0AXABuACoALwBcAG4AXABuAFMAYwBvAHAAZQAzAF8ARgB1AGUAbABTAHQAYQB0AGkAbwBuAGEAcgB5AEwAaQBxAHUAaQBkAF8AVABpAHQAbABlAFwAbgA9AEwAQQBNAEIARABBACgAKABcACIARgB1AGUAbAAgAC0AIABTAHQAYQB0AGkAbwBuAGEAcgB5ACAALQAgAEwAaQBxAHUAaQBkACAAcwBjAG8AcABlACAAMwBcACIAKQApADsAXABuAFwAbgBTAGMAbwBwAGUAMwBfAEYAdQBlAGwAUwB0AGEAdABpAG8AbgBhAHIAeQBMAGkAcQB1AGk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TABpAHEAdQBpAG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MAdABhAHQAaQBvAG4AYQByAHkATABpAHEAdQBpAGQAXwBEAGEAdABhAFwAbgA9AEwAQQBNAEIARABBACgAXABuACAAIABNAEEASwBFAEEAUgBSAEEAWQAoADIAN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wAaQBxAHUAaQBkAFwAIgAsACAAXAAiAFAAZQB0AHIAbwBsAGUAdQBtACAAYgBhAHMAZQBkACAAbwBpAGwAcwAgACgAbwB0AGgAZQByACAAdABoAGEAbgAgAHAAZQB0AHIAbwBsAGUAdQBtACAAYgBhAHMAZQBkACAAbwBpAGwAIAB1AHMAZQBkACAAYQBzACAAZgB1AGUAbAApACwAIABlAC4AZwAuACAAbAB1AGIAcgBpAGMAYQBuAHQAcwBcACIALAAgAFwAIgBMAG8AYwBhAHQAaQBvAG4AIABuAG8AdAAgAHMAcABlAGMAaQBmAGkAZQBkAFwAIgAsACAAXAAiAGsAbABcACIALAAgAFwAIgBYAFgAWABYAFgAWABcACIALAAgAFwAIgAgAHQAIABcACIALAAgAFwAIgB0ACAAQwBPADIAIAAtACAAZQAgAC8AIABrAGwAIABcACIAOwBcAG4AIAAgACAAIAAgACAAIAAgAFwAIgBGAHUAZQBsACAALQAgAFMAdABhAHQAaQBvAG4AYQByAHkAIAAtACAATABpAHEAdQBpAGQAXAAiACwAIABcACIAUABlAHQAcgBvAGwAZQB1AG0AIABiAGEAcwBlAGQAIABnAHIAZQBhAHMAZQBz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MAcgB1AGQAZQAgAG8AaQBsACAAaQBuAGMAbAB1AGQAaQBuAGcAIABjAHIAdQBkAGUAIABvAGkAbAAgAGMAbwBuAGQAZQBuAHMAYQB0AGU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8AdABoAGUAcgAgAG4AYQB0AHUAcgBhAGwAIABnAGEAcw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BAHUAdABvAG0AbwB0AGkAdgBlACAAZwBhAHMAbwBsAGkAbgBlACAALwAgAHAAZQB0AHIAbwBs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nAGEAcwBvAGw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wBlAHIAbwBzAGUAbgBlACAAKABvAHQAaABlAHIAIAB0AGgAYQBuACAAZgBvAHIAIAB1AHMAZQAgAGEAcwAgAGYAdQBlAGwAIABpAG4AIABhAG4AIABhAGkAcgBjAHIAYQBmAHQAK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BAHYAaQBhAHQAaQBvAG4AIAB0AHUAcgBiAGkAbgBlACAAZgB1AGUAbAAgAC8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SABlAGEAdABpAG4AZw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QAaQBlAHM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gB1AGUAbAAgAG8Aa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wAaQBxAHUAZQBmAGkAZQBkACAAYQByAG8AbQBhAHQAaQBjACAAaAB5AGQAcgBvAGMAYQByAGIAbwBu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wBvAGwAdgBlAG4AdABzADoAIABtAGkAbgBlAHIAYQBsACAAdAB1AHIAcABlAG4AdABpAG4AZQAgAG8AcgAgAHcAaABpAHQAZQAgAHMAcABpAHIAaQB0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wAGUAdAByAG8AbABlAHUAbQAgAGcAYQBzACAAKABMAFAARw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4AYQBwAGgAdABoAGE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ABlAHQAcgBvAGwAZQB1AG0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gBlAGYAaQBuAGUAcgB5ACAAZwBhAHMAIABhAG4AZAAgAGwAaQBxAHUAaQBkAHM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jAG8AawBl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UABlAHQAcgBvAGwAZQB1AG0AIABiAGEAcwBlAGQAIABwAHIAbwBkAHUAYwB0AHMAIABvAHQAaABlAHIAIAB0AGgAYQBuACAAbQBlAG4AdABpAG8AbgBlAGQAIABpAG4AIAB0AGgAZQAgAGkAdABlAG0AcwAgAGEAYgBvAHY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CAGkAbwBkAGkAZQBzAGU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FAHQAaABhAG4AbwBsACAAZgBvAHIAIAB1AHMAZQAgAGEAcwAgAGEAIABmAHUAZQBsACAAaQBuACAAYQBuACAAaQBuAHQAZQByAG4AYQBsACAAYwBvAG0AYgB1AHMAdABpAG8AbgAgAGUAbgBnAGkAb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YAdQBlAGwAcwAgAG8AdABoAGUAcgAgAHQAaABhAG4AIAB0AGgAbwBzAGUAIABtAGUAbgB0AGkAbwBuAGUAZAAgAGkAbgAgAHQAaABlACAAaQB0AGUAbQBzACAAYQBiAG8AdgBlACAAYQBuAGQAIABiAGUAbABvAHc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hAHYAaQBhAHQAaQBvAG4AIABrAGUAcgBvAHMAZ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UgBlAG4AZQB3AGEAYgBsAGUAIABkAGkAZQBzAGUAbABcACIALAAgAFwAIgBMAG8AYwBhAHQAaQBvAG4AIABuAG8AdAAgAHMAcABlAGMAaQBmAGkAZQBkAFwAIgAsACAAXAAiAGsAbABcACIALAAgAFwAIgBYAFgAWABYAFgAWABcACIALAAgAFwAIgB0AFwAIgAsACAAXAAiAHQAIABDAE8AMgAgAC0AIABlACAALwAgAGsAbAAg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RwBhAHMAZQBvAHUAcwBcAG4APQA9AD0APQA9AD0APQA9AD0APQA9AD0APQA9AD0APQA9AD0APQA9AD0APQA9AD0APQA9AD0APQA9AD0APQA9AD0APQA9AD0APQA9AD0APQA9AD0APQA9AD0APQA9AD0APQA9AD0APQA9AD0APQA9AD0APQA9AD0APQA9AD0APQA9AD0APQA9AD0APQA9AD0APQA9AD0APQBcAG4AKgAvAFwAbgBcAG4AUwBjAG8AcABlADMAXwBGAHUAZQBsAFMAdABhAHQAaQBvAG4AYQByAHkARwBhAHMAZQBvAHUAcwBUAGkAdABsAGUAXABuAD0ATABBAE0AQgBEAEEAKAAoAFwAIgBGAHUAZQBsACAALQAgAFMAdABhAHQAaQBvAG4AYQByAHkAIAAtACAARwBhAHMAZQBvAHUAcwAgAHMAYwBvAHAAZQAgADMAXAAiACkAKQA7AFwAbgBcAG4AUwBjAG8AcABlADMAXwBGAHUAZQBsAFMAdABhAHQAaQBvAG4AYQByAHkARwBhAHMAZQBvAHUAc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TAHQAYQB0AGkAbwBuAGEAcgB5AEcAYQBzAGUAbwB1AHM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CcARgB1AGUAbAAgAFMAbwB1AHIAYwBlACAARABhAHQAYQAnAFwAIgApACkAOwBcAG4AXABuAFMAYwBvAHAAZQAzAF8ARgB1AGUAbABTAHQAYQB0AGkAbwBuAGEAcgB5AEcAYQBzAGUAbwB1AHM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UwB0AGEAdABpAG8AbgBhAHIAeQAgAC0AIABHAGEAcwBlAG8AdQBzAFwAIgAsACAAXAAiAE4AYQB0AHUAcgBhAGwAIABnAGEAcwAgAGQAaQBzAHQAcgBpAGIAdQB0AGUAZAAgAGkAbgAgAGEAIABwAGkAcABlAGwAaQBuAGUAIAAtACAARwBpAGcAYQBqAG8AdQBsAGUAcwBcACIALAAgAFwAIgBOAGUAdwAgAFMAbwB1AHQAaAAgAFcAYQBsAGUAcw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EEAQwBU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UQB1AGUAZQBuAHMAbABhAG4AZA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MAbwB1AHQAaA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VABhAHMAbQBhAG4AaQBh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TgBvAHIAdABoAGUAcgBuACAAVABlAHIAcgBpAHQAbwByAHk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ZQB3ACAAUwBvAHUAdABoACAAVwBhAGwAZQBz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BAEMAVA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gBpAGMAdABvAHI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RAHUAZQBlAG4AcwBsAGEAbgBk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TAG8AdQB0AGg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wBlAHMAdABlAHIAbg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UAGEAcwBtAGEAbg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4AbwByAHQAaABlAHIAbgAgAFQAZQByAHIAaQB0AG8AcgB5AFwAIgAsACAAXAAiAEcAagBcACIALAAgAFwAIgBYAFgAWABYAFgAWABcACIALAAgAFwAIgB0AFwAIgAsACAAXAAiAHQAIABDAE8AMgAgAC0AIABlACAALwAgAEcAag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QBsAGUAYwB0AHIAaQBjAGkAdAB5ACAALQAgAFMAdABhAHQAZQAgAEcAcgBpAGQAXABuAD0APQA9AD0APQA9AD0APQA9AD0APQA9AD0APQA9AD0APQA9AD0APQA9AD0APQA9AD0APQA9AD0APQA9AD0APQA9AD0APQA9AD0APQA9AD0APQA9AD0APQA9AD0APQA9AD0APQA9AD0APQA9AD0APQA9AD0APQA9AD0APQA9AD0APQA9AD0APQA9AD0APQA9AD0APQA9AD0AXABuACoALwBcAG4AXABuAFMAYwBvAHAAZQAzAF8ARQBsAGUAYwB0AHIAaQBjAGkAdAB5AF8AVABpAHQAbABlAFwAbgA9AEwAQQBNAEIARABBACgAKABcACIARQBsAGUAYwB0AHIAaQBjAGkAdAB5ACAALQAgAFMAdABhAHQAZQAgAEcAcgBpAGQAIABzAGMAbwBwAGUAIAAzAFwAIgApACkAOwBcAG4AXABuAFMAYwBvAHAAZQAzAF8ARQBsAGUAYwB0AHIAaQBjAGkAdAB5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UAbABlAGMAdAByAGkAYwBpAHQAeQ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AnAEUAbABlAGMAdAByAGkAYwBpAHQAeQAgAFMAbwB1AHIAYwBlACAARABhAHQAYQAnAFwAIgApACkAOwBcAG4AXABuAFMAYwBvAHAAZQAzAF8ARQBsAGUAYwB0AHIAaQBjAGkAdAB5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UAbABlAGMAdAByAGkAYwBpAHQAeQBcACIALAAgAFwAIgBTAHQAYQB0AGUAIABHAHIAaQBkAFwAIgAsACAAXAAiAE4AZQB3ACAAUwBvAHUAdABoACAAVwBhAGwAZQBzAFwAIgAsACAAXAAiAGsAVwBoAFwAIgAsACAAXAAiAFgAWABYAFgAWABYAFwAIgAsACAAXAAiAHQAXAAiACwAIABcACIAdAAgAEMATwAyACAALQAgAGUAIAAvACAARwBqAFwAIgA7AFwAbgAgACAAIAAgACAAIAAgACAAXAAiAEUAbABlAGMAdAByAGkAYwBpAHQAeQBcACIALAAgAFwAIgBTAHQAYQB0AGUAIABHAHIAaQBkAFwAIgAsACAAXAAiAEEAQwBUAFwAIgAsACAAXAAiAGsAVwBoAFwAIgAsACAAXAAiAFgAWABYAFgAWABYAFwAIgAsACAAXAAiAHQAXAAiACwAIABcACIAdAAgAEMATwAyACAALQAgAGUAIAAvACAARwBqAFwAIgA7AFwAbgAgACAAIAAgACAAIAAgACAAXAAiAEUAbABlAGMAdAByAGkAYwBpAHQAeQBcACIALAAgAFwAIgBTAHQAYQB0AGUAIABHAHIAaQBkAFwAIgAsACAAXAAiAFYAaQBjAHQAbwByAGkAYQBcACIALAAgAFwAIgBrAFcAaABcACIALAAgAFwAIgBYAFgAWABYAFgAWABcACIALAAgAFwAIgB0AFwAIgAsACAAXAAiAHQAIABDAE8AMgAgAC0AIABlACAALwAgAEcAagBcACIAOwBcAG4AIAAgACAAIAAgACAAIAAgAFwAIgBFAGwAZQBjAHQAcgBpAGMAaQB0AHkAXAAiACwAIABcACIAUwB0AGEAdABlACAARwByAGkAZABcACIALAAgAFwAIgBRAHUAZQBlAG4AcwBsAGEAbgBkAFwAIgAsACAAXAAiAGsAVwBoAFwAIgAsACAAXAAiAFgAWABYAFgAWABYAFwAIgAsACAAXAAiAHQAXAAiACwAIABcACIAdAAgAEMATwAyACAALQAgAGUAIAAvACAARwBqAFwAIgA7AFwAbgAgACAAIAAgACAAIAAgACAAXAAiAEUAbABlAGMAdAByAGkAYwBpAHQAeQBcACIALAAgAFwAIgBTAHQAYQB0AGUAIABHAHIAaQBkAFwAIgAsACAAXAAiAFMAbwB1AHQAaAAgAEEAdQBzAHQAcgBhAGwAaQBh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TAG8AdQB0AGgAIABXAGUAcwB0ACAASQBuAHQAZQByAGMAbwBuAG4AZQBjAHQAZQBkACAAUwB5AHMAdABlAG0AIAAoAFMAVwBJAFMAK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TgBvAHIAdABoACAAVwBlAHMAdABlAHIAbgAgAEkAbgB0AGUAcgBjAG8AbgBuAGUAYwB0AGUAZAAgAFMAeQBzAHQAZQBtACAAKABOAFcASQBTACkAXAAiACwAIABcACIAawBXAGgAXAAiACwAIABcACIAWABYAFgAWABYAFgAXAAiACwAIABcACIAdABcACIALAAgAFwAIgB0ACAAQwBPADIAIAAtACAAZQAgAC8AIABHAGoAXAAiADsAXABuACAAIAAgACAAIAAgACAAIABcACIARQBsAGUAYwB0AHIAaQBjAGkAdAB5AFwAIgAsACAAXAAiAFMAdABhAHQAZQAgAEcAcgBpAGQAXAAiACwAIABcACIAVABhAHMAbQBhAG4AaQBhAFwAIgAsACAAXAAiAGsAVwBoAFwAIgAsACAAXAAiAFgAWABYAFgAWABYAFwAIgAsACAAXAAiAHQAXAAiACwAIABcACIAdAAgAEMATwAyACAALQAgAGUAIAAvACAARwBqAFwAIgA7AFwAbgAgACAAIAAgACAAIAAgACAAXAAiAEUAbABlAGMAdAByAGkAYwBpAHQAeQBcACIALAAgAFwAIgBTAHQAYQB0AGUAIABHAHIAaQBkAFwAIgAsACAAXAAiAE4AbwByAHQAaABlAHIAbgAgAFQAZQByAHIAaQB0AG8AcgB5ACAALQAgAEQAYQByAHcAaQBuACAASwBhAHQAaABlAHIAaQBuAGUAIABJAG4AdABlAHIAYwBvAG4AbgBlAGMAdABlAGQAIABTAHkAcwB0AGUAbQAgACgARABLAEkAUwApAFwAIgAsACAAXAAiAGsAVwBoAFwAIgAsACAAXAAiAFgAWABYAFgAWABYAFwAIgAsACAAXAAiAHQAXAAiACwAIABcACIAdAAgAEMATwAyACAALQAgAGUAIAAvACAARwBqAFwAIgA7AFwAbgAgACAAIAAgACAAIAAgACAAXAAiAEUAbABlAGMAdAByAGkAYwBpAHQAeQBcACIALAAgAFwAIgBTAHQAYQB0AGUAIABHAHIAaQBkAFwAIgAsACAAXAAiAE4AYQB0AGkAbwBuAGEAbABcACIALAAgAFwAIgBrAFcAaABcACIALAAgAFwAIgBYAFgAWABYAFgAWABcACIALAAgAFwAIgB0AFwAIgAsACAAXAAiAHQAIABDAE8AMgAgAC0AIABlACAALwAgAEcAagBcACIAXABuACAAIAAgACAAIAAgAH0ALAAgAHIALAAgAGMAKQBcAG4AKQAp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cgBnAGEAbgBpAGMARgBlAHIAdABpAGwAaQBzAGUAcgBzAF8AVABpAHQAbABlACIALAAiAFMAYwBvAHAAZQAzAF8AUwBvAHUAcgBjAGUARABhAHQAYQAuAFMAYwBvAHAAZQAzAF8ATwByAGcAYQBuAGkAYwBGAGUAcgB0AGkAbABpAHMAZQByAHMAXwBTAG8AdQByAGMAZQAiACwAIgBTAGMAbwBwAGUAMwBfAFMAbwB1AHIAYwBlAEQAYQB0AGEALgBTAGMAbwBwAGUAMwBfAE8AcgBnAGEAbgBpAGMARgBlAHIAdABpAGwAaQBzAGUAcgBzAF8AVgBhAHIAaQBhAHQAaQBvAG4AIgAsACIAUwBjAG8AcABlADMAXwBTAG8AdQByAGMAZQBEAGEAdABhAC4AUwBjAG8AcABlADMAXwBPAHIAZwBhAG4AaQBjAEYAZQByAHQAaQBsAGkAcwBlAHI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TAGMAbwBwAGUAMwBfAFMAbwB1AHIAYwBlAEQAYQB0AGEALgBTAGMAbwBwAGUAMwBfAEEAZwByAG8AYwBoAGUAbQBpAGMAYQBsAHMAXwBUAGkAdABsAGUAIgAsACIAUwBjAG8AcABlADMAXwBTAG8AdQByAGMAZQBEAGEAdABhAC4AUwBjAG8AcABlADMAXwBBAGcAcgBvAGMAaABlAG0AaQBjAGEAbABzAF8AUwBvAHUAcgBjAGUAIgAsACIAUwBjAG8AcABlADMAXwBTAG8AdQByAGMAZQBEAGEAdABhAC4AUwBjAG8AcABlADMAXwBBAGcAcgBvAGMAaABlAG0AaQBjAGEAbABzAF8AVgBhAHIAaQBhAHQAaQBvAG4AIgAsACIAUwBjAG8AcABlADMAXwBTAG8AdQByAGMAZQBEAGEAdABhAC4AUwBjAG8AcABlADMAXwBBAGcAcgBvAGMAaABlAG0AaQBjAGEAbABzAF8ARABhAHQAYQAiACwAIgBTAGMAbwBwAGUAMwBfAFMAbwB1AHIAYwBlAEQAYQB0AGEALgBTAGMAbwBwAGUAMwBfAEwAaQBjAGsAQgBsAG8AYwBrAHMAXwBUAGkAdABsAGUAIgAsACIAUwBjAG8AcABlADMAXwBTAG8AdQByAGMAZQBEAGEAdABhAC4AUwBjAG8AcABlADMAXwBMAGkAYwBrAEIAbABvAGMAawBzAF8AUwBvAHUAcgBjAGUAIgAsACIAUwBjAG8AcABlADMAXwBTAG8AdQByAGMAZQBEAGEAdABhAC4AUwBjAG8AcABlADMAXwBMAGkAYwBrAEIAbABvAGMAawBzAF8AVgBhAHIAaQBhAHQAaQBvAG4AIgAsACIAUwBjAG8AcABlADMAXwBTAG8AdQByAGMAZQBEAGEAdABhAC4AUwBjAG8AcABlADMAXwBMAGkAYwBrAEIAbABvAGMAawBzAF8ARABhAHQAYQAiACwAIgBTAGMAbwBwAGUAMwBfAFMAbwB1AHIAYwBlAEQAYQB0AGEALgBTAGMAbwBwAGUAMwBfAEEAbgBpAG0AYQBsAEYAZQBlAGQAXwBUAGkAdABsAGUAIgAsACIAUwBjAG8AcABlADMAXwBTAG8AdQByAGMAZQBEAGEAdABhAC4AUwBjAG8AcABlADMAXwBBAG4AaQBtAGEAbABGAGUAZQBkAF8AUwBvAHUAcgBjAGUAIgAsACIAUwBjAG8AcABlADMAXwBTAG8AdQByAGMAZQBEAGEAdABhAC4AUwBjAG8AcABlADMAXwBBAG4AaQBtAGEAbABGAGUAZQBkAF8AVgBhAHIAaQBhAHQAaQBvAG4AIgAsACIAUwBjAG8AcABlADMAXwBTAG8AdQByAGMAZQBEAGEAdABhAC4AUwBjAG8AcABlADMAXwBBAG4AaQBtAGEAbABGAGUAZQBkAF8ARABhAHQAYQAiACwAIgBTAGMAbwBwAGUAMwBfAFMAbwB1AHIAYwBlAEQAYQB0AGEALgBTAGMAbwBwAGUAMwBfAEEAcQB1AGEAYwB1AGwAdAB1AHIAZQBGAGUAZQBkAEEAbgBkAEIAYQBpAHQAXwBUAGkAdABsAGUAIgAsACIAUwBjAG8AcABlADMAXwBTAG8AdQByAGMAZQBEAGEAdABhAC4AUwBjAG8AcABlADMAXwBBAHEAdQBhAGMAdQBsAHQAdQByAGUARgBlAGUAZABBAG4AZABCAGEAaQB0AF8AUwBvAHUAcgBjAGUAIgAsACIAUwBjAG8AcABlADMAXwBTAG8AdQByAGMAZQBEAGEAdABhAC4AUwBjAG8AcABlADMAXwBBAHEAdQBhAGMAdQBsAHQAdQByAGUARgBlAGUAZABBAG4AZABCAGEAaQB0AF8AVgBhAHIAaQBhAHQAaQBvAG4AIgAsACIAUwBjAG8AcABlADMAXwBTAG8AdQByAGMAZQBEAGEAdABhAC4AUwBjAG8AcABlADMAXwBBAHEAdQBhAGMAdQBsAHQAdQByAGUARgBlAGUAZABBAG4AZABCAGEAaQB0AF8ARABhAHQAYQ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wBlAGUAZABzAEEAbgBkAFMAZQBlAGQAbABpAG4AZwBzAF8AVABpAHQAbABlACIALAAiAFMAYwBvAHAAZQAzAF8AUwBvAHUAcgBjAGUARABhAHQAYQAuAFMAYwBvAHAAZQAzAF8AUwBlAGUAZABzAEEAbgBkAFMAZQBlAGQAbABpAG4AZwBzAF8AUwBvAHUAcgBjAGUAIgAsACIAUwBjAG8AcABlADMAXwBTAG8AdQByAGMAZQBEAGEAdABhAC4AUwBjAG8AcABlADMAXwBTAGUAZQBkAHMAQQBuAGQAUwBlAGUAZABsAGkAbgBnAHMAXwBWAGEAcgBpAGEAdABpAG8AbgAiACwAIgBTAGMAbwBwAGUAMwBfAFMAbwB1AHIAYwBlAEQAYQB0AGEALgBTAGMAbwBwAGUAMwBfAFMAZQBlAGQAcwBBAG4AZABTAGUAZQBkAGwAaQBuAGcAcwBfAEQAYQB0AGEAIgAsACIAUwBjAG8AcABlADMAXwBTAG8AdQByAGMAZQBEAGEAdABhAC4AUwBjAG8AcABlADMAXwBDAGwAZQBhAG4AaQBuAGcAQwBoAGUAbQBpAGMAYQBsAHMAXwBUAGkAdABsAGUAIgAsACIAUwBjAG8AcABlADMAXwBTAG8AdQByAGMAZQBEAGEAdABhAC4AUwBjAG8AcABlADMAXwBDAGwAZQBhAG4AaQBuAGcAQwBoAGUAbQBpAGMAYQBsAHMAXwBTAG8AdQByAGMAZQAiACwAIgBTAGMAbwBwAGUAMwBfAFMAbwB1AHIAYwBlAEQAYQB0AGEALgBTAGMAbwBwAGUAMwBfAEMAbABlAGEAbgBpAG4AZwBDAGgAZQBtAGkAYwBhAGwAcwBfAFYAYQByAGkAYQB0AGkAbwBuACIALAAiAFMAYwBvAHAAZQAzAF8AUwBvAHUAcgBjAGUARABhAHQAYQAuAFMAYwBvAHAAZQAzAF8AQwBsAGUAYQBuAGkAbgBnAEMAaABlAG0AaQBjAGEAbABzAF8ARABhAHQAYQAiACwAIgBTAGMAbwBwAGUAMwBfAFMAbwB1AHIAYwBlAEQAYQB0AGEALgBTAGMAbwBwAGUAMwBfAFAAaABhAHIAbQBhAGMAeQBDAGgAZQBtAGkAYwBhAGwAcwBfAFQAaQB0AGwAZQAiACwAIgBTAGMAbwBwAGUAMwBfAFMAbwB1AHIAYwBlAEQAYQB0AGEALgBTAGMAbwBwAGUAMwBfAFAAaABhAHIAbQBhAGMAeQBDAGgAZQBtAGkAYwBhAGwAcwBfAFMAbwB1AHIAYwBlACIALAAiAFMAYwBvAHAAZQAzAF8AUwBvAHUAcgBjAGUARABhAHQAYQAuAFMAYwBvAHAAZQAzAF8AUABoAGEAcgBtAGEAYwB5AEMAaABlAG0AaQBjAGEAbABzAF8AVgBhAHIAaQBhAHQAaQBvAG4AIgAsACIAUwBjAG8AcABlADMAXwBTAG8AdQByAGMAZQBEAGEAdABhAC4AUwBjAG8AcABlADMAXwBQAGgAYQByAG0AYQBjAHkAQwBoAGUAbQBpAGMAYQBsAHMAXwBEAGEAdABhACIALAAiAFMAYwBvAHAAZQAzAF8AUwBvAHUAcgBjAGUARABhAHQAYQAuAFMAYwBvAHAAZQAzAF8ATwB0AGgAZQByAEEAZwByAGkAYwB1AGwAdAB1AHIAYQBsAEkAbgBwAHUAdABzAF8AVABpAHQAbABlACIALAAiAFMAYwBvAHAAZQAzAF8AUwBvAHUAcgBjAGUARABhAHQAYQAuAFMAYwBvAHAAZQAzAF8ATwB0AGgAZQByAEEAZwByAGkAYwB1AGwAdAB1AHIAYQBsAEkAbgBwAHUAdABzAF8AUwBvAHUAcgBjAGUAIgAsACIAUwBjAG8AcABlADMAXwBTAG8AdQByAGMAZQBEAGEAdABhAC4AUwBjAG8AcABlADMAXwBPAHQAaABlAHIAQQBnAHIAaQBjAHUAbAB0AHUAcgBhAGwASQBuAHAAdQB0AHMAXwBWAGEAcgBpAGEAdABpAG8AbgAiACwAIgBTAGMAbwBwAGUAMwBfAFMAbwB1AHIAYwBlAEQAYQB0AGEALgBTAGMAbwBwAGUAMwBfAE8AdABoAGUAcgBBAGcAcgBpAGMAdQBsAHQAdQByAGEAbABJAG4AcAB1AHQAcwBfAEQAYQB0AGEAIgAsACIAUwBjAG8AcABlADMAXwBTAG8AdQByAGMAZQBEAGEAdABhAC4AUwBjAG8AcABlADMAXwBGAHUAZQBsAFQAcgBhAG4AcwBwAG8AcgB0AF8AVABpAHQAbABlACIALAAiAFMAYwBvAHAAZQAzAF8AUwBvAHUAcgBjAGUARABhAHQAYQAuAFMAYwBvAHAAZQAzAF8ARgB1AGUAbABUAHIAYQBuAHMAcABvAHIAdABfAFMAbwB1AHIAYwBlACIALAAiAFMAYwBvAHAAZQAzAF8AUwBvAHUAcgBjAGUARABhAHQAYQAuAFMAYwBvAHAAZQAzAF8ARgB1AGUAbABUAHIAYQBuAHMAcABvAHIAdABfAFYAYQByAGkAYQB0AGkAbwBuACIALAAiAFMAYwBvAHAAZQAzAF8AUwBvAHUAcgBjAGUARABhAHQAYQAuAFMAYwBvAHAAZQAzAF8ARgB1AGUAbABUAHIAYQBuAHMAcABvAHIAdABfAEQAYQB0AGEAIgAsACIAUwBjAG8AcABlADMAXwBTAG8AdQByAGMAZQBEAGEAdABhAC4AUwBjAG8AcABlADMAXwBGAHUAZQBsAFMAdABhAHQAaQBvAG4AYQByAHkATABpAHEAdQBpAGQAXwBUAGkAdABsAGUAIgAsACIAUwBjAG8AcABlADMAXwBTAG8AdQByAGMAZQBEAGEAdABhAC4AUwBjAG8AcABlADMAXwBGAHUAZQBsAFMAdABhAHQAaQBvAG4AYQByAHkATABpAHEAdQBpAGQAXwBTAG8AdQByAGMAZQAiACwAIgBTAGMAbwBwAGUAMwBfAFMAbwB1AHIAYwBlAEQAYQB0AGEALgBTAGMAbwBwAGUAMwBfAEYAdQBlAGwAUwB0AGEAdABpAG8AbgBhAHIAeQBMAGkAcQB1AGkAZABfAFYAYQByAGkAYQB0AGkAbwBuACIALAAiAFMAYwBvAHAAZQAzAF8AUwBvAHUAcgBjAGUARABhAHQAYQAuAFMAYwBvAHAAZQAzAF8ARgB1AGUAbABTAHQAYQB0AGkAbwBuAGEAcgB5AEwAaQBxAHUAaQBkAF8ARABhAHQAYQAiACwAIgBTAGMAbwBwAGUAMwBfAFMAbwB1AHIAYwBlAEQAYQB0AGEALgBTAGMAbwBwAGUAMwBfAEYAdQBlAGwAUwB0AGEAdABpAG8AbgBhAHIAeQBHAGEAcwBlAG8AdQBzAFQAaQB0AGwAZQAiACwAIgBTAGMAbwBwAGUAMwBfAFMAbwB1AHIAYwBlAEQAYQB0AGEALgBTAGMAbwBwAGUAMwBfAEYAdQBlAGwAUwB0AGEAdABpAG8AbgBhAHIAeQBHAGEAcwBlAG8AdQBzAFMAbwB1AHIAYwBlACIALAAiAFMAYwBvAHAAZQAzAF8AUwBvAHUAcgBjAGUARABhAHQAYQAuAFMAYwBvAHAAZQAzAF8ARgB1AGUAbABTAHQAYQB0AGkAbwBuAGEAcgB5AEcAYQBzAGUAbwB1AHMAVgBhAHIAaQBhAHQAaQBvAG4AIgAsACIAUwBjAG8AcABlADMAXwBTAG8AdQByAGMAZQBEAGEAdABhAC4AUwBjAG8AcABlADMAXwBGAHUAZQBsAFMAdABhAHQAaQBvAG4AYQByAHkARwBhAHMAZQBvAHUAcwBEAGEAdABhACIALAAiAFMAYwBvAHAAZQAzAF8AUwBvAHUAcgBjAGUARABhAHQAYQAuAFMAYwBvAHAAZQAzAF8ARQBsAGUAYwB0AHIAaQBjAGkAdAB5AF8AVABpAHQAbABlACIALAAiAFMAYwBvAHAAZQAzAF8AUwBvAHUAcgBjAGUARABhAHQAYQAuAFMAYwBvAHAAZQAzAF8ARQBsAGUAYwB0AHIAaQBjAGkAdAB5AF8AUwBvAHUAcgBjAGUAIgAsACIAUwBjAG8AcABlADMAXwBTAG8AdQByAGMAZQBEAGEAdABhAC4AUwBjAG8AcABlADMAXwBFAGwAZQBjAHQAcgBpAGMAaQB0AHkAXwBWAGEAcgBpAGEAdABpAG8AbgAiACwAIgBTAGMAbwBwAGUAMwBfAFMAbwB1AHIAYwBlAEQAYQB0AGEALgBTAGMAbwBwAGUAMwBfAEUAbABlAGMAdAByAGkAYwBpAHQAeQ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Input - Site</vt:lpstr>
      <vt:lpstr>Input - Fertiliser</vt:lpstr>
      <vt:lpstr>Input - Feed - Dairy</vt:lpstr>
      <vt:lpstr>Input - Other Farm Inputs</vt:lpstr>
      <vt:lpstr>Input - Fuel</vt:lpstr>
      <vt:lpstr>Input - Electricity</vt:lpstr>
      <vt:lpstr>Input - Livestock</vt:lpstr>
      <vt:lpstr>Calcs -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2026-05-26T06:02:38Z</dcterms:modified>
</cp:coreProperties>
</file>