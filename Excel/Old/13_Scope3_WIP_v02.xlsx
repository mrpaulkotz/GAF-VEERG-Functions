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9DADE5F3-5D77-4CB9-BECC-646C114564E9}" xr6:coauthVersionLast="47" xr6:coauthVersionMax="47" xr10:uidLastSave="{00000000-0000-0000-0000-000000000000}"/>
  <bookViews>
    <workbookView xWindow="360" yWindow="0" windowWidth="37920" windowHeight="20700" firstSheet="3" activeTab="6" xr2:uid="{992023F3-CAB7-4E5B-A348-08D563A0EF40}"/>
  </bookViews>
  <sheets>
    <sheet name="Home" sheetId="71" r:id="rId1"/>
    <sheet name="Overview" sheetId="118" r:id="rId2"/>
    <sheet name="Results" sheetId="13" r:id="rId3"/>
    <sheet name="Input - Site" sheetId="15" r:id="rId4"/>
    <sheet name="Input - Fertiliser" sheetId="70" r:id="rId5"/>
    <sheet name="Input - Fuel" sheetId="124" r:id="rId6"/>
    <sheet name="Sheet3" sheetId="125" r:id="rId7"/>
    <sheet name="5.1.1.1-2 Inorganic fert N2O" sheetId="69" r:id="rId8"/>
    <sheet name="5.1.1.3-4 Inorganic fert CO2" sheetId="74" r:id="rId9"/>
    <sheet name="5.2.1.1-2 Organic Fert N2O" sheetId="113" r:id="rId10"/>
    <sheet name="5.3.1.1-2 Lime CO2" sheetId="114" r:id="rId11"/>
    <sheet name="5.4.1.1-4 Atmos deposition" sheetId="115" r:id="rId12"/>
    <sheet name="5.5.1.1-2 Leaching and runoff" sheetId="116" r:id="rId13"/>
    <sheet name="Constants - Fertiliser" sheetId="110" r:id="rId14"/>
    <sheet name="Constants - Fuel" sheetId="123" r:id="rId15"/>
    <sheet name="Constants - Common" sheetId="111" r:id="rId16"/>
  </sheets>
  <externalReferences>
    <externalReference r:id="rId17"/>
  </externalReferences>
  <definedNames>
    <definedName name="_Toc225350871" localSheetId="11">'5.4.1.1-4 Atmos deposition'!$C$1</definedName>
    <definedName name="_Toc225350871" localSheetId="12">'5.5.1.1-2 Leaching and runoff'!$C$1</definedName>
    <definedName name="Common_Equations.Common_ConvertCH4ToCO2e" localSheetId="14">_xlfn.LAMBDA(_xlpm.E_CH4,_xlpm.GWP_CH4, _xlpm.E_CH4 * _xlpm.GWP_CH4)</definedName>
    <definedName name="Common_Equations.Common_ConvertCH4ToCO2e" localSheetId="5">_xlfn.LAMBDA(_xlpm.E_CH4,_xlpm.GWP_CH4, _xlpm.E_CH4 * _xlpm.GWP_CH4)</definedName>
    <definedName name="Common_Equations.Common_ConvertCH4ToCO2e">_xlfn.LAMBDA(_xlpm.E_CH4,_xlpm.GWP_CH4, _xlpm.E_CH4 * _xlpm.GWP_CH4)</definedName>
    <definedName name="Common_Equations.Common_ConvertCH4ToCO2e_Arguments" localSheetId="14">_xlfn.LAMBDA(_xlfn.MAKEARRAY(2, 2, _xlfn.LAMBDA(_xlpm.r,_xlpm.c, INDEX({"ECH4","Methane emissions (t CH4)";"GWPCH4","Global warming potential for methane (t CO2-e / t CH4)"}, _xlpm.r, _xlpm.c))))</definedName>
    <definedName name="Common_Equations.Common_ConvertCH4ToCO2e_Arguments" localSheetId="5">_xlfn.LAMBDA(_xlfn.MAKEARRAY(2, 2, _xlfn.LAMBDA(_xlpm.r,_xlpm.c, INDEX({"ECH4","Methane emissions (t CH4)";"GWPCH4","Global warming potential for methane (t CO2-e / t CH4)"}, _xlpm.r, _xlpm.c))))</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 localSheetId="14">_xlfn.LAMBDA(_xlpm.E_N2O,_xlpm.GWP_N2O, _xlpm.E_N2O * _xlpm.GWP_N2O)</definedName>
    <definedName name="Common_Equations.Common_ConvertN2OToCO2e" localSheetId="5">_xlfn.LAMBDA(_xlpm.E_N2O,_xlpm.GWP_N2O, _xlpm.E_N2O * _xlpm.GWP_N2O)</definedName>
    <definedName name="Common_Equations.Common_ConvertN2OToCO2e">_xlfn.LAMBDA(_xlpm.E_N2O,_xlpm.GWP_N2O, _xlpm.E_N2O * _xlpm.GWP_N2O)</definedName>
    <definedName name="Common_Equations.Common_ConvertN2OToCO2e_Arguments" localSheetId="14">_xlfn.LAMBDA(_xlfn.MAKEARRAY(2, 2, _xlfn.LAMBDA(_xlpm.r,_xlpm.c, INDEX({"EN2O","Nitrous oxide emissions (t N2O)";"GWPN2O","Global warming potential for nitrous oxide (t CO2-e / t N2O)"}, _xlpm.r, _xlpm.c))))</definedName>
    <definedName name="Common_Equations.Common_ConvertN2OToCO2e_Arguments" localSheetId="5">_xlfn.LAMBDA(_xlfn.MAKEARRAY(2, 2, _xlfn.LAMBDA(_xlpm.r,_xlpm.c, INDEX({"EN2O","Nitrous oxide emissions (t N2O)";"GWPN2O","Global warming potential for nitrous oxide (t CO2-e / t N2O)"}, _xlpm.r, _xlpm.c))))</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 localSheetId="14">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_GetMCFTemperatureZone" localSheetId="5">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 localSheetId="14">_xlfn.LAMBDA(_xlpm.LeachingZone,_xlpm.ProductionSystem,_xlpm.LeachingZoneLookup,_xlpm.LeachingZoneFracWETLookup,_xlpm.ProductionSystemLookup,_xlpm.ProductionSystemFracWETLookup, _xlfn.LET(_xlpm.LeachingZoneFracWET, 'Constants - Fuel'!Common_InputFunctions.Utility_LookupValueInTableNumber(_xlpm.LeachingZone, _xlpm.LeachingZoneLookup, _xlpm.LeachingZoneFracWETLookup), _xlpm.ProductionSystemFracWET, 'Constants - Fuel'!Common_InputFunctions.Utility_LookupValueInTableNumber(_xlpm.ProductionSystem, _xlpm.ProductionSystemLookup, _xlpm.ProductionSystemFracWETLookup), IF(_xlpm.LeachingZoneFracWET + _xlpm.ProductionSystemFracWET &gt; 0, 1, 0)))</definedName>
    <definedName name="Common_InputFunctions.CommonCropping_GetFracWET" localSheetId="5">_xlfn.LAMBDA(_xlpm.LeachingZone,_xlpm.ProductionSystem,_xlpm.LeachingZoneLookup,_xlpm.LeachingZoneFracWETLookup,_xlpm.ProductionSystemLookup,_xlpm.ProductionSystemFracWETLookup, _xlfn.LET(_xlpm.LeachingZoneFracWET, 'Input - Fuel'!Common_InputFunctions.Utility_LookupValueInTableNumber(_xlpm.LeachingZone, _xlpm.LeachingZoneLookup, _xlpm.LeachingZoneFracWETLookup), _xlpm.ProductionSystemFracWET, 'Input - Fuel'!Common_InputFunctions.Utility_LookupValueInTableNumber(_xlpm.ProductionSystem, _xlpm.ProductionSystemLookup, _xlpm.ProductionSystemFracWETLookup), IF(_xlpm.LeachingZoneFracWET + _xlpm.ProductionSystemFracWET &gt; 0, 1, 0)))</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 localSheetId="14">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Cycles" localSheetId="5">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 localSheetId="14">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getOverlappingReportingPeriods" localSheetId="5">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 localSheetId="14">_xlfn.LAMBDA(_xlpm.StateCommonName,_xlpm.StateCommonNameArray,_xlpm.StateAbbreviationArray, _xlfn.XLOOKUP(_xlpm.StateCommonName, _xlpm.StateCommonNameArray, _xlpm.StateAbbreviationArray, ""))</definedName>
    <definedName name="Common_InputFunctions.Utility_ConvertStateCommonNameToAbbreviation" localSheetId="5">_xlfn.LAMBDA(_xlpm.StateCommonName,_xlpm.StateCommonNameArray,_xlpm.StateAbbreviationArray, _xlfn.XLOOKUP(_xlpm.StateCommonName, _xlpm.StateCommonNameArray, _xlpm.StateAbbreviationArray,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 localSheetId="14">_xlfn.LAMBDA(_xlpm.ArgumentsArray, _xlfn.CHOOSECOLS(_xlpm.ArgumentsArray, 1, 2))</definedName>
    <definedName name="Common_InputFunctions.Utility_DisplayArguments_1_2" localSheetId="5">_xlfn.LAMBDA(_xlpm.ArgumentsArray, _xlfn.CHOOSECOLS(_xlpm.ArgumentsArray, 1, 2))</definedName>
    <definedName name="Common_InputFunctions.Utility_DisplayArguments_1_2">_xlfn.LAMBDA(_xlpm.ArgumentsArray, _xlfn.CHOOSECOLS(_xlpm.ArgumentsArray, 1, 2))</definedName>
    <definedName name="Common_InputFunctions.Utility_DisplayArguments_3_4" localSheetId="14">_xlfn.LAMBDA(_xlpm.ArgumentsArray, _xlfn.CHOOSECOLS(_xlpm.ArgumentsArray, 3, 4))</definedName>
    <definedName name="Common_InputFunctions.Utility_DisplayArguments_3_4" localSheetId="5">_xlfn.LAMBDA(_xlpm.ArgumentsArray, _xlfn.CHOOSECOLS(_xlpm.ArgumentsArray, 3, 4))</definedName>
    <definedName name="Common_InputFunctions.Utility_DisplayArguments_3_4">_xlfn.LAMBDA(_xlpm.ArgumentsArray, _xlfn.CHOOSECOLS(_xlpm.ArgumentsArray, 3, 4))</definedName>
    <definedName name="Common_InputFunctions.Utility_DisplayArrayInTable" localSheetId="14">_xlfn.LAMBDA(_xlpm.ArrayData,_xlpm.TableheaderCell,_xlpm.RowsBetweenHeaderandArray,_xlop.ColumnsBetweenHeaderAndArray, IFERROR(INDEX(_xlfn.UNIQUE(_xlpm.ArrayData), ROW() - 'Constants - Fuel'!Common_InputFunctions.Utility_GetArrayTableRowStartNumber(_xlpm.TableheaderCell, _xlpm.RowsBetweenHeaderandArray), COLUMN() - 'Constants - Fuel'!Common_InputFunctions.Utility_GetArrayTableColumnStartNumber(_xlpm.TableheaderCell) + IF(_xlfn.ISOMITTED(_xlpm.ColumnsBetweenHeaderAndArray), 1, _xlpm.ColumnsBetweenHeaderAndArray)), ""))</definedName>
    <definedName name="Common_InputFunctions.Utility_DisplayArrayInTable" localSheetId="5">_xlfn.LAMBDA(_xlpm.ArrayData,_xlpm.TableheaderCell,_xlpm.RowsBetweenHeaderandArray,_xlop.ColumnsBetweenHeaderAndArray, IFERROR(INDEX(_xlfn.UNIQUE(_xlpm.ArrayData), ROW() - 'Input - Fuel'!Common_InputFunctions.Utility_GetArrayTableRowStartNumber(_xlpm.TableheaderCell, _xlpm.RowsBetweenHeaderandArray), COLUMN() - 'Input - Fuel'!Common_InputFunctions.Utility_GetArrayTableColumnStartNumber(_xlpm.TableheaderCell) + IF(_xlfn.ISOMITTED(_xlpm.ColumnsBetweenHeaderAndArray), 1, _xlpm.ColumnsBetweenHeaderAndArray)), ""))</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 localSheetId="14">_xlfn.LAMBDA(_xlpm.Function, _xlfn.TEXTBEFORE(_xlfn.FORMULATEXT(_xlpm.Function), "("))</definedName>
    <definedName name="Common_InputFunctions.Utility_DisplayFunctionName" localSheetId="5">_xlfn.LAMBDA(_xlpm.Function, _xlfn.TEXTBEFORE(_xlfn.FORMULATEXT(_xlpm.Function), "("))</definedName>
    <definedName name="Common_InputFunctions.Utility_DisplayFunctionName">_xlfn.LAMBDA(_xlpm.Function, _xlfn.TEXTBEFORE(_xlfn.FORMULATEXT(_xlpm.Function), "("))</definedName>
    <definedName name="Common_InputFunctions.Utility_GetArrayTableColumnStartNumber" localSheetId="14">_xlfn.LAMBDA(_xlpm.TableHeaderCell, COLUMN(_xlpm.TableHeaderCell))</definedName>
    <definedName name="Common_InputFunctions.Utility_GetArrayTableColumnStartNumber" localSheetId="5">_xlfn.LAMBDA(_xlpm.TableHeaderCell, COLUMN(_xlpm.TableHeaderCell))</definedName>
    <definedName name="Common_InputFunctions.Utility_GetArrayTableColumnStartNumber">_xlfn.LAMBDA(_xlpm.TableHeaderCell, COLUMN(_xlpm.TableHeaderCell))</definedName>
    <definedName name="Common_InputFunctions.Utility_GetArrayTableRowStartNumber" localSheetId="14">_xlfn.LAMBDA(_xlpm.TableheaderCell,_xlpm.RowsBetweenHeaderandArray, ROW(_xlpm.TableheaderCell) + _xlpm.RowsBetweenHeaderandArray - 1)</definedName>
    <definedName name="Common_InputFunctions.Utility_GetArrayTableRowStartNumber" localSheetId="5">_xlfn.LAMBDA(_xlpm.TableheaderCell,_xlpm.RowsBetweenHeaderandArray, ROW(_xlpm.TableheaderCell) + _xlpm.RowsBetweenHeaderandArray - 1)</definedName>
    <definedName name="Common_InputFunctions.Utility_GetArrayTableRowStartNumber">_xlfn.LAMBDA(_xlpm.TableheaderCell,_xlpm.RowsBetweenHeaderandArray, ROW(_xlpm.TableheaderCell) + _xlpm.RowsBetweenHeaderandArray - 1)</definedName>
    <definedName name="Common_InputFunctions.Utility_GetClimateZone" localSheetId="14">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GetClimateZone" localSheetId="5">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 localSheetId="14">_xlfn.LAMBDA(_xlpm.LookupValue,_xlpm.MinArray,_xlpm.MaxArray,_xlpm.ItemArray, _xlfn.LET(_xlpm.mask, (VALUE(_xlpm.MinArray) &lt;= _xlpm.LookupValue) * (VALUE(_xlpm.MaxArray) &gt;= _xlpm.LookupValue), _xlfn._xlws.FILTER(_xlpm.ItemArray, _xlpm.mask, "No match")))</definedName>
    <definedName name="Common_InputFunctions.Utility_LookupItemFromMinMax" localSheetId="5">_xlfn.LAMBDA(_xlpm.LookupValue,_xlpm.MinArray,_xlpm.MaxArray,_xlpm.ItemArray, _xlfn.LET(_xlpm.mask, (VALUE(_xlpm.MinArray) &lt;= _xlpm.LookupValue) * (VALUE(_xlpm.MaxArray) &gt;= _xlpm.LookupValue), _xlfn._xlws.FILTER(_xlpm.ItemArray, _xlpm.mask, "No match")))</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 localSheetId="14">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N2OEFFromProdIrrigationRainfall" localSheetId="5">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 localSheetId="14">_xlfn.LAMBDA(_xlpm.LookupValue,_xlpm.LookupArray,_xlpm.ReturnArray, _xlfn.XLOOKUP(_xlpm.LookupValue, _xlpm.LookupArray, _xlpm.ReturnArray, ""))</definedName>
    <definedName name="Common_InputFunctions.Utility_LookupValueInTable" localSheetId="5">_xlfn.LAMBDA(_xlpm.LookupValue,_xlpm.LookupArray,_xlpm.ReturnArray, _xlfn.XLOOKUP(_xlpm.LookupValue, _xlpm.LookupArray, _xlpm.ReturnArray, ""))</definedName>
    <definedName name="Common_InputFunctions.Utility_LookupValueInTable">_xlfn.LAMBDA(_xlpm.LookupValue,_xlpm.LookupArray,_xlpm.ReturnArray, _xlfn.XLOOKUP(_xlpm.LookupValue, _xlpm.LookupArray, _xlpm.ReturnArray, ""))</definedName>
    <definedName name="Common_InputFunctions.Utility_LookupValueInTableNumber" localSheetId="14">_xlfn.LAMBDA(_xlpm.LookupValue,_xlpm.LookupArray,_xlpm.ReturnArray, IF(ISNUMBER(_xlfn.XLOOKUP(_xlpm.LookupValue, _xlpm.LookupArray, _xlpm.ReturnArray, "")), _xlfn.XLOOKUP(_xlpm.LookupValue, _xlpm.LookupArray, _xlpm.ReturnArray, ""), 0))</definedName>
    <definedName name="Common_InputFunctions.Utility_LookupValueInTableNumber" localSheetId="5">_xlfn.LAMBDA(_xlpm.LookupValue,_xlpm.LookupArray,_xlpm.ReturnArray, IF(ISNUMBER(_xlfn.XLOOKUP(_xlpm.LookupValue, _xlpm.LookupArray, _xlpm.ReturnArray, "")), _xlfn.XLOOKUP(_xlpm.LookupValue, _xlpm.LookupArray, _xlpm.ReturnArray, ""), 0))</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 localSheetId="14">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OneColumnAndHeader" localSheetId="5">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 localSheetId="14">_xlfn.LAMBDA(_xlpm.LookupValue1,_xlpm.LookupValue2,_xlpm.LookupArray1,_xlpm.LookupArray2,_xlpm.ReturnArray, _xlfn.XLOOKUP(1, (_xlpm.LookupArray1 = _xlpm.LookupValue1) * (_xlpm.LookupArray2 = _xlpm.LookupValue2), _xlpm.ReturnArray, ""))</definedName>
    <definedName name="Common_InputFunctions.Utility_LookupValueInTableTwoColumns" localSheetId="5">_xlfn.LAMBDA(_xlpm.LookupValue1,_xlpm.LookupValue2,_xlpm.LookupArray1,_xlpm.LookupArray2,_xlpm.ReturnArray, _xlfn.XLOOKUP(1, (_xlpm.LookupArray1 = _xlpm.LookupValue1) * (_xlpm.LookupArray2 = _xlpm.LookupValue2), _xlpm.ReturnArray, ""))</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 localSheetId="14">_xlfn.LAMBDA(_xlpm.TargetCell, _xlfn.LET(_xlpm.sh, _xlfn.TEXTAFTER(CELL("filename", _xlpm.TargetCell), "]"), _xlpm.addr, CELL("address", _xlpm.TargetCell), "#'" &amp; _xlpm.sh &amp; "'!" &amp; _xlpm.addr))</definedName>
    <definedName name="Common_InputFunctions.Utility_SourceHyperlink" localSheetId="5">_xlfn.LAMBDA(_xlpm.TargetCell, _xlfn.LET(_xlpm.sh, _xlfn.TEXTAFTER(CELL("filename", _xlpm.TargetCell), "]"), _xlpm.addr, CELL("address", _xlpm.TargetCell), "#'" &amp; _xlpm.sh &amp; "'!" &amp; _xlpm.addr))</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 localSheetId="14">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plitStringIntoArray" localSheetId="5">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 localSheetId="14">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InputFunctions.Utility_SumQuantityFromCriteria" localSheetId="5">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 localSheetId="14">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Data" localSheetId="5">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 localSheetId="14">_xlfn.LAMBDA(_xlfn.MAKEARRAY(4, 1, _xlfn.LAMBDA(_xlpm.r,_xlpm.c, INDEX({"Note:";"MAT = mean annual temperature";"MAP = mean annual precipitation";"PET = potential evapotranspiration"}, _xlpm.r, _xlpm.c))))</definedName>
    <definedName name="Common_SourceData.Common_SourceData_ClimateZones_Appendices" localSheetId="5">_xlfn.LAMBDA(_xlfn.MAKEARRAY(4, 1, _xlfn.LAMBDA(_xlpm.r,_xlpm.c, INDEX({"Note:";"MAT = mean annual temperature";"MAP = mean annual precipitation";"PET = potential evapotranspiration"}, _xlpm.r, _xlpm.c))))</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 localSheetId="14">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Data" localSheetId="5">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 localSheetId="14">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limateZones_Variation" localSheetId="5">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 localSheetId="14">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Data" localSheetId="5">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 localSheetId="14">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Data" localSheetId="5">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 localSheetId="14">_xlfn.LAMBDA(_xlfn.MAKEARRAY(1, 2, _xlfn.LAMBDA(_xlpm.r,_xlpm.c, INDEX({"EFleach",0.011}, _xlpm.r, _xlpm.c))))</definedName>
    <definedName name="Common_SourceData.Common_SourceData_EFleach_Data" localSheetId="5">_xlfn.LAMBDA(_xlfn.MAKEARRAY(1, 2, _xlfn.LAMBDA(_xlpm.r,_xlpm.c, INDEX({"EFleach",0.011}, _xlpm.r, _xlpm.c))))</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 localSheetId="14">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Data" localSheetId="5">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 localSheetId="14">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N2O_Variation" localSheetId="5">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 localSheetId="14">_xlfn.LAMBDA(_xlfn.MAKEARRAY(3, 2, _xlfn.LAMBDA(_xlpm.r,_xlpm.c, INDEX({"Climate zone","EFNi &amp; EFN2O";"Wet climate zone",0.006;"Dry climate zone",0.005}, _xlpm.r, _xlpm.c))))</definedName>
    <definedName name="Common_SourceData.Common_SourceData_EFOrganicFertiliserAndCropResidues_Data" localSheetId="5">_xlfn.LAMBDA(_xlfn.MAKEARRAY(3, 2, _xlfn.LAMBDA(_xlpm.r,_xlpm.c, INDEX({"Climate zone","EFNi &amp; EFN2O";"Wet climate zone",0.006;"Dry climate zone",0.005},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 localSheetId="14">_xlfn.LAMBDA(_xlfn.MAKEARRAY(3, 2, _xlfn.LAMBDA(_xlpm.r,_xlpm.c, INDEX({"Climate zone","EFPRP";"Wet climate zone",0.006;"Dry climate zone",0.002}, _xlpm.r, _xlpm.c))))</definedName>
    <definedName name="Common_SourceData.Common_SourceData_EFPastureRangeAndPaddock_Data" localSheetId="5">_xlfn.LAMBDA(_xlfn.MAKEARRAY(3, 2, _xlfn.LAMBDA(_xlpm.r,_xlpm.c, INDEX({"Climate zone","EFPRP";"Wet climate zone",0.006;"Dry climate zone",0.002}, _xlpm.r, _xlpm.c))))</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 localSheetId="14">_xlfn.LAMBDA(_xlfn.MAKEARRAY(1, 2, _xlfn.LAMBDA(_xlpm.r,_xlpm.c, INDEX({"FracLEACH",0.24}, _xlpm.r, _xlpm.c))))</definedName>
    <definedName name="Common_SourceData.Common_SourceData_FracLEACH_Data" localSheetId="5">_xlfn.LAMBDA(_xlfn.MAKEARRAY(1, 2, _xlfn.LAMBDA(_xlpm.r,_xlpm.c, INDEX({"FracLEACH",0.24}, _xlpm.r, _xlpm.c))))</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 localSheetId="14">_xlfn.LAMBDA(_xlfn.MAKEARRAY(3, 2, _xlfn.LAMBDA(_xlpm.r,_xlpm.c, INDEX({"Is in leaching zone","FracWET";"Yes - in leaching zone",1;"No - not in leaching zone",0}, _xlpm.r, _xlpm.c))))</definedName>
    <definedName name="Common_SourceData.Common_SourceData_FracWET_Data" localSheetId="5">_xlfn.LAMBDA(_xlfn.MAKEARRAY(3, 2, _xlfn.LAMBDA(_xlpm.r,_xlpm.c, INDEX({"Is in leaching zone","FracWET";"Yes - in leaching zone",1;"No - not in leaching zone",0}, _xlpm.r, _xlpm.c))))</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 localSheetId="14">_xlfn.LAMBDA(_xlfn.MAKEARRAY(6, 2, _xlfn.LAMBDA(_xlpm.r,_xlpm.c, INDEX({"Irrigation type ir","FracWET";"Not irrigated",0;"Drip irrigation",0;"Sprinkler irrigation",1;"Surface irrigation",1;"Other irrigation",1}, _xlpm.r, _xlpm.c))))</definedName>
    <definedName name="Common_SourceData.Common_SourceData_FracWETIrrigation_Data" localSheetId="5">_xlfn.LAMBDA(_xlfn.MAKEARRAY(6, 2, _xlfn.LAMBDA(_xlpm.r,_xlpm.c, INDEX({"Irrigation type ir","FracWET";"Not irrigated",0;"Drip irrigation",0;"Sprinkler irrigation",1;"Surface irrigation",1;"Other irrigation",1}, _xlpm.r, _xlpm.c))))</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 localSheetId="14">_xlfn.LAMBDA(_xlfn.MAKEARRAY(8, 2, _xlfn.LAMBDA(_xlpm.r,_xlpm.c, INDEX({"Gas","CO2-e factor";"CO2",1;"CH4",28;"N2O",265;"CF4",6630;"C2F6",12200;"SF6",22800;"NF3",17200}, _xlpm.r, _xlpm.c))))</definedName>
    <definedName name="Common_SourceData.Common_SourceData_GWP_Data" localSheetId="5">_xlfn.LAMBDA(_xlfn.MAKEARRAY(8, 2, _xlfn.LAMBDA(_xlpm.r,_xlpm.c, INDEX({"Gas","CO2-e factor";"CO2",1;"CH4",28;"N2O",265;"CF4",6630;"C2F6",12200;"SF6",22800;"NF3",17200}, _xlpm.r, _xlpm.c))))</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 localSheetId="14">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Data" localSheetId="5">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 localSheetId="14">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Data" localSheetId="5">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 localSheetId="14">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Data" localSheetId="5">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 localSheetId="14">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Data" localSheetId="5">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 localSheetId="14">_xlfn.LAMBDA(_xlfn.MAKEARRAY(4, 4, _xlfn.LAMBDA(_xlpm.r,_xlpm.c, INDEX({"Temperature Zone","Median Annual Temperature (MAT)","Min MAT","Max MAT";"Warm","≥ 26 C",26,999999;"Temperate","15 - 25 C",15,25.999;"Cool","≤ 14 C",-999999,14.999}, _xlpm.r, _xlpm.c))))</definedName>
    <definedName name="Common_SourceData.Common_SourceData_TemperatureZones_Data" localSheetId="5">_xlfn.LAMBDA(_xlfn.MAKEARRAY(4, 4, _xlfn.LAMBDA(_xlpm.r,_xlpm.c, INDEX({"Temperature Zone","Median Annual Temperature (MAT)","Min MAT","Max MAT";"Warm","≥ 26 C",26,999999;"Temperate","15 - 25 C",15,25.999;"Cool","≤ 14 C",-999999,14.999}, _xlpm.r, _xlpm.c))))</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 localSheetId="14">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Data" localSheetId="5">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 localSheetId="14">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Data" localSheetId="5">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 localSheetId="14">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Common_SourceData_WetAndDryZones_Variation" localSheetId="5">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 localSheetId="14">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Data" localSheetId="5">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 localSheetId="14">_xlfn.LAMBDA(_xlpm.Month,_xlpm.LivestockClass,_xlpm.HeadAtStart,_xlpm.LiveweightAtStart,_xlpm.LiveweightGain, 'Constants - Fuel'!CommonLivestock_InputFunctions.LivestockMovement_ProportionalAverageLiveweightAddedDuringMonth(_xlpm.Month, _xlpm.LivestockClass, _xlpm.HeadAtStart) + 'Constants - Fuel'!CommonLivestock_InputFunctions.LivestockMovement_ProportionalAverageLiveweightRemainingAtEndOfMonth(_xlpm.Month,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5">_xlfn.LAMBDA(_xlpm.Month,_xlpm.LivestockClass,_xlpm.HeadAtStart,_xlpm.LiveweightAtStart,_xlpm.LiveweightGain, 'Input - Fuel'!CommonLivestock_InputFunctions.LivestockMovement_ProportionalAverageLiveweightAddedDuringMonth(_xlpm.Month, _xlpm.LivestockClass, _xlpm.HeadAtStart) + 'Input - Fuel'!CommonLivestock_InputFunctions.LivestockMovement_ProportionalAverageLiveweightRemainingAtEndOfMonth(_xlpm.Month, _xlpm.LivestockClass, _xlpm.HeadAtStart, _xlpm.LiveweightAtStart, _xlpm.LiveweightGain))</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 localSheetId="14">_xlfn.LAMBDA(_xlpm.MMS,_xlpm.MMSArray,_xlpm.State,_xlpm.StateArray,_xlpm.ReturnArray, _xlfn.XLOOKUP(_xlpm.MMS, _xlpm.MMSArray, _xlfn.XLOOKUP(_xlpm.State, _xlpm.StateArray, _xlpm.ReturnArray)))</definedName>
    <definedName name="CommonLivestock_InputFunctions.Livestock_LookupMCFState" localSheetId="5">_xlfn.LAMBDA(_xlpm.MMS,_xlpm.MMSArray,_xlpm.State,_xlpm.StateArray,_xlpm.ReturnArray, _xlfn.XLOOKUP(_xlpm.MMS, _xlpm.MMSArray, _xlfn.XLOOKUP(_xlpm.State, _xlpm.StateArray, _xlpm.ReturnArray)))</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 localSheetId="14">_xlfn.LAMBDA(_xlpm.Month,_xlpm.LivestockClass, IFERROR('Constants - Fuel'!CommonLivestock_InputFunctions.LivestockMovement_TotalLiveweightAddedDuringMonth(_xlpm.Month, _xlpm.LivestockClass) / 'Constants - Fuel'!CommonLivestock_InputFunctions.LivestockMovement_HeadAddedDuringMonth(_xlpm.Month, _xlpm.LivestockClass), 0))</definedName>
    <definedName name="CommonLivestock_InputFunctions.LivestockMovement_AverageLiveweightAddedDuringMonth" localSheetId="5">_xlfn.LAMBDA(_xlpm.Month,_xlpm.LivestockClass, IFERROR('Input - Fuel'!CommonLivestock_InputFunctions.LivestockMovement_TotalLiveweightAddedDuringMonth(_xlpm.Month, _xlpm.LivestockClass) / 'Input - Fuel'!CommonLivestock_InputFunctions.LivestockMovement_HeadAddedDuringMonth(_xlpm.Month, _xlpm.LivestockClass), 0))</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5">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 localSheetId="5">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 localSheetId="14">_xlfn.LAMBDA(_xlpm.HeadAtStart,_xlpm.Month,_xlpm.LivestockClass, _xlpm.HeadAtStart + 'Constants - Fuel'!CommonLivestock_InputFunctions.LivestockMovement_HeadAddedDuringMonth(_xlpm.Month, _xlpm.LivestockClass) - 'Constants - Fuel'!CommonLivestock_InputFunctions.LivestockMovement_HeadLostDuringMonth(_xlpm.Month, _xlpm.LivestockClass))</definedName>
    <definedName name="CommonLivestock_InputFunctions.LivestockMovement_HeadAtEndOfMonth" localSheetId="5">_xlfn.LAMBDA(_xlpm.HeadAtStart,_xlpm.Month,_xlpm.LivestockClass, _xlpm.HeadAtStart + 'Input - Fuel'!CommonLivestock_InputFunctions.LivestockMovement_HeadAddedDuringMonth(_xlpm.Month, _xlpm.LivestockClass) - 'Input - Fuel'!CommonLivestock_InputFunctions.LivestockMovement_HeadLostDuringMonth(_xlpm.Month, _xlpm.LivestockClass))</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 localSheetId="5">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 localSheetId="14">_xlfn.LAMBDA(_xlpm.Month,_xlpm.LivestockClass,_xlpm.HeadAtStartOfMonth, MAX(_xlpm.HeadAtStartOfMonth - 'Constants - Fuel'!CommonLivestock_InputFunctions.LivestockMovement_HeadLostDuringMonth(_xlpm.Month, _xlpm.LivestockClass), 0))</definedName>
    <definedName name="CommonLivestock_InputFunctions.LivestockMovement_HeadRemainingAtMonthEnd" localSheetId="5">_xlfn.LAMBDA(_xlpm.Month,_xlpm.LivestockClass,_xlpm.HeadAtStartOfMonth, MAX(_xlpm.HeadAtStartOfMonth - 'Input - Fuel'!CommonLivestock_InputFunctions.LivestockMovement_HeadLostDuringMonth(_xlpm.Month,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 localSheetId="14">_xlfn.LAMBDA(_xlpm.LivestockClass,_xlpm.MovementDate,_xlpm.WeightAtMovementDate,_xlpm.Head, IFERROR(_xlpm.Head * (_xlpm.WeightAtMovementDate + 'Constants - Fuel'!CommonLivestock_InputFunctions.LivestockMovement_LiveweightGrownDuringMonthPerHead(_xlpm.LivestockClass, _xlpm.MovementDate)), 0))</definedName>
    <definedName name="CommonLivestock_InputFunctions.LivestockMovement_LiveweightAddedDuringMonth" localSheetId="5">_xlfn.LAMBDA(_xlpm.LivestockClass,_xlpm.MovementDate,_xlpm.WeightAtMovementDate,_xlpm.Head, IFERROR(_xlpm.Head * (_xlpm.WeightAtMovementDate + 'Input - Fuel'!CommonLivestock_InputFunctions.LivestockMovement_LiveweightGrownDuringMonthPerHead(_xlpm.LivestockClass, _xlpm.MovementDate)),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 localSheetId="14">_xlfn.LAMBDA(_xlpm.LivestockClass,_xlpm.MovementDate, IFERROR('Constants - Fuel'!CommonLivestock_InputFunctions.LivestockMovement_GetMovementLiveweightGain(_xlpm.LivestockClass,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5">_xlfn.LAMBDA(_xlpm.LivestockClass,_xlpm.MovementDate, IFERROR('Input - Fuel'!CommonLivestock_InputFunctions.LivestockMovement_GetMovementLiveweightGain(_xlpm.LivestockClass,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 localSheetId="14">_xlfn.LAMBDA(_xlpm.LivestockClass,_xlpm.Month, 'Constants - Fuel'!CommonLivestock_InputFunctions.LivestockMovement_LiveweightGrownDuringMonthPerHead(_xlpm.LivestockClass, EOMONTH(_xlpm.Month, -1) + 1))</definedName>
    <definedName name="CommonLivestock_InputFunctions.LivestockMovement_LiveweightGrownFromMonthStartPerHead" localSheetId="5">_xlfn.LAMBDA(_xlpm.LivestockClass,_xlpm.Month, 'Input - Fuel'!CommonLivestock_InputFunctions.LivestockMovement_LiveweightGrownDuringMonthPerHead(_xlpm.LivestockClass, EOMONTH(_xlpm.Month, -1) + 1))</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 localSheetId="14">_xlfn.LAMBDA(_xlpm.LivestockClass,_xlpm.Month,_xlpm.HeadAtStartOfMonth, 'Constants - Fuel'!CommonLivestock_InputFunctions.LivestockMovement_HeadRemainingAtMonthEnd(_xlpm.Month, _xlpm.LivestockClass, _xlpm.HeadAtStartOfMonth) * 'Constants - Fuel'!CommonLivestock_InputFunctions.LivestockMovement_LiveweightGrownFromMonthStartPerHead(_xlpm.LivestockClass, _xlpm.Month))</definedName>
    <definedName name="CommonLivestock_InputFunctions.LivestockMovement_LiveweightGrownFromMonthStartTotal" localSheetId="5">_xlfn.LAMBDA(_xlpm.LivestockClass,_xlpm.Month,_xlpm.HeadAtStartOfMonth, 'Input - Fuel'!CommonLivestock_InputFunctions.LivestockMovement_HeadRemainingAtMonthEnd(_xlpm.Month, _xlpm.LivestockClass, _xlpm.HeadAtStartOfMonth) * 'Input - Fuel'!CommonLivestock_InputFunctions.LivestockMovement_LiveweightGrownFromMonthStartPerHead(_xlpm.LivestockClass, _xlpm.Month))</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 localSheetId="14">_xlfn.LAMBDA(_xlpm.LivestockClass,_xlpm.MovementDate,_xlpm.Head, 'Constants - Fuel'!CommonLivestock_InputFunctions.LivestockMovement_LiveweightGrownDuringMonthPerHead(_xlpm.LivestockClass, _xlpm.MovementDate) * _xlpm.Head)</definedName>
    <definedName name="CommonLivestock_InputFunctions.LivestockMovement_LiveweightGrownFromMovementDateTotal" localSheetId="5">_xlfn.LAMBDA(_xlpm.LivestockClass,_xlpm.MovementDate,_xlpm.Head, 'Input - Fuel'!CommonLivestock_InputFunctions.LivestockMovement_LiveweightGrownDuringMonthPerHead(_xlpm.LivestockClass, _xlpm.MovementDate) * _xlpm.Head)</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 localSheetId="14">_xlfn.LAMBDA(_xlpm.Month,_xlpm.LivestockClass,_xlpm.HeadAtStart, 'Constants - Fuel'!CommonLivestock_InputFunctions.LivestockMovement_ProportionHeadAddedDuringMonth(_xlpm.Month, _xlpm.LivestockClass, _xlpm.HeadAtStart) * 'Constants - Fuel'!CommonLivestock_InputFunctions.LivestockMovement_AverageLiveweightAddedDuringMonth(_xlpm.Month, _xlpm.LivestockClass))</definedName>
    <definedName name="CommonLivestock_InputFunctions.LivestockMovement_ProportionalAverageLiveweightAddedDuringMonth" localSheetId="5">_xlfn.LAMBDA(_xlpm.Month,_xlpm.LivestockClass,_xlpm.HeadAtStart, 'Input - Fuel'!CommonLivestock_InputFunctions.LivestockMovement_ProportionHeadAddedDuringMonth(_xlpm.Month, _xlpm.LivestockClass, _xlpm.HeadAtStart) * 'Input - Fuel'!CommonLivestock_InputFunctions.LivestockMovement_AverageLiveweightAddedDuringMonth(_xlpm.Month, _xlpm.LivestockClass))</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 localSheetId="14">_xlfn.LAMBDA(_xlpm.Month,_xlpm.LivestockClass,_xlpm.HeadAtStart,_xlpm.LiveweightAtStart,_xlpm.LiveweightGain, 'Constants - Fuel'!CommonLivestock_InputFunctions.LivestockMovement_ProportionHeadRemainingAtEndOfMonth(_xlpm.Month,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5">_xlfn.LAMBDA(_xlpm.Month,_xlpm.LivestockClass,_xlpm.HeadAtStart,_xlpm.LiveweightAtStart,_xlpm.LiveweightGain, 'Input - Fuel'!CommonLivestock_InputFunctions.LivestockMovement_ProportionHeadRemainingAtEndOfMonth(_xlpm.Month,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 localSheetId="14">_xlfn.LAMBDA(_xlpm.Month,_xlpm.LivestockClass,_xlpm.HeadAtStart, IFERROR(MIN(1, 'Constants - Fuel'!CommonLivestock_InputFunctions.LivestockMovement_HeadAddedDuringMonth(_xlpm.Month, _xlpm.LivestockClass) / 'Constants - Fuel'!CommonLivestock_InputFunctions.LivestockMovement_HeadAtEndOfMonth(_xlpm.HeadAtStart, _xlpm.Month, _xlpm.LivestockClass)), 0))</definedName>
    <definedName name="CommonLivestock_InputFunctions.LivestockMovement_ProportionHeadAddedDuringMonth" localSheetId="5">_xlfn.LAMBDA(_xlpm.Month,_xlpm.LivestockClass,_xlpm.HeadAtStart, IFERROR(MIN(1, 'Input - Fuel'!CommonLivestock_InputFunctions.LivestockMovement_HeadAddedDuringMonth(_xlpm.Month, _xlpm.LivestockClass) / 'Input - Fuel'!CommonLivestock_InputFunctions.LivestockMovement_HeadAtEndOfMonth(_xlpm.HeadAtStart, _xlpm.Month, _xlpm.LivestockClass)), 0))</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 localSheetId="14">_xlfn.LAMBDA(_xlpm.Month,_xlpm.LivestockClass,_xlpm.HeadAtStart, IFERROR(MIN(1, 'Constants - Fuel'!CommonLivestock_InputFunctions.LivestockMovement_HeadRemainingAtMonthEnd(_xlpm.Month, _xlpm.LivestockClass, _xlpm.HeadAtStart) / 'Constants - Fuel'!CommonLivestock_InputFunctions.LivestockMovement_HeadAtEndOfMonth(_xlpm.HeadAtStart, _xlpm.Month, _xlpm.LivestockClass)), 0))</definedName>
    <definedName name="CommonLivestock_InputFunctions.LivestockMovement_ProportionHeadRemainingAtEndOfMonth" localSheetId="5">_xlfn.LAMBDA(_xlpm.Month,_xlpm.LivestockClass,_xlpm.HeadAtStart, IFERROR(MIN(1, 'Input - Fuel'!CommonLivestock_InputFunctions.LivestockMovement_HeadRemainingAtMonthEnd(_xlpm.Month, _xlpm.LivestockClass, _xlpm.HeadAtStart) / 'Input - Fuel'!CommonLivestock_InputFunctions.LivestockMovement_HeadAtEndOfMonth(_xlpm.HeadAtStart,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 localSheetId="5">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 localSheetId="5">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 localSheetId="14">_xlfn.LAMBDA(_xlpm.Month,_xlpm.LivestockClass,_xlpm.HeadAtStart, 'Constants - Fuel'!CommonLivestock_InputFunctions.LivestockMovement_LiveweightGrownFromMonthStartTotal(_xlpm.LivestockClass, _xlpm.Month, _xlpm.HeadAtStart) + 'Constants - Fuel'!CommonLivestock_InputFunctions.LivestockMovement_TotalLiveweightGrownDuringMonth(_xlpm.Month, _xlpm.LivestockClass))</definedName>
    <definedName name="CommonLivestock_InputFunctions.LivestockMovement_TotalLiveweightGrownDuringMonthAddedAndRemaining" localSheetId="5">_xlfn.LAMBDA(_xlpm.Month,_xlpm.LivestockClass,_xlpm.HeadAtStart, 'Input - Fuel'!CommonLivestock_InputFunctions.LivestockMovement_LiveweightGrownFromMonthStartTotal(_xlpm.LivestockClass, _xlpm.Month, _xlpm.HeadAtStart) + 'Input - Fuel'!CommonLivestock_InputFunctions.LivestockMovement_TotalLiveweightGrownDuringMonth(_xlpm.Month, _xlpm.LivestockClass))</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 localSheetId="14">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 localSheetId="5">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 localSheetId="14">_xlfn.LAMBDA(_xlpm.Morganicjf,_xlpm.FNorganicf, _xlpm.Morganicjf * _xlpm.FNorganicf)</definedName>
    <definedName name="Fertiliser_Equations_Organic.VEERG_5_2_1_1__2_MassOfNitrogenInOrganicFertiliser" localSheetId="5">_xlfn.LAMBDA(_xlpm.Morganicjf,_xlpm.FNorganicf, _xlpm.Morganicjf * _xlpm.FNorganicf)</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--(IFERROR(_xlpm.LookupArray1, "") = _xlpm.LookupTarget1), _xlpm.criteria2, IF(_xlfn.ISOMITTED(_xlpm.LookupTarget2), 1, IFERROR(--(_xlpm.LookupArray2 = _xlpm.LookupTarget2), 0)), _xlpm.amounts, IFERROR(_xlpm.AmountApplied * 1, 0), SUMPRODUCT(_xlpm.criteria1 * _xlpm.criteria2 * _xlpm.amounts)))</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IF(_xlfn.ISOMITTED(_xlpm.ProductIngredient2), 0, _xlpm.AmountApplied * _xlpm.ProductIngredientPercent2), _xlpm.calculatedAmount3, IF(_xlfn.ISOMITTED(_xlpm.ProductIngredient3), 0, _xlpm.AmountApplied * _xlpm.ProductIngredientPercent3), _xlpm.calculatedAmount4, IF(_xlfn.ISOMITTED(_xlpm.ProductIngredient4), 0, _xlpm.AmountApplied * _xlpm.ProductIngredientPercent4), _xlpm.calculatedAmount5, IF(_xlfn.ISOMITTED(_xlpm.ProductIngredient5), 0, _xlpm.AmountApplied * _xlpm.ProductIngredientPercent5), _xlpm.calculatedAmount6, IF(_xlfn.ISOMITTED(_xlpm.ProductIngredient6), 0, _xlpm.AmountApplied * _xlpm.ProductIngredientPercent6), Fertiliser_InputFunctions.Fertiliser_SumProductApplied(_xlpm.ChemicalCompound, _xlpm.ProductIngredient1, _xlpm.calculatedAmount1) + IFERROR(IF(_xlfn.ISOMITTED(_xlpm.ProductIngredient2), 0, Fertiliser_InputFunctions.Fertiliser_SumProductApplied(_xlpm.ChemicalCompound, _xlpm.ProductIngredient2, _xlpm.calculatedAmount2)), 0) + IFERROR(IF(_xlfn.ISOMITTED(_xlpm.ProductIngredient3), 0, Fertiliser_InputFunctions.Fertiliser_SumProductApplied(_xlpm.ChemicalCompound, _xlpm.ProductIngredient3, _xlpm.calculatedAmount3)), 0) + IFERROR(IF(_xlfn.ISOMITTED(_xlpm.ProductIngredient4), 0, Fertiliser_InputFunctions.Fertiliser_SumProductApplied(_xlpm.ChemicalCompound, _xlpm.ProductIngredient4, _xlpm.calculatedAmount4)), 0) + IFERROR(IF(_xlfn.ISOMITTED(_xlpm.ProductIngredient5), 0, Fertiliser_InputFunctions.Fertiliser_SumProductApplied(_xlpm.ChemicalCompound, _xlpm.ProductIngredient5, _xlpm.calculatedAmount5)), 0) + IFERROR(IF(_xlfn.ISOMITTED(_xlpm.ProductIngredient6), 0, 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_xlpm.Source, _xlpm.ProductIngredient1Source) + IFERROR(Fertiliser_InputFunctions.Fertiliser_SumProductApplied(_xlpm.ChemicalCompound, _xlpm.ProductIngredient2, _xlpm.calculatedAmount2, _xlpm.Source, _xlpm.ProductIngredient2Source), 0) + IFERROR(Fertiliser_InputFunctions.Fertiliser_SumProductApplied(_xlpm.ChemicalCompound, _xlpm.ProductIngredient3, _xlpm.calculatedAmount3, _xlpm.Source, _xlpm.ProductIngredient3Source), 0) + IFERROR(Fertiliser_InputFunctions.Fertiliser_SumProductApplied(_xlpm.ChemicalCompound, _xlpm.ProductIngredient4, _xlpm.calculatedAmount4, _xlpm.Source, _xlpm.ProductIngredient4Source), 0) + IFERROR(Fertiliser_InputFunctions.Fertiliser_SumProductApplied(_xlpm.ChemicalCompound, _xlpm.ProductIngredient5, _xlpm.calculatedAmount5, _xlpm.Source, _xlpm.ProductIngredient5Source), 0) + IFERROR(Fertiliser_InputFunctions.Fertiliser_SumProductApplied(_xlpm.ChemicalCompound, _xlpm.ProductIngredient6, _xlpm.calculatedAmount6, _xlpm.Source, _xlpm.ProductIngredient6Source),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_xlfn.LAMBDA(_xlfn.MAKEARRAY(19,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Source">_xlfn.LAMBDA((""))</definedName>
    <definedName name="Fertiliser_SourceData.Fertiliser_Products_Title">_xlfn.LAMBDA(("Branded fertiliser products and their chemical composition"))</definedName>
    <definedName name="Fuel_Equations.VEERG_8_1_1_1__1_FuelCombustionTransport" localSheetId="14">_xlfn.LAMBDA(_xlpm.Q_Transtq,_xlpm.EC_Transq,_xlpm.EF_Trans1tqg, 'Constants - Fuel'!Fuel_Equations.VEERG_8_FuelCombustion(_xlpm.Q_Transtq, _xlpm.EC_Transq, _xlpm.EF_Trans1tqg))</definedName>
    <definedName name="Fuel_Equations.VEERG_8_1_1_1__1_FuelCombustionTransport" localSheetId="5">_xlfn.LAMBDA(_xlpm.Q_Transtq,_xlpm.EC_Transq,_xlpm.EF_Trans1tqg, 'Input - Fuel'!Fuel_Equations.VEERG_8_FuelCombustion(_xlpm.Q_Transtq, _xlpm.EC_Transq, _xlpm.EF_Trans1tqg))</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 localSheetId="14">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Arguments" localSheetId="5">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 localSheetId="14">_xlfn.LAMBDA(_xlpm.Q_SCq,_xlpm.EC_SCq,_xlpm.EF_SC1qg, 'Constants - Fuel'!Fuel_Equations.VEERG_8_FuelCombustion(_xlpm.Q_SCq, _xlpm.EC_SCq, _xlpm.EF_SC1qg))</definedName>
    <definedName name="Fuel_Equations.VEERG_8_2_1_1__1_FuelCombustionStationary" localSheetId="5">_xlfn.LAMBDA(_xlpm.Q_SCq,_xlpm.EC_SCq,_xlpm.EF_SC1qg, 'Input - Fuel'!Fuel_Equations.VEERG_8_FuelCombustion(_xlpm.Q_SCq, _xlpm.EC_SCq, _xlpm.EF_SC1qg))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 localSheetId="14">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Arguments" localSheetId="5">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 localSheetId="14">_xlfn.LAMBDA(_xlpm.Q,_xlpm.EC,_xlpm.EF, (_xlpm.Q * _xlpm.EC * _xlpm.EF) * 10 ^ -3)</definedName>
    <definedName name="Fuel_Equations.VEERG_8_FuelCombustion" localSheetId="5">_xlfn.LAMBDA(_xlpm.Q,_xlpm.EC,_xlpm.EF, (_xlpm.Q * _xlpm.EC * _xlpm.EF) * 10 ^ -3)</definedName>
    <definedName name="Fuel_Equations.VEERG_8_FuelCombustion">_xlfn.LAMBDA(_xlpm.Q,_xlpm.EC,_xlpm.EF, (_xlpm.Q * _xlpm.EC * _xlpm.EF) * 10 ^ -3)</definedName>
    <definedName name="Fuel_Equations.VEERG_8_X_FuelCombustionGeneric" localSheetId="14">_xlfn.LAMBDA(_xlpm.Q_GCq,_xlpm.EC_GCq,_xlpm.EF_GC1qg, 'Constants - Fuel'!Fuel_Equations.VEERG_8_FuelCombustion(_xlpm.Q_GCq, _xlpm.EC_GCq, _xlpm.EF_GC1qg))</definedName>
    <definedName name="Fuel_Equations.VEERG_8_X_FuelCombustionGeneric" localSheetId="5">_xlfn.LAMBDA(_xlpm.Q_GCq,_xlpm.EC_GCq,_xlpm.EF_GC1qg, 'Input - Fuel'!Fuel_Equations.VEERG_8_FuelCombustion(_xlpm.Q_GCq, _xlpm.EC_GCq, _xlpm.EF_GC1qg))</definedName>
    <definedName name="Fuel_Equations.VEERG_8_X_FuelCombustionGeneric">_xlfn.LAMBDA(_xlpm.Q_GCq,_xlpm.EC_GCq,_xlpm.EF_GC1qg, Fuel_Equations.VEERG_8_FuelCombustion(_xlpm.Q_GCq, _xlpm.EC_GCq, _xlpm.EF_GC1qg))</definedName>
    <definedName name="Fuel_Equations.VEERG_8_X_FuelCombustionGeneric_Arguments" localSheetId="14">_xlfn.LAMBDA(_xlfn.MAKEARRAY(7, 4, _xlfn.LAMBDA(_xlpm.r,_xlpm.c, INDEX({"Q_GCq","Amount of fuel type q used for generic combustion operations","Varies based on fuel type: kL, m3, GJ","Input";"EC_GCq","Energy content factor for generic combustion operations","GJ / unit of fuel","Constant";"EF_GC1qg","Scope 1 emission factor for generic combustion for each greenhouse gas","kg CO2e / GJ","Constant";"q","Fuel type","","Constant";"GC","Generic combustion","","Constant";"g","Greenhouse gas","","Constant";"1","Scope 1","","Constant"}, _xlpm.r, _xlpm.c))))</definedName>
    <definedName name="Fuel_Equations.VEERG_8_X_FuelCombustionGeneric_Arguments" localSheetId="5">_xlfn.LAMBDA(_xlfn.MAKEARRAY(7, 4, _xlfn.LAMBDA(_xlpm.r,_xlpm.c, INDEX({"Q_GCq","Amount of fuel type q used for generic combustion operations","Varies based on fuel type: kL, m3, GJ","Input";"EC_GCq","Energy content factor for generic combustion operations","GJ / unit of fuel","Constant";"EF_GC1qg","Scope 1 emission factor for generic combustion for each greenhouse gas","kg CO2e / GJ","Constant";"q","Fuel type","","Constant";"GC","Generic combustion","","Constant";"g","Greenhouse gas","","Constant";"1","Scope 1","","Constant"}, _xlpm.r, _xlpm.c))))</definedName>
    <definedName name="Fuel_Equations.VEERG_8_X_FuelCombustionGeneric_Arguments">_xlfn.LAMBDA(_xlfn.MAKEARRAY(7, 4, _xlfn.LAMBDA(_xlpm.r,_xlpm.c, INDEX({"Q_GCq","Amount of fuel type q used for generic combustion operations","Varies based on fuel type: kL, m3, GJ","Input";"EC_GCq","Energy content factor for generic combustion operations","GJ / unit of fuel","Constant";"EF_GC1qg","Scope 1 emission factor for generic combustion for each greenhouse gas","kg CO2e / GJ","Constant";"q","Fuel type","","Constant";"GC","Generic combustion","","Constant";"g","Greenhouse gas","","Constant";"1","Scope 1","","Constant"}, _xlpm.r, _xlpm.c))))</definedName>
    <definedName name="Fuel_Equations.VEERG_8_X_FuelCombustionGeneric_LatexEquation">_xlfn.LAMBDA("E_g=\sum\nolimits_t \sum\nolimits_q\left(Q_{GC,q}\times EC_{GC,q}\times EF_{GC,1,qg}\right)\times 10^{-3}")</definedName>
    <definedName name="Fuel_Equations.VEERG_8_X_FuelCombustionGeneric_NIRReference">_xlfn.LAMBDA("Australian National Greenhouse Accounts Factors 2025 - 2.2 Estimating emissions from generic energy sources - Calculating emissions from generic combustion of liquid fuels and 2.3 Estimating emissions from transport fuels")</definedName>
    <definedName name="Fuel_Equations.VEERG_8_X_FuelCombustionGeneric_Source">_xlfn.LAMBDA("Uses VEERG 2026: 8.1.1.1, Equation (1), 8.2.1.1, Equation (1) and everages the Australian National Greenhouse Accounts Factors 2025 for transport and stationary fuel combustion")</definedName>
    <definedName name="Fuel_Equations.VEERG_8_X_FuelCombustionGeneric_Title">_xlfn.LAMBDA("Emissions for each GHG from the generic combustion of fuels")</definedName>
    <definedName name="Fuel_Equations.VEERG_8_X_FuelCombustionGeneric_Unit">_xlfn.LAMBDA("t CO2-e")</definedName>
    <definedName name="Fuel_Equations.VEERG_8_X_FuelCombustionGeneric_Variable">_xlfn.LAMBDA("E_g")</definedName>
    <definedName name="Fuel_Equations.VEERG_8_X_FuelCombustionGeneric_Variation">_xlfn.LAMBDA("VARIATION ON SOURCE: This calculation uses averages of transport and stationary emission factors for fuel combustion where the usage is not known.")</definedName>
    <definedName name="Fuel_InputFunctions.Fuel_GetStationaryFuelString" localSheetId="5">_xlfn.LAMBDA(_xlpm.Cell, RIGHT(_xlpm.Cell, LEN(_xlpm.Cell) - FIND(", ", _xlpm.Cell) - 1))</definedName>
    <definedName name="Fuel_InputFunctions.Fuel_GetStationaryFuelString" hidden="1">_xlfn.LAMBDA(_xlpm.Cell, RIGHT(_xlpm.Cell, LEN(_xlpm.Cell) - FIND(", ", _xlpm.Cell) - 1))</definedName>
    <definedName name="Fuel_InputFunctions.Fuel_GetTransportFuelString" localSheetId="5">_xlfn.LAMBDA(_xlpm.Cell, LEFT(_xlpm.Cell, FIND(", ", _xlpm.Cell) - 1))</definedName>
    <definedName name="Fuel_InputFunctions.Fuel_GetTransportFuelString" hidden="1">_xlfn.LAMBDA(_xlpm.Cell, LEFT(_xlpm.Cell, FIND(", ", _xlpm.Cell) - 1))</definedName>
    <definedName name="Fuel_InputFunctions.Fuel_TotalConsumption" localSheetId="5">_xlfn.LAMBDA(_xlpm.FuelConsumptionArray,_xlpm.FuelUseArray,_xlpm.FuelUse,_xlpm.FuelTypeArray,_xlpm.FuelType, IFERROR(SUM(_xlfn._xlws.FILTER(_xlpm.FuelConsumptionArray, (_xlpm.FuelTypeArray = _xlpm.FuelType) * (_xlpm.FuelUseArray = _xlpm.FuelUse))), 0))</definedName>
    <definedName name="Fuel_InputFunctions.Fuel_TotalConsumption" hidden="1">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 localSheetId="5">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ata" hidden="1">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 localSheetId="5">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ata" hidden="1">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 localSheetId="5">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ata" hidden="1">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 localSheetId="5">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ata" hidden="1">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 localSheetId="5">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Appendices" hidden="1">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 localSheetId="5">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ata" hidden="1">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 localSheetId="14">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getOverlappingReportingCycles" localSheetId="5">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25" l="1" a="1"/>
  <c r="H7" i="125" s="1"/>
  <c r="H21" i="125" a="1"/>
  <c r="H21" i="125" s="1"/>
  <c r="H20" i="125" a="1"/>
  <c r="H20" i="125" s="1"/>
  <c r="H19" i="125" a="1"/>
  <c r="H19" i="125" s="1"/>
  <c r="H18" i="125" a="1"/>
  <c r="H18" i="125" s="1"/>
  <c r="H17" i="125" a="1"/>
  <c r="H17" i="125" s="1"/>
  <c r="H16" i="125" a="1"/>
  <c r="H16" i="125" s="1"/>
  <c r="H15" i="125" a="1"/>
  <c r="H15" i="125" s="1"/>
  <c r="H14" i="125" a="1"/>
  <c r="H14" i="125" s="1"/>
  <c r="H13" i="125" a="1"/>
  <c r="H13" i="125" s="1"/>
  <c r="H12" i="125" a="1"/>
  <c r="H12" i="125" s="1"/>
  <c r="H11" i="125" a="1"/>
  <c r="H11" i="125" s="1"/>
  <c r="H10" i="125" a="1"/>
  <c r="H10" i="125" s="1"/>
  <c r="H9" i="125" a="1"/>
  <c r="H9" i="125" s="1"/>
  <c r="H8" i="125" a="1"/>
  <c r="H8" i="125" s="1"/>
  <c r="F21" i="125"/>
  <c r="E21" i="125"/>
  <c r="D21" i="125"/>
  <c r="F20" i="125"/>
  <c r="E20" i="125"/>
  <c r="F19" i="125"/>
  <c r="E19" i="125"/>
  <c r="D19" i="125"/>
  <c r="D20" i="125" s="1"/>
  <c r="F18" i="125"/>
  <c r="E18" i="125"/>
  <c r="D18" i="125"/>
  <c r="F17" i="125"/>
  <c r="E17" i="125"/>
  <c r="D17" i="125"/>
  <c r="F16" i="125"/>
  <c r="E16" i="125"/>
  <c r="D16" i="125"/>
  <c r="F15" i="125"/>
  <c r="E15" i="125"/>
  <c r="D15" i="125"/>
  <c r="F14" i="125"/>
  <c r="E14" i="125"/>
  <c r="D14" i="125"/>
  <c r="F13" i="125"/>
  <c r="E13" i="125"/>
  <c r="D13" i="125"/>
  <c r="F12" i="125"/>
  <c r="E12" i="125"/>
  <c r="D12" i="125"/>
  <c r="F11" i="125"/>
  <c r="E11" i="125"/>
  <c r="D11" i="125"/>
  <c r="F10" i="125"/>
  <c r="E10" i="125"/>
  <c r="D10" i="125"/>
  <c r="F9" i="125"/>
  <c r="E9" i="125"/>
  <c r="D9" i="125"/>
  <c r="F8" i="125"/>
  <c r="E8" i="125"/>
  <c r="D8" i="125"/>
  <c r="F7" i="125"/>
  <c r="E7" i="125"/>
  <c r="D7" i="125"/>
  <c r="I11" i="124"/>
  <c r="H11" i="124"/>
  <c r="G11" i="124" a="1"/>
  <c r="G11" i="124"/>
  <c r="A17" i="124"/>
  <c r="A16" i="124"/>
  <c r="A13" i="124"/>
  <c r="A12" i="124"/>
  <c r="A11" i="124"/>
  <c r="A8" i="124"/>
  <c r="A5" i="124"/>
  <c r="A4" i="124"/>
  <c r="A3" i="124"/>
  <c r="J139" i="123"/>
  <c r="E139" i="123"/>
  <c r="J138" i="123"/>
  <c r="G138" i="123"/>
  <c r="E138" i="123"/>
  <c r="J137" i="123"/>
  <c r="G137" i="123"/>
  <c r="E137" i="123"/>
  <c r="D137" i="123"/>
  <c r="J136" i="123"/>
  <c r="G136" i="123"/>
  <c r="E136" i="123"/>
  <c r="D136" i="123"/>
  <c r="J135" i="123"/>
  <c r="G135" i="123"/>
  <c r="E135" i="123"/>
  <c r="D135" i="123"/>
  <c r="J134" i="123"/>
  <c r="G134" i="123"/>
  <c r="E134" i="123"/>
  <c r="D134" i="123"/>
  <c r="J133" i="123"/>
  <c r="G133" i="123"/>
  <c r="F133" i="123"/>
  <c r="E133" i="123"/>
  <c r="D133" i="123"/>
  <c r="J132" i="123"/>
  <c r="I132" i="123"/>
  <c r="G132" i="123"/>
  <c r="F132" i="123"/>
  <c r="E132" i="123"/>
  <c r="D132" i="123"/>
  <c r="J131" i="123"/>
  <c r="I131" i="123"/>
  <c r="H131" i="123"/>
  <c r="G131" i="123"/>
  <c r="F131" i="123"/>
  <c r="E131" i="123"/>
  <c r="D131" i="123"/>
  <c r="F120" i="123" a="1"/>
  <c r="F120" i="123" s="1"/>
  <c r="E120" i="123" a="1"/>
  <c r="E120" i="123" s="1"/>
  <c r="D120" i="123" a="1"/>
  <c r="D120" i="123" s="1"/>
  <c r="F119" i="123" a="1"/>
  <c r="F119" i="123" s="1"/>
  <c r="E119" i="123" a="1"/>
  <c r="E119" i="123" s="1"/>
  <c r="D119" i="123" a="1"/>
  <c r="D119" i="123" s="1"/>
  <c r="F118" i="123" a="1"/>
  <c r="F118" i="123" s="1"/>
  <c r="E118" i="123" a="1"/>
  <c r="E118" i="123" s="1"/>
  <c r="D118" i="123" a="1"/>
  <c r="D118" i="123" s="1"/>
  <c r="F117" i="123" a="1"/>
  <c r="F117" i="123" s="1"/>
  <c r="E117" i="123" a="1"/>
  <c r="E117" i="123" s="1"/>
  <c r="D117" i="123" a="1"/>
  <c r="D117" i="123" s="1"/>
  <c r="F116" i="123" a="1"/>
  <c r="F116" i="123" s="1"/>
  <c r="E116" i="123" a="1"/>
  <c r="E116" i="123" s="1"/>
  <c r="D116" i="123" a="1"/>
  <c r="D116" i="123" s="1"/>
  <c r="F115" i="123"/>
  <c r="F115" i="123" a="1"/>
  <c r="E115" i="123" a="1"/>
  <c r="E115" i="123" s="1"/>
  <c r="D115" i="123" a="1"/>
  <c r="D115" i="123" s="1"/>
  <c r="F114" i="123" a="1"/>
  <c r="F114" i="123" s="1"/>
  <c r="E114" i="123" a="1"/>
  <c r="E114" i="123" s="1"/>
  <c r="D114" i="123" a="1"/>
  <c r="D114" i="123" s="1"/>
  <c r="G113" i="123" a="1"/>
  <c r="G113" i="123" s="1"/>
  <c r="F113" i="123" a="1"/>
  <c r="F113" i="123" s="1"/>
  <c r="E113" i="123" a="1"/>
  <c r="E113" i="123" s="1"/>
  <c r="D113" i="123" a="1"/>
  <c r="D113" i="123" s="1"/>
  <c r="D110" i="123" a="1"/>
  <c r="D110" i="123" s="1"/>
  <c r="D109" i="123" a="1"/>
  <c r="D109" i="123" s="1"/>
  <c r="D108" i="123" a="1"/>
  <c r="D108" i="123" s="1"/>
  <c r="D107" i="123" a="1"/>
  <c r="D107" i="123" s="1"/>
  <c r="J104" i="123" a="1"/>
  <c r="J104" i="123" s="1"/>
  <c r="I104" i="123" a="1"/>
  <c r="I104" i="123" s="1"/>
  <c r="H104" i="123" a="1"/>
  <c r="H104" i="123" s="1"/>
  <c r="G104" i="123" a="1"/>
  <c r="G104" i="123" s="1"/>
  <c r="F104" i="123" a="1"/>
  <c r="F104" i="123" s="1"/>
  <c r="E104" i="123" a="1"/>
  <c r="E104" i="123" s="1"/>
  <c r="D104" i="123" a="1"/>
  <c r="D104" i="123" s="1"/>
  <c r="J103" i="123" a="1"/>
  <c r="J103" i="123" s="1"/>
  <c r="I103" i="123" a="1"/>
  <c r="I103" i="123" s="1"/>
  <c r="H103" i="123" a="1"/>
  <c r="H103" i="123" s="1"/>
  <c r="G103" i="123" a="1"/>
  <c r="G103" i="123" s="1"/>
  <c r="F103" i="123" a="1"/>
  <c r="F103" i="123" s="1"/>
  <c r="E103" i="123" a="1"/>
  <c r="E103" i="123" s="1"/>
  <c r="D103" i="123" a="1"/>
  <c r="D103" i="123" s="1"/>
  <c r="J102" i="123" a="1"/>
  <c r="J102" i="123" s="1"/>
  <c r="I102" i="123" a="1"/>
  <c r="I102" i="123" s="1"/>
  <c r="H102" i="123" a="1"/>
  <c r="H102" i="123" s="1"/>
  <c r="G102" i="123" a="1"/>
  <c r="G102" i="123" s="1"/>
  <c r="F102" i="123" a="1"/>
  <c r="F102" i="123" s="1"/>
  <c r="E102" i="123" a="1"/>
  <c r="E102" i="123" s="1"/>
  <c r="D102" i="123" a="1"/>
  <c r="D102" i="123" s="1"/>
  <c r="J101" i="123" a="1"/>
  <c r="J101" i="123" s="1"/>
  <c r="I101" i="123" a="1"/>
  <c r="I101" i="123" s="1"/>
  <c r="H101" i="123" a="1"/>
  <c r="H101" i="123" s="1"/>
  <c r="G101" i="123" a="1"/>
  <c r="G101" i="123" s="1"/>
  <c r="F101" i="123"/>
  <c r="F101" i="123" a="1"/>
  <c r="E101" i="123" a="1"/>
  <c r="E101" i="123" s="1"/>
  <c r="D101" i="123" a="1"/>
  <c r="D101" i="123" s="1"/>
  <c r="J100" i="123" a="1"/>
  <c r="J100" i="123" s="1"/>
  <c r="I100" i="123" a="1"/>
  <c r="I100" i="123" s="1"/>
  <c r="H100" i="123" a="1"/>
  <c r="H100" i="123" s="1"/>
  <c r="G100" i="123" a="1"/>
  <c r="G100" i="123" s="1"/>
  <c r="F100" i="123"/>
  <c r="F100" i="123" a="1"/>
  <c r="E100" i="123" a="1"/>
  <c r="E100" i="123" s="1"/>
  <c r="D100" i="123" a="1"/>
  <c r="D100" i="123" s="1"/>
  <c r="J99" i="123" a="1"/>
  <c r="J99" i="123" s="1"/>
  <c r="I99" i="123" a="1"/>
  <c r="I99" i="123" s="1"/>
  <c r="H99" i="123" a="1"/>
  <c r="H99" i="123" s="1"/>
  <c r="G99" i="123" a="1"/>
  <c r="G99" i="123" s="1"/>
  <c r="F99" i="123" a="1"/>
  <c r="F99" i="123" s="1"/>
  <c r="E99" i="123" a="1"/>
  <c r="E99" i="123" s="1"/>
  <c r="D99" i="123" a="1"/>
  <c r="D99" i="123" s="1"/>
  <c r="J98" i="123" a="1"/>
  <c r="J98" i="123" s="1"/>
  <c r="I98" i="123" a="1"/>
  <c r="I98" i="123" s="1"/>
  <c r="H98" i="123" a="1"/>
  <c r="H98" i="123" s="1"/>
  <c r="G98" i="123" a="1"/>
  <c r="G98" i="123" s="1"/>
  <c r="F98" i="123" a="1"/>
  <c r="F98" i="123" s="1"/>
  <c r="E98" i="123" a="1"/>
  <c r="E98" i="123" s="1"/>
  <c r="D98" i="123" a="1"/>
  <c r="D98" i="123" s="1"/>
  <c r="J97" i="123" a="1"/>
  <c r="J97" i="123" s="1"/>
  <c r="I97" i="123" a="1"/>
  <c r="I97" i="123" s="1"/>
  <c r="H97" i="123" a="1"/>
  <c r="H97" i="123" s="1"/>
  <c r="G97" i="123" a="1"/>
  <c r="G97" i="123" s="1"/>
  <c r="F97" i="123" a="1"/>
  <c r="F97" i="123" s="1"/>
  <c r="E97" i="123" a="1"/>
  <c r="E97" i="123" s="1"/>
  <c r="D97" i="123" a="1"/>
  <c r="D97" i="123" s="1"/>
  <c r="J96" i="123" a="1"/>
  <c r="J96" i="123" s="1"/>
  <c r="I96" i="123" a="1"/>
  <c r="I96" i="123" s="1"/>
  <c r="H96" i="123" a="1"/>
  <c r="H96" i="123" s="1"/>
  <c r="G96" i="123" a="1"/>
  <c r="G96" i="123" s="1"/>
  <c r="F96" i="123" a="1"/>
  <c r="F96" i="123" s="1"/>
  <c r="E96" i="123" a="1"/>
  <c r="E96" i="123" s="1"/>
  <c r="D96" i="123" a="1"/>
  <c r="D96" i="123" s="1"/>
  <c r="J95" i="123" a="1"/>
  <c r="J95" i="123" s="1"/>
  <c r="I95" i="123" a="1"/>
  <c r="I95" i="123" s="1"/>
  <c r="H95" i="123" a="1"/>
  <c r="H95" i="123" s="1"/>
  <c r="G95" i="123" a="1"/>
  <c r="G95" i="123" s="1"/>
  <c r="F95" i="123" a="1"/>
  <c r="F95" i="123" s="1"/>
  <c r="E95" i="123" a="1"/>
  <c r="E95" i="123" s="1"/>
  <c r="D95" i="123" a="1"/>
  <c r="D95" i="123" s="1"/>
  <c r="J94" i="123" a="1"/>
  <c r="J94" i="123" s="1"/>
  <c r="I94" i="123" a="1"/>
  <c r="I94" i="123" s="1"/>
  <c r="H94" i="123" a="1"/>
  <c r="H94" i="123" s="1"/>
  <c r="G94" i="123" a="1"/>
  <c r="G94" i="123" s="1"/>
  <c r="F94" i="123" a="1"/>
  <c r="F94" i="123" s="1"/>
  <c r="E94" i="123" a="1"/>
  <c r="E94" i="123" s="1"/>
  <c r="D94" i="123" a="1"/>
  <c r="D94" i="123" s="1"/>
  <c r="J93" i="123" a="1"/>
  <c r="J93" i="123" s="1"/>
  <c r="I93" i="123" a="1"/>
  <c r="I93" i="123" s="1"/>
  <c r="H93" i="123" a="1"/>
  <c r="H93" i="123" s="1"/>
  <c r="G93" i="123" a="1"/>
  <c r="G93" i="123" s="1"/>
  <c r="F93" i="123" a="1"/>
  <c r="F93" i="123" s="1"/>
  <c r="E93" i="123" a="1"/>
  <c r="E93" i="123" s="1"/>
  <c r="D93" i="123" a="1"/>
  <c r="D93" i="123" s="1"/>
  <c r="J92" i="123" a="1"/>
  <c r="J92" i="123" s="1"/>
  <c r="I92" i="123" a="1"/>
  <c r="I92" i="123" s="1"/>
  <c r="H92" i="123" a="1"/>
  <c r="H92" i="123" s="1"/>
  <c r="G92" i="123" a="1"/>
  <c r="G92" i="123" s="1"/>
  <c r="F92" i="123" a="1"/>
  <c r="F92" i="123" s="1"/>
  <c r="E92" i="123" a="1"/>
  <c r="E92" i="123" s="1"/>
  <c r="D92" i="123" a="1"/>
  <c r="D92" i="123" s="1"/>
  <c r="J91" i="123" a="1"/>
  <c r="J91" i="123" s="1"/>
  <c r="I91" i="123" a="1"/>
  <c r="I91" i="123" s="1"/>
  <c r="H91" i="123"/>
  <c r="H91" i="123" a="1"/>
  <c r="G91" i="123" a="1"/>
  <c r="G91" i="123" s="1"/>
  <c r="F91" i="123" a="1"/>
  <c r="F91" i="123" s="1"/>
  <c r="E91" i="123" a="1"/>
  <c r="E91" i="123" s="1"/>
  <c r="D91" i="123" a="1"/>
  <c r="D91" i="123" s="1"/>
  <c r="J90" i="123" a="1"/>
  <c r="J90" i="123" s="1"/>
  <c r="I90" i="123" a="1"/>
  <c r="I90" i="123" s="1"/>
  <c r="H90" i="123" a="1"/>
  <c r="H90" i="123" s="1"/>
  <c r="G90" i="123" a="1"/>
  <c r="G90" i="123" s="1"/>
  <c r="F90" i="123" a="1"/>
  <c r="F90" i="123" s="1"/>
  <c r="E90" i="123" a="1"/>
  <c r="E90" i="123" s="1"/>
  <c r="D90" i="123" a="1"/>
  <c r="D90" i="123" s="1"/>
  <c r="J89" i="123"/>
  <c r="J89" i="123" a="1"/>
  <c r="I89" i="123" a="1"/>
  <c r="I89" i="123" s="1"/>
  <c r="H89" i="123" a="1"/>
  <c r="H89" i="123" s="1"/>
  <c r="G89" i="123" a="1"/>
  <c r="G89" i="123" s="1"/>
  <c r="F89" i="123" a="1"/>
  <c r="F89" i="123" s="1"/>
  <c r="E89" i="123" a="1"/>
  <c r="E89" i="123" s="1"/>
  <c r="D89" i="123" a="1"/>
  <c r="D89" i="123" s="1"/>
  <c r="J88" i="123" a="1"/>
  <c r="J88" i="123" s="1"/>
  <c r="I88" i="123" a="1"/>
  <c r="I88" i="123" s="1"/>
  <c r="H88" i="123"/>
  <c r="H88" i="123" a="1"/>
  <c r="G88" i="123" a="1"/>
  <c r="G88" i="123" s="1"/>
  <c r="F88" i="123" a="1"/>
  <c r="F88" i="123" s="1"/>
  <c r="E88" i="123" a="1"/>
  <c r="E88" i="123" s="1"/>
  <c r="D88" i="123" a="1"/>
  <c r="D88" i="123" s="1"/>
  <c r="J87" i="123" a="1"/>
  <c r="J87" i="123" s="1"/>
  <c r="I87" i="123" a="1"/>
  <c r="I87" i="123" s="1"/>
  <c r="H87" i="123" a="1"/>
  <c r="H87" i="123" s="1"/>
  <c r="G87" i="123" a="1"/>
  <c r="G87" i="123" s="1"/>
  <c r="F87" i="123" a="1"/>
  <c r="F87" i="123" s="1"/>
  <c r="E87" i="123" a="1"/>
  <c r="E87" i="123" s="1"/>
  <c r="D87" i="123" a="1"/>
  <c r="D87" i="123" s="1"/>
  <c r="D84" i="123" a="1"/>
  <c r="D84" i="123" s="1"/>
  <c r="D83" i="123" a="1"/>
  <c r="D83" i="123" s="1"/>
  <c r="D82" i="123" a="1"/>
  <c r="D82" i="123" s="1"/>
  <c r="D81" i="123" a="1"/>
  <c r="D81" i="123" s="1"/>
  <c r="K77" i="123" a="1"/>
  <c r="K77" i="123" s="1"/>
  <c r="J77" i="123" a="1"/>
  <c r="J77" i="123" s="1"/>
  <c r="I77" i="123" a="1"/>
  <c r="I77" i="123" s="1"/>
  <c r="H77" i="123" a="1"/>
  <c r="H77" i="123" s="1"/>
  <c r="G77" i="123" a="1"/>
  <c r="G77" i="123" s="1"/>
  <c r="F77" i="123" a="1"/>
  <c r="F77" i="123" s="1"/>
  <c r="E77" i="123" a="1"/>
  <c r="E77" i="123" s="1"/>
  <c r="D77" i="123" a="1"/>
  <c r="D77" i="123" s="1"/>
  <c r="K76" i="123" a="1"/>
  <c r="K76" i="123" s="1"/>
  <c r="J76" i="123" a="1"/>
  <c r="J76" i="123" s="1"/>
  <c r="I76" i="123" a="1"/>
  <c r="I76" i="123" s="1"/>
  <c r="H76" i="123" a="1"/>
  <c r="H76" i="123" s="1"/>
  <c r="G76" i="123" a="1"/>
  <c r="G76" i="123" s="1"/>
  <c r="F76" i="123" a="1"/>
  <c r="F76" i="123" s="1"/>
  <c r="E76" i="123" a="1"/>
  <c r="E76" i="123" s="1"/>
  <c r="D76" i="123" a="1"/>
  <c r="D76" i="123" s="1"/>
  <c r="K75" i="123" a="1"/>
  <c r="K75" i="123" s="1"/>
  <c r="J75" i="123" a="1"/>
  <c r="J75" i="123" s="1"/>
  <c r="I75" i="123" a="1"/>
  <c r="I75" i="123" s="1"/>
  <c r="H75" i="123" a="1"/>
  <c r="H75" i="123" s="1"/>
  <c r="G75" i="123" a="1"/>
  <c r="G75" i="123" s="1"/>
  <c r="F75" i="123" a="1"/>
  <c r="F75" i="123" s="1"/>
  <c r="E75" i="123" a="1"/>
  <c r="E75" i="123" s="1"/>
  <c r="D75" i="123" a="1"/>
  <c r="D75" i="123" s="1"/>
  <c r="K74" i="123" a="1"/>
  <c r="K74" i="123" s="1"/>
  <c r="J74" i="123" a="1"/>
  <c r="J74" i="123" s="1"/>
  <c r="I74" i="123" a="1"/>
  <c r="I74" i="123" s="1"/>
  <c r="H74" i="123" a="1"/>
  <c r="H74" i="123" s="1"/>
  <c r="G74" i="123" a="1"/>
  <c r="G74" i="123" s="1"/>
  <c r="F74" i="123" a="1"/>
  <c r="F74" i="123" s="1"/>
  <c r="E74" i="123" a="1"/>
  <c r="E74" i="123" s="1"/>
  <c r="D74" i="123" a="1"/>
  <c r="D74" i="123" s="1"/>
  <c r="K73" i="123" a="1"/>
  <c r="K73" i="123" s="1"/>
  <c r="J73" i="123" a="1"/>
  <c r="J73" i="123" s="1"/>
  <c r="I73" i="123" a="1"/>
  <c r="I73" i="123" s="1"/>
  <c r="H73" i="123" a="1"/>
  <c r="H73" i="123" s="1"/>
  <c r="G73" i="123" a="1"/>
  <c r="G73" i="123" s="1"/>
  <c r="F73" i="123" a="1"/>
  <c r="F73" i="123" s="1"/>
  <c r="E73" i="123" a="1"/>
  <c r="E73" i="123" s="1"/>
  <c r="D73" i="123" a="1"/>
  <c r="D73" i="123" s="1"/>
  <c r="K72" i="123" a="1"/>
  <c r="K72" i="123" s="1"/>
  <c r="J72" i="123" a="1"/>
  <c r="J72" i="123" s="1"/>
  <c r="I72" i="123" a="1"/>
  <c r="I72" i="123" s="1"/>
  <c r="H72" i="123" a="1"/>
  <c r="H72" i="123" s="1"/>
  <c r="G72" i="123" a="1"/>
  <c r="G72" i="123" s="1"/>
  <c r="F72" i="123" a="1"/>
  <c r="F72" i="123" s="1"/>
  <c r="E72" i="123" a="1"/>
  <c r="E72" i="123" s="1"/>
  <c r="D72" i="123" a="1"/>
  <c r="D72" i="123" s="1"/>
  <c r="K71" i="123" a="1"/>
  <c r="K71" i="123" s="1"/>
  <c r="J71" i="123" a="1"/>
  <c r="J71" i="123" s="1"/>
  <c r="I71" i="123" a="1"/>
  <c r="I71" i="123" s="1"/>
  <c r="H71" i="123" a="1"/>
  <c r="H71" i="123" s="1"/>
  <c r="G71" i="123" a="1"/>
  <c r="G71" i="123" s="1"/>
  <c r="F71" i="123" a="1"/>
  <c r="F71" i="123" s="1"/>
  <c r="E71" i="123"/>
  <c r="E71" i="123" a="1"/>
  <c r="D71" i="123" a="1"/>
  <c r="D71" i="123" s="1"/>
  <c r="K70" i="123" a="1"/>
  <c r="K70" i="123" s="1"/>
  <c r="J70" i="123" a="1"/>
  <c r="J70" i="123" s="1"/>
  <c r="I70" i="123" a="1"/>
  <c r="I70" i="123" s="1"/>
  <c r="H70" i="123" a="1"/>
  <c r="H70" i="123" s="1"/>
  <c r="G70" i="123" a="1"/>
  <c r="G70" i="123" s="1"/>
  <c r="F70" i="123" a="1"/>
  <c r="F70" i="123" s="1"/>
  <c r="E70" i="123" a="1"/>
  <c r="E70" i="123" s="1"/>
  <c r="D70" i="123" a="1"/>
  <c r="D70" i="123" s="1"/>
  <c r="K69" i="123" a="1"/>
  <c r="K69" i="123" s="1"/>
  <c r="J69" i="123" a="1"/>
  <c r="J69" i="123" s="1"/>
  <c r="I69" i="123" a="1"/>
  <c r="I69" i="123" s="1"/>
  <c r="H69" i="123" a="1"/>
  <c r="H69" i="123" s="1"/>
  <c r="G69" i="123" a="1"/>
  <c r="G69" i="123" s="1"/>
  <c r="F69" i="123" a="1"/>
  <c r="F69" i="123" s="1"/>
  <c r="E69" i="123" a="1"/>
  <c r="E69" i="123" s="1"/>
  <c r="D69" i="123" a="1"/>
  <c r="D69" i="123" s="1"/>
  <c r="K68" i="123" a="1"/>
  <c r="K68" i="123" s="1"/>
  <c r="J68" i="123"/>
  <c r="J68" i="123" a="1"/>
  <c r="I68" i="123" a="1"/>
  <c r="I68" i="123" s="1"/>
  <c r="H68" i="123" a="1"/>
  <c r="H68" i="123" s="1"/>
  <c r="G68" i="123" a="1"/>
  <c r="G68" i="123" s="1"/>
  <c r="F68" i="123" a="1"/>
  <c r="F68" i="123" s="1"/>
  <c r="E68" i="123" a="1"/>
  <c r="E68" i="123" s="1"/>
  <c r="D68" i="123" a="1"/>
  <c r="D68" i="123" s="1"/>
  <c r="K67" i="123" a="1"/>
  <c r="K67" i="123" s="1"/>
  <c r="J67" i="123" a="1"/>
  <c r="J67" i="123" s="1"/>
  <c r="I67" i="123" a="1"/>
  <c r="I67" i="123" s="1"/>
  <c r="H67" i="123" a="1"/>
  <c r="H67" i="123" s="1"/>
  <c r="G67" i="123" a="1"/>
  <c r="G67" i="123" s="1"/>
  <c r="F67" i="123" a="1"/>
  <c r="F67" i="123" s="1"/>
  <c r="E67" i="123" a="1"/>
  <c r="E67" i="123" s="1"/>
  <c r="D67" i="123" a="1"/>
  <c r="D67" i="123" s="1"/>
  <c r="K66" i="123" a="1"/>
  <c r="K66" i="123" s="1"/>
  <c r="J66" i="123"/>
  <c r="J66" i="123" a="1"/>
  <c r="I66" i="123" a="1"/>
  <c r="I66" i="123" s="1"/>
  <c r="H66" i="123" a="1"/>
  <c r="H66" i="123" s="1"/>
  <c r="G66" i="123" a="1"/>
  <c r="G66" i="123" s="1"/>
  <c r="F66" i="123" a="1"/>
  <c r="F66" i="123" s="1"/>
  <c r="E66" i="123" a="1"/>
  <c r="E66" i="123" s="1"/>
  <c r="D66" i="123" a="1"/>
  <c r="D66" i="123" s="1"/>
  <c r="K65" i="123" a="1"/>
  <c r="K65" i="123" s="1"/>
  <c r="J65" i="123" a="1"/>
  <c r="J65" i="123" s="1"/>
  <c r="I65" i="123" a="1"/>
  <c r="I65" i="123" s="1"/>
  <c r="H65" i="123" a="1"/>
  <c r="H65" i="123" s="1"/>
  <c r="G65" i="123" a="1"/>
  <c r="G65" i="123" s="1"/>
  <c r="F65" i="123"/>
  <c r="F65" i="123" a="1"/>
  <c r="E65" i="123" a="1"/>
  <c r="E65" i="123" s="1"/>
  <c r="D65" i="123" a="1"/>
  <c r="D65" i="123" s="1"/>
  <c r="K64" i="123" a="1"/>
  <c r="K64" i="123" s="1"/>
  <c r="J64" i="123" a="1"/>
  <c r="J64" i="123" s="1"/>
  <c r="I64" i="123" a="1"/>
  <c r="I64" i="123" s="1"/>
  <c r="H64" i="123" a="1"/>
  <c r="H64" i="123" s="1"/>
  <c r="G64" i="123" a="1"/>
  <c r="G64" i="123" s="1"/>
  <c r="F64" i="123" a="1"/>
  <c r="F64" i="123" s="1"/>
  <c r="E64" i="123" a="1"/>
  <c r="E64" i="123" s="1"/>
  <c r="D64" i="123" a="1"/>
  <c r="D64" i="123" s="1"/>
  <c r="K63" i="123" a="1"/>
  <c r="K63" i="123" s="1"/>
  <c r="J63" i="123" a="1"/>
  <c r="J63" i="123" s="1"/>
  <c r="I63" i="123" a="1"/>
  <c r="I63" i="123" s="1"/>
  <c r="H63" i="123" a="1"/>
  <c r="H63" i="123" s="1"/>
  <c r="G63" i="123" a="1"/>
  <c r="G63" i="123" s="1"/>
  <c r="F63" i="123" a="1"/>
  <c r="F63" i="123" s="1"/>
  <c r="E63" i="123" a="1"/>
  <c r="E63" i="123" s="1"/>
  <c r="D63" i="123" a="1"/>
  <c r="D63" i="123" s="1"/>
  <c r="K62" i="123" a="1"/>
  <c r="K62" i="123" s="1"/>
  <c r="J62" i="123" a="1"/>
  <c r="J62" i="123" s="1"/>
  <c r="I62" i="123"/>
  <c r="I62" i="123" a="1"/>
  <c r="H62" i="123" a="1"/>
  <c r="H62" i="123" s="1"/>
  <c r="G62" i="123" a="1"/>
  <c r="G62" i="123" s="1"/>
  <c r="F62" i="123" a="1"/>
  <c r="F62" i="123" s="1"/>
  <c r="E62" i="123" a="1"/>
  <c r="E62" i="123" s="1"/>
  <c r="D62" i="123" a="1"/>
  <c r="D62" i="123" s="1"/>
  <c r="K61" i="123" a="1"/>
  <c r="K61" i="123" s="1"/>
  <c r="J61" i="123" a="1"/>
  <c r="J61" i="123" s="1"/>
  <c r="I61" i="123" a="1"/>
  <c r="I61" i="123" s="1"/>
  <c r="H61" i="123" a="1"/>
  <c r="H61" i="123" s="1"/>
  <c r="G61" i="123" a="1"/>
  <c r="G61" i="123" s="1"/>
  <c r="F61" i="123" a="1"/>
  <c r="F61" i="123" s="1"/>
  <c r="E61" i="123" a="1"/>
  <c r="E61" i="123" s="1"/>
  <c r="D61" i="123" a="1"/>
  <c r="D61" i="123" s="1"/>
  <c r="K60" i="123" a="1"/>
  <c r="K60" i="123" s="1"/>
  <c r="J60" i="123" a="1"/>
  <c r="J60" i="123" s="1"/>
  <c r="I60" i="123" a="1"/>
  <c r="I60" i="123" s="1"/>
  <c r="H60" i="123" a="1"/>
  <c r="H60" i="123" s="1"/>
  <c r="G60" i="123" a="1"/>
  <c r="G60" i="123" s="1"/>
  <c r="F60" i="123" a="1"/>
  <c r="F60" i="123" s="1"/>
  <c r="E60" i="123" a="1"/>
  <c r="E60" i="123" s="1"/>
  <c r="D60" i="123"/>
  <c r="D60" i="123" a="1"/>
  <c r="K59" i="123" a="1"/>
  <c r="K59" i="123" s="1"/>
  <c r="J59" i="123" a="1"/>
  <c r="J59" i="123" s="1"/>
  <c r="I59" i="123" a="1"/>
  <c r="I59" i="123" s="1"/>
  <c r="H59" i="123"/>
  <c r="H59" i="123" a="1"/>
  <c r="G59" i="123" a="1"/>
  <c r="G59" i="123" s="1"/>
  <c r="F59" i="123" a="1"/>
  <c r="F59" i="123" s="1"/>
  <c r="E59" i="123" a="1"/>
  <c r="E59" i="123" s="1"/>
  <c r="D59" i="123" a="1"/>
  <c r="D59" i="123" s="1"/>
  <c r="K58" i="123"/>
  <c r="K58" i="123" a="1"/>
  <c r="J58" i="123" a="1"/>
  <c r="J58" i="123" s="1"/>
  <c r="I58" i="123" a="1"/>
  <c r="I58" i="123" s="1"/>
  <c r="H58" i="123" a="1"/>
  <c r="H58" i="123" s="1"/>
  <c r="G58" i="123" a="1"/>
  <c r="G58" i="123" s="1"/>
  <c r="F58" i="123" a="1"/>
  <c r="F58" i="123" s="1"/>
  <c r="E58" i="123" a="1"/>
  <c r="E58" i="123" s="1"/>
  <c r="D58" i="123" a="1"/>
  <c r="D58" i="123" s="1"/>
  <c r="K57" i="123" a="1"/>
  <c r="K57" i="123" s="1"/>
  <c r="J57" i="123" a="1"/>
  <c r="J57" i="123" s="1"/>
  <c r="I57" i="123" a="1"/>
  <c r="I57" i="123" s="1"/>
  <c r="H57" i="123" a="1"/>
  <c r="H57" i="123" s="1"/>
  <c r="G57" i="123" a="1"/>
  <c r="G57" i="123" s="1"/>
  <c r="F57" i="123" a="1"/>
  <c r="F57" i="123" s="1"/>
  <c r="E57" i="123" a="1"/>
  <c r="E57" i="123" s="1"/>
  <c r="D57" i="123" a="1"/>
  <c r="D57" i="123" s="1"/>
  <c r="K56" i="123" a="1"/>
  <c r="K56" i="123" s="1"/>
  <c r="J56" i="123" a="1"/>
  <c r="J56" i="123" s="1"/>
  <c r="I56" i="123" a="1"/>
  <c r="I56" i="123" s="1"/>
  <c r="H56" i="123" a="1"/>
  <c r="H56" i="123" s="1"/>
  <c r="G56" i="123" a="1"/>
  <c r="G56" i="123" s="1"/>
  <c r="F56" i="123" a="1"/>
  <c r="F56" i="123" s="1"/>
  <c r="E56" i="123" a="1"/>
  <c r="E56" i="123" s="1"/>
  <c r="D56" i="123" a="1"/>
  <c r="D56" i="123" s="1"/>
  <c r="K55" i="123" a="1"/>
  <c r="K55" i="123" s="1"/>
  <c r="J55" i="123" a="1"/>
  <c r="J55" i="123" s="1"/>
  <c r="I55" i="123" a="1"/>
  <c r="I55" i="123" s="1"/>
  <c r="H55" i="123" a="1"/>
  <c r="H55" i="123" s="1"/>
  <c r="G55" i="123" a="1"/>
  <c r="G55" i="123" s="1"/>
  <c r="F55" i="123" a="1"/>
  <c r="F55" i="123" s="1"/>
  <c r="E55" i="123" a="1"/>
  <c r="E55" i="123" s="1"/>
  <c r="D55" i="123" a="1"/>
  <c r="D55" i="123" s="1"/>
  <c r="K54" i="123" a="1"/>
  <c r="K54" i="123" s="1"/>
  <c r="J54" i="123" a="1"/>
  <c r="J54" i="123" s="1"/>
  <c r="I54" i="123" a="1"/>
  <c r="I54" i="123" s="1"/>
  <c r="H54" i="123" a="1"/>
  <c r="H54" i="123" s="1"/>
  <c r="G54" i="123" a="1"/>
  <c r="G54" i="123" s="1"/>
  <c r="F54" i="123" a="1"/>
  <c r="F54" i="123" s="1"/>
  <c r="E54" i="123" a="1"/>
  <c r="E54" i="123" s="1"/>
  <c r="D54" i="123" a="1"/>
  <c r="D54" i="123" s="1"/>
  <c r="D52" i="123" a="1"/>
  <c r="D52" i="123" s="1"/>
  <c r="D51" i="123" a="1"/>
  <c r="D51" i="123" s="1"/>
  <c r="D50" i="123" a="1"/>
  <c r="D50" i="123" s="1"/>
  <c r="D49" i="123" a="1"/>
  <c r="D49" i="123" s="1"/>
  <c r="J43" i="123" a="1"/>
  <c r="J43" i="123" s="1"/>
  <c r="I43" i="123" a="1"/>
  <c r="I43" i="123" s="1"/>
  <c r="H43" i="123" a="1"/>
  <c r="H43" i="123" s="1"/>
  <c r="G43" i="123"/>
  <c r="G43" i="123" a="1"/>
  <c r="F43" i="123" a="1"/>
  <c r="F43" i="123" s="1"/>
  <c r="E43" i="123" a="1"/>
  <c r="E43" i="123" s="1"/>
  <c r="D43" i="123" a="1"/>
  <c r="D43" i="123" s="1"/>
  <c r="J42" i="123" a="1"/>
  <c r="J42" i="123" s="1"/>
  <c r="I42" i="123" a="1"/>
  <c r="I42" i="123" s="1"/>
  <c r="H42" i="123" a="1"/>
  <c r="H42" i="123" s="1"/>
  <c r="G42" i="123" a="1"/>
  <c r="G42" i="123" s="1"/>
  <c r="F42" i="123" a="1"/>
  <c r="F42" i="123" s="1"/>
  <c r="E42" i="123"/>
  <c r="E42" i="123" a="1"/>
  <c r="D42" i="123" a="1"/>
  <c r="D42" i="123" s="1"/>
  <c r="J41" i="123" a="1"/>
  <c r="J41" i="123" s="1"/>
  <c r="I41" i="123" a="1"/>
  <c r="I41" i="123" s="1"/>
  <c r="H41" i="123" a="1"/>
  <c r="H41" i="123" s="1"/>
  <c r="G41" i="123" a="1"/>
  <c r="G41" i="123" s="1"/>
  <c r="F41" i="123" a="1"/>
  <c r="F41" i="123" s="1"/>
  <c r="E41" i="123" a="1"/>
  <c r="E41" i="123" s="1"/>
  <c r="D41" i="123" a="1"/>
  <c r="D41" i="123" s="1"/>
  <c r="J40" i="123" a="1"/>
  <c r="J40" i="123" s="1"/>
  <c r="I40" i="123"/>
  <c r="I40" i="123" a="1"/>
  <c r="H40" i="123" a="1"/>
  <c r="H40" i="123" s="1"/>
  <c r="G40" i="123" a="1"/>
  <c r="G40" i="123" s="1"/>
  <c r="F40" i="123" a="1"/>
  <c r="F40" i="123" s="1"/>
  <c r="E40" i="123" a="1"/>
  <c r="E40" i="123" s="1"/>
  <c r="D40" i="123" a="1"/>
  <c r="D40" i="123" s="1"/>
  <c r="D38" i="123" a="1"/>
  <c r="D38" i="123" s="1"/>
  <c r="D37" i="123" a="1"/>
  <c r="D37" i="123" s="1"/>
  <c r="L34" i="123" a="1"/>
  <c r="L34" i="123" s="1"/>
  <c r="K34" i="123" a="1"/>
  <c r="K34" i="123" s="1"/>
  <c r="J34" i="123" a="1"/>
  <c r="J34" i="123" s="1"/>
  <c r="I34" i="123" a="1"/>
  <c r="I34" i="123" s="1"/>
  <c r="H34" i="123" a="1"/>
  <c r="H34" i="123" s="1"/>
  <c r="G34" i="123" a="1"/>
  <c r="G34" i="123" s="1"/>
  <c r="F34" i="123" a="1"/>
  <c r="F34" i="123" s="1"/>
  <c r="E34" i="123" a="1"/>
  <c r="E34" i="123" s="1"/>
  <c r="D34" i="123" a="1"/>
  <c r="D34" i="123" s="1"/>
  <c r="L33" i="123" a="1"/>
  <c r="L33" i="123" s="1"/>
  <c r="K33" i="123" a="1"/>
  <c r="K33" i="123" s="1"/>
  <c r="J33" i="123" a="1"/>
  <c r="J33" i="123" s="1"/>
  <c r="I33" i="123" a="1"/>
  <c r="I33" i="123" s="1"/>
  <c r="H33" i="123" a="1"/>
  <c r="H33" i="123" s="1"/>
  <c r="G33" i="123" a="1"/>
  <c r="G33" i="123" s="1"/>
  <c r="F33" i="123" a="1"/>
  <c r="F33" i="123" s="1"/>
  <c r="E33" i="123" a="1"/>
  <c r="E33" i="123" s="1"/>
  <c r="D33" i="123" a="1"/>
  <c r="D33" i="123" s="1"/>
  <c r="L32" i="123" a="1"/>
  <c r="L32" i="123" s="1"/>
  <c r="K32" i="123" a="1"/>
  <c r="K32" i="123" s="1"/>
  <c r="J32" i="123" a="1"/>
  <c r="J32" i="123" s="1"/>
  <c r="I32" i="123" a="1"/>
  <c r="I32" i="123" s="1"/>
  <c r="H32" i="123" a="1"/>
  <c r="H32" i="123" s="1"/>
  <c r="G32" i="123" a="1"/>
  <c r="G32" i="123" s="1"/>
  <c r="F32" i="123"/>
  <c r="F32" i="123" a="1"/>
  <c r="E32" i="123" a="1"/>
  <c r="E32" i="123" s="1"/>
  <c r="D32" i="123" a="1"/>
  <c r="D32" i="123" s="1"/>
  <c r="L31" i="123" a="1"/>
  <c r="L31" i="123" s="1"/>
  <c r="K31" i="123" a="1"/>
  <c r="K31" i="123" s="1"/>
  <c r="J31" i="123"/>
  <c r="J31" i="123" a="1"/>
  <c r="I31" i="123" a="1"/>
  <c r="I31" i="123" s="1"/>
  <c r="H31" i="123" a="1"/>
  <c r="H31" i="123" s="1"/>
  <c r="G31" i="123" a="1"/>
  <c r="G31" i="123" s="1"/>
  <c r="F31" i="123" a="1"/>
  <c r="F31" i="123" s="1"/>
  <c r="E31" i="123" a="1"/>
  <c r="E31" i="123" s="1"/>
  <c r="D31" i="123" a="1"/>
  <c r="D31" i="123" s="1"/>
  <c r="L30" i="123" a="1"/>
  <c r="L30" i="123" s="1"/>
  <c r="K30" i="123" a="1"/>
  <c r="K30" i="123" s="1"/>
  <c r="J30" i="123" a="1"/>
  <c r="J30" i="123" s="1"/>
  <c r="I30" i="123" a="1"/>
  <c r="I30" i="123" s="1"/>
  <c r="H30" i="123" a="1"/>
  <c r="H30" i="123" s="1"/>
  <c r="G30" i="123" a="1"/>
  <c r="G30" i="123" s="1"/>
  <c r="F30" i="123" a="1"/>
  <c r="F30" i="123" s="1"/>
  <c r="E30" i="123" a="1"/>
  <c r="E30" i="123" s="1"/>
  <c r="D30" i="123" a="1"/>
  <c r="D30" i="123" s="1"/>
  <c r="L29" i="123" a="1"/>
  <c r="L29" i="123" s="1"/>
  <c r="K29" i="123" a="1"/>
  <c r="K29" i="123" s="1"/>
  <c r="J29" i="123" a="1"/>
  <c r="J29" i="123" s="1"/>
  <c r="I29" i="123" a="1"/>
  <c r="I29" i="123" s="1"/>
  <c r="H29" i="123" a="1"/>
  <c r="H29" i="123" s="1"/>
  <c r="G29" i="123"/>
  <c r="G29" i="123" a="1"/>
  <c r="F29" i="123" a="1"/>
  <c r="F29" i="123" s="1"/>
  <c r="E29" i="123" a="1"/>
  <c r="E29" i="123" s="1"/>
  <c r="D29" i="123" a="1"/>
  <c r="D29" i="123" s="1"/>
  <c r="L28" i="123" a="1"/>
  <c r="L28" i="123" s="1"/>
  <c r="K28" i="123" a="1"/>
  <c r="K28" i="123" s="1"/>
  <c r="J28" i="123" a="1"/>
  <c r="J28" i="123" s="1"/>
  <c r="I28" i="123"/>
  <c r="I28" i="123" a="1"/>
  <c r="H28" i="123" a="1"/>
  <c r="H28" i="123" s="1"/>
  <c r="G28" i="123" a="1"/>
  <c r="G28" i="123" s="1"/>
  <c r="F28" i="123" a="1"/>
  <c r="F28" i="123" s="1"/>
  <c r="E28" i="123" a="1"/>
  <c r="E28" i="123" s="1"/>
  <c r="D28" i="123" a="1"/>
  <c r="D28" i="123" s="1"/>
  <c r="L27" i="123" a="1"/>
  <c r="L27" i="123" s="1"/>
  <c r="K27" i="123" a="1"/>
  <c r="K27" i="123" s="1"/>
  <c r="J27" i="123" a="1"/>
  <c r="J27" i="123" s="1"/>
  <c r="I27" i="123" a="1"/>
  <c r="I27" i="123" s="1"/>
  <c r="H27" i="123" a="1"/>
  <c r="H27" i="123" s="1"/>
  <c r="G27" i="123" a="1"/>
  <c r="G27" i="123" s="1"/>
  <c r="F27" i="123" a="1"/>
  <c r="F27" i="123" s="1"/>
  <c r="E27" i="123" a="1"/>
  <c r="E27" i="123" s="1"/>
  <c r="D27" i="123" a="1"/>
  <c r="D27" i="123" s="1"/>
  <c r="L26" i="123" a="1"/>
  <c r="L26" i="123" s="1"/>
  <c r="K26" i="123" a="1"/>
  <c r="K26" i="123" s="1"/>
  <c r="J26" i="123" a="1"/>
  <c r="J26" i="123" s="1"/>
  <c r="I26" i="123" a="1"/>
  <c r="I26" i="123" s="1"/>
  <c r="H26" i="123" a="1"/>
  <c r="H26" i="123" s="1"/>
  <c r="G26" i="123" a="1"/>
  <c r="G26" i="123" s="1"/>
  <c r="F26" i="123" a="1"/>
  <c r="F26" i="123" s="1"/>
  <c r="E26" i="123" a="1"/>
  <c r="E26" i="123" s="1"/>
  <c r="D26" i="123" a="1"/>
  <c r="D26" i="123" s="1"/>
  <c r="L25" i="123" a="1"/>
  <c r="L25" i="123" s="1"/>
  <c r="K25" i="123" a="1"/>
  <c r="K25" i="123" s="1"/>
  <c r="J25" i="123" a="1"/>
  <c r="J25" i="123" s="1"/>
  <c r="I25" i="123" a="1"/>
  <c r="I25" i="123" s="1"/>
  <c r="H25" i="123" a="1"/>
  <c r="H25" i="123" s="1"/>
  <c r="G25" i="123" a="1"/>
  <c r="G25" i="123" s="1"/>
  <c r="F25" i="123" a="1"/>
  <c r="F25" i="123" s="1"/>
  <c r="E25" i="123" a="1"/>
  <c r="E25" i="123" s="1"/>
  <c r="D25" i="123" a="1"/>
  <c r="D25" i="123" s="1"/>
  <c r="L24" i="123" a="1"/>
  <c r="L24" i="123" s="1"/>
  <c r="K24" i="123" a="1"/>
  <c r="K24" i="123" s="1"/>
  <c r="J24" i="123" a="1"/>
  <c r="J24" i="123" s="1"/>
  <c r="I24" i="123" a="1"/>
  <c r="I24" i="123" s="1"/>
  <c r="H24" i="123" a="1"/>
  <c r="H24" i="123" s="1"/>
  <c r="G24" i="123" a="1"/>
  <c r="G24" i="123" s="1"/>
  <c r="F24" i="123" a="1"/>
  <c r="F24" i="123" s="1"/>
  <c r="E24" i="123" a="1"/>
  <c r="E24" i="123" s="1"/>
  <c r="D24" i="123" a="1"/>
  <c r="D24" i="123" s="1"/>
  <c r="L23" i="123" a="1"/>
  <c r="L23" i="123" s="1"/>
  <c r="K23" i="123" a="1"/>
  <c r="K23" i="123" s="1"/>
  <c r="J23" i="123" a="1"/>
  <c r="J23" i="123" s="1"/>
  <c r="I23" i="123" a="1"/>
  <c r="I23" i="123" s="1"/>
  <c r="H23" i="123" a="1"/>
  <c r="H23" i="123" s="1"/>
  <c r="G23" i="123"/>
  <c r="G23" i="123" a="1"/>
  <c r="F23" i="123" a="1"/>
  <c r="F23" i="123" s="1"/>
  <c r="E23" i="123" a="1"/>
  <c r="E23" i="123" s="1"/>
  <c r="D23" i="123" a="1"/>
  <c r="D23" i="123" s="1"/>
  <c r="L22" i="123"/>
  <c r="L22" i="123" a="1"/>
  <c r="K22" i="123" a="1"/>
  <c r="K22" i="123" s="1"/>
  <c r="J22" i="123" a="1"/>
  <c r="J22" i="123" s="1"/>
  <c r="I22" i="123" a="1"/>
  <c r="I22" i="123" s="1"/>
  <c r="H22" i="123" a="1"/>
  <c r="H22" i="123" s="1"/>
  <c r="G22" i="123" a="1"/>
  <c r="G22" i="123" s="1"/>
  <c r="F22" i="123" a="1"/>
  <c r="F22" i="123" s="1"/>
  <c r="E22" i="123" a="1"/>
  <c r="E22" i="123" s="1"/>
  <c r="D22" i="123" a="1"/>
  <c r="D22" i="123" s="1"/>
  <c r="L21" i="123" a="1"/>
  <c r="L21" i="123" s="1"/>
  <c r="K21" i="123" a="1"/>
  <c r="K21" i="123" s="1"/>
  <c r="J21" i="123" a="1"/>
  <c r="J21" i="123" s="1"/>
  <c r="I21" i="123" a="1"/>
  <c r="I21" i="123" s="1"/>
  <c r="H21" i="123" a="1"/>
  <c r="H21" i="123" s="1"/>
  <c r="G21" i="123" a="1"/>
  <c r="G21" i="123" s="1"/>
  <c r="F21" i="123" a="1"/>
  <c r="F21" i="123" s="1"/>
  <c r="E21" i="123" a="1"/>
  <c r="E21" i="123" s="1"/>
  <c r="D21" i="123" a="1"/>
  <c r="D21" i="123" s="1"/>
  <c r="L20" i="123" a="1"/>
  <c r="L20" i="123" s="1"/>
  <c r="K20" i="123" a="1"/>
  <c r="K20" i="123" s="1"/>
  <c r="J20" i="123" a="1"/>
  <c r="J20" i="123" s="1"/>
  <c r="I20" i="123" a="1"/>
  <c r="I20" i="123" s="1"/>
  <c r="H20" i="123" a="1"/>
  <c r="H20" i="123" s="1"/>
  <c r="G20" i="123" a="1"/>
  <c r="G20" i="123" s="1"/>
  <c r="F20" i="123" a="1"/>
  <c r="F20" i="123" s="1"/>
  <c r="E20" i="123" a="1"/>
  <c r="E20" i="123" s="1"/>
  <c r="D20" i="123" a="1"/>
  <c r="D20" i="123" s="1"/>
  <c r="L19" i="123" a="1"/>
  <c r="L19" i="123" s="1"/>
  <c r="K19" i="123" a="1"/>
  <c r="K19" i="123" s="1"/>
  <c r="J19" i="123" a="1"/>
  <c r="J19" i="123" s="1"/>
  <c r="I19" i="123" a="1"/>
  <c r="I19" i="123" s="1"/>
  <c r="H19" i="123" a="1"/>
  <c r="H19" i="123" s="1"/>
  <c r="G19" i="123" a="1"/>
  <c r="G19" i="123" s="1"/>
  <c r="F19" i="123" a="1"/>
  <c r="F19" i="123" s="1"/>
  <c r="E19" i="123" a="1"/>
  <c r="E19" i="123" s="1"/>
  <c r="D19" i="123" a="1"/>
  <c r="D19" i="123" s="1"/>
  <c r="L18" i="123" a="1"/>
  <c r="L18" i="123" s="1"/>
  <c r="K18" i="123" a="1"/>
  <c r="K18" i="123" s="1"/>
  <c r="J18" i="123" a="1"/>
  <c r="J18" i="123" s="1"/>
  <c r="I18" i="123" a="1"/>
  <c r="I18" i="123" s="1"/>
  <c r="H18" i="123" a="1"/>
  <c r="H18" i="123" s="1"/>
  <c r="G18" i="123" a="1"/>
  <c r="G18" i="123" s="1"/>
  <c r="F18" i="123" a="1"/>
  <c r="F18" i="123" s="1"/>
  <c r="E18" i="123" a="1"/>
  <c r="E18" i="123" s="1"/>
  <c r="D18" i="123" a="1"/>
  <c r="D18" i="123" s="1"/>
  <c r="L17" i="123" a="1"/>
  <c r="L17" i="123" s="1"/>
  <c r="K17" i="123" a="1"/>
  <c r="K17" i="123" s="1"/>
  <c r="J17" i="123" a="1"/>
  <c r="J17" i="123" s="1"/>
  <c r="I17" i="123" a="1"/>
  <c r="I17" i="123" s="1"/>
  <c r="H17" i="123"/>
  <c r="H17" i="123" a="1"/>
  <c r="G17" i="123" a="1"/>
  <c r="G17" i="123" s="1"/>
  <c r="F17" i="123" a="1"/>
  <c r="F17" i="123" s="1"/>
  <c r="E17" i="123" a="1"/>
  <c r="E17" i="123" s="1"/>
  <c r="D17" i="123" a="1"/>
  <c r="D17" i="123" s="1"/>
  <c r="A17" i="123"/>
  <c r="L16" i="123" a="1"/>
  <c r="L16" i="123" s="1"/>
  <c r="K16" i="123" a="1"/>
  <c r="K16" i="123" s="1"/>
  <c r="J16" i="123" a="1"/>
  <c r="J16" i="123" s="1"/>
  <c r="I16" i="123" a="1"/>
  <c r="I16" i="123" s="1"/>
  <c r="H16" i="123" a="1"/>
  <c r="H16" i="123" s="1"/>
  <c r="G16" i="123" a="1"/>
  <c r="G16" i="123" s="1"/>
  <c r="F16" i="123" a="1"/>
  <c r="F16" i="123" s="1"/>
  <c r="E16" i="123" a="1"/>
  <c r="E16" i="123" s="1"/>
  <c r="D16" i="123" a="1"/>
  <c r="D16" i="123" s="1"/>
  <c r="A16" i="123"/>
  <c r="L15" i="123" a="1"/>
  <c r="L15" i="123" s="1"/>
  <c r="K15" i="123" a="1"/>
  <c r="K15" i="123" s="1"/>
  <c r="J15" i="123" a="1"/>
  <c r="J15" i="123" s="1"/>
  <c r="I15" i="123" a="1"/>
  <c r="I15" i="123" s="1"/>
  <c r="H15" i="123" a="1"/>
  <c r="H15" i="123" s="1"/>
  <c r="G15" i="123" a="1"/>
  <c r="G15" i="123" s="1"/>
  <c r="F15" i="123" a="1"/>
  <c r="F15" i="123" s="1"/>
  <c r="E15" i="123" a="1"/>
  <c r="E15" i="123" s="1"/>
  <c r="D15" i="123" a="1"/>
  <c r="D15" i="123" s="1"/>
  <c r="L14" i="123"/>
  <c r="L14" i="123" a="1"/>
  <c r="K14" i="123" a="1"/>
  <c r="K14" i="123" s="1"/>
  <c r="J14" i="123" a="1"/>
  <c r="J14" i="123" s="1"/>
  <c r="I14" i="123" a="1"/>
  <c r="I14" i="123" s="1"/>
  <c r="H14" i="123" a="1"/>
  <c r="H14" i="123" s="1"/>
  <c r="G14" i="123" a="1"/>
  <c r="G14" i="123" s="1"/>
  <c r="F14" i="123" a="1"/>
  <c r="F14" i="123" s="1"/>
  <c r="E14" i="123"/>
  <c r="E14" i="123" a="1"/>
  <c r="D14" i="123" a="1"/>
  <c r="D14" i="123" s="1"/>
  <c r="L13" i="123"/>
  <c r="L13" i="123" a="1"/>
  <c r="K13" i="123" a="1"/>
  <c r="K13" i="123" s="1"/>
  <c r="J13" i="123" a="1"/>
  <c r="J13" i="123" s="1"/>
  <c r="I13" i="123" a="1"/>
  <c r="I13" i="123" s="1"/>
  <c r="H13" i="123" a="1"/>
  <c r="H13" i="123" s="1"/>
  <c r="G13" i="123" a="1"/>
  <c r="G13" i="123" s="1"/>
  <c r="F13" i="123" a="1"/>
  <c r="F13" i="123" s="1"/>
  <c r="E13" i="123" a="1"/>
  <c r="E13" i="123" s="1"/>
  <c r="D13" i="123" a="1"/>
  <c r="D13" i="123" s="1"/>
  <c r="A13" i="123"/>
  <c r="L12" i="123" a="1"/>
  <c r="L12" i="123" s="1"/>
  <c r="K12" i="123" a="1"/>
  <c r="K12" i="123" s="1"/>
  <c r="J12" i="123" a="1"/>
  <c r="J12" i="123" s="1"/>
  <c r="I12" i="123" a="1"/>
  <c r="I12" i="123" s="1"/>
  <c r="H12" i="123"/>
  <c r="H12" i="123" a="1"/>
  <c r="G12" i="123" a="1"/>
  <c r="G12" i="123" s="1"/>
  <c r="F12" i="123" a="1"/>
  <c r="F12" i="123" s="1"/>
  <c r="E12" i="123"/>
  <c r="E12" i="123" a="1"/>
  <c r="D12" i="123" a="1"/>
  <c r="D12" i="123" s="1"/>
  <c r="A12" i="123"/>
  <c r="L11" i="123" a="1"/>
  <c r="L11" i="123" s="1"/>
  <c r="K11" i="123" a="1"/>
  <c r="K11" i="123" s="1"/>
  <c r="J11" i="123" a="1"/>
  <c r="J11" i="123" s="1"/>
  <c r="I11" i="123" a="1"/>
  <c r="I11" i="123" s="1"/>
  <c r="H11" i="123" a="1"/>
  <c r="H11" i="123" s="1"/>
  <c r="G11" i="123" a="1"/>
  <c r="G11" i="123" s="1"/>
  <c r="F11" i="123" a="1"/>
  <c r="F11" i="123" s="1"/>
  <c r="E11" i="123" a="1"/>
  <c r="E11" i="123" s="1"/>
  <c r="D11" i="123" a="1"/>
  <c r="D11" i="123" s="1"/>
  <c r="A11" i="123"/>
  <c r="L10" i="123" a="1"/>
  <c r="L10" i="123" s="1"/>
  <c r="K10" i="123" a="1"/>
  <c r="K10" i="123" s="1"/>
  <c r="J10" i="123" a="1"/>
  <c r="J10" i="123" s="1"/>
  <c r="I10" i="123" a="1"/>
  <c r="I10" i="123" s="1"/>
  <c r="H10" i="123" a="1"/>
  <c r="H10" i="123" s="1"/>
  <c r="G10" i="123" a="1"/>
  <c r="G10" i="123" s="1"/>
  <c r="F10" i="123" a="1"/>
  <c r="F10" i="123" s="1"/>
  <c r="E10" i="123" a="1"/>
  <c r="E10" i="123" s="1"/>
  <c r="D10" i="123" a="1"/>
  <c r="D10" i="123" s="1"/>
  <c r="D8" i="123" a="1"/>
  <c r="D8" i="123" s="1"/>
  <c r="A8" i="123"/>
  <c r="D7" i="123" a="1"/>
  <c r="D7" i="123" s="1"/>
  <c r="D6" i="123" a="1"/>
  <c r="D6" i="123" s="1"/>
  <c r="D5" i="123" a="1"/>
  <c r="D5" i="123" s="1"/>
  <c r="A5" i="123"/>
  <c r="A4" i="123"/>
  <c r="A3" i="123"/>
  <c r="F25" i="114" a="1"/>
  <c r="F25" i="114" s="1"/>
  <c r="R28" i="110" a="1"/>
  <c r="R28" i="110" s="1"/>
  <c r="Q28" i="110" a="1"/>
  <c r="Q28" i="110" s="1"/>
  <c r="R27" i="110" a="1"/>
  <c r="R27" i="110" s="1"/>
  <c r="Q27" i="110" a="1"/>
  <c r="Q27" i="110" s="1"/>
  <c r="R26" i="110" a="1"/>
  <c r="R26" i="110" s="1"/>
  <c r="Q26" i="110" a="1"/>
  <c r="Q26" i="110" s="1"/>
  <c r="R25" i="110" a="1"/>
  <c r="R25" i="110" s="1"/>
  <c r="Q25" i="110" a="1"/>
  <c r="Q25" i="110" s="1"/>
  <c r="R24" i="110" a="1"/>
  <c r="R24" i="110" s="1"/>
  <c r="Q24" i="110" a="1"/>
  <c r="Q24" i="110" s="1"/>
  <c r="R23" i="110" a="1"/>
  <c r="R23" i="110" s="1"/>
  <c r="Q23" i="110" a="1"/>
  <c r="Q23" i="110" s="1"/>
  <c r="R22" i="110" a="1"/>
  <c r="R22" i="110" s="1"/>
  <c r="Q22" i="110" a="1"/>
  <c r="Q22" i="110" s="1"/>
  <c r="R21" i="110" a="1"/>
  <c r="R21" i="110" s="1"/>
  <c r="Q21" i="110" a="1"/>
  <c r="Q21" i="110" s="1"/>
  <c r="R20" i="110" a="1"/>
  <c r="R20" i="110" s="1"/>
  <c r="Q20" i="110" a="1"/>
  <c r="Q20" i="110" s="1"/>
  <c r="Q18" i="110" a="1"/>
  <c r="Q18" i="110" s="1"/>
  <c r="Q17" i="110" a="1"/>
  <c r="Q17" i="110" s="1"/>
  <c r="L28" i="110" a="1"/>
  <c r="L28" i="110" s="1"/>
  <c r="K28" i="110" a="1"/>
  <c r="K28" i="110" s="1"/>
  <c r="L27" i="110" a="1"/>
  <c r="L27" i="110" s="1"/>
  <c r="K27" i="110" a="1"/>
  <c r="K27" i="110" s="1"/>
  <c r="L26" i="110" a="1"/>
  <c r="L26" i="110" s="1"/>
  <c r="K26" i="110" a="1"/>
  <c r="K26" i="110" s="1"/>
  <c r="L25" i="110" a="1"/>
  <c r="L25" i="110" s="1"/>
  <c r="K25" i="110" a="1"/>
  <c r="K25" i="110" s="1"/>
  <c r="L24" i="110" a="1"/>
  <c r="L24" i="110" s="1"/>
  <c r="K24" i="110" a="1"/>
  <c r="K24" i="110" s="1"/>
  <c r="L23" i="110" a="1"/>
  <c r="L23" i="110" s="1"/>
  <c r="K23" i="110" a="1"/>
  <c r="K23" i="110" s="1"/>
  <c r="L22" i="110" a="1"/>
  <c r="L22" i="110" s="1"/>
  <c r="K22" i="110" a="1"/>
  <c r="K22" i="110" s="1"/>
  <c r="L21" i="110" a="1"/>
  <c r="L21" i="110" s="1"/>
  <c r="K21" i="110" a="1"/>
  <c r="K21" i="110" s="1"/>
  <c r="L20" i="110" a="1"/>
  <c r="L20" i="110" s="1"/>
  <c r="K20" i="110" a="1"/>
  <c r="K20" i="110" s="1"/>
  <c r="K18" i="110" a="1"/>
  <c r="K18" i="110" s="1"/>
  <c r="K17" i="110" a="1"/>
  <c r="K17" i="110" s="1"/>
  <c r="A21" i="118"/>
  <c r="A20" i="118"/>
  <c r="A17" i="118"/>
  <c r="A16" i="118"/>
  <c r="A15" i="118"/>
  <c r="A14" i="118"/>
  <c r="A13" i="118"/>
  <c r="A12" i="118"/>
  <c r="A9" i="118"/>
  <c r="A8" i="118"/>
  <c r="A5" i="118"/>
  <c r="A4" i="118"/>
  <c r="A3" i="118"/>
  <c r="A21" i="110"/>
  <c r="A20" i="110"/>
  <c r="A17" i="110"/>
  <c r="A16" i="110"/>
  <c r="A15" i="110"/>
  <c r="A14" i="110"/>
  <c r="A13" i="110"/>
  <c r="A12" i="110"/>
  <c r="A9" i="110"/>
  <c r="A8" i="110"/>
  <c r="A5" i="110"/>
  <c r="A4" i="110"/>
  <c r="A3" i="110"/>
  <c r="A21" i="116"/>
  <c r="A20" i="116"/>
  <c r="A17" i="116"/>
  <c r="A16" i="116"/>
  <c r="A15" i="116"/>
  <c r="A14" i="116"/>
  <c r="A13" i="116"/>
  <c r="A12" i="116"/>
  <c r="A9" i="116"/>
  <c r="A8" i="116"/>
  <c r="A5" i="116"/>
  <c r="A4" i="116"/>
  <c r="A3" i="116"/>
  <c r="A21" i="115"/>
  <c r="A20" i="115"/>
  <c r="A17" i="115"/>
  <c r="A16" i="115"/>
  <c r="A15" i="115"/>
  <c r="A14" i="115"/>
  <c r="A13" i="115"/>
  <c r="A12" i="115"/>
  <c r="A9" i="115"/>
  <c r="A8" i="115"/>
  <c r="A5" i="115"/>
  <c r="A4" i="115"/>
  <c r="A3" i="115"/>
  <c r="A21" i="114"/>
  <c r="A20" i="114"/>
  <c r="A17" i="114"/>
  <c r="A16" i="114"/>
  <c r="A15" i="114"/>
  <c r="A14" i="114"/>
  <c r="A13" i="114"/>
  <c r="A12" i="114"/>
  <c r="A9" i="114"/>
  <c r="A8" i="114"/>
  <c r="A5" i="114"/>
  <c r="A4" i="114"/>
  <c r="A3" i="114"/>
  <c r="A21" i="113"/>
  <c r="A20" i="113"/>
  <c r="A17" i="113"/>
  <c r="A16" i="113"/>
  <c r="A15" i="113"/>
  <c r="A14" i="113"/>
  <c r="A13" i="113"/>
  <c r="A12" i="113"/>
  <c r="A9" i="113"/>
  <c r="A8" i="113"/>
  <c r="A5" i="113"/>
  <c r="A4" i="113"/>
  <c r="A3" i="113"/>
  <c r="A21" i="74"/>
  <c r="A20" i="74"/>
  <c r="A17" i="74"/>
  <c r="A16" i="74"/>
  <c r="A15" i="74"/>
  <c r="A14" i="74"/>
  <c r="A13" i="74"/>
  <c r="A12" i="74"/>
  <c r="A9" i="74"/>
  <c r="A8" i="74"/>
  <c r="A5" i="74"/>
  <c r="A4" i="74"/>
  <c r="A3" i="74"/>
  <c r="A21" i="69"/>
  <c r="A20" i="69"/>
  <c r="A17" i="69"/>
  <c r="A16" i="69"/>
  <c r="A15" i="69"/>
  <c r="A14" i="69"/>
  <c r="A13" i="69"/>
  <c r="A12" i="69"/>
  <c r="A9" i="69"/>
  <c r="A8" i="69"/>
  <c r="A5" i="69"/>
  <c r="A4" i="69"/>
  <c r="A3" i="69"/>
  <c r="A21" i="70"/>
  <c r="A20" i="70"/>
  <c r="A17" i="70"/>
  <c r="A16" i="70"/>
  <c r="A15" i="70"/>
  <c r="A14" i="70"/>
  <c r="A13" i="70"/>
  <c r="A12" i="70"/>
  <c r="A9" i="70"/>
  <c r="A8" i="70"/>
  <c r="A5" i="70"/>
  <c r="A4" i="70"/>
  <c r="A3" i="70"/>
  <c r="A21" i="15"/>
  <c r="A20" i="15"/>
  <c r="A17" i="15"/>
  <c r="A16" i="15"/>
  <c r="A15" i="15"/>
  <c r="A14" i="15"/>
  <c r="A13" i="15"/>
  <c r="A12" i="15"/>
  <c r="A9" i="15"/>
  <c r="A8" i="15"/>
  <c r="A5" i="15"/>
  <c r="A4" i="15"/>
  <c r="A3" i="15"/>
  <c r="A20" i="13"/>
  <c r="A17" i="13"/>
  <c r="A16" i="13"/>
  <c r="A15" i="13"/>
  <c r="A14" i="13"/>
  <c r="A13" i="13"/>
  <c r="A12" i="13"/>
  <c r="A9" i="13"/>
  <c r="A4" i="13"/>
  <c r="F25" i="70"/>
  <c r="G25" i="70" s="1"/>
  <c r="F20" i="70"/>
  <c r="G20" i="70" s="1"/>
  <c r="F19" i="70"/>
  <c r="G19" i="70" s="1"/>
  <c r="F98" i="116" a="1"/>
  <c r="F98" i="116" s="1"/>
  <c r="D95" i="116" a="1"/>
  <c r="D95" i="116" s="1"/>
  <c r="H88" i="116" a="1"/>
  <c r="H88" i="116" s="1"/>
  <c r="D88" i="116" a="1"/>
  <c r="D88" i="116" s="1"/>
  <c r="E86" i="116" a="1"/>
  <c r="E86" i="116" s="1"/>
  <c r="F93" i="116" s="1"/>
  <c r="E85" i="116" a="1"/>
  <c r="E85" i="116" s="1"/>
  <c r="D81" i="116" a="1"/>
  <c r="D81" i="116" s="1"/>
  <c r="D80" i="116" a="1"/>
  <c r="D80" i="116" s="1"/>
  <c r="D74" i="116"/>
  <c r="D73" i="116"/>
  <c r="D72" i="116"/>
  <c r="D71" i="116"/>
  <c r="D70" i="116"/>
  <c r="D69" i="116"/>
  <c r="D68" i="116"/>
  <c r="D67" i="116"/>
  <c r="D66" i="116"/>
  <c r="G54" i="116" a="1"/>
  <c r="G54" i="116" s="1"/>
  <c r="D54" i="116" a="1"/>
  <c r="D54" i="116" s="1"/>
  <c r="E52" i="116" a="1"/>
  <c r="E52" i="116" s="1"/>
  <c r="F76" i="116" s="1"/>
  <c r="E51" i="116" a="1"/>
  <c r="E51" i="116" s="1"/>
  <c r="D47" i="116" a="1"/>
  <c r="D47" i="116" s="1"/>
  <c r="D46" i="116" a="1"/>
  <c r="D46" i="116" s="1"/>
  <c r="I59" i="116"/>
  <c r="I58" i="116"/>
  <c r="I57" i="116"/>
  <c r="I54" i="116" a="1"/>
  <c r="I54" i="116" s="1"/>
  <c r="I13" i="116" a="1"/>
  <c r="I13" i="116" s="1"/>
  <c r="F83" i="110" a="1"/>
  <c r="F83" i="110" s="1"/>
  <c r="E83" i="110" a="1"/>
  <c r="E83" i="110" s="1"/>
  <c r="J90" i="116" s="1"/>
  <c r="D83" i="110" a="1"/>
  <c r="D83" i="110" s="1"/>
  <c r="D82" i="110" a="1"/>
  <c r="D82" i="110" s="1"/>
  <c r="D81" i="110" a="1"/>
  <c r="D81" i="110" s="1"/>
  <c r="F78" i="110" a="1"/>
  <c r="F78" i="110" s="1"/>
  <c r="E78" i="110" a="1"/>
  <c r="E78" i="110" s="1"/>
  <c r="I15" i="116" s="1"/>
  <c r="D78" i="110" a="1"/>
  <c r="D78" i="110" s="1"/>
  <c r="D77" i="110" a="1"/>
  <c r="D77" i="110" s="1"/>
  <c r="D76" i="110" a="1"/>
  <c r="D76" i="110" s="1"/>
  <c r="I125" i="115"/>
  <c r="J51" i="115"/>
  <c r="I17" i="116"/>
  <c r="I18" i="116"/>
  <c r="I16" i="116"/>
  <c r="E7" i="116" a="1"/>
  <c r="E48" i="116" a="1"/>
  <c r="E82" i="116" a="1"/>
  <c r="I56" i="116" l="1"/>
  <c r="E82" i="116"/>
  <c r="E48" i="116"/>
  <c r="E7" i="116"/>
  <c r="G13" i="116" l="1" a="1"/>
  <c r="G13" i="116" s="1"/>
  <c r="D13" i="116" a="1"/>
  <c r="D13" i="116" s="1"/>
  <c r="E11" i="116" a="1"/>
  <c r="E11" i="116" s="1"/>
  <c r="E10" i="116" a="1"/>
  <c r="E10" i="116" s="1"/>
  <c r="D6" i="116" a="1"/>
  <c r="D6" i="116" s="1"/>
  <c r="D5" i="116" a="1"/>
  <c r="D5" i="116" s="1"/>
  <c r="A78" i="116"/>
  <c r="A44" i="116"/>
  <c r="F149" i="115" a="1"/>
  <c r="F149" i="115" s="1"/>
  <c r="D146" i="115" a="1"/>
  <c r="D146" i="115" s="1"/>
  <c r="D132" i="115" a="1"/>
  <c r="D132" i="115" s="1"/>
  <c r="I122" i="115" a="1"/>
  <c r="I122" i="115" s="1"/>
  <c r="I126" i="115"/>
  <c r="G122" i="115" a="1"/>
  <c r="G122" i="115" s="1"/>
  <c r="D122" i="115" a="1"/>
  <c r="D122" i="115" s="1"/>
  <c r="E120" i="115" a="1"/>
  <c r="E120" i="115" s="1"/>
  <c r="F144" i="115" s="1"/>
  <c r="E119" i="115" a="1"/>
  <c r="E119" i="115" s="1"/>
  <c r="D115" i="115" a="1"/>
  <c r="D115" i="115" s="1"/>
  <c r="D114" i="115" a="1"/>
  <c r="D114" i="115" s="1"/>
  <c r="F73" i="110" a="1"/>
  <c r="F73" i="110" s="1"/>
  <c r="E73" i="110" a="1"/>
  <c r="E73" i="110" s="1"/>
  <c r="I95" i="115" s="1"/>
  <c r="D73" i="110" a="1"/>
  <c r="D73" i="110" s="1"/>
  <c r="D72" i="110" a="1"/>
  <c r="D72" i="110" s="1"/>
  <c r="D71" i="110" a="1"/>
  <c r="D71" i="110" s="1"/>
  <c r="I94" i="115" a="1"/>
  <c r="I94" i="115" s="1"/>
  <c r="D100" i="115" a="1"/>
  <c r="D100" i="115" s="1"/>
  <c r="G94" i="115" a="1"/>
  <c r="G94" i="115" s="1"/>
  <c r="D94" i="115" a="1"/>
  <c r="D94" i="115" s="1"/>
  <c r="E92" i="115" a="1"/>
  <c r="E92" i="115" s="1"/>
  <c r="G100" i="115" s="1"/>
  <c r="E91" i="115" a="1"/>
  <c r="E91" i="115" s="1"/>
  <c r="D87" i="115" a="1"/>
  <c r="D87" i="115" s="1"/>
  <c r="D86" i="115" a="1"/>
  <c r="D86" i="115" s="1"/>
  <c r="F82" i="115" a="1"/>
  <c r="F82" i="115" s="1"/>
  <c r="D79" i="115" a="1"/>
  <c r="D79" i="115" s="1"/>
  <c r="J52" i="115"/>
  <c r="J48" i="115" a="1"/>
  <c r="J48" i="115" s="1"/>
  <c r="H48" i="115" a="1"/>
  <c r="H48" i="115" s="1"/>
  <c r="D48" i="115" a="1"/>
  <c r="D48" i="115" s="1"/>
  <c r="E46" i="115" a="1"/>
  <c r="E46" i="115" s="1"/>
  <c r="G58" i="115" s="1"/>
  <c r="E45" i="115" a="1"/>
  <c r="E45" i="115" s="1"/>
  <c r="D41" i="115" a="1"/>
  <c r="D41" i="115" s="1"/>
  <c r="D40" i="115" a="1"/>
  <c r="D40" i="115" s="1"/>
  <c r="I14" i="115" a="1"/>
  <c r="I14" i="115" s="1"/>
  <c r="I13" i="115" a="1"/>
  <c r="I13" i="115" s="1"/>
  <c r="G13" i="115" a="1"/>
  <c r="G13" i="115" s="1"/>
  <c r="D13" i="115" a="1"/>
  <c r="D13" i="115" s="1"/>
  <c r="E11" i="115" a="1"/>
  <c r="E11" i="115" s="1"/>
  <c r="E10" i="115" a="1"/>
  <c r="E10" i="115" s="1"/>
  <c r="D6" i="115" a="1"/>
  <c r="D6" i="115" s="1"/>
  <c r="D5" i="115" a="1"/>
  <c r="D5" i="115" s="1"/>
  <c r="A55" i="115"/>
  <c r="A34" i="115"/>
  <c r="I17" i="114" a="1"/>
  <c r="I17" i="114" s="1"/>
  <c r="I14" i="114" a="1"/>
  <c r="I14" i="114" s="1"/>
  <c r="I13" i="114" a="1"/>
  <c r="I13" i="114" s="1"/>
  <c r="D25" i="114" a="1"/>
  <c r="D25" i="114" s="1"/>
  <c r="F35" i="70"/>
  <c r="G35" i="70" s="1"/>
  <c r="F34" i="70"/>
  <c r="D68" i="110" a="1"/>
  <c r="D68" i="110" s="1"/>
  <c r="E68" i="110" a="1"/>
  <c r="E68" i="110" s="1"/>
  <c r="F68" i="110" a="1"/>
  <c r="F68" i="110" s="1"/>
  <c r="D67" i="110" a="1"/>
  <c r="D67" i="110" s="1"/>
  <c r="E67" i="110" a="1"/>
  <c r="E67" i="110" s="1"/>
  <c r="F67" i="110" a="1"/>
  <c r="F67" i="110" s="1"/>
  <c r="F66" i="110" a="1"/>
  <c r="F66" i="110" s="1"/>
  <c r="E66" i="110" a="1"/>
  <c r="E66" i="110" s="1"/>
  <c r="I15" i="114" s="1"/>
  <c r="D66" i="110" a="1"/>
  <c r="D66" i="110" s="1"/>
  <c r="D64" i="110" a="1"/>
  <c r="D64" i="110" s="1"/>
  <c r="D63" i="110" a="1"/>
  <c r="D63" i="110" s="1"/>
  <c r="G25" i="114" a="1"/>
  <c r="G25" i="114" s="1"/>
  <c r="G13" i="114" a="1"/>
  <c r="G13" i="114" s="1"/>
  <c r="D13" i="114" a="1"/>
  <c r="D13" i="114" s="1"/>
  <c r="E11" i="114" a="1"/>
  <c r="E11" i="114" s="1"/>
  <c r="E10" i="114" a="1"/>
  <c r="E10" i="114" s="1"/>
  <c r="D6" i="114" a="1"/>
  <c r="D6" i="114" s="1"/>
  <c r="D5" i="114" a="1"/>
  <c r="D5" i="114" s="1"/>
  <c r="A55" i="114"/>
  <c r="A34" i="114"/>
  <c r="A44" i="70"/>
  <c r="A37" i="69"/>
  <c r="A83" i="69"/>
  <c r="A76" i="74"/>
  <c r="A38" i="74"/>
  <c r="A34" i="113"/>
  <c r="A55" i="113"/>
  <c r="F55" i="113" a="1"/>
  <c r="F55" i="113" s="1"/>
  <c r="D52" i="113" a="1"/>
  <c r="D52" i="113" s="1"/>
  <c r="E259" i="111" a="1"/>
  <c r="E259" i="111" s="1"/>
  <c r="D259" i="111" a="1"/>
  <c r="D259" i="111" s="1"/>
  <c r="E258" i="111" a="1"/>
  <c r="E258" i="111" s="1"/>
  <c r="D258" i="111" a="1"/>
  <c r="D258" i="111" s="1"/>
  <c r="D256" i="111" a="1"/>
  <c r="D256" i="111" s="1"/>
  <c r="D255" i="111" a="1"/>
  <c r="D255" i="111" s="1"/>
  <c r="D254" i="111" a="1"/>
  <c r="D254" i="111" s="1"/>
  <c r="D253" i="111" a="1"/>
  <c r="D253" i="111" s="1"/>
  <c r="K47" i="113"/>
  <c r="I44" i="113" a="1"/>
  <c r="I44" i="113" s="1"/>
  <c r="D44" i="113" a="1"/>
  <c r="D44" i="113" s="1"/>
  <c r="E42" i="113" a="1"/>
  <c r="E42" i="113" s="1"/>
  <c r="F50" i="113" s="1"/>
  <c r="E41" i="113" a="1"/>
  <c r="E41" i="113" s="1"/>
  <c r="D37" i="113" a="1"/>
  <c r="D37" i="113" s="1"/>
  <c r="D36" i="113" a="1"/>
  <c r="D36" i="113" s="1"/>
  <c r="I15" i="113" a="1"/>
  <c r="I15" i="113" s="1"/>
  <c r="I14" i="113" a="1"/>
  <c r="I14" i="113" s="1"/>
  <c r="I13" i="113" a="1"/>
  <c r="I13" i="113" s="1"/>
  <c r="G45" i="70"/>
  <c r="H45" i="70"/>
  <c r="I45" i="70" s="1"/>
  <c r="H44" i="70"/>
  <c r="G44" i="70"/>
  <c r="H20" i="113" a="1"/>
  <c r="H20" i="113" s="1"/>
  <c r="E20" i="113" a="1"/>
  <c r="E20" i="113" s="1"/>
  <c r="D20" i="113" a="1"/>
  <c r="I30" i="113" a="1"/>
  <c r="I30" i="113" s="1"/>
  <c r="I29" i="113" a="1"/>
  <c r="I29" i="113" s="1"/>
  <c r="E73" i="116" s="1"/>
  <c r="I28" i="113" a="1"/>
  <c r="I28" i="113" s="1"/>
  <c r="E72" i="116" s="1"/>
  <c r="I27" i="113" a="1"/>
  <c r="I27" i="113" s="1"/>
  <c r="E71" i="116" s="1"/>
  <c r="I26" i="113" a="1"/>
  <c r="I26" i="113" s="1"/>
  <c r="E70" i="116" s="1"/>
  <c r="I25" i="113" a="1"/>
  <c r="I25" i="113" s="1"/>
  <c r="E69" i="116" s="1"/>
  <c r="I24" i="113" a="1"/>
  <c r="I24" i="113" s="1"/>
  <c r="E68" i="116" s="1"/>
  <c r="I23" i="113" a="1"/>
  <c r="I23" i="113" s="1"/>
  <c r="I22" i="113" a="1"/>
  <c r="I22" i="113" s="1"/>
  <c r="E7" i="113" a="1"/>
  <c r="E38" i="113" a="1"/>
  <c r="E7" i="114" a="1"/>
  <c r="E116" i="115" a="1"/>
  <c r="E42" i="115" a="1"/>
  <c r="E88" i="115" a="1"/>
  <c r="E7" i="115" a="1"/>
  <c r="E103" i="115" l="1"/>
  <c r="E67" i="116"/>
  <c r="E108" i="115"/>
  <c r="F108" i="115" s="1" a="1"/>
  <c r="F108" i="115" s="1"/>
  <c r="E140" i="115" s="1"/>
  <c r="E109" i="115"/>
  <c r="E102" i="115"/>
  <c r="F102" i="115" s="1" a="1"/>
  <c r="F102" i="115" s="1"/>
  <c r="E134" i="115" s="1"/>
  <c r="E66" i="116"/>
  <c r="F109" i="115" a="1"/>
  <c r="F109" i="115" s="1"/>
  <c r="E141" i="115" s="1"/>
  <c r="E110" i="115"/>
  <c r="F110" i="115" s="1" a="1"/>
  <c r="F110" i="115" s="1"/>
  <c r="E142" i="115" s="1"/>
  <c r="E74" i="116"/>
  <c r="E105" i="115"/>
  <c r="F105" i="115" s="1" a="1"/>
  <c r="F105" i="115" s="1"/>
  <c r="E137" i="115" s="1"/>
  <c r="E106" i="115"/>
  <c r="F106" i="115" s="1" a="1"/>
  <c r="F106" i="115" s="1"/>
  <c r="E138" i="115" s="1"/>
  <c r="E107" i="115"/>
  <c r="F107" i="115" s="1" a="1"/>
  <c r="F107" i="115" s="1"/>
  <c r="E139" i="115" s="1"/>
  <c r="G20" i="113" a="1"/>
  <c r="G20" i="113" s="1"/>
  <c r="D20" i="113"/>
  <c r="D64" i="116" s="1"/>
  <c r="D65" i="116"/>
  <c r="F42" i="116"/>
  <c r="F103" i="115" a="1"/>
  <c r="F103" i="115" s="1"/>
  <c r="E135" i="115" s="1"/>
  <c r="E104" i="115"/>
  <c r="F104" i="115" s="1" a="1"/>
  <c r="F104" i="115" s="1"/>
  <c r="E136" i="115" s="1"/>
  <c r="F77" i="115"/>
  <c r="E116" i="115"/>
  <c r="E88" i="115"/>
  <c r="E42" i="115"/>
  <c r="E7" i="115"/>
  <c r="E7" i="114"/>
  <c r="I16" i="114"/>
  <c r="I19" i="114"/>
  <c r="I18" i="114"/>
  <c r="F20" i="113" a="1"/>
  <c r="F20" i="113" s="1"/>
  <c r="E38" i="113"/>
  <c r="E7" i="113"/>
  <c r="J45" i="70"/>
  <c r="I21" i="113" a="1"/>
  <c r="I21" i="113" s="1"/>
  <c r="E65" i="116" s="1"/>
  <c r="I20" i="113" a="1"/>
  <c r="I20" i="113" s="1"/>
  <c r="E64" i="116" s="1"/>
  <c r="E101" i="115" l="1"/>
  <c r="F101" i="115" s="1" a="1"/>
  <c r="F101" i="115" s="1"/>
  <c r="E133" i="115" s="1"/>
  <c r="E100" i="115"/>
  <c r="F100" i="115" s="1" a="1"/>
  <c r="F100" i="115" s="1"/>
  <c r="E132" i="115" s="1"/>
  <c r="E32" i="113"/>
  <c r="K44" i="113" s="1"/>
  <c r="G13" i="113" l="1" a="1"/>
  <c r="G13" i="113" s="1"/>
  <c r="D13" i="113" a="1"/>
  <c r="E11" i="113" a="1"/>
  <c r="E11" i="113" s="1"/>
  <c r="F32" i="113" s="1"/>
  <c r="E10" i="113" a="1"/>
  <c r="E10" i="113" s="1"/>
  <c r="D6" i="113" a="1"/>
  <c r="D6" i="113" s="1"/>
  <c r="D5" i="113" a="1"/>
  <c r="D5" i="113" s="1"/>
  <c r="F60" i="110" a="1"/>
  <c r="F60" i="110" s="1"/>
  <c r="E60" i="110" a="1"/>
  <c r="E60" i="110" s="1"/>
  <c r="D60" i="110" a="1"/>
  <c r="D60" i="110" s="1"/>
  <c r="D59" i="110" a="1"/>
  <c r="D59" i="110" s="1"/>
  <c r="D58" i="110" a="1"/>
  <c r="D58" i="110" s="1"/>
  <c r="I52" i="74" a="1"/>
  <c r="I52" i="74" s="1"/>
  <c r="I48" i="74" a="1"/>
  <c r="I48" i="74" s="1"/>
  <c r="I51" i="74"/>
  <c r="G48" i="74" a="1"/>
  <c r="G48" i="74" s="1"/>
  <c r="I14" i="74" a="1"/>
  <c r="I14" i="74" s="1"/>
  <c r="I13" i="74" a="1"/>
  <c r="I13" i="74" s="1"/>
  <c r="G13" i="74" a="1"/>
  <c r="G13" i="74" s="1"/>
  <c r="R12" i="69" a="1"/>
  <c r="R12" i="69" s="1"/>
  <c r="R23" i="69" a="1"/>
  <c r="R23" i="69" s="1"/>
  <c r="R35" i="69" a="1"/>
  <c r="R35" i="69" s="1"/>
  <c r="P35" i="69" a="1"/>
  <c r="P35" i="69" s="1"/>
  <c r="P23" i="69" a="1"/>
  <c r="P23" i="69" s="1"/>
  <c r="P12" i="69" a="1"/>
  <c r="P12" i="69" s="1"/>
  <c r="S67" i="69" a="1"/>
  <c r="S67" i="69" s="1"/>
  <c r="Q67" i="69" a="1"/>
  <c r="Q67" i="69" s="1"/>
  <c r="E42" i="74" a="1"/>
  <c r="D13" i="113" l="1"/>
  <c r="I49" i="74"/>
  <c r="E42" i="74"/>
  <c r="I48" i="69" l="1" a="1"/>
  <c r="I48" i="69" s="1"/>
  <c r="G48" i="69" a="1"/>
  <c r="G48" i="69" s="1"/>
  <c r="I14" i="69" a="1"/>
  <c r="I14" i="69" s="1"/>
  <c r="I13" i="69" a="1"/>
  <c r="I13" i="69" s="1"/>
  <c r="G13" i="69" a="1"/>
  <c r="G13" i="69" s="1"/>
  <c r="D90" i="110" a="1"/>
  <c r="D90" i="110" s="1"/>
  <c r="AE153" i="110" a="1"/>
  <c r="AE153" i="110" s="1"/>
  <c r="AD153" i="110" a="1"/>
  <c r="AD153" i="110" s="1"/>
  <c r="AC153" i="110" a="1"/>
  <c r="AC153" i="110" s="1"/>
  <c r="AB153" i="110" a="1"/>
  <c r="AB153" i="110" s="1"/>
  <c r="AA153" i="110" a="1"/>
  <c r="AA153" i="110" s="1"/>
  <c r="Z153" i="110" a="1"/>
  <c r="Z153" i="110" s="1"/>
  <c r="Y153" i="110" a="1"/>
  <c r="Y153" i="110" s="1"/>
  <c r="X153" i="110" a="1"/>
  <c r="X153" i="110" s="1"/>
  <c r="W153" i="110" a="1"/>
  <c r="W153" i="110" s="1"/>
  <c r="V153" i="110" a="1"/>
  <c r="V153" i="110" s="1"/>
  <c r="AE152" i="110" a="1"/>
  <c r="AE152" i="110" s="1"/>
  <c r="AD152" i="110" a="1"/>
  <c r="AD152" i="110" s="1"/>
  <c r="AC152" i="110" a="1"/>
  <c r="AC152" i="110" s="1"/>
  <c r="AB152" i="110" a="1"/>
  <c r="AB152" i="110" s="1"/>
  <c r="AA152" i="110" a="1"/>
  <c r="AA152" i="110" s="1"/>
  <c r="Z152" i="110" a="1"/>
  <c r="Z152" i="110" s="1"/>
  <c r="Y152" i="110" a="1"/>
  <c r="Y152" i="110" s="1"/>
  <c r="X152" i="110" a="1"/>
  <c r="X152" i="110" s="1"/>
  <c r="W152" i="110" a="1"/>
  <c r="W152" i="110" s="1"/>
  <c r="V152" i="110" a="1"/>
  <c r="V152" i="110" s="1"/>
  <c r="AE151" i="110" a="1"/>
  <c r="AE151" i="110" s="1"/>
  <c r="AD151" i="110" a="1"/>
  <c r="AD151" i="110" s="1"/>
  <c r="AC151" i="110" a="1"/>
  <c r="AC151" i="110" s="1"/>
  <c r="AB151" i="110" a="1"/>
  <c r="AB151" i="110" s="1"/>
  <c r="AA151" i="110" a="1"/>
  <c r="AA151" i="110" s="1"/>
  <c r="Z151" i="110" a="1"/>
  <c r="Z151" i="110" s="1"/>
  <c r="Y151" i="110" a="1"/>
  <c r="Y151" i="110" s="1"/>
  <c r="X151" i="110" a="1"/>
  <c r="X151" i="110" s="1"/>
  <c r="W151" i="110" a="1"/>
  <c r="W151" i="110" s="1"/>
  <c r="V151" i="110" a="1"/>
  <c r="V151" i="110" s="1"/>
  <c r="AE150" i="110" a="1"/>
  <c r="AE150" i="110" s="1"/>
  <c r="AD150" i="110" a="1"/>
  <c r="AD150" i="110" s="1"/>
  <c r="AC150" i="110" a="1"/>
  <c r="AC150" i="110" s="1"/>
  <c r="AB150" i="110" a="1"/>
  <c r="AB150" i="110" s="1"/>
  <c r="AA150" i="110" a="1"/>
  <c r="AA150" i="110" s="1"/>
  <c r="Z150" i="110" a="1"/>
  <c r="Z150" i="110" s="1"/>
  <c r="Y150" i="110" a="1"/>
  <c r="Y150" i="110" s="1"/>
  <c r="X150" i="110" a="1"/>
  <c r="X150" i="110" s="1"/>
  <c r="W150" i="110" a="1"/>
  <c r="W150" i="110" s="1"/>
  <c r="V150" i="110" a="1"/>
  <c r="V150" i="110" s="1"/>
  <c r="AE149" i="110" a="1"/>
  <c r="AE149" i="110" s="1"/>
  <c r="AD149" i="110" a="1"/>
  <c r="AD149" i="110" s="1"/>
  <c r="AC149" i="110" a="1"/>
  <c r="AC149" i="110" s="1"/>
  <c r="AB149" i="110" a="1"/>
  <c r="AB149" i="110" s="1"/>
  <c r="AA149" i="110" a="1"/>
  <c r="AA149" i="110" s="1"/>
  <c r="Z149" i="110" a="1"/>
  <c r="Z149" i="110" s="1"/>
  <c r="Y149" i="110" a="1"/>
  <c r="Y149" i="110" s="1"/>
  <c r="X149" i="110" a="1"/>
  <c r="X149" i="110" s="1"/>
  <c r="W149" i="110" a="1"/>
  <c r="W149" i="110" s="1"/>
  <c r="V149" i="110" a="1"/>
  <c r="V149" i="110" s="1"/>
  <c r="AE148" i="110" a="1"/>
  <c r="AE148" i="110" s="1"/>
  <c r="AD148" i="110" a="1"/>
  <c r="AD148" i="110" s="1"/>
  <c r="AC148" i="110" a="1"/>
  <c r="AC148" i="110" s="1"/>
  <c r="AB148" i="110" a="1"/>
  <c r="AB148" i="110" s="1"/>
  <c r="AA148" i="110" a="1"/>
  <c r="AA148" i="110" s="1"/>
  <c r="Z148" i="110" a="1"/>
  <c r="Z148" i="110" s="1"/>
  <c r="Y148" i="110" a="1"/>
  <c r="Y148" i="110" s="1"/>
  <c r="X148" i="110" a="1"/>
  <c r="X148" i="110" s="1"/>
  <c r="W148" i="110" a="1"/>
  <c r="W148" i="110" s="1"/>
  <c r="V148" i="110" a="1"/>
  <c r="V148" i="110" s="1"/>
  <c r="AE147" i="110" a="1"/>
  <c r="AE147" i="110" s="1"/>
  <c r="AD147" i="110" a="1"/>
  <c r="AD147" i="110" s="1"/>
  <c r="AC147" i="110" a="1"/>
  <c r="AC147" i="110" s="1"/>
  <c r="AB147" i="110" a="1"/>
  <c r="AB147" i="110" s="1"/>
  <c r="AA147" i="110" a="1"/>
  <c r="AA147" i="110" s="1"/>
  <c r="Z147" i="110" a="1"/>
  <c r="Z147" i="110" s="1"/>
  <c r="Y147" i="110" a="1"/>
  <c r="Y147" i="110" s="1"/>
  <c r="X147" i="110" a="1"/>
  <c r="X147" i="110" s="1"/>
  <c r="W147" i="110" a="1"/>
  <c r="W147" i="110" s="1"/>
  <c r="V147" i="110" a="1"/>
  <c r="V147" i="110" s="1"/>
  <c r="AE146" i="110" a="1"/>
  <c r="AE146" i="110" s="1"/>
  <c r="AD146" i="110" a="1"/>
  <c r="AD146" i="110" s="1"/>
  <c r="AC146" i="110" a="1"/>
  <c r="AC146" i="110" s="1"/>
  <c r="AB146" i="110" a="1"/>
  <c r="AB146" i="110" s="1"/>
  <c r="AA146" i="110" a="1"/>
  <c r="AA146" i="110" s="1"/>
  <c r="Z146" i="110" a="1"/>
  <c r="Z146" i="110" s="1"/>
  <c r="Y146" i="110" a="1"/>
  <c r="Y146" i="110" s="1"/>
  <c r="X146" i="110" a="1"/>
  <c r="X146" i="110" s="1"/>
  <c r="W146" i="110" a="1"/>
  <c r="W146" i="110" s="1"/>
  <c r="V146" i="110" a="1"/>
  <c r="V146" i="110" s="1"/>
  <c r="AE145" i="110" a="1"/>
  <c r="AE145" i="110" s="1"/>
  <c r="AD145" i="110" a="1"/>
  <c r="AD145" i="110" s="1"/>
  <c r="AC145" i="110" a="1"/>
  <c r="AC145" i="110" s="1"/>
  <c r="AB145" i="110" a="1"/>
  <c r="AB145" i="110" s="1"/>
  <c r="AA145" i="110" a="1"/>
  <c r="AA145" i="110" s="1"/>
  <c r="Z145" i="110" a="1"/>
  <c r="Z145" i="110" s="1"/>
  <c r="Y145" i="110" a="1"/>
  <c r="Y145" i="110" s="1"/>
  <c r="X145" i="110" a="1"/>
  <c r="X145" i="110" s="1"/>
  <c r="W145" i="110" a="1"/>
  <c r="W145" i="110" s="1"/>
  <c r="V145" i="110" a="1"/>
  <c r="V145" i="110" s="1"/>
  <c r="AE144" i="110" a="1"/>
  <c r="AE144" i="110" s="1"/>
  <c r="AD144" i="110" a="1"/>
  <c r="AD144" i="110" s="1"/>
  <c r="AC144" i="110" a="1"/>
  <c r="AC144" i="110" s="1"/>
  <c r="AB144" i="110" a="1"/>
  <c r="AB144" i="110" s="1"/>
  <c r="AA144" i="110" a="1"/>
  <c r="AA144" i="110" s="1"/>
  <c r="Z144" i="110" a="1"/>
  <c r="Z144" i="110" s="1"/>
  <c r="Y144" i="110" a="1"/>
  <c r="Y144" i="110" s="1"/>
  <c r="X144" i="110" a="1"/>
  <c r="X144" i="110" s="1"/>
  <c r="W144" i="110" a="1"/>
  <c r="W144" i="110" s="1"/>
  <c r="V144" i="110" a="1"/>
  <c r="V144" i="110" s="1"/>
  <c r="AE143" i="110" a="1"/>
  <c r="AE143" i="110" s="1"/>
  <c r="AD143" i="110" a="1"/>
  <c r="AD143" i="110" s="1"/>
  <c r="AC143" i="110" a="1"/>
  <c r="AC143" i="110" s="1"/>
  <c r="AB143" i="110" a="1"/>
  <c r="AB143" i="110" s="1"/>
  <c r="AA143" i="110" a="1"/>
  <c r="AA143" i="110" s="1"/>
  <c r="Z143" i="110" a="1"/>
  <c r="Z143" i="110" s="1"/>
  <c r="Y143" i="110" a="1"/>
  <c r="Y143" i="110" s="1"/>
  <c r="X143" i="110" a="1"/>
  <c r="X143" i="110" s="1"/>
  <c r="W143" i="110" a="1"/>
  <c r="W143" i="110" s="1"/>
  <c r="V143" i="110" a="1"/>
  <c r="V143" i="110" s="1"/>
  <c r="AE142" i="110" a="1"/>
  <c r="AE142" i="110" s="1"/>
  <c r="AD142" i="110" a="1"/>
  <c r="AD142" i="110" s="1"/>
  <c r="AC142" i="110" a="1"/>
  <c r="AC142" i="110" s="1"/>
  <c r="AB142" i="110" a="1"/>
  <c r="AB142" i="110" s="1"/>
  <c r="AA142" i="110" a="1"/>
  <c r="AA142" i="110" s="1"/>
  <c r="Z142" i="110" a="1"/>
  <c r="Z142" i="110" s="1"/>
  <c r="Y142" i="110" a="1"/>
  <c r="Y142" i="110" s="1"/>
  <c r="X142" i="110" a="1"/>
  <c r="X142" i="110" s="1"/>
  <c r="W142" i="110" a="1"/>
  <c r="W142" i="110" s="1"/>
  <c r="V142" i="110" a="1"/>
  <c r="V142" i="110" s="1"/>
  <c r="AE141" i="110" a="1"/>
  <c r="AE141" i="110" s="1"/>
  <c r="AD141" i="110" a="1"/>
  <c r="AD141" i="110" s="1"/>
  <c r="AC141" i="110" a="1"/>
  <c r="AC141" i="110" s="1"/>
  <c r="AB141" i="110" a="1"/>
  <c r="AB141" i="110" s="1"/>
  <c r="AA141" i="110" a="1"/>
  <c r="AA141" i="110" s="1"/>
  <c r="Z141" i="110" a="1"/>
  <c r="Z141" i="110" s="1"/>
  <c r="Y141" i="110" a="1"/>
  <c r="Y141" i="110" s="1"/>
  <c r="X141" i="110" a="1"/>
  <c r="X141" i="110" s="1"/>
  <c r="W141" i="110" a="1"/>
  <c r="W141" i="110" s="1"/>
  <c r="V141" i="110" a="1"/>
  <c r="V141" i="110" s="1"/>
  <c r="AE140" i="110" a="1"/>
  <c r="AE140" i="110" s="1"/>
  <c r="AD140" i="110" a="1"/>
  <c r="AD140" i="110" s="1"/>
  <c r="AC140" i="110" a="1"/>
  <c r="AC140" i="110" s="1"/>
  <c r="AB140" i="110" a="1"/>
  <c r="AB140" i="110" s="1"/>
  <c r="AA140" i="110" a="1"/>
  <c r="AA140" i="110" s="1"/>
  <c r="Z140" i="110" a="1"/>
  <c r="Z140" i="110" s="1"/>
  <c r="Y140" i="110" a="1"/>
  <c r="Y140" i="110" s="1"/>
  <c r="X140" i="110" a="1"/>
  <c r="X140" i="110" s="1"/>
  <c r="W140" i="110" a="1"/>
  <c r="W140" i="110" s="1"/>
  <c r="V140" i="110" a="1"/>
  <c r="V140" i="110" s="1"/>
  <c r="AE139" i="110" a="1"/>
  <c r="AE139" i="110" s="1"/>
  <c r="AD139" i="110" a="1"/>
  <c r="AD139" i="110" s="1"/>
  <c r="AC139" i="110" a="1"/>
  <c r="AC139" i="110" s="1"/>
  <c r="AB139" i="110" a="1"/>
  <c r="AB139" i="110" s="1"/>
  <c r="AA139" i="110" a="1"/>
  <c r="AA139" i="110" s="1"/>
  <c r="Z139" i="110" a="1"/>
  <c r="Z139" i="110" s="1"/>
  <c r="Y139" i="110" a="1"/>
  <c r="Y139" i="110" s="1"/>
  <c r="X139" i="110" a="1"/>
  <c r="X139" i="110" s="1"/>
  <c r="W139" i="110" a="1"/>
  <c r="W139" i="110" s="1"/>
  <c r="V139" i="110" a="1"/>
  <c r="V139" i="110" s="1"/>
  <c r="AE138" i="110" a="1"/>
  <c r="AE138" i="110" s="1"/>
  <c r="AD138" i="110" a="1"/>
  <c r="AD138" i="110" s="1"/>
  <c r="AC138" i="110" a="1"/>
  <c r="AC138" i="110" s="1"/>
  <c r="AB138" i="110" a="1"/>
  <c r="AB138" i="110" s="1"/>
  <c r="AA138" i="110" a="1"/>
  <c r="AA138" i="110" s="1"/>
  <c r="Z138" i="110" a="1"/>
  <c r="Z138" i="110" s="1"/>
  <c r="Y138" i="110" a="1"/>
  <c r="Y138" i="110" s="1"/>
  <c r="X138" i="110" a="1"/>
  <c r="X138" i="110" s="1"/>
  <c r="W138" i="110" a="1"/>
  <c r="W138" i="110" s="1"/>
  <c r="V138" i="110" a="1"/>
  <c r="V138" i="110" s="1"/>
  <c r="AE137" i="110" a="1"/>
  <c r="AE137" i="110" s="1"/>
  <c r="AD137" i="110" a="1"/>
  <c r="AD137" i="110" s="1"/>
  <c r="AC137" i="110" a="1"/>
  <c r="AC137" i="110" s="1"/>
  <c r="AB137" i="110" a="1"/>
  <c r="AB137" i="110" s="1"/>
  <c r="AA137" i="110" a="1"/>
  <c r="AA137" i="110" s="1"/>
  <c r="Z137" i="110" a="1"/>
  <c r="Z137" i="110" s="1"/>
  <c r="Y137" i="110" a="1"/>
  <c r="Y137" i="110" s="1"/>
  <c r="X137" i="110" a="1"/>
  <c r="X137" i="110" s="1"/>
  <c r="W137" i="110" a="1"/>
  <c r="W137" i="110" s="1"/>
  <c r="V137" i="110" a="1"/>
  <c r="V137" i="110" s="1"/>
  <c r="AE136" i="110" a="1"/>
  <c r="AE136" i="110" s="1"/>
  <c r="AD136" i="110" a="1"/>
  <c r="AD136" i="110" s="1"/>
  <c r="AC136" i="110" a="1"/>
  <c r="AC136" i="110" s="1"/>
  <c r="AB136" i="110" a="1"/>
  <c r="AB136" i="110" s="1"/>
  <c r="AA136" i="110" a="1"/>
  <c r="AA136" i="110" s="1"/>
  <c r="Z136" i="110" a="1"/>
  <c r="Z136" i="110" s="1"/>
  <c r="Y136" i="110" a="1"/>
  <c r="Y136" i="110" s="1"/>
  <c r="X136" i="110" a="1"/>
  <c r="X136" i="110" s="1"/>
  <c r="W136" i="110" a="1"/>
  <c r="W136" i="110" s="1"/>
  <c r="V136" i="110" a="1"/>
  <c r="V136" i="110" s="1"/>
  <c r="AE135" i="110" a="1"/>
  <c r="AE135" i="110" s="1"/>
  <c r="AD135" i="110" a="1"/>
  <c r="AD135" i="110" s="1"/>
  <c r="AC135" i="110" a="1"/>
  <c r="AC135" i="110" s="1"/>
  <c r="AB135" i="110" a="1"/>
  <c r="AB135" i="110" s="1"/>
  <c r="AA135" i="110" a="1"/>
  <c r="AA135" i="110" s="1"/>
  <c r="Z135" i="110" a="1"/>
  <c r="Z135" i="110" s="1"/>
  <c r="Y135" i="110" a="1"/>
  <c r="Y135" i="110" s="1"/>
  <c r="X135" i="110" a="1"/>
  <c r="X135" i="110" s="1"/>
  <c r="W135" i="110" a="1"/>
  <c r="W135" i="110" s="1"/>
  <c r="V135" i="110" a="1"/>
  <c r="V135" i="110" s="1"/>
  <c r="AE134" i="110" a="1"/>
  <c r="AE134" i="110" s="1"/>
  <c r="AD134" i="110" a="1"/>
  <c r="AD134" i="110" s="1"/>
  <c r="AC134" i="110" a="1"/>
  <c r="AC134" i="110" s="1"/>
  <c r="AB134" i="110" a="1"/>
  <c r="AB134" i="110" s="1"/>
  <c r="AA134" i="110" a="1"/>
  <c r="AA134" i="110" s="1"/>
  <c r="Z134" i="110" a="1"/>
  <c r="Z134" i="110" s="1"/>
  <c r="Y134" i="110" a="1"/>
  <c r="Y134" i="110" s="1"/>
  <c r="X134" i="110" a="1"/>
  <c r="X134" i="110" s="1"/>
  <c r="W134" i="110" a="1"/>
  <c r="W134" i="110" s="1"/>
  <c r="V134" i="110" a="1"/>
  <c r="V134" i="110" s="1"/>
  <c r="AE133" i="110" a="1"/>
  <c r="AE133" i="110" s="1"/>
  <c r="AD133" i="110" a="1"/>
  <c r="AD133" i="110" s="1"/>
  <c r="AC133" i="110" a="1"/>
  <c r="AC133" i="110" s="1"/>
  <c r="AB133" i="110" a="1"/>
  <c r="AB133" i="110" s="1"/>
  <c r="AA133" i="110" a="1"/>
  <c r="AA133" i="110" s="1"/>
  <c r="Z133" i="110" a="1"/>
  <c r="Z133" i="110" s="1"/>
  <c r="Y133" i="110" a="1"/>
  <c r="Y133" i="110" s="1"/>
  <c r="X133" i="110" a="1"/>
  <c r="X133" i="110" s="1"/>
  <c r="W133" i="110" a="1"/>
  <c r="W133" i="110" s="1"/>
  <c r="V133" i="110" a="1"/>
  <c r="V133" i="110" s="1"/>
  <c r="AE132" i="110" a="1"/>
  <c r="AE132" i="110" s="1"/>
  <c r="AD132" i="110" a="1"/>
  <c r="AD132" i="110" s="1"/>
  <c r="AC132" i="110" a="1"/>
  <c r="AC132" i="110" s="1"/>
  <c r="AB132" i="110" a="1"/>
  <c r="AB132" i="110" s="1"/>
  <c r="AA132" i="110" a="1"/>
  <c r="AA132" i="110" s="1"/>
  <c r="Z132" i="110" a="1"/>
  <c r="Z132" i="110" s="1"/>
  <c r="Y132" i="110" a="1"/>
  <c r="Y132" i="110" s="1"/>
  <c r="X132" i="110" a="1"/>
  <c r="X132" i="110" s="1"/>
  <c r="W132" i="110" a="1"/>
  <c r="W132" i="110" s="1"/>
  <c r="V132" i="110" a="1"/>
  <c r="V132" i="110" s="1"/>
  <c r="AE131" i="110" a="1"/>
  <c r="AE131" i="110" s="1"/>
  <c r="AD131" i="110" a="1"/>
  <c r="AD131" i="110" s="1"/>
  <c r="AC131" i="110" a="1"/>
  <c r="AC131" i="110" s="1"/>
  <c r="AB131" i="110" a="1"/>
  <c r="AB131" i="110" s="1"/>
  <c r="AA131" i="110" a="1"/>
  <c r="AA131" i="110" s="1"/>
  <c r="Z131" i="110" a="1"/>
  <c r="Z131" i="110" s="1"/>
  <c r="Y131" i="110" a="1"/>
  <c r="Y131" i="110" s="1"/>
  <c r="X131" i="110" a="1"/>
  <c r="X131" i="110" s="1"/>
  <c r="W131" i="110" a="1"/>
  <c r="W131" i="110" s="1"/>
  <c r="V131" i="110" a="1"/>
  <c r="V131" i="110" s="1"/>
  <c r="AE130" i="110" a="1"/>
  <c r="AE130" i="110" s="1"/>
  <c r="AD130" i="110" a="1"/>
  <c r="AD130" i="110" s="1"/>
  <c r="AC130" i="110" a="1"/>
  <c r="AC130" i="110" s="1"/>
  <c r="AB130" i="110" a="1"/>
  <c r="AB130" i="110" s="1"/>
  <c r="AA130" i="110" a="1"/>
  <c r="AA130" i="110" s="1"/>
  <c r="Z130" i="110" a="1"/>
  <c r="Z130" i="110" s="1"/>
  <c r="Y130" i="110" a="1"/>
  <c r="Y130" i="110" s="1"/>
  <c r="X130" i="110" a="1"/>
  <c r="X130" i="110" s="1"/>
  <c r="W130" i="110" a="1"/>
  <c r="W130" i="110" s="1"/>
  <c r="V130" i="110" a="1"/>
  <c r="V130" i="110" s="1"/>
  <c r="AE129" i="110" a="1"/>
  <c r="AE129" i="110" s="1"/>
  <c r="AD129" i="110" a="1"/>
  <c r="AD129" i="110" s="1"/>
  <c r="AC129" i="110" a="1"/>
  <c r="AC129" i="110" s="1"/>
  <c r="AB129" i="110" a="1"/>
  <c r="AB129" i="110" s="1"/>
  <c r="AA129" i="110" a="1"/>
  <c r="AA129" i="110" s="1"/>
  <c r="Z129" i="110" a="1"/>
  <c r="Z129" i="110" s="1"/>
  <c r="Y129" i="110" a="1"/>
  <c r="Y129" i="110" s="1"/>
  <c r="X129" i="110" a="1"/>
  <c r="X129" i="110" s="1"/>
  <c r="W129" i="110" a="1"/>
  <c r="W129" i="110" s="1"/>
  <c r="V129" i="110" a="1"/>
  <c r="V129" i="110" s="1"/>
  <c r="AE128" i="110" a="1"/>
  <c r="AE128" i="110" s="1"/>
  <c r="AD128" i="110" a="1"/>
  <c r="AD128" i="110" s="1"/>
  <c r="AC128" i="110" a="1"/>
  <c r="AC128" i="110" s="1"/>
  <c r="AB128" i="110" a="1"/>
  <c r="AB128" i="110" s="1"/>
  <c r="AA128" i="110" a="1"/>
  <c r="AA128" i="110" s="1"/>
  <c r="Z128" i="110" a="1"/>
  <c r="Z128" i="110" s="1"/>
  <c r="Y128" i="110" a="1"/>
  <c r="Y128" i="110" s="1"/>
  <c r="X128" i="110" a="1"/>
  <c r="X128" i="110" s="1"/>
  <c r="W128" i="110" a="1"/>
  <c r="W128" i="110" s="1"/>
  <c r="V128" i="110" a="1"/>
  <c r="V128" i="110" s="1"/>
  <c r="AE127" i="110" a="1"/>
  <c r="AE127" i="110" s="1"/>
  <c r="AD127" i="110" a="1"/>
  <c r="AD127" i="110" s="1"/>
  <c r="AC127" i="110" a="1"/>
  <c r="AC127" i="110" s="1"/>
  <c r="AB127" i="110" a="1"/>
  <c r="AB127" i="110" s="1"/>
  <c r="AA127" i="110" a="1"/>
  <c r="AA127" i="110" s="1"/>
  <c r="Z127" i="110" a="1"/>
  <c r="Z127" i="110" s="1"/>
  <c r="Y127" i="110" a="1"/>
  <c r="Y127" i="110" s="1"/>
  <c r="X127" i="110" a="1"/>
  <c r="X127" i="110" s="1"/>
  <c r="W127" i="110" a="1"/>
  <c r="W127" i="110" s="1"/>
  <c r="V127" i="110" a="1"/>
  <c r="V127" i="110" s="1"/>
  <c r="AE126" i="110" a="1"/>
  <c r="AE126" i="110" s="1"/>
  <c r="AD126" i="110" a="1"/>
  <c r="AD126" i="110" s="1"/>
  <c r="AC126" i="110" a="1"/>
  <c r="AC126" i="110" s="1"/>
  <c r="AB126" i="110" a="1"/>
  <c r="AB126" i="110" s="1"/>
  <c r="AA126" i="110" a="1"/>
  <c r="AA126" i="110" s="1"/>
  <c r="Z126" i="110" a="1"/>
  <c r="Z126" i="110" s="1"/>
  <c r="Y126" i="110" a="1"/>
  <c r="Y126" i="110" s="1"/>
  <c r="X126" i="110" a="1"/>
  <c r="X126" i="110" s="1"/>
  <c r="W126" i="110" a="1"/>
  <c r="W126" i="110" s="1"/>
  <c r="V126" i="110" a="1"/>
  <c r="V126" i="110" s="1"/>
  <c r="AE125" i="110" a="1"/>
  <c r="AE125" i="110" s="1"/>
  <c r="AD125" i="110" a="1"/>
  <c r="AD125" i="110" s="1"/>
  <c r="AC125" i="110" a="1"/>
  <c r="AC125" i="110" s="1"/>
  <c r="AB125" i="110" a="1"/>
  <c r="AB125" i="110" s="1"/>
  <c r="AA125" i="110" a="1"/>
  <c r="AA125" i="110" s="1"/>
  <c r="Z125" i="110" a="1"/>
  <c r="Z125" i="110" s="1"/>
  <c r="Y125" i="110" a="1"/>
  <c r="Y125" i="110" s="1"/>
  <c r="X125" i="110" a="1"/>
  <c r="X125" i="110" s="1"/>
  <c r="W125" i="110" a="1"/>
  <c r="W125" i="110" s="1"/>
  <c r="V125" i="110" a="1"/>
  <c r="V125" i="110" s="1"/>
  <c r="AE124" i="110" a="1"/>
  <c r="AE124" i="110" s="1"/>
  <c r="AD124" i="110" a="1"/>
  <c r="AD124" i="110" s="1"/>
  <c r="AC124" i="110" a="1"/>
  <c r="AC124" i="110" s="1"/>
  <c r="AB124" i="110" a="1"/>
  <c r="AB124" i="110" s="1"/>
  <c r="AA124" i="110" a="1"/>
  <c r="AA124" i="110" s="1"/>
  <c r="Z124" i="110" a="1"/>
  <c r="Z124" i="110" s="1"/>
  <c r="Y124" i="110" a="1"/>
  <c r="Y124" i="110" s="1"/>
  <c r="X124" i="110" a="1"/>
  <c r="X124" i="110" s="1"/>
  <c r="W124" i="110" a="1"/>
  <c r="W124" i="110" s="1"/>
  <c r="V124" i="110" a="1"/>
  <c r="V124" i="110" s="1"/>
  <c r="AE123" i="110" a="1"/>
  <c r="AE123" i="110" s="1"/>
  <c r="AD123" i="110" a="1"/>
  <c r="AD123" i="110" s="1"/>
  <c r="AC123" i="110" a="1"/>
  <c r="AC123" i="110" s="1"/>
  <c r="AB123" i="110" a="1"/>
  <c r="AB123" i="110" s="1"/>
  <c r="AA123" i="110" a="1"/>
  <c r="AA123" i="110" s="1"/>
  <c r="Z123" i="110" a="1"/>
  <c r="Z123" i="110" s="1"/>
  <c r="Y123" i="110" a="1"/>
  <c r="Y123" i="110" s="1"/>
  <c r="X123" i="110" a="1"/>
  <c r="X123" i="110" s="1"/>
  <c r="W123" i="110" a="1"/>
  <c r="W123" i="110" s="1"/>
  <c r="V123" i="110" a="1"/>
  <c r="V123" i="110" s="1"/>
  <c r="AE122" i="110" a="1"/>
  <c r="AE122" i="110" s="1"/>
  <c r="AD122" i="110" a="1"/>
  <c r="AD122" i="110" s="1"/>
  <c r="AC122" i="110" a="1"/>
  <c r="AC122" i="110" s="1"/>
  <c r="AB122" i="110" a="1"/>
  <c r="AB122" i="110" s="1"/>
  <c r="AA122" i="110" a="1"/>
  <c r="AA122" i="110" s="1"/>
  <c r="Z122" i="110" a="1"/>
  <c r="Z122" i="110" s="1"/>
  <c r="Y122" i="110" a="1"/>
  <c r="Y122" i="110" s="1"/>
  <c r="X122" i="110" a="1"/>
  <c r="X122" i="110" s="1"/>
  <c r="W122" i="110" a="1"/>
  <c r="W122" i="110" s="1"/>
  <c r="V122" i="110" a="1"/>
  <c r="V122" i="110" s="1"/>
  <c r="AE121" i="110" a="1"/>
  <c r="AE121" i="110" s="1"/>
  <c r="AD121" i="110" a="1"/>
  <c r="AD121" i="110" s="1"/>
  <c r="AC121" i="110" a="1"/>
  <c r="AC121" i="110" s="1"/>
  <c r="AB121" i="110" a="1"/>
  <c r="AB121" i="110" s="1"/>
  <c r="AA121" i="110" a="1"/>
  <c r="AA121" i="110" s="1"/>
  <c r="Z121" i="110" a="1"/>
  <c r="Z121" i="110" s="1"/>
  <c r="Y121" i="110" a="1"/>
  <c r="Y121" i="110" s="1"/>
  <c r="X121" i="110" a="1"/>
  <c r="X121" i="110" s="1"/>
  <c r="W121" i="110" a="1"/>
  <c r="W121" i="110" s="1"/>
  <c r="V121" i="110" a="1"/>
  <c r="V121" i="110" s="1"/>
  <c r="AE120" i="110" a="1"/>
  <c r="AE120" i="110" s="1"/>
  <c r="AD120" i="110" a="1"/>
  <c r="AD120" i="110" s="1"/>
  <c r="AC120" i="110" a="1"/>
  <c r="AC120" i="110" s="1"/>
  <c r="AB120" i="110" a="1"/>
  <c r="AB120" i="110" s="1"/>
  <c r="AA120" i="110" a="1"/>
  <c r="AA120" i="110" s="1"/>
  <c r="Z120" i="110" a="1"/>
  <c r="Z120" i="110" s="1"/>
  <c r="Y120" i="110" a="1"/>
  <c r="Y120" i="110" s="1"/>
  <c r="X120" i="110" a="1"/>
  <c r="X120" i="110" s="1"/>
  <c r="W120" i="110" a="1"/>
  <c r="W120" i="110" s="1"/>
  <c r="V120" i="110" a="1"/>
  <c r="V120" i="110" s="1"/>
  <c r="AE119" i="110" a="1"/>
  <c r="AE119" i="110" s="1"/>
  <c r="AD119" i="110" a="1"/>
  <c r="AD119" i="110" s="1"/>
  <c r="AC119" i="110" a="1"/>
  <c r="AC119" i="110" s="1"/>
  <c r="AB119" i="110" a="1"/>
  <c r="AB119" i="110" s="1"/>
  <c r="AA119" i="110" a="1"/>
  <c r="AA119" i="110" s="1"/>
  <c r="Z119" i="110" a="1"/>
  <c r="Z119" i="110" s="1"/>
  <c r="Y119" i="110" a="1"/>
  <c r="Y119" i="110" s="1"/>
  <c r="X119" i="110" a="1"/>
  <c r="X119" i="110" s="1"/>
  <c r="W119" i="110" a="1"/>
  <c r="W119" i="110" s="1"/>
  <c r="V119" i="110" a="1"/>
  <c r="V119" i="110" s="1"/>
  <c r="AE118" i="110" a="1"/>
  <c r="AE118" i="110" s="1"/>
  <c r="AD118" i="110" a="1"/>
  <c r="AD118" i="110" s="1"/>
  <c r="AC118" i="110" a="1"/>
  <c r="AC118" i="110" s="1"/>
  <c r="AB118" i="110" a="1"/>
  <c r="AB118" i="110" s="1"/>
  <c r="AA118" i="110" a="1"/>
  <c r="AA118" i="110" s="1"/>
  <c r="Z118" i="110" a="1"/>
  <c r="Z118" i="110" s="1"/>
  <c r="Y118" i="110" a="1"/>
  <c r="Y118" i="110" s="1"/>
  <c r="X118" i="110" a="1"/>
  <c r="X118" i="110" s="1"/>
  <c r="W118" i="110" a="1"/>
  <c r="W118" i="110" s="1"/>
  <c r="V118" i="110" a="1"/>
  <c r="V118" i="110" s="1"/>
  <c r="AE117" i="110" a="1"/>
  <c r="AE117" i="110" s="1"/>
  <c r="AD117" i="110" a="1"/>
  <c r="AD117" i="110" s="1"/>
  <c r="AC117" i="110" a="1"/>
  <c r="AC117" i="110" s="1"/>
  <c r="AB117" i="110" a="1"/>
  <c r="AB117" i="110" s="1"/>
  <c r="AA117" i="110" a="1"/>
  <c r="AA117" i="110" s="1"/>
  <c r="Z117" i="110" a="1"/>
  <c r="Z117" i="110" s="1"/>
  <c r="Y117" i="110" a="1"/>
  <c r="Y117" i="110" s="1"/>
  <c r="X117" i="110" a="1"/>
  <c r="X117" i="110" s="1"/>
  <c r="W117" i="110" a="1"/>
  <c r="W117" i="110" s="1"/>
  <c r="V117" i="110" a="1"/>
  <c r="V117" i="110" s="1"/>
  <c r="AE116" i="110" a="1"/>
  <c r="AE116" i="110" s="1"/>
  <c r="AD116" i="110" a="1"/>
  <c r="AD116" i="110" s="1"/>
  <c r="AC116" i="110" a="1"/>
  <c r="AC116" i="110" s="1"/>
  <c r="AB116" i="110" a="1"/>
  <c r="AB116" i="110" s="1"/>
  <c r="AA116" i="110" a="1"/>
  <c r="AA116" i="110" s="1"/>
  <c r="Z116" i="110" a="1"/>
  <c r="Z116" i="110" s="1"/>
  <c r="Y116" i="110" a="1"/>
  <c r="Y116" i="110" s="1"/>
  <c r="X116" i="110" a="1"/>
  <c r="X116" i="110" s="1"/>
  <c r="W116" i="110" a="1"/>
  <c r="W116" i="110" s="1"/>
  <c r="V116" i="110" a="1"/>
  <c r="V116" i="110" s="1"/>
  <c r="AE115" i="110" a="1"/>
  <c r="AE115" i="110" s="1"/>
  <c r="AD115" i="110" a="1"/>
  <c r="AD115" i="110" s="1"/>
  <c r="AC115" i="110" a="1"/>
  <c r="AC115" i="110" s="1"/>
  <c r="AB115" i="110" a="1"/>
  <c r="AB115" i="110" s="1"/>
  <c r="AA115" i="110" a="1"/>
  <c r="AA115" i="110" s="1"/>
  <c r="Z115" i="110" a="1"/>
  <c r="Z115" i="110" s="1"/>
  <c r="Y115" i="110" a="1"/>
  <c r="Y115" i="110" s="1"/>
  <c r="X115" i="110" a="1"/>
  <c r="X115" i="110" s="1"/>
  <c r="W115" i="110" a="1"/>
  <c r="W115" i="110" s="1"/>
  <c r="V115" i="110" a="1"/>
  <c r="V115" i="110" s="1"/>
  <c r="AE114" i="110" a="1"/>
  <c r="AE114" i="110" s="1"/>
  <c r="AD114" i="110" a="1"/>
  <c r="AD114" i="110" s="1"/>
  <c r="AC114" i="110" a="1"/>
  <c r="AC114" i="110" s="1"/>
  <c r="AB114" i="110" a="1"/>
  <c r="AB114" i="110" s="1"/>
  <c r="AA114" i="110" a="1"/>
  <c r="AA114" i="110" s="1"/>
  <c r="Z114" i="110" a="1"/>
  <c r="Z114" i="110" s="1"/>
  <c r="Y114" i="110" a="1"/>
  <c r="Y114" i="110" s="1"/>
  <c r="X114" i="110" a="1"/>
  <c r="X114" i="110" s="1"/>
  <c r="W114" i="110" a="1"/>
  <c r="W114" i="110" s="1"/>
  <c r="V114" i="110" a="1"/>
  <c r="V114" i="110" s="1"/>
  <c r="AE113" i="110" a="1"/>
  <c r="AE113" i="110" s="1"/>
  <c r="AD113" i="110" a="1"/>
  <c r="AD113" i="110" s="1"/>
  <c r="AC113" i="110" a="1"/>
  <c r="AC113" i="110" s="1"/>
  <c r="AB113" i="110" a="1"/>
  <c r="AB113" i="110" s="1"/>
  <c r="AA113" i="110" a="1"/>
  <c r="AA113" i="110" s="1"/>
  <c r="Z113" i="110" a="1"/>
  <c r="Z113" i="110" s="1"/>
  <c r="Y113" i="110" a="1"/>
  <c r="Y113" i="110" s="1"/>
  <c r="X113" i="110" a="1"/>
  <c r="X113" i="110" s="1"/>
  <c r="W113" i="110" a="1"/>
  <c r="W113" i="110" s="1"/>
  <c r="V113" i="110" a="1"/>
  <c r="V113" i="110" s="1"/>
  <c r="AE112" i="110" a="1"/>
  <c r="AE112" i="110" s="1"/>
  <c r="AD112" i="110" a="1"/>
  <c r="AD112" i="110" s="1"/>
  <c r="AC112" i="110" a="1"/>
  <c r="AC112" i="110" s="1"/>
  <c r="AB112" i="110" a="1"/>
  <c r="AB112" i="110" s="1"/>
  <c r="AA112" i="110" a="1"/>
  <c r="AA112" i="110" s="1"/>
  <c r="Z112" i="110" a="1"/>
  <c r="Z112" i="110" s="1"/>
  <c r="Y112" i="110" a="1"/>
  <c r="Y112" i="110" s="1"/>
  <c r="X112" i="110" a="1"/>
  <c r="X112" i="110" s="1"/>
  <c r="W112" i="110" a="1"/>
  <c r="W112" i="110" s="1"/>
  <c r="V112" i="110" a="1"/>
  <c r="V112" i="110" s="1"/>
  <c r="AE111" i="110" a="1"/>
  <c r="AE111" i="110" s="1"/>
  <c r="AD111" i="110" a="1"/>
  <c r="AD111" i="110" s="1"/>
  <c r="AC111" i="110" a="1"/>
  <c r="AC111" i="110" s="1"/>
  <c r="AB111" i="110" a="1"/>
  <c r="AB111" i="110" s="1"/>
  <c r="AA111" i="110" a="1"/>
  <c r="AA111" i="110" s="1"/>
  <c r="Z111" i="110" a="1"/>
  <c r="Z111" i="110" s="1"/>
  <c r="Y111" i="110" a="1"/>
  <c r="Y111" i="110" s="1"/>
  <c r="X111" i="110" a="1"/>
  <c r="X111" i="110" s="1"/>
  <c r="W111" i="110" a="1"/>
  <c r="W111" i="110" s="1"/>
  <c r="V111" i="110" a="1"/>
  <c r="V111" i="110" s="1"/>
  <c r="AE110" i="110" a="1"/>
  <c r="AE110" i="110" s="1"/>
  <c r="AD110" i="110" a="1"/>
  <c r="AD110" i="110" s="1"/>
  <c r="AC110" i="110" a="1"/>
  <c r="AC110" i="110" s="1"/>
  <c r="AB110" i="110" a="1"/>
  <c r="AB110" i="110" s="1"/>
  <c r="AA110" i="110" a="1"/>
  <c r="AA110" i="110" s="1"/>
  <c r="Z110" i="110" a="1"/>
  <c r="Z110" i="110" s="1"/>
  <c r="Y110" i="110" a="1"/>
  <c r="Y110" i="110" s="1"/>
  <c r="X110" i="110" a="1"/>
  <c r="X110" i="110" s="1"/>
  <c r="W110" i="110" a="1"/>
  <c r="W110" i="110" s="1"/>
  <c r="V110" i="110" a="1"/>
  <c r="V110" i="110" s="1"/>
  <c r="AE109" i="110" a="1"/>
  <c r="AE109" i="110" s="1"/>
  <c r="AD109" i="110" a="1"/>
  <c r="AD109" i="110" s="1"/>
  <c r="AC109" i="110" a="1"/>
  <c r="AC109" i="110" s="1"/>
  <c r="AB109" i="110" a="1"/>
  <c r="AB109" i="110" s="1"/>
  <c r="AA109" i="110" a="1"/>
  <c r="AA109" i="110" s="1"/>
  <c r="Z109" i="110" a="1"/>
  <c r="Z109" i="110" s="1"/>
  <c r="Y109" i="110" a="1"/>
  <c r="Y109" i="110" s="1"/>
  <c r="X109" i="110" a="1"/>
  <c r="X109" i="110" s="1"/>
  <c r="W109" i="110" a="1"/>
  <c r="W109" i="110" s="1"/>
  <c r="V109" i="110" a="1"/>
  <c r="V109" i="110" s="1"/>
  <c r="AE108" i="110" a="1"/>
  <c r="AE108" i="110" s="1"/>
  <c r="AD108" i="110" a="1"/>
  <c r="AD108" i="110" s="1"/>
  <c r="AC108" i="110" a="1"/>
  <c r="AC108" i="110" s="1"/>
  <c r="AB108" i="110" a="1"/>
  <c r="AB108" i="110" s="1"/>
  <c r="AA108" i="110" a="1"/>
  <c r="AA108" i="110" s="1"/>
  <c r="Z108" i="110" a="1"/>
  <c r="Z108" i="110" s="1"/>
  <c r="Y108" i="110" a="1"/>
  <c r="Y108" i="110" s="1"/>
  <c r="X108" i="110" a="1"/>
  <c r="X108" i="110" s="1"/>
  <c r="AE107" i="110" a="1"/>
  <c r="AE107" i="110" s="1"/>
  <c r="AD107" i="110" a="1"/>
  <c r="AD107" i="110" s="1"/>
  <c r="AC107" i="110" a="1"/>
  <c r="AC107" i="110" s="1"/>
  <c r="AB107" i="110" a="1"/>
  <c r="AB107" i="110" s="1"/>
  <c r="AA107" i="110" a="1"/>
  <c r="AA107" i="110" s="1"/>
  <c r="Z107" i="110" a="1"/>
  <c r="Z107" i="110" s="1"/>
  <c r="Y107" i="110" a="1"/>
  <c r="Y107" i="110" s="1"/>
  <c r="X107" i="110" a="1"/>
  <c r="X107" i="110" s="1"/>
  <c r="AE106" i="110" a="1"/>
  <c r="AE106" i="110" s="1"/>
  <c r="AD106" i="110" a="1"/>
  <c r="AD106" i="110" s="1"/>
  <c r="AC106" i="110" a="1"/>
  <c r="AC106" i="110" s="1"/>
  <c r="AB106" i="110" a="1"/>
  <c r="AB106" i="110" s="1"/>
  <c r="AA106" i="110" a="1"/>
  <c r="AA106" i="110" s="1"/>
  <c r="Z106" i="110" a="1"/>
  <c r="Z106" i="110" s="1"/>
  <c r="Y106" i="110" a="1"/>
  <c r="Y106" i="110" s="1"/>
  <c r="X106" i="110" a="1"/>
  <c r="X106" i="110" s="1"/>
  <c r="AE105" i="110" a="1"/>
  <c r="AE105" i="110" s="1"/>
  <c r="AD105" i="110" a="1"/>
  <c r="AD105" i="110" s="1"/>
  <c r="AC105" i="110" a="1"/>
  <c r="AC105" i="110" s="1"/>
  <c r="AB105" i="110" a="1"/>
  <c r="AB105" i="110" s="1"/>
  <c r="AA105" i="110" a="1"/>
  <c r="AA105" i="110" s="1"/>
  <c r="Z105" i="110" a="1"/>
  <c r="Z105" i="110" s="1"/>
  <c r="Y105" i="110" a="1"/>
  <c r="Y105" i="110" s="1"/>
  <c r="X105" i="110" a="1"/>
  <c r="X105" i="110" s="1"/>
  <c r="AE104" i="110" a="1"/>
  <c r="AE104" i="110" s="1"/>
  <c r="AD104" i="110" a="1"/>
  <c r="AD104" i="110" s="1"/>
  <c r="AC104" i="110" a="1"/>
  <c r="AC104" i="110" s="1"/>
  <c r="AB104" i="110" a="1"/>
  <c r="AB104" i="110" s="1"/>
  <c r="AA104" i="110" a="1"/>
  <c r="AA104" i="110" s="1"/>
  <c r="Z104" i="110" a="1"/>
  <c r="Z104" i="110" s="1"/>
  <c r="Y104" i="110" a="1"/>
  <c r="Y104" i="110" s="1"/>
  <c r="X104" i="110" a="1"/>
  <c r="X104" i="110" s="1"/>
  <c r="AE103" i="110" a="1"/>
  <c r="AE103" i="110" s="1"/>
  <c r="AD103" i="110" a="1"/>
  <c r="AD103" i="110" s="1"/>
  <c r="AC103" i="110" a="1"/>
  <c r="AC103" i="110" s="1"/>
  <c r="AB103" i="110" a="1"/>
  <c r="AB103" i="110" s="1"/>
  <c r="AA103" i="110" a="1"/>
  <c r="AA103" i="110" s="1"/>
  <c r="Z103" i="110" a="1"/>
  <c r="Z103" i="110" s="1"/>
  <c r="Y103" i="110" a="1"/>
  <c r="Y103" i="110" s="1"/>
  <c r="X103" i="110" a="1"/>
  <c r="X103" i="110" s="1"/>
  <c r="AE102" i="110" a="1"/>
  <c r="AE102" i="110" s="1"/>
  <c r="AD102" i="110" a="1"/>
  <c r="AD102" i="110" s="1"/>
  <c r="AC102" i="110" a="1"/>
  <c r="AC102" i="110" s="1"/>
  <c r="AB102" i="110" a="1"/>
  <c r="AB102" i="110" s="1"/>
  <c r="AA102" i="110" a="1"/>
  <c r="AA102" i="110" s="1"/>
  <c r="Z102" i="110" a="1"/>
  <c r="Z102" i="110" s="1"/>
  <c r="Y102" i="110" a="1"/>
  <c r="Y102" i="110" s="1"/>
  <c r="X102" i="110" a="1"/>
  <c r="X102" i="110" s="1"/>
  <c r="AE101" i="110" a="1"/>
  <c r="AE101" i="110" s="1"/>
  <c r="AD101" i="110" a="1"/>
  <c r="AD101" i="110" s="1"/>
  <c r="AC101" i="110" a="1"/>
  <c r="AC101" i="110" s="1"/>
  <c r="AB101" i="110" a="1"/>
  <c r="AB101" i="110" s="1"/>
  <c r="AA101" i="110" a="1"/>
  <c r="AA101" i="110" s="1"/>
  <c r="Z101" i="110" a="1"/>
  <c r="Z101" i="110" s="1"/>
  <c r="Y101" i="110" a="1"/>
  <c r="Y101" i="110" s="1"/>
  <c r="X101" i="110" a="1"/>
  <c r="X101" i="110" s="1"/>
  <c r="AE100" i="110" a="1"/>
  <c r="AE100" i="110" s="1"/>
  <c r="AD100" i="110" a="1"/>
  <c r="AD100" i="110" s="1"/>
  <c r="AC100" i="110" a="1"/>
  <c r="AC100" i="110" s="1"/>
  <c r="AB100" i="110" a="1"/>
  <c r="AB100" i="110" s="1"/>
  <c r="AA100" i="110" a="1"/>
  <c r="AA100" i="110" s="1"/>
  <c r="Z100" i="110" a="1"/>
  <c r="Z100" i="110" s="1"/>
  <c r="Y100" i="110" a="1"/>
  <c r="Y100" i="110" s="1"/>
  <c r="X100" i="110" a="1"/>
  <c r="X100" i="110" s="1"/>
  <c r="AE99" i="110" a="1"/>
  <c r="AE99" i="110" s="1"/>
  <c r="AD99" i="110" a="1"/>
  <c r="AD99" i="110" s="1"/>
  <c r="AC99" i="110" a="1"/>
  <c r="AC99" i="110" s="1"/>
  <c r="AB99" i="110" a="1"/>
  <c r="AB99" i="110" s="1"/>
  <c r="AA99" i="110" a="1"/>
  <c r="AA99" i="110" s="1"/>
  <c r="Z99" i="110" a="1"/>
  <c r="Z99" i="110" s="1"/>
  <c r="Y99" i="110" a="1"/>
  <c r="Y99" i="110" s="1"/>
  <c r="X99" i="110" a="1"/>
  <c r="X99" i="110" s="1"/>
  <c r="AE98" i="110" a="1"/>
  <c r="AE98" i="110" s="1"/>
  <c r="AD98" i="110" a="1"/>
  <c r="AD98" i="110" s="1"/>
  <c r="AC98" i="110" a="1"/>
  <c r="AC98" i="110" s="1"/>
  <c r="AB98" i="110" a="1"/>
  <c r="AB98" i="110" s="1"/>
  <c r="AA98" i="110" a="1"/>
  <c r="AA98" i="110" s="1"/>
  <c r="Z98" i="110" a="1"/>
  <c r="Z98" i="110" s="1"/>
  <c r="Y98" i="110" a="1"/>
  <c r="Y98" i="110" s="1"/>
  <c r="X98" i="110" a="1"/>
  <c r="X98" i="110" s="1"/>
  <c r="AE97" i="110" a="1"/>
  <c r="AE97" i="110" s="1"/>
  <c r="AD97" i="110" a="1"/>
  <c r="AD97" i="110" s="1"/>
  <c r="AC97" i="110" a="1"/>
  <c r="AC97" i="110" s="1"/>
  <c r="AB97" i="110" a="1"/>
  <c r="AB97" i="110" s="1"/>
  <c r="AA97" i="110" a="1"/>
  <c r="AA97" i="110" s="1"/>
  <c r="Z97" i="110" a="1"/>
  <c r="Z97" i="110" s="1"/>
  <c r="Y97" i="110" a="1"/>
  <c r="Y97" i="110" s="1"/>
  <c r="X97" i="110" a="1"/>
  <c r="X97" i="110" s="1"/>
  <c r="AE96" i="110" a="1"/>
  <c r="AE96" i="110" s="1"/>
  <c r="AD96" i="110" a="1"/>
  <c r="AD96" i="110" s="1"/>
  <c r="AC96" i="110" a="1"/>
  <c r="AC96" i="110" s="1"/>
  <c r="AB96" i="110" a="1"/>
  <c r="AB96" i="110" s="1"/>
  <c r="AA96" i="110" a="1"/>
  <c r="AA96" i="110" s="1"/>
  <c r="Z96" i="110" a="1"/>
  <c r="Z96" i="110" s="1"/>
  <c r="Y96" i="110" a="1"/>
  <c r="Y96" i="110" s="1"/>
  <c r="X96" i="110" a="1"/>
  <c r="X96" i="110" s="1"/>
  <c r="AE95" i="110" a="1"/>
  <c r="AE95" i="110" s="1"/>
  <c r="AD95" i="110" a="1"/>
  <c r="AD95" i="110" s="1"/>
  <c r="AC95" i="110" a="1"/>
  <c r="AC95" i="110" s="1"/>
  <c r="AB95" i="110" a="1"/>
  <c r="AB95" i="110" s="1"/>
  <c r="AA95" i="110" a="1"/>
  <c r="AA95" i="110" s="1"/>
  <c r="Z95" i="110" a="1"/>
  <c r="Z95" i="110" s="1"/>
  <c r="Y95" i="110" a="1"/>
  <c r="Y95" i="110" s="1"/>
  <c r="X95" i="110" a="1"/>
  <c r="X95" i="110" s="1"/>
  <c r="AE94" i="110" a="1"/>
  <c r="AE94" i="110" s="1"/>
  <c r="AD94" i="110" a="1"/>
  <c r="AD94" i="110" s="1"/>
  <c r="AC94" i="110" a="1"/>
  <c r="AC94" i="110" s="1"/>
  <c r="AB94" i="110" a="1"/>
  <c r="AB94" i="110" s="1"/>
  <c r="AA94" i="110" a="1"/>
  <c r="AA94" i="110" s="1"/>
  <c r="Z94" i="110" a="1"/>
  <c r="Z94" i="110" s="1"/>
  <c r="Y94" i="110" a="1"/>
  <c r="Y94" i="110" s="1"/>
  <c r="X94" i="110" a="1"/>
  <c r="X94" i="110" s="1"/>
  <c r="AE93" i="110" a="1"/>
  <c r="AE93" i="110" s="1"/>
  <c r="AD93" i="110" a="1"/>
  <c r="AD93" i="110" s="1"/>
  <c r="AC93" i="110" a="1"/>
  <c r="AC93" i="110" s="1"/>
  <c r="AB93" i="110" a="1"/>
  <c r="AB93" i="110" s="1"/>
  <c r="AA93" i="110" a="1"/>
  <c r="AA93" i="110" s="1"/>
  <c r="Z93" i="110" a="1"/>
  <c r="Z93" i="110" s="1"/>
  <c r="Y93" i="110" a="1"/>
  <c r="Y93" i="110" s="1"/>
  <c r="X93" i="110" a="1"/>
  <c r="X93" i="110" s="1"/>
  <c r="AE92" i="110" a="1"/>
  <c r="AE92" i="110" s="1"/>
  <c r="AD92" i="110" a="1"/>
  <c r="AD92" i="110" s="1"/>
  <c r="AC92" i="110" a="1"/>
  <c r="AC92" i="110" s="1"/>
  <c r="AB92" i="110" a="1"/>
  <c r="AB92" i="110" s="1"/>
  <c r="AA92" i="110" a="1"/>
  <c r="AA92" i="110" s="1"/>
  <c r="Z92" i="110" a="1"/>
  <c r="Z92" i="110" s="1"/>
  <c r="Y92" i="110" a="1"/>
  <c r="Y92" i="110" s="1"/>
  <c r="X92" i="110" a="1"/>
  <c r="X92" i="110" s="1"/>
  <c r="AE91" i="110" a="1"/>
  <c r="AE91" i="110" s="1"/>
  <c r="AD91" i="110" a="1"/>
  <c r="AD91" i="110" s="1"/>
  <c r="AC91" i="110" a="1"/>
  <c r="AC91" i="110" s="1"/>
  <c r="AB91" i="110" a="1"/>
  <c r="AB91" i="110" s="1"/>
  <c r="AA91" i="110" a="1"/>
  <c r="AA91" i="110" s="1"/>
  <c r="Z91" i="110" a="1"/>
  <c r="Z91" i="110" s="1"/>
  <c r="Y91" i="110" a="1"/>
  <c r="Y91" i="110" s="1"/>
  <c r="X91" i="110" a="1"/>
  <c r="X91" i="110" s="1"/>
  <c r="AE90" i="110" a="1"/>
  <c r="AE90" i="110" s="1"/>
  <c r="AD90" i="110" a="1"/>
  <c r="AD90" i="110" s="1"/>
  <c r="AC90" i="110" a="1"/>
  <c r="AC90" i="110" s="1"/>
  <c r="AB90" i="110" a="1"/>
  <c r="AB90" i="110" s="1"/>
  <c r="AA90" i="110" a="1"/>
  <c r="AA90" i="110" s="1"/>
  <c r="Z90" i="110" a="1"/>
  <c r="Z90" i="110" s="1"/>
  <c r="Y90" i="110" a="1"/>
  <c r="Y90" i="110" s="1"/>
  <c r="X90" i="110" a="1"/>
  <c r="X90" i="110" s="1"/>
  <c r="U153" i="110" l="1" a="1"/>
  <c r="U153" i="110" s="1"/>
  <c r="T153" i="110" a="1"/>
  <c r="T153" i="110" s="1"/>
  <c r="S153" i="110" a="1"/>
  <c r="S153" i="110" s="1"/>
  <c r="R153" i="110" a="1"/>
  <c r="R153" i="110" s="1"/>
  <c r="Q153" i="110" a="1"/>
  <c r="Q153" i="110" s="1"/>
  <c r="P153" i="110" a="1"/>
  <c r="P153" i="110" s="1"/>
  <c r="O153" i="110" a="1"/>
  <c r="O153" i="110" s="1"/>
  <c r="N153" i="110" a="1"/>
  <c r="N153" i="110" s="1"/>
  <c r="M153" i="110" a="1"/>
  <c r="M153" i="110" s="1"/>
  <c r="L153" i="110" a="1"/>
  <c r="L153" i="110" s="1"/>
  <c r="K153" i="110" a="1"/>
  <c r="K153" i="110" s="1"/>
  <c r="J153" i="110" a="1"/>
  <c r="J153" i="110" s="1"/>
  <c r="I153" i="110" a="1"/>
  <c r="I153" i="110" s="1"/>
  <c r="H153" i="110" a="1"/>
  <c r="H153" i="110" s="1"/>
  <c r="G153" i="110" a="1"/>
  <c r="G153" i="110" s="1"/>
  <c r="F153" i="110" a="1"/>
  <c r="F153" i="110" s="1"/>
  <c r="E153" i="110" a="1"/>
  <c r="E153" i="110" s="1"/>
  <c r="D153" i="110" a="1"/>
  <c r="D153" i="110" s="1"/>
  <c r="U152" i="110" a="1"/>
  <c r="U152" i="110" s="1"/>
  <c r="T152" i="110" a="1"/>
  <c r="T152" i="110" s="1"/>
  <c r="S152" i="110" a="1"/>
  <c r="S152" i="110" s="1"/>
  <c r="R152" i="110" a="1"/>
  <c r="R152" i="110" s="1"/>
  <c r="Q152" i="110" a="1"/>
  <c r="Q152" i="110" s="1"/>
  <c r="P152" i="110" a="1"/>
  <c r="P152" i="110" s="1"/>
  <c r="O152" i="110" a="1"/>
  <c r="O152" i="110" s="1"/>
  <c r="N152" i="110" a="1"/>
  <c r="N152" i="110" s="1"/>
  <c r="M152" i="110" a="1"/>
  <c r="M152" i="110" s="1"/>
  <c r="L152" i="110" a="1"/>
  <c r="L152" i="110" s="1"/>
  <c r="K152" i="110" a="1"/>
  <c r="K152" i="110" s="1"/>
  <c r="J152" i="110" a="1"/>
  <c r="J152" i="110" s="1"/>
  <c r="I152" i="110" a="1"/>
  <c r="I152" i="110" s="1"/>
  <c r="H152" i="110" a="1"/>
  <c r="H152" i="110" s="1"/>
  <c r="G152" i="110" a="1"/>
  <c r="G152" i="110" s="1"/>
  <c r="F152" i="110" a="1"/>
  <c r="F152" i="110" s="1"/>
  <c r="E152" i="110" a="1"/>
  <c r="E152" i="110" s="1"/>
  <c r="D152" i="110" a="1"/>
  <c r="D152" i="110" s="1"/>
  <c r="U151" i="110" a="1"/>
  <c r="U151" i="110" s="1"/>
  <c r="T151" i="110" a="1"/>
  <c r="T151" i="110" s="1"/>
  <c r="S151" i="110" a="1"/>
  <c r="S151" i="110" s="1"/>
  <c r="R151" i="110" a="1"/>
  <c r="R151" i="110" s="1"/>
  <c r="Q151" i="110" a="1"/>
  <c r="Q151" i="110" s="1"/>
  <c r="P151" i="110" a="1"/>
  <c r="P151" i="110" s="1"/>
  <c r="O151" i="110" a="1"/>
  <c r="O151" i="110" s="1"/>
  <c r="N151" i="110" a="1"/>
  <c r="N151" i="110" s="1"/>
  <c r="M151" i="110" a="1"/>
  <c r="M151" i="110" s="1"/>
  <c r="L151" i="110" a="1"/>
  <c r="L151" i="110" s="1"/>
  <c r="K151" i="110" a="1"/>
  <c r="K151" i="110" s="1"/>
  <c r="J151" i="110" a="1"/>
  <c r="J151" i="110" s="1"/>
  <c r="I151" i="110" a="1"/>
  <c r="I151" i="110" s="1"/>
  <c r="H151" i="110" a="1"/>
  <c r="H151" i="110" s="1"/>
  <c r="G151" i="110" a="1"/>
  <c r="G151" i="110" s="1"/>
  <c r="F151" i="110" a="1"/>
  <c r="F151" i="110" s="1"/>
  <c r="E151" i="110" a="1"/>
  <c r="E151" i="110" s="1"/>
  <c r="D151" i="110" a="1"/>
  <c r="D151" i="110" s="1"/>
  <c r="U150" i="110" a="1"/>
  <c r="U150" i="110" s="1"/>
  <c r="T150" i="110" a="1"/>
  <c r="T150" i="110" s="1"/>
  <c r="S150" i="110" a="1"/>
  <c r="S150" i="110" s="1"/>
  <c r="R150" i="110" a="1"/>
  <c r="R150" i="110" s="1"/>
  <c r="Q150" i="110" a="1"/>
  <c r="Q150" i="110" s="1"/>
  <c r="P150" i="110" a="1"/>
  <c r="P150" i="110" s="1"/>
  <c r="O150" i="110" a="1"/>
  <c r="O150" i="110" s="1"/>
  <c r="N150" i="110" a="1"/>
  <c r="N150" i="110" s="1"/>
  <c r="M150" i="110" a="1"/>
  <c r="M150" i="110" s="1"/>
  <c r="L150" i="110" a="1"/>
  <c r="L150" i="110" s="1"/>
  <c r="K150" i="110" a="1"/>
  <c r="K150" i="110" s="1"/>
  <c r="J150" i="110" a="1"/>
  <c r="J150" i="110" s="1"/>
  <c r="I150" i="110" a="1"/>
  <c r="I150" i="110" s="1"/>
  <c r="H150" i="110" a="1"/>
  <c r="H150" i="110" s="1"/>
  <c r="G150" i="110" a="1"/>
  <c r="G150" i="110" s="1"/>
  <c r="F150" i="110" a="1"/>
  <c r="F150" i="110" s="1"/>
  <c r="E150" i="110" a="1"/>
  <c r="E150" i="110" s="1"/>
  <c r="D150" i="110" a="1"/>
  <c r="D150" i="110" s="1"/>
  <c r="U149" i="110" a="1"/>
  <c r="U149" i="110" s="1"/>
  <c r="T149" i="110" a="1"/>
  <c r="T149" i="110" s="1"/>
  <c r="S149" i="110" a="1"/>
  <c r="S149" i="110" s="1"/>
  <c r="R149" i="110" a="1"/>
  <c r="R149" i="110" s="1"/>
  <c r="Q149" i="110" a="1"/>
  <c r="Q149" i="110" s="1"/>
  <c r="P149" i="110" a="1"/>
  <c r="P149" i="110" s="1"/>
  <c r="O149" i="110" a="1"/>
  <c r="O149" i="110" s="1"/>
  <c r="N149" i="110" a="1"/>
  <c r="N149" i="110" s="1"/>
  <c r="M149" i="110" a="1"/>
  <c r="M149" i="110" s="1"/>
  <c r="L149" i="110" a="1"/>
  <c r="L149" i="110" s="1"/>
  <c r="K149" i="110" a="1"/>
  <c r="K149" i="110" s="1"/>
  <c r="J149" i="110" a="1"/>
  <c r="J149" i="110" s="1"/>
  <c r="I149" i="110" a="1"/>
  <c r="I149" i="110" s="1"/>
  <c r="H149" i="110" a="1"/>
  <c r="H149" i="110" s="1"/>
  <c r="G149" i="110" a="1"/>
  <c r="G149" i="110" s="1"/>
  <c r="F149" i="110" a="1"/>
  <c r="F149" i="110" s="1"/>
  <c r="E149" i="110" a="1"/>
  <c r="E149" i="110" s="1"/>
  <c r="D149" i="110" a="1"/>
  <c r="D149" i="110" s="1"/>
  <c r="U148" i="110" a="1"/>
  <c r="U148" i="110" s="1"/>
  <c r="T148" i="110" a="1"/>
  <c r="T148" i="110" s="1"/>
  <c r="S148" i="110" a="1"/>
  <c r="S148" i="110" s="1"/>
  <c r="R148" i="110" a="1"/>
  <c r="R148" i="110" s="1"/>
  <c r="Q148" i="110" a="1"/>
  <c r="Q148" i="110" s="1"/>
  <c r="P148" i="110" a="1"/>
  <c r="P148" i="110" s="1"/>
  <c r="O148" i="110" a="1"/>
  <c r="O148" i="110" s="1"/>
  <c r="N148" i="110" a="1"/>
  <c r="N148" i="110" s="1"/>
  <c r="M148" i="110" a="1"/>
  <c r="M148" i="110" s="1"/>
  <c r="L148" i="110" a="1"/>
  <c r="L148" i="110" s="1"/>
  <c r="K148" i="110" a="1"/>
  <c r="K148" i="110" s="1"/>
  <c r="J148" i="110" a="1"/>
  <c r="J148" i="110" s="1"/>
  <c r="I148" i="110" a="1"/>
  <c r="I148" i="110" s="1"/>
  <c r="H148" i="110" a="1"/>
  <c r="H148" i="110" s="1"/>
  <c r="G148" i="110" a="1"/>
  <c r="G148" i="110" s="1"/>
  <c r="F148" i="110" a="1"/>
  <c r="F148" i="110" s="1"/>
  <c r="E148" i="110" a="1"/>
  <c r="E148" i="110" s="1"/>
  <c r="D148" i="110" a="1"/>
  <c r="D148" i="110" s="1"/>
  <c r="U147" i="110" a="1"/>
  <c r="U147" i="110" s="1"/>
  <c r="T147" i="110" a="1"/>
  <c r="T147" i="110" s="1"/>
  <c r="S147" i="110" a="1"/>
  <c r="S147" i="110" s="1"/>
  <c r="R147" i="110" a="1"/>
  <c r="R147" i="110" s="1"/>
  <c r="Q147" i="110" a="1"/>
  <c r="Q147" i="110" s="1"/>
  <c r="P147" i="110" a="1"/>
  <c r="P147" i="110" s="1"/>
  <c r="O147" i="110" a="1"/>
  <c r="O147" i="110" s="1"/>
  <c r="N147" i="110" a="1"/>
  <c r="N147" i="110" s="1"/>
  <c r="M147" i="110" a="1"/>
  <c r="M147" i="110" s="1"/>
  <c r="L147" i="110" a="1"/>
  <c r="L147" i="110" s="1"/>
  <c r="K147" i="110" a="1"/>
  <c r="K147" i="110" s="1"/>
  <c r="J147" i="110" a="1"/>
  <c r="J147" i="110" s="1"/>
  <c r="I147" i="110" a="1"/>
  <c r="I147" i="110" s="1"/>
  <c r="H147" i="110" a="1"/>
  <c r="H147" i="110" s="1"/>
  <c r="G147" i="110" a="1"/>
  <c r="G147" i="110" s="1"/>
  <c r="F147" i="110" a="1"/>
  <c r="F147" i="110" s="1"/>
  <c r="E147" i="110" a="1"/>
  <c r="E147" i="110" s="1"/>
  <c r="D147" i="110" a="1"/>
  <c r="D147" i="110" s="1"/>
  <c r="U146" i="110" a="1"/>
  <c r="U146" i="110" s="1"/>
  <c r="T146" i="110" a="1"/>
  <c r="T146" i="110" s="1"/>
  <c r="S146" i="110" a="1"/>
  <c r="S146" i="110" s="1"/>
  <c r="R146" i="110" a="1"/>
  <c r="R146" i="110" s="1"/>
  <c r="Q146" i="110" a="1"/>
  <c r="Q146" i="110" s="1"/>
  <c r="P146" i="110" a="1"/>
  <c r="P146" i="110" s="1"/>
  <c r="O146" i="110" a="1"/>
  <c r="O146" i="110" s="1"/>
  <c r="N146" i="110" a="1"/>
  <c r="N146" i="110" s="1"/>
  <c r="M146" i="110" a="1"/>
  <c r="M146" i="110" s="1"/>
  <c r="L146" i="110" a="1"/>
  <c r="L146" i="110" s="1"/>
  <c r="K146" i="110" a="1"/>
  <c r="K146" i="110" s="1"/>
  <c r="J146" i="110" a="1"/>
  <c r="J146" i="110" s="1"/>
  <c r="I146" i="110" a="1"/>
  <c r="I146" i="110" s="1"/>
  <c r="H146" i="110" a="1"/>
  <c r="H146" i="110" s="1"/>
  <c r="G146" i="110" a="1"/>
  <c r="G146" i="110" s="1"/>
  <c r="F146" i="110" a="1"/>
  <c r="F146" i="110" s="1"/>
  <c r="E146" i="110" a="1"/>
  <c r="E146" i="110" s="1"/>
  <c r="D146" i="110" a="1"/>
  <c r="D146" i="110" s="1"/>
  <c r="U145" i="110" a="1"/>
  <c r="U145" i="110" s="1"/>
  <c r="T145" i="110" a="1"/>
  <c r="T145" i="110" s="1"/>
  <c r="S145" i="110" a="1"/>
  <c r="S145" i="110" s="1"/>
  <c r="R145" i="110" a="1"/>
  <c r="R145" i="110" s="1"/>
  <c r="Q145" i="110" a="1"/>
  <c r="Q145" i="110" s="1"/>
  <c r="P145" i="110" a="1"/>
  <c r="P145" i="110" s="1"/>
  <c r="O145" i="110" a="1"/>
  <c r="O145" i="110" s="1"/>
  <c r="N145" i="110" a="1"/>
  <c r="N145" i="110" s="1"/>
  <c r="M145" i="110" a="1"/>
  <c r="M145" i="110" s="1"/>
  <c r="L145" i="110" a="1"/>
  <c r="L145" i="110" s="1"/>
  <c r="K145" i="110" a="1"/>
  <c r="K145" i="110" s="1"/>
  <c r="J145" i="110" a="1"/>
  <c r="J145" i="110" s="1"/>
  <c r="I145" i="110" a="1"/>
  <c r="I145" i="110" s="1"/>
  <c r="H145" i="110" a="1"/>
  <c r="H145" i="110" s="1"/>
  <c r="G145" i="110" a="1"/>
  <c r="G145" i="110" s="1"/>
  <c r="F145" i="110" a="1"/>
  <c r="F145" i="110" s="1"/>
  <c r="E145" i="110" a="1"/>
  <c r="E145" i="110" s="1"/>
  <c r="D145" i="110" a="1"/>
  <c r="D145" i="110" s="1"/>
  <c r="U144" i="110" a="1"/>
  <c r="U144" i="110" s="1"/>
  <c r="T144" i="110" a="1"/>
  <c r="T144" i="110" s="1"/>
  <c r="S144" i="110" a="1"/>
  <c r="S144" i="110" s="1"/>
  <c r="R144" i="110" a="1"/>
  <c r="R144" i="110" s="1"/>
  <c r="Q144" i="110" a="1"/>
  <c r="Q144" i="110" s="1"/>
  <c r="P144" i="110" a="1"/>
  <c r="P144" i="110" s="1"/>
  <c r="O144" i="110" a="1"/>
  <c r="O144" i="110" s="1"/>
  <c r="N144" i="110" a="1"/>
  <c r="N144" i="110" s="1"/>
  <c r="M144" i="110" a="1"/>
  <c r="M144" i="110" s="1"/>
  <c r="L144" i="110" a="1"/>
  <c r="L144" i="110" s="1"/>
  <c r="K144" i="110" a="1"/>
  <c r="K144" i="110" s="1"/>
  <c r="J144" i="110" a="1"/>
  <c r="J144" i="110" s="1"/>
  <c r="I144" i="110" a="1"/>
  <c r="I144" i="110" s="1"/>
  <c r="H144" i="110" a="1"/>
  <c r="H144" i="110" s="1"/>
  <c r="G144" i="110" a="1"/>
  <c r="G144" i="110" s="1"/>
  <c r="F144" i="110" a="1"/>
  <c r="F144" i="110" s="1"/>
  <c r="E144" i="110" a="1"/>
  <c r="E144" i="110" s="1"/>
  <c r="D144" i="110" a="1"/>
  <c r="D144" i="110" s="1"/>
  <c r="U143" i="110" a="1"/>
  <c r="U143" i="110" s="1"/>
  <c r="T143" i="110" a="1"/>
  <c r="T143" i="110" s="1"/>
  <c r="S143" i="110" a="1"/>
  <c r="S143" i="110" s="1"/>
  <c r="R143" i="110" a="1"/>
  <c r="R143" i="110" s="1"/>
  <c r="Q143" i="110" a="1"/>
  <c r="Q143" i="110" s="1"/>
  <c r="P143" i="110" a="1"/>
  <c r="P143" i="110" s="1"/>
  <c r="O143" i="110" a="1"/>
  <c r="O143" i="110" s="1"/>
  <c r="N143" i="110" a="1"/>
  <c r="N143" i="110" s="1"/>
  <c r="M143" i="110" a="1"/>
  <c r="M143" i="110" s="1"/>
  <c r="L143" i="110" a="1"/>
  <c r="L143" i="110" s="1"/>
  <c r="K143" i="110" a="1"/>
  <c r="K143" i="110" s="1"/>
  <c r="J143" i="110" a="1"/>
  <c r="J143" i="110" s="1"/>
  <c r="I143" i="110" a="1"/>
  <c r="I143" i="110" s="1"/>
  <c r="H143" i="110" a="1"/>
  <c r="H143" i="110" s="1"/>
  <c r="G143" i="110" a="1"/>
  <c r="G143" i="110" s="1"/>
  <c r="F143" i="110" a="1"/>
  <c r="F143" i="110" s="1"/>
  <c r="E143" i="110" a="1"/>
  <c r="E143" i="110" s="1"/>
  <c r="D143" i="110" a="1"/>
  <c r="D143" i="110" s="1"/>
  <c r="U142" i="110" a="1"/>
  <c r="U142" i="110" s="1"/>
  <c r="T142" i="110" a="1"/>
  <c r="T142" i="110" s="1"/>
  <c r="S142" i="110" a="1"/>
  <c r="S142" i="110" s="1"/>
  <c r="R142" i="110" a="1"/>
  <c r="R142" i="110" s="1"/>
  <c r="Q142" i="110" a="1"/>
  <c r="Q142" i="110" s="1"/>
  <c r="P142" i="110" a="1"/>
  <c r="P142" i="110" s="1"/>
  <c r="O142" i="110" a="1"/>
  <c r="O142" i="110" s="1"/>
  <c r="N142" i="110" a="1"/>
  <c r="N142" i="110" s="1"/>
  <c r="M142" i="110" a="1"/>
  <c r="M142" i="110" s="1"/>
  <c r="L142" i="110" a="1"/>
  <c r="L142" i="110" s="1"/>
  <c r="K142" i="110" a="1"/>
  <c r="K142" i="110" s="1"/>
  <c r="J142" i="110" a="1"/>
  <c r="J142" i="110" s="1"/>
  <c r="I142" i="110" a="1"/>
  <c r="I142" i="110" s="1"/>
  <c r="H142" i="110" a="1"/>
  <c r="H142" i="110" s="1"/>
  <c r="G142" i="110" a="1"/>
  <c r="G142" i="110" s="1"/>
  <c r="F142" i="110" a="1"/>
  <c r="F142" i="110" s="1"/>
  <c r="E142" i="110" a="1"/>
  <c r="E142" i="110" s="1"/>
  <c r="D142" i="110" a="1"/>
  <c r="D142" i="110" s="1"/>
  <c r="U141" i="110" a="1"/>
  <c r="U141" i="110" s="1"/>
  <c r="T141" i="110" a="1"/>
  <c r="T141" i="110" s="1"/>
  <c r="S141" i="110" a="1"/>
  <c r="S141" i="110" s="1"/>
  <c r="R141" i="110" a="1"/>
  <c r="R141" i="110" s="1"/>
  <c r="Q141" i="110" a="1"/>
  <c r="Q141" i="110" s="1"/>
  <c r="P141" i="110" a="1"/>
  <c r="P141" i="110" s="1"/>
  <c r="O141" i="110" a="1"/>
  <c r="O141" i="110" s="1"/>
  <c r="N141" i="110" a="1"/>
  <c r="N141" i="110" s="1"/>
  <c r="M141" i="110" a="1"/>
  <c r="M141" i="110" s="1"/>
  <c r="L141" i="110" a="1"/>
  <c r="L141" i="110" s="1"/>
  <c r="K141" i="110" a="1"/>
  <c r="K141" i="110" s="1"/>
  <c r="J141" i="110" a="1"/>
  <c r="J141" i="110" s="1"/>
  <c r="I141" i="110" a="1"/>
  <c r="I141" i="110" s="1"/>
  <c r="H141" i="110" a="1"/>
  <c r="H141" i="110" s="1"/>
  <c r="G141" i="110" a="1"/>
  <c r="G141" i="110" s="1"/>
  <c r="F141" i="110" a="1"/>
  <c r="F141" i="110" s="1"/>
  <c r="E141" i="110" a="1"/>
  <c r="E141" i="110" s="1"/>
  <c r="D141" i="110" a="1"/>
  <c r="D141" i="110" s="1"/>
  <c r="U140" i="110" a="1"/>
  <c r="U140" i="110" s="1"/>
  <c r="T140" i="110" a="1"/>
  <c r="T140" i="110" s="1"/>
  <c r="S140" i="110" a="1"/>
  <c r="S140" i="110" s="1"/>
  <c r="R140" i="110" a="1"/>
  <c r="R140" i="110" s="1"/>
  <c r="Q140" i="110" a="1"/>
  <c r="Q140" i="110" s="1"/>
  <c r="P140" i="110" a="1"/>
  <c r="P140" i="110" s="1"/>
  <c r="O140" i="110" a="1"/>
  <c r="O140" i="110" s="1"/>
  <c r="N140" i="110" a="1"/>
  <c r="N140" i="110" s="1"/>
  <c r="M140" i="110" a="1"/>
  <c r="M140" i="110" s="1"/>
  <c r="L140" i="110" a="1"/>
  <c r="L140" i="110" s="1"/>
  <c r="K140" i="110" a="1"/>
  <c r="K140" i="110" s="1"/>
  <c r="J140" i="110" a="1"/>
  <c r="J140" i="110" s="1"/>
  <c r="I140" i="110" a="1"/>
  <c r="I140" i="110" s="1"/>
  <c r="H140" i="110" a="1"/>
  <c r="H140" i="110" s="1"/>
  <c r="G140" i="110" a="1"/>
  <c r="G140" i="110" s="1"/>
  <c r="F140" i="110" a="1"/>
  <c r="F140" i="110" s="1"/>
  <c r="E140" i="110" a="1"/>
  <c r="E140" i="110" s="1"/>
  <c r="D140" i="110" a="1"/>
  <c r="D140" i="110" s="1"/>
  <c r="U139" i="110" a="1"/>
  <c r="U139" i="110" s="1"/>
  <c r="T139" i="110" a="1"/>
  <c r="T139" i="110" s="1"/>
  <c r="S139" i="110" a="1"/>
  <c r="S139" i="110" s="1"/>
  <c r="R139" i="110" a="1"/>
  <c r="R139" i="110" s="1"/>
  <c r="Q139" i="110" a="1"/>
  <c r="Q139" i="110" s="1"/>
  <c r="P139" i="110" a="1"/>
  <c r="P139" i="110" s="1"/>
  <c r="O139" i="110" a="1"/>
  <c r="O139" i="110" s="1"/>
  <c r="N139" i="110" a="1"/>
  <c r="N139" i="110" s="1"/>
  <c r="M139" i="110" a="1"/>
  <c r="M139" i="110" s="1"/>
  <c r="L139" i="110" a="1"/>
  <c r="L139" i="110" s="1"/>
  <c r="K139" i="110" a="1"/>
  <c r="K139" i="110" s="1"/>
  <c r="J139" i="110" a="1"/>
  <c r="J139" i="110" s="1"/>
  <c r="I139" i="110" a="1"/>
  <c r="I139" i="110" s="1"/>
  <c r="H139" i="110" a="1"/>
  <c r="H139" i="110" s="1"/>
  <c r="G139" i="110" a="1"/>
  <c r="G139" i="110" s="1"/>
  <c r="F139" i="110" a="1"/>
  <c r="F139" i="110" s="1"/>
  <c r="E139" i="110" a="1"/>
  <c r="E139" i="110" s="1"/>
  <c r="D139" i="110" a="1"/>
  <c r="D139" i="110" s="1"/>
  <c r="U138" i="110" a="1"/>
  <c r="U138" i="110" s="1"/>
  <c r="T138" i="110" a="1"/>
  <c r="T138" i="110" s="1"/>
  <c r="S138" i="110" a="1"/>
  <c r="S138" i="110" s="1"/>
  <c r="R138" i="110" a="1"/>
  <c r="R138" i="110" s="1"/>
  <c r="Q138" i="110" a="1"/>
  <c r="Q138" i="110" s="1"/>
  <c r="P138" i="110" a="1"/>
  <c r="P138" i="110" s="1"/>
  <c r="O138" i="110" a="1"/>
  <c r="O138" i="110" s="1"/>
  <c r="N138" i="110" a="1"/>
  <c r="N138" i="110" s="1"/>
  <c r="M138" i="110" a="1"/>
  <c r="M138" i="110" s="1"/>
  <c r="L138" i="110" a="1"/>
  <c r="L138" i="110" s="1"/>
  <c r="K138" i="110" a="1"/>
  <c r="K138" i="110" s="1"/>
  <c r="J138" i="110" a="1"/>
  <c r="J138" i="110" s="1"/>
  <c r="I138" i="110" a="1"/>
  <c r="I138" i="110" s="1"/>
  <c r="H138" i="110" a="1"/>
  <c r="H138" i="110" s="1"/>
  <c r="G138" i="110" a="1"/>
  <c r="G138" i="110" s="1"/>
  <c r="F138" i="110" a="1"/>
  <c r="F138" i="110" s="1"/>
  <c r="E138" i="110" a="1"/>
  <c r="E138" i="110" s="1"/>
  <c r="D138" i="110" a="1"/>
  <c r="D138" i="110" s="1"/>
  <c r="U137" i="110" a="1"/>
  <c r="U137" i="110" s="1"/>
  <c r="T137" i="110" a="1"/>
  <c r="T137" i="110" s="1"/>
  <c r="S137" i="110" a="1"/>
  <c r="S137" i="110" s="1"/>
  <c r="R137" i="110" a="1"/>
  <c r="R137" i="110" s="1"/>
  <c r="Q137" i="110" a="1"/>
  <c r="Q137" i="110" s="1"/>
  <c r="P137" i="110" a="1"/>
  <c r="P137" i="110" s="1"/>
  <c r="O137" i="110" a="1"/>
  <c r="O137" i="110" s="1"/>
  <c r="N137" i="110" a="1"/>
  <c r="N137" i="110" s="1"/>
  <c r="M137" i="110" a="1"/>
  <c r="M137" i="110" s="1"/>
  <c r="L137" i="110" a="1"/>
  <c r="L137" i="110" s="1"/>
  <c r="K137" i="110" a="1"/>
  <c r="K137" i="110" s="1"/>
  <c r="J137" i="110" a="1"/>
  <c r="J137" i="110" s="1"/>
  <c r="I137" i="110" a="1"/>
  <c r="I137" i="110" s="1"/>
  <c r="H137" i="110" a="1"/>
  <c r="H137" i="110" s="1"/>
  <c r="G137" i="110" a="1"/>
  <c r="G137" i="110" s="1"/>
  <c r="F137" i="110" a="1"/>
  <c r="F137" i="110" s="1"/>
  <c r="E137" i="110" a="1"/>
  <c r="E137" i="110" s="1"/>
  <c r="D137" i="110" a="1"/>
  <c r="D137" i="110" s="1"/>
  <c r="U136" i="110" a="1"/>
  <c r="U136" i="110" s="1"/>
  <c r="T136" i="110" a="1"/>
  <c r="T136" i="110" s="1"/>
  <c r="S136" i="110" a="1"/>
  <c r="S136" i="110" s="1"/>
  <c r="R136" i="110" a="1"/>
  <c r="R136" i="110" s="1"/>
  <c r="Q136" i="110" a="1"/>
  <c r="Q136" i="110" s="1"/>
  <c r="P136" i="110" a="1"/>
  <c r="P136" i="110" s="1"/>
  <c r="O136" i="110" a="1"/>
  <c r="O136" i="110" s="1"/>
  <c r="N136" i="110" a="1"/>
  <c r="N136" i="110" s="1"/>
  <c r="M136" i="110" a="1"/>
  <c r="M136" i="110" s="1"/>
  <c r="L136" i="110" a="1"/>
  <c r="L136" i="110" s="1"/>
  <c r="K136" i="110" a="1"/>
  <c r="K136" i="110" s="1"/>
  <c r="J136" i="110" a="1"/>
  <c r="J136" i="110" s="1"/>
  <c r="I136" i="110" a="1"/>
  <c r="I136" i="110" s="1"/>
  <c r="H136" i="110" a="1"/>
  <c r="H136" i="110" s="1"/>
  <c r="G136" i="110" a="1"/>
  <c r="G136" i="110" s="1"/>
  <c r="F136" i="110" a="1"/>
  <c r="F136" i="110" s="1"/>
  <c r="E136" i="110" a="1"/>
  <c r="E136" i="110" s="1"/>
  <c r="D136" i="110" a="1"/>
  <c r="D136" i="110" s="1"/>
  <c r="U135" i="110" a="1"/>
  <c r="U135" i="110" s="1"/>
  <c r="T135" i="110" a="1"/>
  <c r="T135" i="110" s="1"/>
  <c r="S135" i="110" a="1"/>
  <c r="S135" i="110" s="1"/>
  <c r="R135" i="110" a="1"/>
  <c r="R135" i="110" s="1"/>
  <c r="Q135" i="110" a="1"/>
  <c r="Q135" i="110" s="1"/>
  <c r="P135" i="110" a="1"/>
  <c r="P135" i="110" s="1"/>
  <c r="O135" i="110" a="1"/>
  <c r="O135" i="110" s="1"/>
  <c r="N135" i="110" a="1"/>
  <c r="N135" i="110" s="1"/>
  <c r="M135" i="110" a="1"/>
  <c r="M135" i="110" s="1"/>
  <c r="L135" i="110" a="1"/>
  <c r="L135" i="110" s="1"/>
  <c r="K135" i="110" a="1"/>
  <c r="K135" i="110" s="1"/>
  <c r="J135" i="110" a="1"/>
  <c r="J135" i="110" s="1"/>
  <c r="I135" i="110" a="1"/>
  <c r="I135" i="110" s="1"/>
  <c r="H135" i="110" a="1"/>
  <c r="H135" i="110" s="1"/>
  <c r="G135" i="110" a="1"/>
  <c r="G135" i="110" s="1"/>
  <c r="F135" i="110" a="1"/>
  <c r="F135" i="110" s="1"/>
  <c r="E135" i="110" a="1"/>
  <c r="E135" i="110" s="1"/>
  <c r="D135" i="110" a="1"/>
  <c r="D135" i="110" s="1"/>
  <c r="U134" i="110" a="1"/>
  <c r="U134" i="110" s="1"/>
  <c r="T134" i="110" a="1"/>
  <c r="T134" i="110" s="1"/>
  <c r="S134" i="110" a="1"/>
  <c r="S134" i="110" s="1"/>
  <c r="R134" i="110" a="1"/>
  <c r="R134" i="110" s="1"/>
  <c r="Q134" i="110" a="1"/>
  <c r="Q134" i="110" s="1"/>
  <c r="P134" i="110" a="1"/>
  <c r="P134" i="110" s="1"/>
  <c r="O134" i="110" a="1"/>
  <c r="O134" i="110" s="1"/>
  <c r="N134" i="110" a="1"/>
  <c r="N134" i="110" s="1"/>
  <c r="M134" i="110" a="1"/>
  <c r="M134" i="110" s="1"/>
  <c r="L134" i="110" a="1"/>
  <c r="L134" i="110" s="1"/>
  <c r="K134" i="110" a="1"/>
  <c r="K134" i="110" s="1"/>
  <c r="J134" i="110" a="1"/>
  <c r="J134" i="110" s="1"/>
  <c r="I134" i="110" a="1"/>
  <c r="I134" i="110" s="1"/>
  <c r="H134" i="110" a="1"/>
  <c r="H134" i="110" s="1"/>
  <c r="G134" i="110" a="1"/>
  <c r="G134" i="110" s="1"/>
  <c r="F134" i="110" a="1"/>
  <c r="F134" i="110" s="1"/>
  <c r="E134" i="110" a="1"/>
  <c r="E134" i="110" s="1"/>
  <c r="D134" i="110" a="1"/>
  <c r="D134" i="110" s="1"/>
  <c r="U133" i="110" a="1"/>
  <c r="U133" i="110" s="1"/>
  <c r="T133" i="110" a="1"/>
  <c r="T133" i="110" s="1"/>
  <c r="S133" i="110" a="1"/>
  <c r="S133" i="110" s="1"/>
  <c r="R133" i="110" a="1"/>
  <c r="R133" i="110" s="1"/>
  <c r="Q133" i="110" a="1"/>
  <c r="Q133" i="110" s="1"/>
  <c r="P133" i="110" a="1"/>
  <c r="P133" i="110" s="1"/>
  <c r="O133" i="110" a="1"/>
  <c r="O133" i="110" s="1"/>
  <c r="N133" i="110" a="1"/>
  <c r="N133" i="110" s="1"/>
  <c r="M133" i="110" a="1"/>
  <c r="M133" i="110" s="1"/>
  <c r="L133" i="110" a="1"/>
  <c r="L133" i="110" s="1"/>
  <c r="K133" i="110" a="1"/>
  <c r="K133" i="110" s="1"/>
  <c r="J133" i="110" a="1"/>
  <c r="J133" i="110" s="1"/>
  <c r="I133" i="110" a="1"/>
  <c r="I133" i="110" s="1"/>
  <c r="H133" i="110" a="1"/>
  <c r="H133" i="110" s="1"/>
  <c r="G133" i="110" a="1"/>
  <c r="G133" i="110" s="1"/>
  <c r="F133" i="110" a="1"/>
  <c r="F133" i="110" s="1"/>
  <c r="E133" i="110" a="1"/>
  <c r="E133" i="110" s="1"/>
  <c r="D133" i="110" a="1"/>
  <c r="D133" i="110" s="1"/>
  <c r="U132" i="110" a="1"/>
  <c r="U132" i="110" s="1"/>
  <c r="T132" i="110" a="1"/>
  <c r="T132" i="110" s="1"/>
  <c r="S132" i="110" a="1"/>
  <c r="S132" i="110" s="1"/>
  <c r="R132" i="110" a="1"/>
  <c r="R132" i="110" s="1"/>
  <c r="Q132" i="110" a="1"/>
  <c r="Q132" i="110" s="1"/>
  <c r="P132" i="110" a="1"/>
  <c r="P132" i="110" s="1"/>
  <c r="O132" i="110" a="1"/>
  <c r="O132" i="110" s="1"/>
  <c r="N132" i="110" a="1"/>
  <c r="N132" i="110" s="1"/>
  <c r="M132" i="110" a="1"/>
  <c r="M132" i="110" s="1"/>
  <c r="L132" i="110" a="1"/>
  <c r="L132" i="110" s="1"/>
  <c r="K132" i="110" a="1"/>
  <c r="K132" i="110" s="1"/>
  <c r="J132" i="110" a="1"/>
  <c r="J132" i="110" s="1"/>
  <c r="I132" i="110" a="1"/>
  <c r="I132" i="110" s="1"/>
  <c r="H132" i="110" a="1"/>
  <c r="H132" i="110" s="1"/>
  <c r="G132" i="110" a="1"/>
  <c r="G132" i="110" s="1"/>
  <c r="F132" i="110" a="1"/>
  <c r="F132" i="110" s="1"/>
  <c r="E132" i="110" a="1"/>
  <c r="E132" i="110" s="1"/>
  <c r="D132" i="110" a="1"/>
  <c r="D132" i="110" s="1"/>
  <c r="U131" i="110" a="1"/>
  <c r="U131" i="110" s="1"/>
  <c r="T131" i="110" a="1"/>
  <c r="T131" i="110" s="1"/>
  <c r="S131" i="110" a="1"/>
  <c r="S131" i="110" s="1"/>
  <c r="R131" i="110" a="1"/>
  <c r="R131" i="110" s="1"/>
  <c r="Q131" i="110" a="1"/>
  <c r="Q131" i="110" s="1"/>
  <c r="P131" i="110" a="1"/>
  <c r="P131" i="110" s="1"/>
  <c r="O131" i="110" a="1"/>
  <c r="O131" i="110" s="1"/>
  <c r="N131" i="110" a="1"/>
  <c r="N131" i="110" s="1"/>
  <c r="M131" i="110" a="1"/>
  <c r="M131" i="110" s="1"/>
  <c r="L131" i="110" a="1"/>
  <c r="L131" i="110" s="1"/>
  <c r="K131" i="110" a="1"/>
  <c r="K131" i="110" s="1"/>
  <c r="J131" i="110" a="1"/>
  <c r="J131" i="110" s="1"/>
  <c r="I131" i="110" a="1"/>
  <c r="I131" i="110" s="1"/>
  <c r="H131" i="110" a="1"/>
  <c r="H131" i="110" s="1"/>
  <c r="G131" i="110" a="1"/>
  <c r="G131" i="110" s="1"/>
  <c r="F131" i="110" a="1"/>
  <c r="F131" i="110" s="1"/>
  <c r="E131" i="110" a="1"/>
  <c r="E131" i="110" s="1"/>
  <c r="D131" i="110" a="1"/>
  <c r="D131" i="110" s="1"/>
  <c r="U130" i="110" a="1"/>
  <c r="U130" i="110" s="1"/>
  <c r="T130" i="110" a="1"/>
  <c r="T130" i="110" s="1"/>
  <c r="S130" i="110" a="1"/>
  <c r="S130" i="110" s="1"/>
  <c r="R130" i="110" a="1"/>
  <c r="R130" i="110" s="1"/>
  <c r="Q130" i="110" a="1"/>
  <c r="Q130" i="110" s="1"/>
  <c r="P130" i="110" a="1"/>
  <c r="P130" i="110" s="1"/>
  <c r="O130" i="110" a="1"/>
  <c r="O130" i="110" s="1"/>
  <c r="N130" i="110" a="1"/>
  <c r="N130" i="110" s="1"/>
  <c r="M130" i="110" a="1"/>
  <c r="M130" i="110" s="1"/>
  <c r="L130" i="110" a="1"/>
  <c r="L130" i="110" s="1"/>
  <c r="K130" i="110" a="1"/>
  <c r="K130" i="110" s="1"/>
  <c r="J130" i="110" a="1"/>
  <c r="J130" i="110" s="1"/>
  <c r="I130" i="110" a="1"/>
  <c r="I130" i="110" s="1"/>
  <c r="H130" i="110" a="1"/>
  <c r="H130" i="110" s="1"/>
  <c r="G130" i="110" a="1"/>
  <c r="G130" i="110" s="1"/>
  <c r="F130" i="110" a="1"/>
  <c r="F130" i="110" s="1"/>
  <c r="E130" i="110" a="1"/>
  <c r="E130" i="110" s="1"/>
  <c r="D130" i="110" a="1"/>
  <c r="D130" i="110" s="1"/>
  <c r="U129" i="110" a="1"/>
  <c r="U129" i="110" s="1"/>
  <c r="T129" i="110" a="1"/>
  <c r="T129" i="110" s="1"/>
  <c r="S129" i="110" a="1"/>
  <c r="S129" i="110" s="1"/>
  <c r="R129" i="110" a="1"/>
  <c r="R129" i="110" s="1"/>
  <c r="Q129" i="110" a="1"/>
  <c r="Q129" i="110" s="1"/>
  <c r="P129" i="110" a="1"/>
  <c r="P129" i="110" s="1"/>
  <c r="O129" i="110" a="1"/>
  <c r="O129" i="110" s="1"/>
  <c r="N129" i="110" a="1"/>
  <c r="N129" i="110" s="1"/>
  <c r="M129" i="110" a="1"/>
  <c r="M129" i="110" s="1"/>
  <c r="L129" i="110" a="1"/>
  <c r="L129" i="110" s="1"/>
  <c r="K129" i="110" a="1"/>
  <c r="K129" i="110" s="1"/>
  <c r="J129" i="110" a="1"/>
  <c r="J129" i="110" s="1"/>
  <c r="I129" i="110" a="1"/>
  <c r="I129" i="110" s="1"/>
  <c r="H129" i="110" a="1"/>
  <c r="H129" i="110" s="1"/>
  <c r="G129" i="110" a="1"/>
  <c r="G129" i="110" s="1"/>
  <c r="F129" i="110" a="1"/>
  <c r="F129" i="110" s="1"/>
  <c r="E129" i="110" a="1"/>
  <c r="E129" i="110" s="1"/>
  <c r="D129" i="110" a="1"/>
  <c r="D129" i="110" s="1"/>
  <c r="U128" i="110" a="1"/>
  <c r="U128" i="110" s="1"/>
  <c r="T128" i="110" a="1"/>
  <c r="T128" i="110" s="1"/>
  <c r="S128" i="110" a="1"/>
  <c r="S128" i="110" s="1"/>
  <c r="R128" i="110" a="1"/>
  <c r="R128" i="110" s="1"/>
  <c r="Q128" i="110" a="1"/>
  <c r="Q128" i="110" s="1"/>
  <c r="P128" i="110" a="1"/>
  <c r="P128" i="110" s="1"/>
  <c r="O128" i="110" a="1"/>
  <c r="O128" i="110" s="1"/>
  <c r="N128" i="110" a="1"/>
  <c r="N128" i="110" s="1"/>
  <c r="M128" i="110" a="1"/>
  <c r="M128" i="110" s="1"/>
  <c r="L128" i="110" a="1"/>
  <c r="L128" i="110" s="1"/>
  <c r="K128" i="110" a="1"/>
  <c r="K128" i="110" s="1"/>
  <c r="J128" i="110" a="1"/>
  <c r="J128" i="110" s="1"/>
  <c r="I128" i="110" a="1"/>
  <c r="I128" i="110" s="1"/>
  <c r="H128" i="110" a="1"/>
  <c r="H128" i="110" s="1"/>
  <c r="G128" i="110" a="1"/>
  <c r="G128" i="110" s="1"/>
  <c r="F128" i="110" a="1"/>
  <c r="F128" i="110" s="1"/>
  <c r="E128" i="110" a="1"/>
  <c r="E128" i="110" s="1"/>
  <c r="D128" i="110" a="1"/>
  <c r="D128" i="110" s="1"/>
  <c r="U127" i="110" a="1"/>
  <c r="U127" i="110" s="1"/>
  <c r="T127" i="110" a="1"/>
  <c r="T127" i="110" s="1"/>
  <c r="S127" i="110" a="1"/>
  <c r="S127" i="110" s="1"/>
  <c r="R127" i="110" a="1"/>
  <c r="R127" i="110" s="1"/>
  <c r="Q127" i="110" a="1"/>
  <c r="Q127" i="110" s="1"/>
  <c r="P127" i="110" a="1"/>
  <c r="P127" i="110" s="1"/>
  <c r="O127" i="110" a="1"/>
  <c r="O127" i="110" s="1"/>
  <c r="N127" i="110" a="1"/>
  <c r="N127" i="110" s="1"/>
  <c r="M127" i="110" a="1"/>
  <c r="M127" i="110" s="1"/>
  <c r="L127" i="110" a="1"/>
  <c r="L127" i="110" s="1"/>
  <c r="K127" i="110" a="1"/>
  <c r="K127" i="110" s="1"/>
  <c r="J127" i="110" a="1"/>
  <c r="J127" i="110" s="1"/>
  <c r="I127" i="110" a="1"/>
  <c r="I127" i="110" s="1"/>
  <c r="H127" i="110" a="1"/>
  <c r="H127" i="110" s="1"/>
  <c r="G127" i="110" a="1"/>
  <c r="G127" i="110" s="1"/>
  <c r="F127" i="110" a="1"/>
  <c r="F127" i="110" s="1"/>
  <c r="E127" i="110" a="1"/>
  <c r="E127" i="110" s="1"/>
  <c r="D127" i="110" a="1"/>
  <c r="D127" i="110" s="1"/>
  <c r="U126" i="110" a="1"/>
  <c r="U126" i="110" s="1"/>
  <c r="T126" i="110" a="1"/>
  <c r="T126" i="110" s="1"/>
  <c r="S126" i="110" a="1"/>
  <c r="S126" i="110" s="1"/>
  <c r="R126" i="110" a="1"/>
  <c r="R126" i="110" s="1"/>
  <c r="Q126" i="110" a="1"/>
  <c r="Q126" i="110" s="1"/>
  <c r="P126" i="110" a="1"/>
  <c r="P126" i="110" s="1"/>
  <c r="O126" i="110" a="1"/>
  <c r="O126" i="110" s="1"/>
  <c r="N126" i="110" a="1"/>
  <c r="N126" i="110" s="1"/>
  <c r="M126" i="110" a="1"/>
  <c r="M126" i="110" s="1"/>
  <c r="L126" i="110" a="1"/>
  <c r="L126" i="110" s="1"/>
  <c r="K126" i="110" a="1"/>
  <c r="K126" i="110" s="1"/>
  <c r="J126" i="110" a="1"/>
  <c r="J126" i="110" s="1"/>
  <c r="I126" i="110" a="1"/>
  <c r="I126" i="110" s="1"/>
  <c r="H126" i="110" a="1"/>
  <c r="H126" i="110" s="1"/>
  <c r="G126" i="110" a="1"/>
  <c r="G126" i="110" s="1"/>
  <c r="F126" i="110" a="1"/>
  <c r="F126" i="110" s="1"/>
  <c r="E126" i="110" a="1"/>
  <c r="E126" i="110" s="1"/>
  <c r="D126" i="110" a="1"/>
  <c r="D126" i="110" s="1"/>
  <c r="U125" i="110" a="1"/>
  <c r="U125" i="110" s="1"/>
  <c r="T125" i="110" a="1"/>
  <c r="T125" i="110" s="1"/>
  <c r="S125" i="110" a="1"/>
  <c r="S125" i="110" s="1"/>
  <c r="R125" i="110" a="1"/>
  <c r="R125" i="110" s="1"/>
  <c r="Q125" i="110" a="1"/>
  <c r="Q125" i="110" s="1"/>
  <c r="P125" i="110" a="1"/>
  <c r="P125" i="110" s="1"/>
  <c r="O125" i="110" a="1"/>
  <c r="O125" i="110" s="1"/>
  <c r="N125" i="110" a="1"/>
  <c r="N125" i="110" s="1"/>
  <c r="M125" i="110" a="1"/>
  <c r="M125" i="110" s="1"/>
  <c r="L125" i="110" a="1"/>
  <c r="L125" i="110" s="1"/>
  <c r="K125" i="110" a="1"/>
  <c r="K125" i="110" s="1"/>
  <c r="J125" i="110" a="1"/>
  <c r="J125" i="110" s="1"/>
  <c r="I125" i="110" a="1"/>
  <c r="I125" i="110" s="1"/>
  <c r="H125" i="110" a="1"/>
  <c r="H125" i="110" s="1"/>
  <c r="G125" i="110" a="1"/>
  <c r="G125" i="110" s="1"/>
  <c r="F125" i="110" a="1"/>
  <c r="F125" i="110" s="1"/>
  <c r="E125" i="110" a="1"/>
  <c r="E125" i="110" s="1"/>
  <c r="D125" i="110" a="1"/>
  <c r="D125" i="110" s="1"/>
  <c r="U124" i="110" a="1"/>
  <c r="U124" i="110" s="1"/>
  <c r="T124" i="110" a="1"/>
  <c r="T124" i="110" s="1"/>
  <c r="S124" i="110" a="1"/>
  <c r="S124" i="110" s="1"/>
  <c r="R124" i="110" a="1"/>
  <c r="R124" i="110" s="1"/>
  <c r="Q124" i="110" a="1"/>
  <c r="Q124" i="110" s="1"/>
  <c r="P124" i="110" a="1"/>
  <c r="P124" i="110" s="1"/>
  <c r="O124" i="110" a="1"/>
  <c r="O124" i="110" s="1"/>
  <c r="N124" i="110" a="1"/>
  <c r="N124" i="110" s="1"/>
  <c r="M124" i="110" a="1"/>
  <c r="M124" i="110" s="1"/>
  <c r="L124" i="110" a="1"/>
  <c r="L124" i="110" s="1"/>
  <c r="K124" i="110" a="1"/>
  <c r="K124" i="110" s="1"/>
  <c r="J124" i="110" a="1"/>
  <c r="J124" i="110" s="1"/>
  <c r="I124" i="110" a="1"/>
  <c r="I124" i="110" s="1"/>
  <c r="H124" i="110" a="1"/>
  <c r="H124" i="110" s="1"/>
  <c r="G124" i="110" a="1"/>
  <c r="G124" i="110" s="1"/>
  <c r="F124" i="110" a="1"/>
  <c r="F124" i="110" s="1"/>
  <c r="E124" i="110" a="1"/>
  <c r="E124" i="110" s="1"/>
  <c r="D124" i="110" a="1"/>
  <c r="D124" i="110" s="1"/>
  <c r="U123" i="110" a="1"/>
  <c r="U123" i="110" s="1"/>
  <c r="T123" i="110" a="1"/>
  <c r="T123" i="110" s="1"/>
  <c r="S123" i="110" a="1"/>
  <c r="S123" i="110" s="1"/>
  <c r="R123" i="110" a="1"/>
  <c r="R123" i="110" s="1"/>
  <c r="Q123" i="110" a="1"/>
  <c r="Q123" i="110" s="1"/>
  <c r="P123" i="110" a="1"/>
  <c r="P123" i="110" s="1"/>
  <c r="O123" i="110" a="1"/>
  <c r="O123" i="110" s="1"/>
  <c r="N123" i="110" a="1"/>
  <c r="N123" i="110" s="1"/>
  <c r="M123" i="110" a="1"/>
  <c r="M123" i="110" s="1"/>
  <c r="L123" i="110" a="1"/>
  <c r="L123" i="110" s="1"/>
  <c r="K123" i="110" a="1"/>
  <c r="K123" i="110" s="1"/>
  <c r="J123" i="110" a="1"/>
  <c r="J123" i="110" s="1"/>
  <c r="I123" i="110" a="1"/>
  <c r="I123" i="110" s="1"/>
  <c r="H123" i="110" a="1"/>
  <c r="H123" i="110" s="1"/>
  <c r="G123" i="110" a="1"/>
  <c r="G123" i="110" s="1"/>
  <c r="F123" i="110" a="1"/>
  <c r="F123" i="110" s="1"/>
  <c r="E123" i="110" a="1"/>
  <c r="E123" i="110" s="1"/>
  <c r="D123" i="110" a="1"/>
  <c r="D123" i="110" s="1"/>
  <c r="U122" i="110" a="1"/>
  <c r="U122" i="110" s="1"/>
  <c r="T122" i="110" a="1"/>
  <c r="T122" i="110" s="1"/>
  <c r="S122" i="110" a="1"/>
  <c r="S122" i="110" s="1"/>
  <c r="R122" i="110" a="1"/>
  <c r="R122" i="110" s="1"/>
  <c r="Q122" i="110" a="1"/>
  <c r="Q122" i="110" s="1"/>
  <c r="P122" i="110" a="1"/>
  <c r="P122" i="110" s="1"/>
  <c r="O122" i="110" a="1"/>
  <c r="O122" i="110" s="1"/>
  <c r="N122" i="110" a="1"/>
  <c r="N122" i="110" s="1"/>
  <c r="M122" i="110" a="1"/>
  <c r="M122" i="110" s="1"/>
  <c r="L122" i="110" a="1"/>
  <c r="L122" i="110" s="1"/>
  <c r="K122" i="110" a="1"/>
  <c r="K122" i="110" s="1"/>
  <c r="J122" i="110" a="1"/>
  <c r="J122" i="110" s="1"/>
  <c r="I122" i="110" a="1"/>
  <c r="I122" i="110" s="1"/>
  <c r="H122" i="110" a="1"/>
  <c r="H122" i="110" s="1"/>
  <c r="G122" i="110" a="1"/>
  <c r="G122" i="110" s="1"/>
  <c r="F122" i="110" a="1"/>
  <c r="F122" i="110" s="1"/>
  <c r="E122" i="110" a="1"/>
  <c r="E122" i="110" s="1"/>
  <c r="D122" i="110" a="1"/>
  <c r="D122" i="110" s="1"/>
  <c r="U121" i="110" a="1"/>
  <c r="U121" i="110" s="1"/>
  <c r="T121" i="110" a="1"/>
  <c r="T121" i="110" s="1"/>
  <c r="S121" i="110" a="1"/>
  <c r="S121" i="110" s="1"/>
  <c r="R121" i="110" a="1"/>
  <c r="R121" i="110" s="1"/>
  <c r="Q121" i="110" a="1"/>
  <c r="Q121" i="110" s="1"/>
  <c r="P121" i="110" a="1"/>
  <c r="P121" i="110" s="1"/>
  <c r="O121" i="110" a="1"/>
  <c r="O121" i="110" s="1"/>
  <c r="N121" i="110" a="1"/>
  <c r="N121" i="110" s="1"/>
  <c r="M121" i="110" a="1"/>
  <c r="M121" i="110" s="1"/>
  <c r="L121" i="110" a="1"/>
  <c r="L121" i="110" s="1"/>
  <c r="K121" i="110" a="1"/>
  <c r="K121" i="110" s="1"/>
  <c r="J121" i="110" a="1"/>
  <c r="J121" i="110" s="1"/>
  <c r="I121" i="110" a="1"/>
  <c r="I121" i="110" s="1"/>
  <c r="H121" i="110" a="1"/>
  <c r="H121" i="110" s="1"/>
  <c r="G121" i="110" a="1"/>
  <c r="G121" i="110" s="1"/>
  <c r="F121" i="110" a="1"/>
  <c r="F121" i="110" s="1"/>
  <c r="E121" i="110" a="1"/>
  <c r="E121" i="110" s="1"/>
  <c r="D121" i="110" a="1"/>
  <c r="D121" i="110" s="1"/>
  <c r="U120" i="110" a="1"/>
  <c r="U120" i="110" s="1"/>
  <c r="T120" i="110" a="1"/>
  <c r="T120" i="110" s="1"/>
  <c r="S120" i="110" a="1"/>
  <c r="S120" i="110" s="1"/>
  <c r="R120" i="110" a="1"/>
  <c r="R120" i="110" s="1"/>
  <c r="Q120" i="110" a="1"/>
  <c r="Q120" i="110" s="1"/>
  <c r="P120" i="110" a="1"/>
  <c r="P120" i="110" s="1"/>
  <c r="O120" i="110" a="1"/>
  <c r="O120" i="110" s="1"/>
  <c r="N120" i="110" a="1"/>
  <c r="N120" i="110" s="1"/>
  <c r="M120" i="110" a="1"/>
  <c r="M120" i="110" s="1"/>
  <c r="L120" i="110" a="1"/>
  <c r="L120" i="110" s="1"/>
  <c r="K120" i="110" a="1"/>
  <c r="K120" i="110" s="1"/>
  <c r="J120" i="110" a="1"/>
  <c r="J120" i="110" s="1"/>
  <c r="I120" i="110" a="1"/>
  <c r="I120" i="110" s="1"/>
  <c r="H120" i="110" a="1"/>
  <c r="H120" i="110" s="1"/>
  <c r="G120" i="110" a="1"/>
  <c r="G120" i="110" s="1"/>
  <c r="F120" i="110" a="1"/>
  <c r="F120" i="110" s="1"/>
  <c r="E120" i="110" a="1"/>
  <c r="E120" i="110" s="1"/>
  <c r="D120" i="110" a="1"/>
  <c r="D120" i="110" s="1"/>
  <c r="U119" i="110" a="1"/>
  <c r="U119" i="110" s="1"/>
  <c r="T119" i="110" a="1"/>
  <c r="T119" i="110" s="1"/>
  <c r="S119" i="110" a="1"/>
  <c r="S119" i="110" s="1"/>
  <c r="R119" i="110" a="1"/>
  <c r="R119" i="110" s="1"/>
  <c r="Q119" i="110" a="1"/>
  <c r="Q119" i="110" s="1"/>
  <c r="P119" i="110" a="1"/>
  <c r="P119" i="110" s="1"/>
  <c r="O119" i="110" a="1"/>
  <c r="O119" i="110" s="1"/>
  <c r="N119" i="110" a="1"/>
  <c r="N119" i="110" s="1"/>
  <c r="M119" i="110" a="1"/>
  <c r="M119" i="110" s="1"/>
  <c r="L119" i="110" a="1"/>
  <c r="L119" i="110" s="1"/>
  <c r="K119" i="110" a="1"/>
  <c r="K119" i="110" s="1"/>
  <c r="J119" i="110" a="1"/>
  <c r="J119" i="110" s="1"/>
  <c r="I119" i="110" a="1"/>
  <c r="I119" i="110" s="1"/>
  <c r="H119" i="110" a="1"/>
  <c r="H119" i="110" s="1"/>
  <c r="G119" i="110" a="1"/>
  <c r="G119" i="110" s="1"/>
  <c r="F119" i="110" a="1"/>
  <c r="F119" i="110" s="1"/>
  <c r="E119" i="110" a="1"/>
  <c r="E119" i="110" s="1"/>
  <c r="D119" i="110" a="1"/>
  <c r="D119" i="110" s="1"/>
  <c r="U118" i="110" a="1"/>
  <c r="U118" i="110" s="1"/>
  <c r="T118" i="110" a="1"/>
  <c r="T118" i="110" s="1"/>
  <c r="S118" i="110" a="1"/>
  <c r="S118" i="110" s="1"/>
  <c r="R118" i="110" a="1"/>
  <c r="R118" i="110" s="1"/>
  <c r="Q118" i="110" a="1"/>
  <c r="Q118" i="110" s="1"/>
  <c r="P118" i="110" a="1"/>
  <c r="P118" i="110" s="1"/>
  <c r="O118" i="110" a="1"/>
  <c r="O118" i="110" s="1"/>
  <c r="N118" i="110" a="1"/>
  <c r="N118" i="110" s="1"/>
  <c r="M118" i="110" a="1"/>
  <c r="M118" i="110" s="1"/>
  <c r="L118" i="110" a="1"/>
  <c r="L118" i="110" s="1"/>
  <c r="K118" i="110" a="1"/>
  <c r="K118" i="110" s="1"/>
  <c r="J118" i="110" a="1"/>
  <c r="J118" i="110" s="1"/>
  <c r="I118" i="110" a="1"/>
  <c r="I118" i="110" s="1"/>
  <c r="H118" i="110" a="1"/>
  <c r="H118" i="110" s="1"/>
  <c r="G118" i="110" a="1"/>
  <c r="G118" i="110" s="1"/>
  <c r="F118" i="110" a="1"/>
  <c r="F118" i="110" s="1"/>
  <c r="E118" i="110" a="1"/>
  <c r="E118" i="110" s="1"/>
  <c r="D118" i="110" a="1"/>
  <c r="D118" i="110" s="1"/>
  <c r="U117" i="110" a="1"/>
  <c r="U117" i="110" s="1"/>
  <c r="T117" i="110" a="1"/>
  <c r="T117" i="110" s="1"/>
  <c r="S117" i="110" a="1"/>
  <c r="S117" i="110" s="1"/>
  <c r="R117" i="110" a="1"/>
  <c r="R117" i="110" s="1"/>
  <c r="Q117" i="110" a="1"/>
  <c r="Q117" i="110" s="1"/>
  <c r="P117" i="110" a="1"/>
  <c r="P117" i="110" s="1"/>
  <c r="O117" i="110" a="1"/>
  <c r="O117" i="110" s="1"/>
  <c r="N117" i="110" a="1"/>
  <c r="N117" i="110" s="1"/>
  <c r="M117" i="110" a="1"/>
  <c r="M117" i="110" s="1"/>
  <c r="L117" i="110" a="1"/>
  <c r="L117" i="110" s="1"/>
  <c r="K117" i="110" a="1"/>
  <c r="K117" i="110" s="1"/>
  <c r="J117" i="110" a="1"/>
  <c r="J117" i="110" s="1"/>
  <c r="I117" i="110" a="1"/>
  <c r="I117" i="110" s="1"/>
  <c r="H117" i="110" a="1"/>
  <c r="H117" i="110" s="1"/>
  <c r="G117" i="110" a="1"/>
  <c r="G117" i="110" s="1"/>
  <c r="F117" i="110" a="1"/>
  <c r="F117" i="110" s="1"/>
  <c r="E117" i="110" a="1"/>
  <c r="E117" i="110" s="1"/>
  <c r="D117" i="110" a="1"/>
  <c r="D117" i="110" s="1"/>
  <c r="U116" i="110" a="1"/>
  <c r="U116" i="110" s="1"/>
  <c r="T116" i="110" a="1"/>
  <c r="T116" i="110" s="1"/>
  <c r="S116" i="110" a="1"/>
  <c r="S116" i="110" s="1"/>
  <c r="R116" i="110" a="1"/>
  <c r="R116" i="110" s="1"/>
  <c r="Q116" i="110" a="1"/>
  <c r="Q116" i="110" s="1"/>
  <c r="P116" i="110" a="1"/>
  <c r="P116" i="110" s="1"/>
  <c r="O116" i="110" a="1"/>
  <c r="O116" i="110" s="1"/>
  <c r="N116" i="110" a="1"/>
  <c r="N116" i="110" s="1"/>
  <c r="M116" i="110" a="1"/>
  <c r="M116" i="110" s="1"/>
  <c r="L116" i="110" a="1"/>
  <c r="L116" i="110" s="1"/>
  <c r="K116" i="110" a="1"/>
  <c r="K116" i="110" s="1"/>
  <c r="J116" i="110" a="1"/>
  <c r="J116" i="110" s="1"/>
  <c r="I116" i="110" a="1"/>
  <c r="I116" i="110" s="1"/>
  <c r="H116" i="110" a="1"/>
  <c r="H116" i="110" s="1"/>
  <c r="G116" i="110" a="1"/>
  <c r="G116" i="110" s="1"/>
  <c r="F116" i="110" a="1"/>
  <c r="F116" i="110" s="1"/>
  <c r="E116" i="110" a="1"/>
  <c r="E116" i="110" s="1"/>
  <c r="D116" i="110" a="1"/>
  <c r="D116" i="110" s="1"/>
  <c r="U115" i="110" a="1"/>
  <c r="U115" i="110" s="1"/>
  <c r="T115" i="110" a="1"/>
  <c r="T115" i="110" s="1"/>
  <c r="S115" i="110" a="1"/>
  <c r="S115" i="110" s="1"/>
  <c r="R115" i="110" a="1"/>
  <c r="R115" i="110" s="1"/>
  <c r="Q115" i="110" a="1"/>
  <c r="Q115" i="110" s="1"/>
  <c r="P115" i="110" a="1"/>
  <c r="P115" i="110" s="1"/>
  <c r="O115" i="110" a="1"/>
  <c r="O115" i="110" s="1"/>
  <c r="N115" i="110" a="1"/>
  <c r="N115" i="110" s="1"/>
  <c r="M115" i="110" a="1"/>
  <c r="M115" i="110" s="1"/>
  <c r="L115" i="110" a="1"/>
  <c r="L115" i="110" s="1"/>
  <c r="K115" i="110" a="1"/>
  <c r="K115" i="110" s="1"/>
  <c r="J115" i="110" a="1"/>
  <c r="J115" i="110" s="1"/>
  <c r="I115" i="110" a="1"/>
  <c r="I115" i="110" s="1"/>
  <c r="H115" i="110" a="1"/>
  <c r="H115" i="110" s="1"/>
  <c r="G115" i="110" a="1"/>
  <c r="G115" i="110" s="1"/>
  <c r="F115" i="110" a="1"/>
  <c r="F115" i="110" s="1"/>
  <c r="E115" i="110" a="1"/>
  <c r="E115" i="110" s="1"/>
  <c r="D115" i="110" a="1"/>
  <c r="D115" i="110" s="1"/>
  <c r="U114" i="110" a="1"/>
  <c r="U114" i="110" s="1"/>
  <c r="T114" i="110" a="1"/>
  <c r="T114" i="110" s="1"/>
  <c r="S114" i="110" a="1"/>
  <c r="S114" i="110" s="1"/>
  <c r="R114" i="110" a="1"/>
  <c r="R114" i="110" s="1"/>
  <c r="Q114" i="110" a="1"/>
  <c r="Q114" i="110" s="1"/>
  <c r="P114" i="110" a="1"/>
  <c r="P114" i="110" s="1"/>
  <c r="O114" i="110" a="1"/>
  <c r="O114" i="110" s="1"/>
  <c r="N114" i="110" a="1"/>
  <c r="N114" i="110" s="1"/>
  <c r="M114" i="110" a="1"/>
  <c r="M114" i="110" s="1"/>
  <c r="L114" i="110" a="1"/>
  <c r="L114" i="110" s="1"/>
  <c r="K114" i="110" a="1"/>
  <c r="K114" i="110" s="1"/>
  <c r="J114" i="110" a="1"/>
  <c r="J114" i="110" s="1"/>
  <c r="I114" i="110" a="1"/>
  <c r="I114" i="110" s="1"/>
  <c r="H114" i="110" a="1"/>
  <c r="H114" i="110" s="1"/>
  <c r="G114" i="110" a="1"/>
  <c r="G114" i="110" s="1"/>
  <c r="F114" i="110" a="1"/>
  <c r="F114" i="110" s="1"/>
  <c r="E114" i="110" a="1"/>
  <c r="E114" i="110" s="1"/>
  <c r="D114" i="110" a="1"/>
  <c r="D114" i="110" s="1"/>
  <c r="U113" i="110" a="1"/>
  <c r="U113" i="110" s="1"/>
  <c r="T113" i="110" a="1"/>
  <c r="T113" i="110" s="1"/>
  <c r="S113" i="110" a="1"/>
  <c r="S113" i="110" s="1"/>
  <c r="R113" i="110" a="1"/>
  <c r="R113" i="110" s="1"/>
  <c r="Q113" i="110" a="1"/>
  <c r="Q113" i="110" s="1"/>
  <c r="P113" i="110" a="1"/>
  <c r="P113" i="110" s="1"/>
  <c r="O113" i="110" a="1"/>
  <c r="O113" i="110" s="1"/>
  <c r="N113" i="110" a="1"/>
  <c r="N113" i="110" s="1"/>
  <c r="M113" i="110" a="1"/>
  <c r="M113" i="110" s="1"/>
  <c r="L113" i="110" a="1"/>
  <c r="L113" i="110" s="1"/>
  <c r="K113" i="110" a="1"/>
  <c r="K113" i="110" s="1"/>
  <c r="J113" i="110" a="1"/>
  <c r="J113" i="110" s="1"/>
  <c r="I113" i="110" a="1"/>
  <c r="I113" i="110" s="1"/>
  <c r="H113" i="110" a="1"/>
  <c r="H113" i="110" s="1"/>
  <c r="G113" i="110" a="1"/>
  <c r="G113" i="110" s="1"/>
  <c r="F113" i="110" a="1"/>
  <c r="F113" i="110" s="1"/>
  <c r="E113" i="110" a="1"/>
  <c r="E113" i="110" s="1"/>
  <c r="D113" i="110" a="1"/>
  <c r="D113" i="110" s="1"/>
  <c r="U112" i="110" a="1"/>
  <c r="U112" i="110" s="1"/>
  <c r="T112" i="110" a="1"/>
  <c r="T112" i="110" s="1"/>
  <c r="S112" i="110" a="1"/>
  <c r="S112" i="110" s="1"/>
  <c r="R112" i="110" a="1"/>
  <c r="R112" i="110" s="1"/>
  <c r="Q112" i="110" a="1"/>
  <c r="Q112" i="110" s="1"/>
  <c r="P112" i="110" a="1"/>
  <c r="P112" i="110" s="1"/>
  <c r="O112" i="110" a="1"/>
  <c r="O112" i="110" s="1"/>
  <c r="N112" i="110" a="1"/>
  <c r="N112" i="110" s="1"/>
  <c r="M112" i="110" a="1"/>
  <c r="M112" i="110" s="1"/>
  <c r="L112" i="110" a="1"/>
  <c r="L112" i="110" s="1"/>
  <c r="K112" i="110" a="1"/>
  <c r="K112" i="110" s="1"/>
  <c r="J112" i="110" a="1"/>
  <c r="J112" i="110" s="1"/>
  <c r="I112" i="110" a="1"/>
  <c r="I112" i="110" s="1"/>
  <c r="H112" i="110" a="1"/>
  <c r="H112" i="110" s="1"/>
  <c r="G112" i="110" a="1"/>
  <c r="G112" i="110" s="1"/>
  <c r="F112" i="110" a="1"/>
  <c r="F112" i="110" s="1"/>
  <c r="E112" i="110" a="1"/>
  <c r="E112" i="110" s="1"/>
  <c r="D112" i="110" a="1"/>
  <c r="D112" i="110" s="1"/>
  <c r="U111" i="110" a="1"/>
  <c r="U111" i="110" s="1"/>
  <c r="T111" i="110" a="1"/>
  <c r="T111" i="110" s="1"/>
  <c r="S111" i="110" a="1"/>
  <c r="S111" i="110" s="1"/>
  <c r="R111" i="110" a="1"/>
  <c r="R111" i="110" s="1"/>
  <c r="Q111" i="110" a="1"/>
  <c r="Q111" i="110" s="1"/>
  <c r="P111" i="110" a="1"/>
  <c r="P111" i="110" s="1"/>
  <c r="O111" i="110" a="1"/>
  <c r="O111" i="110" s="1"/>
  <c r="N111" i="110" a="1"/>
  <c r="N111" i="110" s="1"/>
  <c r="M111" i="110" a="1"/>
  <c r="M111" i="110" s="1"/>
  <c r="L111" i="110" a="1"/>
  <c r="L111" i="110" s="1"/>
  <c r="K111" i="110" a="1"/>
  <c r="K111" i="110" s="1"/>
  <c r="J111" i="110" a="1"/>
  <c r="J111" i="110" s="1"/>
  <c r="I111" i="110" a="1"/>
  <c r="I111" i="110" s="1"/>
  <c r="H111" i="110" a="1"/>
  <c r="H111" i="110" s="1"/>
  <c r="G111" i="110" a="1"/>
  <c r="G111" i="110" s="1"/>
  <c r="F111" i="110" a="1"/>
  <c r="F111" i="110" s="1"/>
  <c r="E111" i="110" a="1"/>
  <c r="E111" i="110" s="1"/>
  <c r="D111" i="110" a="1"/>
  <c r="D111" i="110" s="1"/>
  <c r="U110" i="110" a="1"/>
  <c r="U110" i="110" s="1"/>
  <c r="T110" i="110" a="1"/>
  <c r="T110" i="110" s="1"/>
  <c r="S110" i="110" a="1"/>
  <c r="S110" i="110" s="1"/>
  <c r="R110" i="110" a="1"/>
  <c r="R110" i="110" s="1"/>
  <c r="Q110" i="110" a="1"/>
  <c r="Q110" i="110" s="1"/>
  <c r="P110" i="110" a="1"/>
  <c r="P110" i="110" s="1"/>
  <c r="O110" i="110" a="1"/>
  <c r="O110" i="110" s="1"/>
  <c r="N110" i="110" a="1"/>
  <c r="N110" i="110" s="1"/>
  <c r="M110" i="110" a="1"/>
  <c r="M110" i="110" s="1"/>
  <c r="L110" i="110" a="1"/>
  <c r="L110" i="110" s="1"/>
  <c r="K110" i="110" a="1"/>
  <c r="K110" i="110" s="1"/>
  <c r="J110" i="110" a="1"/>
  <c r="J110" i="110" s="1"/>
  <c r="I110" i="110" a="1"/>
  <c r="I110" i="110" s="1"/>
  <c r="H110" i="110" a="1"/>
  <c r="H110" i="110" s="1"/>
  <c r="G110" i="110" a="1"/>
  <c r="G110" i="110" s="1"/>
  <c r="F110" i="110" a="1"/>
  <c r="F110" i="110" s="1"/>
  <c r="E110" i="110" a="1"/>
  <c r="E110" i="110" s="1"/>
  <c r="D110" i="110" a="1"/>
  <c r="D110" i="110" s="1"/>
  <c r="U109" i="110" a="1"/>
  <c r="U109" i="110" s="1"/>
  <c r="T109" i="110" a="1"/>
  <c r="T109" i="110" s="1"/>
  <c r="S109" i="110" a="1"/>
  <c r="S109" i="110" s="1"/>
  <c r="R109" i="110" a="1"/>
  <c r="R109" i="110" s="1"/>
  <c r="Q109" i="110" a="1"/>
  <c r="Q109" i="110" s="1"/>
  <c r="P109" i="110" a="1"/>
  <c r="P109" i="110" s="1"/>
  <c r="O109" i="110" a="1"/>
  <c r="O109" i="110" s="1"/>
  <c r="N109" i="110" a="1"/>
  <c r="N109" i="110" s="1"/>
  <c r="M109" i="110" a="1"/>
  <c r="M109" i="110" s="1"/>
  <c r="L109" i="110" a="1"/>
  <c r="L109" i="110" s="1"/>
  <c r="K109" i="110" a="1"/>
  <c r="K109" i="110" s="1"/>
  <c r="J109" i="110" a="1"/>
  <c r="J109" i="110" s="1"/>
  <c r="I109" i="110" a="1"/>
  <c r="I109" i="110" s="1"/>
  <c r="H109" i="110" a="1"/>
  <c r="H109" i="110" s="1"/>
  <c r="G109" i="110" a="1"/>
  <c r="G109" i="110" s="1"/>
  <c r="F109" i="110" a="1"/>
  <c r="F109" i="110" s="1"/>
  <c r="E109" i="110" a="1"/>
  <c r="E109" i="110" s="1"/>
  <c r="D109" i="110" a="1"/>
  <c r="D109" i="110" s="1"/>
  <c r="W54" i="69"/>
  <c r="W53" i="69"/>
  <c r="W52" i="69"/>
  <c r="W49" i="69"/>
  <c r="W48" i="69"/>
  <c r="S250" i="111" a="1"/>
  <c r="S250" i="111" s="1"/>
  <c r="R250" i="111" a="1"/>
  <c r="R250" i="111" s="1"/>
  <c r="Q250" i="111" a="1"/>
  <c r="Q250" i="111" s="1"/>
  <c r="P250" i="111" a="1"/>
  <c r="P250" i="111" s="1"/>
  <c r="O250" i="111" a="1"/>
  <c r="O250" i="111" s="1"/>
  <c r="N250" i="111" a="1"/>
  <c r="N250" i="111" s="1"/>
  <c r="M250" i="111" a="1"/>
  <c r="M250" i="111" s="1"/>
  <c r="L250" i="111" a="1"/>
  <c r="L250" i="111" s="1"/>
  <c r="K250" i="111" a="1"/>
  <c r="K250" i="111" s="1"/>
  <c r="J250" i="111" a="1"/>
  <c r="J250" i="111" s="1"/>
  <c r="I250" i="111" a="1"/>
  <c r="I250" i="111" s="1"/>
  <c r="H250" i="111" a="1"/>
  <c r="H250" i="111" s="1"/>
  <c r="G250" i="111" a="1"/>
  <c r="G250" i="111" s="1"/>
  <c r="F250" i="111" a="1"/>
  <c r="F250" i="111" s="1"/>
  <c r="E250" i="111" a="1"/>
  <c r="E250" i="111" s="1"/>
  <c r="D250" i="111" a="1"/>
  <c r="D250" i="111" s="1"/>
  <c r="S249" i="111" a="1"/>
  <c r="S249" i="111" s="1"/>
  <c r="R249" i="111" a="1"/>
  <c r="R249" i="111" s="1"/>
  <c r="Q249" i="111" a="1"/>
  <c r="Q249" i="111" s="1"/>
  <c r="P249" i="111" a="1"/>
  <c r="P249" i="111" s="1"/>
  <c r="O249" i="111" a="1"/>
  <c r="O249" i="111" s="1"/>
  <c r="N249" i="111" a="1"/>
  <c r="N249" i="111" s="1"/>
  <c r="M249" i="111" a="1"/>
  <c r="M249" i="111" s="1"/>
  <c r="L249" i="111" a="1"/>
  <c r="L249" i="111" s="1"/>
  <c r="K249" i="111" a="1"/>
  <c r="K249" i="111" s="1"/>
  <c r="J249" i="111" a="1"/>
  <c r="J249" i="111" s="1"/>
  <c r="I249" i="111" a="1"/>
  <c r="I249" i="111" s="1"/>
  <c r="H249" i="111" a="1"/>
  <c r="H249" i="111" s="1"/>
  <c r="G249" i="111" a="1"/>
  <c r="G249" i="111" s="1"/>
  <c r="F249" i="111" a="1"/>
  <c r="F249" i="111" s="1"/>
  <c r="E249" i="111" a="1"/>
  <c r="E249" i="111" s="1"/>
  <c r="D249" i="111" a="1"/>
  <c r="D249" i="111" s="1"/>
  <c r="S248" i="111" a="1"/>
  <c r="S248" i="111" s="1"/>
  <c r="R248" i="111" a="1"/>
  <c r="R248" i="111" s="1"/>
  <c r="Q248" i="111" a="1"/>
  <c r="Q248" i="111" s="1"/>
  <c r="P248" i="111" a="1"/>
  <c r="P248" i="111" s="1"/>
  <c r="O248" i="111" a="1"/>
  <c r="O248" i="111" s="1"/>
  <c r="N248" i="111" a="1"/>
  <c r="N248" i="111" s="1"/>
  <c r="M248" i="111" a="1"/>
  <c r="M248" i="111" s="1"/>
  <c r="L248" i="111" a="1"/>
  <c r="L248" i="111" s="1"/>
  <c r="K248" i="111" a="1"/>
  <c r="K248" i="111" s="1"/>
  <c r="J248" i="111" a="1"/>
  <c r="J248" i="111" s="1"/>
  <c r="I248" i="111" a="1"/>
  <c r="I248" i="111" s="1"/>
  <c r="H248" i="111" a="1"/>
  <c r="H248" i="111" s="1"/>
  <c r="G248" i="111" a="1"/>
  <c r="G248" i="111" s="1"/>
  <c r="F248" i="111" a="1"/>
  <c r="F248" i="111" s="1"/>
  <c r="E248" i="111" a="1"/>
  <c r="E248" i="111" s="1"/>
  <c r="D248" i="111" a="1"/>
  <c r="D248" i="111" s="1"/>
  <c r="S247" i="111" a="1"/>
  <c r="S247" i="111" s="1"/>
  <c r="R247" i="111" a="1"/>
  <c r="R247" i="111" s="1"/>
  <c r="Q247" i="111" a="1"/>
  <c r="Q247" i="111" s="1"/>
  <c r="P247" i="111" a="1"/>
  <c r="P247" i="111" s="1"/>
  <c r="O247" i="111" a="1"/>
  <c r="O247" i="111" s="1"/>
  <c r="N247" i="111" a="1"/>
  <c r="N247" i="111" s="1"/>
  <c r="M247" i="111" a="1"/>
  <c r="M247" i="111" s="1"/>
  <c r="L247" i="111" a="1"/>
  <c r="L247" i="111" s="1"/>
  <c r="K247" i="111" a="1"/>
  <c r="K247" i="111" s="1"/>
  <c r="J247" i="111" a="1"/>
  <c r="J247" i="111" s="1"/>
  <c r="I247" i="111" a="1"/>
  <c r="I247" i="111" s="1"/>
  <c r="H247" i="111" a="1"/>
  <c r="H247" i="111" s="1"/>
  <c r="G247" i="111" a="1"/>
  <c r="G247" i="111" s="1"/>
  <c r="F247" i="111" a="1"/>
  <c r="F247" i="111" s="1"/>
  <c r="E247" i="111" a="1"/>
  <c r="E247" i="111" s="1"/>
  <c r="D247" i="111" a="1"/>
  <c r="D247" i="111" s="1"/>
  <c r="S246" i="111" a="1"/>
  <c r="S246" i="111" s="1"/>
  <c r="R246" i="111" a="1"/>
  <c r="R246" i="111" s="1"/>
  <c r="Q246" i="111" a="1"/>
  <c r="Q246" i="111" s="1"/>
  <c r="P246" i="111" a="1"/>
  <c r="P246" i="111" s="1"/>
  <c r="O246" i="111" a="1"/>
  <c r="O246" i="111" s="1"/>
  <c r="N246" i="111" a="1"/>
  <c r="N246" i="111" s="1"/>
  <c r="M246" i="111" a="1"/>
  <c r="M246" i="111" s="1"/>
  <c r="L246" i="111" a="1"/>
  <c r="L246" i="111" s="1"/>
  <c r="K246" i="111" a="1"/>
  <c r="K246" i="111" s="1"/>
  <c r="J246" i="111" a="1"/>
  <c r="J246" i="111" s="1"/>
  <c r="I246" i="111" a="1"/>
  <c r="I246" i="111" s="1"/>
  <c r="H246" i="111" a="1"/>
  <c r="H246" i="111" s="1"/>
  <c r="G246" i="111" a="1"/>
  <c r="G246" i="111" s="1"/>
  <c r="F246" i="111" a="1"/>
  <c r="F246" i="111" s="1"/>
  <c r="E246" i="111" a="1"/>
  <c r="E246" i="111" s="1"/>
  <c r="D246" i="111" a="1"/>
  <c r="D246" i="111" s="1"/>
  <c r="S245" i="111" a="1"/>
  <c r="S245" i="111" s="1"/>
  <c r="R245" i="111" a="1"/>
  <c r="R245" i="111" s="1"/>
  <c r="Q245" i="111" a="1"/>
  <c r="Q245" i="111" s="1"/>
  <c r="P245" i="111" a="1"/>
  <c r="P245" i="111" s="1"/>
  <c r="O245" i="111" a="1"/>
  <c r="O245" i="111" s="1"/>
  <c r="N245" i="111" a="1"/>
  <c r="N245" i="111" s="1"/>
  <c r="M245" i="111" a="1"/>
  <c r="M245" i="111" s="1"/>
  <c r="L245" i="111" a="1"/>
  <c r="L245" i="111" s="1"/>
  <c r="K245" i="111" a="1"/>
  <c r="K245" i="111" s="1"/>
  <c r="J245" i="111" a="1"/>
  <c r="J245" i="111" s="1"/>
  <c r="I245" i="111" a="1"/>
  <c r="I245" i="111" s="1"/>
  <c r="H245" i="111" a="1"/>
  <c r="H245" i="111" s="1"/>
  <c r="G245" i="111" a="1"/>
  <c r="G245" i="111" s="1"/>
  <c r="F245" i="111" a="1"/>
  <c r="F245" i="111" s="1"/>
  <c r="E245" i="111" a="1"/>
  <c r="E245" i="111" s="1"/>
  <c r="D245" i="111" a="1"/>
  <c r="D245" i="111" s="1"/>
  <c r="S244" i="111" a="1"/>
  <c r="S244" i="111" s="1"/>
  <c r="R244" i="111" a="1"/>
  <c r="R244" i="111" s="1"/>
  <c r="Q244" i="111" a="1"/>
  <c r="Q244" i="111" s="1"/>
  <c r="P244" i="111" a="1"/>
  <c r="P244" i="111" s="1"/>
  <c r="O244" i="111" a="1"/>
  <c r="O244" i="111" s="1"/>
  <c r="N244" i="111" a="1"/>
  <c r="N244" i="111" s="1"/>
  <c r="M244" i="111" a="1"/>
  <c r="M244" i="111" s="1"/>
  <c r="L244" i="111" a="1"/>
  <c r="L244" i="111" s="1"/>
  <c r="K244" i="111" a="1"/>
  <c r="K244" i="111" s="1"/>
  <c r="J244" i="111" a="1"/>
  <c r="J244" i="111" s="1"/>
  <c r="I244" i="111" a="1"/>
  <c r="I244" i="111" s="1"/>
  <c r="H244" i="111" a="1"/>
  <c r="H244" i="111" s="1"/>
  <c r="G244" i="111" a="1"/>
  <c r="G244" i="111" s="1"/>
  <c r="F244" i="111" a="1"/>
  <c r="F244" i="111" s="1"/>
  <c r="E244" i="111" a="1"/>
  <c r="E244" i="111" s="1"/>
  <c r="D244" i="111" a="1"/>
  <c r="D244" i="111" s="1"/>
  <c r="S243" i="111" a="1"/>
  <c r="S243" i="111" s="1"/>
  <c r="R243" i="111" a="1"/>
  <c r="R243" i="111" s="1"/>
  <c r="Q243" i="111" a="1"/>
  <c r="Q243" i="111" s="1"/>
  <c r="P243" i="111" a="1"/>
  <c r="P243" i="111" s="1"/>
  <c r="O243" i="111" a="1"/>
  <c r="O243" i="111" s="1"/>
  <c r="N243" i="111" a="1"/>
  <c r="N243" i="111" s="1"/>
  <c r="M243" i="111" a="1"/>
  <c r="M243" i="111" s="1"/>
  <c r="L243" i="111" a="1"/>
  <c r="L243" i="111" s="1"/>
  <c r="K243" i="111" a="1"/>
  <c r="K243" i="111" s="1"/>
  <c r="J243" i="111" a="1"/>
  <c r="J243" i="111" s="1"/>
  <c r="I243" i="111" a="1"/>
  <c r="I243" i="111" s="1"/>
  <c r="H243" i="111" a="1"/>
  <c r="H243" i="111" s="1"/>
  <c r="G243" i="111" a="1"/>
  <c r="G243" i="111" s="1"/>
  <c r="F243" i="111" a="1"/>
  <c r="F243" i="111" s="1"/>
  <c r="E243" i="111" a="1"/>
  <c r="E243" i="111" s="1"/>
  <c r="D243" i="111" a="1"/>
  <c r="D243" i="111" s="1"/>
  <c r="S242" i="111" a="1"/>
  <c r="S242" i="111" s="1"/>
  <c r="R242" i="111" a="1"/>
  <c r="R242" i="111" s="1"/>
  <c r="Q242" i="111" a="1"/>
  <c r="Q242" i="111" s="1"/>
  <c r="P242" i="111" a="1"/>
  <c r="P242" i="111" s="1"/>
  <c r="O242" i="111" a="1"/>
  <c r="O242" i="111" s="1"/>
  <c r="N242" i="111" a="1"/>
  <c r="N242" i="111" s="1"/>
  <c r="M242" i="111" a="1"/>
  <c r="M242" i="111" s="1"/>
  <c r="L242" i="111" a="1"/>
  <c r="L242" i="111" s="1"/>
  <c r="K242" i="111" a="1"/>
  <c r="K242" i="111" s="1"/>
  <c r="J242" i="111" a="1"/>
  <c r="J242" i="111" s="1"/>
  <c r="I242" i="111" a="1"/>
  <c r="I242" i="111" s="1"/>
  <c r="H242" i="111" a="1"/>
  <c r="H242" i="111" s="1"/>
  <c r="G242" i="111" a="1"/>
  <c r="G242" i="111" s="1"/>
  <c r="F242" i="111" a="1"/>
  <c r="F242" i="111" s="1"/>
  <c r="E242" i="111" a="1"/>
  <c r="E242" i="111" s="1"/>
  <c r="D242" i="111" a="1"/>
  <c r="D242" i="111" s="1"/>
  <c r="S241" i="111" a="1"/>
  <c r="S241" i="111" s="1"/>
  <c r="R241" i="111" a="1"/>
  <c r="R241" i="111" s="1"/>
  <c r="Q241" i="111" a="1"/>
  <c r="Q241" i="111" s="1"/>
  <c r="P241" i="111" a="1"/>
  <c r="P241" i="111" s="1"/>
  <c r="O241" i="111" a="1"/>
  <c r="O241" i="111" s="1"/>
  <c r="N241" i="111" a="1"/>
  <c r="N241" i="111" s="1"/>
  <c r="M241" i="111" a="1"/>
  <c r="M241" i="111" s="1"/>
  <c r="L241" i="111" a="1"/>
  <c r="L241" i="111" s="1"/>
  <c r="K241" i="111" a="1"/>
  <c r="K241" i="111" s="1"/>
  <c r="J241" i="111" a="1"/>
  <c r="J241" i="111" s="1"/>
  <c r="I241" i="111" a="1"/>
  <c r="I241" i="111" s="1"/>
  <c r="H241" i="111" a="1"/>
  <c r="H241" i="111" s="1"/>
  <c r="G241" i="111" a="1"/>
  <c r="G241" i="111" s="1"/>
  <c r="F241" i="111" a="1"/>
  <c r="F241" i="111" s="1"/>
  <c r="E241" i="111" a="1"/>
  <c r="E241" i="111" s="1"/>
  <c r="D241" i="111" a="1"/>
  <c r="D241" i="111" s="1"/>
  <c r="S240" i="111" a="1"/>
  <c r="S240" i="111" s="1"/>
  <c r="R240" i="111" a="1"/>
  <c r="R240" i="111" s="1"/>
  <c r="Q240" i="111" a="1"/>
  <c r="Q240" i="111" s="1"/>
  <c r="P240" i="111" a="1"/>
  <c r="P240" i="111" s="1"/>
  <c r="O240" i="111" a="1"/>
  <c r="O240" i="111" s="1"/>
  <c r="N240" i="111" a="1"/>
  <c r="N240" i="111" s="1"/>
  <c r="M240" i="111" a="1"/>
  <c r="M240" i="111" s="1"/>
  <c r="L240" i="111" a="1"/>
  <c r="L240" i="111" s="1"/>
  <c r="K240" i="111" a="1"/>
  <c r="K240" i="111" s="1"/>
  <c r="J240" i="111" a="1"/>
  <c r="J240" i="111" s="1"/>
  <c r="I240" i="111" a="1"/>
  <c r="I240" i="111" s="1"/>
  <c r="H240" i="111" a="1"/>
  <c r="H240" i="111" s="1"/>
  <c r="G240" i="111" a="1"/>
  <c r="G240" i="111" s="1"/>
  <c r="F240" i="111" a="1"/>
  <c r="F240" i="111" s="1"/>
  <c r="E240" i="111" a="1"/>
  <c r="E240" i="111" s="1"/>
  <c r="D240" i="111" a="1"/>
  <c r="D240" i="111" s="1"/>
  <c r="S239" i="111" a="1"/>
  <c r="S239" i="111" s="1"/>
  <c r="R239" i="111" a="1"/>
  <c r="R239" i="111" s="1"/>
  <c r="Q239" i="111" a="1"/>
  <c r="Q239" i="111" s="1"/>
  <c r="P239" i="111" a="1"/>
  <c r="P239" i="111" s="1"/>
  <c r="O239" i="111" a="1"/>
  <c r="O239" i="111" s="1"/>
  <c r="N239" i="111" a="1"/>
  <c r="N239" i="111" s="1"/>
  <c r="M239" i="111" a="1"/>
  <c r="M239" i="111" s="1"/>
  <c r="L239" i="111" a="1"/>
  <c r="L239" i="111" s="1"/>
  <c r="K239" i="111" a="1"/>
  <c r="K239" i="111" s="1"/>
  <c r="J239" i="111" a="1"/>
  <c r="J239" i="111" s="1"/>
  <c r="I239" i="111" a="1"/>
  <c r="I239" i="111" s="1"/>
  <c r="H239" i="111" a="1"/>
  <c r="H239" i="111" s="1"/>
  <c r="G239" i="111" a="1"/>
  <c r="G239" i="111" s="1"/>
  <c r="F239" i="111" a="1"/>
  <c r="F239" i="111" s="1"/>
  <c r="E239" i="111" a="1"/>
  <c r="E239" i="111" s="1"/>
  <c r="D239" i="111" a="1"/>
  <c r="D239" i="111" s="1"/>
  <c r="S238" i="111" a="1"/>
  <c r="S238" i="111" s="1"/>
  <c r="R238" i="111" a="1"/>
  <c r="R238" i="111" s="1"/>
  <c r="Q238" i="111" a="1"/>
  <c r="Q238" i="111" s="1"/>
  <c r="P238" i="111" a="1"/>
  <c r="P238" i="111" s="1"/>
  <c r="O238" i="111" a="1"/>
  <c r="O238" i="111" s="1"/>
  <c r="N238" i="111" a="1"/>
  <c r="N238" i="111" s="1"/>
  <c r="M238" i="111" a="1"/>
  <c r="M238" i="111" s="1"/>
  <c r="L238" i="111" a="1"/>
  <c r="L238" i="111" s="1"/>
  <c r="K238" i="111" a="1"/>
  <c r="K238" i="111" s="1"/>
  <c r="J238" i="111" a="1"/>
  <c r="J238" i="111" s="1"/>
  <c r="I238" i="111" a="1"/>
  <c r="I238" i="111" s="1"/>
  <c r="H238" i="111" a="1"/>
  <c r="H238" i="111" s="1"/>
  <c r="G238" i="111" a="1"/>
  <c r="G238" i="111" s="1"/>
  <c r="F238" i="111" a="1"/>
  <c r="F238" i="111" s="1"/>
  <c r="E238" i="111" a="1"/>
  <c r="E238" i="111" s="1"/>
  <c r="D238" i="111" a="1"/>
  <c r="D238" i="111" s="1"/>
  <c r="S237" i="111" a="1"/>
  <c r="S237" i="111" s="1"/>
  <c r="R237" i="111" a="1"/>
  <c r="R237" i="111" s="1"/>
  <c r="Q237" i="111" a="1"/>
  <c r="Q237" i="111" s="1"/>
  <c r="P237" i="111" a="1"/>
  <c r="P237" i="111" s="1"/>
  <c r="O237" i="111" a="1"/>
  <c r="O237" i="111" s="1"/>
  <c r="N237" i="111" a="1"/>
  <c r="N237" i="111" s="1"/>
  <c r="M237" i="111" a="1"/>
  <c r="M237" i="111" s="1"/>
  <c r="L237" i="111" a="1"/>
  <c r="L237" i="111" s="1"/>
  <c r="K237" i="111" a="1"/>
  <c r="K237" i="111" s="1"/>
  <c r="J237" i="111" a="1"/>
  <c r="J237" i="111" s="1"/>
  <c r="I237" i="111" a="1"/>
  <c r="I237" i="111" s="1"/>
  <c r="H237" i="111" a="1"/>
  <c r="H237" i="111" s="1"/>
  <c r="G237" i="111" a="1"/>
  <c r="G237" i="111" s="1"/>
  <c r="F237" i="111" a="1"/>
  <c r="F237" i="111" s="1"/>
  <c r="E237" i="111" a="1"/>
  <c r="E237" i="111" s="1"/>
  <c r="D237" i="111" a="1"/>
  <c r="D237" i="111" s="1"/>
  <c r="S236" i="111" a="1"/>
  <c r="S236" i="111" s="1"/>
  <c r="R236" i="111" a="1"/>
  <c r="R236" i="111" s="1"/>
  <c r="Q236" i="111" a="1"/>
  <c r="Q236" i="111" s="1"/>
  <c r="P236" i="111" a="1"/>
  <c r="P236" i="111" s="1"/>
  <c r="O236" i="111" a="1"/>
  <c r="O236" i="111" s="1"/>
  <c r="N236" i="111" a="1"/>
  <c r="N236" i="111" s="1"/>
  <c r="M236" i="111" a="1"/>
  <c r="M236" i="111" s="1"/>
  <c r="L236" i="111" a="1"/>
  <c r="L236" i="111" s="1"/>
  <c r="K236" i="111" a="1"/>
  <c r="K236" i="111" s="1"/>
  <c r="J236" i="111" a="1"/>
  <c r="J236" i="111" s="1"/>
  <c r="I236" i="111" a="1"/>
  <c r="I236" i="111" s="1"/>
  <c r="H236" i="111" a="1"/>
  <c r="H236" i="111" s="1"/>
  <c r="G236" i="111" a="1"/>
  <c r="G236" i="111" s="1"/>
  <c r="F236" i="111" a="1"/>
  <c r="F236" i="111" s="1"/>
  <c r="E236" i="111" a="1"/>
  <c r="E236" i="111" s="1"/>
  <c r="D236" i="111" a="1"/>
  <c r="D236" i="111" s="1"/>
  <c r="S235" i="111" a="1"/>
  <c r="S235" i="111" s="1"/>
  <c r="R235" i="111" a="1"/>
  <c r="R235" i="111" s="1"/>
  <c r="Q235" i="111" a="1"/>
  <c r="Q235" i="111" s="1"/>
  <c r="P235" i="111" a="1"/>
  <c r="P235" i="111" s="1"/>
  <c r="O235" i="111" a="1"/>
  <c r="O235" i="111" s="1"/>
  <c r="N235" i="111" a="1"/>
  <c r="N235" i="111" s="1"/>
  <c r="M235" i="111" a="1"/>
  <c r="M235" i="111" s="1"/>
  <c r="L235" i="111" a="1"/>
  <c r="L235" i="111" s="1"/>
  <c r="K235" i="111" a="1"/>
  <c r="K235" i="111" s="1"/>
  <c r="J235" i="111" a="1"/>
  <c r="J235" i="111" s="1"/>
  <c r="I235" i="111" a="1"/>
  <c r="I235" i="111" s="1"/>
  <c r="H235" i="111" a="1"/>
  <c r="H235" i="111" s="1"/>
  <c r="G235" i="111" a="1"/>
  <c r="G235" i="111" s="1"/>
  <c r="F235" i="111" a="1"/>
  <c r="F235" i="111" s="1"/>
  <c r="E235" i="111" a="1"/>
  <c r="E235" i="111" s="1"/>
  <c r="D235" i="111" a="1"/>
  <c r="D235" i="111" s="1"/>
  <c r="S234" i="111" a="1"/>
  <c r="S234" i="111" s="1"/>
  <c r="R234" i="111" a="1"/>
  <c r="R234" i="111" s="1"/>
  <c r="Q234" i="111" a="1"/>
  <c r="Q234" i="111" s="1"/>
  <c r="P234" i="111" a="1"/>
  <c r="P234" i="111" s="1"/>
  <c r="O234" i="111" a="1"/>
  <c r="O234" i="111" s="1"/>
  <c r="N234" i="111" a="1"/>
  <c r="N234" i="111" s="1"/>
  <c r="M234" i="111" a="1"/>
  <c r="M234" i="111" s="1"/>
  <c r="L234" i="111" a="1"/>
  <c r="L234" i="111" s="1"/>
  <c r="K234" i="111" a="1"/>
  <c r="K234" i="111" s="1"/>
  <c r="J234" i="111" a="1"/>
  <c r="J234" i="111" s="1"/>
  <c r="I234" i="111" a="1"/>
  <c r="I234" i="111" s="1"/>
  <c r="H234" i="111" a="1"/>
  <c r="H234" i="111" s="1"/>
  <c r="G234" i="111" a="1"/>
  <c r="G234" i="111" s="1"/>
  <c r="F234" i="111" a="1"/>
  <c r="F234" i="111" s="1"/>
  <c r="E234" i="111" a="1"/>
  <c r="E234" i="111" s="1"/>
  <c r="D234" i="111" a="1"/>
  <c r="D234" i="111" s="1"/>
  <c r="S233" i="111" a="1"/>
  <c r="S233" i="111" s="1"/>
  <c r="R233" i="111" a="1"/>
  <c r="R233" i="111" s="1"/>
  <c r="Q233" i="111" a="1"/>
  <c r="Q233" i="111" s="1"/>
  <c r="P233" i="111" a="1"/>
  <c r="P233" i="111" s="1"/>
  <c r="O233" i="111" a="1"/>
  <c r="O233" i="111" s="1"/>
  <c r="N233" i="111" a="1"/>
  <c r="N233" i="111" s="1"/>
  <c r="M233" i="111" a="1"/>
  <c r="M233" i="111" s="1"/>
  <c r="L233" i="111" a="1"/>
  <c r="L233" i="111" s="1"/>
  <c r="K233" i="111" a="1"/>
  <c r="K233" i="111" s="1"/>
  <c r="J233" i="111" a="1"/>
  <c r="J233" i="111" s="1"/>
  <c r="I233" i="111" a="1"/>
  <c r="I233" i="111" s="1"/>
  <c r="H233" i="111" a="1"/>
  <c r="H233" i="111" s="1"/>
  <c r="G233" i="111" a="1"/>
  <c r="G233" i="111" s="1"/>
  <c r="F233" i="111" a="1"/>
  <c r="F233" i="111" s="1"/>
  <c r="E233" i="111" a="1"/>
  <c r="E233" i="111" s="1"/>
  <c r="D233" i="111" a="1"/>
  <c r="D233" i="111" s="1"/>
  <c r="S232" i="111" a="1"/>
  <c r="S232" i="111" s="1"/>
  <c r="R232" i="111" a="1"/>
  <c r="R232" i="111" s="1"/>
  <c r="Q232" i="111" a="1"/>
  <c r="Q232" i="111" s="1"/>
  <c r="P232" i="111" a="1"/>
  <c r="P232" i="111" s="1"/>
  <c r="O232" i="111" a="1"/>
  <c r="O232" i="111" s="1"/>
  <c r="N232" i="111" a="1"/>
  <c r="N232" i="111" s="1"/>
  <c r="M232" i="111" a="1"/>
  <c r="M232" i="111" s="1"/>
  <c r="L232" i="111" a="1"/>
  <c r="L232" i="111" s="1"/>
  <c r="K232" i="111" a="1"/>
  <c r="K232" i="111" s="1"/>
  <c r="J232" i="111" a="1"/>
  <c r="J232" i="111" s="1"/>
  <c r="I232" i="111" a="1"/>
  <c r="I232" i="111" s="1"/>
  <c r="H232" i="111" a="1"/>
  <c r="H232" i="111" s="1"/>
  <c r="G232" i="111" a="1"/>
  <c r="G232" i="111" s="1"/>
  <c r="F232" i="111" a="1"/>
  <c r="F232" i="111" s="1"/>
  <c r="E232" i="111" a="1"/>
  <c r="E232" i="111" s="1"/>
  <c r="D232" i="111" a="1"/>
  <c r="D232" i="111" s="1"/>
  <c r="D229" i="111" a="1"/>
  <c r="D229" i="111" s="1"/>
  <c r="D228" i="111" a="1"/>
  <c r="D228" i="111" s="1"/>
  <c r="D227" i="111" a="1"/>
  <c r="D227" i="111" s="1"/>
  <c r="E224" i="111" a="1"/>
  <c r="E224" i="111" s="1"/>
  <c r="D224" i="111" a="1"/>
  <c r="D224" i="111" s="1"/>
  <c r="E223" i="111" a="1"/>
  <c r="E223" i="111" s="1"/>
  <c r="D223" i="111" a="1"/>
  <c r="D223" i="111" s="1"/>
  <c r="E222" i="111" a="1"/>
  <c r="E222" i="111" s="1"/>
  <c r="D222" i="111" a="1"/>
  <c r="D222" i="111" s="1"/>
  <c r="E221" i="111" a="1"/>
  <c r="E221" i="111" s="1"/>
  <c r="D221" i="111" a="1"/>
  <c r="D221" i="111" s="1"/>
  <c r="E220" i="111" a="1"/>
  <c r="E220" i="111" s="1"/>
  <c r="D220" i="111" a="1"/>
  <c r="D220" i="111" s="1"/>
  <c r="E219" i="111" a="1"/>
  <c r="E219" i="111" s="1"/>
  <c r="D219" i="111" a="1"/>
  <c r="D219" i="111" s="1"/>
  <c r="E218" i="111" a="1"/>
  <c r="E218" i="111" s="1"/>
  <c r="D218" i="111" a="1"/>
  <c r="D218" i="111" s="1"/>
  <c r="E217" i="111" a="1"/>
  <c r="E217" i="111" s="1"/>
  <c r="D217" i="111" a="1"/>
  <c r="D217" i="111" s="1"/>
  <c r="E216" i="111" a="1"/>
  <c r="E216" i="111" s="1"/>
  <c r="D216" i="111" a="1"/>
  <c r="D216" i="111" s="1"/>
  <c r="E215" i="111" a="1"/>
  <c r="E215" i="111" s="1"/>
  <c r="D215" i="111" a="1"/>
  <c r="D215" i="111" s="1"/>
  <c r="E214" i="111" a="1"/>
  <c r="E214" i="111" s="1"/>
  <c r="D214" i="111" a="1"/>
  <c r="D214" i="111" s="1"/>
  <c r="E213" i="111" a="1"/>
  <c r="E213" i="111" s="1"/>
  <c r="D213" i="111" a="1"/>
  <c r="D213" i="111" s="1"/>
  <c r="D211" i="111" a="1"/>
  <c r="D211" i="111" s="1"/>
  <c r="E208" i="111" a="1"/>
  <c r="E208" i="111" s="1"/>
  <c r="D208" i="111" a="1"/>
  <c r="D208" i="111" s="1"/>
  <c r="E207" i="111" a="1"/>
  <c r="E207" i="111" s="1"/>
  <c r="D207" i="111" a="1"/>
  <c r="D207" i="111" s="1"/>
  <c r="D205" i="111" a="1"/>
  <c r="D205" i="111" s="1"/>
  <c r="D204" i="111" a="1"/>
  <c r="D204" i="111" s="1"/>
  <c r="D203" i="111" a="1"/>
  <c r="D203" i="111" s="1"/>
  <c r="D202" i="111" a="1"/>
  <c r="D202" i="111" s="1"/>
  <c r="H199" i="111" a="1"/>
  <c r="H199" i="111" s="1"/>
  <c r="G199" i="111" a="1"/>
  <c r="G199" i="111" s="1"/>
  <c r="F199" i="111" a="1"/>
  <c r="F199" i="111" s="1"/>
  <c r="E199" i="111" a="1"/>
  <c r="E199" i="111" s="1"/>
  <c r="D199" i="111" a="1"/>
  <c r="D199" i="111" s="1"/>
  <c r="H198" i="111" a="1"/>
  <c r="H198" i="111" s="1"/>
  <c r="G198" i="111" a="1"/>
  <c r="G198" i="111" s="1"/>
  <c r="F198" i="111" a="1"/>
  <c r="F198" i="111" s="1"/>
  <c r="E198" i="111" a="1"/>
  <c r="E198" i="111" s="1"/>
  <c r="D198" i="111" a="1"/>
  <c r="D198" i="111" s="1"/>
  <c r="H197" i="111" a="1"/>
  <c r="H197" i="111" s="1"/>
  <c r="G197" i="111" a="1"/>
  <c r="G197" i="111" s="1"/>
  <c r="F197" i="111" a="1"/>
  <c r="F197" i="111" s="1"/>
  <c r="E197" i="111" a="1"/>
  <c r="E197" i="111" s="1"/>
  <c r="D197" i="111" a="1"/>
  <c r="D197" i="111" s="1"/>
  <c r="H196" i="111" a="1"/>
  <c r="H196" i="111" s="1"/>
  <c r="G196" i="111" a="1"/>
  <c r="G196" i="111" s="1"/>
  <c r="F196" i="111" a="1"/>
  <c r="F196" i="111" s="1"/>
  <c r="E196" i="111" a="1"/>
  <c r="E196" i="111" s="1"/>
  <c r="D196" i="111" a="1"/>
  <c r="D196" i="111" s="1"/>
  <c r="H195" i="111" a="1"/>
  <c r="H195" i="111" s="1"/>
  <c r="G195" i="111" a="1"/>
  <c r="G195" i="111" s="1"/>
  <c r="F195" i="111" a="1"/>
  <c r="F195" i="111" s="1"/>
  <c r="E195" i="111" a="1"/>
  <c r="E195" i="111" s="1"/>
  <c r="D195" i="111" a="1"/>
  <c r="D195" i="111" s="1"/>
  <c r="H194" i="111" a="1"/>
  <c r="H194" i="111" s="1"/>
  <c r="G194" i="111" a="1"/>
  <c r="G194" i="111" s="1"/>
  <c r="F194" i="111" a="1"/>
  <c r="F194" i="111" s="1"/>
  <c r="E194" i="111" a="1"/>
  <c r="E194" i="111" s="1"/>
  <c r="D194" i="111" a="1"/>
  <c r="D194" i="111" s="1"/>
  <c r="H193" i="111" a="1"/>
  <c r="H193" i="111" s="1"/>
  <c r="G193" i="111" a="1"/>
  <c r="G193" i="111" s="1"/>
  <c r="F193" i="111" a="1"/>
  <c r="F193" i="111" s="1"/>
  <c r="E193" i="111" a="1"/>
  <c r="E193" i="111" s="1"/>
  <c r="D193" i="111" a="1"/>
  <c r="D193" i="111" s="1"/>
  <c r="H192" i="111" a="1"/>
  <c r="H192" i="111" s="1"/>
  <c r="G192" i="111" a="1"/>
  <c r="G192" i="111" s="1"/>
  <c r="F192" i="111" a="1"/>
  <c r="F192" i="111" s="1"/>
  <c r="E192" i="111" a="1"/>
  <c r="E192" i="111" s="1"/>
  <c r="D192" i="111" a="1"/>
  <c r="D192" i="111" s="1"/>
  <c r="H191" i="111" a="1"/>
  <c r="H191" i="111" s="1"/>
  <c r="G191" i="111" a="1"/>
  <c r="G191" i="111" s="1"/>
  <c r="F191" i="111" a="1"/>
  <c r="F191" i="111" s="1"/>
  <c r="E191" i="111" a="1"/>
  <c r="E191" i="111" s="1"/>
  <c r="D191" i="111" a="1"/>
  <c r="D191" i="111" s="1"/>
  <c r="H190" i="111" a="1"/>
  <c r="H190" i="111" s="1"/>
  <c r="G190" i="111" a="1"/>
  <c r="G190" i="111" s="1"/>
  <c r="F190" i="111" a="1"/>
  <c r="F190" i="111" s="1"/>
  <c r="E190" i="111" a="1"/>
  <c r="E190" i="111" s="1"/>
  <c r="D190" i="111" a="1"/>
  <c r="D190" i="111" s="1"/>
  <c r="H189" i="111" a="1"/>
  <c r="H189" i="111" s="1"/>
  <c r="G189" i="111" a="1"/>
  <c r="G189" i="111" s="1"/>
  <c r="F189" i="111" a="1"/>
  <c r="F189" i="111" s="1"/>
  <c r="E189" i="111" a="1"/>
  <c r="E189" i="111" s="1"/>
  <c r="D189" i="111" a="1"/>
  <c r="D189" i="111" s="1"/>
  <c r="H188" i="111" a="1"/>
  <c r="H188" i="111" s="1"/>
  <c r="G188" i="111" a="1"/>
  <c r="G188" i="111" s="1"/>
  <c r="F188" i="111" a="1"/>
  <c r="F188" i="111" s="1"/>
  <c r="E188" i="111" a="1"/>
  <c r="E188" i="111" s="1"/>
  <c r="D188" i="111" a="1"/>
  <c r="D188" i="111" s="1"/>
  <c r="H187" i="111" a="1"/>
  <c r="H187" i="111" s="1"/>
  <c r="G187" i="111" a="1"/>
  <c r="G187" i="111" s="1"/>
  <c r="F187" i="111" a="1"/>
  <c r="F187" i="111" s="1"/>
  <c r="E187" i="111" a="1"/>
  <c r="E187" i="111" s="1"/>
  <c r="D187" i="111" a="1"/>
  <c r="D187" i="111" s="1"/>
  <c r="D181" i="111" a="1"/>
  <c r="D181" i="111" s="1"/>
  <c r="D180" i="111" a="1"/>
  <c r="D180" i="111" s="1"/>
  <c r="D179" i="111" a="1"/>
  <c r="D179" i="111" s="1"/>
  <c r="D178" i="111" a="1"/>
  <c r="D178" i="111" s="1"/>
  <c r="E175" i="111" a="1"/>
  <c r="E175" i="111" s="1"/>
  <c r="D175" i="111" a="1"/>
  <c r="D175" i="111" s="1"/>
  <c r="D174" i="111" a="1"/>
  <c r="D174" i="111" s="1"/>
  <c r="D173" i="111" a="1"/>
  <c r="D173" i="111" s="1"/>
  <c r="D170" i="111" a="1"/>
  <c r="D170" i="111" s="1"/>
  <c r="D169" i="111" a="1"/>
  <c r="D169" i="111" s="1"/>
  <c r="D168" i="111" a="1"/>
  <c r="D168" i="111" s="1"/>
  <c r="D167" i="111" a="1"/>
  <c r="D167" i="111" s="1"/>
  <c r="D164" i="111" a="1"/>
  <c r="D164" i="111" s="1"/>
  <c r="D163" i="111" a="1"/>
  <c r="D163" i="111" s="1"/>
  <c r="D162" i="111" a="1"/>
  <c r="D162" i="111" s="1"/>
  <c r="D161" i="111" a="1"/>
  <c r="D161" i="111" s="1"/>
  <c r="E158" i="111" a="1"/>
  <c r="E158" i="111" s="1"/>
  <c r="D158" i="111" a="1"/>
  <c r="D158" i="111" s="1"/>
  <c r="E157" i="111" a="1"/>
  <c r="E157" i="111" s="1"/>
  <c r="D157" i="111" a="1"/>
  <c r="D157" i="111" s="1"/>
  <c r="E156" i="111" a="1"/>
  <c r="E156" i="111" s="1"/>
  <c r="D156" i="111" a="1"/>
  <c r="D156" i="111" s="1"/>
  <c r="E155" i="111" a="1"/>
  <c r="E155" i="111" s="1"/>
  <c r="D155" i="111" a="1"/>
  <c r="D155" i="111" s="1"/>
  <c r="E154" i="111" a="1"/>
  <c r="E154" i="111" s="1"/>
  <c r="D154" i="111" a="1"/>
  <c r="D154" i="111" s="1"/>
  <c r="D151" i="111" a="1"/>
  <c r="D151" i="111" s="1"/>
  <c r="D150" i="111" a="1"/>
  <c r="D150" i="111" s="1"/>
  <c r="E147" i="111" a="1"/>
  <c r="E147" i="111" s="1"/>
  <c r="D147" i="111" a="1"/>
  <c r="D147" i="111" s="1"/>
  <c r="E146" i="111" a="1"/>
  <c r="E146" i="111" s="1"/>
  <c r="D146" i="111" a="1"/>
  <c r="D146" i="111" s="1"/>
  <c r="E145" i="111" a="1"/>
  <c r="E145" i="111" s="1"/>
  <c r="D145" i="111" a="1"/>
  <c r="D145" i="111" s="1"/>
  <c r="E144" i="111" a="1"/>
  <c r="E144" i="111" s="1"/>
  <c r="D144" i="111" a="1"/>
  <c r="D144" i="111" s="1"/>
  <c r="E143" i="111" a="1"/>
  <c r="E143" i="111" s="1"/>
  <c r="D143" i="111" a="1"/>
  <c r="D143" i="111" s="1"/>
  <c r="D141" i="111" a="1"/>
  <c r="D141" i="111" s="1"/>
  <c r="D140" i="111" a="1"/>
  <c r="D140" i="111" s="1"/>
  <c r="D139" i="111" a="1"/>
  <c r="D139" i="111" s="1"/>
  <c r="E136" i="111" a="1"/>
  <c r="E136" i="111" s="1"/>
  <c r="D136" i="111" a="1"/>
  <c r="D136" i="111" s="1"/>
  <c r="E135" i="111" a="1"/>
  <c r="E135" i="111" s="1"/>
  <c r="D135" i="111" a="1"/>
  <c r="D135" i="111" s="1"/>
  <c r="D133" i="111" a="1"/>
  <c r="D133" i="111" s="1"/>
  <c r="D132" i="111" a="1"/>
  <c r="D132" i="111" s="1"/>
  <c r="E129" i="111" a="1"/>
  <c r="E129" i="111" s="1"/>
  <c r="D129" i="111" a="1"/>
  <c r="D129" i="111" s="1"/>
  <c r="E128" i="111" a="1"/>
  <c r="E128" i="111" s="1"/>
  <c r="D128" i="111" a="1"/>
  <c r="D128" i="111" s="1"/>
  <c r="D125" i="111" a="1"/>
  <c r="D125" i="111" s="1"/>
  <c r="D124" i="111" a="1"/>
  <c r="D124" i="111" s="1"/>
  <c r="G121" i="111" a="1"/>
  <c r="G121" i="111" s="1"/>
  <c r="F121" i="111" a="1"/>
  <c r="F121" i="111" s="1"/>
  <c r="E121" i="111" a="1"/>
  <c r="E121" i="111" s="1"/>
  <c r="D121" i="111" a="1"/>
  <c r="D121" i="111" s="1"/>
  <c r="G120" i="111" a="1"/>
  <c r="G120" i="111" s="1"/>
  <c r="F120" i="111" a="1"/>
  <c r="F120" i="111" s="1"/>
  <c r="E120" i="111" a="1"/>
  <c r="E120" i="111" s="1"/>
  <c r="D120" i="111" a="1"/>
  <c r="D120" i="111" s="1"/>
  <c r="D117" i="111" a="1"/>
  <c r="D117" i="111" s="1"/>
  <c r="D116" i="111" a="1"/>
  <c r="D116" i="111" s="1"/>
  <c r="D115" i="111" a="1"/>
  <c r="D115" i="111" s="1"/>
  <c r="G112" i="111" a="1"/>
  <c r="G112" i="111" s="1"/>
  <c r="F112" i="111" a="1"/>
  <c r="F112" i="111" s="1"/>
  <c r="E112" i="111" a="1"/>
  <c r="E112" i="111" s="1"/>
  <c r="D112" i="111" a="1"/>
  <c r="D112" i="111" s="1"/>
  <c r="G111" i="111" a="1"/>
  <c r="G111" i="111" s="1"/>
  <c r="F111" i="111" a="1"/>
  <c r="F111" i="111" s="1"/>
  <c r="E111" i="111" a="1"/>
  <c r="E111" i="111" s="1"/>
  <c r="D111" i="111" a="1"/>
  <c r="D111" i="111" s="1"/>
  <c r="G110" i="111" a="1"/>
  <c r="G110" i="111" s="1"/>
  <c r="F110" i="111" a="1"/>
  <c r="F110" i="111" s="1"/>
  <c r="E110" i="111" a="1"/>
  <c r="E110" i="111" s="1"/>
  <c r="D110" i="111" a="1"/>
  <c r="D110" i="111" s="1"/>
  <c r="D107" i="111" a="1"/>
  <c r="D107" i="111" s="1"/>
  <c r="D106" i="111" a="1"/>
  <c r="D106" i="111" s="1"/>
  <c r="D105" i="111" a="1"/>
  <c r="D105" i="111" s="1"/>
  <c r="D98" i="111" a="1"/>
  <c r="D98" i="111" s="1"/>
  <c r="S97" i="111" a="1"/>
  <c r="S97" i="111" s="1"/>
  <c r="R97" i="111" a="1"/>
  <c r="R97" i="111" s="1"/>
  <c r="Q97" i="111" a="1"/>
  <c r="Q97" i="111" s="1"/>
  <c r="P97" i="111" a="1"/>
  <c r="P97" i="111" s="1"/>
  <c r="O97" i="111" a="1"/>
  <c r="O97" i="111" s="1"/>
  <c r="N97" i="111" a="1"/>
  <c r="N97" i="111" s="1"/>
  <c r="M97" i="111" a="1"/>
  <c r="M97" i="111" s="1"/>
  <c r="L97" i="111" a="1"/>
  <c r="L97" i="111" s="1"/>
  <c r="K97" i="111" a="1"/>
  <c r="K97" i="111" s="1"/>
  <c r="J97" i="111" a="1"/>
  <c r="J97" i="111" s="1"/>
  <c r="I97" i="111" a="1"/>
  <c r="I97" i="111" s="1"/>
  <c r="H97" i="111" a="1"/>
  <c r="H97" i="111" s="1"/>
  <c r="G97" i="111" a="1"/>
  <c r="G97" i="111" s="1"/>
  <c r="F97" i="111" a="1"/>
  <c r="F97" i="111" s="1"/>
  <c r="E97" i="111" a="1"/>
  <c r="E97" i="111" s="1"/>
  <c r="D97" i="111" a="1"/>
  <c r="D97" i="111" s="1"/>
  <c r="S96" i="111" a="1"/>
  <c r="S96" i="111" s="1"/>
  <c r="R96" i="111" a="1"/>
  <c r="R96" i="111" s="1"/>
  <c r="Q96" i="111" a="1"/>
  <c r="Q96" i="111" s="1"/>
  <c r="P96" i="111" a="1"/>
  <c r="P96" i="111" s="1"/>
  <c r="O96" i="111" a="1"/>
  <c r="O96" i="111" s="1"/>
  <c r="N96" i="111" a="1"/>
  <c r="N96" i="111" s="1"/>
  <c r="M96" i="111" a="1"/>
  <c r="M96" i="111" s="1"/>
  <c r="L96" i="111" a="1"/>
  <c r="L96" i="111" s="1"/>
  <c r="K96" i="111" a="1"/>
  <c r="K96" i="111" s="1"/>
  <c r="J96" i="111" a="1"/>
  <c r="J96" i="111" s="1"/>
  <c r="I96" i="111" a="1"/>
  <c r="I96" i="111" s="1"/>
  <c r="H96" i="111" a="1"/>
  <c r="H96" i="111" s="1"/>
  <c r="G96" i="111" a="1"/>
  <c r="G96" i="111" s="1"/>
  <c r="F96" i="111" a="1"/>
  <c r="F96" i="111" s="1"/>
  <c r="E96" i="111" a="1"/>
  <c r="E96" i="111" s="1"/>
  <c r="D96" i="111" a="1"/>
  <c r="D96" i="111" s="1"/>
  <c r="S95" i="111" a="1"/>
  <c r="S95" i="111" s="1"/>
  <c r="R95" i="111" a="1"/>
  <c r="R95" i="111" s="1"/>
  <c r="Q95" i="111" a="1"/>
  <c r="Q95" i="111" s="1"/>
  <c r="P95" i="111" a="1"/>
  <c r="P95" i="111" s="1"/>
  <c r="O95" i="111" a="1"/>
  <c r="O95" i="111" s="1"/>
  <c r="N95" i="111" a="1"/>
  <c r="N95" i="111" s="1"/>
  <c r="M95" i="111" a="1"/>
  <c r="M95" i="111" s="1"/>
  <c r="L95" i="111" a="1"/>
  <c r="L95" i="111" s="1"/>
  <c r="K95" i="111" a="1"/>
  <c r="K95" i="111" s="1"/>
  <c r="J95" i="111" a="1"/>
  <c r="J95" i="111" s="1"/>
  <c r="I95" i="111" a="1"/>
  <c r="I95" i="111" s="1"/>
  <c r="H95" i="111" a="1"/>
  <c r="H95" i="111" s="1"/>
  <c r="G95" i="111" a="1"/>
  <c r="G95" i="111" s="1"/>
  <c r="F95" i="111" a="1"/>
  <c r="F95" i="111" s="1"/>
  <c r="E95" i="111" a="1"/>
  <c r="E95" i="111" s="1"/>
  <c r="D95" i="111" a="1"/>
  <c r="D95" i="111" s="1"/>
  <c r="S94" i="111" a="1"/>
  <c r="S94" i="111" s="1"/>
  <c r="R94" i="111" a="1"/>
  <c r="R94" i="111" s="1"/>
  <c r="Q94" i="111" a="1"/>
  <c r="Q94" i="111" s="1"/>
  <c r="P94" i="111" a="1"/>
  <c r="P94" i="111" s="1"/>
  <c r="O94" i="111" a="1"/>
  <c r="O94" i="111" s="1"/>
  <c r="N94" i="111" a="1"/>
  <c r="N94" i="111" s="1"/>
  <c r="M94" i="111" a="1"/>
  <c r="M94" i="111" s="1"/>
  <c r="L94" i="111" a="1"/>
  <c r="L94" i="111" s="1"/>
  <c r="K94" i="111" a="1"/>
  <c r="K94" i="111" s="1"/>
  <c r="J94" i="111" a="1"/>
  <c r="J94" i="111" s="1"/>
  <c r="I94" i="111" a="1"/>
  <c r="I94" i="111" s="1"/>
  <c r="H94" i="111" a="1"/>
  <c r="H94" i="111" s="1"/>
  <c r="G94" i="111" a="1"/>
  <c r="G94" i="111" s="1"/>
  <c r="F94" i="111" a="1"/>
  <c r="F94" i="111" s="1"/>
  <c r="E94" i="111" a="1"/>
  <c r="E94" i="111" s="1"/>
  <c r="D94" i="111" a="1"/>
  <c r="D94" i="111" s="1"/>
  <c r="S93" i="111" a="1"/>
  <c r="S93" i="111" s="1"/>
  <c r="R93" i="111" a="1"/>
  <c r="R93" i="111" s="1"/>
  <c r="Q93" i="111" a="1"/>
  <c r="Q93" i="111" s="1"/>
  <c r="P93" i="111" a="1"/>
  <c r="P93" i="111" s="1"/>
  <c r="O93" i="111" a="1"/>
  <c r="O93" i="111" s="1"/>
  <c r="N93" i="111" a="1"/>
  <c r="N93" i="111" s="1"/>
  <c r="M93" i="111" a="1"/>
  <c r="M93" i="111" s="1"/>
  <c r="L93" i="111" a="1"/>
  <c r="L93" i="111" s="1"/>
  <c r="K93" i="111" a="1"/>
  <c r="K93" i="111" s="1"/>
  <c r="J93" i="111" a="1"/>
  <c r="J93" i="111" s="1"/>
  <c r="I93" i="111" a="1"/>
  <c r="I93" i="111" s="1"/>
  <c r="H93" i="111" a="1"/>
  <c r="H93" i="111" s="1"/>
  <c r="G93" i="111" a="1"/>
  <c r="G93" i="111" s="1"/>
  <c r="F93" i="111" a="1"/>
  <c r="F93" i="111" s="1"/>
  <c r="E93" i="111" a="1"/>
  <c r="E93" i="111" s="1"/>
  <c r="D93" i="111" a="1"/>
  <c r="D93" i="111" s="1"/>
  <c r="S92" i="111" a="1"/>
  <c r="S92" i="111" s="1"/>
  <c r="R92" i="111" a="1"/>
  <c r="R92" i="111" s="1"/>
  <c r="Q92" i="111" a="1"/>
  <c r="Q92" i="111" s="1"/>
  <c r="P92" i="111" a="1"/>
  <c r="P92" i="111" s="1"/>
  <c r="O92" i="111" a="1"/>
  <c r="O92" i="111" s="1"/>
  <c r="N92" i="111" a="1"/>
  <c r="N92" i="111" s="1"/>
  <c r="M92" i="111" a="1"/>
  <c r="M92" i="111" s="1"/>
  <c r="L92" i="111" a="1"/>
  <c r="L92" i="111" s="1"/>
  <c r="K92" i="111" a="1"/>
  <c r="K92" i="111" s="1"/>
  <c r="J92" i="111" a="1"/>
  <c r="J92" i="111" s="1"/>
  <c r="I92" i="111" a="1"/>
  <c r="I92" i="111" s="1"/>
  <c r="H92" i="111" a="1"/>
  <c r="H92" i="111" s="1"/>
  <c r="G92" i="111" a="1"/>
  <c r="G92" i="111" s="1"/>
  <c r="F92" i="111" a="1"/>
  <c r="F92" i="111" s="1"/>
  <c r="E92" i="111" a="1"/>
  <c r="E92" i="111" s="1"/>
  <c r="D92" i="111" a="1"/>
  <c r="D92" i="111" s="1"/>
  <c r="S91" i="111" a="1"/>
  <c r="S91" i="111" s="1"/>
  <c r="R91" i="111" a="1"/>
  <c r="R91" i="111" s="1"/>
  <c r="Q91" i="111" a="1"/>
  <c r="Q91" i="111" s="1"/>
  <c r="P91" i="111" a="1"/>
  <c r="P91" i="111" s="1"/>
  <c r="O91" i="111" a="1"/>
  <c r="O91" i="111" s="1"/>
  <c r="N91" i="111" a="1"/>
  <c r="N91" i="111" s="1"/>
  <c r="M91" i="111" a="1"/>
  <c r="M91" i="111" s="1"/>
  <c r="L91" i="111" a="1"/>
  <c r="L91" i="111" s="1"/>
  <c r="K91" i="111" a="1"/>
  <c r="K91" i="111" s="1"/>
  <c r="J91" i="111" a="1"/>
  <c r="J91" i="111" s="1"/>
  <c r="I91" i="111" a="1"/>
  <c r="I91" i="111" s="1"/>
  <c r="H91" i="111" a="1"/>
  <c r="H91" i="111" s="1"/>
  <c r="G91" i="111" a="1"/>
  <c r="G91" i="111" s="1"/>
  <c r="F91" i="111" a="1"/>
  <c r="F91" i="111" s="1"/>
  <c r="E91" i="111" a="1"/>
  <c r="E91" i="111" s="1"/>
  <c r="D91" i="111" a="1"/>
  <c r="D91" i="111" s="1"/>
  <c r="S90" i="111" a="1"/>
  <c r="S90" i="111" s="1"/>
  <c r="R90" i="111" a="1"/>
  <c r="R90" i="111" s="1"/>
  <c r="Q90" i="111" a="1"/>
  <c r="Q90" i="111" s="1"/>
  <c r="P90" i="111" a="1"/>
  <c r="P90" i="111" s="1"/>
  <c r="O90" i="111" a="1"/>
  <c r="O90" i="111" s="1"/>
  <c r="N90" i="111" a="1"/>
  <c r="N90" i="111" s="1"/>
  <c r="M90" i="111" a="1"/>
  <c r="M90" i="111" s="1"/>
  <c r="L90" i="111" a="1"/>
  <c r="L90" i="111" s="1"/>
  <c r="K90" i="111" a="1"/>
  <c r="K90" i="111" s="1"/>
  <c r="J90" i="111" a="1"/>
  <c r="J90" i="111" s="1"/>
  <c r="I90" i="111" a="1"/>
  <c r="I90" i="111" s="1"/>
  <c r="H90" i="111" a="1"/>
  <c r="H90" i="111" s="1"/>
  <c r="G90" i="111" a="1"/>
  <c r="G90" i="111" s="1"/>
  <c r="F90" i="111" a="1"/>
  <c r="F90" i="111" s="1"/>
  <c r="E90" i="111" a="1"/>
  <c r="E90" i="111" s="1"/>
  <c r="D90" i="111" a="1"/>
  <c r="D90" i="111" s="1"/>
  <c r="D83" i="111" a="1"/>
  <c r="D83" i="111" s="1"/>
  <c r="D82" i="111" a="1"/>
  <c r="D82" i="111" s="1"/>
  <c r="D81" i="111" a="1"/>
  <c r="D81" i="111" s="1"/>
  <c r="E77" i="111" a="1"/>
  <c r="E77" i="111" s="1"/>
  <c r="D77" i="111" a="1"/>
  <c r="D77" i="111" s="1"/>
  <c r="E76" i="111" a="1"/>
  <c r="E76" i="111" s="1"/>
  <c r="D76" i="111" a="1"/>
  <c r="D76" i="111" s="1"/>
  <c r="E75" i="111" a="1"/>
  <c r="E75" i="111" s="1"/>
  <c r="D75" i="111" a="1"/>
  <c r="D75" i="111" s="1"/>
  <c r="E74" i="111" a="1"/>
  <c r="E74" i="111" s="1"/>
  <c r="D74" i="111" a="1"/>
  <c r="D74" i="111" s="1"/>
  <c r="E73" i="111" a="1"/>
  <c r="E73" i="111" s="1"/>
  <c r="D73" i="111" a="1"/>
  <c r="D73" i="111" s="1"/>
  <c r="E72" i="111" a="1"/>
  <c r="E72" i="111" s="1"/>
  <c r="D72" i="111" a="1"/>
  <c r="D72" i="111" s="1"/>
  <c r="E71" i="111" a="1"/>
  <c r="E71" i="111" s="1"/>
  <c r="D71" i="111" a="1"/>
  <c r="D71" i="111" s="1"/>
  <c r="E70" i="111" a="1"/>
  <c r="E70" i="111" s="1"/>
  <c r="D70" i="111" a="1"/>
  <c r="D70" i="111" s="1"/>
  <c r="E69" i="111" a="1"/>
  <c r="E69" i="111" s="1"/>
  <c r="D69" i="111" a="1"/>
  <c r="D69" i="111" s="1"/>
  <c r="E68" i="111" a="1"/>
  <c r="E68" i="111" s="1"/>
  <c r="D68" i="111" a="1"/>
  <c r="D68" i="111" s="1"/>
  <c r="E67" i="111" a="1"/>
  <c r="E67" i="111" s="1"/>
  <c r="D67" i="111" a="1"/>
  <c r="D67" i="111" s="1"/>
  <c r="E66" i="111" a="1"/>
  <c r="E66" i="111" s="1"/>
  <c r="D66" i="111" a="1"/>
  <c r="D66" i="111" s="1"/>
  <c r="E65" i="111" a="1"/>
  <c r="E65" i="111" s="1"/>
  <c r="D65" i="111" a="1"/>
  <c r="D65" i="111" s="1"/>
  <c r="E64" i="111" a="1"/>
  <c r="E64" i="111" s="1"/>
  <c r="D64" i="111" a="1"/>
  <c r="D64" i="111" s="1"/>
  <c r="D59" i="111" a="1"/>
  <c r="D59" i="111" s="1"/>
  <c r="D58" i="111" a="1"/>
  <c r="D58" i="111" s="1"/>
  <c r="D57" i="111" a="1"/>
  <c r="D57" i="111" s="1"/>
  <c r="G54" i="111" a="1"/>
  <c r="G54" i="111" s="1"/>
  <c r="F54" i="111" a="1"/>
  <c r="F54" i="111" s="1"/>
  <c r="E54" i="111" a="1"/>
  <c r="E54" i="111" s="1"/>
  <c r="D54" i="111" a="1"/>
  <c r="D54" i="111" s="1"/>
  <c r="G53" i="111" a="1"/>
  <c r="G53" i="111" s="1"/>
  <c r="F53" i="111" a="1"/>
  <c r="F53" i="111" s="1"/>
  <c r="E53" i="111" a="1"/>
  <c r="E53" i="111" s="1"/>
  <c r="D53" i="111" a="1"/>
  <c r="D53" i="111" s="1"/>
  <c r="G52" i="111" a="1"/>
  <c r="G52" i="111" s="1"/>
  <c r="F52" i="111" a="1"/>
  <c r="F52" i="111" s="1"/>
  <c r="E52" i="111" a="1"/>
  <c r="E52" i="111" s="1"/>
  <c r="D52" i="111" a="1"/>
  <c r="D52" i="111" s="1"/>
  <c r="G51" i="111" a="1"/>
  <c r="G51" i="111" s="1"/>
  <c r="F51" i="111" a="1"/>
  <c r="F51" i="111" s="1"/>
  <c r="E51" i="111" a="1"/>
  <c r="E51" i="111" s="1"/>
  <c r="D51" i="111" a="1"/>
  <c r="D51" i="111" s="1"/>
  <c r="G50" i="111" a="1"/>
  <c r="G50" i="111" s="1"/>
  <c r="F50" i="111" a="1"/>
  <c r="F50" i="111" s="1"/>
  <c r="E50" i="111" a="1"/>
  <c r="E50" i="111" s="1"/>
  <c r="D50" i="111" a="1"/>
  <c r="D50" i="111" s="1"/>
  <c r="G49" i="111" a="1"/>
  <c r="G49" i="111" s="1"/>
  <c r="F49" i="111" a="1"/>
  <c r="F49" i="111" s="1"/>
  <c r="E49" i="111" a="1"/>
  <c r="E49" i="111" s="1"/>
  <c r="D49" i="111" a="1"/>
  <c r="D49" i="111" s="1"/>
  <c r="G48" i="111" a="1"/>
  <c r="G48" i="111" s="1"/>
  <c r="F48" i="111" a="1"/>
  <c r="F48" i="111" s="1"/>
  <c r="E48" i="111" a="1"/>
  <c r="E48" i="111" s="1"/>
  <c r="D48" i="111" a="1"/>
  <c r="D48" i="111" s="1"/>
  <c r="D46" i="111" a="1"/>
  <c r="D46" i="111" s="1"/>
  <c r="D45" i="111" a="1"/>
  <c r="D45" i="111" s="1"/>
  <c r="E43" i="111" a="1"/>
  <c r="E43" i="111" s="1"/>
  <c r="D43" i="111" a="1"/>
  <c r="D43" i="111" s="1"/>
  <c r="E42" i="111" a="1"/>
  <c r="E42" i="111" s="1"/>
  <c r="D42" i="111" a="1"/>
  <c r="D42" i="111" s="1"/>
  <c r="E41" i="111" a="1"/>
  <c r="E41" i="111" s="1"/>
  <c r="D41" i="111" a="1"/>
  <c r="D41" i="111" s="1"/>
  <c r="E40" i="111" a="1"/>
  <c r="E40" i="111" s="1"/>
  <c r="D40" i="111" a="1"/>
  <c r="D40" i="111" s="1"/>
  <c r="E39" i="111" a="1"/>
  <c r="E39" i="111" s="1"/>
  <c r="D39" i="111" a="1"/>
  <c r="D39" i="111" s="1"/>
  <c r="E38" i="111" a="1"/>
  <c r="E38" i="111" s="1"/>
  <c r="D38" i="111" a="1"/>
  <c r="D38" i="111" s="1"/>
  <c r="E37" i="111" a="1"/>
  <c r="E37" i="111" s="1"/>
  <c r="D37" i="111" a="1"/>
  <c r="D37" i="111" s="1"/>
  <c r="D35" i="111" a="1"/>
  <c r="D35" i="111" s="1"/>
  <c r="D34" i="111" a="1"/>
  <c r="D34" i="111" s="1"/>
  <c r="D30" i="111" a="1"/>
  <c r="D30" i="111" s="1"/>
  <c r="D29" i="111" a="1"/>
  <c r="D29" i="111" s="1"/>
  <c r="D28" i="111" a="1"/>
  <c r="D28" i="111" s="1"/>
  <c r="D27" i="111" a="1"/>
  <c r="D27" i="111" s="1"/>
  <c r="D26" i="111" a="1"/>
  <c r="D26" i="111" s="1"/>
  <c r="D25" i="111" a="1"/>
  <c r="D25" i="111" s="1"/>
  <c r="D24" i="111" a="1"/>
  <c r="D24" i="111" s="1"/>
  <c r="D23" i="111" a="1"/>
  <c r="D23" i="111" s="1"/>
  <c r="D22" i="111" a="1"/>
  <c r="D22" i="111" s="1"/>
  <c r="D21" i="111" a="1"/>
  <c r="D21" i="111" s="1"/>
  <c r="D19" i="111" a="1"/>
  <c r="D19" i="111" s="1"/>
  <c r="D18" i="111" a="1"/>
  <c r="D18" i="111" s="1"/>
  <c r="F14" i="111" a="1"/>
  <c r="F14" i="111" s="1"/>
  <c r="E14" i="111" a="1"/>
  <c r="E14" i="111" s="1"/>
  <c r="D14" i="111" a="1"/>
  <c r="D14" i="111" s="1"/>
  <c r="F13" i="111" a="1"/>
  <c r="F13" i="111" s="1"/>
  <c r="E13" i="111" a="1"/>
  <c r="E13" i="111" s="1"/>
  <c r="D13" i="111" a="1"/>
  <c r="D13" i="111" s="1"/>
  <c r="F12" i="111" a="1"/>
  <c r="F12" i="111" s="1"/>
  <c r="E12" i="111" a="1"/>
  <c r="E12" i="111" s="1"/>
  <c r="D12" i="111" a="1"/>
  <c r="D12" i="111" s="1"/>
  <c r="F11" i="111" a="1"/>
  <c r="F11" i="111" s="1"/>
  <c r="E11" i="111" a="1"/>
  <c r="E11" i="111" s="1"/>
  <c r="D11" i="111" a="1"/>
  <c r="D11" i="111" s="1"/>
  <c r="F10" i="111" a="1"/>
  <c r="F10" i="111" s="1"/>
  <c r="E10" i="111" a="1"/>
  <c r="E10" i="111" s="1"/>
  <c r="D10" i="111" a="1"/>
  <c r="D10" i="111" s="1"/>
  <c r="F9" i="111" a="1"/>
  <c r="F9" i="111" s="1"/>
  <c r="E9" i="111" a="1"/>
  <c r="E9" i="111" s="1"/>
  <c r="D9" i="111" a="1"/>
  <c r="D9" i="111" s="1"/>
  <c r="F8" i="111" a="1"/>
  <c r="F8" i="111" s="1"/>
  <c r="E8" i="111" a="1"/>
  <c r="E8" i="111" s="1"/>
  <c r="D8" i="111" a="1"/>
  <c r="D8" i="111" s="1"/>
  <c r="F7" i="111" a="1"/>
  <c r="F7" i="111" s="1"/>
  <c r="E7" i="111" a="1"/>
  <c r="E7" i="111" s="1"/>
  <c r="D7" i="111" a="1"/>
  <c r="D7" i="111" s="1"/>
  <c r="D5" i="111" a="1"/>
  <c r="D5" i="111" s="1"/>
  <c r="I52" i="69"/>
  <c r="D48" i="74" a="1"/>
  <c r="D48" i="74" s="1"/>
  <c r="E46" i="74" a="1"/>
  <c r="E46" i="74" s="1"/>
  <c r="E45" i="74" a="1"/>
  <c r="E45" i="74" s="1"/>
  <c r="D41" i="74" a="1"/>
  <c r="D41" i="74" s="1"/>
  <c r="D40" i="74" a="1"/>
  <c r="D40" i="74" s="1"/>
  <c r="M59" i="69" a="1"/>
  <c r="M59" i="69" s="1"/>
  <c r="N65" i="69" a="1"/>
  <c r="N65" i="69" s="1"/>
  <c r="N64" i="69" a="1"/>
  <c r="N64" i="69" s="1"/>
  <c r="D13" i="74" a="1"/>
  <c r="D13" i="74" s="1"/>
  <c r="E11" i="74" a="1"/>
  <c r="E11" i="74" s="1"/>
  <c r="E10" i="74" a="1"/>
  <c r="E10" i="74" s="1"/>
  <c r="D6" i="74" a="1"/>
  <c r="D6" i="74" s="1"/>
  <c r="D5" i="74" a="1"/>
  <c r="D5" i="74" s="1"/>
  <c r="M67" i="69" a="1"/>
  <c r="M67" i="69" s="1"/>
  <c r="M58" i="69" a="1"/>
  <c r="M58" i="69" s="1"/>
  <c r="V54" i="69" a="1"/>
  <c r="V54" i="69" s="1"/>
  <c r="S54" i="69" a="1"/>
  <c r="S54" i="69" s="1"/>
  <c r="R54" i="69" a="1"/>
  <c r="R54" i="69" s="1"/>
  <c r="D48" i="69" a="1"/>
  <c r="D48" i="69" s="1"/>
  <c r="V53" i="69" a="1"/>
  <c r="V53" i="69" s="1"/>
  <c r="S53" i="69" a="1"/>
  <c r="S53" i="69" s="1"/>
  <c r="R53" i="69" a="1"/>
  <c r="R53" i="69" s="1"/>
  <c r="V52" i="69" a="1"/>
  <c r="V52" i="69" s="1"/>
  <c r="S52" i="69" a="1"/>
  <c r="S52" i="69" s="1"/>
  <c r="R52" i="69" a="1"/>
  <c r="R52" i="69" s="1"/>
  <c r="E46" i="69" a="1"/>
  <c r="E46" i="69" s="1"/>
  <c r="F59" i="69" s="1"/>
  <c r="E45" i="69" a="1"/>
  <c r="E45" i="69" s="1"/>
  <c r="V49" i="69" a="1"/>
  <c r="V49" i="69" s="1"/>
  <c r="S49" i="69" a="1"/>
  <c r="S49" i="69" s="1"/>
  <c r="R49" i="69" a="1"/>
  <c r="R49" i="69" s="1"/>
  <c r="V48" i="69" a="1"/>
  <c r="V48" i="69" s="1"/>
  <c r="S48" i="69" a="1"/>
  <c r="S48" i="69" s="1"/>
  <c r="R48" i="69" a="1"/>
  <c r="R48" i="69" s="1"/>
  <c r="D40" i="69" a="1"/>
  <c r="D40" i="69" s="1"/>
  <c r="D39" i="69" a="1"/>
  <c r="D39" i="69" s="1"/>
  <c r="M35" i="69" a="1"/>
  <c r="M35" i="69" s="1"/>
  <c r="N33" i="69" a="1"/>
  <c r="N33" i="69" s="1"/>
  <c r="V43" i="69" s="1"/>
  <c r="N32" i="69" a="1"/>
  <c r="N32" i="69" s="1"/>
  <c r="V44" i="69" s="1"/>
  <c r="M28" i="69" a="1"/>
  <c r="M28" i="69" s="1"/>
  <c r="M27" i="69" a="1"/>
  <c r="M27" i="69" s="1"/>
  <c r="M23" i="69" a="1"/>
  <c r="M23" i="69" s="1"/>
  <c r="N21" i="69" a="1"/>
  <c r="N21" i="69" s="1"/>
  <c r="S43" i="69" s="1"/>
  <c r="N20" i="69" a="1"/>
  <c r="N20" i="69" s="1"/>
  <c r="S44" i="69" s="1"/>
  <c r="M17" i="69" a="1"/>
  <c r="M17" i="69" s="1"/>
  <c r="M16" i="69" a="1"/>
  <c r="M16" i="69" s="1"/>
  <c r="D13" i="69" a="1"/>
  <c r="D13" i="69" s="1"/>
  <c r="M12" i="69" a="1"/>
  <c r="M12" i="69" s="1"/>
  <c r="E11" i="69" a="1"/>
  <c r="E11" i="69" s="1"/>
  <c r="N10" i="69" a="1"/>
  <c r="N10" i="69" s="1"/>
  <c r="R43" i="69" s="1"/>
  <c r="E10" i="69" a="1"/>
  <c r="E10" i="69" s="1"/>
  <c r="N9" i="69" a="1"/>
  <c r="N9" i="69" s="1"/>
  <c r="R44" i="69" s="1"/>
  <c r="M6" i="69" a="1"/>
  <c r="M6" i="69" s="1"/>
  <c r="D6" i="69" a="1"/>
  <c r="D6" i="69" s="1"/>
  <c r="M5" i="69" a="1"/>
  <c r="M5" i="69" s="1"/>
  <c r="D5" i="69" a="1"/>
  <c r="D5" i="69" s="1"/>
  <c r="I44" i="70"/>
  <c r="G34" i="70"/>
  <c r="E25" i="114" s="1" a="1"/>
  <c r="Q54" i="69"/>
  <c r="Q53" i="69"/>
  <c r="Q52" i="69"/>
  <c r="Q49" i="69"/>
  <c r="Q48" i="69"/>
  <c r="F24" i="70"/>
  <c r="F18" i="70"/>
  <c r="O93" i="69" a="1"/>
  <c r="O93" i="69" s="1"/>
  <c r="M90" i="69" a="1"/>
  <c r="M90" i="69" s="1"/>
  <c r="N82" i="69" a="1"/>
  <c r="N82" i="69" s="1"/>
  <c r="N77" i="69" a="1"/>
  <c r="N77" i="69" s="1"/>
  <c r="S71" i="69"/>
  <c r="T54" i="69"/>
  <c r="T53" i="69"/>
  <c r="T52" i="69"/>
  <c r="U52" i="69" s="1"/>
  <c r="T49" i="69"/>
  <c r="U49" i="69" s="1"/>
  <c r="T48" i="69"/>
  <c r="U48" i="69" s="1"/>
  <c r="N50" i="69" a="1"/>
  <c r="N50" i="69" s="1"/>
  <c r="N45" i="69" a="1"/>
  <c r="N45" i="69" s="1"/>
  <c r="S73" i="69"/>
  <c r="S70" i="69"/>
  <c r="F83" i="69" a="1"/>
  <c r="F83" i="69" s="1"/>
  <c r="D80" i="69" a="1"/>
  <c r="D80" i="69" s="1"/>
  <c r="E7" i="74" a="1"/>
  <c r="N60" i="69" a="1"/>
  <c r="E41" i="69" a="1"/>
  <c r="I123" i="115" l="1"/>
  <c r="J49" i="115"/>
  <c r="G96" i="116"/>
  <c r="I55" i="116" a="1"/>
  <c r="I55" i="116" s="1"/>
  <c r="I14" i="116" a="1"/>
  <c r="I14" i="116" s="1"/>
  <c r="G147" i="115"/>
  <c r="G80" i="115"/>
  <c r="E25" i="114"/>
  <c r="G53" i="113"/>
  <c r="E33" i="15"/>
  <c r="E30" i="15"/>
  <c r="F57" i="74"/>
  <c r="F76" i="74"/>
  <c r="P91" i="69"/>
  <c r="G81" i="69"/>
  <c r="H50" i="111"/>
  <c r="I50" i="69" s="1"/>
  <c r="H51" i="111"/>
  <c r="H49" i="111"/>
  <c r="H53" i="111"/>
  <c r="H48" i="111"/>
  <c r="I50" i="74" s="1"/>
  <c r="H54" i="111"/>
  <c r="H52" i="111"/>
  <c r="J44" i="70"/>
  <c r="E7" i="74"/>
  <c r="N60" i="69"/>
  <c r="E41" i="69"/>
  <c r="U53" i="69"/>
  <c r="U54" i="69"/>
  <c r="F70" i="116" l="1" a="1"/>
  <c r="F70" i="116" s="1"/>
  <c r="F68" i="116" a="1"/>
  <c r="F68" i="116" s="1"/>
  <c r="F69" i="116" a="1"/>
  <c r="F69" i="116" s="1"/>
  <c r="F71" i="116" a="1"/>
  <c r="F71" i="116" s="1"/>
  <c r="F73" i="116" a="1"/>
  <c r="F73" i="116" s="1"/>
  <c r="F72" i="116" a="1"/>
  <c r="F72" i="116" s="1"/>
  <c r="F66" i="116" a="1"/>
  <c r="F66" i="116" s="1"/>
  <c r="F64" i="116" a="1"/>
  <c r="F64" i="116" s="1"/>
  <c r="F74" i="116" a="1"/>
  <c r="F74" i="116" s="1"/>
  <c r="F67" i="116" a="1"/>
  <c r="F67" i="116" s="1"/>
  <c r="F65" i="116" a="1"/>
  <c r="F65" i="116" s="1"/>
  <c r="J91" i="116"/>
  <c r="I124" i="115"/>
  <c r="J50" i="115"/>
  <c r="J53" i="115"/>
  <c r="I127" i="115"/>
  <c r="I20" i="114"/>
  <c r="K46" i="113"/>
  <c r="S69" i="69"/>
  <c r="O88" i="69"/>
  <c r="E7" i="69" a="1"/>
  <c r="E76" i="116" l="1"/>
  <c r="J89" i="116" s="1"/>
  <c r="F142" i="115" a="1"/>
  <c r="F142" i="115" s="1"/>
  <c r="F134" i="115" a="1"/>
  <c r="F134" i="115" s="1"/>
  <c r="F135" i="115" a="1"/>
  <c r="F135" i="115" s="1"/>
  <c r="F137" i="115" a="1"/>
  <c r="F137" i="115" s="1"/>
  <c r="F140" i="115" a="1"/>
  <c r="F140" i="115" s="1"/>
  <c r="F138" i="115" a="1"/>
  <c r="F138" i="115" s="1"/>
  <c r="F139" i="115" a="1"/>
  <c r="F139" i="115" s="1"/>
  <c r="F141" i="115" a="1"/>
  <c r="F141" i="115" s="1"/>
  <c r="F136" i="115" a="1"/>
  <c r="F136" i="115" s="1"/>
  <c r="F132" i="115" a="1"/>
  <c r="F132" i="115" s="1"/>
  <c r="F133" i="115" a="1"/>
  <c r="F133" i="115" s="1"/>
  <c r="H29" i="114" a="1"/>
  <c r="H29" i="114" s="1"/>
  <c r="H27" i="114" a="1"/>
  <c r="H27" i="114" s="1"/>
  <c r="H28" i="114" a="1"/>
  <c r="H28" i="114" s="1"/>
  <c r="H26" i="114" a="1"/>
  <c r="H26" i="114" s="1"/>
  <c r="H25" i="114" a="1"/>
  <c r="H25" i="114" s="1"/>
  <c r="G18" i="70"/>
  <c r="P45" i="69" a="1"/>
  <c r="G24" i="70"/>
  <c r="P50" i="69" a="1"/>
  <c r="P50" i="69" s="1"/>
  <c r="F78" i="69"/>
  <c r="E7" i="69"/>
  <c r="E144" i="115" l="1"/>
  <c r="G146" i="115" s="1"/>
  <c r="E149" i="115" s="1" a="1"/>
  <c r="E149" i="115" s="1"/>
  <c r="H13" i="13" s="1"/>
  <c r="I13" i="13" s="1"/>
  <c r="E31" i="114"/>
  <c r="P45" i="69"/>
  <c r="E13" i="13" l="1"/>
  <c r="F13" i="13" s="1"/>
  <c r="H12" i="13"/>
  <c r="I12" i="13" s="1"/>
  <c r="E12" i="13"/>
  <c r="F12" i="13" s="1"/>
  <c r="I51" i="69"/>
  <c r="I53" i="69"/>
  <c r="D55" i="110" l="1" a="1"/>
  <c r="D55" i="110" s="1"/>
  <c r="E55" i="110" a="1"/>
  <c r="E55" i="110" s="1"/>
  <c r="D54" i="110" a="1"/>
  <c r="D54" i="110" s="1"/>
  <c r="E54" i="110" a="1"/>
  <c r="E54" i="110" s="1"/>
  <c r="D53" i="110" a="1"/>
  <c r="D53" i="110" s="1"/>
  <c r="E53" i="110" a="1"/>
  <c r="E53" i="110" s="1"/>
  <c r="D52" i="110" a="1"/>
  <c r="D52" i="110" s="1"/>
  <c r="E52" i="110" a="1"/>
  <c r="E52" i="110" s="1"/>
  <c r="E51" i="110" a="1"/>
  <c r="E51" i="110" s="1"/>
  <c r="D51" i="110" a="1"/>
  <c r="D51" i="110" s="1"/>
  <c r="D49" i="110" a="1"/>
  <c r="D49" i="110" s="1"/>
  <c r="D48" i="110" a="1"/>
  <c r="D48" i="110" s="1"/>
  <c r="D7" i="110" a="1"/>
  <c r="D7" i="110" s="1"/>
  <c r="D6" i="110" a="1"/>
  <c r="D6" i="110" s="1"/>
  <c r="W108" i="110" l="1" a="1"/>
  <c r="W108" i="110" s="1"/>
  <c r="V108" i="110" a="1"/>
  <c r="V108" i="110" s="1"/>
  <c r="U108" i="110" a="1"/>
  <c r="U108" i="110" s="1"/>
  <c r="T108" i="110" a="1"/>
  <c r="T108" i="110" s="1"/>
  <c r="S108" i="110" a="1"/>
  <c r="S108" i="110" s="1"/>
  <c r="R108" i="110" a="1"/>
  <c r="R108" i="110" s="1"/>
  <c r="Q108" i="110" a="1"/>
  <c r="Q108" i="110" s="1"/>
  <c r="P108" i="110" a="1"/>
  <c r="P108" i="110" s="1"/>
  <c r="O108" i="110" a="1"/>
  <c r="O108" i="110" s="1"/>
  <c r="N108" i="110" a="1"/>
  <c r="N108" i="110" s="1"/>
  <c r="M108" i="110" a="1"/>
  <c r="M108" i="110" s="1"/>
  <c r="L108" i="110" a="1"/>
  <c r="L108" i="110" s="1"/>
  <c r="K108" i="110" a="1"/>
  <c r="K108" i="110" s="1"/>
  <c r="J108" i="110" a="1"/>
  <c r="J108" i="110" s="1"/>
  <c r="I108" i="110" a="1"/>
  <c r="I108" i="110" s="1"/>
  <c r="H108" i="110" a="1"/>
  <c r="H108" i="110" s="1"/>
  <c r="G108" i="110" a="1"/>
  <c r="G108" i="110" s="1"/>
  <c r="F108" i="110" a="1"/>
  <c r="F108" i="110" s="1"/>
  <c r="E108" i="110" a="1"/>
  <c r="E108" i="110" s="1"/>
  <c r="D108" i="110" a="1"/>
  <c r="D108" i="110" s="1"/>
  <c r="W107" i="110" a="1"/>
  <c r="W107" i="110" s="1"/>
  <c r="V107" i="110" a="1"/>
  <c r="V107" i="110" s="1"/>
  <c r="U107" i="110" a="1"/>
  <c r="U107" i="110" s="1"/>
  <c r="T107" i="110" a="1"/>
  <c r="T107" i="110" s="1"/>
  <c r="S107" i="110" a="1"/>
  <c r="S107" i="110" s="1"/>
  <c r="R107" i="110" a="1"/>
  <c r="R107" i="110" s="1"/>
  <c r="Q107" i="110" a="1"/>
  <c r="Q107" i="110" s="1"/>
  <c r="P107" i="110" a="1"/>
  <c r="P107" i="110" s="1"/>
  <c r="O107" i="110" a="1"/>
  <c r="O107" i="110" s="1"/>
  <c r="N107" i="110" a="1"/>
  <c r="N107" i="110" s="1"/>
  <c r="M107" i="110" a="1"/>
  <c r="M107" i="110" s="1"/>
  <c r="L107" i="110" a="1"/>
  <c r="L107" i="110" s="1"/>
  <c r="K107" i="110" a="1"/>
  <c r="K107" i="110" s="1"/>
  <c r="J107" i="110" a="1"/>
  <c r="J107" i="110" s="1"/>
  <c r="I107" i="110" a="1"/>
  <c r="I107" i="110" s="1"/>
  <c r="H107" i="110" a="1"/>
  <c r="H107" i="110" s="1"/>
  <c r="G107" i="110" a="1"/>
  <c r="G107" i="110" s="1"/>
  <c r="F107" i="110" a="1"/>
  <c r="F107" i="110" s="1"/>
  <c r="E107" i="110" a="1"/>
  <c r="E107" i="110" s="1"/>
  <c r="D107" i="110" a="1"/>
  <c r="D107" i="110" s="1"/>
  <c r="W106" i="110" a="1"/>
  <c r="W106" i="110" s="1"/>
  <c r="V106" i="110" a="1"/>
  <c r="V106" i="110" s="1"/>
  <c r="U106" i="110" a="1"/>
  <c r="U106" i="110" s="1"/>
  <c r="T106" i="110" a="1"/>
  <c r="T106" i="110" s="1"/>
  <c r="S106" i="110" a="1"/>
  <c r="S106" i="110" s="1"/>
  <c r="R106" i="110" a="1"/>
  <c r="R106" i="110" s="1"/>
  <c r="Q106" i="110" a="1"/>
  <c r="Q106" i="110" s="1"/>
  <c r="P106" i="110" a="1"/>
  <c r="P106" i="110" s="1"/>
  <c r="O106" i="110" a="1"/>
  <c r="O106" i="110" s="1"/>
  <c r="N106" i="110" a="1"/>
  <c r="N106" i="110" s="1"/>
  <c r="M106" i="110" a="1"/>
  <c r="M106" i="110" s="1"/>
  <c r="L106" i="110" a="1"/>
  <c r="L106" i="110" s="1"/>
  <c r="K106" i="110" a="1"/>
  <c r="K106" i="110" s="1"/>
  <c r="J106" i="110" a="1"/>
  <c r="J106" i="110" s="1"/>
  <c r="I106" i="110" a="1"/>
  <c r="I106" i="110" s="1"/>
  <c r="H106" i="110" a="1"/>
  <c r="H106" i="110" s="1"/>
  <c r="G106" i="110" a="1"/>
  <c r="G106" i="110" s="1"/>
  <c r="F106" i="110" a="1"/>
  <c r="F106" i="110" s="1"/>
  <c r="E106" i="110" a="1"/>
  <c r="E106" i="110" s="1"/>
  <c r="D106" i="110" a="1"/>
  <c r="D106" i="110" s="1"/>
  <c r="W105" i="110" a="1"/>
  <c r="W105" i="110" s="1"/>
  <c r="V105" i="110" a="1"/>
  <c r="V105" i="110" s="1"/>
  <c r="U105" i="110" a="1"/>
  <c r="U105" i="110" s="1"/>
  <c r="T105" i="110" a="1"/>
  <c r="T105" i="110" s="1"/>
  <c r="S105" i="110" a="1"/>
  <c r="S105" i="110" s="1"/>
  <c r="R105" i="110" a="1"/>
  <c r="R105" i="110" s="1"/>
  <c r="Q105" i="110" a="1"/>
  <c r="Q105" i="110" s="1"/>
  <c r="P105" i="110" a="1"/>
  <c r="P105" i="110" s="1"/>
  <c r="O105" i="110" a="1"/>
  <c r="O105" i="110" s="1"/>
  <c r="N105" i="110" a="1"/>
  <c r="N105" i="110" s="1"/>
  <c r="M105" i="110" a="1"/>
  <c r="M105" i="110" s="1"/>
  <c r="L105" i="110" a="1"/>
  <c r="L105" i="110" s="1"/>
  <c r="K105" i="110" a="1"/>
  <c r="K105" i="110" s="1"/>
  <c r="J105" i="110" a="1"/>
  <c r="J105" i="110" s="1"/>
  <c r="I105" i="110" a="1"/>
  <c r="I105" i="110" s="1"/>
  <c r="H105" i="110" a="1"/>
  <c r="H105" i="110" s="1"/>
  <c r="G105" i="110" a="1"/>
  <c r="G105" i="110" s="1"/>
  <c r="F105" i="110" a="1"/>
  <c r="F105" i="110" s="1"/>
  <c r="E105" i="110" a="1"/>
  <c r="E105" i="110" s="1"/>
  <c r="D105" i="110" a="1"/>
  <c r="D105" i="110" s="1"/>
  <c r="W104" i="110" a="1"/>
  <c r="W104" i="110" s="1"/>
  <c r="V104" i="110" a="1"/>
  <c r="V104" i="110" s="1"/>
  <c r="U104" i="110" a="1"/>
  <c r="U104" i="110" s="1"/>
  <c r="T104" i="110" a="1"/>
  <c r="T104" i="110" s="1"/>
  <c r="S104" i="110" a="1"/>
  <c r="S104" i="110" s="1"/>
  <c r="R104" i="110" a="1"/>
  <c r="R104" i="110" s="1"/>
  <c r="Q104" i="110" a="1"/>
  <c r="Q104" i="110" s="1"/>
  <c r="P104" i="110" a="1"/>
  <c r="P104" i="110" s="1"/>
  <c r="O104" i="110" a="1"/>
  <c r="O104" i="110" s="1"/>
  <c r="N104" i="110" a="1"/>
  <c r="N104" i="110" s="1"/>
  <c r="M104" i="110" a="1"/>
  <c r="M104" i="110" s="1"/>
  <c r="L104" i="110" a="1"/>
  <c r="L104" i="110" s="1"/>
  <c r="K104" i="110" a="1"/>
  <c r="K104" i="110" s="1"/>
  <c r="J104" i="110" a="1"/>
  <c r="J104" i="110" s="1"/>
  <c r="I104" i="110" a="1"/>
  <c r="I104" i="110" s="1"/>
  <c r="H104" i="110" a="1"/>
  <c r="H104" i="110" s="1"/>
  <c r="G104" i="110" a="1"/>
  <c r="G104" i="110" s="1"/>
  <c r="F104" i="110" a="1"/>
  <c r="F104" i="110" s="1"/>
  <c r="E104" i="110" a="1"/>
  <c r="E104" i="110" s="1"/>
  <c r="D104" i="110" a="1"/>
  <c r="D104" i="110" s="1"/>
  <c r="W103" i="110" a="1"/>
  <c r="W103" i="110" s="1"/>
  <c r="V103" i="110" a="1"/>
  <c r="V103" i="110" s="1"/>
  <c r="U103" i="110" a="1"/>
  <c r="U103" i="110" s="1"/>
  <c r="T103" i="110" a="1"/>
  <c r="T103" i="110" s="1"/>
  <c r="S103" i="110" a="1"/>
  <c r="S103" i="110" s="1"/>
  <c r="R103" i="110" a="1"/>
  <c r="R103" i="110" s="1"/>
  <c r="Q103" i="110" a="1"/>
  <c r="Q103" i="110" s="1"/>
  <c r="P103" i="110" a="1"/>
  <c r="P103" i="110" s="1"/>
  <c r="O103" i="110" a="1"/>
  <c r="O103" i="110" s="1"/>
  <c r="N103" i="110" a="1"/>
  <c r="N103" i="110" s="1"/>
  <c r="M103" i="110" a="1"/>
  <c r="M103" i="110" s="1"/>
  <c r="L103" i="110" a="1"/>
  <c r="L103" i="110" s="1"/>
  <c r="K103" i="110" a="1"/>
  <c r="K103" i="110" s="1"/>
  <c r="J103" i="110" a="1"/>
  <c r="J103" i="110" s="1"/>
  <c r="I103" i="110" a="1"/>
  <c r="I103" i="110" s="1"/>
  <c r="H103" i="110" a="1"/>
  <c r="H103" i="110" s="1"/>
  <c r="G103" i="110" a="1"/>
  <c r="G103" i="110" s="1"/>
  <c r="F103" i="110" a="1"/>
  <c r="F103" i="110" s="1"/>
  <c r="E103" i="110" a="1"/>
  <c r="E103" i="110" s="1"/>
  <c r="D103" i="110" a="1"/>
  <c r="D103" i="110" s="1"/>
  <c r="W102" i="110" a="1"/>
  <c r="W102" i="110" s="1"/>
  <c r="V102" i="110" a="1"/>
  <c r="V102" i="110" s="1"/>
  <c r="U102" i="110" a="1"/>
  <c r="U102" i="110" s="1"/>
  <c r="T102" i="110" a="1"/>
  <c r="T102" i="110" s="1"/>
  <c r="S102" i="110" a="1"/>
  <c r="S102" i="110" s="1"/>
  <c r="R102" i="110" a="1"/>
  <c r="R102" i="110" s="1"/>
  <c r="Q102" i="110" a="1"/>
  <c r="Q102" i="110" s="1"/>
  <c r="P102" i="110" a="1"/>
  <c r="P102" i="110" s="1"/>
  <c r="O102" i="110" a="1"/>
  <c r="O102" i="110" s="1"/>
  <c r="N102" i="110" a="1"/>
  <c r="N102" i="110" s="1"/>
  <c r="M102" i="110" a="1"/>
  <c r="M102" i="110" s="1"/>
  <c r="L102" i="110" a="1"/>
  <c r="L102" i="110" s="1"/>
  <c r="K102" i="110" a="1"/>
  <c r="K102" i="110" s="1"/>
  <c r="J102" i="110" a="1"/>
  <c r="J102" i="110" s="1"/>
  <c r="I102" i="110" a="1"/>
  <c r="I102" i="110" s="1"/>
  <c r="H102" i="110" a="1"/>
  <c r="H102" i="110" s="1"/>
  <c r="G102" i="110" a="1"/>
  <c r="G102" i="110" s="1"/>
  <c r="F102" i="110" a="1"/>
  <c r="F102" i="110" s="1"/>
  <c r="E102" i="110" a="1"/>
  <c r="E102" i="110" s="1"/>
  <c r="D102" i="110" a="1"/>
  <c r="D102" i="110" s="1"/>
  <c r="W101" i="110" a="1"/>
  <c r="W101" i="110" s="1"/>
  <c r="V101" i="110" a="1"/>
  <c r="V101" i="110" s="1"/>
  <c r="U101" i="110" a="1"/>
  <c r="U101" i="110" s="1"/>
  <c r="T101" i="110" a="1"/>
  <c r="T101" i="110" s="1"/>
  <c r="S101" i="110" a="1"/>
  <c r="S101" i="110" s="1"/>
  <c r="R101" i="110" a="1"/>
  <c r="R101" i="110" s="1"/>
  <c r="Q101" i="110" a="1"/>
  <c r="Q101" i="110" s="1"/>
  <c r="P101" i="110" a="1"/>
  <c r="P101" i="110" s="1"/>
  <c r="O101" i="110" a="1"/>
  <c r="O101" i="110" s="1"/>
  <c r="N101" i="110" a="1"/>
  <c r="N101" i="110" s="1"/>
  <c r="M101" i="110" a="1"/>
  <c r="M101" i="110" s="1"/>
  <c r="L101" i="110" a="1"/>
  <c r="L101" i="110" s="1"/>
  <c r="K101" i="110" a="1"/>
  <c r="K101" i="110" s="1"/>
  <c r="J101" i="110" a="1"/>
  <c r="J101" i="110" s="1"/>
  <c r="I101" i="110" a="1"/>
  <c r="I101" i="110" s="1"/>
  <c r="H101" i="110" a="1"/>
  <c r="H101" i="110" s="1"/>
  <c r="G101" i="110" a="1"/>
  <c r="G101" i="110" s="1"/>
  <c r="F101" i="110" a="1"/>
  <c r="F101" i="110" s="1"/>
  <c r="E101" i="110" a="1"/>
  <c r="E101" i="110" s="1"/>
  <c r="D101" i="110" a="1"/>
  <c r="D101" i="110" s="1"/>
  <c r="W100" i="110" a="1"/>
  <c r="W100" i="110" s="1"/>
  <c r="V100" i="110" a="1"/>
  <c r="V100" i="110" s="1"/>
  <c r="U100" i="110" a="1"/>
  <c r="U100" i="110" s="1"/>
  <c r="T100" i="110" a="1"/>
  <c r="T100" i="110" s="1"/>
  <c r="S100" i="110" a="1"/>
  <c r="S100" i="110" s="1"/>
  <c r="R100" i="110" a="1"/>
  <c r="R100" i="110" s="1"/>
  <c r="Q100" i="110" a="1"/>
  <c r="Q100" i="110" s="1"/>
  <c r="P100" i="110" a="1"/>
  <c r="P100" i="110" s="1"/>
  <c r="O100" i="110" a="1"/>
  <c r="O100" i="110" s="1"/>
  <c r="N100" i="110" a="1"/>
  <c r="N100" i="110" s="1"/>
  <c r="M100" i="110" a="1"/>
  <c r="M100" i="110" s="1"/>
  <c r="L100" i="110" a="1"/>
  <c r="L100" i="110" s="1"/>
  <c r="K100" i="110" a="1"/>
  <c r="K100" i="110" s="1"/>
  <c r="J100" i="110" a="1"/>
  <c r="J100" i="110" s="1"/>
  <c r="I100" i="110" a="1"/>
  <c r="I100" i="110" s="1"/>
  <c r="H100" i="110" a="1"/>
  <c r="H100" i="110" s="1"/>
  <c r="G100" i="110" a="1"/>
  <c r="G100" i="110" s="1"/>
  <c r="F100" i="110" a="1"/>
  <c r="F100" i="110" s="1"/>
  <c r="E100" i="110" a="1"/>
  <c r="E100" i="110" s="1"/>
  <c r="D100" i="110" a="1"/>
  <c r="D100" i="110" s="1"/>
  <c r="W99" i="110" a="1"/>
  <c r="W99" i="110" s="1"/>
  <c r="V99" i="110" a="1"/>
  <c r="V99" i="110" s="1"/>
  <c r="U99" i="110" a="1"/>
  <c r="U99" i="110" s="1"/>
  <c r="T99" i="110" a="1"/>
  <c r="T99" i="110" s="1"/>
  <c r="S99" i="110" a="1"/>
  <c r="S99" i="110" s="1"/>
  <c r="R99" i="110" a="1"/>
  <c r="R99" i="110" s="1"/>
  <c r="Q99" i="110" a="1"/>
  <c r="Q99" i="110" s="1"/>
  <c r="P99" i="110" a="1"/>
  <c r="P99" i="110" s="1"/>
  <c r="O99" i="110" a="1"/>
  <c r="O99" i="110" s="1"/>
  <c r="N99" i="110" a="1"/>
  <c r="N99" i="110" s="1"/>
  <c r="M99" i="110" a="1"/>
  <c r="M99" i="110" s="1"/>
  <c r="L99" i="110" a="1"/>
  <c r="L99" i="110" s="1"/>
  <c r="K99" i="110" a="1"/>
  <c r="K99" i="110" s="1"/>
  <c r="J99" i="110" a="1"/>
  <c r="J99" i="110" s="1"/>
  <c r="I99" i="110" a="1"/>
  <c r="I99" i="110" s="1"/>
  <c r="H99" i="110" a="1"/>
  <c r="H99" i="110" s="1"/>
  <c r="G99" i="110" a="1"/>
  <c r="G99" i="110" s="1"/>
  <c r="F99" i="110" a="1"/>
  <c r="F99" i="110" s="1"/>
  <c r="E99" i="110" a="1"/>
  <c r="E99" i="110" s="1"/>
  <c r="D99" i="110" a="1"/>
  <c r="D99" i="110" s="1"/>
  <c r="W98" i="110" a="1"/>
  <c r="W98" i="110" s="1"/>
  <c r="V98" i="110" a="1"/>
  <c r="V98" i="110" s="1"/>
  <c r="U98" i="110" a="1"/>
  <c r="U98" i="110" s="1"/>
  <c r="T98" i="110" a="1"/>
  <c r="T98" i="110" s="1"/>
  <c r="S98" i="110" a="1"/>
  <c r="S98" i="110" s="1"/>
  <c r="R98" i="110" a="1"/>
  <c r="R98" i="110" s="1"/>
  <c r="Q98" i="110" a="1"/>
  <c r="Q98" i="110" s="1"/>
  <c r="P98" i="110" a="1"/>
  <c r="P98" i="110" s="1"/>
  <c r="O98" i="110" a="1"/>
  <c r="O98" i="110" s="1"/>
  <c r="N98" i="110" a="1"/>
  <c r="N98" i="110" s="1"/>
  <c r="M98" i="110" a="1"/>
  <c r="M98" i="110" s="1"/>
  <c r="L98" i="110" a="1"/>
  <c r="L98" i="110" s="1"/>
  <c r="K98" i="110" a="1"/>
  <c r="K98" i="110" s="1"/>
  <c r="J98" i="110" a="1"/>
  <c r="J98" i="110" s="1"/>
  <c r="I98" i="110" a="1"/>
  <c r="I98" i="110" s="1"/>
  <c r="H98" i="110" a="1"/>
  <c r="H98" i="110" s="1"/>
  <c r="G98" i="110" a="1"/>
  <c r="G98" i="110" s="1"/>
  <c r="F98" i="110" a="1"/>
  <c r="F98" i="110" s="1"/>
  <c r="E98" i="110" a="1"/>
  <c r="E98" i="110" s="1"/>
  <c r="D98" i="110" a="1"/>
  <c r="D98" i="110" s="1"/>
  <c r="W97" i="110" a="1"/>
  <c r="W97" i="110" s="1"/>
  <c r="V97" i="110" a="1"/>
  <c r="V97" i="110" s="1"/>
  <c r="U97" i="110" a="1"/>
  <c r="U97" i="110" s="1"/>
  <c r="T97" i="110" a="1"/>
  <c r="T97"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J97" i="110" a="1"/>
  <c r="J97" i="110" s="1"/>
  <c r="I97" i="110" a="1"/>
  <c r="I97" i="110" s="1"/>
  <c r="H97" i="110" a="1"/>
  <c r="H97" i="110" s="1"/>
  <c r="G97" i="110" a="1"/>
  <c r="G97" i="110" s="1"/>
  <c r="F97" i="110" a="1"/>
  <c r="F97" i="110" s="1"/>
  <c r="E97" i="110" a="1"/>
  <c r="E97" i="110" s="1"/>
  <c r="D97" i="110" a="1"/>
  <c r="D97" i="110" s="1"/>
  <c r="W96" i="110" a="1"/>
  <c r="W96" i="110" s="1"/>
  <c r="V96" i="110" a="1"/>
  <c r="V96" i="110" s="1"/>
  <c r="U96" i="110" a="1"/>
  <c r="U96" i="110" s="1"/>
  <c r="T96" i="110" a="1"/>
  <c r="T96"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J96" i="110" a="1"/>
  <c r="J96" i="110" s="1"/>
  <c r="I96" i="110" a="1"/>
  <c r="I96" i="110" s="1"/>
  <c r="H96" i="110" a="1"/>
  <c r="H96" i="110" s="1"/>
  <c r="G96" i="110" a="1"/>
  <c r="G96" i="110" s="1"/>
  <c r="F96" i="110" a="1"/>
  <c r="F96" i="110" s="1"/>
  <c r="E96" i="110" a="1"/>
  <c r="E96" i="110" s="1"/>
  <c r="D96" i="110" a="1"/>
  <c r="D96" i="110" s="1"/>
  <c r="W95" i="110" a="1"/>
  <c r="W95" i="110" s="1"/>
  <c r="V95" i="110" a="1"/>
  <c r="V95" i="110" s="1"/>
  <c r="U95" i="110" a="1"/>
  <c r="U95" i="110" s="1"/>
  <c r="T95" i="110" a="1"/>
  <c r="T95"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J95" i="110" a="1"/>
  <c r="J95" i="110" s="1"/>
  <c r="I95" i="110" a="1"/>
  <c r="I95" i="110" s="1"/>
  <c r="H95" i="110" a="1"/>
  <c r="H95" i="110" s="1"/>
  <c r="G95" i="110" a="1"/>
  <c r="G95" i="110" s="1"/>
  <c r="F95" i="110" a="1"/>
  <c r="F95" i="110" s="1"/>
  <c r="E95" i="110" a="1"/>
  <c r="E95" i="110" s="1"/>
  <c r="D95" i="110" a="1"/>
  <c r="D95" i="110" s="1"/>
  <c r="W94" i="110" a="1"/>
  <c r="W94" i="110" s="1"/>
  <c r="V94" i="110" a="1"/>
  <c r="V94" i="110" s="1"/>
  <c r="U94" i="110" a="1"/>
  <c r="U94" i="110" s="1"/>
  <c r="T94" i="110" a="1"/>
  <c r="T94"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J94" i="110" a="1"/>
  <c r="J94" i="110" s="1"/>
  <c r="I94" i="110" a="1"/>
  <c r="I94" i="110" s="1"/>
  <c r="H94" i="110" a="1"/>
  <c r="H94" i="110" s="1"/>
  <c r="G94" i="110" a="1"/>
  <c r="G94" i="110" s="1"/>
  <c r="F94" i="110" a="1"/>
  <c r="F94" i="110" s="1"/>
  <c r="E94" i="110" a="1"/>
  <c r="E94" i="110" s="1"/>
  <c r="D94" i="110" a="1"/>
  <c r="D94" i="110" s="1"/>
  <c r="W93" i="110" a="1"/>
  <c r="W93" i="110" s="1"/>
  <c r="V93" i="110" a="1"/>
  <c r="V93" i="110" s="1"/>
  <c r="U93" i="110" a="1"/>
  <c r="U93" i="110" s="1"/>
  <c r="T93" i="110" a="1"/>
  <c r="T93"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J93" i="110" a="1"/>
  <c r="J93" i="110" s="1"/>
  <c r="I93" i="110" a="1"/>
  <c r="I93" i="110" s="1"/>
  <c r="H93" i="110" a="1"/>
  <c r="H93" i="110" s="1"/>
  <c r="G93" i="110" a="1"/>
  <c r="G93" i="110" s="1"/>
  <c r="F93" i="110" a="1"/>
  <c r="F93" i="110" s="1"/>
  <c r="E93" i="110" a="1"/>
  <c r="E93" i="110" s="1"/>
  <c r="D93" i="110" a="1"/>
  <c r="D93" i="110" s="1"/>
  <c r="W92" i="110" a="1"/>
  <c r="W92" i="110" s="1"/>
  <c r="V92" i="110" a="1"/>
  <c r="V92" i="110" s="1"/>
  <c r="U92" i="110" a="1"/>
  <c r="U92" i="110" s="1"/>
  <c r="T92" i="110" a="1"/>
  <c r="T92"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J92" i="110" a="1"/>
  <c r="J92" i="110" s="1"/>
  <c r="I92" i="110" a="1"/>
  <c r="I92" i="110" s="1"/>
  <c r="H92" i="110" a="1"/>
  <c r="H92" i="110" s="1"/>
  <c r="G92" i="110" a="1"/>
  <c r="G92" i="110" s="1"/>
  <c r="F92" i="110" a="1"/>
  <c r="F92" i="110" s="1"/>
  <c r="E92" i="110" a="1"/>
  <c r="E92" i="110" s="1"/>
  <c r="D92" i="110" a="1"/>
  <c r="D92" i="110" s="1"/>
  <c r="W91" i="110" a="1"/>
  <c r="W91" i="110" s="1"/>
  <c r="V91" i="110" a="1"/>
  <c r="V91" i="110" s="1"/>
  <c r="U91" i="110" a="1"/>
  <c r="U91" i="110" s="1"/>
  <c r="T91" i="110" a="1"/>
  <c r="T91"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J91" i="110" a="1"/>
  <c r="J91" i="110" s="1"/>
  <c r="I91" i="110" a="1"/>
  <c r="I91" i="110" s="1"/>
  <c r="H91" i="110" a="1"/>
  <c r="H91" i="110" s="1"/>
  <c r="G91" i="110" a="1"/>
  <c r="G91" i="110" s="1"/>
  <c r="F91" i="110" a="1"/>
  <c r="F91" i="110" s="1"/>
  <c r="E91" i="110" a="1"/>
  <c r="E91" i="110" s="1"/>
  <c r="D91" i="110" a="1"/>
  <c r="D91" i="110" s="1"/>
  <c r="W90" i="110" a="1"/>
  <c r="W90" i="110" s="1"/>
  <c r="V90" i="110" a="1"/>
  <c r="V90" i="110" s="1"/>
  <c r="U90" i="110" a="1"/>
  <c r="U90" i="110" s="1"/>
  <c r="T90" i="110" a="1"/>
  <c r="T90"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90" i="110" a="1"/>
  <c r="J90" i="110" s="1"/>
  <c r="I90" i="110" a="1"/>
  <c r="I90" i="110" s="1"/>
  <c r="H90" i="110" a="1"/>
  <c r="H90" i="110" s="1"/>
  <c r="G90" i="110" a="1"/>
  <c r="G90" i="110" s="1"/>
  <c r="F90" i="110" a="1"/>
  <c r="F90" i="110" s="1"/>
  <c r="E90" i="110" a="1"/>
  <c r="E90" i="110" s="1"/>
  <c r="I37" i="110" a="1"/>
  <c r="I37" i="110" s="1"/>
  <c r="H37" i="110" a="1"/>
  <c r="H37" i="110" s="1"/>
  <c r="G37" i="110" a="1"/>
  <c r="G37" i="110" s="1"/>
  <c r="F37" i="110" a="1"/>
  <c r="F37" i="110" s="1"/>
  <c r="E37" i="110" a="1"/>
  <c r="E37" i="110" s="1"/>
  <c r="D37" i="110" a="1"/>
  <c r="D37" i="110" s="1"/>
  <c r="I36" i="110" a="1"/>
  <c r="I36" i="110" s="1"/>
  <c r="H36" i="110" a="1"/>
  <c r="H36" i="110" s="1"/>
  <c r="G36" i="110" a="1"/>
  <c r="G36" i="110" s="1"/>
  <c r="F36" i="110" a="1"/>
  <c r="F36" i="110" s="1"/>
  <c r="E36" i="110" a="1"/>
  <c r="E36" i="110" s="1"/>
  <c r="D36" i="110" a="1"/>
  <c r="D36" i="110" s="1"/>
  <c r="I35" i="110" a="1"/>
  <c r="I35" i="110" s="1"/>
  <c r="H35" i="110" a="1"/>
  <c r="H35" i="110" s="1"/>
  <c r="G35" i="110" a="1"/>
  <c r="G35" i="110" s="1"/>
  <c r="F35" i="110" a="1"/>
  <c r="F35" i="110" s="1"/>
  <c r="E35" i="110" a="1"/>
  <c r="E35" i="110" s="1"/>
  <c r="D35" i="110" a="1"/>
  <c r="D35" i="110" s="1"/>
  <c r="I34" i="110" a="1"/>
  <c r="I34" i="110" s="1"/>
  <c r="H34" i="110" a="1"/>
  <c r="H34" i="110" s="1"/>
  <c r="G34" i="110" a="1"/>
  <c r="G34" i="110" s="1"/>
  <c r="F34" i="110" a="1"/>
  <c r="F34" i="110" s="1"/>
  <c r="E34" i="110" a="1"/>
  <c r="E34" i="110" s="1"/>
  <c r="D34" i="110" a="1"/>
  <c r="D34" i="110" s="1"/>
  <c r="I33" i="110" a="1"/>
  <c r="I33" i="110" s="1"/>
  <c r="H33" i="110" a="1"/>
  <c r="H33" i="110" s="1"/>
  <c r="G33" i="110" a="1"/>
  <c r="G33" i="110" s="1"/>
  <c r="F33" i="110" a="1"/>
  <c r="F33" i="110" s="1"/>
  <c r="E33" i="110" a="1"/>
  <c r="E33" i="110" s="1"/>
  <c r="D33" i="110" a="1"/>
  <c r="D33" i="110" s="1"/>
  <c r="I32" i="110" a="1"/>
  <c r="I32" i="110" s="1"/>
  <c r="H32" i="110" a="1"/>
  <c r="H32" i="110" s="1"/>
  <c r="G32" i="110" a="1"/>
  <c r="G32" i="110" s="1"/>
  <c r="F32" i="110" a="1"/>
  <c r="F32" i="110" s="1"/>
  <c r="E32" i="110" a="1"/>
  <c r="E32" i="110" s="1"/>
  <c r="D32" i="110" a="1"/>
  <c r="D32" i="110" s="1"/>
  <c r="I31" i="110" a="1"/>
  <c r="I31" i="110" s="1"/>
  <c r="H31" i="110" a="1"/>
  <c r="H31" i="110" s="1"/>
  <c r="G31" i="110" a="1"/>
  <c r="G31" i="110" s="1"/>
  <c r="F31" i="110" a="1"/>
  <c r="F31" i="110" s="1"/>
  <c r="E31" i="110" a="1"/>
  <c r="E31" i="110" s="1"/>
  <c r="D31" i="110" a="1"/>
  <c r="D31" i="110" s="1"/>
  <c r="I30" i="110" a="1"/>
  <c r="I30" i="110" s="1"/>
  <c r="H30" i="110" a="1"/>
  <c r="H30" i="110" s="1"/>
  <c r="G30" i="110" a="1"/>
  <c r="G30" i="110" s="1"/>
  <c r="F30" i="110" a="1"/>
  <c r="F30" i="110" s="1"/>
  <c r="E30" i="110" a="1"/>
  <c r="E30" i="110" s="1"/>
  <c r="D30" i="110" a="1"/>
  <c r="D30" i="110" s="1"/>
  <c r="I29" i="110" a="1"/>
  <c r="I29" i="110" s="1"/>
  <c r="H29" i="110" a="1"/>
  <c r="H29" i="110" s="1"/>
  <c r="G29" i="110" a="1"/>
  <c r="G29" i="110" s="1"/>
  <c r="F29" i="110" a="1"/>
  <c r="F29" i="110" s="1"/>
  <c r="E29" i="110" a="1"/>
  <c r="E29" i="110" s="1"/>
  <c r="D29" i="110" a="1"/>
  <c r="D29" i="110" s="1"/>
  <c r="I28" i="110" a="1"/>
  <c r="I28" i="110" s="1"/>
  <c r="H28" i="110" a="1"/>
  <c r="H28" i="110" s="1"/>
  <c r="G28" i="110" a="1"/>
  <c r="G28" i="110" s="1"/>
  <c r="F28" i="110" a="1"/>
  <c r="F28" i="110" s="1"/>
  <c r="E28" i="110" a="1"/>
  <c r="E28" i="110" s="1"/>
  <c r="D28" i="110" a="1"/>
  <c r="D28" i="110" s="1"/>
  <c r="I27" i="110" a="1"/>
  <c r="I27" i="110" s="1"/>
  <c r="H27" i="110" a="1"/>
  <c r="H27" i="110" s="1"/>
  <c r="G27" i="110" a="1"/>
  <c r="G27" i="110" s="1"/>
  <c r="F27" i="110" a="1"/>
  <c r="F27" i="110" s="1"/>
  <c r="E27" i="110" a="1"/>
  <c r="E27" i="110" s="1"/>
  <c r="D27" i="110" a="1"/>
  <c r="D27" i="110" s="1"/>
  <c r="I26" i="110" a="1"/>
  <c r="I26" i="110" s="1"/>
  <c r="H26" i="110" a="1"/>
  <c r="H26" i="110" s="1"/>
  <c r="G26" i="110" a="1"/>
  <c r="G26" i="110" s="1"/>
  <c r="F26" i="110" a="1"/>
  <c r="F26" i="110" s="1"/>
  <c r="E26" i="110" a="1"/>
  <c r="E26" i="110" s="1"/>
  <c r="D26" i="110" a="1"/>
  <c r="D26" i="110" s="1"/>
  <c r="I25" i="110" a="1"/>
  <c r="I25" i="110" s="1"/>
  <c r="H25" i="110" a="1"/>
  <c r="H25" i="110" s="1"/>
  <c r="G25" i="110" a="1"/>
  <c r="G25" i="110" s="1"/>
  <c r="F25" i="110" a="1"/>
  <c r="F25" i="110" s="1"/>
  <c r="E25" i="110" a="1"/>
  <c r="E25" i="110" s="1"/>
  <c r="D25" i="110" a="1"/>
  <c r="D25" i="110" s="1"/>
  <c r="I24" i="110" a="1"/>
  <c r="I24" i="110" s="1"/>
  <c r="H24" i="110" a="1"/>
  <c r="H24" i="110" s="1"/>
  <c r="G24" i="110" a="1"/>
  <c r="G24" i="110" s="1"/>
  <c r="F24" i="110" a="1"/>
  <c r="F24" i="110" s="1"/>
  <c r="E24" i="110" a="1"/>
  <c r="E24" i="110" s="1"/>
  <c r="D24" i="110" a="1"/>
  <c r="D24" i="110" s="1"/>
  <c r="I23" i="110" a="1"/>
  <c r="I23" i="110" s="1"/>
  <c r="H23" i="110" a="1"/>
  <c r="H23" i="110" s="1"/>
  <c r="G23" i="110" a="1"/>
  <c r="G23" i="110" s="1"/>
  <c r="F23" i="110" a="1"/>
  <c r="F23" i="110" s="1"/>
  <c r="E23" i="110" a="1"/>
  <c r="E23" i="110" s="1"/>
  <c r="D23" i="110" a="1"/>
  <c r="D23" i="110" s="1"/>
  <c r="I22" i="110" a="1"/>
  <c r="I22" i="110" s="1"/>
  <c r="H22" i="110" a="1"/>
  <c r="H22" i="110" s="1"/>
  <c r="G22" i="110" a="1"/>
  <c r="G22" i="110" s="1"/>
  <c r="F22" i="110" a="1"/>
  <c r="F22" i="110" s="1"/>
  <c r="E22" i="110" a="1"/>
  <c r="E22" i="110" s="1"/>
  <c r="D22" i="110" a="1"/>
  <c r="D22" i="110" s="1"/>
  <c r="I21" i="110" a="1"/>
  <c r="I21" i="110" s="1"/>
  <c r="H21" i="110" a="1"/>
  <c r="H21" i="110" s="1"/>
  <c r="G21" i="110" a="1"/>
  <c r="G21" i="110" s="1"/>
  <c r="F21" i="110" a="1"/>
  <c r="F21" i="110" s="1"/>
  <c r="E21" i="110" a="1"/>
  <c r="E21" i="110" s="1"/>
  <c r="D21" i="110" a="1"/>
  <c r="D21" i="110" s="1"/>
  <c r="I20" i="110" a="1"/>
  <c r="I20" i="110" s="1"/>
  <c r="H20" i="110" a="1"/>
  <c r="H20" i="110" s="1"/>
  <c r="G20" i="110" a="1"/>
  <c r="G20" i="110" s="1"/>
  <c r="F20" i="110" a="1"/>
  <c r="F20" i="110" s="1"/>
  <c r="E20" i="110" a="1"/>
  <c r="E20" i="110" s="1"/>
  <c r="D20" i="110" a="1"/>
  <c r="D20" i="110" s="1"/>
  <c r="D5" i="110" a="1"/>
  <c r="D5" i="110" s="1"/>
  <c r="Q20" i="70" l="1" a="1"/>
  <c r="Q20" i="70" s="1"/>
  <c r="R19" i="70" a="1"/>
  <c r="R19" i="70" s="1"/>
  <c r="R20" i="70" a="1"/>
  <c r="R20" i="70" s="1"/>
  <c r="S19" i="70" a="1"/>
  <c r="S19" i="70" s="1"/>
  <c r="S20" i="70" a="1"/>
  <c r="S20" i="70" s="1"/>
  <c r="J18" i="70" a="1"/>
  <c r="J18" i="70" s="1"/>
  <c r="P19" i="70" a="1"/>
  <c r="P19" i="70" s="1"/>
  <c r="H19" i="70" a="1"/>
  <c r="H19" i="70" s="1"/>
  <c r="H20" i="70" a="1"/>
  <c r="H20" i="70" s="1"/>
  <c r="I19" i="70" a="1"/>
  <c r="I19" i="70" s="1"/>
  <c r="I20" i="70" a="1"/>
  <c r="I20" i="70" s="1"/>
  <c r="J19" i="70" a="1"/>
  <c r="J19" i="70" s="1"/>
  <c r="J20" i="70" a="1"/>
  <c r="J20" i="70" s="1"/>
  <c r="K19" i="70" a="1"/>
  <c r="K19" i="70" s="1"/>
  <c r="O19" i="70" a="1"/>
  <c r="O19" i="70" s="1"/>
  <c r="K20" i="70" a="1"/>
  <c r="K20" i="70" s="1"/>
  <c r="L19" i="70" a="1"/>
  <c r="L19" i="70" s="1"/>
  <c r="L20" i="70" a="1"/>
  <c r="L20" i="70" s="1"/>
  <c r="M19" i="70" a="1"/>
  <c r="M19" i="70" s="1"/>
  <c r="M20" i="70" a="1"/>
  <c r="M20" i="70" s="1"/>
  <c r="N19" i="70" a="1"/>
  <c r="N19" i="70" s="1"/>
  <c r="N20" i="70" a="1"/>
  <c r="N20" i="70" s="1"/>
  <c r="O20" i="70" a="1"/>
  <c r="O20" i="70" s="1"/>
  <c r="P20" i="70" a="1"/>
  <c r="P20" i="70" s="1"/>
  <c r="Q19" i="70" a="1"/>
  <c r="Q19" i="70" s="1"/>
  <c r="P25" i="70"/>
  <c r="D23" i="116" a="1"/>
  <c r="D23" i="116" s="1"/>
  <c r="D58" i="115" a="1"/>
  <c r="D58" i="115" s="1"/>
  <c r="D19" i="115" a="1"/>
  <c r="N18" i="70" a="1"/>
  <c r="N18" i="70" s="1"/>
  <c r="M18" i="70" a="1"/>
  <c r="M18" i="70" s="1"/>
  <c r="L18" i="70" a="1"/>
  <c r="L18" i="70" s="1"/>
  <c r="K18" i="70" a="1"/>
  <c r="K18" i="70" s="1"/>
  <c r="I18" i="70" a="1"/>
  <c r="I18" i="70" s="1"/>
  <c r="H18" i="70" a="1"/>
  <c r="H18" i="70" s="1"/>
  <c r="S18" i="70" a="1"/>
  <c r="S18" i="70" s="1"/>
  <c r="R18" i="70" a="1"/>
  <c r="R18" i="70" s="1"/>
  <c r="Q18" i="70" a="1"/>
  <c r="Q18" i="70" s="1"/>
  <c r="P18" i="70" a="1"/>
  <c r="P18" i="70" s="1"/>
  <c r="O18" i="70" a="1"/>
  <c r="O18" i="70" s="1"/>
  <c r="P24" i="70"/>
  <c r="D57" i="74" a="1"/>
  <c r="D57" i="74" s="1"/>
  <c r="D59" i="69" a="1"/>
  <c r="D59" i="69" s="1"/>
  <c r="D19" i="74" a="1"/>
  <c r="D19" i="69" a="1"/>
  <c r="A21" i="13"/>
  <c r="T19" i="70" l="1"/>
  <c r="T20" i="70"/>
  <c r="E27" i="69" a="1"/>
  <c r="E27" i="69" s="1"/>
  <c r="O50" i="69" a="1"/>
  <c r="D19" i="115"/>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E32" i="74" a="1"/>
  <c r="E32" i="74" s="1"/>
  <c r="E36" i="74" a="1"/>
  <c r="E36" i="74" s="1"/>
  <c r="E27" i="74" a="1"/>
  <c r="E27" i="74" s="1"/>
  <c r="E26" i="74" a="1"/>
  <c r="E26" i="74" s="1"/>
  <c r="E28" i="74" a="1"/>
  <c r="E28" i="74" s="1"/>
  <c r="E20" i="74" a="1"/>
  <c r="E20" i="74" s="1"/>
  <c r="E35" i="74" a="1"/>
  <c r="E35" i="74" s="1"/>
  <c r="E23" i="74" a="1"/>
  <c r="E23" i="74" s="1"/>
  <c r="E24" i="74" a="1"/>
  <c r="E24" i="74" s="1"/>
  <c r="E22" i="74" a="1"/>
  <c r="E22" i="74" s="1"/>
  <c r="E33" i="74" a="1"/>
  <c r="E33" i="74" s="1"/>
  <c r="E31" i="74" a="1"/>
  <c r="E31" i="74" s="1"/>
  <c r="E30" i="74" a="1"/>
  <c r="E30" i="74" s="1"/>
  <c r="E21" i="74" a="1"/>
  <c r="E21" i="74" s="1"/>
  <c r="E29" i="74" a="1"/>
  <c r="E29" i="74" s="1"/>
  <c r="E25" i="74" a="1"/>
  <c r="E25" i="74" s="1"/>
  <c r="E34" i="74" a="1"/>
  <c r="E34" i="74" s="1"/>
  <c r="E34" i="69" a="1"/>
  <c r="E34" i="69" s="1"/>
  <c r="E32" i="69" a="1"/>
  <c r="E32" i="69" s="1"/>
  <c r="E35" i="69" a="1"/>
  <c r="E35" i="69" s="1"/>
  <c r="E21" i="69" a="1"/>
  <c r="E21" i="69" s="1"/>
  <c r="E20" i="69" a="1"/>
  <c r="E20" i="69" s="1"/>
  <c r="E33" i="69" a="1"/>
  <c r="E33" i="69" s="1"/>
  <c r="E28" i="69" a="1"/>
  <c r="E28" i="69" s="1"/>
  <c r="E31" i="69" a="1"/>
  <c r="E31" i="69" s="1"/>
  <c r="E30" i="69" a="1"/>
  <c r="E30" i="69" s="1"/>
  <c r="E36" i="69" a="1"/>
  <c r="E36" i="69" s="1"/>
  <c r="E29" i="69" a="1"/>
  <c r="E29" i="69" s="1"/>
  <c r="E25" i="69" a="1"/>
  <c r="E25" i="69" s="1"/>
  <c r="E22" i="69" a="1"/>
  <c r="E22" i="69" s="1"/>
  <c r="E26" i="69" a="1"/>
  <c r="E26" i="69" s="1"/>
  <c r="E24" i="69" a="1"/>
  <c r="E24" i="69" s="1"/>
  <c r="E23" i="69" a="1"/>
  <c r="E23" i="69" s="1"/>
  <c r="F33" i="69" a="1"/>
  <c r="F33" i="69" s="1"/>
  <c r="F26" i="69" a="1"/>
  <c r="F26" i="69" s="1"/>
  <c r="F22" i="69" a="1"/>
  <c r="F22" i="69" s="1"/>
  <c r="F28" i="69" a="1"/>
  <c r="F28" i="69" s="1"/>
  <c r="F32" i="69" a="1"/>
  <c r="F32" i="69" s="1"/>
  <c r="F27" i="69" a="1"/>
  <c r="F27" i="69" s="1"/>
  <c r="F36" i="69" a="1"/>
  <c r="F36" i="69" s="1"/>
  <c r="F30" i="69" a="1"/>
  <c r="F30" i="69" s="1"/>
  <c r="F35" i="69" a="1"/>
  <c r="F35" i="69" s="1"/>
  <c r="F29" i="69" a="1"/>
  <c r="F29" i="69" s="1"/>
  <c r="F21" i="69" a="1"/>
  <c r="F21" i="69" s="1"/>
  <c r="D19" i="69"/>
  <c r="F19" i="69" s="1" a="1"/>
  <c r="F19" i="69" s="1"/>
  <c r="F34" i="69" a="1"/>
  <c r="F34" i="69" s="1"/>
  <c r="F31" i="69" a="1"/>
  <c r="F31" i="69" s="1"/>
  <c r="F25" i="69" a="1"/>
  <c r="F25" i="69" s="1"/>
  <c r="F24" i="69" a="1"/>
  <c r="F24" i="69" s="1"/>
  <c r="F23" i="69" a="1"/>
  <c r="F23" i="69" s="1"/>
  <c r="F20" i="69" a="1"/>
  <c r="F20" i="69" s="1"/>
  <c r="F32" i="74" a="1"/>
  <c r="F32" i="74" s="1"/>
  <c r="F24" i="74" a="1"/>
  <c r="F24" i="74" s="1"/>
  <c r="F20" i="74" a="1"/>
  <c r="F20" i="74" s="1"/>
  <c r="F22" i="74" a="1"/>
  <c r="F22" i="74" s="1"/>
  <c r="F25" i="74" a="1"/>
  <c r="F25" i="74" s="1"/>
  <c r="F35" i="74" a="1"/>
  <c r="F35" i="74" s="1"/>
  <c r="F29" i="74" a="1"/>
  <c r="F29" i="74" s="1"/>
  <c r="F36" i="74" a="1"/>
  <c r="F36" i="74" s="1"/>
  <c r="F31" i="74" a="1"/>
  <c r="F31" i="74" s="1"/>
  <c r="F34" i="74" a="1"/>
  <c r="F34" i="74" s="1"/>
  <c r="D19" i="74"/>
  <c r="F19" i="74" s="1" a="1"/>
  <c r="F19" i="74" s="1"/>
  <c r="F23" i="74" a="1"/>
  <c r="F23" i="74" s="1"/>
  <c r="F26" i="74" a="1"/>
  <c r="F26" i="74" s="1"/>
  <c r="F30" i="74" a="1"/>
  <c r="F30" i="74" s="1"/>
  <c r="F33" i="74" a="1"/>
  <c r="F33" i="74" s="1"/>
  <c r="F27" i="74" a="1"/>
  <c r="F27" i="74" s="1"/>
  <c r="F21" i="74" a="1"/>
  <c r="F21" i="74" s="1"/>
  <c r="F28" i="74" a="1"/>
  <c r="F28" i="74" s="1"/>
  <c r="T18" i="70"/>
  <c r="A8" i="13"/>
  <c r="A5" i="13"/>
  <c r="A3" i="13"/>
  <c r="O50" i="69" l="1"/>
  <c r="T50" i="69" s="1"/>
  <c r="U50" i="69" s="1"/>
  <c r="Q51" i="69"/>
  <c r="W51" i="69"/>
  <c r="T51" i="69"/>
  <c r="U51" i="69" s="1"/>
  <c r="S51" i="69" a="1"/>
  <c r="S51" i="69" s="1"/>
  <c r="R51" i="69" a="1"/>
  <c r="R51" i="69" s="1"/>
  <c r="O45" i="69" a="1"/>
  <c r="S47" i="69" s="1" a="1"/>
  <c r="S47" i="69" s="1"/>
  <c r="G20" i="69" a="1"/>
  <c r="G20" i="69" s="1"/>
  <c r="E24" i="116" s="1"/>
  <c r="F24" i="116" s="1" a="1"/>
  <c r="F24" i="116" s="1"/>
  <c r="G24" i="74" a="1"/>
  <c r="G24" i="74" s="1"/>
  <c r="E62" i="74" s="1" a="1"/>
  <c r="E62" i="74" s="1"/>
  <c r="G27" i="69" a="1"/>
  <c r="G27" i="69" s="1"/>
  <c r="E31" i="116" s="1"/>
  <c r="F31" i="116" s="1" a="1"/>
  <c r="F31" i="116" s="1"/>
  <c r="G20" i="74" a="1"/>
  <c r="G20" i="74" s="1"/>
  <c r="E58" i="74" s="1" a="1"/>
  <c r="E58" i="74" s="1"/>
  <c r="G24" i="69" a="1"/>
  <c r="G24" i="69" s="1"/>
  <c r="E28" i="116" s="1"/>
  <c r="F28" i="116" s="1" a="1"/>
  <c r="F28" i="116" s="1"/>
  <c r="G32" i="69" a="1"/>
  <c r="G32" i="69" s="1"/>
  <c r="E36" i="116" s="1"/>
  <c r="F36" i="116" s="1" a="1"/>
  <c r="F36" i="116" s="1"/>
  <c r="G28" i="74" a="1"/>
  <c r="G28" i="74" s="1"/>
  <c r="E66" i="74" s="1" a="1"/>
  <c r="E66" i="74" s="1"/>
  <c r="G26" i="69" a="1"/>
  <c r="G26" i="69" s="1"/>
  <c r="E30" i="116" s="1"/>
  <c r="F30" i="116" s="1" a="1"/>
  <c r="F30" i="116" s="1"/>
  <c r="G34" i="69" a="1"/>
  <c r="G34" i="69" s="1"/>
  <c r="E38" i="116" s="1"/>
  <c r="F38" i="116" s="1" a="1"/>
  <c r="F38" i="116" s="1"/>
  <c r="G22" i="69" a="1"/>
  <c r="G22" i="69" s="1"/>
  <c r="E26" i="116" s="1"/>
  <c r="F26" i="116" s="1" a="1"/>
  <c r="F26" i="116" s="1"/>
  <c r="G34" i="74" a="1"/>
  <c r="G34" i="74" s="1"/>
  <c r="E72" i="74" s="1" a="1"/>
  <c r="E72" i="74" s="1"/>
  <c r="G32" i="74" a="1"/>
  <c r="G32" i="74" s="1"/>
  <c r="E70" i="74" s="1" a="1"/>
  <c r="E70" i="74" s="1"/>
  <c r="G29" i="69" a="1"/>
  <c r="G29" i="69" s="1"/>
  <c r="E33" i="116" s="1"/>
  <c r="F33" i="116" s="1" a="1"/>
  <c r="F33" i="116" s="1"/>
  <c r="G30" i="74" a="1"/>
  <c r="G30" i="74" s="1"/>
  <c r="E68" i="74" s="1" a="1"/>
  <c r="E68" i="74" s="1"/>
  <c r="G33" i="74" a="1"/>
  <c r="G33" i="74" s="1"/>
  <c r="E71" i="74" s="1" a="1"/>
  <c r="E71" i="74" s="1"/>
  <c r="G28" i="69" a="1"/>
  <c r="G28" i="69" s="1"/>
  <c r="E32" i="116" s="1"/>
  <c r="F32" i="116" s="1" a="1"/>
  <c r="F32" i="116" s="1"/>
  <c r="E19" i="69" a="1"/>
  <c r="E19" i="69" s="1"/>
  <c r="G19" i="69" s="1" a="1"/>
  <c r="G19" i="69" s="1"/>
  <c r="E23" i="116" s="1"/>
  <c r="F23" i="116" s="1" a="1"/>
  <c r="F23" i="116" s="1"/>
  <c r="G21" i="69" a="1"/>
  <c r="G21" i="69" s="1"/>
  <c r="E25" i="116" s="1"/>
  <c r="F25" i="116" s="1" a="1"/>
  <c r="F25" i="116" s="1"/>
  <c r="G23" i="74" a="1"/>
  <c r="G23" i="74" s="1"/>
  <c r="E61" i="74" s="1" a="1"/>
  <c r="E61" i="74" s="1"/>
  <c r="G23" i="69" a="1"/>
  <c r="G23" i="69" s="1"/>
  <c r="E27" i="116" s="1"/>
  <c r="F27" i="116" s="1" a="1"/>
  <c r="F27" i="116" s="1"/>
  <c r="G35" i="69" a="1"/>
  <c r="G35" i="69" s="1"/>
  <c r="E39" i="116" s="1"/>
  <c r="F39" i="116" s="1" a="1"/>
  <c r="F39" i="116" s="1"/>
  <c r="G35" i="74" a="1"/>
  <c r="G35" i="74" s="1"/>
  <c r="E73" i="74" s="1" a="1"/>
  <c r="E73" i="74" s="1"/>
  <c r="G25" i="69" a="1"/>
  <c r="G25" i="69" s="1"/>
  <c r="E29" i="116" s="1"/>
  <c r="F29" i="116" s="1" a="1"/>
  <c r="F29" i="116" s="1"/>
  <c r="G25" i="74" a="1"/>
  <c r="G25" i="74" s="1"/>
  <c r="E63" i="74" s="1" a="1"/>
  <c r="E63" i="74" s="1"/>
  <c r="G27" i="74" a="1"/>
  <c r="G27" i="74" s="1"/>
  <c r="E65" i="74" s="1" a="1"/>
  <c r="E65" i="74" s="1"/>
  <c r="G29" i="74" a="1"/>
  <c r="G29" i="74" s="1"/>
  <c r="E67" i="74" s="1" a="1"/>
  <c r="E67" i="74" s="1"/>
  <c r="G36" i="74" a="1"/>
  <c r="G36" i="74" s="1"/>
  <c r="E74" i="74" s="1" a="1"/>
  <c r="E74" i="74" s="1"/>
  <c r="G21" i="74" a="1"/>
  <c r="G21" i="74" s="1"/>
  <c r="E59" i="74" s="1" a="1"/>
  <c r="E59" i="74" s="1"/>
  <c r="G36" i="69" a="1"/>
  <c r="G36" i="69" s="1"/>
  <c r="E40" i="116" s="1"/>
  <c r="F40" i="116" s="1" a="1"/>
  <c r="F40" i="116" s="1"/>
  <c r="G30" i="69" a="1"/>
  <c r="G30" i="69" s="1"/>
  <c r="E34" i="116" s="1"/>
  <c r="F34" i="116" s="1" a="1"/>
  <c r="F34" i="116" s="1"/>
  <c r="G31" i="74" a="1"/>
  <c r="G31" i="74" s="1"/>
  <c r="E69" i="74" s="1" a="1"/>
  <c r="E69" i="74" s="1"/>
  <c r="G26" i="74" a="1"/>
  <c r="G26" i="74" s="1"/>
  <c r="E64" i="74" s="1" a="1"/>
  <c r="E64" i="74" s="1"/>
  <c r="G31" i="69" a="1"/>
  <c r="G31" i="69" s="1"/>
  <c r="E35" i="116" s="1"/>
  <c r="F35" i="116" s="1" a="1"/>
  <c r="F35" i="116" s="1"/>
  <c r="E19" i="74" a="1"/>
  <c r="E19" i="74" s="1"/>
  <c r="G19" i="74" s="1" a="1"/>
  <c r="G19" i="74" s="1"/>
  <c r="E57" i="74" s="1" a="1"/>
  <c r="E57" i="74" s="1"/>
  <c r="G33" i="69" a="1"/>
  <c r="G33" i="69" s="1"/>
  <c r="E37" i="116" s="1"/>
  <c r="F37" i="116" s="1" a="1"/>
  <c r="F37" i="116" s="1"/>
  <c r="G22" i="74" a="1"/>
  <c r="G22" i="74" s="1"/>
  <c r="E60" i="74" s="1" a="1"/>
  <c r="E60" i="74" s="1"/>
  <c r="S50" i="69" l="1" a="1"/>
  <c r="S50" i="69" s="1"/>
  <c r="R50" i="69" a="1"/>
  <c r="R50" i="69" s="1"/>
  <c r="Q50" i="69"/>
  <c r="V50" i="69" a="1"/>
  <c r="V50" i="69" s="1"/>
  <c r="V51" i="69" a="1"/>
  <c r="V51" i="69" s="1"/>
  <c r="E42" i="116"/>
  <c r="J88" i="116" s="1"/>
  <c r="E93" i="116" s="1" a="1"/>
  <c r="E93" i="116" s="1"/>
  <c r="E29" i="115"/>
  <c r="H29" i="115" s="1" a="1"/>
  <c r="H29" i="115" s="1"/>
  <c r="E68" i="115" s="1"/>
  <c r="F68" i="115" s="1" a="1"/>
  <c r="F68" i="115" s="1"/>
  <c r="E22" i="115"/>
  <c r="H22" i="115" s="1" a="1"/>
  <c r="H22" i="115" s="1"/>
  <c r="E61" i="115" s="1"/>
  <c r="F61" i="115" s="1" a="1"/>
  <c r="F61" i="115" s="1"/>
  <c r="E25" i="115"/>
  <c r="H25" i="115" s="1" a="1"/>
  <c r="H25" i="115" s="1"/>
  <c r="E64" i="115" s="1"/>
  <c r="F64" i="115" s="1" a="1"/>
  <c r="F64" i="115" s="1"/>
  <c r="E34" i="115"/>
  <c r="H34" i="115" s="1" a="1"/>
  <c r="H34" i="115" s="1"/>
  <c r="E73" i="115" s="1"/>
  <c r="F73" i="115" s="1" a="1"/>
  <c r="F73" i="115" s="1"/>
  <c r="E26" i="115"/>
  <c r="H26" i="115" s="1" a="1"/>
  <c r="H26" i="115" s="1"/>
  <c r="E65" i="115" s="1"/>
  <c r="F65" i="115" s="1" a="1"/>
  <c r="F65" i="115" s="1"/>
  <c r="E24" i="115"/>
  <c r="H24" i="115" s="1" a="1"/>
  <c r="H24" i="115" s="1"/>
  <c r="E63" i="115" s="1"/>
  <c r="F63" i="115" s="1" a="1"/>
  <c r="F63" i="115" s="1"/>
  <c r="E35" i="115"/>
  <c r="H35" i="115" s="1" a="1"/>
  <c r="H35" i="115" s="1"/>
  <c r="E74" i="115" s="1"/>
  <c r="F74" i="115" s="1" a="1"/>
  <c r="F74" i="115" s="1"/>
  <c r="E23" i="115"/>
  <c r="H23" i="115" s="1" a="1"/>
  <c r="H23" i="115" s="1"/>
  <c r="E62" i="115" s="1"/>
  <c r="F62" i="115" s="1" a="1"/>
  <c r="F62" i="115" s="1"/>
  <c r="E21" i="115"/>
  <c r="H21" i="115" s="1" a="1"/>
  <c r="H21" i="115" s="1"/>
  <c r="E60" i="115" s="1"/>
  <c r="F60" i="115" s="1" a="1"/>
  <c r="F60" i="115" s="1"/>
  <c r="E19" i="115"/>
  <c r="H19" i="115" s="1" a="1"/>
  <c r="H19" i="115" s="1"/>
  <c r="E58" i="115" s="1"/>
  <c r="F58" i="115" s="1" a="1"/>
  <c r="F58" i="115" s="1"/>
  <c r="E27" i="115"/>
  <c r="H27" i="115" s="1" a="1"/>
  <c r="H27" i="115" s="1"/>
  <c r="E66" i="115" s="1"/>
  <c r="F66" i="115" s="1" a="1"/>
  <c r="F66" i="115" s="1"/>
  <c r="E30" i="115"/>
  <c r="H30" i="115" s="1" a="1"/>
  <c r="H30" i="115" s="1"/>
  <c r="E69" i="115" s="1"/>
  <c r="F69" i="115" s="1" a="1"/>
  <c r="F69" i="115" s="1"/>
  <c r="E28" i="115"/>
  <c r="H28" i="115" s="1" a="1"/>
  <c r="H28" i="115" s="1"/>
  <c r="E67" i="115" s="1"/>
  <c r="F67" i="115" s="1" a="1"/>
  <c r="F67" i="115" s="1"/>
  <c r="E33" i="115"/>
  <c r="H33" i="115" s="1" a="1"/>
  <c r="H33" i="115" s="1"/>
  <c r="E72" i="115" s="1"/>
  <c r="F72" i="115" s="1" a="1"/>
  <c r="F72" i="115" s="1"/>
  <c r="E32" i="115"/>
  <c r="H32" i="115" s="1" a="1"/>
  <c r="H32" i="115" s="1"/>
  <c r="E71" i="115" s="1"/>
  <c r="F71" i="115" s="1" a="1"/>
  <c r="F71" i="115" s="1"/>
  <c r="E31" i="115"/>
  <c r="H31" i="115" s="1" a="1"/>
  <c r="H31" i="115" s="1"/>
  <c r="E70" i="115" s="1"/>
  <c r="F70" i="115" s="1" a="1"/>
  <c r="F70" i="115" s="1"/>
  <c r="E36" i="115"/>
  <c r="H36" i="115" s="1" a="1"/>
  <c r="H36" i="115" s="1"/>
  <c r="E75" i="115" s="1"/>
  <c r="F75" i="115" s="1" a="1"/>
  <c r="F75" i="115" s="1"/>
  <c r="E20" i="115"/>
  <c r="H20" i="115" s="1" a="1"/>
  <c r="H20" i="115" s="1"/>
  <c r="E59" i="115" s="1"/>
  <c r="F59" i="115" s="1" a="1"/>
  <c r="F59" i="115" s="1"/>
  <c r="Q46" i="69"/>
  <c r="T46" i="69"/>
  <c r="U46" i="69" s="1"/>
  <c r="S46" i="69" a="1"/>
  <c r="S46" i="69" s="1"/>
  <c r="R46" i="69" a="1"/>
  <c r="R46" i="69" s="1"/>
  <c r="T47" i="69"/>
  <c r="U47" i="69" s="1"/>
  <c r="O45" i="69"/>
  <c r="S45" i="69" s="1" a="1"/>
  <c r="S45" i="69" s="1"/>
  <c r="R47" i="69" a="1"/>
  <c r="R47" i="69" s="1"/>
  <c r="Q47" i="69"/>
  <c r="E76" i="74"/>
  <c r="T45" i="69" l="1"/>
  <c r="U45" i="69" s="1"/>
  <c r="H10" i="13"/>
  <c r="I10" i="13" s="1"/>
  <c r="E10" i="13"/>
  <c r="F10" i="13" s="1"/>
  <c r="E14" i="13"/>
  <c r="F14" i="13" s="1"/>
  <c r="G95" i="116"/>
  <c r="E98" i="116" s="1" a="1"/>
  <c r="E98" i="116" s="1"/>
  <c r="H14" i="13" s="1"/>
  <c r="I14" i="13" s="1"/>
  <c r="Q45" i="69"/>
  <c r="R45" i="69" a="1"/>
  <c r="R45" i="69" s="1"/>
  <c r="V46" i="69" a="1"/>
  <c r="V46" i="69" s="1"/>
  <c r="E77" i="115"/>
  <c r="G79" i="115" s="1"/>
  <c r="E82" i="115" s="1" a="1"/>
  <c r="E82" i="115" s="1"/>
  <c r="V47" i="69" a="1"/>
  <c r="V47" i="69" s="1"/>
  <c r="S74" i="69"/>
  <c r="I54" i="69"/>
  <c r="I49" i="69" s="1"/>
  <c r="V45" i="69" l="1" a="1"/>
  <c r="V45" i="69" s="1"/>
  <c r="W50" i="69"/>
  <c r="W46" i="69"/>
  <c r="W47" i="69"/>
  <c r="W45" i="69"/>
  <c r="E73" i="69" a="1"/>
  <c r="E73" i="69" s="1"/>
  <c r="E61" i="69" a="1"/>
  <c r="E61" i="69" s="1"/>
  <c r="E64" i="69" a="1"/>
  <c r="E64" i="69" s="1"/>
  <c r="E71" i="69" a="1"/>
  <c r="E71" i="69" s="1"/>
  <c r="E69" i="69" a="1"/>
  <c r="E69" i="69" s="1"/>
  <c r="E65" i="69" a="1"/>
  <c r="E65" i="69" s="1"/>
  <c r="E59" i="69" a="1"/>
  <c r="E59" i="69" s="1"/>
  <c r="E62" i="69" a="1"/>
  <c r="E62" i="69" s="1"/>
  <c r="E68" i="69" a="1"/>
  <c r="E68" i="69" s="1"/>
  <c r="E67" i="69" a="1"/>
  <c r="E67" i="69" s="1"/>
  <c r="E70" i="69" a="1"/>
  <c r="E70" i="69" s="1"/>
  <c r="E75" i="69" a="1"/>
  <c r="E75" i="69" s="1"/>
  <c r="E74" i="69" a="1"/>
  <c r="E74" i="69" s="1"/>
  <c r="E60" i="69" a="1"/>
  <c r="E60" i="69" s="1"/>
  <c r="E66" i="69" a="1"/>
  <c r="E66" i="69" s="1"/>
  <c r="E76" i="69" a="1"/>
  <c r="E76" i="69" s="1"/>
  <c r="E63" i="69" a="1"/>
  <c r="E63" i="69" s="1"/>
  <c r="E72" i="69" a="1"/>
  <c r="E72" i="69" s="1"/>
  <c r="S68" i="69" a="1"/>
  <c r="S68" i="69" s="1"/>
  <c r="E29" i="15"/>
  <c r="E31" i="15" s="1"/>
  <c r="E32" i="15" s="1"/>
  <c r="K48" i="113" s="1"/>
  <c r="K45" i="113" s="1" a="1"/>
  <c r="K45" i="113" s="1"/>
  <c r="E50" i="113" s="1" a="1"/>
  <c r="E50" i="113" s="1"/>
  <c r="G52" i="113" l="1"/>
  <c r="E55" i="113" s="1" a="1"/>
  <c r="E55" i="113" s="1"/>
  <c r="H11" i="13" s="1"/>
  <c r="I11" i="13" s="1"/>
  <c r="E11" i="13"/>
  <c r="F11" i="13" s="1"/>
  <c r="E78" i="69"/>
  <c r="O86" i="69" a="1"/>
  <c r="O86" i="69" s="1"/>
  <c r="P86" i="69" s="1" a="1"/>
  <c r="P86" i="69" s="1"/>
  <c r="O84" i="69" a="1"/>
  <c r="O84" i="69" s="1"/>
  <c r="P84" i="69" s="1" a="1"/>
  <c r="P84" i="69" s="1"/>
  <c r="O78" i="69" a="1"/>
  <c r="O78" i="69" s="1"/>
  <c r="P78" i="69" s="1" a="1"/>
  <c r="P78" i="69" s="1"/>
  <c r="O80" i="69" a="1"/>
  <c r="O80" i="69" s="1"/>
  <c r="P80" i="69" s="1" a="1"/>
  <c r="P80" i="69" s="1"/>
  <c r="O79" i="69" a="1"/>
  <c r="O79" i="69" s="1"/>
  <c r="P79" i="69" s="1" a="1"/>
  <c r="P79" i="69" s="1"/>
  <c r="O81" i="69" a="1"/>
  <c r="O81" i="69" s="1"/>
  <c r="P81" i="69" s="1" a="1"/>
  <c r="P81" i="69" s="1"/>
  <c r="O83" i="69" a="1"/>
  <c r="O83" i="69" s="1"/>
  <c r="P83" i="69" s="1" a="1"/>
  <c r="P83" i="69" s="1"/>
  <c r="O85" i="69" a="1"/>
  <c r="O85" i="69" s="1"/>
  <c r="P85" i="69" s="1" a="1"/>
  <c r="P85" i="69" s="1"/>
  <c r="O82" i="69" a="1"/>
  <c r="O82" i="69" s="1"/>
  <c r="P82" i="69" s="1" a="1"/>
  <c r="P82" i="69" s="1"/>
  <c r="O77" i="69" a="1"/>
  <c r="O77" i="69" s="1"/>
  <c r="P77" i="69" s="1" a="1"/>
  <c r="P77" i="69" s="1"/>
  <c r="E13" i="15"/>
  <c r="G80" i="69" l="1"/>
  <c r="E83" i="69" s="1" a="1"/>
  <c r="E83" i="69" s="1"/>
  <c r="H9" i="13" s="1"/>
  <c r="H15" i="13" s="1"/>
  <c r="E9" i="13"/>
  <c r="N88" i="69"/>
  <c r="P90" i="69" l="1"/>
  <c r="N93" i="69" s="1" a="1"/>
  <c r="N93" i="69" s="1"/>
  <c r="I9" i="13" s="1"/>
  <c r="I15" i="13" s="1"/>
  <c r="F9" i="13"/>
  <c r="L35" i="70" l="1"/>
  <c r="L34" i="70"/>
  <c r="D32" i="70"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<sst xmlns="http://schemas.openxmlformats.org/spreadsheetml/2006/main" count="641" uniqueCount="384">
  <si>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</si>
  <si>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</si>
  <si>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</si>
  <si>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</si>
  <si>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</si>
  <si>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</si>
  <si>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</si>
  <si>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</si>
  <si>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</si>
  <si>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</si>
  <si>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</si>
  <si>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</si>
  <si>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</si>
  <si>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</si>
  <si>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</si>
  <si>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</si>
  <si>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</si>
  <si>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</si>
  <si>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</si>
  <si>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</si>
  <si>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</si>
  <si>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</si>
  <si>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</si>
  <si>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</si>
  <si>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</si>
  <si>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</si>
  <si>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</si>
  <si>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</si>
  <si>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</si>
  <si>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</si>
  <si>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</si>
  <si>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</si>
  <si>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</si>
  <si>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</si>
  <si>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</si>
  <si>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</si>
  <si>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</si>
  <si>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</si>
  <si>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</si>
  <si>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</si>
  <si>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</si>
  <si>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</si>
  <si>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</si>
  <si>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</si>
  <si>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</si>
  <si>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</si>
  <si>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</si>
  <si>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</si>
  <si>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</si>
  <si>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</si>
  <si>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</si>
  <si>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</si>
  <si>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</si>
  <si>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</si>
  <si>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</si>
  <si>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</si>
  <si>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</si>
  <si>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</si>
  <si>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</si>
  <si>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</si>
  <si>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</si>
  <si>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</si>
  <si>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</si>
  <si>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</si>
  <si>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</si>
  <si>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</si>
  <si>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</si>
  <si>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</si>
  <si>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</si>
  <si>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</si>
  <si>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</si>
  <si>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</si>
  <si>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</si>
  <si>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</si>
  <si>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</si>
  <si>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</si>
  <si>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</si>
  <si>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</si>
  <si>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</si>
  <si>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</si>
  <si>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</si>
  <si>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</si>
  <si>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</si>
  <si>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</si>
  <si>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</si>
  <si>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</si>
  <si>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</si>
  <si>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</si>
  <si>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</si>
  <si>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</si>
  <si>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</si>
  <si>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</si>
  <si>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</si>
  <si>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</si>
  <si>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</si>
  <si>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</si>
  <si>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</si>
  <si>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</si>
  <si>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</si>
  <si>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</si>
  <si>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</si>
  <si>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</si>
  <si>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</si>
  <si>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</si>
  <si>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</si>
  <si>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</si>
  <si>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</si>
  <si>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</si>
  <si>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</si>
  <si>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</si>
  <si>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</si>
  <si>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</si>
  <si>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</si>
  <si>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</si>
  <si>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Product</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</si>
  <si>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</si>
  <si>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</si>
  <si>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</si>
  <si>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</si>
  <si>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</si>
  <si>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</si>
  <si>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</si>
  <si>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</si>
  <si>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</si>
  <si>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</si>
  <si>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</si>
  <si>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</si>
  <si>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</si>
  <si>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</si>
  <si>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</si>
  <si>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</si>
  <si>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</si>
  <si>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</si>
  <si>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</si>
  <si>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</si>
  <si>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</si>
  <si>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</si>
  <si>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</si>
  <si>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</si>
  <si>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</si>
  <si>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</si>
  <si>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</si>
  <si>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kg</t>
  </si>
  <si>
    <r>
      <t>FN</t>
    </r>
    <r>
      <rPr>
        <b/>
        <vertAlign val="subscript"/>
        <sz val="11"/>
        <color rgb="FF183C1B"/>
        <rFont val="Times New Roman"/>
        <family val="1"/>
      </rPr>
      <t>inorganic,f</t>
    </r>
  </si>
  <si>
    <r>
      <t>TM</t>
    </r>
    <r>
      <rPr>
        <b/>
        <vertAlign val="subscript"/>
        <sz val="11"/>
        <color rgb="FF533001"/>
        <rFont val="Times New Roman"/>
        <family val="1"/>
      </rPr>
      <t>jf</t>
    </r>
  </si>
  <si>
    <t>Table_MN_j_f</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</si>
  <si>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</si>
  <si>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</si>
  <si>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</si>
  <si>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</si>
  <si>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</si>
  <si>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</si>
  <si>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</si>
  <si>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Custom fertiliser blends</t>
  </si>
  <si>
    <t>Custom blend name</t>
  </si>
  <si>
    <t>Ingredient 1 (select)</t>
  </si>
  <si>
    <t>My first custom blend</t>
  </si>
  <si>
    <t>Phosphorus - Generic</t>
  </si>
  <si>
    <t>Potassium - Generic</t>
  </si>
  <si>
    <t>Sulfur - Generic</t>
  </si>
  <si>
    <r>
      <t xml:space="preserve">Amount applied </t>
    </r>
    <r>
      <rPr>
        <sz val="11"/>
        <color theme="1"/>
        <rFont val="Times New Roman"/>
        <family val="1"/>
      </rPr>
      <t>(kg / ha)</t>
    </r>
  </si>
  <si>
    <r>
      <t>MN</t>
    </r>
    <r>
      <rPr>
        <b/>
        <vertAlign val="subscript"/>
        <sz val="11"/>
        <color rgb="FF533001"/>
        <rFont val="Times New Roman"/>
        <family val="1"/>
      </rPr>
      <t>jf</t>
    </r>
  </si>
  <si>
    <t>Mass of nitrogen applied</t>
  </si>
  <si>
    <r>
      <t>E</t>
    </r>
    <r>
      <rPr>
        <b/>
        <vertAlign val="subscript"/>
        <sz val="16"/>
        <color theme="1" tint="0.24994659260841701"/>
        <rFont val="Times New Roman"/>
        <family val="1"/>
      </rPr>
      <t>N2O</t>
    </r>
  </si>
  <si>
    <t>Crop types</t>
  </si>
  <si>
    <t>Crop type</t>
  </si>
  <si>
    <t>N application rate (kg/ha)</t>
  </si>
  <si>
    <t>N Application rate</t>
  </si>
  <si>
    <t>Application area</t>
  </si>
  <si>
    <t>MN</t>
  </si>
  <si>
    <t>M1_Table_E_N2O</t>
  </si>
  <si>
    <t>Nitrous oxide emissions from inorganic fertiliser application (Method 1)</t>
  </si>
  <si>
    <t>Product applied</t>
  </si>
  <si>
    <t>Fertiliser product applications (Method 2)</t>
  </si>
  <si>
    <t>Not used - application rate calculated per product blend application</t>
  </si>
  <si>
    <t>M2_Table_FertApplications</t>
  </si>
  <si>
    <t>Custom blend</t>
  </si>
  <si>
    <t>Branded product</t>
  </si>
  <si>
    <t>MN for cotton</t>
  </si>
  <si>
    <t>hectares</t>
  </si>
  <si>
    <t>kg / hectare</t>
  </si>
  <si>
    <t>kg N2O-N/kg N applied</t>
  </si>
  <si>
    <t>N App. rate for cotton (max 300)</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</si>
  <si>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</si>
  <si>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r>
      <t>E</t>
    </r>
    <r>
      <rPr>
        <b/>
        <vertAlign val="subscript"/>
        <sz val="11"/>
        <color rgb="FF183C1B"/>
        <rFont val="Times New Roman"/>
        <family val="1"/>
      </rPr>
      <t>N2O</t>
    </r>
  </si>
  <si>
    <r>
      <t>EFj</t>
    </r>
    <r>
      <rPr>
        <b/>
        <vertAlign val="subscript"/>
        <sz val="11"/>
        <color rgb="FF183C1B"/>
        <rFont val="Times New Roman"/>
        <family val="1"/>
      </rPr>
      <t>N2O</t>
    </r>
  </si>
  <si>
    <t>Not used</t>
  </si>
  <si>
    <t>Area under cropping</t>
  </si>
  <si>
    <t>Soil amendments</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</si>
  <si>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</si>
  <si>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</si>
  <si>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</si>
  <si>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</si>
  <si>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</si>
  <si>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</si>
  <si>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</si>
  <si>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Percent Potash</t>
  </si>
  <si>
    <t>Organic fertiliser applied</t>
  </si>
  <si>
    <t>Organic fertiliser type (select)</t>
  </si>
  <si>
    <t>Percentage of N in fertiliser</t>
  </si>
  <si>
    <t>Amount applied (kg/hectare)</t>
  </si>
  <si>
    <t>Amount N applied (kg/hectare)</t>
  </si>
  <si>
    <t>Total organic fertliser applied</t>
  </si>
  <si>
    <t>Total nitrogen applied (kg)</t>
  </si>
  <si>
    <t>Capped cotton applicationj rate to 300 based on VEERG "application rate of inorganic fertiliser type f in the cotton crop (kg N/ha). This is capped at a maximum of 0.0183 kg CO2e/kg N, equivalent to N application rates of 300 kg N/ha "</t>
  </si>
  <si>
    <t>5.1.1.1-2 Inorganic fertiliser application N2O emissions</t>
  </si>
  <si>
    <t>5.1.1.3-4 Inorganic fertiliser application CO2 emissions</t>
  </si>
  <si>
    <t>Table_MU_j_f</t>
  </si>
  <si>
    <t>Mass of urea applied</t>
  </si>
  <si>
    <r>
      <t>FU</t>
    </r>
    <r>
      <rPr>
        <b/>
        <vertAlign val="subscript"/>
        <sz val="11"/>
        <color rgb="FF183C1B"/>
        <rFont val="Times New Roman"/>
        <family val="1"/>
      </rPr>
      <t>f</t>
    </r>
  </si>
  <si>
    <t>M1_Table_E_CO2</t>
  </si>
  <si>
    <t>Carbon dioxide oxide emissions from inorganic fertiliser application (Method 1)</t>
  </si>
  <si>
    <r>
      <t>MU</t>
    </r>
    <r>
      <rPr>
        <b/>
        <vertAlign val="subscript"/>
        <sz val="11"/>
        <color rgb="FF533001"/>
        <rFont val="Times New Roman"/>
        <family val="1"/>
      </rPr>
      <t>jf</t>
    </r>
  </si>
  <si>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</si>
  <si>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</si>
  <si>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</si>
  <si>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</si>
  <si>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</si>
  <si>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</si>
  <si>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</si>
  <si>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</si>
  <si>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</si>
  <si>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</si>
  <si>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</si>
  <si>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</si>
  <si>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</si>
  <si>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</si>
  <si>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Imngredient 10</t>
  </si>
  <si>
    <t>Ingredient 10 percent</t>
  </si>
  <si>
    <t>Include or Exclude</t>
  </si>
  <si>
    <t>Notes</t>
  </si>
  <si>
    <t>Company</t>
  </si>
  <si>
    <t>Product name</t>
  </si>
  <si>
    <t>Density / gravity</t>
  </si>
  <si>
    <t>Urea source</t>
  </si>
  <si>
    <t>Ammonia source</t>
  </si>
  <si>
    <t>Compass</t>
  </si>
  <si>
    <t>EF_jN2O</t>
  </si>
  <si>
    <t>Urea</t>
  </si>
  <si>
    <r>
      <t>E</t>
    </r>
    <r>
      <rPr>
        <b/>
        <vertAlign val="subscript"/>
        <sz val="16"/>
        <color theme="1" tint="0.24994659260841701"/>
        <rFont val="Times New Roman"/>
        <family val="1"/>
      </rPr>
      <t>CO2</t>
    </r>
  </si>
  <si>
    <t>5.2.1.1 1-2 Organic fertiliser application N2O emissions</t>
  </si>
  <si>
    <t>Organic fertiliser types</t>
  </si>
  <si>
    <t>Organic fertiliser type</t>
  </si>
  <si>
    <t>Manure - Cattle</t>
  </si>
  <si>
    <t>Manure - Poultry</t>
  </si>
  <si>
    <t>Manure - Swine</t>
  </si>
  <si>
    <t>Manure - Other</t>
  </si>
  <si>
    <t>Other organic fertiliser</t>
  </si>
  <si>
    <t>Table_MNSoil_j_f</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</si>
  <si>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</si>
  <si>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</si>
  <si>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</si>
  <si>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</si>
  <si>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</si>
  <si>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</si>
  <si>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Mass of nitrogen in organic fertilisers</t>
  </si>
  <si>
    <t>Climate Zone</t>
  </si>
  <si>
    <t>EFNi &amp; EFN2Oi</t>
  </si>
  <si>
    <t>5.3.1.1 1-2 Lime application CO2</t>
  </si>
  <si>
    <t>Element</t>
  </si>
  <si>
    <t>M</t>
  </si>
  <si>
    <t>FracLime</t>
  </si>
  <si>
    <t>FracDol</t>
  </si>
  <si>
    <t>Elime</t>
  </si>
  <si>
    <r>
      <t>E</t>
    </r>
    <r>
      <rPr>
        <b/>
        <vertAlign val="subscript"/>
        <sz val="16"/>
        <color theme="1" tint="0.24994659260841701"/>
        <rFont val="Times New Roman"/>
        <family val="1"/>
      </rPr>
      <t>lime</t>
    </r>
  </si>
  <si>
    <t>t CO2</t>
  </si>
  <si>
    <t>Table_E_lime</t>
  </si>
  <si>
    <t>P</t>
  </si>
  <si>
    <t>EF</t>
  </si>
  <si>
    <t>Lime product 1</t>
  </si>
  <si>
    <t>Lime product 2</t>
  </si>
  <si>
    <t>Lime applications</t>
  </si>
  <si>
    <t>Chemical compound</t>
  </si>
  <si>
    <r>
      <t>MN</t>
    </r>
    <r>
      <rPr>
        <b/>
        <vertAlign val="subscript"/>
        <sz val="11"/>
        <color rgb="FF183C1B"/>
        <rFont val="Times New Roman"/>
        <family val="1"/>
      </rPr>
      <t>jf</t>
    </r>
  </si>
  <si>
    <r>
      <t>FracGASF</t>
    </r>
    <r>
      <rPr>
        <b/>
        <vertAlign val="subscript"/>
        <sz val="11"/>
        <color rgb="FF183C1B"/>
        <rFont val="Times New Roman"/>
        <family val="1"/>
      </rPr>
      <t>f</t>
    </r>
  </si>
  <si>
    <r>
      <t>M</t>
    </r>
    <r>
      <rPr>
        <b/>
        <vertAlign val="subscript"/>
        <sz val="11"/>
        <color rgb="FF183C1B"/>
        <rFont val="Times New Roman"/>
        <family val="1"/>
      </rPr>
      <t>volinorganicjf</t>
    </r>
  </si>
  <si>
    <t>Table_M_vol_inorganic_j_f</t>
  </si>
  <si>
    <t>Mass of nitrogen volatilised from inorganic fertiliser application</t>
  </si>
  <si>
    <r>
      <t>E</t>
    </r>
    <r>
      <rPr>
        <b/>
        <vertAlign val="subscript"/>
        <sz val="11"/>
        <color rgb="FF183C1B"/>
        <rFont val="Times New Roman"/>
        <family val="1"/>
      </rPr>
      <t>ad,inorganic</t>
    </r>
  </si>
  <si>
    <t>Table_M_vol_organic_j_f</t>
  </si>
  <si>
    <t>Mass of nitrogen volatilised from organic fertiliser applied</t>
  </si>
  <si>
    <r>
      <t>E</t>
    </r>
    <r>
      <rPr>
        <b/>
        <vertAlign val="subscript"/>
        <sz val="11"/>
        <color rgb="FF183C1B"/>
        <rFont val="Times New Roman"/>
        <family val="1"/>
      </rPr>
      <t>ad,organic</t>
    </r>
  </si>
  <si>
    <r>
      <t>M</t>
    </r>
    <r>
      <rPr>
        <b/>
        <vertAlign val="subscript"/>
        <sz val="11"/>
        <color rgb="FF183C1B"/>
        <rFont val="Times New Roman"/>
        <family val="1"/>
      </rPr>
      <t>vol,organic,jf</t>
    </r>
  </si>
  <si>
    <r>
      <t>E</t>
    </r>
    <r>
      <rPr>
        <b/>
        <vertAlign val="subscript"/>
        <sz val="16"/>
        <color theme="1" tint="0.24994659260841701"/>
        <rFont val="Times New Roman"/>
        <family val="1"/>
      </rPr>
      <t>ad,inorganic</t>
    </r>
  </si>
  <si>
    <r>
      <t>E</t>
    </r>
    <r>
      <rPr>
        <b/>
        <vertAlign val="subscript"/>
        <sz val="16"/>
        <color theme="1" tint="0.24994659260841701"/>
        <rFont val="Times New Roman"/>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</si>
  <si>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</si>
  <si>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</si>
  <si>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</si>
  <si>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</si>
  <si>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</si>
  <si>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</si>
  <si>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1"/>
        <color rgb="FF183C1B"/>
        <rFont val="Times New Roman"/>
        <family val="1"/>
      </rPr>
      <t>leach,inorganic,j</t>
    </r>
  </si>
  <si>
    <t>Table_M_leach_inorganic_j</t>
  </si>
  <si>
    <r>
      <t>M</t>
    </r>
    <r>
      <rPr>
        <b/>
        <vertAlign val="subscript"/>
        <sz val="12"/>
        <color theme="1" tint="0.24994659260841701"/>
        <rFont val="Times New Roman"/>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</si>
  <si>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</si>
  <si>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</si>
  <si>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</si>
  <si>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</si>
  <si>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</si>
  <si>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</si>
  <si>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5.1.1.1-2 Inorganic fertiliser N2O</t>
  </si>
  <si>
    <t>5.1.1.3-4 Inorganic fertiliser CO2</t>
  </si>
  <si>
    <t>5.2.1.1-2 Organic fertiliser N2O</t>
  </si>
  <si>
    <t>5.3.1.1-3 Lime CO2</t>
  </si>
  <si>
    <t>5.4.1.1-5 Atmospheric deposition</t>
  </si>
  <si>
    <t>5.5.1.1-2 Leaching and runoff</t>
  </si>
  <si>
    <t>Nitrogen - Ammoniacal</t>
  </si>
  <si>
    <t>Aqua Finish</t>
  </si>
  <si>
    <t>My second custom blend</t>
  </si>
  <si>
    <t>💡 NOTE: When there is no Method 2, the Method 2 result are the same as Method 1</t>
  </si>
  <si>
    <t>`</t>
  </si>
  <si>
    <t xml:space="preserve">  </t>
  </si>
  <si>
    <t>Input - Fertiliser</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</si>
  <si>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</si>
  <si>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</si>
  <si>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</si>
  <si>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</si>
  <si>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</si>
  <si>
    <t>CoRoN 12-0-10</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</si>
  <si>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</si>
  <si>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</si>
  <si>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</si>
  <si>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</si>
  <si>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</si>
  <si>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</si>
  <si>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</si>
  <si>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</si>
  <si>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</si>
  <si>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</si>
  <si>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General use</t>
  </si>
  <si>
    <t>Petrol</t>
  </si>
  <si>
    <t>Diesel</t>
  </si>
  <si>
    <t>Biodiesel</t>
  </si>
  <si>
    <t>Ethanol</t>
  </si>
  <si>
    <t>Other biofuels</t>
  </si>
  <si>
    <t>Liquefied petroleum gas (LPG)</t>
  </si>
  <si>
    <t>Renewable diesel</t>
  </si>
  <si>
    <t>Natural gas (via pipeline) in GJ</t>
  </si>
  <si>
    <t>Town gas in GJ</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</si>
  <si>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</si>
  <si>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</si>
  <si>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</si>
  <si>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</si>
  <si>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</si>
  <si>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</si>
  <si>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</si>
  <si>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</si>
  <si>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</si>
  <si>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</si>
  <si>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</si>
  <si>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</si>
  <si>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</si>
  <si>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</si>
  <si>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</si>
  <si>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</si>
  <si>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</si>
  <si>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</si>
  <si>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Scope 3 Emission Factors for Natural Gas (kg CO2 - e / GJ) Metro</t>
  </si>
  <si>
    <t>Scope 3 Emission Factors for Natural Gas (kg CO2 - e / GJ) Non - Metro</t>
  </si>
  <si>
    <t>Appendices</t>
  </si>
  <si>
    <t>Generators</t>
  </si>
  <si>
    <t>Power standalone machinery or heating</t>
  </si>
  <si>
    <t>Aviation</t>
  </si>
  <si>
    <t>Cars and light commercial vehicles</t>
  </si>
  <si>
    <t>Off-road Agriculture and forestry equipment</t>
  </si>
  <si>
    <t>Vessels</t>
  </si>
  <si>
    <t>Fuel oil</t>
  </si>
  <si>
    <t>Fuel type</t>
  </si>
  <si>
    <t>kL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</si>
  <si>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</si>
  <si>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</si>
  <si>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</si>
  <si>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</si>
  <si>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</si>
  <si>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</si>
  <si>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</si>
  <si>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</si>
  <si>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</si>
  <si>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</si>
  <si>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GJ</t>
  </si>
  <si>
    <t>Fuel</t>
  </si>
  <si>
    <t>Fuel use</t>
  </si>
  <si>
    <t>Fuel type (NGAF terminology)</t>
  </si>
  <si>
    <t>Fuel type (q)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</si>
</sst>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7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sz val="11"/>
      <name val="Times New Roman"/>
      <family val="1"/>
    </font>
    <font>
      <sz val="12"/>
      <name val="Times New Roman"/>
      <family val="1"/>
    </font>
    <font>
      <b/>
      <i/>
      <sz val="12"/>
      <color rgb="FFCC6600"/>
      <name val="Times New Roman"/>
      <family val="1"/>
    </font>
    <font>
      <b/>
      <sz val="10"/>
      <color theme="1" tint="0.14999847407452621"/>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sz val="11"/>
      <color theme="1"/>
      <name val="Times New Roman"/>
      <family val="2"/>
    </font>
    <font>
      <b/>
      <sz val="20"/>
      <color theme="3" tint="9.9978637043366805E-2"/>
      <name val="Times New Roman"/>
      <family val="1"/>
    </font>
    <font>
      <sz val="9"/>
      <color theme="1"/>
      <name val="Times New Roman"/>
      <family val="2"/>
      <scheme val="minor"/>
    </font>
    <font>
      <sz val="10"/>
      <color theme="1"/>
      <name val="Times New Roman"/>
      <family val="2"/>
      <scheme val="minor"/>
    </font>
    <font>
      <b/>
      <sz val="9"/>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s>
  <borders count="2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499984740745262"/>
      </top>
      <bottom/>
      <diagonal/>
    </border>
    <border>
      <left style="thin">
        <color theme="3" tint="0.749961851863155"/>
      </left>
      <right/>
      <top/>
      <bottom/>
      <diagonal/>
    </border>
    <border>
      <left/>
      <right style="thin">
        <color theme="3" tint="0.749961851863155"/>
      </right>
      <top/>
      <bottom/>
      <diagonal/>
    </border>
    <border>
      <left/>
      <right/>
      <top/>
      <bottom style="thin">
        <color indexed="64"/>
      </bottom>
      <diagonal/>
    </border>
    <border>
      <left style="thin">
        <color theme="0" tint="-0.34998626667073579"/>
      </left>
      <right style="thin">
        <color theme="0" tint="-0.34998626667073579"/>
      </right>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58" fillId="16" borderId="2">
      <alignment horizontal="center" vertical="center"/>
    </xf>
    <xf numFmtId="0" fontId="66" fillId="4" borderId="2">
      <alignment horizontal="left" vertical="center"/>
    </xf>
    <xf numFmtId="0" fontId="35" fillId="4" borderId="2">
      <alignment horizontal="left" vertical="center"/>
    </xf>
    <xf numFmtId="0" fontId="68" fillId="0" borderId="0"/>
  </cellStyleXfs>
  <cellXfs count="198">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49" fillId="4" borderId="0" xfId="61">
      <alignment horizontal="left" vertical="center"/>
    </xf>
    <xf numFmtId="0" fontId="48" fillId="4" borderId="0" xfId="60">
      <alignment horizontal="left" vertical="center"/>
    </xf>
    <xf numFmtId="0" fontId="35" fillId="4" borderId="19" xfId="55" applyBorder="1" applyAlignment="1">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62" fillId="4" borderId="0" xfId="0" applyFont="1" applyFill="1" applyAlignment="1">
      <alignment horizontal="center" vertical="center"/>
    </xf>
    <xf numFmtId="0" fontId="62" fillId="4" borderId="0" xfId="0" applyFont="1" applyFill="1"/>
    <xf numFmtId="0" fontId="63"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6" fillId="4" borderId="0" xfId="12" applyAlignment="1">
      <alignment horizontal="center" vertical="center"/>
    </xf>
    <xf numFmtId="0" fontId="58" fillId="16" borderId="2" xfId="66">
      <alignment horizontal="center" vertical="center"/>
    </xf>
    <xf numFmtId="0" fontId="59" fillId="15" borderId="2" xfId="65">
      <alignment horizontal="center" vertical="center"/>
    </xf>
    <xf numFmtId="0" fontId="35" fillId="4" borderId="6" xfId="55" applyBorder="1">
      <alignment horizontal="center" vertical="center"/>
    </xf>
    <xf numFmtId="0" fontId="3" fillId="12" borderId="2" xfId="16" applyAlignment="1">
      <alignment horizontal="center" vertical="center" wrapText="1"/>
    </xf>
    <xf numFmtId="4" fontId="0" fillId="0" borderId="0" xfId="18" applyFont="1" applyBorder="1" applyAlignment="1">
      <alignment horizontal="center" vertical="center" wrapText="1"/>
    </xf>
    <xf numFmtId="0" fontId="35" fillId="4" borderId="2" xfId="55" applyAlignment="1">
      <alignment horizontal="center" vertical="center" wrapText="1"/>
    </xf>
    <xf numFmtId="0" fontId="25" fillId="4" borderId="0" xfId="46" applyFont="1" applyFill="1" applyAlignment="1">
      <alignment horizontal="left" vertical="center" wrapText="1"/>
    </xf>
    <xf numFmtId="2" fontId="62" fillId="4" borderId="0" xfId="42" applyNumberFormat="1" applyFont="1" applyFill="1" applyBorder="1" applyAlignment="1" applyProtection="1">
      <alignment horizontal="center" wrapText="1"/>
      <protection locked="0"/>
    </xf>
    <xf numFmtId="1" fontId="62" fillId="4" borderId="0" xfId="42" applyNumberFormat="1" applyFont="1" applyFill="1" applyBorder="1" applyAlignment="1" applyProtection="1">
      <alignment horizontal="center" wrapText="1"/>
      <protection locked="0"/>
    </xf>
    <xf numFmtId="0" fontId="62" fillId="4" borderId="0" xfId="0" applyFont="1" applyFill="1" applyAlignment="1">
      <alignment horizontal="left" wrapText="1"/>
    </xf>
    <xf numFmtId="0" fontId="63" fillId="4" borderId="0" xfId="0" applyFont="1" applyFill="1" applyAlignment="1">
      <alignment wrapText="1"/>
    </xf>
    <xf numFmtId="0" fontId="40" fillId="4" borderId="0" xfId="8" applyAlignment="1">
      <alignment horizontal="left" vertical="center" wrapText="1"/>
    </xf>
    <xf numFmtId="0" fontId="54" fillId="4" borderId="0" xfId="50" applyAlignment="1">
      <alignment horizontal="left" vertical="center" wrapText="1"/>
    </xf>
    <xf numFmtId="0" fontId="0" fillId="4" borderId="0" xfId="0" applyFill="1" applyAlignment="1">
      <alignment wrapText="1"/>
    </xf>
    <xf numFmtId="0" fontId="0" fillId="0" borderId="0" xfId="0" applyAlignment="1">
      <alignment wrapText="1"/>
    </xf>
    <xf numFmtId="0" fontId="65" fillId="12" borderId="2" xfId="16" applyFont="1" applyAlignment="1">
      <alignment horizontal="center" vertical="center" wrapText="1"/>
    </xf>
    <xf numFmtId="0" fontId="65" fillId="12" borderId="2" xfId="16" applyFont="1">
      <alignment horizontal="center" vertical="center"/>
    </xf>
    <xf numFmtId="0" fontId="2" fillId="0" borderId="2" xfId="59">
      <alignment horizontal="center" vertical="center"/>
    </xf>
    <xf numFmtId="9" fontId="0" fillId="0" borderId="0" xfId="14" applyFont="1" applyFill="1" applyBorder="1" applyAlignment="1">
      <alignment horizontal="center" vertical="center" wrapText="1"/>
    </xf>
    <xf numFmtId="0" fontId="45" fillId="13" borderId="20" xfId="41" applyBorder="1">
      <alignment horizontal="left" vertical="center"/>
    </xf>
    <xf numFmtId="9" fontId="0" fillId="4" borderId="0" xfId="0" applyNumberFormat="1" applyFill="1"/>
    <xf numFmtId="0" fontId="13" fillId="6" borderId="0" xfId="30" applyAlignment="1">
      <alignment horizontal="center" vertical="center" wrapText="1"/>
      <protection locked="0"/>
    </xf>
    <xf numFmtId="0" fontId="0" fillId="0" borderId="0" xfId="15" applyFont="1" applyBorder="1" applyAlignment="1">
      <alignment horizontal="center" vertical="center" wrapText="1"/>
    </xf>
    <xf numFmtId="9" fontId="0" fillId="0" borderId="0" xfId="17" applyFont="1" applyBorder="1" applyAlignment="1">
      <alignment horizontal="center" vertical="center" wrapText="1"/>
    </xf>
    <xf numFmtId="0" fontId="37" fillId="0" borderId="0" xfId="0" applyFont="1" applyAlignment="1">
      <alignment wrapText="1"/>
    </xf>
    <xf numFmtId="0" fontId="0" fillId="0" borderId="0" xfId="0" applyAlignment="1">
      <alignment vertical="center" wrapText="1"/>
    </xf>
    <xf numFmtId="0" fontId="66" fillId="4" borderId="2" xfId="67">
      <alignment horizontal="left" vertical="center"/>
    </xf>
    <xf numFmtId="0" fontId="66" fillId="4" borderId="7" xfId="67" applyBorder="1">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1" xfId="8" applyBorder="1">
      <alignment horizontal="left" vertical="center"/>
    </xf>
    <xf numFmtId="0" fontId="68" fillId="0" borderId="0" xfId="69"/>
    <xf numFmtId="3" fontId="35" fillId="4" borderId="2" xfId="55" applyNumberFormat="1">
      <alignment horizontal="center" vertical="center"/>
    </xf>
    <xf numFmtId="4" fontId="35" fillId="4" borderId="2" xfId="49">
      <alignment horizontal="center" vertical="center"/>
    </xf>
    <xf numFmtId="0" fontId="52" fillId="4" borderId="1" xfId="12" applyFont="1" applyBorder="1">
      <alignment horizontal="left" vertical="center" indent="1"/>
    </xf>
    <xf numFmtId="0" fontId="45" fillId="13" borderId="22" xfId="41" applyBorder="1">
      <alignment horizontal="left" vertical="center"/>
    </xf>
    <xf numFmtId="0" fontId="45" fillId="13" borderId="0" xfId="41" applyBorder="1">
      <alignment horizontal="left" vertical="center"/>
    </xf>
    <xf numFmtId="0" fontId="45" fillId="13" borderId="23" xfId="41" applyBorder="1">
      <alignment horizontal="left" vertical="center"/>
    </xf>
    <xf numFmtId="9" fontId="3" fillId="4" borderId="0" xfId="14" applyFont="1" applyFill="1" applyAlignment="1">
      <alignment horizontal="center" vertical="center" wrapText="1"/>
    </xf>
    <xf numFmtId="0" fontId="5" fillId="2" borderId="0" xfId="9" applyAlignment="1">
      <alignment horizontal="center" vertical="center" wrapText="1"/>
    </xf>
    <xf numFmtId="0" fontId="40" fillId="4" borderId="24"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4" fontId="69" fillId="0" borderId="2" xfId="18" applyFont="1" applyAlignment="1">
      <alignment horizontal="center" vertical="center" wrapText="1"/>
    </xf>
    <xf numFmtId="9" fontId="0" fillId="0" borderId="25" xfId="14" applyFont="1" applyFill="1" applyBorder="1" applyAlignment="1">
      <alignment horizontal="center" vertical="center" wrapText="1"/>
    </xf>
    <xf numFmtId="170" fontId="8" fillId="4" borderId="0" xfId="10" applyNumberFormat="1">
      <alignment horizontal="center" vertical="center"/>
    </xf>
    <xf numFmtId="0" fontId="70"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0" fillId="0" borderId="0" xfId="7" applyFont="1" applyFill="1" applyAlignment="1">
      <alignment horizontal="center" vertical="center"/>
    </xf>
    <xf numFmtId="9" fontId="0" fillId="0" borderId="0" xfId="17" applyFont="1" applyBorder="1">
      <alignment horizontal="center" vertical="center"/>
    </xf>
    <xf numFmtId="0" fontId="71" fillId="0" borderId="0" xfId="0" applyFont="1" applyAlignment="1">
      <alignment vertical="center" wrapText="1"/>
    </xf>
    <xf numFmtId="0" fontId="72" fillId="0" borderId="0" xfId="0" applyFont="1" applyAlignment="1">
      <alignment horizontal="left" vertical="center"/>
    </xf>
    <xf numFmtId="0" fontId="72" fillId="0" borderId="0" xfId="8" applyFont="1" applyFill="1">
      <alignment horizontal="left" vertical="center"/>
    </xf>
    <xf numFmtId="0" fontId="71" fillId="0" borderId="0" xfId="0" applyFont="1" applyAlignment="1">
      <alignment vertical="center"/>
    </xf>
    <xf numFmtId="0" fontId="71" fillId="0" borderId="0" xfId="0" applyFont="1" applyAlignment="1">
      <alignment horizontal="left" vertical="center"/>
    </xf>
    <xf numFmtId="0" fontId="0" fillId="0" borderId="0" xfId="0" applyAlignment="1">
      <alignment horizontal="left" vertical="center"/>
    </xf>
    <xf numFmtId="0" fontId="71" fillId="4" borderId="0" xfId="0" applyFont="1" applyFill="1" applyAlignment="1">
      <alignment horizontal="left" vertical="center"/>
    </xf>
    <xf numFmtId="0" fontId="41" fillId="4" borderId="0" xfId="8" applyFont="1" applyAlignment="1">
      <alignment horizontal="right" vertical="center"/>
    </xf>
    <xf numFmtId="0" fontId="73" fillId="4" borderId="0" xfId="0" applyFont="1" applyFill="1"/>
    <xf numFmtId="0" fontId="71" fillId="0" borderId="0" xfId="0" applyFont="1"/>
    <xf numFmtId="0" fontId="71" fillId="0" borderId="0" xfId="7" applyFont="1" applyFill="1">
      <alignment horizontal="left" vertical="center"/>
    </xf>
    <xf numFmtId="0" fontId="71" fillId="4" borderId="0" xfId="0" applyFont="1" applyFill="1"/>
    <xf numFmtId="0" fontId="71" fillId="4" borderId="0" xfId="7" applyFont="1">
      <alignment horizontal="left" vertical="center"/>
    </xf>
    <xf numFmtId="0" fontId="39" fillId="4" borderId="0" xfId="51" applyAlignment="1">
      <alignment horizontal="left" vertical="center"/>
    </xf>
    <xf numFmtId="0" fontId="34" fillId="4" borderId="0" xfId="53">
      <alignment horizontal="left" vertical="center"/>
    </xf>
    <xf numFmtId="0" fontId="3" fillId="4" borderId="1" xfId="7" applyBorder="1">
      <alignment horizontal="left" vertical="center"/>
    </xf>
    <xf numFmtId="0" fontId="39" fillId="4" borderId="1" xfId="51" applyBorder="1" applyAlignment="1">
      <alignment horizontal="left" vertical="center"/>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24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242"/>
      <tableStyleElement type="headerRow" dxfId="241"/>
      <tableStyleElement type="totalRow" dxfId="240"/>
      <tableStyleElement type="firstColumn" dxfId="239"/>
      <tableStyleElement type="firstRowStripe" dxfId="238"/>
      <tableStyleElement type="secondRowStripe" dxfId="237"/>
    </tableStyle>
    <tableStyle name="Equation table" pivot="0" count="6" xr9:uid="{B247698E-E41D-4CCD-AA0A-C14817E9DE65}">
      <tableStyleElement type="wholeTable" dxfId="236"/>
      <tableStyleElement type="headerRow" dxfId="235"/>
      <tableStyleElement type="totalRow" dxfId="234"/>
      <tableStyleElement type="firstColumn" dxfId="233"/>
      <tableStyleElement type="firstRowStripe" dxfId="232"/>
      <tableStyleElement type="secondRowStripe" dxfId="231"/>
    </tableStyle>
    <tableStyle name="Table Style 1" pivot="0" count="0" xr9:uid="{97B370DB-5463-4A31-9160-5A96BD6A559D}"/>
  </tableStyles>
  <colors>
    <mruColors>
      <color rgb="FFFFCCCC"/>
      <color rgb="FF0C769E"/>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0/relationships/richValueRel" Target="richData/richValueRel.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5.1.1.1-2 Inorganic fert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5.1.1.1-2 Inorganic fert N2O'!D39">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5.1.1.1-2 Inorganic fert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5.1.1.1-2 Inorganic fert N2O'!M16">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5.1.1.1-2 Inorganic fert N2O'!M27">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5.1.1.3-4 Inorganic fert CO2'!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5.1.1.3-4 Inorganic fert CO2'!D40">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6">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0">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4">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6">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0">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41</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42</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𝐸_𝑁2𝑂=∑8_𝑗▒∑8_𝑓▒((𝑀𝑁𝑆𝑜𝑖𝑙_𝑗𝑓×𝐸𝐹_(𝑁2𝑂,𝑖)×𝐶_𝑁2𝑂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42</xdr:row>
      <xdr:rowOff>57150</xdr:rowOff>
    </xdr:from>
    <xdr:ext cx="424674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𝐸_(𝑎𝑑,𝑖𝑛𝑜𝑟𝑔𝑎𝑛𝑖𝑐)=∑10_𝑗▒∑10_𝑓▒((𝑀_(𝑣𝑜𝑙,𝑖𝑛𝑜𝑟𝑔𝑎𝑛𝑖𝑐,𝑗𝑓)×𝐸𝐹_(𝑁2𝑂,𝑗)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88</xdr:row>
      <xdr:rowOff>66675</xdr:rowOff>
    </xdr:from>
    <xdr:ext cx="2649059" cy="18299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116</xdr:row>
      <xdr:rowOff>57150</xdr:rowOff>
    </xdr:from>
    <xdr:ext cx="4040786"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𝐸_(𝑎𝑑,𝑜𝑟𝑔𝑎𝑛𝑖𝑐)=∑10_𝑗▒∑10_𝑓▒((𝑀_(𝑣𝑜𝑙,𝑜𝑟𝑔𝑎𝑛𝑖𝑐,𝑗𝑓)×𝐸𝐹_(𝑁2𝑂,𝑗)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14287</xdr:colOff>
      <xdr:row>116</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B19C412-E2E6-4055-A365-CFF691573B37}"/>
                </a:ext>
              </a:extLst>
            </xdr:cNvPr>
            <xdr:cNvSpPr txBox="1"/>
          </xdr:nvSpPr>
          <xdr:spPr>
            <a:xfrm>
              <a:off x="2690812" y="289179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B19C412-E2E6-4055-A365-CFF691573B37}"/>
                </a:ext>
              </a:extLst>
            </xdr:cNvPr>
            <xdr:cNvSpPr txBox="1"/>
          </xdr:nvSpPr>
          <xdr:spPr>
            <a:xfrm>
              <a:off x="2690812" y="289179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𝐸_(𝑎𝑑,𝑜𝑟𝑔𝑎𝑛𝑖𝑐)=∑10_𝑗▒∑10_𝑓▒((𝑀_(𝑣𝑜𝑙,𝑜𝑟𝑔𝑎𝑛𝑖𝑐,𝑗𝑓)×𝐸𝐹_(𝑁2𝑂,𝑗) )×𝐶_𝑁2𝑂×10^(−3) ) </a:t>
              </a:r>
              <a:endParaRPr lang="en-AU" sz="1100"/>
            </a:p>
          </xdr:txBody>
        </xdr:sp>
      </mc:Fallback>
    </mc:AlternateContent>
    <xdr:clientData/>
  </xdr:oneCellAnchor>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100"/>
            </a:p>
          </xdr:txBody>
        </xdr:sp>
      </mc:Fallback>
    </mc:AlternateContent>
    <xdr:clientData/>
  </xdr:oneCellAnchor>
  <xdr:oneCellAnchor>
    <xdr:from>
      <xdr:col>2</xdr:col>
      <xdr:colOff>252412</xdr:colOff>
      <xdr:row>48</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𝑀_(𝑙𝑒𝑎𝑐ℎ,𝑜𝑟𝑔𝑎𝑛𝑖𝑐,𝑗)=∑10_𝑓▒(𝑀𝑁𝑆𝑜𝑖𝑙_𝑗𝑓×𝐹𝑟𝑎𝑐_(𝑊𝐸𝑇,𝑗)×𝐹𝑟𝑎𝑐_𝐿𝐸𝐴𝐶𝐻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82</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𝐸_(𝑓𝑒𝑟𝑡,𝑙𝑒𝑎𝑐ℎ)=∑8_𝑗▒((𝑀_(𝑙𝑒𝑎𝑐ℎ,𝑖𝑛𝑜𝑟𝑔𝑎𝑛𝑖𝑐,𝑗)+𝑀_(𝑙𝑒𝑎𝑐ℎ,𝑜𝑟𝑔𝑎𝑛𝑖𝑐,𝑗)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8_Fuel_WIP_v03.xlsx" TargetMode="External"/><Relationship Id="rId1" Type="http://schemas.openxmlformats.org/officeDocument/2006/relationships/externalLinkPath" Target="8_Fuel_WIP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Overview"/>
      <sheetName val="Results"/>
      <sheetName val="Input - Fuel"/>
      <sheetName val="8.1.1.1-2 Transport fuel"/>
      <sheetName val="8.2.1.1-2 Stationary fuel"/>
      <sheetName val="8.X.1.1-2 General use fuel"/>
      <sheetName val="Constants - Fuel"/>
      <sheetName val="Constants - Common"/>
    </sheetNames>
    <sheetDataSet>
      <sheetData sheetId="0"/>
      <sheetData sheetId="1"/>
      <sheetData sheetId="2"/>
      <sheetData sheetId="3"/>
      <sheetData sheetId="4"/>
      <sheetData sheetId="5"/>
      <sheetData sheetId="6"/>
      <sheetData sheetId="7">
        <row r="10">
          <cell r="E10" t="str">
            <v>Gasoline</v>
          </cell>
        </row>
        <row r="11">
          <cell r="E11" t="str">
            <v>Diesel oil</v>
          </cell>
        </row>
        <row r="12">
          <cell r="E12" t="str">
            <v>Liquefied petroleum gas (LPG)</v>
          </cell>
        </row>
        <row r="13">
          <cell r="E13" t="str">
            <v>Fuel oil</v>
          </cell>
        </row>
        <row r="14">
          <cell r="E14" t="str">
            <v>Ethanol</v>
          </cell>
        </row>
        <row r="15">
          <cell r="E15" t="str">
            <v>Biodiesel</v>
          </cell>
        </row>
        <row r="16">
          <cell r="E16" t="str">
            <v>Renewable diesel</v>
          </cell>
        </row>
        <row r="17">
          <cell r="E17" t="str">
            <v>Other biofuels</v>
          </cell>
        </row>
        <row r="28">
          <cell r="E28" t="str">
            <v>Gasoline for use as fuel in an aircraft</v>
          </cell>
        </row>
        <row r="29">
          <cell r="E29" t="str">
            <v>Kerosene for use as fuel in an aircraft</v>
          </cell>
        </row>
        <row r="30">
          <cell r="E30" t="str">
            <v>Renewable aviation kerosene</v>
          </cell>
        </row>
        <row r="33">
          <cell r="E33" t="str">
            <v>Fuel Oil</v>
          </cell>
        </row>
        <row r="131">
          <cell r="F131" t="str">
            <v>Avgas</v>
          </cell>
          <cell r="G131" t="str">
            <v>Petrol</v>
          </cell>
          <cell r="H131" t="str">
            <v>Diesel</v>
          </cell>
          <cell r="I131" t="str">
            <v>Petrol</v>
          </cell>
        </row>
        <row r="132">
          <cell r="F132" t="str">
            <v>Jet A1, Jet B</v>
          </cell>
          <cell r="G132" t="str">
            <v>Diesel</v>
          </cell>
          <cell r="I132" t="str">
            <v>Diesel</v>
          </cell>
        </row>
        <row r="133">
          <cell r="F133" t="str">
            <v>Renewable aviation kerosene</v>
          </cell>
          <cell r="G133" t="str">
            <v>Liquefied petroleum gas (LPG)</v>
          </cell>
          <cell r="I133" t="str">
            <v>Fuel oil</v>
          </cell>
        </row>
        <row r="134">
          <cell r="G134" t="str">
            <v>Fuel oil</v>
          </cell>
        </row>
        <row r="135">
          <cell r="G135" t="str">
            <v>Ethanol</v>
          </cell>
        </row>
        <row r="136">
          <cell r="G136" t="str">
            <v>Biodiesel</v>
          </cell>
        </row>
        <row r="137">
          <cell r="G137" t="str">
            <v>Renewable diesel</v>
          </cell>
        </row>
        <row r="138">
          <cell r="G138" t="str">
            <v>Other biofuels</v>
          </cell>
        </row>
      </sheetData>
      <sheetData sheetId="8"/>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673927C-FAF3-425F-8E58-192CAB5E17D4}" name="Table_Input_InorganicFertiliser_Brands" displayName="Table_Input_InorganicFertiliser_Brands" ref="D17:T20" headerRowDxfId="230" dataDxfId="229" totalsRowDxfId="228">
  <autoFilter ref="D17:T20"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2" xr3:uid="{D8E438D7-21E3-48DD-9144-E15C10C5819E}" name="Product (select)" dataDxfId="227" totalsRowDxfId="226" dataCellStyle="Input select"/>
    <tableColumn id="23" xr3:uid="{59B08BC3-EF27-48EB-BCEA-84F2987787EF}" name="Amount applied (kg / ha)" totalsRowFunction="custom" dataDxfId="225" totalsRowDxfId="224">
      <totalsRowFormula>SUM(Table_Input_InorganicFertiliser_Brands[[#Headers],[#Data],[Amount applied (kg / ha)]])</totalsRowFormula>
    </tableColumn>
    <tableColumn id="6" xr3:uid="{6844C17C-E015-4F91-924B-1E5867E2DFCF}" name="Application area (ha)" dataDxfId="223" totalsRowDxfId="222">
      <calculatedColumnFormula>$E$9</calculatedColumnFormula>
    </tableColumn>
    <tableColumn id="1" xr3:uid="{3BF774D0-ADA2-40B3-9242-8DFBBB9443B7}" name="Total applied (kg)" dataDxfId="221" totalsRowDxfId="220" dataCellStyle="Input number general calculated">
      <calculatedColumnFormula>Table_Input_InorganicFertiliser_Brands[[#This Row],[Amount applied (kg / ha)]]*Table_Input_InorganicFertiliser_Brands[[#This Row],[Application area (ha)]]</calculatedColumnFormula>
    </tableColumn>
    <tableColumn id="3" xr3:uid="{F58E0D71-91B7-42EC-AE70-0662CA20A4A0}" name="Ingredient 1" dataDxfId="219" totalsRowDxfId="218"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E044E44D-94BE-4206-90A4-BA1AC9629175}" name="Ingredient 1 percent" dataDxfId="217" totalsRowDxfId="216"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658506A8-773F-406D-BF6E-4A595EC2B83E}" name="Ingredient 2" dataDxfId="215"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14C6792D-E1B3-4C47-95A3-750975538DDF}" name="Ingredient 2 percent" dataDxfId="214" totalsRowDxfId="213"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AAA6B0A4-09BF-4E94-A9FE-688D347CF7F0}" name="Ingredient 3" dataDxfId="212" totalsRowDxfId="211"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A67D8906-DD6A-480D-A8F6-E0E2FD65B673}" name="Ingredient 3 percent" dataDxfId="210" totalsRowDxfId="209"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239B3315-A1C7-4286-B68A-3639868C0EF9}" name="Ingredient 4" dataDxfId="208" totalsRowDxfId="207"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E99F178D-5310-4698-B219-B1950B041870}" name="Ingredient 4 percent" dataDxfId="206"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3E5AE9CD-D391-4137-B063-ACC476CDF5C0}" name="Ingredient 5" dataDxfId="205"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7C4F06C2-A537-435A-A087-76B91A9DF178}" name="Ingredient 5 percent" dataDxfId="204"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F29E9025-612B-444E-ABC6-F122293B67EE}" name="Ingredient 6" dataDxfId="203"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890ECB12-1799-4587-AABE-EB26A9F59082}" name="Ingredient 6 percent" dataDxfId="202"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79855DE6-CD57-4A4D-9E7A-DBDBAC0C93A1}" name="N application rate (kg/ha)" dataDxfId="201" totalsRowDxfId="200" dataCellStyle="Input number general calculated">
      <calculatedColumnFormula>Table_Input_InorganicFertiliser_Brands[[#This Row],[Amount applied (kg / ha)]]*(IFERROR((_xlfn.XLOOKUP(Table_Input_InorganicFertiliser_Brands[[#This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4A338-4140-4535-9AA6-449DA88B1C2C}" name="Table_Input_InorganicFertiliser_Custom" displayName="Table_Input_InorganicFertiliser_Custom" ref="D23:P25" totalsRowShown="0" headerRowDxfId="199" dataDxfId="198">
  <autoFilter ref="D23:P25"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B5F1DF07-A1A2-4FA2-8A3F-B3BE5D6FA2EF}" name="Custom blend name" dataCellStyle="Input text"/>
    <tableColumn id="2" xr3:uid="{7C7F2F97-8F52-4B32-ADCE-CCF50441D95B}" name="Amount applied (kg / ha)" dataDxfId="197"/>
    <tableColumn id="3" xr3:uid="{7EF8A17B-D965-4D18-A7A2-D90F9F680015}" name="Application area (ha)" dataDxfId="196" dataCellStyle="Input number 2 decimal places">
      <calculatedColumnFormula>$E$9</calculatedColumnFormula>
    </tableColumn>
    <tableColumn id="4" xr3:uid="{B5004E38-6D68-4E13-BED4-CB556D548532}" name="Total applied (kg)" dataDxfId="195" dataCellStyle="Input number general calculated">
      <calculatedColumnFormula>Table_Input_InorganicFertiliser_Custom[[#This Row],[Amount applied (kg / ha)]]*Table_Input_InorganicFertiliser_Custom[[#This Row],[Application area (ha)]]</calculatedColumnFormula>
    </tableColumn>
    <tableColumn id="5" xr3:uid="{412210B2-0F3E-4380-B533-FB2A32DCF46E}" name="Ingredient 1 (select)" dataDxfId="194" dataCellStyle="Input select"/>
    <tableColumn id="6" xr3:uid="{E4FC8E72-0059-40E6-A5E8-C29893BBF371}" name="Ingredient 1 percent" dataDxfId="193"/>
    <tableColumn id="8" xr3:uid="{3568E299-41D5-4DA4-822C-91EFC2C68B68}" name="Ingredient 2" dataDxfId="192" dataCellStyle="Input select"/>
    <tableColumn id="9" xr3:uid="{9DFD8E7A-8101-4927-89BF-3E994EB31F96}" name="Ingredient 2 percent" dataDxfId="191"/>
    <tableColumn id="11" xr3:uid="{A7F2C8C6-1FC3-42D4-A36B-254F6E195571}" name="Ingredient 3" dataDxfId="190" dataCellStyle="Input select"/>
    <tableColumn id="12" xr3:uid="{43F6AA9D-3E97-4BA6-8E27-81AE530E1428}" name="Ingredient 3 percent" dataDxfId="189"/>
    <tableColumn id="14" xr3:uid="{AAE79728-DB2A-45E8-B9AB-496D82682D02}" name="Ingredient 4" dataDxfId="188" dataCellStyle="Input select"/>
    <tableColumn id="15" xr3:uid="{48BA5E25-4596-49E4-8F81-BC0D52974ECA}" name="Ingredient 4 percent" dataCellStyle="Input percent"/>
    <tableColumn id="7" xr3:uid="{8A68B805-7FB6-49A9-B9BB-58ADF30E43B7}" name="N application rate (kg/ha)" dataDxfId="187"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4B33D-ED8D-4C1D-B319-1B5D2D0181A1}" name="Table_Input_Lime" displayName="Table_Input_Lime" ref="D33:L35" totalsRowShown="0" headerRowDxfId="186" dataDxfId="185" headerRowCellStyle="Input table column header">
  <autoFilter ref="D33:L35"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2EBE8C9-DDAA-458C-A7AA-DCB847581DFF}" name="Product" dataDxfId="184"/>
    <tableColumn id="2" xr3:uid="{B4EAD8A0-4563-4BA4-8C32-F444D747B623}" name="Amount applied (t/hectare)" dataDxfId="183"/>
    <tableColumn id="4" xr3:uid="{AEB6AB68-6478-4B2B-9B85-2B6FAFAF4B19}" name="Application area (ha)" dataDxfId="182">
      <calculatedColumnFormula>$E$9</calculatedColumnFormula>
    </tableColumn>
    <tableColumn id="3" xr3:uid="{CB52F796-ECF9-4D56-B08E-72C1A090ECED}" name="Total amount applied (t)" dataDxfId="181" dataCellStyle="Input number general calculated">
      <calculatedColumnFormula>IFERROR(Table_Input_Lime[[#This Row],[Amount applied (t/hectare)]]*Table_Input_Lime[[#This Row],[Application area (ha)]], 0)</calculatedColumnFormula>
    </tableColumn>
    <tableColumn id="6" xr3:uid="{463C4932-5481-444B-B89A-91DEAB645D48}" name="Percent Lime CaCO3" dataDxfId="180"/>
    <tableColumn id="8" xr3:uid="{E6AC5B83-E41F-4CA3-8CB5-DAE2C8D31386}" name="Percent Dolomite CaMg(CO3)2" dataDxfId="179"/>
    <tableColumn id="7" xr3:uid="{C2FA7C98-73DF-4B0B-9D0B-AF335608BA35}" name="Percent Gypsum" dataDxfId="178"/>
    <tableColumn id="9" xr3:uid="{B7176A02-8377-4825-B7A1-ECCC697302EA}" name="Percent Potash" dataDxfId="177"/>
    <tableColumn id="10" xr3:uid="{4BF71EEB-80F3-4DB1-B0D1-D4D93983D919}" name="Total" dataDxfId="176" dataCellStyle="Percent">
      <calculatedColumnFormula>SUM(Table_Input_Lime[[#This Row],[Percent Lime CaCO3]:[Percent Potash]])</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24D04C-9CD1-4344-A611-A0F26AAC6A09}" name="Table_Input_OrganicFertiliser" displayName="Table_Input_OrganicFertiliser" ref="D43:J45" totalsRowShown="0" headerRowDxfId="175" dataDxfId="174" headerRowCellStyle="Input table column header">
  <autoFilter ref="D43:J45"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0150C9-E95C-4634-ACAA-18237EE0F81C}" name="Organic fertiliser type (select)" dataDxfId="173" dataCellStyle="Input select"/>
    <tableColumn id="5" xr3:uid="{A4835DDC-D01F-4121-BA81-061BD582AD81}" name="Percentage of N in fertiliser" dataDxfId="172"/>
    <tableColumn id="2" xr3:uid="{78F23607-4221-4C96-AE58-1738D148B281}" name="Amount applied (kg/hectare)" dataDxfId="171"/>
    <tableColumn id="11" xr3:uid="{743E34BE-5366-4C2E-A066-60503FC1C110}" name="Amount N applied (kg/hectare)" dataDxfId="170" dataCellStyle="Input number general calculated">
      <calculatedColumnFormula>Table_Input_OrganicFertiliser[[#This Row],[Amount applied (kg/hectare)]]*Table_Input_OrganicFertiliser[[#This Row],[Percentage of N in fertiliser]]</calculatedColumnFormula>
    </tableColumn>
    <tableColumn id="4" xr3:uid="{B88F455B-D8D9-4441-954D-CD168CA9D851}" name="Application area (ha)" dataDxfId="169">
      <calculatedColumnFormula>$E$9</calculatedColumnFormula>
    </tableColumn>
    <tableColumn id="7" xr3:uid="{7CBB769C-0807-447F-BE25-34DAD65EC446}" name="Total organic fertliser applied" dataDxfId="168" dataCellStyle="Input number general calculated">
      <calculatedColumnFormula>Table_Input_OrganicFertiliser[[#This Row],[Amount applied (kg/hectare)]]*Table_Input_OrganicFertiliser[[#This Row],[Application area (ha)]]</calculatedColumnFormula>
    </tableColumn>
    <tableColumn id="3" xr3:uid="{1F74E9BE-0840-40F9-B7FF-8F62A4E651FA}" name="Total nitrogen applied (kg)" dataDxfId="167"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9D4E323-2186-42FF-A5BC-156AB2BA74B6}" name="Table_Input_Fuel" displayName="Table_Input_Fuel" ref="D10:I11" totalsRowDxfId="51" headerRowCellStyle="Input table column header">
  <autoFilter ref="D10:I11" xr:uid="{6E44059A-C219-4316-A7A0-AD77B0121F06}">
    <filterColumn colId="0" hiddenButton="1"/>
    <filterColumn colId="1" hiddenButton="1"/>
    <filterColumn colId="2" hiddenButton="1"/>
    <filterColumn colId="3" hiddenButton="1"/>
    <filterColumn colId="4" hiddenButton="1"/>
    <filterColumn colId="5" hiddenButton="1"/>
  </autoFilter>
  <tableColumns count="6">
    <tableColumn id="2" xr3:uid="{D64BB075-47A5-4ABF-BFAE-AF8895F37A21}" name="Fuel use (select)" totalsRowFunction="average" totalsRowDxfId="50" dataCellStyle="Input select" totalsRowCellStyle="Input select"/>
    <tableColumn id="3" xr3:uid="{0CE66286-EEC1-4C77-A9B0-261EDA73488A}" name="Fuel type (select)" totalsRowDxfId="49" dataCellStyle="Input select" totalsRowCellStyle="Input select"/>
    <tableColumn id="4" xr3:uid="{D4B52787-EA84-459F-A295-C043A8D02F1B}" name="Amount purchased" totalsRowDxfId="48" totalsRowCellStyle="Content bold"/>
    <tableColumn id="6" xr3:uid="{9F70C3BD-A371-40AD-9071-A0FBE1CCE6BA}" name="Amount unit" totalsRowDxfId="47" dataCellStyle="Input number general calculated" totalsRowCellStyle="Input text calculated">
      <calculatedColumnFormula array="1">Common_InputFunctions.Utility_LookupValueInTable(Table_Input_Fuel[[#This Row],[Fuel type (select)]],[1]!Table_FuelTypes_Units[Fuel type], [1]!Table_FuelTypes_Units[Unit])</calculatedColumnFormula>
    </tableColumn>
    <tableColumn id="5" xr3:uid="{5DD106C6-A3B7-4745-B990-472EDCC83F7F}" name="Percent consumed" totalsRowDxfId="46" totalsRowCellStyle="Input percent">
      <calculatedColumnFormula>1</calculatedColumnFormula>
    </tableColumn>
    <tableColumn id="1" xr3:uid="{6CCE6104-43F5-47B4-9DF8-815F54325EF2}" name="Amount consumed" totalsRowFunction="custom" totalsRowDxfId="45" dataCellStyle="Input number general calculated" totalsRowCellStyle="Input number 3 decimal places calculated">
      <calculatedColumnFormula>Table_Input_Fuel[[#This Row],[Amount purchased]]*Table_Input_Fuel[[#This Row],[Percent consumed]]*10^-3</calculatedColumnFormula>
      <totalsRowFormula>SUM(Table_Input_Fuel[Amount consumed])</totalsRow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DD19F-CBC4-42A0-AD7E-F034180A8AA9}" name="Table_Fertiliser_ChemicalCompounds" displayName="Table_Fertiliser_ChemicalCompounds" ref="D19:I37" totalsRowShown="0">
  <autoFilter ref="D19:I37"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C4C01E3-2923-4F94-8346-41D989BDE40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2E07C71-DD8D-4126-8655-0AFD44FCC6AB}" name="FNinorganic f">
      <calculatedColumnFormula array="1">Common_InputFunctions.Utility_DisplayArrayInTable(Fertiliser_SourceData.Fertiliser_ChemicalCompoundElements_Data(),Table_Fertiliser_ChemicalCompounds[[#Headers],[Fertiliser type f]], 0)</calculatedColumnFormula>
    </tableColumn>
    <tableColumn id="3" xr3:uid="{30037BC3-4142-4B1B-B7E0-8A23D8ADC7CE}" name="FU f">
      <calculatedColumnFormula array="1">Common_InputFunctions.Utility_DisplayArrayInTable(Fertiliser_SourceData.Fertiliser_ChemicalCompoundElements_Data(),Table_Fertiliser_ChemicalCompounds[[#Headers],[Fertiliser type f]], 0)</calculatedColumnFormula>
    </tableColumn>
    <tableColumn id="4" xr3:uid="{EAEC1FB5-77BC-47F7-AAD2-E4475E63C604}" name="Basis">
      <calculatedColumnFormula array="1">Common_InputFunctions.Utility_DisplayArrayInTable(Fertiliser_SourceData.Fertiliser_ChemicalCompoundElements_Data(),Table_Fertiliser_ChemicalCompounds[[#Headers],[Fertiliser type f]], 0)</calculatedColumnFormula>
    </tableColumn>
    <tableColumn id="5" xr3:uid="{10C0FE6E-3C31-41D7-A8E3-A5873BBFAF5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BEA0D9E-021A-42DD-879C-0FE0921BFAA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F03620B-9968-447A-A13F-E60FF3C81E47}"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3F0E066-456E-4CE4-AA6E-2432945E94BE}" name="Include or Exclude" totalsRowDxfId="166"/>
    <tableColumn id="2" xr3:uid="{A1127254-05BE-4396-ABB5-A675D872078F}" name="Notes" totalsRowDxfId="165"/>
    <tableColumn id="3" xr3:uid="{38D957B7-EEA5-463D-BDB3-85B9FFD5BAA7}" name="Company" totalsRowDxfId="164"/>
    <tableColumn id="4" xr3:uid="{B66302A1-05EA-480E-AA2A-DA54BBD38A46}" name="Product name" totalsRowDxfId="163"/>
    <tableColumn id="5" xr3:uid="{1DD9CD43-0FC6-467F-B81B-17F2B18D92A6}" name="Unit" totalsRowDxfId="162"/>
    <tableColumn id="6" xr3:uid="{2726F29B-265E-4968-9BDB-0822F320EC19}" name="Density / gravity" totalsRowDxfId="161"/>
    <tableColumn id="7" xr3:uid="{BF1AF56A-2845-4920-860F-B10A736587C1}" name="Urea source" totalsRowDxfId="160"/>
    <tableColumn id="8" xr3:uid="{E2EDC11B-C8E4-42A8-A90F-976309289390}" name="Ammonia source" totalsRowDxfId="159"/>
    <tableColumn id="9" xr3:uid="{24252A97-7709-44EA-ABC3-5F607CC0348F}" name="Ingredient 1" totalsRowDxfId="158"/>
    <tableColumn id="10" xr3:uid="{11AF6B47-3A72-4D46-9A4D-BBF30EC4193E}" name="Ingredient 1 percent" totalsRowDxfId="157"/>
    <tableColumn id="11" xr3:uid="{0AAFCB45-5C80-4123-8736-D764334BFDB4}" name="Ingredient 2" totalsRowDxfId="156"/>
    <tableColumn id="12" xr3:uid="{1191C429-7048-41F0-B9F1-7F3F733CF190}" name="Ingredient 2 percent" totalsRowDxfId="155"/>
    <tableColumn id="13" xr3:uid="{FA476FFC-F776-4F53-9E0E-72EDBA1D1AE9}" name="Ingredient 3" totalsRowDxfId="154"/>
    <tableColumn id="14" xr3:uid="{659EB097-21AA-48F2-ABBA-84390DA814E8}" name="Ingredient 3 percent" totalsRowDxfId="153"/>
    <tableColumn id="15" xr3:uid="{41225C63-628E-47D6-9916-54724FB26AA0}" name="Ingredient 4" totalsRowDxfId="152"/>
    <tableColumn id="16" xr3:uid="{5CC4BD9F-F4DC-4AFB-B330-906140042C26}" name="Ingredient 4 percent" totalsRowDxfId="151"/>
    <tableColumn id="17" xr3:uid="{C8419B25-8A41-4C9D-9C06-4A39DBA4FAEA}" name="Ingredient 5" totalsRowDxfId="150"/>
    <tableColumn id="18" xr3:uid="{E02EF3B5-039F-4565-B2D4-9A23C40746B9}" name="Ingredient 5 percent" totalsRowDxfId="149"/>
    <tableColumn id="19" xr3:uid="{AC8B170D-2E32-4FB7-BD07-9CD91A23BA09}" name="Ingredient 6" totalsRowDxfId="148"/>
    <tableColumn id="37" xr3:uid="{D87106C6-8480-4F48-8501-41D31D7A5FF8}" name="Ingredient 6 percent" totalsRowDxfId="147"/>
    <tableColumn id="20" xr3:uid="{BA505D28-522B-43EB-A12C-7C8BE25DD8C7}" name="Ingredient 7"/>
    <tableColumn id="24" xr3:uid="{3C80D87A-0310-479A-B767-6AACE3B3E29B}" name="Ingredient 7 percent"/>
    <tableColumn id="23" xr3:uid="{CD58DC3E-C0F2-43B2-A1B0-76B51355BEA1}" name="Ingredient 8"/>
    <tableColumn id="26" xr3:uid="{42E03324-7FDE-410D-A6C4-4B89738E9819}" name="Ingredient 8 percent"/>
    <tableColumn id="25" xr3:uid="{84EB4292-6D04-4B8E-8047-079CEB05EA1D}" name="Ingredient 9"/>
    <tableColumn id="30" xr3:uid="{EC662245-DC04-4101-9534-1830E772B6D9}" name="Ingredient 9 percent"/>
    <tableColumn id="29" xr3:uid="{1CC52630-7C0B-476C-B2D2-4186BA938468}" name="Imngredient 10"/>
    <tableColumn id="28" xr3:uid="{50F2BD5C-4FB9-4A6E-843C-95FB18A62F65}" name="Ingredient 10 percent"/>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6279EA-7DA2-46FA-80C0-81926E3CFC51}"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19E09D05-8D4E-4AE2-8358-E4A5E671DAF1}" name="Fertiliser type f">
      <calculatedColumnFormula array="1">Common_InputFunctions.Utility_DisplayArrayInTable(Fertiliser_SourceData.Fertiliser_FracGASF_Data(), Table_SourceData_Fertiliser_FracGASF[[#Headers],[Fertiliser type f]], 0)</calculatedColumnFormula>
    </tableColumn>
    <tableColumn id="2" xr3:uid="{DA8F3147-84CA-4496-93BC-D8C87A2057DC}" name="FracGASF f" dataDxfId="146"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F3A11E-40F5-4BB9-BFF4-A71FA2ADA0EF}" name="Table_SourceData_Fertiliser_CropProdSystems" displayName="Table_SourceData_Fertiliser_CropProdSystems" ref="D41:D43" totalsRowShown="0">
  <autoFilter ref="D41:D43" xr:uid="{24F3A11E-40F5-4BB9-BFF4-A71FA2ADA0EF}">
    <filterColumn colId="0" hiddenButton="1"/>
  </autoFilter>
  <tableColumns count="1">
    <tableColumn id="1" xr3:uid="{E0B29DD2-DF66-45FE-971C-A5602D100E6D}" name="Production system">
      <calculatedColumnFormula>#REF!</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754DF9-B9B7-4777-A419-20851928993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A7BA260A-A23A-44C9-AF41-8341440492AC}" name="Irrigation method"/>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044B5-FA3C-4AA2-B1AB-72F7E61D072F}" name="Table_SourceData_Fertiliser_CropTypes" displayName="Table_SourceData_Fertiliser_CropTypes" ref="F41:F45" totalsRowShown="0">
  <autoFilter ref="F41:F45" xr:uid="{CB5044B5-FA3C-4AA2-B1AB-72F7E61D072F}">
    <filterColumn colId="0" hiddenButton="1"/>
  </autoFilter>
  <tableColumns count="1">
    <tableColumn id="1" xr3:uid="{EAFA6706-EC03-46CB-966D-E46F556BEEFE}" name="Production system"/>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627B1-537E-4ABC-92C3-57282CEE5B40}" name="Table_SourceData_OrganicFertiliserTypes" displayName="Table_SourceData_OrganicFertiliserTypes" ref="J41:J46" totalsRowShown="0">
  <autoFilter ref="J41:J46" xr:uid="{B44627B1-537E-4ABC-92C3-57282CEE5B40}">
    <filterColumn colId="0" hiddenButton="1"/>
  </autoFilter>
  <tableColumns count="1">
    <tableColumn id="1" xr3:uid="{830EDE15-A06E-4081-B62D-B9A731B5E02E}" name="Organic fertiliser type"/>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169C1-BC7A-441C-840D-3C2EFD141B4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7CEDDCE-708E-44EF-8883-C9C87F6FC91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25CEAB5-65A0-48EA-A3AE-DCF37142FCC8}" name="P" dataDxfId="145"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BE0F9E9-B383-442C-9A7C-0B6E1A3811F8}" name="EF" dataDxfId="144"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3029-EB1F-4C4A-A946-CD673A8A6C46}" name="Table2" displayName="Table2" ref="K19:L28" totalsRowShown="0" dataDxfId="143" dataCellStyle="Content normal">
  <autoFilter ref="K19:L28" xr:uid="{27B93029-EB1F-4C4A-A946-CD673A8A6C46}">
    <filterColumn colId="0" hiddenButton="1"/>
    <filterColumn colId="1" hiddenButton="1"/>
  </autoFilter>
  <tableColumns count="2">
    <tableColumn id="1" xr3:uid="{7C622051-66CC-4C8F-B655-8BA4CF50466E}" name="Fertiliser type f" dataDxfId="142" dataCellStyle="Content normal">
      <calculatedColumnFormula array="1">Common_InputFunctions.Utility_DisplayArrayInTable(Fertiliser_SourceData.Fertiliser_FractionNCommonFertilisers_Data(), Table2[[#Headers],[Fertiliser type f]], 0)</calculatedColumnFormula>
    </tableColumn>
    <tableColumn id="2" xr3:uid="{14C58232-EA88-4179-B31D-8ECA2DB5A49D}" name="FNinorganic f" dataDxfId="141"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CEA59-796C-47AB-86BC-41E8F699030C}" name="Table28" displayName="Table28" ref="Q19:R28" totalsRowShown="0" dataDxfId="140" dataCellStyle="Content normal">
  <autoFilter ref="Q19:R28" xr:uid="{791CEA59-796C-47AB-86BC-41E8F699030C}">
    <filterColumn colId="0" hiddenButton="1"/>
    <filterColumn colId="1" hiddenButton="1"/>
  </autoFilter>
  <tableColumns count="2">
    <tableColumn id="1" xr3:uid="{31D81A30-DB50-4875-A5AB-DFA2E5C18375}" name="Fertiliser type f" dataDxfId="139" dataCellStyle="Content normal">
      <calculatedColumnFormula array="1">Common_InputFunctions.Utility_DisplayArrayInTable(Fertiliser_SourceData.Fertiliser_FractionUreaCommonFertilisers_Data(), Table28[[#Headers],[Fertiliser type f]], 0)</calculatedColumnFormula>
    </tableColumn>
    <tableColumn id="2" xr3:uid="{03B10771-DDFB-45AA-AF49-E8C5F9477C5E}" name="FNinorganic f" dataDxfId="138"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FA527D2-9448-4998-99B1-47EC007375FC}" name="Table_Fuel_EFs_StationaryLiquid" displayName="Table_Fuel_EFs_StationaryLiquid" ref="D53:K77" totalsRowShown="0" headerRowDxfId="101" dataDxfId="100">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CED91DC-AB01-40B8-B5A8-F76A1005B7BB}" name="Fuel combusted" dataDxfId="99">
      <calculatedColumnFormula array="1">Common_InputFunctions.Utility_DisplayArrayInTable(Fuel_SourceData.Fuel_Scope1Scope3EmissionFactorsStationaryLiquid_Data(), Table_Fuel_EFs_StationaryLiquid[[#Headers],[Fuel combusted]],0)</calculatedColumnFormula>
    </tableColumn>
    <tableColumn id="2" xr3:uid="{2C943B00-4E72-4D11-ADEF-8F18430B9435}" name="Energy Content Factor (GJ per unit of fuel)" dataDxfId="98">
      <calculatedColumnFormula array="1">Common_InputFunctions.Utility_DisplayArrayInTable(Fuel_SourceData.Fuel_Scope1Scope3EmissionFactorsStationaryLiquid_Data(), Table_Fuel_EFs_StationaryLiquid[[#Headers],[Fuel combusted]],0)</calculatedColumnFormula>
    </tableColumn>
    <tableColumn id="3" xr3:uid="{5CC96D79-112F-4EEF-AA4A-31E35759A288}" name="Fuel unit" dataDxfId="97">
      <calculatedColumnFormula array="1">Common_InputFunctions.Utility_DisplayArrayInTable(Fuel_SourceData.Fuel_Scope1Scope3EmissionFactorsStationaryLiquid_Data(), Table_Fuel_EFs_StationaryLiquid[[#Headers],[Fuel combusted]],0)</calculatedColumnFormula>
    </tableColumn>
    <tableColumn id="4" xr3:uid="{6B979E1D-03CA-4BA3-91BC-485E51704BB6}" name="Scope 1 Emission Factor (kg CO2 - e / GJ) CO2" dataDxfId="96">
      <calculatedColumnFormula array="1">Common_InputFunctions.Utility_DisplayArrayInTable(Fuel_SourceData.Fuel_Scope1Scope3EmissionFactorsStationaryLiquid_Data(), Table_Fuel_EFs_StationaryLiquid[[#Headers],[Fuel combusted]],0)</calculatedColumnFormula>
    </tableColumn>
    <tableColumn id="5" xr3:uid="{E3AD15D9-516D-4334-93E3-BA0739440DE8}" name="Scope 1 Emission Factor (kg CO2 - e / GJ) CH4" dataDxfId="95">
      <calculatedColumnFormula array="1">Common_InputFunctions.Utility_DisplayArrayInTable(Fuel_SourceData.Fuel_Scope1Scope3EmissionFactorsStationaryLiquid_Data(), Table_Fuel_EFs_StationaryLiquid[[#Headers],[Fuel combusted]],0)</calculatedColumnFormula>
    </tableColumn>
    <tableColumn id="6" xr3:uid="{52AB2451-D706-4AF7-816E-9000E74895B5}" name="Scope 1 Emission Factor (kg CO2 - e / GJ) N2O" dataDxfId="94">
      <calculatedColumnFormula array="1">Common_InputFunctions.Utility_DisplayArrayInTable(Fuel_SourceData.Fuel_Scope1Scope3EmissionFactorsStationaryLiquid_Data(), Table_Fuel_EFs_StationaryLiquid[[#Headers],[Fuel combusted]],0)</calculatedColumnFormula>
    </tableColumn>
    <tableColumn id="7" xr3:uid="{DAF84BF7-113F-4D55-AD6D-F1F0369027E4}" name="Scope 1 Emission Factor (kg CO2 - e / GJ) Combined gases" dataDxfId="93">
      <calculatedColumnFormula array="1">Common_InputFunctions.Utility_DisplayArrayInTable(Fuel_SourceData.Fuel_Scope1Scope3EmissionFactorsStationaryLiquid_Data(), Table_Fuel_EFs_StationaryLiquid[[#Headers],[Fuel combusted]],0)</calculatedColumnFormula>
    </tableColumn>
    <tableColumn id="8" xr3:uid="{8149E79A-6133-479F-B858-62CFEC2D3F51}" name="Scope 3 Emission Factor (kg CO2 - e / GJ)" dataDxfId="92">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80DF790-2EAD-45DC-87EE-DCC52755D158}" name="Table_Fuel_EFs_Transport" displayName="Table_Fuel_EFs_Transport" ref="D9:L34" totalsRowShown="0" headerRowDxfId="91" dataDxfId="90">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AFF07D7C-B8D9-45FF-A1AD-233C739E2E63}" name="Transport type" dataDxfId="89">
      <calculatedColumnFormula array="1">Common_InputFunctions.Utility_DisplayArrayInTable(Fuel_SourceData.Fuel_Scope1Scope3EmissionFactorsTransport_Data(), Table_Fuel_EFs_Transport[[#Headers],[Transport type]], 0)</calculatedColumnFormula>
    </tableColumn>
    <tableColumn id="2" xr3:uid="{FCA89DDD-7D13-44E7-8C75-F56A84082C87}" name="Fuel combusted" dataDxfId="88">
      <calculatedColumnFormula array="1">Common_InputFunctions.Utility_DisplayArrayInTable(Fuel_SourceData.Fuel_Scope1Scope3EmissionFactorsTransport_Data(), Table_Fuel_EFs_Transport[[#Headers],[Transport type]], 0)</calculatedColumnFormula>
    </tableColumn>
    <tableColumn id="3" xr3:uid="{9FE5558C-EE8C-40E8-A5E9-EDD508543CA3}" name="Energy Content Factor (GJ per unit of fuel)" dataDxfId="87">
      <calculatedColumnFormula array="1">Common_InputFunctions.Utility_DisplayArrayInTable(Fuel_SourceData.Fuel_Scope1Scope3EmissionFactorsTransport_Data(), Table_Fuel_EFs_Transport[[#Headers],[Transport type]], 0)</calculatedColumnFormula>
    </tableColumn>
    <tableColumn id="4" xr3:uid="{4C81124B-6E1B-4FDA-BDAC-C0444F443517}" name="Fuel unit" dataDxfId="86">
      <calculatedColumnFormula array="1">Common_InputFunctions.Utility_DisplayArrayInTable(Fuel_SourceData.Fuel_Scope1Scope3EmissionFactorsTransport_Data(), Table_Fuel_EFs_Transport[[#Headers],[Transport type]], 0)</calculatedColumnFormula>
    </tableColumn>
    <tableColumn id="8" xr3:uid="{D9C2332D-7562-4FBE-8C0C-716A4FDCECBC}" name="Scope 1 Emission Factor (kg CO2 - e / GJ) CO2" dataDxfId="85">
      <calculatedColumnFormula array="1">Common_InputFunctions.Utility_DisplayArrayInTable(Fuel_SourceData.Fuel_Scope1Scope3EmissionFactorsTransport_Data(), Table_Fuel_EFs_Transport[[#Headers],[Transport type]], 0)</calculatedColumnFormula>
    </tableColumn>
    <tableColumn id="9" xr3:uid="{E2574FF3-5EB3-437B-AE5F-9BAAFE39E2E9}" name="Scope 1 Emission Factor (kg CO2 - e / GJ) CH4" dataDxfId="84">
      <calculatedColumnFormula array="1">Common_InputFunctions.Utility_DisplayArrayInTable(Fuel_SourceData.Fuel_Scope1Scope3EmissionFactorsTransport_Data(), Table_Fuel_EFs_Transport[[#Headers],[Transport type]], 0)</calculatedColumnFormula>
    </tableColumn>
    <tableColumn id="10" xr3:uid="{5E4B023F-C741-4D85-8263-288DEA0E4551}" name="Scope 1 Emission Factor (kg CO2 - e / GJ) N2O" dataDxfId="83">
      <calculatedColumnFormula array="1">Common_InputFunctions.Utility_DisplayArrayInTable(Fuel_SourceData.Fuel_Scope1Scope3EmissionFactorsTransport_Data(), Table_Fuel_EFs_Transport[[#Headers],[Transport type]], 0)</calculatedColumnFormula>
    </tableColumn>
    <tableColumn id="11" xr3:uid="{F6E64DB1-B255-4299-AB29-F13C40D140FE}" name="Scope 1 Emission Factor (kg CO2 - e / GJ) Combined gases" dataDxfId="82">
      <calculatedColumnFormula array="1">Common_InputFunctions.Utility_DisplayArrayInTable(Fuel_SourceData.Fuel_Scope1Scope3EmissionFactorsTransport_Data(), Table_Fuel_EFs_Transport[[#Headers],[Transport type]], 0)</calculatedColumnFormula>
    </tableColumn>
    <tableColumn id="12" xr3:uid="{E4BCED29-1AC2-4F11-ACA7-BD1E519DF0FD}" name="Scope 3 Emission Factor (kg CO2 - e / GJ)" dataDxfId="81">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74F8A1C-4269-422A-B3AD-78764852CE00}" name="Table_FuelTypesPerUse" displayName="Table_FuelTypesPerUse" ref="D130:J139" totalsRowShown="0" headerRowDxfId="80" dataDxfId="79">
  <autoFilter ref="D130:J139" xr:uid="{5CE27F6B-DBAC-48D7-85B3-77E92E77D6C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D62A89D-F812-45A2-BF6A-FC5AC8C41CA8}" name="Generators" dataDxfId="78"/>
    <tableColumn id="2" xr3:uid="{7E0979E1-2FD8-456D-8988-C984D7FCA4C6}" name="Power standalone machinery or heating" dataDxfId="77"/>
    <tableColumn id="3" xr3:uid="{6F88BCB7-5AF9-4883-BF97-0393A43756B1}" name="Aviation" dataDxfId="76"/>
    <tableColumn id="5" xr3:uid="{38A85965-6523-45E1-964E-9DBC2C001CBE}" name="Cars and light commercial vehicles" dataDxfId="75"/>
    <tableColumn id="7" xr3:uid="{013410C6-B5A8-42EB-A324-D1CB5679AF24}" name="Off-road Agriculture and forestry equipment" dataDxfId="74" dataCellStyle="Content bold"/>
    <tableColumn id="8" xr3:uid="{DFBBD55F-1461-4434-ADD8-4CECC7EE44D6}" name="Vessels" dataDxfId="73" dataCellStyle="Content bold"/>
    <tableColumn id="6" xr3:uid="{1529091E-8C25-45A2-8C02-DFD4F28A2086}" name="General use" dataDxfId="72"/>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4D30DB-E3B3-4F54-B9BF-05D5E53E32DB}" name="Table_Fuel_EFs_StationaryGaseous" displayName="Table_Fuel_EFs_StationaryGaseous" ref="D86:J104" totalsRowShown="0" headerRowDxfId="71" dataDxfId="70">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7B3C6ED-98D7-4822-9EC6-9ABA3869C567}" name="Fuel combusted" dataDxfId="69">
      <calculatedColumnFormula array="1">Common_InputFunctions.Utility_DisplayArrayInTable(Fuel_SourceData.Fuel_Scope1EmissionFactorsStationaryGaseous_Data(), Table_Fuel_EFs_StationaryGaseous[[#Headers],[Fuel combusted]],0)</calculatedColumnFormula>
    </tableColumn>
    <tableColumn id="2" xr3:uid="{81D5CE88-256D-44D0-BB6F-35D8313CC40D}" name="Energy Content Factor (GJ per unit of fuel)" dataDxfId="68">
      <calculatedColumnFormula array="1">Common_InputFunctions.Utility_DisplayArrayInTable(Fuel_SourceData.Fuel_Scope1EmissionFactorsStationaryGaseous_Data(), Table_Fuel_EFs_StationaryGaseous[[#Headers],[Fuel combusted]],0)</calculatedColumnFormula>
    </tableColumn>
    <tableColumn id="3" xr3:uid="{5C244889-8552-4ACE-9602-DCB1C7A9FC3D}" name="Fuel unit" dataDxfId="67">
      <calculatedColumnFormula array="1">Common_InputFunctions.Utility_DisplayArrayInTable(Fuel_SourceData.Fuel_Scope1EmissionFactorsStationaryGaseous_Data(), Table_Fuel_EFs_StationaryGaseous[[#Headers],[Fuel combusted]],0)</calculatedColumnFormula>
    </tableColumn>
    <tableColumn id="4" xr3:uid="{38441F5B-74ED-4604-8DF9-C2068E9D577A}" name="Scope 1 Emission Factor (kg CO2 - e / GJ) CO2" dataDxfId="66">
      <calculatedColumnFormula array="1">Common_InputFunctions.Utility_DisplayArrayInTable(Fuel_SourceData.Fuel_Scope1EmissionFactorsStationaryGaseous_Data(), Table_Fuel_EFs_StationaryGaseous[[#Headers],[Fuel combusted]],0)</calculatedColumnFormula>
    </tableColumn>
    <tableColumn id="5" xr3:uid="{566C4DB6-C7C4-43AC-AD05-1C3CF1A1BDCD}" name="Scope 1 Emission Factor (kg CO2 - e / GJ) CH4" dataDxfId="65">
      <calculatedColumnFormula array="1">Common_InputFunctions.Utility_DisplayArrayInTable(Fuel_SourceData.Fuel_Scope1EmissionFactorsStationaryGaseous_Data(), Table_Fuel_EFs_StationaryGaseous[[#Headers],[Fuel combusted]],0)</calculatedColumnFormula>
    </tableColumn>
    <tableColumn id="6" xr3:uid="{F1CFE84D-886A-4910-8878-CECA2CE60656}" name="Scope 1 Emission Factor (kg CO2 - e / GJ) N2O" dataDxfId="64">
      <calculatedColumnFormula array="1">Common_InputFunctions.Utility_DisplayArrayInTable(Fuel_SourceData.Fuel_Scope1EmissionFactorsStationaryGaseous_Data(), Table_Fuel_EFs_StationaryGaseous[[#Headers],[Fuel combusted]],0)</calculatedColumnFormula>
    </tableColumn>
    <tableColumn id="7" xr3:uid="{B6168D9F-A65F-4A4E-8144-5CADB2B7154F}" name="Scope 1 Emission Factor (kg CO2 - e / GJ) Combined gases" dataDxfId="63">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1D0E950-301F-4720-840F-68E659CED9B1}" name="Table_Fuel_EFs_StationaryGaseous34" displayName="Table_Fuel_EFs_StationaryGaseous34" ref="D112:F120" headerRowDxfId="62" totalsRowDxfId="61">
  <autoFilter ref="D112:F120" xr:uid="{7D6CE29D-2354-4FAC-9965-9A66FFA42416}">
    <filterColumn colId="0" hiddenButton="1"/>
    <filterColumn colId="1" hiddenButton="1"/>
    <filterColumn colId="2" hiddenButton="1"/>
  </autoFilter>
  <tableColumns count="3">
    <tableColumn id="1" xr3:uid="{DAD97B2A-B10D-49C7-9623-D89428B47A5E}" name="State or territory" totalsRowDxfId="60">
      <calculatedColumnFormula array="1">Common_InputFunctions.Utility_DisplayArrayInTable(Fuel_SourceData.Fuel_Scope3EmissionFactorsStationaryGaseous_Data(), Table_Fuel_EFs_StationaryGaseous34[[#Headers],[State or territory]],0)</calculatedColumnFormula>
    </tableColumn>
    <tableColumn id="2" xr3:uid="{8B5875EE-A058-4EF7-BF28-45552BBC3585}" name="Scope 3 Emission Factors for Natural Gas (kg CO2 - e / GJ) Metro" totalsRowDxfId="59">
      <calculatedColumnFormula array="1">Common_InputFunctions.Utility_DisplayArrayInTable(Fuel_SourceData.Fuel_Scope3EmissionFactorsStationaryGaseous_Data(), Table_Fuel_EFs_StationaryGaseous34[[#Headers],[State or territory]],0)</calculatedColumnFormula>
    </tableColumn>
    <tableColumn id="3" xr3:uid="{2D078573-BBE0-43CF-A6E4-47CB0459323A}" name="Scope 3 Emission Factors for Natural Gas (kg CO2 - e / GJ) Non - Metro" totalsRowDxfId="58">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2C3DFFE-F6B0-40D9-97A4-DEC36888F0BC}" name="Table_FuelTypes_Units" displayName="Table_FuelTypes_Units" ref="D142:E162" totalsRowShown="0">
  <autoFilter ref="D142:E162" xr:uid="{74386805-E5CF-44F9-982C-CBCADB323E30}">
    <filterColumn colId="0" hiddenButton="1"/>
    <filterColumn colId="1" hiddenButton="1"/>
  </autoFilter>
  <tableColumns count="2">
    <tableColumn id="1" xr3:uid="{976AFDA8-30C7-48BD-A1FD-302E6BD52A7B}" name="Fuel type"/>
    <tableColumn id="2" xr3:uid="{05AD90E8-DAAD-4391-BAD5-B1911A917BA6}" name="Unit"/>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7C91AAC-7D0F-4753-95C8-425BAE3AC31F}"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2ECFFE3-9D44-4E3A-A71B-3D24D4D93481}"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B6A4A706-558D-4919-B655-FD54E50E0C7A}" name="Fuel type q" dataDxfId="5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29F2673D-0C68-45E0-88F6-0EEE892E79E8}" name="ECTrans,q (GJ/kL)" dataDxfId="5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200C163C-5995-4709-B270-6B9CF08842DF}" name="Scope 1 CO2 EFTran,1,tqg (kg CO2-e/GJ)" dataDxfId="5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8F9DD974-59B2-40F3-AE78-F5D1D70AAFD2}" name="Scope 1 CH4 EFTran,1,tgg (kg CO2-e/GJ)" dataDxfId="5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2E4B68FE-5F46-4938-A8D7-02F5046C8EDB}" name="Scope 1 N2O EFTran,1,tgg (kg CO2-e/GJ)" dataDxfId="5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E9EC2A53-01A6-4361-A3E1-41AE47A95102}" name="Scope 3 EFTrans,3,q (kg CO2-e/GJ)" dataDxfId="5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E6144E-A1E7-4518-B032-EF188F35C422}"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67EF497-7B1B-4776-9D83-A8AD1BEAF517}" name="State/Territory">
      <calculatedColumnFormula array="1">Common_InputFunctions.Utility_DisplayArrayInTable(Common_SourceData.Common_SourceData_AustralianStatesTerritories_Data(),Table_AustralianStates[[#Headers],[State/Territory]],0)</calculatedColumnFormula>
    </tableColumn>
    <tableColumn id="2" xr3:uid="{6E9614A8-2F7E-4491-9C0D-E14664D3CBD5}" name="Common Name">
      <calculatedColumnFormula array="1">Common_InputFunctions.Utility_DisplayArrayInTable(Common_SourceData.Common_SourceData_AustralianStatesTerritories_Data(),Table_AustralianStates[[#Headers],[State/Territory]],0)</calculatedColumnFormula>
    </tableColumn>
    <tableColumn id="3" xr3:uid="{48FCC7EC-93CF-4022-930C-DFF884BE9C3A}"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98080EA-F2FB-4179-A336-59EF5AF50E8F}" name="Table_WASA4Areas" displayName="Table_WASA4Areas" ref="D20:D30" totalsRowShown="0">
  <autoFilter ref="D20:D30" xr:uid="{5FA81339-C6C8-4D36-BEEA-6C4AEDD9E676}">
    <filterColumn colId="0" hiddenButton="1"/>
  </autoFilter>
  <tableColumns count="1">
    <tableColumn id="1" xr3:uid="{8E44BE92-8969-4CB0-B814-3C00C2C18F3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B270221-00F4-4B48-BE2F-1F9DCAB7874A}" name="Table_GWPData" displayName="Table_GWPData" ref="D36:E43" totalsRowShown="0">
  <autoFilter ref="D36:E43" xr:uid="{B8E87A66-3E41-4AD3-925D-01EE21B43D7A}">
    <filterColumn colId="0" hiddenButton="1"/>
    <filterColumn colId="1" hiddenButton="1"/>
  </autoFilter>
  <tableColumns count="2">
    <tableColumn id="1" xr3:uid="{D82C5D5A-F88F-46E7-868F-025402490369}" name="Gas">
      <calculatedColumnFormula array="1">Common_InputFunctions.Utility_DisplayArrayInTable(Common_SourceData.Common_SourceData_GWP_Data(), Table_GWPData[[#Headers],[Gas]], 0)</calculatedColumnFormula>
    </tableColumn>
    <tableColumn id="2" xr3:uid="{6DC661F8-0615-4FB7-8AE2-83962657C55A}"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9E591EE-C4BF-4FA2-8F75-39DA84C2560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ABC03E3-165B-407A-BF04-28738E72D28A}" name="Gas">
      <calculatedColumnFormula array="1">Common_InputFunctions.Utility_DisplayArrayInTable(Common_SourceData.Common_SourceData_ConvertGasElementalToMolecular_Data(),Table_GasToMolecularConversionFactor[[#Headers],[Gas]], 0)</calculatedColumnFormula>
    </tableColumn>
    <tableColumn id="5" xr3:uid="{CF0196FE-D2CF-4F66-8847-9CE3DB549E9B}" name="Conversion factor">
      <calculatedColumnFormula array="1">Common_InputFunctions.Utility_DisplayArrayInTable(Common_SourceData.Common_SourceData_ConvertGasElementalToMolecular_Data(),Table_GasToMolecularConversionFactor[[#Headers],[Gas]], 0)</calculatedColumnFormula>
    </tableColumn>
    <tableColumn id="2" xr3:uid="{71C50FB6-28B8-4C5F-B7F7-F9E98423215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9E60D175-C714-4272-922B-6384C81A6A4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77C6E5B1-2CB1-4714-9B60-3FC1F2C784D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EB24DAD-7938-4A28-8102-A92DD6232701}"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C646E3D-156E-438B-9E75-102B5E96E25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3F6652C3-1BDE-4F33-9D5E-1BA7F24CFE1E}" name="MAT" totalsRowDxfId="137" totalsRowCellStyle="Content bold">
      <calculatedColumnFormula array="1">Common_InputFunctions.Utility_DisplayArrayInTable(Common_SourceData.Common_SourceData_ClimateZones_Data(), Table_SourceData_ClimateZones[[#Headers],[Climate zone]], 0)</calculatedColumnFormula>
    </tableColumn>
    <tableColumn id="3" xr3:uid="{68D3A033-0C56-472E-A3CF-B482905871CF}" name="MAP" totalsRowDxfId="136" totalsRowCellStyle="Content bold">
      <calculatedColumnFormula array="1">Common_InputFunctions.Utility_DisplayArrayInTable(Common_SourceData.Common_SourceData_ClimateZones_Data(), Table_SourceData_ClimateZones[[#Headers],[Climate zone]], 0)</calculatedColumnFormula>
    </tableColumn>
    <tableColumn id="4" xr3:uid="{18D7CFC5-1F89-47C0-AF12-0FD6A80AD2C8}" name="Frost days per year" totalsRowDxfId="135" totalsRowCellStyle="Content bold">
      <calculatedColumnFormula array="1">Common_InputFunctions.Utility_DisplayArrayInTable(Common_SourceData.Common_SourceData_ClimateZones_Data(), Table_SourceData_ClimateZones[[#Headers],[Climate zone]], 0)</calculatedColumnFormula>
    </tableColumn>
    <tableColumn id="5" xr3:uid="{694DED4D-19CA-49A7-A7A4-ED3CD36E0BA2}" name="Elevation" totalsRowDxfId="134" totalsRowCellStyle="Content bold">
      <calculatedColumnFormula array="1">Common_InputFunctions.Utility_DisplayArrayInTable(Common_SourceData.Common_SourceData_ClimateZones_Data(), Table_SourceData_ClimateZones[[#Headers],[Climate zone]], 0)</calculatedColumnFormula>
    </tableColumn>
    <tableColumn id="6" xr3:uid="{BE47AD00-59A1-4916-A3FF-4E905492D142}" name="MAP:PET" totalsRowDxfId="133" totalsRowCellStyle="Content bold">
      <calculatedColumnFormula array="1">Common_InputFunctions.Utility_DisplayArrayInTable(Common_SourceData.Common_SourceData_ClimateZones_Data(), Table_SourceData_ClimateZones[[#Headers],[Climate zone]], 0)</calculatedColumnFormula>
    </tableColumn>
    <tableColumn id="7" xr3:uid="{8CD0BB0E-B9A0-4065-920B-F859089361EB}" name="Min temp" totalsRowDxfId="132" totalsRowCellStyle="Content bold">
      <calculatedColumnFormula array="1">Common_InputFunctions.Utility_DisplayArrayInTable(Common_SourceData.Common_SourceData_ClimateZones_Data(), Table_SourceData_ClimateZones[[#Headers],[Climate zone]], 0)</calculatedColumnFormula>
    </tableColumn>
    <tableColumn id="8" xr3:uid="{9AD474F5-6F0E-4F15-87EA-A3E86BD8CD84}" name="Max temp" totalsRowDxfId="131" totalsRowCellStyle="Content bold">
      <calculatedColumnFormula array="1">Common_InputFunctions.Utility_DisplayArrayInTable(Common_SourceData.Common_SourceData_ClimateZones_Data(), Table_SourceData_ClimateZones[[#Headers],[Climate zone]], 0)</calculatedColumnFormula>
    </tableColumn>
    <tableColumn id="9" xr3:uid="{4132B96D-08DF-47B8-9134-F88DA6CBA26A}" name="Min rainfall" totalsRowDxfId="130" totalsRowCellStyle="Content bold">
      <calculatedColumnFormula array="1">Common_InputFunctions.Utility_DisplayArrayInTable(Common_SourceData.Common_SourceData_ClimateZones_Data(), Table_SourceData_ClimateZones[[#Headers],[Climate zone]], 0)</calculatedColumnFormula>
    </tableColumn>
    <tableColumn id="10" xr3:uid="{799D2CC4-68A8-4F6B-B5E8-BA9B134CD629}" name="Max rainfall" totalsRowDxfId="129" totalsRowCellStyle="Content bold">
      <calculatedColumnFormula array="1">Common_InputFunctions.Utility_DisplayArrayInTable(Common_SourceData.Common_SourceData_ClimateZones_Data(), Table_SourceData_ClimateZones[[#Headers],[Climate zone]], 0)</calculatedColumnFormula>
    </tableColumn>
    <tableColumn id="11" xr3:uid="{FF3C7CFE-CC8F-4407-9CD2-DB7BCF735828}" name="Min frost days" totalsRowDxfId="128" totalsRowCellStyle="Content bold">
      <calculatedColumnFormula array="1">Common_InputFunctions.Utility_DisplayArrayInTable(Common_SourceData.Common_SourceData_ClimateZones_Data(), Table_SourceData_ClimateZones[[#Headers],[Climate zone]], 0)</calculatedColumnFormula>
    </tableColumn>
    <tableColumn id="15" xr3:uid="{9CB12B6D-F283-41CE-A0AC-7DA70F3FEA35}" name="Max frost days" totalsRowDxfId="127" totalsRowCellStyle="Content bold">
      <calculatedColumnFormula array="1">Common_InputFunctions.Utility_DisplayArrayInTable(Common_SourceData.Common_SourceData_ClimateZones_Data(), Table_SourceData_ClimateZones[[#Headers],[Climate zone]], 0)</calculatedColumnFormula>
    </tableColumn>
    <tableColumn id="12" xr3:uid="{DE6B8D57-DEA5-4CDB-BEA5-6794B3B8B4C1}" name="Min elevation" totalsRowDxfId="126" totalsRowCellStyle="Content bold">
      <calculatedColumnFormula array="1">Common_InputFunctions.Utility_DisplayArrayInTable(Common_SourceData.Common_SourceData_ClimateZones_Data(), Table_SourceData_ClimateZones[[#Headers],[Climate zone]], 0)</calculatedColumnFormula>
    </tableColumn>
    <tableColumn id="16" xr3:uid="{F1C5507D-FFFD-4456-AAE0-9309987F0339}" name="Max elevation" totalsRowDxfId="125" totalsRowCellStyle="Content bold">
      <calculatedColumnFormula array="1">Common_InputFunctions.Utility_DisplayArrayInTable(Common_SourceData.Common_SourceData_ClimateZones_Data(), Table_SourceData_ClimateZones[[#Headers],[Climate zone]], 0)</calculatedColumnFormula>
    </tableColumn>
    <tableColumn id="13" xr3:uid="{BB91B1DF-4B57-426B-BF6A-71715747D3B2}" name="Min MAP:PET" totalsRowDxfId="124" totalsRowCellStyle="Content bold">
      <calculatedColumnFormula array="1">Common_InputFunctions.Utility_DisplayArrayInTable(Common_SourceData.Common_SourceData_ClimateZones_Data(), Table_SourceData_ClimateZones[[#Headers],[Climate zone]], 0)</calculatedColumnFormula>
    </tableColumn>
    <tableColumn id="17" xr3:uid="{7674CAA3-6E67-48AA-BF62-AECA84F01CB9}" name="Max MAP:PET" totalsRowDxfId="12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3FAC77B2-7BB0-4B78-B387-3E2D5CA6721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9DF69629-1C76-40A4-BBA1-FB28BF754268}"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99A9C0E3-7924-426C-A581-5C219452362E}" name="Wet or Dry Zone" totalsRowDxfId="12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AE4202F8-BB52-48CE-B368-8D0A44A67525}"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BD1B715-E9FF-4B2E-A162-3DD06FA33AAE}" name="Temperature Zone">
      <calculatedColumnFormula array="1">Common_InputFunctions.Utility_DisplayArrayInTable(Common_SourceData.Common_SourceData_TemperatureZones_Data(),Table_SourceData_TemperatureZones[[#Headers],[Temperature Zone]],0)</calculatedColumnFormula>
    </tableColumn>
    <tableColumn id="2" xr3:uid="{3FDEC609-65F3-40EC-B489-B99CC8E44680}" name="MAT">
      <calculatedColumnFormula array="1">Common_InputFunctions.Utility_DisplayArrayInTable(Common_SourceData.Common_SourceData_TemperatureZones_Data(),Table_SourceData_TemperatureZones[[#Headers],[Temperature Zone]],0)</calculatedColumnFormula>
    </tableColumn>
    <tableColumn id="3" xr3:uid="{25C140A7-4F53-46DB-A6E5-3FFA5FE81DD6}" name="Min MAT">
      <calculatedColumnFormula array="1">Common_InputFunctions.Utility_DisplayArrayInTable(Common_SourceData.Common_SourceData_TemperatureZones_Data(),Table_SourceData_TemperatureZones[[#Headers],[Temperature Zone]],0)</calculatedColumnFormula>
    </tableColumn>
    <tableColumn id="4" xr3:uid="{C2D4126F-3B56-4A19-AD7E-FA0C2ECA0D8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F8066D7D-5B7A-4C2D-96C5-0B642AEDBDD8}"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CFC2CD32-0D6A-477F-9AB9-8CC735000875}" name="Rainfall Zone">
      <calculatedColumnFormula array="1">Common_InputFunctions.Utility_DisplayArrayInTable(Common_SourceData.Common_SourceData_RainfallZones_Data(),Table_SourceData_RainfallZones[[#Headers],[Rainfall Zone]],0)</calculatedColumnFormula>
    </tableColumn>
    <tableColumn id="2" xr3:uid="{66F05498-A494-40EC-A370-E31F9319F6E9}" name="Annual rainfall">
      <calculatedColumnFormula array="1">Common_InputFunctions.Utility_DisplayArrayInTable(Common_SourceData.Common_SourceData_RainfallZones_Data(),Table_SourceData_RainfallZones[[#Headers],[Rainfall Zone]],0)</calculatedColumnFormula>
    </tableColumn>
    <tableColumn id="3" xr3:uid="{0FEB24E7-52AA-4E09-8CAD-E3593BA1850C}" name="Min rainfall">
      <calculatedColumnFormula array="1">Common_InputFunctions.Utility_DisplayArrayInTable(Common_SourceData.Common_SourceData_RainfallZones_Data(),Table_SourceData_RainfallZones[[#Headers],[Rainfall Zone]],0)</calculatedColumnFormula>
    </tableColumn>
    <tableColumn id="4" xr3:uid="{B9588CB4-A6E3-43EF-86F2-28512F6C0466}"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371EB3B0-E5DE-49F4-9F8F-370B9594177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EC0469C-3AAC-4C25-8B45-E899791ECD1F}" name="Leaching Zone">
      <calculatedColumnFormula array="1">Common_InputFunctions.Utility_DisplayArrayInTable(Common_SourceData.Common_SourceData_LeachingZones_Data(), Table_SourceData_LeachingZones[[#Headers],[Leaching Zone]], 0)</calculatedColumnFormula>
    </tableColumn>
    <tableColumn id="2" xr3:uid="{D8738CB7-C0A6-466E-AD54-75590BF18BA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8320C659-C167-4CAA-9C06-854A612436E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2CBE0C09-88F8-4FC0-91F9-37AD76A1AEAA}" name="Data source">
      <calculatedColumnFormula array="1">Common_InputFunctions.Utility_DisplayArrayInTable(Common_SourceData.Common_SourceData_DataScores_Scope3_Data(), Table_SourceData_DataScores_Scope3[[#Headers],[Data source]], 0)</calculatedColumnFormula>
    </tableColumn>
    <tableColumn id="2" xr3:uid="{390BA082-D34B-4509-BBAD-72ABE42C4B3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D7EAD11A-DC1E-416A-A0F3-2127BEE727A4}" name="Table_SourceData_FracWET" displayName="Table_SourceData_FracWET" ref="D134:E136" totalsRowShown="0">
  <autoFilter ref="D134:E136" xr:uid="{308E99BE-FE1F-47A4-B2CA-97217277C4E9}">
    <filterColumn colId="0" hiddenButton="1"/>
    <filterColumn colId="1" hiddenButton="1"/>
  </autoFilter>
  <tableColumns count="2">
    <tableColumn id="1" xr3:uid="{D0B2F492-E516-47ED-A029-67FEF667A678}" name="Is in leaching zone">
      <calculatedColumnFormula array="1">Common_InputFunctions.Utility_DisplayArrayInTable(Common_SourceData.Common_SourceData_FracWET_Data(),Table_SourceData_FracWET[[#Headers],[Is in leaching zone]],0)</calculatedColumnFormula>
    </tableColumn>
    <tableColumn id="2" xr3:uid="{51E6CA6F-68DC-47AB-A1BB-C75D3CA8FA3B}" name="FracWET" dataDxfId="12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BE2E746E-A542-4963-9138-4CB3534F691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10155645-FDE5-446A-BDDD-C71CD77DD825}" name="Production system j">
      <calculatedColumnFormula array="1">Common_InputFunctions.Utility_DisplayArrayInTable(Common_SourceData.Common_SourceData_EFN2O_Data(), Table_SourceData_Common_EFN2O[[#Headers],[Production system j]], 0)</calculatedColumnFormula>
    </tableColumn>
    <tableColumn id="2" xr3:uid="{A33C56B8-DAE9-434B-8228-CD6E219067F7}" name="EFN2O">
      <calculatedColumnFormula array="1">Common_InputFunctions.Utility_DisplayArrayInTable(Common_SourceData.Common_SourceData_EFN2O_Data(), Table_SourceData_Common_EFN2O[[#Headers],[Production system j]], 0)</calculatedColumnFormula>
    </tableColumn>
    <tableColumn id="3" xr3:uid="{415F2F98-1C0C-4F1B-A357-E4F0898F9DA1}" name="Production system only">
      <calculatedColumnFormula array="1">Common_InputFunctions.Utility_DisplayArrayInTable(Common_SourceData.Common_SourceData_EFN2O_Data(), Table_SourceData_Common_EFN2O[[#Headers],[Production system j]], 0)</calculatedColumnFormula>
    </tableColumn>
    <tableColumn id="4" xr3:uid="{364F973B-700F-4051-9AE8-A5B5A5144B24}" name="Irrigation method">
      <calculatedColumnFormula array="1">Common_InputFunctions.Utility_DisplayArrayInTable(Common_SourceData.Common_SourceData_EFN2O_Data(), Table_SourceData_Common_EFN2O[[#Headers],[Production system j]], 0)</calculatedColumnFormula>
    </tableColumn>
    <tableColumn id="5" xr3:uid="{6B401083-C682-49B6-9293-290F6E0CCE9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2CB8BB6-7664-477A-B6EF-EAA92A00C8A0}"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0CAEDF1E-5A86-4C59-ADB4-2A63E7ABD4DD}" name="Irrigation type i">
      <calculatedColumnFormula array="1">Common_InputFunctions.Utility_DisplayArrayInTable(Common_SourceData.Common_SourceData_FracWETIrrigation_Data(), Table_SourceData_FracWETIrrigation[[#Headers],[Irrigation type i]], 0)</calculatedColumnFormula>
    </tableColumn>
    <tableColumn id="2" xr3:uid="{57851871-7E08-4269-B67C-A96E5A947487}" name="FracWET" dataDxfId="12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FE0DDAE-EACA-4433-A3E7-753CE50EADF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04E57D99-757F-4374-BB84-42339A5C308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92543612-DE1F-4C45-B1F2-46B34452C302}" name="EFPRP" dataDxfId="11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1E1F417-A09B-41DA-9456-3458FDF04264}"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5C54F0C5-3505-4964-A85B-6C95900D28A5}" name="Month">
      <calculatedColumnFormula array="1">Common_InputFunctions.Utility_DisplayArrayInTable(Common_SourceData.Common_SourceData_MonthsToSeasons_Data(), Table_SourceData_Common_MonthToSeason[[#Headers],[Month]], 0)</calculatedColumnFormula>
    </tableColumn>
    <tableColumn id="2" xr3:uid="{DE5E22FE-C43A-4172-9EDB-6FE00B1DF854}" name="Season" dataDxfId="11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AF70AA04-1AD5-4DF8-9CC4-5F92B5EE2A0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D606263-AC8F-4B13-96E2-C9CA0ECFC2B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328E4735-CE75-4070-9C88-AE6AC281FA52}" name="MAT (ºC)" dataDxfId="1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AAAA9F18-86A5-4F62-9B13-8EC468FD3268}" name="Anaerobic lagoon" dataDxfId="1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16CDDAC7-40E8-4B7E-A5A7-534574EF9960}" name="Digester / covered lagoons" dataDxfId="1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BE7531C-242C-4F06-B612-2455D4071B48}" name="Liquid systems" dataDxfId="1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AA6EA91-67D5-4225-8E66-D79949E45C79}" name="Daily spread" dataDxfId="1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A682CC91-6B5E-45D1-857C-0228079BCC7C}" name="Composting (passive windrow)" dataDxfId="1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516A42DC-F452-4685-9EE1-8DB5323E888F}" name="Solid storage" dataDxfId="1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E59565B-237D-4BF7-8514-8C00EE69787F}" name="Pit storage" dataDxfId="1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94C989A-1174-49BC-8E63-5C88C372C925}" name="Deep litter" dataDxfId="10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E416B5A-6B9A-4444-8C96-0603C11DC870}" name="Poultry manure with bedding" dataDxfId="10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2302252A-7FB0-4046-9B12-B1CD2F1BBED4}" name="Poultry manure without bedding" dataDxfId="10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50CED419-50AF-49B3-8F42-E496D5B781AB}" name="Direct processing" dataDxfId="10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ACDE6F8-8A2F-4040-8D12-2E35D0831482}" name="Direct application" dataDxfId="10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134A83A-1EB7-471E-ADAA-05ADE14C7593}" name="Pasture range and paddock" dataDxfId="10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1C3199CA-00F6-4D2D-9A1A-14E5576B6B3A}" name="MAT raw" dataDxfId="10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061C8D-6288-498A-A3C6-A58C7CA98367}" name="Table_SourceData_Common_EFOrganicFertCropResidues" displayName="Table_SourceData_Common_EFOrganicFertCropResidues" ref="D257:E259" totalsRowShown="0">
  <autoFilter ref="D257:E259" xr:uid="{1F061C8D-6288-498A-A3C6-A58C7CA98367}">
    <filterColumn colId="0" hiddenButton="1"/>
    <filterColumn colId="1" hiddenButton="1"/>
  </autoFilter>
  <tableColumns count="2">
    <tableColumn id="1" xr3:uid="{6441941C-5801-414B-9EFC-BFCD02E9AAB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FFF76A7-AEC2-426D-9FB9-7DCEAE399701}" name="EFNi &amp; EFN2Oi" dataDxfId="10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7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table" Target="../tables/table8.xml"/><Relationship Id="rId7" Type="http://schemas.openxmlformats.org/officeDocument/2006/relationships/table" Target="../tables/table12.xml"/><Relationship Id="rId2" Type="http://schemas.openxmlformats.org/officeDocument/2006/relationships/table" Target="../tables/table7.xml"/><Relationship Id="rId1" Type="http://schemas.openxmlformats.org/officeDocument/2006/relationships/table" Target="../tables/table6.xml"/><Relationship Id="rId6" Type="http://schemas.openxmlformats.org/officeDocument/2006/relationships/table" Target="../tables/table11.xml"/><Relationship Id="rId5" Type="http://schemas.openxmlformats.org/officeDocument/2006/relationships/table" Target="../tables/table10.xml"/><Relationship Id="rId10" Type="http://schemas.openxmlformats.org/officeDocument/2006/relationships/table" Target="../tables/table15.xml"/><Relationship Id="rId4" Type="http://schemas.openxmlformats.org/officeDocument/2006/relationships/table" Target="../tables/table9.xml"/><Relationship Id="rId9"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8.xml"/><Relationship Id="rId7" Type="http://schemas.openxmlformats.org/officeDocument/2006/relationships/table" Target="../tables/table22.xml"/><Relationship Id="rId2" Type="http://schemas.openxmlformats.org/officeDocument/2006/relationships/table" Target="../tables/table17.xml"/><Relationship Id="rId1" Type="http://schemas.openxmlformats.org/officeDocument/2006/relationships/table" Target="../tables/table16.xml"/><Relationship Id="rId6" Type="http://schemas.openxmlformats.org/officeDocument/2006/relationships/table" Target="../tables/table21.xml"/><Relationship Id="rId5" Type="http://schemas.openxmlformats.org/officeDocument/2006/relationships/table" Target="../tables/table20.xml"/><Relationship Id="rId4" Type="http://schemas.openxmlformats.org/officeDocument/2006/relationships/table" Target="../tables/table19.xml"/></Relationships>
</file>

<file path=xl/worksheets/_rels/sheet16.xml.rels><?xml version="1.0" encoding="UTF-8" standalone="yes"?>
<Relationships xmlns="http://schemas.openxmlformats.org/package/2006/relationships"><Relationship Id="rId8" Type="http://schemas.openxmlformats.org/officeDocument/2006/relationships/table" Target="../tables/table29.xml"/><Relationship Id="rId13" Type="http://schemas.openxmlformats.org/officeDocument/2006/relationships/table" Target="../tables/table34.xml"/><Relationship Id="rId18" Type="http://schemas.openxmlformats.org/officeDocument/2006/relationships/table" Target="../tables/table39.xml"/><Relationship Id="rId3" Type="http://schemas.openxmlformats.org/officeDocument/2006/relationships/table" Target="../tables/table24.xml"/><Relationship Id="rId7" Type="http://schemas.openxmlformats.org/officeDocument/2006/relationships/table" Target="../tables/table28.xml"/><Relationship Id="rId12" Type="http://schemas.openxmlformats.org/officeDocument/2006/relationships/table" Target="../tables/table33.xml"/><Relationship Id="rId17" Type="http://schemas.openxmlformats.org/officeDocument/2006/relationships/table" Target="../tables/table38.xml"/><Relationship Id="rId2" Type="http://schemas.openxmlformats.org/officeDocument/2006/relationships/table" Target="../tables/table23.xml"/><Relationship Id="rId16" Type="http://schemas.openxmlformats.org/officeDocument/2006/relationships/table" Target="../tables/table37.xml"/><Relationship Id="rId1" Type="http://schemas.openxmlformats.org/officeDocument/2006/relationships/printerSettings" Target="../printerSettings/printerSettings4.bin"/><Relationship Id="rId6" Type="http://schemas.openxmlformats.org/officeDocument/2006/relationships/table" Target="../tables/table27.xml"/><Relationship Id="rId11" Type="http://schemas.openxmlformats.org/officeDocument/2006/relationships/table" Target="../tables/table32.xml"/><Relationship Id="rId5" Type="http://schemas.openxmlformats.org/officeDocument/2006/relationships/table" Target="../tables/table26.xml"/><Relationship Id="rId15" Type="http://schemas.openxmlformats.org/officeDocument/2006/relationships/table" Target="../tables/table36.xml"/><Relationship Id="rId10" Type="http://schemas.openxmlformats.org/officeDocument/2006/relationships/table" Target="../tables/table31.xml"/><Relationship Id="rId4" Type="http://schemas.openxmlformats.org/officeDocument/2006/relationships/table" Target="../tables/table25.xml"/><Relationship Id="rId9" Type="http://schemas.openxmlformats.org/officeDocument/2006/relationships/table" Target="../tables/table30.xml"/><Relationship Id="rId14" Type="http://schemas.openxmlformats.org/officeDocument/2006/relationships/table" Target="../tables/table3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2" t="e" vm="1">
        <v>#VALUE!</v>
      </c>
      <c r="C1" s="172" t="s">
        <v>313</v>
      </c>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73"/>
      <c r="AH1" s="173"/>
      <c r="AI1" s="173"/>
      <c r="AJ1" s="173"/>
      <c r="AK1" s="173"/>
      <c r="AL1" s="173"/>
      <c r="AM1" s="173"/>
      <c r="AN1" s="173"/>
      <c r="AO1" s="173"/>
    </row>
    <row r="2" spans="1:42" ht="20.100000000000001" customHeight="1" x14ac:dyDescent="0.25">
      <c r="A2" s="9"/>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173"/>
      <c r="AK2" s="173"/>
      <c r="AL2" s="173"/>
      <c r="AM2" s="173"/>
      <c r="AN2" s="173"/>
      <c r="AO2" s="173"/>
      <c r="AP2" s="174"/>
    </row>
    <row r="3" spans="1:42" ht="20.100000000000001" customHeight="1" x14ac:dyDescent="0.25">
      <c r="A3" s="17" t="str">
        <f>HYPERLINK("#'Home'!A1", "Home")</f>
        <v>Home</v>
      </c>
      <c r="C3" s="175"/>
      <c r="D3" s="175"/>
      <c r="E3" s="175"/>
      <c r="F3" s="175"/>
      <c r="G3" s="175"/>
      <c r="H3" s="175"/>
      <c r="I3" s="175"/>
      <c r="J3" s="175"/>
      <c r="K3" s="175"/>
      <c r="L3" s="175"/>
      <c r="M3" s="175"/>
      <c r="N3" s="175"/>
      <c r="O3" s="175"/>
      <c r="P3" s="175"/>
      <c r="Q3" s="175"/>
      <c r="R3" s="175"/>
      <c r="S3" s="175"/>
      <c r="T3" s="175"/>
      <c r="U3" s="175"/>
      <c r="V3" s="175"/>
      <c r="W3" s="175"/>
      <c r="X3" s="175"/>
      <c r="Y3" s="175"/>
      <c r="Z3" s="175"/>
      <c r="AA3" s="175"/>
      <c r="AB3" s="175"/>
      <c r="AC3" s="175"/>
      <c r="AD3" s="175"/>
      <c r="AE3" s="175"/>
      <c r="AF3" s="175"/>
      <c r="AG3" s="175"/>
      <c r="AH3" s="175"/>
      <c r="AI3" s="175"/>
      <c r="AJ3" s="175"/>
      <c r="AK3" s="175"/>
      <c r="AL3" s="175"/>
      <c r="AM3" s="175"/>
      <c r="AN3" s="175"/>
      <c r="AO3" s="175"/>
    </row>
    <row r="4" spans="1:42" ht="20.100000000000001" customHeight="1" x14ac:dyDescent="0.25">
      <c r="A4" s="109" t="str">
        <f>HYPERLINK("#'Overview'!A1", "Overview")</f>
        <v>Overview</v>
      </c>
    </row>
    <row r="5" spans="1:42" ht="20.100000000000001" customHeight="1" x14ac:dyDescent="0.25">
      <c r="A5" s="17" t="str">
        <f>HYPERLINK("#'Results'!A1", "Results")</f>
        <v>Results</v>
      </c>
      <c r="D5" s="106" t="s">
        <v>315</v>
      </c>
      <c r="E5" s="85"/>
      <c r="F5" s="85"/>
      <c r="G5" s="85"/>
      <c r="H5" s="85"/>
      <c r="I5" s="85"/>
      <c r="J5" s="85"/>
      <c r="K5" s="85"/>
      <c r="L5" s="85"/>
      <c r="M5" s="85"/>
      <c r="N5" s="85"/>
      <c r="O5" s="81"/>
    </row>
    <row r="6" spans="1:42" ht="20.100000000000001" customHeight="1" x14ac:dyDescent="0.25">
      <c r="A6" s="16"/>
      <c r="D6" s="176" t="s">
        <v>316</v>
      </c>
      <c r="E6" s="84"/>
      <c r="F6" s="84"/>
      <c r="G6" s="84"/>
      <c r="H6" s="84"/>
      <c r="I6" s="84"/>
      <c r="J6" s="84"/>
      <c r="K6" s="84"/>
      <c r="L6" s="84"/>
      <c r="M6" s="84"/>
      <c r="N6" s="84"/>
      <c r="O6" s="82"/>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Fertiliser'!A1", "Fertiliser")</f>
        <v>Fertiliser</v>
      </c>
    </row>
    <row r="10" spans="1:42" ht="20.100000000000001" customHeight="1" x14ac:dyDescent="0.25">
      <c r="A10" s="17"/>
    </row>
    <row r="11" spans="1:42" ht="20.100000000000001" customHeight="1" x14ac:dyDescent="0.25">
      <c r="A11" s="19" t="s">
        <v>69</v>
      </c>
    </row>
    <row r="12" spans="1:42" ht="20.100000000000001" customHeight="1" x14ac:dyDescent="0.25">
      <c r="A12" s="17" t="str">
        <f>HYPERLINK("#'5.1.1.1-2 Inorganic Fert N2O'!A1", "5.1.1.1-2 Inorganic Fert N2O")</f>
        <v>5.1.1.1-2 Inorganic Fert N2O</v>
      </c>
    </row>
    <row r="13" spans="1:42" ht="20.100000000000001" customHeight="1" x14ac:dyDescent="0.25">
      <c r="A13" s="17" t="str">
        <f>HYPERLINK("#'5.1.1.3-4 Inorganic fert CO2'!A1", "5.1.1.3-4 Inorganic fert CO2")</f>
        <v>5.1.1.3-4 Inorganic fert CO2</v>
      </c>
    </row>
    <row r="14" spans="1:42" ht="20.100000000000001" customHeight="1" x14ac:dyDescent="0.25">
      <c r="A14" s="17" t="str">
        <f>HYPERLINK("#'5.2.1.1-2 Organic Fert N2O'!A1", "5.2.1.1-2 Organic Fert N2O")</f>
        <v>5.2.1.1-2 Organic Fert N2O</v>
      </c>
    </row>
    <row r="15" spans="1:42" ht="20.100000000000001" customHeight="1" x14ac:dyDescent="0.25">
      <c r="A15" s="17" t="str">
        <f>HYPERLINK("#'5.3.1.1-2 Lime CO2'!A1", "5.3.1.1-2 Lime CO2")</f>
        <v>5.3.1.1-2 Lime CO2</v>
      </c>
    </row>
    <row r="16" spans="1:42" ht="20.100000000000001" customHeight="1" x14ac:dyDescent="0.25">
      <c r="A16" s="17" t="str">
        <f>HYPERLINK("#'5.4.1.1-4 Atmos deposition'!A1", "5.4.1.1-4 Atmos deposition")</f>
        <v>5.4.1.1-4 Atmos deposition</v>
      </c>
    </row>
    <row r="17" spans="1:1" ht="20.100000000000001" customHeight="1" x14ac:dyDescent="0.25">
      <c r="A17" s="17" t="str">
        <f>HYPERLINK("#'5.5.1.1-2 Leaching and runoff'!A1", "5.5.1.1-2 Leaching and runoff")</f>
        <v>5.5.1.1-2 Leaching and runoff</v>
      </c>
    </row>
    <row r="18" spans="1:1" ht="20.100000000000001" customHeight="1" x14ac:dyDescent="0.25"/>
    <row r="19" spans="1:1" ht="20.100000000000001" customHeight="1" x14ac:dyDescent="0.25">
      <c r="A19" s="18" t="s">
        <v>2</v>
      </c>
    </row>
    <row r="20" spans="1:1" ht="20.100000000000001" customHeight="1" x14ac:dyDescent="0.25">
      <c r="A20" s="17" t="str">
        <f>HYPERLINK("#'Constants - Fertiliser'!A1", "Constants - Fertiliser")</f>
        <v>Constants - Fertiliser</v>
      </c>
    </row>
    <row r="21" spans="1:1" ht="20.100000000000001" customHeight="1" x14ac:dyDescent="0.25">
      <c r="A21" s="17" t="str">
        <f>HYPERLINK("#'Constants - Common'!A1", "Constants - Common")</f>
        <v>Constants - Common</v>
      </c>
    </row>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310</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311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E12" sqref="E12"/>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2" t="e" vm="1">
        <v>#VALUE!</v>
      </c>
      <c r="C1" s="172" t="s">
        <v>314</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9" t="str">
        <f>HYPERLINK("#'Results'!A1", "Results")</f>
        <v>Results</v>
      </c>
      <c r="C5" s="22"/>
      <c r="D5" s="26"/>
      <c r="E5" s="27"/>
      <c r="F5" s="27"/>
      <c r="G5" s="27"/>
      <c r="H5" s="24"/>
      <c r="I5" s="22"/>
      <c r="J5" s="22"/>
      <c r="K5" s="22"/>
    </row>
    <row r="6" spans="1:11" ht="20.100000000000001" customHeight="1" x14ac:dyDescent="0.25">
      <c r="A6" s="16"/>
      <c r="C6" s="22"/>
      <c r="D6" s="21" t="s">
        <v>309</v>
      </c>
      <c r="E6" s="22"/>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104" t="s">
        <v>82</v>
      </c>
      <c r="E8" s="104" t="s">
        <v>95</v>
      </c>
      <c r="F8" s="104" t="s">
        <v>96</v>
      </c>
      <c r="G8" s="104" t="s">
        <v>89</v>
      </c>
      <c r="H8" s="104" t="s">
        <v>97</v>
      </c>
      <c r="I8" s="104" t="s">
        <v>98</v>
      </c>
      <c r="J8" s="104" t="s">
        <v>90</v>
      </c>
      <c r="K8" s="22"/>
    </row>
    <row r="9" spans="1:11" ht="20.100000000000001" customHeight="1" x14ac:dyDescent="0.25">
      <c r="A9" s="17" t="str">
        <f>HYPERLINK("#'Input - Fertiliser'!A1", "Fertiliser")</f>
        <v>Fertiliser</v>
      </c>
      <c r="C9" s="22"/>
      <c r="D9" s="1" t="s">
        <v>300</v>
      </c>
      <c r="E9" s="171">
        <f>'5.1.1.1-2 Inorganic fert N2O'!$E$78</f>
        <v>0.13266000000880002</v>
      </c>
      <c r="F9" s="171">
        <f>'5.1.1.1-2 Inorganic fert N2O'!$N$88</f>
        <v>0.13266000000880002</v>
      </c>
      <c r="G9" s="52" t="s">
        <v>101</v>
      </c>
      <c r="H9" s="102">
        <f>'5.1.1.1-2 Inorganic fert N2O'!E83</f>
        <v>35.154900002332006</v>
      </c>
      <c r="I9" s="102">
        <f>'5.1.1.1-2 Inorganic fert N2O'!N93</f>
        <v>35.154900002332006</v>
      </c>
      <c r="J9" s="52" t="s">
        <v>93</v>
      </c>
      <c r="K9" s="22"/>
    </row>
    <row r="10" spans="1:11" ht="20.100000000000001" customHeight="1" x14ac:dyDescent="0.25">
      <c r="A10" s="17"/>
      <c r="C10" s="22"/>
      <c r="D10" s="1" t="s">
        <v>301</v>
      </c>
      <c r="E10" s="171">
        <f>'5.1.1.3-4 Inorganic fert CO2'!$E$76</f>
        <v>9.4695652186666663</v>
      </c>
      <c r="F10" s="171">
        <f>E10</f>
        <v>9.4695652186666663</v>
      </c>
      <c r="G10" s="52" t="s">
        <v>265</v>
      </c>
      <c r="H10" s="102">
        <f>'5.1.1.3-4 Inorganic fert CO2'!$E$76</f>
        <v>9.4695652186666663</v>
      </c>
      <c r="I10" s="102">
        <f>H10</f>
        <v>9.4695652186666663</v>
      </c>
      <c r="J10" s="52" t="s">
        <v>93</v>
      </c>
      <c r="K10" s="22"/>
    </row>
    <row r="11" spans="1:11" ht="20.100000000000001" customHeight="1" x14ac:dyDescent="0.25">
      <c r="A11" s="19" t="s">
        <v>69</v>
      </c>
      <c r="C11" s="22"/>
      <c r="D11" s="1" t="s">
        <v>302</v>
      </c>
      <c r="E11" s="171">
        <f>'5.2.1.1-2 Organic Fert N2O'!$E$50</f>
        <v>4.3214285714285715E-3</v>
      </c>
      <c r="F11" s="171">
        <f>E11</f>
        <v>4.3214285714285715E-3</v>
      </c>
      <c r="G11" s="52" t="s">
        <v>101</v>
      </c>
      <c r="H11" s="102">
        <f>'5.2.1.1-2 Organic Fert N2O'!$E$55</f>
        <v>1.1451785714285714</v>
      </c>
      <c r="I11" s="102">
        <f>H11</f>
        <v>1.1451785714285714</v>
      </c>
      <c r="J11" s="52" t="s">
        <v>93</v>
      </c>
      <c r="K11" s="22"/>
    </row>
    <row r="12" spans="1:11" ht="20.100000000000001" customHeight="1" x14ac:dyDescent="0.25">
      <c r="A12" s="17" t="str">
        <f>HYPERLINK("#'5.1.1.1-2 Inorganic Fert N2O'!A1", "5.1.1.1-2 Inorganic Fert N2O")</f>
        <v>5.1.1.1-2 Inorganic Fert N2O</v>
      </c>
      <c r="C12" s="22"/>
      <c r="D12" s="1" t="s">
        <v>303</v>
      </c>
      <c r="E12" s="171">
        <f>'5.3.1.1-2 Lime CO2'!$E$31</f>
        <v>7.4708333333333332</v>
      </c>
      <c r="F12" s="171">
        <f>E12</f>
        <v>7.4708333333333332</v>
      </c>
      <c r="G12" s="52" t="s">
        <v>265</v>
      </c>
      <c r="H12" s="102">
        <f>'5.3.1.1-2 Lime CO2'!$E$31</f>
        <v>7.4708333333333332</v>
      </c>
      <c r="I12" s="102">
        <f>H12</f>
        <v>7.4708333333333332</v>
      </c>
      <c r="J12" s="52" t="s">
        <v>93</v>
      </c>
      <c r="K12" s="22"/>
    </row>
    <row r="13" spans="1:11" ht="20.100000000000001" customHeight="1" x14ac:dyDescent="0.25">
      <c r="A13" s="17" t="str">
        <f>HYPERLINK("#'5.1.1.3-4 Inorganic fert CO2'!A1", "5.1.1.3-4 Inorganic fert CO2")</f>
        <v>5.1.1.3-4 Inorganic fert CO2</v>
      </c>
      <c r="C13" s="22"/>
      <c r="D13" s="1" t="s">
        <v>304</v>
      </c>
      <c r="E13" s="171">
        <f>'5.4.1.1-4 Atmos deposition'!$E$144</f>
        <v>1.2704999999999999E-3</v>
      </c>
      <c r="F13" s="171">
        <f>E13</f>
        <v>1.2704999999999999E-3</v>
      </c>
      <c r="G13" s="52" t="s">
        <v>101</v>
      </c>
      <c r="H13" s="102">
        <f>'5.4.1.1-4 Atmos deposition'!$E$149</f>
        <v>0.3366825</v>
      </c>
      <c r="I13" s="102">
        <f>H13</f>
        <v>0.3366825</v>
      </c>
      <c r="J13" s="52" t="s">
        <v>93</v>
      </c>
      <c r="K13" s="22"/>
    </row>
    <row r="14" spans="1:11" ht="20.100000000000001" customHeight="1" x14ac:dyDescent="0.25">
      <c r="A14" s="17" t="str">
        <f>HYPERLINK("#'5.2.1.1-2 Organic Fert N2O'!A1", "5.2.1.1-2 Organic Fert N2O")</f>
        <v>5.2.1.1-2 Organic Fert N2O</v>
      </c>
      <c r="C14" s="22"/>
      <c r="D14" s="1" t="s">
        <v>305</v>
      </c>
      <c r="E14" s="171">
        <f>'5.5.1.1-2 Leaching and runoff'!$E$93</f>
        <v>0</v>
      </c>
      <c r="F14" s="171">
        <f>E14</f>
        <v>0</v>
      </c>
      <c r="G14" s="52" t="s">
        <v>101</v>
      </c>
      <c r="H14" s="102">
        <f>'5.5.1.1-2 Leaching and runoff'!$E$98</f>
        <v>0</v>
      </c>
      <c r="I14" s="102">
        <f>H14</f>
        <v>0</v>
      </c>
      <c r="J14" s="52" t="s">
        <v>93</v>
      </c>
      <c r="K14" s="22"/>
    </row>
    <row r="15" spans="1:11" ht="20.100000000000001" customHeight="1" x14ac:dyDescent="0.3">
      <c r="A15" s="17" t="str">
        <f>HYPERLINK("#'5.3.1.1-2 Lime CO2'!A1", "5.3.1.1-2 Lime CO2")</f>
        <v>5.3.1.1-2 Lime CO2</v>
      </c>
      <c r="C15" s="22"/>
      <c r="D15" s="29" t="s">
        <v>88</v>
      </c>
      <c r="E15" s="23"/>
      <c r="F15" s="23"/>
      <c r="G15" s="29"/>
      <c r="H15" s="103">
        <f>SUM(H9:H14)</f>
        <v>53.577159625760579</v>
      </c>
      <c r="I15" s="103">
        <f>SUM(I9:I14)</f>
        <v>53.577159625760579</v>
      </c>
      <c r="J15" s="98" t="s">
        <v>93</v>
      </c>
      <c r="K15" s="22"/>
    </row>
    <row r="16" spans="1:11" ht="20.100000000000001" customHeight="1" x14ac:dyDescent="0.25">
      <c r="A16" s="17" t="str">
        <f>HYPERLINK("#'5.4.1.1-4 Atmos deposition'!A1", "5.4.1.1-4 Atmos deposition")</f>
        <v>5.4.1.1-4 Atmos deposition</v>
      </c>
      <c r="C16" s="22"/>
      <c r="D16" s="99"/>
      <c r="E16" s="99"/>
      <c r="F16" s="99"/>
      <c r="G16" s="99"/>
      <c r="H16" s="99"/>
      <c r="I16" s="99"/>
      <c r="J16" s="99"/>
      <c r="K16" s="22"/>
    </row>
    <row r="17" spans="1:11" ht="20.100000000000001" customHeight="1" x14ac:dyDescent="0.25">
      <c r="A17" s="17" t="str">
        <f>HYPERLINK("#'5.5.1.1-2 Leaching and runoff'!A1", "5.5.1.1-2 Leaching and runoff")</f>
        <v>5.5.1.1-2 Leaching and runoff</v>
      </c>
      <c r="C17" s="22"/>
      <c r="D17" s="99"/>
      <c r="E17" s="1"/>
      <c r="F17" s="1"/>
      <c r="G17" s="1"/>
      <c r="H17" s="1"/>
      <c r="I17" s="1"/>
      <c r="J17" s="22"/>
      <c r="K17" s="22"/>
    </row>
    <row r="18" spans="1:11" ht="20.100000000000001" customHeight="1" x14ac:dyDescent="0.25">
      <c r="C18" s="22"/>
      <c r="D18" s="107"/>
      <c r="E18" s="1"/>
      <c r="F18" s="1"/>
      <c r="G18" s="1"/>
      <c r="H18" s="1"/>
      <c r="I18" s="1"/>
      <c r="J18" s="22"/>
      <c r="K18" s="22"/>
    </row>
    <row r="19" spans="1:11" ht="20.100000000000001" customHeight="1" x14ac:dyDescent="0.25">
      <c r="A19" s="18" t="s">
        <v>2</v>
      </c>
      <c r="C19" s="22"/>
      <c r="D19" s="1"/>
      <c r="E19" s="1"/>
      <c r="F19" s="1"/>
      <c r="G19" s="1"/>
      <c r="H19" s="1"/>
      <c r="I19" s="1"/>
      <c r="J19" s="22"/>
      <c r="K19" s="22"/>
    </row>
    <row r="20" spans="1:11" ht="20.100000000000001" customHeight="1" x14ac:dyDescent="0.25">
      <c r="A20" s="17" t="str">
        <f>HYPERLINK("#'Constants - Fertiliser'!A1", "Constants - Fertiliser")</f>
        <v>Constants - Fertiliser</v>
      </c>
      <c r="C20" s="22"/>
      <c r="D20" s="1"/>
      <c r="E20" s="1"/>
      <c r="F20" s="1"/>
      <c r="G20" s="1"/>
      <c r="H20" s="1"/>
      <c r="I20" s="1"/>
      <c r="J20" s="22"/>
      <c r="K20" s="22"/>
    </row>
    <row r="21" spans="1:11" ht="20.100000000000001" customHeight="1" x14ac:dyDescent="0.25">
      <c r="A21" s="17" t="str">
        <f>HYPERLINK("#'Constants - Common'!A1", "Constants - Common")</f>
        <v>Constants - Common</v>
      </c>
      <c r="C21" s="22"/>
      <c r="D21" s="1"/>
      <c r="E21" s="105"/>
      <c r="F21" s="52"/>
      <c r="G21" s="1"/>
      <c r="H21" s="1"/>
      <c r="I21" s="22"/>
      <c r="J21" s="22"/>
      <c r="K21" s="22"/>
    </row>
    <row r="22" spans="1:11" ht="20.100000000000001" customHeight="1" x14ac:dyDescent="0.25">
      <c r="C22" s="22"/>
      <c r="D22" s="1"/>
      <c r="E22" s="105"/>
      <c r="F22" s="52"/>
      <c r="G22" s="1"/>
      <c r="H22" s="1"/>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1"/>
      <c r="J38" s="101"/>
      <c r="K38" s="22"/>
    </row>
    <row r="39" spans="3:11" ht="20.100000000000001" customHeight="1" x14ac:dyDescent="0.25">
      <c r="C39" s="22"/>
      <c r="D39" s="1"/>
      <c r="E39" s="1"/>
      <c r="F39" s="1"/>
      <c r="G39" s="1"/>
      <c r="H39" s="1"/>
      <c r="I39" s="101"/>
      <c r="J39" s="101"/>
      <c r="K39" s="22"/>
    </row>
    <row r="40" spans="3:11" ht="20.100000000000001" customHeight="1" x14ac:dyDescent="0.25">
      <c r="C40" s="22"/>
      <c r="D40" s="1"/>
      <c r="E40" s="1"/>
      <c r="F40" s="1"/>
      <c r="G40" s="1"/>
      <c r="H40" s="1"/>
      <c r="I40" s="101"/>
      <c r="J40" s="101"/>
      <c r="K40" s="22"/>
    </row>
    <row r="41" spans="3:11" ht="20.100000000000001" customHeight="1" x14ac:dyDescent="0.25">
      <c r="C41" s="22"/>
      <c r="D41" s="1"/>
      <c r="E41" s="1"/>
      <c r="F41" s="1"/>
      <c r="G41" s="1"/>
      <c r="H41" s="1"/>
      <c r="I41" s="101"/>
      <c r="J41" s="101"/>
      <c r="K41" s="22"/>
    </row>
    <row r="42" spans="3:11" ht="20.100000000000001" customHeight="1" x14ac:dyDescent="0.25">
      <c r="C42" s="22"/>
      <c r="D42" s="1"/>
      <c r="E42" s="1"/>
      <c r="F42" s="1"/>
      <c r="G42" s="1"/>
      <c r="H42" s="1"/>
      <c r="I42" s="101"/>
      <c r="J42" s="101"/>
      <c r="K42" s="22"/>
    </row>
    <row r="43" spans="3:11" ht="20.100000000000001" customHeight="1" x14ac:dyDescent="0.25">
      <c r="C43" s="22"/>
      <c r="D43" s="1"/>
      <c r="E43" s="1"/>
      <c r="F43" s="1"/>
      <c r="G43" s="1"/>
      <c r="H43" s="1"/>
      <c r="I43" s="101"/>
      <c r="J43" s="101"/>
      <c r="K43" s="22"/>
    </row>
    <row r="44" spans="3:11" ht="20.100000000000001" customHeight="1" x14ac:dyDescent="0.25">
      <c r="C44" s="22"/>
      <c r="D44" s="1"/>
      <c r="E44" s="1"/>
      <c r="F44" s="1"/>
      <c r="G44" s="1"/>
      <c r="H44" s="1"/>
      <c r="I44" s="101"/>
      <c r="J44" s="101"/>
      <c r="K44" s="22"/>
    </row>
    <row r="45" spans="3:11" ht="20.100000000000001" customHeight="1" x14ac:dyDescent="0.25">
      <c r="C45" s="22"/>
      <c r="D45" s="1"/>
      <c r="E45" s="1"/>
      <c r="F45" s="1"/>
      <c r="G45" s="1"/>
      <c r="H45" s="1"/>
      <c r="I45" s="101"/>
      <c r="J45" s="101"/>
      <c r="K45" s="22"/>
    </row>
    <row r="46" spans="3:11" ht="20.100000000000001" customHeight="1" x14ac:dyDescent="0.25">
      <c r="C46" s="22"/>
      <c r="D46" s="1"/>
      <c r="E46" s="1"/>
      <c r="F46" s="1"/>
      <c r="G46" s="1"/>
      <c r="H46" s="1"/>
      <c r="I46" s="101"/>
      <c r="J46" s="101"/>
      <c r="K46" s="22"/>
    </row>
    <row r="47" spans="3:11" ht="20.100000000000001" customHeight="1" x14ac:dyDescent="0.25">
      <c r="C47" s="22"/>
      <c r="D47" s="1"/>
      <c r="E47" s="1"/>
      <c r="F47" s="1"/>
      <c r="G47" s="1"/>
      <c r="H47" s="1"/>
      <c r="I47" s="101"/>
      <c r="J47" s="101"/>
      <c r="K47" s="22"/>
    </row>
    <row r="48" spans="3:11" ht="20.100000000000001" customHeight="1" x14ac:dyDescent="0.25">
      <c r="C48" s="22"/>
      <c r="D48" s="1"/>
      <c r="E48" s="1"/>
      <c r="F48" s="1"/>
      <c r="G48" s="1"/>
      <c r="H48" s="1"/>
      <c r="I48" s="101"/>
      <c r="J48" s="101"/>
      <c r="K48" s="22"/>
    </row>
    <row r="49" spans="3:11" ht="20.100000000000001" customHeight="1" x14ac:dyDescent="0.25">
      <c r="C49" s="22"/>
      <c r="D49" s="1"/>
      <c r="E49" s="1"/>
      <c r="F49" s="1"/>
      <c r="G49" s="1"/>
      <c r="H49" s="101"/>
      <c r="I49" s="101"/>
      <c r="J49" s="101"/>
      <c r="K49" s="22"/>
    </row>
    <row r="50" spans="3:11" ht="20.100000000000001" customHeight="1" x14ac:dyDescent="0.25">
      <c r="C50" s="22"/>
      <c r="D50" s="1"/>
      <c r="E50" s="1"/>
      <c r="F50" s="1"/>
      <c r="G50" s="1"/>
      <c r="H50" s="101"/>
      <c r="I50" s="101"/>
      <c r="J50" s="101"/>
      <c r="K50" s="22"/>
    </row>
    <row r="51" spans="3:11" ht="20.100000000000001" customHeight="1" x14ac:dyDescent="0.25">
      <c r="C51" s="22"/>
      <c r="D51" s="1"/>
      <c r="E51" s="1"/>
      <c r="F51" s="1"/>
      <c r="G51" s="1"/>
      <c r="H51" s="101"/>
      <c r="I51" s="101"/>
      <c r="J51" s="101"/>
      <c r="K51" s="22"/>
    </row>
    <row r="52" spans="3:11" ht="20.100000000000001" customHeight="1" x14ac:dyDescent="0.25">
      <c r="C52" s="22"/>
      <c r="D52" s="1"/>
      <c r="E52" s="1"/>
      <c r="F52" s="1"/>
      <c r="G52" s="1"/>
      <c r="H52" s="101"/>
      <c r="I52" s="101"/>
      <c r="J52" s="101"/>
      <c r="K52" s="22"/>
    </row>
    <row r="53" spans="3:11" ht="20.100000000000001" customHeight="1" x14ac:dyDescent="0.25">
      <c r="C53" s="22"/>
      <c r="D53" s="1"/>
      <c r="E53" s="1"/>
      <c r="F53" s="1"/>
      <c r="G53" s="1"/>
      <c r="H53" s="101"/>
      <c r="I53" s="101"/>
      <c r="J53" s="101"/>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4" sqref="A4"/>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72</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3"/>
      <c r="D4" s="63"/>
      <c r="E4" s="63"/>
      <c r="F4" s="63"/>
      <c r="G4" s="63"/>
      <c r="H4" s="63"/>
      <c r="I4" s="63"/>
      <c r="J4" s="63"/>
      <c r="K4" s="63"/>
    </row>
    <row r="5" spans="1:24" ht="20.100000000000001" customHeight="1" x14ac:dyDescent="0.25">
      <c r="A5" s="17" t="str">
        <f>HYPERLINK("#'Results'!A1", "Results")</f>
        <v>Results</v>
      </c>
      <c r="D5" s="6" t="s">
        <v>13</v>
      </c>
      <c r="N5" s="40"/>
    </row>
    <row r="6" spans="1:24" ht="20.100000000000001" customHeight="1" x14ac:dyDescent="0.25">
      <c r="D6" s="14"/>
      <c r="N6" s="41"/>
    </row>
    <row r="7" spans="1:24" ht="20.100000000000001" customHeight="1" x14ac:dyDescent="0.25">
      <c r="A7" s="20" t="s">
        <v>1</v>
      </c>
      <c r="D7" s="1" t="s">
        <v>5</v>
      </c>
      <c r="E7" s="33" t="s">
        <v>4</v>
      </c>
      <c r="F7" s="2"/>
    </row>
    <row r="8" spans="1:24" ht="20.100000000000001" customHeight="1" x14ac:dyDescent="0.25">
      <c r="A8" s="108" t="str">
        <f>HYPERLINK("#'Input - Site'!A1", "Site")</f>
        <v>Site</v>
      </c>
      <c r="D8" s="10" t="s">
        <v>67</v>
      </c>
      <c r="E8" s="33" t="s">
        <v>68</v>
      </c>
    </row>
    <row r="9" spans="1:24" ht="20.100000000000001" customHeight="1" x14ac:dyDescent="0.25">
      <c r="A9" s="17" t="str">
        <f>HYPERLINK("#'Input - Fertiliser'!A1", "Fertiliser")</f>
        <v>Fertiliser</v>
      </c>
      <c r="N9" s="42"/>
    </row>
    <row r="10" spans="1:24" ht="20.100000000000001" customHeight="1" x14ac:dyDescent="0.25">
      <c r="A10" s="17"/>
      <c r="D10" s="88" t="s">
        <v>71</v>
      </c>
      <c r="E10" s="86"/>
      <c r="F10" s="89"/>
      <c r="G10" s="83"/>
      <c r="N10" s="42"/>
    </row>
    <row r="11" spans="1:24" ht="20.100000000000001" customHeight="1" x14ac:dyDescent="0.25">
      <c r="A11" s="19" t="s">
        <v>69</v>
      </c>
      <c r="N11" s="43"/>
    </row>
    <row r="12" spans="1:24" ht="20.100000000000001" customHeight="1" x14ac:dyDescent="0.25">
      <c r="A12" s="17" t="str">
        <f>HYPERLINK("#'5.1.1.1-2 Inorganic Fert N2O'!A1", "5.1.1.1-2 Inorganic Fert N2O")</f>
        <v>5.1.1.1-2 Inorganic Fert N2O</v>
      </c>
      <c r="D12" s="10" t="s">
        <v>77</v>
      </c>
      <c r="E12" s="60">
        <v>45292</v>
      </c>
      <c r="F12" s="2" t="s">
        <v>65</v>
      </c>
    </row>
    <row r="13" spans="1:24" ht="20.100000000000001" customHeight="1" x14ac:dyDescent="0.25">
      <c r="A13" s="17" t="str">
        <f>HYPERLINK("#'5.1.1.3-4 Inorganic fert CO2'!A1", "5.1.1.3-4 Inorganic fert CO2")</f>
        <v>5.1.1.3-4 Inorganic fert CO2</v>
      </c>
      <c r="D13" s="10" t="s">
        <v>78</v>
      </c>
      <c r="E13" s="64">
        <f>DATE(YEAR(E12)+1,MONTH(E12),DAY(E12))-1</f>
        <v>45657</v>
      </c>
      <c r="F13" s="2" t="s">
        <v>15</v>
      </c>
      <c r="N13" s="38"/>
      <c r="O13" s="38"/>
    </row>
    <row r="14" spans="1:24" ht="20.100000000000001" customHeight="1" x14ac:dyDescent="0.25">
      <c r="A14" s="17" t="str">
        <f>HYPERLINK("#'5.2.1.1-2 Organic Fert N2O'!A1", "5.2.1.1-2 Organic Fert N2O")</f>
        <v>5.2.1.1-2 Organic Fert N2O</v>
      </c>
      <c r="N14" s="38"/>
      <c r="O14" s="38"/>
    </row>
    <row r="15" spans="1:24" ht="20.100000000000001" customHeight="1" x14ac:dyDescent="0.25">
      <c r="A15" s="17" t="str">
        <f>HYPERLINK("#'5.3.1.1-2 Lime CO2'!A1", "5.3.1.1-2 Lime CO2")</f>
        <v>5.3.1.1-2 Lime CO2</v>
      </c>
      <c r="N15" s="38"/>
      <c r="O15" s="38"/>
    </row>
    <row r="16" spans="1:24" ht="20.100000000000001" customHeight="1" x14ac:dyDescent="0.25">
      <c r="A16" s="17" t="str">
        <f>HYPERLINK("#'5.4.1.1-4 Atmos deposition'!A1", "5.4.1.1-4 Atmos deposition")</f>
        <v>5.4.1.1-4 Atmos deposition</v>
      </c>
      <c r="D16" s="6" t="s">
        <v>12</v>
      </c>
      <c r="N16" s="38"/>
      <c r="O16" s="38"/>
    </row>
    <row r="17" spans="1:25" ht="20.100000000000001" customHeight="1" x14ac:dyDescent="0.25">
      <c r="A17" s="17" t="str">
        <f>HYPERLINK("#'5.5.1.1-2 Leaching and runoff'!A1", "5.5.1.1-2 Leaching and runoff")</f>
        <v>5.5.1.1-2 Leaching and runoff</v>
      </c>
    </row>
    <row r="18" spans="1:25" ht="20.100000000000001" customHeight="1" x14ac:dyDescent="0.25">
      <c r="A18"/>
      <c r="D18" s="90" t="s">
        <v>14</v>
      </c>
      <c r="E18" s="85"/>
      <c r="F18" s="85"/>
      <c r="G18" s="81"/>
    </row>
    <row r="19" spans="1:25" ht="20.100000000000001" customHeight="1" x14ac:dyDescent="0.25">
      <c r="A19" s="18" t="s">
        <v>2</v>
      </c>
      <c r="D19" s="87" t="s">
        <v>66</v>
      </c>
      <c r="E19" s="84"/>
      <c r="F19" s="84"/>
      <c r="G19" s="82"/>
      <c r="N19" s="40"/>
    </row>
    <row r="20" spans="1:25" ht="20.100000000000001" customHeight="1" x14ac:dyDescent="0.25">
      <c r="A20" s="17" t="str">
        <f>HYPERLINK("#'Constants - Fertiliser'!A1", "Constants - Fertiliser")</f>
        <v>Constants - Fertiliser</v>
      </c>
      <c r="D20" s="1"/>
      <c r="E20" s="31"/>
      <c r="F20" s="2"/>
      <c r="N20" s="41"/>
    </row>
    <row r="21" spans="1:25" ht="20.100000000000001" customHeight="1" x14ac:dyDescent="0.25">
      <c r="A21" s="17" t="str">
        <f>HYPERLINK("#'Constants - Common'!A1", "Constants - Common")</f>
        <v>Constants - Common</v>
      </c>
      <c r="D21" s="1" t="s">
        <v>6</v>
      </c>
      <c r="E21" s="39" t="s">
        <v>100</v>
      </c>
      <c r="F21" s="2" t="s">
        <v>9</v>
      </c>
    </row>
    <row r="22" spans="1:25" ht="20.100000000000001" customHeight="1" x14ac:dyDescent="0.25">
      <c r="A22"/>
      <c r="D22" s="1" t="s">
        <v>21</v>
      </c>
      <c r="E22" s="39" t="s">
        <v>30</v>
      </c>
      <c r="F22" s="2" t="s">
        <v>9</v>
      </c>
      <c r="G22" s="1"/>
    </row>
    <row r="23" spans="1:25" ht="20.100000000000001" customHeight="1" x14ac:dyDescent="0.25">
      <c r="A23" s="17"/>
      <c r="D23" s="1" t="s">
        <v>7</v>
      </c>
      <c r="E23" s="39" t="s">
        <v>76</v>
      </c>
      <c r="F23" s="2" t="s">
        <v>9</v>
      </c>
    </row>
    <row r="24" spans="1:25" ht="20.100000000000001" customHeight="1" x14ac:dyDescent="0.25">
      <c r="A24"/>
      <c r="D24" s="1" t="s">
        <v>35</v>
      </c>
      <c r="E24" s="33">
        <v>307.7</v>
      </c>
      <c r="F24" s="2" t="s">
        <v>49</v>
      </c>
    </row>
    <row r="25" spans="1:25" ht="20.100000000000001" customHeight="1" x14ac:dyDescent="0.25">
      <c r="A25"/>
      <c r="D25" s="1" t="s">
        <v>57</v>
      </c>
      <c r="E25" s="33">
        <v>18</v>
      </c>
      <c r="F25" s="2" t="s">
        <v>10</v>
      </c>
      <c r="N25" s="41"/>
    </row>
    <row r="26" spans="1:25" ht="20.100000000000001" customHeight="1" x14ac:dyDescent="0.25">
      <c r="A26"/>
      <c r="D26" s="1" t="s">
        <v>58</v>
      </c>
      <c r="E26" s="33">
        <v>599</v>
      </c>
      <c r="F26" s="2" t="s">
        <v>11</v>
      </c>
    </row>
    <row r="27" spans="1:25" ht="20.100000000000001" customHeight="1" x14ac:dyDescent="0.25">
      <c r="A27"/>
      <c r="D27" s="10" t="s">
        <v>59</v>
      </c>
      <c r="E27" s="33">
        <v>1326</v>
      </c>
      <c r="F27" s="2" t="s">
        <v>11</v>
      </c>
    </row>
    <row r="28" spans="1:25" ht="20.100000000000001" customHeight="1" x14ac:dyDescent="0.25">
      <c r="A28"/>
      <c r="D28" s="1" t="s">
        <v>60</v>
      </c>
      <c r="E28" s="33">
        <v>7</v>
      </c>
      <c r="F28" s="2" t="s">
        <v>50</v>
      </c>
    </row>
    <row r="29" spans="1:25" ht="20.100000000000001" customHeight="1" x14ac:dyDescent="0.25">
      <c r="A29"/>
      <c r="D29" s="10" t="s">
        <v>56</v>
      </c>
      <c r="E29" s="50">
        <f>E26/E27</f>
        <v>0.45173453996983409</v>
      </c>
      <c r="F29" s="2"/>
    </row>
    <row r="30" spans="1:25" ht="20.100000000000001" customHeight="1" x14ac:dyDescent="0.25">
      <c r="A30"/>
      <c r="D30" s="10" t="s">
        <v>31</v>
      </c>
      <c r="E30" s="50" t="str">
        <f>Common_InputFunctions.Utility_LookupItemFromMinMax(E26,Table_SourceData_RainfallZones[Min rainfall],Table_SourceData_RainfallZones[Max rainfall],Table_SourceData_RainfallZones[Rainfall Zone])</f>
        <v>Low rainfall</v>
      </c>
      <c r="G30" s="32"/>
      <c r="L30" s="47"/>
      <c r="M30" s="47"/>
      <c r="N30" s="47"/>
      <c r="O30" s="47"/>
      <c r="P30" s="47"/>
      <c r="Q30" s="47"/>
      <c r="R30" s="47"/>
      <c r="S30" s="47"/>
      <c r="T30" s="47"/>
      <c r="U30" s="47"/>
      <c r="V30" s="47"/>
      <c r="W30" s="47"/>
      <c r="X30" s="47"/>
      <c r="Y30" s="47"/>
    </row>
    <row r="31" spans="1:25" ht="20.100000000000001" customHeight="1" x14ac:dyDescent="0.25">
      <c r="A31"/>
      <c r="D31" s="1" t="s">
        <v>8</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5"/>
      <c r="M31" s="45"/>
      <c r="N31" s="45"/>
      <c r="O31" s="45"/>
      <c r="P31" s="45"/>
      <c r="Q31" s="45"/>
      <c r="R31" s="45"/>
      <c r="S31" s="45"/>
      <c r="T31" s="45"/>
      <c r="U31" s="45"/>
      <c r="V31" s="45"/>
      <c r="W31" s="45"/>
      <c r="X31" s="45"/>
      <c r="Y31" s="45"/>
    </row>
    <row r="32" spans="1:25" ht="20.100000000000001" customHeight="1" x14ac:dyDescent="0.25">
      <c r="A32"/>
      <c r="D32" s="1" t="s">
        <v>73</v>
      </c>
      <c r="E32" s="50" t="str">
        <f>Common_InputFunctions.Utility_LookupValueInTable($E$31,Table_SourceData_WetDryZones[Climate zone],Table_SourceData_WetDryZones[Wet or Dry Zone])</f>
        <v>Dry climate zone</v>
      </c>
      <c r="F32" s="1"/>
      <c r="G32" s="31"/>
      <c r="L32" s="45"/>
      <c r="M32" s="45"/>
      <c r="N32" s="45"/>
      <c r="O32" s="45"/>
      <c r="P32" s="45"/>
      <c r="Q32" s="45"/>
      <c r="R32" s="45"/>
      <c r="S32" s="45"/>
      <c r="T32" s="45"/>
      <c r="U32" s="45"/>
      <c r="V32" s="45"/>
      <c r="W32" s="45"/>
      <c r="X32" s="45"/>
      <c r="Y32" s="45"/>
    </row>
    <row r="33" spans="1:25" ht="20.100000000000001" customHeight="1" x14ac:dyDescent="0.25">
      <c r="A33"/>
      <c r="D33" s="1" t="s">
        <v>48</v>
      </c>
      <c r="E33" s="50" t="str">
        <f>Common_InputFunctions.Utility_LookupItemFromMinMax(E25,Table_SourceData_TemperatureZones[Min MAT],Table_SourceData_TemperatureZones[Max MAT],Table_SourceData_TemperatureZones[Temperature Zone])</f>
        <v>Temperate</v>
      </c>
      <c r="G33" s="65"/>
      <c r="L33" s="45"/>
      <c r="M33" s="45"/>
      <c r="N33" s="45"/>
      <c r="O33" s="45"/>
      <c r="P33" s="45"/>
      <c r="Q33" s="45"/>
      <c r="R33" s="45"/>
      <c r="S33" s="45"/>
      <c r="T33" s="45"/>
      <c r="U33" s="45"/>
      <c r="V33" s="45"/>
      <c r="W33" s="45"/>
      <c r="X33" s="45"/>
      <c r="Y33" s="45"/>
    </row>
    <row r="34" spans="1:25" ht="20.100000000000001" customHeight="1" x14ac:dyDescent="0.25">
      <c r="A34"/>
      <c r="J34" s="58"/>
      <c r="K34" s="68"/>
      <c r="L34" s="45"/>
      <c r="M34" s="45"/>
      <c r="N34" s="45"/>
      <c r="O34" s="45"/>
      <c r="P34" s="45"/>
      <c r="Q34" s="45"/>
      <c r="R34" s="45"/>
      <c r="S34" s="45"/>
      <c r="T34" s="45"/>
      <c r="U34" s="45"/>
      <c r="V34" s="45"/>
      <c r="W34" s="45"/>
      <c r="X34" s="45"/>
      <c r="Y34" s="45"/>
    </row>
    <row r="35" spans="1:25" ht="20.100000000000001" customHeight="1" x14ac:dyDescent="0.25">
      <c r="A35"/>
      <c r="J35" s="58"/>
      <c r="K35" s="68"/>
      <c r="L35" s="45"/>
      <c r="M35" s="45"/>
      <c r="N35" s="45"/>
      <c r="O35" s="45"/>
      <c r="P35" s="45"/>
      <c r="Q35" s="45"/>
      <c r="R35" s="45"/>
      <c r="S35" s="45"/>
      <c r="T35" s="45"/>
      <c r="U35" s="45"/>
      <c r="V35" s="45"/>
      <c r="W35" s="45"/>
      <c r="X35" s="45"/>
      <c r="Y35" s="45"/>
    </row>
    <row r="36" spans="1:25" ht="20.100000000000001" customHeight="1" x14ac:dyDescent="0.25">
      <c r="A36"/>
      <c r="D36" s="66"/>
      <c r="E36" s="66"/>
      <c r="F36" s="67"/>
      <c r="G36" s="58"/>
      <c r="H36" s="58"/>
      <c r="I36" s="59"/>
      <c r="J36" s="58"/>
      <c r="K36" s="68"/>
      <c r="L36" s="45"/>
      <c r="M36" s="45"/>
      <c r="N36" s="45"/>
      <c r="O36" s="45"/>
      <c r="P36" s="45"/>
      <c r="Q36" s="45"/>
      <c r="R36" s="45"/>
      <c r="S36" s="45"/>
      <c r="T36" s="45"/>
      <c r="U36" s="45"/>
      <c r="V36" s="45"/>
      <c r="W36" s="45"/>
      <c r="X36" s="45"/>
      <c r="Y36" s="45"/>
    </row>
    <row r="37" spans="1:25" ht="20.100000000000001" customHeight="1" x14ac:dyDescent="0.25">
      <c r="A37"/>
      <c r="D37" s="66"/>
      <c r="E37" s="66"/>
      <c r="F37" s="67"/>
      <c r="G37" s="58"/>
      <c r="H37" s="58"/>
      <c r="I37" s="59"/>
      <c r="J37" s="58"/>
      <c r="K37" s="68"/>
      <c r="L37" s="45"/>
      <c r="M37" s="45"/>
      <c r="N37" s="45"/>
      <c r="O37" s="45"/>
      <c r="P37" s="45"/>
      <c r="Q37" s="45"/>
      <c r="R37" s="45"/>
      <c r="S37" s="45"/>
      <c r="T37" s="45"/>
      <c r="U37" s="45"/>
      <c r="V37" s="45"/>
      <c r="W37" s="45"/>
      <c r="X37" s="45"/>
      <c r="Y37" s="45"/>
    </row>
    <row r="38" spans="1:25" ht="20.100000000000001" customHeight="1" x14ac:dyDescent="0.25">
      <c r="A38"/>
      <c r="D38" s="66"/>
      <c r="E38" s="66"/>
      <c r="F38" s="67"/>
      <c r="G38" s="58"/>
      <c r="H38" s="58"/>
      <c r="I38" s="59"/>
      <c r="J38" s="58"/>
      <c r="K38" s="68"/>
      <c r="L38" s="45"/>
      <c r="M38" s="45"/>
      <c r="N38" s="45"/>
      <c r="O38" s="45"/>
      <c r="P38" s="45"/>
      <c r="Q38" s="45"/>
      <c r="R38" s="45"/>
      <c r="S38" s="45"/>
      <c r="T38" s="45"/>
      <c r="U38" s="45"/>
      <c r="V38" s="45"/>
      <c r="W38" s="45"/>
      <c r="X38" s="45"/>
      <c r="Y38" s="45"/>
    </row>
    <row r="39" spans="1:25" ht="20.100000000000001" customHeight="1" x14ac:dyDescent="0.25">
      <c r="A39"/>
      <c r="D39" s="66"/>
      <c r="E39" s="66"/>
      <c r="F39" s="67"/>
      <c r="G39" s="58"/>
      <c r="H39" s="58"/>
      <c r="I39" s="59"/>
      <c r="J39" s="58"/>
      <c r="K39" s="68"/>
      <c r="L39" s="45"/>
      <c r="M39" s="45"/>
      <c r="N39" s="45"/>
      <c r="O39" s="45"/>
      <c r="P39" s="45"/>
      <c r="Q39" s="45"/>
      <c r="R39" s="45"/>
      <c r="S39" s="45"/>
      <c r="T39" s="45"/>
      <c r="U39" s="45"/>
      <c r="V39" s="45"/>
      <c r="W39" s="45"/>
      <c r="X39" s="45"/>
      <c r="Y39" s="45"/>
    </row>
    <row r="40" spans="1:25" ht="20.100000000000001" customHeight="1" x14ac:dyDescent="0.25">
      <c r="A40"/>
      <c r="D40" s="69"/>
      <c r="E40" s="69"/>
      <c r="F40" s="69"/>
      <c r="G40" s="70"/>
      <c r="H40" s="71"/>
      <c r="I40" s="71"/>
      <c r="J40" s="71"/>
      <c r="K40" s="71"/>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G54" s="76"/>
    </row>
    <row r="55" spans="4:8" ht="20.100000000000001" customHeight="1" x14ac:dyDescent="0.25">
      <c r="D55" s="6"/>
    </row>
    <row r="56" spans="4:8" ht="20.100000000000001" customHeight="1" x14ac:dyDescent="0.25"/>
    <row r="57" spans="4:8" ht="20.100000000000001" customHeight="1" x14ac:dyDescent="0.25">
      <c r="D57" s="21"/>
      <c r="F57" s="77"/>
    </row>
    <row r="58" spans="4:8" ht="20.100000000000001" customHeight="1" x14ac:dyDescent="0.25">
      <c r="D58" s="1"/>
      <c r="E58" s="78"/>
    </row>
    <row r="59" spans="4:8" ht="20.100000000000001" customHeight="1" x14ac:dyDescent="0.25">
      <c r="D59" s="1"/>
      <c r="E59" s="78"/>
    </row>
    <row r="60" spans="4:8" ht="20.100000000000001" customHeight="1" x14ac:dyDescent="0.25">
      <c r="D60" s="1"/>
      <c r="E60" s="79"/>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8"/>
    </row>
    <row r="65" spans="4:9" ht="20.100000000000001" customHeight="1" x14ac:dyDescent="0.25">
      <c r="D65" s="1"/>
      <c r="E65" s="78"/>
    </row>
    <row r="66" spans="4:9" ht="20.100000000000001" customHeight="1" x14ac:dyDescent="0.25">
      <c r="D66" s="1"/>
      <c r="E66" s="79"/>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361"/>
  <sheetViews>
    <sheetView showGridLines="0" zoomScale="85" zoomScaleNormal="85" workbookViewId="0">
      <selection activeCell="G22" sqref="G22"/>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0" width="15.7109375" style="1" customWidth="1"/>
    <col min="21" max="21" width="4.7109375" style="1" customWidth="1"/>
    <col min="22" max="22" width="4.7109375" customWidth="1"/>
  </cols>
  <sheetData>
    <row r="1" spans="1:21" s="62" customFormat="1" ht="30" customHeight="1" x14ac:dyDescent="0.35">
      <c r="A1" s="62" t="e" vm="1">
        <v>#VALUE!</v>
      </c>
      <c r="C1" s="62" t="s">
        <v>312</v>
      </c>
    </row>
    <row r="2" spans="1:21" s="9" customFormat="1" ht="20.100000000000001" customHeight="1" x14ac:dyDescent="0.25"/>
    <row r="3" spans="1:21" ht="20.100000000000001" customHeight="1" x14ac:dyDescent="0.25">
      <c r="A3" s="17" t="str">
        <f>HYPERLINK("#'Home'!A1", "Home")</f>
        <v>Home</v>
      </c>
      <c r="C3" s="15"/>
      <c r="D3" s="15"/>
      <c r="E3" s="15"/>
      <c r="F3" s="15"/>
      <c r="G3" s="15"/>
      <c r="H3" s="15"/>
      <c r="I3" s="15"/>
      <c r="J3" s="15"/>
      <c r="K3" s="15"/>
      <c r="L3" s="15"/>
      <c r="M3" s="15"/>
      <c r="N3" s="15"/>
      <c r="O3" s="15"/>
      <c r="P3" s="15"/>
      <c r="Q3" s="15"/>
      <c r="R3" s="15"/>
      <c r="S3" s="15"/>
      <c r="T3" s="15"/>
      <c r="U3" s="15"/>
    </row>
    <row r="4" spans="1:21" ht="20.100000000000001" customHeight="1" x14ac:dyDescent="0.25">
      <c r="A4" s="17" t="str">
        <f>HYPERLINK("#'Overview'!A1", "Overview")</f>
        <v>Overview</v>
      </c>
    </row>
    <row r="5" spans="1:21" ht="20.100000000000001" customHeight="1" x14ac:dyDescent="0.25">
      <c r="A5" s="17" t="str">
        <f>HYPERLINK("#'Results'!A1", "Results")</f>
        <v>Results</v>
      </c>
    </row>
    <row r="6" spans="1:21" ht="20.100000000000001" customHeight="1" x14ac:dyDescent="0.25">
      <c r="A6" s="16"/>
      <c r="D6" s="1" t="s">
        <v>87</v>
      </c>
      <c r="E6" s="39" t="s">
        <v>131</v>
      </c>
      <c r="F6" s="2" t="s">
        <v>9</v>
      </c>
    </row>
    <row r="7" spans="1:21" ht="20.100000000000001" customHeight="1" x14ac:dyDescent="0.25">
      <c r="A7" s="20" t="s">
        <v>1</v>
      </c>
      <c r="D7" s="1" t="s">
        <v>165</v>
      </c>
      <c r="E7" s="39" t="s">
        <v>141</v>
      </c>
      <c r="F7" s="2" t="s">
        <v>9</v>
      </c>
    </row>
    <row r="8" spans="1:21" ht="20.100000000000001" customHeight="1" x14ac:dyDescent="0.25">
      <c r="A8" s="17" t="str">
        <f>HYPERLINK("#'Input - Site'!A1", "Site")</f>
        <v>Site</v>
      </c>
      <c r="D8" s="1" t="s">
        <v>86</v>
      </c>
      <c r="E8" s="39" t="s">
        <v>136</v>
      </c>
      <c r="F8" s="2" t="s">
        <v>9</v>
      </c>
    </row>
    <row r="9" spans="1:21" ht="20.100000000000001" customHeight="1" x14ac:dyDescent="0.25">
      <c r="A9" s="108" t="str">
        <f>HYPERLINK("#'Input - Fertiliser'!A1", "Fertiliser")</f>
        <v>Fertiliser</v>
      </c>
      <c r="D9" s="1" t="s">
        <v>187</v>
      </c>
      <c r="E9" s="136">
        <v>100</v>
      </c>
      <c r="F9" s="2" t="s">
        <v>179</v>
      </c>
    </row>
    <row r="10" spans="1:21" ht="20.100000000000001" customHeight="1" x14ac:dyDescent="0.25">
      <c r="A10" s="17"/>
    </row>
    <row r="11" spans="1:21" ht="20.100000000000001" customHeight="1" x14ac:dyDescent="0.25">
      <c r="A11" s="19" t="s">
        <v>69</v>
      </c>
      <c r="D11" s="6" t="s">
        <v>146</v>
      </c>
      <c r="E11" s="3"/>
      <c r="F11" s="3"/>
      <c r="G11" s="3"/>
      <c r="H11" s="3"/>
      <c r="I11" s="3"/>
      <c r="J11" s="3"/>
      <c r="K11" s="3"/>
      <c r="L11" s="3"/>
      <c r="M11" s="3"/>
    </row>
    <row r="12" spans="1:21" ht="20.100000000000001" customHeight="1" x14ac:dyDescent="0.25">
      <c r="A12" s="17" t="str">
        <f>HYPERLINK("#'5.1.1.1-2 Inorganic Fert N2O'!A1", "5.1.1.1-2 Inorganic Fert N2O")</f>
        <v>5.1.1.1-2 Inorganic Fert N2O</v>
      </c>
      <c r="D12" s="22"/>
      <c r="E12" s="22"/>
      <c r="F12" s="22"/>
      <c r="G12" s="22"/>
      <c r="H12" s="22"/>
      <c r="I12" s="22"/>
      <c r="J12" s="22"/>
      <c r="K12" s="22"/>
      <c r="L12" s="22"/>
      <c r="M12" s="22"/>
    </row>
    <row r="13" spans="1:21" ht="20.100000000000001" customHeight="1" x14ac:dyDescent="0.25">
      <c r="A13" s="17" t="str">
        <f>HYPERLINK("#'5.1.1.3-4 Inorganic fert CO2'!A1", "5.1.1.3-4 Inorganic fert CO2")</f>
        <v>5.1.1.3-4 Inorganic fert CO2</v>
      </c>
      <c r="D13" s="106" t="s">
        <v>147</v>
      </c>
      <c r="E13" s="85"/>
      <c r="F13" s="85"/>
      <c r="G13" s="85"/>
      <c r="H13" s="81"/>
      <c r="I13" s="113"/>
      <c r="J13" s="114"/>
      <c r="K13" s="115"/>
      <c r="L13" s="115"/>
      <c r="M13" s="115"/>
    </row>
    <row r="14" spans="1:21" ht="20.100000000000001" customHeight="1" x14ac:dyDescent="0.25">
      <c r="A14" s="17" t="str">
        <f>HYPERLINK("#'5.2.1.1-2 Organic Fert N2O'!A1", "5.2.1.1-2 Organic Fert N2O")</f>
        <v>5.2.1.1-2 Organic Fert N2O</v>
      </c>
      <c r="D14" s="87" t="s">
        <v>148</v>
      </c>
      <c r="E14" s="84"/>
      <c r="F14" s="84"/>
      <c r="G14" s="82"/>
      <c r="H14" s="138"/>
      <c r="I14" s="22"/>
      <c r="J14" s="22"/>
      <c r="K14" s="22"/>
      <c r="L14" s="22"/>
      <c r="M14" s="22"/>
    </row>
    <row r="15" spans="1:21" ht="20.100000000000001" customHeight="1" x14ac:dyDescent="0.25">
      <c r="A15" s="17" t="str">
        <f>HYPERLINK("#'5.3.1.1-2 Lime CO2'!A1", "5.3.1.1-2 Lime CO2")</f>
        <v>5.3.1.1-2 Lime CO2</v>
      </c>
      <c r="D15" s="22"/>
      <c r="E15" s="22"/>
      <c r="F15" s="22"/>
      <c r="G15" s="22"/>
      <c r="H15" s="22"/>
      <c r="I15" s="22"/>
      <c r="J15" s="22"/>
      <c r="K15" s="22"/>
      <c r="L15" s="22"/>
      <c r="M15" s="22"/>
    </row>
    <row r="16" spans="1:21" ht="20.100000000000001" customHeight="1" x14ac:dyDescent="0.25">
      <c r="A16" s="17" t="str">
        <f>HYPERLINK("#'5.4.1.1-4 Atmos deposition'!A1", "5.4.1.1-4 Atmos deposition")</f>
        <v>5.4.1.1-4 Atmos deposition</v>
      </c>
      <c r="D16" s="46" t="s">
        <v>149</v>
      </c>
      <c r="E16" s="22"/>
      <c r="F16" s="22"/>
      <c r="G16" s="22"/>
      <c r="H16" s="22"/>
      <c r="I16" s="22"/>
      <c r="J16" s="22"/>
      <c r="K16" s="22"/>
      <c r="L16" s="22"/>
      <c r="M16" s="22"/>
    </row>
    <row r="17" spans="1:20" ht="36" customHeight="1" x14ac:dyDescent="0.25">
      <c r="A17" s="17" t="str">
        <f>HYPERLINK("#'5.5.1.1-2 Leaching and runoff'!A1", "5.5.1.1-2 Leaching and runoff")</f>
        <v>5.5.1.1-2 Leaching and runoff</v>
      </c>
      <c r="D17" s="116" t="s">
        <v>150</v>
      </c>
      <c r="E17" s="117" t="s">
        <v>160</v>
      </c>
      <c r="F17" s="117" t="s">
        <v>151</v>
      </c>
      <c r="G17" s="117" t="s">
        <v>152</v>
      </c>
      <c r="H17" s="116" t="s">
        <v>115</v>
      </c>
      <c r="I17" s="116" t="s">
        <v>116</v>
      </c>
      <c r="J17" s="116" t="s">
        <v>117</v>
      </c>
      <c r="K17" s="116" t="s">
        <v>118</v>
      </c>
      <c r="L17" s="116" t="s">
        <v>119</v>
      </c>
      <c r="M17" s="116" t="s">
        <v>120</v>
      </c>
      <c r="N17" s="116" t="s">
        <v>121</v>
      </c>
      <c r="O17" s="116" t="s">
        <v>122</v>
      </c>
      <c r="P17" s="116" t="s">
        <v>123</v>
      </c>
      <c r="Q17" s="116" t="s">
        <v>124</v>
      </c>
      <c r="R17" s="116" t="s">
        <v>125</v>
      </c>
      <c r="S17" s="116" t="s">
        <v>126</v>
      </c>
      <c r="T17" s="116" t="s">
        <v>166</v>
      </c>
    </row>
    <row r="18" spans="1:20" ht="36" customHeight="1" x14ac:dyDescent="0.25">
      <c r="D18" s="122" t="s">
        <v>307</v>
      </c>
      <c r="E18" s="123">
        <v>200</v>
      </c>
      <c r="F18" s="123">
        <f>$E$9</f>
        <v>100</v>
      </c>
      <c r="G18" s="124">
        <f>Table_Input_InorganicFertiliser_Brands[[#This Row],[Amount applied (kg / ha)]]*Table_Input_InorganicFertiliser_Brands[[#This Row],[Application area (ha)]]</f>
        <v>20000</v>
      </c>
      <c r="H18" s="124" t="str" cm="1">
        <f t="array" ref="H18">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I18" s="124" cm="1">
        <f t="array" ref="I18">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J18" s="124" t="str" cm="1">
        <f t="array" ref="J18">Fertiliser_InputFunctions.Fertiliser_FertiliserProductLookup(Table_Input_InorganicFertiliser_Brands[[#This Row],[Product (select)]], Table_Input_InorganicFertiliser_Brands[[#Headers],[Ingredient 2]], FertiliserProducts[#Data], FertiliserProducts[Product name], FertiliserProducts[#Headers])</f>
        <v>Phosphorus - Generic</v>
      </c>
      <c r="K18" s="124" cm="1">
        <f t="array" ref="K18">Fertiliser_InputFunctions.Fertiliser_FertiliserProductLookup(Table_Input_InorganicFertiliser_Brands[[#This Row],[Product (select)]], Table_Input_InorganicFertiliser_Brands[[#Headers],[Ingredient 2 percent]], FertiliserProducts[#Data], FertiliserProducts[Product name], FertiliserProducts[#Headers])</f>
        <v>0.04</v>
      </c>
      <c r="L18" s="124" t="str" cm="1">
        <f t="array" ref="L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M18" s="124" cm="1">
        <f t="array" ref="M18">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N18" s="124" t="str" cm="1">
        <f t="array" ref="N18">Fertiliser_InputFunctions.Fertiliser_FertiliserProductLookup(Table_Input_InorganicFertiliser_Brands[[#This Row],[Product (select)]], Table_Input_InorganicFertiliser_Brands[[#Headers],[Ingredient 4]], FertiliserProducts[#Data], FertiliserProducts[Product name], FertiliserProducts[#Headers])</f>
        <v/>
      </c>
      <c r="O18" s="124" t="str" cm="1">
        <f t="array" ref="O18">Fertiliser_InputFunctions.Fertiliser_FertiliserProductLookup(Table_Input_InorganicFertiliser_Brands[[#This Row],[Product (select)]], Table_Input_InorganicFertiliser_Brands[[#Headers],[Ingredient 4 percent]], FertiliserProducts[#Data], FertiliserProducts[Product name], FertiliserProducts[#Headers])</f>
        <v/>
      </c>
      <c r="P18" s="124" t="str" cm="1">
        <f t="array" ref="P18">Fertiliser_InputFunctions.Fertiliser_FertiliserProductLookup(Table_Input_InorganicFertiliser_Brands[[#This Row],[Product (select)]], Table_Input_InorganicFertiliser_Brands[[#Headers],[Ingredient 5]], FertiliserProducts[#Data], FertiliserProducts[Product name], FertiliserProducts[#Headers])</f>
        <v/>
      </c>
      <c r="Q18" s="124" t="str" cm="1">
        <f t="array" ref="Q18">Fertiliser_InputFunctions.Fertiliser_FertiliserProductLookup(Table_Input_InorganicFertiliser_Brands[[#This Row],[Product (select)]], Table_Input_InorganicFertiliser_Brands[[#Headers],[Ingredient 5 percent]], FertiliserProducts[#Data], FertiliserProducts[Product name], FertiliserProducts[#Headers])</f>
        <v/>
      </c>
      <c r="R18" s="124" t="str" cm="1">
        <f t="array" ref="R18">Fertiliser_InputFunctions.Fertiliser_FertiliserProductLookup(Table_Input_InorganicFertiliser_Brands[[#This Row],[Product (select)]], Table_Input_InorganicFertiliser_Brands[[#Headers],[Ingredient 6]], FertiliserProducts[#Data], FertiliserProducts[Product name], FertiliserProducts[#Headers])</f>
        <v/>
      </c>
      <c r="S18" s="124" t="str" cm="1">
        <f t="array" ref="S18">Fertiliser_InputFunctions.Fertiliser_FertiliserProductLookup(Table_Input_InorganicFertiliser_Brands[[#This Row],[Product (select)]], Table_Input_InorganicFertiliser_Brands[[#Headers],[Ingredient 6 percent]], FertiliserProducts[#Data], FertiliserProducts[Product name], FertiliserProducts[#Headers])</f>
        <v/>
      </c>
      <c r="T18" s="124">
        <f>Table_Input_InorganicFertiliser_Brands[[#This Row],[Amount applied (kg / ha)]]*(IFERROR((_xlfn.XLOOKUP(Table_Input_InorganicFertiliser_Brands[[#This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5.2</v>
      </c>
    </row>
    <row r="19" spans="1:20" ht="36" customHeight="1" x14ac:dyDescent="0.25">
      <c r="A19" s="18" t="s">
        <v>2</v>
      </c>
      <c r="D19" s="122" t="s">
        <v>236</v>
      </c>
      <c r="E19" s="123">
        <v>200</v>
      </c>
      <c r="F19" s="123">
        <f>$E$9</f>
        <v>100</v>
      </c>
      <c r="G19" s="124">
        <f>Table_Input_InorganicFertiliser_Brands[[#This Row],[Amount applied (kg / ha)]]*Table_Input_InorganicFertiliser_Brands[[#This Row],[Application area (ha)]]</f>
        <v>20000</v>
      </c>
      <c r="H19" s="124" t="str" cm="1">
        <f t="array" ref="H19">Fertiliser_InputFunctions.Fertiliser_FertiliserProductLookup(Table_Input_InorganicFertiliser_Brands[[#This Row],[Product (select)]], Table_Input_InorganicFertiliser_Brands[[#Headers],[Ingredient 1]], FertiliserProducts[#Data], FertiliserProducts[Product name], FertiliserProducts[#Headers])</f>
        <v>Nitrogen - Ammoniacal</v>
      </c>
      <c r="I19" s="124" cm="1">
        <f t="array" ref="I19">Fertiliser_InputFunctions.Fertiliser_FertiliserProductLookup(Table_Input_InorganicFertiliser_Brands[[#This Row],[Product (select)]], Table_Input_InorganicFertiliser_Brands[[#Headers],[Ingredient 1 percent]], FertiliserProducts[#Data], FertiliserProducts[Product name], FertiliserProducts[#Headers])</f>
        <v>7.4999999999999997E-2</v>
      </c>
      <c r="J19" s="124" t="str" cm="1">
        <f t="array" ref="J19">Fertiliser_InputFunctions.Fertiliser_FertiliserProductLookup(Table_Input_InorganicFertiliser_Brands[[#This Row],[Product (select)]], Table_Input_InorganicFertiliser_Brands[[#Headers],[Ingredient 2]], FertiliserProducts[#Data], FertiliserProducts[Product name], FertiliserProducts[#Headers])</f>
        <v>Nitrogen - Nitrate</v>
      </c>
      <c r="K19" s="124" cm="1">
        <f t="array" ref="K19">Fertiliser_InputFunctions.Fertiliser_FertiliserProductLookup(Table_Input_InorganicFertiliser_Brands[[#This Row],[Product (select)]], Table_Input_InorganicFertiliser_Brands[[#Headers],[Ingredient 2 percent]], FertiliserProducts[#Data], FertiliserProducts[Product name], FertiliserProducts[#Headers])</f>
        <v>7.4999999999999997E-2</v>
      </c>
      <c r="L19" s="124" t="str" cm="1">
        <f t="array" ref="L19">Fertiliser_InputFunctions.Fertiliser_FertiliserProductLookup(Table_Input_InorganicFertiliser_Brands[[#This Row],[Product (select)]], Table_Input_InorganicFertiliser_Brands[[#Headers],[Ingredient 3]], FertiliserProducts[#Data], FertiliserProducts[Product name], FertiliserProducts[#Headers])</f>
        <v>Potassium - Generic</v>
      </c>
      <c r="M19" s="124" cm="1">
        <f t="array" ref="M19">Fertiliser_InputFunctions.Fertiliser_FertiliserProductLookup(Table_Input_InorganicFertiliser_Brands[[#This Row],[Product (select)]], Table_Input_InorganicFertiliser_Brands[[#Headers],[Ingredient 3 percent]], FertiliserProducts[#Data], FertiliserProducts[Product name], FertiliserProducts[#Headers])</f>
        <v>0.125</v>
      </c>
      <c r="N19" s="124" t="str" cm="1">
        <f t="array" ref="N19">Fertiliser_InputFunctions.Fertiliser_FertiliserProductLookup(Table_Input_InorganicFertiliser_Brands[[#This Row],[Product (select)]], Table_Input_InorganicFertiliser_Brands[[#Headers],[Ingredient 4]], FertiliserProducts[#Data], FertiliserProducts[Product name], FertiliserProducts[#Headers])</f>
        <v>Phosphorus-Generic</v>
      </c>
      <c r="O19" s="124" cm="1">
        <f t="array" ref="O19">Fertiliser_InputFunctions.Fertiliser_FertiliserProductLookup(Table_Input_InorganicFertiliser_Brands[[#This Row],[Product (select)]], Table_Input_InorganicFertiliser_Brands[[#Headers],[Ingredient 4 percent]], FertiliserProducts[#Data], FertiliserProducts[Product name], FertiliserProducts[#Headers])</f>
        <v>6.5000000000000002E-2</v>
      </c>
      <c r="P19" s="124" t="str" cm="1">
        <f t="array" ref="P19">Fertiliser_InputFunctions.Fertiliser_FertiliserProductLookup(Table_Input_InorganicFertiliser_Brands[[#This Row],[Product (select)]], Table_Input_InorganicFertiliser_Brands[[#Headers],[Ingredient 5]], FertiliserProducts[#Data], FertiliserProducts[Product name], FertiliserProducts[#Headers])</f>
        <v>Sulfur - Generic</v>
      </c>
      <c r="Q19" s="124" cm="1">
        <f t="array" ref="Q19">Fertiliser_InputFunctions.Fertiliser_FertiliserProductLookup(Table_Input_InorganicFertiliser_Brands[[#This Row],[Product (select)]], Table_Input_InorganicFertiliser_Brands[[#Headers],[Ingredient 5 percent]], FertiliserProducts[#Data], FertiliserProducts[Product name], FertiliserProducts[#Headers])</f>
        <v>0.06</v>
      </c>
      <c r="R19" s="124" t="str" cm="1">
        <f t="array" ref="R19">Fertiliser_InputFunctions.Fertiliser_FertiliserProductLookup(Table_Input_InorganicFertiliser_Brands[[#This Row],[Product (select)]], Table_Input_InorganicFertiliser_Brands[[#Headers],[Ingredient 6]], FertiliserProducts[#Data], FertiliserProducts[Product name], FertiliserProducts[#Headers])</f>
        <v/>
      </c>
      <c r="S19" s="124" t="str" cm="1">
        <f t="array" ref="S19">Fertiliser_InputFunctions.Fertiliser_FertiliserProductLookup(Table_Input_InorganicFertiliser_Brands[[#This Row],[Product (select)]], Table_Input_InorganicFertiliser_Brands[[#Headers],[Ingredient 6 percent]], FertiliserProducts[#Data], FertiliserProducts[Product name], FertiliserProducts[#Headers])</f>
        <v/>
      </c>
      <c r="T19" s="124">
        <f>Table_Input_InorganicFertiliser_Brands[[#This Row],[Amount applied (kg / ha)]]*(IFERROR((_xlfn.XLOOKUP(Table_Input_InorganicFertiliser_Brands[[#This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30</v>
      </c>
    </row>
    <row r="20" spans="1:20" ht="36" customHeight="1" x14ac:dyDescent="0.25">
      <c r="A20" s="17" t="str">
        <f>HYPERLINK("#'Constants - Fertiliser'!A1", "Constants - Fertiliser")</f>
        <v>Constants - Fertiliser</v>
      </c>
      <c r="D20" s="122" t="s">
        <v>318</v>
      </c>
      <c r="E20" s="123">
        <v>200</v>
      </c>
      <c r="F20" s="123">
        <f>$E$9</f>
        <v>100</v>
      </c>
      <c r="G20" s="124">
        <f>Table_Input_InorganicFertiliser_Brands[[#This Row],[Amount applied (kg / ha)]]*Table_Input_InorganicFertiliser_Brands[[#This Row],[Application area (ha)]]</f>
        <v>20000</v>
      </c>
      <c r="H20" s="124" t="str" cm="1">
        <f t="array" ref="H20">Fertiliser_InputFunctions.Fertiliser_FertiliserProductLookup(Table_Input_InorganicFertiliser_Brands[[#This Row],[Product (select)]], Table_Input_InorganicFertiliser_Brands[[#Headers],[Ingredient 1]], FertiliserProducts[#Data], FertiliserProducts[Product name], FertiliserProducts[#Headers])</f>
        <v>Urea</v>
      </c>
      <c r="I20" s="124" cm="1">
        <f t="array" ref="I20">Fertiliser_InputFunctions.Fertiliser_FertiliserProductLookup(Table_Input_InorganicFertiliser_Brands[[#This Row],[Product (select)]], Table_Input_InorganicFertiliser_Brands[[#Headers],[Ingredient 1 percent]], FertiliserProducts[#Data], FertiliserProducts[Product name], FertiliserProducts[#Headers])</f>
        <v>0.19565217400000001</v>
      </c>
      <c r="J20" s="124" t="str" cm="1">
        <f t="array" ref="J20">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K20" s="124" cm="1">
        <f t="array" ref="K20">Fertiliser_InputFunctions.Fertiliser_FertiliserProductLookup(Table_Input_InorganicFertiliser_Brands[[#This Row],[Product (select)]], Table_Input_InorganicFertiliser_Brands[[#Headers],[Ingredient 2 percent]], FertiliserProducts[#Data], FertiliserProducts[Product name], FertiliserProducts[#Headers])</f>
        <v>0.1</v>
      </c>
      <c r="L20" s="124" t="str" cm="1">
        <f t="array" ref="L20">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M20" s="124" cm="1">
        <f t="array" ref="M20">Fertiliser_InputFunctions.Fertiliser_FertiliserProductLookup(Table_Input_InorganicFertiliser_Brands[[#This Row],[Product (select)]], Table_Input_InorganicFertiliser_Brands[[#Headers],[Ingredient 3 percent]], FertiliserProducts[#Data], FertiliserProducts[Product name], FertiliserProducts[#Headers])</f>
        <v>0.03</v>
      </c>
      <c r="N20" s="124" t="str" cm="1">
        <f t="array" ref="N20">Fertiliser_InputFunctions.Fertiliser_FertiliserProductLookup(Table_Input_InorganicFertiliser_Brands[[#This Row],[Product (select)]], Table_Input_InorganicFertiliser_Brands[[#Headers],[Ingredient 4]], FertiliserProducts[#Data], FertiliserProducts[Product name], FertiliserProducts[#Headers])</f>
        <v>Boron</v>
      </c>
      <c r="O20" s="124" cm="1">
        <f t="array" ref="O20">Fertiliser_InputFunctions.Fertiliser_FertiliserProductLookup(Table_Input_InorganicFertiliser_Brands[[#This Row],[Product (select)]], Table_Input_InorganicFertiliser_Brands[[#Headers],[Ingredient 4 percent]], FertiliserProducts[#Data], FertiliserProducts[Product name], FertiliserProducts[#Headers])</f>
        <v>5.0000000000000001E-3</v>
      </c>
      <c r="P20" s="124" t="str" cm="1">
        <f t="array" ref="P20">Fertiliser_InputFunctions.Fertiliser_FertiliserProductLookup(Table_Input_InorganicFertiliser_Brands[[#This Row],[Product (select)]], Table_Input_InorganicFertiliser_Brands[[#Headers],[Ingredient 5]], FertiliserProducts[#Data], FertiliserProducts[Product name], FertiliserProducts[#Headers])</f>
        <v/>
      </c>
      <c r="Q20" s="124" t="str" cm="1">
        <f t="array" ref="Q20">Fertiliser_InputFunctions.Fertiliser_FertiliserProductLookup(Table_Input_InorganicFertiliser_Brands[[#This Row],[Product (select)]], Table_Input_InorganicFertiliser_Brands[[#Headers],[Ingredient 5 percent]], FertiliserProducts[#Data], FertiliserProducts[Product name], FertiliserProducts[#Headers])</f>
        <v/>
      </c>
      <c r="R20" s="124" t="str" cm="1">
        <f t="array" ref="R20">Fertiliser_InputFunctions.Fertiliser_FertiliserProductLookup(Table_Input_InorganicFertiliser_Brands[[#This Row],[Product (select)]], Table_Input_InorganicFertiliser_Brands[[#Headers],[Ingredient 6]], FertiliserProducts[#Data], FertiliserProducts[Product name], FertiliserProducts[#Headers])</f>
        <v/>
      </c>
      <c r="S20" s="124" t="str" cm="1">
        <f t="array" ref="S20">Fertiliser_InputFunctions.Fertiliser_FertiliserProductLookup(Table_Input_InorganicFertiliser_Brands[[#This Row],[Product (select)]], Table_Input_InorganicFertiliser_Brands[[#Headers],[Ingredient 6 percent]], FertiliserProducts[#Data], FertiliserProducts[Product name], FertiliserProducts[#Headers])</f>
        <v/>
      </c>
      <c r="T20" s="124">
        <f>Table_Input_InorganicFertiliser_Brands[[#This Row],[Amount applied (kg / ha)]]*(IFERROR((_xlfn.XLOOKUP(Table_Input_InorganicFertiliser_Brands[[#This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24.000000008000004</v>
      </c>
    </row>
    <row r="21" spans="1:20" ht="36" customHeight="1" x14ac:dyDescent="0.25">
      <c r="A21" s="17" t="str">
        <f>HYPERLINK("#'Constants - Common'!A1", "Constants - Common")</f>
        <v>Constants - Common</v>
      </c>
      <c r="D21" s="125"/>
      <c r="E21" s="126"/>
      <c r="F21" s="127"/>
      <c r="G21" s="127"/>
      <c r="H21" s="127"/>
      <c r="I21" s="127"/>
      <c r="J21" s="128"/>
      <c r="K21" s="128"/>
      <c r="L21" s="129"/>
      <c r="M21" s="129"/>
      <c r="N21" s="130"/>
      <c r="O21" s="130"/>
      <c r="P21" s="130"/>
      <c r="Q21" s="130"/>
      <c r="R21" s="130"/>
      <c r="S21" s="130"/>
      <c r="T21" s="130"/>
    </row>
    <row r="22" spans="1:20" ht="36" customHeight="1" x14ac:dyDescent="0.25">
      <c r="D22" s="131" t="s">
        <v>153</v>
      </c>
      <c r="E22" s="132"/>
      <c r="F22" s="132"/>
      <c r="G22" s="132"/>
      <c r="H22" s="132"/>
      <c r="I22" s="132"/>
      <c r="J22" s="132"/>
      <c r="K22" s="132"/>
      <c r="L22" s="132"/>
      <c r="M22" s="132"/>
      <c r="N22" s="130"/>
      <c r="O22" s="130"/>
      <c r="P22" s="130"/>
      <c r="Q22" s="130"/>
      <c r="R22" s="130"/>
      <c r="S22" s="130"/>
      <c r="T22" s="130"/>
    </row>
    <row r="23" spans="1:20" ht="36" customHeight="1" x14ac:dyDescent="0.25">
      <c r="A23" s="17"/>
      <c r="D23" s="117" t="s">
        <v>154</v>
      </c>
      <c r="E23" s="117" t="s">
        <v>160</v>
      </c>
      <c r="F23" s="117" t="s">
        <v>151</v>
      </c>
      <c r="G23" s="117" t="s">
        <v>152</v>
      </c>
      <c r="H23" s="117" t="s">
        <v>155</v>
      </c>
      <c r="I23" s="117" t="s">
        <v>116</v>
      </c>
      <c r="J23" s="117" t="s">
        <v>117</v>
      </c>
      <c r="K23" s="117" t="s">
        <v>118</v>
      </c>
      <c r="L23" s="117" t="s">
        <v>119</v>
      </c>
      <c r="M23" s="117" t="s">
        <v>120</v>
      </c>
      <c r="N23" s="117" t="s">
        <v>121</v>
      </c>
      <c r="O23" s="117" t="s">
        <v>122</v>
      </c>
      <c r="P23" s="117" t="s">
        <v>166</v>
      </c>
      <c r="Q23" s="130"/>
      <c r="R23" s="130"/>
      <c r="S23" s="130"/>
      <c r="T23" s="130"/>
    </row>
    <row r="24" spans="1:20" ht="36" customHeight="1" x14ac:dyDescent="0.25">
      <c r="D24" s="33" t="s">
        <v>156</v>
      </c>
      <c r="E24" s="117">
        <v>200</v>
      </c>
      <c r="F24" s="123">
        <f>$E$9</f>
        <v>100</v>
      </c>
      <c r="G24" s="124">
        <f>Table_Input_InorganicFertiliser_Custom[[#This Row],[Amount applied (kg / ha)]]*Table_Input_InorganicFertiliser_Custom[[#This Row],[Application area (ha)]]</f>
        <v>20000</v>
      </c>
      <c r="H24" s="134" t="s">
        <v>238</v>
      </c>
      <c r="I24" s="137">
        <v>0.45</v>
      </c>
      <c r="J24" s="134" t="s">
        <v>157</v>
      </c>
      <c r="K24" s="137">
        <v>0.3</v>
      </c>
      <c r="L24" s="134" t="s">
        <v>158</v>
      </c>
      <c r="M24" s="137">
        <v>0</v>
      </c>
      <c r="N24" s="135" t="s">
        <v>159</v>
      </c>
      <c r="O24" s="168">
        <v>0</v>
      </c>
      <c r="P24"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41.400000000000006</v>
      </c>
    </row>
    <row r="25" spans="1:20" ht="36" customHeight="1" x14ac:dyDescent="0.25">
      <c r="D25" s="33" t="s">
        <v>308</v>
      </c>
      <c r="E25" s="117">
        <v>200</v>
      </c>
      <c r="F25" s="169">
        <f>$E$9</f>
        <v>100</v>
      </c>
      <c r="G25" s="124">
        <f>Table_Input_InorganicFertiliser_Custom[[#This Row],[Amount applied (kg / ha)]]*Table_Input_InorganicFertiliser_Custom[[#This Row],[Application area (ha)]]</f>
        <v>20000</v>
      </c>
      <c r="H25" s="134" t="s">
        <v>306</v>
      </c>
      <c r="I25" s="170">
        <v>0.1</v>
      </c>
      <c r="J25" s="134"/>
      <c r="K25" s="170"/>
      <c r="L25" s="134"/>
      <c r="M25" s="170"/>
      <c r="N25" s="135"/>
      <c r="O25" s="168"/>
      <c r="P25"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20</v>
      </c>
    </row>
    <row r="26" spans="1:20" ht="36" customHeight="1" x14ac:dyDescent="0.25"/>
    <row r="27" spans="1:20" ht="20.100000000000001" customHeight="1" x14ac:dyDescent="0.25">
      <c r="D27" s="6" t="s">
        <v>188</v>
      </c>
      <c r="E27" s="3"/>
      <c r="F27" s="3"/>
      <c r="G27" s="3"/>
      <c r="H27" s="3"/>
      <c r="I27" s="3"/>
      <c r="J27" s="3"/>
      <c r="K27" s="22"/>
      <c r="L27" s="22"/>
      <c r="M27" s="22"/>
    </row>
    <row r="28" spans="1:20" ht="20.100000000000001" customHeight="1" x14ac:dyDescent="0.25">
      <c r="D28" s="22"/>
      <c r="E28" s="22"/>
      <c r="F28" s="22"/>
      <c r="G28" s="22"/>
      <c r="H28" s="22"/>
      <c r="I28" s="22"/>
      <c r="J28" s="22"/>
      <c r="K28" s="22"/>
      <c r="L28" s="22"/>
      <c r="M28" s="3"/>
    </row>
    <row r="29" spans="1:20" ht="20.100000000000001" customHeight="1" x14ac:dyDescent="0.25">
      <c r="A29" s="17"/>
      <c r="D29" s="106" t="s">
        <v>189</v>
      </c>
      <c r="E29" s="85"/>
      <c r="F29" s="81"/>
      <c r="G29" s="106"/>
      <c r="H29" s="81"/>
      <c r="I29" s="3"/>
      <c r="J29" s="3"/>
      <c r="K29" s="22"/>
      <c r="L29" s="22"/>
      <c r="M29" s="22"/>
    </row>
    <row r="30" spans="1:20" ht="20.100000000000001" customHeight="1" x14ac:dyDescent="0.25">
      <c r="A30" s="17"/>
      <c r="D30" s="161" t="s">
        <v>190</v>
      </c>
      <c r="E30" s="162"/>
      <c r="F30" s="163"/>
      <c r="G30" s="161"/>
      <c r="H30" s="163"/>
      <c r="I30" s="22"/>
      <c r="J30" s="22"/>
      <c r="K30" s="22"/>
      <c r="L30" s="22"/>
      <c r="M30" s="3"/>
    </row>
    <row r="31" spans="1:20" ht="20.100000000000001" customHeight="1" x14ac:dyDescent="0.25">
      <c r="A31" s="61"/>
      <c r="D31" s="87" t="s">
        <v>148</v>
      </c>
      <c r="E31" s="84"/>
      <c r="F31" s="84"/>
      <c r="G31" s="84"/>
      <c r="H31" s="82"/>
      <c r="I31" s="22"/>
      <c r="J31" s="22"/>
      <c r="K31" s="22"/>
      <c r="L31" s="22"/>
      <c r="M31" s="3"/>
    </row>
    <row r="32" spans="1:20" ht="20.100000000000001" customHeight="1" x14ac:dyDescent="0.25">
      <c r="A32" s="61"/>
      <c r="D32" s="99" t="str">
        <f>IF(MAX(Table_Input_Lime[Total]) &gt; 1, "There can not be more than 100% ingredients in a product. Check the table below.", "")</f>
        <v/>
      </c>
    </row>
    <row r="33" spans="1:21" ht="36" customHeight="1" x14ac:dyDescent="0.25">
      <c r="A33" s="17"/>
      <c r="D33" s="140" t="s">
        <v>114</v>
      </c>
      <c r="E33" s="140" t="s">
        <v>191</v>
      </c>
      <c r="F33" s="140" t="s">
        <v>151</v>
      </c>
      <c r="G33" s="140" t="s">
        <v>192</v>
      </c>
      <c r="H33" s="140" t="s">
        <v>193</v>
      </c>
      <c r="I33" s="140" t="s">
        <v>194</v>
      </c>
      <c r="J33" s="140" t="s">
        <v>195</v>
      </c>
      <c r="K33" s="140" t="s">
        <v>196</v>
      </c>
      <c r="L33" s="140" t="s">
        <v>88</v>
      </c>
    </row>
    <row r="34" spans="1:21" ht="36" customHeight="1" x14ac:dyDescent="0.25">
      <c r="D34" s="141" t="s">
        <v>269</v>
      </c>
      <c r="E34" s="123">
        <v>100</v>
      </c>
      <c r="F34" s="123">
        <f>$E$9</f>
        <v>100</v>
      </c>
      <c r="G34" s="124">
        <f>IFERROR(Table_Input_Lime[[#This Row],[Amount applied (t/hectare)]]*Table_Input_Lime[[#This Row],[Application area (ha)]], 0)</f>
        <v>10000</v>
      </c>
      <c r="H34" s="142">
        <v>0.4</v>
      </c>
      <c r="I34" s="142">
        <v>0.3</v>
      </c>
      <c r="J34" s="142">
        <v>0.25</v>
      </c>
      <c r="K34" s="142">
        <v>0.05</v>
      </c>
      <c r="L34" s="164">
        <f>SUM(Table_Input_Lime[[#This Row],[Percent Lime CaCO3]:[Percent Potash]])</f>
        <v>1</v>
      </c>
    </row>
    <row r="35" spans="1:21" ht="36" customHeight="1" x14ac:dyDescent="0.25">
      <c r="D35" s="141" t="s">
        <v>270</v>
      </c>
      <c r="E35" s="123">
        <v>100</v>
      </c>
      <c r="F35" s="123">
        <f>$E$9</f>
        <v>100</v>
      </c>
      <c r="G35" s="124">
        <f>IFERROR(Table_Input_Lime[[#This Row],[Amount applied (t/hectare)]]*Table_Input_Lime[[#This Row],[Application area (ha)]], 0)</f>
        <v>10000</v>
      </c>
      <c r="H35" s="142"/>
      <c r="I35" s="142">
        <v>1</v>
      </c>
      <c r="J35" s="142"/>
      <c r="K35" s="142"/>
      <c r="L35" s="164">
        <f>SUM(Table_Input_Lime[[#This Row],[Percent Lime CaCO3]:[Percent Potash]])</f>
        <v>1</v>
      </c>
    </row>
    <row r="36" spans="1:21" ht="36" customHeight="1" x14ac:dyDescent="0.25">
      <c r="D36" s="22"/>
      <c r="E36" s="22"/>
      <c r="F36" s="22"/>
      <c r="G36" s="22"/>
      <c r="H36" s="22"/>
      <c r="I36" s="22"/>
      <c r="J36" s="22"/>
      <c r="L36" s="3"/>
      <c r="M36" s="3"/>
    </row>
    <row r="37" spans="1:21" ht="20.100000000000001" customHeight="1" x14ac:dyDescent="0.25">
      <c r="D37" s="22"/>
      <c r="E37" s="22"/>
      <c r="F37" s="22"/>
      <c r="G37" s="22"/>
      <c r="H37" s="22"/>
      <c r="I37" s="22"/>
      <c r="J37" s="139"/>
      <c r="K37" s="3"/>
      <c r="L37" s="3"/>
      <c r="M37" s="3"/>
    </row>
    <row r="38" spans="1:21" ht="20.100000000000001" customHeight="1" x14ac:dyDescent="0.25">
      <c r="C38" s="130"/>
      <c r="D38" s="6" t="s">
        <v>197</v>
      </c>
      <c r="E38" s="3"/>
      <c r="F38" s="3"/>
      <c r="G38" s="3"/>
      <c r="H38" s="22"/>
      <c r="I38" s="22"/>
      <c r="J38" s="22"/>
      <c r="K38" s="22"/>
      <c r="L38" s="22"/>
      <c r="M38" s="22"/>
    </row>
    <row r="39" spans="1:21" ht="20.100000000000001" customHeight="1" x14ac:dyDescent="0.25">
      <c r="A39" s="17"/>
      <c r="C39" s="130"/>
      <c r="D39" s="22"/>
      <c r="E39" s="22"/>
      <c r="F39" s="22"/>
      <c r="G39" s="22"/>
      <c r="H39" s="22"/>
      <c r="I39" s="22"/>
      <c r="J39" s="22"/>
      <c r="K39" s="22"/>
      <c r="L39" s="22"/>
      <c r="M39" s="22"/>
    </row>
    <row r="40" spans="1:21" s="133" customFormat="1" ht="20.100000000000001" customHeight="1" x14ac:dyDescent="0.25">
      <c r="C40" s="1"/>
      <c r="D40" s="106" t="s">
        <v>189</v>
      </c>
      <c r="E40" s="85"/>
      <c r="F40" s="85"/>
      <c r="G40" s="85"/>
      <c r="H40" s="81"/>
      <c r="I40" s="22"/>
      <c r="J40" s="22"/>
      <c r="K40" s="22"/>
      <c r="L40" s="22"/>
      <c r="M40" s="22"/>
      <c r="N40" s="1"/>
      <c r="O40" s="1"/>
      <c r="P40" s="1"/>
      <c r="Q40" s="130"/>
      <c r="R40" s="130"/>
      <c r="S40" s="130"/>
      <c r="T40" s="1"/>
      <c r="U40" s="1"/>
    </row>
    <row r="41" spans="1:21" s="133" customFormat="1" ht="20.100000000000001" customHeight="1" x14ac:dyDescent="0.25">
      <c r="A41" s="143"/>
      <c r="C41" s="1"/>
      <c r="D41" s="87" t="s">
        <v>148</v>
      </c>
      <c r="E41" s="84"/>
      <c r="F41" s="84"/>
      <c r="G41" s="84"/>
      <c r="H41" s="82"/>
      <c r="I41" s="22"/>
      <c r="J41" s="22"/>
      <c r="K41" s="22"/>
      <c r="L41" s="22"/>
      <c r="M41" s="22"/>
      <c r="N41" s="1"/>
      <c r="O41" s="130"/>
      <c r="P41" s="130"/>
      <c r="Q41" s="130"/>
      <c r="R41" s="130"/>
      <c r="S41" s="130"/>
      <c r="T41" s="1"/>
      <c r="U41" s="1"/>
    </row>
    <row r="42" spans="1:21" ht="20.100000000000001" customHeight="1" x14ac:dyDescent="0.25">
      <c r="D42" s="22"/>
      <c r="E42" s="22"/>
      <c r="F42" s="22"/>
      <c r="G42" s="22"/>
      <c r="H42" s="22"/>
      <c r="I42" s="22"/>
      <c r="J42" s="22"/>
      <c r="K42" s="22"/>
      <c r="L42" s="22"/>
      <c r="M42" s="130"/>
      <c r="N42" s="130"/>
      <c r="O42" s="130"/>
      <c r="P42" s="130"/>
    </row>
    <row r="43" spans="1:21" ht="36" customHeight="1" x14ac:dyDescent="0.25">
      <c r="D43" s="140" t="s">
        <v>198</v>
      </c>
      <c r="E43" s="140" t="s">
        <v>199</v>
      </c>
      <c r="F43" s="140" t="s">
        <v>200</v>
      </c>
      <c r="G43" s="140" t="s">
        <v>201</v>
      </c>
      <c r="H43" s="140" t="s">
        <v>151</v>
      </c>
      <c r="I43" s="140" t="s">
        <v>202</v>
      </c>
      <c r="J43" s="140" t="s">
        <v>203</v>
      </c>
      <c r="K43" s="132"/>
      <c r="L43" s="132"/>
      <c r="M43" s="130"/>
      <c r="N43" s="130"/>
    </row>
    <row r="44" spans="1:21" ht="36" customHeight="1" x14ac:dyDescent="0.25">
      <c r="A44" s="157" t="str">
        <f>HYPERLINK("#A1", "▲ Back to top")</f>
        <v>▲ Back to top</v>
      </c>
      <c r="D44" s="122" t="s">
        <v>246</v>
      </c>
      <c r="E44" s="142">
        <v>0.3</v>
      </c>
      <c r="F44" s="123">
        <v>10</v>
      </c>
      <c r="G44" s="124">
        <f>Table_Input_OrganicFertiliser[[#This Row],[Amount applied (kg/hectare)]]*Table_Input_OrganicFertiliser[[#This Row],[Percentage of N in fertiliser]]</f>
        <v>3</v>
      </c>
      <c r="H44" s="123">
        <f>$E$9</f>
        <v>100</v>
      </c>
      <c r="I44" s="124">
        <f>Table_Input_OrganicFertiliser[[#This Row],[Amount applied (kg/hectare)]]*Table_Input_OrganicFertiliser[[#This Row],[Application area (ha)]]</f>
        <v>1000</v>
      </c>
      <c r="J44" s="124">
        <f>IFERROR(Table_Input_OrganicFertiliser[[#This Row],[Amount N applied (kg/hectare)]]*Table_Input_OrganicFertiliser[[#This Row],[Application area (ha)]], 0)</f>
        <v>300</v>
      </c>
      <c r="K44" s="132"/>
      <c r="L44" s="132"/>
    </row>
    <row r="45" spans="1:21" ht="36" customHeight="1" x14ac:dyDescent="0.25">
      <c r="D45" s="122" t="s">
        <v>244</v>
      </c>
      <c r="E45" s="142">
        <v>0.25</v>
      </c>
      <c r="F45" s="123">
        <v>10</v>
      </c>
      <c r="G45" s="124">
        <f>Table_Input_OrganicFertiliser[[#This Row],[Amount applied (kg/hectare)]]*Table_Input_OrganicFertiliser[[#This Row],[Percentage of N in fertiliser]]</f>
        <v>2.5</v>
      </c>
      <c r="H45" s="123">
        <f>$E$9</f>
        <v>100</v>
      </c>
      <c r="I45" s="124">
        <f>Table_Input_OrganicFertiliser[[#This Row],[Amount applied (kg/hectare)]]*Table_Input_OrganicFertiliser[[#This Row],[Application area (ha)]]</f>
        <v>1000</v>
      </c>
      <c r="J45" s="124">
        <f>IFERROR(Table_Input_OrganicFertiliser[[#This Row],[Amount N applied (kg/hectare)]]*Table_Input_OrganicFertiliser[[#This Row],[Application area (ha)]], 0)</f>
        <v>250</v>
      </c>
    </row>
    <row r="46" spans="1:21" ht="36" customHeight="1" x14ac:dyDescent="0.25"/>
    <row r="47" spans="1:21" ht="20.100000000000001" customHeight="1" x14ac:dyDescent="0.25"/>
    <row r="48" spans="1:2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3:13" ht="20.100000000000001" customHeight="1" x14ac:dyDescent="0.25"/>
    <row r="98" spans="13:13" ht="20.100000000000001" customHeight="1" x14ac:dyDescent="0.25"/>
    <row r="99" spans="13:13" ht="20.100000000000001" customHeight="1" x14ac:dyDescent="0.25"/>
    <row r="100" spans="13:13" ht="20.100000000000001" customHeight="1" x14ac:dyDescent="0.25"/>
    <row r="101" spans="13:13" ht="20.100000000000001" customHeight="1" x14ac:dyDescent="0.25"/>
    <row r="102" spans="13:13" ht="20.100000000000001" customHeight="1" x14ac:dyDescent="0.25"/>
    <row r="103" spans="13:13" ht="20.100000000000001" customHeight="1" x14ac:dyDescent="0.25"/>
    <row r="104" spans="13:13" ht="20.100000000000001" customHeight="1" x14ac:dyDescent="0.25"/>
    <row r="105" spans="13:13" ht="20.100000000000001" customHeight="1" x14ac:dyDescent="0.25"/>
    <row r="106" spans="13:13" ht="20.100000000000001" customHeight="1" x14ac:dyDescent="0.25"/>
    <row r="107" spans="13:13" ht="20.100000000000001" customHeight="1" x14ac:dyDescent="0.25"/>
    <row r="108" spans="13:13" ht="20.100000000000001" customHeight="1" x14ac:dyDescent="0.25"/>
    <row r="109" spans="13:13" ht="20.100000000000001" customHeight="1" x14ac:dyDescent="0.25"/>
    <row r="110" spans="13:13" ht="20.100000000000001" customHeight="1" x14ac:dyDescent="0.25"/>
    <row r="111" spans="13:13" ht="20.100000000000001" customHeight="1" x14ac:dyDescent="0.25">
      <c r="M111" s="3"/>
    </row>
    <row r="112" spans="13:13" ht="20.100000000000001" customHeight="1" x14ac:dyDescent="0.25">
      <c r="M112" s="3"/>
    </row>
    <row r="113" spans="13:13" ht="20.100000000000001" customHeight="1" x14ac:dyDescent="0.25">
      <c r="M113" s="3"/>
    </row>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c r="M130" s="3"/>
    </row>
    <row r="131" spans="13:13" ht="20.100000000000001" customHeight="1" x14ac:dyDescent="0.25">
      <c r="M131" s="3"/>
    </row>
    <row r="132" spans="13:13" ht="20.100000000000001" customHeight="1" x14ac:dyDescent="0.25">
      <c r="M132" s="3"/>
    </row>
    <row r="133" spans="13:13" ht="20.100000000000001" customHeight="1" x14ac:dyDescent="0.25"/>
    <row r="134" spans="13:13" ht="20.100000000000001" customHeight="1" x14ac:dyDescent="0.25"/>
    <row r="135" spans="13:13" ht="20.100000000000001" customHeight="1" x14ac:dyDescent="0.25"/>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0" spans="12:12" x14ac:dyDescent="0.25">
      <c r="L210" s="2"/>
    </row>
    <row r="211" spans="12:12" x14ac:dyDescent="0.25">
      <c r="L211" s="2"/>
    </row>
    <row r="212" spans="12:12" x14ac:dyDescent="0.25">
      <c r="L212" s="2"/>
    </row>
    <row r="213" spans="12:12" x14ac:dyDescent="0.25">
      <c r="L213" s="2"/>
    </row>
    <row r="214" spans="12:12" x14ac:dyDescent="0.25">
      <c r="L214" s="2"/>
    </row>
    <row r="216" spans="12:12" x14ac:dyDescent="0.25">
      <c r="L216" s="2"/>
    </row>
    <row r="218" spans="12:12" x14ac:dyDescent="0.25">
      <c r="L218" s="2"/>
    </row>
    <row r="219" spans="12:12" x14ac:dyDescent="0.25">
      <c r="L219" s="2"/>
    </row>
    <row r="220" spans="12:12" x14ac:dyDescent="0.25">
      <c r="L220" s="2"/>
    </row>
    <row r="221" spans="12:12" x14ac:dyDescent="0.25">
      <c r="L221" s="2"/>
    </row>
    <row r="223" spans="12:12" x14ac:dyDescent="0.25">
      <c r="L223" s="2"/>
    </row>
    <row r="231" spans="12:12" x14ac:dyDescent="0.25">
      <c r="L231" s="2"/>
    </row>
    <row r="232" spans="12:12" x14ac:dyDescent="0.25">
      <c r="L232" s="2"/>
    </row>
    <row r="233" spans="12:12" x14ac:dyDescent="0.25">
      <c r="L233" s="2"/>
    </row>
    <row r="236" spans="12:12" x14ac:dyDescent="0.25">
      <c r="L236" s="2"/>
    </row>
    <row r="237" spans="12:12" x14ac:dyDescent="0.25">
      <c r="L237" s="2"/>
    </row>
    <row r="238" spans="12:12" x14ac:dyDescent="0.25">
      <c r="L238" s="2"/>
    </row>
    <row r="241" spans="11:12" x14ac:dyDescent="0.25">
      <c r="L241" s="2"/>
    </row>
    <row r="242" spans="11:12" x14ac:dyDescent="0.25">
      <c r="L242" s="2"/>
    </row>
    <row r="243" spans="11:12" x14ac:dyDescent="0.25">
      <c r="L243" s="2"/>
    </row>
    <row r="246" spans="11:12" x14ac:dyDescent="0.25">
      <c r="L246" s="2"/>
    </row>
    <row r="247" spans="11:12" x14ac:dyDescent="0.25">
      <c r="K247" s="2"/>
      <c r="L247" s="2"/>
    </row>
    <row r="248" spans="11:12" x14ac:dyDescent="0.25">
      <c r="L248" s="2"/>
    </row>
    <row r="252" spans="11:12" x14ac:dyDescent="0.25">
      <c r="K252" s="2"/>
    </row>
    <row r="255" spans="11:12" x14ac:dyDescent="0.25">
      <c r="L255" s="2"/>
    </row>
    <row r="256" spans="11:12" x14ac:dyDescent="0.25">
      <c r="L256" s="2"/>
    </row>
    <row r="257" spans="11:12" x14ac:dyDescent="0.25">
      <c r="K257" s="2"/>
      <c r="L257" s="2"/>
    </row>
    <row r="260" spans="11:12" x14ac:dyDescent="0.25">
      <c r="L260" s="2"/>
    </row>
    <row r="261" spans="11:12" x14ac:dyDescent="0.25">
      <c r="L261" s="2"/>
    </row>
    <row r="262" spans="11:12" x14ac:dyDescent="0.25">
      <c r="K262" s="2"/>
      <c r="L262" s="2"/>
    </row>
    <row r="263" spans="11:12" x14ac:dyDescent="0.25">
      <c r="K263" s="2"/>
    </row>
    <row r="264" spans="11:12" x14ac:dyDescent="0.25">
      <c r="K264" s="2"/>
    </row>
    <row r="265" spans="11:12" x14ac:dyDescent="0.25">
      <c r="K265" s="2"/>
      <c r="L265" s="2"/>
    </row>
    <row r="266" spans="11:12" x14ac:dyDescent="0.25">
      <c r="K266" s="2"/>
      <c r="L266" s="2"/>
    </row>
    <row r="267" spans="11:12" x14ac:dyDescent="0.25">
      <c r="L267" s="2"/>
    </row>
    <row r="268" spans="11:12" x14ac:dyDescent="0.25">
      <c r="K268" s="2"/>
    </row>
    <row r="270" spans="11:12" x14ac:dyDescent="0.25">
      <c r="K270" s="2"/>
      <c r="L270" s="2"/>
    </row>
    <row r="271" spans="11:12" x14ac:dyDescent="0.25">
      <c r="K271" s="2"/>
      <c r="L271" s="2"/>
    </row>
    <row r="272" spans="11:12" x14ac:dyDescent="0.25">
      <c r="K272" s="2"/>
      <c r="L272" s="2"/>
    </row>
    <row r="273" spans="11:11" x14ac:dyDescent="0.25">
      <c r="K273" s="2"/>
    </row>
    <row r="275" spans="11:11" x14ac:dyDescent="0.25">
      <c r="K275" s="2"/>
    </row>
    <row r="281" spans="11:11" x14ac:dyDescent="0.25">
      <c r="K281" s="2"/>
    </row>
    <row r="286" spans="11:11" x14ac:dyDescent="0.25">
      <c r="K286" s="2"/>
    </row>
    <row r="291" spans="11:11" x14ac:dyDescent="0.25">
      <c r="K291" s="2"/>
    </row>
    <row r="296" spans="11:11" x14ac:dyDescent="0.25">
      <c r="K296" s="2"/>
    </row>
    <row r="297" spans="11:11" x14ac:dyDescent="0.25">
      <c r="K297" s="2"/>
    </row>
    <row r="298" spans="11:11" x14ac:dyDescent="0.25">
      <c r="K298" s="2"/>
    </row>
    <row r="299" spans="11:11" x14ac:dyDescent="0.25">
      <c r="K299" s="2"/>
    </row>
    <row r="300" spans="11:11" x14ac:dyDescent="0.25">
      <c r="K300" s="2"/>
    </row>
    <row r="302" spans="11:11" x14ac:dyDescent="0.25">
      <c r="K302" s="2"/>
    </row>
    <row r="304" spans="11:11" x14ac:dyDescent="0.25">
      <c r="K304" s="2"/>
    </row>
    <row r="305" spans="11:11" x14ac:dyDescent="0.25">
      <c r="K305" s="2"/>
    </row>
    <row r="306" spans="11:11" x14ac:dyDescent="0.25">
      <c r="K306" s="2"/>
    </row>
    <row r="307" spans="11:11" x14ac:dyDescent="0.25">
      <c r="K307" s="2"/>
    </row>
    <row r="309" spans="11:11" x14ac:dyDescent="0.25">
      <c r="K309" s="2"/>
    </row>
    <row r="317" spans="11:11" x14ac:dyDescent="0.25">
      <c r="K317" s="2"/>
    </row>
    <row r="318" spans="11:11" x14ac:dyDescent="0.25">
      <c r="K318" s="2"/>
    </row>
    <row r="319" spans="11:11" x14ac:dyDescent="0.25">
      <c r="K319" s="2"/>
    </row>
    <row r="322" spans="11:11" x14ac:dyDescent="0.25">
      <c r="K322" s="2"/>
    </row>
    <row r="323" spans="11:11" x14ac:dyDescent="0.25">
      <c r="K323" s="2"/>
    </row>
    <row r="324" spans="11:11" x14ac:dyDescent="0.25">
      <c r="K324" s="2"/>
    </row>
    <row r="327" spans="11:11" x14ac:dyDescent="0.25">
      <c r="K327" s="2"/>
    </row>
    <row r="328" spans="11:11" x14ac:dyDescent="0.25">
      <c r="K328" s="2"/>
    </row>
    <row r="329" spans="11:11" x14ac:dyDescent="0.25">
      <c r="K329" s="2"/>
    </row>
    <row r="332" spans="11:11" x14ac:dyDescent="0.25">
      <c r="K332" s="2"/>
    </row>
    <row r="333" spans="11:11" x14ac:dyDescent="0.25">
      <c r="K333" s="2"/>
    </row>
    <row r="334" spans="11:11" x14ac:dyDescent="0.25">
      <c r="K334" s="2"/>
    </row>
    <row r="341" spans="11:11" x14ac:dyDescent="0.25">
      <c r="K341" s="2"/>
    </row>
    <row r="342" spans="11:11" x14ac:dyDescent="0.25">
      <c r="K342" s="2"/>
    </row>
    <row r="343" spans="11:11" x14ac:dyDescent="0.25">
      <c r="K343" s="2"/>
    </row>
    <row r="346" spans="11:11" x14ac:dyDescent="0.25">
      <c r="K346" s="2"/>
    </row>
    <row r="347" spans="11:11" x14ac:dyDescent="0.25">
      <c r="K347" s="2"/>
    </row>
    <row r="348" spans="11:11" x14ac:dyDescent="0.25">
      <c r="K348" s="2"/>
    </row>
    <row r="351" spans="11:11" x14ac:dyDescent="0.25">
      <c r="K351" s="2"/>
    </row>
    <row r="352" spans="11:11" x14ac:dyDescent="0.25">
      <c r="K352" s="2"/>
    </row>
    <row r="353" spans="4:11" x14ac:dyDescent="0.25">
      <c r="K353" s="2"/>
    </row>
    <row r="356" spans="4:11" x14ac:dyDescent="0.25">
      <c r="K356" s="2"/>
    </row>
    <row r="357" spans="4:11" x14ac:dyDescent="0.25">
      <c r="K357" s="2"/>
    </row>
    <row r="358" spans="4:11" x14ac:dyDescent="0.25">
      <c r="K358" s="2"/>
    </row>
    <row r="361" spans="4:11" x14ac:dyDescent="0.25">
      <c r="D361" s="99"/>
    </row>
  </sheetData>
  <conditionalFormatting sqref="F47">
    <cfRule type="cellIs" dxfId="44" priority="62" operator="lessThan">
      <formula>0</formula>
    </cfRule>
  </conditionalFormatting>
  <conditionalFormatting sqref="F126:F127">
    <cfRule type="cellIs" dxfId="43" priority="21" operator="lessThan">
      <formula>0</formula>
    </cfRule>
  </conditionalFormatting>
  <conditionalFormatting sqref="F138:F139">
    <cfRule type="cellIs" dxfId="42" priority="20" operator="lessThan">
      <formula>0</formula>
    </cfRule>
  </conditionalFormatting>
  <conditionalFormatting sqref="F150:F151">
    <cfRule type="cellIs" dxfId="41" priority="19" operator="lessThan">
      <formula>0</formula>
    </cfRule>
  </conditionalFormatting>
  <conditionalFormatting sqref="F162:F163">
    <cfRule type="cellIs" dxfId="40" priority="18" operator="lessThan">
      <formula>0</formula>
    </cfRule>
  </conditionalFormatting>
  <conditionalFormatting sqref="F250:F251">
    <cfRule type="cellIs" dxfId="39" priority="93" operator="lessThan">
      <formula>0</formula>
    </cfRule>
  </conditionalFormatting>
  <conditionalFormatting sqref="F255:F256">
    <cfRule type="cellIs" dxfId="38" priority="92" operator="lessThan">
      <formula>0</formula>
    </cfRule>
  </conditionalFormatting>
  <conditionalFormatting sqref="F260:F261">
    <cfRule type="cellIs" dxfId="37" priority="91" operator="lessThan">
      <formula>0</formula>
    </cfRule>
  </conditionalFormatting>
  <conditionalFormatting sqref="F284:F285">
    <cfRule type="cellIs" dxfId="36" priority="85" operator="lessThan">
      <formula>0</formula>
    </cfRule>
  </conditionalFormatting>
  <conditionalFormatting sqref="F289:F290">
    <cfRule type="cellIs" dxfId="35" priority="84" operator="lessThan">
      <formula>0</formula>
    </cfRule>
  </conditionalFormatting>
  <conditionalFormatting sqref="F294:F295">
    <cfRule type="cellIs" dxfId="34" priority="83" operator="lessThan">
      <formula>0</formula>
    </cfRule>
  </conditionalFormatting>
  <conditionalFormatting sqref="I31 I33:I37 I41:I42 H43:H45 O44 N45 I46 I48:I50 I52:I53 I204:J204 K209:L209 E210:G210 I210:J210 K247 J248 K252 J253 K257 J258 K262:K266 J263:J267 K268 J269 K270:K273 J271:J274 K275 J276 K281 J282 K286 J287 K291 J292 K296:K300 J297:J301 K302 J303 K304:K307 J305:J308 K309 J310">
    <cfRule type="cellIs" dxfId="33" priority="79" operator="lessThan">
      <formula>0</formula>
    </cfRule>
  </conditionalFormatting>
  <conditionalFormatting sqref="I57:I61">
    <cfRule type="cellIs" dxfId="32" priority="5" operator="lessThan">
      <formula>0</formula>
    </cfRule>
  </conditionalFormatting>
  <conditionalFormatting sqref="I65 M104 I124:J124 K184:L184 K188:L189 K192:L193 K198:L199 K202:L203">
    <cfRule type="cellIs" dxfId="31" priority="74" operator="lessThan">
      <formula>0</formula>
    </cfRule>
  </conditionalFormatting>
  <conditionalFormatting sqref="I76:I78">
    <cfRule type="cellIs" dxfId="30" priority="4" operator="lessThan">
      <formula>0</formula>
    </cfRule>
  </conditionalFormatting>
  <conditionalFormatting sqref="I82:I85">
    <cfRule type="cellIs" dxfId="29" priority="3" operator="lessThan">
      <formula>0</formula>
    </cfRule>
  </conditionalFormatting>
  <conditionalFormatting sqref="I89:I93">
    <cfRule type="cellIs" dxfId="28" priority="1" operator="lessThan">
      <formula>0</formula>
    </cfRule>
  </conditionalFormatting>
  <conditionalFormatting sqref="J152">
    <cfRule type="cellIs" dxfId="27" priority="24" operator="lessThan">
      <formula>0</formula>
    </cfRule>
  </conditionalFormatting>
  <conditionalFormatting sqref="L117:L120">
    <cfRule type="cellIs" dxfId="26" priority="11" operator="lessThan">
      <formula>0</formula>
    </cfRule>
  </conditionalFormatting>
  <conditionalFormatting sqref="L123">
    <cfRule type="cellIs" dxfId="25" priority="17" operator="lessThan">
      <formula>0</formula>
    </cfRule>
  </conditionalFormatting>
  <conditionalFormatting sqref="L129:L132">
    <cfRule type="cellIs" dxfId="24" priority="10" operator="lessThan">
      <formula>0</formula>
    </cfRule>
  </conditionalFormatting>
  <conditionalFormatting sqref="L135">
    <cfRule type="cellIs" dxfId="23" priority="16" operator="lessThan">
      <formula>0</formula>
    </cfRule>
  </conditionalFormatting>
  <conditionalFormatting sqref="L141:L144">
    <cfRule type="cellIs" dxfId="22" priority="9" operator="lessThan">
      <formula>0</formula>
    </cfRule>
  </conditionalFormatting>
  <conditionalFormatting sqref="L147">
    <cfRule type="cellIs" dxfId="21" priority="15" operator="lessThan">
      <formula>0</formula>
    </cfRule>
  </conditionalFormatting>
  <conditionalFormatting sqref="L153:L156">
    <cfRule type="cellIs" dxfId="20" priority="8" operator="lessThan">
      <formula>0</formula>
    </cfRule>
  </conditionalFormatting>
  <conditionalFormatting sqref="L159">
    <cfRule type="cellIs" dxfId="19" priority="14" operator="lessThan">
      <formula>0</formula>
    </cfRule>
  </conditionalFormatting>
  <conditionalFormatting sqref="L163:L164">
    <cfRule type="cellIs" dxfId="18" priority="12" operator="lessThan">
      <formula>0</formula>
    </cfRule>
  </conditionalFormatting>
  <conditionalFormatting sqref="L210:L214 L216 L218:L221 L223 J228:J230 J233:J235">
    <cfRule type="cellIs" dxfId="17" priority="102" operator="lessThan">
      <formula>0</formula>
    </cfRule>
  </conditionalFormatting>
  <dataValidations count="11">
    <dataValidation type="list" allowBlank="1" showInputMessage="1" showErrorMessage="1" sqref="D277" xr:uid="{4E913AB3-F90B-4C35-BCE1-5DBB8FC05107}">
      <formula1>INDIRECT("Table_SourceData_PoultryMMSStage1[MMS]")</formula1>
    </dataValidation>
    <dataValidation type="list" allowBlank="1" showInputMessage="1" showErrorMessage="1" sqref="E225" xr:uid="{9FB53635-991F-44AA-A123-E8ABEF9EE0A6}">
      <formula1>INDIRECT("Table_SourceData_Dairy_ProductionSystemTemplates[Area]")</formula1>
    </dataValidation>
    <dataValidation type="list" allowBlank="1" showInputMessage="1" showErrorMessage="1" sqref="E249 E254 E259 E293 E288 E283 E161 E149 E125 E137" xr:uid="{00A4EA4C-90D3-4150-979D-4D71C7F37A31}">
      <formula1>"Yes, No"</formula1>
    </dataValidation>
    <dataValidation type="list" allowBlank="1" showInputMessage="1" showErrorMessage="1" sqref="E65" xr:uid="{DBA884B0-B52E-420E-8FD2-21B082EB75E2}">
      <formula1>INDIRECT("Table_SourceData_Swine_IrrigationMethods[Irrigation method]")</formula1>
    </dataValidation>
    <dataValidation type="list" allowBlank="1" showInputMessage="1" showErrorMessage="1" sqref="E64" xr:uid="{B95E29DC-96D0-4475-A29E-3F3A3B60CEA1}">
      <formula1>INDIRECT("Table_SourceData_Swine_CropProdSystems[Production system]")</formula1>
    </dataValidation>
    <dataValidation type="list" allowBlank="1" showInputMessage="1" showErrorMessage="1" sqref="E6" xr:uid="{0A0AE702-92B7-4071-9891-43CC75783AE0}">
      <formula1>INDIRECT("Table_SourceData_Fertiliser_CropProdSystems[Production system]")</formula1>
    </dataValidation>
    <dataValidation type="list" allowBlank="1" showInputMessage="1" showErrorMessage="1" sqref="E8" xr:uid="{A588F812-6D90-402D-B63E-4EE68B0D0E18}">
      <formula1>INDIRECT("Table_SourceData_Fertiliser_IrrigationMethods[Irrigation method]")</formula1>
    </dataValidation>
    <dataValidation type="list" allowBlank="1" showInputMessage="1" showErrorMessage="1" sqref="E7" xr:uid="{F72409F7-4F43-4214-A0C3-EC1C9D02F963}">
      <formula1>INDIRECT("Table_SourceData_Fertiliser_CropTypes[Production system]")</formula1>
    </dataValidation>
    <dataValidation type="list" allowBlank="1" showInputMessage="1" showErrorMessage="1" sqref="H24:H25 J24:J25 L24:L25 N24:N25" xr:uid="{4A7ED0FB-DC6D-4B9E-B043-37B0C0BD600A}">
      <formula1>INDIRECT("Table_Fertiliser_ChemicalCompounds[Fertiliser type f]")</formula1>
    </dataValidation>
    <dataValidation type="list" allowBlank="1" showInputMessage="1" showErrorMessage="1" sqref="D44:D45" xr:uid="{23F8C720-A764-46DD-9B01-B7EA3D86E5AB}">
      <formula1>INDIRECT("Table_SourceData_OrganicFertiliserTypes[Organic fertiliser type]")</formula1>
    </dataValidation>
    <dataValidation type="list" allowBlank="1" showInputMessage="1" showErrorMessage="1" sqref="D18:D20" xr:uid="{B23B57EC-703F-4AE4-9B1D-0AF66025057C}">
      <formula1>INDIRECT("FertiliserProducts[Product Name]")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9DB63-1568-4EBB-AA4E-AF3881B4F89D}">
  <dimension ref="A1:J349"/>
  <sheetViews>
    <sheetView showGridLines="0" topLeftCell="A2" zoomScale="85" zoomScaleNormal="85" workbookViewId="0">
      <selection activeCell="D11" sqref="D11"/>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9" width="24.85546875" style="1" customWidth="1"/>
    <col min="10" max="10" width="4.7109375" style="1" customWidth="1"/>
    <col min="11" max="11" width="4.7109375" customWidth="1"/>
  </cols>
  <sheetData>
    <row r="1" spans="1:10" s="62" customFormat="1" ht="30" customHeight="1" x14ac:dyDescent="0.35">
      <c r="A1" s="62" t="e" vm="1">
        <v>#VALUE!</v>
      </c>
      <c r="C1" s="62" t="s">
        <v>319</v>
      </c>
    </row>
    <row r="2" spans="1:10" s="9" customFormat="1" ht="20.100000000000001" customHeight="1" x14ac:dyDescent="0.25"/>
    <row r="3" spans="1:10" ht="20.100000000000001" customHeight="1" x14ac:dyDescent="0.25">
      <c r="A3" s="17" t="str">
        <f>HYPERLINK("#'Home'!A1", "Home")</f>
        <v>Home</v>
      </c>
      <c r="C3" s="15"/>
      <c r="D3" s="15"/>
      <c r="E3" s="15"/>
      <c r="F3" s="15"/>
      <c r="G3" s="15"/>
      <c r="H3" s="15"/>
      <c r="I3" s="15"/>
      <c r="J3" s="15"/>
    </row>
    <row r="4" spans="1:10" ht="20.100000000000001" customHeight="1" x14ac:dyDescent="0.25">
      <c r="A4" s="17" t="str">
        <f>HYPERLINK("#'Overview'!A1", "Overview")</f>
        <v>Overview</v>
      </c>
    </row>
    <row r="5" spans="1:10" ht="20.100000000000001" customHeight="1" x14ac:dyDescent="0.25">
      <c r="A5" s="17" t="str">
        <f>HYPERLINK("#'Results'!A1", "Results")</f>
        <v>Results</v>
      </c>
      <c r="D5" s="6" t="s">
        <v>320</v>
      </c>
      <c r="E5" s="3"/>
      <c r="F5" s="3"/>
      <c r="G5" s="3"/>
      <c r="H5" s="3"/>
    </row>
    <row r="6" spans="1:10" ht="20.100000000000001" customHeight="1" x14ac:dyDescent="0.25">
      <c r="A6" s="16"/>
      <c r="D6" s="22"/>
      <c r="E6" s="22"/>
      <c r="F6" s="22"/>
      <c r="G6" s="22"/>
      <c r="H6" s="22"/>
      <c r="I6" s="22"/>
    </row>
    <row r="7" spans="1:10" ht="20.100000000000001" customHeight="1" x14ac:dyDescent="0.25">
      <c r="A7" s="20" t="s">
        <v>1</v>
      </c>
      <c r="D7" s="106" t="s">
        <v>321</v>
      </c>
      <c r="E7" s="85"/>
      <c r="F7" s="85"/>
      <c r="G7" s="85"/>
      <c r="H7" s="81"/>
    </row>
    <row r="8" spans="1:10" ht="20.100000000000001" customHeight="1" x14ac:dyDescent="0.25">
      <c r="A8" s="108" t="str">
        <f>HYPERLINK("#'Input - Fuel'!A1", "Fuel")</f>
        <v>Fuel</v>
      </c>
      <c r="D8" s="87" t="s">
        <v>322</v>
      </c>
      <c r="E8" s="84"/>
      <c r="F8" s="84"/>
      <c r="G8" s="84"/>
      <c r="H8" s="82"/>
    </row>
    <row r="9" spans="1:10" ht="20.100000000000001" customHeight="1" x14ac:dyDescent="0.25">
      <c r="A9" s="17"/>
      <c r="D9" s="22"/>
      <c r="E9" s="22"/>
      <c r="F9" s="22"/>
      <c r="G9" s="22"/>
      <c r="H9" s="22"/>
      <c r="I9" s="22"/>
    </row>
    <row r="10" spans="1:10" ht="20.100000000000001" customHeight="1" x14ac:dyDescent="0.25">
      <c r="A10" s="19" t="s">
        <v>69</v>
      </c>
      <c r="D10" s="112" t="s">
        <v>323</v>
      </c>
      <c r="E10" s="112" t="s">
        <v>324</v>
      </c>
      <c r="F10" s="112" t="s">
        <v>325</v>
      </c>
      <c r="G10" s="112" t="s">
        <v>326</v>
      </c>
      <c r="H10" s="112" t="s">
        <v>327</v>
      </c>
      <c r="I10" s="112" t="s">
        <v>328</v>
      </c>
    </row>
    <row r="11" spans="1:10" ht="20.100000000000001" customHeight="1" x14ac:dyDescent="0.25">
      <c r="A11" s="17" t="str">
        <f>HYPERLINK("#'8.1.1.1-2 Transport fuel'!A1", "8.1.1.1-2 Transport fuel")</f>
        <v>8.1.1.1-2 Transport fuel</v>
      </c>
      <c r="D11" s="39" t="s">
        <v>363</v>
      </c>
      <c r="E11" s="39" t="s">
        <v>330</v>
      </c>
      <c r="F11" s="179">
        <v>100000</v>
      </c>
      <c r="G11" s="50" t="str" cm="1">
        <f t="array" ref="G11">Common_InputFunctions.Utility_LookupValueInTable(Table_Input_Fuel[[#This Row],[Fuel type (select)]],[1]!Table_FuelTypes_Units[Fuel type], [1]!Table_FuelTypes_Units[Unit])</f>
        <v>kL</v>
      </c>
      <c r="H11" s="180">
        <f>1</f>
        <v>1</v>
      </c>
      <c r="I11" s="50">
        <f>Table_Input_Fuel[[#This Row],[Amount purchased]]*Table_Input_Fuel[[#This Row],[Percent consumed]]*10^-3</f>
        <v>100</v>
      </c>
    </row>
    <row r="12" spans="1:10" ht="20.100000000000001" customHeight="1" x14ac:dyDescent="0.25">
      <c r="A12" s="17" t="str">
        <f>HYPERLINK("#'8.2.1.1-2 Stationary fuel'!A1", "8.2.1.1-2 Stationary fuel")</f>
        <v>8.2.1.1-2 Stationary fuel</v>
      </c>
    </row>
    <row r="13" spans="1:10" ht="20.100000000000001" customHeight="1" x14ac:dyDescent="0.25">
      <c r="A13" s="17" t="str">
        <f>HYPERLINK("#'8.X.1.1-2 General use fuel'!A1", "8.X.1.1-2 General use fuel")</f>
        <v>8.X.1.1-2 General use fuel</v>
      </c>
    </row>
    <row r="14" spans="1:10" ht="20.100000000000001" customHeight="1" x14ac:dyDescent="0.25">
      <c r="A14" s="17"/>
    </row>
    <row r="15" spans="1:10" ht="20.100000000000001" customHeight="1" x14ac:dyDescent="0.25">
      <c r="A15" s="18" t="s">
        <v>2</v>
      </c>
    </row>
    <row r="16" spans="1:10" ht="20.100000000000001" customHeight="1" x14ac:dyDescent="0.25">
      <c r="A16" s="17" t="str">
        <f>HYPERLINK("#'Constants - Fuel'!A1", "Constants - Fuel")</f>
        <v>Constants - Fuel</v>
      </c>
    </row>
    <row r="17" spans="1:1" ht="20.100000000000001" customHeight="1" x14ac:dyDescent="0.25">
      <c r="A17" s="17" t="str">
        <f>HYPERLINK("#'Constants - Common'!A1", "Constants - Common")</f>
        <v>Constants - Common</v>
      </c>
    </row>
    <row r="18" spans="1:1" ht="20.100000000000001" customHeight="1" x14ac:dyDescent="0.25"/>
    <row r="19" spans="1:1" ht="20.100000000000001" customHeight="1" x14ac:dyDescent="0.25"/>
    <row r="20" spans="1:1" ht="20.100000000000001" customHeight="1" x14ac:dyDescent="0.25">
      <c r="A20" s="17"/>
    </row>
    <row r="21" spans="1:1" ht="20.100000000000001" customHeight="1" x14ac:dyDescent="0.25">
      <c r="A21" s="17"/>
    </row>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c r="A29" s="17"/>
    </row>
    <row r="30" spans="1:1" ht="20.100000000000001" customHeight="1" x14ac:dyDescent="0.25">
      <c r="A30" s="17"/>
    </row>
    <row r="31" spans="1:1" ht="20.100000000000001" customHeight="1" x14ac:dyDescent="0.25">
      <c r="A31" s="61"/>
    </row>
    <row r="32" spans="1:1" ht="20.100000000000001" customHeight="1" x14ac:dyDescent="0.25">
      <c r="A32" s="61"/>
    </row>
    <row r="33" spans="1:10" ht="20.100000000000001" customHeight="1" x14ac:dyDescent="0.25">
      <c r="A33" s="17"/>
    </row>
    <row r="34" spans="1:10" ht="20.100000000000001" customHeight="1" x14ac:dyDescent="0.25"/>
    <row r="35" spans="1:10" ht="20.100000000000001" customHeight="1" x14ac:dyDescent="0.25"/>
    <row r="36" spans="1:10" ht="20.100000000000001" customHeight="1" x14ac:dyDescent="0.25"/>
    <row r="37" spans="1:10" ht="20.100000000000001" customHeight="1" x14ac:dyDescent="0.25"/>
    <row r="38" spans="1:10" ht="20.100000000000001" customHeight="1" x14ac:dyDescent="0.25">
      <c r="C38" s="130"/>
      <c r="J38" s="130"/>
    </row>
    <row r="39" spans="1:10" ht="20.100000000000001" customHeight="1" x14ac:dyDescent="0.25">
      <c r="A39" s="17"/>
      <c r="C39" s="130"/>
      <c r="J39" s="130"/>
    </row>
    <row r="40" spans="1:10" s="133" customFormat="1" ht="20.100000000000001" customHeight="1" x14ac:dyDescent="0.25">
      <c r="C40" s="1"/>
      <c r="D40" s="1"/>
      <c r="E40" s="1"/>
      <c r="F40" s="1"/>
      <c r="G40" s="1"/>
      <c r="H40" s="1"/>
      <c r="I40" s="1"/>
      <c r="J40" s="1"/>
    </row>
    <row r="41" spans="1:10" s="133" customFormat="1" ht="20.100000000000001" customHeight="1" x14ac:dyDescent="0.25">
      <c r="A41" s="143"/>
      <c r="C41" s="1"/>
      <c r="D41" s="1"/>
      <c r="E41" s="1"/>
      <c r="F41" s="1"/>
      <c r="G41" s="1"/>
      <c r="H41" s="1"/>
      <c r="I41" s="1"/>
      <c r="J41" s="1"/>
    </row>
    <row r="42" spans="1:10" ht="20.100000000000001" customHeight="1" x14ac:dyDescent="0.25"/>
    <row r="43" spans="1:10" ht="20.100000000000001" customHeight="1" x14ac:dyDescent="0.25"/>
    <row r="44" spans="1:10" ht="20.100000000000001" customHeight="1" x14ac:dyDescent="0.25">
      <c r="A44" s="157"/>
    </row>
    <row r="45" spans="1:10" ht="20.100000000000001" customHeight="1" x14ac:dyDescent="0.25"/>
    <row r="46" spans="1:10" ht="20.100000000000001" customHeight="1" x14ac:dyDescent="0.25"/>
    <row r="47" spans="1:10" ht="20.100000000000001" customHeight="1" x14ac:dyDescent="0.25"/>
    <row r="48" spans="1: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9" spans="4:4" x14ac:dyDescent="0.25">
      <c r="D349" s="99"/>
    </row>
  </sheetData>
  <conditionalFormatting sqref="F35">
    <cfRule type="cellIs" dxfId="16" priority="9" operator="lessThan">
      <formula>0</formula>
    </cfRule>
  </conditionalFormatting>
  <conditionalFormatting sqref="F114:F115">
    <cfRule type="cellIs" dxfId="15" priority="8" operator="lessThan">
      <formula>0</formula>
    </cfRule>
  </conditionalFormatting>
  <conditionalFormatting sqref="F126:F127">
    <cfRule type="cellIs" dxfId="14" priority="7" operator="lessThan">
      <formula>0</formula>
    </cfRule>
  </conditionalFormatting>
  <conditionalFormatting sqref="F138:F139">
    <cfRule type="cellIs" dxfId="13" priority="6" operator="lessThan">
      <formula>0</formula>
    </cfRule>
  </conditionalFormatting>
  <conditionalFormatting sqref="F150:F151">
    <cfRule type="cellIs" dxfId="12" priority="5" operator="lessThan">
      <formula>0</formula>
    </cfRule>
  </conditionalFormatting>
  <conditionalFormatting sqref="F238:F239">
    <cfRule type="cellIs" dxfId="11" priority="17" operator="lessThan">
      <formula>0</formula>
    </cfRule>
  </conditionalFormatting>
  <conditionalFormatting sqref="F243:F244">
    <cfRule type="cellIs" dxfId="10" priority="16" operator="lessThan">
      <formula>0</formula>
    </cfRule>
  </conditionalFormatting>
  <conditionalFormatting sqref="F248:F249">
    <cfRule type="cellIs" dxfId="9" priority="15" operator="lessThan">
      <formula>0</formula>
    </cfRule>
  </conditionalFormatting>
  <conditionalFormatting sqref="F272:F273">
    <cfRule type="cellIs" dxfId="8" priority="14" operator="lessThan">
      <formula>0</formula>
    </cfRule>
  </conditionalFormatting>
  <conditionalFormatting sqref="F277:F278">
    <cfRule type="cellIs" dxfId="7" priority="13" operator="lessThan">
      <formula>0</formula>
    </cfRule>
  </conditionalFormatting>
  <conditionalFormatting sqref="F282:F283">
    <cfRule type="cellIs" dxfId="6" priority="12" operator="lessThan">
      <formula>0</formula>
    </cfRule>
  </conditionalFormatting>
  <conditionalFormatting sqref="I19 I21:I25 I29:I30 H31:H33 I34 I36:I38 I40:I41 I192 E198:G198 I198">
    <cfRule type="cellIs" dxfId="5" priority="11" operator="lessThan">
      <formula>0</formula>
    </cfRule>
  </conditionalFormatting>
  <conditionalFormatting sqref="I45:I49">
    <cfRule type="cellIs" dxfId="4" priority="4" operator="lessThan">
      <formula>0</formula>
    </cfRule>
  </conditionalFormatting>
  <conditionalFormatting sqref="I53 I112">
    <cfRule type="cellIs" dxfId="3" priority="10" operator="lessThan">
      <formula>0</formula>
    </cfRule>
  </conditionalFormatting>
  <conditionalFormatting sqref="I64:I66">
    <cfRule type="cellIs" dxfId="2" priority="3" operator="lessThan">
      <formula>0</formula>
    </cfRule>
  </conditionalFormatting>
  <conditionalFormatting sqref="I70:I73">
    <cfRule type="cellIs" dxfId="1" priority="2" operator="lessThan">
      <formula>0</formula>
    </cfRule>
  </conditionalFormatting>
  <conditionalFormatting sqref="I77:I81">
    <cfRule type="cellIs" dxfId="0" priority="1" operator="lessThan">
      <formula>0</formula>
    </cfRule>
  </conditionalFormatting>
  <dataValidations count="9">
    <dataValidation type="list" allowBlank="1" showInputMessage="1" showErrorMessage="1" sqref="D11" xr:uid="{E21A7C9D-0010-4BD4-8656-FEEEB7CD6C93}">
      <formula1>INDIRECT("Table_FuelTypesPerUse[#Headers]")</formula1>
    </dataValidation>
    <dataValidation type="list" allowBlank="1" showInputMessage="1" showErrorMessage="1" sqref="D32:D33" xr:uid="{A3BD5A3E-E4A9-4D14-8E1B-00AA16DD993D}">
      <formula1>INDIRECT("Table_SourceData_OrganicFertiliserTypes[Organic fertiliser type]")</formula1>
    </dataValidation>
    <dataValidation type="list" allowBlank="1" showInputMessage="1" showErrorMessage="1" sqref="H12:H13" xr:uid="{EA691FE7-6A6F-4012-A744-73023C237D31}">
      <formula1>INDIRECT("Table_Fertiliser_ChemicalCompounds[Fertiliser type f]")</formula1>
    </dataValidation>
    <dataValidation type="list" allowBlank="1" showInputMessage="1" showErrorMessage="1" sqref="E52" xr:uid="{6944678B-BDCA-4527-A33A-EF8B4FED41DB}">
      <formula1>INDIRECT("Table_SourceData_Swine_CropProdSystems[Production system]")</formula1>
    </dataValidation>
    <dataValidation type="list" allowBlank="1" showInputMessage="1" showErrorMessage="1" sqref="E53" xr:uid="{585FDB65-A23C-4E39-B0BF-BBE74BCCF0D0}">
      <formula1>INDIRECT("Table_SourceData_Swine_IrrigationMethods[Irrigation method]")</formula1>
    </dataValidation>
    <dataValidation type="list" allowBlank="1" showInputMessage="1" showErrorMessage="1" sqref="E237 E242 E247 E281 E276 E271 E149 E137 E113 E125" xr:uid="{15AA4069-FF99-4F4B-BC47-003F1A404CC9}">
      <formula1>"Yes, No"</formula1>
    </dataValidation>
    <dataValidation type="list" allowBlank="1" showInputMessage="1" showErrorMessage="1" sqref="E213" xr:uid="{6344A112-E164-4827-8E47-AF86C4B316F9}">
      <formula1>INDIRECT("Table_SourceData_Dairy_ProductionSystemTemplates[Area]")</formula1>
    </dataValidation>
    <dataValidation type="list" allowBlank="1" showInputMessage="1" showErrorMessage="1" sqref="D265" xr:uid="{51F52B62-C395-478C-B899-EFB3FD50EED5}">
      <formula1>INDIRECT("Table_SourceData_PoultryMMSStage1[MMS]")</formula1>
    </dataValidation>
    <dataValidation type="list" allowBlank="1" showInputMessage="1" showErrorMessage="1" sqref="E11" xr:uid="{7609F3A8-0D47-43E7-A9A3-B3CAD2D225AC}">
      <formula1>_xlfn.TRIMRANGE(INDIRECT("Table_FuelTypesPerUse["&amp;D11&amp;"]"))</formula1>
    </dataValidation>
  </dataValidation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6E0D3-8A3B-43CA-87A7-A66848970C97}">
  <dimension ref="D4:H21"/>
  <sheetViews>
    <sheetView tabSelected="1" workbookViewId="0">
      <selection activeCell="F7" sqref="F7"/>
    </sheetView>
  </sheetViews>
  <sheetFormatPr defaultRowHeight="15" x14ac:dyDescent="0.25"/>
  <cols>
    <col min="4" max="4" width="35.42578125" customWidth="1"/>
    <col min="5" max="5" width="27.28515625" customWidth="1"/>
    <col min="6" max="6" width="39.42578125" customWidth="1"/>
  </cols>
  <sheetData>
    <row r="4" spans="4:8" x14ac:dyDescent="0.25">
      <c r="D4" t="s">
        <v>380</v>
      </c>
    </row>
    <row r="6" spans="4:8" x14ac:dyDescent="0.25">
      <c r="D6" s="49" t="s">
        <v>381</v>
      </c>
      <c r="E6" s="49" t="s">
        <v>382</v>
      </c>
      <c r="F6" s="49" t="s">
        <v>383</v>
      </c>
    </row>
    <row r="7" spans="4:8" ht="15.75" x14ac:dyDescent="0.25">
      <c r="D7" s="3" t="str">
        <f>[1]!Table_FuelTypesPerUse[[#Headers],[Cars and light commercial vehicles]]</f>
        <v>Cars and light commercial vehicles</v>
      </c>
      <c r="E7" s="194" t="str">
        <f>'[1]Constants - Fuel'!$E$10</f>
        <v>Gasoline</v>
      </c>
      <c r="F7" s="194" t="str">
        <f>'[1]Constants - Fuel'!$G$131</f>
        <v>Petrol</v>
      </c>
      <c r="H7" cm="1">
        <f t="array" ref="H7">Fuel_InputFunctions.Fuel_TotalConsumption(Table_Input_Fuel[Amount consumed], Table_Input_Fuel[Fuel use (select)], D7, Table_Input_Fuel[Fuel type (select)],F7)</f>
        <v>100</v>
      </c>
    </row>
    <row r="8" spans="4:8" ht="15.75" x14ac:dyDescent="0.25">
      <c r="D8" s="195">
        <f t="shared" ref="D8:D14" si="0">$D$25</f>
        <v>0</v>
      </c>
      <c r="E8" s="194" t="str">
        <f>'[1]Constants - Fuel'!$E$11</f>
        <v>Diesel oil</v>
      </c>
      <c r="F8" s="194" t="str">
        <f>'[1]Constants - Fuel'!$G$132</f>
        <v>Diesel</v>
      </c>
      <c r="H8" cm="1">
        <f t="array" ref="H8">Fuel_InputFunctions.Fuel_TotalConsumption(Table_Input_Fuel[Amount consumed], Table_Input_Fuel[Fuel use (select)], D8, Table_Input_Fuel[Fuel type (select)],F8)</f>
        <v>0</v>
      </c>
    </row>
    <row r="9" spans="4:8" ht="15.75" x14ac:dyDescent="0.25">
      <c r="D9" s="195">
        <f t="shared" si="0"/>
        <v>0</v>
      </c>
      <c r="E9" s="194" t="str">
        <f>'[1]Constants - Fuel'!$E$12</f>
        <v>Liquefied petroleum gas (LPG)</v>
      </c>
      <c r="F9" s="194" t="str">
        <f>'[1]Constants - Fuel'!$G$133</f>
        <v>Liquefied petroleum gas (LPG)</v>
      </c>
      <c r="H9" cm="1">
        <f t="array" ref="H9">Fuel_InputFunctions.Fuel_TotalConsumption(Table_Input_Fuel[Amount consumed], Table_Input_Fuel[Fuel use (select)], D9, Table_Input_Fuel[Fuel type (select)],F9)</f>
        <v>0</v>
      </c>
    </row>
    <row r="10" spans="4:8" ht="15.75" x14ac:dyDescent="0.25">
      <c r="D10" s="195">
        <f t="shared" si="0"/>
        <v>0</v>
      </c>
      <c r="E10" s="194" t="str">
        <f>'[1]Constants - Fuel'!$E$13</f>
        <v>Fuel oil</v>
      </c>
      <c r="F10" s="194" t="str">
        <f>'[1]Constants - Fuel'!$G$134</f>
        <v>Fuel oil</v>
      </c>
      <c r="H10" cm="1">
        <f t="array" ref="H10">Fuel_InputFunctions.Fuel_TotalConsumption(Table_Input_Fuel[Amount consumed], Table_Input_Fuel[Fuel use (select)], D10, Table_Input_Fuel[Fuel type (select)],F10)</f>
        <v>0</v>
      </c>
    </row>
    <row r="11" spans="4:8" ht="15.75" x14ac:dyDescent="0.25">
      <c r="D11" s="195">
        <f t="shared" si="0"/>
        <v>0</v>
      </c>
      <c r="E11" s="194" t="str">
        <f>'[1]Constants - Fuel'!$E$14</f>
        <v>Ethanol</v>
      </c>
      <c r="F11" s="194" t="str">
        <f>'[1]Constants - Fuel'!$G$135</f>
        <v>Ethanol</v>
      </c>
      <c r="H11" cm="1">
        <f t="array" ref="H11">Fuel_InputFunctions.Fuel_TotalConsumption(Table_Input_Fuel[Amount consumed], Table_Input_Fuel[Fuel use (select)], D11, Table_Input_Fuel[Fuel type (select)],F11)</f>
        <v>0</v>
      </c>
    </row>
    <row r="12" spans="4:8" ht="15.75" x14ac:dyDescent="0.25">
      <c r="D12" s="195">
        <f t="shared" si="0"/>
        <v>0</v>
      </c>
      <c r="E12" s="194" t="str">
        <f>'[1]Constants - Fuel'!$E$15</f>
        <v>Biodiesel</v>
      </c>
      <c r="F12" s="194" t="str">
        <f>'[1]Constants - Fuel'!$G$136</f>
        <v>Biodiesel</v>
      </c>
      <c r="H12" cm="1">
        <f t="array" ref="H12">Fuel_InputFunctions.Fuel_TotalConsumption(Table_Input_Fuel[Amount consumed], Table_Input_Fuel[Fuel use (select)], D12, Table_Input_Fuel[Fuel type (select)],F12)</f>
        <v>0</v>
      </c>
    </row>
    <row r="13" spans="4:8" ht="15.75" x14ac:dyDescent="0.25">
      <c r="D13" s="195">
        <f t="shared" si="0"/>
        <v>0</v>
      </c>
      <c r="E13" s="194" t="str">
        <f>'[1]Constants - Fuel'!$E$16</f>
        <v>Renewable diesel</v>
      </c>
      <c r="F13" s="194" t="str">
        <f>'[1]Constants - Fuel'!$G$137</f>
        <v>Renewable diesel</v>
      </c>
      <c r="H13" cm="1">
        <f t="array" ref="H13">Fuel_InputFunctions.Fuel_TotalConsumption(Table_Input_Fuel[Amount consumed], Table_Input_Fuel[Fuel use (select)], D13, Table_Input_Fuel[Fuel type (select)],F13)</f>
        <v>0</v>
      </c>
    </row>
    <row r="14" spans="4:8" ht="15.75" x14ac:dyDescent="0.25">
      <c r="D14" s="195">
        <f t="shared" si="0"/>
        <v>0</v>
      </c>
      <c r="E14" s="194" t="str">
        <f>'[1]Constants - Fuel'!$E$17</f>
        <v>Other biofuels</v>
      </c>
      <c r="F14" s="194" t="str">
        <f>'[1]Constants - Fuel'!$G$138</f>
        <v>Other biofuels</v>
      </c>
      <c r="H14" cm="1">
        <f t="array" ref="H14">Fuel_InputFunctions.Fuel_TotalConsumption(Table_Input_Fuel[Amount consumed], Table_Input_Fuel[Fuel use (select)], D14, Table_Input_Fuel[Fuel type (select)],F14)</f>
        <v>0</v>
      </c>
    </row>
    <row r="15" spans="4:8" ht="15.75" x14ac:dyDescent="0.25">
      <c r="D15" s="196" t="str">
        <f>[1]!Table_FuelTypesPerUse[[#Headers],[Off-road Agriculture and forestry equipment]]</f>
        <v>Off-road Agriculture and forestry equipment</v>
      </c>
      <c r="E15" s="197" t="str">
        <f>'[1]Constants - Fuel'!$E$11</f>
        <v>Diesel oil</v>
      </c>
      <c r="F15" s="197" t="str">
        <f>'[1]Constants - Fuel'!$H$131</f>
        <v>Diesel</v>
      </c>
      <c r="H15" cm="1">
        <f t="array" ref="H15">Fuel_InputFunctions.Fuel_TotalConsumption(Table_Input_Fuel[Amount consumed], Table_Input_Fuel[Fuel use (select)], D15, Table_Input_Fuel[Fuel type (select)],F15)</f>
        <v>0</v>
      </c>
    </row>
    <row r="16" spans="4:8" ht="15.75" x14ac:dyDescent="0.25">
      <c r="D16" s="196" t="str">
        <f>[1]!Table_FuelTypesPerUse[[#Headers],[Aviation]]</f>
        <v>Aviation</v>
      </c>
      <c r="E16" s="197" t="str">
        <f>'[1]Constants - Fuel'!$E$28</f>
        <v>Gasoline for use as fuel in an aircraft</v>
      </c>
      <c r="F16" s="197" t="str">
        <f>'[1]Constants - Fuel'!F$131</f>
        <v>Avgas</v>
      </c>
      <c r="H16" cm="1">
        <f t="array" ref="H16">Fuel_InputFunctions.Fuel_TotalConsumption(Table_Input_Fuel[Amount consumed], Table_Input_Fuel[Fuel use (select)], D16, Table_Input_Fuel[Fuel type (select)],F16)</f>
        <v>0</v>
      </c>
    </row>
    <row r="17" spans="4:8" ht="15.75" x14ac:dyDescent="0.25">
      <c r="D17" s="195">
        <f>$D$34</f>
        <v>0</v>
      </c>
      <c r="E17" s="194" t="str">
        <f>'[1]Constants - Fuel'!$E$29</f>
        <v>Kerosene for use as fuel in an aircraft</v>
      </c>
      <c r="F17" s="194" t="str">
        <f>'[1]Constants - Fuel'!F$132</f>
        <v>Jet A1, Jet B</v>
      </c>
      <c r="H17" cm="1">
        <f t="array" ref="H17">Fuel_InputFunctions.Fuel_TotalConsumption(Table_Input_Fuel[Amount consumed], Table_Input_Fuel[Fuel use (select)], D17, Table_Input_Fuel[Fuel type (select)],F17)</f>
        <v>0</v>
      </c>
    </row>
    <row r="18" spans="4:8" ht="15.75" x14ac:dyDescent="0.25">
      <c r="D18" s="195">
        <f>$D$34</f>
        <v>0</v>
      </c>
      <c r="E18" s="194" t="str">
        <f>'[1]Constants - Fuel'!$E$30</f>
        <v>Renewable aviation kerosene</v>
      </c>
      <c r="F18" s="194" t="str">
        <f>'[1]Constants - Fuel'!F$133</f>
        <v>Renewable aviation kerosene</v>
      </c>
      <c r="H18" cm="1">
        <f t="array" ref="H18">Fuel_InputFunctions.Fuel_TotalConsumption(Table_Input_Fuel[Amount consumed], Table_Input_Fuel[Fuel use (select)], D18, Table_Input_Fuel[Fuel type (select)],F18)</f>
        <v>0</v>
      </c>
    </row>
    <row r="19" spans="4:8" ht="15.75" x14ac:dyDescent="0.25">
      <c r="D19" s="196" t="str">
        <f>[1]!Table_FuelTypesPerUse[[#Headers],[Vessels]]</f>
        <v>Vessels</v>
      </c>
      <c r="E19" s="197" t="str">
        <f>'[1]Constants - Fuel'!$E$10</f>
        <v>Gasoline</v>
      </c>
      <c r="F19" s="197" t="str">
        <f>'[1]Constants - Fuel'!I$131</f>
        <v>Petrol</v>
      </c>
      <c r="H19" cm="1">
        <f t="array" ref="H19">Fuel_InputFunctions.Fuel_TotalConsumption(Table_Input_Fuel[Amount consumed], Table_Input_Fuel[Fuel use (select)], D19, Table_Input_Fuel[Fuel type (select)],F19)</f>
        <v>0</v>
      </c>
    </row>
    <row r="20" spans="4:8" ht="15.75" x14ac:dyDescent="0.25">
      <c r="D20" s="195" t="str">
        <f>D19</f>
        <v>Vessels</v>
      </c>
      <c r="E20" s="194" t="str">
        <f>'[1]Constants - Fuel'!$E$11</f>
        <v>Diesel oil</v>
      </c>
      <c r="F20" s="194" t="str">
        <f>'[1]Constants - Fuel'!I$132</f>
        <v>Diesel</v>
      </c>
      <c r="H20" cm="1">
        <f t="array" ref="H20">Fuel_InputFunctions.Fuel_TotalConsumption(Table_Input_Fuel[Amount consumed], Table_Input_Fuel[Fuel use (select)], D20, Table_Input_Fuel[Fuel type (select)],F20)</f>
        <v>0</v>
      </c>
    </row>
    <row r="21" spans="4:8" ht="15.75" x14ac:dyDescent="0.25">
      <c r="D21" s="195" t="str">
        <f>D19</f>
        <v>Vessels</v>
      </c>
      <c r="E21" s="194" t="str">
        <f>'[1]Constants - Fuel'!$E$33</f>
        <v>Fuel Oil</v>
      </c>
      <c r="F21" s="194" t="str">
        <f>'[1]Constants - Fuel'!I$133</f>
        <v>Fuel oil</v>
      </c>
      <c r="H21" cm="1">
        <f t="array" ref="H21">Fuel_InputFunctions.Fuel_TotalConsumption(Table_Input_Fuel[Amount consumed], Table_Input_Fuel[Fuel use (select)], D21, Table_Input_Fuel[Fuel type (select)],F21)</f>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X342"/>
  <sheetViews>
    <sheetView showGridLines="0" topLeftCell="A68" zoomScaleNormal="100" workbookViewId="0">
      <selection activeCell="D78" sqref="D78:H84"/>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8" customFormat="1" ht="30" customHeight="1" x14ac:dyDescent="0.35">
      <c r="A1" s="62" t="e" vm="1">
        <v>#VALUE!</v>
      </c>
      <c r="C1" s="8" t="s">
        <v>205</v>
      </c>
      <c r="K1"/>
    </row>
    <row r="2" spans="1:24" s="9" customFormat="1" ht="20.100000000000001" customHeight="1" x14ac:dyDescent="0.25">
      <c r="K2"/>
    </row>
    <row r="3" spans="1:24" ht="20.100000000000001" customHeight="1" x14ac:dyDescent="0.25">
      <c r="A3" s="17" t="str">
        <f>HYPERLINK("#'Home'!A1", "Home")</f>
        <v>Home</v>
      </c>
      <c r="C3" s="4"/>
      <c r="D3" s="4" t="s">
        <v>80</v>
      </c>
      <c r="E3" s="4"/>
      <c r="F3" s="4"/>
      <c r="G3" s="4"/>
      <c r="H3" s="4"/>
      <c r="I3" s="4"/>
      <c r="J3" s="4"/>
      <c r="L3" s="4"/>
      <c r="M3" s="4" t="s">
        <v>81</v>
      </c>
      <c r="N3" s="4"/>
      <c r="O3" s="4"/>
      <c r="P3" s="4"/>
      <c r="Q3" s="4"/>
      <c r="R3" s="4"/>
      <c r="S3" s="4"/>
      <c r="T3" s="4"/>
      <c r="U3" s="4"/>
      <c r="V3" s="4"/>
      <c r="W3" s="4"/>
      <c r="X3" s="4"/>
    </row>
    <row r="4" spans="1:24" ht="20.100000000000001" customHeight="1" x14ac:dyDescent="0.25">
      <c r="A4" s="17" t="str">
        <f>HYPERLINK("#'Overview'!A1", "Overview")</f>
        <v>Overview</v>
      </c>
    </row>
    <row r="5" spans="1:24" ht="20.100000000000001" customHeight="1" x14ac:dyDescent="0.25">
      <c r="A5" s="17" t="str">
        <f>HYPERLINK("#'Results'!A1", "Results")</f>
        <v>Results</v>
      </c>
      <c r="D5" s="6" t="str" cm="1">
        <f t="array" ref="D5">Fertiliser_Equations_InorganicN2O.VEERG_5_1_1_1__2_MassOfNitrogenInInorganicFertiliser_Title()</f>
        <v>Mass of nitrogen in inorganic fertiliser applied to production system</v>
      </c>
      <c r="M5" s="6" t="str" cm="1">
        <f t="array" ref="M5">Fertiliser_Equations_InorganicN2O.VEERG_5_1_1_2__1_EmissionFactorIrrigatedMaize_Title()</f>
        <v>Emission factor for nitrous oxide for irrigated maize</v>
      </c>
    </row>
    <row r="6" spans="1:24" ht="20.100000000000001" customHeight="1" x14ac:dyDescent="0.25">
      <c r="A6" s="16"/>
      <c r="D6" s="5" t="str" cm="1">
        <f t="array" ref="D6">Fertiliser_Equations_InorganicN2O.VEERG_5_1_1_1__2_MassOfNitrogenInInorganicFertiliser_Source()</f>
        <v>VEERG 2026: 5.1.1.1, Equation (2)</v>
      </c>
      <c r="M6" s="5" t="str" cm="1">
        <f t="array" ref="M6">Fertiliser_Equations_InorganicN2O.VEERG_5_1_1_2__1_EmissionFactorIrrigatedMaize_Source()</f>
        <v>VEERG 2026: 5.1.1.2, Equation (1)</v>
      </c>
    </row>
    <row r="7" spans="1:24" ht="20.100000000000001" customHeight="1" x14ac:dyDescent="0.25">
      <c r="A7" s="20" t="s">
        <v>1</v>
      </c>
      <c r="D7" s="13" t="s">
        <v>22</v>
      </c>
      <c r="E7" s="13" t="str" cm="1">
        <f t="array" aca="1" ref="E7" ca="1">Common_InputFunctions.Utility_DisplayFunctionName(G19)</f>
        <v>=Fertiliser_Equations_InorganicN2O.VEERG_5_1_1_1__2_MassOfNitrogenInInorganicFertiliser</v>
      </c>
    </row>
    <row r="8" spans="1:24" ht="20.100000000000001" customHeight="1" x14ac:dyDescent="0.25">
      <c r="A8" s="17" t="str">
        <f>HYPERLINK("#'Input - Site'!A1", "Site")</f>
        <v>Site</v>
      </c>
    </row>
    <row r="9" spans="1:24" ht="20.100000000000001" customHeight="1" x14ac:dyDescent="0.25">
      <c r="A9" s="17" t="str">
        <f>HYPERLINK("#'Input - Fertiliser'!A1", "Fertiliser")</f>
        <v>Fertiliser</v>
      </c>
      <c r="M9" s="51" t="s">
        <v>25</v>
      </c>
      <c r="N9" s="1" t="str" cm="1">
        <f t="array" ref="N9">Fertiliser_Equations_InorganicN2O.VEERG_5_1_1_2__1_EmissionFactorIrrigatedMaize_Variable()</f>
        <v>EF_fjIrrigatedMaizeN2O</v>
      </c>
    </row>
    <row r="10" spans="1:24" ht="20.100000000000001" customHeight="1" x14ac:dyDescent="0.25">
      <c r="A10" s="17"/>
      <c r="D10" s="51" t="s">
        <v>25</v>
      </c>
      <c r="E10" s="1" t="str" cm="1">
        <f t="array" ref="E10">Fertiliser_Equations_InorganicN2O.VEERG_5_1_1_1__2_MassOfNitrogenInInorganicFertiliser_Variable()</f>
        <v>MN_jf</v>
      </c>
      <c r="M10" s="51" t="s">
        <v>16</v>
      </c>
      <c r="N10" s="52" t="str" cm="1">
        <f t="array" ref="N10">Fertiliser_Equations_InorganicN2O.VEERG_5_1_1_2__1_EmissionFactorIrrigatedMaize_Unit()</f>
        <v>kg N2O-N/kg N applied</v>
      </c>
    </row>
    <row r="11" spans="1:24" ht="20.100000000000001" customHeight="1" x14ac:dyDescent="0.25">
      <c r="A11" s="19" t="s">
        <v>69</v>
      </c>
      <c r="D11" s="51" t="s">
        <v>16</v>
      </c>
      <c r="E11" s="52" t="str" cm="1">
        <f t="array" ref="E11">Fertiliser_Equations_InorganicN2O.VEERG_5_1_1_1__2_MassOfNitrogenInInorganicFertiliser_Unit()</f>
        <v>kg N</v>
      </c>
    </row>
    <row r="12" spans="1:24" ht="20.100000000000001" customHeight="1" x14ac:dyDescent="0.25">
      <c r="A12" s="177" t="str">
        <f>HYPERLINK("#'5.1.1.1-2 Inorganic Fert N2O'!A1", "5.1.1.1-2 Inorganic Fert N2O")</f>
        <v>5.1.1.1-2 Inorganic Fert N2O</v>
      </c>
      <c r="M12" s="54" t="str" cm="1">
        <f t="array" ref="M12:N13">_xlfn.CHOOSECOLS(Fertiliser_Equations_InorganicN2O.VEERG_5_1_1_2__1_EmissionFactorIrrigatedMaize_Arguments(), 1, 2)</f>
        <v>N_fjIrrigatedMaize</v>
      </c>
      <c r="N12" s="55" t="str">
        <v>application rate of inorganic fertiliser type f in the irrigated maize crop</v>
      </c>
      <c r="O12" s="93"/>
      <c r="P12" s="54" t="str" cm="1">
        <f t="array" ref="P12:Q13">_xlfn.CHOOSECOLS(Fertiliser_Equations_InorganicN2O.VEERG_5_1_1_2__1_EmissionFactorIrrigatedMaize_Arguments(), 3,4)</f>
        <v>kg N/ha</v>
      </c>
      <c r="Q12" s="120" t="str">
        <v>Input</v>
      </c>
      <c r="R12" s="146" t="str" cm="1">
        <f t="array" aca="1" ref="R12" ca="1">HYPERLINK(Common_InputFunctions.Utility_SourceHyperlink($M$41), $M$41)</f>
        <v>M2_Table_FertApplications</v>
      </c>
      <c r="S12" s="121"/>
    </row>
    <row r="13" spans="1:24" ht="20.100000000000001" customHeight="1" x14ac:dyDescent="0.25">
      <c r="A13" s="17" t="str">
        <f>HYPERLINK("#'5.1.1.3-4 Inorganic fert CO2'!A1", "5.1.1.3-4 Inorganic fert CO2")</f>
        <v>5.1.1.3-4 Inorganic fert CO2</v>
      </c>
      <c r="D13" s="54" t="str" cm="1">
        <f t="array" ref="D13:E14">_xlfn.CHOOSECOLS(Fertiliser_Equations_InorganicN2O.VEERG_5_1_1_1__2_MassOfNitrogenInInorganicFertiliser_Arguments(), 1,2)</f>
        <v>TM_jf</v>
      </c>
      <c r="E13" s="54" t="str">
        <v>total mass of inorganic fertiliser type f applied to production system j</v>
      </c>
      <c r="F13" s="54"/>
      <c r="G13" s="54" t="str" cm="1">
        <f t="array" ref="G13:H14">_xlfn.CHOOSECOLS(Fertiliser_Equations_InorganicN2O.VEERG_5_1_1_1__2_MassOfNitrogenInInorganicFertiliser_Arguments(), 3,4)</f>
        <v>kg</v>
      </c>
      <c r="H13" s="120" t="str">
        <v>Input</v>
      </c>
      <c r="I13" s="145" t="str" cm="1">
        <f t="array" aca="1" ref="I13" ca="1">HYPERLINK(Common_InputFunctions.Utility_SourceHyperlink($D$16), $D$16)</f>
        <v>Table_MN_j_f</v>
      </c>
      <c r="M13" s="54" t="str">
        <v>f</v>
      </c>
      <c r="N13" s="55" t="str">
        <v>Inorganic fertiliser type</v>
      </c>
      <c r="O13" s="93"/>
      <c r="P13" s="54" t="str">
        <v/>
      </c>
      <c r="Q13" s="119" t="str">
        <v>Constant</v>
      </c>
      <c r="R13" s="55" t="s">
        <v>174</v>
      </c>
      <c r="S13" s="121"/>
    </row>
    <row r="14" spans="1:24" ht="20.100000000000001" customHeight="1" x14ac:dyDescent="0.25">
      <c r="A14" s="17" t="str">
        <f>HYPERLINK("#'5.2.1.1-2 Organic Fert N2O'!A1", "5.2.1.1-2 Organic Fert N2O")</f>
        <v>5.2.1.1-2 Organic Fert N2O</v>
      </c>
      <c r="D14" s="54" t="str">
        <v>FN_inorganicf</v>
      </c>
      <c r="E14" s="55" t="str">
        <v xml:space="preserve">fraction of nitrogen in inorganic fertiliser type f </v>
      </c>
      <c r="F14" s="56"/>
      <c r="G14" s="54" t="str">
        <v>kg N/kg</v>
      </c>
      <c r="H14" s="119" t="str">
        <v>Constant</v>
      </c>
      <c r="I14" s="145" t="str" cm="1">
        <f t="array" aca="1" ref="I14" ca="1">HYPERLINK(Common_InputFunctions.Utility_SourceHyperlink($D$16), $D$16)</f>
        <v>Table_MN_j_f</v>
      </c>
    </row>
    <row r="15" spans="1:24" ht="20.100000000000001" customHeight="1" x14ac:dyDescent="0.25">
      <c r="A15" s="17" t="str">
        <f>HYPERLINK("#'5.3.1.1-2 Lime CO2'!A1", "5.3.1.1-2 Lime CO2")</f>
        <v>5.3.1.1-2 Lime CO2</v>
      </c>
    </row>
    <row r="16" spans="1:24" ht="20.100000000000001" customHeight="1" x14ac:dyDescent="0.25">
      <c r="A16" s="17" t="str">
        <f>HYPERLINK("#'5.4.1.1-4 Atmos deposition'!A1", "5.4.1.1-4 Atmos deposition")</f>
        <v>5.4.1.1-4 Atmos deposition</v>
      </c>
      <c r="D16" s="92" t="s">
        <v>145</v>
      </c>
      <c r="M16" s="6"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17" t="str">
        <f>HYPERLINK("#'5.5.1.1-2 Leaching and runoff'!A1", "5.5.1.1-2 Leaching and runoff")</f>
        <v>5.5.1.1-2 Leaching and runoff</v>
      </c>
      <c r="D17" s="91" t="s">
        <v>162</v>
      </c>
      <c r="M17" s="5" t="str" cm="1">
        <f t="array" ref="M17">Fertiliser_Equations_InorganicN2O.VEERG_5_1_1_2__2_EmissionFactorNonIrrigatedGrainsHighRainfall_Source()</f>
        <v>VEERG 2026: 5.1.1.2, Equation (2)</v>
      </c>
    </row>
    <row r="18" spans="1:19" ht="20.100000000000001" customHeight="1" x14ac:dyDescent="0.25">
      <c r="D18" s="49" t="s">
        <v>112</v>
      </c>
      <c r="E18" s="112" t="s">
        <v>144</v>
      </c>
      <c r="F18" s="49" t="s">
        <v>143</v>
      </c>
      <c r="G18" s="49" t="s">
        <v>161</v>
      </c>
    </row>
    <row r="19" spans="1:19" ht="20.100000000000001" customHeight="1" x14ac:dyDescent="0.25">
      <c r="A19" s="18" t="s">
        <v>2</v>
      </c>
      <c r="D19" s="50" t="str" cm="1">
        <f t="array" ref="D19:D36">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f],Table_Fertiliser_ChemicalCompounds[FNinorganic f])</f>
        <v>0.1</v>
      </c>
      <c r="G19" s="50" cm="1">
        <f t="array" ref="G19">Fertiliser_Equations_InorganicN2O.VEERG_5_1_1_1__2_MassOfNitrogenInInorganicFertiliser(E19,F19)</f>
        <v>0</v>
      </c>
    </row>
    <row r="20" spans="1:19"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f],Table_Fertiliser_ChemicalCompounds[FNinorganic f])</f>
        <v>0.18</v>
      </c>
      <c r="G20" s="50" cm="1">
        <f t="array" ref="G20">Fertiliser_Equations_InorganicN2O.VEERG_5_1_1_1__2_MassOfNitrogenInInorganicFertiliser(E20,F20)</f>
        <v>0</v>
      </c>
      <c r="M20" s="51" t="s">
        <v>25</v>
      </c>
      <c r="N20" s="1" t="str" cm="1">
        <f t="array" ref="N20">Fertiliser_Equations_InorganicN2O.VEERG_5_1_1_2__2_EmissionFactorNonIrrigatedGrainsHighRainfall_Variable()</f>
        <v>EF_fjNonIrrigatedGrainsN2O</v>
      </c>
    </row>
    <row r="21" spans="1:19"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12913.04348</v>
      </c>
      <c r="F21" s="50" cm="1">
        <f t="array" ref="F21">Common_InputFunctions.Utility_LookupValueInTableNumber(D21,Table_Fertiliser_ChemicalCompounds[Fertiliser type f],Table_Fertiliser_ChemicalCompounds[FNinorganic f])</f>
        <v>0.46</v>
      </c>
      <c r="G21" s="50" cm="1">
        <f t="array" ref="G21">Fertiliser_Equations_InorganicN2O.VEERG_5_1_1_1__2_MassOfNitrogenInInorganicFertiliser(E21,F21)</f>
        <v>5940.0000008000006</v>
      </c>
      <c r="M21" s="51" t="s">
        <v>16</v>
      </c>
      <c r="N21" s="52" t="str" cm="1">
        <f t="array" ref="N21">Fertiliser_Equations_InorganicN2O.VEERG_5_1_1_2__2_EmissionFactorNonIrrigatedGrainsHighRainfall_Unit()</f>
        <v>kg N2O-N/kg N applied</v>
      </c>
    </row>
    <row r="22" spans="1:19"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f],Table_Fertiliser_ChemicalCompounds[FNinorganic f])</f>
        <v>0.21</v>
      </c>
      <c r="G22" s="50" cm="1">
        <f t="array" ref="G22">Fertiliser_Equations_InorganicN2O.VEERG_5_1_1_1__2_MassOfNitrogenInInorganicFertiliser(E22,F22)</f>
        <v>0</v>
      </c>
    </row>
    <row r="23" spans="1:19"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f],Table_Fertiliser_ChemicalCompounds[FNinorganic f])</f>
        <v>0.32</v>
      </c>
      <c r="G23" s="50" cm="1">
        <f t="array" ref="G23">Fertiliser_Equations_InorganicN2O.VEERG_5_1_1_1__2_MassOfNitrogenInInorganicFertiliser(E23,F23)</f>
        <v>0</v>
      </c>
      <c r="M23" s="54" t="str" cm="1">
        <f t="array" ref="M23:N24">_xlfn.CHOOSECOLS(Fertiliser_Equations_InorganicN2O.VEERG_5_1_1_2__2_EmissionFactorNonIrrigatedGrainsHighRainfall_Arguments(), 1, 2)</f>
        <v>N_fjNonIrrigatedGrains</v>
      </c>
      <c r="N23" s="55" t="str">
        <v>application rate of inorganic fertiliser type f in the grains crop</v>
      </c>
      <c r="O23" s="93"/>
      <c r="P23" s="54" t="str" cm="1">
        <f t="array" ref="P23:Q24">_xlfn.CHOOSECOLS(Fertiliser_Equations_InorganicN2O.VEERG_5_1_1_2__2_EmissionFactorNonIrrigatedGrainsHighRainfall_Arguments(), 3,4)</f>
        <v>kg N/ha</v>
      </c>
      <c r="Q23" s="120" t="str">
        <v>Input</v>
      </c>
      <c r="R23" s="146" t="str" cm="1">
        <f t="array" aca="1" ref="R23" ca="1">HYPERLINK(Common_InputFunctions.Utility_SourceHyperlink($M$41), $M$41)</f>
        <v>M2_Table_FertApplications</v>
      </c>
      <c r="S23" s="56"/>
    </row>
    <row r="24" spans="1:19"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f],Table_Fertiliser_ChemicalCompounds[FNinorganic f])</f>
        <v>0.33700000000000002</v>
      </c>
      <c r="G24" s="50" cm="1">
        <f t="array" ref="G24">Fertiliser_Equations_InorganicN2O.VEERG_5_1_1_1__2_MassOfNitrogenInInorganicFertiliser(E24,F24)</f>
        <v>0</v>
      </c>
      <c r="I24" s="2"/>
      <c r="M24" s="54" t="str">
        <v>f</v>
      </c>
      <c r="N24" s="55" t="str">
        <v>Inorganic fertiliser type</v>
      </c>
      <c r="O24" s="93"/>
      <c r="P24" s="54" t="str">
        <v/>
      </c>
      <c r="Q24" s="119" t="str">
        <v>Constant</v>
      </c>
      <c r="R24" s="55" t="s">
        <v>174</v>
      </c>
      <c r="S24" s="56"/>
    </row>
    <row r="25" spans="1:19"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f],Table_Fertiliser_ChemicalCompounds[FNinorganic f])</f>
        <v>0.27</v>
      </c>
      <c r="G25" s="50" cm="1">
        <f t="array" ref="G25">Fertiliser_Equations_InorganicN2O.VEERG_5_1_1_1__2_MassOfNitrogenInInorganicFertiliser(E25,F25)</f>
        <v>0</v>
      </c>
      <c r="I25" s="2"/>
    </row>
    <row r="26" spans="1:19"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3500</v>
      </c>
      <c r="F26" s="50" cm="1">
        <f t="array" ref="F26">Common_InputFunctions.Utility_LookupValueInTableNumber(D26,Table_Fertiliser_ChemicalCompounds[Fertiliser type f],Table_Fertiliser_ChemicalCompounds[FNinorganic f])</f>
        <v>1</v>
      </c>
      <c r="G26" s="50" cm="1">
        <f t="array" ref="G26">Fertiliser_Equations_InorganicN2O.VEERG_5_1_1_1__2_MassOfNitrogenInInorganicFertiliser(E26,F26)</f>
        <v>3500</v>
      </c>
      <c r="I26" s="2"/>
    </row>
    <row r="27" spans="1:19"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1500</v>
      </c>
      <c r="F27" s="50" cm="1">
        <f t="array" ref="F27">Common_InputFunctions.Utility_LookupValueInTableNumber(D27,Table_Fertiliser_ChemicalCompounds[Fertiliser type f],Table_Fertiliser_ChemicalCompounds[FNinorganic f])</f>
        <v>1</v>
      </c>
      <c r="G27" s="50" cm="1">
        <f t="array" ref="G27">Fertiliser_Equations_InorganicN2O.VEERG_5_1_1_1__2_MassOfNitrogenInInorganicFertiliser(E27,F27)</f>
        <v>1500</v>
      </c>
      <c r="I27" s="2"/>
      <c r="M27" s="6" t="str" cm="1">
        <f t="array" ref="M27">Fertiliser_Equations_InorganicN2O.VEERG_5_1_1_2__3_EmissionFactorCotton_Title()</f>
        <v>Emission factor for nitrous oxide for cotton</v>
      </c>
    </row>
    <row r="28" spans="1:19"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1120</v>
      </c>
      <c r="F28" s="50" cm="1">
        <f t="array" ref="F28">Common_InputFunctions.Utility_LookupValueInTableNumber(D28,Table_Fertiliser_ChemicalCompounds[Fertiliser type f],Table_Fertiliser_ChemicalCompounds[FNinorganic f])</f>
        <v>1</v>
      </c>
      <c r="G28" s="50" cm="1">
        <f t="array" ref="G28">Fertiliser_Equations_InorganicN2O.VEERG_5_1_1_1__2_MassOfNitrogenInInorganicFertiliser(E28,F28)</f>
        <v>1120</v>
      </c>
      <c r="I28" s="2"/>
      <c r="M28" s="5" t="str" cm="1">
        <f t="array" ref="M28">Fertiliser_Equations_InorganicN2O.VEERG_5_1_1_2__3_EmissionFactorCotton_Source()</f>
        <v>VEERG 2026: 5.1.1.2, Equation (3)</v>
      </c>
    </row>
    <row r="29" spans="1:19"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6800</v>
      </c>
      <c r="F29" s="50" cm="1">
        <f t="array" ref="F29">Common_InputFunctions.Utility_LookupValueInTableNumber(D29,Table_Fertiliser_ChemicalCompounds[Fertiliser type f],Table_Fertiliser_ChemicalCompounds[FNinorganic f])</f>
        <v>0</v>
      </c>
      <c r="G29" s="50" cm="1">
        <f t="array" ref="G29">Fertiliser_Equations_InorganicN2O.VEERG_5_1_1_1__2_MassOfNitrogenInInorganicFertiliser(E29,F29)</f>
        <v>0</v>
      </c>
      <c r="I29" s="2"/>
    </row>
    <row r="30" spans="1:19"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9000</v>
      </c>
      <c r="F30" s="50" cm="1">
        <f t="array" ref="F30">Common_InputFunctions.Utility_LookupValueInTableNumber(D30,Table_Fertiliser_ChemicalCompounds[Fertiliser type f],Table_Fertiliser_ChemicalCompounds[FNinorganic f])</f>
        <v>0</v>
      </c>
      <c r="G30" s="50" cm="1">
        <f t="array" ref="G30">Fertiliser_Equations_InorganicN2O.VEERG_5_1_1_1__2_MassOfNitrogenInInorganicFertiliser(E30,F30)</f>
        <v>0</v>
      </c>
      <c r="I30" s="2"/>
    </row>
    <row r="31" spans="1:19"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1200</v>
      </c>
      <c r="F31" s="50" cm="1">
        <f t="array" ref="F31">Common_InputFunctions.Utility_LookupValueInTableNumber(D31,Table_Fertiliser_ChemicalCompounds[Fertiliser type f],Table_Fertiliser_ChemicalCompounds[FNinorganic f])</f>
        <v>0</v>
      </c>
      <c r="G31" s="50" cm="1">
        <f t="array" ref="G31">Fertiliser_Equations_InorganicN2O.VEERG_5_1_1_1__2_MassOfNitrogenInInorganicFertiliser(E31,F31)</f>
        <v>0</v>
      </c>
      <c r="I31" s="2"/>
    </row>
    <row r="32" spans="1:19"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2" s="50" cm="1">
        <f t="array" ref="F32">Common_InputFunctions.Utility_LookupValueInTableNumber(D32,Table_Fertiliser_ChemicalCompounds[Fertiliser type f],Table_Fertiliser_ChemicalCompounds[FNinorganic f])</f>
        <v>0</v>
      </c>
      <c r="G32" s="50" cm="1">
        <f t="array" ref="G32">Fertiliser_Equations_InorganicN2O.VEERG_5_1_1_1__2_MassOfNitrogenInInorganicFertiliser(E32,F32)</f>
        <v>0</v>
      </c>
      <c r="I32" s="2"/>
      <c r="M32" s="51" t="s">
        <v>25</v>
      </c>
      <c r="N32" s="1" t="str" cm="1">
        <f t="array" ref="N32">Fertiliser_Equations_InorganicN2O.VEERG_5_1_1_2__3_EmissionFactorCotton_Variable()</f>
        <v>EF_fjCottonN2O</v>
      </c>
    </row>
    <row r="33" spans="1:23"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f],Table_Fertiliser_ChemicalCompounds[FNinorganic f])</f>
        <v>0</v>
      </c>
      <c r="G33" s="50" cm="1">
        <f t="array" ref="G33">Fertiliser_Equations_InorganicN2O.VEERG_5_1_1_1__2_MassOfNitrogenInInorganicFertiliser(E33,F33)</f>
        <v>0</v>
      </c>
      <c r="I33" s="2"/>
      <c r="M33" s="51" t="s">
        <v>16</v>
      </c>
      <c r="N33" s="52" t="str" cm="1">
        <f t="array" ref="N33">Fertiliser_Equations_InorganicN2O.VEERG_5_1_1_2__3_EmissionFactorCotton_Unit()</f>
        <v>kg N2O-N/kg N applied</v>
      </c>
    </row>
    <row r="34" spans="1:23"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f],Table_Fertiliser_ChemicalCompounds[FNinorganic f])</f>
        <v>0</v>
      </c>
      <c r="G34" s="50" cm="1">
        <f t="array" ref="G34">Fertiliser_Equations_InorganicN2O.VEERG_5_1_1_1__2_MassOfNitrogenInInorganicFertiliser(E34,F34)</f>
        <v>0</v>
      </c>
      <c r="I34" s="2"/>
    </row>
    <row r="35" spans="1:23"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f],Table_Fertiliser_ChemicalCompounds[FNinorganic f])</f>
        <v>0</v>
      </c>
      <c r="G35" s="50" cm="1">
        <f t="array" ref="G35">Fertiliser_Equations_InorganicN2O.VEERG_5_1_1_1__2_MassOfNitrogenInInorganicFertiliser(E35,F35)</f>
        <v>0</v>
      </c>
      <c r="I35" s="2"/>
      <c r="M35" s="54" t="str" cm="1">
        <f t="array" ref="M35:N36">_xlfn.CHOOSECOLS(Fertiliser_Equations_InorganicN2O.VEERG_5_1_1_2__3_EmissionFactorCotton_Arguments(), 1, 2)</f>
        <v>N_fjCotton</v>
      </c>
      <c r="N35" s="55" t="str">
        <v>application rate of inorganic fertiliser type f in the cotton crop</v>
      </c>
      <c r="O35" s="93"/>
      <c r="P35" s="55" t="str" cm="1">
        <f t="array" ref="P35:Q36">_xlfn.CHOOSECOLS(Fertiliser_Equations_InorganicN2O.VEERG_5_1_1_2__3_EmissionFactorCotton_Arguments(), 3,4)</f>
        <v>kg N/ha</v>
      </c>
      <c r="Q35" s="120" t="str">
        <v>Input</v>
      </c>
      <c r="R35" s="146" t="str" cm="1">
        <f t="array" aca="1" ref="R35" ca="1">HYPERLINK(Common_InputFunctions.Utility_SourceHyperlink($M$41), $M$41)</f>
        <v>M2_Table_FertApplications</v>
      </c>
      <c r="S35" s="56"/>
    </row>
    <row r="36" spans="1:23"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50" cm="1">
        <f t="array" ref="F36">Common_InputFunctions.Utility_LookupValueInTableNumber(D36,Table_Fertiliser_ChemicalCompounds[Fertiliser type f],Table_Fertiliser_ChemicalCompounds[FNinorganic f])</f>
        <v>0.82350000000000001</v>
      </c>
      <c r="G36" s="50" cm="1">
        <f t="array" ref="G36">Fertiliser_Equations_InorganicN2O.VEERG_5_1_1_1__2_MassOfNitrogenInInorganicFertiliser(E36,F36)</f>
        <v>0</v>
      </c>
      <c r="I36" s="2"/>
      <c r="M36" s="54" t="str">
        <v>f</v>
      </c>
      <c r="N36" s="55" t="str">
        <v>Inorganic fertiliser type</v>
      </c>
      <c r="O36" s="93"/>
      <c r="P36" s="55" t="str">
        <v/>
      </c>
      <c r="Q36" s="119" t="str">
        <v>Constant</v>
      </c>
      <c r="R36" s="55" t="s">
        <v>174</v>
      </c>
      <c r="S36" s="56"/>
    </row>
    <row r="37" spans="1:23" ht="20.100000000000001" customHeight="1" x14ac:dyDescent="0.25">
      <c r="A37" s="157" t="str">
        <f>HYPERLINK("#A1", "▲ Back to top")</f>
        <v>▲ Back to top</v>
      </c>
      <c r="H37" s="51"/>
      <c r="I37" s="2"/>
    </row>
    <row r="38" spans="1:23" ht="20.100000000000001" customHeight="1" x14ac:dyDescent="0.25">
      <c r="C38" s="44"/>
      <c r="D38" s="44"/>
      <c r="E38" s="44"/>
      <c r="F38" s="44"/>
      <c r="G38" s="44"/>
      <c r="H38" s="44"/>
      <c r="I38" s="44"/>
      <c r="J38" s="44"/>
      <c r="N38" s="99"/>
      <c r="O38" s="99"/>
      <c r="P38" s="99"/>
    </row>
    <row r="39" spans="1:23" ht="20.100000000000001" customHeight="1" x14ac:dyDescent="0.25">
      <c r="D39" s="6" t="str" cm="1">
        <f t="array" ref="D39">Fertiliser_Equations_InorganicN2O.VEERG_5_1_1_1__1_InorganicFertiliserApplicationN2OEmissions_Title()</f>
        <v>Nitrous oxide emissions from the application of all inorganic fertiliser types f to all production systems j</v>
      </c>
      <c r="M39" s="99" t="s">
        <v>183</v>
      </c>
    </row>
    <row r="40" spans="1:23" ht="20.100000000000001" customHeight="1" x14ac:dyDescent="0.25">
      <c r="D40" s="5" t="str" cm="1">
        <f t="array" ref="D40">Fertiliser_Equations_InorganicN2O.VEERG_5_1_1_1__1_InorganicFertiliserApplicationN2OEmissions_Source()</f>
        <v>VEERG 2026: 5.1.1.1, Equation (1)</v>
      </c>
    </row>
    <row r="41" spans="1:23" ht="20.100000000000001" customHeight="1" x14ac:dyDescent="0.25">
      <c r="D41" s="13" t="s">
        <v>22</v>
      </c>
      <c r="E41" s="13" t="str" cm="1">
        <f t="array" aca="1" ref="E41" ca="1">Common_InputFunctions.Utility_DisplayFunctionName($E$59)</f>
        <v>=Fertiliser_Equations_InorganicN2O.VEERG_5_1_1_1__1_InorganicFertiliserApplicationN2OEmissions</v>
      </c>
      <c r="F41" s="2"/>
      <c r="M41" s="92" t="s">
        <v>175</v>
      </c>
      <c r="T41" s="100" t="s">
        <v>204</v>
      </c>
    </row>
    <row r="42" spans="1:23" ht="20.100000000000001" customHeight="1" x14ac:dyDescent="0.25">
      <c r="F42" s="2"/>
      <c r="M42" s="91" t="s">
        <v>173</v>
      </c>
    </row>
    <row r="43" spans="1:23" ht="20.100000000000001" customHeight="1" x14ac:dyDescent="0.25">
      <c r="F43" s="2"/>
      <c r="O43" s="118" t="s">
        <v>180</v>
      </c>
      <c r="P43" s="118" t="s">
        <v>179</v>
      </c>
      <c r="Q43" s="118" t="s">
        <v>142</v>
      </c>
      <c r="R43" s="118" t="str">
        <f>$N$10</f>
        <v>kg N2O-N/kg N applied</v>
      </c>
      <c r="S43" s="118" t="str">
        <f>$N$21</f>
        <v>kg N2O-N/kg N applied</v>
      </c>
      <c r="T43" s="118" t="s">
        <v>180</v>
      </c>
      <c r="U43" s="118" t="s">
        <v>142</v>
      </c>
      <c r="V43" s="118" t="str">
        <f>$N$33</f>
        <v>kg N2O-N/kg N applied</v>
      </c>
      <c r="W43" s="118" t="s">
        <v>181</v>
      </c>
    </row>
    <row r="44" spans="1:23" ht="20.100000000000001" customHeight="1" x14ac:dyDescent="0.25">
      <c r="F44" s="2"/>
      <c r="M44" s="49" t="s">
        <v>172</v>
      </c>
      <c r="N44" s="112" t="s">
        <v>172</v>
      </c>
      <c r="O44" s="112" t="s">
        <v>167</v>
      </c>
      <c r="P44" s="112" t="s">
        <v>168</v>
      </c>
      <c r="Q44" s="49" t="s">
        <v>169</v>
      </c>
      <c r="R44" s="49" t="str">
        <f>N9</f>
        <v>EF_fjIrrigatedMaizeN2O</v>
      </c>
      <c r="S44" s="49" t="str">
        <f>N20</f>
        <v>EF_fjNonIrrigatedGrainsN2O</v>
      </c>
      <c r="T44" s="49" t="s">
        <v>182</v>
      </c>
      <c r="U44" s="49" t="s">
        <v>178</v>
      </c>
      <c r="V44" s="49" t="str">
        <f>N32</f>
        <v>EF_fjCottonN2O</v>
      </c>
      <c r="W44" s="49" t="s">
        <v>237</v>
      </c>
    </row>
    <row r="45" spans="1:23" ht="20.100000000000001" customHeight="1" x14ac:dyDescent="0.25">
      <c r="D45" s="51" t="s">
        <v>25</v>
      </c>
      <c r="E45" s="1" t="str" cm="1">
        <f t="array" ref="E45">Fertiliser_Equations_InorganicN2O.VEERG_5_1_1_1__1_InorganicFertiliserApplicationN2OEmissions_Variable()</f>
        <v>E_N2O</v>
      </c>
      <c r="F45" s="2"/>
      <c r="M45" s="50" t="s">
        <v>177</v>
      </c>
      <c r="N45" s="50" t="str" cm="1">
        <f t="array" ref="N45:N47">Table_Input_InorganicFertiliser_Brands[Product (select)]</f>
        <v>Aqua Finish</v>
      </c>
      <c r="O45" s="50" cm="1">
        <f t="array" ref="O45:O47">Table_Input_InorganicFertiliser_Brands[N application rate (kg/ha)]</f>
        <v>5.2</v>
      </c>
      <c r="P45" s="50" cm="1">
        <f t="array" ref="P45:P47">Table_Input_InorganicFertiliser_Brands[Application area (ha)]</f>
        <v>100</v>
      </c>
      <c r="Q45" s="50">
        <f>O45*P45</f>
        <v>520</v>
      </c>
      <c r="R45" s="50" cm="1">
        <f t="array" ref="R45">IF(O45&gt;0, Fertiliser_Equations_InorganicN2O.VEERG_5_1_1_2__1_EmissionFactorIrrigatedMaize(O45), 0)</f>
        <v>-1.1568000000000001E-3</v>
      </c>
      <c r="S45" s="50" cm="1">
        <f t="array" ref="S45">IF(O45&gt;0, Fertiliser_Equations_InorganicN2O.VEERG_5_1_1_2__2_EmissionFactorNonIrrigatedGrainsHighRainfall(O45), 0)</f>
        <v>1.1710000000000002E-3</v>
      </c>
      <c r="T45" s="50">
        <f>IF(O45&gt;0, MIN(300, O45), 0)</f>
        <v>5.2</v>
      </c>
      <c r="U45" s="50">
        <f>P45*T45</f>
        <v>520</v>
      </c>
      <c r="V45" s="50" cm="1">
        <f t="array" ref="V45">IF(O45&gt;0, Fertiliser_Equations_InorganicN2O.VEERG_5_1_1_2__3_EmissionFactorCotton(T45), 0)</f>
        <v>2.9028559364900533E-5</v>
      </c>
      <c r="W45" s="50">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1:23" ht="20.100000000000001" customHeight="1" x14ac:dyDescent="0.25">
      <c r="D46" s="51" t="s">
        <v>16</v>
      </c>
      <c r="E46" s="52" t="str" cm="1">
        <f t="array" ref="E46">Fertiliser_Equations_InorganicN2O.VEERG_5_1_1_1__1_InorganicFertiliserApplicationN2OEmissions_Unit()</f>
        <v>t N2O</v>
      </c>
      <c r="F46" s="2"/>
      <c r="M46" s="50" t="s">
        <v>177</v>
      </c>
      <c r="N46" s="50" t="str">
        <v>Compass</v>
      </c>
      <c r="O46" s="50">
        <v>30</v>
      </c>
      <c r="P46" s="50">
        <v>100</v>
      </c>
      <c r="Q46" s="50">
        <f>O46*P46</f>
        <v>3000</v>
      </c>
      <c r="R46" s="50" cm="1">
        <f t="array" ref="R46">IF(O46&gt;0, Fertiliser_Equations_InorganicN2O.VEERG_5_1_1_2__1_EmissionFactorIrrigatedMaize(O46), 0)</f>
        <v>3.560000000000002E-4</v>
      </c>
      <c r="S46" s="50" cm="1">
        <f t="array" ref="S46">IF(O46&gt;0, Fertiliser_Equations_InorganicN2O.VEERG_5_1_1_2__2_EmissionFactorNonIrrigatedGrainsHighRainfall(O46), 0)</f>
        <v>3.0309999999999998E-3</v>
      </c>
      <c r="T46" s="50">
        <f t="shared" ref="T46:T54" si="0">IF(O46&gt;0, MIN(300, O46), 0)</f>
        <v>30</v>
      </c>
      <c r="U46" s="50">
        <f t="shared" ref="U46:U54" si="1">P46*T46</f>
        <v>3000</v>
      </c>
      <c r="V46" s="50" cm="1">
        <f t="array" ref="V46">IF(O46&gt;0, Fertiliser_Equations_InorganicN2O.VEERG_5_1_1_2__3_EmissionFactorCotton(T46), 0)</f>
        <v>2.9047468362536832E-5</v>
      </c>
      <c r="W46" s="50">
        <f>IF(O46&gt;0,Common_InputFunctions.Utility_LookupN2OEFFromProdIrrigationRainfall($S$70,$S$73,$S$74,Table_SourceData_Common_EFN2O[Production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7" spans="1:23" ht="20.100000000000001" customHeight="1" x14ac:dyDescent="0.25">
      <c r="F47" s="2"/>
      <c r="M47" s="50" t="s">
        <v>177</v>
      </c>
      <c r="N47" s="50" t="str">
        <v>CoRoN 12-0-10</v>
      </c>
      <c r="O47" s="50">
        <v>24.000000008000004</v>
      </c>
      <c r="P47" s="50">
        <v>100</v>
      </c>
      <c r="Q47" s="50">
        <f t="shared" ref="Q47:Q54" si="2">O47*P47</f>
        <v>2400.0000008000006</v>
      </c>
      <c r="R47" s="50" cm="1">
        <f t="array" ref="R47">IF(O47&gt;0, Fertiliser_Equations_InorganicN2O.VEERG_5_1_1_2__1_EmissionFactorIrrigatedMaize(O47), 0)</f>
        <v>-9.9999995119998135E-6</v>
      </c>
      <c r="S47" s="50" cm="1">
        <f t="array" ref="S47">IF(O47&gt;0, Fertiliser_Equations_InorganicN2O.VEERG_5_1_1_2__2_EmissionFactorNonIrrigatedGrainsHighRainfall(O47), 0)</f>
        <v>2.5810000006E-3</v>
      </c>
      <c r="T47" s="50">
        <f t="shared" si="0"/>
        <v>24.000000008000004</v>
      </c>
      <c r="U47" s="50">
        <f t="shared" si="1"/>
        <v>2400.0000008000006</v>
      </c>
      <c r="V47" s="50" cm="1">
        <f t="array" ref="V47">IF(O47&gt;0, Fertiliser_Equations_InorganicN2O.VEERG_5_1_1_2__3_EmissionFactorCotton(T47), 0)</f>
        <v>2.9041716040894619E-5</v>
      </c>
      <c r="W47" s="50">
        <f>IF(O47&gt;0,Common_InputFunctions.Utility_LookupN2OEFFromProdIrrigationRainfall($S$70,$S$73,$S$74,Table_SourceData_Common_EFN2O[Production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8" spans="1:23" ht="20.100000000000001" customHeight="1" x14ac:dyDescent="0.25">
      <c r="D48" s="54" t="str" cm="1">
        <f t="array" ref="D48:E54">_xlfn.CHOOSECOLS(Fertiliser_Equations_InorganicN2O.VEERG_5_1_1_1__1_InorganicFertiliserApplicationN2OEmissions_Arguments(), 1, 2)</f>
        <v>MN_jf</v>
      </c>
      <c r="E48" s="55" t="str">
        <v>mass of nitrogen in inorganic fertiliser type f applied to production system j</v>
      </c>
      <c r="F48" s="93"/>
      <c r="G48" s="54" t="str" cm="1">
        <f t="array" ref="G48:H54">_xlfn.CHOOSECOLS(Fertiliser_Equations_InorganicN2O.VEERG_5_1_1_1__1_InorganicFertiliserApplicationN2OEmissions_Arguments(), 3,4)</f>
        <v>kg N</v>
      </c>
      <c r="H48" s="119" t="str">
        <v>Calculated from 5.1.1.1 (2)</v>
      </c>
      <c r="I48" s="145" t="str" cm="1">
        <f t="array" aca="1" ref="I48" ca="1">HYPERLINK(Common_InputFunctions.Utility_SourceHyperlink(D16), D16)</f>
        <v>Table_MN_j_f</v>
      </c>
      <c r="M48" s="50" t="s">
        <v>177</v>
      </c>
      <c r="N48" s="50"/>
      <c r="O48" s="50"/>
      <c r="P48" s="50"/>
      <c r="Q48" s="50">
        <f t="shared" si="2"/>
        <v>0</v>
      </c>
      <c r="R48" s="50" cm="1">
        <f t="array" ref="R48">IF(O48&gt;0, Fertiliser_Equations_InorganicN2O.VEERG_5_1_1_2__1_EmissionFactorIrrigatedMaize(O48), 0)</f>
        <v>0</v>
      </c>
      <c r="S48" s="50" cm="1">
        <f t="array" ref="S48">IF(O48&gt;0, Fertiliser_Equations_InorganicN2O.VEERG_5_1_1_2__2_EmissionFactorNonIrrigatedGrainsHighRainfall(O48), 0)</f>
        <v>0</v>
      </c>
      <c r="T48" s="50">
        <f t="shared" si="0"/>
        <v>0</v>
      </c>
      <c r="U48" s="50">
        <f t="shared" si="1"/>
        <v>0</v>
      </c>
      <c r="V48" s="50" cm="1">
        <f t="array" ref="V48">IF(O48&gt;0, Fertiliser_Equations_InorganicN2O.VEERG_5_1_1_2__3_EmissionFactorCotton(T48), 0)</f>
        <v>0</v>
      </c>
      <c r="W48" s="50">
        <f>IF(O48&gt;0,Common_InputFunctions.Utility_LookupN2OEFFromProdIrrigationRainfall($S$70,$S$73,$S$74,Table_SourceData_Common_EFN2O[Production system only],Table_SourceData_Common_EFN2O[Irrigation method],Table_SourceData_Common_EFN2O[Rainfall zone],Table_SourceData_Common_EFN2O[EFN2O]), 0)</f>
        <v>0</v>
      </c>
    </row>
    <row r="49" spans="4:24" ht="20.100000000000001" customHeight="1" x14ac:dyDescent="0.25">
      <c r="D49" s="54" t="str">
        <v>EF_jN2O</v>
      </c>
      <c r="E49" s="55" t="str">
        <v>emission factor for nitrous oxide for inorganic fertilisers</v>
      </c>
      <c r="F49" s="93"/>
      <c r="G49" s="54" t="str">
        <v>kg N2O-N/kg N applied</v>
      </c>
      <c r="H49" s="119" t="str">
        <v>Constant</v>
      </c>
      <c r="I49" s="54">
        <f>Common_InputFunctions.Utility_LookupN2OEFFromProdIrrigationRainfall(I51,I53,I54,Table_SourceData_Common_EFN2O[Production system only],Table_SourceData_Common_EFN2O[Irrigation method],Table_SourceData_Common_EFN2O[Rainfall zone],Table_SourceData_Common_EFN2O[EFN2O])</f>
        <v>7.0000000000000001E-3</v>
      </c>
      <c r="M49" s="50" t="s">
        <v>177</v>
      </c>
      <c r="N49" s="50"/>
      <c r="O49" s="50"/>
      <c r="P49" s="50"/>
      <c r="Q49" s="50">
        <f t="shared" si="2"/>
        <v>0</v>
      </c>
      <c r="R49" s="50" cm="1">
        <f t="array" ref="R49">IF(O49&gt;0, Fertiliser_Equations_InorganicN2O.VEERG_5_1_1_2__1_EmissionFactorIrrigatedMaize(O49), 0)</f>
        <v>0</v>
      </c>
      <c r="S49" s="50" cm="1">
        <f t="array" ref="S49">IF(O49&gt;0, Fertiliser_Equations_InorganicN2O.VEERG_5_1_1_2__2_EmissionFactorNonIrrigatedGrainsHighRainfall(O49), 0)</f>
        <v>0</v>
      </c>
      <c r="T49" s="50">
        <f t="shared" si="0"/>
        <v>0</v>
      </c>
      <c r="U49" s="50">
        <f t="shared" si="1"/>
        <v>0</v>
      </c>
      <c r="V49" s="50" cm="1">
        <f t="array" ref="V49">IF(O49&gt;0, Fertiliser_Equations_InorganicN2O.VEERG_5_1_1_2__3_EmissionFactorCotton(T49), 0)</f>
        <v>0</v>
      </c>
      <c r="W49" s="50">
        <f>IF(O49&gt;0,Common_InputFunctions.Utility_LookupN2OEFFromProdIrrigationRainfall($S$70,$S$73,$S$74,Table_SourceData_Common_EFN2O[Production system only],Table_SourceData_Common_EFN2O[Irrigation method],Table_SourceData_Common_EFN2O[Rainfall zone],Table_SourceData_Common_EFN2O[EFN2O]), 0)</f>
        <v>0</v>
      </c>
    </row>
    <row r="50" spans="4:24" ht="20.100000000000001" customHeight="1" x14ac:dyDescent="0.25">
      <c r="D50" s="54" t="str">
        <v>C_N2O</v>
      </c>
      <c r="E50" s="55" t="str">
        <v>factor to convert elemental mass of nitrous oxide to molecular mass</v>
      </c>
      <c r="F50" s="93"/>
      <c r="G50" s="54" t="str">
        <v/>
      </c>
      <c r="H50" s="119" t="str">
        <v>Constant</v>
      </c>
      <c r="I50" s="54">
        <f>Common_InputFunctions.Utility_LookupValueInTableNumber("N2O",Table_GasToMolecularConversionFactor[Gas],Table_GasToMolecularConversionFactor[Conversion factor combined])</f>
        <v>1.5714285714285714</v>
      </c>
      <c r="M50" s="50" t="s">
        <v>176</v>
      </c>
      <c r="N50" s="50" t="str" cm="1">
        <f t="array" ref="N50:N51">Table_Input_InorganicFertiliser_Custom[Custom blend name]</f>
        <v>My first custom blend</v>
      </c>
      <c r="O50" s="50" cm="1">
        <f t="array" ref="O50:O51">Table_Input_InorganicFertiliser_Custom[N application rate (kg/ha)]</f>
        <v>41.400000000000006</v>
      </c>
      <c r="P50" s="50" cm="1">
        <f t="array" ref="P50:P51">Table_Input_InorganicFertiliser_Custom[Application area (ha)]</f>
        <v>100</v>
      </c>
      <c r="Q50" s="50">
        <f t="shared" si="2"/>
        <v>4140.0000000000009</v>
      </c>
      <c r="R50" s="50" cm="1">
        <f t="array" ref="R50">IF(O50&gt;0, Fertiliser_Equations_InorganicN2O.VEERG_5_1_1_2__1_EmissionFactorIrrigatedMaize(O50), 0)</f>
        <v>1.0514000000000005E-3</v>
      </c>
      <c r="S50" s="50" cm="1">
        <f t="array" ref="S50">IF(O50&gt;0, Fertiliser_Equations_InorganicN2O.VEERG_5_1_1_2__2_EmissionFactorNonIrrigatedGrainsHighRainfall(O50), 0)</f>
        <v>3.8860000000000006E-3</v>
      </c>
      <c r="T50" s="50">
        <f t="shared" si="0"/>
        <v>41.400000000000006</v>
      </c>
      <c r="U50" s="50">
        <f t="shared" si="1"/>
        <v>4140.0000000000009</v>
      </c>
      <c r="V50" s="50" cm="1">
        <f t="array" ref="V50">IF(O50&gt;0, Fertiliser_Equations_InorganicN2O.VEERG_5_1_1_2__3_EmissionFactorCotton(T50), 0)</f>
        <v>2.9061317582573959E-5</v>
      </c>
      <c r="W50" s="50">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4:24" ht="20.100000000000001" customHeight="1" x14ac:dyDescent="0.25">
      <c r="D51" s="54" t="str">
        <v>j</v>
      </c>
      <c r="E51" s="55" t="str">
        <v>Production system</v>
      </c>
      <c r="F51" s="93"/>
      <c r="G51" s="54" t="str">
        <v/>
      </c>
      <c r="H51" s="120" t="str">
        <v>Input</v>
      </c>
      <c r="I51" s="54" t="str">
        <f>'Input - Fertiliser'!$E$6</f>
        <v>Crop</v>
      </c>
      <c r="M51" s="50" t="s">
        <v>176</v>
      </c>
      <c r="N51" s="50" t="str">
        <v>My second custom blend</v>
      </c>
      <c r="O51" s="50">
        <v>20</v>
      </c>
      <c r="P51" s="50">
        <v>100</v>
      </c>
      <c r="Q51" s="50">
        <f t="shared" si="2"/>
        <v>2000</v>
      </c>
      <c r="R51" s="50" cm="1">
        <f t="array" ref="R51">IF(O51&gt;0, Fertiliser_Equations_InorganicN2O.VEERG_5_1_1_2__1_EmissionFactorIrrigatedMaize(O51), 0)</f>
        <v>-2.5399999999999994E-4</v>
      </c>
      <c r="S51" s="50" cm="1">
        <f t="array" ref="S51">IF(O51&gt;0, Fertiliser_Equations_InorganicN2O.VEERG_5_1_1_2__2_EmissionFactorNonIrrigatedGrainsHighRainfall(O51), 0)</f>
        <v>2.281E-3</v>
      </c>
      <c r="T51" s="50">
        <f t="shared" si="0"/>
        <v>20</v>
      </c>
      <c r="U51" s="50">
        <f t="shared" si="1"/>
        <v>2000</v>
      </c>
      <c r="V51" s="50" cm="1">
        <f t="array" ref="V51">IF(O51&gt;0, Fertiliser_Equations_InorganicN2O.VEERG_5_1_1_2__3_EmissionFactorCotton(T51), 0)</f>
        <v>2.9038357743007298E-5</v>
      </c>
      <c r="W51" s="50">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4:24" ht="20.100000000000001" customHeight="1" x14ac:dyDescent="0.25">
      <c r="D52" s="54" t="str">
        <v>f</v>
      </c>
      <c r="E52" s="55" t="str">
        <v>Inorganic fertiliser type</v>
      </c>
      <c r="F52" s="93"/>
      <c r="G52" s="54" t="str">
        <v/>
      </c>
      <c r="H52" s="119" t="str">
        <v>Constant</v>
      </c>
      <c r="I52" s="54" t="str">
        <f>"See " &amp; D56</f>
        <v>See M1_Table_E_N2O</v>
      </c>
      <c r="M52" s="50" t="s">
        <v>176</v>
      </c>
      <c r="N52" s="50"/>
      <c r="O52" s="50"/>
      <c r="P52" s="50"/>
      <c r="Q52" s="50">
        <f t="shared" si="2"/>
        <v>0</v>
      </c>
      <c r="R52" s="50" cm="1">
        <f t="array" ref="R52">IF(O52&gt;0, Fertiliser_Equations_InorganicN2O.VEERG_5_1_1_2__1_EmissionFactorIrrigatedMaize(O52), 0)</f>
        <v>0</v>
      </c>
      <c r="S52" s="50" cm="1">
        <f t="array" ref="S52">IF(O52&gt;0, Fertiliser_Equations_InorganicN2O.VEERG_5_1_1_2__2_EmissionFactorNonIrrigatedGrainsHighRainfall(O52), 0)</f>
        <v>0</v>
      </c>
      <c r="T52" s="50">
        <f t="shared" si="0"/>
        <v>0</v>
      </c>
      <c r="U52" s="50">
        <f t="shared" si="1"/>
        <v>0</v>
      </c>
      <c r="V52" s="50" cm="1">
        <f t="array" ref="V52">IF(O52&gt;0, Fertiliser_Equations_InorganicN2O.VEERG_5_1_1_2__3_EmissionFactorCotton(T52), 0)</f>
        <v>0</v>
      </c>
      <c r="W52" s="50">
        <f>IF(O52&gt;0,Common_InputFunctions.Utility_LookupN2OEFFromProdIrrigationRainfall($S$70,$S$73,$S$74,Table_SourceData_Common_EFN2O[Production system only],Table_SourceData_Common_EFN2O[Irrigation method],Table_SourceData_Common_EFN2O[Rainfall zone],Table_SourceData_Common_EFN2O[EFN2O]), 0)</f>
        <v>0</v>
      </c>
    </row>
    <row r="53" spans="4:24" ht="20.100000000000001" customHeight="1" x14ac:dyDescent="0.25">
      <c r="D53" s="54" t="str">
        <v>ir</v>
      </c>
      <c r="E53" s="55" t="str">
        <v>irrigation method</v>
      </c>
      <c r="F53" s="93"/>
      <c r="G53" s="54" t="str">
        <v/>
      </c>
      <c r="H53" s="120" t="str">
        <v>Input</v>
      </c>
      <c r="I53" s="54" t="str">
        <f>'Input - Fertiliser'!$E$8</f>
        <v>Drip irrigation</v>
      </c>
      <c r="M53" s="50" t="s">
        <v>176</v>
      </c>
      <c r="N53" s="50"/>
      <c r="O53" s="50"/>
      <c r="P53" s="50"/>
      <c r="Q53" s="50">
        <f t="shared" si="2"/>
        <v>0</v>
      </c>
      <c r="R53" s="50" cm="1">
        <f t="array" ref="R53">IF(O53&gt;0, Fertiliser_Equations_InorganicN2O.VEERG_5_1_1_2__1_EmissionFactorIrrigatedMaize(O53), 0)</f>
        <v>0</v>
      </c>
      <c r="S53" s="50" cm="1">
        <f t="array" ref="S53">IF(O53&gt;0, Fertiliser_Equations_InorganicN2O.VEERG_5_1_1_2__2_EmissionFactorNonIrrigatedGrainsHighRainfall(O53), 0)</f>
        <v>0</v>
      </c>
      <c r="T53" s="50">
        <f t="shared" si="0"/>
        <v>0</v>
      </c>
      <c r="U53" s="50">
        <f t="shared" si="1"/>
        <v>0</v>
      </c>
      <c r="V53" s="50" cm="1">
        <f t="array" ref="V53">IF(O53&gt;0, Fertiliser_Equations_InorganicN2O.VEERG_5_1_1_2__3_EmissionFactorCotton(T53), 0)</f>
        <v>0</v>
      </c>
      <c r="W53" s="50">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54" t="str">
        <v>z</v>
      </c>
      <c r="E54" s="55" t="str">
        <v>rainfall zone</v>
      </c>
      <c r="F54" s="93"/>
      <c r="G54" s="54" t="str">
        <v/>
      </c>
      <c r="H54" s="120" t="str">
        <v>Input</v>
      </c>
      <c r="I54" s="54" t="str">
        <f>'Input - Site'!$E$30</f>
        <v>Low rainfall</v>
      </c>
      <c r="M54" s="50" t="s">
        <v>176</v>
      </c>
      <c r="N54" s="50"/>
      <c r="O54" s="50"/>
      <c r="P54" s="50"/>
      <c r="Q54" s="50">
        <f t="shared" si="2"/>
        <v>0</v>
      </c>
      <c r="R54" s="50" cm="1">
        <f t="array" ref="R54">IF(O54&gt;0, Fertiliser_Equations_InorganicN2O.VEERG_5_1_1_2__1_EmissionFactorIrrigatedMaize(O54), 0)</f>
        <v>0</v>
      </c>
      <c r="S54" s="50" cm="1">
        <f t="array" ref="S54">IF(O54&gt;0, Fertiliser_Equations_InorganicN2O.VEERG_5_1_1_2__2_EmissionFactorNonIrrigatedGrainsHighRainfall(O54), 0)</f>
        <v>0</v>
      </c>
      <c r="T54" s="50">
        <f t="shared" si="0"/>
        <v>0</v>
      </c>
      <c r="U54" s="50">
        <f t="shared" si="1"/>
        <v>0</v>
      </c>
      <c r="V54" s="50" cm="1">
        <f t="array" ref="V54">IF(O54&gt;0, Fertiliser_Equations_InorganicN2O.VEERG_5_1_1_2__3_EmissionFactorCotton(T54), 0)</f>
        <v>0</v>
      </c>
      <c r="W54" s="50">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F55" s="2"/>
    </row>
    <row r="56" spans="4:24" ht="20.100000000000001" customHeight="1" x14ac:dyDescent="0.25">
      <c r="D56" s="92" t="s">
        <v>170</v>
      </c>
      <c r="F56" s="2"/>
    </row>
    <row r="57" spans="4:24" ht="20.100000000000001" customHeight="1" x14ac:dyDescent="0.25">
      <c r="D57" s="91" t="s">
        <v>171</v>
      </c>
      <c r="F57" s="2"/>
      <c r="L57" s="44"/>
      <c r="M57" s="44"/>
      <c r="N57" s="44"/>
      <c r="O57" s="44"/>
      <c r="P57" s="44"/>
      <c r="Q57" s="44"/>
      <c r="R57" s="44"/>
      <c r="S57" s="44"/>
      <c r="T57" s="44"/>
      <c r="U57" s="44"/>
      <c r="V57" s="44"/>
      <c r="W57" s="44"/>
      <c r="X57" s="44"/>
    </row>
    <row r="58" spans="4:24" ht="20.100000000000001" customHeight="1" x14ac:dyDescent="0.25">
      <c r="D58" s="49" t="s">
        <v>112</v>
      </c>
      <c r="E58" s="49" t="s">
        <v>184</v>
      </c>
      <c r="M58" s="6" t="str" cm="1">
        <f t="array" ref="M58">Fertiliser_Equations_InorganicN2O.VEERG_5_1_1_1__1_InorganicFertiliserApplicationN2OEmissions_Title()</f>
        <v>Nitrous oxide emissions from the application of all inorganic fertiliser types f to all production systems j</v>
      </c>
    </row>
    <row r="59" spans="4:24" ht="20.100000000000001" customHeight="1" x14ac:dyDescent="0.25">
      <c r="D59" s="50" t="str" cm="1">
        <f t="array" ref="D59:D76">Table_Fertiliser_ChemicalCompounds[Fertiliser type f]</f>
        <v>Monoammonium phosphate (MAP)</v>
      </c>
      <c r="E59" s="50" cm="1">
        <f t="array" ref="E59">Fertiliser_Equations_InorganicN2O.VEERG_5_1_1_1__1_InorganicFertiliserApplicationN2OEmissions(G19,$I$49,$I$50)</f>
        <v>0</v>
      </c>
      <c r="F59" s="2" t="str">
        <f>E46</f>
        <v>t N2O</v>
      </c>
      <c r="M59" s="5" t="str" cm="1">
        <f t="array" ref="M59">Fertiliser_Equations_InorganicN2O.VEERG_5_1_1_1__1_InorganicFertiliserApplicationN2OEmissions_Source()</f>
        <v>VEERG 2026: 5.1.1.1, Equation (1)</v>
      </c>
    </row>
    <row r="60" spans="4:24" ht="20.100000000000001" customHeight="1" x14ac:dyDescent="0.25">
      <c r="D60" s="50" t="str">
        <v>Diammonium phosphate (DAP)</v>
      </c>
      <c r="E60" s="50" cm="1">
        <f t="array" ref="E60">Fertiliser_Equations_InorganicN2O.VEERG_5_1_1_1__1_InorganicFertiliserApplicationN2OEmissions(G20,$I$49,$I$50)</f>
        <v>0</v>
      </c>
      <c r="M60" s="13" t="s">
        <v>22</v>
      </c>
      <c r="N60" s="13" t="str" cm="1">
        <f t="array" aca="1" ref="N60" ca="1">Common_InputFunctions.Utility_DisplayFunctionName($E$59)</f>
        <v>=Fertiliser_Equations_InorganicN2O.VEERG_5_1_1_1__1_InorganicFertiliserApplicationN2OEmissions</v>
      </c>
    </row>
    <row r="61" spans="4:24" ht="20.100000000000001" customHeight="1" x14ac:dyDescent="0.25">
      <c r="D61" s="50" t="str">
        <v>Urea</v>
      </c>
      <c r="E61" s="50" cm="1">
        <f t="array" ref="E61">Fertiliser_Equations_InorganicN2O.VEERG_5_1_1_1__1_InorganicFertiliserApplicationN2OEmissions(G21,$I$49,$I$50)</f>
        <v>6.5340000008800012E-2</v>
      </c>
    </row>
    <row r="62" spans="4:24" ht="20.100000000000001" customHeight="1" x14ac:dyDescent="0.25">
      <c r="D62" s="50" t="str">
        <v>Sulphate of ammonia (SOA)</v>
      </c>
      <c r="E62" s="50" cm="1">
        <f t="array" ref="E62">Fertiliser_Equations_InorganicN2O.VEERG_5_1_1_1__1_InorganicFertiliserApplicationN2OEmissions(G22,$I$49,$I$50)</f>
        <v>0</v>
      </c>
    </row>
    <row r="63" spans="4:24" ht="20.100000000000001" customHeight="1" x14ac:dyDescent="0.25">
      <c r="D63" s="50" t="str">
        <v>Urea-ammonium nitrate (UAN)</v>
      </c>
      <c r="E63" s="50" cm="1">
        <f t="array" ref="E63">Fertiliser_Equations_InorganicN2O.VEERG_5_1_1_1__1_InorganicFertiliserApplicationN2OEmissions(G23,$I$49,$I$50)</f>
        <v>0</v>
      </c>
    </row>
    <row r="64" spans="4:24" ht="20.100000000000001" customHeight="1" x14ac:dyDescent="0.25">
      <c r="D64" s="50" t="str">
        <v>Ammonium nitrate (AN)</v>
      </c>
      <c r="E64" s="50" cm="1">
        <f t="array" ref="E64">Fertiliser_Equations_InorganicN2O.VEERG_5_1_1_1__1_InorganicFertiliserApplicationN2OEmissions(G24,$I$49,$I$50)</f>
        <v>0</v>
      </c>
      <c r="M64" s="51" t="s">
        <v>25</v>
      </c>
      <c r="N64" s="1" t="str" cm="1">
        <f t="array" ref="N64">Fertiliser_Equations_InorganicN2O.VEERG_5_1_1_1__1_InorganicFertiliserApplicationN2OEmissions_Variable()</f>
        <v>E_N2O</v>
      </c>
    </row>
    <row r="65" spans="4:19" ht="20.100000000000001" customHeight="1" x14ac:dyDescent="0.25">
      <c r="D65" s="50" t="str">
        <v>Calcium ammonium nitrate (CAN)</v>
      </c>
      <c r="E65" s="50" cm="1">
        <f t="array" ref="E65">Fertiliser_Equations_InorganicN2O.VEERG_5_1_1_1__1_InorganicFertiliserApplicationN2OEmissions(G25,$I$49,$I$50)</f>
        <v>0</v>
      </c>
      <c r="M65" s="51" t="s">
        <v>16</v>
      </c>
      <c r="N65" s="52" t="str" cm="1">
        <f t="array" ref="N65">Fertiliser_Equations_InorganicN2O.VEERG_5_1_1_1__1_InorganicFertiliserApplicationN2OEmissions_Unit()</f>
        <v>t N2O</v>
      </c>
    </row>
    <row r="66" spans="4:19" ht="20.100000000000001" customHeight="1" x14ac:dyDescent="0.25">
      <c r="D66" s="50" t="str">
        <v>Nitrogen - Ammoniacal</v>
      </c>
      <c r="E66" s="50" cm="1">
        <f t="array" ref="E66">Fertiliser_Equations_InorganicN2O.VEERG_5_1_1_1__1_InorganicFertiliserApplicationN2OEmissions(G26,$I$49,$I$50)</f>
        <v>3.85E-2</v>
      </c>
    </row>
    <row r="67" spans="4:19" ht="20.100000000000001" customHeight="1" x14ac:dyDescent="0.25">
      <c r="D67" s="50" t="str">
        <v>Nitrogen - Nitrate</v>
      </c>
      <c r="E67" s="50" cm="1">
        <f t="array" ref="E67">Fertiliser_Equations_InorganicN2O.VEERG_5_1_1_1__1_InorganicFertiliserApplicationN2OEmissions(G27,$I$49,$I$50)</f>
        <v>1.6500000000000001E-2</v>
      </c>
      <c r="M67" s="54" t="str" cm="1">
        <f t="array" ref="M67:N74">_xlfn.CHOOSECOLS(Fertiliser_Equations_InorganicN2O.VEERG_5_1_1_1__1_InorganicFertiliserApplicationN2OEmissions_Arguments_Method2(), 1, 2)</f>
        <v>MN_jf</v>
      </c>
      <c r="N67" s="55" t="str">
        <v>mass of nitrogen in inorganic fertiliser type f applied to production system j</v>
      </c>
      <c r="O67" s="93"/>
      <c r="P67" s="56"/>
      <c r="Q67" s="54" t="str" cm="1">
        <f t="array" ref="Q67:R74">_xlfn.CHOOSECOLS(Fertiliser_Equations_InorganicN2O.VEERG_5_1_1_1__1_InorganicFertiliserApplicationN2OEmissions_Arguments_Method2(), 3,4)</f>
        <v>kg N</v>
      </c>
      <c r="R67" s="119" t="str">
        <v>Calculated from 5.1.1.1 (2)</v>
      </c>
      <c r="S67" s="145" t="str" cm="1">
        <f t="array" aca="1" ref="S67" ca="1">HYPERLINK(Common_InputFunctions.Utility_SourceHyperlink(M41), M41)</f>
        <v>M2_Table_FertApplications</v>
      </c>
    </row>
    <row r="68" spans="4:19" ht="20.100000000000001" customHeight="1" x14ac:dyDescent="0.25">
      <c r="D68" s="50" t="str">
        <v>Nitrogen - Generic</v>
      </c>
      <c r="E68" s="50" cm="1">
        <f t="array" ref="E68">Fertiliser_Equations_InorganicN2O.VEERG_5_1_1_1__1_InorganicFertiliserApplicationN2OEmissions(G28,$I$49,$I$50)</f>
        <v>1.2320000000000001E-2</v>
      </c>
      <c r="M68" s="54" t="str">
        <v>EF_jN2O</v>
      </c>
      <c r="N68" s="55" t="str">
        <v>emission factor for nitrous oxide for inorganic fertilisers</v>
      </c>
      <c r="O68" s="93"/>
      <c r="P68" s="56"/>
      <c r="Q68" s="54" t="str">
        <v>kg N2O-N/kg N applied</v>
      </c>
      <c r="R68" s="119" t="str">
        <v>Calculated from 5.1.1.2 (1)(2)(3)</v>
      </c>
      <c r="S68" s="54" t="str" cm="1">
        <f t="array" ref="S68">_xlfn.IFS(
  AND(S70="crop", S71="grains", S73="not irrigated", S74="high rainfall"), $S$44,
  AND(S70="Crop", S71="maize", S73&lt;&gt;"not irrigated"), $R$44,
  AND(S70="Crop", S71="cotton"), $V$44,
  TRUE, $W$44
)</f>
        <v>EF_jN2O</v>
      </c>
    </row>
    <row r="69" spans="4:19" ht="20.100000000000001" customHeight="1" x14ac:dyDescent="0.25">
      <c r="D69" s="50" t="str">
        <v>Phosphorus - Generic</v>
      </c>
      <c r="E69" s="50" cm="1">
        <f t="array" ref="E69">Fertiliser_Equations_InorganicN2O.VEERG_5_1_1_1__1_InorganicFertiliserApplicationN2OEmissions(G29,$I$49,$I$50)</f>
        <v>0</v>
      </c>
      <c r="M69" s="54" t="str">
        <v>C_N2O</v>
      </c>
      <c r="N69" s="55" t="str">
        <v>factor to convert elemental mass of nitrous oxide to molecular mass</v>
      </c>
      <c r="O69" s="93"/>
      <c r="P69" s="56"/>
      <c r="Q69" s="54" t="str">
        <v/>
      </c>
      <c r="R69" s="119" t="str">
        <v>Constant</v>
      </c>
      <c r="S69" s="54">
        <f>Common_InputFunctions.Utility_LookupValueInTableNumber("N2O",Table_GasToMolecularConversionFactor[Gas],Table_GasToMolecularConversionFactor[Conversion factor combined])</f>
        <v>1.5714285714285714</v>
      </c>
    </row>
    <row r="70" spans="4:19" ht="20.100000000000001" customHeight="1" x14ac:dyDescent="0.25">
      <c r="D70" s="50" t="str">
        <v>Potassium - Generic</v>
      </c>
      <c r="E70" s="50" cm="1">
        <f t="array" ref="E70">Fertiliser_Equations_InorganicN2O.VEERG_5_1_1_1__1_InorganicFertiliserApplicationN2OEmissions(G30,$I$49,$I$50)</f>
        <v>0</v>
      </c>
      <c r="M70" s="54" t="str">
        <v>j</v>
      </c>
      <c r="N70" s="55" t="str">
        <v>Production system</v>
      </c>
      <c r="O70" s="93"/>
      <c r="P70" s="56"/>
      <c r="Q70" s="54" t="str">
        <v/>
      </c>
      <c r="R70" s="120" t="str">
        <v>Input</v>
      </c>
      <c r="S70" s="54" t="str">
        <f>'Input - Fertiliser'!$E$6</f>
        <v>Crop</v>
      </c>
    </row>
    <row r="71" spans="4:19" ht="20.100000000000001" customHeight="1" x14ac:dyDescent="0.25">
      <c r="D71" s="50" t="str">
        <v>Sulfur - Generic</v>
      </c>
      <c r="E71" s="50" cm="1">
        <f t="array" ref="E71">Fertiliser_Equations_InorganicN2O.VEERG_5_1_1_1__1_InorganicFertiliserApplicationN2OEmissions(G31,$I$49,$I$50)</f>
        <v>0</v>
      </c>
      <c r="M71" s="54" t="str">
        <v>c</v>
      </c>
      <c r="N71" s="55" t="str">
        <v>Crop type</v>
      </c>
      <c r="O71" s="93"/>
      <c r="P71" s="56"/>
      <c r="Q71" s="54" t="str">
        <v/>
      </c>
      <c r="R71" s="120" t="str">
        <v>Input</v>
      </c>
      <c r="S71" s="54" t="str">
        <f>'Input - Fertiliser'!$E$7</f>
        <v>Grains</v>
      </c>
    </row>
    <row r="72" spans="4:19" ht="20.100000000000001" customHeight="1" x14ac:dyDescent="0.25">
      <c r="D72" s="50" t="str">
        <v>Zinc - Generic</v>
      </c>
      <c r="E72" s="50" cm="1">
        <f t="array" ref="E72">Fertiliser_Equations_InorganicN2O.VEERG_5_1_1_1__1_InorganicFertiliserApplicationN2OEmissions(G32,$I$49,$I$50)</f>
        <v>0</v>
      </c>
      <c r="M72" s="54" t="str">
        <v>f</v>
      </c>
      <c r="N72" s="55" t="str">
        <v>Inorganic fertiliser type</v>
      </c>
      <c r="O72" s="93"/>
      <c r="P72" s="56"/>
      <c r="Q72" s="54" t="str">
        <v/>
      </c>
      <c r="R72" s="119" t="str">
        <v>Constant</v>
      </c>
      <c r="S72" s="54" t="s">
        <v>186</v>
      </c>
    </row>
    <row r="73" spans="4:19" ht="20.100000000000001" customHeight="1" x14ac:dyDescent="0.25">
      <c r="D73" s="50" t="str">
        <v>Muriate of potash (MOP)</v>
      </c>
      <c r="E73" s="50" cm="1">
        <f t="array" ref="E73">Fertiliser_Equations_InorganicN2O.VEERG_5_1_1_1__1_InorganicFertiliserApplicationN2OEmissions(G33,$I$49,$I$50)</f>
        <v>0</v>
      </c>
      <c r="M73" s="54" t="str">
        <v>ir</v>
      </c>
      <c r="N73" s="55" t="str">
        <v>irrigation method</v>
      </c>
      <c r="O73" s="93"/>
      <c r="P73" s="56"/>
      <c r="Q73" s="54" t="str">
        <v/>
      </c>
      <c r="R73" s="120" t="str">
        <v>Input</v>
      </c>
      <c r="S73" s="54" t="str">
        <f>'Input - Fertiliser'!$E$8</f>
        <v>Drip irrigation</v>
      </c>
    </row>
    <row r="74" spans="4:19" ht="20.100000000000001" customHeight="1" x14ac:dyDescent="0.25">
      <c r="D74" s="50" t="str">
        <v>Double superphosphate</v>
      </c>
      <c r="E74" s="50" cm="1">
        <f t="array" ref="E74">Fertiliser_Equations_InorganicN2O.VEERG_5_1_1_1__1_InorganicFertiliserApplicationN2OEmissions(G34,$I$49,$I$50)</f>
        <v>0</v>
      </c>
      <c r="M74" s="55" t="str">
        <v>z</v>
      </c>
      <c r="N74" s="55" t="str">
        <v>rainfall zone</v>
      </c>
      <c r="O74" s="93"/>
      <c r="P74" s="93"/>
      <c r="Q74" s="54" t="str">
        <v/>
      </c>
      <c r="R74" s="120" t="str">
        <v>Input</v>
      </c>
      <c r="S74" s="54" t="str">
        <f>'Input - Site'!$E$30</f>
        <v>Low rainfall</v>
      </c>
    </row>
    <row r="75" spans="4:19" ht="20.100000000000001" customHeight="1" x14ac:dyDescent="0.25">
      <c r="D75" s="50" t="str">
        <v>Single superphosphate (SSP)</v>
      </c>
      <c r="E75" s="50" cm="1">
        <f t="array" ref="E75">Fertiliser_Equations_InorganicN2O.VEERG_5_1_1_1__1_InorganicFertiliserApplicationN2OEmissions(G35,$I$49,$I$50)</f>
        <v>0</v>
      </c>
    </row>
    <row r="76" spans="4:19" ht="20.100000000000001" customHeight="1" x14ac:dyDescent="0.25">
      <c r="D76" s="50" t="str">
        <v>Ammonia</v>
      </c>
      <c r="E76" s="50" cm="1">
        <f t="array" ref="E76">Fertiliser_Equations_InorganicN2O.VEERG_5_1_1_1__1_InorganicFertiliserApplicationN2OEmissions(G36,$I$49,$I$50)</f>
        <v>0</v>
      </c>
      <c r="M76" s="49" t="s">
        <v>172</v>
      </c>
      <c r="N76" s="49" t="s">
        <v>172</v>
      </c>
      <c r="O76" s="49" t="s">
        <v>185</v>
      </c>
      <c r="P76" s="49" t="s">
        <v>184</v>
      </c>
    </row>
    <row r="77" spans="4:19" ht="20.100000000000001" customHeight="1" x14ac:dyDescent="0.25">
      <c r="M77" s="50" t="s">
        <v>177</v>
      </c>
      <c r="N77" s="50" t="str" cm="1">
        <f t="array" ref="N77:N79">Table_Input_InorganicFertiliser_Brands[Product (select)]</f>
        <v>Aqua Finish</v>
      </c>
      <c r="O77" s="50" cm="1">
        <f t="array" ref="O77">_xlfn.XLOOKUP(N77,$N$45:$N$54,_xlfn.XLOOKUP($S$68,$R$44:$W$44,$R$45:$W$54), "")</f>
        <v>7.0000000000000001E-3</v>
      </c>
      <c r="P77" s="50" cm="1">
        <f t="array" ref="P77">Fertiliser_Equations_InorganicN2O.VEERG_5_1_1_1__1_InorganicFertiliserApplicationN2OEmissions(Q45,O77,$S$69)</f>
        <v>5.7200000000000003E-3</v>
      </c>
    </row>
    <row r="78" spans="4:19" ht="20.100000000000001" customHeight="1" x14ac:dyDescent="0.25">
      <c r="D78" s="94" t="s">
        <v>163</v>
      </c>
      <c r="E78" s="95">
        <f>SUM(E59:E76)</f>
        <v>0.13266000000880002</v>
      </c>
      <c r="F78" s="96" t="str">
        <f>$E$46</f>
        <v>t N2O</v>
      </c>
      <c r="M78" s="50" t="s">
        <v>177</v>
      </c>
      <c r="N78" s="50" t="str">
        <v>Compass</v>
      </c>
      <c r="O78" s="50" cm="1">
        <f t="array" ref="O78">_xlfn.XLOOKUP(N78,$N$45:$N$54,_xlfn.XLOOKUP($S$68,$R$44:$W$44,$R$45:$W$54), FALSE)</f>
        <v>7.0000000000000001E-3</v>
      </c>
      <c r="P78" s="50" cm="1">
        <f t="array" ref="P78">Fertiliser_Equations_InorganicN2O.VEERG_5_1_1_1__1_InorganicFertiliserApplicationN2OEmissions(Q46,O78,$S$69)</f>
        <v>3.3000000000000002E-2</v>
      </c>
    </row>
    <row r="79" spans="4:19" ht="20.100000000000001" customHeight="1" x14ac:dyDescent="0.25">
      <c r="M79" s="50" t="s">
        <v>177</v>
      </c>
      <c r="N79" s="50" t="str">
        <v>CoRoN 12-0-10</v>
      </c>
      <c r="O79" s="50" cm="1">
        <f t="array" ref="O79">_xlfn.XLOOKUP(N79,$N$45:$N$54,_xlfn.XLOOKUP($S$68,$R$44:$W$44,$R$45:$W$54))</f>
        <v>7.0000000000000001E-3</v>
      </c>
      <c r="P79" s="50" cm="1">
        <f t="array" ref="P79">Fertiliser_Equations_InorganicN2O.VEERG_5_1_1_1__1_InorganicFertiliserApplicationN2OEmissions(Q47,O79,$S$69)</f>
        <v>2.6400000008800006E-2</v>
      </c>
    </row>
    <row r="80" spans="4:19" ht="20.100000000000001" customHeight="1" x14ac:dyDescent="0.25">
      <c r="D80" s="54" t="str" cm="1">
        <f t="array" ref="D80:E81">Common_Equations.Common_ConvertN2OToCO2e_Arguments()</f>
        <v>EN2O</v>
      </c>
      <c r="E80" s="55" t="str">
        <v>Nitrous oxide emissions (t N2O)</v>
      </c>
      <c r="F80" s="97"/>
      <c r="G80" s="50">
        <f>E78</f>
        <v>0.13266000000880002</v>
      </c>
      <c r="M80" s="50" t="s">
        <v>177</v>
      </c>
      <c r="N80" s="50"/>
      <c r="O80" s="50" cm="1">
        <f t="array" ref="O80">_xlfn.XLOOKUP(N80,$N$45:$N$54,_xlfn.XLOOKUP($S$68,$R$44:$W$44,$R$45:$W$54))</f>
        <v>0</v>
      </c>
      <c r="P80" s="50" cm="1">
        <f t="array" ref="P80">Fertiliser_Equations_InorganicN2O.VEERG_5_1_1_1__1_InorganicFertiliserApplicationN2OEmissions(Q48,O80,$S$69)</f>
        <v>0</v>
      </c>
    </row>
    <row r="81" spans="1:16" ht="20.100000000000001" customHeight="1" x14ac:dyDescent="0.25">
      <c r="D81" s="54" t="str">
        <v>GWPN2O</v>
      </c>
      <c r="E81" s="55" t="str">
        <v>Global warming potential for nitrous oxide (t CO2-e / t N2O)</v>
      </c>
      <c r="F81" s="97"/>
      <c r="G81" s="50">
        <f>Common_InputFunctions.Utility_LookupValueInTableNumber("N2O",Table_GWPData[Gas],Table_GWPData[CO2-e factor])</f>
        <v>265</v>
      </c>
      <c r="M81" s="50" t="s">
        <v>177</v>
      </c>
      <c r="N81" s="50"/>
      <c r="O81" s="50" cm="1">
        <f t="array" ref="O81">_xlfn.XLOOKUP(N81,$N$45:$N$54,_xlfn.XLOOKUP($S$68,$R$44:$W$44,$R$45:$W$54))</f>
        <v>0</v>
      </c>
      <c r="P81" s="50" cm="1">
        <f t="array" ref="P81">Fertiliser_Equations_InorganicN2O.VEERG_5_1_1_1__1_InorganicFertiliserApplicationN2OEmissions(Q49,O81,$S$69)</f>
        <v>0</v>
      </c>
    </row>
    <row r="82" spans="1:16" ht="20.100000000000001" customHeight="1" x14ac:dyDescent="0.25">
      <c r="M82" s="50" t="s">
        <v>176</v>
      </c>
      <c r="N82" s="50" t="str" cm="1">
        <f t="array" ref="N82:N83">Table_Input_InorganicFertiliser_Custom[Custom blend name]</f>
        <v>My first custom blend</v>
      </c>
      <c r="O82" s="50" cm="1">
        <f t="array" ref="O82">_xlfn.XLOOKUP(N82,$N$45:$N$54,_xlfn.XLOOKUP($S$68,$R$44:$W$44,$R$45:$W$54))</f>
        <v>7.0000000000000001E-3</v>
      </c>
      <c r="P82" s="50" cm="1">
        <f t="array" ref="P82">Fertiliser_Equations_InorganicN2O.VEERG_5_1_1_1__1_InorganicFertiliserApplicationN2OEmissions(Q50,O82,$S$69)</f>
        <v>4.5540000000000011E-2</v>
      </c>
    </row>
    <row r="83" spans="1:16" ht="20.100000000000001" customHeight="1" x14ac:dyDescent="0.25">
      <c r="A83" s="157" t="str">
        <f>HYPERLINK("#A1", "▲ Back to top")</f>
        <v>▲ Back to top</v>
      </c>
      <c r="D83" s="44" t="s">
        <v>79</v>
      </c>
      <c r="E83" s="44" cm="1">
        <f t="array" ref="E83">Common_Equations.Common_ConvertN2OToCO2e(G80,G81)</f>
        <v>35.154900002332006</v>
      </c>
      <c r="F83" s="98" t="str" cm="1">
        <f t="array" ref="F83">Common_Equations.Common_ConvertN2OToCO2e_Unit()</f>
        <v>t CO2e</v>
      </c>
      <c r="M83" s="50" t="s">
        <v>176</v>
      </c>
      <c r="N83" s="50" t="str">
        <v>My second custom blend</v>
      </c>
      <c r="O83" s="50" cm="1">
        <f t="array" ref="O83">_xlfn.XLOOKUP(N83,$N$45:$N$54,_xlfn.XLOOKUP($S$68,$R$44:$W$44,$R$45:$W$54))</f>
        <v>7.0000000000000001E-3</v>
      </c>
      <c r="P83" s="50" cm="1">
        <f t="array" ref="P83">Fertiliser_Equations_InorganicN2O.VEERG_5_1_1_1__1_InorganicFertiliserApplicationN2OEmissions(Q51,O83,$S$69)</f>
        <v>2.1999999999999999E-2</v>
      </c>
    </row>
    <row r="84" spans="1:16" ht="20.100000000000001" customHeight="1" x14ac:dyDescent="0.25">
      <c r="M84" s="50" t="s">
        <v>176</v>
      </c>
      <c r="N84" s="50"/>
      <c r="O84" s="50" cm="1">
        <f t="array" ref="O84">_xlfn.XLOOKUP(N84,$N$45:$N$54,_xlfn.XLOOKUP($S$68,$R$44:$W$44,$R$45:$W$54))</f>
        <v>0</v>
      </c>
      <c r="P84" s="50" cm="1">
        <f t="array" ref="P84">Fertiliser_Equations_InorganicN2O.VEERG_5_1_1_1__1_InorganicFertiliserApplicationN2OEmissions(Q52,O84,$S$69)</f>
        <v>0</v>
      </c>
    </row>
    <row r="85" spans="1:16" ht="20.100000000000001" customHeight="1" x14ac:dyDescent="0.25">
      <c r="M85" s="50" t="s">
        <v>176</v>
      </c>
      <c r="N85" s="50"/>
      <c r="O85" s="50" cm="1">
        <f t="array" ref="O85">_xlfn.XLOOKUP(N85,$N$45:$N$54,_xlfn.XLOOKUP($S$68,$R$44:$W$44,$R$45:$W$54))</f>
        <v>0</v>
      </c>
      <c r="P85" s="50" cm="1">
        <f t="array" ref="P85">Fertiliser_Equations_InorganicN2O.VEERG_5_1_1_1__1_InorganicFertiliserApplicationN2OEmissions(Q53,O85,$S$69)</f>
        <v>0</v>
      </c>
    </row>
    <row r="86" spans="1:16" ht="20.100000000000001" customHeight="1" x14ac:dyDescent="0.25">
      <c r="M86" s="50" t="s">
        <v>176</v>
      </c>
      <c r="N86" s="50"/>
      <c r="O86" s="50" cm="1">
        <f t="array" ref="O86">_xlfn.XLOOKUP(N86,$N$45:$N$54,_xlfn.XLOOKUP($S$68,$R$44:$W$44,$R$45:$W$54))</f>
        <v>0</v>
      </c>
      <c r="P86" s="50" cm="1">
        <f t="array" ref="P86">Fertiliser_Equations_InorganicN2O.VEERG_5_1_1_1__1_InorganicFertiliserApplicationN2OEmissions(Q54,O86,$S$69)</f>
        <v>0</v>
      </c>
    </row>
    <row r="87" spans="1:16" ht="20.100000000000001" customHeight="1" x14ac:dyDescent="0.25"/>
    <row r="88" spans="1:16" ht="20.100000000000001" customHeight="1" x14ac:dyDescent="0.25">
      <c r="M88" s="94" t="s">
        <v>163</v>
      </c>
      <c r="N88" s="95">
        <f>SUM(P77:P86)</f>
        <v>0.13266000000880002</v>
      </c>
      <c r="O88" s="96" t="str">
        <f>$E$46</f>
        <v>t N2O</v>
      </c>
    </row>
    <row r="89" spans="1:16" ht="20.100000000000001" customHeight="1" x14ac:dyDescent="0.25"/>
    <row r="90" spans="1:16" ht="20.100000000000001" customHeight="1" x14ac:dyDescent="0.25">
      <c r="M90" s="54" t="str" cm="1">
        <f t="array" ref="M90:N91">Common_Equations.Common_ConvertN2OToCO2e_Arguments()</f>
        <v>EN2O</v>
      </c>
      <c r="N90" s="55" t="str">
        <v>Nitrous oxide emissions (t N2O)</v>
      </c>
      <c r="O90" s="97"/>
      <c r="P90" s="50">
        <f>N88</f>
        <v>0.13266000000880002</v>
      </c>
    </row>
    <row r="91" spans="1:16" ht="20.100000000000001" customHeight="1" x14ac:dyDescent="0.25">
      <c r="M91" s="54" t="str">
        <v>GWPN2O</v>
      </c>
      <c r="N91" s="55" t="str">
        <v>Global warming potential for nitrous oxide (t CO2-e / t N2O)</v>
      </c>
      <c r="O91" s="97"/>
      <c r="P91" s="50">
        <f>Common_InputFunctions.Utility_LookupValueInTableNumber("N2O",Table_GWPData[Gas],Table_GWPData[CO2-e factor])</f>
        <v>265</v>
      </c>
    </row>
    <row r="92" spans="1:16" ht="20.100000000000001" customHeight="1" x14ac:dyDescent="0.25"/>
    <row r="93" spans="1:16" ht="20.100000000000001" customHeight="1" x14ac:dyDescent="0.25">
      <c r="M93" s="44" t="s">
        <v>79</v>
      </c>
      <c r="N93" s="44" cm="1">
        <f t="array" ref="N93">Common_Equations.Common_ConvertN2OToCO2e(P90,P91)</f>
        <v>35.154900002332006</v>
      </c>
      <c r="O93" s="98" t="str" cm="1">
        <f t="array" ref="O93">Common_Equations.Common_ConvertN2OToCO2e_Unit()</f>
        <v>t CO2e</v>
      </c>
    </row>
    <row r="94" spans="1:16" ht="20.100000000000001" customHeight="1" x14ac:dyDescent="0.25"/>
    <row r="95" spans="1:16" ht="20.100000000000001" customHeight="1" x14ac:dyDescent="0.25"/>
    <row r="96" spans="1: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N172:W172 O150:R150 E269 N166:W166 O143:W144 E228 O167:W167 G132 I129:I133 F134:I134 F129:F132 H128:H132 G129 F148:I148 I149 F150:I150 R149:W149" xr:uid="{AF7BB680-B75F-4AE8-AA2D-EDF03FCB10D8}"/>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31" workbookViewId="0">
      <selection activeCell="D37" sqref="D3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206</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Fertiliser_Equations_InorganicCO2.VEERG_5_1_1_3__2_MassOfUreaInInorganicFertiliser_Title()</f>
        <v>Mass of urea applied to production system</v>
      </c>
    </row>
    <row r="6" spans="1:21" ht="20.100000000000001" customHeight="1" x14ac:dyDescent="0.25">
      <c r="A6" s="16"/>
      <c r="D6" s="5" t="str" cm="1">
        <f t="array" ref="D6">Fertiliser_Equations_InorganicCO2.VEERG_5_1_1_3__2_MassOfUreaInInorganicFertiliser_Source()</f>
        <v>VEERG 2026: 5.1.1.3, Equation (2)</v>
      </c>
    </row>
    <row r="7" spans="1:21" ht="20.100000000000001" customHeight="1" x14ac:dyDescent="0.25">
      <c r="A7" s="20" t="s">
        <v>1</v>
      </c>
      <c r="D7" s="13" t="s">
        <v>22</v>
      </c>
      <c r="E7" s="13" t="str" cm="1">
        <f t="array" aca="1" ref="E7" ca="1">Common_InputFunctions.Utility_DisplayFunctionName(G19)</f>
        <v>=Fertiliser_Equations_InorganicCO2.VEERG_5_1_1_3__2_MassOfUreaInInorganicFertiliser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Fertiliser_Equations_InorganicCO2.VEERG_5_1_1_3__2_MassOfUreaInInorganicFertiliser_Variable()</f>
        <v>MU_jf</v>
      </c>
    </row>
    <row r="11" spans="1:21" ht="20.100000000000001" customHeight="1" x14ac:dyDescent="0.25">
      <c r="A11" s="19" t="s">
        <v>69</v>
      </c>
      <c r="D11" s="51" t="s">
        <v>16</v>
      </c>
      <c r="E11" s="52" t="str" cm="1">
        <f t="array" ref="E11">Fertiliser_Equations_InorganicCO2.VEERG_5_1_1_3__2_MassOfUreaInInorganicFertiliser_Unit()</f>
        <v>kg urea</v>
      </c>
    </row>
    <row r="12" spans="1:21" ht="20.100000000000001" customHeight="1" x14ac:dyDescent="0.25">
      <c r="A12" s="17" t="str">
        <f>HYPERLINK("#'5.1.1.1-2 Inorganic Fert N2O'!A1", "5.1.1.1-2 Inorganic Fert N2O")</f>
        <v>5.1.1.1-2 Inorganic Fert N2O</v>
      </c>
    </row>
    <row r="13" spans="1:21" ht="20.100000000000001" customHeight="1" x14ac:dyDescent="0.25">
      <c r="A13" s="177" t="str">
        <f>HYPERLINK("#'5.1.1.3-4 Inorganic fert CO2'!A1", "5.1.1.3-4 Inorganic fert CO2")</f>
        <v>5.1.1.3-4 Inorganic fert CO2</v>
      </c>
      <c r="D13" s="54" t="str" cm="1">
        <f t="array" ref="D13:E14">_xlfn.CHOOSECOLS(Fertiliser_Equations_InorganicCO2.VEERG_5_1_1_3__2_MassOfUreaInInorganicFertiliser_Arguments(), 1, 2)</f>
        <v>TM_jf</v>
      </c>
      <c r="E13" s="55" t="str">
        <v>total mass of inorganic fertiliser type f applied to production system j</v>
      </c>
      <c r="F13" s="56"/>
      <c r="G13" s="54" t="str" cm="1">
        <f t="array" ref="G13:H14">_xlfn.CHOOSECOLS(Fertiliser_Equations_InorganicCO2.VEERG_5_1_1_3__2_MassOfUreaInInorganicFertiliser_Arguments(), 3, 4)</f>
        <v>kg</v>
      </c>
      <c r="H13" s="120" t="str">
        <v>Input</v>
      </c>
      <c r="I13" s="145" t="str" cm="1">
        <f t="array" aca="1" ref="I13" ca="1">HYPERLINK(Common_InputFunctions.Utility_SourceHyperlink($D$16), $D$16)</f>
        <v>Table_MU_j_f</v>
      </c>
    </row>
    <row r="14" spans="1:21" ht="20.100000000000001" customHeight="1" x14ac:dyDescent="0.25">
      <c r="A14" s="17" t="str">
        <f>HYPERLINK("#'5.2.1.1-2 Organic Fert N2O'!A1", "5.2.1.1-2 Organic Fert N2O")</f>
        <v>5.2.1.1-2 Organic Fert N2O</v>
      </c>
      <c r="D14" s="54" t="str">
        <v>FU_f</v>
      </c>
      <c r="E14" s="55" t="str">
        <v>fraction of urea in fertiliser type f</v>
      </c>
      <c r="F14" s="56"/>
      <c r="G14" s="54" t="str">
        <v>kg urea/kg</v>
      </c>
      <c r="H14" s="119" t="str">
        <v>Lookup</v>
      </c>
      <c r="I14" s="145" t="str" cm="1">
        <f t="array" aca="1" ref="I14" ca="1">HYPERLINK(Common_InputFunctions.Utility_SourceHyperlink($D$16), $D$16)</f>
        <v>Table_MU_j_f</v>
      </c>
    </row>
    <row r="15" spans="1:21" ht="20.100000000000001" customHeight="1" x14ac:dyDescent="0.25">
      <c r="A15" s="17" t="str">
        <f>HYPERLINK("#'5.3.1.1-2 Lime CO2'!A1", "5.3.1.1-2 Lime CO2")</f>
        <v>5.3.1.1-2 Lime CO2</v>
      </c>
    </row>
    <row r="16" spans="1:21" ht="20.100000000000001" customHeight="1" x14ac:dyDescent="0.25">
      <c r="A16" s="17" t="str">
        <f>HYPERLINK("#'5.4.1.1-4 Atmos deposition'!A1", "5.4.1.1-4 Atmos deposition")</f>
        <v>5.4.1.1-4 Atmos deposition</v>
      </c>
      <c r="D16" s="92" t="s">
        <v>207</v>
      </c>
    </row>
    <row r="17" spans="1:7" ht="20.100000000000001" customHeight="1" x14ac:dyDescent="0.25">
      <c r="A17" s="17" t="str">
        <f>HYPERLINK("#'5.5.1.1-2 Leaching and runoff'!A1", "5.5.1.1-2 Leaching and runoff")</f>
        <v>5.5.1.1-2 Leaching and runoff</v>
      </c>
      <c r="D17" s="91" t="s">
        <v>208</v>
      </c>
    </row>
    <row r="18" spans="1:7" ht="20.100000000000001" customHeight="1" x14ac:dyDescent="0.25">
      <c r="D18" s="49" t="s">
        <v>112</v>
      </c>
      <c r="E18" s="112" t="s">
        <v>144</v>
      </c>
      <c r="F18" s="49" t="s">
        <v>209</v>
      </c>
      <c r="G18" s="49" t="s">
        <v>212</v>
      </c>
    </row>
    <row r="19" spans="1:7" ht="20.100000000000001" customHeight="1" x14ac:dyDescent="0.25">
      <c r="A19" s="18" t="s">
        <v>2</v>
      </c>
      <c r="D19" s="50" t="str" cm="1">
        <f t="array" ref="D19:D36">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f],Table_Fertiliser_ChemicalCompounds[FU f])</f>
        <v>0</v>
      </c>
      <c r="G19" s="50" cm="1">
        <f t="array" ref="G19">Fertiliser_Equations_InorganicCO2.VEERG_5_1_1_3__2_MassOfUreaInInorganicFertiliser(E19,F19)</f>
        <v>0</v>
      </c>
    </row>
    <row r="20" spans="1:7"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f],Table_Fertiliser_ChemicalCompounds[FU f])</f>
        <v>0</v>
      </c>
      <c r="G20" s="50" cm="1">
        <f t="array" ref="G20">Fertiliser_Equations_InorganicCO2.VEERG_5_1_1_3__2_MassOfUreaInInorganicFertiliser(E20,F20)</f>
        <v>0</v>
      </c>
    </row>
    <row r="21" spans="1:7"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12913.04348</v>
      </c>
      <c r="F21" s="50" cm="1">
        <f t="array" ref="F21">Common_InputFunctions.Utility_LookupValueInTableNumber(D21,Table_Fertiliser_ChemicalCompounds[Fertiliser type f],Table_Fertiliser_ChemicalCompounds[FU f])</f>
        <v>1</v>
      </c>
      <c r="G21" s="50" cm="1">
        <f t="array" ref="G21">Fertiliser_Equations_InorganicCO2.VEERG_5_1_1_3__2_MassOfUreaInInorganicFertiliser(E21,F21)</f>
        <v>12913.04348</v>
      </c>
    </row>
    <row r="22" spans="1:7"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f],Table_Fertiliser_ChemicalCompounds[FU f])</f>
        <v>0</v>
      </c>
      <c r="G22" s="50" cm="1">
        <f t="array" ref="G22">Fertiliser_Equations_InorganicCO2.VEERG_5_1_1_3__2_MassOfUreaInInorganicFertiliser(E22,F22)</f>
        <v>0</v>
      </c>
    </row>
    <row r="23" spans="1:7"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f],Table_Fertiliser_ChemicalCompounds[FU f])</f>
        <v>0.35</v>
      </c>
      <c r="G23" s="50" cm="1">
        <f t="array" ref="G23">Fertiliser_Equations_InorganicCO2.VEERG_5_1_1_3__2_MassOfUreaInInorganicFertiliser(E23,F23)</f>
        <v>0</v>
      </c>
    </row>
    <row r="24" spans="1:7"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f],Table_Fertiliser_ChemicalCompounds[FU f])</f>
        <v>0</v>
      </c>
      <c r="G24" s="50" cm="1">
        <f t="array" ref="G24">Fertiliser_Equations_InorganicCO2.VEERG_5_1_1_3__2_MassOfUreaInInorganicFertiliser(E24,F24)</f>
        <v>0</v>
      </c>
    </row>
    <row r="25" spans="1:7"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f],Table_Fertiliser_ChemicalCompounds[FU f])</f>
        <v>0</v>
      </c>
      <c r="G25" s="50" cm="1">
        <f t="array" ref="G25">Fertiliser_Equations_InorganicCO2.VEERG_5_1_1_3__2_MassOfUreaInInorganicFertiliser(E25,F25)</f>
        <v>0</v>
      </c>
    </row>
    <row r="26" spans="1:7"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3500</v>
      </c>
      <c r="F26" s="50" cm="1">
        <f t="array" ref="F26">Common_InputFunctions.Utility_LookupValueInTableNumber(D26,Table_Fertiliser_ChemicalCompounds[Fertiliser type f],Table_Fertiliser_ChemicalCompounds[FU f])</f>
        <v>0</v>
      </c>
      <c r="G26" s="50" cm="1">
        <f t="array" ref="G26">Fertiliser_Equations_InorganicCO2.VEERG_5_1_1_3__2_MassOfUreaInInorganicFertiliser(E26,F26)</f>
        <v>0</v>
      </c>
    </row>
    <row r="27" spans="1:7"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1500</v>
      </c>
      <c r="F27" s="50" cm="1">
        <f t="array" ref="F27">Common_InputFunctions.Utility_LookupValueInTableNumber(D27,Table_Fertiliser_ChemicalCompounds[Fertiliser type f],Table_Fertiliser_ChemicalCompounds[FU f])</f>
        <v>0</v>
      </c>
      <c r="G27" s="50" cm="1">
        <f t="array" ref="G27">Fertiliser_Equations_InorganicCO2.VEERG_5_1_1_3__2_MassOfUreaInInorganicFertiliser(E27,F27)</f>
        <v>0</v>
      </c>
    </row>
    <row r="28" spans="1:7"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1120</v>
      </c>
      <c r="F28" s="50" cm="1">
        <f t="array" ref="F28">Common_InputFunctions.Utility_LookupValueInTableNumber(D28,Table_Fertiliser_ChemicalCompounds[Fertiliser type f],Table_Fertiliser_ChemicalCompounds[FU f])</f>
        <v>0</v>
      </c>
      <c r="G28" s="50" cm="1">
        <f t="array" ref="G28">Fertiliser_Equations_InorganicCO2.VEERG_5_1_1_3__2_MassOfUreaInInorganicFertiliser(E28,F28)</f>
        <v>0</v>
      </c>
    </row>
    <row r="29" spans="1:7"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6800</v>
      </c>
      <c r="F29" s="50" cm="1">
        <f t="array" ref="F29">Common_InputFunctions.Utility_LookupValueInTableNumber(D29,Table_Fertiliser_ChemicalCompounds[Fertiliser type f],Table_Fertiliser_ChemicalCompounds[FU f])</f>
        <v>0</v>
      </c>
      <c r="G29" s="50" cm="1">
        <f t="array" ref="G29">Fertiliser_Equations_InorganicCO2.VEERG_5_1_1_3__2_MassOfUreaInInorganicFertiliser(E29,F29)</f>
        <v>0</v>
      </c>
    </row>
    <row r="30" spans="1:7"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9000</v>
      </c>
      <c r="F30" s="50" cm="1">
        <f t="array" ref="F30">Common_InputFunctions.Utility_LookupValueInTableNumber(D30,Table_Fertiliser_ChemicalCompounds[Fertiliser type f],Table_Fertiliser_ChemicalCompounds[FU f])</f>
        <v>0</v>
      </c>
      <c r="G30" s="50" cm="1">
        <f t="array" ref="G30">Fertiliser_Equations_InorganicCO2.VEERG_5_1_1_3__2_MassOfUreaInInorganicFertiliser(E30,F30)</f>
        <v>0</v>
      </c>
    </row>
    <row r="31" spans="1:7"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1200</v>
      </c>
      <c r="F31" s="50" cm="1">
        <f t="array" ref="F31">Common_InputFunctions.Utility_LookupValueInTableNumber(D31,Table_Fertiliser_ChemicalCompounds[Fertiliser type f],Table_Fertiliser_ChemicalCompounds[FU f])</f>
        <v>0</v>
      </c>
      <c r="G31" s="50" cm="1">
        <f t="array" ref="G31">Fertiliser_Equations_InorganicCO2.VEERG_5_1_1_3__2_MassOfUreaInInorganicFertiliser(E31,F31)</f>
        <v>0</v>
      </c>
    </row>
    <row r="32" spans="1:7"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2" s="50" cm="1">
        <f t="array" ref="F32">Common_InputFunctions.Utility_LookupValueInTableNumber(D32,Table_Fertiliser_ChemicalCompounds[Fertiliser type f],Table_Fertiliser_ChemicalCompounds[FU f])</f>
        <v>0</v>
      </c>
      <c r="G32" s="50" cm="1">
        <f t="array" ref="G32">Fertiliser_Equations_InorganicCO2.VEERG_5_1_1_3__2_MassOfUreaInInorganicFertiliser(E32,F32)</f>
        <v>0</v>
      </c>
    </row>
    <row r="33" spans="1:12"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f],Table_Fertiliser_ChemicalCompounds[FU f])</f>
        <v>0</v>
      </c>
      <c r="G33" s="50" cm="1">
        <f t="array" ref="G33">Fertiliser_Equations_InorganicCO2.VEERG_5_1_1_3__2_MassOfUreaInInorganicFertiliser(E33,F33)</f>
        <v>0</v>
      </c>
    </row>
    <row r="34" spans="1:12"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f],Table_Fertiliser_ChemicalCompounds[FU f])</f>
        <v>0</v>
      </c>
      <c r="G34" s="50" cm="1">
        <f t="array" ref="G34">Fertiliser_Equations_InorganicCO2.VEERG_5_1_1_3__2_MassOfUreaInInorganicFertiliser(E34,F34)</f>
        <v>0</v>
      </c>
    </row>
    <row r="35" spans="1:12"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f],Table_Fertiliser_ChemicalCompounds[FU f])</f>
        <v>0</v>
      </c>
      <c r="G35" s="50" cm="1">
        <f t="array" ref="G35">Fertiliser_Equations_InorganicCO2.VEERG_5_1_1_3__2_MassOfUreaInInorganicFertiliser(E35,F35)</f>
        <v>0</v>
      </c>
    </row>
    <row r="36" spans="1:12"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50" cm="1">
        <f t="array" ref="F36">Common_InputFunctions.Utility_LookupValueInTableNumber(D36,Table_Fertiliser_ChemicalCompounds[Fertiliser type f],Table_Fertiliser_ChemicalCompounds[FU f])</f>
        <v>0</v>
      </c>
      <c r="G36" s="50" cm="1">
        <f t="array" ref="G36">Fertiliser_Equations_InorganicCO2.VEERG_5_1_1_3__2_MassOfUreaInInorganicFertiliser(E36,F36)</f>
        <v>0</v>
      </c>
    </row>
    <row r="37" spans="1:12" ht="20.100000000000001" customHeight="1" x14ac:dyDescent="0.25"/>
    <row r="38" spans="1:12" ht="20.100000000000001" customHeight="1" x14ac:dyDescent="0.25">
      <c r="A38" s="157" t="str">
        <f>HYPERLINK("#A1", "▲ Back to top")</f>
        <v>▲ Back to top</v>
      </c>
    </row>
    <row r="39" spans="1:12" ht="20.100000000000001" customHeight="1" x14ac:dyDescent="0.25">
      <c r="C39" s="44"/>
      <c r="D39" s="44"/>
      <c r="E39" s="44"/>
      <c r="F39" s="44"/>
      <c r="G39" s="44"/>
      <c r="H39" s="44"/>
      <c r="I39" s="44"/>
      <c r="J39" s="44"/>
      <c r="K39" s="44"/>
      <c r="L39" s="44"/>
    </row>
    <row r="40" spans="1:12" ht="20.100000000000001" customHeight="1" x14ac:dyDescent="0.25">
      <c r="D40" s="6" t="str" cm="1">
        <f t="array" ref="D40">Fertiliser_Equations_InorganicCO2.VEERG_5_1_1_3__1_InorganicFertiliserApplicationCO2Emissions_Title()</f>
        <v>Carbon dioxide emissions resulting from the use of all inorganic, urea-based fertilisers</v>
      </c>
    </row>
    <row r="41" spans="1:12" ht="20.100000000000001" customHeight="1" x14ac:dyDescent="0.25">
      <c r="D41" s="5" t="str" cm="1">
        <f t="array" ref="D41">Fertiliser_Equations_InorganicCO2.VEERG_5_1_1_3__1_InorganicFertiliserApplicationCO2Emissions_Source()</f>
        <v>VEERG 2026: 5.1.1.3, Equation (1)</v>
      </c>
    </row>
    <row r="42" spans="1:12" ht="20.100000000000001" customHeight="1" x14ac:dyDescent="0.25">
      <c r="D42" s="13" t="s">
        <v>22</v>
      </c>
      <c r="E42" s="13" t="str" cm="1">
        <f t="array" aca="1" ref="E42" ca="1">Common_InputFunctions.Utility_DisplayFunctionName(E57)</f>
        <v>=Fertiliser_Equations_InorganicCO2.VEERG_5_1_1_3__1_InorganicFertiliserApplicationCO2Emissions</v>
      </c>
    </row>
    <row r="43" spans="1:12" ht="20.100000000000001" customHeight="1" x14ac:dyDescent="0.25"/>
    <row r="44" spans="1:12" ht="20.100000000000001" customHeight="1" x14ac:dyDescent="0.25"/>
    <row r="45" spans="1:12" ht="20.100000000000001" customHeight="1" x14ac:dyDescent="0.25">
      <c r="D45" s="51" t="s">
        <v>25</v>
      </c>
      <c r="E45" s="1" t="str" cm="1">
        <f t="array" ref="E45">Fertiliser_Equations_InorganicCO2.VEERG_5_1_1_3__1_InorganicFertiliserApplicationCO2Emissions_Variable()</f>
        <v>E_CO2</v>
      </c>
    </row>
    <row r="46" spans="1:12" ht="20.100000000000001" customHeight="1" x14ac:dyDescent="0.25">
      <c r="D46" s="51" t="s">
        <v>16</v>
      </c>
      <c r="E46" s="52" t="str" cm="1">
        <f t="array" ref="E46">Fertiliser_Equations_InorganicCO2.VEERG_5_1_1_3__1_InorganicFertiliserApplicationCO2Emissions_Unit()</f>
        <v>t CO2</v>
      </c>
    </row>
    <row r="47" spans="1:12" ht="20.100000000000001" customHeight="1" x14ac:dyDescent="0.25"/>
    <row r="48" spans="1:12" ht="20.100000000000001" customHeight="1" x14ac:dyDescent="0.25">
      <c r="D48" s="54" t="str" cm="1">
        <f t="array" ref="D48:E52">_xlfn.CHOOSECOLS(Fertiliser_Equations_InorganicCO2.VEERG_5_1_1_3__1_InorganicFertiliserApplicationCO2Emissions_Arguments(), 1, 2)</f>
        <v>MU_jf</v>
      </c>
      <c r="E48" s="55" t="str">
        <v>mass of urea of inorganic fertiliser type f applied to production system j</v>
      </c>
      <c r="F48" s="56"/>
      <c r="G48" s="54" t="str" cm="1">
        <f t="array" ref="G48:H52">_xlfn.CHOOSECOLS(Fertiliser_Equations_InorganicCO2.VEERG_5_1_1_3__1_InorganicFertiliserApplicationCO2Emissions_Arguments(), 3,4)</f>
        <v>kg urea</v>
      </c>
      <c r="H48" s="119" t="str">
        <v>Calculated</v>
      </c>
      <c r="I48" s="145" t="str" cm="1">
        <f t="array" aca="1" ref="I48" ca="1">HYPERLINK(Common_InputFunctions.Utility_SourceHyperlink($D$16), $D$16)</f>
        <v>Table_MU_j_f</v>
      </c>
    </row>
    <row r="49" spans="4:9" ht="20.100000000000001" customHeight="1" x14ac:dyDescent="0.25">
      <c r="D49" s="54" t="str">
        <v>EF_ureaCO2</v>
      </c>
      <c r="E49" s="55" t="str">
        <v>emission factor for carbon emissions from urea-based fertilisers</v>
      </c>
      <c r="F49" s="56"/>
      <c r="G49" s="54" t="str">
        <v>kg C/kg urea</v>
      </c>
      <c r="H49" s="119" t="str">
        <v>Constant</v>
      </c>
      <c r="I49" s="54">
        <f>'Constants - Fertiliser'!$E$60</f>
        <v>0.2</v>
      </c>
    </row>
    <row r="50" spans="4:9" ht="20.100000000000001" customHeight="1" x14ac:dyDescent="0.25">
      <c r="D50" s="54" t="str">
        <v>C_CO2</v>
      </c>
      <c r="E50" s="55" t="str">
        <v>factor to convert elemental mass of carbon to molecular mass of carbon dioxide</v>
      </c>
      <c r="F50" s="56"/>
      <c r="G50" s="54" t="str">
        <v/>
      </c>
      <c r="H50" s="119" t="str">
        <v>Constant</v>
      </c>
      <c r="I50" s="54">
        <f>Common_InputFunctions.Utility_LookupValueInTableNumber("CO2",Table_GasToMolecularConversionFactor[Gas], Table_GasToMolecularConversionFactor[Conversion factor combined])</f>
        <v>3.6666666666666665</v>
      </c>
    </row>
    <row r="51" spans="4:9" ht="20.100000000000001" customHeight="1" x14ac:dyDescent="0.25">
      <c r="D51" s="54" t="str">
        <v>j</v>
      </c>
      <c r="E51" s="55" t="str">
        <v>Production system</v>
      </c>
      <c r="F51" s="56"/>
      <c r="G51" s="54" t="str">
        <v/>
      </c>
      <c r="H51" s="120" t="str">
        <v>Input</v>
      </c>
      <c r="I51" s="54" t="str">
        <f>'Input - Fertiliser'!$E$6</f>
        <v>Crop</v>
      </c>
    </row>
    <row r="52" spans="4:9" ht="20.100000000000001" customHeight="1" x14ac:dyDescent="0.25">
      <c r="D52" s="54" t="str">
        <v>f</v>
      </c>
      <c r="E52" s="55" t="str">
        <v>Inorganic fertiliser type</v>
      </c>
      <c r="F52" s="56"/>
      <c r="G52" s="54" t="str">
        <v/>
      </c>
      <c r="H52" s="119" t="str">
        <v>Lookup</v>
      </c>
      <c r="I52" s="145" t="str" cm="1">
        <f t="array" aca="1" ref="I52" ca="1">HYPERLINK(Common_InputFunctions.Utility_SourceHyperlink($D$16), $D$16)</f>
        <v>Table_MU_j_f</v>
      </c>
    </row>
    <row r="53" spans="4:9" ht="20.100000000000001" customHeight="1" x14ac:dyDescent="0.25"/>
    <row r="54" spans="4:9" ht="20.100000000000001" customHeight="1" x14ac:dyDescent="0.25">
      <c r="D54" s="92" t="s">
        <v>210</v>
      </c>
    </row>
    <row r="55" spans="4:9" ht="20.100000000000001" customHeight="1" x14ac:dyDescent="0.25">
      <c r="D55" s="91" t="s">
        <v>211</v>
      </c>
    </row>
    <row r="56" spans="4:9" ht="20.100000000000001" customHeight="1" x14ac:dyDescent="0.25">
      <c r="D56" s="49" t="s">
        <v>112</v>
      </c>
      <c r="E56" s="49" t="s">
        <v>184</v>
      </c>
    </row>
    <row r="57" spans="4:9" ht="20.100000000000001" customHeight="1" x14ac:dyDescent="0.25">
      <c r="D57" s="50" t="str" cm="1">
        <f t="array" ref="D57:D74">Table_Fertiliser_ChemicalCompounds[Fertiliser type f]</f>
        <v>Monoammonium phosphate (MAP)</v>
      </c>
      <c r="E57" s="50" cm="1">
        <f t="array" ref="E57">Fertiliser_Equations_InorganicCO2.VEERG_5_1_1_3__1_InorganicFertiliserApplicationCO2Emissions(G19,$I$49,$I$50)</f>
        <v>0</v>
      </c>
      <c r="F57" s="2" t="str">
        <f>$E$46</f>
        <v>t CO2</v>
      </c>
    </row>
    <row r="58" spans="4:9" ht="20.100000000000001" customHeight="1" x14ac:dyDescent="0.25">
      <c r="D58" s="50" t="str">
        <v>Diammonium phosphate (DAP)</v>
      </c>
      <c r="E58" s="50" cm="1">
        <f t="array" ref="E58">Fertiliser_Equations_InorganicCO2.VEERG_5_1_1_3__1_InorganicFertiliserApplicationCO2Emissions(G20,$I$49,$I$50)</f>
        <v>0</v>
      </c>
    </row>
    <row r="59" spans="4:9" ht="20.100000000000001" customHeight="1" x14ac:dyDescent="0.25">
      <c r="D59" s="50" t="str">
        <v>Urea</v>
      </c>
      <c r="E59" s="50" cm="1">
        <f t="array" ref="E59">Fertiliser_Equations_InorganicCO2.VEERG_5_1_1_3__1_InorganicFertiliserApplicationCO2Emissions(G21,$I$49,$I$50)</f>
        <v>9.4695652186666663</v>
      </c>
    </row>
    <row r="60" spans="4:9" ht="20.100000000000001" customHeight="1" x14ac:dyDescent="0.25">
      <c r="D60" s="50" t="str">
        <v>Sulphate of ammonia (SOA)</v>
      </c>
      <c r="E60" s="50" cm="1">
        <f t="array" ref="E60">Fertiliser_Equations_InorganicCO2.VEERG_5_1_1_3__1_InorganicFertiliserApplicationCO2Emissions(G22,$I$49,$I$50)</f>
        <v>0</v>
      </c>
    </row>
    <row r="61" spans="4:9" ht="20.100000000000001" customHeight="1" x14ac:dyDescent="0.25">
      <c r="D61" s="50" t="str">
        <v>Urea-ammonium nitrate (UAN)</v>
      </c>
      <c r="E61" s="50" cm="1">
        <f t="array" ref="E61">Fertiliser_Equations_InorganicCO2.VEERG_5_1_1_3__1_InorganicFertiliserApplicationCO2Emissions(G23,$I$49,$I$50)</f>
        <v>0</v>
      </c>
    </row>
    <row r="62" spans="4:9" ht="20.100000000000001" customHeight="1" x14ac:dyDescent="0.25">
      <c r="D62" s="50" t="str">
        <v>Ammonium nitrate (AN)</v>
      </c>
      <c r="E62" s="50" cm="1">
        <f t="array" ref="E62">Fertiliser_Equations_InorganicCO2.VEERG_5_1_1_3__1_InorganicFertiliserApplicationCO2Emissions(G24,$I$49,$I$50)</f>
        <v>0</v>
      </c>
    </row>
    <row r="63" spans="4:9" ht="20.100000000000001" customHeight="1" x14ac:dyDescent="0.25">
      <c r="D63" s="50" t="str">
        <v>Calcium ammonium nitrate (CAN)</v>
      </c>
      <c r="E63" s="50" cm="1">
        <f t="array" ref="E63">Fertiliser_Equations_InorganicCO2.VEERG_5_1_1_3__1_InorganicFertiliserApplicationCO2Emissions(G25,$I$49,$I$50)</f>
        <v>0</v>
      </c>
    </row>
    <row r="64" spans="4:9" ht="20.100000000000001" customHeight="1" x14ac:dyDescent="0.25">
      <c r="D64" s="50" t="str">
        <v>Nitrogen - Ammoniacal</v>
      </c>
      <c r="E64" s="50" cm="1">
        <f t="array" ref="E64">Fertiliser_Equations_InorganicCO2.VEERG_5_1_1_3__1_InorganicFertiliserApplicationCO2Emissions(G26,$I$49,$I$50)</f>
        <v>0</v>
      </c>
    </row>
    <row r="65" spans="1:6" ht="20.100000000000001" customHeight="1" x14ac:dyDescent="0.25">
      <c r="D65" s="50" t="str">
        <v>Nitrogen - Nitrate</v>
      </c>
      <c r="E65" s="50" cm="1">
        <f t="array" ref="E65">Fertiliser_Equations_InorganicCO2.VEERG_5_1_1_3__1_InorganicFertiliserApplicationCO2Emissions(G27,$I$49,$I$50)</f>
        <v>0</v>
      </c>
    </row>
    <row r="66" spans="1:6" ht="20.100000000000001" customHeight="1" x14ac:dyDescent="0.25">
      <c r="D66" s="50" t="str">
        <v>Nitrogen - Generic</v>
      </c>
      <c r="E66" s="50" cm="1">
        <f t="array" ref="E66">Fertiliser_Equations_InorganicCO2.VEERG_5_1_1_3__1_InorganicFertiliserApplicationCO2Emissions(G28,$I$49,$I$50)</f>
        <v>0</v>
      </c>
    </row>
    <row r="67" spans="1:6" ht="20.100000000000001" customHeight="1" x14ac:dyDescent="0.25">
      <c r="D67" s="50" t="str">
        <v>Phosphorus - Generic</v>
      </c>
      <c r="E67" s="50" cm="1">
        <f t="array" ref="E67">Fertiliser_Equations_InorganicCO2.VEERG_5_1_1_3__1_InorganicFertiliserApplicationCO2Emissions(G29,$I$49,$I$50)</f>
        <v>0</v>
      </c>
    </row>
    <row r="68" spans="1:6" ht="20.100000000000001" customHeight="1" x14ac:dyDescent="0.25">
      <c r="D68" s="50" t="str">
        <v>Potassium - Generic</v>
      </c>
      <c r="E68" s="50" cm="1">
        <f t="array" ref="E68">Fertiliser_Equations_InorganicCO2.VEERG_5_1_1_3__1_InorganicFertiliserApplicationCO2Emissions(G30,$I$49,$I$50)</f>
        <v>0</v>
      </c>
    </row>
    <row r="69" spans="1:6" ht="20.100000000000001" customHeight="1" x14ac:dyDescent="0.25">
      <c r="D69" s="50" t="str">
        <v>Sulfur - Generic</v>
      </c>
      <c r="E69" s="50" cm="1">
        <f t="array" ref="E69">Fertiliser_Equations_InorganicCO2.VEERG_5_1_1_3__1_InorganicFertiliserApplicationCO2Emissions(G31,$I$49,$I$50)</f>
        <v>0</v>
      </c>
    </row>
    <row r="70" spans="1:6" ht="20.100000000000001" customHeight="1" x14ac:dyDescent="0.25">
      <c r="D70" s="50" t="str">
        <v>Zinc - Generic</v>
      </c>
      <c r="E70" s="50" cm="1">
        <f t="array" ref="E70">Fertiliser_Equations_InorganicCO2.VEERG_5_1_1_3__1_InorganicFertiliserApplicationCO2Emissions(G32,$I$49,$I$50)</f>
        <v>0</v>
      </c>
    </row>
    <row r="71" spans="1:6" ht="20.100000000000001" customHeight="1" x14ac:dyDescent="0.25">
      <c r="D71" s="50" t="str">
        <v>Muriate of potash (MOP)</v>
      </c>
      <c r="E71" s="50" cm="1">
        <f t="array" ref="E71">Fertiliser_Equations_InorganicCO2.VEERG_5_1_1_3__1_InorganicFertiliserApplicationCO2Emissions(G33,$I$49,$I$50)</f>
        <v>0</v>
      </c>
    </row>
    <row r="72" spans="1:6" ht="20.100000000000001" customHeight="1" x14ac:dyDescent="0.25">
      <c r="D72" s="50" t="str">
        <v>Double superphosphate</v>
      </c>
      <c r="E72" s="50" cm="1">
        <f t="array" ref="E72">Fertiliser_Equations_InorganicCO2.VEERG_5_1_1_3__1_InorganicFertiliserApplicationCO2Emissions(G34,$I$49,$I$50)</f>
        <v>0</v>
      </c>
    </row>
    <row r="73" spans="1:6" ht="20.100000000000001" customHeight="1" x14ac:dyDescent="0.25">
      <c r="D73" s="50" t="str">
        <v>Single superphosphate (SSP)</v>
      </c>
      <c r="E73" s="50" cm="1">
        <f t="array" ref="E73">Fertiliser_Equations_InorganicCO2.VEERG_5_1_1_3__1_InorganicFertiliserApplicationCO2Emissions(G35,$I$49,$I$50)</f>
        <v>0</v>
      </c>
    </row>
    <row r="74" spans="1:6" ht="20.100000000000001" customHeight="1" x14ac:dyDescent="0.25">
      <c r="D74" s="50" t="str">
        <v>Ammonia</v>
      </c>
      <c r="E74" s="50" cm="1">
        <f t="array" ref="E74">Fertiliser_Equations_InorganicCO2.VEERG_5_1_1_3__1_InorganicFertiliserApplicationCO2Emissions(G36,$I$49,$I$50)</f>
        <v>0</v>
      </c>
    </row>
    <row r="75" spans="1:6" ht="20.100000000000001" customHeight="1" x14ac:dyDescent="0.25"/>
    <row r="76" spans="1:6" ht="20.100000000000001" customHeight="1" x14ac:dyDescent="0.25">
      <c r="A76" s="157" t="str">
        <f>HYPERLINK("#A1", "▲ Back to top")</f>
        <v>▲ Back to top</v>
      </c>
      <c r="D76" s="94" t="s">
        <v>239</v>
      </c>
      <c r="E76" s="95">
        <f>SUM(E57:E74)</f>
        <v>9.4695652186666663</v>
      </c>
      <c r="F76" s="96" t="str">
        <f>$E$46</f>
        <v>t CO2</v>
      </c>
    </row>
    <row r="77" spans="1:6" ht="20.100000000000001" customHeight="1" x14ac:dyDescent="0.25"/>
    <row r="78" spans="1:6" ht="20.100000000000001" customHeight="1" x14ac:dyDescent="0.25"/>
    <row r="79" spans="1:6" ht="20.100000000000001" customHeight="1" x14ac:dyDescent="0.25"/>
    <row r="80" spans="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U165"/>
  <sheetViews>
    <sheetView showGridLines="0" topLeftCell="A5" workbookViewId="0">
      <selection activeCell="A15" sqref="A1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240</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Fertiliser_Equations_OrganicN2O.VEERG_5_2_1_1__2_MassOfNitrogenInOrganicFertiliser_Title()</f>
        <v>Mass of nitrogen in purchased organic fertilisers applied to production system</v>
      </c>
    </row>
    <row r="6" spans="1:21" ht="20.100000000000001" customHeight="1" x14ac:dyDescent="0.25">
      <c r="A6" s="16"/>
      <c r="D6" s="5" t="str" cm="1">
        <f t="array" ref="D6">Fertiliser_Equations_OrganicN2O.VEERG_5_2_1_1__2_MassOfNitrogenInOrganicFertiliser_Source()</f>
        <v>VEERG 2026: 5.2.1.1, Equation (2)</v>
      </c>
    </row>
    <row r="7" spans="1:21" ht="20.100000000000001" customHeight="1" x14ac:dyDescent="0.25">
      <c r="A7" s="20" t="s">
        <v>1</v>
      </c>
      <c r="D7" s="13" t="s">
        <v>22</v>
      </c>
      <c r="E7" s="13" t="str" cm="1">
        <f t="array" aca="1" ref="E7" ca="1">Common_InputFunctions.Utility_DisplayFunctionName($I$20)</f>
        <v>=Fertiliser_Equations_OrganicN2O.VEERG_5_2_1_1__2_MassOfNitrogenInOrganicFertiliser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Fertiliser_Equations_OrganicN2O.VEERG_5_2_1_1__2_MassOfNitrogenInOrganicFertiliser_Variable()</f>
        <v>MNSoil_jf</v>
      </c>
    </row>
    <row r="11" spans="1:21" ht="20.100000000000001" customHeight="1" x14ac:dyDescent="0.25">
      <c r="A11" s="19" t="s">
        <v>69</v>
      </c>
      <c r="D11" s="51" t="s">
        <v>16</v>
      </c>
      <c r="E11" s="52" t="str" cm="1">
        <f t="array" ref="E11">Fertiliser_Equations_OrganicN2O.VEERG_5_2_1_1__2_MassOfNitrogenInOrganicFertiliser_Unit()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54" t="str" cm="1">
        <f t="array" ref="D13:E15">_xlfn.CHOOSECOLS(Fertiliser_Equations_OrganicN2O.VEERG_5_2_1_1__2_MassOfNitrogenInOrganicFertiliser_Arguments(), 1, 2)</f>
        <v>M_organicjf</v>
      </c>
      <c r="E13" s="55" t="str">
        <v>mass of organic fertiliser type f applied to production system j</v>
      </c>
      <c r="F13" s="56"/>
      <c r="G13" s="147" t="str" cm="1">
        <f t="array" ref="G13:H15">_xlfn.CHOOSECOLS(Fertiliser_Equations_OrganicN2O.VEERG_5_2_1_1__2_MassOfNitrogenInOrganicFertiliser_Arguments(), 3,4)</f>
        <v>kg</v>
      </c>
      <c r="H13" s="120" t="str">
        <v>Input</v>
      </c>
      <c r="I13" s="145" t="str" cm="1">
        <f t="array" aca="1" ref="I13" ca="1">HYPERLINK(Common_InputFunctions.Utility_SourceHyperlink($D$17), $D$17)</f>
        <v>Table_MNSoil_j_f</v>
      </c>
    </row>
    <row r="14" spans="1:21" ht="20.100000000000001" customHeight="1" x14ac:dyDescent="0.25">
      <c r="A14" s="177" t="str">
        <f>HYPERLINK("#'5.2.1.1-2 Organic Fert N2O'!A1", "5.2.1.1-2 Organic Fert N2O")</f>
        <v>5.2.1.1-2 Organic Fert N2O</v>
      </c>
      <c r="D14" s="54" t="str">
        <v>FN_organicf</v>
      </c>
      <c r="E14" s="55" t="str">
        <v>nitrogen fraction of organic fertiliser type f</v>
      </c>
      <c r="F14" s="56"/>
      <c r="G14" s="147" t="str">
        <v>kg N/kg</v>
      </c>
      <c r="H14" s="120" t="str">
        <v>Input</v>
      </c>
      <c r="I14" s="145" t="str" cm="1">
        <f t="array" aca="1" ref="I14" ca="1">HYPERLINK(Common_InputFunctions.Utility_SourceHyperlink($D$17), $D$17)</f>
        <v>Table_MNSoil_j_f</v>
      </c>
    </row>
    <row r="15" spans="1:21" ht="20.100000000000001" customHeight="1" x14ac:dyDescent="0.25">
      <c r="A15" s="17" t="str">
        <f>HYPERLINK("#'5.3.1.1-2 Lime CO2'!A1", "5.3.1.1-2 Lime CO2")</f>
        <v>5.3.1.1-2 Lime CO2</v>
      </c>
      <c r="D15" s="54" t="str">
        <v>f</v>
      </c>
      <c r="E15" s="55" t="str">
        <v>Organic fertiliser type</v>
      </c>
      <c r="F15" s="56"/>
      <c r="G15" s="147" t="str">
        <v/>
      </c>
      <c r="H15" s="120" t="str">
        <v>Input</v>
      </c>
      <c r="I15" s="145" t="str" cm="1">
        <f t="array" aca="1" ref="I15" ca="1">HYPERLINK(Common_InputFunctions.Utility_SourceHyperlink($D$17), $D$17)</f>
        <v>Table_MNSoil_j_f</v>
      </c>
    </row>
    <row r="16" spans="1:21" ht="20.100000000000001" customHeight="1" x14ac:dyDescent="0.25">
      <c r="A16" s="17" t="str">
        <f>HYPERLINK("#'5.4.1.1-4 Atmos deposition'!A1", "5.4.1.1-4 Atmos deposition")</f>
        <v>5.4.1.1-4 Atmos deposition</v>
      </c>
    </row>
    <row r="17" spans="1:10" ht="20.100000000000001" customHeight="1" x14ac:dyDescent="0.25">
      <c r="A17" s="17" t="str">
        <f>HYPERLINK("#'5.5.1.1-2 Leaching and runoff'!A1", "5.5.1.1-2 Leaching and runoff")</f>
        <v>5.5.1.1-2 Leaching and runoff</v>
      </c>
      <c r="D17" s="92" t="s">
        <v>248</v>
      </c>
    </row>
    <row r="18" spans="1:10" ht="20.100000000000001" customHeight="1" x14ac:dyDescent="0.25">
      <c r="D18" s="91" t="s">
        <v>255</v>
      </c>
    </row>
    <row r="19" spans="1:10" ht="20.100000000000001" customHeight="1" x14ac:dyDescent="0.25">
      <c r="A19" s="18" t="s">
        <v>2</v>
      </c>
      <c r="D19" s="112" t="s">
        <v>249</v>
      </c>
      <c r="E19" s="112" t="s">
        <v>250</v>
      </c>
      <c r="F19" s="112" t="s">
        <v>151</v>
      </c>
      <c r="G19" s="148" t="s">
        <v>251</v>
      </c>
      <c r="H19" s="148" t="s">
        <v>252</v>
      </c>
      <c r="I19" s="148" t="s">
        <v>253</v>
      </c>
    </row>
    <row r="20" spans="1:10" ht="20.100000000000001" customHeight="1" x14ac:dyDescent="0.25">
      <c r="A20" s="17" t="str">
        <f>HYPERLINK("#'Constants - Fertiliser'!A1", "Constants - Fertiliser")</f>
        <v>Constants - Fertiliser</v>
      </c>
      <c r="D20" s="50" t="str" cm="1">
        <f t="array" ref="D20:D21">Table_Input_OrganicFertiliser[Organic fertiliser type (select)]</f>
        <v>Manure - Other</v>
      </c>
      <c r="E20" s="151" cm="1">
        <f t="array" ref="E20:E21">Table_Input_OrganicFertiliser[Amount applied (kg/hectare)]</f>
        <v>10</v>
      </c>
      <c r="F20" s="151" cm="1">
        <f t="array" ref="F20:F21">Table_Input_OrganicFertiliser[Application area (ha)]</f>
        <v>100</v>
      </c>
      <c r="G20" s="50" cm="1">
        <f t="array" ref="G20:G21">Table_Input_OrganicFertiliser[Amount applied (kg/hectare)]*Table_Input_OrganicFertiliser[Application area (ha)]</f>
        <v>1000</v>
      </c>
      <c r="H20" s="152" cm="1">
        <f t="array" ref="H20:H21">Table_Input_OrganicFertiliser[Percentage of N in fertiliser]</f>
        <v>0.3</v>
      </c>
      <c r="I20" s="50" cm="1">
        <f t="array" ref="I20">Fertiliser_Equations_OrganicN2O.VEERG_5_2_1_1__2_MassOfNitrogenInOrganicFertiliser(G20,H20)</f>
        <v>300</v>
      </c>
    </row>
    <row r="21" spans="1:10" ht="20.100000000000001" customHeight="1" x14ac:dyDescent="0.25">
      <c r="A21" s="17" t="str">
        <f>HYPERLINK("#'Constants - Common'!A1", "Constants - Common")</f>
        <v>Constants - Common</v>
      </c>
      <c r="D21" s="50" t="str">
        <v>Manure - Poultry</v>
      </c>
      <c r="E21" s="50">
        <v>10</v>
      </c>
      <c r="F21" s="50">
        <v>100</v>
      </c>
      <c r="G21" s="50">
        <v>1000</v>
      </c>
      <c r="H21" s="50">
        <v>0.25</v>
      </c>
      <c r="I21" s="50" cm="1">
        <f t="array" ref="I21">Fertiliser_Equations_Organic.VEERG_5_2_1_1__2_MassOfNitrogenInOrganicFertiliser(G21,H21)</f>
        <v>250</v>
      </c>
    </row>
    <row r="22" spans="1:10" ht="20.100000000000001" customHeight="1" x14ac:dyDescent="0.25">
      <c r="D22" s="50"/>
      <c r="E22" s="50"/>
      <c r="F22" s="50"/>
      <c r="G22" s="50"/>
      <c r="H22" s="50"/>
      <c r="I22" s="50" cm="1">
        <f t="array" ref="I22">Fertiliser_Equations_Organic.VEERG_5_2_1_1__2_MassOfNitrogenInOrganicFertiliser(G22,H22)</f>
        <v>0</v>
      </c>
    </row>
    <row r="23" spans="1:10" ht="20.100000000000001" customHeight="1" x14ac:dyDescent="0.25">
      <c r="A23" s="17"/>
      <c r="D23" s="50"/>
      <c r="E23" s="50"/>
      <c r="F23" s="50"/>
      <c r="G23" s="50"/>
      <c r="H23" s="50"/>
      <c r="I23" s="50" cm="1">
        <f t="array" ref="I23">Fertiliser_Equations_Organic.VEERG_5_2_1_1__2_MassOfNitrogenInOrganicFertiliser(G23,H23)</f>
        <v>0</v>
      </c>
    </row>
    <row r="24" spans="1:10" ht="20.100000000000001" customHeight="1" x14ac:dyDescent="0.25">
      <c r="D24" s="50"/>
      <c r="E24" s="50"/>
      <c r="F24" s="50"/>
      <c r="G24" s="50"/>
      <c r="H24" s="50"/>
      <c r="I24" s="50" cm="1">
        <f t="array" ref="I24">Fertiliser_Equations_Organic.VEERG_5_2_1_1__2_MassOfNitrogenInOrganicFertiliser(G24,H24)</f>
        <v>0</v>
      </c>
    </row>
    <row r="25" spans="1:10" ht="20.100000000000001" customHeight="1" x14ac:dyDescent="0.25">
      <c r="D25" s="50"/>
      <c r="E25" s="50"/>
      <c r="F25" s="50"/>
      <c r="G25" s="50"/>
      <c r="H25" s="50"/>
      <c r="I25" s="50" cm="1">
        <f t="array" ref="I25">Fertiliser_Equations_Organic.VEERG_5_2_1_1__2_MassOfNitrogenInOrganicFertiliser(G25,H25)</f>
        <v>0</v>
      </c>
    </row>
    <row r="26" spans="1:10" ht="20.100000000000001" customHeight="1" x14ac:dyDescent="0.25">
      <c r="D26" s="50"/>
      <c r="E26" s="50"/>
      <c r="F26" s="50"/>
      <c r="G26" s="50"/>
      <c r="H26" s="50"/>
      <c r="I26" s="50" cm="1">
        <f t="array" ref="I26">Fertiliser_Equations_Organic.VEERG_5_2_1_1__2_MassOfNitrogenInOrganicFertiliser(G26,H26)</f>
        <v>0</v>
      </c>
    </row>
    <row r="27" spans="1:10" ht="20.100000000000001" customHeight="1" x14ac:dyDescent="0.25">
      <c r="D27" s="50"/>
      <c r="E27" s="50"/>
      <c r="F27" s="50"/>
      <c r="G27" s="50"/>
      <c r="H27" s="50"/>
      <c r="I27" s="50" cm="1">
        <f t="array" ref="I27">Fertiliser_Equations_Organic.VEERG_5_2_1_1__2_MassOfNitrogenInOrganicFertiliser(G27,H27)</f>
        <v>0</v>
      </c>
    </row>
    <row r="28" spans="1:10" ht="20.100000000000001" customHeight="1" x14ac:dyDescent="0.25">
      <c r="D28" s="50"/>
      <c r="E28" s="50"/>
      <c r="F28" s="50"/>
      <c r="G28" s="50"/>
      <c r="H28" s="50"/>
      <c r="I28" s="50" cm="1">
        <f t="array" ref="I28">Fertiliser_Equations_Organic.VEERG_5_2_1_1__2_MassOfNitrogenInOrganicFertiliser(G28,H28)</f>
        <v>0</v>
      </c>
    </row>
    <row r="29" spans="1:10" ht="20.100000000000001" customHeight="1" x14ac:dyDescent="0.25">
      <c r="D29" s="50"/>
      <c r="E29" s="50"/>
      <c r="F29" s="50"/>
      <c r="G29" s="50"/>
      <c r="H29" s="50"/>
      <c r="I29" s="50" cm="1">
        <f t="array" ref="I29">Fertiliser_Equations_Organic.VEERG_5_2_1_1__2_MassOfNitrogenInOrganicFertiliser(G29,H29)</f>
        <v>0</v>
      </c>
    </row>
    <row r="30" spans="1:10" ht="20.100000000000001" customHeight="1" x14ac:dyDescent="0.25">
      <c r="D30" s="50"/>
      <c r="E30" s="50"/>
      <c r="F30" s="50"/>
      <c r="G30" s="50"/>
      <c r="H30" s="50"/>
      <c r="I30" s="50" cm="1">
        <f t="array" ref="I30">Fertiliser_Equations_Organic.VEERG_5_2_1_1__2_MassOfNitrogenInOrganicFertiliser(G30,H30)</f>
        <v>0</v>
      </c>
    </row>
    <row r="31" spans="1:10" ht="20.100000000000001" customHeight="1" x14ac:dyDescent="0.25">
      <c r="D31" s="110"/>
      <c r="E31" s="110"/>
      <c r="F31" s="110"/>
      <c r="G31" s="110"/>
      <c r="H31" s="110"/>
      <c r="I31" s="110"/>
      <c r="J31" s="110"/>
    </row>
    <row r="32" spans="1:10" ht="20.100000000000001" customHeight="1" x14ac:dyDescent="0.25">
      <c r="D32" s="149" t="s">
        <v>254</v>
      </c>
      <c r="E32" s="149">
        <f>SUM(I20:I30)</f>
        <v>550</v>
      </c>
      <c r="F32" s="150" t="str">
        <f>$E$11</f>
        <v>kg N</v>
      </c>
      <c r="G32" s="110"/>
      <c r="H32" s="110"/>
      <c r="I32" s="110"/>
      <c r="J32" s="110"/>
    </row>
    <row r="33" spans="1:12" ht="20.100000000000001" customHeight="1" x14ac:dyDescent="0.25"/>
    <row r="34" spans="1:12" ht="20.100000000000001" customHeight="1" x14ac:dyDescent="0.25">
      <c r="A34" s="157" t="str">
        <f>HYPERLINK("#A1", "▲ Back to top")</f>
        <v>▲ Back to top</v>
      </c>
    </row>
    <row r="35" spans="1:12" ht="20.100000000000001" customHeight="1" x14ac:dyDescent="0.25">
      <c r="C35" s="156"/>
      <c r="D35" s="156"/>
      <c r="E35" s="156"/>
      <c r="F35" s="156"/>
      <c r="G35" s="156"/>
      <c r="H35" s="156"/>
      <c r="I35" s="156"/>
      <c r="J35" s="156"/>
      <c r="K35" s="156"/>
      <c r="L35" s="156"/>
    </row>
    <row r="36" spans="1:12" ht="20.100000000000001" customHeight="1" x14ac:dyDescent="0.25">
      <c r="D36" s="6"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D37" s="5" t="str" cm="1">
        <f t="array" ref="D37">Fertiliser_Equations_OrganicN2O.VEERG_5_2_1_1__1_OrganicFertiliserApplicationN2OEmissions_Source()</f>
        <v>VEERG 2026: 5.2.1.1, Equation (1)</v>
      </c>
    </row>
    <row r="38" spans="1:12" ht="20.100000000000001" customHeight="1" x14ac:dyDescent="0.25">
      <c r="D38" s="13" t="s">
        <v>22</v>
      </c>
      <c r="E38" s="13" t="str" cm="1">
        <f t="array" aca="1" ref="E38" ca="1">Common_InputFunctions.Utility_DisplayFunctionName($I$20)</f>
        <v>=Fertiliser_Equations_OrganicN2O.VEERG_5_2_1_1__2_MassOfNitrogenInOrganicFertiliser</v>
      </c>
    </row>
    <row r="39" spans="1:12" ht="20.100000000000001" customHeight="1" x14ac:dyDescent="0.25"/>
    <row r="40" spans="1:12" ht="20.100000000000001" customHeight="1" x14ac:dyDescent="0.25"/>
    <row r="41" spans="1:12" ht="20.100000000000001" customHeight="1" x14ac:dyDescent="0.25">
      <c r="D41" s="51" t="s">
        <v>25</v>
      </c>
      <c r="E41" s="1" t="str" cm="1">
        <f t="array" ref="E41">Fertiliser_Equations_OrganicN2O.VEERG_5_2_1_1__1_OrganicFertiliserApplicationN2OEmissions_Variable()</f>
        <v>E_N2O</v>
      </c>
    </row>
    <row r="42" spans="1:12" ht="20.100000000000001" customHeight="1" x14ac:dyDescent="0.25">
      <c r="D42" s="51" t="s">
        <v>16</v>
      </c>
      <c r="E42" s="52" t="str" cm="1">
        <f t="array" ref="E42">Fertiliser_Equations_OrganicN2O.VEERG_5_2_1_1__1_OrganicFertiliserApplicationN2OEmissions_Unit()</f>
        <v>t N2O</v>
      </c>
    </row>
    <row r="43" spans="1:12" ht="20.100000000000001" customHeight="1" x14ac:dyDescent="0.25"/>
    <row r="44" spans="1:12" ht="20.100000000000001" customHeight="1" x14ac:dyDescent="0.25">
      <c r="D44" s="147" t="str" cm="1">
        <f t="array" ref="D44:E48">_xlfn.CHOOSECOLS(Fertiliser_Equations_OrganicN2O.VEERG_5_2_1_1__1_OrganicFertiliserApplicationN2OEmissions_Arguments(), 1, 2)</f>
        <v>MNSoil_jf</v>
      </c>
      <c r="E44" s="154" t="str">
        <v>mass of nitrogen in organic fertiliser type f applied to production system j</v>
      </c>
      <c r="F44" s="155"/>
      <c r="G44" s="155"/>
      <c r="H44" s="153"/>
      <c r="I44" s="147" t="str" cm="1">
        <f t="array" ref="I44:J48">_xlfn.CHOOSECOLS(Fertiliser_Equations_OrganicN2O.VEERG_5_2_1_1__1_OrganicFertiliserApplicationN2OEmissions_Arguments(), 3,4)</f>
        <v>kg N</v>
      </c>
      <c r="J44" s="119" t="str">
        <v>Calculated from 5.2.1.1 (2)</v>
      </c>
      <c r="K44" s="147">
        <f>$E$32</f>
        <v>550</v>
      </c>
    </row>
    <row r="45" spans="1:12" ht="20.100000000000001" customHeight="1" x14ac:dyDescent="0.25">
      <c r="D45" s="147" t="str">
        <v>EF_N2Oi</v>
      </c>
      <c r="E45" s="154" t="str">
        <v>emission factor for direct nitrous oxide emissions from organic fertiliser applied to soils and aquatic systems in climate zone i</v>
      </c>
      <c r="F45" s="155"/>
      <c r="G45" s="155"/>
      <c r="H45" s="153"/>
      <c r="I45" s="147" t="str">
        <v>kg N2O-N/kg N</v>
      </c>
      <c r="J45" s="119" t="str">
        <v>Lookup</v>
      </c>
      <c r="K45" s="147" cm="1">
        <f t="array" ref="K45">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D46" s="147" t="str">
        <v>C_N2O</v>
      </c>
      <c r="E46" s="154" t="str">
        <v>factor to convert elemental mass of nitrous oxide to molecular mass</v>
      </c>
      <c r="F46" s="155"/>
      <c r="G46" s="155"/>
      <c r="H46" s="153"/>
      <c r="I46" s="147" t="str">
        <v/>
      </c>
      <c r="J46" s="119" t="str">
        <v>Constant</v>
      </c>
      <c r="K46" s="54">
        <f>Common_InputFunctions.Utility_LookupValueInTableNumber("N2O",Table_GasToMolecularConversionFactor[Gas],Table_GasToMolecularConversionFactor[Conversion factor combined])</f>
        <v>1.5714285714285714</v>
      </c>
    </row>
    <row r="47" spans="1:12" ht="20.100000000000001" customHeight="1" x14ac:dyDescent="0.25">
      <c r="D47" s="147" t="str">
        <v>j</v>
      </c>
      <c r="E47" s="154" t="str">
        <v>Production system</v>
      </c>
      <c r="F47" s="155"/>
      <c r="G47" s="155"/>
      <c r="H47" s="153"/>
      <c r="I47" s="147" t="str">
        <v/>
      </c>
      <c r="J47" s="120" t="str">
        <v>Input</v>
      </c>
      <c r="K47" s="147" t="str">
        <f>'Input - Fertiliser'!$E$6</f>
        <v>Crop</v>
      </c>
    </row>
    <row r="48" spans="1:12" ht="20.100000000000001" customHeight="1" x14ac:dyDescent="0.25">
      <c r="D48" s="147" t="str">
        <v>i</v>
      </c>
      <c r="E48" s="154" t="str">
        <v>Wet or dry climate zone</v>
      </c>
      <c r="F48" s="155"/>
      <c r="G48" s="155"/>
      <c r="H48" s="153"/>
      <c r="I48" s="147" t="str">
        <v/>
      </c>
      <c r="J48" s="120" t="str">
        <v>Input</v>
      </c>
      <c r="K48" s="147" t="str">
        <f>'Input - Site'!$E$32</f>
        <v>Dry climate zone</v>
      </c>
    </row>
    <row r="49" spans="1:7" ht="20.100000000000001" customHeight="1" x14ac:dyDescent="0.25"/>
    <row r="50" spans="1:7" ht="20.100000000000001" customHeight="1" x14ac:dyDescent="0.25">
      <c r="D50" s="94" t="s">
        <v>163</v>
      </c>
      <c r="E50" s="95" cm="1">
        <f t="array" ref="E50">Fertiliser_Equations_OrganicN2O.VEERG_5_2_1_1__1_OrganicFertiliserApplicationN2OEmissions(K44,K45,K46)</f>
        <v>4.3214285714285715E-3</v>
      </c>
      <c r="F50" s="96" t="str">
        <f>$E$42</f>
        <v>t N2O</v>
      </c>
    </row>
    <row r="51" spans="1:7" ht="20.100000000000001" customHeight="1" x14ac:dyDescent="0.25"/>
    <row r="52" spans="1:7" ht="20.100000000000001" customHeight="1" x14ac:dyDescent="0.25">
      <c r="D52" s="54" t="str" cm="1">
        <f t="array" ref="D52:E53">Common_Equations.Common_ConvertN2OToCO2e_Arguments()</f>
        <v>EN2O</v>
      </c>
      <c r="E52" s="55" t="str">
        <v>Nitrous oxide emissions (t N2O)</v>
      </c>
      <c r="F52" s="97"/>
      <c r="G52" s="50">
        <f>E50</f>
        <v>4.3214285714285715E-3</v>
      </c>
    </row>
    <row r="53" spans="1:7" ht="20.100000000000001" customHeight="1" x14ac:dyDescent="0.25">
      <c r="D53" s="54" t="str">
        <v>GWPN2O</v>
      </c>
      <c r="E53" s="55" t="str">
        <v>Global warming potential for nitrous oxide (t CO2-e / t N2O)</v>
      </c>
      <c r="F53" s="97"/>
      <c r="G53" s="50">
        <f>Common_InputFunctions.Utility_LookupValueInTableNumber("N2O",Table_GWPData[Gas],Table_GWPData[CO2-e factor])</f>
        <v>265</v>
      </c>
    </row>
    <row r="54" spans="1:7" ht="20.100000000000001" customHeight="1" x14ac:dyDescent="0.25"/>
    <row r="55" spans="1:7" ht="20.100000000000001" customHeight="1" x14ac:dyDescent="0.25">
      <c r="A55" s="157" t="str">
        <f>HYPERLINK("#A1", "▲ Back to top")</f>
        <v>▲ Back to top</v>
      </c>
      <c r="D55" s="44" t="s">
        <v>79</v>
      </c>
      <c r="E55" s="44" cm="1">
        <f t="array" ref="E55">Common_Equations.Common_ConvertN2OToCO2e(G52,G53)</f>
        <v>1.1451785714285714</v>
      </c>
      <c r="F55" s="98" t="str" cm="1">
        <f t="array" ref="F55">Common_Equations.Common_ConvertN2OToCO2e_Unit()</f>
        <v>t CO2e</v>
      </c>
    </row>
    <row r="56" spans="1:7" ht="20.100000000000001" customHeight="1" x14ac:dyDescent="0.25"/>
    <row r="57" spans="1:7" ht="20.100000000000001" customHeight="1" x14ac:dyDescent="0.25"/>
    <row r="58" spans="1:7" ht="20.100000000000001" customHeight="1" x14ac:dyDescent="0.25"/>
    <row r="59" spans="1:7" ht="20.100000000000001" customHeight="1" x14ac:dyDescent="0.25"/>
    <row r="60" spans="1:7" ht="20.100000000000001" customHeight="1" x14ac:dyDescent="0.25"/>
    <row r="61" spans="1:7" ht="20.100000000000001" customHeight="1" x14ac:dyDescent="0.25"/>
    <row r="62" spans="1:7" ht="20.100000000000001" customHeight="1" x14ac:dyDescent="0.25"/>
    <row r="63" spans="1:7" ht="20.100000000000001" customHeight="1" x14ac:dyDescent="0.25"/>
    <row r="64" spans="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U165"/>
  <sheetViews>
    <sheetView showGridLines="0" workbookViewId="0">
      <selection activeCell="F26" sqref="F2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258</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Fertiliser_Equations_Lime.VEERG_5_3_1_1__1_LimeApplicationCO2Emissions_Title()</f>
        <v>Emissions from the application of lime and dolomite to production systems</v>
      </c>
    </row>
    <row r="6" spans="1:21" ht="20.100000000000001" customHeight="1" x14ac:dyDescent="0.25">
      <c r="A6" s="16"/>
      <c r="D6" s="5" t="str" cm="1">
        <f t="array" ref="D6">Fertiliser_Equations_Lime.VEERG_5_3_1_1__1_LimeApplicationCO2Emissions_Source()</f>
        <v>VEERG 2026: 5.3.1.1, Equation (1)</v>
      </c>
    </row>
    <row r="7" spans="1:21" ht="20.100000000000001" customHeight="1" x14ac:dyDescent="0.25">
      <c r="A7" s="20" t="s">
        <v>1</v>
      </c>
      <c r="D7" s="13" t="s">
        <v>22</v>
      </c>
      <c r="E7" s="13" t="str" cm="1">
        <f t="array" aca="1" ref="E7" ca="1">Common_InputFunctions.Utility_DisplayFunctionName(H25)</f>
        <v>=Fertiliser_Equations_Lime.VEERG_5_3_1_1__1_LimeApplicationCO2Emissions</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Fertiliser_Equations_Lime.VEERG_5_3_1_1__1_LimeApplicationCO2Emissions_Variable()</f>
        <v>E_lime</v>
      </c>
    </row>
    <row r="11" spans="1:21" ht="20.100000000000001" customHeight="1" x14ac:dyDescent="0.25">
      <c r="A11" s="19" t="s">
        <v>69</v>
      </c>
      <c r="D11" s="51" t="s">
        <v>16</v>
      </c>
      <c r="E11" s="52" t="str" cm="1">
        <f t="array" ref="E11">Fertiliser_Equations_Lime.VEERG_5_3_1_1__1_LimeApplicationCO2Emissions_Unit()</f>
        <v>t CO2</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20">_xlfn.CHOOSECOLS(Fertiliser_Equations_Lime.VEERG_5_3_1_1__1_LimeApplicationCO2Emissions_Arguments(), 1, 2)</f>
        <v>M_lime</v>
      </c>
      <c r="E13" s="154" t="str">
        <v>total mass of lime applied to production system</v>
      </c>
      <c r="F13" s="153"/>
      <c r="G13" s="147" t="str" cm="1">
        <f t="array" ref="G13:H20">_xlfn.CHOOSECOLS(Fertiliser_Equations_Lime.VEERG_5_3_1_1__1_LimeApplicationCO2Emissions_Arguments(), 3,4)</f>
        <v>kg</v>
      </c>
      <c r="H13" s="120" t="str">
        <v>Input</v>
      </c>
      <c r="I13" s="145" t="str" cm="1">
        <f t="array" aca="1" ref="I13" ca="1">HYPERLINK(Common_InputFunctions.Utility_SourceHyperlink($D$22), $D$22)</f>
        <v>Table_E_lime</v>
      </c>
    </row>
    <row r="14" spans="1:21" ht="20.100000000000001" customHeight="1" x14ac:dyDescent="0.25">
      <c r="A14" s="17" t="str">
        <f>HYPERLINK("#'5.2.1.1-2 Organic Fert N2O'!A1", "5.2.1.1-2 Organic Fert N2O")</f>
        <v>5.2.1.1-2 Organic Fert N2O</v>
      </c>
      <c r="D14" s="147" t="str">
        <v>FracLime</v>
      </c>
      <c r="E14" s="154" t="str">
        <v>fraction of lime as limestone (CaCO3)</v>
      </c>
      <c r="F14" s="153"/>
      <c r="G14" s="147" t="str">
        <v>fraction</v>
      </c>
      <c r="H14" s="120" t="str">
        <v>Input</v>
      </c>
      <c r="I14" s="145" t="str" cm="1">
        <f t="array" aca="1" ref="I14" ca="1">HYPERLINK(Common_InputFunctions.Utility_SourceHyperlink($D$22), $D$22)</f>
        <v>Table_E_lime</v>
      </c>
    </row>
    <row r="15" spans="1:21" ht="20.100000000000001" customHeight="1" x14ac:dyDescent="0.25">
      <c r="A15" s="177" t="str">
        <f>HYPERLINK("#'5.3.1.1-2 Lime CO2'!A1", "5.3.1.1-2 Lime CO2")</f>
        <v>5.3.1.1-2 Lime CO2</v>
      </c>
      <c r="D15" s="147" t="str">
        <v>P_lime</v>
      </c>
      <c r="E15" s="154" t="str">
        <v>fractional purity of limestone</v>
      </c>
      <c r="F15" s="153"/>
      <c r="G15" s="147" t="str">
        <v>fraction</v>
      </c>
      <c r="H15" s="119" t="str">
        <v>Constant</v>
      </c>
      <c r="I15" s="147">
        <f>'Constants - Fertiliser'!$E$66</f>
        <v>0.9</v>
      </c>
    </row>
    <row r="16" spans="1:21" ht="20.100000000000001" customHeight="1" x14ac:dyDescent="0.25">
      <c r="A16" s="17" t="str">
        <f>HYPERLINK("#'5.4.1.1-4 Atmos deposition'!A1", "5.4.1.1-4 Atmos deposition")</f>
        <v>5.4.1.1-4 Atmos deposition</v>
      </c>
      <c r="D16" s="147" t="str">
        <v>EF_lime</v>
      </c>
      <c r="E16" s="154" t="str">
        <v>emission factor for limestone fraction of lime</v>
      </c>
      <c r="F16" s="153"/>
      <c r="G16" s="147" t="str">
        <v>kg C/kg</v>
      </c>
      <c r="H16" s="119" t="str">
        <v>Constant</v>
      </c>
      <c r="I16" s="147">
        <f>'Constants - Fertiliser'!$F$66</f>
        <v>0.12</v>
      </c>
    </row>
    <row r="17" spans="1:9" ht="20.100000000000001" customHeight="1" x14ac:dyDescent="0.25">
      <c r="A17" s="17" t="str">
        <f>HYPERLINK("#'5.5.1.1-2 Leaching and runoff'!A1", "5.5.1.1-2 Leaching and runoff")</f>
        <v>5.5.1.1-2 Leaching and runoff</v>
      </c>
      <c r="D17" s="147" t="str">
        <v>FracDol</v>
      </c>
      <c r="E17" s="154" t="str">
        <v>fraction of lime as dolomite</v>
      </c>
      <c r="F17" s="153"/>
      <c r="G17" s="147" t="str">
        <v>fraction</v>
      </c>
      <c r="H17" s="120" t="str">
        <v>Input</v>
      </c>
      <c r="I17" s="145" t="str" cm="1">
        <f t="array" aca="1" ref="I17" ca="1">HYPERLINK(Common_InputFunctions.Utility_SourceHyperlink($D$22), $D$22)</f>
        <v>Table_E_lime</v>
      </c>
    </row>
    <row r="18" spans="1:9" ht="20.100000000000001" customHeight="1" x14ac:dyDescent="0.25">
      <c r="D18" s="147" t="str">
        <v>P_dol</v>
      </c>
      <c r="E18" s="154" t="str">
        <v>fractional purity of dolomite</v>
      </c>
      <c r="F18" s="153"/>
      <c r="G18" s="147" t="str">
        <v>fraction</v>
      </c>
      <c r="H18" s="119" t="str">
        <v>Constant</v>
      </c>
      <c r="I18" s="147">
        <f>'Constants - Fertiliser'!$E$67</f>
        <v>0.95</v>
      </c>
    </row>
    <row r="19" spans="1:9" ht="20.100000000000001" customHeight="1" x14ac:dyDescent="0.25">
      <c r="A19" s="18" t="s">
        <v>2</v>
      </c>
      <c r="D19" s="147" t="str">
        <v>EF_dol</v>
      </c>
      <c r="E19" s="154" t="str">
        <v>emission factor for dolomite fraction of lime</v>
      </c>
      <c r="F19" s="153"/>
      <c r="G19" s="147" t="str">
        <v>kg C/kg</v>
      </c>
      <c r="H19" s="119" t="str">
        <v>Constant</v>
      </c>
      <c r="I19" s="147">
        <f>'Constants - Fertiliser'!$F$67</f>
        <v>0.13</v>
      </c>
    </row>
    <row r="20" spans="1:9" ht="20.100000000000001" customHeight="1" x14ac:dyDescent="0.25">
      <c r="A20" s="17" t="str">
        <f>HYPERLINK("#'Constants - Fertiliser'!A1", "Constants - Fertiliser")</f>
        <v>Constants - Fertiliser</v>
      </c>
      <c r="D20" s="147" t="str">
        <v>C_CO2</v>
      </c>
      <c r="E20" s="154" t="str">
        <v>factor to convert elemental mass of carbon dioxide to molecular mass</v>
      </c>
      <c r="F20" s="153"/>
      <c r="G20" s="147" t="str">
        <v/>
      </c>
      <c r="H20" s="119" t="str">
        <v>Constant</v>
      </c>
      <c r="I20" s="54">
        <f>Common_InputFunctions.Utility_LookupValueInTableNumber("CO2",Table_GasToMolecularConversionFactor[Gas], Table_GasToMolecularConversionFactor[Conversion factor combined])</f>
        <v>3.6666666666666665</v>
      </c>
    </row>
    <row r="21" spans="1:9" ht="20.100000000000001" customHeight="1" x14ac:dyDescent="0.25">
      <c r="A21" s="17" t="str">
        <f>HYPERLINK("#'Constants - Common'!A1", "Constants - Common")</f>
        <v>Constants - Common</v>
      </c>
    </row>
    <row r="22" spans="1:9" ht="20.100000000000001" customHeight="1" x14ac:dyDescent="0.25">
      <c r="D22" s="92" t="s">
        <v>266</v>
      </c>
    </row>
    <row r="23" spans="1:9" ht="20.100000000000001" customHeight="1" x14ac:dyDescent="0.25">
      <c r="A23" s="17"/>
      <c r="D23" s="91" t="s">
        <v>271</v>
      </c>
    </row>
    <row r="24" spans="1:9" ht="20.100000000000001" customHeight="1" x14ac:dyDescent="0.25">
      <c r="D24" s="148" t="s">
        <v>259</v>
      </c>
      <c r="E24" s="49" t="s">
        <v>260</v>
      </c>
      <c r="F24" s="49" t="s">
        <v>261</v>
      </c>
      <c r="G24" s="49" t="s">
        <v>262</v>
      </c>
      <c r="H24" s="49" t="s">
        <v>263</v>
      </c>
    </row>
    <row r="25" spans="1:9" ht="20.100000000000001" customHeight="1" x14ac:dyDescent="0.25">
      <c r="D25" s="50" t="str" cm="1">
        <f t="array" ref="D25:D26">Table_Input_Lime[Product]</f>
        <v>Lime product 1</v>
      </c>
      <c r="E25" s="158" cm="1">
        <f t="array" ref="E25:E26">Table_Input_Lime[Total amount applied (t)]</f>
        <v>10000</v>
      </c>
      <c r="F25" s="159" cm="1">
        <f t="array" ref="F25:F26">Table_Input_Lime[Percent Lime CaCO3]</f>
        <v>0.4</v>
      </c>
      <c r="G25" s="159" cm="1">
        <f t="array" ref="G25:G26">Table_Input_Lime[Percent Dolomite CaMg(CO3)2]</f>
        <v>0.3</v>
      </c>
      <c r="H25" s="50" cm="1">
        <f t="array" ref="H25">Fertiliser_Equations_Lime.VEERG_5_3_1_1__1_LimeApplicationCO2Emissions(E25,F25,$I$15,$I$16,G25,$I$18,$I$19,$I$20)</f>
        <v>2.9424999999999999</v>
      </c>
    </row>
    <row r="26" spans="1:9" ht="20.100000000000001" customHeight="1" x14ac:dyDescent="0.25">
      <c r="D26" s="50" t="str">
        <v>Lime product 2</v>
      </c>
      <c r="E26" s="50">
        <v>10000</v>
      </c>
      <c r="F26" s="50">
        <v>0</v>
      </c>
      <c r="G26" s="50">
        <v>1</v>
      </c>
      <c r="H26" s="50" cm="1">
        <f t="array" ref="H26">Fertiliser_Equations_Lime.VEERG_5_3_1_1__1_LimeApplicationCO2Emissions(E26,F26,$I$15,$I$16,G26,$I$18,$I$19,$I$20)</f>
        <v>4.5283333333333333</v>
      </c>
    </row>
    <row r="27" spans="1:9" ht="20.100000000000001" customHeight="1" x14ac:dyDescent="0.25">
      <c r="D27" s="50"/>
      <c r="E27" s="50"/>
      <c r="F27" s="50"/>
      <c r="G27" s="50"/>
      <c r="H27" s="50" cm="1">
        <f t="array" ref="H27">Fertiliser_Equations_Lime.VEERG_5_3_1_1__1_LimeApplicationCO2Emissions(E27,F27,$I$15,$I$16,G27,$I$18,$I$19,$I$20)</f>
        <v>0</v>
      </c>
    </row>
    <row r="28" spans="1:9" ht="20.100000000000001" customHeight="1" x14ac:dyDescent="0.25">
      <c r="D28" s="50"/>
      <c r="E28" s="50"/>
      <c r="F28" s="50"/>
      <c r="G28" s="50"/>
      <c r="H28" s="50" cm="1">
        <f t="array" ref="H28">Fertiliser_Equations_Lime.VEERG_5_3_1_1__1_LimeApplicationCO2Emissions(E28,F28,$I$15,$I$16,G28,$I$18,$I$19,$I$20)</f>
        <v>0</v>
      </c>
    </row>
    <row r="29" spans="1:9" ht="20.100000000000001" customHeight="1" x14ac:dyDescent="0.25">
      <c r="D29" s="50"/>
      <c r="E29" s="50"/>
      <c r="F29" s="50"/>
      <c r="G29" s="50"/>
      <c r="H29" s="50" cm="1">
        <f t="array" ref="H29">Fertiliser_Equations_Lime.VEERG_5_3_1_1__1_LimeApplicationCO2Emissions(E29,F29,$I$15,$I$16,G29,$I$18,$I$19,$I$20)</f>
        <v>0</v>
      </c>
    </row>
    <row r="30" spans="1:9" ht="20.100000000000001" customHeight="1" x14ac:dyDescent="0.25"/>
    <row r="31" spans="1:9" ht="20.100000000000001" customHeight="1" x14ac:dyDescent="0.25">
      <c r="D31" s="94" t="s">
        <v>264</v>
      </c>
      <c r="E31" s="94">
        <f>SUM(H25:H29)</f>
        <v>7.4708333333333332</v>
      </c>
      <c r="F31" s="160" t="s">
        <v>265</v>
      </c>
    </row>
    <row r="32" spans="1:9" ht="20.100000000000001" customHeight="1" x14ac:dyDescent="0.25"/>
    <row r="33" spans="1:1" ht="20.100000000000001" customHeight="1" x14ac:dyDescent="0.25"/>
    <row r="34" spans="1:1" ht="20.100000000000001" customHeight="1" x14ac:dyDescent="0.25">
      <c r="A34" s="157" t="str">
        <f>HYPERLINK("#A1", "▲ Back to top")</f>
        <v>▲ Back to top</v>
      </c>
    </row>
    <row r="35" spans="1:1" ht="20.100000000000001" customHeight="1" x14ac:dyDescent="0.25"/>
    <row r="36" spans="1:1" ht="20.100000000000001" customHeight="1" x14ac:dyDescent="0.25"/>
    <row r="37" spans="1:1" ht="20.100000000000001" customHeight="1" x14ac:dyDescent="0.25"/>
    <row r="38" spans="1:1" ht="20.100000000000001" customHeight="1" x14ac:dyDescent="0.25"/>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spans="1:1" ht="20.100000000000001" customHeight="1" x14ac:dyDescent="0.25"/>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c r="A55" s="157" t="str">
        <f>HYPERLINK("#A1", "▲ Back to top")</f>
        <v>▲ Back to top</v>
      </c>
    </row>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dimension ref="A1:U165"/>
  <sheetViews>
    <sheetView showGridLines="0" workbookViewId="0">
      <selection activeCell="A17" sqref="A1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289</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A6" s="16"/>
      <c r="D6" s="5" t="str" cm="1">
        <f t="array" ref="D6">Fertiliser_Equations_AtmosphericDeposition.VEERG_5_4_1_1__2_MassOfNitrogenVolatilisedFromInorganicFertiliser_Source()</f>
        <v>VEERG 2026: 5.4.1.1, Equation (2)</v>
      </c>
    </row>
    <row r="7" spans="1:21" ht="20.100000000000001" customHeight="1" x14ac:dyDescent="0.25">
      <c r="A7" s="20" t="s">
        <v>1</v>
      </c>
      <c r="D7" s="13" t="s">
        <v>22</v>
      </c>
      <c r="E7" s="13" t="str" cm="1">
        <f t="array" aca="1" ref="E7" ca="1">Common_InputFunctions.Utility_DisplayFunctionName(H19)</f>
        <v>=Fertiliser_Equations_AtmosphericDeposition.VEERG_5_4_1_1__2_MassOfNitrogenVolatilisedFromInorganicFertiliser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Fertiliser_Equations_AtmosphericDeposition.VEERG_5_4_1_1__2_MassOfNitrogenVolatilisedFromInorganicFertiliser_Variable()</f>
        <v>M_volinorganicjf</v>
      </c>
    </row>
    <row r="11" spans="1:21" ht="20.100000000000001" customHeight="1" x14ac:dyDescent="0.25">
      <c r="A11" s="19" t="s">
        <v>69</v>
      </c>
      <c r="D11" s="51" t="s">
        <v>16</v>
      </c>
      <c r="E11" s="52" t="str" cm="1">
        <f t="array" ref="E11">Fertiliser_Equations_AtmosphericDeposition.VEERG_5_4_1_1__2_MassOfNitrogenVolatilisedFromInorganicFertiliser_Unit()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14">_xlfn.CHOOSECOLS(Fertiliser_Equations_AtmosphericDeposition.VEERG_5_4_1_1__2_MassOfNitrogenVolatilisedFromInorganicFertiliser_Arguments(), 1, 2)</f>
        <v>MN_jf</v>
      </c>
      <c r="E13" s="154" t="str">
        <v>mass of nitrogen in inorganic fertiliser applied</v>
      </c>
      <c r="F13" s="153"/>
      <c r="G13" s="147" t="str" cm="1">
        <f t="array" ref="G13:H14">_xlfn.CHOOSECOLS(Fertiliser_Equations_AtmosphericDeposition.VEERG_5_4_1_1__2_MassOfNitrogenVolatilisedFromInorganicFertiliser_Arguments(), 3,4)</f>
        <v>kg N</v>
      </c>
      <c r="H13" s="119" t="str">
        <v>Calculated from 5.1.1.1 (2)</v>
      </c>
      <c r="I13" s="145" t="str" cm="1">
        <f t="array" aca="1" ref="I13" ca="1">HYPERLINK(Common_InputFunctions.Utility_SourceHyperlink($D$16),$D$16)</f>
        <v>Table_M_vol_inorganic_j_f</v>
      </c>
    </row>
    <row r="14" spans="1:21" ht="20.100000000000001" customHeight="1" x14ac:dyDescent="0.25">
      <c r="A14" s="17" t="str">
        <f>HYPERLINK("#'5.2.1.1-2 Organic Fert N2O'!A1", "5.2.1.1-2 Organic Fert N2O")</f>
        <v>5.2.1.1-2 Organic Fert N2O</v>
      </c>
      <c r="D14" s="147" t="str">
        <v>FracGASF_f</v>
      </c>
      <c r="E14" s="154" t="str">
        <v>fraction of inorganic fertiliser that volatilises</v>
      </c>
      <c r="F14" s="153"/>
      <c r="G14" s="147" t="str">
        <v>(kg NH3-N + NOx-N)/kg N</v>
      </c>
      <c r="H14" s="119" t="str">
        <v>Constant</v>
      </c>
      <c r="I14" s="145" t="str" cm="1">
        <f t="array" aca="1" ref="I14" ca="1">HYPERLINK(Common_InputFunctions.Utility_SourceHyperlink($D$16),$D$16)</f>
        <v>Table_M_vol_inorganic_j_f</v>
      </c>
    </row>
    <row r="15" spans="1:21" ht="20.100000000000001" customHeight="1" x14ac:dyDescent="0.25">
      <c r="A15" s="17" t="str">
        <f>HYPERLINK("#'5.3.1.1-2 Lime CO2'!A1", "5.3.1.1-2 Lime CO2")</f>
        <v>5.3.1.1-2 Lime CO2</v>
      </c>
    </row>
    <row r="16" spans="1:21" ht="20.100000000000001" customHeight="1" x14ac:dyDescent="0.25">
      <c r="A16" s="177" t="str">
        <f>HYPERLINK("#'5.4.1.1-4 Atmos deposition'!A1", "5.4.1.1-4 Atmos deposition")</f>
        <v>5.4.1.1-4 Atmos deposition</v>
      </c>
      <c r="D16" s="92" t="s">
        <v>276</v>
      </c>
    </row>
    <row r="17" spans="1:8" ht="20.100000000000001" customHeight="1" x14ac:dyDescent="0.25">
      <c r="A17" s="17" t="str">
        <f>HYPERLINK("#'5.5.1.1-2 Leaching and runoff'!A1", "5.5.1.1-2 Leaching and runoff")</f>
        <v>5.5.1.1-2 Leaching and runoff</v>
      </c>
      <c r="D17" s="91" t="s">
        <v>277</v>
      </c>
    </row>
    <row r="18" spans="1:8" ht="20.100000000000001" customHeight="1" x14ac:dyDescent="0.25">
      <c r="D18" s="49" t="s">
        <v>272</v>
      </c>
      <c r="E18" s="49" t="s">
        <v>273</v>
      </c>
      <c r="F18" s="49" t="s">
        <v>110</v>
      </c>
      <c r="G18" s="165" t="s">
        <v>274</v>
      </c>
      <c r="H18" s="165" t="s">
        <v>275</v>
      </c>
    </row>
    <row r="19" spans="1:8" ht="20.100000000000001" customHeight="1" x14ac:dyDescent="0.25">
      <c r="A19" s="18" t="s">
        <v>2</v>
      </c>
      <c r="D19" s="50" t="str" cm="1">
        <f t="array" ref="D19:D36">Table_Fertiliser_ChemicalCompounds[Fertiliser type f]</f>
        <v>Monoammonium phosphate (MAP)</v>
      </c>
      <c r="E19" s="50">
        <f>'5.1.1.1-2 Inorganic fert N2O'!G19</f>
        <v>0</v>
      </c>
      <c r="F19" s="50" t="str" cm="1">
        <f t="array" ref="F19">Common_InputFunctions.Utility_LookupValueInTable(D19, Table_Fertiliser_ChemicalCompounds[Fertiliser type f],Table_Fertiliser_ChemicalCompounds[Basis])</f>
        <v>Ammonium-based fertilisers</v>
      </c>
      <c r="G19" s="50" cm="1">
        <f t="array" ref="G19">Common_InputFunctions.Utility_LookupValueInTableNumber(F19, Table_SourceData_Fertiliser_FracGASF[Fertiliser type f],Table_SourceData_Fertiliser_FracGASF[FracGASF f])</f>
        <v>0.08</v>
      </c>
      <c r="H19" s="50" cm="1">
        <f t="array" ref="H19">Fertiliser_Equations_AtmosphericDeposition.VEERG_5_4_1_1__2_MassOfNitrogenVolatilisedFromInorganicFertiliser(E19,G19)</f>
        <v>0</v>
      </c>
    </row>
    <row r="20" spans="1:8" ht="20.100000000000001" customHeight="1" x14ac:dyDescent="0.25">
      <c r="A20" s="17" t="str">
        <f>HYPERLINK("#'Constants - Fertiliser'!A1", "Constants - Fertiliser")</f>
        <v>Constants - Fertiliser</v>
      </c>
      <c r="D20" s="50" t="str">
        <v>Diammonium phosphate (DAP)</v>
      </c>
      <c r="E20" s="50">
        <f>'5.1.1.1-2 Inorganic fert N2O'!G20</f>
        <v>0</v>
      </c>
      <c r="F20" s="50" t="str" cm="1">
        <f t="array" ref="F20">Common_InputFunctions.Utility_LookupValueInTable(D20, Table_Fertiliser_ChemicalCompounds[Fertiliser type f],Table_Fertiliser_ChemicalCompounds[Basis])</f>
        <v>Ammonium-based fertilisers</v>
      </c>
      <c r="G20" s="50" cm="1">
        <f t="array" ref="G20">Common_InputFunctions.Utility_LookupValueInTableNumber(F20, Table_SourceData_Fertiliser_FracGASF[Fertiliser type f],Table_SourceData_Fertiliser_FracGASF[FracGASF f])</f>
        <v>0.08</v>
      </c>
      <c r="H20" s="50" cm="1">
        <f t="array" ref="H20">Fertiliser_Equations_AtmosphericDeposition.VEERG_5_4_1_1__2_MassOfNitrogenVolatilisedFromInorganicFertiliser(E20,G20)</f>
        <v>0</v>
      </c>
    </row>
    <row r="21" spans="1:8" ht="20.100000000000001" customHeight="1" x14ac:dyDescent="0.25">
      <c r="A21" s="17" t="str">
        <f>HYPERLINK("#'Constants - Common'!A1", "Constants - Common")</f>
        <v>Constants - Common</v>
      </c>
      <c r="D21" s="50" t="str">
        <v>Urea</v>
      </c>
      <c r="E21" s="50">
        <f>'5.1.1.1-2 Inorganic fert N2O'!G21</f>
        <v>5940.0000008000006</v>
      </c>
      <c r="F21" s="50" t="str" cm="1">
        <f t="array" ref="F21">Common_InputFunctions.Utility_LookupValueInTable(D21, Table_Fertiliser_ChemicalCompounds[Fertiliser type f],Table_Fertiliser_ChemicalCompounds[Basis])</f>
        <v>Urea-based fertilisers</v>
      </c>
      <c r="G21" s="50" cm="1">
        <f t="array" ref="G21">Common_InputFunctions.Utility_LookupValueInTableNumber(F21, Table_SourceData_Fertiliser_FracGASF[Fertiliser type f],Table_SourceData_Fertiliser_FracGASF[FracGASF f])</f>
        <v>0.15</v>
      </c>
      <c r="H21" s="50" cm="1">
        <f t="array" ref="H21">Fertiliser_Equations_AtmosphericDeposition.VEERG_5_4_1_1__2_MassOfNitrogenVolatilisedFromInorganicFertiliser(E21,G21)</f>
        <v>891.0000001200001</v>
      </c>
    </row>
    <row r="22" spans="1:8" ht="20.100000000000001" customHeight="1" x14ac:dyDescent="0.25">
      <c r="D22" s="50" t="str">
        <v>Sulphate of ammonia (SOA)</v>
      </c>
      <c r="E22" s="50">
        <f>'5.1.1.1-2 Inorganic fert N2O'!G22</f>
        <v>0</v>
      </c>
      <c r="F22" s="50" t="str" cm="1">
        <f t="array" ref="F22">Common_InputFunctions.Utility_LookupValueInTable(D22, Table_Fertiliser_ChemicalCompounds[Fertiliser type f],Table_Fertiliser_ChemicalCompounds[Basis])</f>
        <v>Ammonium-based fertilisers</v>
      </c>
      <c r="G22" s="50" cm="1">
        <f t="array" ref="G22">Common_InputFunctions.Utility_LookupValueInTableNumber(F22, Table_SourceData_Fertiliser_FracGASF[Fertiliser type f],Table_SourceData_Fertiliser_FracGASF[FracGASF f])</f>
        <v>0.08</v>
      </c>
      <c r="H22" s="50" cm="1">
        <f t="array" ref="H22">Fertiliser_Equations_AtmosphericDeposition.VEERG_5_4_1_1__2_MassOfNitrogenVolatilisedFromInorganicFertiliser(E22,G22)</f>
        <v>0</v>
      </c>
    </row>
    <row r="23" spans="1:8" ht="20.100000000000001" customHeight="1" x14ac:dyDescent="0.25">
      <c r="A23" s="17"/>
      <c r="D23" s="50" t="str">
        <v>Urea-ammonium nitrate (UAN)</v>
      </c>
      <c r="E23" s="50">
        <f>'5.1.1.1-2 Inorganic fert N2O'!G23</f>
        <v>0</v>
      </c>
      <c r="F23" s="50" t="str" cm="1">
        <f t="array" ref="F23">Common_InputFunctions.Utility_LookupValueInTable(D23, Table_Fertiliser_ChemicalCompounds[Fertiliser type f],Table_Fertiliser_ChemicalCompounds[Basis])</f>
        <v>Urea-based fertilisers</v>
      </c>
      <c r="G23" s="50" cm="1">
        <f t="array" ref="G23">Common_InputFunctions.Utility_LookupValueInTableNumber(F23, Table_SourceData_Fertiliser_FracGASF[Fertiliser type f],Table_SourceData_Fertiliser_FracGASF[FracGASF f])</f>
        <v>0.15</v>
      </c>
      <c r="H23" s="50" cm="1">
        <f t="array" ref="H23">Fertiliser_Equations_AtmosphericDeposition.VEERG_5_4_1_1__2_MassOfNitrogenVolatilisedFromInorganicFertiliser(E23,G23)</f>
        <v>0</v>
      </c>
    </row>
    <row r="24" spans="1:8" ht="20.100000000000001" customHeight="1" x14ac:dyDescent="0.25">
      <c r="D24" s="50" t="str">
        <v>Ammonium nitrate (AN)</v>
      </c>
      <c r="E24" s="50">
        <f>'5.1.1.1-2 Inorganic fert N2O'!G24</f>
        <v>0</v>
      </c>
      <c r="F24" s="50" t="str" cm="1">
        <f t="array" ref="F24">Common_InputFunctions.Utility_LookupValueInTable(D24, Table_Fertiliser_ChemicalCompounds[Fertiliser type f],Table_Fertiliser_ChemicalCompounds[Basis])</f>
        <v>Ammonium-nitrate based fertilisers</v>
      </c>
      <c r="G24" s="50" cm="1">
        <f t="array" ref="G24">Common_InputFunctions.Utility_LookupValueInTableNumber(F24, Table_SourceData_Fertiliser_FracGASF[Fertiliser type f],Table_SourceData_Fertiliser_FracGASF[FracGASF f])</f>
        <v>0.05</v>
      </c>
      <c r="H24" s="50" cm="1">
        <f t="array" ref="H24">Fertiliser_Equations_AtmosphericDeposition.VEERG_5_4_1_1__2_MassOfNitrogenVolatilisedFromInorganicFertiliser(E24,G24)</f>
        <v>0</v>
      </c>
    </row>
    <row r="25" spans="1:8" ht="20.100000000000001" customHeight="1" x14ac:dyDescent="0.25">
      <c r="D25" s="50" t="str">
        <v>Calcium ammonium nitrate (CAN)</v>
      </c>
      <c r="E25" s="50">
        <f>'5.1.1.1-2 Inorganic fert N2O'!G25</f>
        <v>0</v>
      </c>
      <c r="F25" s="50" t="str" cm="1">
        <f t="array" ref="F25">Common_InputFunctions.Utility_LookupValueInTable(D25, Table_Fertiliser_ChemicalCompounds[Fertiliser type f],Table_Fertiliser_ChemicalCompounds[Basis])</f>
        <v>Ammonium-nitrate based fertilisers</v>
      </c>
      <c r="G25" s="50" cm="1">
        <f t="array" ref="G25">Common_InputFunctions.Utility_LookupValueInTableNumber(F25, Table_SourceData_Fertiliser_FracGASF[Fertiliser type f],Table_SourceData_Fertiliser_FracGASF[FracGASF f])</f>
        <v>0.05</v>
      </c>
      <c r="H25" s="50" cm="1">
        <f t="array" ref="H25">Fertiliser_Equations_AtmosphericDeposition.VEERG_5_4_1_1__2_MassOfNitrogenVolatilisedFromInorganicFertiliser(E25,G25)</f>
        <v>0</v>
      </c>
    </row>
    <row r="26" spans="1:8" ht="20.100000000000001" customHeight="1" x14ac:dyDescent="0.25">
      <c r="D26" s="50" t="str">
        <v>Nitrogen - Ammoniacal</v>
      </c>
      <c r="E26" s="50">
        <f>'5.1.1.1-2 Inorganic fert N2O'!G26</f>
        <v>3500</v>
      </c>
      <c r="F26" s="50" t="str" cm="1">
        <f t="array" ref="F26">Common_InputFunctions.Utility_LookupValueInTable(D26, Table_Fertiliser_ChemicalCompounds[Fertiliser type f],Table_Fertiliser_ChemicalCompounds[Basis])</f>
        <v>Ammonium-based fertilisers</v>
      </c>
      <c r="G26" s="50" cm="1">
        <f t="array" ref="G26">Common_InputFunctions.Utility_LookupValueInTableNumber(F26, Table_SourceData_Fertiliser_FracGASF[Fertiliser type f],Table_SourceData_Fertiliser_FracGASF[FracGASF f])</f>
        <v>0.08</v>
      </c>
      <c r="H26" s="50" cm="1">
        <f t="array" ref="H26">Fertiliser_Equations_AtmosphericDeposition.VEERG_5_4_1_1__2_MassOfNitrogenVolatilisedFromInorganicFertiliser(E26,G26)</f>
        <v>280</v>
      </c>
    </row>
    <row r="27" spans="1:8" ht="20.100000000000001" customHeight="1" x14ac:dyDescent="0.25">
      <c r="D27" s="50" t="str">
        <v>Nitrogen - Nitrate</v>
      </c>
      <c r="E27" s="50">
        <f>'5.1.1.1-2 Inorganic fert N2O'!G27</f>
        <v>1500</v>
      </c>
      <c r="F27" s="50" t="str" cm="1">
        <f t="array" ref="F27">Common_InputFunctions.Utility_LookupValueInTable(D27, Table_Fertiliser_ChemicalCompounds[Fertiliser type f],Table_Fertiliser_ChemicalCompounds[Basis])</f>
        <v>Nitrate-based fertilisers</v>
      </c>
      <c r="G27" s="50" cm="1">
        <f t="array" ref="G27">Common_InputFunctions.Utility_LookupValueInTableNumber(F27, Table_SourceData_Fertiliser_FracGASF[Fertiliser type f],Table_SourceData_Fertiliser_FracGASF[FracGASF f])</f>
        <v>0.01</v>
      </c>
      <c r="H27" s="50" cm="1">
        <f t="array" ref="H27">Fertiliser_Equations_AtmosphericDeposition.VEERG_5_4_1_1__2_MassOfNitrogenVolatilisedFromInorganicFertiliser(E27,G27)</f>
        <v>15</v>
      </c>
    </row>
    <row r="28" spans="1:8" ht="20.100000000000001" customHeight="1" x14ac:dyDescent="0.25">
      <c r="D28" s="50" t="str">
        <v>Nitrogen - Generic</v>
      </c>
      <c r="E28" s="50">
        <f>'5.1.1.1-2 Inorganic fert N2O'!G28</f>
        <v>1120</v>
      </c>
      <c r="F28" s="50" t="str" cm="1">
        <f t="array" ref="F28">Common_InputFunctions.Utility_LookupValueInTable(D28, Table_Fertiliser_ChemicalCompounds[Fertiliser type f],Table_Fertiliser_ChemicalCompounds[Basis])</f>
        <v>Urea-based fertilisers</v>
      </c>
      <c r="G28" s="50" cm="1">
        <f t="array" ref="G28">Common_InputFunctions.Utility_LookupValueInTableNumber(F28, Table_SourceData_Fertiliser_FracGASF[Fertiliser type f],Table_SourceData_Fertiliser_FracGASF[FracGASF f])</f>
        <v>0.15</v>
      </c>
      <c r="H28" s="50" cm="1">
        <f t="array" ref="H28">Fertiliser_Equations_AtmosphericDeposition.VEERG_5_4_1_1__2_MassOfNitrogenVolatilisedFromInorganicFertiliser(E28,G28)</f>
        <v>168</v>
      </c>
    </row>
    <row r="29" spans="1:8" ht="20.100000000000001" customHeight="1" x14ac:dyDescent="0.25">
      <c r="D29" s="50" t="str">
        <v>Phosphorus - Generic</v>
      </c>
      <c r="E29" s="50">
        <f>'5.1.1.1-2 Inorganic fert N2O'!G29</f>
        <v>0</v>
      </c>
      <c r="F29" s="50" t="str" cm="1">
        <f t="array" ref="F29">Common_InputFunctions.Utility_LookupValueInTable(D29, Table_Fertiliser_ChemicalCompounds[Fertiliser type f],Table_Fertiliser_ChemicalCompounds[Basis])</f>
        <v>Other fertilisers</v>
      </c>
      <c r="G29" s="50" cm="1">
        <f t="array" ref="G29">Common_InputFunctions.Utility_LookupValueInTableNumber(F29, Table_SourceData_Fertiliser_FracGASF[Fertiliser type f],Table_SourceData_Fertiliser_FracGASF[FracGASF f])</f>
        <v>0.11</v>
      </c>
      <c r="H29" s="50" cm="1">
        <f t="array" ref="H29">Fertiliser_Equations_AtmosphericDeposition.VEERG_5_4_1_1__2_MassOfNitrogenVolatilisedFromInorganicFertiliser(E29,G29)</f>
        <v>0</v>
      </c>
    </row>
    <row r="30" spans="1:8" ht="20.100000000000001" customHeight="1" x14ac:dyDescent="0.25">
      <c r="D30" s="50" t="str">
        <v>Potassium - Generic</v>
      </c>
      <c r="E30" s="50">
        <f>'5.1.1.1-2 Inorganic fert N2O'!G30</f>
        <v>0</v>
      </c>
      <c r="F30" s="50" t="str" cm="1">
        <f t="array" ref="F30">Common_InputFunctions.Utility_LookupValueInTable(D30, Table_Fertiliser_ChemicalCompounds[Fertiliser type f],Table_Fertiliser_ChemicalCompounds[Basis])</f>
        <v>Other fertilisers</v>
      </c>
      <c r="G30" s="50" cm="1">
        <f t="array" ref="G30">Common_InputFunctions.Utility_LookupValueInTableNumber(F30, Table_SourceData_Fertiliser_FracGASF[Fertiliser type f],Table_SourceData_Fertiliser_FracGASF[FracGASF f])</f>
        <v>0.11</v>
      </c>
      <c r="H30" s="50" cm="1">
        <f t="array" ref="H30">Fertiliser_Equations_AtmosphericDeposition.VEERG_5_4_1_1__2_MassOfNitrogenVolatilisedFromInorganicFertiliser(E30,G30)</f>
        <v>0</v>
      </c>
    </row>
    <row r="31" spans="1:8" ht="20.100000000000001" customHeight="1" x14ac:dyDescent="0.25">
      <c r="D31" s="50" t="str">
        <v>Sulfur - Generic</v>
      </c>
      <c r="E31" s="50">
        <f>'5.1.1.1-2 Inorganic fert N2O'!G31</f>
        <v>0</v>
      </c>
      <c r="F31" s="50" t="str" cm="1">
        <f t="array" ref="F31">Common_InputFunctions.Utility_LookupValueInTable(D31, Table_Fertiliser_ChemicalCompounds[Fertiliser type f],Table_Fertiliser_ChemicalCompounds[Basis])</f>
        <v>Other fertilisers</v>
      </c>
      <c r="G31" s="50" cm="1">
        <f t="array" ref="G31">Common_InputFunctions.Utility_LookupValueInTableNumber(F31, Table_SourceData_Fertiliser_FracGASF[Fertiliser type f],Table_SourceData_Fertiliser_FracGASF[FracGASF f])</f>
        <v>0.11</v>
      </c>
      <c r="H31" s="50" cm="1">
        <f t="array" ref="H31">Fertiliser_Equations_AtmosphericDeposition.VEERG_5_4_1_1__2_MassOfNitrogenVolatilisedFromInorganicFertiliser(E31,G31)</f>
        <v>0</v>
      </c>
    </row>
    <row r="32" spans="1:8" ht="20.100000000000001" customHeight="1" x14ac:dyDescent="0.25">
      <c r="D32" s="50" t="str">
        <v>Zinc - Generic</v>
      </c>
      <c r="E32" s="50">
        <f>'5.1.1.1-2 Inorganic fert N2O'!G32</f>
        <v>0</v>
      </c>
      <c r="F32" s="50" t="str" cm="1">
        <f t="array" ref="F32">Common_InputFunctions.Utility_LookupValueInTable(D32, Table_Fertiliser_ChemicalCompounds[Fertiliser type f],Table_Fertiliser_ChemicalCompounds[Basis])</f>
        <v>Other fertilisers</v>
      </c>
      <c r="G32" s="50" cm="1">
        <f t="array" ref="G32">Common_InputFunctions.Utility_LookupValueInTableNumber(F32, Table_SourceData_Fertiliser_FracGASF[Fertiliser type f],Table_SourceData_Fertiliser_FracGASF[FracGASF f])</f>
        <v>0.11</v>
      </c>
      <c r="H32" s="50" cm="1">
        <f t="array" ref="H32">Fertiliser_Equations_AtmosphericDeposition.VEERG_5_4_1_1__2_MassOfNitrogenVolatilisedFromInorganicFertiliser(E32,G32)</f>
        <v>0</v>
      </c>
    </row>
    <row r="33" spans="1:12" ht="20.100000000000001" customHeight="1" x14ac:dyDescent="0.25">
      <c r="D33" s="50" t="str">
        <v>Muriate of potash (MOP)</v>
      </c>
      <c r="E33" s="50">
        <f>'5.1.1.1-2 Inorganic fert N2O'!G33</f>
        <v>0</v>
      </c>
      <c r="F33" s="50" t="str" cm="1">
        <f t="array" ref="F33">Common_InputFunctions.Utility_LookupValueInTable(D33, Table_Fertiliser_ChemicalCompounds[Fertiliser type f],Table_Fertiliser_ChemicalCompounds[Basis])</f>
        <v>Other fertilisers</v>
      </c>
      <c r="G33" s="50" cm="1">
        <f t="array" ref="G33">Common_InputFunctions.Utility_LookupValueInTableNumber(F33, Table_SourceData_Fertiliser_FracGASF[Fertiliser type f],Table_SourceData_Fertiliser_FracGASF[FracGASF f])</f>
        <v>0.11</v>
      </c>
      <c r="H33" s="50" cm="1">
        <f t="array" ref="H33">Fertiliser_Equations_AtmosphericDeposition.VEERG_5_4_1_1__2_MassOfNitrogenVolatilisedFromInorganicFertiliser(E33,G33)</f>
        <v>0</v>
      </c>
    </row>
    <row r="34" spans="1:12" ht="20.100000000000001" customHeight="1" x14ac:dyDescent="0.25">
      <c r="A34" s="157" t="str">
        <f>HYPERLINK("#A1", "▲ Back to top")</f>
        <v>▲ Back to top</v>
      </c>
      <c r="D34" s="50" t="str">
        <v>Double superphosphate</v>
      </c>
      <c r="E34" s="50">
        <f>'5.1.1.1-2 Inorganic fert N2O'!G34</f>
        <v>0</v>
      </c>
      <c r="F34" s="50" t="str" cm="1">
        <f t="array" ref="F34">Common_InputFunctions.Utility_LookupValueInTable(D34, Table_Fertiliser_ChemicalCompounds[Fertiliser type f],Table_Fertiliser_ChemicalCompounds[Basis])</f>
        <v>Other fertilisers</v>
      </c>
      <c r="G34" s="50" cm="1">
        <f t="array" ref="G34">Common_InputFunctions.Utility_LookupValueInTableNumber(F34, Table_SourceData_Fertiliser_FracGASF[Fertiliser type f],Table_SourceData_Fertiliser_FracGASF[FracGASF f])</f>
        <v>0.11</v>
      </c>
      <c r="H34" s="50" cm="1">
        <f t="array" ref="H34">Fertiliser_Equations_AtmosphericDeposition.VEERG_5_4_1_1__2_MassOfNitrogenVolatilisedFromInorganicFertiliser(E34,G34)</f>
        <v>0</v>
      </c>
    </row>
    <row r="35" spans="1:12" ht="20.100000000000001" customHeight="1" x14ac:dyDescent="0.25">
      <c r="D35" s="50" t="str">
        <v>Single superphosphate (SSP)</v>
      </c>
      <c r="E35" s="50">
        <f>'5.1.1.1-2 Inorganic fert N2O'!G35</f>
        <v>0</v>
      </c>
      <c r="F35" s="50" t="str" cm="1">
        <f t="array" ref="F35">Common_InputFunctions.Utility_LookupValueInTable(D35, Table_Fertiliser_ChemicalCompounds[Fertiliser type f],Table_Fertiliser_ChemicalCompounds[Basis])</f>
        <v>Other fertilisers</v>
      </c>
      <c r="G35" s="50" cm="1">
        <f t="array" ref="G35">Common_InputFunctions.Utility_LookupValueInTableNumber(F35, Table_SourceData_Fertiliser_FracGASF[Fertiliser type f],Table_SourceData_Fertiliser_FracGASF[FracGASF f])</f>
        <v>0.11</v>
      </c>
      <c r="H35" s="50" cm="1">
        <f t="array" ref="H35">Fertiliser_Equations_AtmosphericDeposition.VEERG_5_4_1_1__2_MassOfNitrogenVolatilisedFromInorganicFertiliser(E35,G35)</f>
        <v>0</v>
      </c>
    </row>
    <row r="36" spans="1:12" ht="20.100000000000001" customHeight="1" x14ac:dyDescent="0.25">
      <c r="D36" s="50" t="str">
        <v>Ammonia</v>
      </c>
      <c r="E36" s="50">
        <f>'5.1.1.1-2 Inorganic fert N2O'!G36</f>
        <v>0</v>
      </c>
      <c r="F36" s="50" t="str" cm="1">
        <f t="array" ref="F36">Common_InputFunctions.Utility_LookupValueInTable(D36, Table_Fertiliser_ChemicalCompounds[Fertiliser type f],Table_Fertiliser_ChemicalCompounds[Basis])</f>
        <v>Ammonium-based fertilisers</v>
      </c>
      <c r="G36" s="50" cm="1">
        <f t="array" ref="G36">Common_InputFunctions.Utility_LookupValueInTableNumber(F36, Table_SourceData_Fertiliser_FracGASF[Fertiliser type f],Table_SourceData_Fertiliser_FracGASF[FracGASF f])</f>
        <v>0.08</v>
      </c>
      <c r="H36" s="50" cm="1">
        <f t="array" ref="H36">Fertiliser_Equations_AtmosphericDeposition.VEERG_5_4_1_1__2_MassOfNitrogenVolatilisedFromInorganicFertiliser(E36,G36)</f>
        <v>0</v>
      </c>
    </row>
    <row r="37" spans="1:12" ht="20.100000000000001" customHeight="1" x14ac:dyDescent="0.25"/>
    <row r="38" spans="1:12" ht="20.100000000000001" customHeight="1" x14ac:dyDescent="0.25"/>
    <row r="39" spans="1:12" ht="20.100000000000001" customHeight="1" x14ac:dyDescent="0.25">
      <c r="C39" s="156"/>
      <c r="D39" s="156"/>
      <c r="E39" s="156"/>
      <c r="F39" s="156"/>
      <c r="G39" s="156"/>
      <c r="H39" s="156"/>
      <c r="I39" s="156"/>
      <c r="J39" s="156"/>
      <c r="K39" s="156"/>
      <c r="L39" s="156"/>
    </row>
    <row r="40" spans="1:12" ht="20.100000000000001" customHeight="1" x14ac:dyDescent="0.25">
      <c r="D40" s="6" t="str" cm="1">
        <f t="array" ref="D40">Fertiliser_Equations_AtmosphericDeposition.VEERG_5_4_1_1__1_InorganicFertiliserAtmosphericDepositionN2OEmissions_Title()</f>
        <v>Nitrous oxide emissions from atmospheric deposition from all inorganic fertiliser types f and all production systems j</v>
      </c>
    </row>
    <row r="41" spans="1:12" ht="20.100000000000001" customHeight="1" x14ac:dyDescent="0.25">
      <c r="D41" s="5" t="str" cm="1">
        <f t="array" ref="D41">Fertiliser_Equations_AtmosphericDeposition.VEERG_5_4_1_1__1_InorganicFertiliserAtmosphericDepositionN2OEmissions_Source()</f>
        <v>VEERG 2026: 5.4.1.1, Equation (1)</v>
      </c>
    </row>
    <row r="42" spans="1:12" ht="20.100000000000001" customHeight="1" x14ac:dyDescent="0.25">
      <c r="D42" s="13" t="s">
        <v>22</v>
      </c>
      <c r="E42" s="13" t="str" cm="1">
        <f t="array" aca="1" ref="E42" ca="1">Common_InputFunctions.Utility_DisplayFunctionName(F58)</f>
        <v>=Fertiliser_Equations_AtmosphericDeposition.VEERG_5_4_1_1__1_InorganicFertiliserAtmosphericDepositionN2OEmissions</v>
      </c>
    </row>
    <row r="43" spans="1:12" ht="20.100000000000001" customHeight="1" x14ac:dyDescent="0.25"/>
    <row r="44" spans="1:12" ht="20.100000000000001" customHeight="1" x14ac:dyDescent="0.25"/>
    <row r="45" spans="1:12" ht="20.100000000000001" customHeight="1" x14ac:dyDescent="0.25">
      <c r="D45" s="51" t="s">
        <v>25</v>
      </c>
      <c r="E45" s="1" t="str" cm="1">
        <f t="array" ref="E45">Fertiliser_Equations_AtmosphericDeposition.VEERG_5_4_1_1__1_InorganicFertiliserAtmosphericDepositionN2OEmissions_Variable()</f>
        <v>E_adinorganic</v>
      </c>
    </row>
    <row r="46" spans="1:12" ht="20.100000000000001" customHeight="1" x14ac:dyDescent="0.25">
      <c r="D46" s="51" t="s">
        <v>16</v>
      </c>
      <c r="E46" s="52" t="str" cm="1">
        <f t="array" ref="E46">Fertiliser_Equations_AtmosphericDeposition.VEERG_5_4_1_1__1_InorganicFertiliserAtmosphericDepositionN2OEmissions_Unit()</f>
        <v>t N2O</v>
      </c>
    </row>
    <row r="47" spans="1:12" ht="20.100000000000001" customHeight="1" x14ac:dyDescent="0.25"/>
    <row r="48" spans="1:12" ht="20.100000000000001" customHeight="1" x14ac:dyDescent="0.25">
      <c r="D48" s="147" t="str" cm="1">
        <f t="array" ref="D48:E53">_xlfn.CHOOSECOLS(Fertiliser_Equations_AtmosphericDeposition.VEERG_5_4_1_1__1_InorganicFertiliserAtmosphericDepositionN2OEmissions_Arguments(), 1, 2)</f>
        <v>M_volinorganicjf</v>
      </c>
      <c r="E48" s="154" t="str">
        <v>mass of nitrogen volatilised from inorganic fertiliser applied to production system</v>
      </c>
      <c r="F48" s="155"/>
      <c r="G48" s="153"/>
      <c r="H48" s="147" t="str" cm="1">
        <f t="array" ref="H48:I53">_xlfn.CHOOSECOLS(Fertiliser_Equations_AtmosphericDeposition.VEERG_5_4_1_1__1_InorganicFertiliserAtmosphericDepositionN2OEmissions_Arguments(), 3,4)</f>
        <v>kg N</v>
      </c>
      <c r="I48" s="119" t="str">
        <v>Calculated from 5.4.1.1 (2)</v>
      </c>
      <c r="J48" s="145" t="str" cm="1">
        <f t="array" aca="1" ref="J48" ca="1">HYPERLINK(Common_InputFunctions.Utility_SourceHyperlink($D$16),$D$16)</f>
        <v>Table_M_vol_inorganic_j_f</v>
      </c>
    </row>
    <row r="49" spans="1:10" ht="20.100000000000001" customHeight="1" x14ac:dyDescent="0.25">
      <c r="D49" s="147" t="str">
        <v>EF_N2Oj</v>
      </c>
      <c r="E49" s="154" t="str">
        <v>emission factor for atmospheric deposition</v>
      </c>
      <c r="F49" s="155"/>
      <c r="G49" s="153"/>
      <c r="H49" s="147" t="str">
        <v>kg N2O-N/kg N</v>
      </c>
      <c r="I49" s="119" t="str">
        <v>Constant</v>
      </c>
      <c r="J49" s="147">
        <f>Common_InputFunctions.Utility_LookupN2OEFFromProdIrrigationRainfall(J51,J52,J53,Table_SourceData_Common_EFN2O[Production system only],Table_SourceData_Common_EFN2O[Irrigation method],Table_SourceData_Common_EFN2O[Rainfall zone],Table_SourceData_Common_EFN2O[EFN2O])</f>
        <v>7.0000000000000001E-3</v>
      </c>
    </row>
    <row r="50" spans="1:10" ht="20.100000000000001" customHeight="1" x14ac:dyDescent="0.25">
      <c r="D50" s="147" t="str">
        <v>C_N2O</v>
      </c>
      <c r="E50" s="154" t="str">
        <v>factor to convert elemental mass of nitrous oxide to molecular mass</v>
      </c>
      <c r="F50" s="155"/>
      <c r="G50" s="153"/>
      <c r="H50" s="147" t="str">
        <v/>
      </c>
      <c r="I50" s="119" t="str">
        <v>Constant</v>
      </c>
      <c r="J50" s="54">
        <f>Common_InputFunctions.Utility_LookupValueInTableNumber("N2O",Table_GasToMolecularConversionFactor[Gas],Table_GasToMolecularConversionFactor[Conversion factor combined])</f>
        <v>1.5714285714285714</v>
      </c>
    </row>
    <row r="51" spans="1:10" ht="20.100000000000001" customHeight="1" x14ac:dyDescent="0.25">
      <c r="D51" s="147" t="str">
        <v>j</v>
      </c>
      <c r="E51" s="154" t="str">
        <v>Production system</v>
      </c>
      <c r="F51" s="155"/>
      <c r="G51" s="153"/>
      <c r="H51" s="147" t="str">
        <v/>
      </c>
      <c r="I51" s="120" t="str">
        <v>Input</v>
      </c>
      <c r="J51" s="147" t="str">
        <f>'Input - Fertiliser'!$E$6</f>
        <v>Crop</v>
      </c>
    </row>
    <row r="52" spans="1:10" ht="20.100000000000001" customHeight="1" x14ac:dyDescent="0.25">
      <c r="D52" s="147" t="str">
        <v>ir</v>
      </c>
      <c r="E52" s="154" t="str">
        <v>irrigation method</v>
      </c>
      <c r="F52" s="155"/>
      <c r="G52" s="153"/>
      <c r="H52" s="147" t="str">
        <v/>
      </c>
      <c r="I52" s="120" t="str">
        <v>Input</v>
      </c>
      <c r="J52" s="147" t="str">
        <f>'Input - Fertiliser'!$E$8</f>
        <v>Drip irrigation</v>
      </c>
    </row>
    <row r="53" spans="1:10" ht="20.100000000000001" customHeight="1" x14ac:dyDescent="0.25">
      <c r="D53" s="147" t="str">
        <v>r</v>
      </c>
      <c r="E53" s="154" t="str">
        <v>rainfall region</v>
      </c>
      <c r="F53" s="155"/>
      <c r="G53" s="153"/>
      <c r="H53" s="147" t="str">
        <v/>
      </c>
      <c r="I53" s="120" t="str">
        <v>Input</v>
      </c>
      <c r="J53" s="147" t="str">
        <f>'Input - Site'!$E$30</f>
        <v>Low rainfall</v>
      </c>
    </row>
    <row r="54" spans="1:10" ht="20.100000000000001" customHeight="1" x14ac:dyDescent="0.25"/>
    <row r="55" spans="1:10" ht="20.100000000000001" customHeight="1" x14ac:dyDescent="0.25">
      <c r="A55" s="157" t="str">
        <f>HYPERLINK("#A1", "▲ Back to top")</f>
        <v>▲ Back to top</v>
      </c>
      <c r="D55" s="92" t="s">
        <v>285</v>
      </c>
    </row>
    <row r="56" spans="1:10" ht="20.100000000000001" customHeight="1" x14ac:dyDescent="0.25">
      <c r="D56" s="91" t="s">
        <v>286</v>
      </c>
    </row>
    <row r="57" spans="1:10" ht="20.100000000000001" customHeight="1" x14ac:dyDescent="0.25">
      <c r="D57" s="49" t="s">
        <v>272</v>
      </c>
      <c r="E57" s="165" t="s">
        <v>275</v>
      </c>
      <c r="F57" s="165" t="s">
        <v>278</v>
      </c>
    </row>
    <row r="58" spans="1:10" ht="20.100000000000001" customHeight="1" x14ac:dyDescent="0.25">
      <c r="D58" s="50" t="str" cm="1">
        <f t="array" ref="D58:D75">Table_Fertiliser_ChemicalCompounds[Fertiliser type f]</f>
        <v>Monoammonium phosphate (MAP)</v>
      </c>
      <c r="E58" s="50">
        <f t="shared" ref="E58:E75" si="0">H19</f>
        <v>0</v>
      </c>
      <c r="F58" s="50" cm="1">
        <f t="array" ref="F58">Fertiliser_Equations_AtmosphericDeposition.VEERG_5_4_1_1__1_InorganicFertiliserAtmosphericDepositionN2OEmissions(E58,$J$49,$J$50)</f>
        <v>0</v>
      </c>
      <c r="G58" s="2" t="str">
        <f>E46</f>
        <v>t N2O</v>
      </c>
    </row>
    <row r="59" spans="1:10" ht="20.100000000000001" customHeight="1" x14ac:dyDescent="0.25">
      <c r="D59" s="50" t="str">
        <v>Diammonium phosphate (DAP)</v>
      </c>
      <c r="E59" s="50">
        <f t="shared" si="0"/>
        <v>0</v>
      </c>
      <c r="F59" s="50" cm="1">
        <f t="array" ref="F59">Fertiliser_Equations_AtmosphericDeposition.VEERG_5_4_1_1__1_InorganicFertiliserAtmosphericDepositionN2OEmissions(E59,$J$49,$J$50)</f>
        <v>0</v>
      </c>
    </row>
    <row r="60" spans="1:10" ht="20.100000000000001" customHeight="1" x14ac:dyDescent="0.25">
      <c r="D60" s="50" t="str">
        <v>Urea</v>
      </c>
      <c r="E60" s="50">
        <f t="shared" si="0"/>
        <v>891.0000001200001</v>
      </c>
      <c r="F60" s="50" cm="1">
        <f t="array" ref="F60">Fertiliser_Equations_AtmosphericDeposition.VEERG_5_4_1_1__1_InorganicFertiliserAtmosphericDepositionN2OEmissions(E60,$J$49,$J$50)</f>
        <v>9.8010000013200021E-3</v>
      </c>
    </row>
    <row r="61" spans="1:10" ht="20.100000000000001" customHeight="1" x14ac:dyDescent="0.25">
      <c r="D61" s="50" t="str">
        <v>Sulphate of ammonia (SOA)</v>
      </c>
      <c r="E61" s="50">
        <f t="shared" si="0"/>
        <v>0</v>
      </c>
      <c r="F61" s="50" cm="1">
        <f t="array" ref="F61">Fertiliser_Equations_AtmosphericDeposition.VEERG_5_4_1_1__1_InorganicFertiliserAtmosphericDepositionN2OEmissions(E61,$J$49,$J$50)</f>
        <v>0</v>
      </c>
    </row>
    <row r="62" spans="1:10" ht="20.100000000000001" customHeight="1" x14ac:dyDescent="0.25">
      <c r="D62" s="50" t="str">
        <v>Urea-ammonium nitrate (UAN)</v>
      </c>
      <c r="E62" s="50">
        <f t="shared" si="0"/>
        <v>0</v>
      </c>
      <c r="F62" s="50" cm="1">
        <f t="array" ref="F62">Fertiliser_Equations_AtmosphericDeposition.VEERG_5_4_1_1__1_InorganicFertiliserAtmosphericDepositionN2OEmissions(E62,$J$49,$J$50)</f>
        <v>0</v>
      </c>
    </row>
    <row r="63" spans="1:10" ht="20.100000000000001" customHeight="1" x14ac:dyDescent="0.25">
      <c r="D63" s="50" t="str">
        <v>Ammonium nitrate (AN)</v>
      </c>
      <c r="E63" s="50">
        <f t="shared" si="0"/>
        <v>0</v>
      </c>
      <c r="F63" s="50" cm="1">
        <f t="array" ref="F63">Fertiliser_Equations_AtmosphericDeposition.VEERG_5_4_1_1__1_InorganicFertiliserAtmosphericDepositionN2OEmissions(E63,$J$49,$J$50)</f>
        <v>0</v>
      </c>
    </row>
    <row r="64" spans="1:10" ht="20.100000000000001" customHeight="1" x14ac:dyDescent="0.25">
      <c r="D64" s="50" t="str">
        <v>Calcium ammonium nitrate (CAN)</v>
      </c>
      <c r="E64" s="50">
        <f t="shared" si="0"/>
        <v>0</v>
      </c>
      <c r="F64" s="50" cm="1">
        <f t="array" ref="F64">Fertiliser_Equations_AtmosphericDeposition.VEERG_5_4_1_1__1_InorganicFertiliserAtmosphericDepositionN2OEmissions(E64,$J$49,$J$50)</f>
        <v>0</v>
      </c>
    </row>
    <row r="65" spans="4:7" ht="20.100000000000001" customHeight="1" x14ac:dyDescent="0.25">
      <c r="D65" s="50" t="str">
        <v>Nitrogen - Ammoniacal</v>
      </c>
      <c r="E65" s="50">
        <f t="shared" si="0"/>
        <v>280</v>
      </c>
      <c r="F65" s="50" cm="1">
        <f t="array" ref="F65">Fertiliser_Equations_AtmosphericDeposition.VEERG_5_4_1_1__1_InorganicFertiliserAtmosphericDepositionN2OEmissions(E65,$J$49,$J$50)</f>
        <v>3.0800000000000003E-3</v>
      </c>
    </row>
    <row r="66" spans="4:7" ht="20.100000000000001" customHeight="1" x14ac:dyDescent="0.25">
      <c r="D66" s="50" t="str">
        <v>Nitrogen - Nitrate</v>
      </c>
      <c r="E66" s="50">
        <f t="shared" si="0"/>
        <v>15</v>
      </c>
      <c r="F66" s="50" cm="1">
        <f t="array" ref="F66">Fertiliser_Equations_AtmosphericDeposition.VEERG_5_4_1_1__1_InorganicFertiliserAtmosphericDepositionN2OEmissions(E66,$J$49,$J$50)</f>
        <v>1.6499999999999997E-4</v>
      </c>
    </row>
    <row r="67" spans="4:7" ht="20.100000000000001" customHeight="1" x14ac:dyDescent="0.25">
      <c r="D67" s="50" t="str">
        <v>Nitrogen - Generic</v>
      </c>
      <c r="E67" s="50">
        <f t="shared" si="0"/>
        <v>168</v>
      </c>
      <c r="F67" s="50" cm="1">
        <f t="array" ref="F67">Fertiliser_Equations_AtmosphericDeposition.VEERG_5_4_1_1__1_InorganicFertiliserAtmosphericDepositionN2OEmissions(E67,$J$49,$J$50)</f>
        <v>1.8479999999999998E-3</v>
      </c>
    </row>
    <row r="68" spans="4:7" ht="20.100000000000001" customHeight="1" x14ac:dyDescent="0.25">
      <c r="D68" s="50" t="str">
        <v>Phosphorus - Generic</v>
      </c>
      <c r="E68" s="50">
        <f t="shared" si="0"/>
        <v>0</v>
      </c>
      <c r="F68" s="50" cm="1">
        <f t="array" ref="F68">Fertiliser_Equations_AtmosphericDeposition.VEERG_5_4_1_1__1_InorganicFertiliserAtmosphericDepositionN2OEmissions(E68,$J$49,$J$50)</f>
        <v>0</v>
      </c>
    </row>
    <row r="69" spans="4:7" ht="20.100000000000001" customHeight="1" x14ac:dyDescent="0.25">
      <c r="D69" s="50" t="str">
        <v>Potassium - Generic</v>
      </c>
      <c r="E69" s="50">
        <f t="shared" si="0"/>
        <v>0</v>
      </c>
      <c r="F69" s="50" cm="1">
        <f t="array" ref="F69">Fertiliser_Equations_AtmosphericDeposition.VEERG_5_4_1_1__1_InorganicFertiliserAtmosphericDepositionN2OEmissions(E69,$J$49,$J$50)</f>
        <v>0</v>
      </c>
    </row>
    <row r="70" spans="4:7" ht="20.100000000000001" customHeight="1" x14ac:dyDescent="0.25">
      <c r="D70" s="50" t="str">
        <v>Sulfur - Generic</v>
      </c>
      <c r="E70" s="50">
        <f t="shared" si="0"/>
        <v>0</v>
      </c>
      <c r="F70" s="50" cm="1">
        <f t="array" ref="F70">Fertiliser_Equations_AtmosphericDeposition.VEERG_5_4_1_1__1_InorganicFertiliserAtmosphericDepositionN2OEmissions(E70,$J$49,$J$50)</f>
        <v>0</v>
      </c>
    </row>
    <row r="71" spans="4:7" ht="20.100000000000001" customHeight="1" x14ac:dyDescent="0.25">
      <c r="D71" s="50" t="str">
        <v>Zinc - Generic</v>
      </c>
      <c r="E71" s="50">
        <f t="shared" si="0"/>
        <v>0</v>
      </c>
      <c r="F71" s="50" cm="1">
        <f t="array" ref="F71">Fertiliser_Equations_AtmosphericDeposition.VEERG_5_4_1_1__1_InorganicFertiliserAtmosphericDepositionN2OEmissions(E71,$J$49,$J$50)</f>
        <v>0</v>
      </c>
    </row>
    <row r="72" spans="4:7" ht="20.100000000000001" customHeight="1" x14ac:dyDescent="0.25">
      <c r="D72" s="50" t="str">
        <v>Muriate of potash (MOP)</v>
      </c>
      <c r="E72" s="50">
        <f t="shared" si="0"/>
        <v>0</v>
      </c>
      <c r="F72" s="50" cm="1">
        <f t="array" ref="F72">Fertiliser_Equations_AtmosphericDeposition.VEERG_5_4_1_1__1_InorganicFertiliserAtmosphericDepositionN2OEmissions(E72,$J$49,$J$50)</f>
        <v>0</v>
      </c>
    </row>
    <row r="73" spans="4:7" ht="20.100000000000001" customHeight="1" x14ac:dyDescent="0.25">
      <c r="D73" s="50" t="str">
        <v>Double superphosphate</v>
      </c>
      <c r="E73" s="50">
        <f t="shared" si="0"/>
        <v>0</v>
      </c>
      <c r="F73" s="50" cm="1">
        <f t="array" ref="F73">Fertiliser_Equations_AtmosphericDeposition.VEERG_5_4_1_1__1_InorganicFertiliserAtmosphericDepositionN2OEmissions(E73,$J$49,$J$50)</f>
        <v>0</v>
      </c>
    </row>
    <row r="74" spans="4:7" ht="20.100000000000001" customHeight="1" x14ac:dyDescent="0.25">
      <c r="D74" s="50" t="str">
        <v>Single superphosphate (SSP)</v>
      </c>
      <c r="E74" s="50">
        <f t="shared" si="0"/>
        <v>0</v>
      </c>
      <c r="F74" s="50" cm="1">
        <f t="array" ref="F74">Fertiliser_Equations_AtmosphericDeposition.VEERG_5_4_1_1__1_InorganicFertiliserAtmosphericDepositionN2OEmissions(E74,$J$49,$J$50)</f>
        <v>0</v>
      </c>
    </row>
    <row r="75" spans="4:7" ht="20.100000000000001" customHeight="1" x14ac:dyDescent="0.25">
      <c r="D75" s="50" t="str">
        <v>Ammonia</v>
      </c>
      <c r="E75" s="50">
        <f t="shared" si="0"/>
        <v>0</v>
      </c>
      <c r="F75" s="50" cm="1">
        <f t="array" ref="F75">Fertiliser_Equations_AtmosphericDeposition.VEERG_5_4_1_1__1_InorganicFertiliserAtmosphericDepositionN2OEmissions(E75,$J$49,$J$50)</f>
        <v>0</v>
      </c>
    </row>
    <row r="76" spans="4:7" ht="20.100000000000001" customHeight="1" x14ac:dyDescent="0.25"/>
    <row r="77" spans="4:7" ht="20.100000000000001" customHeight="1" x14ac:dyDescent="0.25">
      <c r="D77" s="94" t="s">
        <v>283</v>
      </c>
      <c r="E77" s="95">
        <f>SUM(F58:F75)</f>
        <v>1.4894000001320004E-2</v>
      </c>
      <c r="F77" s="96" t="str">
        <f>$E$46</f>
        <v>t N2O</v>
      </c>
    </row>
    <row r="78" spans="4:7" ht="20.100000000000001" customHeight="1" x14ac:dyDescent="0.25"/>
    <row r="79" spans="4:7" ht="20.100000000000001" customHeight="1" x14ac:dyDescent="0.25">
      <c r="D79" s="54" t="str" cm="1">
        <f t="array" ref="D79:E80">Common_Equations.Common_ConvertN2OToCO2e_Arguments()</f>
        <v>EN2O</v>
      </c>
      <c r="E79" s="55" t="str">
        <v>Nitrous oxide emissions (t N2O)</v>
      </c>
      <c r="F79" s="97"/>
      <c r="G79" s="50">
        <f>E77</f>
        <v>1.4894000001320004E-2</v>
      </c>
    </row>
    <row r="80" spans="4:7" ht="20.100000000000001" customHeight="1" x14ac:dyDescent="0.25">
      <c r="D80" s="54" t="str">
        <v>GWPN2O</v>
      </c>
      <c r="E80" s="55" t="str">
        <v>Global warming potential for nitrous oxide (t CO2-e / t N2O)</v>
      </c>
      <c r="F80" s="97"/>
      <c r="G80" s="50">
        <f>Common_InputFunctions.Utility_LookupValueInTableNumber("N2O",Table_GWPData[Gas],Table_GWPData[CO2-e factor])</f>
        <v>265</v>
      </c>
    </row>
    <row r="81" spans="3:12" ht="20.100000000000001" customHeight="1" x14ac:dyDescent="0.25"/>
    <row r="82" spans="3:12" ht="20.100000000000001" customHeight="1" x14ac:dyDescent="0.25">
      <c r="D82" s="44" t="s">
        <v>79</v>
      </c>
      <c r="E82" s="44" cm="1">
        <f t="array" ref="E82">Common_Equations.Common_ConvertN2OToCO2e(G79,G80)</f>
        <v>3.946910000349801</v>
      </c>
      <c r="F82" s="98" t="str" cm="1">
        <f t="array" ref="F82">Common_Equations.Common_ConvertN2OToCO2e_Unit()</f>
        <v>t CO2e</v>
      </c>
    </row>
    <row r="83" spans="3:12" ht="20.100000000000001" customHeight="1" x14ac:dyDescent="0.25"/>
    <row r="84" spans="3:12" ht="20.100000000000001" customHeight="1" x14ac:dyDescent="0.25"/>
    <row r="85" spans="3:12" ht="20.100000000000001" customHeight="1" x14ac:dyDescent="0.25">
      <c r="C85" s="156"/>
      <c r="D85" s="156"/>
      <c r="E85" s="156"/>
      <c r="F85" s="156"/>
      <c r="G85" s="156"/>
      <c r="H85" s="156"/>
      <c r="I85" s="156"/>
      <c r="J85" s="156"/>
      <c r="K85" s="156"/>
      <c r="L85" s="156"/>
    </row>
    <row r="86" spans="3:12" ht="20.100000000000001" customHeight="1" x14ac:dyDescent="0.25">
      <c r="D86" s="6" t="str" cm="1">
        <f t="array" ref="D86">Fertiliser_Equations_AtmosphericDeposition.VEERG_5_4_1_3__2_MassOfNitrogenVolatilisedFromOrganicFertiliser_Title()</f>
        <v>Mass of nitrogen volatilised from organic fertiliser applied to production system</v>
      </c>
    </row>
    <row r="87" spans="3:12" ht="20.100000000000001" customHeight="1" x14ac:dyDescent="0.25">
      <c r="D87" s="5" t="str" cm="1">
        <f t="array" ref="D87">Fertiliser_Equations_AtmosphericDeposition.VEERG_5_4_1_3__2_MassOfNitrogenVolatilisedFromOrganicFertiliser_Source()</f>
        <v>VEERG 2026: 5.4.1.3, Equation (2)</v>
      </c>
    </row>
    <row r="88" spans="3:12" ht="20.100000000000001" customHeight="1" x14ac:dyDescent="0.25">
      <c r="D88" s="13" t="s">
        <v>22</v>
      </c>
      <c r="E88" s="13" t="str" cm="1">
        <f t="array" aca="1" ref="E88" ca="1">Common_InputFunctions.Utility_DisplayFunctionName(F100)</f>
        <v>=Fertiliser_Equations_AtmosphericDeposition.VEERG_5_4_1_3__2_MassOfNitrogenVolatilisedFromOrganicFertiliser</v>
      </c>
    </row>
    <row r="89" spans="3:12" ht="20.100000000000001" customHeight="1" x14ac:dyDescent="0.25"/>
    <row r="90" spans="3:12" ht="20.100000000000001" customHeight="1" x14ac:dyDescent="0.25"/>
    <row r="91" spans="3:12" ht="20.100000000000001" customHeight="1" x14ac:dyDescent="0.25">
      <c r="D91" s="51" t="s">
        <v>25</v>
      </c>
      <c r="E91" s="1" t="str" cm="1">
        <f t="array" ref="E91">Fertiliser_Equations_AtmosphericDeposition.VEERG_5_4_1_3__2_MassOfNitrogenVolatilisedFromOrganicFertiliser_Variable()</f>
        <v>M_volorganicjf</v>
      </c>
    </row>
    <row r="92" spans="3:12" ht="20.100000000000001" customHeight="1" x14ac:dyDescent="0.25">
      <c r="D92" s="51" t="s">
        <v>16</v>
      </c>
      <c r="E92" s="52" t="str" cm="1">
        <f t="array" ref="E92">Fertiliser_Equations_AtmosphericDeposition.VEERG_5_4_1_3__2_MassOfNitrogenVolatilisedFromOrganicFertiliser_Unit()</f>
        <v>kg N</v>
      </c>
    </row>
    <row r="93" spans="3:12" ht="20.100000000000001" customHeight="1" x14ac:dyDescent="0.25"/>
    <row r="94" spans="3:12" ht="20.100000000000001" customHeight="1" x14ac:dyDescent="0.25">
      <c r="D94" s="147" t="str" cm="1">
        <f t="array" ref="D94:E95">_xlfn.CHOOSECOLS(Fertiliser_Equations_AtmosphericDeposition.VEERG_5_4_1_3__2_MassOfNitrogenVolatilisedFromOrganicFertiliser_Arguments(), 1, 2)</f>
        <v>MNSoil_jf</v>
      </c>
      <c r="E94" s="147" t="str">
        <v>mass of nitrogen in organic fertiliser type f applied to production system j</v>
      </c>
      <c r="F94" s="147"/>
      <c r="G94" s="147" t="str" cm="1">
        <f t="array" ref="G94:H95">_xlfn.CHOOSECOLS(Fertiliser_Equations_AtmosphericDeposition.VEERG_5_4_1_3__2_MassOfNitrogenVolatilisedFromOrganicFertiliser_Arguments(), 3,4)</f>
        <v>kg N</v>
      </c>
      <c r="H94" s="119" t="str">
        <v>Calculated from 5.2.1.1 (2)</v>
      </c>
      <c r="I94" s="145" t="str" cm="1">
        <f t="array" aca="1" ref="I94" ca="1">HYPERLINK(Common_InputFunctions.Utility_SourceHyperlink($D$97), $D$97)</f>
        <v>Table_M_vol_organic_j_f</v>
      </c>
    </row>
    <row r="95" spans="3:12" ht="20.100000000000001" customHeight="1" x14ac:dyDescent="0.25">
      <c r="D95" s="147" t="str">
        <v>FracGASM_soil</v>
      </c>
      <c r="E95" s="147" t="str">
        <v>fraction of organic fertiliser N that volatilises</v>
      </c>
      <c r="F95" s="147"/>
      <c r="G95" s="147" t="str">
        <v>(kg NH3-N + NOx-N)/kg N</v>
      </c>
      <c r="H95" s="119" t="str">
        <v>Constant</v>
      </c>
      <c r="I95" s="147">
        <f>'Constants - Fertiliser'!$E$73</f>
        <v>0.21</v>
      </c>
    </row>
    <row r="96" spans="3:12" ht="20.100000000000001" customHeight="1" x14ac:dyDescent="0.25"/>
    <row r="97" spans="4:7" ht="20.100000000000001" customHeight="1" x14ac:dyDescent="0.25">
      <c r="D97" s="92" t="s">
        <v>279</v>
      </c>
    </row>
    <row r="98" spans="4:7" ht="20.100000000000001" customHeight="1" x14ac:dyDescent="0.25">
      <c r="D98" s="91" t="s">
        <v>280</v>
      </c>
    </row>
    <row r="99" spans="4:7" ht="20.100000000000001" customHeight="1" x14ac:dyDescent="0.25">
      <c r="D99" s="112" t="s">
        <v>249</v>
      </c>
      <c r="E99" s="148" t="s">
        <v>253</v>
      </c>
      <c r="F99" s="148" t="s">
        <v>282</v>
      </c>
    </row>
    <row r="100" spans="4:7" ht="20.100000000000001" customHeight="1" x14ac:dyDescent="0.25">
      <c r="D100" s="50" t="str" cm="1">
        <f t="array" ref="D100:D101">Table_Input_OrganicFertiliser[Organic fertiliser type (select)]</f>
        <v>Manure - Other</v>
      </c>
      <c r="E100" s="50">
        <f>'5.2.1.1-2 Organic Fert N2O'!I20</f>
        <v>300</v>
      </c>
      <c r="F100" s="50" cm="1">
        <f t="array" ref="F100">Fertiliser_Equations_AtmosphericDeposition.VEERG_5_4_1_3__2_MassOfNitrogenVolatilisedFromOrganicFertiliser(E100,$I$95)</f>
        <v>63</v>
      </c>
      <c r="G100" s="2" t="str">
        <f>$E$92</f>
        <v>kg N</v>
      </c>
    </row>
    <row r="101" spans="4:7" ht="20.100000000000001" customHeight="1" x14ac:dyDescent="0.25">
      <c r="D101" s="50" t="str">
        <v>Manure - Poultry</v>
      </c>
      <c r="E101" s="50">
        <f>'5.2.1.1-2 Organic Fert N2O'!I21</f>
        <v>250</v>
      </c>
      <c r="F101" s="50" cm="1">
        <f t="array" ref="F101">Fertiliser_Equations_AtmosphericDeposition.VEERG_5_4_1_3__2_MassOfNitrogenVolatilisedFromOrganicFertiliser(E101,$I$95)</f>
        <v>52.5</v>
      </c>
    </row>
    <row r="102" spans="4:7" ht="20.100000000000001" customHeight="1" x14ac:dyDescent="0.25">
      <c r="D102" s="50"/>
      <c r="E102" s="50">
        <f>'5.2.1.1-2 Organic Fert N2O'!I22</f>
        <v>0</v>
      </c>
      <c r="F102" s="50" cm="1">
        <f t="array" ref="F102">Fertiliser_Equations_AtmosphericDeposition.VEERG_5_4_1_3__2_MassOfNitrogenVolatilisedFromOrganicFertiliser(E102,$I$95)</f>
        <v>0</v>
      </c>
    </row>
    <row r="103" spans="4:7" ht="20.100000000000001" customHeight="1" x14ac:dyDescent="0.25">
      <c r="D103" s="50"/>
      <c r="E103" s="50">
        <f>'5.2.1.1-2 Organic Fert N2O'!I23</f>
        <v>0</v>
      </c>
      <c r="F103" s="50" cm="1">
        <f t="array" ref="F103">Fertiliser_Equations_AtmosphericDeposition.VEERG_5_4_1_3__2_MassOfNitrogenVolatilisedFromOrganicFertiliser(E103,$I$95)</f>
        <v>0</v>
      </c>
    </row>
    <row r="104" spans="4:7" ht="20.100000000000001" customHeight="1" x14ac:dyDescent="0.25">
      <c r="D104" s="50"/>
      <c r="E104" s="50">
        <f>'5.2.1.1-2 Organic Fert N2O'!I24</f>
        <v>0</v>
      </c>
      <c r="F104" s="50" cm="1">
        <f t="array" ref="F104">Fertiliser_Equations_AtmosphericDeposition.VEERG_5_4_1_3__2_MassOfNitrogenVolatilisedFromOrganicFertiliser(E104,$I$95)</f>
        <v>0</v>
      </c>
    </row>
    <row r="105" spans="4:7" ht="20.100000000000001" customHeight="1" x14ac:dyDescent="0.25">
      <c r="D105" s="50"/>
      <c r="E105" s="50">
        <f>'5.2.1.1-2 Organic Fert N2O'!I25</f>
        <v>0</v>
      </c>
      <c r="F105" s="50" cm="1">
        <f t="array" ref="F105">Fertiliser_Equations_AtmosphericDeposition.VEERG_5_4_1_3__2_MassOfNitrogenVolatilisedFromOrganicFertiliser(E105,$I$95)</f>
        <v>0</v>
      </c>
    </row>
    <row r="106" spans="4:7" ht="20.100000000000001" customHeight="1" x14ac:dyDescent="0.25">
      <c r="D106" s="50"/>
      <c r="E106" s="50">
        <f>'5.2.1.1-2 Organic Fert N2O'!I26</f>
        <v>0</v>
      </c>
      <c r="F106" s="50" cm="1">
        <f t="array" ref="F106">Fertiliser_Equations_AtmosphericDeposition.VEERG_5_4_1_3__2_MassOfNitrogenVolatilisedFromOrganicFertiliser(E106,$I$95)</f>
        <v>0</v>
      </c>
    </row>
    <row r="107" spans="4:7" ht="20.100000000000001" customHeight="1" x14ac:dyDescent="0.25">
      <c r="D107" s="50"/>
      <c r="E107" s="50">
        <f>'5.2.1.1-2 Organic Fert N2O'!I27</f>
        <v>0</v>
      </c>
      <c r="F107" s="50" cm="1">
        <f t="array" ref="F107">Fertiliser_Equations_AtmosphericDeposition.VEERG_5_4_1_3__2_MassOfNitrogenVolatilisedFromOrganicFertiliser(E107,$I$95)</f>
        <v>0</v>
      </c>
    </row>
    <row r="108" spans="4:7" ht="20.100000000000001" customHeight="1" x14ac:dyDescent="0.25">
      <c r="D108" s="50"/>
      <c r="E108" s="50">
        <f>'5.2.1.1-2 Organic Fert N2O'!I28</f>
        <v>0</v>
      </c>
      <c r="F108" s="50" cm="1">
        <f t="array" ref="F108">Fertiliser_Equations_AtmosphericDeposition.VEERG_5_4_1_3__2_MassOfNitrogenVolatilisedFromOrganicFertiliser(E108,$I$95)</f>
        <v>0</v>
      </c>
    </row>
    <row r="109" spans="4:7" ht="20.100000000000001" customHeight="1" x14ac:dyDescent="0.25">
      <c r="D109" s="50"/>
      <c r="E109" s="50">
        <f>'5.2.1.1-2 Organic Fert N2O'!I29</f>
        <v>0</v>
      </c>
      <c r="F109" s="50" cm="1">
        <f t="array" ref="F109">Fertiliser_Equations_AtmosphericDeposition.VEERG_5_4_1_3__2_MassOfNitrogenVolatilisedFromOrganicFertiliser(E109,$I$95)</f>
        <v>0</v>
      </c>
    </row>
    <row r="110" spans="4:7" ht="20.100000000000001" customHeight="1" x14ac:dyDescent="0.25">
      <c r="D110" s="50"/>
      <c r="E110" s="50">
        <f>'5.2.1.1-2 Organic Fert N2O'!I30</f>
        <v>0</v>
      </c>
      <c r="F110" s="50" cm="1">
        <f t="array" ref="F110">Fertiliser_Equations_AtmosphericDeposition.VEERG_5_4_1_3__2_MassOfNitrogenVolatilisedFromOrganicFertiliser(E110,$I$95)</f>
        <v>0</v>
      </c>
    </row>
    <row r="111" spans="4:7" ht="20.100000000000001" customHeight="1" x14ac:dyDescent="0.25"/>
    <row r="112" spans="4:7" ht="20.100000000000001" customHeight="1" x14ac:dyDescent="0.25"/>
    <row r="113" spans="3:12" ht="20.100000000000001" customHeight="1" x14ac:dyDescent="0.25">
      <c r="C113" s="156"/>
      <c r="D113" s="156"/>
      <c r="E113" s="156"/>
      <c r="F113" s="156"/>
      <c r="G113" s="156"/>
      <c r="H113" s="156"/>
      <c r="I113" s="156"/>
      <c r="J113" s="156"/>
      <c r="K113" s="156"/>
      <c r="L113" s="156"/>
    </row>
    <row r="114" spans="3:12" ht="20.100000000000001" customHeight="1" x14ac:dyDescent="0.25">
      <c r="D114" s="6" t="str" cm="1">
        <f t="array" ref="D114">Fertiliser_Equations_AtmosphericDeposition.VEERG_5_4_1_3__1_OrganicFertiliserAtmosphericDepositionN2OEmissions_Title()</f>
        <v>Nitrous oxide emissions from atmospheric deposition of all organic fertiliser types f and all production systems j</v>
      </c>
    </row>
    <row r="115" spans="3:12" ht="20.100000000000001" customHeight="1" x14ac:dyDescent="0.25">
      <c r="D115" s="5" t="str" cm="1">
        <f t="array" ref="D115">Fertiliser_Equations_AtmosphericDeposition.VEERG_5_4_1_3__1_OrganicFertiliserAtmosphericDepositionN2OEmissions_Source()</f>
        <v>VEERG 2026: 5.4.1.3, Equation (1)</v>
      </c>
    </row>
    <row r="116" spans="3:12" ht="20.100000000000001" customHeight="1" x14ac:dyDescent="0.25">
      <c r="D116" s="13" t="s">
        <v>22</v>
      </c>
      <c r="E116" s="13" t="str" cm="1">
        <f t="array" aca="1" ref="E116" ca="1">Common_InputFunctions.Utility_DisplayFunctionName(F132)</f>
        <v>=Fertiliser_Equations_AtmosphericDeposition.VEERG_5_4_1_3__1_OrganicFertiliserAtmosphericDepositionN2OEmissions</v>
      </c>
    </row>
    <row r="117" spans="3:12" ht="20.100000000000001" customHeight="1" x14ac:dyDescent="0.25"/>
    <row r="118" spans="3:12" ht="20.100000000000001" customHeight="1" x14ac:dyDescent="0.25"/>
    <row r="119" spans="3:12" ht="20.100000000000001" customHeight="1" x14ac:dyDescent="0.25">
      <c r="D119" s="51" t="s">
        <v>25</v>
      </c>
      <c r="E119" s="1" t="str" cm="1">
        <f t="array" ref="E119">Fertiliser_Equations_AtmosphericDeposition.VEERG_5_4_1_3__1_OrganicFertiliserAtmosphericDepositionN2OEmissions_Variable()</f>
        <v>E_adorganic</v>
      </c>
    </row>
    <row r="120" spans="3:12" ht="20.100000000000001" customHeight="1" x14ac:dyDescent="0.25">
      <c r="D120" s="51" t="s">
        <v>16</v>
      </c>
      <c r="E120" s="52" t="str" cm="1">
        <f t="array" ref="E120">Fertiliser_Equations_AtmosphericDeposition.VEERG_5_4_1_3__1_OrganicFertiliserAtmosphericDepositionN2OEmissions_Unit()</f>
        <v>t N2O</v>
      </c>
    </row>
    <row r="121" spans="3:12" ht="20.100000000000001" customHeight="1" x14ac:dyDescent="0.25"/>
    <row r="122" spans="3:12" ht="20.100000000000001" customHeight="1" x14ac:dyDescent="0.25">
      <c r="D122" s="147" t="str" cm="1">
        <f t="array" ref="D122:E127">_xlfn.CHOOSECOLS(Fertiliser_Equations_AtmosphericDeposition.VEERG_5_4_1_3__1_OrganicFertiliserAtmosphericDepositionN2OEmissions_Arguments(), 1, 2)</f>
        <v>M_volorganicjf</v>
      </c>
      <c r="E122" s="154" t="str">
        <v>mass of nitrogen volatilised from organic fertiliser applied to production system</v>
      </c>
      <c r="F122" s="153"/>
      <c r="G122" s="147" t="str" cm="1">
        <f t="array" ref="G122:H127">_xlfn.CHOOSECOLS(Fertiliser_Equations_AtmosphericDeposition.VEERG_5_4_1_3__1_OrganicFertiliserAtmosphericDepositionN2OEmissions_Arguments(), 3,4)</f>
        <v>kg N</v>
      </c>
      <c r="H122" s="119" t="str">
        <v>Calculated from 5.4.1.3 (2)</v>
      </c>
      <c r="I122" s="145" t="str" cm="1">
        <f t="array" aca="1" ref="I122" ca="1">HYPERLINK(Common_InputFunctions.Utility_SourceHyperlink($D$97), $D$97)</f>
        <v>Table_M_vol_organic_j_f</v>
      </c>
    </row>
    <row r="123" spans="3:12" ht="20.100000000000001" customHeight="1" x14ac:dyDescent="0.25">
      <c r="D123" s="147" t="str">
        <v>EF_N2Oj</v>
      </c>
      <c r="E123" s="154" t="str">
        <v>emission factor for atmospheric deposition in production system j</v>
      </c>
      <c r="F123" s="153"/>
      <c r="G123" s="147" t="str">
        <v>kg N2O-N/kg N</v>
      </c>
      <c r="H123" s="119" t="str">
        <v>Constant</v>
      </c>
      <c r="I123" s="147">
        <f>Common_InputFunctions.Utility_LookupN2OEFFromProdIrrigationRainfall(I125,I126,I127,Table_SourceData_Common_EFN2O[Production system only],Table_SourceData_Common_EFN2O[Irrigation method],Table_SourceData_Common_EFN2O[Rainfall zone],Table_SourceData_Common_EFN2O[EFN2O])</f>
        <v>7.0000000000000001E-3</v>
      </c>
    </row>
    <row r="124" spans="3:12" ht="20.100000000000001" customHeight="1" x14ac:dyDescent="0.25">
      <c r="D124" s="147" t="str">
        <v>C_N2O</v>
      </c>
      <c r="E124" s="154" t="str">
        <v>factor to convert elemental mass of nitrous oxide to molecular mass</v>
      </c>
      <c r="F124" s="153"/>
      <c r="G124" s="147" t="str">
        <v/>
      </c>
      <c r="H124" s="119" t="str">
        <v>Constant</v>
      </c>
      <c r="I124" s="54">
        <f>Common_InputFunctions.Utility_LookupValueInTableNumber("N2O",Table_GasToMolecularConversionFactor[Gas],Table_GasToMolecularConversionFactor[Conversion factor combined])</f>
        <v>1.5714285714285714</v>
      </c>
    </row>
    <row r="125" spans="3:12" ht="20.100000000000001" customHeight="1" x14ac:dyDescent="0.25">
      <c r="D125" s="147" t="str">
        <v>j</v>
      </c>
      <c r="E125" s="154" t="str">
        <v>Production system</v>
      </c>
      <c r="F125" s="153"/>
      <c r="G125" s="147" t="str">
        <v/>
      </c>
      <c r="H125" s="120" t="str">
        <v>Input</v>
      </c>
      <c r="I125" s="147" t="str">
        <f>'Input - Fertiliser'!$E$6</f>
        <v>Crop</v>
      </c>
    </row>
    <row r="126" spans="3:12" ht="20.100000000000001" customHeight="1" x14ac:dyDescent="0.25">
      <c r="D126" s="147" t="str">
        <v>ir</v>
      </c>
      <c r="E126" s="154" t="str">
        <v>irrigation method</v>
      </c>
      <c r="F126" s="153"/>
      <c r="G126" s="147" t="str">
        <v/>
      </c>
      <c r="H126" s="120" t="str">
        <v>Input</v>
      </c>
      <c r="I126" s="147" t="str">
        <f>'Input - Fertiliser'!$E$8</f>
        <v>Drip irrigation</v>
      </c>
    </row>
    <row r="127" spans="3:12" ht="20.100000000000001" customHeight="1" x14ac:dyDescent="0.25">
      <c r="D127" s="147" t="str">
        <v>r</v>
      </c>
      <c r="E127" s="154" t="str">
        <v>rainfall region</v>
      </c>
      <c r="F127" s="153"/>
      <c r="G127" s="147" t="str">
        <v/>
      </c>
      <c r="H127" s="120" t="str">
        <v>Input</v>
      </c>
      <c r="I127" s="147" t="str">
        <f>'Input - Site'!$E$30</f>
        <v>Low rainfall</v>
      </c>
    </row>
    <row r="128" spans="3:12" ht="20.100000000000001" customHeight="1" x14ac:dyDescent="0.25"/>
    <row r="129" spans="4:6" ht="20.100000000000001" customHeight="1" x14ac:dyDescent="0.25">
      <c r="D129" s="92" t="s">
        <v>287</v>
      </c>
    </row>
    <row r="130" spans="4:6" ht="20.100000000000001" customHeight="1" x14ac:dyDescent="0.25">
      <c r="D130" s="91" t="s">
        <v>288</v>
      </c>
    </row>
    <row r="131" spans="4:6" ht="20.100000000000001" customHeight="1" x14ac:dyDescent="0.25">
      <c r="D131" s="112" t="s">
        <v>249</v>
      </c>
      <c r="E131" s="148" t="s">
        <v>282</v>
      </c>
      <c r="F131" s="148" t="s">
        <v>281</v>
      </c>
    </row>
    <row r="132" spans="4:6" ht="20.100000000000001" customHeight="1" x14ac:dyDescent="0.25">
      <c r="D132" s="50" t="str" cm="1">
        <f t="array" ref="D132:D133">Table_Input_OrganicFertiliser[Organic fertiliser type (select)]</f>
        <v>Manure - Other</v>
      </c>
      <c r="E132" s="50">
        <f>F100</f>
        <v>63</v>
      </c>
      <c r="F132" s="50" cm="1">
        <f t="array" ref="F132">Fertiliser_Equations_AtmosphericDeposition.VEERG_5_4_1_3__1_OrganicFertiliserAtmosphericDepositionN2OEmissions(E132,$I$123,$I$124)</f>
        <v>6.9299999999999993E-4</v>
      </c>
    </row>
    <row r="133" spans="4:6" ht="20.100000000000001" customHeight="1" x14ac:dyDescent="0.25">
      <c r="D133" s="50" t="str">
        <v>Manure - Poultry</v>
      </c>
      <c r="E133" s="50">
        <f t="shared" ref="E133:E142" si="1">F101</f>
        <v>52.5</v>
      </c>
      <c r="F133" s="50" cm="1">
        <f t="array" ref="F133">Fertiliser_Equations_AtmosphericDeposition.VEERG_5_4_1_3__1_OrganicFertiliserAtmosphericDepositionN2OEmissions(E133,$I$123,$I$124)</f>
        <v>5.775E-4</v>
      </c>
    </row>
    <row r="134" spans="4:6" ht="20.100000000000001" customHeight="1" x14ac:dyDescent="0.25">
      <c r="D134" s="50"/>
      <c r="E134" s="50">
        <f t="shared" si="1"/>
        <v>0</v>
      </c>
      <c r="F134" s="50" cm="1">
        <f t="array" ref="F134">Fertiliser_Equations_AtmosphericDeposition.VEERG_5_4_1_3__1_OrganicFertiliserAtmosphericDepositionN2OEmissions(E134,$I$123,$I$124)</f>
        <v>0</v>
      </c>
    </row>
    <row r="135" spans="4:6" ht="20.100000000000001" customHeight="1" x14ac:dyDescent="0.25">
      <c r="D135" s="50"/>
      <c r="E135" s="50">
        <f t="shared" si="1"/>
        <v>0</v>
      </c>
      <c r="F135" s="50" cm="1">
        <f t="array" ref="F135">Fertiliser_Equations_AtmosphericDeposition.VEERG_5_4_1_3__1_OrganicFertiliserAtmosphericDepositionN2OEmissions(E135,$I$123,$I$124)</f>
        <v>0</v>
      </c>
    </row>
    <row r="136" spans="4:6" ht="20.100000000000001" customHeight="1" x14ac:dyDescent="0.25">
      <c r="D136" s="50"/>
      <c r="E136" s="50">
        <f t="shared" si="1"/>
        <v>0</v>
      </c>
      <c r="F136" s="50" cm="1">
        <f t="array" ref="F136">Fertiliser_Equations_AtmosphericDeposition.VEERG_5_4_1_3__1_OrganicFertiliserAtmosphericDepositionN2OEmissions(E136,$I$123,$I$124)</f>
        <v>0</v>
      </c>
    </row>
    <row r="137" spans="4:6" ht="20.100000000000001" customHeight="1" x14ac:dyDescent="0.25">
      <c r="D137" s="50"/>
      <c r="E137" s="50">
        <f t="shared" si="1"/>
        <v>0</v>
      </c>
      <c r="F137" s="50" cm="1">
        <f t="array" ref="F137">Fertiliser_Equations_AtmosphericDeposition.VEERG_5_4_1_3__1_OrganicFertiliserAtmosphericDepositionN2OEmissions(E137,$I$123,$I$124)</f>
        <v>0</v>
      </c>
    </row>
    <row r="138" spans="4:6" ht="20.100000000000001" customHeight="1" x14ac:dyDescent="0.25">
      <c r="D138" s="50"/>
      <c r="E138" s="50">
        <f t="shared" si="1"/>
        <v>0</v>
      </c>
      <c r="F138" s="50" cm="1">
        <f t="array" ref="F138">Fertiliser_Equations_AtmosphericDeposition.VEERG_5_4_1_3__1_OrganicFertiliserAtmosphericDepositionN2OEmissions(E138,$I$123,$I$124)</f>
        <v>0</v>
      </c>
    </row>
    <row r="139" spans="4:6" ht="20.100000000000001" customHeight="1" x14ac:dyDescent="0.25">
      <c r="D139" s="50"/>
      <c r="E139" s="50">
        <f t="shared" si="1"/>
        <v>0</v>
      </c>
      <c r="F139" s="50" cm="1">
        <f t="array" ref="F139">Fertiliser_Equations_AtmosphericDeposition.VEERG_5_4_1_3__1_OrganicFertiliserAtmosphericDepositionN2OEmissions(E139,$I$123,$I$124)</f>
        <v>0</v>
      </c>
    </row>
    <row r="140" spans="4:6" ht="20.100000000000001" customHeight="1" x14ac:dyDescent="0.25">
      <c r="D140" s="50"/>
      <c r="E140" s="50">
        <f t="shared" si="1"/>
        <v>0</v>
      </c>
      <c r="F140" s="50" cm="1">
        <f t="array" ref="F140">Fertiliser_Equations_AtmosphericDeposition.VEERG_5_4_1_3__1_OrganicFertiliserAtmosphericDepositionN2OEmissions(E140,$I$123,$I$124)</f>
        <v>0</v>
      </c>
    </row>
    <row r="141" spans="4:6" ht="20.100000000000001" customHeight="1" x14ac:dyDescent="0.25">
      <c r="D141" s="50"/>
      <c r="E141" s="50">
        <f t="shared" si="1"/>
        <v>0</v>
      </c>
      <c r="F141" s="50" cm="1">
        <f t="array" ref="F141">Fertiliser_Equations_AtmosphericDeposition.VEERG_5_4_1_3__1_OrganicFertiliserAtmosphericDepositionN2OEmissions(E141,$I$123,$I$124)</f>
        <v>0</v>
      </c>
    </row>
    <row r="142" spans="4:6" ht="20.100000000000001" customHeight="1" x14ac:dyDescent="0.25">
      <c r="D142" s="50"/>
      <c r="E142" s="50">
        <f t="shared" si="1"/>
        <v>0</v>
      </c>
      <c r="F142" s="50" cm="1">
        <f t="array" ref="F142">Fertiliser_Equations_AtmosphericDeposition.VEERG_5_4_1_3__1_OrganicFertiliserAtmosphericDepositionN2OEmissions(E142,$I$123,$I$124)</f>
        <v>0</v>
      </c>
    </row>
    <row r="143" spans="4:6" ht="20.100000000000001" customHeight="1" x14ac:dyDescent="0.25"/>
    <row r="144" spans="4:6" ht="20.100000000000001" customHeight="1" x14ac:dyDescent="0.25">
      <c r="D144" s="94" t="s">
        <v>284</v>
      </c>
      <c r="E144" s="95">
        <f>SUM(F132:F142)</f>
        <v>1.2704999999999999E-3</v>
      </c>
      <c r="F144" s="96" t="str">
        <f>$E$120</f>
        <v>t N2O</v>
      </c>
    </row>
    <row r="145" spans="4:7" ht="20.100000000000001" customHeight="1" x14ac:dyDescent="0.25"/>
    <row r="146" spans="4:7" ht="20.100000000000001" customHeight="1" x14ac:dyDescent="0.25">
      <c r="D146" s="54" t="str" cm="1">
        <f t="array" ref="D146:E147">Common_Equations.Common_ConvertN2OToCO2e_Arguments()</f>
        <v>EN2O</v>
      </c>
      <c r="E146" s="55" t="str">
        <v>Nitrous oxide emissions (t N2O)</v>
      </c>
      <c r="F146" s="97"/>
      <c r="G146" s="50">
        <f>E144</f>
        <v>1.2704999999999999E-3</v>
      </c>
    </row>
    <row r="147" spans="4:7" ht="20.100000000000001" customHeight="1" x14ac:dyDescent="0.25">
      <c r="D147" s="54" t="str">
        <v>GWPN2O</v>
      </c>
      <c r="E147" s="55" t="str">
        <v>Global warming potential for nitrous oxide (t CO2-e / t N2O)</v>
      </c>
      <c r="F147" s="97"/>
      <c r="G147" s="50">
        <f>Common_InputFunctions.Utility_LookupValueInTableNumber("N2O",Table_GWPData[Gas],Table_GWPData[CO2-e factor])</f>
        <v>265</v>
      </c>
    </row>
    <row r="148" spans="4:7" ht="20.100000000000001" customHeight="1" x14ac:dyDescent="0.25"/>
    <row r="149" spans="4:7" ht="20.100000000000001" customHeight="1" x14ac:dyDescent="0.25">
      <c r="D149" s="44" t="s">
        <v>79</v>
      </c>
      <c r="E149" s="44" cm="1">
        <f t="array" ref="E149">Common_Equations.Common_ConvertN2OToCO2e(G146,G147)</f>
        <v>0.3366825</v>
      </c>
      <c r="F149" s="98" t="str" cm="1">
        <f t="array" ref="F149">Common_Equations.Common_ConvertN2OToCO2e_Unit()</f>
        <v>t CO2e</v>
      </c>
    </row>
    <row r="150" spans="4:7" ht="20.100000000000001" customHeight="1" x14ac:dyDescent="0.25"/>
    <row r="151" spans="4:7" ht="20.100000000000001" customHeight="1" x14ac:dyDescent="0.25"/>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dimension ref="A1:T165"/>
  <sheetViews>
    <sheetView showGridLines="0" zoomScaleNormal="100" workbookViewId="0">
      <selection activeCell="A3" sqref="A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290</v>
      </c>
    </row>
    <row r="2" spans="1:20" s="9" customFormat="1" ht="20.100000000000001" customHeight="1" x14ac:dyDescent="0.25">
      <c r="A2"/>
    </row>
    <row r="3" spans="1:20" ht="20.100000000000001" customHeight="1" x14ac:dyDescent="0.25">
      <c r="A3" s="17" t="str">
        <f>HYPERLINK("#'Home'!A1", "Home")</f>
        <v>Home</v>
      </c>
      <c r="C3" s="4"/>
      <c r="D3" s="4" t="s">
        <v>80</v>
      </c>
      <c r="E3" s="4"/>
      <c r="F3" s="4"/>
      <c r="G3" s="4"/>
      <c r="H3" s="4"/>
      <c r="I3" s="4"/>
      <c r="J3" s="4"/>
      <c r="K3" s="4"/>
      <c r="M3" s="4"/>
      <c r="N3" s="4" t="s">
        <v>81</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A6" s="16"/>
      <c r="D6" s="5" t="str" cm="1">
        <f t="array" ref="D6">Fertiliser_Equations_LeachingAndRunoff.VEERG_5_5_1_1__2_MassOfNitrogenLeachedFromInorganicFertiliser_Source()</f>
        <v>VEERG 2026: 5.5, Equation (2)</v>
      </c>
    </row>
    <row r="7" spans="1:20" ht="20.100000000000001" customHeight="1" x14ac:dyDescent="0.25">
      <c r="A7" s="20" t="s">
        <v>1</v>
      </c>
      <c r="D7" s="13" t="s">
        <v>22</v>
      </c>
      <c r="E7" s="13" t="str" cm="1">
        <f t="array" aca="1" ref="E7" ca="1">Common_InputFunctions.Utility_DisplayFunctionName(F23)</f>
        <v>=Fertiliser_Equations_LeachingAndRunoff.VEERG_5_5_1_1__2_MassOfNitrogenLeachedFromInorganicFertiliser</v>
      </c>
    </row>
    <row r="8" spans="1:20" ht="20.100000000000001" customHeight="1" x14ac:dyDescent="0.25">
      <c r="A8" s="17" t="str">
        <f>HYPERLINK("#'Input - Site'!A1", "Site")</f>
        <v>Site</v>
      </c>
    </row>
    <row r="9" spans="1:20" ht="20.100000000000001" customHeight="1" x14ac:dyDescent="0.25">
      <c r="A9" s="17" t="str">
        <f>HYPERLINK("#'Input - Fertiliser'!A1", "Fertiliser")</f>
        <v>Fertiliser</v>
      </c>
    </row>
    <row r="10" spans="1:20" ht="20.100000000000001" customHeight="1" x14ac:dyDescent="0.25">
      <c r="A10" s="17"/>
      <c r="D10" s="51" t="s">
        <v>25</v>
      </c>
      <c r="E10" s="1" t="str" cm="1">
        <f t="array" ref="E10">Fertiliser_Equations_LeachingAndRunoff.VEERG_5_5_1_1__2_MassOfNitrogenLeachedFromInorganicFertiliser_Variable()</f>
        <v>M_leachinorganicj</v>
      </c>
    </row>
    <row r="11" spans="1:20" ht="20.100000000000001" customHeight="1" x14ac:dyDescent="0.25">
      <c r="A11" s="19" t="s">
        <v>69</v>
      </c>
      <c r="D11" s="51" t="s">
        <v>16</v>
      </c>
      <c r="E11" s="52" t="str" cm="1">
        <f t="array" ref="E11">Fertiliser_Equations_LeachingAndRunoff.VEERG_5_5_1_1__2_MassOfNitrogenLeachedFromInorganicFertiliser_Unit()</f>
        <v>kg N</v>
      </c>
    </row>
    <row r="12" spans="1:20" ht="20.100000000000001" customHeight="1" x14ac:dyDescent="0.25">
      <c r="A12" s="17" t="str">
        <f>HYPERLINK("#'5.1.1.1-2 Inorganic Fert N2O'!A1", "5.1.1.1-2 Inorganic Fert N2O")</f>
        <v>5.1.1.1-2 Inorganic Fert N2O</v>
      </c>
    </row>
    <row r="13" spans="1:20" ht="20.100000000000001" customHeight="1" x14ac:dyDescent="0.25">
      <c r="A13" s="17" t="str">
        <f>HYPERLINK("#'5.1.1.3-4 Inorganic fert CO2'!A1", "5.1.1.3-4 Inorganic fert CO2")</f>
        <v>5.1.1.3-4 Inorganic fert CO2</v>
      </c>
      <c r="D13" s="147" t="str" cm="1">
        <f t="array" ref="D13:E18">_xlfn.CHOOSECOLS(Fertiliser_Equations_LeachingAndRunoff.VEERG_5_5_1_1__2_MassOfNitrogenLeachedFromInorganicFertiliser_Arguments(), 1, 2)</f>
        <v>MN_jf</v>
      </c>
      <c r="E13" s="154" t="str">
        <v>mass of nitrogen in inorganic fertiliser</v>
      </c>
      <c r="F13" s="153"/>
      <c r="G13" s="147" t="str" cm="1">
        <f t="array" ref="G13:H18">_xlfn.CHOOSECOLS(Fertiliser_Equations_LeachingAndRunoff.VEERG_5_5_1_1__2_MassOfNitrogenLeachedFromInorganicFertiliser_Arguments(), 3,4)</f>
        <v>kg N</v>
      </c>
      <c r="H13" s="119" t="str">
        <v>Calculated from 5.1.1.1 (2)</v>
      </c>
      <c r="I13" s="145" t="str" cm="1">
        <f t="array" aca="1" ref="I13" ca="1">HYPERLINK(Common_InputFunctions.Utility_SourceHyperlink(D20), D20)</f>
        <v>Table_M_leach_inorganic_j</v>
      </c>
    </row>
    <row r="14" spans="1:20" ht="20.100000000000001" customHeight="1" x14ac:dyDescent="0.25">
      <c r="A14" s="17" t="str">
        <f>HYPERLINK("#'5.2.1.1-2 Organic Fert N2O'!A1", "5.2.1.1-2 Organic Fert N2O")</f>
        <v>5.2.1.1-2 Organic Fert N2O</v>
      </c>
      <c r="D14" s="147" t="str">
        <v>FracWETj</v>
      </c>
      <c r="E14" s="154" t="str">
        <v>fraction of N available for leaching and runoff</v>
      </c>
      <c r="F14" s="153"/>
      <c r="G14" s="147" t="str">
        <v>fraction</v>
      </c>
      <c r="H14" s="119" t="str">
        <v>Constant</v>
      </c>
      <c r="I14" s="147" cm="1">
        <f t="array" ref="I14">Common_InputFunctions.CommonCropping_GetFracWET(I16,I18,Table_SourceData_FracWET[Is in leaching zone],Table_SourceData_FracWET[FracWET],Table_SourceData_FracWETIrrigation[Irrigation type i],Table_SourceData_FracWETIrrigation[FracWET])</f>
        <v>0</v>
      </c>
    </row>
    <row r="15" spans="1:20" ht="20.100000000000001" customHeight="1" x14ac:dyDescent="0.25">
      <c r="A15" s="17" t="str">
        <f>HYPERLINK("#'5.3.1.1-2 Lime CO2'!A1", "5.3.1.1-2 Lime CO2")</f>
        <v>5.3.1.1-2 Lime CO2</v>
      </c>
      <c r="D15" s="147" t="str">
        <v>FracLEACH</v>
      </c>
      <c r="E15" s="154" t="str">
        <v>fraction of N that is lost through leaching and runoff</v>
      </c>
      <c r="F15" s="153"/>
      <c r="G15" s="147" t="str">
        <v>fraction</v>
      </c>
      <c r="H15" s="119" t="str">
        <v>Constant</v>
      </c>
      <c r="I15" s="147">
        <f>'Constants - Fertiliser'!$E$78</f>
        <v>0.24</v>
      </c>
    </row>
    <row r="16" spans="1:20" ht="20.100000000000001" customHeight="1" x14ac:dyDescent="0.25">
      <c r="A16" s="17" t="str">
        <f>HYPERLINK("#'5.4.1.1-4 Atmos deposition'!A1", "5.4.1.1-4 Atmos deposition")</f>
        <v>5.4.1.1-4 Atmos deposition</v>
      </c>
      <c r="D16" s="147" t="str">
        <v>z</v>
      </c>
      <c r="E16" s="154" t="str">
        <v>location in leaching zone</v>
      </c>
      <c r="F16" s="153"/>
      <c r="G16" s="147" t="str">
        <v/>
      </c>
      <c r="H16" s="120" t="str">
        <v>Input</v>
      </c>
      <c r="I16" s="147" t="str">
        <f>'Input - Site'!$E$23</f>
        <v>NO - Not in leaching zone</v>
      </c>
    </row>
    <row r="17" spans="1:9" ht="20.100000000000001" customHeight="1" x14ac:dyDescent="0.25">
      <c r="A17" s="177" t="str">
        <f>HYPERLINK("#'5.5.1.1-2 Leaching and runoff'!A1", "5.5.1.1-2 Leaching and runoff")</f>
        <v>5.5.1.1-2 Leaching and runoff</v>
      </c>
      <c r="D17" s="147" t="str">
        <v>j</v>
      </c>
      <c r="E17" s="154" t="str">
        <v>production system</v>
      </c>
      <c r="F17" s="153"/>
      <c r="G17" s="147" t="str">
        <v/>
      </c>
      <c r="H17" s="120" t="str">
        <v>Input</v>
      </c>
      <c r="I17" s="147" t="str">
        <f>'Input - Fertiliser'!$E$6</f>
        <v>Crop</v>
      </c>
    </row>
    <row r="18" spans="1:9" ht="20.100000000000001" customHeight="1" x14ac:dyDescent="0.25">
      <c r="D18" s="147" t="str">
        <v>ir</v>
      </c>
      <c r="E18" s="154" t="str">
        <v>irrigation method</v>
      </c>
      <c r="F18" s="153"/>
      <c r="G18" s="147" t="str">
        <v/>
      </c>
      <c r="H18" s="120" t="str">
        <v>Input</v>
      </c>
      <c r="I18" s="147" t="str">
        <f>'Input - Fertiliser'!$E$8</f>
        <v>Drip irrigation</v>
      </c>
    </row>
    <row r="19" spans="1:9" ht="20.100000000000001" customHeight="1" x14ac:dyDescent="0.25">
      <c r="A19" s="18" t="s">
        <v>2</v>
      </c>
    </row>
    <row r="20" spans="1:9" ht="20.100000000000001" customHeight="1" x14ac:dyDescent="0.25">
      <c r="A20" s="17" t="str">
        <f>HYPERLINK("#'Constants - Fertiliser'!A1", "Constants - Fertiliser")</f>
        <v>Constants - Fertiliser</v>
      </c>
      <c r="D20" s="92" t="s">
        <v>292</v>
      </c>
    </row>
    <row r="21" spans="1:9" ht="20.100000000000001" customHeight="1" x14ac:dyDescent="0.25">
      <c r="A21" s="17" t="str">
        <f>HYPERLINK("#'Constants - Common'!A1", "Constants - Common")</f>
        <v>Constants - Common</v>
      </c>
      <c r="D21" s="91" t="s">
        <v>295</v>
      </c>
    </row>
    <row r="22" spans="1:9" ht="20.100000000000001" customHeight="1" x14ac:dyDescent="0.25">
      <c r="D22" s="49" t="s">
        <v>112</v>
      </c>
      <c r="E22" s="49" t="s">
        <v>273</v>
      </c>
      <c r="F22" s="49" t="s">
        <v>291</v>
      </c>
    </row>
    <row r="23" spans="1:9" ht="20.100000000000001" customHeight="1" x14ac:dyDescent="0.25">
      <c r="A23" s="17"/>
      <c r="D23" s="50" t="str" cm="1">
        <f t="array" ref="D23:D40">Table_Fertiliser_ChemicalCompounds[Fertiliser type f]</f>
        <v>Monoammonium phosphate (MAP)</v>
      </c>
      <c r="E23" s="50">
        <f>'5.1.1.1-2 Inorganic fert N2O'!G19</f>
        <v>0</v>
      </c>
      <c r="F23" s="50" cm="1">
        <f t="array" ref="F23">Fertiliser_Equations_LeachingAndRunoff.VEERG_5_5_1_1__2_MassOfNitrogenLeachedFromInorganicFertiliser(E23, $I$14, $I$15)</f>
        <v>0</v>
      </c>
    </row>
    <row r="24" spans="1:9" ht="20.100000000000001" customHeight="1" x14ac:dyDescent="0.25">
      <c r="D24" s="50" t="str">
        <v>Diammonium phosphate (DAP)</v>
      </c>
      <c r="E24" s="50">
        <f>'5.1.1.1-2 Inorganic fert N2O'!G20</f>
        <v>0</v>
      </c>
      <c r="F24" s="50" cm="1">
        <f t="array" ref="F24">Fertiliser_Equations_LeachingAndRunoff.VEERG_5_5_1_1__2_MassOfNitrogenLeachedFromInorganicFertiliser(E24, $I$14, $I$15)</f>
        <v>0</v>
      </c>
    </row>
    <row r="25" spans="1:9" ht="20.100000000000001" customHeight="1" x14ac:dyDescent="0.25">
      <c r="D25" s="50" t="str">
        <v>Urea</v>
      </c>
      <c r="E25" s="50">
        <f>'5.1.1.1-2 Inorganic fert N2O'!G21</f>
        <v>5940.0000008000006</v>
      </c>
      <c r="F25" s="50" cm="1">
        <f t="array" ref="F25">Fertiliser_Equations_LeachingAndRunoff.VEERG_5_5_1_1__2_MassOfNitrogenLeachedFromInorganicFertiliser(E25, $I$14, $I$15)</f>
        <v>0</v>
      </c>
    </row>
    <row r="26" spans="1:9" ht="20.100000000000001" customHeight="1" x14ac:dyDescent="0.25">
      <c r="D26" s="50" t="str">
        <v>Sulphate of ammonia (SOA)</v>
      </c>
      <c r="E26" s="50">
        <f>'5.1.1.1-2 Inorganic fert N2O'!G22</f>
        <v>0</v>
      </c>
      <c r="F26" s="50" cm="1">
        <f t="array" ref="F26">Fertiliser_Equations_LeachingAndRunoff.VEERG_5_5_1_1__2_MassOfNitrogenLeachedFromInorganicFertiliser(E26, $I$14, $I$15)</f>
        <v>0</v>
      </c>
    </row>
    <row r="27" spans="1:9" ht="20.100000000000001" customHeight="1" x14ac:dyDescent="0.25">
      <c r="D27" s="50" t="str">
        <v>Urea-ammonium nitrate (UAN)</v>
      </c>
      <c r="E27" s="50">
        <f>'5.1.1.1-2 Inorganic fert N2O'!G23</f>
        <v>0</v>
      </c>
      <c r="F27" s="50" cm="1">
        <f t="array" ref="F27">Fertiliser_Equations_LeachingAndRunoff.VEERG_5_5_1_1__2_MassOfNitrogenLeachedFromInorganicFertiliser(E27, $I$14, $I$15)</f>
        <v>0</v>
      </c>
    </row>
    <row r="28" spans="1:9" ht="20.100000000000001" customHeight="1" x14ac:dyDescent="0.25">
      <c r="D28" s="50" t="str">
        <v>Ammonium nitrate (AN)</v>
      </c>
      <c r="E28" s="50">
        <f>'5.1.1.1-2 Inorganic fert N2O'!G24</f>
        <v>0</v>
      </c>
      <c r="F28" s="50" cm="1">
        <f t="array" ref="F28">Fertiliser_Equations_LeachingAndRunoff.VEERG_5_5_1_1__2_MassOfNitrogenLeachedFromInorganicFertiliser(E28, $I$14, $I$15)</f>
        <v>0</v>
      </c>
    </row>
    <row r="29" spans="1:9" ht="20.100000000000001" customHeight="1" x14ac:dyDescent="0.25">
      <c r="D29" s="50" t="str">
        <v>Calcium ammonium nitrate (CAN)</v>
      </c>
      <c r="E29" s="50">
        <f>'5.1.1.1-2 Inorganic fert N2O'!G25</f>
        <v>0</v>
      </c>
      <c r="F29" s="50" cm="1">
        <f t="array" ref="F29">Fertiliser_Equations_LeachingAndRunoff.VEERG_5_5_1_1__2_MassOfNitrogenLeachedFromInorganicFertiliser(E29, $I$14, $I$15)</f>
        <v>0</v>
      </c>
    </row>
    <row r="30" spans="1:9" ht="20.100000000000001" customHeight="1" x14ac:dyDescent="0.25">
      <c r="D30" s="50" t="str">
        <v>Nitrogen - Ammoniacal</v>
      </c>
      <c r="E30" s="50">
        <f>'5.1.1.1-2 Inorganic fert N2O'!G26</f>
        <v>3500</v>
      </c>
      <c r="F30" s="50" cm="1">
        <f t="array" ref="F30">Fertiliser_Equations_LeachingAndRunoff.VEERG_5_5_1_1__2_MassOfNitrogenLeachedFromInorganicFertiliser(E30, $I$14, $I$15)</f>
        <v>0</v>
      </c>
    </row>
    <row r="31" spans="1:9" ht="20.100000000000001" customHeight="1" x14ac:dyDescent="0.25">
      <c r="D31" s="50" t="str">
        <v>Nitrogen - Nitrate</v>
      </c>
      <c r="E31" s="50">
        <f>'5.1.1.1-2 Inorganic fert N2O'!G27</f>
        <v>1500</v>
      </c>
      <c r="F31" s="50" cm="1">
        <f t="array" ref="F31">Fertiliser_Equations_LeachingAndRunoff.VEERG_5_5_1_1__2_MassOfNitrogenLeachedFromInorganicFertiliser(E31, $I$14, $I$15)</f>
        <v>0</v>
      </c>
    </row>
    <row r="32" spans="1:9" ht="20.100000000000001" customHeight="1" x14ac:dyDescent="0.25">
      <c r="D32" s="50" t="str">
        <v>Nitrogen - Generic</v>
      </c>
      <c r="E32" s="50">
        <f>'5.1.1.1-2 Inorganic fert N2O'!G28</f>
        <v>1120</v>
      </c>
      <c r="F32" s="50" cm="1">
        <f t="array" ref="F32">Fertiliser_Equations_LeachingAndRunoff.VEERG_5_5_1_1__2_MassOfNitrogenLeachedFromInorganicFertiliser(E32, $I$14, $I$15)</f>
        <v>0</v>
      </c>
    </row>
    <row r="33" spans="1:11" ht="20.100000000000001" customHeight="1" x14ac:dyDescent="0.25">
      <c r="D33" s="50" t="str">
        <v>Phosphorus - Generic</v>
      </c>
      <c r="E33" s="50">
        <f>'5.1.1.1-2 Inorganic fert N2O'!G29</f>
        <v>0</v>
      </c>
      <c r="F33" s="50" cm="1">
        <f t="array" ref="F33">Fertiliser_Equations_LeachingAndRunoff.VEERG_5_5_1_1__2_MassOfNitrogenLeachedFromInorganicFertiliser(E33, $I$14, $I$15)</f>
        <v>0</v>
      </c>
    </row>
    <row r="34" spans="1:11" ht="20.100000000000001" customHeight="1" x14ac:dyDescent="0.25">
      <c r="D34" s="50" t="str">
        <v>Potassium - Generic</v>
      </c>
      <c r="E34" s="50">
        <f>'5.1.1.1-2 Inorganic fert N2O'!G30</f>
        <v>0</v>
      </c>
      <c r="F34" s="50" cm="1">
        <f t="array" ref="F34">Fertiliser_Equations_LeachingAndRunoff.VEERG_5_5_1_1__2_MassOfNitrogenLeachedFromInorganicFertiliser(E34, $I$14, $I$15)</f>
        <v>0</v>
      </c>
    </row>
    <row r="35" spans="1:11" ht="20.100000000000001" customHeight="1" x14ac:dyDescent="0.25">
      <c r="D35" s="50" t="str">
        <v>Sulfur - Generic</v>
      </c>
      <c r="E35" s="50">
        <f>'5.1.1.1-2 Inorganic fert N2O'!G31</f>
        <v>0</v>
      </c>
      <c r="F35" s="50" cm="1">
        <f t="array" ref="F35">Fertiliser_Equations_LeachingAndRunoff.VEERG_5_5_1_1__2_MassOfNitrogenLeachedFromInorganicFertiliser(E35, $I$14, $I$15)</f>
        <v>0</v>
      </c>
    </row>
    <row r="36" spans="1:11" ht="20.100000000000001" customHeight="1" x14ac:dyDescent="0.25">
      <c r="D36" s="50" t="str">
        <v>Zinc - Generic</v>
      </c>
      <c r="E36" s="50">
        <f>'5.1.1.1-2 Inorganic fert N2O'!G32</f>
        <v>0</v>
      </c>
      <c r="F36" s="50" cm="1">
        <f t="array" ref="F36">Fertiliser_Equations_LeachingAndRunoff.VEERG_5_5_1_1__2_MassOfNitrogenLeachedFromInorganicFertiliser(E36, $I$14, $I$15)</f>
        <v>0</v>
      </c>
    </row>
    <row r="37" spans="1:11" ht="20.100000000000001" customHeight="1" x14ac:dyDescent="0.25">
      <c r="D37" s="50" t="str">
        <v>Muriate of potash (MOP)</v>
      </c>
      <c r="E37" s="50">
        <f>'5.1.1.1-2 Inorganic fert N2O'!G33</f>
        <v>0</v>
      </c>
      <c r="F37" s="50" cm="1">
        <f t="array" ref="F37">Fertiliser_Equations_LeachingAndRunoff.VEERG_5_5_1_1__2_MassOfNitrogenLeachedFromInorganicFertiliser(E37, $I$14, $I$15)</f>
        <v>0</v>
      </c>
    </row>
    <row r="38" spans="1:11" ht="20.100000000000001" customHeight="1" x14ac:dyDescent="0.25">
      <c r="D38" s="50" t="str">
        <v>Double superphosphate</v>
      </c>
      <c r="E38" s="50">
        <f>'5.1.1.1-2 Inorganic fert N2O'!G34</f>
        <v>0</v>
      </c>
      <c r="F38" s="50" cm="1">
        <f t="array" ref="F38">Fertiliser_Equations_LeachingAndRunoff.VEERG_5_5_1_1__2_MassOfNitrogenLeachedFromInorganicFertiliser(E38, $I$14, $I$15)</f>
        <v>0</v>
      </c>
    </row>
    <row r="39" spans="1:11" ht="20.100000000000001" customHeight="1" x14ac:dyDescent="0.25">
      <c r="D39" s="50" t="str">
        <v>Single superphosphate (SSP)</v>
      </c>
      <c r="E39" s="50">
        <f>'5.1.1.1-2 Inorganic fert N2O'!G35</f>
        <v>0</v>
      </c>
      <c r="F39" s="50" cm="1">
        <f t="array" ref="F39">Fertiliser_Equations_LeachingAndRunoff.VEERG_5_5_1_1__2_MassOfNitrogenLeachedFromInorganicFertiliser(E39, $I$14, $I$15)</f>
        <v>0</v>
      </c>
    </row>
    <row r="40" spans="1:11" ht="20.100000000000001" customHeight="1" x14ac:dyDescent="0.25">
      <c r="D40" s="50" t="str">
        <v>Ammonia</v>
      </c>
      <c r="E40" s="50">
        <f>'5.1.1.1-2 Inorganic fert N2O'!G36</f>
        <v>0</v>
      </c>
      <c r="F40" s="50" cm="1">
        <f t="array" ref="F40">Fertiliser_Equations_LeachingAndRunoff.VEERG_5_5_1_1__2_MassOfNitrogenLeachedFromInorganicFertiliser(E40, $I$14, $I$15)</f>
        <v>0</v>
      </c>
    </row>
    <row r="41" spans="1:11" ht="20.100000000000001" customHeight="1" x14ac:dyDescent="0.25"/>
    <row r="42" spans="1:11" ht="20.100000000000001" customHeight="1" x14ac:dyDescent="0.25">
      <c r="D42" s="149" t="s">
        <v>293</v>
      </c>
      <c r="E42" s="44">
        <f>SUM(F23:F40)</f>
        <v>0</v>
      </c>
      <c r="F42" s="98" t="str">
        <f>$E$11</f>
        <v>kg N</v>
      </c>
    </row>
    <row r="43" spans="1:11" ht="20.100000000000001" customHeight="1" x14ac:dyDescent="0.25"/>
    <row r="44" spans="1:11" ht="20.100000000000001" customHeight="1" x14ac:dyDescent="0.25">
      <c r="A44" s="157" t="str">
        <f>HYPERLINK("#A1", "▲ Back to top")</f>
        <v>▲ Back to top</v>
      </c>
      <c r="C44" s="166"/>
      <c r="D44" s="166"/>
      <c r="E44" s="166"/>
      <c r="F44" s="166"/>
      <c r="G44" s="166"/>
      <c r="H44" s="166"/>
      <c r="I44" s="166"/>
      <c r="J44" s="166"/>
      <c r="K44" s="166"/>
    </row>
    <row r="45" spans="1:11" ht="20.100000000000001" customHeight="1" x14ac:dyDescent="0.25"/>
    <row r="46" spans="1:11" ht="20.100000000000001" customHeight="1" x14ac:dyDescent="0.25">
      <c r="D46" s="6" t="str" cm="1">
        <f t="array" ref="D46">Fertiliser_Equations_LeachingAndRunoff.VEERG_5_5_1_1__3_MassOfNitrogenLeachedFromOrganicFertiliser_Title()</f>
        <v>Mass of nitrogen lost through leaching and runoff from organic fertiliser application in production system j</v>
      </c>
    </row>
    <row r="47" spans="1:11" ht="20.100000000000001" customHeight="1" x14ac:dyDescent="0.25">
      <c r="D47" s="5" t="str" cm="1">
        <f t="array" ref="D47">Fertiliser_Equations_LeachingAndRunoff.VEERG_5_5_1_1__3_MassOfNitrogenLeachedFromOrganicFertiliser_Source()</f>
        <v>VEERG 2026: 5.5, Equation (3)</v>
      </c>
    </row>
    <row r="48" spans="1:11" ht="20.100000000000001" customHeight="1" x14ac:dyDescent="0.25">
      <c r="D48" s="13" t="s">
        <v>22</v>
      </c>
      <c r="E48" s="13" t="str" cm="1">
        <f t="array" aca="1" ref="E48" ca="1">Common_InputFunctions.Utility_DisplayFunctionName(F64)</f>
        <v>=Fertiliser_Equations_LeachingAndRunoff.VEERG_5_5_1_1__3_MassOfNitrogenLeachedFromOrganicFertiliser</v>
      </c>
    </row>
    <row r="49" spans="4:9" ht="20.100000000000001" customHeight="1" x14ac:dyDescent="0.25"/>
    <row r="50" spans="4:9" ht="20.100000000000001" customHeight="1" x14ac:dyDescent="0.25"/>
    <row r="51" spans="4:9" ht="20.100000000000001" customHeight="1" x14ac:dyDescent="0.25">
      <c r="D51" s="51" t="s">
        <v>25</v>
      </c>
      <c r="E51" s="1" t="str" cm="1">
        <f t="array" ref="E51">Fertiliser_Equations_LeachingAndRunoff.VEERG_5_5_1_1__3_MassOfNitrogenLeachedFromOrganicFertiliser_Variable()</f>
        <v>M_leachorganicj</v>
      </c>
    </row>
    <row r="52" spans="4:9" ht="20.100000000000001" customHeight="1" x14ac:dyDescent="0.25">
      <c r="D52" s="51" t="s">
        <v>16</v>
      </c>
      <c r="E52" s="52" t="str" cm="1">
        <f t="array" ref="E52">Fertiliser_Equations_LeachingAndRunoff.VEERG_5_5_1_1__3_MassOfNitrogenLeachedFromOrganicFertiliser_Unit()</f>
        <v>kg N</v>
      </c>
    </row>
    <row r="53" spans="4:9" ht="20.100000000000001" customHeight="1" x14ac:dyDescent="0.25"/>
    <row r="54" spans="4:9" ht="20.100000000000001" customHeight="1" x14ac:dyDescent="0.25">
      <c r="D54" s="147" t="str" cm="1">
        <f t="array" ref="D54:E59">_xlfn.CHOOSECOLS(Fertiliser_Equations_LeachingAndRunoff.VEERG_5_5_1_1__3_MassOfNitrogenLeachedFromOrganicFertiliser_Arguments(), 1, 2)</f>
        <v>MNSoil_jf</v>
      </c>
      <c r="E54" s="154" t="str">
        <v>mass of nitrogen in organic fertiliser</v>
      </c>
      <c r="F54" s="153"/>
      <c r="G54" s="147" t="str" cm="1">
        <f t="array" ref="G54:H59">_xlfn.CHOOSECOLS(Fertiliser_Equations_LeachingAndRunoff.VEERG_5_5_1_1__3_MassOfNitrogenLeachedFromOrganicFertiliser_Arguments(), 3,4)</f>
        <v>kg N</v>
      </c>
      <c r="H54" s="119" t="str">
        <v>Calculated from 5.2.1.1 (2)</v>
      </c>
      <c r="I54" s="145" t="str" cm="1">
        <f t="array" aca="1" ref="I54" ca="1">HYPERLINK(Common_InputFunctions.Utility_SourceHyperlink(D61), D61)</f>
        <v>Table_M_leach_organic_j</v>
      </c>
    </row>
    <row r="55" spans="4:9" ht="20.100000000000001" customHeight="1" x14ac:dyDescent="0.25">
      <c r="D55" s="147" t="str">
        <v>FracWETj</v>
      </c>
      <c r="E55" s="154" t="str">
        <v>fraction of N available for leaching and runoff</v>
      </c>
      <c r="F55" s="153"/>
      <c r="G55" s="147" t="str">
        <v>fraction</v>
      </c>
      <c r="H55" s="119" t="str">
        <v>Constant</v>
      </c>
      <c r="I55" s="147" cm="1">
        <f t="array" ref="I55">Common_InputFunctions.CommonCropping_GetFracWET(I57,I59,Table_SourceData_FracWET[Is in leaching zone],Table_SourceData_FracWET[FracWET],Table_SourceData_FracWETIrrigation[Irrigation type i],Table_SourceData_FracWETIrrigation[FracWET])</f>
        <v>0</v>
      </c>
    </row>
    <row r="56" spans="4:9" ht="20.100000000000001" customHeight="1" x14ac:dyDescent="0.25">
      <c r="D56" s="147" t="str">
        <v>FracLEACH</v>
      </c>
      <c r="E56" s="154" t="str">
        <v>fraction of N that is lost through leaching and runoff</v>
      </c>
      <c r="F56" s="153"/>
      <c r="G56" s="147" t="str">
        <v>fraction</v>
      </c>
      <c r="H56" s="119" t="str">
        <v>Constant</v>
      </c>
      <c r="I56" s="147">
        <f>'Constants - Fertiliser'!$E$78</f>
        <v>0.24</v>
      </c>
    </row>
    <row r="57" spans="4:9" ht="20.100000000000001" customHeight="1" x14ac:dyDescent="0.25">
      <c r="D57" s="147" t="str">
        <v>z</v>
      </c>
      <c r="E57" s="154" t="str">
        <v>location in leaching zone</v>
      </c>
      <c r="F57" s="153"/>
      <c r="G57" s="147" t="str">
        <v/>
      </c>
      <c r="H57" s="120" t="str">
        <v>Input</v>
      </c>
      <c r="I57" s="147" t="str">
        <f>'Input - Site'!$E$23</f>
        <v>NO - Not in leaching zone</v>
      </c>
    </row>
    <row r="58" spans="4:9" ht="20.100000000000001" customHeight="1" x14ac:dyDescent="0.25">
      <c r="D58" s="147" t="str">
        <v>j</v>
      </c>
      <c r="E58" s="154" t="str">
        <v>production system</v>
      </c>
      <c r="F58" s="153"/>
      <c r="G58" s="147" t="str">
        <v/>
      </c>
      <c r="H58" s="120" t="str">
        <v>Input</v>
      </c>
      <c r="I58" s="147" t="str">
        <f>'Input - Fertiliser'!$E$6</f>
        <v>Crop</v>
      </c>
    </row>
    <row r="59" spans="4:9" ht="20.100000000000001" customHeight="1" x14ac:dyDescent="0.25">
      <c r="D59" s="147" t="str">
        <v>ir</v>
      </c>
      <c r="E59" s="154" t="str">
        <v>irrigation method</v>
      </c>
      <c r="F59" s="153"/>
      <c r="G59" s="147" t="str">
        <v/>
      </c>
      <c r="H59" s="120" t="str">
        <v>Input</v>
      </c>
      <c r="I59" s="147" t="str">
        <f>'Input - Fertiliser'!$E$8</f>
        <v>Drip irrigation</v>
      </c>
    </row>
    <row r="60" spans="4:9" ht="20.100000000000001" customHeight="1" x14ac:dyDescent="0.25"/>
    <row r="61" spans="4:9" ht="20.100000000000001" customHeight="1" x14ac:dyDescent="0.25">
      <c r="D61" s="92" t="s">
        <v>294</v>
      </c>
    </row>
    <row r="62" spans="4:9" ht="20.100000000000001" customHeight="1" x14ac:dyDescent="0.25">
      <c r="D62" s="91" t="s">
        <v>296</v>
      </c>
    </row>
    <row r="63" spans="4:9" ht="20.100000000000001" customHeight="1" x14ac:dyDescent="0.25">
      <c r="D63" s="112" t="s">
        <v>249</v>
      </c>
      <c r="E63" s="167" t="s">
        <v>253</v>
      </c>
      <c r="F63" s="49" t="s">
        <v>297</v>
      </c>
    </row>
    <row r="64" spans="4:9" ht="20.100000000000001" customHeight="1" x14ac:dyDescent="0.25">
      <c r="D64" s="50" t="str">
        <f>'5.2.1.1-2 Organic Fert N2O'!D20</f>
        <v>Manure - Other</v>
      </c>
      <c r="E64" s="50">
        <f>'5.2.1.1-2 Organic Fert N2O'!I20</f>
        <v>300</v>
      </c>
      <c r="F64" s="50" cm="1">
        <f t="array" ref="F64">Fertiliser_Equations_LeachingAndRunoff.VEERG_5_5_1_1__3_MassOfNitrogenLeachedFromOrganicFertiliser(E64,$I$55, $I$56)</f>
        <v>0</v>
      </c>
    </row>
    <row r="65" spans="1:11" ht="20.100000000000001" customHeight="1" x14ac:dyDescent="0.25">
      <c r="D65" s="50" t="str">
        <f>'5.2.1.1-2 Organic Fert N2O'!D21</f>
        <v>Manure - Poultry</v>
      </c>
      <c r="E65" s="50">
        <f>'5.2.1.1-2 Organic Fert N2O'!I21</f>
        <v>250</v>
      </c>
      <c r="F65" s="50" cm="1">
        <f t="array" ref="F65">Fertiliser_Equations_LeachingAndRunoff.VEERG_5_5_1_1__3_MassOfNitrogenLeachedFromOrganicFertiliser(E65,$I$55, $I$56)</f>
        <v>0</v>
      </c>
    </row>
    <row r="66" spans="1:11" ht="20.100000000000001" customHeight="1" x14ac:dyDescent="0.25">
      <c r="D66" s="50">
        <f>'5.2.1.1-2 Organic Fert N2O'!D22</f>
        <v>0</v>
      </c>
      <c r="E66" s="50">
        <f>'5.2.1.1-2 Organic Fert N2O'!I22</f>
        <v>0</v>
      </c>
      <c r="F66" s="50" cm="1">
        <f t="array" ref="F66">Fertiliser_Equations_LeachingAndRunoff.VEERG_5_5_1_1__3_MassOfNitrogenLeachedFromOrganicFertiliser(E66,$I$55, $I$56)</f>
        <v>0</v>
      </c>
    </row>
    <row r="67" spans="1:11" ht="20.100000000000001" customHeight="1" x14ac:dyDescent="0.25">
      <c r="D67" s="50">
        <f>'5.2.1.1-2 Organic Fert N2O'!D23</f>
        <v>0</v>
      </c>
      <c r="E67" s="50">
        <f>'5.2.1.1-2 Organic Fert N2O'!I23</f>
        <v>0</v>
      </c>
      <c r="F67" s="50" cm="1">
        <f t="array" ref="F67">Fertiliser_Equations_LeachingAndRunoff.VEERG_5_5_1_1__3_MassOfNitrogenLeachedFromOrganicFertiliser(E67,$I$55, $I$56)</f>
        <v>0</v>
      </c>
    </row>
    <row r="68" spans="1:11" ht="20.100000000000001" customHeight="1" x14ac:dyDescent="0.25">
      <c r="D68" s="50">
        <f>'5.2.1.1-2 Organic Fert N2O'!D24</f>
        <v>0</v>
      </c>
      <c r="E68" s="50">
        <f>'5.2.1.1-2 Organic Fert N2O'!I24</f>
        <v>0</v>
      </c>
      <c r="F68" s="50" cm="1">
        <f t="array" ref="F68">Fertiliser_Equations_LeachingAndRunoff.VEERG_5_5_1_1__3_MassOfNitrogenLeachedFromOrganicFertiliser(E68,$I$55, $I$56)</f>
        <v>0</v>
      </c>
    </row>
    <row r="69" spans="1:11" ht="20.100000000000001" customHeight="1" x14ac:dyDescent="0.25">
      <c r="D69" s="50">
        <f>'5.2.1.1-2 Organic Fert N2O'!D25</f>
        <v>0</v>
      </c>
      <c r="E69" s="50">
        <f>'5.2.1.1-2 Organic Fert N2O'!I25</f>
        <v>0</v>
      </c>
      <c r="F69" s="50" cm="1">
        <f t="array" ref="F69">Fertiliser_Equations_LeachingAndRunoff.VEERG_5_5_1_1__3_MassOfNitrogenLeachedFromOrganicFertiliser(E69,$I$55, $I$56)</f>
        <v>0</v>
      </c>
    </row>
    <row r="70" spans="1:11" ht="20.100000000000001" customHeight="1" x14ac:dyDescent="0.25">
      <c r="D70" s="50">
        <f>'5.2.1.1-2 Organic Fert N2O'!D26</f>
        <v>0</v>
      </c>
      <c r="E70" s="50">
        <f>'5.2.1.1-2 Organic Fert N2O'!I26</f>
        <v>0</v>
      </c>
      <c r="F70" s="50" cm="1">
        <f t="array" ref="F70">Fertiliser_Equations_LeachingAndRunoff.VEERG_5_5_1_1__3_MassOfNitrogenLeachedFromOrganicFertiliser(E70,$I$55, $I$56)</f>
        <v>0</v>
      </c>
    </row>
    <row r="71" spans="1:11" ht="20.100000000000001" customHeight="1" x14ac:dyDescent="0.25">
      <c r="D71" s="50">
        <f>'5.2.1.1-2 Organic Fert N2O'!D27</f>
        <v>0</v>
      </c>
      <c r="E71" s="50">
        <f>'5.2.1.1-2 Organic Fert N2O'!I27</f>
        <v>0</v>
      </c>
      <c r="F71" s="50" cm="1">
        <f t="array" ref="F71">Fertiliser_Equations_LeachingAndRunoff.VEERG_5_5_1_1__3_MassOfNitrogenLeachedFromOrganicFertiliser(E71,$I$55, $I$56)</f>
        <v>0</v>
      </c>
    </row>
    <row r="72" spans="1:11" ht="20.100000000000001" customHeight="1" x14ac:dyDescent="0.25">
      <c r="D72" s="50">
        <f>'5.2.1.1-2 Organic Fert N2O'!D28</f>
        <v>0</v>
      </c>
      <c r="E72" s="50">
        <f>'5.2.1.1-2 Organic Fert N2O'!I28</f>
        <v>0</v>
      </c>
      <c r="F72" s="50" cm="1">
        <f t="array" ref="F72">Fertiliser_Equations_LeachingAndRunoff.VEERG_5_5_1_1__3_MassOfNitrogenLeachedFromOrganicFertiliser(E72,$I$55, $I$56)</f>
        <v>0</v>
      </c>
    </row>
    <row r="73" spans="1:11" ht="20.100000000000001" customHeight="1" x14ac:dyDescent="0.25">
      <c r="D73" s="50">
        <f>'5.2.1.1-2 Organic Fert N2O'!D29</f>
        <v>0</v>
      </c>
      <c r="E73" s="50">
        <f>'5.2.1.1-2 Organic Fert N2O'!I29</f>
        <v>0</v>
      </c>
      <c r="F73" s="50" cm="1">
        <f t="array" ref="F73">Fertiliser_Equations_LeachingAndRunoff.VEERG_5_5_1_1__3_MassOfNitrogenLeachedFromOrganicFertiliser(E73,$I$55, $I$56)</f>
        <v>0</v>
      </c>
    </row>
    <row r="74" spans="1:11" ht="20.100000000000001" customHeight="1" x14ac:dyDescent="0.25">
      <c r="D74" s="50">
        <f>'5.2.1.1-2 Organic Fert N2O'!D30</f>
        <v>0</v>
      </c>
      <c r="E74" s="50">
        <f>'5.2.1.1-2 Organic Fert N2O'!I30</f>
        <v>0</v>
      </c>
      <c r="F74" s="50" cm="1">
        <f t="array" ref="F74">Fertiliser_Equations_LeachingAndRunoff.VEERG_5_5_1_1__3_MassOfNitrogenLeachedFromOrganicFertiliser(E74,$I$55, $I$56)</f>
        <v>0</v>
      </c>
    </row>
    <row r="75" spans="1:11" ht="20.100000000000001" customHeight="1" x14ac:dyDescent="0.25"/>
    <row r="76" spans="1:11" ht="20.100000000000001" customHeight="1" x14ac:dyDescent="0.25">
      <c r="D76" s="149" t="s">
        <v>298</v>
      </c>
      <c r="E76" s="44">
        <f>SUM(F64:F74)</f>
        <v>0</v>
      </c>
      <c r="F76" s="98" t="str">
        <f>$E$52</f>
        <v>kg N</v>
      </c>
    </row>
    <row r="77" spans="1:11" ht="20.100000000000001" customHeight="1" x14ac:dyDescent="0.25"/>
    <row r="78" spans="1:11" ht="20.100000000000001" customHeight="1" x14ac:dyDescent="0.25">
      <c r="A78" s="157" t="str">
        <f>HYPERLINK("#A1", "▲ Back to top")</f>
        <v>▲ Back to top</v>
      </c>
      <c r="C78" s="166"/>
      <c r="D78" s="166"/>
      <c r="E78" s="166"/>
      <c r="F78" s="166"/>
      <c r="G78" s="166"/>
      <c r="H78" s="166"/>
      <c r="I78" s="166"/>
      <c r="J78" s="166"/>
      <c r="K78" s="166"/>
    </row>
    <row r="79" spans="1:11" ht="20.100000000000001" customHeight="1" x14ac:dyDescent="0.25"/>
    <row r="80" spans="1:11" ht="20.100000000000001" customHeight="1" x14ac:dyDescent="0.25">
      <c r="D80" s="6" t="str" cm="1">
        <f t="array" ref="D80">Fertiliser_Equations_LeachingAndRunoff.VEERG_5_5_1_1__1_FertiliserLeachingAndRunoffN2OEmissions_Title()</f>
        <v>Nitrous oxide emissions from nitrogen leaching and runoff from the application of all fertilisers across all production systems j</v>
      </c>
    </row>
    <row r="81" spans="4:10" ht="20.100000000000001" customHeight="1" x14ac:dyDescent="0.25">
      <c r="D81" s="5" t="str" cm="1">
        <f t="array" ref="D81">Fertiliser_Equations_LeachingAndRunoff.VEERG_5_5_1_1__1_FertiliserLeachingAndRunoffN2OEmissions_Source()</f>
        <v>VEERG 2026: 5.5, Equation (1)</v>
      </c>
    </row>
    <row r="82" spans="4:10" ht="20.100000000000001" customHeight="1" x14ac:dyDescent="0.25">
      <c r="D82" s="13" t="s">
        <v>22</v>
      </c>
      <c r="E82" s="13" t="str" cm="1">
        <f t="array" aca="1" ref="E82" ca="1">Common_InputFunctions.Utility_DisplayFunctionName(E93)</f>
        <v>=Fertiliser_Equations_LeachingAndRunoff.VEERG_5_5_1_1__1_FertiliserLeachingAndRunoffN2OEmissions</v>
      </c>
    </row>
    <row r="83" spans="4:10" ht="20.100000000000001" customHeight="1" x14ac:dyDescent="0.25"/>
    <row r="84" spans="4:10" ht="20.100000000000001" customHeight="1" x14ac:dyDescent="0.25"/>
    <row r="85" spans="4:10" ht="20.100000000000001" customHeight="1" x14ac:dyDescent="0.25">
      <c r="D85" s="51" t="s">
        <v>25</v>
      </c>
      <c r="E85" s="1" t="str" cm="1">
        <f t="array" ref="E85">Fertiliser_Equations_LeachingAndRunoff.VEERG_5_5_1_1__1_FertiliserLeachingAndRunoffN2OEmissions_Variable()</f>
        <v>E_fertleach</v>
      </c>
    </row>
    <row r="86" spans="4:10" ht="20.100000000000001" customHeight="1" x14ac:dyDescent="0.25">
      <c r="D86" s="51" t="s">
        <v>16</v>
      </c>
      <c r="E86" s="52" t="str" cm="1">
        <f t="array" ref="E86">Fertiliser_Equations_LeachingAndRunoff.VEERG_5_5_1_1__1_FertiliserLeachingAndRunoffN2OEmissions_Unit()</f>
        <v>t N2O</v>
      </c>
    </row>
    <row r="87" spans="4:10" ht="20.100000000000001" customHeight="1" x14ac:dyDescent="0.25"/>
    <row r="88" spans="4:10" ht="20.100000000000001" customHeight="1" x14ac:dyDescent="0.25">
      <c r="D88" s="147" t="str" cm="1">
        <f t="array" ref="D88:E91">_xlfn.CHOOSECOLS(Fertiliser_Equations_LeachingAndRunoff.VEERG_5_5_1_1__1_FertiliserLeachingAndRunoffN2OEmissions_Arguments(), 1, 2)</f>
        <v>M_leachinorganicj</v>
      </c>
      <c r="E88" s="154" t="str">
        <v>mass of nitrogen lost through leaching and runoff from inorganic fertiliser application in production system j</v>
      </c>
      <c r="F88" s="155"/>
      <c r="G88" s="153"/>
      <c r="H88" s="147" t="str" cm="1">
        <f t="array" ref="H88:I91">_xlfn.CHOOSECOLS(Fertiliser_Equations_LeachingAndRunoff.VEERG_5_5_1_1__1_FertiliserLeachingAndRunoffN2OEmissions_Arguments(), 3,4)</f>
        <v>kg N</v>
      </c>
      <c r="I88" s="119" t="str">
        <v>Calculated from 5.5.1.1 (2)</v>
      </c>
      <c r="J88" s="147">
        <f>$E$42</f>
        <v>0</v>
      </c>
    </row>
    <row r="89" spans="4:10" ht="20.100000000000001" customHeight="1" x14ac:dyDescent="0.25">
      <c r="D89" s="147" t="str">
        <v>M_leachorganicj</v>
      </c>
      <c r="E89" s="154" t="str">
        <v>mass of nitrogen lost through leaching and runoff from organic fertiliser application</v>
      </c>
      <c r="F89" s="155"/>
      <c r="G89" s="153"/>
      <c r="H89" s="147" t="str">
        <v>kg N</v>
      </c>
      <c r="I89" s="119" t="str">
        <v>Calculated from 5.5.1.1 (3)</v>
      </c>
      <c r="J89" s="147">
        <f>$E$76</f>
        <v>0</v>
      </c>
    </row>
    <row r="90" spans="4:10" ht="20.100000000000001" customHeight="1" x14ac:dyDescent="0.25">
      <c r="D90" s="147" t="str">
        <v>EF_leach</v>
      </c>
      <c r="E90" s="154" t="str">
        <v>emission factor for nitrogen leaching and runoff</v>
      </c>
      <c r="F90" s="155"/>
      <c r="G90" s="153"/>
      <c r="H90" s="147" t="str">
        <v>kg N2O-N/kg N</v>
      </c>
      <c r="I90" s="119" t="str">
        <v>Constant</v>
      </c>
      <c r="J90" s="147">
        <f>'Constants - Fertiliser'!$E$83</f>
        <v>1.0999999999999999E-2</v>
      </c>
    </row>
    <row r="91" spans="4:10" ht="20.100000000000001" customHeight="1" x14ac:dyDescent="0.25">
      <c r="D91" s="147" t="str">
        <v>C_N2O</v>
      </c>
      <c r="E91" s="154" t="str">
        <v>factor to convert elemental mass of nitrous oxide to molecular mass</v>
      </c>
      <c r="F91" s="155"/>
      <c r="G91" s="153"/>
      <c r="H91" s="147" t="str">
        <v/>
      </c>
      <c r="I91" s="119" t="str">
        <v>Constant</v>
      </c>
      <c r="J91" s="54">
        <f>Common_InputFunctions.Utility_LookupValueInTableNumber("N2O",Table_GasToMolecularConversionFactor[Gas],Table_GasToMolecularConversionFactor[Conversion factor combined])</f>
        <v>1.5714285714285714</v>
      </c>
    </row>
    <row r="92" spans="4:10" ht="20.100000000000001" customHeight="1" x14ac:dyDescent="0.25"/>
    <row r="93" spans="4:10" ht="20.100000000000001" customHeight="1" x14ac:dyDescent="0.25">
      <c r="D93" s="94" t="s">
        <v>299</v>
      </c>
      <c r="E93" s="95" cm="1">
        <f t="array" ref="E93">Fertiliser_Equations_LeachingAndRunoff.VEERG_5_5_1_1__1_FertiliserLeachingAndRunoffN2OEmissions(J88,J89,J90,J91)</f>
        <v>0</v>
      </c>
      <c r="F93" s="96" t="str">
        <f>$E$86</f>
        <v>t N2O</v>
      </c>
    </row>
    <row r="94" spans="4:10" ht="20.100000000000001" customHeight="1" x14ac:dyDescent="0.25"/>
    <row r="95" spans="4:10" ht="20.100000000000001" customHeight="1" x14ac:dyDescent="0.25">
      <c r="D95" s="54" t="str" cm="1">
        <f t="array" ref="D95:E96">Common_Equations.Common_ConvertN2OToCO2e_Arguments()</f>
        <v>EN2O</v>
      </c>
      <c r="E95" s="55" t="str">
        <v>Nitrous oxide emissions (t N2O)</v>
      </c>
      <c r="F95" s="97"/>
      <c r="G95" s="50">
        <f>E93</f>
        <v>0</v>
      </c>
    </row>
    <row r="96" spans="4:10" ht="20.100000000000001" customHeight="1" x14ac:dyDescent="0.25">
      <c r="D96" s="54" t="str">
        <v>GWPN2O</v>
      </c>
      <c r="E96" s="55" t="str">
        <v>Global warming potential for nitrous oxide (t CO2-e / t N2O)</v>
      </c>
      <c r="F96" s="97"/>
      <c r="G96" s="50">
        <f>Common_InputFunctions.Utility_LookupValueInTableNumber("N2O",Table_GWPData[Gas],Table_GWPData[CO2-e factor])</f>
        <v>265</v>
      </c>
    </row>
    <row r="97" spans="4:6" ht="20.100000000000001" customHeight="1" x14ac:dyDescent="0.25"/>
    <row r="98" spans="4:6" ht="20.100000000000001" customHeight="1" x14ac:dyDescent="0.25">
      <c r="D98" s="44" t="s">
        <v>79</v>
      </c>
      <c r="E98" s="44" cm="1">
        <f t="array" ref="E98">Common_Equations.Common_ConvertN2OToCO2e(G95,G96)</f>
        <v>0</v>
      </c>
      <c r="F98" s="98" t="str" cm="1">
        <f t="array" ref="F98">Common_Equations.Common_ConvertN2OToCO2e_Unit()</f>
        <v>t CO2e</v>
      </c>
    </row>
    <row r="99" spans="4:6" ht="20.100000000000001" customHeight="1" x14ac:dyDescent="0.25"/>
    <row r="100" spans="4:6" ht="20.100000000000001" customHeight="1" x14ac:dyDescent="0.25"/>
    <row r="101" spans="4:6" ht="20.100000000000001" customHeight="1" x14ac:dyDescent="0.25"/>
    <row r="102" spans="4:6" ht="20.100000000000001" customHeight="1" x14ac:dyDescent="0.25"/>
    <row r="103" spans="4:6" ht="20.100000000000001" customHeight="1" x14ac:dyDescent="0.25"/>
    <row r="104" spans="4:6" ht="20.100000000000001" customHeight="1" x14ac:dyDescent="0.25"/>
    <row r="105" spans="4:6" ht="20.100000000000001" customHeight="1" x14ac:dyDescent="0.25"/>
    <row r="106" spans="4:6" ht="20.100000000000001" customHeight="1" x14ac:dyDescent="0.25"/>
    <row r="107" spans="4:6" ht="20.100000000000001" customHeight="1" x14ac:dyDescent="0.25"/>
    <row r="108" spans="4:6" ht="20.100000000000001" customHeight="1" x14ac:dyDescent="0.25"/>
    <row r="109" spans="4:6" ht="20.100000000000001" customHeight="1" x14ac:dyDescent="0.25"/>
    <row r="110" spans="4:6" ht="20.100000000000001" customHeight="1" x14ac:dyDescent="0.25"/>
    <row r="111" spans="4:6" ht="20.100000000000001" customHeight="1" x14ac:dyDescent="0.25"/>
    <row r="112" spans="4:6"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84" zoomScaleNormal="100" workbookViewId="0">
      <selection activeCell="G99" sqref="G99"/>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109</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Fertiliser_SourceData.Fertiliser_ChemicalCompoundElements_Title()</f>
        <v>Common inorganic fertilisers</v>
      </c>
      <c r="E5" s="110"/>
      <c r="F5" s="110"/>
      <c r="G5" s="110"/>
      <c r="H5" s="110"/>
      <c r="I5" s="110"/>
      <c r="J5" s="110"/>
    </row>
    <row r="6" spans="1:35" ht="20.100000000000001" customHeight="1" x14ac:dyDescent="0.25">
      <c r="A6" s="16"/>
      <c r="D6" s="5"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20" t="s">
        <v>1</v>
      </c>
      <c r="D7" s="53" t="str" cm="1">
        <f t="array" ref="D7:D18">Fertiliser_SourceData.Fertiliser_ChemicalCompoundElements_Variation()</f>
        <v>VARIATION ON SOURCE</v>
      </c>
    </row>
    <row r="8" spans="1:35" ht="20.100000000000001" customHeight="1" x14ac:dyDescent="0.25">
      <c r="A8" s="17" t="str">
        <f>HYPERLINK("#'Input - Site'!A1", "Site")</f>
        <v>Site</v>
      </c>
      <c r="D8" s="53" t="str">
        <v>Added 'Basis' column to allow cross-referencing with table Table A.2.2.6: Fraction of inorganic fertiliser f that volatilises as NH3 and NOx ((kg NH3-N + NOx-N)/kg N) (FracGASFf)</v>
      </c>
    </row>
    <row r="9" spans="1:35" ht="20.100000000000001" customHeight="1" x14ac:dyDescent="0.25">
      <c r="A9" s="17" t="str">
        <f>HYPERLINK("#'Input - Fertiliser'!A1", "Fertiliser")</f>
        <v>Fertiliser</v>
      </c>
      <c r="D9" s="53" t="str">
        <v>Added extra fertiliser types and generic chemical compounds to allow for custom NPKS blends</v>
      </c>
    </row>
    <row r="10" spans="1:35" ht="20.100000000000001" customHeight="1" x14ac:dyDescent="0.25">
      <c r="A10" s="17"/>
      <c r="D10" s="53" t="str">
        <v>Added extra 'Scope 3 definition' column to allow mapping with scope 3 data</v>
      </c>
    </row>
    <row r="11" spans="1:35" ht="20.100000000000001" customHeight="1" x14ac:dyDescent="0.25">
      <c r="A11" s="19" t="s">
        <v>69</v>
      </c>
      <c r="D11" s="53" t="str">
        <v>Added 'Source' column</v>
      </c>
    </row>
    <row r="12" spans="1:35" ht="20.100000000000001" customHeight="1" x14ac:dyDescent="0.25">
      <c r="A12" s="17" t="str">
        <f>HYPERLINK("#'5.1.1.1-2 Inorganic Fert N2O'!A1", "5.1.1.1-2 Inorganic Fert N2O")</f>
        <v>5.1.1.1-2 Inorganic Fert N2O</v>
      </c>
      <c r="D12" s="53" t="str">
        <v>Combined data from Table A.2.2.3 and Table A.2.2.4 into one table to aid lookup.</v>
      </c>
    </row>
    <row r="13" spans="1:35" ht="20.100000000000001" customHeight="1" x14ac:dyDescent="0.25">
      <c r="A13" s="17" t="str">
        <f>HYPERLINK("#'5.1.1.3-4 Inorganic fert CO2'!A1", "5.1.1.3-4 Inorganic fert CO2")</f>
        <v>5.1.1.3-4 Inorganic fert CO2</v>
      </c>
      <c r="D13" s="53" t="str">
        <v>Excluded 'References' column</v>
      </c>
    </row>
    <row r="14" spans="1:35" ht="20.100000000000001" customHeight="1" x14ac:dyDescent="0.25">
      <c r="A14" s="17" t="str">
        <f>HYPERLINK("#'5.2.1.1-2 Organic Fert N2O'!A1", "5.2.1.1-2 Organic Fert N2O")</f>
        <v>5.2.1.1-2 Organic Fert N2O</v>
      </c>
      <c r="D14" s="53" t="str">
        <v>Excluded 'Ammonium sulfate' as it is a duplicate of 'Sulphate of ammonia (SOA)'</v>
      </c>
    </row>
    <row r="15" spans="1:35" ht="20.100000000000001" customHeight="1" x14ac:dyDescent="0.25">
      <c r="A15" s="17" t="str">
        <f>HYPERLINK("#'5.3.1.1-2 Lime CO2'!A1", "5.3.1.1-2 Lime CO2")</f>
        <v>5.3.1.1-2 Lime CO2</v>
      </c>
      <c r="D15" s="53" t="str">
        <v>Excluded 'Calcium nitrate' as no scope 3 value available.</v>
      </c>
    </row>
    <row r="16" spans="1:35" ht="20.100000000000001" customHeight="1" x14ac:dyDescent="0.25">
      <c r="A16" s="17" t="str">
        <f>HYPERLINK("#'5.4.1.1-4 Atmos deposition'!A1", "5.4.1.1-4 Atmos deposition")</f>
        <v>5.4.1.1-4 Atmos deposition</v>
      </c>
      <c r="D16" s="53" t="str">
        <v>Set 'Nitrogen - Generic' basis as 'Urea-based fertilisers, as urea is the most commonly used form of nitrogen in Australian fertilisers</v>
      </c>
    </row>
    <row r="17" spans="1:18" ht="20.100000000000001" customHeight="1" x14ac:dyDescent="0.25">
      <c r="A17" s="17" t="str">
        <f>HYPERLINK("#'5.5.1.1-2 Leaching and runoff'!A1", "5.5.1.1-2 Leaching and runoff")</f>
        <v>5.5.1.1-2 Leaching and runoff</v>
      </c>
      <c r="D17" s="53" t="str">
        <v>Set 'Urea-ammonium nitrate' basis as 'Urea-based fertiliser'</v>
      </c>
      <c r="K17" s="6" t="str" cm="1">
        <f t="array" ref="K17">Fertiliser_SourceData.Fertiliser_FractionNCommonFertilisers_Title()</f>
        <v>Fraction of nitrogen in common inorganic fertilisers (kgN/kg) (FNorganic,f)</v>
      </c>
      <c r="Q17" s="6" t="str" cm="1">
        <f t="array" ref="Q17">Fertiliser_SourceData.Fertiliser_FractionUreaCommonFertilisers_Title()</f>
        <v>Fraction of urea in common inorganic fertilisers (kg urea/kg) (FUf)</v>
      </c>
    </row>
    <row r="18" spans="1:18" ht="20.100000000000001" customHeight="1" x14ac:dyDescent="0.25">
      <c r="D18" s="53" t="str">
        <v>Ammonia has an FN value of 0.8235 based on (14/17)x100, where 14 is the mass of nitrogen in ammonia and 17 is the molar mass of ammonia.</v>
      </c>
      <c r="K18" s="5" t="str" cm="1">
        <f t="array" ref="K18">Fertiliser_SourceData.Fertiliser_FractionNCommonFertilisers_Source()</f>
        <v>VEERG 2026: Table A.2.2.3</v>
      </c>
      <c r="Q18" s="5" t="str" cm="1">
        <f t="array" ref="Q18">Fertiliser_SourceData.Fertiliser_FractionUreaCommonFertilisers_Source()</f>
        <v>VEERG 2026: Table A.2.2.4</v>
      </c>
    </row>
    <row r="19" spans="1:18" ht="20.100000000000001" customHeight="1" x14ac:dyDescent="0.25">
      <c r="A19" s="18" t="s">
        <v>2</v>
      </c>
      <c r="D19" t="s">
        <v>112</v>
      </c>
      <c r="E19" t="s">
        <v>128</v>
      </c>
      <c r="F19" t="s">
        <v>127</v>
      </c>
      <c r="G19" t="s">
        <v>110</v>
      </c>
      <c r="H19" t="s">
        <v>129</v>
      </c>
      <c r="I19" t="s">
        <v>111</v>
      </c>
      <c r="K19" s="37" t="s">
        <v>112</v>
      </c>
      <c r="L19" s="37" t="s">
        <v>128</v>
      </c>
      <c r="Q19" s="37" t="s">
        <v>112</v>
      </c>
      <c r="R19" s="37" t="s">
        <v>128</v>
      </c>
    </row>
    <row r="20" spans="1:18" ht="20.100000000000001" customHeight="1" x14ac:dyDescent="0.25">
      <c r="A20" s="178" t="str">
        <f>HYPERLINK("#'Constants - Fertiliser'!A1", "Constants - Fertiliser")</f>
        <v>Constants - Fertiliser</v>
      </c>
      <c r="D20" s="111" t="str" cm="1">
        <f t="array" ref="D20">Common_InputFunctions.Utility_DisplayArrayInTable(Fertiliser_SourceData.Fertiliser_ChemicalCompoundElements_Data(),Table_Fertiliser_ChemicalCompounds[[#Headers],[Fertiliser type f]], 0)</f>
        <v>Monoammonium phosphate (MAP)</v>
      </c>
      <c r="E20" s="111" cm="1">
        <f t="array" ref="E20">Common_InputFunctions.Utility_DisplayArrayInTable(Fertiliser_SourceData.Fertiliser_ChemicalCompoundElements_Data(),Table_Fertiliser_ChemicalCompounds[[#Headers],[Fertiliser type f]], 0)</f>
        <v>0.1</v>
      </c>
      <c r="F20" s="111" cm="1">
        <f t="array" ref="F20">Common_InputFunctions.Utility_DisplayArrayInTable(Fertiliser_SourceData.Fertiliser_ChemicalCompoundElements_Data(),Table_Fertiliser_ChemicalCompounds[[#Headers],[Fertiliser type f]], 0)</f>
        <v>0</v>
      </c>
      <c r="G20" s="111" t="str" cm="1">
        <f t="array" ref="G20">Common_InputFunctions.Utility_DisplayArrayInTable(Fertiliser_SourceData.Fertiliser_ChemicalCompoundElements_Data(),Table_Fertiliser_ChemicalCompounds[[#Headers],[Fertiliser type f]], 0)</f>
        <v>Ammonium-based fertilisers</v>
      </c>
      <c r="H20" s="111" t="str" cm="1">
        <f t="array" ref="H20">Common_InputFunctions.Utility_DisplayArrayInTable(Fertiliser_SourceData.Fertiliser_ChemicalCompoundElements_Data(),Table_Fertiliser_ChemicalCompounds[[#Headers],[Fertiliser type f]], 0)</f>
        <v>Monoammonium phosphate (MAP)</v>
      </c>
      <c r="I20" s="111" t="str" cm="1">
        <f t="array" ref="I20">Common_InputFunctions.Utility_DisplayArrayInTable(Fertiliser_SourceData.Fertiliser_ChemicalCompoundElements_Data(),Table_Fertiliser_ChemicalCompounds[[#Headers],[Fertiliser type f]], 0)</f>
        <v>VEERG</v>
      </c>
      <c r="K20" s="37" t="str" cm="1">
        <f t="array" ref="K20">Common_InputFunctions.Utility_DisplayArrayInTable(Fertiliser_SourceData.Fertiliser_FractionNCommonFertilisers_Data(), Table2[[#Headers],[Fertiliser type f]], 0)</f>
        <v>Monoammonium phosphate (MAP)</v>
      </c>
      <c r="L20" s="37" cm="1">
        <f t="array" ref="L20">Common_InputFunctions.Utility_DisplayArrayInTable(Fertiliser_SourceData.Fertiliser_FractionNCommonFertilisers_Data(), Table2[[#Headers],[Fertiliser type f]], 0)</f>
        <v>0.1</v>
      </c>
      <c r="Q20" s="37" t="str" cm="1">
        <f t="array" ref="Q20">Common_InputFunctions.Utility_DisplayArrayInTable(Fertiliser_SourceData.Fertiliser_FractionUreaCommonFertilisers_Data(), Table28[[#Headers],[Fertiliser type f]], 0)</f>
        <v>Monoammonium phosphate (MAP)</v>
      </c>
      <c r="R20" s="37" cm="1">
        <f t="array" ref="R20">Common_InputFunctions.Utility_DisplayArrayInTable(Fertiliser_SourceData.Fertiliser_FractionUreaCommonFertilisers_Data(), Table28[[#Headers],[Fertiliser type f]], 0)</f>
        <v>0</v>
      </c>
    </row>
    <row r="21" spans="1:18" ht="20.100000000000001" customHeight="1" x14ac:dyDescent="0.25">
      <c r="A21" s="17" t="str">
        <f>HYPERLINK("#'Constants - Common'!A1", "Constants - Common")</f>
        <v>Constants - Common</v>
      </c>
      <c r="D21" s="111" t="str" cm="1">
        <f t="array" ref="D21">Common_InputFunctions.Utility_DisplayArrayInTable(Fertiliser_SourceData.Fertiliser_ChemicalCompoundElements_Data(),Table_Fertiliser_ChemicalCompounds[[#Headers],[Fertiliser type f]], 0)</f>
        <v>Diammonium phosphate (DAP)</v>
      </c>
      <c r="E21" s="111" cm="1">
        <f t="array" ref="E21">Common_InputFunctions.Utility_DisplayArrayInTable(Fertiliser_SourceData.Fertiliser_ChemicalCompoundElements_Data(),Table_Fertiliser_ChemicalCompounds[[#Headers],[Fertiliser type f]], 0)</f>
        <v>0.18</v>
      </c>
      <c r="F21" s="111" cm="1">
        <f t="array" ref="F21">Common_InputFunctions.Utility_DisplayArrayInTable(Fertiliser_SourceData.Fertiliser_ChemicalCompoundElements_Data(),Table_Fertiliser_ChemicalCompounds[[#Headers],[Fertiliser type f]], 0)</f>
        <v>0</v>
      </c>
      <c r="G21" s="111" t="str" cm="1">
        <f t="array" ref="G21">Common_InputFunctions.Utility_DisplayArrayInTable(Fertiliser_SourceData.Fertiliser_ChemicalCompoundElements_Data(),Table_Fertiliser_ChemicalCompounds[[#Headers],[Fertiliser type f]], 0)</f>
        <v>Ammonium-based fertilisers</v>
      </c>
      <c r="H21" s="111" t="str" cm="1">
        <f t="array" ref="H21">Common_InputFunctions.Utility_DisplayArrayInTable(Fertiliser_SourceData.Fertiliser_ChemicalCompoundElements_Data(),Table_Fertiliser_ChemicalCompounds[[#Headers],[Fertiliser type f]], 0)</f>
        <v>Diammonium phosphate (DAP)</v>
      </c>
      <c r="I21" s="111" t="str" cm="1">
        <f t="array" ref="I21">Common_InputFunctions.Utility_DisplayArrayInTable(Fertiliser_SourceData.Fertiliser_ChemicalCompoundElements_Data(),Table_Fertiliser_ChemicalCompounds[[#Headers],[Fertiliser type f]], 0)</f>
        <v>VEERG</v>
      </c>
      <c r="K21" s="37" t="str" cm="1">
        <f t="array" ref="K21">Common_InputFunctions.Utility_DisplayArrayInTable(Fertiliser_SourceData.Fertiliser_FractionNCommonFertilisers_Data(), Table2[[#Headers],[Fertiliser type f]], 0)</f>
        <v>Diammonium phosphate (DAP)</v>
      </c>
      <c r="L21" s="37" cm="1">
        <f t="array" ref="L21">Common_InputFunctions.Utility_DisplayArrayInTable(Fertiliser_SourceData.Fertiliser_FractionNCommonFertilisers_Data(), Table2[[#Headers],[Fertiliser type f]], 0)</f>
        <v>0.18</v>
      </c>
      <c r="Q21" s="37" t="str" cm="1">
        <f t="array" ref="Q21">Common_InputFunctions.Utility_DisplayArrayInTable(Fertiliser_SourceData.Fertiliser_FractionUreaCommonFertilisers_Data(), Table28[[#Headers],[Fertiliser type f]], 0)</f>
        <v>Diammonium phosphate (DAP)</v>
      </c>
      <c r="R21" s="37" cm="1">
        <f t="array" ref="R21">Common_InputFunctions.Utility_DisplayArrayInTable(Fertiliser_SourceData.Fertiliser_FractionUreaCommonFertilisers_Data(), Table28[[#Headers],[Fertiliser type f]], 0)</f>
        <v>0</v>
      </c>
    </row>
    <row r="22" spans="1:18" ht="20.100000000000001" customHeight="1" x14ac:dyDescent="0.25">
      <c r="D22" s="111" t="str" cm="1">
        <f t="array" ref="D22">Common_InputFunctions.Utility_DisplayArrayInTable(Fertiliser_SourceData.Fertiliser_ChemicalCompoundElements_Data(),Table_Fertiliser_ChemicalCompounds[[#Headers],[Fertiliser type f]], 0)</f>
        <v>Urea</v>
      </c>
      <c r="E22" s="111" cm="1">
        <f t="array" ref="E22">Common_InputFunctions.Utility_DisplayArrayInTable(Fertiliser_SourceData.Fertiliser_ChemicalCompoundElements_Data(),Table_Fertiliser_ChemicalCompounds[[#Headers],[Fertiliser type f]], 0)</f>
        <v>0.46</v>
      </c>
      <c r="F22" s="111" cm="1">
        <f t="array" ref="F22">Common_InputFunctions.Utility_DisplayArrayInTable(Fertiliser_SourceData.Fertiliser_ChemicalCompoundElements_Data(),Table_Fertiliser_ChemicalCompounds[[#Headers],[Fertiliser type f]], 0)</f>
        <v>1</v>
      </c>
      <c r="G22" s="111" t="str" cm="1">
        <f t="array" ref="G22">Common_InputFunctions.Utility_DisplayArrayInTable(Fertiliser_SourceData.Fertiliser_ChemicalCompoundElements_Data(),Table_Fertiliser_ChemicalCompounds[[#Headers],[Fertiliser type f]], 0)</f>
        <v>Urea-based fertilisers</v>
      </c>
      <c r="H22" s="111" t="str" cm="1">
        <f t="array" ref="H22">Common_InputFunctions.Utility_DisplayArrayInTable(Fertiliser_SourceData.Fertiliser_ChemicalCompoundElements_Data(),Table_Fertiliser_ChemicalCompounds[[#Headers],[Fertiliser type f]], 0)</f>
        <v>Urea</v>
      </c>
      <c r="I22" s="111" t="str" cm="1">
        <f t="array" ref="I22">Common_InputFunctions.Utility_DisplayArrayInTable(Fertiliser_SourceData.Fertiliser_ChemicalCompoundElements_Data(),Table_Fertiliser_ChemicalCompounds[[#Headers],[Fertiliser type f]], 0)</f>
        <v>VEERG</v>
      </c>
      <c r="K22" s="37" t="str" cm="1">
        <f t="array" ref="K22">Common_InputFunctions.Utility_DisplayArrayInTable(Fertiliser_SourceData.Fertiliser_FractionNCommonFertilisers_Data(), Table2[[#Headers],[Fertiliser type f]], 0)</f>
        <v>Urea</v>
      </c>
      <c r="L22" s="37" cm="1">
        <f t="array" ref="L22">Common_InputFunctions.Utility_DisplayArrayInTable(Fertiliser_SourceData.Fertiliser_FractionNCommonFertilisers_Data(), Table2[[#Headers],[Fertiliser type f]], 0)</f>
        <v>0.46</v>
      </c>
      <c r="Q22" s="37" t="str" cm="1">
        <f t="array" ref="Q22">Common_InputFunctions.Utility_DisplayArrayInTable(Fertiliser_SourceData.Fertiliser_FractionUreaCommonFertilisers_Data(), Table28[[#Headers],[Fertiliser type f]], 0)</f>
        <v>Urea</v>
      </c>
      <c r="R22" s="37" cm="1">
        <f t="array" ref="R22">Common_InputFunctions.Utility_DisplayArrayInTable(Fertiliser_SourceData.Fertiliser_FractionUreaCommonFertilisers_Data(), Table28[[#Headers],[Fertiliser type f]], 0)</f>
        <v>1</v>
      </c>
    </row>
    <row r="23" spans="1:18" ht="20.100000000000001" customHeight="1" x14ac:dyDescent="0.25">
      <c r="A23" s="17"/>
      <c r="D23" s="111" t="str" cm="1">
        <f t="array" ref="D23">Common_InputFunctions.Utility_DisplayArrayInTable(Fertiliser_SourceData.Fertiliser_ChemicalCompoundElements_Data(),Table_Fertiliser_ChemicalCompounds[[#Headers],[Fertiliser type f]], 0)</f>
        <v>Sulphate of ammonia (SOA)</v>
      </c>
      <c r="E23" s="111" cm="1">
        <f t="array" ref="E23">Common_InputFunctions.Utility_DisplayArrayInTable(Fertiliser_SourceData.Fertiliser_ChemicalCompoundElements_Data(),Table_Fertiliser_ChemicalCompounds[[#Headers],[Fertiliser type f]], 0)</f>
        <v>0.21</v>
      </c>
      <c r="F23" s="111" cm="1">
        <f t="array" ref="F23">Common_InputFunctions.Utility_DisplayArrayInTable(Fertiliser_SourceData.Fertiliser_ChemicalCompoundElements_Data(),Table_Fertiliser_ChemicalCompounds[[#Headers],[Fertiliser type f]], 0)</f>
        <v>0</v>
      </c>
      <c r="G23" s="111" t="str" cm="1">
        <f t="array" ref="G23">Common_InputFunctions.Utility_DisplayArrayInTable(Fertiliser_SourceData.Fertiliser_ChemicalCompoundElements_Data(),Table_Fertiliser_ChemicalCompounds[[#Headers],[Fertiliser type f]], 0)</f>
        <v>Ammonium-based fertilisers</v>
      </c>
      <c r="H23" s="111" t="str" cm="1">
        <f t="array" ref="H23">Common_InputFunctions.Utility_DisplayArrayInTable(Fertiliser_SourceData.Fertiliser_ChemicalCompoundElements_Data(),Table_Fertiliser_ChemicalCompounds[[#Headers],[Fertiliser type f]], 0)</f>
        <v>Sulphate of ammonia (SOA)</v>
      </c>
      <c r="I23" s="111" t="str" cm="1">
        <f t="array" ref="I23">Common_InputFunctions.Utility_DisplayArrayInTable(Fertiliser_SourceData.Fertiliser_ChemicalCompoundElements_Data(),Table_Fertiliser_ChemicalCompounds[[#Headers],[Fertiliser type f]], 0)</f>
        <v>VEERG</v>
      </c>
      <c r="K23" s="37" t="str" cm="1">
        <f t="array" ref="K23">Common_InputFunctions.Utility_DisplayArrayInTable(Fertiliser_SourceData.Fertiliser_FractionNCommonFertilisers_Data(), Table2[[#Headers],[Fertiliser type f]], 0)</f>
        <v>Sulphate of ammonia (SOA)</v>
      </c>
      <c r="L23" s="37" cm="1">
        <f t="array" ref="L23">Common_InputFunctions.Utility_DisplayArrayInTable(Fertiliser_SourceData.Fertiliser_FractionNCommonFertilisers_Data(), Table2[[#Headers],[Fertiliser type f]], 0)</f>
        <v>0.21</v>
      </c>
      <c r="Q23" s="37" t="str" cm="1">
        <f t="array" ref="Q23">Common_InputFunctions.Utility_DisplayArrayInTable(Fertiliser_SourceData.Fertiliser_FractionUreaCommonFertilisers_Data(), Table28[[#Headers],[Fertiliser type f]], 0)</f>
        <v>Sulphate of ammonia (SOA)</v>
      </c>
      <c r="R23" s="37" cm="1">
        <f t="array" ref="R23">Common_InputFunctions.Utility_DisplayArrayInTable(Fertiliser_SourceData.Fertiliser_FractionUreaCommonFertilisers_Data(), Table28[[#Headers],[Fertiliser type f]], 0)</f>
        <v>0</v>
      </c>
    </row>
    <row r="24" spans="1:18" ht="20.100000000000001" customHeight="1" x14ac:dyDescent="0.25">
      <c r="D24" s="111" t="str" cm="1">
        <f t="array" ref="D24">Common_InputFunctions.Utility_DisplayArrayInTable(Fertiliser_SourceData.Fertiliser_ChemicalCompoundElements_Data(),Table_Fertiliser_ChemicalCompounds[[#Headers],[Fertiliser type f]], 0)</f>
        <v>Urea-ammonium nitrate (UAN)</v>
      </c>
      <c r="E24" s="111" cm="1">
        <f t="array" ref="E24">Common_InputFunctions.Utility_DisplayArrayInTable(Fertiliser_SourceData.Fertiliser_ChemicalCompoundElements_Data(),Table_Fertiliser_ChemicalCompounds[[#Headers],[Fertiliser type f]], 0)</f>
        <v>0.32</v>
      </c>
      <c r="F24" s="111" cm="1">
        <f t="array" ref="F24">Common_InputFunctions.Utility_DisplayArrayInTable(Fertiliser_SourceData.Fertiliser_ChemicalCompoundElements_Data(),Table_Fertiliser_ChemicalCompounds[[#Headers],[Fertiliser type f]], 0)</f>
        <v>0.35</v>
      </c>
      <c r="G24" s="111" t="str" cm="1">
        <f t="array" ref="G24">Common_InputFunctions.Utility_DisplayArrayInTable(Fertiliser_SourceData.Fertiliser_ChemicalCompoundElements_Data(),Table_Fertiliser_ChemicalCompounds[[#Headers],[Fertiliser type f]], 0)</f>
        <v>Urea-based fertilisers</v>
      </c>
      <c r="H24" s="111" t="str" cm="1">
        <f t="array" ref="H24">Common_InputFunctions.Utility_DisplayArrayInTable(Fertiliser_SourceData.Fertiliser_ChemicalCompoundElements_Data(),Table_Fertiliser_ChemicalCompounds[[#Headers],[Fertiliser type f]], 0)</f>
        <v>Urea-ammonium nitrate (UAN)</v>
      </c>
      <c r="I24" s="111" t="str" cm="1">
        <f t="array" ref="I24">Common_InputFunctions.Utility_DisplayArrayInTable(Fertiliser_SourceData.Fertiliser_ChemicalCompoundElements_Data(),Table_Fertiliser_ChemicalCompounds[[#Headers],[Fertiliser type f]], 0)</f>
        <v>VEERG</v>
      </c>
      <c r="K24" s="37" t="str" cm="1">
        <f t="array" ref="K24">Common_InputFunctions.Utility_DisplayArrayInTable(Fertiliser_SourceData.Fertiliser_FractionNCommonFertilisers_Data(), Table2[[#Headers],[Fertiliser type f]], 0)</f>
        <v>Urea-ammonium nitrate (UAN)</v>
      </c>
      <c r="L24" s="37" cm="1">
        <f t="array" ref="L24">Common_InputFunctions.Utility_DisplayArrayInTable(Fertiliser_SourceData.Fertiliser_FractionNCommonFertilisers_Data(), Table2[[#Headers],[Fertiliser type f]], 0)</f>
        <v>0.32</v>
      </c>
      <c r="Q24" s="37" t="str" cm="1">
        <f t="array" ref="Q24">Common_InputFunctions.Utility_DisplayArrayInTable(Fertiliser_SourceData.Fertiliser_FractionUreaCommonFertilisers_Data(), Table28[[#Headers],[Fertiliser type f]], 0)</f>
        <v>Urea-ammonium nitrate (UAN)</v>
      </c>
      <c r="R24" s="37" cm="1">
        <f t="array" ref="R24">Common_InputFunctions.Utility_DisplayArrayInTable(Fertiliser_SourceData.Fertiliser_FractionUreaCommonFertilisers_Data(), Table28[[#Headers],[Fertiliser type f]], 0)</f>
        <v>0.35</v>
      </c>
    </row>
    <row r="25" spans="1:18" ht="20.100000000000001" customHeight="1" x14ac:dyDescent="0.25">
      <c r="D25" s="111" t="str" cm="1">
        <f t="array" ref="D25">Common_InputFunctions.Utility_DisplayArrayInTable(Fertiliser_SourceData.Fertiliser_ChemicalCompoundElements_Data(),Table_Fertiliser_ChemicalCompounds[[#Headers],[Fertiliser type f]], 0)</f>
        <v>Ammonium nitrate (AN)</v>
      </c>
      <c r="E25" s="111" cm="1">
        <f t="array" ref="E25">Common_InputFunctions.Utility_DisplayArrayInTable(Fertiliser_SourceData.Fertiliser_ChemicalCompoundElements_Data(),Table_Fertiliser_ChemicalCompounds[[#Headers],[Fertiliser type f]], 0)</f>
        <v>0.33700000000000002</v>
      </c>
      <c r="F25" s="111" cm="1">
        <f t="array" ref="F25">Common_InputFunctions.Utility_DisplayArrayInTable(Fertiliser_SourceData.Fertiliser_ChemicalCompoundElements_Data(),Table_Fertiliser_ChemicalCompounds[[#Headers],[Fertiliser type f]], 0)</f>
        <v>0</v>
      </c>
      <c r="G25" s="111" t="str" cm="1">
        <f t="array" ref="G25">Common_InputFunctions.Utility_DisplayArrayInTable(Fertiliser_SourceData.Fertiliser_ChemicalCompoundElements_Data(),Table_Fertiliser_ChemicalCompounds[[#Headers],[Fertiliser type f]], 0)</f>
        <v>Ammonium-nitrate based fertilisers</v>
      </c>
      <c r="H25" s="111" t="str" cm="1">
        <f t="array" ref="H25">Common_InputFunctions.Utility_DisplayArrayInTable(Fertiliser_SourceData.Fertiliser_ChemicalCompoundElements_Data(),Table_Fertiliser_ChemicalCompounds[[#Headers],[Fertiliser type f]], 0)</f>
        <v>Ammonium nitrate (AN)</v>
      </c>
      <c r="I25" s="111" t="str" cm="1">
        <f t="array" ref="I25">Common_InputFunctions.Utility_DisplayArrayInTable(Fertiliser_SourceData.Fertiliser_ChemicalCompoundElements_Data(),Table_Fertiliser_ChemicalCompounds[[#Headers],[Fertiliser type f]], 0)</f>
        <v>VEERG</v>
      </c>
      <c r="K25" s="37" t="str" cm="1">
        <f t="array" ref="K25">Common_InputFunctions.Utility_DisplayArrayInTable(Fertiliser_SourceData.Fertiliser_FractionNCommonFertilisers_Data(), Table2[[#Headers],[Fertiliser type f]], 0)</f>
        <v>Ammonium nitrate (AN)</v>
      </c>
      <c r="L25" s="37" cm="1">
        <f t="array" ref="L25">Common_InputFunctions.Utility_DisplayArrayInTable(Fertiliser_SourceData.Fertiliser_FractionNCommonFertilisers_Data(), Table2[[#Headers],[Fertiliser type f]], 0)</f>
        <v>0.33700000000000002</v>
      </c>
      <c r="Q25" s="37" t="str" cm="1">
        <f t="array" ref="Q25">Common_InputFunctions.Utility_DisplayArrayInTable(Fertiliser_SourceData.Fertiliser_FractionUreaCommonFertilisers_Data(), Table28[[#Headers],[Fertiliser type f]], 0)</f>
        <v>Ammonium nitrate (AN)</v>
      </c>
      <c r="R25" s="37" cm="1">
        <f t="array" ref="R25">Common_InputFunctions.Utility_DisplayArrayInTable(Fertiliser_SourceData.Fertiliser_FractionUreaCommonFertilisers_Data(), Table28[[#Headers],[Fertiliser type f]], 0)</f>
        <v>0</v>
      </c>
    </row>
    <row r="26" spans="1:18" ht="20.100000000000001" customHeight="1" x14ac:dyDescent="0.25">
      <c r="D26" s="111" t="str" cm="1">
        <f t="array" ref="D26">Common_InputFunctions.Utility_DisplayArrayInTable(Fertiliser_SourceData.Fertiliser_ChemicalCompoundElements_Data(),Table_Fertiliser_ChemicalCompounds[[#Headers],[Fertiliser type f]], 0)</f>
        <v>Calcium ammonium nitrate (CAN)</v>
      </c>
      <c r="E26" s="111" cm="1">
        <f t="array" ref="E26">Common_InputFunctions.Utility_DisplayArrayInTable(Fertiliser_SourceData.Fertiliser_ChemicalCompoundElements_Data(),Table_Fertiliser_ChemicalCompounds[[#Headers],[Fertiliser type f]], 0)</f>
        <v>0.27</v>
      </c>
      <c r="F26" s="111" cm="1">
        <f t="array" ref="F26">Common_InputFunctions.Utility_DisplayArrayInTable(Fertiliser_SourceData.Fertiliser_ChemicalCompoundElements_Data(),Table_Fertiliser_ChemicalCompounds[[#Headers],[Fertiliser type f]], 0)</f>
        <v>0</v>
      </c>
      <c r="G26" s="111" t="str" cm="1">
        <f t="array" ref="G26">Common_InputFunctions.Utility_DisplayArrayInTable(Fertiliser_SourceData.Fertiliser_ChemicalCompoundElements_Data(),Table_Fertiliser_ChemicalCompounds[[#Headers],[Fertiliser type f]], 0)</f>
        <v>Ammonium-nitrate based fertilisers</v>
      </c>
      <c r="H26" s="111" t="str" cm="1">
        <f t="array" ref="H26">Common_InputFunctions.Utility_DisplayArrayInTable(Fertiliser_SourceData.Fertiliser_ChemicalCompoundElements_Data(),Table_Fertiliser_ChemicalCompounds[[#Headers],[Fertiliser type f]], 0)</f>
        <v>Calcium ammonium nitrate (CAN)</v>
      </c>
      <c r="I26" s="111" t="str" cm="1">
        <f t="array" ref="I26">Common_InputFunctions.Utility_DisplayArrayInTable(Fertiliser_SourceData.Fertiliser_ChemicalCompoundElements_Data(),Table_Fertiliser_ChemicalCompounds[[#Headers],[Fertiliser type f]], 0)</f>
        <v>VEERG</v>
      </c>
      <c r="K26" s="37" t="str" cm="1">
        <f t="array" ref="K26">Common_InputFunctions.Utility_DisplayArrayInTable(Fertiliser_SourceData.Fertiliser_FractionNCommonFertilisers_Data(), Table2[[#Headers],[Fertiliser type f]], 0)</f>
        <v>Calcium ammonium nitrate (CAN)</v>
      </c>
      <c r="L26" s="37" cm="1">
        <f t="array" ref="L26">Common_InputFunctions.Utility_DisplayArrayInTable(Fertiliser_SourceData.Fertiliser_FractionNCommonFertilisers_Data(), Table2[[#Headers],[Fertiliser type f]], 0)</f>
        <v>0.27</v>
      </c>
      <c r="Q26" s="37" t="str" cm="1">
        <f t="array" ref="Q26">Common_InputFunctions.Utility_DisplayArrayInTable(Fertiliser_SourceData.Fertiliser_FractionUreaCommonFertilisers_Data(), Table28[[#Headers],[Fertiliser type f]], 0)</f>
        <v>Calcium ammonium nitrate (CAN)</v>
      </c>
      <c r="R26" s="37" cm="1">
        <f t="array" ref="R26">Common_InputFunctions.Utility_DisplayArrayInTable(Fertiliser_SourceData.Fertiliser_FractionUreaCommonFertilisers_Data(), Table28[[#Headers],[Fertiliser type f]], 0)</f>
        <v>0</v>
      </c>
    </row>
    <row r="27" spans="1:18" ht="20.100000000000001" customHeight="1" x14ac:dyDescent="0.25">
      <c r="D27" s="111" t="str" cm="1">
        <f t="array" ref="D27">Common_InputFunctions.Utility_DisplayArrayInTable(Fertiliser_SourceData.Fertiliser_ChemicalCompoundElements_Data(),Table_Fertiliser_ChemicalCompounds[[#Headers],[Fertiliser type f]], 0)</f>
        <v>Nitrogen - Ammoniacal</v>
      </c>
      <c r="E27" s="111" cm="1">
        <f t="array" ref="E27">Common_InputFunctions.Utility_DisplayArrayInTable(Fertiliser_SourceData.Fertiliser_ChemicalCompoundElements_Data(),Table_Fertiliser_ChemicalCompounds[[#Headers],[Fertiliser type f]], 0)</f>
        <v>1</v>
      </c>
      <c r="F27" s="111" cm="1">
        <f t="array" ref="F27">Common_InputFunctions.Utility_DisplayArrayInTable(Fertiliser_SourceData.Fertiliser_ChemicalCompoundElements_Data(),Table_Fertiliser_ChemicalCompounds[[#Headers],[Fertiliser type f]], 0)</f>
        <v>0</v>
      </c>
      <c r="G27" s="111" t="str" cm="1">
        <f t="array" ref="G27">Common_InputFunctions.Utility_DisplayArrayInTable(Fertiliser_SourceData.Fertiliser_ChemicalCompoundElements_Data(),Table_Fertiliser_ChemicalCompounds[[#Headers],[Fertiliser type f]], 0)</f>
        <v>Ammonium-based fertilisers</v>
      </c>
      <c r="H27" s="111" t="str" cm="1">
        <f t="array" ref="H27">Common_InputFunctions.Utility_DisplayArrayInTable(Fertiliser_SourceData.Fertiliser_ChemicalCompoundElements_Data(),Table_Fertiliser_ChemicalCompounds[[#Headers],[Fertiliser type f]], 0)</f>
        <v>Nitrogen - Ammoniacal</v>
      </c>
      <c r="I27" s="111" t="str" cm="1">
        <f t="array" ref="I27">Common_InputFunctions.Utility_DisplayArrayInTable(Fertiliser_SourceData.Fertiliser_ChemicalCompoundElements_Data(),Table_Fertiliser_ChemicalCompounds[[#Headers],[Fertiliser type f]], 0)</f>
        <v>LifeCycles</v>
      </c>
      <c r="K27" s="37" t="str" cm="1">
        <f t="array" ref="K27">Common_InputFunctions.Utility_DisplayArrayInTable(Fertiliser_SourceData.Fertiliser_FractionNCommonFertilisers_Data(), Table2[[#Headers],[Fertiliser type f]], 0)</f>
        <v>Ammonium Sulfate</v>
      </c>
      <c r="L27" s="37" cm="1">
        <f t="array" ref="L27">Common_InputFunctions.Utility_DisplayArrayInTable(Fertiliser_SourceData.Fertiliser_FractionNCommonFertilisers_Data(), Table2[[#Headers],[Fertiliser type f]], 0)</f>
        <v>0.21</v>
      </c>
      <c r="Q27" s="37" t="str" cm="1">
        <f t="array" ref="Q27">Common_InputFunctions.Utility_DisplayArrayInTable(Fertiliser_SourceData.Fertiliser_FractionUreaCommonFertilisers_Data(), Table28[[#Headers],[Fertiliser type f]], 0)</f>
        <v>Ammonium Sulfate</v>
      </c>
      <c r="R27" s="37" cm="1">
        <f t="array" ref="R27">Common_InputFunctions.Utility_DisplayArrayInTable(Fertiliser_SourceData.Fertiliser_FractionUreaCommonFertilisers_Data(), Table28[[#Headers],[Fertiliser type f]], 0)</f>
        <v>0</v>
      </c>
    </row>
    <row r="28" spans="1:18" ht="20.100000000000001" customHeight="1" x14ac:dyDescent="0.25">
      <c r="D28" s="111" t="str" cm="1">
        <f t="array" ref="D28">Common_InputFunctions.Utility_DisplayArrayInTable(Fertiliser_SourceData.Fertiliser_ChemicalCompoundElements_Data(),Table_Fertiliser_ChemicalCompounds[[#Headers],[Fertiliser type f]], 0)</f>
        <v>Nitrogen - Nitrate</v>
      </c>
      <c r="E28" s="111" cm="1">
        <f t="array" ref="E28">Common_InputFunctions.Utility_DisplayArrayInTable(Fertiliser_SourceData.Fertiliser_ChemicalCompoundElements_Data(),Table_Fertiliser_ChemicalCompounds[[#Headers],[Fertiliser type f]], 0)</f>
        <v>1</v>
      </c>
      <c r="F28" s="111" cm="1">
        <f t="array" ref="F28">Common_InputFunctions.Utility_DisplayArrayInTable(Fertiliser_SourceData.Fertiliser_ChemicalCompoundElements_Data(),Table_Fertiliser_ChemicalCompounds[[#Headers],[Fertiliser type f]], 0)</f>
        <v>0</v>
      </c>
      <c r="G28" s="111" t="str" cm="1">
        <f t="array" ref="G28">Common_InputFunctions.Utility_DisplayArrayInTable(Fertiliser_SourceData.Fertiliser_ChemicalCompoundElements_Data(),Table_Fertiliser_ChemicalCompounds[[#Headers],[Fertiliser type f]], 0)</f>
        <v>Nitrate-based fertilisers</v>
      </c>
      <c r="H28" s="111" t="str" cm="1">
        <f t="array" ref="H28">Common_InputFunctions.Utility_DisplayArrayInTable(Fertiliser_SourceData.Fertiliser_ChemicalCompoundElements_Data(),Table_Fertiliser_ChemicalCompounds[[#Headers],[Fertiliser type f]], 0)</f>
        <v>Nitrogen from Nitrate</v>
      </c>
      <c r="I28" s="111" t="str" cm="1">
        <f t="array" ref="I28">Common_InputFunctions.Utility_DisplayArrayInTable(Fertiliser_SourceData.Fertiliser_ChemicalCompoundElements_Data(),Table_Fertiliser_ChemicalCompounds[[#Headers],[Fertiliser type f]], 0)</f>
        <v>LifeCycles</v>
      </c>
      <c r="K28" s="37" t="str" cm="1">
        <f t="array" ref="K28">Common_InputFunctions.Utility_DisplayArrayInTable(Fertiliser_SourceData.Fertiliser_FractionNCommonFertilisers_Data(), Table2[[#Headers],[Fertiliser type f]], 0)</f>
        <v>Calcium Nitrate</v>
      </c>
      <c r="L28" s="37" cm="1">
        <f t="array" ref="L28">Common_InputFunctions.Utility_DisplayArrayInTable(Fertiliser_SourceData.Fertiliser_FractionNCommonFertilisers_Data(), Table2[[#Headers],[Fertiliser type f]], 0)</f>
        <v>0.155</v>
      </c>
      <c r="Q28" s="37" t="str" cm="1">
        <f t="array" ref="Q28">Common_InputFunctions.Utility_DisplayArrayInTable(Fertiliser_SourceData.Fertiliser_FractionUreaCommonFertilisers_Data(), Table28[[#Headers],[Fertiliser type f]], 0)</f>
        <v>Calcium Nitrate</v>
      </c>
      <c r="R28" s="37" cm="1">
        <f t="array" ref="R28">Common_InputFunctions.Utility_DisplayArrayInTable(Fertiliser_SourceData.Fertiliser_FractionUreaCommonFertilisers_Data(), Table28[[#Headers],[Fertiliser type f]], 0)</f>
        <v>0</v>
      </c>
    </row>
    <row r="29" spans="1:18" ht="20.100000000000001" customHeight="1" x14ac:dyDescent="0.25">
      <c r="D29" s="111" t="str" cm="1">
        <f t="array" ref="D29">Common_InputFunctions.Utility_DisplayArrayInTable(Fertiliser_SourceData.Fertiliser_ChemicalCompoundElements_Data(),Table_Fertiliser_ChemicalCompounds[[#Headers],[Fertiliser type f]], 0)</f>
        <v>Nitrogen - Generic</v>
      </c>
      <c r="E29" s="111" cm="1">
        <f t="array" ref="E29">Common_InputFunctions.Utility_DisplayArrayInTable(Fertiliser_SourceData.Fertiliser_ChemicalCompoundElements_Data(),Table_Fertiliser_ChemicalCompounds[[#Headers],[Fertiliser type f]], 0)</f>
        <v>1</v>
      </c>
      <c r="F29" s="111" cm="1">
        <f t="array" ref="F29">Common_InputFunctions.Utility_DisplayArrayInTable(Fertiliser_SourceData.Fertiliser_ChemicalCompoundElements_Data(),Table_Fertiliser_ChemicalCompounds[[#Headers],[Fertiliser type f]], 0)</f>
        <v>0</v>
      </c>
      <c r="G29" s="111" t="str" cm="1">
        <f t="array" ref="G29">Common_InputFunctions.Utility_DisplayArrayInTable(Fertiliser_SourceData.Fertiliser_ChemicalCompoundElements_Data(),Table_Fertiliser_ChemicalCompounds[[#Headers],[Fertiliser type f]], 0)</f>
        <v>Urea-based fertilisers</v>
      </c>
      <c r="H29" s="111" t="str" cm="1">
        <f t="array" ref="H29">Common_InputFunctions.Utility_DisplayArrayInTable(Fertiliser_SourceData.Fertiliser_ChemicalCompoundElements_Data(),Table_Fertiliser_ChemicalCompounds[[#Headers],[Fertiliser type f]], 0)</f>
        <v>Nitrogen from fertiliser</v>
      </c>
      <c r="I29" s="111" t="str" cm="1">
        <f t="array" ref="I29">Common_InputFunctions.Utility_DisplayArrayInTable(Fertiliser_SourceData.Fertiliser_ChemicalCompoundElements_Data(),Table_Fertiliser_ChemicalCompounds[[#Headers],[Fertiliser type f]], 0)</f>
        <v>LifeCycles</v>
      </c>
    </row>
    <row r="30" spans="1:18" ht="20.100000000000001" customHeight="1" x14ac:dyDescent="0.25">
      <c r="D30" s="111" t="str" cm="1">
        <f t="array" ref="D30">Common_InputFunctions.Utility_DisplayArrayInTable(Fertiliser_SourceData.Fertiliser_ChemicalCompoundElements_Data(),Table_Fertiliser_ChemicalCompounds[[#Headers],[Fertiliser type f]], 0)</f>
        <v>Phosphorus - Generic</v>
      </c>
      <c r="E30" s="111" cm="1">
        <f t="array" ref="E30">Common_InputFunctions.Utility_DisplayArrayInTable(Fertiliser_SourceData.Fertiliser_ChemicalCompoundElements_Data(),Table_Fertiliser_ChemicalCompounds[[#Headers],[Fertiliser type f]], 0)</f>
        <v>0</v>
      </c>
      <c r="F30" s="111" cm="1">
        <f t="array" ref="F30">Common_InputFunctions.Utility_DisplayArrayInTable(Fertiliser_SourceData.Fertiliser_ChemicalCompoundElements_Data(),Table_Fertiliser_ChemicalCompounds[[#Headers],[Fertiliser type f]], 0)</f>
        <v>0</v>
      </c>
      <c r="G30" s="111" t="str" cm="1">
        <f t="array" ref="G30">Common_InputFunctions.Utility_DisplayArrayInTable(Fertiliser_SourceData.Fertiliser_ChemicalCompoundElements_Data(),Table_Fertiliser_ChemicalCompounds[[#Headers],[Fertiliser type f]], 0)</f>
        <v>Other fertilisers</v>
      </c>
      <c r="H30" s="111" t="str" cm="1">
        <f t="array" ref="H30">Common_InputFunctions.Utility_DisplayArrayInTable(Fertiliser_SourceData.Fertiliser_ChemicalCompoundElements_Data(),Table_Fertiliser_ChemicalCompounds[[#Headers],[Fertiliser type f]], 0)</f>
        <v>Phosphorus from fertiliser</v>
      </c>
      <c r="I30" s="111" t="str" cm="1">
        <f t="array" ref="I30">Common_InputFunctions.Utility_DisplayArrayInTable(Fertiliser_SourceData.Fertiliser_ChemicalCompoundElements_Data(),Table_Fertiliser_ChemicalCompounds[[#Headers],[Fertiliser type f]], 0)</f>
        <v>LifeCycles</v>
      </c>
    </row>
    <row r="31" spans="1:18" ht="20.100000000000001" customHeight="1" x14ac:dyDescent="0.25">
      <c r="D31" s="111" t="str" cm="1">
        <f t="array" ref="D31">Common_InputFunctions.Utility_DisplayArrayInTable(Fertiliser_SourceData.Fertiliser_ChemicalCompoundElements_Data(),Table_Fertiliser_ChemicalCompounds[[#Headers],[Fertiliser type f]], 0)</f>
        <v>Potassium - Generic</v>
      </c>
      <c r="E31" s="111" cm="1">
        <f t="array" ref="E31">Common_InputFunctions.Utility_DisplayArrayInTable(Fertiliser_SourceData.Fertiliser_ChemicalCompoundElements_Data(),Table_Fertiliser_ChemicalCompounds[[#Headers],[Fertiliser type f]], 0)</f>
        <v>0</v>
      </c>
      <c r="F31" s="111" cm="1">
        <f t="array" ref="F31">Common_InputFunctions.Utility_DisplayArrayInTable(Fertiliser_SourceData.Fertiliser_ChemicalCompoundElements_Data(),Table_Fertiliser_ChemicalCompounds[[#Headers],[Fertiliser type f]], 0)</f>
        <v>0</v>
      </c>
      <c r="G31" s="111" t="str" cm="1">
        <f t="array" ref="G31">Common_InputFunctions.Utility_DisplayArrayInTable(Fertiliser_SourceData.Fertiliser_ChemicalCompoundElements_Data(),Table_Fertiliser_ChemicalCompounds[[#Headers],[Fertiliser type f]], 0)</f>
        <v>Other fertilisers</v>
      </c>
      <c r="H31" s="111" t="str" cm="1">
        <f t="array" ref="H31">Common_InputFunctions.Utility_DisplayArrayInTable(Fertiliser_SourceData.Fertiliser_ChemicalCompoundElements_Data(),Table_Fertiliser_ChemicalCompounds[[#Headers],[Fertiliser type f]], 0)</f>
        <v>Potassium from fertiliser</v>
      </c>
      <c r="I31" s="111" t="str" cm="1">
        <f t="array" ref="I31">Common_InputFunctions.Utility_DisplayArrayInTable(Fertiliser_SourceData.Fertiliser_ChemicalCompoundElements_Data(),Table_Fertiliser_ChemicalCompounds[[#Headers],[Fertiliser type f]], 0)</f>
        <v>LifeCycles</v>
      </c>
    </row>
    <row r="32" spans="1:18" ht="20.100000000000001" customHeight="1" x14ac:dyDescent="0.25">
      <c r="D32" s="111" t="str" cm="1">
        <f t="array" ref="D32">Common_InputFunctions.Utility_DisplayArrayInTable(Fertiliser_SourceData.Fertiliser_ChemicalCompoundElements_Data(),Table_Fertiliser_ChemicalCompounds[[#Headers],[Fertiliser type f]], 0)</f>
        <v>Sulfur - Generic</v>
      </c>
      <c r="E32" s="111" cm="1">
        <f t="array" ref="E32">Common_InputFunctions.Utility_DisplayArrayInTable(Fertiliser_SourceData.Fertiliser_ChemicalCompoundElements_Data(),Table_Fertiliser_ChemicalCompounds[[#Headers],[Fertiliser type f]], 0)</f>
        <v>0</v>
      </c>
      <c r="F32" s="111" cm="1">
        <f t="array" ref="F32">Common_InputFunctions.Utility_DisplayArrayInTable(Fertiliser_SourceData.Fertiliser_ChemicalCompoundElements_Data(),Table_Fertiliser_ChemicalCompounds[[#Headers],[Fertiliser type f]], 0)</f>
        <v>0</v>
      </c>
      <c r="G32" s="111" t="str" cm="1">
        <f t="array" ref="G32">Common_InputFunctions.Utility_DisplayArrayInTable(Fertiliser_SourceData.Fertiliser_ChemicalCompoundElements_Data(),Table_Fertiliser_ChemicalCompounds[[#Headers],[Fertiliser type f]], 0)</f>
        <v>Other fertilisers</v>
      </c>
      <c r="H32" s="111" t="str" cm="1">
        <f t="array" ref="H32">Common_InputFunctions.Utility_DisplayArrayInTable(Fertiliser_SourceData.Fertiliser_ChemicalCompoundElements_Data(),Table_Fertiliser_ChemicalCompounds[[#Headers],[Fertiliser type f]], 0)</f>
        <v>Sulfur from fertiliser</v>
      </c>
      <c r="I32" s="111"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111" t="str" cm="1">
        <f t="array" ref="D33">Common_InputFunctions.Utility_DisplayArrayInTable(Fertiliser_SourceData.Fertiliser_ChemicalCompoundElements_Data(),Table_Fertiliser_ChemicalCompounds[[#Headers],[Fertiliser type f]], 0)</f>
        <v>Zinc - Generic</v>
      </c>
      <c r="E33" s="111" cm="1">
        <f t="array" ref="E33">Common_InputFunctions.Utility_DisplayArrayInTable(Fertiliser_SourceData.Fertiliser_ChemicalCompoundElements_Data(),Table_Fertiliser_ChemicalCompounds[[#Headers],[Fertiliser type f]], 0)</f>
        <v>0</v>
      </c>
      <c r="F33" s="111" cm="1">
        <f t="array" ref="F33">Common_InputFunctions.Utility_DisplayArrayInTable(Fertiliser_SourceData.Fertiliser_ChemicalCompoundElements_Data(),Table_Fertiliser_ChemicalCompounds[[#Headers],[Fertiliser type f]], 0)</f>
        <v>0</v>
      </c>
      <c r="G33" s="111" t="str" cm="1">
        <f t="array" ref="G33">Common_InputFunctions.Utility_DisplayArrayInTable(Fertiliser_SourceData.Fertiliser_ChemicalCompoundElements_Data(),Table_Fertiliser_ChemicalCompounds[[#Headers],[Fertiliser type f]], 0)</f>
        <v>Other fertilisers</v>
      </c>
      <c r="H33" s="111" t="str" cm="1">
        <f t="array" ref="H33">Common_InputFunctions.Utility_DisplayArrayInTable(Fertiliser_SourceData.Fertiliser_ChemicalCompoundElements_Data(),Table_Fertiliser_ChemicalCompounds[[#Headers],[Fertiliser type f]], 0)</f>
        <v>Zinc from fertiliser</v>
      </c>
      <c r="I33" s="111"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111" t="str" cm="1">
        <f t="array" ref="D34">Common_InputFunctions.Utility_DisplayArrayInTable(Fertiliser_SourceData.Fertiliser_ChemicalCompoundElements_Data(),Table_Fertiliser_ChemicalCompounds[[#Headers],[Fertiliser type f]], 0)</f>
        <v>Muriate of potash (MOP)</v>
      </c>
      <c r="E34" s="111" cm="1">
        <f t="array" ref="E34">Common_InputFunctions.Utility_DisplayArrayInTable(Fertiliser_SourceData.Fertiliser_ChemicalCompoundElements_Data(),Table_Fertiliser_ChemicalCompounds[[#Headers],[Fertiliser type f]], 0)</f>
        <v>0</v>
      </c>
      <c r="F34" s="111" cm="1">
        <f t="array" ref="F34">Common_InputFunctions.Utility_DisplayArrayInTable(Fertiliser_SourceData.Fertiliser_ChemicalCompoundElements_Data(),Table_Fertiliser_ChemicalCompounds[[#Headers],[Fertiliser type f]], 0)</f>
        <v>0</v>
      </c>
      <c r="G34" s="111" t="str" cm="1">
        <f t="array" ref="G34">Common_InputFunctions.Utility_DisplayArrayInTable(Fertiliser_SourceData.Fertiliser_ChemicalCompoundElements_Data(),Table_Fertiliser_ChemicalCompounds[[#Headers],[Fertiliser type f]], 0)</f>
        <v>Other fertilisers</v>
      </c>
      <c r="H34" s="111" t="str" cm="1">
        <f t="array" ref="H34">Common_InputFunctions.Utility_DisplayArrayInTable(Fertiliser_SourceData.Fertiliser_ChemicalCompoundElements_Data(),Table_Fertiliser_ChemicalCompounds[[#Headers],[Fertiliser type f]], 0)</f>
        <v>Muriate of potash (MOP)</v>
      </c>
      <c r="I34" s="111"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111" t="str" cm="1">
        <f t="array" ref="D35">Common_InputFunctions.Utility_DisplayArrayInTable(Fertiliser_SourceData.Fertiliser_ChemicalCompoundElements_Data(),Table_Fertiliser_ChemicalCompounds[[#Headers],[Fertiliser type f]], 0)</f>
        <v>Double superphosphate</v>
      </c>
      <c r="E35" s="111" cm="1">
        <f t="array" ref="E35">Common_InputFunctions.Utility_DisplayArrayInTable(Fertiliser_SourceData.Fertiliser_ChemicalCompoundElements_Data(),Table_Fertiliser_ChemicalCompounds[[#Headers],[Fertiliser type f]], 0)</f>
        <v>0</v>
      </c>
      <c r="F35" s="111" cm="1">
        <f t="array" ref="F35">Common_InputFunctions.Utility_DisplayArrayInTable(Fertiliser_SourceData.Fertiliser_ChemicalCompoundElements_Data(),Table_Fertiliser_ChemicalCompounds[[#Headers],[Fertiliser type f]], 0)</f>
        <v>0</v>
      </c>
      <c r="G35" s="111" t="str" cm="1">
        <f t="array" ref="G35">Common_InputFunctions.Utility_DisplayArrayInTable(Fertiliser_SourceData.Fertiliser_ChemicalCompoundElements_Data(),Table_Fertiliser_ChemicalCompounds[[#Headers],[Fertiliser type f]], 0)</f>
        <v>Other fertilisers</v>
      </c>
      <c r="H35" s="111" t="str" cm="1">
        <f t="array" ref="H35">Common_InputFunctions.Utility_DisplayArrayInTable(Fertiliser_SourceData.Fertiliser_ChemicalCompoundElements_Data(),Table_Fertiliser_ChemicalCompounds[[#Headers],[Fertiliser type f]], 0)</f>
        <v>Double superphosphate</v>
      </c>
      <c r="I35" s="111"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111" t="str" cm="1">
        <f t="array" ref="D36">Common_InputFunctions.Utility_DisplayArrayInTable(Fertiliser_SourceData.Fertiliser_ChemicalCompoundElements_Data(),Table_Fertiliser_ChemicalCompounds[[#Headers],[Fertiliser type f]], 0)</f>
        <v>Single superphosphate (SSP)</v>
      </c>
      <c r="E36" s="111" cm="1">
        <f t="array" ref="E36">Common_InputFunctions.Utility_DisplayArrayInTable(Fertiliser_SourceData.Fertiliser_ChemicalCompoundElements_Data(),Table_Fertiliser_ChemicalCompounds[[#Headers],[Fertiliser type f]], 0)</f>
        <v>0</v>
      </c>
      <c r="F36" s="111" cm="1">
        <f t="array" ref="F36">Common_InputFunctions.Utility_DisplayArrayInTable(Fertiliser_SourceData.Fertiliser_ChemicalCompoundElements_Data(),Table_Fertiliser_ChemicalCompounds[[#Headers],[Fertiliser type f]], 0)</f>
        <v>0</v>
      </c>
      <c r="G36" s="111" t="str" cm="1">
        <f t="array" ref="G36">Common_InputFunctions.Utility_DisplayArrayInTable(Fertiliser_SourceData.Fertiliser_ChemicalCompoundElements_Data(),Table_Fertiliser_ChemicalCompounds[[#Headers],[Fertiliser type f]], 0)</f>
        <v>Other fertilisers</v>
      </c>
      <c r="H36" s="111" t="str" cm="1">
        <f t="array" ref="H36">Common_InputFunctions.Utility_DisplayArrayInTable(Fertiliser_SourceData.Fertiliser_ChemicalCompoundElements_Data(),Table_Fertiliser_ChemicalCompounds[[#Headers],[Fertiliser type f]], 0)</f>
        <v>Single superphosphate (SSP)</v>
      </c>
      <c r="I36" s="111"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111" t="str" cm="1">
        <f t="array" ref="D37">Common_InputFunctions.Utility_DisplayArrayInTable(Fertiliser_SourceData.Fertiliser_ChemicalCompoundElements_Data(),Table_Fertiliser_ChemicalCompounds[[#Headers],[Fertiliser type f]], 0)</f>
        <v>Ammonia</v>
      </c>
      <c r="E37" s="111" cm="1">
        <f t="array" ref="E37">Common_InputFunctions.Utility_DisplayArrayInTable(Fertiliser_SourceData.Fertiliser_ChemicalCompoundElements_Data(),Table_Fertiliser_ChemicalCompounds[[#Headers],[Fertiliser type f]], 0)</f>
        <v>0.82350000000000001</v>
      </c>
      <c r="F37" s="111" cm="1">
        <f t="array" ref="F37">Common_InputFunctions.Utility_DisplayArrayInTable(Fertiliser_SourceData.Fertiliser_ChemicalCompoundElements_Data(),Table_Fertiliser_ChemicalCompounds[[#Headers],[Fertiliser type f]], 0)</f>
        <v>0</v>
      </c>
      <c r="G37" s="111" t="str" cm="1">
        <f t="array" ref="G37">Common_InputFunctions.Utility_DisplayArrayInTable(Fertiliser_SourceData.Fertiliser_ChemicalCompoundElements_Data(),Table_Fertiliser_ChemicalCompounds[[#Headers],[Fertiliser type f]], 0)</f>
        <v>Ammonium-based fertilisers</v>
      </c>
      <c r="H37" s="111" t="str" cm="1">
        <f t="array" ref="H37">Common_InputFunctions.Utility_DisplayArrayInTable(Fertiliser_SourceData.Fertiliser_ChemicalCompoundElements_Data(),Table_Fertiliser_ChemicalCompounds[[#Headers],[Fertiliser type f]], 0)</f>
        <v>Ammonia</v>
      </c>
      <c r="I37" s="111"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row r="39" spans="4:10" ht="20.100000000000001" customHeight="1" x14ac:dyDescent="0.25"/>
    <row r="40" spans="4:10" ht="20.100000000000001" customHeight="1" x14ac:dyDescent="0.25">
      <c r="D40" s="6" t="s">
        <v>317</v>
      </c>
      <c r="F40" s="6" t="s">
        <v>164</v>
      </c>
      <c r="H40" s="6" t="s">
        <v>133</v>
      </c>
      <c r="J40" s="6" t="s">
        <v>241</v>
      </c>
    </row>
    <row r="41" spans="4:10" ht="20.100000000000001" customHeight="1" x14ac:dyDescent="0.25">
      <c r="D41" s="37" t="s">
        <v>87</v>
      </c>
      <c r="F41" s="37" t="s">
        <v>87</v>
      </c>
      <c r="H41" s="37" t="s">
        <v>86</v>
      </c>
      <c r="J41" s="37" t="s">
        <v>242</v>
      </c>
    </row>
    <row r="42" spans="4:10" ht="20.100000000000001" customHeight="1" x14ac:dyDescent="0.25">
      <c r="D42" s="37" t="s">
        <v>134</v>
      </c>
      <c r="F42" s="37" t="s">
        <v>134</v>
      </c>
      <c r="H42" s="37" t="s">
        <v>135</v>
      </c>
      <c r="J42" s="37" t="s">
        <v>243</v>
      </c>
    </row>
    <row r="43" spans="4:10" ht="20.100000000000001" customHeight="1" x14ac:dyDescent="0.25">
      <c r="D43" s="1" t="s">
        <v>131</v>
      </c>
      <c r="F43" s="1" t="s">
        <v>141</v>
      </c>
      <c r="H43" s="37" t="s">
        <v>136</v>
      </c>
      <c r="J43" s="1" t="s">
        <v>244</v>
      </c>
    </row>
    <row r="44" spans="4:10" ht="20.100000000000001" customHeight="1" x14ac:dyDescent="0.25">
      <c r="F44" s="1" t="s">
        <v>139</v>
      </c>
      <c r="H44" s="1" t="s">
        <v>132</v>
      </c>
      <c r="J44" s="1" t="s">
        <v>245</v>
      </c>
    </row>
    <row r="45" spans="4:10" ht="20.100000000000001" customHeight="1" x14ac:dyDescent="0.25">
      <c r="F45" s="1" t="s">
        <v>140</v>
      </c>
      <c r="H45" s="1" t="s">
        <v>137</v>
      </c>
      <c r="J45" s="1" t="s">
        <v>246</v>
      </c>
    </row>
    <row r="46" spans="4:10" ht="20.100000000000001" customHeight="1" x14ac:dyDescent="0.25">
      <c r="H46" s="1" t="s">
        <v>138</v>
      </c>
      <c r="J46" s="1" t="s">
        <v>247</v>
      </c>
    </row>
    <row r="47" spans="4:10" ht="20.100000000000001" customHeight="1" x14ac:dyDescent="0.25"/>
    <row r="48" spans="4:10" ht="20.100000000000001" customHeight="1" x14ac:dyDescent="0.25">
      <c r="D48" s="6" t="str" cm="1">
        <f t="array" ref="D48">Fertiliser_SourceData.Fertiliser_FracGASF_Title()</f>
        <v>Fraction of inorganic fertiliser that volatilises as NH3 and NOx</v>
      </c>
      <c r="G48" s="110"/>
    </row>
    <row r="49" spans="4:8" ht="20.100000000000001" customHeight="1" x14ac:dyDescent="0.25">
      <c r="D49" s="5" t="str" cm="1">
        <f t="array" ref="D49">Fertiliser_SourceData.Fertiliser_FracGASF_Source()</f>
        <v>Table A.2.2.6: Fraction of inorganic fertiliser f that volatilises as NH3 and NOx ((kg NH3–N + NOx–N)/kg N) (FracGASFf)</v>
      </c>
      <c r="G49" s="110"/>
    </row>
    <row r="50" spans="4:8" ht="20.100000000000001" customHeight="1" x14ac:dyDescent="0.25">
      <c r="D50" s="37" t="s">
        <v>112</v>
      </c>
      <c r="E50" s="37" t="s">
        <v>130</v>
      </c>
      <c r="G50" s="110"/>
    </row>
    <row r="51" spans="4:8" ht="20.100000000000001" customHeight="1" x14ac:dyDescent="0.25">
      <c r="D51" s="37" t="str" cm="1">
        <f t="array" ref="D51">Common_InputFunctions.Utility_DisplayArrayInTable(Fertiliser_SourceData.Fertiliser_FracGASF_Data(), Table_SourceData_Fertiliser_FracGASF[[#Headers],[Fertiliser type f]], 0)</f>
        <v>Urea-based fertilisers</v>
      </c>
      <c r="E51" s="37" cm="1">
        <f t="array" ref="E51">Common_InputFunctions.Utility_DisplayArrayInTable(Fertiliser_SourceData.Fertiliser_FracGASF_Data(), Table_SourceData_Fertiliser_FracGASF[[#Headers],[Fertiliser type f]], 0)</f>
        <v>0.15</v>
      </c>
      <c r="G51" s="110"/>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7" cm="1">
        <f t="array" ref="E52">Common_InputFunctions.Utility_DisplayArrayInTable(Fertiliser_SourceData.Fertiliser_FracGASF_Data(), Table_SourceData_Fertiliser_FracGASF[[#Headers],[Fertiliser type f]], 0)</f>
        <v>0.08</v>
      </c>
      <c r="G52" s="110"/>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7" cm="1">
        <f t="array" ref="E53">Common_InputFunctions.Utility_DisplayArrayInTable(Fertiliser_SourceData.Fertiliser_FracGASF_Data(), Table_SourceData_Fertiliser_FracGASF[[#Headers],[Fertiliser type f]], 0)</f>
        <v>0.01</v>
      </c>
      <c r="G53" s="110"/>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7" cm="1">
        <f t="array" ref="E54">Common_InputFunctions.Utility_DisplayArrayInTable(Fertiliser_SourceData.Fertiliser_FracGASF_Data(), Table_SourceData_Fertiliser_FracGASF[[#Headers],[Fertiliser type f]], 0)</f>
        <v>0.05</v>
      </c>
      <c r="G54" s="110"/>
      <c r="H54" s="110"/>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7" cm="1">
        <f t="array" ref="E55">Common_InputFunctions.Utility_DisplayArrayInTable(Fertiliser_SourceData.Fertiliser_FracGASF_Data(), Table_SourceData_Fertiliser_FracGASF[[#Headers],[Fertiliser type f]], 0)</f>
        <v>0.11</v>
      </c>
      <c r="G55" s="110"/>
      <c r="H55" s="110"/>
    </row>
    <row r="56" spans="4:8" ht="20.100000000000001" customHeight="1" x14ac:dyDescent="0.25"/>
    <row r="57" spans="4:8" ht="20.100000000000001" customHeight="1" x14ac:dyDescent="0.25"/>
    <row r="58" spans="4:8" ht="20.100000000000001" customHeight="1" x14ac:dyDescent="0.25">
      <c r="D58" s="6" t="str" cm="1">
        <f t="array" ref="D58">Fertiliser_SourceData.Fertiliser_EFUreaCO2_Title()</f>
        <v>Emission factor for carbon emissions from urea application</v>
      </c>
    </row>
    <row r="59" spans="4:8" ht="20.100000000000001" customHeight="1" x14ac:dyDescent="0.25">
      <c r="D59" s="5" t="str" cm="1">
        <f t="array" ref="D59">Fertiliser_SourceData.Fertiliser_EFUreaCO2_Source()</f>
        <v>VEERG 2026: 5.1.2.2 Constant Parameters</v>
      </c>
    </row>
    <row r="60" spans="4:8" ht="20.100000000000001" customHeight="1" x14ac:dyDescent="0.25">
      <c r="D60" s="51" t="str" cm="1">
        <f t="array" ref="D60">Fertiliser_SourceData.Fertiliser_EFUreaCO2_Variable()</f>
        <v>EFureaCO2</v>
      </c>
      <c r="E60" s="1" cm="1">
        <f t="array" ref="E60">Fertiliser_SourceData.Fertiliser_EFUreaCO2_Data()</f>
        <v>0.2</v>
      </c>
      <c r="F60" s="52"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6" t="str" cm="1">
        <f t="array" ref="D63">Fertiliser_SourceData.Fertiliser_LimeDolomiteGypsumConstants_Title()</f>
        <v>Constants for lime, dolomite and gypsum</v>
      </c>
    </row>
    <row r="64" spans="4:8" ht="20.100000000000001" customHeight="1" x14ac:dyDescent="0.25">
      <c r="D64" s="5" t="str" cm="1">
        <f t="array" ref="D64">Fertiliser_SourceData.Fertiliser_LimeDolomiteGypsumConstants_Source()</f>
        <v>VEERG 2026: 5.3.2.3 Constant Parameters</v>
      </c>
    </row>
    <row r="65" spans="4:6" ht="20.100000000000001" customHeight="1" x14ac:dyDescent="0.25">
      <c r="D65" s="37" t="s">
        <v>259</v>
      </c>
      <c r="E65" s="37" t="s">
        <v>267</v>
      </c>
      <c r="F65" s="37" t="s">
        <v>268</v>
      </c>
    </row>
    <row r="66" spans="4:6" ht="20.100000000000001" customHeight="1" x14ac:dyDescent="0.25">
      <c r="D66" s="37" t="str" cm="1">
        <f t="array" ref="D66">Common_InputFunctions.Utility_DisplayArrayInTable(Fertiliser_SourceData.Fertiliser_LimeDolomiteGypsumConstants_Data(), Table_SourceData_Fertiliser_LimeDolomiteConstants[[#Headers],[Element]], 0)</f>
        <v>Lime (Calcium carbonate)</v>
      </c>
      <c r="E66" s="37" cm="1">
        <f t="array" ref="E66">Common_InputFunctions.Utility_DisplayArrayInTable(Fertiliser_SourceData.Fertiliser_LimeDolomiteGypsumConstants_Data(), Table_SourceData_Fertiliser_LimeDolomiteConstants[[#Headers],[Element]], 0)</f>
        <v>0.9</v>
      </c>
      <c r="F66" s="37"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7" cm="1">
        <f t="array" ref="E67">Common_InputFunctions.Utility_DisplayArrayInTable(Fertiliser_SourceData.Fertiliser_LimeDolomiteGypsumConstants_Data(), Table_SourceData_Fertiliser_LimeDolomiteConstants[[#Headers],[Element]], 0)</f>
        <v>0.95</v>
      </c>
      <c r="F67" s="37"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7" cm="1">
        <f t="array" ref="E68">Common_InputFunctions.Utility_DisplayArrayInTable(Fertiliser_SourceData.Fertiliser_LimeDolomiteGypsumConstants_Data(), Table_SourceData_Fertiliser_LimeDolomiteConstants[[#Headers],[Element]], 0)</f>
        <v>0</v>
      </c>
      <c r="F68" s="37"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6" t="str" cm="1">
        <f t="array" ref="D71">Fertiliser_SourceData.Fertiliser_FracGASMSoil_Title()</f>
        <v>Fraction of organic fertiliser that volatilises as NH3 and NOx</v>
      </c>
    </row>
    <row r="72" spans="4:6" ht="20.100000000000001" customHeight="1" x14ac:dyDescent="0.25">
      <c r="D72" s="5" t="str" cm="1">
        <f t="array" ref="D72">Fertiliser_SourceData.Fertiliser_FracGASMSoil_Source()</f>
        <v>VEERG 2026: 5.4.2.3 Constant Parameters</v>
      </c>
    </row>
    <row r="73" spans="4:6" ht="20.100000000000001" customHeight="1" x14ac:dyDescent="0.25">
      <c r="D73" s="51" t="str" cm="1">
        <f t="array" ref="D73">Fertiliser_SourceData.Fertiliser_FracGASMSoil_Variable()</f>
        <v>FracGASMsoil</v>
      </c>
      <c r="E73" s="1" cm="1">
        <f t="array" ref="E73">Fertiliser_SourceData.Fertiliser_FracGASMSoil_Data()</f>
        <v>0.21</v>
      </c>
      <c r="F73" s="52"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6" t="str" cm="1">
        <f t="array" ref="D76">Fertiliser_SourceData.Fertiliser_FracLEACH_Title()</f>
        <v>Fraction of nitrogen that is lost through leaching and runoff</v>
      </c>
    </row>
    <row r="77" spans="4:6" ht="20.100000000000001" customHeight="1" x14ac:dyDescent="0.25">
      <c r="D77" s="5" t="str" cm="1">
        <f t="array" ref="D77">Fertiliser_SourceData.Fertiliser_FracLEACH_Source()</f>
        <v>VEERG 2026: 5.5.2.3 Constant Parameters</v>
      </c>
    </row>
    <row r="78" spans="4:6" ht="20.100000000000001" customHeight="1" x14ac:dyDescent="0.25">
      <c r="D78" s="51" t="str" cm="1">
        <f t="array" ref="D78">Fertiliser_SourceData.Fertiliser_FracLEACH_Variable()</f>
        <v>FracLEACH</v>
      </c>
      <c r="E78" s="1" cm="1">
        <f t="array" ref="E78">Fertiliser_SourceData.Fertiliser_FracLEACH_Data()</f>
        <v>0.24</v>
      </c>
      <c r="F78" s="52"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6" t="str" cm="1">
        <f t="array" ref="D81">Fertiliser_SourceData.Fertiliser_EFLeach_Title()</f>
        <v>Emission factor for nitrogen leaching and runoff</v>
      </c>
    </row>
    <row r="82" spans="4:31" ht="20.100000000000001" customHeight="1" x14ac:dyDescent="0.25">
      <c r="D82" s="5" t="str" cm="1">
        <f t="array" ref="D82">Fertiliser_SourceData.Fertiliser_EFLeach_Source()</f>
        <v>VEERG 2026: 5.5.2.3 Constant Parameters</v>
      </c>
    </row>
    <row r="83" spans="4:31" ht="20.100000000000001" customHeight="1" x14ac:dyDescent="0.25">
      <c r="D83" s="51" t="str" cm="1">
        <f t="array" ref="D83">Fertiliser_SourceData.Fertiliser_EFLeach_Variable()</f>
        <v>EFLeach</v>
      </c>
      <c r="E83" s="1" cm="1">
        <f t="array" ref="E83">Fertiliser_SourceData.Fertiliser_EFLeach_Data()</f>
        <v>1.0999999999999999E-2</v>
      </c>
      <c r="F83" s="52"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row r="87" spans="4:31" ht="20.100000000000001" customHeight="1" x14ac:dyDescent="0.25">
      <c r="D87" s="6" t="s">
        <v>113</v>
      </c>
      <c r="E87" s="110"/>
      <c r="F87" s="110"/>
      <c r="G87" s="110"/>
      <c r="H87" s="110"/>
      <c r="I87" s="110"/>
      <c r="J87" s="110"/>
      <c r="K87" s="110"/>
      <c r="L87" s="110"/>
      <c r="N87" s="110"/>
      <c r="O87" s="110"/>
      <c r="P87" s="110"/>
      <c r="Q87" s="110"/>
      <c r="R87" s="110"/>
      <c r="S87" s="110"/>
      <c r="T87" s="110"/>
      <c r="U87" s="110"/>
    </row>
    <row r="88" spans="4:31" ht="20.100000000000001" customHeight="1" x14ac:dyDescent="0.25">
      <c r="D88" s="110"/>
    </row>
    <row r="89" spans="4:31" ht="20.100000000000001" customHeight="1" x14ac:dyDescent="0.25">
      <c r="D89" s="144" t="s">
        <v>229</v>
      </c>
      <c r="E89" s="37" t="s">
        <v>230</v>
      </c>
      <c r="F89" s="37" t="s">
        <v>231</v>
      </c>
      <c r="G89" s="117" t="s">
        <v>232</v>
      </c>
      <c r="H89" s="117" t="s">
        <v>16</v>
      </c>
      <c r="I89" s="117" t="s">
        <v>233</v>
      </c>
      <c r="J89" s="117" t="s">
        <v>234</v>
      </c>
      <c r="K89" s="117" t="s">
        <v>235</v>
      </c>
      <c r="L89" s="117" t="s">
        <v>115</v>
      </c>
      <c r="M89" s="117" t="s">
        <v>116</v>
      </c>
      <c r="N89" s="117" t="s">
        <v>117</v>
      </c>
      <c r="O89" s="37" t="s">
        <v>118</v>
      </c>
      <c r="P89" s="37" t="s">
        <v>119</v>
      </c>
      <c r="Q89" s="37" t="s">
        <v>120</v>
      </c>
      <c r="R89" s="117" t="s">
        <v>121</v>
      </c>
      <c r="S89" s="117" t="s">
        <v>122</v>
      </c>
      <c r="T89" s="37" t="s">
        <v>123</v>
      </c>
      <c r="U89" s="117" t="s">
        <v>124</v>
      </c>
      <c r="V89" s="117" t="s">
        <v>125</v>
      </c>
      <c r="W89" s="117" t="s">
        <v>126</v>
      </c>
      <c r="X89" s="117" t="s">
        <v>221</v>
      </c>
      <c r="Y89" s="117" t="s">
        <v>222</v>
      </c>
      <c r="Z89" s="37" t="s">
        <v>223</v>
      </c>
      <c r="AA89" s="37" t="s">
        <v>224</v>
      </c>
      <c r="AB89" s="37" t="s">
        <v>225</v>
      </c>
      <c r="AC89" s="37" t="s">
        <v>226</v>
      </c>
      <c r="AD89" s="37" t="s">
        <v>227</v>
      </c>
      <c r="AE89" s="37" t="s">
        <v>228</v>
      </c>
    </row>
    <row r="90" spans="4:31" ht="20.100000000000001" customHeight="1" x14ac:dyDescent="0.25">
      <c r="D90" s="111" t="str" cm="1">
        <f t="array" ref="D90">Common_InputFunctions.Utility_DisplayArrayInTable(Fertiliser_SourceData.Fertiliser_Products_Data1(),FertiliserProducts[[#Headers],[Include or Exclude]], -1)</f>
        <v>Include</v>
      </c>
      <c r="E90" s="111" t="str" cm="1">
        <f t="array" ref="E90">Common_InputFunctions.Utility_DisplayArrayInTable(Fertiliser_SourceData.Fertiliser_Products_Data1(),FertiliserProducts[[#Headers],[Include or Exclude]], 0)</f>
        <v/>
      </c>
      <c r="F90" s="111" t="str" cm="1">
        <f t="array" ref="F90">Common_InputFunctions.Utility_DisplayArrayInTable(Fertiliser_SourceData.Fertiliser_Products_Data1(),FertiliserProducts[[#Headers],[Include or Exclude]], 0)</f>
        <v>Campbells fertilisers Australia</v>
      </c>
      <c r="G90" s="111" t="str" cm="1">
        <f t="array" ref="G90">Common_InputFunctions.Utility_DisplayArrayInTable(Fertiliser_SourceData.Fertiliser_Products_Data1(),FertiliserProducts[[#Headers],[Include or Exclude]], 0)</f>
        <v>Aqua Finish</v>
      </c>
      <c r="H90" s="111" t="str" cm="1">
        <f t="array" ref="H90">Common_InputFunctions.Utility_DisplayArrayInTable(Fertiliser_SourceData.Fertiliser_Products_Data1(),FertiliserProducts[[#Headers],[Include or Exclude]], 0)</f>
        <v>L</v>
      </c>
      <c r="I90" s="111" cm="1">
        <f t="array" ref="I90">Common_InputFunctions.Utility_DisplayArrayInTable(Fertiliser_SourceData.Fertiliser_Products_Data1(),FertiliserProducts[[#Headers],[Include or Exclude]], 0)</f>
        <v>1.26</v>
      </c>
      <c r="J90" s="111" t="str" cm="1">
        <f t="array" ref="J90">Common_InputFunctions.Utility_DisplayArrayInTable(Fertiliser_SourceData.Fertiliser_Products_Data1(),FertiliserProducts[[#Headers],[Include or Exclude]], 0)</f>
        <v/>
      </c>
      <c r="K90" s="111" t="str" cm="1">
        <f t="array" ref="K90">Common_InputFunctions.Utility_DisplayArrayInTable(Fertiliser_SourceData.Fertiliser_Products_Data1(),FertiliserProducts[[#Headers],[Include or Exclude]], 0)</f>
        <v/>
      </c>
      <c r="L90" s="111" t="str" cm="1">
        <f t="array" ref="L90">Common_InputFunctions.Utility_DisplayArrayInTable(Fertiliser_SourceData.Fertiliser_Products_Data1(),FertiliserProducts[[#Headers],[Include or Exclude]], 0)</f>
        <v>Potassium - Generic</v>
      </c>
      <c r="M90" s="37" cm="1">
        <f t="array" ref="M90">Common_InputFunctions.Utility_DisplayArrayInTable(Fertiliser_SourceData.Fertiliser_Products_Data1(),FertiliserProducts[[#Headers],[Include or Exclude]], 0)</f>
        <v>0.22500000000000001</v>
      </c>
      <c r="N90" s="111" t="str" cm="1">
        <f t="array" ref="N90">Common_InputFunctions.Utility_DisplayArrayInTable(Fertiliser_SourceData.Fertiliser_Products_Data1(),FertiliserProducts[[#Headers],[Include or Exclude]], 0)</f>
        <v>Phosphorus - Generic</v>
      </c>
      <c r="O90" s="111" cm="1">
        <f t="array" ref="O90">Common_InputFunctions.Utility_DisplayArrayInTable(Fertiliser_SourceData.Fertiliser_Products_Data1(),FertiliserProducts[[#Headers],[Include or Exclude]], 0)</f>
        <v>0.04</v>
      </c>
      <c r="P90" s="111" t="str" cm="1">
        <f t="array" ref="P90">Common_InputFunctions.Utility_DisplayArrayInTable(Fertiliser_SourceData.Fertiliser_Products_Data1(),FertiliserProducts[[#Headers],[Include or Exclude]], 0)</f>
        <v>Nitrogen - Generic</v>
      </c>
      <c r="Q90" s="111" cm="1">
        <f t="array" ref="Q90">Common_InputFunctions.Utility_DisplayArrayInTable(Fertiliser_SourceData.Fertiliser_Products_Data1(),FertiliserProducts[[#Headers],[Include or Exclude]], 0)</f>
        <v>2.5999999999999999E-2</v>
      </c>
      <c r="R90" s="111" t="str" cm="1">
        <f t="array" ref="R90">Common_InputFunctions.Utility_DisplayArrayInTable(Fertiliser_SourceData.Fertiliser_Products_Data1(),FertiliserProducts[[#Headers],[Include or Exclude]], 0)</f>
        <v/>
      </c>
      <c r="S90" s="111" t="str" cm="1">
        <f t="array" ref="S90">Common_InputFunctions.Utility_DisplayArrayInTable(Fertiliser_SourceData.Fertiliser_Products_Data1(),FertiliserProducts[[#Headers],[Include or Exclude]], 0)</f>
        <v/>
      </c>
      <c r="T90" s="111" t="str" cm="1">
        <f t="array" ref="T90">Common_InputFunctions.Utility_DisplayArrayInTable(Fertiliser_SourceData.Fertiliser_Products_Data1(),FertiliserProducts[[#Headers],[Include or Exclude]], 0)</f>
        <v/>
      </c>
      <c r="U90" s="111" t="str" cm="1">
        <f t="array" ref="U90">Common_InputFunctions.Utility_DisplayArrayInTable(Fertiliser_SourceData.Fertiliser_Products_Data1(),FertiliserProducts[[#Headers],[Include or Exclude]], 0)</f>
        <v/>
      </c>
      <c r="V90" s="37" t="str" cm="1">
        <f t="array" ref="V90">Common_InputFunctions.Utility_DisplayArrayInTable(Fertiliser_SourceData.Fertiliser_Products_Data1(),FertiliserProducts[[#Headers],[Include or Exclude]], 0)</f>
        <v/>
      </c>
      <c r="W90" s="37" t="str" cm="1">
        <f t="array" ref="W90">Common_InputFunctions.Utility_DisplayArrayInTable(Fertiliser_SourceData.Fertiliser_Products_Data1(),FertiliserProducts[[#Headers],[Include or Exclude]], 0)</f>
        <v/>
      </c>
      <c r="X90" s="37" t="str" cm="1">
        <f t="array" ref="X90">Common_InputFunctions.Utility_DisplayArrayInTable(Fertiliser_SourceData.Fertiliser_Products_Data1(),FertiliserProducts[[#Headers],[Include or Exclude]], 0)</f>
        <v/>
      </c>
      <c r="Y90" s="37" t="str" cm="1">
        <f t="array" ref="Y90">Common_InputFunctions.Utility_DisplayArrayInTable(Fertiliser_SourceData.Fertiliser_Products_Data1(),FertiliserProducts[[#Headers],[Include or Exclude]], 0)</f>
        <v/>
      </c>
      <c r="Z90" s="37" t="str" cm="1">
        <f t="array" ref="Z90">Common_InputFunctions.Utility_DisplayArrayInTable(Fertiliser_SourceData.Fertiliser_Products_Data1(),FertiliserProducts[[#Headers],[Include or Exclude]], 0)</f>
        <v/>
      </c>
      <c r="AA90" s="37" t="str" cm="1">
        <f t="array" ref="AA90">Common_InputFunctions.Utility_DisplayArrayInTable(Fertiliser_SourceData.Fertiliser_Products_Data1(),FertiliserProducts[[#Headers],[Include or Exclude]], 0)</f>
        <v/>
      </c>
      <c r="AB90" s="37" t="str" cm="1">
        <f t="array" ref="AB90">Common_InputFunctions.Utility_DisplayArrayInTable(Fertiliser_SourceData.Fertiliser_Products_Data1(),FertiliserProducts[[#Headers],[Include or Exclude]], 0)</f>
        <v/>
      </c>
      <c r="AC90" s="37" t="str" cm="1">
        <f t="array" ref="AC90">Common_InputFunctions.Utility_DisplayArrayInTable(Fertiliser_SourceData.Fertiliser_Products_Data1(),FertiliserProducts[[#Headers],[Include or Exclude]], 0)</f>
        <v/>
      </c>
      <c r="AD90" s="37" t="str" cm="1">
        <f t="array" ref="AD90">Common_InputFunctions.Utility_DisplayArrayInTable(Fertiliser_SourceData.Fertiliser_Products_Data1(),FertiliserProducts[[#Headers],[Include or Exclude]], 0)</f>
        <v/>
      </c>
      <c r="AE90" s="37" t="str" cm="1">
        <f t="array" ref="AE90">Common_InputFunctions.Utility_DisplayArrayInTable(Fertiliser_SourceData.Fertiliser_Products_Data1(),FertiliserProducts[[#Headers],[Include or Exclude]], 0)</f>
        <v/>
      </c>
    </row>
    <row r="91" spans="4:31" ht="20.100000000000001" customHeight="1" x14ac:dyDescent="0.25">
      <c r="D91" s="111" t="str" cm="1">
        <f t="array" ref="D91">Common_InputFunctions.Utility_DisplayArrayInTable(Fertiliser_SourceData.Fertiliser_Products_Data1(),FertiliserProducts[[#Headers],[Include or Exclude]], 0)</f>
        <v>Include</v>
      </c>
      <c r="E91" s="111" t="str" cm="1">
        <f t="array" ref="E91">Common_InputFunctions.Utility_DisplayArrayInTable(Fertiliser_SourceData.Fertiliser_Products_Data1(),FertiliserProducts[[#Headers],[Include or Exclude]], 0)</f>
        <v/>
      </c>
      <c r="F91" s="111" t="str" cm="1">
        <f t="array" ref="F91">Common_InputFunctions.Utility_DisplayArrayInTable(Fertiliser_SourceData.Fertiliser_Products_Data1(),FertiliserProducts[[#Headers],[Include or Exclude]], 0)</f>
        <v>Campbells fertilisers Australia</v>
      </c>
      <c r="G91" s="111" t="str" cm="1">
        <f t="array" ref="G91">Common_InputFunctions.Utility_DisplayArrayInTable(Fertiliser_SourceData.Fertiliser_Products_Data1(),FertiliserProducts[[#Headers],[Include or Exclude]], 0)</f>
        <v>Aqua Grow</v>
      </c>
      <c r="H91" s="111" t="str" cm="1">
        <f t="array" ref="H91">Common_InputFunctions.Utility_DisplayArrayInTable(Fertiliser_SourceData.Fertiliser_Products_Data1(),FertiliserProducts[[#Headers],[Include or Exclude]], 0)</f>
        <v>L</v>
      </c>
      <c r="I91" s="111" cm="1">
        <f t="array" ref="I91">Common_InputFunctions.Utility_DisplayArrayInTable(Fertiliser_SourceData.Fertiliser_Products_Data1(),FertiliserProducts[[#Headers],[Include or Exclude]], 0)</f>
        <v>1.26</v>
      </c>
      <c r="J91" s="111" t="str" cm="1">
        <f t="array" ref="J91">Common_InputFunctions.Utility_DisplayArrayInTable(Fertiliser_SourceData.Fertiliser_Products_Data1(),FertiliserProducts[[#Headers],[Include or Exclude]], 0)</f>
        <v/>
      </c>
      <c r="K91" s="111" t="str" cm="1">
        <f t="array" ref="K91">Common_InputFunctions.Utility_DisplayArrayInTable(Fertiliser_SourceData.Fertiliser_Products_Data1(),FertiliserProducts[[#Headers],[Include or Exclude]], 0)</f>
        <v/>
      </c>
      <c r="L91" s="111" t="str" cm="1">
        <f t="array" ref="L91">Common_InputFunctions.Utility_DisplayArrayInTable(Fertiliser_SourceData.Fertiliser_Products_Data1(),FertiliserProducts[[#Headers],[Include or Exclude]], 0)</f>
        <v>Potassium - Generic</v>
      </c>
      <c r="M91" s="37" cm="1">
        <f t="array" ref="M91">Common_InputFunctions.Utility_DisplayArrayInTable(Fertiliser_SourceData.Fertiliser_Products_Data1(),FertiliserProducts[[#Headers],[Include or Exclude]], 0)</f>
        <v>0.105</v>
      </c>
      <c r="N91" s="111" t="str" cm="1">
        <f t="array" ref="N91">Common_InputFunctions.Utility_DisplayArrayInTable(Fertiliser_SourceData.Fertiliser_Products_Data1(),FertiliserProducts[[#Headers],[Include or Exclude]], 0)</f>
        <v>Nitrogen - Generic</v>
      </c>
      <c r="O91" s="111" cm="1">
        <f t="array" ref="O91">Common_InputFunctions.Utility_DisplayArrayInTable(Fertiliser_SourceData.Fertiliser_Products_Data1(),FertiliserProducts[[#Headers],[Include or Exclude]], 0)</f>
        <v>9.6000000000000002E-2</v>
      </c>
      <c r="P91" s="111" t="str" cm="1">
        <f t="array" ref="P91">Common_InputFunctions.Utility_DisplayArrayInTable(Fertiliser_SourceData.Fertiliser_Products_Data1(),FertiliserProducts[[#Headers],[Include or Exclude]], 0)</f>
        <v>Phosphorus - Generic</v>
      </c>
      <c r="Q91" s="111" cm="1">
        <f t="array" ref="Q91">Common_InputFunctions.Utility_DisplayArrayInTable(Fertiliser_SourceData.Fertiliser_Products_Data1(),FertiliserProducts[[#Headers],[Include or Exclude]], 0)</f>
        <v>0.05</v>
      </c>
      <c r="R91" s="111" t="str" cm="1">
        <f t="array" ref="R91">Common_InputFunctions.Utility_DisplayArrayInTable(Fertiliser_SourceData.Fertiliser_Products_Data1(),FertiliserProducts[[#Headers],[Include or Exclude]], 0)</f>
        <v/>
      </c>
      <c r="S91" s="111" t="str" cm="1">
        <f t="array" ref="S91">Common_InputFunctions.Utility_DisplayArrayInTable(Fertiliser_SourceData.Fertiliser_Products_Data1(),FertiliserProducts[[#Headers],[Include or Exclude]], 0)</f>
        <v/>
      </c>
      <c r="T91" s="111" t="str" cm="1">
        <f t="array" ref="T91">Common_InputFunctions.Utility_DisplayArrayInTable(Fertiliser_SourceData.Fertiliser_Products_Data1(),FertiliserProducts[[#Headers],[Include or Exclude]], 0)</f>
        <v/>
      </c>
      <c r="U91" s="111" t="str" cm="1">
        <f t="array" ref="U91">Common_InputFunctions.Utility_DisplayArrayInTable(Fertiliser_SourceData.Fertiliser_Products_Data1(),FertiliserProducts[[#Headers],[Include or Exclude]], 0)</f>
        <v/>
      </c>
      <c r="V91" s="37" t="str" cm="1">
        <f t="array" ref="V91">Common_InputFunctions.Utility_DisplayArrayInTable(Fertiliser_SourceData.Fertiliser_Products_Data1(),FertiliserProducts[[#Headers],[Include or Exclude]], 0)</f>
        <v/>
      </c>
      <c r="W91" s="37" t="str" cm="1">
        <f t="array" ref="W91">Common_InputFunctions.Utility_DisplayArrayInTable(Fertiliser_SourceData.Fertiliser_Products_Data1(),FertiliserProducts[[#Headers],[Include or Exclude]], 0)</f>
        <v/>
      </c>
      <c r="X91" s="37" t="str" cm="1">
        <f t="array" ref="X91">Common_InputFunctions.Utility_DisplayArrayInTable(Fertiliser_SourceData.Fertiliser_Products_Data1(),FertiliserProducts[[#Headers],[Include or Exclude]], 0)</f>
        <v/>
      </c>
      <c r="Y91" s="37" t="str" cm="1">
        <f t="array" ref="Y91">Common_InputFunctions.Utility_DisplayArrayInTable(Fertiliser_SourceData.Fertiliser_Products_Data1(),FertiliserProducts[[#Headers],[Include or Exclude]], 0)</f>
        <v/>
      </c>
      <c r="Z91" s="37" t="str" cm="1">
        <f t="array" ref="Z91">Common_InputFunctions.Utility_DisplayArrayInTable(Fertiliser_SourceData.Fertiliser_Products_Data1(),FertiliserProducts[[#Headers],[Include or Exclude]], 0)</f>
        <v/>
      </c>
      <c r="AA91" s="37" t="str" cm="1">
        <f t="array" ref="AA91">Common_InputFunctions.Utility_DisplayArrayInTable(Fertiliser_SourceData.Fertiliser_Products_Data1(),FertiliserProducts[[#Headers],[Include or Exclude]], 0)</f>
        <v/>
      </c>
      <c r="AB91" s="37" t="str" cm="1">
        <f t="array" ref="AB91">Common_InputFunctions.Utility_DisplayArrayInTable(Fertiliser_SourceData.Fertiliser_Products_Data1(),FertiliserProducts[[#Headers],[Include or Exclude]], 0)</f>
        <v/>
      </c>
      <c r="AC91" s="37" t="str" cm="1">
        <f t="array" ref="AC91">Common_InputFunctions.Utility_DisplayArrayInTable(Fertiliser_SourceData.Fertiliser_Products_Data1(),FertiliserProducts[[#Headers],[Include or Exclude]], 0)</f>
        <v/>
      </c>
      <c r="AD91" s="37" t="str" cm="1">
        <f t="array" ref="AD91">Common_InputFunctions.Utility_DisplayArrayInTable(Fertiliser_SourceData.Fertiliser_Products_Data1(),FertiliserProducts[[#Headers],[Include or Exclude]], 0)</f>
        <v/>
      </c>
      <c r="AE91" s="37" t="str" cm="1">
        <f t="array" ref="AE91">Common_InputFunctions.Utility_DisplayArrayInTable(Fertiliser_SourceData.Fertiliser_Products_Data1(),FertiliserProducts[[#Headers],[Include or Exclude]], 0)</f>
        <v/>
      </c>
    </row>
    <row r="92" spans="4:31" ht="20.100000000000001" customHeight="1" x14ac:dyDescent="0.25">
      <c r="D92" s="111" t="str" cm="1">
        <f t="array" ref="D92">Common_InputFunctions.Utility_DisplayArrayInTable(Fertiliser_SourceData.Fertiliser_Products_Data1(),FertiliserProducts[[#Headers],[Include or Exclude]], 0)</f>
        <v>Include</v>
      </c>
      <c r="E92" s="111" t="str" cm="1">
        <f t="array" ref="E92">Common_InputFunctions.Utility_DisplayArrayInTable(Fertiliser_SourceData.Fertiliser_Products_Data1(),FertiliserProducts[[#Headers],[Include or Exclude]], 0)</f>
        <v/>
      </c>
      <c r="F92" s="111" t="str" cm="1">
        <f t="array" ref="F92">Common_InputFunctions.Utility_DisplayArrayInTable(Fertiliser_SourceData.Fertiliser_Products_Data1(),FertiliserProducts[[#Headers],[Include or Exclude]], 0)</f>
        <v>Campbells fertilisers Australia</v>
      </c>
      <c r="G92" s="111" t="str" cm="1">
        <f t="array" ref="G92">Common_InputFunctions.Utility_DisplayArrayInTable(Fertiliser_SourceData.Fertiliser_Products_Data1(),FertiliserProducts[[#Headers],[Include or Exclude]], 0)</f>
        <v>Aqua Nitro AN</v>
      </c>
      <c r="H92" s="111" t="str" cm="1">
        <f t="array" ref="H92">Common_InputFunctions.Utility_DisplayArrayInTable(Fertiliser_SourceData.Fertiliser_Products_Data1(),FertiliserProducts[[#Headers],[Include or Exclude]], 0)</f>
        <v>L</v>
      </c>
      <c r="I92" s="111" cm="1">
        <f t="array" ref="I92">Common_InputFunctions.Utility_DisplayArrayInTable(Fertiliser_SourceData.Fertiliser_Products_Data1(),FertiliserProducts[[#Headers],[Include or Exclude]], 0)</f>
        <v>1.24</v>
      </c>
      <c r="J92" s="111" t="str" cm="1">
        <f t="array" ref="J92">Common_InputFunctions.Utility_DisplayArrayInTable(Fertiliser_SourceData.Fertiliser_Products_Data1(),FertiliserProducts[[#Headers],[Include or Exclude]], 0)</f>
        <v/>
      </c>
      <c r="K92" s="111" t="str" cm="1">
        <f t="array" ref="K92">Common_InputFunctions.Utility_DisplayArrayInTable(Fertiliser_SourceData.Fertiliser_Products_Data1(),FertiliserProducts[[#Headers],[Include or Exclude]], 0)</f>
        <v/>
      </c>
      <c r="L92" s="111" t="str" cm="1">
        <f t="array" ref="L92">Common_InputFunctions.Utility_DisplayArrayInTable(Fertiliser_SourceData.Fertiliser_Products_Data1(),FertiliserProducts[[#Headers],[Include or Exclude]], 0)</f>
        <v>Nitrogen - Ammoniacal</v>
      </c>
      <c r="M92" s="37" cm="1">
        <f t="array" ref="M92">Common_InputFunctions.Utility_DisplayArrayInTable(Fertiliser_SourceData.Fertiliser_Products_Data1(),FertiliserProducts[[#Headers],[Include or Exclude]], 0)</f>
        <v>0.223</v>
      </c>
      <c r="N92" s="111" t="str" cm="1">
        <f t="array" ref="N92">Common_InputFunctions.Utility_DisplayArrayInTable(Fertiliser_SourceData.Fertiliser_Products_Data1(),FertiliserProducts[[#Headers],[Include or Exclude]], 0)</f>
        <v/>
      </c>
      <c r="O92" s="111" t="str" cm="1">
        <f t="array" ref="O92">Common_InputFunctions.Utility_DisplayArrayInTable(Fertiliser_SourceData.Fertiliser_Products_Data1(),FertiliserProducts[[#Headers],[Include or Exclude]], 0)</f>
        <v/>
      </c>
      <c r="P92" s="111" t="str" cm="1">
        <f t="array" ref="P92">Common_InputFunctions.Utility_DisplayArrayInTable(Fertiliser_SourceData.Fertiliser_Products_Data1(),FertiliserProducts[[#Headers],[Include or Exclude]], 0)</f>
        <v/>
      </c>
      <c r="Q92" s="111" t="str" cm="1">
        <f t="array" ref="Q92">Common_InputFunctions.Utility_DisplayArrayInTable(Fertiliser_SourceData.Fertiliser_Products_Data1(),FertiliserProducts[[#Headers],[Include or Exclude]], 0)</f>
        <v/>
      </c>
      <c r="R92" s="111" t="str" cm="1">
        <f t="array" ref="R92">Common_InputFunctions.Utility_DisplayArrayInTable(Fertiliser_SourceData.Fertiliser_Products_Data1(),FertiliserProducts[[#Headers],[Include or Exclude]], 0)</f>
        <v/>
      </c>
      <c r="S92" s="111" t="str" cm="1">
        <f t="array" ref="S92">Common_InputFunctions.Utility_DisplayArrayInTable(Fertiliser_SourceData.Fertiliser_Products_Data1(),FertiliserProducts[[#Headers],[Include or Exclude]], 0)</f>
        <v/>
      </c>
      <c r="T92" s="111" t="str" cm="1">
        <f t="array" ref="T92">Common_InputFunctions.Utility_DisplayArrayInTable(Fertiliser_SourceData.Fertiliser_Products_Data1(),FertiliserProducts[[#Headers],[Include or Exclude]], 0)</f>
        <v/>
      </c>
      <c r="U92" s="111" t="str" cm="1">
        <f t="array" ref="U92">Common_InputFunctions.Utility_DisplayArrayInTable(Fertiliser_SourceData.Fertiliser_Products_Data1(),FertiliserProducts[[#Headers],[Include or Exclude]], 0)</f>
        <v/>
      </c>
      <c r="V92" s="37" t="str" cm="1">
        <f t="array" ref="V92">Common_InputFunctions.Utility_DisplayArrayInTable(Fertiliser_SourceData.Fertiliser_Products_Data1(),FertiliserProducts[[#Headers],[Include or Exclude]], 0)</f>
        <v/>
      </c>
      <c r="W92" s="37" t="str" cm="1">
        <f t="array" ref="W92">Common_InputFunctions.Utility_DisplayArrayInTable(Fertiliser_SourceData.Fertiliser_Products_Data1(),FertiliserProducts[[#Headers],[Include or Exclude]], 0)</f>
        <v/>
      </c>
      <c r="X92" s="37" t="str" cm="1">
        <f t="array" ref="X92">Common_InputFunctions.Utility_DisplayArrayInTable(Fertiliser_SourceData.Fertiliser_Products_Data1(),FertiliserProducts[[#Headers],[Include or Exclude]], 0)</f>
        <v/>
      </c>
      <c r="Y92" s="37" t="str" cm="1">
        <f t="array" ref="Y92">Common_InputFunctions.Utility_DisplayArrayInTable(Fertiliser_SourceData.Fertiliser_Products_Data1(),FertiliserProducts[[#Headers],[Include or Exclude]], 0)</f>
        <v/>
      </c>
      <c r="Z92" s="37" t="str" cm="1">
        <f t="array" ref="Z92">Common_InputFunctions.Utility_DisplayArrayInTable(Fertiliser_SourceData.Fertiliser_Products_Data1(),FertiliserProducts[[#Headers],[Include or Exclude]], 0)</f>
        <v/>
      </c>
      <c r="AA92" s="37" t="str" cm="1">
        <f t="array" ref="AA92">Common_InputFunctions.Utility_DisplayArrayInTable(Fertiliser_SourceData.Fertiliser_Products_Data1(),FertiliserProducts[[#Headers],[Include or Exclude]], 0)</f>
        <v/>
      </c>
      <c r="AB92" s="37" t="str" cm="1">
        <f t="array" ref="AB92">Common_InputFunctions.Utility_DisplayArrayInTable(Fertiliser_SourceData.Fertiliser_Products_Data1(),FertiliserProducts[[#Headers],[Include or Exclude]], 0)</f>
        <v/>
      </c>
      <c r="AC92" s="37" t="str" cm="1">
        <f t="array" ref="AC92">Common_InputFunctions.Utility_DisplayArrayInTable(Fertiliser_SourceData.Fertiliser_Products_Data1(),FertiliserProducts[[#Headers],[Include or Exclude]], 0)</f>
        <v/>
      </c>
      <c r="AD92" s="37" t="str" cm="1">
        <f t="array" ref="AD92">Common_InputFunctions.Utility_DisplayArrayInTable(Fertiliser_SourceData.Fertiliser_Products_Data1(),FertiliserProducts[[#Headers],[Include or Exclude]], 0)</f>
        <v/>
      </c>
      <c r="AE92" s="37" t="str" cm="1">
        <f t="array" ref="AE92">Common_InputFunctions.Utility_DisplayArrayInTable(Fertiliser_SourceData.Fertiliser_Products_Data1(),FertiliserProducts[[#Headers],[Include or Exclude]], 0)</f>
        <v/>
      </c>
    </row>
    <row r="93" spans="4:31" ht="20.100000000000001" customHeight="1" x14ac:dyDescent="0.25">
      <c r="D93" s="111" t="str" cm="1">
        <f t="array" ref="D93">Common_InputFunctions.Utility_DisplayArrayInTable(Fertiliser_SourceData.Fertiliser_Products_Data1(),FertiliserProducts[[#Headers],[Include or Exclude]], 0)</f>
        <v>Include</v>
      </c>
      <c r="E93" s="111" t="str" cm="1">
        <f t="array" ref="E93">Common_InputFunctions.Utility_DisplayArrayInTable(Fertiliser_SourceData.Fertiliser_Products_Data1(),FertiliserProducts[[#Headers],[Include or Exclude]], 0)</f>
        <v/>
      </c>
      <c r="F93" s="111" t="str" cm="1">
        <f t="array" ref="F93">Common_InputFunctions.Utility_DisplayArrayInTable(Fertiliser_SourceData.Fertiliser_Products_Data1(),FertiliserProducts[[#Headers],[Include or Exclude]], 0)</f>
        <v>Campbells fertilisers Australia</v>
      </c>
      <c r="G93" s="111" t="str" cm="1">
        <f t="array" ref="G93">Common_InputFunctions.Utility_DisplayArrayInTable(Fertiliser_SourceData.Fertiliser_Products_Data1(),FertiliserProducts[[#Headers],[Include or Exclude]], 0)</f>
        <v>Aqua Start</v>
      </c>
      <c r="H93" s="111" t="str" cm="1">
        <f t="array" ref="H93">Common_InputFunctions.Utility_DisplayArrayInTable(Fertiliser_SourceData.Fertiliser_Products_Data1(),FertiliserProducts[[#Headers],[Include or Exclude]], 0)</f>
        <v>L</v>
      </c>
      <c r="I93" s="111" cm="1">
        <f t="array" ref="I93">Common_InputFunctions.Utility_DisplayArrayInTable(Fertiliser_SourceData.Fertiliser_Products_Data1(),FertiliserProducts[[#Headers],[Include or Exclude]], 0)</f>
        <v>1.25</v>
      </c>
      <c r="J93" s="111" t="str" cm="1">
        <f t="array" ref="J93">Common_InputFunctions.Utility_DisplayArrayInTable(Fertiliser_SourceData.Fertiliser_Products_Data1(),FertiliserProducts[[#Headers],[Include or Exclude]], 0)</f>
        <v/>
      </c>
      <c r="K93" s="111" t="str" cm="1">
        <f t="array" ref="K93">Common_InputFunctions.Utility_DisplayArrayInTable(Fertiliser_SourceData.Fertiliser_Products_Data1(),FertiliserProducts[[#Headers],[Include or Exclude]], 0)</f>
        <v/>
      </c>
      <c r="L93" s="111" t="str" cm="1">
        <f t="array" ref="L93">Common_InputFunctions.Utility_DisplayArrayInTable(Fertiliser_SourceData.Fertiliser_Products_Data1(),FertiliserProducts[[#Headers],[Include or Exclude]], 0)</f>
        <v>Nitrogen - Generic</v>
      </c>
      <c r="M93" s="37" cm="1">
        <f t="array" ref="M93">Common_InputFunctions.Utility_DisplayArrayInTable(Fertiliser_SourceData.Fertiliser_Products_Data1(),FertiliserProducts[[#Headers],[Include or Exclude]], 0)</f>
        <v>0.10299999999999999</v>
      </c>
      <c r="N93" s="111" t="str" cm="1">
        <f t="array" ref="N93">Common_InputFunctions.Utility_DisplayArrayInTable(Fertiliser_SourceData.Fertiliser_Products_Data1(),FertiliserProducts[[#Headers],[Include or Exclude]], 0)</f>
        <v>Phosphorus - Generic</v>
      </c>
      <c r="O93" s="111" cm="1">
        <f t="array" ref="O93">Common_InputFunctions.Utility_DisplayArrayInTable(Fertiliser_SourceData.Fertiliser_Products_Data1(),FertiliserProducts[[#Headers],[Include or Exclude]], 0)</f>
        <v>0.1</v>
      </c>
      <c r="P93" s="111" t="str" cm="1">
        <f t="array" ref="P93">Common_InputFunctions.Utility_DisplayArrayInTable(Fertiliser_SourceData.Fertiliser_Products_Data1(),FertiliserProducts[[#Headers],[Include or Exclude]], 0)</f>
        <v>Potassium - Generic</v>
      </c>
      <c r="Q93" s="111" cm="1">
        <f t="array" ref="Q93">Common_InputFunctions.Utility_DisplayArrayInTable(Fertiliser_SourceData.Fertiliser_Products_Data1(),FertiliserProducts[[#Headers],[Include or Exclude]], 0)</f>
        <v>3.4000000000000002E-2</v>
      </c>
      <c r="R93" s="111" t="str" cm="1">
        <f t="array" ref="R93">Common_InputFunctions.Utility_DisplayArrayInTable(Fertiliser_SourceData.Fertiliser_Products_Data1(),FertiliserProducts[[#Headers],[Include or Exclude]], 0)</f>
        <v/>
      </c>
      <c r="S93" s="111" t="str" cm="1">
        <f t="array" ref="S93">Common_InputFunctions.Utility_DisplayArrayInTable(Fertiliser_SourceData.Fertiliser_Products_Data1(),FertiliserProducts[[#Headers],[Include or Exclude]], 0)</f>
        <v/>
      </c>
      <c r="T93" s="111" t="str" cm="1">
        <f t="array" ref="T93">Common_InputFunctions.Utility_DisplayArrayInTable(Fertiliser_SourceData.Fertiliser_Products_Data1(),FertiliserProducts[[#Headers],[Include or Exclude]], 0)</f>
        <v/>
      </c>
      <c r="U93" s="111" t="str" cm="1">
        <f t="array" ref="U93">Common_InputFunctions.Utility_DisplayArrayInTable(Fertiliser_SourceData.Fertiliser_Products_Data1(),FertiliserProducts[[#Headers],[Include or Exclude]], 0)</f>
        <v/>
      </c>
      <c r="V93" s="37" t="str" cm="1">
        <f t="array" ref="V93">Common_InputFunctions.Utility_DisplayArrayInTable(Fertiliser_SourceData.Fertiliser_Products_Data1(),FertiliserProducts[[#Headers],[Include or Exclude]], 0)</f>
        <v/>
      </c>
      <c r="W93" s="37" t="str" cm="1">
        <f t="array" ref="W93">Common_InputFunctions.Utility_DisplayArrayInTable(Fertiliser_SourceData.Fertiliser_Products_Data1(),FertiliserProducts[[#Headers],[Include or Exclude]], 0)</f>
        <v/>
      </c>
      <c r="X93" s="37" t="str" cm="1">
        <f t="array" ref="X93">Common_InputFunctions.Utility_DisplayArrayInTable(Fertiliser_SourceData.Fertiliser_Products_Data1(),FertiliserProducts[[#Headers],[Include or Exclude]], 0)</f>
        <v/>
      </c>
      <c r="Y93" s="37" t="str" cm="1">
        <f t="array" ref="Y93">Common_InputFunctions.Utility_DisplayArrayInTable(Fertiliser_SourceData.Fertiliser_Products_Data1(),FertiliserProducts[[#Headers],[Include or Exclude]], 0)</f>
        <v/>
      </c>
      <c r="Z93" s="37" t="str" cm="1">
        <f t="array" ref="Z93">Common_InputFunctions.Utility_DisplayArrayInTable(Fertiliser_SourceData.Fertiliser_Products_Data1(),FertiliserProducts[[#Headers],[Include or Exclude]], 0)</f>
        <v/>
      </c>
      <c r="AA93" s="37" t="str" cm="1">
        <f t="array" ref="AA93">Common_InputFunctions.Utility_DisplayArrayInTable(Fertiliser_SourceData.Fertiliser_Products_Data1(),FertiliserProducts[[#Headers],[Include or Exclude]], 0)</f>
        <v/>
      </c>
      <c r="AB93" s="37" t="str" cm="1">
        <f t="array" ref="AB93">Common_InputFunctions.Utility_DisplayArrayInTable(Fertiliser_SourceData.Fertiliser_Products_Data1(),FertiliserProducts[[#Headers],[Include or Exclude]], 0)</f>
        <v/>
      </c>
      <c r="AC93" s="37" t="str" cm="1">
        <f t="array" ref="AC93">Common_InputFunctions.Utility_DisplayArrayInTable(Fertiliser_SourceData.Fertiliser_Products_Data1(),FertiliserProducts[[#Headers],[Include or Exclude]], 0)</f>
        <v/>
      </c>
      <c r="AD93" s="37" t="str" cm="1">
        <f t="array" ref="AD93">Common_InputFunctions.Utility_DisplayArrayInTable(Fertiliser_SourceData.Fertiliser_Products_Data1(),FertiliserProducts[[#Headers],[Include or Exclude]], 0)</f>
        <v/>
      </c>
      <c r="AE93" s="37" t="str" cm="1">
        <f t="array" ref="AE93">Common_InputFunctions.Utility_DisplayArrayInTable(Fertiliser_SourceData.Fertiliser_Products_Data1(),FertiliserProducts[[#Headers],[Include or Exclude]], 0)</f>
        <v/>
      </c>
    </row>
    <row r="94" spans="4:31" ht="20.100000000000001" customHeight="1" x14ac:dyDescent="0.25">
      <c r="D94" s="111" t="str" cm="1">
        <f t="array" ref="D94">Common_InputFunctions.Utility_DisplayArrayInTable(Fertiliser_SourceData.Fertiliser_Products_Data1(),FertiliserProducts[[#Headers],[Include or Exclude]], 0)</f>
        <v>Include</v>
      </c>
      <c r="E94" s="111" t="str" cm="1">
        <f t="array" ref="E94">Common_InputFunctions.Utility_DisplayArrayInTable(Fertiliser_SourceData.Fertiliser_Products_Data1(),FertiliserProducts[[#Headers],[Include or Exclude]], 0)</f>
        <v/>
      </c>
      <c r="F94" s="111" t="str" cm="1">
        <f t="array" ref="F94">Common_InputFunctions.Utility_DisplayArrayInTable(Fertiliser_SourceData.Fertiliser_Products_Data1(),FertiliserProducts[[#Headers],[Include or Exclude]], 0)</f>
        <v>Campbells fertilisers Australia</v>
      </c>
      <c r="G94" s="111" t="str" cm="1">
        <f t="array" ref="G94">Common_InputFunctions.Utility_DisplayArrayInTable(Fertiliser_SourceData.Fertiliser_Products_Data1(),FertiliserProducts[[#Headers],[Include or Exclude]], 0)</f>
        <v>Aqua Thio-Complete</v>
      </c>
      <c r="H94" s="111" t="str" cm="1">
        <f t="array" ref="H94">Common_InputFunctions.Utility_DisplayArrayInTable(Fertiliser_SourceData.Fertiliser_Products_Data1(),FertiliserProducts[[#Headers],[Include or Exclude]], 0)</f>
        <v>L</v>
      </c>
      <c r="I94" s="111" cm="1">
        <f t="array" ref="I94">Common_InputFunctions.Utility_DisplayArrayInTable(Fertiliser_SourceData.Fertiliser_Products_Data1(),FertiliserProducts[[#Headers],[Include or Exclude]], 0)</f>
        <v>1.43</v>
      </c>
      <c r="J94" s="111" t="str" cm="1">
        <f t="array" ref="J94">Common_InputFunctions.Utility_DisplayArrayInTable(Fertiliser_SourceData.Fertiliser_Products_Data1(),FertiliserProducts[[#Headers],[Include or Exclude]], 0)</f>
        <v/>
      </c>
      <c r="K94" s="111" t="str" cm="1">
        <f t="array" ref="K94">Common_InputFunctions.Utility_DisplayArrayInTable(Fertiliser_SourceData.Fertiliser_Products_Data1(),FertiliserProducts[[#Headers],[Include or Exclude]], 0)</f>
        <v/>
      </c>
      <c r="L94" s="111" t="str" cm="1">
        <f t="array" ref="L94">Common_InputFunctions.Utility_DisplayArrayInTable(Fertiliser_SourceData.Fertiliser_Products_Data1(),FertiliserProducts[[#Headers],[Include or Exclude]], 0)</f>
        <v>Potassium - Generic</v>
      </c>
      <c r="M94" s="37" cm="1">
        <f t="array" ref="M94">Common_InputFunctions.Utility_DisplayArrayInTable(Fertiliser_SourceData.Fertiliser_Products_Data1(),FertiliserProducts[[#Headers],[Include or Exclude]], 0)</f>
        <v>0.22500000000000001</v>
      </c>
      <c r="N94" s="111" t="str" cm="1">
        <f t="array" ref="N94">Common_InputFunctions.Utility_DisplayArrayInTable(Fertiliser_SourceData.Fertiliser_Products_Data1(),FertiliserProducts[[#Headers],[Include or Exclude]], 0)</f>
        <v>Phosphorus - Generic</v>
      </c>
      <c r="O94" s="111" cm="1">
        <f t="array" ref="O94">Common_InputFunctions.Utility_DisplayArrayInTable(Fertiliser_SourceData.Fertiliser_Products_Data1(),FertiliserProducts[[#Headers],[Include or Exclude]], 0)</f>
        <v>3.7999999999999999E-2</v>
      </c>
      <c r="P94" s="111" t="str" cm="1">
        <f t="array" ref="P94">Common_InputFunctions.Utility_DisplayArrayInTable(Fertiliser_SourceData.Fertiliser_Products_Data1(),FertiliserProducts[[#Headers],[Include or Exclude]], 0)</f>
        <v>Nitrogen - Generic</v>
      </c>
      <c r="Q94" s="111" cm="1">
        <f t="array" ref="Q94">Common_InputFunctions.Utility_DisplayArrayInTable(Fertiliser_SourceData.Fertiliser_Products_Data1(),FertiliserProducts[[#Headers],[Include or Exclude]], 0)</f>
        <v>2.5000000000000001E-2</v>
      </c>
      <c r="R94" s="111" t="str" cm="1">
        <f t="array" ref="R94">Common_InputFunctions.Utility_DisplayArrayInTable(Fertiliser_SourceData.Fertiliser_Products_Data1(),FertiliserProducts[[#Headers],[Include or Exclude]], 0)</f>
        <v/>
      </c>
      <c r="S94" s="111" t="str" cm="1">
        <f t="array" ref="S94">Common_InputFunctions.Utility_DisplayArrayInTable(Fertiliser_SourceData.Fertiliser_Products_Data1(),FertiliserProducts[[#Headers],[Include or Exclude]], 0)</f>
        <v/>
      </c>
      <c r="T94" s="111" t="str" cm="1">
        <f t="array" ref="T94">Common_InputFunctions.Utility_DisplayArrayInTable(Fertiliser_SourceData.Fertiliser_Products_Data1(),FertiliserProducts[[#Headers],[Include or Exclude]], 0)</f>
        <v/>
      </c>
      <c r="U94" s="111" t="str" cm="1">
        <f t="array" ref="U94">Common_InputFunctions.Utility_DisplayArrayInTable(Fertiliser_SourceData.Fertiliser_Products_Data1(),FertiliserProducts[[#Headers],[Include or Exclude]], 0)</f>
        <v/>
      </c>
      <c r="V94" s="37" t="str" cm="1">
        <f t="array" ref="V94">Common_InputFunctions.Utility_DisplayArrayInTable(Fertiliser_SourceData.Fertiliser_Products_Data1(),FertiliserProducts[[#Headers],[Include or Exclude]], 0)</f>
        <v/>
      </c>
      <c r="W94" s="37" t="str" cm="1">
        <f t="array" ref="W94">Common_InputFunctions.Utility_DisplayArrayInTable(Fertiliser_SourceData.Fertiliser_Products_Data1(),FertiliserProducts[[#Headers],[Include or Exclude]], 0)</f>
        <v/>
      </c>
      <c r="X94" s="37" t="str" cm="1">
        <f t="array" ref="X94">Common_InputFunctions.Utility_DisplayArrayInTable(Fertiliser_SourceData.Fertiliser_Products_Data1(),FertiliserProducts[[#Headers],[Include or Exclude]], 0)</f>
        <v/>
      </c>
      <c r="Y94" s="37" t="str" cm="1">
        <f t="array" ref="Y94">Common_InputFunctions.Utility_DisplayArrayInTable(Fertiliser_SourceData.Fertiliser_Products_Data1(),FertiliserProducts[[#Headers],[Include or Exclude]], 0)</f>
        <v/>
      </c>
      <c r="Z94" s="37" t="str" cm="1">
        <f t="array" ref="Z94">Common_InputFunctions.Utility_DisplayArrayInTable(Fertiliser_SourceData.Fertiliser_Products_Data1(),FertiliserProducts[[#Headers],[Include or Exclude]], 0)</f>
        <v/>
      </c>
      <c r="AA94" s="37" t="str" cm="1">
        <f t="array" ref="AA94">Common_InputFunctions.Utility_DisplayArrayInTable(Fertiliser_SourceData.Fertiliser_Products_Data1(),FertiliserProducts[[#Headers],[Include or Exclude]], 0)</f>
        <v/>
      </c>
      <c r="AB94" s="37" t="str" cm="1">
        <f t="array" ref="AB94">Common_InputFunctions.Utility_DisplayArrayInTable(Fertiliser_SourceData.Fertiliser_Products_Data1(),FertiliserProducts[[#Headers],[Include or Exclude]], 0)</f>
        <v/>
      </c>
      <c r="AC94" s="37" t="str" cm="1">
        <f t="array" ref="AC94">Common_InputFunctions.Utility_DisplayArrayInTable(Fertiliser_SourceData.Fertiliser_Products_Data1(),FertiliserProducts[[#Headers],[Include or Exclude]], 0)</f>
        <v/>
      </c>
      <c r="AD94" s="37" t="str" cm="1">
        <f t="array" ref="AD94">Common_InputFunctions.Utility_DisplayArrayInTable(Fertiliser_SourceData.Fertiliser_Products_Data1(),FertiliserProducts[[#Headers],[Include or Exclude]], 0)</f>
        <v/>
      </c>
      <c r="AE94" s="37" t="str" cm="1">
        <f t="array" ref="AE94">Common_InputFunctions.Utility_DisplayArrayInTable(Fertiliser_SourceData.Fertiliser_Products_Data1(),FertiliserProducts[[#Headers],[Include or Exclude]], 0)</f>
        <v/>
      </c>
    </row>
    <row r="95" spans="4:31" ht="20.100000000000001" customHeight="1" x14ac:dyDescent="0.25">
      <c r="D95" s="111" t="str" cm="1">
        <f t="array" ref="D95">Common_InputFunctions.Utility_DisplayArrayInTable(Fertiliser_SourceData.Fertiliser_Products_Data1(),FertiliserProducts[[#Headers],[Include or Exclude]], 0)</f>
        <v>Include</v>
      </c>
      <c r="E95" s="111" t="str" cm="1">
        <f t="array" ref="E95">Common_InputFunctions.Utility_DisplayArrayInTable(Fertiliser_SourceData.Fertiliser_Products_Data1(),FertiliserProducts[[#Headers],[Include or Exclude]], 0)</f>
        <v/>
      </c>
      <c r="F95" s="111" t="str" cm="1">
        <f t="array" ref="F95">Common_InputFunctions.Utility_DisplayArrayInTable(Fertiliser_SourceData.Fertiliser_Products_Data1(),FertiliserProducts[[#Headers],[Include or Exclude]], 0)</f>
        <v>Campbells fertilisers Australia</v>
      </c>
      <c r="G95" s="111" t="str" cm="1">
        <f t="array" ref="G95">Common_InputFunctions.Utility_DisplayArrayInTable(Fertiliser_SourceData.Fertiliser_Products_Data1(),FertiliserProducts[[#Headers],[Include or Exclude]], 0)</f>
        <v>Aqua Thio-Emerge</v>
      </c>
      <c r="H95" s="111" t="str" cm="1">
        <f t="array" ref="H95">Common_InputFunctions.Utility_DisplayArrayInTable(Fertiliser_SourceData.Fertiliser_Products_Data1(),FertiliserProducts[[#Headers],[Include or Exclude]], 0)</f>
        <v>L</v>
      </c>
      <c r="I95" s="111" cm="1">
        <f t="array" ref="I95">Common_InputFunctions.Utility_DisplayArrayInTable(Fertiliser_SourceData.Fertiliser_Products_Data1(),FertiliserProducts[[#Headers],[Include or Exclude]], 0)</f>
        <v>1.29</v>
      </c>
      <c r="J95" s="111" t="str" cm="1">
        <f t="array" ref="J95">Common_InputFunctions.Utility_DisplayArrayInTable(Fertiliser_SourceData.Fertiliser_Products_Data1(),FertiliserProducts[[#Headers],[Include or Exclude]], 0)</f>
        <v/>
      </c>
      <c r="K95" s="111" t="str" cm="1">
        <f t="array" ref="K95">Common_InputFunctions.Utility_DisplayArrayInTable(Fertiliser_SourceData.Fertiliser_Products_Data1(),FertiliserProducts[[#Headers],[Include or Exclude]], 0)</f>
        <v/>
      </c>
      <c r="L95" s="111" t="str" cm="1">
        <f t="array" ref="L95">Common_InputFunctions.Utility_DisplayArrayInTable(Fertiliser_SourceData.Fertiliser_Products_Data1(),FertiliserProducts[[#Headers],[Include or Exclude]], 0)</f>
        <v>Nitrogen - Generic</v>
      </c>
      <c r="M95" s="37" cm="1">
        <f t="array" ref="M95">Common_InputFunctions.Utility_DisplayArrayInTable(Fertiliser_SourceData.Fertiliser_Products_Data1(),FertiliserProducts[[#Headers],[Include or Exclude]], 0)</f>
        <v>0.105</v>
      </c>
      <c r="N95" s="111" t="str" cm="1">
        <f t="array" ref="N95">Common_InputFunctions.Utility_DisplayArrayInTable(Fertiliser_SourceData.Fertiliser_Products_Data1(),FertiliserProducts[[#Headers],[Include or Exclude]], 0)</f>
        <v>Phosphorus - Generic</v>
      </c>
      <c r="O95" s="111" cm="1">
        <f t="array" ref="O95">Common_InputFunctions.Utility_DisplayArrayInTable(Fertiliser_SourceData.Fertiliser_Products_Data1(),FertiliserProducts[[#Headers],[Include or Exclude]], 0)</f>
        <v>9.4E-2</v>
      </c>
      <c r="P95" s="111" t="str" cm="1">
        <f t="array" ref="P95">Common_InputFunctions.Utility_DisplayArrayInTable(Fertiliser_SourceData.Fertiliser_Products_Data1(),FertiliserProducts[[#Headers],[Include or Exclude]], 0)</f>
        <v>Potassium - Generic</v>
      </c>
      <c r="Q95" s="111" cm="1">
        <f t="array" ref="Q95">Common_InputFunctions.Utility_DisplayArrayInTable(Fertiliser_SourceData.Fertiliser_Products_Data1(),FertiliserProducts[[#Headers],[Include or Exclude]], 0)</f>
        <v>0.04</v>
      </c>
      <c r="R95" s="111" t="str" cm="1">
        <f t="array" ref="R95">Common_InputFunctions.Utility_DisplayArrayInTable(Fertiliser_SourceData.Fertiliser_Products_Data1(),FertiliserProducts[[#Headers],[Include or Exclude]], 0)</f>
        <v>Sulfur - Generic</v>
      </c>
      <c r="S95" s="111" cm="1">
        <f t="array" ref="S95">Common_InputFunctions.Utility_DisplayArrayInTable(Fertiliser_SourceData.Fertiliser_Products_Data1(),FertiliserProducts[[#Headers],[Include or Exclude]], 0)</f>
        <v>0.03</v>
      </c>
      <c r="T95" s="111" t="str" cm="1">
        <f t="array" ref="T95">Common_InputFunctions.Utility_DisplayArrayInTable(Fertiliser_SourceData.Fertiliser_Products_Data1(),FertiliserProducts[[#Headers],[Include or Exclude]], 0)</f>
        <v/>
      </c>
      <c r="U95" s="111" t="str" cm="1">
        <f t="array" ref="U95">Common_InputFunctions.Utility_DisplayArrayInTable(Fertiliser_SourceData.Fertiliser_Products_Data1(),FertiliserProducts[[#Headers],[Include or Exclude]], 0)</f>
        <v/>
      </c>
      <c r="V95" s="37" t="str" cm="1">
        <f t="array" ref="V95">Common_InputFunctions.Utility_DisplayArrayInTable(Fertiliser_SourceData.Fertiliser_Products_Data1(),FertiliserProducts[[#Headers],[Include or Exclude]], 0)</f>
        <v/>
      </c>
      <c r="W95" s="37" t="str" cm="1">
        <f t="array" ref="W95">Common_InputFunctions.Utility_DisplayArrayInTable(Fertiliser_SourceData.Fertiliser_Products_Data1(),FertiliserProducts[[#Headers],[Include or Exclude]], 0)</f>
        <v/>
      </c>
      <c r="X95" s="37" t="str" cm="1">
        <f t="array" ref="X95">Common_InputFunctions.Utility_DisplayArrayInTable(Fertiliser_SourceData.Fertiliser_Products_Data1(),FertiliserProducts[[#Headers],[Include or Exclude]], 0)</f>
        <v/>
      </c>
      <c r="Y95" s="37" t="str" cm="1">
        <f t="array" ref="Y95">Common_InputFunctions.Utility_DisplayArrayInTable(Fertiliser_SourceData.Fertiliser_Products_Data1(),FertiliserProducts[[#Headers],[Include or Exclude]], 0)</f>
        <v/>
      </c>
      <c r="Z95" s="37" t="str" cm="1">
        <f t="array" ref="Z95">Common_InputFunctions.Utility_DisplayArrayInTable(Fertiliser_SourceData.Fertiliser_Products_Data1(),FertiliserProducts[[#Headers],[Include or Exclude]], 0)</f>
        <v/>
      </c>
      <c r="AA95" s="37" t="str" cm="1">
        <f t="array" ref="AA95">Common_InputFunctions.Utility_DisplayArrayInTable(Fertiliser_SourceData.Fertiliser_Products_Data1(),FertiliserProducts[[#Headers],[Include or Exclude]], 0)</f>
        <v/>
      </c>
      <c r="AB95" s="37" t="str" cm="1">
        <f t="array" ref="AB95">Common_InputFunctions.Utility_DisplayArrayInTable(Fertiliser_SourceData.Fertiliser_Products_Data1(),FertiliserProducts[[#Headers],[Include or Exclude]], 0)</f>
        <v/>
      </c>
      <c r="AC95" s="37" t="str" cm="1">
        <f t="array" ref="AC95">Common_InputFunctions.Utility_DisplayArrayInTable(Fertiliser_SourceData.Fertiliser_Products_Data1(),FertiliserProducts[[#Headers],[Include or Exclude]], 0)</f>
        <v/>
      </c>
      <c r="AD95" s="37" t="str" cm="1">
        <f t="array" ref="AD95">Common_InputFunctions.Utility_DisplayArrayInTable(Fertiliser_SourceData.Fertiliser_Products_Data1(),FertiliserProducts[[#Headers],[Include or Exclude]], 0)</f>
        <v/>
      </c>
      <c r="AE95" s="37" t="str" cm="1">
        <f t="array" ref="AE95">Common_InputFunctions.Utility_DisplayArrayInTable(Fertiliser_SourceData.Fertiliser_Products_Data1(),FertiliserProducts[[#Headers],[Include or Exclude]], 0)</f>
        <v/>
      </c>
    </row>
    <row r="96" spans="4:31" ht="20.100000000000001" customHeight="1" x14ac:dyDescent="0.25">
      <c r="D96" s="111" t="str" cm="1">
        <f t="array" ref="D96">Common_InputFunctions.Utility_DisplayArrayInTable(Fertiliser_SourceData.Fertiliser_Products_Data1(),FertiliserProducts[[#Headers],[Include or Exclude]], 0)</f>
        <v>Include</v>
      </c>
      <c r="E96" s="111" t="str" cm="1">
        <f t="array" ref="E96">Common_InputFunctions.Utility_DisplayArrayInTable(Fertiliser_SourceData.Fertiliser_Products_Data1(),FertiliserProducts[[#Headers],[Include or Exclude]], 0)</f>
        <v/>
      </c>
      <c r="F96" s="111" t="str" cm="1">
        <f t="array" ref="F96">Common_InputFunctions.Utility_DisplayArrayInTable(Fertiliser_SourceData.Fertiliser_Products_Data1(),FertiliserProducts[[#Headers],[Include or Exclude]], 0)</f>
        <v>Campbells fertilisers Australia</v>
      </c>
      <c r="G96" s="111" t="str" cm="1">
        <f t="array" ref="G96">Common_InputFunctions.Utility_DisplayArrayInTable(Fertiliser_SourceData.Fertiliser_Products_Data1(),FertiliserProducts[[#Headers],[Include or Exclude]], 0)</f>
        <v>Aqua Thio-Flourish</v>
      </c>
      <c r="H96" s="111" t="str" cm="1">
        <f t="array" ref="H96">Common_InputFunctions.Utility_DisplayArrayInTable(Fertiliser_SourceData.Fertiliser_Products_Data1(),FertiliserProducts[[#Headers],[Include or Exclude]], 0)</f>
        <v>L</v>
      </c>
      <c r="I96" s="111" cm="1">
        <f t="array" ref="I96">Common_InputFunctions.Utility_DisplayArrayInTable(Fertiliser_SourceData.Fertiliser_Products_Data1(),FertiliserProducts[[#Headers],[Include or Exclude]], 0)</f>
        <v>1.32</v>
      </c>
      <c r="J96" s="111" t="str" cm="1">
        <f t="array" ref="J96">Common_InputFunctions.Utility_DisplayArrayInTable(Fertiliser_SourceData.Fertiliser_Products_Data1(),FertiliserProducts[[#Headers],[Include or Exclude]], 0)</f>
        <v/>
      </c>
      <c r="K96" s="111" t="str" cm="1">
        <f t="array" ref="K96">Common_InputFunctions.Utility_DisplayArrayInTable(Fertiliser_SourceData.Fertiliser_Products_Data1(),FertiliserProducts[[#Headers],[Include or Exclude]], 0)</f>
        <v/>
      </c>
      <c r="L96" s="111" t="str" cm="1">
        <f t="array" ref="L96">Common_InputFunctions.Utility_DisplayArrayInTable(Fertiliser_SourceData.Fertiliser_Products_Data1(),FertiliserProducts[[#Headers],[Include or Exclude]], 0)</f>
        <v>Potassium - Generic</v>
      </c>
      <c r="M96" s="37" cm="1">
        <f t="array" ref="M96">Common_InputFunctions.Utility_DisplayArrayInTable(Fertiliser_SourceData.Fertiliser_Products_Data1(),FertiliserProducts[[#Headers],[Include or Exclude]], 0)</f>
        <v>0.108</v>
      </c>
      <c r="N96" s="111" t="str" cm="1">
        <f t="array" ref="N96">Common_InputFunctions.Utility_DisplayArrayInTable(Fertiliser_SourceData.Fertiliser_Products_Data1(),FertiliserProducts[[#Headers],[Include or Exclude]], 0)</f>
        <v>Nitrogen - Generic</v>
      </c>
      <c r="O96" s="111" cm="1">
        <f t="array" ref="O96">Common_InputFunctions.Utility_DisplayArrayInTable(Fertiliser_SourceData.Fertiliser_Products_Data1(),FertiliserProducts[[#Headers],[Include or Exclude]], 0)</f>
        <v>9.5000000000000001E-2</v>
      </c>
      <c r="P96" s="111" t="str" cm="1">
        <f t="array" ref="P96">Common_InputFunctions.Utility_DisplayArrayInTable(Fertiliser_SourceData.Fertiliser_Products_Data1(),FertiliserProducts[[#Headers],[Include or Exclude]], 0)</f>
        <v>Sulfur - Generic</v>
      </c>
      <c r="Q96" s="111" cm="1">
        <f t="array" ref="Q96">Common_InputFunctions.Utility_DisplayArrayInTable(Fertiliser_SourceData.Fertiliser_Products_Data1(),FertiliserProducts[[#Headers],[Include or Exclude]], 0)</f>
        <v>8.1000000000000003E-2</v>
      </c>
      <c r="R96" s="111" t="str" cm="1">
        <f t="array" ref="R96">Common_InputFunctions.Utility_DisplayArrayInTable(Fertiliser_SourceData.Fertiliser_Products_Data1(),FertiliserProducts[[#Headers],[Include or Exclude]], 0)</f>
        <v>Phosphorus - Generic</v>
      </c>
      <c r="S96" s="111" cm="1">
        <f t="array" ref="S96">Common_InputFunctions.Utility_DisplayArrayInTable(Fertiliser_SourceData.Fertiliser_Products_Data1(),FertiliserProducts[[#Headers],[Include or Exclude]], 0)</f>
        <v>4.7E-2</v>
      </c>
      <c r="T96" s="111" t="str" cm="1">
        <f t="array" ref="T96">Common_InputFunctions.Utility_DisplayArrayInTable(Fertiliser_SourceData.Fertiliser_Products_Data1(),FertiliserProducts[[#Headers],[Include or Exclude]], 0)</f>
        <v/>
      </c>
      <c r="U96" s="111" t="str" cm="1">
        <f t="array" ref="U96">Common_InputFunctions.Utility_DisplayArrayInTable(Fertiliser_SourceData.Fertiliser_Products_Data1(),FertiliserProducts[[#Headers],[Include or Exclude]], 0)</f>
        <v/>
      </c>
      <c r="V96" s="37" t="str" cm="1">
        <f t="array" ref="V96">Common_InputFunctions.Utility_DisplayArrayInTable(Fertiliser_SourceData.Fertiliser_Products_Data1(),FertiliserProducts[[#Headers],[Include or Exclude]], 0)</f>
        <v/>
      </c>
      <c r="W96" s="37" t="str" cm="1">
        <f t="array" ref="W96">Common_InputFunctions.Utility_DisplayArrayInTable(Fertiliser_SourceData.Fertiliser_Products_Data1(),FertiliserProducts[[#Headers],[Include or Exclude]], 0)</f>
        <v/>
      </c>
      <c r="X96" s="37" t="str" cm="1">
        <f t="array" ref="X96">Common_InputFunctions.Utility_DisplayArrayInTable(Fertiliser_SourceData.Fertiliser_Products_Data1(),FertiliserProducts[[#Headers],[Include or Exclude]], 0)</f>
        <v/>
      </c>
      <c r="Y96" s="37" t="str" cm="1">
        <f t="array" ref="Y96">Common_InputFunctions.Utility_DisplayArrayInTable(Fertiliser_SourceData.Fertiliser_Products_Data1(),FertiliserProducts[[#Headers],[Include or Exclude]], 0)</f>
        <v/>
      </c>
      <c r="Z96" s="37" t="str" cm="1">
        <f t="array" ref="Z96">Common_InputFunctions.Utility_DisplayArrayInTable(Fertiliser_SourceData.Fertiliser_Products_Data1(),FertiliserProducts[[#Headers],[Include or Exclude]], 0)</f>
        <v/>
      </c>
      <c r="AA96" s="37" t="str" cm="1">
        <f t="array" ref="AA96">Common_InputFunctions.Utility_DisplayArrayInTable(Fertiliser_SourceData.Fertiliser_Products_Data1(),FertiliserProducts[[#Headers],[Include or Exclude]], 0)</f>
        <v/>
      </c>
      <c r="AB96" s="37" t="str" cm="1">
        <f t="array" ref="AB96">Common_InputFunctions.Utility_DisplayArrayInTable(Fertiliser_SourceData.Fertiliser_Products_Data1(),FertiliserProducts[[#Headers],[Include or Exclude]], 0)</f>
        <v/>
      </c>
      <c r="AC96" s="37" t="str" cm="1">
        <f t="array" ref="AC96">Common_InputFunctions.Utility_DisplayArrayInTable(Fertiliser_SourceData.Fertiliser_Products_Data1(),FertiliserProducts[[#Headers],[Include or Exclude]], 0)</f>
        <v/>
      </c>
      <c r="AD96" s="37" t="str" cm="1">
        <f t="array" ref="AD96">Common_InputFunctions.Utility_DisplayArrayInTable(Fertiliser_SourceData.Fertiliser_Products_Data1(),FertiliserProducts[[#Headers],[Include or Exclude]], 0)</f>
        <v/>
      </c>
      <c r="AE96" s="37" t="str" cm="1">
        <f t="array" ref="AE96">Common_InputFunctions.Utility_DisplayArrayInTable(Fertiliser_SourceData.Fertiliser_Products_Data1(),FertiliserProducts[[#Headers],[Include or Exclude]], 0)</f>
        <v/>
      </c>
    </row>
    <row r="97" spans="4:31" ht="20.100000000000001" customHeight="1" x14ac:dyDescent="0.25">
      <c r="D97" s="111" t="str" cm="1">
        <f t="array" ref="D97">Common_InputFunctions.Utility_DisplayArrayInTable(Fertiliser_SourceData.Fertiliser_Products_Data1(),FertiliserProducts[[#Headers],[Include or Exclude]], 0)</f>
        <v>Include - Absent ingredients &lt; 2%</v>
      </c>
      <c r="E97" s="111" t="str" cm="1">
        <f t="array" ref="E97">Common_InputFunctions.Utility_DisplayArrayInTable(Fertiliser_SourceData.Fertiliser_Products_Data1(),FertiliserProducts[[#Headers],[Include or Exclude]], 0)</f>
        <v>Amount of urea calculated from urea nitrogen amount</v>
      </c>
      <c r="F97" s="111" t="str" cm="1">
        <f t="array" ref="F97">Common_InputFunctions.Utility_DisplayArrayInTable(Fertiliser_SourceData.Fertiliser_Products_Data1(),FertiliserProducts[[#Headers],[Include or Exclude]], 0)</f>
        <v>Campbells fertilisers Australia</v>
      </c>
      <c r="G97" s="111" t="str" cm="1">
        <f t="array" ref="G97">Common_InputFunctions.Utility_DisplayArrayInTable(Fertiliser_SourceData.Fertiliser_Products_Data1(),FertiliserProducts[[#Headers],[Include or Exclude]], 0)</f>
        <v>Boost-It</v>
      </c>
      <c r="H97" s="111" t="str" cm="1">
        <f t="array" ref="H97">Common_InputFunctions.Utility_DisplayArrayInTable(Fertiliser_SourceData.Fertiliser_Products_Data1(),FertiliserProducts[[#Headers],[Include or Exclude]], 0)</f>
        <v>kg</v>
      </c>
      <c r="I97" s="111" cm="1">
        <f t="array" ref="I97">Common_InputFunctions.Utility_DisplayArrayInTable(Fertiliser_SourceData.Fertiliser_Products_Data1(),FertiliserProducts[[#Headers],[Include or Exclude]], 0)</f>
        <v>1</v>
      </c>
      <c r="J97" s="111" t="str" cm="1">
        <f t="array" ref="J97">Common_InputFunctions.Utility_DisplayArrayInTable(Fertiliser_SourceData.Fertiliser_Products_Data1(),FertiliserProducts[[#Headers],[Include or Exclude]], 0)</f>
        <v/>
      </c>
      <c r="K97" s="111" t="str" cm="1">
        <f t="array" ref="K97">Common_InputFunctions.Utility_DisplayArrayInTable(Fertiliser_SourceData.Fertiliser_Products_Data1(),FertiliserProducts[[#Headers],[Include or Exclude]], 0)</f>
        <v/>
      </c>
      <c r="L97" s="111" t="str" cm="1">
        <f t="array" ref="L97">Common_InputFunctions.Utility_DisplayArrayInTable(Fertiliser_SourceData.Fertiliser_Products_Data1(),FertiliserProducts[[#Headers],[Include or Exclude]], 0)</f>
        <v>Urea</v>
      </c>
      <c r="M97" s="37" cm="1">
        <f t="array" ref="M97">Common_InputFunctions.Utility_DisplayArrayInTable(Fertiliser_SourceData.Fertiliser_Products_Data1(),FertiliserProducts[[#Headers],[Include or Exclude]], 0)</f>
        <v>0.52173913000000005</v>
      </c>
      <c r="N97" s="111" t="str" cm="1">
        <f t="array" ref="N97">Common_InputFunctions.Utility_DisplayArrayInTable(Fertiliser_SourceData.Fertiliser_Products_Data1(),FertiliserProducts[[#Headers],[Include or Exclude]], 0)</f>
        <v>Potassium - Generic</v>
      </c>
      <c r="O97" s="111" cm="1">
        <f t="array" ref="O97">Common_InputFunctions.Utility_DisplayArrayInTable(Fertiliser_SourceData.Fertiliser_Products_Data1(),FertiliserProducts[[#Headers],[Include or Exclude]], 0)</f>
        <v>0.08</v>
      </c>
      <c r="P97" s="111" t="str" cm="1">
        <f t="array" ref="P97">Common_InputFunctions.Utility_DisplayArrayInTable(Fertiliser_SourceData.Fertiliser_Products_Data1(),FertiliserProducts[[#Headers],[Include or Exclude]], 0)</f>
        <v>Sulfur - Generic</v>
      </c>
      <c r="Q97" s="111" cm="1">
        <f t="array" ref="Q97">Common_InputFunctions.Utility_DisplayArrayInTable(Fertiliser_SourceData.Fertiliser_Products_Data1(),FertiliserProducts[[#Headers],[Include or Exclude]], 0)</f>
        <v>5.2999999999999999E-2</v>
      </c>
      <c r="R97" s="111" t="str" cm="1">
        <f t="array" ref="R97">Common_InputFunctions.Utility_DisplayArrayInTable(Fertiliser_SourceData.Fertiliser_Products_Data1(),FertiliserProducts[[#Headers],[Include or Exclude]], 0)</f>
        <v>Phosphorus - Generic</v>
      </c>
      <c r="S97" s="111" cm="1">
        <f t="array" ref="S97">Common_InputFunctions.Utility_DisplayArrayInTable(Fertiliser_SourceData.Fertiliser_Products_Data1(),FertiliserProducts[[#Headers],[Include or Exclude]], 0)</f>
        <v>5.1999999999999998E-2</v>
      </c>
      <c r="T97" s="111" t="str" cm="1">
        <f t="array" ref="T97">Common_InputFunctions.Utility_DisplayArrayInTable(Fertiliser_SourceData.Fertiliser_Products_Data1(),FertiliserProducts[[#Headers],[Include or Exclude]], 0)</f>
        <v>Magnesium</v>
      </c>
      <c r="U97" s="111" cm="1">
        <f t="array" ref="U97">Common_InputFunctions.Utility_DisplayArrayInTable(Fertiliser_SourceData.Fertiliser_Products_Data1(),FertiliserProducts[[#Headers],[Include or Exclude]], 0)</f>
        <v>1.2999999999999999E-2</v>
      </c>
      <c r="V97" s="37" t="str" cm="1">
        <f t="array" ref="V97">Common_InputFunctions.Utility_DisplayArrayInTable(Fertiliser_SourceData.Fertiliser_Products_Data1(),FertiliserProducts[[#Headers],[Include or Exclude]], 0)</f>
        <v>Zinc</v>
      </c>
      <c r="W97" s="37" cm="1">
        <f t="array" ref="W97">Common_InputFunctions.Utility_DisplayArrayInTable(Fertiliser_SourceData.Fertiliser_Products_Data1(),FertiliserProducts[[#Headers],[Include or Exclude]], 0)</f>
        <v>2E-3</v>
      </c>
      <c r="X97" s="37" t="str" cm="1">
        <f t="array" ref="X97">Common_InputFunctions.Utility_DisplayArrayInTable(Fertiliser_SourceData.Fertiliser_Products_Data1(),FertiliserProducts[[#Headers],[Include or Exclude]], 0)</f>
        <v>Manganese</v>
      </c>
      <c r="Y97" s="37" cm="1">
        <f t="array" ref="Y97">Common_InputFunctions.Utility_DisplayArrayInTable(Fertiliser_SourceData.Fertiliser_Products_Data1(),FertiliserProducts[[#Headers],[Include or Exclude]], 0)</f>
        <v>3.5000000000000001E-3</v>
      </c>
      <c r="Z97" s="37" t="str" cm="1">
        <f t="array" ref="Z97">Common_InputFunctions.Utility_DisplayArrayInTable(Fertiliser_SourceData.Fertiliser_Products_Data1(),FertiliserProducts[[#Headers],[Include or Exclude]], 0)</f>
        <v>Iron</v>
      </c>
      <c r="AA97" s="37" cm="1">
        <f t="array" ref="AA97">Common_InputFunctions.Utility_DisplayArrayInTable(Fertiliser_SourceData.Fertiliser_Products_Data1(),FertiliserProducts[[#Headers],[Include or Exclude]], 0)</f>
        <v>1.2999999999999999E-3</v>
      </c>
      <c r="AB97" s="37" t="str" cm="1">
        <f t="array" ref="AB97">Common_InputFunctions.Utility_DisplayArrayInTable(Fertiliser_SourceData.Fertiliser_Products_Data1(),FertiliserProducts[[#Headers],[Include or Exclude]], 0)</f>
        <v>Copper</v>
      </c>
      <c r="AC97" s="37" cm="1">
        <f t="array" ref="AC97">Common_InputFunctions.Utility_DisplayArrayInTable(Fertiliser_SourceData.Fertiliser_Products_Data1(),FertiliserProducts[[#Headers],[Include or Exclude]], 0)</f>
        <v>6.9999999999999999E-4</v>
      </c>
      <c r="AD97" s="37" t="str" cm="1">
        <f t="array" ref="AD97">Common_InputFunctions.Utility_DisplayArrayInTable(Fertiliser_SourceData.Fertiliser_Products_Data1(),FertiliserProducts[[#Headers],[Include or Exclude]], 0)</f>
        <v>Boron</v>
      </c>
      <c r="AE97" s="37" cm="1">
        <f t="array" ref="AE97">Common_InputFunctions.Utility_DisplayArrayInTable(Fertiliser_SourceData.Fertiliser_Products_Data1(),FertiliserProducts[[#Headers],[Include or Exclude]], 0)</f>
        <v>6.9999999999999999E-4</v>
      </c>
    </row>
    <row r="98" spans="4:31" ht="20.100000000000001" customHeight="1" x14ac:dyDescent="0.25">
      <c r="D98" s="111" t="str" cm="1">
        <f t="array" ref="D98">Common_InputFunctions.Utility_DisplayArrayInTable(Fertiliser_SourceData.Fertiliser_Products_Data1(),FertiliserProducts[[#Headers],[Include or Exclude]], 0)</f>
        <v>Include</v>
      </c>
      <c r="E98" s="111" t="str" cm="1">
        <f t="array" ref="E98">Common_InputFunctions.Utility_DisplayArrayInTable(Fertiliser_SourceData.Fertiliser_Products_Data1(),FertiliserProducts[[#Headers],[Include or Exclude]], 0)</f>
        <v/>
      </c>
      <c r="F98" s="111" t="str" cm="1">
        <f t="array" ref="F98">Common_InputFunctions.Utility_DisplayArrayInTable(Fertiliser_SourceData.Fertiliser_Products_Data1(),FertiliserProducts[[#Headers],[Include or Exclude]], 0)</f>
        <v>Campbells fertilisers Australia</v>
      </c>
      <c r="G98" s="111" t="str" cm="1">
        <f t="array" ref="G98">Common_InputFunctions.Utility_DisplayArrayInTable(Fertiliser_SourceData.Fertiliser_Products_Data1(),FertiliserProducts[[#Headers],[Include or Exclude]], 0)</f>
        <v>Bronze</v>
      </c>
      <c r="H98" s="111" t="str" cm="1">
        <f t="array" ref="H98">Common_InputFunctions.Utility_DisplayArrayInTable(Fertiliser_SourceData.Fertiliser_Products_Data1(),FertiliserProducts[[#Headers],[Include or Exclude]], 0)</f>
        <v>kg</v>
      </c>
      <c r="I98" s="111" cm="1">
        <f t="array" ref="I98">Common_InputFunctions.Utility_DisplayArrayInTable(Fertiliser_SourceData.Fertiliser_Products_Data1(),FertiliserProducts[[#Headers],[Include or Exclude]], 0)</f>
        <v>1</v>
      </c>
      <c r="J98" s="111" t="str" cm="1">
        <f t="array" ref="J98">Common_InputFunctions.Utility_DisplayArrayInTable(Fertiliser_SourceData.Fertiliser_Products_Data1(),FertiliserProducts[[#Headers],[Include or Exclude]], 0)</f>
        <v/>
      </c>
      <c r="K98" s="111" t="str" cm="1">
        <f t="array" ref="K98">Common_InputFunctions.Utility_DisplayArrayInTable(Fertiliser_SourceData.Fertiliser_Products_Data1(),FertiliserProducts[[#Headers],[Include or Exclude]], 0)</f>
        <v/>
      </c>
      <c r="L98" s="111" t="str" cm="1">
        <f t="array" ref="L98">Common_InputFunctions.Utility_DisplayArrayInTable(Fertiliser_SourceData.Fertiliser_Products_Data1(),FertiliserProducts[[#Headers],[Include or Exclude]], 0)</f>
        <v>Muriate of Potash (MOP)</v>
      </c>
      <c r="M98" s="37" cm="1">
        <f t="array" ref="M98">Common_InputFunctions.Utility_DisplayArrayInTable(Fertiliser_SourceData.Fertiliser_Products_Data1(),FertiliserProducts[[#Headers],[Include or Exclude]], 0)</f>
        <v>0.23200000000000001</v>
      </c>
      <c r="N98" s="111" t="str" cm="1">
        <f t="array" ref="N98">Common_InputFunctions.Utility_DisplayArrayInTable(Fertiliser_SourceData.Fertiliser_Products_Data1(),FertiliserProducts[[#Headers],[Include or Exclude]], 0)</f>
        <v>Nitrogen - Generic</v>
      </c>
      <c r="O98" s="111" cm="1">
        <f t="array" ref="O98">Common_InputFunctions.Utility_DisplayArrayInTable(Fertiliser_SourceData.Fertiliser_Products_Data1(),FertiliserProducts[[#Headers],[Include or Exclude]], 0)</f>
        <v>0.17</v>
      </c>
      <c r="P98" s="111" t="str" cm="1">
        <f t="array" ref="P98">Common_InputFunctions.Utility_DisplayArrayInTable(Fertiliser_SourceData.Fertiliser_Products_Data1(),FertiliserProducts[[#Headers],[Include or Exclude]], 0)</f>
        <v>Sulfur - Generic</v>
      </c>
      <c r="Q98" s="111" cm="1">
        <f t="array" ref="Q98">Common_InputFunctions.Utility_DisplayArrayInTable(Fertiliser_SourceData.Fertiliser_Products_Data1(),FertiliserProducts[[#Headers],[Include or Exclude]], 0)</f>
        <v>5.0000000000000001E-3</v>
      </c>
      <c r="R98" s="111" t="str" cm="1">
        <f t="array" ref="R98">Common_InputFunctions.Utility_DisplayArrayInTable(Fertiliser_SourceData.Fertiliser_Products_Data1(),FertiliserProducts[[#Headers],[Include or Exclude]], 0)</f>
        <v>Magnesium</v>
      </c>
      <c r="S98" s="111" cm="1">
        <f t="array" ref="S98">Common_InputFunctions.Utility_DisplayArrayInTable(Fertiliser_SourceData.Fertiliser_Products_Data1(),FertiliserProducts[[#Headers],[Include or Exclude]], 0)</f>
        <v>2.3999999999999998E-3</v>
      </c>
      <c r="T98" s="111" t="str" cm="1">
        <f t="array" ref="T98">Common_InputFunctions.Utility_DisplayArrayInTable(Fertiliser_SourceData.Fertiliser_Products_Data1(),FertiliserProducts[[#Headers],[Include or Exclude]], 0)</f>
        <v>Phosphorus - Generic</v>
      </c>
      <c r="U98" s="111" cm="1">
        <f t="array" ref="U98">Common_InputFunctions.Utility_DisplayArrayInTable(Fertiliser_SourceData.Fertiliser_Products_Data1(),FertiliserProducts[[#Headers],[Include or Exclude]], 0)</f>
        <v>4.0000000000000002E-4</v>
      </c>
      <c r="V98" s="37" t="str" cm="1">
        <f t="array" ref="V98">Common_InputFunctions.Utility_DisplayArrayInTable(Fertiliser_SourceData.Fertiliser_Products_Data1(),FertiliserProducts[[#Headers],[Include or Exclude]], 0)</f>
        <v/>
      </c>
      <c r="W98" s="37" t="str" cm="1">
        <f t="array" ref="W98">Common_InputFunctions.Utility_DisplayArrayInTable(Fertiliser_SourceData.Fertiliser_Products_Data1(),FertiliserProducts[[#Headers],[Include or Exclude]], 0)</f>
        <v/>
      </c>
      <c r="X98" s="37" t="str" cm="1">
        <f t="array" ref="X98">Common_InputFunctions.Utility_DisplayArrayInTable(Fertiliser_SourceData.Fertiliser_Products_Data1(),FertiliserProducts[[#Headers],[Include or Exclude]], 0)</f>
        <v/>
      </c>
      <c r="Y98" s="37" t="str" cm="1">
        <f t="array" ref="Y98">Common_InputFunctions.Utility_DisplayArrayInTable(Fertiliser_SourceData.Fertiliser_Products_Data1(),FertiliserProducts[[#Headers],[Include or Exclude]], 0)</f>
        <v/>
      </c>
      <c r="Z98" s="37" t="str" cm="1">
        <f t="array" ref="Z98">Common_InputFunctions.Utility_DisplayArrayInTable(Fertiliser_SourceData.Fertiliser_Products_Data1(),FertiliserProducts[[#Headers],[Include or Exclude]], 0)</f>
        <v/>
      </c>
      <c r="AA98" s="37" t="str" cm="1">
        <f t="array" ref="AA98">Common_InputFunctions.Utility_DisplayArrayInTable(Fertiliser_SourceData.Fertiliser_Products_Data1(),FertiliserProducts[[#Headers],[Include or Exclude]], 0)</f>
        <v/>
      </c>
      <c r="AB98" s="37" t="str" cm="1">
        <f t="array" ref="AB98">Common_InputFunctions.Utility_DisplayArrayInTable(Fertiliser_SourceData.Fertiliser_Products_Data1(),FertiliserProducts[[#Headers],[Include or Exclude]], 0)</f>
        <v/>
      </c>
      <c r="AC98" s="37" t="str" cm="1">
        <f t="array" ref="AC98">Common_InputFunctions.Utility_DisplayArrayInTable(Fertiliser_SourceData.Fertiliser_Products_Data1(),FertiliserProducts[[#Headers],[Include or Exclude]], 0)</f>
        <v/>
      </c>
      <c r="AD98" s="37" t="str" cm="1">
        <f t="array" ref="AD98">Common_InputFunctions.Utility_DisplayArrayInTable(Fertiliser_SourceData.Fertiliser_Products_Data1(),FertiliserProducts[[#Headers],[Include or Exclude]], 0)</f>
        <v/>
      </c>
      <c r="AE98" s="37" t="str" cm="1">
        <f t="array" ref="AE98">Common_InputFunctions.Utility_DisplayArrayInTable(Fertiliser_SourceData.Fertiliser_Products_Data1(),FertiliserProducts[[#Headers],[Include or Exclude]], 0)</f>
        <v/>
      </c>
    </row>
    <row r="99" spans="4:31" ht="20.100000000000001" customHeight="1" x14ac:dyDescent="0.25">
      <c r="D99" s="111" t="str" cm="1">
        <f t="array" ref="D99">Common_InputFunctions.Utility_DisplayArrayInTable(Fertiliser_SourceData.Fertiliser_Products_Data1(),FertiliserProducts[[#Headers],[Include or Exclude]], 0)</f>
        <v>Include</v>
      </c>
      <c r="E99" s="111" t="str" cm="1">
        <f t="array" ref="E99">Common_InputFunctions.Utility_DisplayArrayInTable(Fertiliser_SourceData.Fertiliser_Products_Data1(),FertiliserProducts[[#Headers],[Include or Exclude]], 0)</f>
        <v>50/50 nitrate and ammoniacal nitrogen (ammonium nitrate)</v>
      </c>
      <c r="F99" s="111" t="str" cm="1">
        <f t="array" ref="F99">Common_InputFunctions.Utility_DisplayArrayInTable(Fertiliser_SourceData.Fertiliser_Products_Data1(),FertiliserProducts[[#Headers],[Include or Exclude]], 0)</f>
        <v>Campbells fertilisers Australia</v>
      </c>
      <c r="G99" s="111" t="str" cm="1">
        <f t="array" ref="G99">Common_InputFunctions.Utility_DisplayArrayInTable(Fertiliser_SourceData.Fertiliser_Products_Data1(),FertiliserProducts[[#Headers],[Include or Exclude]], 0)</f>
        <v>Compass</v>
      </c>
      <c r="H99" s="111" t="str" cm="1">
        <f t="array" ref="H99">Common_InputFunctions.Utility_DisplayArrayInTable(Fertiliser_SourceData.Fertiliser_Products_Data1(),FertiliserProducts[[#Headers],[Include or Exclude]], 0)</f>
        <v>kg</v>
      </c>
      <c r="I99" s="111" cm="1">
        <f t="array" ref="I99">Common_InputFunctions.Utility_DisplayArrayInTable(Fertiliser_SourceData.Fertiliser_Products_Data1(),FertiliserProducts[[#Headers],[Include or Exclude]], 0)</f>
        <v>1</v>
      </c>
      <c r="J99" s="111" t="str" cm="1">
        <f t="array" ref="J99">Common_InputFunctions.Utility_DisplayArrayInTable(Fertiliser_SourceData.Fertiliser_Products_Data1(),FertiliserProducts[[#Headers],[Include or Exclude]], 0)</f>
        <v/>
      </c>
      <c r="K99" s="111" t="str" cm="1">
        <f t="array" ref="K99">Common_InputFunctions.Utility_DisplayArrayInTable(Fertiliser_SourceData.Fertiliser_Products_Data1(),FertiliserProducts[[#Headers],[Include or Exclude]], 0)</f>
        <v/>
      </c>
      <c r="L99" s="111" t="str" cm="1">
        <f t="array" ref="L99">Common_InputFunctions.Utility_DisplayArrayInTable(Fertiliser_SourceData.Fertiliser_Products_Data1(),FertiliserProducts[[#Headers],[Include or Exclude]], 0)</f>
        <v>Nitrogen - Ammoniacal</v>
      </c>
      <c r="M99" s="37" cm="1">
        <f t="array" ref="M99">Common_InputFunctions.Utility_DisplayArrayInTable(Fertiliser_SourceData.Fertiliser_Products_Data1(),FertiliserProducts[[#Headers],[Include or Exclude]], 0)</f>
        <v>7.4999999999999997E-2</v>
      </c>
      <c r="N99" s="111" t="str" cm="1">
        <f t="array" ref="N99">Common_InputFunctions.Utility_DisplayArrayInTable(Fertiliser_SourceData.Fertiliser_Products_Data1(),FertiliserProducts[[#Headers],[Include or Exclude]], 0)</f>
        <v>Nitrogen - Nitrate</v>
      </c>
      <c r="O99" s="111" cm="1">
        <f t="array" ref="O99">Common_InputFunctions.Utility_DisplayArrayInTable(Fertiliser_SourceData.Fertiliser_Products_Data1(),FertiliserProducts[[#Headers],[Include or Exclude]], 0)</f>
        <v>7.4999999999999997E-2</v>
      </c>
      <c r="P99" s="111" t="str" cm="1">
        <f t="array" ref="P99">Common_InputFunctions.Utility_DisplayArrayInTable(Fertiliser_SourceData.Fertiliser_Products_Data1(),FertiliserProducts[[#Headers],[Include or Exclude]], 0)</f>
        <v>Potassium - Generic</v>
      </c>
      <c r="Q99" s="111" cm="1">
        <f t="array" ref="Q99">Common_InputFunctions.Utility_DisplayArrayInTable(Fertiliser_SourceData.Fertiliser_Products_Data1(),FertiliserProducts[[#Headers],[Include or Exclude]], 0)</f>
        <v>0.125</v>
      </c>
      <c r="R99" s="111" t="str" cm="1">
        <f t="array" ref="R99">Common_InputFunctions.Utility_DisplayArrayInTable(Fertiliser_SourceData.Fertiliser_Products_Data1(),FertiliserProducts[[#Headers],[Include or Exclude]], 0)</f>
        <v>Phosphorus-Generic</v>
      </c>
      <c r="S99" s="111" cm="1">
        <f t="array" ref="S99">Common_InputFunctions.Utility_DisplayArrayInTable(Fertiliser_SourceData.Fertiliser_Products_Data1(),FertiliserProducts[[#Headers],[Include or Exclude]], 0)</f>
        <v>6.5000000000000002E-2</v>
      </c>
      <c r="T99" s="111" t="str" cm="1">
        <f t="array" ref="T99">Common_InputFunctions.Utility_DisplayArrayInTable(Fertiliser_SourceData.Fertiliser_Products_Data1(),FertiliserProducts[[#Headers],[Include or Exclude]], 0)</f>
        <v>Sulfur - Generic</v>
      </c>
      <c r="U99" s="111" cm="1">
        <f t="array" ref="U99">Common_InputFunctions.Utility_DisplayArrayInTable(Fertiliser_SourceData.Fertiliser_Products_Data1(),FertiliserProducts[[#Headers],[Include or Exclude]], 0)</f>
        <v>0.06</v>
      </c>
      <c r="V99" s="37" t="str" cm="1">
        <f t="array" ref="V99">Common_InputFunctions.Utility_DisplayArrayInTable(Fertiliser_SourceData.Fertiliser_Products_Data1(),FertiliserProducts[[#Headers],[Include or Exclude]], 0)</f>
        <v/>
      </c>
      <c r="W99" s="37" t="str" cm="1">
        <f t="array" ref="W99">Common_InputFunctions.Utility_DisplayArrayInTable(Fertiliser_SourceData.Fertiliser_Products_Data1(),FertiliserProducts[[#Headers],[Include or Exclude]], 0)</f>
        <v/>
      </c>
      <c r="X99" s="37" t="str" cm="1">
        <f t="array" ref="X99">Common_InputFunctions.Utility_DisplayArrayInTable(Fertiliser_SourceData.Fertiliser_Products_Data1(),FertiliserProducts[[#Headers],[Include or Exclude]], 0)</f>
        <v/>
      </c>
      <c r="Y99" s="37" t="str" cm="1">
        <f t="array" ref="Y99">Common_InputFunctions.Utility_DisplayArrayInTable(Fertiliser_SourceData.Fertiliser_Products_Data1(),FertiliserProducts[[#Headers],[Include or Exclude]], 0)</f>
        <v/>
      </c>
      <c r="Z99" s="37" t="str" cm="1">
        <f t="array" ref="Z99">Common_InputFunctions.Utility_DisplayArrayInTable(Fertiliser_SourceData.Fertiliser_Products_Data1(),FertiliserProducts[[#Headers],[Include or Exclude]], 0)</f>
        <v/>
      </c>
      <c r="AA99" s="37" t="str" cm="1">
        <f t="array" ref="AA99">Common_InputFunctions.Utility_DisplayArrayInTable(Fertiliser_SourceData.Fertiliser_Products_Data1(),FertiliserProducts[[#Headers],[Include or Exclude]], 0)</f>
        <v/>
      </c>
      <c r="AB99" s="37" t="str" cm="1">
        <f t="array" ref="AB99">Common_InputFunctions.Utility_DisplayArrayInTable(Fertiliser_SourceData.Fertiliser_Products_Data1(),FertiliserProducts[[#Headers],[Include or Exclude]], 0)</f>
        <v/>
      </c>
      <c r="AC99" s="37" t="str" cm="1">
        <f t="array" ref="AC99">Common_InputFunctions.Utility_DisplayArrayInTable(Fertiliser_SourceData.Fertiliser_Products_Data1(),FertiliserProducts[[#Headers],[Include or Exclude]], 0)</f>
        <v/>
      </c>
      <c r="AD99" s="37" t="str" cm="1">
        <f t="array" ref="AD99">Common_InputFunctions.Utility_DisplayArrayInTable(Fertiliser_SourceData.Fertiliser_Products_Data1(),FertiliserProducts[[#Headers],[Include or Exclude]], 0)</f>
        <v/>
      </c>
      <c r="AE99" s="37" t="str" cm="1">
        <f t="array" ref="AE99">Common_InputFunctions.Utility_DisplayArrayInTable(Fertiliser_SourceData.Fertiliser_Products_Data1(),FertiliserProducts[[#Headers],[Include or Exclude]], 0)</f>
        <v/>
      </c>
    </row>
    <row r="100" spans="4:31" ht="20.100000000000001" customHeight="1" x14ac:dyDescent="0.25">
      <c r="D100" s="111" t="str" cm="1">
        <f t="array" ref="D100">Common_InputFunctions.Utility_DisplayArrayInTable(Fertiliser_SourceData.Fertiliser_Products_Data1(),FertiliserProducts[[#Headers],[Include or Exclude]], 0)</f>
        <v>Include - Absent ingredients &lt; 2%</v>
      </c>
      <c r="E100" s="111" t="str" cm="1">
        <f t="array" ref="E100">Common_InputFunctions.Utility_DisplayArrayInTable(Fertiliser_SourceData.Fertiliser_Products_Data1(),FertiliserProducts[[#Headers],[Include or Exclude]], 0)</f>
        <v>Controlled release N treated as generic, Amount of urea calculated from urea nitrogen amount</v>
      </c>
      <c r="F100" s="111" t="str" cm="1">
        <f t="array" ref="F100">Common_InputFunctions.Utility_DisplayArrayInTable(Fertiliser_SourceData.Fertiliser_Products_Data1(),FertiliserProducts[[#Headers],[Include or Exclude]], 0)</f>
        <v>Campbells fertilisers Australia</v>
      </c>
      <c r="G100" s="111" t="str" cm="1">
        <f t="array" ref="G100">Common_InputFunctions.Utility_DisplayArrayInTable(Fertiliser_SourceData.Fertiliser_Products_Data1(),FertiliserProducts[[#Headers],[Include or Exclude]], 0)</f>
        <v>CoRoN 12-0-10</v>
      </c>
      <c r="H100" s="111" t="str" cm="1">
        <f t="array" ref="H100">Common_InputFunctions.Utility_DisplayArrayInTable(Fertiliser_SourceData.Fertiliser_Products_Data1(),FertiliserProducts[[#Headers],[Include or Exclude]], 0)</f>
        <v>L</v>
      </c>
      <c r="I100" s="111" cm="1">
        <f t="array" ref="I100">Common_InputFunctions.Utility_DisplayArrayInTable(Fertiliser_SourceData.Fertiliser_Products_Data1(),FertiliserProducts[[#Headers],[Include or Exclude]], 0)</f>
        <v>1.2150000000000001</v>
      </c>
      <c r="J100" s="111" t="str" cm="1">
        <f t="array" ref="J100">Common_InputFunctions.Utility_DisplayArrayInTable(Fertiliser_SourceData.Fertiliser_Products_Data1(),FertiliserProducts[[#Headers],[Include or Exclude]], 0)</f>
        <v/>
      </c>
      <c r="K100" s="111" t="str" cm="1">
        <f t="array" ref="K100">Common_InputFunctions.Utility_DisplayArrayInTable(Fertiliser_SourceData.Fertiliser_Products_Data1(),FertiliserProducts[[#Headers],[Include or Exclude]], 0)</f>
        <v/>
      </c>
      <c r="L100" s="111" t="str" cm="1">
        <f t="array" ref="L100">Common_InputFunctions.Utility_DisplayArrayInTable(Fertiliser_SourceData.Fertiliser_Products_Data1(),FertiliserProducts[[#Headers],[Include or Exclude]], 0)</f>
        <v>Urea</v>
      </c>
      <c r="M100" s="37" cm="1">
        <f t="array" ref="M100">Common_InputFunctions.Utility_DisplayArrayInTable(Fertiliser_SourceData.Fertiliser_Products_Data1(),FertiliserProducts[[#Headers],[Include or Exclude]], 0)</f>
        <v>0.19565217400000001</v>
      </c>
      <c r="N100" s="111" t="str" cm="1">
        <f t="array" ref="N100">Common_InputFunctions.Utility_DisplayArrayInTable(Fertiliser_SourceData.Fertiliser_Products_Data1(),FertiliserProducts[[#Headers],[Include or Exclude]], 0)</f>
        <v>Potassium - Generic</v>
      </c>
      <c r="O100" s="111" cm="1">
        <f t="array" ref="O100">Common_InputFunctions.Utility_DisplayArrayInTable(Fertiliser_SourceData.Fertiliser_Products_Data1(),FertiliserProducts[[#Headers],[Include or Exclude]], 0)</f>
        <v>0.1</v>
      </c>
      <c r="P100" s="111" t="str" cm="1">
        <f t="array" ref="P100">Common_InputFunctions.Utility_DisplayArrayInTable(Fertiliser_SourceData.Fertiliser_Products_Data1(),FertiliserProducts[[#Headers],[Include or Exclude]], 0)</f>
        <v>Nitrogen - Generic</v>
      </c>
      <c r="Q100" s="111" cm="1">
        <f t="array" ref="Q100">Common_InputFunctions.Utility_DisplayArrayInTable(Fertiliser_SourceData.Fertiliser_Products_Data1(),FertiliserProducts[[#Headers],[Include or Exclude]], 0)</f>
        <v>0.03</v>
      </c>
      <c r="R100" s="111" t="str" cm="1">
        <f t="array" ref="R100">Common_InputFunctions.Utility_DisplayArrayInTable(Fertiliser_SourceData.Fertiliser_Products_Data1(),FertiliserProducts[[#Headers],[Include or Exclude]], 0)</f>
        <v>Boron</v>
      </c>
      <c r="S100" s="111" cm="1">
        <f t="array" ref="S100">Common_InputFunctions.Utility_DisplayArrayInTable(Fertiliser_SourceData.Fertiliser_Products_Data1(),FertiliserProducts[[#Headers],[Include or Exclude]], 0)</f>
        <v>5.0000000000000001E-3</v>
      </c>
      <c r="T100" s="111" t="str" cm="1">
        <f t="array" ref="T100">Common_InputFunctions.Utility_DisplayArrayInTable(Fertiliser_SourceData.Fertiliser_Products_Data1(),FertiliserProducts[[#Headers],[Include or Exclude]], 0)</f>
        <v/>
      </c>
      <c r="U100" s="111" t="str" cm="1">
        <f t="array" ref="U100">Common_InputFunctions.Utility_DisplayArrayInTable(Fertiliser_SourceData.Fertiliser_Products_Data1(),FertiliserProducts[[#Headers],[Include or Exclude]], 0)</f>
        <v/>
      </c>
      <c r="V100" s="37" t="str" cm="1">
        <f t="array" ref="V100">Common_InputFunctions.Utility_DisplayArrayInTable(Fertiliser_SourceData.Fertiliser_Products_Data1(),FertiliserProducts[[#Headers],[Include or Exclude]], 0)</f>
        <v/>
      </c>
      <c r="W100" s="37" t="str" cm="1">
        <f t="array" ref="W100">Common_InputFunctions.Utility_DisplayArrayInTable(Fertiliser_SourceData.Fertiliser_Products_Data1(),FertiliserProducts[[#Headers],[Include or Exclude]], 0)</f>
        <v/>
      </c>
      <c r="X100" s="37" t="str" cm="1">
        <f t="array" ref="X100">Common_InputFunctions.Utility_DisplayArrayInTable(Fertiliser_SourceData.Fertiliser_Products_Data1(),FertiliserProducts[[#Headers],[Include or Exclude]], 0)</f>
        <v/>
      </c>
      <c r="Y100" s="37" t="str" cm="1">
        <f t="array" ref="Y100">Common_InputFunctions.Utility_DisplayArrayInTable(Fertiliser_SourceData.Fertiliser_Products_Data1(),FertiliserProducts[[#Headers],[Include or Exclude]], 0)</f>
        <v/>
      </c>
      <c r="Z100" s="37" t="str" cm="1">
        <f t="array" ref="Z100">Common_InputFunctions.Utility_DisplayArrayInTable(Fertiliser_SourceData.Fertiliser_Products_Data1(),FertiliserProducts[[#Headers],[Include or Exclude]], 0)</f>
        <v/>
      </c>
      <c r="AA100" s="37" t="str" cm="1">
        <f t="array" ref="AA100">Common_InputFunctions.Utility_DisplayArrayInTable(Fertiliser_SourceData.Fertiliser_Products_Data1(),FertiliserProducts[[#Headers],[Include or Exclude]], 0)</f>
        <v/>
      </c>
      <c r="AB100" s="37" t="str" cm="1">
        <f t="array" ref="AB100">Common_InputFunctions.Utility_DisplayArrayInTable(Fertiliser_SourceData.Fertiliser_Products_Data1(),FertiliserProducts[[#Headers],[Include or Exclude]], 0)</f>
        <v/>
      </c>
      <c r="AC100" s="37" t="str" cm="1">
        <f t="array" ref="AC100">Common_InputFunctions.Utility_DisplayArrayInTable(Fertiliser_SourceData.Fertiliser_Products_Data1(),FertiliserProducts[[#Headers],[Include or Exclude]], 0)</f>
        <v/>
      </c>
      <c r="AD100" s="37" t="str" cm="1">
        <f t="array" ref="AD100">Common_InputFunctions.Utility_DisplayArrayInTable(Fertiliser_SourceData.Fertiliser_Products_Data1(),FertiliserProducts[[#Headers],[Include or Exclude]], 0)</f>
        <v/>
      </c>
      <c r="AE100" s="37" t="str" cm="1">
        <f t="array" ref="AE100">Common_InputFunctions.Utility_DisplayArrayInTable(Fertiliser_SourceData.Fertiliser_Products_Data1(),FertiliserProducts[[#Headers],[Include or Exclude]], 0)</f>
        <v/>
      </c>
    </row>
    <row r="101" spans="4:31" ht="20.100000000000001" customHeight="1" x14ac:dyDescent="0.25">
      <c r="D101" s="111" t="str" cm="1">
        <f t="array" ref="D101">Common_InputFunctions.Utility_DisplayArrayInTable(Fertiliser_SourceData.Fertiliser_Products_Data1(),FertiliserProducts[[#Headers],[Include or Exclude]], 0)</f>
        <v/>
      </c>
      <c r="E101" s="111" t="str" cm="1">
        <f t="array" ref="E101">Common_InputFunctions.Utility_DisplayArrayInTable(Fertiliser_SourceData.Fertiliser_Products_Data1(),FertiliserProducts[[#Headers],[Include or Exclude]], 0)</f>
        <v/>
      </c>
      <c r="F101" s="111" t="str" cm="1">
        <f t="array" ref="F101">Common_InputFunctions.Utility_DisplayArrayInTable(Fertiliser_SourceData.Fertiliser_Products_Data1(),FertiliserProducts[[#Headers],[Include or Exclude]], 0)</f>
        <v/>
      </c>
      <c r="G101" s="111" t="str" cm="1">
        <f t="array" ref="G101">Common_InputFunctions.Utility_DisplayArrayInTable(Fertiliser_SourceData.Fertiliser_Products_Data1(),FertiliserProducts[[#Headers],[Include or Exclude]], 0)</f>
        <v/>
      </c>
      <c r="H101" s="111" t="str" cm="1">
        <f t="array" ref="H101">Common_InputFunctions.Utility_DisplayArrayInTable(Fertiliser_SourceData.Fertiliser_Products_Data1(),FertiliserProducts[[#Headers],[Include or Exclude]], 0)</f>
        <v/>
      </c>
      <c r="I101" s="111" t="str" cm="1">
        <f t="array" ref="I101">Common_InputFunctions.Utility_DisplayArrayInTable(Fertiliser_SourceData.Fertiliser_Products_Data1(),FertiliserProducts[[#Headers],[Include or Exclude]], 0)</f>
        <v/>
      </c>
      <c r="J101" s="111" t="str" cm="1">
        <f t="array" ref="J101">Common_InputFunctions.Utility_DisplayArrayInTable(Fertiliser_SourceData.Fertiliser_Products_Data1(),FertiliserProducts[[#Headers],[Include or Exclude]], 0)</f>
        <v/>
      </c>
      <c r="K101" s="111" t="str" cm="1">
        <f t="array" ref="K101">Common_InputFunctions.Utility_DisplayArrayInTable(Fertiliser_SourceData.Fertiliser_Products_Data1(),FertiliserProducts[[#Headers],[Include or Exclude]], 0)</f>
        <v/>
      </c>
      <c r="L101" s="111" t="str" cm="1">
        <f t="array" ref="L101">Common_InputFunctions.Utility_DisplayArrayInTable(Fertiliser_SourceData.Fertiliser_Products_Data1(),FertiliserProducts[[#Headers],[Include or Exclude]], 0)</f>
        <v/>
      </c>
      <c r="M101" s="37" t="str" cm="1">
        <f t="array" ref="M101">Common_InputFunctions.Utility_DisplayArrayInTable(Fertiliser_SourceData.Fertiliser_Products_Data1(),FertiliserProducts[[#Headers],[Include or Exclude]], 0)</f>
        <v/>
      </c>
      <c r="N101" s="111" t="str" cm="1">
        <f t="array" ref="N101">Common_InputFunctions.Utility_DisplayArrayInTable(Fertiliser_SourceData.Fertiliser_Products_Data1(),FertiliserProducts[[#Headers],[Include or Exclude]], 0)</f>
        <v/>
      </c>
      <c r="O101" s="111" t="str" cm="1">
        <f t="array" ref="O101">Common_InputFunctions.Utility_DisplayArrayInTable(Fertiliser_SourceData.Fertiliser_Products_Data1(),FertiliserProducts[[#Headers],[Include or Exclude]], 0)</f>
        <v/>
      </c>
      <c r="P101" s="111" t="str" cm="1">
        <f t="array" ref="P101">Common_InputFunctions.Utility_DisplayArrayInTable(Fertiliser_SourceData.Fertiliser_Products_Data1(),FertiliserProducts[[#Headers],[Include or Exclude]], 0)</f>
        <v/>
      </c>
      <c r="Q101" s="111" t="str" cm="1">
        <f t="array" ref="Q101">Common_InputFunctions.Utility_DisplayArrayInTable(Fertiliser_SourceData.Fertiliser_Products_Data1(),FertiliserProducts[[#Headers],[Include or Exclude]], 0)</f>
        <v/>
      </c>
      <c r="R101" s="111" t="str" cm="1">
        <f t="array" ref="R101">Common_InputFunctions.Utility_DisplayArrayInTable(Fertiliser_SourceData.Fertiliser_Products_Data1(),FertiliserProducts[[#Headers],[Include or Exclude]], 0)</f>
        <v/>
      </c>
      <c r="S101" s="111" t="str" cm="1">
        <f t="array" ref="S101">Common_InputFunctions.Utility_DisplayArrayInTable(Fertiliser_SourceData.Fertiliser_Products_Data1(),FertiliserProducts[[#Headers],[Include or Exclude]], 0)</f>
        <v/>
      </c>
      <c r="T101" s="111" t="str" cm="1">
        <f t="array" ref="T101">Common_InputFunctions.Utility_DisplayArrayInTable(Fertiliser_SourceData.Fertiliser_Products_Data1(),FertiliserProducts[[#Headers],[Include or Exclude]], 0)</f>
        <v/>
      </c>
      <c r="U101" s="111" t="str" cm="1">
        <f t="array" ref="U101">Common_InputFunctions.Utility_DisplayArrayInTable(Fertiliser_SourceData.Fertiliser_Products_Data1(),FertiliserProducts[[#Headers],[Include or Exclude]], 0)</f>
        <v/>
      </c>
      <c r="V101" s="37" t="str" cm="1">
        <f t="array" ref="V101">Common_InputFunctions.Utility_DisplayArrayInTable(Fertiliser_SourceData.Fertiliser_Products_Data1(),FertiliserProducts[[#Headers],[Include or Exclude]], 0)</f>
        <v/>
      </c>
      <c r="W101" s="37" t="str" cm="1">
        <f t="array" ref="W101">Common_InputFunctions.Utility_DisplayArrayInTable(Fertiliser_SourceData.Fertiliser_Products_Data1(),FertiliserProducts[[#Headers],[Include or Exclude]], 0)</f>
        <v/>
      </c>
      <c r="X101" s="37" t="str" cm="1">
        <f t="array" ref="X101">Common_InputFunctions.Utility_DisplayArrayInTable(Fertiliser_SourceData.Fertiliser_Products_Data1(),FertiliserProducts[[#Headers],[Include or Exclude]], 0)</f>
        <v/>
      </c>
      <c r="Y101" s="37" t="str" cm="1">
        <f t="array" ref="Y101">Common_InputFunctions.Utility_DisplayArrayInTable(Fertiliser_SourceData.Fertiliser_Products_Data1(),FertiliserProducts[[#Headers],[Include or Exclude]], 0)</f>
        <v/>
      </c>
      <c r="Z101" s="37" t="str" cm="1">
        <f t="array" ref="Z101">Common_InputFunctions.Utility_DisplayArrayInTable(Fertiliser_SourceData.Fertiliser_Products_Data1(),FertiliserProducts[[#Headers],[Include or Exclude]], 0)</f>
        <v/>
      </c>
      <c r="AA101" s="37" t="str" cm="1">
        <f t="array" ref="AA101">Common_InputFunctions.Utility_DisplayArrayInTable(Fertiliser_SourceData.Fertiliser_Products_Data1(),FertiliserProducts[[#Headers],[Include or Exclude]], 0)</f>
        <v/>
      </c>
      <c r="AB101" s="37" t="str" cm="1">
        <f t="array" ref="AB101">Common_InputFunctions.Utility_DisplayArrayInTable(Fertiliser_SourceData.Fertiliser_Products_Data1(),FertiliserProducts[[#Headers],[Include or Exclude]], 0)</f>
        <v/>
      </c>
      <c r="AC101" s="37" t="str" cm="1">
        <f t="array" ref="AC101">Common_InputFunctions.Utility_DisplayArrayInTable(Fertiliser_SourceData.Fertiliser_Products_Data1(),FertiliserProducts[[#Headers],[Include or Exclude]], 0)</f>
        <v/>
      </c>
      <c r="AD101" s="37" t="str" cm="1">
        <f t="array" ref="AD101">Common_InputFunctions.Utility_DisplayArrayInTable(Fertiliser_SourceData.Fertiliser_Products_Data1(),FertiliserProducts[[#Headers],[Include or Exclude]], 0)</f>
        <v/>
      </c>
      <c r="AE101" s="37" t="str" cm="1">
        <f t="array" ref="AE101">Common_InputFunctions.Utility_DisplayArrayInTable(Fertiliser_SourceData.Fertiliser_Products_Data1(),FertiliserProducts[[#Headers],[Include or Exclude]], 0)</f>
        <v/>
      </c>
    </row>
    <row r="102" spans="4:31" ht="20.100000000000001" customHeight="1" x14ac:dyDescent="0.25">
      <c r="D102" s="111" t="str" cm="1">
        <f t="array" ref="D102">Common_InputFunctions.Utility_DisplayArrayInTable(Fertiliser_SourceData.Fertiliser_Products_Data1(),FertiliserProducts[[#Headers],[Include or Exclude]], 0)</f>
        <v/>
      </c>
      <c r="E102" s="111" t="str" cm="1">
        <f t="array" ref="E102">Common_InputFunctions.Utility_DisplayArrayInTable(Fertiliser_SourceData.Fertiliser_Products_Data1(),FertiliserProducts[[#Headers],[Include or Exclude]], 0)</f>
        <v/>
      </c>
      <c r="F102" s="111" t="str" cm="1">
        <f t="array" ref="F102">Common_InputFunctions.Utility_DisplayArrayInTable(Fertiliser_SourceData.Fertiliser_Products_Data1(),FertiliserProducts[[#Headers],[Include or Exclude]], 0)</f>
        <v/>
      </c>
      <c r="G102" s="111" t="str" cm="1">
        <f t="array" ref="G102">Common_InputFunctions.Utility_DisplayArrayInTable(Fertiliser_SourceData.Fertiliser_Products_Data1(),FertiliserProducts[[#Headers],[Include or Exclude]], 0)</f>
        <v/>
      </c>
      <c r="H102" s="111" t="str" cm="1">
        <f t="array" ref="H102">Common_InputFunctions.Utility_DisplayArrayInTable(Fertiliser_SourceData.Fertiliser_Products_Data1(),FertiliserProducts[[#Headers],[Include or Exclude]], 0)</f>
        <v/>
      </c>
      <c r="I102" s="111" t="str" cm="1">
        <f t="array" ref="I102">Common_InputFunctions.Utility_DisplayArrayInTable(Fertiliser_SourceData.Fertiliser_Products_Data1(),FertiliserProducts[[#Headers],[Include or Exclude]], 0)</f>
        <v/>
      </c>
      <c r="J102" s="111" t="str" cm="1">
        <f t="array" ref="J102">Common_InputFunctions.Utility_DisplayArrayInTable(Fertiliser_SourceData.Fertiliser_Products_Data1(),FertiliserProducts[[#Headers],[Include or Exclude]], 0)</f>
        <v/>
      </c>
      <c r="K102" s="111" t="str" cm="1">
        <f t="array" ref="K102">Common_InputFunctions.Utility_DisplayArrayInTable(Fertiliser_SourceData.Fertiliser_Products_Data1(),FertiliserProducts[[#Headers],[Include or Exclude]], 0)</f>
        <v/>
      </c>
      <c r="L102" s="111" t="str" cm="1">
        <f t="array" ref="L102">Common_InputFunctions.Utility_DisplayArrayInTable(Fertiliser_SourceData.Fertiliser_Products_Data1(),FertiliserProducts[[#Headers],[Include or Exclude]], 0)</f>
        <v/>
      </c>
      <c r="M102" s="37" t="str" cm="1">
        <f t="array" ref="M102">Common_InputFunctions.Utility_DisplayArrayInTable(Fertiliser_SourceData.Fertiliser_Products_Data1(),FertiliserProducts[[#Headers],[Include or Exclude]], 0)</f>
        <v/>
      </c>
      <c r="N102" s="111" t="str" cm="1">
        <f t="array" ref="N102">Common_InputFunctions.Utility_DisplayArrayInTable(Fertiliser_SourceData.Fertiliser_Products_Data1(),FertiliserProducts[[#Headers],[Include or Exclude]], 0)</f>
        <v/>
      </c>
      <c r="O102" s="111" t="str" cm="1">
        <f t="array" ref="O102">Common_InputFunctions.Utility_DisplayArrayInTable(Fertiliser_SourceData.Fertiliser_Products_Data1(),FertiliserProducts[[#Headers],[Include or Exclude]], 0)</f>
        <v/>
      </c>
      <c r="P102" s="111" t="str" cm="1">
        <f t="array" ref="P102">Common_InputFunctions.Utility_DisplayArrayInTable(Fertiliser_SourceData.Fertiliser_Products_Data1(),FertiliserProducts[[#Headers],[Include or Exclude]], 0)</f>
        <v/>
      </c>
      <c r="Q102" s="111" t="str" cm="1">
        <f t="array" ref="Q102">Common_InputFunctions.Utility_DisplayArrayInTable(Fertiliser_SourceData.Fertiliser_Products_Data1(),FertiliserProducts[[#Headers],[Include or Exclude]], 0)</f>
        <v/>
      </c>
      <c r="R102" s="111" t="str" cm="1">
        <f t="array" ref="R102">Common_InputFunctions.Utility_DisplayArrayInTable(Fertiliser_SourceData.Fertiliser_Products_Data1(),FertiliserProducts[[#Headers],[Include or Exclude]], 0)</f>
        <v/>
      </c>
      <c r="S102" s="111" t="str" cm="1">
        <f t="array" ref="S102">Common_InputFunctions.Utility_DisplayArrayInTable(Fertiliser_SourceData.Fertiliser_Products_Data1(),FertiliserProducts[[#Headers],[Include or Exclude]], 0)</f>
        <v/>
      </c>
      <c r="T102" s="111" t="str" cm="1">
        <f t="array" ref="T102">Common_InputFunctions.Utility_DisplayArrayInTable(Fertiliser_SourceData.Fertiliser_Products_Data1(),FertiliserProducts[[#Headers],[Include or Exclude]], 0)</f>
        <v/>
      </c>
      <c r="U102" s="111" t="str" cm="1">
        <f t="array" ref="U102">Common_InputFunctions.Utility_DisplayArrayInTable(Fertiliser_SourceData.Fertiliser_Products_Data1(),FertiliserProducts[[#Headers],[Include or Exclude]], 0)</f>
        <v/>
      </c>
      <c r="V102" s="37" t="str" cm="1">
        <f t="array" ref="V102">Common_InputFunctions.Utility_DisplayArrayInTable(Fertiliser_SourceData.Fertiliser_Products_Data1(),FertiliserProducts[[#Headers],[Include or Exclude]], 0)</f>
        <v/>
      </c>
      <c r="W102" s="37" t="str" cm="1">
        <f t="array" ref="W102">Common_InputFunctions.Utility_DisplayArrayInTable(Fertiliser_SourceData.Fertiliser_Products_Data1(),FertiliserProducts[[#Headers],[Include or Exclude]], 0)</f>
        <v/>
      </c>
      <c r="X102" s="37" t="str" cm="1">
        <f t="array" ref="X102">Common_InputFunctions.Utility_DisplayArrayInTable(Fertiliser_SourceData.Fertiliser_Products_Data1(),FertiliserProducts[[#Headers],[Include or Exclude]], 0)</f>
        <v/>
      </c>
      <c r="Y102" s="37" t="str" cm="1">
        <f t="array" ref="Y102">Common_InputFunctions.Utility_DisplayArrayInTable(Fertiliser_SourceData.Fertiliser_Products_Data1(),FertiliserProducts[[#Headers],[Include or Exclude]], 0)</f>
        <v/>
      </c>
      <c r="Z102" s="37" t="str" cm="1">
        <f t="array" ref="Z102">Common_InputFunctions.Utility_DisplayArrayInTable(Fertiliser_SourceData.Fertiliser_Products_Data1(),FertiliserProducts[[#Headers],[Include or Exclude]], 0)</f>
        <v/>
      </c>
      <c r="AA102" s="37" t="str" cm="1">
        <f t="array" ref="AA102">Common_InputFunctions.Utility_DisplayArrayInTable(Fertiliser_SourceData.Fertiliser_Products_Data1(),FertiliserProducts[[#Headers],[Include or Exclude]], 0)</f>
        <v/>
      </c>
      <c r="AB102" s="37" t="str" cm="1">
        <f t="array" ref="AB102">Common_InputFunctions.Utility_DisplayArrayInTable(Fertiliser_SourceData.Fertiliser_Products_Data1(),FertiliserProducts[[#Headers],[Include or Exclude]], 0)</f>
        <v/>
      </c>
      <c r="AC102" s="37" t="str" cm="1">
        <f t="array" ref="AC102">Common_InputFunctions.Utility_DisplayArrayInTable(Fertiliser_SourceData.Fertiliser_Products_Data1(),FertiliserProducts[[#Headers],[Include or Exclude]], 0)</f>
        <v/>
      </c>
      <c r="AD102" s="37" t="str" cm="1">
        <f t="array" ref="AD102">Common_InputFunctions.Utility_DisplayArrayInTable(Fertiliser_SourceData.Fertiliser_Products_Data1(),FertiliserProducts[[#Headers],[Include or Exclude]], 0)</f>
        <v/>
      </c>
      <c r="AE102" s="37" t="str" cm="1">
        <f t="array" ref="AE102">Common_InputFunctions.Utility_DisplayArrayInTable(Fertiliser_SourceData.Fertiliser_Products_Data1(),FertiliserProducts[[#Headers],[Include or Exclude]], 0)</f>
        <v/>
      </c>
    </row>
    <row r="103" spans="4:31" ht="20.100000000000001" customHeight="1" x14ac:dyDescent="0.25">
      <c r="D103" s="111" t="str" cm="1">
        <f t="array" ref="D103">Common_InputFunctions.Utility_DisplayArrayInTable(Fertiliser_SourceData.Fertiliser_Products_Data1(),FertiliserProducts[[#Headers],[Include or Exclude]], 0)</f>
        <v/>
      </c>
      <c r="E103" s="111" t="str" cm="1">
        <f t="array" ref="E103">Common_InputFunctions.Utility_DisplayArrayInTable(Fertiliser_SourceData.Fertiliser_Products_Data1(),FertiliserProducts[[#Headers],[Include or Exclude]], 0)</f>
        <v/>
      </c>
      <c r="F103" s="111" t="str" cm="1">
        <f t="array" ref="F103">Common_InputFunctions.Utility_DisplayArrayInTable(Fertiliser_SourceData.Fertiliser_Products_Data1(),FertiliserProducts[[#Headers],[Include or Exclude]], 0)</f>
        <v/>
      </c>
      <c r="G103" s="111" t="str" cm="1">
        <f t="array" ref="G103">Common_InputFunctions.Utility_DisplayArrayInTable(Fertiliser_SourceData.Fertiliser_Products_Data1(),FertiliserProducts[[#Headers],[Include or Exclude]], 0)</f>
        <v/>
      </c>
      <c r="H103" s="111" t="str" cm="1">
        <f t="array" ref="H103">Common_InputFunctions.Utility_DisplayArrayInTable(Fertiliser_SourceData.Fertiliser_Products_Data1(),FertiliserProducts[[#Headers],[Include or Exclude]], 0)</f>
        <v/>
      </c>
      <c r="I103" s="111" t="str" cm="1">
        <f t="array" ref="I103">Common_InputFunctions.Utility_DisplayArrayInTable(Fertiliser_SourceData.Fertiliser_Products_Data1(),FertiliserProducts[[#Headers],[Include or Exclude]], 0)</f>
        <v/>
      </c>
      <c r="J103" s="111" t="str" cm="1">
        <f t="array" ref="J103">Common_InputFunctions.Utility_DisplayArrayInTable(Fertiliser_SourceData.Fertiliser_Products_Data1(),FertiliserProducts[[#Headers],[Include or Exclude]], 0)</f>
        <v/>
      </c>
      <c r="K103" s="111" t="str" cm="1">
        <f t="array" ref="K103">Common_InputFunctions.Utility_DisplayArrayInTable(Fertiliser_SourceData.Fertiliser_Products_Data1(),FertiliserProducts[[#Headers],[Include or Exclude]], 0)</f>
        <v/>
      </c>
      <c r="L103" s="111" t="str" cm="1">
        <f t="array" ref="L103">Common_InputFunctions.Utility_DisplayArrayInTable(Fertiliser_SourceData.Fertiliser_Products_Data1(),FertiliserProducts[[#Headers],[Include or Exclude]], 0)</f>
        <v/>
      </c>
      <c r="M103" s="37" t="str" cm="1">
        <f t="array" ref="M103">Common_InputFunctions.Utility_DisplayArrayInTable(Fertiliser_SourceData.Fertiliser_Products_Data1(),FertiliserProducts[[#Headers],[Include or Exclude]], 0)</f>
        <v/>
      </c>
      <c r="N103" s="111" t="str" cm="1">
        <f t="array" ref="N103">Common_InputFunctions.Utility_DisplayArrayInTable(Fertiliser_SourceData.Fertiliser_Products_Data1(),FertiliserProducts[[#Headers],[Include or Exclude]], 0)</f>
        <v/>
      </c>
      <c r="O103" s="111" t="str" cm="1">
        <f t="array" ref="O103">Common_InputFunctions.Utility_DisplayArrayInTable(Fertiliser_SourceData.Fertiliser_Products_Data1(),FertiliserProducts[[#Headers],[Include or Exclude]], 0)</f>
        <v/>
      </c>
      <c r="P103" s="111" t="str" cm="1">
        <f t="array" ref="P103">Common_InputFunctions.Utility_DisplayArrayInTable(Fertiliser_SourceData.Fertiliser_Products_Data1(),FertiliserProducts[[#Headers],[Include or Exclude]], 0)</f>
        <v/>
      </c>
      <c r="Q103" s="111" t="str" cm="1">
        <f t="array" ref="Q103">Common_InputFunctions.Utility_DisplayArrayInTable(Fertiliser_SourceData.Fertiliser_Products_Data1(),FertiliserProducts[[#Headers],[Include or Exclude]], 0)</f>
        <v/>
      </c>
      <c r="R103" s="111" t="str" cm="1">
        <f t="array" ref="R103">Common_InputFunctions.Utility_DisplayArrayInTable(Fertiliser_SourceData.Fertiliser_Products_Data1(),FertiliserProducts[[#Headers],[Include or Exclude]], 0)</f>
        <v/>
      </c>
      <c r="S103" s="111" t="str" cm="1">
        <f t="array" ref="S103">Common_InputFunctions.Utility_DisplayArrayInTable(Fertiliser_SourceData.Fertiliser_Products_Data1(),FertiliserProducts[[#Headers],[Include or Exclude]], 0)</f>
        <v/>
      </c>
      <c r="T103" s="111" t="str" cm="1">
        <f t="array" ref="T103">Common_InputFunctions.Utility_DisplayArrayInTable(Fertiliser_SourceData.Fertiliser_Products_Data1(),FertiliserProducts[[#Headers],[Include or Exclude]], 0)</f>
        <v/>
      </c>
      <c r="U103" s="111" t="str" cm="1">
        <f t="array" ref="U103">Common_InputFunctions.Utility_DisplayArrayInTable(Fertiliser_SourceData.Fertiliser_Products_Data1(),FertiliserProducts[[#Headers],[Include or Exclude]], 0)</f>
        <v/>
      </c>
      <c r="V103" s="37" t="str" cm="1">
        <f t="array" ref="V103">Common_InputFunctions.Utility_DisplayArrayInTable(Fertiliser_SourceData.Fertiliser_Products_Data1(),FertiliserProducts[[#Headers],[Include or Exclude]], 0)</f>
        <v/>
      </c>
      <c r="W103" s="37" t="str" cm="1">
        <f t="array" ref="W103">Common_InputFunctions.Utility_DisplayArrayInTable(Fertiliser_SourceData.Fertiliser_Products_Data1(),FertiliserProducts[[#Headers],[Include or Exclude]], 0)</f>
        <v/>
      </c>
      <c r="X103" s="37" t="str" cm="1">
        <f t="array" ref="X103">Common_InputFunctions.Utility_DisplayArrayInTable(Fertiliser_SourceData.Fertiliser_Products_Data1(),FertiliserProducts[[#Headers],[Include or Exclude]], 0)</f>
        <v/>
      </c>
      <c r="Y103" s="37" t="str" cm="1">
        <f t="array" ref="Y103">Common_InputFunctions.Utility_DisplayArrayInTable(Fertiliser_SourceData.Fertiliser_Products_Data1(),FertiliserProducts[[#Headers],[Include or Exclude]], 0)</f>
        <v/>
      </c>
      <c r="Z103" s="37" t="str" cm="1">
        <f t="array" ref="Z103">Common_InputFunctions.Utility_DisplayArrayInTable(Fertiliser_SourceData.Fertiliser_Products_Data1(),FertiliserProducts[[#Headers],[Include or Exclude]], 0)</f>
        <v/>
      </c>
      <c r="AA103" s="37" t="str" cm="1">
        <f t="array" ref="AA103">Common_InputFunctions.Utility_DisplayArrayInTable(Fertiliser_SourceData.Fertiliser_Products_Data1(),FertiliserProducts[[#Headers],[Include or Exclude]], 0)</f>
        <v/>
      </c>
      <c r="AB103" s="37" t="str" cm="1">
        <f t="array" ref="AB103">Common_InputFunctions.Utility_DisplayArrayInTable(Fertiliser_SourceData.Fertiliser_Products_Data1(),FertiliserProducts[[#Headers],[Include or Exclude]], 0)</f>
        <v/>
      </c>
      <c r="AC103" s="37" t="str" cm="1">
        <f t="array" ref="AC103">Common_InputFunctions.Utility_DisplayArrayInTable(Fertiliser_SourceData.Fertiliser_Products_Data1(),FertiliserProducts[[#Headers],[Include or Exclude]], 0)</f>
        <v/>
      </c>
      <c r="AD103" s="37" t="str" cm="1">
        <f t="array" ref="AD103">Common_InputFunctions.Utility_DisplayArrayInTable(Fertiliser_SourceData.Fertiliser_Products_Data1(),FertiliserProducts[[#Headers],[Include or Exclude]], 0)</f>
        <v/>
      </c>
      <c r="AE103" s="37" t="str" cm="1">
        <f t="array" ref="AE103">Common_InputFunctions.Utility_DisplayArrayInTable(Fertiliser_SourceData.Fertiliser_Products_Data1(),FertiliserProducts[[#Headers],[Include or Exclude]], 0)</f>
        <v/>
      </c>
    </row>
    <row r="104" spans="4:31" ht="20.100000000000001" customHeight="1" x14ac:dyDescent="0.25">
      <c r="D104" s="111" t="str" cm="1">
        <f t="array" ref="D104">Common_InputFunctions.Utility_DisplayArrayInTable(Fertiliser_SourceData.Fertiliser_Products_Data1(),FertiliserProducts[[#Headers],[Include or Exclude]], 0)</f>
        <v/>
      </c>
      <c r="E104" s="111" t="str" cm="1">
        <f t="array" ref="E104">Common_InputFunctions.Utility_DisplayArrayInTable(Fertiliser_SourceData.Fertiliser_Products_Data1(),FertiliserProducts[[#Headers],[Include or Exclude]], 0)</f>
        <v/>
      </c>
      <c r="F104" s="111" t="str" cm="1">
        <f t="array" ref="F104">Common_InputFunctions.Utility_DisplayArrayInTable(Fertiliser_SourceData.Fertiliser_Products_Data1(),FertiliserProducts[[#Headers],[Include or Exclude]], 0)</f>
        <v/>
      </c>
      <c r="G104" s="111" t="str" cm="1">
        <f t="array" ref="G104">Common_InputFunctions.Utility_DisplayArrayInTable(Fertiliser_SourceData.Fertiliser_Products_Data1(),FertiliserProducts[[#Headers],[Include or Exclude]], 0)</f>
        <v/>
      </c>
      <c r="H104" s="111" t="str" cm="1">
        <f t="array" ref="H104">Common_InputFunctions.Utility_DisplayArrayInTable(Fertiliser_SourceData.Fertiliser_Products_Data1(),FertiliserProducts[[#Headers],[Include or Exclude]], 0)</f>
        <v/>
      </c>
      <c r="I104" s="111" t="str" cm="1">
        <f t="array" ref="I104">Common_InputFunctions.Utility_DisplayArrayInTable(Fertiliser_SourceData.Fertiliser_Products_Data1(),FertiliserProducts[[#Headers],[Include or Exclude]], 0)</f>
        <v/>
      </c>
      <c r="J104" s="111" t="str" cm="1">
        <f t="array" ref="J104">Common_InputFunctions.Utility_DisplayArrayInTable(Fertiliser_SourceData.Fertiliser_Products_Data1(),FertiliserProducts[[#Headers],[Include or Exclude]], 0)</f>
        <v/>
      </c>
      <c r="K104" s="111" t="str" cm="1">
        <f t="array" ref="K104">Common_InputFunctions.Utility_DisplayArrayInTable(Fertiliser_SourceData.Fertiliser_Products_Data1(),FertiliserProducts[[#Headers],[Include or Exclude]], 0)</f>
        <v/>
      </c>
      <c r="L104" s="111" t="str" cm="1">
        <f t="array" ref="L104">Common_InputFunctions.Utility_DisplayArrayInTable(Fertiliser_SourceData.Fertiliser_Products_Data1(),FertiliserProducts[[#Headers],[Include or Exclude]], 0)</f>
        <v/>
      </c>
      <c r="M104" s="37" t="str" cm="1">
        <f t="array" ref="M104">Common_InputFunctions.Utility_DisplayArrayInTable(Fertiliser_SourceData.Fertiliser_Products_Data1(),FertiliserProducts[[#Headers],[Include or Exclude]], 0)</f>
        <v/>
      </c>
      <c r="N104" s="111" t="str" cm="1">
        <f t="array" ref="N104">Common_InputFunctions.Utility_DisplayArrayInTable(Fertiliser_SourceData.Fertiliser_Products_Data1(),FertiliserProducts[[#Headers],[Include or Exclude]], 0)</f>
        <v/>
      </c>
      <c r="O104" s="111" t="str" cm="1">
        <f t="array" ref="O104">Common_InputFunctions.Utility_DisplayArrayInTable(Fertiliser_SourceData.Fertiliser_Products_Data1(),FertiliserProducts[[#Headers],[Include or Exclude]], 0)</f>
        <v/>
      </c>
      <c r="P104" s="111" t="str" cm="1">
        <f t="array" ref="P104">Common_InputFunctions.Utility_DisplayArrayInTable(Fertiliser_SourceData.Fertiliser_Products_Data1(),FertiliserProducts[[#Headers],[Include or Exclude]], 0)</f>
        <v/>
      </c>
      <c r="Q104" s="111" t="str" cm="1">
        <f t="array" ref="Q104">Common_InputFunctions.Utility_DisplayArrayInTable(Fertiliser_SourceData.Fertiliser_Products_Data1(),FertiliserProducts[[#Headers],[Include or Exclude]], 0)</f>
        <v/>
      </c>
      <c r="R104" s="111" t="str" cm="1">
        <f t="array" ref="R104">Common_InputFunctions.Utility_DisplayArrayInTable(Fertiliser_SourceData.Fertiliser_Products_Data1(),FertiliserProducts[[#Headers],[Include or Exclude]], 0)</f>
        <v/>
      </c>
      <c r="S104" s="111" t="str" cm="1">
        <f t="array" ref="S104">Common_InputFunctions.Utility_DisplayArrayInTable(Fertiliser_SourceData.Fertiliser_Products_Data1(),FertiliserProducts[[#Headers],[Include or Exclude]], 0)</f>
        <v/>
      </c>
      <c r="T104" s="111" t="str" cm="1">
        <f t="array" ref="T104">Common_InputFunctions.Utility_DisplayArrayInTable(Fertiliser_SourceData.Fertiliser_Products_Data1(),FertiliserProducts[[#Headers],[Include or Exclude]], 0)</f>
        <v/>
      </c>
      <c r="U104" s="111" t="str" cm="1">
        <f t="array" ref="U104">Common_InputFunctions.Utility_DisplayArrayInTable(Fertiliser_SourceData.Fertiliser_Products_Data1(),FertiliserProducts[[#Headers],[Include or Exclude]], 0)</f>
        <v/>
      </c>
      <c r="V104" s="37" t="str" cm="1">
        <f t="array" ref="V104">Common_InputFunctions.Utility_DisplayArrayInTable(Fertiliser_SourceData.Fertiliser_Products_Data1(),FertiliserProducts[[#Headers],[Include or Exclude]], 0)</f>
        <v/>
      </c>
      <c r="W104" s="37" t="str" cm="1">
        <f t="array" ref="W104">Common_InputFunctions.Utility_DisplayArrayInTable(Fertiliser_SourceData.Fertiliser_Products_Data1(),FertiliserProducts[[#Headers],[Include or Exclude]], 0)</f>
        <v/>
      </c>
      <c r="X104" s="37" t="str" cm="1">
        <f t="array" ref="X104">Common_InputFunctions.Utility_DisplayArrayInTable(Fertiliser_SourceData.Fertiliser_Products_Data1(),FertiliserProducts[[#Headers],[Include or Exclude]], 0)</f>
        <v/>
      </c>
      <c r="Y104" s="37" t="str" cm="1">
        <f t="array" ref="Y104">Common_InputFunctions.Utility_DisplayArrayInTable(Fertiliser_SourceData.Fertiliser_Products_Data1(),FertiliserProducts[[#Headers],[Include or Exclude]], 0)</f>
        <v/>
      </c>
      <c r="Z104" s="37" t="str" cm="1">
        <f t="array" ref="Z104">Common_InputFunctions.Utility_DisplayArrayInTable(Fertiliser_SourceData.Fertiliser_Products_Data1(),FertiliserProducts[[#Headers],[Include or Exclude]], 0)</f>
        <v/>
      </c>
      <c r="AA104" s="37" t="str" cm="1">
        <f t="array" ref="AA104">Common_InputFunctions.Utility_DisplayArrayInTable(Fertiliser_SourceData.Fertiliser_Products_Data1(),FertiliserProducts[[#Headers],[Include or Exclude]], 0)</f>
        <v/>
      </c>
      <c r="AB104" s="37" t="str" cm="1">
        <f t="array" ref="AB104">Common_InputFunctions.Utility_DisplayArrayInTable(Fertiliser_SourceData.Fertiliser_Products_Data1(),FertiliserProducts[[#Headers],[Include or Exclude]], 0)</f>
        <v/>
      </c>
      <c r="AC104" s="37" t="str" cm="1">
        <f t="array" ref="AC104">Common_InputFunctions.Utility_DisplayArrayInTable(Fertiliser_SourceData.Fertiliser_Products_Data1(),FertiliserProducts[[#Headers],[Include or Exclude]], 0)</f>
        <v/>
      </c>
      <c r="AD104" s="37" t="str" cm="1">
        <f t="array" ref="AD104">Common_InputFunctions.Utility_DisplayArrayInTable(Fertiliser_SourceData.Fertiliser_Products_Data1(),FertiliserProducts[[#Headers],[Include or Exclude]], 0)</f>
        <v/>
      </c>
      <c r="AE104" s="37" t="str" cm="1">
        <f t="array" ref="AE104">Common_InputFunctions.Utility_DisplayArrayInTable(Fertiliser_SourceData.Fertiliser_Products_Data1(),FertiliserProducts[[#Headers],[Include or Exclude]], 0)</f>
        <v/>
      </c>
    </row>
    <row r="105" spans="4:31" ht="20.100000000000001" customHeight="1" x14ac:dyDescent="0.25">
      <c r="D105" s="111" t="str" cm="1">
        <f t="array" ref="D105">Common_InputFunctions.Utility_DisplayArrayInTable(Fertiliser_SourceData.Fertiliser_Products_Data1(),FertiliserProducts[[#Headers],[Include or Exclude]], 0)</f>
        <v/>
      </c>
      <c r="E105" s="111" t="str" cm="1">
        <f t="array" ref="E105">Common_InputFunctions.Utility_DisplayArrayInTable(Fertiliser_SourceData.Fertiliser_Products_Data1(),FertiliserProducts[[#Headers],[Include or Exclude]], 0)</f>
        <v/>
      </c>
      <c r="F105" s="111" t="str" cm="1">
        <f t="array" ref="F105">Common_InputFunctions.Utility_DisplayArrayInTable(Fertiliser_SourceData.Fertiliser_Products_Data1(),FertiliserProducts[[#Headers],[Include or Exclude]], 0)</f>
        <v/>
      </c>
      <c r="G105" s="111" t="str" cm="1">
        <f t="array" ref="G105">Common_InputFunctions.Utility_DisplayArrayInTable(Fertiliser_SourceData.Fertiliser_Products_Data1(),FertiliserProducts[[#Headers],[Include or Exclude]], 0)</f>
        <v/>
      </c>
      <c r="H105" s="111" t="str" cm="1">
        <f t="array" ref="H105">Common_InputFunctions.Utility_DisplayArrayInTable(Fertiliser_SourceData.Fertiliser_Products_Data1(),FertiliserProducts[[#Headers],[Include or Exclude]], 0)</f>
        <v/>
      </c>
      <c r="I105" s="111" t="str" cm="1">
        <f t="array" ref="I105">Common_InputFunctions.Utility_DisplayArrayInTable(Fertiliser_SourceData.Fertiliser_Products_Data1(),FertiliserProducts[[#Headers],[Include or Exclude]], 0)</f>
        <v/>
      </c>
      <c r="J105" s="111" t="str" cm="1">
        <f t="array" ref="J105">Common_InputFunctions.Utility_DisplayArrayInTable(Fertiliser_SourceData.Fertiliser_Products_Data1(),FertiliserProducts[[#Headers],[Include or Exclude]], 0)</f>
        <v/>
      </c>
      <c r="K105" s="111" t="str" cm="1">
        <f t="array" ref="K105">Common_InputFunctions.Utility_DisplayArrayInTable(Fertiliser_SourceData.Fertiliser_Products_Data1(),FertiliserProducts[[#Headers],[Include or Exclude]], 0)</f>
        <v/>
      </c>
      <c r="L105" s="111" t="str" cm="1">
        <f t="array" ref="L105">Common_InputFunctions.Utility_DisplayArrayInTable(Fertiliser_SourceData.Fertiliser_Products_Data1(),FertiliserProducts[[#Headers],[Include or Exclude]], 0)</f>
        <v/>
      </c>
      <c r="M105" s="37" t="str" cm="1">
        <f t="array" ref="M105">Common_InputFunctions.Utility_DisplayArrayInTable(Fertiliser_SourceData.Fertiliser_Products_Data1(),FertiliserProducts[[#Headers],[Include or Exclude]], 0)</f>
        <v/>
      </c>
      <c r="N105" s="111" t="str" cm="1">
        <f t="array" ref="N105">Common_InputFunctions.Utility_DisplayArrayInTable(Fertiliser_SourceData.Fertiliser_Products_Data1(),FertiliserProducts[[#Headers],[Include or Exclude]], 0)</f>
        <v/>
      </c>
      <c r="O105" s="111" t="str" cm="1">
        <f t="array" ref="O105">Common_InputFunctions.Utility_DisplayArrayInTable(Fertiliser_SourceData.Fertiliser_Products_Data1(),FertiliserProducts[[#Headers],[Include or Exclude]], 0)</f>
        <v/>
      </c>
      <c r="P105" s="111" t="str" cm="1">
        <f t="array" ref="P105">Common_InputFunctions.Utility_DisplayArrayInTable(Fertiliser_SourceData.Fertiliser_Products_Data1(),FertiliserProducts[[#Headers],[Include or Exclude]], 0)</f>
        <v/>
      </c>
      <c r="Q105" s="111" t="str" cm="1">
        <f t="array" ref="Q105">Common_InputFunctions.Utility_DisplayArrayInTable(Fertiliser_SourceData.Fertiliser_Products_Data1(),FertiliserProducts[[#Headers],[Include or Exclude]], 0)</f>
        <v/>
      </c>
      <c r="R105" s="111" t="str" cm="1">
        <f t="array" ref="R105">Common_InputFunctions.Utility_DisplayArrayInTable(Fertiliser_SourceData.Fertiliser_Products_Data1(),FertiliserProducts[[#Headers],[Include or Exclude]], 0)</f>
        <v/>
      </c>
      <c r="S105" s="111" t="str" cm="1">
        <f t="array" ref="S105">Common_InputFunctions.Utility_DisplayArrayInTable(Fertiliser_SourceData.Fertiliser_Products_Data1(),FertiliserProducts[[#Headers],[Include or Exclude]], 0)</f>
        <v/>
      </c>
      <c r="T105" s="111" t="str" cm="1">
        <f t="array" ref="T105">Common_InputFunctions.Utility_DisplayArrayInTable(Fertiliser_SourceData.Fertiliser_Products_Data1(),FertiliserProducts[[#Headers],[Include or Exclude]], 0)</f>
        <v/>
      </c>
      <c r="U105" s="111" t="str" cm="1">
        <f t="array" ref="U105">Common_InputFunctions.Utility_DisplayArrayInTable(Fertiliser_SourceData.Fertiliser_Products_Data1(),FertiliserProducts[[#Headers],[Include or Exclude]], 0)</f>
        <v/>
      </c>
      <c r="V105" s="37" t="str" cm="1">
        <f t="array" ref="V105">Common_InputFunctions.Utility_DisplayArrayInTable(Fertiliser_SourceData.Fertiliser_Products_Data1(),FertiliserProducts[[#Headers],[Include or Exclude]], 0)</f>
        <v/>
      </c>
      <c r="W105" s="37" t="str" cm="1">
        <f t="array" ref="W105">Common_InputFunctions.Utility_DisplayArrayInTable(Fertiliser_SourceData.Fertiliser_Products_Data1(),FertiliserProducts[[#Headers],[Include or Exclude]], 0)</f>
        <v/>
      </c>
      <c r="X105" s="37" t="str" cm="1">
        <f t="array" ref="X105">Common_InputFunctions.Utility_DisplayArrayInTable(Fertiliser_SourceData.Fertiliser_Products_Data1(),FertiliserProducts[[#Headers],[Include or Exclude]], 0)</f>
        <v/>
      </c>
      <c r="Y105" s="37" t="str" cm="1">
        <f t="array" ref="Y105">Common_InputFunctions.Utility_DisplayArrayInTable(Fertiliser_SourceData.Fertiliser_Products_Data1(),FertiliserProducts[[#Headers],[Include or Exclude]], 0)</f>
        <v/>
      </c>
      <c r="Z105" s="37" t="str" cm="1">
        <f t="array" ref="Z105">Common_InputFunctions.Utility_DisplayArrayInTable(Fertiliser_SourceData.Fertiliser_Products_Data1(),FertiliserProducts[[#Headers],[Include or Exclude]], 0)</f>
        <v/>
      </c>
      <c r="AA105" s="37" t="str" cm="1">
        <f t="array" ref="AA105">Common_InputFunctions.Utility_DisplayArrayInTable(Fertiliser_SourceData.Fertiliser_Products_Data1(),FertiliserProducts[[#Headers],[Include or Exclude]], 0)</f>
        <v/>
      </c>
      <c r="AB105" s="37" t="str" cm="1">
        <f t="array" ref="AB105">Common_InputFunctions.Utility_DisplayArrayInTable(Fertiliser_SourceData.Fertiliser_Products_Data1(),FertiliserProducts[[#Headers],[Include or Exclude]], 0)</f>
        <v/>
      </c>
      <c r="AC105" s="37" t="str" cm="1">
        <f t="array" ref="AC105">Common_InputFunctions.Utility_DisplayArrayInTable(Fertiliser_SourceData.Fertiliser_Products_Data1(),FertiliserProducts[[#Headers],[Include or Exclude]], 0)</f>
        <v/>
      </c>
      <c r="AD105" s="37" t="str" cm="1">
        <f t="array" ref="AD105">Common_InputFunctions.Utility_DisplayArrayInTable(Fertiliser_SourceData.Fertiliser_Products_Data1(),FertiliserProducts[[#Headers],[Include or Exclude]], 0)</f>
        <v/>
      </c>
      <c r="AE105" s="37" t="str" cm="1">
        <f t="array" ref="AE105">Common_InputFunctions.Utility_DisplayArrayInTable(Fertiliser_SourceData.Fertiliser_Products_Data1(),FertiliserProducts[[#Headers],[Include or Exclude]], 0)</f>
        <v/>
      </c>
    </row>
    <row r="106" spans="4:31" ht="20.100000000000001" customHeight="1" x14ac:dyDescent="0.25">
      <c r="D106" s="111" t="str" cm="1">
        <f t="array" ref="D106">Common_InputFunctions.Utility_DisplayArrayInTable(Fertiliser_SourceData.Fertiliser_Products_Data1(),FertiliserProducts[[#Headers],[Include or Exclude]], 0)</f>
        <v/>
      </c>
      <c r="E106" s="111" t="str" cm="1">
        <f t="array" ref="E106">Common_InputFunctions.Utility_DisplayArrayInTable(Fertiliser_SourceData.Fertiliser_Products_Data1(),FertiliserProducts[[#Headers],[Include or Exclude]], 0)</f>
        <v/>
      </c>
      <c r="F106" s="111" t="str" cm="1">
        <f t="array" ref="F106">Common_InputFunctions.Utility_DisplayArrayInTable(Fertiliser_SourceData.Fertiliser_Products_Data1(),FertiliserProducts[[#Headers],[Include or Exclude]], 0)</f>
        <v/>
      </c>
      <c r="G106" s="111" t="str" cm="1">
        <f t="array" ref="G106">Common_InputFunctions.Utility_DisplayArrayInTable(Fertiliser_SourceData.Fertiliser_Products_Data1(),FertiliserProducts[[#Headers],[Include or Exclude]], 0)</f>
        <v/>
      </c>
      <c r="H106" s="111" t="str" cm="1">
        <f t="array" ref="H106">Common_InputFunctions.Utility_DisplayArrayInTable(Fertiliser_SourceData.Fertiliser_Products_Data1(),FertiliserProducts[[#Headers],[Include or Exclude]], 0)</f>
        <v/>
      </c>
      <c r="I106" s="111" t="str" cm="1">
        <f t="array" ref="I106">Common_InputFunctions.Utility_DisplayArrayInTable(Fertiliser_SourceData.Fertiliser_Products_Data1(),FertiliserProducts[[#Headers],[Include or Exclude]], 0)</f>
        <v/>
      </c>
      <c r="J106" s="111" t="str" cm="1">
        <f t="array" ref="J106">Common_InputFunctions.Utility_DisplayArrayInTable(Fertiliser_SourceData.Fertiliser_Products_Data1(),FertiliserProducts[[#Headers],[Include or Exclude]], 0)</f>
        <v/>
      </c>
      <c r="K106" s="111" t="str" cm="1">
        <f t="array" ref="K106">Common_InputFunctions.Utility_DisplayArrayInTable(Fertiliser_SourceData.Fertiliser_Products_Data1(),FertiliserProducts[[#Headers],[Include or Exclude]], 0)</f>
        <v/>
      </c>
      <c r="L106" s="111" t="str" cm="1">
        <f t="array" ref="L106">Common_InputFunctions.Utility_DisplayArrayInTable(Fertiliser_SourceData.Fertiliser_Products_Data1(),FertiliserProducts[[#Headers],[Include or Exclude]], 0)</f>
        <v/>
      </c>
      <c r="M106" s="37" t="str" cm="1">
        <f t="array" ref="M106">Common_InputFunctions.Utility_DisplayArrayInTable(Fertiliser_SourceData.Fertiliser_Products_Data1(),FertiliserProducts[[#Headers],[Include or Exclude]], 0)</f>
        <v/>
      </c>
      <c r="N106" s="111" t="str" cm="1">
        <f t="array" ref="N106">Common_InputFunctions.Utility_DisplayArrayInTable(Fertiliser_SourceData.Fertiliser_Products_Data1(),FertiliserProducts[[#Headers],[Include or Exclude]], 0)</f>
        <v/>
      </c>
      <c r="O106" s="111" t="str" cm="1">
        <f t="array" ref="O106">Common_InputFunctions.Utility_DisplayArrayInTable(Fertiliser_SourceData.Fertiliser_Products_Data1(),FertiliserProducts[[#Headers],[Include or Exclude]], 0)</f>
        <v/>
      </c>
      <c r="P106" s="111" t="str" cm="1">
        <f t="array" ref="P106">Common_InputFunctions.Utility_DisplayArrayInTable(Fertiliser_SourceData.Fertiliser_Products_Data1(),FertiliserProducts[[#Headers],[Include or Exclude]], 0)</f>
        <v/>
      </c>
      <c r="Q106" s="111" t="str" cm="1">
        <f t="array" ref="Q106">Common_InputFunctions.Utility_DisplayArrayInTable(Fertiliser_SourceData.Fertiliser_Products_Data1(),FertiliserProducts[[#Headers],[Include or Exclude]], 0)</f>
        <v/>
      </c>
      <c r="R106" s="111" t="str" cm="1">
        <f t="array" ref="R106">Common_InputFunctions.Utility_DisplayArrayInTable(Fertiliser_SourceData.Fertiliser_Products_Data1(),FertiliserProducts[[#Headers],[Include or Exclude]], 0)</f>
        <v/>
      </c>
      <c r="S106" s="111" t="str" cm="1">
        <f t="array" ref="S106">Common_InputFunctions.Utility_DisplayArrayInTable(Fertiliser_SourceData.Fertiliser_Products_Data1(),FertiliserProducts[[#Headers],[Include or Exclude]], 0)</f>
        <v/>
      </c>
      <c r="T106" s="111" t="str" cm="1">
        <f t="array" ref="T106">Common_InputFunctions.Utility_DisplayArrayInTable(Fertiliser_SourceData.Fertiliser_Products_Data1(),FertiliserProducts[[#Headers],[Include or Exclude]], 0)</f>
        <v/>
      </c>
      <c r="U106" s="111" t="str" cm="1">
        <f t="array" ref="U106">Common_InputFunctions.Utility_DisplayArrayInTable(Fertiliser_SourceData.Fertiliser_Products_Data1(),FertiliserProducts[[#Headers],[Include or Exclude]], 0)</f>
        <v/>
      </c>
      <c r="V106" s="37" t="str" cm="1">
        <f t="array" ref="V106">Common_InputFunctions.Utility_DisplayArrayInTable(Fertiliser_SourceData.Fertiliser_Products_Data1(),FertiliserProducts[[#Headers],[Include or Exclude]], 0)</f>
        <v/>
      </c>
      <c r="W106" s="37" t="str" cm="1">
        <f t="array" ref="W106">Common_InputFunctions.Utility_DisplayArrayInTable(Fertiliser_SourceData.Fertiliser_Products_Data1(),FertiliserProducts[[#Headers],[Include or Exclude]], 0)</f>
        <v/>
      </c>
      <c r="X106" s="37" t="str" cm="1">
        <f t="array" ref="X106">Common_InputFunctions.Utility_DisplayArrayInTable(Fertiliser_SourceData.Fertiliser_Products_Data1(),FertiliserProducts[[#Headers],[Include or Exclude]], 0)</f>
        <v/>
      </c>
      <c r="Y106" s="37" t="str" cm="1">
        <f t="array" ref="Y106">Common_InputFunctions.Utility_DisplayArrayInTable(Fertiliser_SourceData.Fertiliser_Products_Data1(),FertiliserProducts[[#Headers],[Include or Exclude]], 0)</f>
        <v/>
      </c>
      <c r="Z106" s="37" t="str" cm="1">
        <f t="array" ref="Z106">Common_InputFunctions.Utility_DisplayArrayInTable(Fertiliser_SourceData.Fertiliser_Products_Data1(),FertiliserProducts[[#Headers],[Include or Exclude]], 0)</f>
        <v/>
      </c>
      <c r="AA106" s="37" t="str" cm="1">
        <f t="array" ref="AA106">Common_InputFunctions.Utility_DisplayArrayInTable(Fertiliser_SourceData.Fertiliser_Products_Data1(),FertiliserProducts[[#Headers],[Include or Exclude]], 0)</f>
        <v/>
      </c>
      <c r="AB106" s="37" t="str" cm="1">
        <f t="array" ref="AB106">Common_InputFunctions.Utility_DisplayArrayInTable(Fertiliser_SourceData.Fertiliser_Products_Data1(),FertiliserProducts[[#Headers],[Include or Exclude]], 0)</f>
        <v/>
      </c>
      <c r="AC106" s="37" t="str" cm="1">
        <f t="array" ref="AC106">Common_InputFunctions.Utility_DisplayArrayInTable(Fertiliser_SourceData.Fertiliser_Products_Data1(),FertiliserProducts[[#Headers],[Include or Exclude]], 0)</f>
        <v/>
      </c>
      <c r="AD106" s="37" t="str" cm="1">
        <f t="array" ref="AD106">Common_InputFunctions.Utility_DisplayArrayInTable(Fertiliser_SourceData.Fertiliser_Products_Data1(),FertiliserProducts[[#Headers],[Include or Exclude]], 0)</f>
        <v/>
      </c>
      <c r="AE106" s="37" t="str" cm="1">
        <f t="array" ref="AE106">Common_InputFunctions.Utility_DisplayArrayInTable(Fertiliser_SourceData.Fertiliser_Products_Data1(),FertiliserProducts[[#Headers],[Include or Exclude]], 0)</f>
        <v/>
      </c>
    </row>
    <row r="107" spans="4:31" ht="20.100000000000001" customHeight="1" x14ac:dyDescent="0.25">
      <c r="D107" s="111" t="str" cm="1">
        <f t="array" ref="D107">Common_InputFunctions.Utility_DisplayArrayInTable(Fertiliser_SourceData.Fertiliser_Products_Data1(),FertiliserProducts[[#Headers],[Include or Exclude]], 0)</f>
        <v/>
      </c>
      <c r="E107" s="111" t="str" cm="1">
        <f t="array" ref="E107">Common_InputFunctions.Utility_DisplayArrayInTable(Fertiliser_SourceData.Fertiliser_Products_Data1(),FertiliserProducts[[#Headers],[Include or Exclude]], 0)</f>
        <v/>
      </c>
      <c r="F107" s="111" t="str" cm="1">
        <f t="array" ref="F107">Common_InputFunctions.Utility_DisplayArrayInTable(Fertiliser_SourceData.Fertiliser_Products_Data1(),FertiliserProducts[[#Headers],[Include or Exclude]], 0)</f>
        <v/>
      </c>
      <c r="G107" s="111" t="str" cm="1">
        <f t="array" ref="G107">Common_InputFunctions.Utility_DisplayArrayInTable(Fertiliser_SourceData.Fertiliser_Products_Data1(),FertiliserProducts[[#Headers],[Include or Exclude]], 0)</f>
        <v/>
      </c>
      <c r="H107" s="111" t="str" cm="1">
        <f t="array" ref="H107">Common_InputFunctions.Utility_DisplayArrayInTable(Fertiliser_SourceData.Fertiliser_Products_Data1(),FertiliserProducts[[#Headers],[Include or Exclude]], 0)</f>
        <v/>
      </c>
      <c r="I107" s="111" t="str" cm="1">
        <f t="array" ref="I107">Common_InputFunctions.Utility_DisplayArrayInTable(Fertiliser_SourceData.Fertiliser_Products_Data1(),FertiliserProducts[[#Headers],[Include or Exclude]], 0)</f>
        <v/>
      </c>
      <c r="J107" s="111" t="str" cm="1">
        <f t="array" ref="J107">Common_InputFunctions.Utility_DisplayArrayInTable(Fertiliser_SourceData.Fertiliser_Products_Data1(),FertiliserProducts[[#Headers],[Include or Exclude]], 0)</f>
        <v/>
      </c>
      <c r="K107" s="111" t="str" cm="1">
        <f t="array" ref="K107">Common_InputFunctions.Utility_DisplayArrayInTable(Fertiliser_SourceData.Fertiliser_Products_Data1(),FertiliserProducts[[#Headers],[Include or Exclude]], 0)</f>
        <v/>
      </c>
      <c r="L107" s="111" t="str" cm="1">
        <f t="array" ref="L107">Common_InputFunctions.Utility_DisplayArrayInTable(Fertiliser_SourceData.Fertiliser_Products_Data1(),FertiliserProducts[[#Headers],[Include or Exclude]], 0)</f>
        <v/>
      </c>
      <c r="M107" s="37" t="str" cm="1">
        <f t="array" ref="M107">Common_InputFunctions.Utility_DisplayArrayInTable(Fertiliser_SourceData.Fertiliser_Products_Data1(),FertiliserProducts[[#Headers],[Include or Exclude]], 0)</f>
        <v/>
      </c>
      <c r="N107" s="111" t="str" cm="1">
        <f t="array" ref="N107">Common_InputFunctions.Utility_DisplayArrayInTable(Fertiliser_SourceData.Fertiliser_Products_Data1(),FertiliserProducts[[#Headers],[Include or Exclude]], 0)</f>
        <v/>
      </c>
      <c r="O107" s="111" t="str" cm="1">
        <f t="array" ref="O107">Common_InputFunctions.Utility_DisplayArrayInTable(Fertiliser_SourceData.Fertiliser_Products_Data1(),FertiliserProducts[[#Headers],[Include or Exclude]], 0)</f>
        <v/>
      </c>
      <c r="P107" s="111" t="str" cm="1">
        <f t="array" ref="P107">Common_InputFunctions.Utility_DisplayArrayInTable(Fertiliser_SourceData.Fertiliser_Products_Data1(),FertiliserProducts[[#Headers],[Include or Exclude]], 0)</f>
        <v/>
      </c>
      <c r="Q107" s="111" t="str" cm="1">
        <f t="array" ref="Q107">Common_InputFunctions.Utility_DisplayArrayInTable(Fertiliser_SourceData.Fertiliser_Products_Data1(),FertiliserProducts[[#Headers],[Include or Exclude]], 0)</f>
        <v/>
      </c>
      <c r="R107" s="111" t="str" cm="1">
        <f t="array" ref="R107">Common_InputFunctions.Utility_DisplayArrayInTable(Fertiliser_SourceData.Fertiliser_Products_Data1(),FertiliserProducts[[#Headers],[Include or Exclude]], 0)</f>
        <v/>
      </c>
      <c r="S107" s="111" t="str" cm="1">
        <f t="array" ref="S107">Common_InputFunctions.Utility_DisplayArrayInTable(Fertiliser_SourceData.Fertiliser_Products_Data1(),FertiliserProducts[[#Headers],[Include or Exclude]], 0)</f>
        <v/>
      </c>
      <c r="T107" s="111" t="str" cm="1">
        <f t="array" ref="T107">Common_InputFunctions.Utility_DisplayArrayInTable(Fertiliser_SourceData.Fertiliser_Products_Data1(),FertiliserProducts[[#Headers],[Include or Exclude]], 0)</f>
        <v/>
      </c>
      <c r="U107" s="111" t="str" cm="1">
        <f t="array" ref="U107">Common_InputFunctions.Utility_DisplayArrayInTable(Fertiliser_SourceData.Fertiliser_Products_Data1(),FertiliserProducts[[#Headers],[Include or Exclude]], 0)</f>
        <v/>
      </c>
      <c r="V107" s="37" t="str" cm="1">
        <f t="array" ref="V107">Common_InputFunctions.Utility_DisplayArrayInTable(Fertiliser_SourceData.Fertiliser_Products_Data1(),FertiliserProducts[[#Headers],[Include or Exclude]], 0)</f>
        <v/>
      </c>
      <c r="W107" s="37" t="str" cm="1">
        <f t="array" ref="W107">Common_InputFunctions.Utility_DisplayArrayInTable(Fertiliser_SourceData.Fertiliser_Products_Data1(),FertiliserProducts[[#Headers],[Include or Exclude]], 0)</f>
        <v/>
      </c>
      <c r="X107" s="37" t="str" cm="1">
        <f t="array" ref="X107">Common_InputFunctions.Utility_DisplayArrayInTable(Fertiliser_SourceData.Fertiliser_Products_Data1(),FertiliserProducts[[#Headers],[Include or Exclude]], 0)</f>
        <v/>
      </c>
      <c r="Y107" s="37" t="str" cm="1">
        <f t="array" ref="Y107">Common_InputFunctions.Utility_DisplayArrayInTable(Fertiliser_SourceData.Fertiliser_Products_Data1(),FertiliserProducts[[#Headers],[Include or Exclude]], 0)</f>
        <v/>
      </c>
      <c r="Z107" s="37" t="str" cm="1">
        <f t="array" ref="Z107">Common_InputFunctions.Utility_DisplayArrayInTable(Fertiliser_SourceData.Fertiliser_Products_Data1(),FertiliserProducts[[#Headers],[Include or Exclude]], 0)</f>
        <v/>
      </c>
      <c r="AA107" s="37" t="str" cm="1">
        <f t="array" ref="AA107">Common_InputFunctions.Utility_DisplayArrayInTable(Fertiliser_SourceData.Fertiliser_Products_Data1(),FertiliserProducts[[#Headers],[Include or Exclude]], 0)</f>
        <v/>
      </c>
      <c r="AB107" s="37" t="str" cm="1">
        <f t="array" ref="AB107">Common_InputFunctions.Utility_DisplayArrayInTable(Fertiliser_SourceData.Fertiliser_Products_Data1(),FertiliserProducts[[#Headers],[Include or Exclude]], 0)</f>
        <v/>
      </c>
      <c r="AC107" s="37" t="str" cm="1">
        <f t="array" ref="AC107">Common_InputFunctions.Utility_DisplayArrayInTable(Fertiliser_SourceData.Fertiliser_Products_Data1(),FertiliserProducts[[#Headers],[Include or Exclude]], 0)</f>
        <v/>
      </c>
      <c r="AD107" s="37" t="str" cm="1">
        <f t="array" ref="AD107">Common_InputFunctions.Utility_DisplayArrayInTable(Fertiliser_SourceData.Fertiliser_Products_Data1(),FertiliserProducts[[#Headers],[Include or Exclude]], 0)</f>
        <v/>
      </c>
      <c r="AE107" s="37" t="str" cm="1">
        <f t="array" ref="AE107">Common_InputFunctions.Utility_DisplayArrayInTable(Fertiliser_SourceData.Fertiliser_Products_Data1(),FertiliserProducts[[#Headers],[Include or Exclude]], 0)</f>
        <v/>
      </c>
    </row>
    <row r="108" spans="4:31" ht="20.100000000000001" customHeight="1" x14ac:dyDescent="0.25">
      <c r="D108" s="111" t="str" cm="1">
        <f t="array" ref="D108">Common_InputFunctions.Utility_DisplayArrayInTable(Fertiliser_SourceData.Fertiliser_Products_Data1(),FertiliserProducts[[#Headers],[Include or Exclude]], 0)</f>
        <v/>
      </c>
      <c r="E108" s="111" t="str" cm="1">
        <f t="array" ref="E108">Common_InputFunctions.Utility_DisplayArrayInTable(Fertiliser_SourceData.Fertiliser_Products_Data1(),FertiliserProducts[[#Headers],[Include or Exclude]], 0)</f>
        <v/>
      </c>
      <c r="F108" s="111" t="str" cm="1">
        <f t="array" ref="F108">Common_InputFunctions.Utility_DisplayArrayInTable(Fertiliser_SourceData.Fertiliser_Products_Data1(),FertiliserProducts[[#Headers],[Include or Exclude]], 0)</f>
        <v/>
      </c>
      <c r="G108" s="111" t="str" cm="1">
        <f t="array" ref="G108">Common_InputFunctions.Utility_DisplayArrayInTable(Fertiliser_SourceData.Fertiliser_Products_Data1(),FertiliserProducts[[#Headers],[Include or Exclude]], 0)</f>
        <v/>
      </c>
      <c r="H108" s="111" t="str" cm="1">
        <f t="array" ref="H108">Common_InputFunctions.Utility_DisplayArrayInTable(Fertiliser_SourceData.Fertiliser_Products_Data1(),FertiliserProducts[[#Headers],[Include or Exclude]], 0)</f>
        <v/>
      </c>
      <c r="I108" s="111" t="str" cm="1">
        <f t="array" ref="I108">Common_InputFunctions.Utility_DisplayArrayInTable(Fertiliser_SourceData.Fertiliser_Products_Data1(),FertiliserProducts[[#Headers],[Include or Exclude]], 0)</f>
        <v/>
      </c>
      <c r="J108" s="111" t="str" cm="1">
        <f t="array" ref="J108">Common_InputFunctions.Utility_DisplayArrayInTable(Fertiliser_SourceData.Fertiliser_Products_Data1(),FertiliserProducts[[#Headers],[Include or Exclude]], 0)</f>
        <v/>
      </c>
      <c r="K108" s="111" t="str" cm="1">
        <f t="array" ref="K108">Common_InputFunctions.Utility_DisplayArrayInTable(Fertiliser_SourceData.Fertiliser_Products_Data1(),FertiliserProducts[[#Headers],[Include or Exclude]], 0)</f>
        <v/>
      </c>
      <c r="L108" s="111" t="str" cm="1">
        <f t="array" ref="L108">Common_InputFunctions.Utility_DisplayArrayInTable(Fertiliser_SourceData.Fertiliser_Products_Data1(),FertiliserProducts[[#Headers],[Include or Exclude]], 0)</f>
        <v/>
      </c>
      <c r="M108" s="37" t="str" cm="1">
        <f t="array" ref="M108">Common_InputFunctions.Utility_DisplayArrayInTable(Fertiliser_SourceData.Fertiliser_Products_Data1(),FertiliserProducts[[#Headers],[Include or Exclude]], 0)</f>
        <v/>
      </c>
      <c r="N108" s="111" t="str" cm="1">
        <f t="array" ref="N108">Common_InputFunctions.Utility_DisplayArrayInTable(Fertiliser_SourceData.Fertiliser_Products_Data1(),FertiliserProducts[[#Headers],[Include or Exclude]], 0)</f>
        <v/>
      </c>
      <c r="O108" s="111" t="str" cm="1">
        <f t="array" ref="O108">Common_InputFunctions.Utility_DisplayArrayInTable(Fertiliser_SourceData.Fertiliser_Products_Data1(),FertiliserProducts[[#Headers],[Include or Exclude]], 0)</f>
        <v/>
      </c>
      <c r="P108" s="111" t="str" cm="1">
        <f t="array" ref="P108">Common_InputFunctions.Utility_DisplayArrayInTable(Fertiliser_SourceData.Fertiliser_Products_Data1(),FertiliserProducts[[#Headers],[Include or Exclude]], 0)</f>
        <v/>
      </c>
      <c r="Q108" s="111" t="str" cm="1">
        <f t="array" ref="Q108">Common_InputFunctions.Utility_DisplayArrayInTable(Fertiliser_SourceData.Fertiliser_Products_Data1(),FertiliserProducts[[#Headers],[Include or Exclude]], 0)</f>
        <v/>
      </c>
      <c r="R108" s="111" t="str" cm="1">
        <f t="array" ref="R108">Common_InputFunctions.Utility_DisplayArrayInTable(Fertiliser_SourceData.Fertiliser_Products_Data1(),FertiliserProducts[[#Headers],[Include or Exclude]], 0)</f>
        <v/>
      </c>
      <c r="S108" s="111" t="str" cm="1">
        <f t="array" ref="S108">Common_InputFunctions.Utility_DisplayArrayInTable(Fertiliser_SourceData.Fertiliser_Products_Data1(),FertiliserProducts[[#Headers],[Include or Exclude]], 0)</f>
        <v/>
      </c>
      <c r="T108" s="111" t="str" cm="1">
        <f t="array" ref="T108">Common_InputFunctions.Utility_DisplayArrayInTable(Fertiliser_SourceData.Fertiliser_Products_Data1(),FertiliserProducts[[#Headers],[Include or Exclude]], 0)</f>
        <v/>
      </c>
      <c r="U108" s="111" t="str" cm="1">
        <f t="array" ref="U108">Common_InputFunctions.Utility_DisplayArrayInTable(Fertiliser_SourceData.Fertiliser_Products_Data1(),FertiliserProducts[[#Headers],[Include or Exclude]], 0)</f>
        <v/>
      </c>
      <c r="V108" s="37" t="str" cm="1">
        <f t="array" ref="V108">Common_InputFunctions.Utility_DisplayArrayInTable(Fertiliser_SourceData.Fertiliser_Products_Data1(),FertiliserProducts[[#Headers],[Include or Exclude]], 0)</f>
        <v/>
      </c>
      <c r="W108" s="37" t="str" cm="1">
        <f t="array" ref="W108">Common_InputFunctions.Utility_DisplayArrayInTable(Fertiliser_SourceData.Fertiliser_Products_Data1(),FertiliserProducts[[#Headers],[Include or Exclude]], 0)</f>
        <v/>
      </c>
      <c r="X108" s="37" t="str" cm="1">
        <f t="array" ref="X108">Common_InputFunctions.Utility_DisplayArrayInTable(Fertiliser_SourceData.Fertiliser_Products_Data1(),FertiliserProducts[[#Headers],[Include or Exclude]], 0)</f>
        <v/>
      </c>
      <c r="Y108" s="37" t="str" cm="1">
        <f t="array" ref="Y108">Common_InputFunctions.Utility_DisplayArrayInTable(Fertiliser_SourceData.Fertiliser_Products_Data1(),FertiliserProducts[[#Headers],[Include or Exclude]], 0)</f>
        <v/>
      </c>
      <c r="Z108" s="37" t="str" cm="1">
        <f t="array" ref="Z108">Common_InputFunctions.Utility_DisplayArrayInTable(Fertiliser_SourceData.Fertiliser_Products_Data1(),FertiliserProducts[[#Headers],[Include or Exclude]], 0)</f>
        <v/>
      </c>
      <c r="AA108" s="37" t="str" cm="1">
        <f t="array" ref="AA108">Common_InputFunctions.Utility_DisplayArrayInTable(Fertiliser_SourceData.Fertiliser_Products_Data1(),FertiliserProducts[[#Headers],[Include or Exclude]], 0)</f>
        <v/>
      </c>
      <c r="AB108" s="37" t="str" cm="1">
        <f t="array" ref="AB108">Common_InputFunctions.Utility_DisplayArrayInTable(Fertiliser_SourceData.Fertiliser_Products_Data1(),FertiliserProducts[[#Headers],[Include or Exclude]], 0)</f>
        <v/>
      </c>
      <c r="AC108" s="37" t="str" cm="1">
        <f t="array" ref="AC108">Common_InputFunctions.Utility_DisplayArrayInTable(Fertiliser_SourceData.Fertiliser_Products_Data1(),FertiliserProducts[[#Headers],[Include or Exclude]], 0)</f>
        <v/>
      </c>
      <c r="AD108" s="37" t="str" cm="1">
        <f t="array" ref="AD108">Common_InputFunctions.Utility_DisplayArrayInTable(Fertiliser_SourceData.Fertiliser_Products_Data1(),FertiliserProducts[[#Headers],[Include or Exclude]], 0)</f>
        <v/>
      </c>
      <c r="AE108" s="37" t="str" cm="1">
        <f t="array" ref="AE108">Common_InputFunctions.Utility_DisplayArrayInTable(Fertiliser_SourceData.Fertiliser_Products_Data1(),FertiliserProducts[[#Headers],[Include or Exclude]], 0)</f>
        <v/>
      </c>
    </row>
    <row r="109" spans="4:31" ht="20.100000000000001" customHeight="1" x14ac:dyDescent="0.25">
      <c r="D109" s="111" t="str" cm="1">
        <f t="array" aca="1" ref="D109" ca="1">Common_InputFunctions.Utility_DisplayArrayInTable(Fertiliser_SourceData.Fertiliser_Products_Data2(),FertiliserProducts[[#Headers],[Include or Exclude]], 20)</f>
        <v/>
      </c>
      <c r="E109" s="111" t="str" cm="1">
        <f t="array" aca="1" ref="E109" ca="1">Common_InputFunctions.Utility_DisplayArrayInTable(Fertiliser_SourceData.Fertiliser_Products_Data2(),FertiliserProducts[[#Headers],[Include or Exclude]], 20)</f>
        <v/>
      </c>
      <c r="F109" s="111" t="str" cm="1">
        <f t="array" aca="1" ref="F109" ca="1">Common_InputFunctions.Utility_DisplayArrayInTable(Fertiliser_SourceData.Fertiliser_Products_Data2(),FertiliserProducts[[#Headers],[Include or Exclude]], 20)</f>
        <v/>
      </c>
      <c r="G109" s="111" t="str" cm="1">
        <f t="array" aca="1" ref="G109" ca="1">Common_InputFunctions.Utility_DisplayArrayInTable(Fertiliser_SourceData.Fertiliser_Products_Data2(),FertiliserProducts[[#Headers],[Include or Exclude]], 20)</f>
        <v/>
      </c>
      <c r="H109" s="111" t="str" cm="1">
        <f t="array" aca="1" ref="H109" ca="1">Common_InputFunctions.Utility_DisplayArrayInTable(Fertiliser_SourceData.Fertiliser_Products_Data2(),FertiliserProducts[[#Headers],[Include or Exclude]], 20)</f>
        <v/>
      </c>
      <c r="I109" s="111" t="str" cm="1">
        <f t="array" aca="1" ref="I109" ca="1">Common_InputFunctions.Utility_DisplayArrayInTable(Fertiliser_SourceData.Fertiliser_Products_Data2(),FertiliserProducts[[#Headers],[Include or Exclude]], 20)</f>
        <v/>
      </c>
      <c r="J109" s="111" t="str" cm="1">
        <f t="array" aca="1" ref="J109" ca="1">Common_InputFunctions.Utility_DisplayArrayInTable(Fertiliser_SourceData.Fertiliser_Products_Data2(),FertiliserProducts[[#Headers],[Include or Exclude]], 20)</f>
        <v/>
      </c>
      <c r="K109" s="111" t="str" cm="1">
        <f t="array" aca="1" ref="K109" ca="1">Common_InputFunctions.Utility_DisplayArrayInTable(Fertiliser_SourceData.Fertiliser_Products_Data2(),FertiliserProducts[[#Headers],[Include or Exclude]], 20)</f>
        <v/>
      </c>
      <c r="L109" s="111" t="str" cm="1">
        <f t="array" aca="1" ref="L109" ca="1">Common_InputFunctions.Utility_DisplayArrayInTable(Fertiliser_SourceData.Fertiliser_Products_Data2(),FertiliserProducts[[#Headers],[Include or Exclude]], 20)</f>
        <v/>
      </c>
      <c r="M109" s="111" t="str" cm="1">
        <f t="array" aca="1" ref="M109" ca="1">Common_InputFunctions.Utility_DisplayArrayInTable(Fertiliser_SourceData.Fertiliser_Products_Data2(),FertiliserProducts[[#Headers],[Include or Exclude]], 20)</f>
        <v/>
      </c>
      <c r="N109" s="111" t="str" cm="1">
        <f t="array" aca="1" ref="N109" ca="1">Common_InputFunctions.Utility_DisplayArrayInTable(Fertiliser_SourceData.Fertiliser_Products_Data2(),FertiliserProducts[[#Headers],[Include or Exclude]], 20)</f>
        <v/>
      </c>
      <c r="O109" s="111" t="str" cm="1">
        <f t="array" aca="1" ref="O109" ca="1">Common_InputFunctions.Utility_DisplayArrayInTable(Fertiliser_SourceData.Fertiliser_Products_Data2(),FertiliserProducts[[#Headers],[Include or Exclude]], 20)</f>
        <v/>
      </c>
      <c r="P109" s="111" t="str" cm="1">
        <f t="array" aca="1" ref="P109" ca="1">Common_InputFunctions.Utility_DisplayArrayInTable(Fertiliser_SourceData.Fertiliser_Products_Data2(),FertiliserProducts[[#Headers],[Include or Exclude]], 20)</f>
        <v/>
      </c>
      <c r="Q109" s="111" t="str" cm="1">
        <f t="array" aca="1" ref="Q109" ca="1">Common_InputFunctions.Utility_DisplayArrayInTable(Fertiliser_SourceData.Fertiliser_Products_Data2(),FertiliserProducts[[#Headers],[Include or Exclude]], 20)</f>
        <v/>
      </c>
      <c r="R109" s="111" t="str" cm="1">
        <f t="array" aca="1" ref="R109" ca="1">Common_InputFunctions.Utility_DisplayArrayInTable(Fertiliser_SourceData.Fertiliser_Products_Data2(),FertiliserProducts[[#Headers],[Include or Exclude]], 20)</f>
        <v/>
      </c>
      <c r="S109" s="111" t="str" cm="1">
        <f t="array" aca="1" ref="S109" ca="1">Common_InputFunctions.Utility_DisplayArrayInTable(Fertiliser_SourceData.Fertiliser_Products_Data2(),FertiliserProducts[[#Headers],[Include or Exclude]], 20)</f>
        <v/>
      </c>
      <c r="T109" s="111" t="str" cm="1">
        <f t="array" aca="1" ref="T109" ca="1">Common_InputFunctions.Utility_DisplayArrayInTable(Fertiliser_SourceData.Fertiliser_Products_Data2(),FertiliserProducts[[#Headers],[Include or Exclude]], 20)</f>
        <v/>
      </c>
      <c r="U109" s="111" t="str" cm="1">
        <f t="array" aca="1" ref="U109" ca="1">Common_InputFunctions.Utility_DisplayArrayInTable(Fertiliser_SourceData.Fertiliser_Products_Data2(),FertiliserProducts[[#Headers],[Include or Exclude]], 20)</f>
        <v/>
      </c>
      <c r="V109" s="111" t="str" cm="1">
        <f t="array" aca="1" ref="V109" ca="1">Common_InputFunctions.Utility_DisplayArrayInTable(Fertiliser_SourceData.Fertiliser_Products_Data2(),FertiliserProducts[[#Headers],[Include or Exclude]], 20)</f>
        <v/>
      </c>
      <c r="W109" s="111" t="str" cm="1">
        <f t="array" aca="1" ref="W109" ca="1">Common_InputFunctions.Utility_DisplayArrayInTable(Fertiliser_SourceData.Fertiliser_Products_Data2(),FertiliserProducts[[#Headers],[Include or Exclude]], 20)</f>
        <v/>
      </c>
      <c r="X109" s="111" t="str" cm="1">
        <f t="array" aca="1" ref="X109" ca="1">Common_InputFunctions.Utility_DisplayArrayInTable(Fertiliser_SourceData.Fertiliser_Products_Data2(),FertiliserProducts[[#Headers],[Include or Exclude]], 20)</f>
        <v/>
      </c>
      <c r="Y109" s="111" t="str" cm="1">
        <f t="array" aca="1" ref="Y109" ca="1">Common_InputFunctions.Utility_DisplayArrayInTable(Fertiliser_SourceData.Fertiliser_Products_Data2(),FertiliserProducts[[#Headers],[Include or Exclude]], 20)</f>
        <v/>
      </c>
      <c r="Z109" s="111" t="str" cm="1">
        <f t="array" aca="1" ref="Z109" ca="1">Common_InputFunctions.Utility_DisplayArrayInTable(Fertiliser_SourceData.Fertiliser_Products_Data2(),FertiliserProducts[[#Headers],[Include or Exclude]], 20)</f>
        <v/>
      </c>
      <c r="AA109" s="37" t="str" cm="1">
        <f t="array" aca="1" ref="AA109" ca="1">Common_InputFunctions.Utility_DisplayArrayInTable(Fertiliser_SourceData.Fertiliser_Products_Data2(),FertiliserProducts[[#Headers],[Include or Exclude]], 20)</f>
        <v/>
      </c>
      <c r="AB109" s="37" t="str" cm="1">
        <f t="array" aca="1" ref="AB109" ca="1">Common_InputFunctions.Utility_DisplayArrayInTable(Fertiliser_SourceData.Fertiliser_Products_Data2(),FertiliserProducts[[#Headers],[Include or Exclude]], 20)</f>
        <v/>
      </c>
      <c r="AC109" s="37" t="str" cm="1">
        <f t="array" aca="1" ref="AC109" ca="1">Common_InputFunctions.Utility_DisplayArrayInTable(Fertiliser_SourceData.Fertiliser_Products_Data2(),FertiliserProducts[[#Headers],[Include or Exclude]], 20)</f>
        <v/>
      </c>
      <c r="AD109" s="37" t="str" cm="1">
        <f t="array" aca="1" ref="AD109" ca="1">Common_InputFunctions.Utility_DisplayArrayInTable(Fertiliser_SourceData.Fertiliser_Products_Data2(),FertiliserProducts[[#Headers],[Include or Exclude]], 20)</f>
        <v/>
      </c>
      <c r="AE109" s="37" t="str" cm="1">
        <f t="array" aca="1" ref="AE109" ca="1">Common_InputFunctions.Utility_DisplayArrayInTable(Fertiliser_SourceData.Fertiliser_Products_Data2(),FertiliserProducts[[#Headers],[Include or Exclude]], 20)</f>
        <v/>
      </c>
    </row>
    <row r="110" spans="4:31" ht="20.100000000000001" customHeight="1" x14ac:dyDescent="0.25">
      <c r="D110" s="111" t="str" cm="1">
        <f t="array" aca="1" ref="D110" ca="1">Common_InputFunctions.Utility_DisplayArrayInTable(Fertiliser_SourceData.Fertiliser_Products_Data2(),FertiliserProducts[[#Headers],[Include or Exclude]], 20)</f>
        <v/>
      </c>
      <c r="E110" s="111" t="str" cm="1">
        <f t="array" aca="1" ref="E110" ca="1">Common_InputFunctions.Utility_DisplayArrayInTable(Fertiliser_SourceData.Fertiliser_Products_Data2(),FertiliserProducts[[#Headers],[Include or Exclude]], 20)</f>
        <v/>
      </c>
      <c r="F110" s="111" t="str" cm="1">
        <f t="array" aca="1" ref="F110" ca="1">Common_InputFunctions.Utility_DisplayArrayInTable(Fertiliser_SourceData.Fertiliser_Products_Data2(),FertiliserProducts[[#Headers],[Include or Exclude]], 20)</f>
        <v/>
      </c>
      <c r="G110" s="111" t="str" cm="1">
        <f t="array" aca="1" ref="G110" ca="1">Common_InputFunctions.Utility_DisplayArrayInTable(Fertiliser_SourceData.Fertiliser_Products_Data2(),FertiliserProducts[[#Headers],[Include or Exclude]], 20)</f>
        <v/>
      </c>
      <c r="H110" s="111" t="str" cm="1">
        <f t="array" aca="1" ref="H110" ca="1">Common_InputFunctions.Utility_DisplayArrayInTable(Fertiliser_SourceData.Fertiliser_Products_Data2(),FertiliserProducts[[#Headers],[Include or Exclude]], 20)</f>
        <v/>
      </c>
      <c r="I110" s="111" t="str" cm="1">
        <f t="array" aca="1" ref="I110" ca="1">Common_InputFunctions.Utility_DisplayArrayInTable(Fertiliser_SourceData.Fertiliser_Products_Data2(),FertiliserProducts[[#Headers],[Include or Exclude]], 20)</f>
        <v/>
      </c>
      <c r="J110" s="111" t="str" cm="1">
        <f t="array" aca="1" ref="J110" ca="1">Common_InputFunctions.Utility_DisplayArrayInTable(Fertiliser_SourceData.Fertiliser_Products_Data2(),FertiliserProducts[[#Headers],[Include or Exclude]], 20)</f>
        <v/>
      </c>
      <c r="K110" s="111" t="str" cm="1">
        <f t="array" aca="1" ref="K110" ca="1">Common_InputFunctions.Utility_DisplayArrayInTable(Fertiliser_SourceData.Fertiliser_Products_Data2(),FertiliserProducts[[#Headers],[Include or Exclude]], 20)</f>
        <v/>
      </c>
      <c r="L110" s="111" t="str" cm="1">
        <f t="array" aca="1" ref="L110" ca="1">Common_InputFunctions.Utility_DisplayArrayInTable(Fertiliser_SourceData.Fertiliser_Products_Data2(),FertiliserProducts[[#Headers],[Include or Exclude]], 20)</f>
        <v/>
      </c>
      <c r="M110" s="111" t="str" cm="1">
        <f t="array" aca="1" ref="M110" ca="1">Common_InputFunctions.Utility_DisplayArrayInTable(Fertiliser_SourceData.Fertiliser_Products_Data2(),FertiliserProducts[[#Headers],[Include or Exclude]], 20)</f>
        <v/>
      </c>
      <c r="N110" s="111" t="str" cm="1">
        <f t="array" aca="1" ref="N110" ca="1">Common_InputFunctions.Utility_DisplayArrayInTable(Fertiliser_SourceData.Fertiliser_Products_Data2(),FertiliserProducts[[#Headers],[Include or Exclude]], 20)</f>
        <v/>
      </c>
      <c r="O110" s="111" t="str" cm="1">
        <f t="array" aca="1" ref="O110" ca="1">Common_InputFunctions.Utility_DisplayArrayInTable(Fertiliser_SourceData.Fertiliser_Products_Data2(),FertiliserProducts[[#Headers],[Include or Exclude]], 20)</f>
        <v/>
      </c>
      <c r="P110" s="111" t="str" cm="1">
        <f t="array" aca="1" ref="P110" ca="1">Common_InputFunctions.Utility_DisplayArrayInTable(Fertiliser_SourceData.Fertiliser_Products_Data2(),FertiliserProducts[[#Headers],[Include or Exclude]], 20)</f>
        <v/>
      </c>
      <c r="Q110" s="111" t="str" cm="1">
        <f t="array" aca="1" ref="Q110" ca="1">Common_InputFunctions.Utility_DisplayArrayInTable(Fertiliser_SourceData.Fertiliser_Products_Data2(),FertiliserProducts[[#Headers],[Include or Exclude]], 20)</f>
        <v/>
      </c>
      <c r="R110" s="111" t="str" cm="1">
        <f t="array" aca="1" ref="R110" ca="1">Common_InputFunctions.Utility_DisplayArrayInTable(Fertiliser_SourceData.Fertiliser_Products_Data2(),FertiliserProducts[[#Headers],[Include or Exclude]], 20)</f>
        <v/>
      </c>
      <c r="S110" s="111" t="str" cm="1">
        <f t="array" aca="1" ref="S110" ca="1">Common_InputFunctions.Utility_DisplayArrayInTable(Fertiliser_SourceData.Fertiliser_Products_Data2(),FertiliserProducts[[#Headers],[Include or Exclude]], 20)</f>
        <v/>
      </c>
      <c r="T110" s="111" t="str" cm="1">
        <f t="array" aca="1" ref="T110" ca="1">Common_InputFunctions.Utility_DisplayArrayInTable(Fertiliser_SourceData.Fertiliser_Products_Data2(),FertiliserProducts[[#Headers],[Include or Exclude]], 20)</f>
        <v/>
      </c>
      <c r="U110" s="111" t="str" cm="1">
        <f t="array" aca="1" ref="U110" ca="1">Common_InputFunctions.Utility_DisplayArrayInTable(Fertiliser_SourceData.Fertiliser_Products_Data2(),FertiliserProducts[[#Headers],[Include or Exclude]], 20)</f>
        <v/>
      </c>
      <c r="V110" s="111" t="str" cm="1">
        <f t="array" aca="1" ref="V110" ca="1">Common_InputFunctions.Utility_DisplayArrayInTable(Fertiliser_SourceData.Fertiliser_Products_Data2(),FertiliserProducts[[#Headers],[Include or Exclude]], 20)</f>
        <v/>
      </c>
      <c r="W110" s="111" t="str" cm="1">
        <f t="array" aca="1" ref="W110" ca="1">Common_InputFunctions.Utility_DisplayArrayInTable(Fertiliser_SourceData.Fertiliser_Products_Data2(),FertiliserProducts[[#Headers],[Include or Exclude]], 20)</f>
        <v/>
      </c>
      <c r="X110" s="111" t="str" cm="1">
        <f t="array" aca="1" ref="X110" ca="1">Common_InputFunctions.Utility_DisplayArrayInTable(Fertiliser_SourceData.Fertiliser_Products_Data2(),FertiliserProducts[[#Headers],[Include or Exclude]], 20)</f>
        <v/>
      </c>
      <c r="Y110" s="111" t="str" cm="1">
        <f t="array" aca="1" ref="Y110" ca="1">Common_InputFunctions.Utility_DisplayArrayInTable(Fertiliser_SourceData.Fertiliser_Products_Data2(),FertiliserProducts[[#Headers],[Include or Exclude]], 20)</f>
        <v/>
      </c>
      <c r="Z110" s="111" t="str" cm="1">
        <f t="array" aca="1" ref="Z110" ca="1">Common_InputFunctions.Utility_DisplayArrayInTable(Fertiliser_SourceData.Fertiliser_Products_Data2(),FertiliserProducts[[#Headers],[Include or Exclude]], 20)</f>
        <v/>
      </c>
      <c r="AA110" s="37" t="str" cm="1">
        <f t="array" aca="1" ref="AA110" ca="1">Common_InputFunctions.Utility_DisplayArrayInTable(Fertiliser_SourceData.Fertiliser_Products_Data2(),FertiliserProducts[[#Headers],[Include or Exclude]], 20)</f>
        <v/>
      </c>
      <c r="AB110" s="37" t="str" cm="1">
        <f t="array" aca="1" ref="AB110" ca="1">Common_InputFunctions.Utility_DisplayArrayInTable(Fertiliser_SourceData.Fertiliser_Products_Data2(),FertiliserProducts[[#Headers],[Include or Exclude]], 20)</f>
        <v/>
      </c>
      <c r="AC110" s="37" t="str" cm="1">
        <f t="array" aca="1" ref="AC110" ca="1">Common_InputFunctions.Utility_DisplayArrayInTable(Fertiliser_SourceData.Fertiliser_Products_Data2(),FertiliserProducts[[#Headers],[Include or Exclude]], 20)</f>
        <v/>
      </c>
      <c r="AD110" s="37" t="str" cm="1">
        <f t="array" aca="1" ref="AD110" ca="1">Common_InputFunctions.Utility_DisplayArrayInTable(Fertiliser_SourceData.Fertiliser_Products_Data2(),FertiliserProducts[[#Headers],[Include or Exclude]], 20)</f>
        <v/>
      </c>
      <c r="AE110" s="37" t="str" cm="1">
        <f t="array" aca="1" ref="AE110" ca="1">Common_InputFunctions.Utility_DisplayArrayInTable(Fertiliser_SourceData.Fertiliser_Products_Data2(),FertiliserProducts[[#Headers],[Include or Exclude]], 20)</f>
        <v/>
      </c>
    </row>
    <row r="111" spans="4:31" ht="20.100000000000001" customHeight="1" x14ac:dyDescent="0.25">
      <c r="D111" s="111" t="str" cm="1">
        <f t="array" aca="1" ref="D111" ca="1">Common_InputFunctions.Utility_DisplayArrayInTable(Fertiliser_SourceData.Fertiliser_Products_Data2(),FertiliserProducts[[#Headers],[Include or Exclude]], 20)</f>
        <v/>
      </c>
      <c r="E111" s="111" t="str" cm="1">
        <f t="array" aca="1" ref="E111" ca="1">Common_InputFunctions.Utility_DisplayArrayInTable(Fertiliser_SourceData.Fertiliser_Products_Data2(),FertiliserProducts[[#Headers],[Include or Exclude]], 20)</f>
        <v/>
      </c>
      <c r="F111" s="111" t="str" cm="1">
        <f t="array" aca="1" ref="F111" ca="1">Common_InputFunctions.Utility_DisplayArrayInTable(Fertiliser_SourceData.Fertiliser_Products_Data2(),FertiliserProducts[[#Headers],[Include or Exclude]], 20)</f>
        <v/>
      </c>
      <c r="G111" s="111" t="str" cm="1">
        <f t="array" aca="1" ref="G111" ca="1">Common_InputFunctions.Utility_DisplayArrayInTable(Fertiliser_SourceData.Fertiliser_Products_Data2(),FertiliserProducts[[#Headers],[Include or Exclude]], 20)</f>
        <v/>
      </c>
      <c r="H111" s="111" t="str" cm="1">
        <f t="array" aca="1" ref="H111" ca="1">Common_InputFunctions.Utility_DisplayArrayInTable(Fertiliser_SourceData.Fertiliser_Products_Data2(),FertiliserProducts[[#Headers],[Include or Exclude]], 20)</f>
        <v/>
      </c>
      <c r="I111" s="111" t="str" cm="1">
        <f t="array" aca="1" ref="I111" ca="1">Common_InputFunctions.Utility_DisplayArrayInTable(Fertiliser_SourceData.Fertiliser_Products_Data2(),FertiliserProducts[[#Headers],[Include or Exclude]], 20)</f>
        <v/>
      </c>
      <c r="J111" s="111" t="str" cm="1">
        <f t="array" aca="1" ref="J111" ca="1">Common_InputFunctions.Utility_DisplayArrayInTable(Fertiliser_SourceData.Fertiliser_Products_Data2(),FertiliserProducts[[#Headers],[Include or Exclude]], 20)</f>
        <v/>
      </c>
      <c r="K111" s="111" t="str" cm="1">
        <f t="array" aca="1" ref="K111" ca="1">Common_InputFunctions.Utility_DisplayArrayInTable(Fertiliser_SourceData.Fertiliser_Products_Data2(),FertiliserProducts[[#Headers],[Include or Exclude]], 20)</f>
        <v/>
      </c>
      <c r="L111" s="111" t="str" cm="1">
        <f t="array" aca="1" ref="L111" ca="1">Common_InputFunctions.Utility_DisplayArrayInTable(Fertiliser_SourceData.Fertiliser_Products_Data2(),FertiliserProducts[[#Headers],[Include or Exclude]], 20)</f>
        <v/>
      </c>
      <c r="M111" s="111" t="str" cm="1">
        <f t="array" aca="1" ref="M111" ca="1">Common_InputFunctions.Utility_DisplayArrayInTable(Fertiliser_SourceData.Fertiliser_Products_Data2(),FertiliserProducts[[#Headers],[Include or Exclude]], 20)</f>
        <v/>
      </c>
      <c r="N111" s="111" t="str" cm="1">
        <f t="array" aca="1" ref="N111" ca="1">Common_InputFunctions.Utility_DisplayArrayInTable(Fertiliser_SourceData.Fertiliser_Products_Data2(),FertiliserProducts[[#Headers],[Include or Exclude]], 20)</f>
        <v/>
      </c>
      <c r="O111" s="111" t="str" cm="1">
        <f t="array" aca="1" ref="O111" ca="1">Common_InputFunctions.Utility_DisplayArrayInTable(Fertiliser_SourceData.Fertiliser_Products_Data2(),FertiliserProducts[[#Headers],[Include or Exclude]], 20)</f>
        <v/>
      </c>
      <c r="P111" s="111" t="str" cm="1">
        <f t="array" aca="1" ref="P111" ca="1">Common_InputFunctions.Utility_DisplayArrayInTable(Fertiliser_SourceData.Fertiliser_Products_Data2(),FertiliserProducts[[#Headers],[Include or Exclude]], 20)</f>
        <v/>
      </c>
      <c r="Q111" s="111" t="str" cm="1">
        <f t="array" aca="1" ref="Q111" ca="1">Common_InputFunctions.Utility_DisplayArrayInTable(Fertiliser_SourceData.Fertiliser_Products_Data2(),FertiliserProducts[[#Headers],[Include or Exclude]], 20)</f>
        <v/>
      </c>
      <c r="R111" s="111" t="str" cm="1">
        <f t="array" aca="1" ref="R111" ca="1">Common_InputFunctions.Utility_DisplayArrayInTable(Fertiliser_SourceData.Fertiliser_Products_Data2(),FertiliserProducts[[#Headers],[Include or Exclude]], 20)</f>
        <v/>
      </c>
      <c r="S111" s="111" t="str" cm="1">
        <f t="array" aca="1" ref="S111" ca="1">Common_InputFunctions.Utility_DisplayArrayInTable(Fertiliser_SourceData.Fertiliser_Products_Data2(),FertiliserProducts[[#Headers],[Include or Exclude]], 20)</f>
        <v/>
      </c>
      <c r="T111" s="111" t="str" cm="1">
        <f t="array" aca="1" ref="T111" ca="1">Common_InputFunctions.Utility_DisplayArrayInTable(Fertiliser_SourceData.Fertiliser_Products_Data2(),FertiliserProducts[[#Headers],[Include or Exclude]], 20)</f>
        <v/>
      </c>
      <c r="U111" s="111" t="str" cm="1">
        <f t="array" aca="1" ref="U111" ca="1">Common_InputFunctions.Utility_DisplayArrayInTable(Fertiliser_SourceData.Fertiliser_Products_Data2(),FertiliserProducts[[#Headers],[Include or Exclude]], 20)</f>
        <v/>
      </c>
      <c r="V111" s="111" t="str" cm="1">
        <f t="array" aca="1" ref="V111" ca="1">Common_InputFunctions.Utility_DisplayArrayInTable(Fertiliser_SourceData.Fertiliser_Products_Data2(),FertiliserProducts[[#Headers],[Include or Exclude]], 20)</f>
        <v/>
      </c>
      <c r="W111" s="111" t="str" cm="1">
        <f t="array" aca="1" ref="W111" ca="1">Common_InputFunctions.Utility_DisplayArrayInTable(Fertiliser_SourceData.Fertiliser_Products_Data2(),FertiliserProducts[[#Headers],[Include or Exclude]], 20)</f>
        <v/>
      </c>
      <c r="X111" s="111" t="str" cm="1">
        <f t="array" aca="1" ref="X111" ca="1">Common_InputFunctions.Utility_DisplayArrayInTable(Fertiliser_SourceData.Fertiliser_Products_Data2(),FertiliserProducts[[#Headers],[Include or Exclude]], 20)</f>
        <v/>
      </c>
      <c r="Y111" s="111" t="str" cm="1">
        <f t="array" aca="1" ref="Y111" ca="1">Common_InputFunctions.Utility_DisplayArrayInTable(Fertiliser_SourceData.Fertiliser_Products_Data2(),FertiliserProducts[[#Headers],[Include or Exclude]], 20)</f>
        <v/>
      </c>
      <c r="Z111" s="111" t="str" cm="1">
        <f t="array" aca="1" ref="Z111" ca="1">Common_InputFunctions.Utility_DisplayArrayInTable(Fertiliser_SourceData.Fertiliser_Products_Data2(),FertiliserProducts[[#Headers],[Include or Exclude]], 20)</f>
        <v/>
      </c>
      <c r="AA111" s="37" t="str" cm="1">
        <f t="array" aca="1" ref="AA111" ca="1">Common_InputFunctions.Utility_DisplayArrayInTable(Fertiliser_SourceData.Fertiliser_Products_Data2(),FertiliserProducts[[#Headers],[Include or Exclude]], 20)</f>
        <v/>
      </c>
      <c r="AB111" s="37" t="str" cm="1">
        <f t="array" aca="1" ref="AB111" ca="1">Common_InputFunctions.Utility_DisplayArrayInTable(Fertiliser_SourceData.Fertiliser_Products_Data2(),FertiliserProducts[[#Headers],[Include or Exclude]], 20)</f>
        <v/>
      </c>
      <c r="AC111" s="37" t="str" cm="1">
        <f t="array" aca="1" ref="AC111" ca="1">Common_InputFunctions.Utility_DisplayArrayInTable(Fertiliser_SourceData.Fertiliser_Products_Data2(),FertiliserProducts[[#Headers],[Include or Exclude]], 20)</f>
        <v/>
      </c>
      <c r="AD111" s="37" t="str" cm="1">
        <f t="array" aca="1" ref="AD111" ca="1">Common_InputFunctions.Utility_DisplayArrayInTable(Fertiliser_SourceData.Fertiliser_Products_Data2(),FertiliserProducts[[#Headers],[Include or Exclude]], 20)</f>
        <v/>
      </c>
      <c r="AE111" s="37" t="str" cm="1">
        <f t="array" aca="1" ref="AE111" ca="1">Common_InputFunctions.Utility_DisplayArrayInTable(Fertiliser_SourceData.Fertiliser_Products_Data2(),FertiliserProducts[[#Headers],[Include or Exclude]], 20)</f>
        <v/>
      </c>
    </row>
    <row r="112" spans="4:31" ht="20.100000000000001" customHeight="1" x14ac:dyDescent="0.25">
      <c r="D112" s="111" t="str" cm="1">
        <f t="array" aca="1" ref="D112" ca="1">Common_InputFunctions.Utility_DisplayArrayInTable(Fertiliser_SourceData.Fertiliser_Products_Data2(),FertiliserProducts[[#Headers],[Include or Exclude]], 20)</f>
        <v/>
      </c>
      <c r="E112" s="111" t="str" cm="1">
        <f t="array" aca="1" ref="E112" ca="1">Common_InputFunctions.Utility_DisplayArrayInTable(Fertiliser_SourceData.Fertiliser_Products_Data2(),FertiliserProducts[[#Headers],[Include or Exclude]], 20)</f>
        <v/>
      </c>
      <c r="F112" s="111" t="str" cm="1">
        <f t="array" aca="1" ref="F112" ca="1">Common_InputFunctions.Utility_DisplayArrayInTable(Fertiliser_SourceData.Fertiliser_Products_Data2(),FertiliserProducts[[#Headers],[Include or Exclude]], 20)</f>
        <v/>
      </c>
      <c r="G112" s="111" t="str" cm="1">
        <f t="array" aca="1" ref="G112" ca="1">Common_InputFunctions.Utility_DisplayArrayInTable(Fertiliser_SourceData.Fertiliser_Products_Data2(),FertiliserProducts[[#Headers],[Include or Exclude]], 20)</f>
        <v/>
      </c>
      <c r="H112" s="111" t="str" cm="1">
        <f t="array" aca="1" ref="H112" ca="1">Common_InputFunctions.Utility_DisplayArrayInTable(Fertiliser_SourceData.Fertiliser_Products_Data2(),FertiliserProducts[[#Headers],[Include or Exclude]], 20)</f>
        <v/>
      </c>
      <c r="I112" s="111" t="str" cm="1">
        <f t="array" aca="1" ref="I112" ca="1">Common_InputFunctions.Utility_DisplayArrayInTable(Fertiliser_SourceData.Fertiliser_Products_Data2(),FertiliserProducts[[#Headers],[Include or Exclude]], 20)</f>
        <v/>
      </c>
      <c r="J112" s="111" t="str" cm="1">
        <f t="array" aca="1" ref="J112" ca="1">Common_InputFunctions.Utility_DisplayArrayInTable(Fertiliser_SourceData.Fertiliser_Products_Data2(),FertiliserProducts[[#Headers],[Include or Exclude]], 20)</f>
        <v/>
      </c>
      <c r="K112" s="111" t="str" cm="1">
        <f t="array" aca="1" ref="K112" ca="1">Common_InputFunctions.Utility_DisplayArrayInTable(Fertiliser_SourceData.Fertiliser_Products_Data2(),FertiliserProducts[[#Headers],[Include or Exclude]], 20)</f>
        <v/>
      </c>
      <c r="L112" s="111" t="str" cm="1">
        <f t="array" aca="1" ref="L112" ca="1">Common_InputFunctions.Utility_DisplayArrayInTable(Fertiliser_SourceData.Fertiliser_Products_Data2(),FertiliserProducts[[#Headers],[Include or Exclude]], 20)</f>
        <v/>
      </c>
      <c r="M112" s="111" t="str" cm="1">
        <f t="array" aca="1" ref="M112" ca="1">Common_InputFunctions.Utility_DisplayArrayInTable(Fertiliser_SourceData.Fertiliser_Products_Data2(),FertiliserProducts[[#Headers],[Include or Exclude]], 20)</f>
        <v/>
      </c>
      <c r="N112" s="111" t="str" cm="1">
        <f t="array" aca="1" ref="N112" ca="1">Common_InputFunctions.Utility_DisplayArrayInTable(Fertiliser_SourceData.Fertiliser_Products_Data2(),FertiliserProducts[[#Headers],[Include or Exclude]], 20)</f>
        <v/>
      </c>
      <c r="O112" s="111" t="str" cm="1">
        <f t="array" aca="1" ref="O112" ca="1">Common_InputFunctions.Utility_DisplayArrayInTable(Fertiliser_SourceData.Fertiliser_Products_Data2(),FertiliserProducts[[#Headers],[Include or Exclude]], 20)</f>
        <v/>
      </c>
      <c r="P112" s="111" t="str" cm="1">
        <f t="array" aca="1" ref="P112" ca="1">Common_InputFunctions.Utility_DisplayArrayInTable(Fertiliser_SourceData.Fertiliser_Products_Data2(),FertiliserProducts[[#Headers],[Include or Exclude]], 20)</f>
        <v/>
      </c>
      <c r="Q112" s="111" t="str" cm="1">
        <f t="array" aca="1" ref="Q112" ca="1">Common_InputFunctions.Utility_DisplayArrayInTable(Fertiliser_SourceData.Fertiliser_Products_Data2(),FertiliserProducts[[#Headers],[Include or Exclude]], 20)</f>
        <v/>
      </c>
      <c r="R112" s="111" t="str" cm="1">
        <f t="array" aca="1" ref="R112" ca="1">Common_InputFunctions.Utility_DisplayArrayInTable(Fertiliser_SourceData.Fertiliser_Products_Data2(),FertiliserProducts[[#Headers],[Include or Exclude]], 20)</f>
        <v/>
      </c>
      <c r="S112" s="111" t="str" cm="1">
        <f t="array" aca="1" ref="S112" ca="1">Common_InputFunctions.Utility_DisplayArrayInTable(Fertiliser_SourceData.Fertiliser_Products_Data2(),FertiliserProducts[[#Headers],[Include or Exclude]], 20)</f>
        <v/>
      </c>
      <c r="T112" s="111" t="str" cm="1">
        <f t="array" aca="1" ref="T112" ca="1">Common_InputFunctions.Utility_DisplayArrayInTable(Fertiliser_SourceData.Fertiliser_Products_Data2(),FertiliserProducts[[#Headers],[Include or Exclude]], 20)</f>
        <v/>
      </c>
      <c r="U112" s="111" t="str" cm="1">
        <f t="array" aca="1" ref="U112" ca="1">Common_InputFunctions.Utility_DisplayArrayInTable(Fertiliser_SourceData.Fertiliser_Products_Data2(),FertiliserProducts[[#Headers],[Include or Exclude]], 20)</f>
        <v/>
      </c>
      <c r="V112" s="111" t="str" cm="1">
        <f t="array" aca="1" ref="V112" ca="1">Common_InputFunctions.Utility_DisplayArrayInTable(Fertiliser_SourceData.Fertiliser_Products_Data2(),FertiliserProducts[[#Headers],[Include or Exclude]], 20)</f>
        <v/>
      </c>
      <c r="W112" s="111" t="str" cm="1">
        <f t="array" aca="1" ref="W112" ca="1">Common_InputFunctions.Utility_DisplayArrayInTable(Fertiliser_SourceData.Fertiliser_Products_Data2(),FertiliserProducts[[#Headers],[Include or Exclude]], 20)</f>
        <v/>
      </c>
      <c r="X112" s="111" t="str" cm="1">
        <f t="array" aca="1" ref="X112" ca="1">Common_InputFunctions.Utility_DisplayArrayInTable(Fertiliser_SourceData.Fertiliser_Products_Data2(),FertiliserProducts[[#Headers],[Include or Exclude]], 20)</f>
        <v/>
      </c>
      <c r="Y112" s="111" t="str" cm="1">
        <f t="array" aca="1" ref="Y112" ca="1">Common_InputFunctions.Utility_DisplayArrayInTable(Fertiliser_SourceData.Fertiliser_Products_Data2(),FertiliserProducts[[#Headers],[Include or Exclude]], 20)</f>
        <v/>
      </c>
      <c r="Z112" s="111" t="str" cm="1">
        <f t="array" aca="1" ref="Z112" ca="1">Common_InputFunctions.Utility_DisplayArrayInTable(Fertiliser_SourceData.Fertiliser_Products_Data2(),FertiliserProducts[[#Headers],[Include or Exclude]], 20)</f>
        <v/>
      </c>
      <c r="AA112" s="37" t="str" cm="1">
        <f t="array" aca="1" ref="AA112" ca="1">Common_InputFunctions.Utility_DisplayArrayInTable(Fertiliser_SourceData.Fertiliser_Products_Data2(),FertiliserProducts[[#Headers],[Include or Exclude]], 20)</f>
        <v/>
      </c>
      <c r="AB112" s="37" t="str" cm="1">
        <f t="array" aca="1" ref="AB112" ca="1">Common_InputFunctions.Utility_DisplayArrayInTable(Fertiliser_SourceData.Fertiliser_Products_Data2(),FertiliserProducts[[#Headers],[Include or Exclude]], 20)</f>
        <v/>
      </c>
      <c r="AC112" s="37" t="str" cm="1">
        <f t="array" aca="1" ref="AC112" ca="1">Common_InputFunctions.Utility_DisplayArrayInTable(Fertiliser_SourceData.Fertiliser_Products_Data2(),FertiliserProducts[[#Headers],[Include or Exclude]], 20)</f>
        <v/>
      </c>
      <c r="AD112" s="37" t="str" cm="1">
        <f t="array" aca="1" ref="AD112" ca="1">Common_InputFunctions.Utility_DisplayArrayInTable(Fertiliser_SourceData.Fertiliser_Products_Data2(),FertiliserProducts[[#Headers],[Include or Exclude]], 20)</f>
        <v/>
      </c>
      <c r="AE112" s="37" t="str" cm="1">
        <f t="array" aca="1" ref="AE112" ca="1">Common_InputFunctions.Utility_DisplayArrayInTable(Fertiliser_SourceData.Fertiliser_Products_Data2(),FertiliserProducts[[#Headers],[Include or Exclude]], 20)</f>
        <v/>
      </c>
    </row>
    <row r="113" spans="4:31" ht="20.100000000000001" customHeight="1" x14ac:dyDescent="0.25">
      <c r="D113" s="111" t="str" cm="1">
        <f t="array" aca="1" ref="D113" ca="1">Common_InputFunctions.Utility_DisplayArrayInTable(Fertiliser_SourceData.Fertiliser_Products_Data2(),FertiliserProducts[[#Headers],[Include or Exclude]], 20)</f>
        <v/>
      </c>
      <c r="E113" s="111" t="str" cm="1">
        <f t="array" aca="1" ref="E113" ca="1">Common_InputFunctions.Utility_DisplayArrayInTable(Fertiliser_SourceData.Fertiliser_Products_Data2(),FertiliserProducts[[#Headers],[Include or Exclude]], 20)</f>
        <v/>
      </c>
      <c r="F113" s="111" t="str" cm="1">
        <f t="array" aca="1" ref="F113" ca="1">Common_InputFunctions.Utility_DisplayArrayInTable(Fertiliser_SourceData.Fertiliser_Products_Data2(),FertiliserProducts[[#Headers],[Include or Exclude]], 20)</f>
        <v/>
      </c>
      <c r="G113" s="111" t="str" cm="1">
        <f t="array" aca="1" ref="G113" ca="1">Common_InputFunctions.Utility_DisplayArrayInTable(Fertiliser_SourceData.Fertiliser_Products_Data2(),FertiliserProducts[[#Headers],[Include or Exclude]], 20)</f>
        <v/>
      </c>
      <c r="H113" s="111" t="str" cm="1">
        <f t="array" aca="1" ref="H113" ca="1">Common_InputFunctions.Utility_DisplayArrayInTable(Fertiliser_SourceData.Fertiliser_Products_Data2(),FertiliserProducts[[#Headers],[Include or Exclude]], 20)</f>
        <v/>
      </c>
      <c r="I113" s="111" t="str" cm="1">
        <f t="array" aca="1" ref="I113" ca="1">Common_InputFunctions.Utility_DisplayArrayInTable(Fertiliser_SourceData.Fertiliser_Products_Data2(),FertiliserProducts[[#Headers],[Include or Exclude]], 20)</f>
        <v/>
      </c>
      <c r="J113" s="111" t="str" cm="1">
        <f t="array" aca="1" ref="J113" ca="1">Common_InputFunctions.Utility_DisplayArrayInTable(Fertiliser_SourceData.Fertiliser_Products_Data2(),FertiliserProducts[[#Headers],[Include or Exclude]], 20)</f>
        <v/>
      </c>
      <c r="K113" s="111" t="str" cm="1">
        <f t="array" aca="1" ref="K113" ca="1">Common_InputFunctions.Utility_DisplayArrayInTable(Fertiliser_SourceData.Fertiliser_Products_Data2(),FertiliserProducts[[#Headers],[Include or Exclude]], 20)</f>
        <v/>
      </c>
      <c r="L113" s="111" t="str" cm="1">
        <f t="array" aca="1" ref="L113" ca="1">Common_InputFunctions.Utility_DisplayArrayInTable(Fertiliser_SourceData.Fertiliser_Products_Data2(),FertiliserProducts[[#Headers],[Include or Exclude]], 20)</f>
        <v/>
      </c>
      <c r="M113" s="111" t="str" cm="1">
        <f t="array" aca="1" ref="M113" ca="1">Common_InputFunctions.Utility_DisplayArrayInTable(Fertiliser_SourceData.Fertiliser_Products_Data2(),FertiliserProducts[[#Headers],[Include or Exclude]], 20)</f>
        <v/>
      </c>
      <c r="N113" s="111" t="str" cm="1">
        <f t="array" aca="1" ref="N113" ca="1">Common_InputFunctions.Utility_DisplayArrayInTable(Fertiliser_SourceData.Fertiliser_Products_Data2(),FertiliserProducts[[#Headers],[Include or Exclude]], 20)</f>
        <v/>
      </c>
      <c r="O113" s="111" t="str" cm="1">
        <f t="array" aca="1" ref="O113" ca="1">Common_InputFunctions.Utility_DisplayArrayInTable(Fertiliser_SourceData.Fertiliser_Products_Data2(),FertiliserProducts[[#Headers],[Include or Exclude]], 20)</f>
        <v/>
      </c>
      <c r="P113" s="111" t="str" cm="1">
        <f t="array" aca="1" ref="P113" ca="1">Common_InputFunctions.Utility_DisplayArrayInTable(Fertiliser_SourceData.Fertiliser_Products_Data2(),FertiliserProducts[[#Headers],[Include or Exclude]], 20)</f>
        <v/>
      </c>
      <c r="Q113" s="111" t="str" cm="1">
        <f t="array" aca="1" ref="Q113" ca="1">Common_InputFunctions.Utility_DisplayArrayInTable(Fertiliser_SourceData.Fertiliser_Products_Data2(),FertiliserProducts[[#Headers],[Include or Exclude]], 20)</f>
        <v/>
      </c>
      <c r="R113" s="111" t="str" cm="1">
        <f t="array" aca="1" ref="R113" ca="1">Common_InputFunctions.Utility_DisplayArrayInTable(Fertiliser_SourceData.Fertiliser_Products_Data2(),FertiliserProducts[[#Headers],[Include or Exclude]], 20)</f>
        <v/>
      </c>
      <c r="S113" s="111" t="str" cm="1">
        <f t="array" aca="1" ref="S113" ca="1">Common_InputFunctions.Utility_DisplayArrayInTable(Fertiliser_SourceData.Fertiliser_Products_Data2(),FertiliserProducts[[#Headers],[Include or Exclude]], 20)</f>
        <v/>
      </c>
      <c r="T113" s="111" t="str" cm="1">
        <f t="array" aca="1" ref="T113" ca="1">Common_InputFunctions.Utility_DisplayArrayInTable(Fertiliser_SourceData.Fertiliser_Products_Data2(),FertiliserProducts[[#Headers],[Include or Exclude]], 20)</f>
        <v/>
      </c>
      <c r="U113" s="111" t="str" cm="1">
        <f t="array" aca="1" ref="U113" ca="1">Common_InputFunctions.Utility_DisplayArrayInTable(Fertiliser_SourceData.Fertiliser_Products_Data2(),FertiliserProducts[[#Headers],[Include or Exclude]], 20)</f>
        <v/>
      </c>
      <c r="V113" s="111" t="str" cm="1">
        <f t="array" aca="1" ref="V113" ca="1">Common_InputFunctions.Utility_DisplayArrayInTable(Fertiliser_SourceData.Fertiliser_Products_Data2(),FertiliserProducts[[#Headers],[Include or Exclude]], 20)</f>
        <v/>
      </c>
      <c r="W113" s="111" t="str" cm="1">
        <f t="array" aca="1" ref="W113" ca="1">Common_InputFunctions.Utility_DisplayArrayInTable(Fertiliser_SourceData.Fertiliser_Products_Data2(),FertiliserProducts[[#Headers],[Include or Exclude]], 20)</f>
        <v/>
      </c>
      <c r="X113" s="111" t="str" cm="1">
        <f t="array" aca="1" ref="X113" ca="1">Common_InputFunctions.Utility_DisplayArrayInTable(Fertiliser_SourceData.Fertiliser_Products_Data2(),FertiliserProducts[[#Headers],[Include or Exclude]], 20)</f>
        <v/>
      </c>
      <c r="Y113" s="111" t="str" cm="1">
        <f t="array" aca="1" ref="Y113" ca="1">Common_InputFunctions.Utility_DisplayArrayInTable(Fertiliser_SourceData.Fertiliser_Products_Data2(),FertiliserProducts[[#Headers],[Include or Exclude]], 20)</f>
        <v/>
      </c>
      <c r="Z113" s="111" t="str" cm="1">
        <f t="array" aca="1" ref="Z113" ca="1">Common_InputFunctions.Utility_DisplayArrayInTable(Fertiliser_SourceData.Fertiliser_Products_Data2(),FertiliserProducts[[#Headers],[Include or Exclude]], 20)</f>
        <v/>
      </c>
      <c r="AA113" s="37" t="str" cm="1">
        <f t="array" aca="1" ref="AA113" ca="1">Common_InputFunctions.Utility_DisplayArrayInTable(Fertiliser_SourceData.Fertiliser_Products_Data2(),FertiliserProducts[[#Headers],[Include or Exclude]], 20)</f>
        <v/>
      </c>
      <c r="AB113" s="37" t="str" cm="1">
        <f t="array" aca="1" ref="AB113" ca="1">Common_InputFunctions.Utility_DisplayArrayInTable(Fertiliser_SourceData.Fertiliser_Products_Data2(),FertiliserProducts[[#Headers],[Include or Exclude]], 20)</f>
        <v/>
      </c>
      <c r="AC113" s="37" t="str" cm="1">
        <f t="array" aca="1" ref="AC113" ca="1">Common_InputFunctions.Utility_DisplayArrayInTable(Fertiliser_SourceData.Fertiliser_Products_Data2(),FertiliserProducts[[#Headers],[Include or Exclude]], 20)</f>
        <v/>
      </c>
      <c r="AD113" s="37" t="str" cm="1">
        <f t="array" aca="1" ref="AD113" ca="1">Common_InputFunctions.Utility_DisplayArrayInTable(Fertiliser_SourceData.Fertiliser_Products_Data2(),FertiliserProducts[[#Headers],[Include or Exclude]], 20)</f>
        <v/>
      </c>
      <c r="AE113" s="37" t="str" cm="1">
        <f t="array" aca="1" ref="AE113" ca="1">Common_InputFunctions.Utility_DisplayArrayInTable(Fertiliser_SourceData.Fertiliser_Products_Data2(),FertiliserProducts[[#Headers],[Include or Exclude]], 20)</f>
        <v/>
      </c>
    </row>
    <row r="114" spans="4:31" ht="20.100000000000001" customHeight="1" x14ac:dyDescent="0.25">
      <c r="D114" s="111" t="str" cm="1">
        <f t="array" aca="1" ref="D114" ca="1">Common_InputFunctions.Utility_DisplayArrayInTable(Fertiliser_SourceData.Fertiliser_Products_Data2(),FertiliserProducts[[#Headers],[Include or Exclude]], 20)</f>
        <v/>
      </c>
      <c r="E114" s="111" t="str" cm="1">
        <f t="array" aca="1" ref="E114" ca="1">Common_InputFunctions.Utility_DisplayArrayInTable(Fertiliser_SourceData.Fertiliser_Products_Data2(),FertiliserProducts[[#Headers],[Include or Exclude]], 20)</f>
        <v/>
      </c>
      <c r="F114" s="111" t="str" cm="1">
        <f t="array" aca="1" ref="F114" ca="1">Common_InputFunctions.Utility_DisplayArrayInTable(Fertiliser_SourceData.Fertiliser_Products_Data2(),FertiliserProducts[[#Headers],[Include or Exclude]], 20)</f>
        <v/>
      </c>
      <c r="G114" s="111" t="str" cm="1">
        <f t="array" aca="1" ref="G114" ca="1">Common_InputFunctions.Utility_DisplayArrayInTable(Fertiliser_SourceData.Fertiliser_Products_Data2(),FertiliserProducts[[#Headers],[Include or Exclude]], 20)</f>
        <v/>
      </c>
      <c r="H114" s="111" t="str" cm="1">
        <f t="array" aca="1" ref="H114" ca="1">Common_InputFunctions.Utility_DisplayArrayInTable(Fertiliser_SourceData.Fertiliser_Products_Data2(),FertiliserProducts[[#Headers],[Include or Exclude]], 20)</f>
        <v/>
      </c>
      <c r="I114" s="111" t="str" cm="1">
        <f t="array" aca="1" ref="I114" ca="1">Common_InputFunctions.Utility_DisplayArrayInTable(Fertiliser_SourceData.Fertiliser_Products_Data2(),FertiliserProducts[[#Headers],[Include or Exclude]], 20)</f>
        <v/>
      </c>
      <c r="J114" s="111" t="str" cm="1">
        <f t="array" aca="1" ref="J114" ca="1">Common_InputFunctions.Utility_DisplayArrayInTable(Fertiliser_SourceData.Fertiliser_Products_Data2(),FertiliserProducts[[#Headers],[Include or Exclude]], 20)</f>
        <v/>
      </c>
      <c r="K114" s="111" t="str" cm="1">
        <f t="array" aca="1" ref="K114" ca="1">Common_InputFunctions.Utility_DisplayArrayInTable(Fertiliser_SourceData.Fertiliser_Products_Data2(),FertiliserProducts[[#Headers],[Include or Exclude]], 20)</f>
        <v/>
      </c>
      <c r="L114" s="111" t="str" cm="1">
        <f t="array" aca="1" ref="L114" ca="1">Common_InputFunctions.Utility_DisplayArrayInTable(Fertiliser_SourceData.Fertiliser_Products_Data2(),FertiliserProducts[[#Headers],[Include or Exclude]], 20)</f>
        <v/>
      </c>
      <c r="M114" s="111" t="str" cm="1">
        <f t="array" aca="1" ref="M114" ca="1">Common_InputFunctions.Utility_DisplayArrayInTable(Fertiliser_SourceData.Fertiliser_Products_Data2(),FertiliserProducts[[#Headers],[Include or Exclude]], 20)</f>
        <v/>
      </c>
      <c r="N114" s="111" t="str" cm="1">
        <f t="array" aca="1" ref="N114" ca="1">Common_InputFunctions.Utility_DisplayArrayInTable(Fertiliser_SourceData.Fertiliser_Products_Data2(),FertiliserProducts[[#Headers],[Include or Exclude]], 20)</f>
        <v/>
      </c>
      <c r="O114" s="111" t="str" cm="1">
        <f t="array" aca="1" ref="O114" ca="1">Common_InputFunctions.Utility_DisplayArrayInTable(Fertiliser_SourceData.Fertiliser_Products_Data2(),FertiliserProducts[[#Headers],[Include or Exclude]], 20)</f>
        <v/>
      </c>
      <c r="P114" s="111" t="str" cm="1">
        <f t="array" aca="1" ref="P114" ca="1">Common_InputFunctions.Utility_DisplayArrayInTable(Fertiliser_SourceData.Fertiliser_Products_Data2(),FertiliserProducts[[#Headers],[Include or Exclude]], 20)</f>
        <v/>
      </c>
      <c r="Q114" s="111" t="str" cm="1">
        <f t="array" aca="1" ref="Q114" ca="1">Common_InputFunctions.Utility_DisplayArrayInTable(Fertiliser_SourceData.Fertiliser_Products_Data2(),FertiliserProducts[[#Headers],[Include or Exclude]], 20)</f>
        <v/>
      </c>
      <c r="R114" s="111" t="str" cm="1">
        <f t="array" aca="1" ref="R114" ca="1">Common_InputFunctions.Utility_DisplayArrayInTable(Fertiliser_SourceData.Fertiliser_Products_Data2(),FertiliserProducts[[#Headers],[Include or Exclude]], 20)</f>
        <v/>
      </c>
      <c r="S114" s="111" t="str" cm="1">
        <f t="array" aca="1" ref="S114" ca="1">Common_InputFunctions.Utility_DisplayArrayInTable(Fertiliser_SourceData.Fertiliser_Products_Data2(),FertiliserProducts[[#Headers],[Include or Exclude]], 20)</f>
        <v/>
      </c>
      <c r="T114" s="111" t="str" cm="1">
        <f t="array" aca="1" ref="T114" ca="1">Common_InputFunctions.Utility_DisplayArrayInTable(Fertiliser_SourceData.Fertiliser_Products_Data2(),FertiliserProducts[[#Headers],[Include or Exclude]], 20)</f>
        <v/>
      </c>
      <c r="U114" s="111" t="str" cm="1">
        <f t="array" aca="1" ref="U114" ca="1">Common_InputFunctions.Utility_DisplayArrayInTable(Fertiliser_SourceData.Fertiliser_Products_Data2(),FertiliserProducts[[#Headers],[Include or Exclude]], 20)</f>
        <v/>
      </c>
      <c r="V114" s="111" t="str" cm="1">
        <f t="array" aca="1" ref="V114" ca="1">Common_InputFunctions.Utility_DisplayArrayInTable(Fertiliser_SourceData.Fertiliser_Products_Data2(),FertiliserProducts[[#Headers],[Include or Exclude]], 20)</f>
        <v/>
      </c>
      <c r="W114" s="111" t="str" cm="1">
        <f t="array" aca="1" ref="W114" ca="1">Common_InputFunctions.Utility_DisplayArrayInTable(Fertiliser_SourceData.Fertiliser_Products_Data2(),FertiliserProducts[[#Headers],[Include or Exclude]], 20)</f>
        <v/>
      </c>
      <c r="X114" s="111" t="str" cm="1">
        <f t="array" aca="1" ref="X114" ca="1">Common_InputFunctions.Utility_DisplayArrayInTable(Fertiliser_SourceData.Fertiliser_Products_Data2(),FertiliserProducts[[#Headers],[Include or Exclude]], 20)</f>
        <v/>
      </c>
      <c r="Y114" s="111" t="str" cm="1">
        <f t="array" aca="1" ref="Y114" ca="1">Common_InputFunctions.Utility_DisplayArrayInTable(Fertiliser_SourceData.Fertiliser_Products_Data2(),FertiliserProducts[[#Headers],[Include or Exclude]], 20)</f>
        <v/>
      </c>
      <c r="Z114" s="111" t="str" cm="1">
        <f t="array" aca="1" ref="Z114" ca="1">Common_InputFunctions.Utility_DisplayArrayInTable(Fertiliser_SourceData.Fertiliser_Products_Data2(),FertiliserProducts[[#Headers],[Include or Exclude]], 20)</f>
        <v/>
      </c>
      <c r="AA114" s="37" t="str" cm="1">
        <f t="array" aca="1" ref="AA114" ca="1">Common_InputFunctions.Utility_DisplayArrayInTable(Fertiliser_SourceData.Fertiliser_Products_Data2(),FertiliserProducts[[#Headers],[Include or Exclude]], 20)</f>
        <v/>
      </c>
      <c r="AB114" s="37" t="str" cm="1">
        <f t="array" aca="1" ref="AB114" ca="1">Common_InputFunctions.Utility_DisplayArrayInTable(Fertiliser_SourceData.Fertiliser_Products_Data2(),FertiliserProducts[[#Headers],[Include or Exclude]], 20)</f>
        <v/>
      </c>
      <c r="AC114" s="37" t="str" cm="1">
        <f t="array" aca="1" ref="AC114" ca="1">Common_InputFunctions.Utility_DisplayArrayInTable(Fertiliser_SourceData.Fertiliser_Products_Data2(),FertiliserProducts[[#Headers],[Include or Exclude]], 20)</f>
        <v/>
      </c>
      <c r="AD114" s="37" t="str" cm="1">
        <f t="array" aca="1" ref="AD114" ca="1">Common_InputFunctions.Utility_DisplayArrayInTable(Fertiliser_SourceData.Fertiliser_Products_Data2(),FertiliserProducts[[#Headers],[Include or Exclude]], 20)</f>
        <v/>
      </c>
      <c r="AE114" s="37" t="str" cm="1">
        <f t="array" aca="1" ref="AE114" ca="1">Common_InputFunctions.Utility_DisplayArrayInTable(Fertiliser_SourceData.Fertiliser_Products_Data2(),FertiliserProducts[[#Headers],[Include or Exclude]], 20)</f>
        <v/>
      </c>
    </row>
    <row r="115" spans="4:31" ht="20.100000000000001" customHeight="1" x14ac:dyDescent="0.25">
      <c r="D115" s="111" t="str" cm="1">
        <f t="array" aca="1" ref="D115" ca="1">Common_InputFunctions.Utility_DisplayArrayInTable(Fertiliser_SourceData.Fertiliser_Products_Data2(),FertiliserProducts[[#Headers],[Include or Exclude]], 20)</f>
        <v/>
      </c>
      <c r="E115" s="111" t="str" cm="1">
        <f t="array" aca="1" ref="E115" ca="1">Common_InputFunctions.Utility_DisplayArrayInTable(Fertiliser_SourceData.Fertiliser_Products_Data2(),FertiliserProducts[[#Headers],[Include or Exclude]], 20)</f>
        <v/>
      </c>
      <c r="F115" s="111" t="str" cm="1">
        <f t="array" aca="1" ref="F115" ca="1">Common_InputFunctions.Utility_DisplayArrayInTable(Fertiliser_SourceData.Fertiliser_Products_Data2(),FertiliserProducts[[#Headers],[Include or Exclude]], 20)</f>
        <v/>
      </c>
      <c r="G115" s="111" t="str" cm="1">
        <f t="array" aca="1" ref="G115" ca="1">Common_InputFunctions.Utility_DisplayArrayInTable(Fertiliser_SourceData.Fertiliser_Products_Data2(),FertiliserProducts[[#Headers],[Include or Exclude]], 20)</f>
        <v/>
      </c>
      <c r="H115" s="111" t="str" cm="1">
        <f t="array" aca="1" ref="H115" ca="1">Common_InputFunctions.Utility_DisplayArrayInTable(Fertiliser_SourceData.Fertiliser_Products_Data2(),FertiliserProducts[[#Headers],[Include or Exclude]], 20)</f>
        <v/>
      </c>
      <c r="I115" s="111" t="str" cm="1">
        <f t="array" aca="1" ref="I115" ca="1">Common_InputFunctions.Utility_DisplayArrayInTable(Fertiliser_SourceData.Fertiliser_Products_Data2(),FertiliserProducts[[#Headers],[Include or Exclude]], 20)</f>
        <v/>
      </c>
      <c r="J115" s="111" t="str" cm="1">
        <f t="array" aca="1" ref="J115" ca="1">Common_InputFunctions.Utility_DisplayArrayInTable(Fertiliser_SourceData.Fertiliser_Products_Data2(),FertiliserProducts[[#Headers],[Include or Exclude]], 20)</f>
        <v/>
      </c>
      <c r="K115" s="111" t="str" cm="1">
        <f t="array" aca="1" ref="K115" ca="1">Common_InputFunctions.Utility_DisplayArrayInTable(Fertiliser_SourceData.Fertiliser_Products_Data2(),FertiliserProducts[[#Headers],[Include or Exclude]], 20)</f>
        <v/>
      </c>
      <c r="L115" s="111" t="str" cm="1">
        <f t="array" aca="1" ref="L115" ca="1">Common_InputFunctions.Utility_DisplayArrayInTable(Fertiliser_SourceData.Fertiliser_Products_Data2(),FertiliserProducts[[#Headers],[Include or Exclude]], 20)</f>
        <v/>
      </c>
      <c r="M115" s="111" t="str" cm="1">
        <f t="array" aca="1" ref="M115" ca="1">Common_InputFunctions.Utility_DisplayArrayInTable(Fertiliser_SourceData.Fertiliser_Products_Data2(),FertiliserProducts[[#Headers],[Include or Exclude]], 20)</f>
        <v/>
      </c>
      <c r="N115" s="111" t="str" cm="1">
        <f t="array" aca="1" ref="N115" ca="1">Common_InputFunctions.Utility_DisplayArrayInTable(Fertiliser_SourceData.Fertiliser_Products_Data2(),FertiliserProducts[[#Headers],[Include or Exclude]], 20)</f>
        <v/>
      </c>
      <c r="O115" s="111" t="str" cm="1">
        <f t="array" aca="1" ref="O115" ca="1">Common_InputFunctions.Utility_DisplayArrayInTable(Fertiliser_SourceData.Fertiliser_Products_Data2(),FertiliserProducts[[#Headers],[Include or Exclude]], 20)</f>
        <v/>
      </c>
      <c r="P115" s="111" t="str" cm="1">
        <f t="array" aca="1" ref="P115" ca="1">Common_InputFunctions.Utility_DisplayArrayInTable(Fertiliser_SourceData.Fertiliser_Products_Data2(),FertiliserProducts[[#Headers],[Include or Exclude]], 20)</f>
        <v/>
      </c>
      <c r="Q115" s="111" t="str" cm="1">
        <f t="array" aca="1" ref="Q115" ca="1">Common_InputFunctions.Utility_DisplayArrayInTable(Fertiliser_SourceData.Fertiliser_Products_Data2(),FertiliserProducts[[#Headers],[Include or Exclude]], 20)</f>
        <v/>
      </c>
      <c r="R115" s="111" t="str" cm="1">
        <f t="array" aca="1" ref="R115" ca="1">Common_InputFunctions.Utility_DisplayArrayInTable(Fertiliser_SourceData.Fertiliser_Products_Data2(),FertiliserProducts[[#Headers],[Include or Exclude]], 20)</f>
        <v/>
      </c>
      <c r="S115" s="111" t="str" cm="1">
        <f t="array" aca="1" ref="S115" ca="1">Common_InputFunctions.Utility_DisplayArrayInTable(Fertiliser_SourceData.Fertiliser_Products_Data2(),FertiliserProducts[[#Headers],[Include or Exclude]], 20)</f>
        <v/>
      </c>
      <c r="T115" s="111" t="str" cm="1">
        <f t="array" aca="1" ref="T115" ca="1">Common_InputFunctions.Utility_DisplayArrayInTable(Fertiliser_SourceData.Fertiliser_Products_Data2(),FertiliserProducts[[#Headers],[Include or Exclude]], 20)</f>
        <v/>
      </c>
      <c r="U115" s="111" t="str" cm="1">
        <f t="array" aca="1" ref="U115" ca="1">Common_InputFunctions.Utility_DisplayArrayInTable(Fertiliser_SourceData.Fertiliser_Products_Data2(),FertiliserProducts[[#Headers],[Include or Exclude]], 20)</f>
        <v/>
      </c>
      <c r="V115" s="111" t="str" cm="1">
        <f t="array" aca="1" ref="V115" ca="1">Common_InputFunctions.Utility_DisplayArrayInTable(Fertiliser_SourceData.Fertiliser_Products_Data2(),FertiliserProducts[[#Headers],[Include or Exclude]], 20)</f>
        <v/>
      </c>
      <c r="W115" s="111" t="str" cm="1">
        <f t="array" aca="1" ref="W115" ca="1">Common_InputFunctions.Utility_DisplayArrayInTable(Fertiliser_SourceData.Fertiliser_Products_Data2(),FertiliserProducts[[#Headers],[Include or Exclude]], 20)</f>
        <v/>
      </c>
      <c r="X115" s="111" t="str" cm="1">
        <f t="array" aca="1" ref="X115" ca="1">Common_InputFunctions.Utility_DisplayArrayInTable(Fertiliser_SourceData.Fertiliser_Products_Data2(),FertiliserProducts[[#Headers],[Include or Exclude]], 20)</f>
        <v/>
      </c>
      <c r="Y115" s="111" t="str" cm="1">
        <f t="array" aca="1" ref="Y115" ca="1">Common_InputFunctions.Utility_DisplayArrayInTable(Fertiliser_SourceData.Fertiliser_Products_Data2(),FertiliserProducts[[#Headers],[Include or Exclude]], 20)</f>
        <v/>
      </c>
      <c r="Z115" s="111" t="str" cm="1">
        <f t="array" aca="1" ref="Z115" ca="1">Common_InputFunctions.Utility_DisplayArrayInTable(Fertiliser_SourceData.Fertiliser_Products_Data2(),FertiliserProducts[[#Headers],[Include or Exclude]], 20)</f>
        <v/>
      </c>
      <c r="AA115" s="37" t="str" cm="1">
        <f t="array" aca="1" ref="AA115" ca="1">Common_InputFunctions.Utility_DisplayArrayInTable(Fertiliser_SourceData.Fertiliser_Products_Data2(),FertiliserProducts[[#Headers],[Include or Exclude]], 20)</f>
        <v/>
      </c>
      <c r="AB115" s="37" t="str" cm="1">
        <f t="array" aca="1" ref="AB115" ca="1">Common_InputFunctions.Utility_DisplayArrayInTable(Fertiliser_SourceData.Fertiliser_Products_Data2(),FertiliserProducts[[#Headers],[Include or Exclude]], 20)</f>
        <v/>
      </c>
      <c r="AC115" s="37" t="str" cm="1">
        <f t="array" aca="1" ref="AC115" ca="1">Common_InputFunctions.Utility_DisplayArrayInTable(Fertiliser_SourceData.Fertiliser_Products_Data2(),FertiliserProducts[[#Headers],[Include or Exclude]], 20)</f>
        <v/>
      </c>
      <c r="AD115" s="37" t="str" cm="1">
        <f t="array" aca="1" ref="AD115" ca="1">Common_InputFunctions.Utility_DisplayArrayInTable(Fertiliser_SourceData.Fertiliser_Products_Data2(),FertiliserProducts[[#Headers],[Include or Exclude]], 20)</f>
        <v/>
      </c>
      <c r="AE115" s="37" t="str" cm="1">
        <f t="array" aca="1" ref="AE115" ca="1">Common_InputFunctions.Utility_DisplayArrayInTable(Fertiliser_SourceData.Fertiliser_Products_Data2(),FertiliserProducts[[#Headers],[Include or Exclude]], 20)</f>
        <v/>
      </c>
    </row>
    <row r="116" spans="4:31" ht="20.100000000000001" customHeight="1" x14ac:dyDescent="0.25">
      <c r="D116" s="111" t="str" cm="1">
        <f t="array" aca="1" ref="D116" ca="1">Common_InputFunctions.Utility_DisplayArrayInTable(Fertiliser_SourceData.Fertiliser_Products_Data2(),FertiliserProducts[[#Headers],[Include or Exclude]], 20)</f>
        <v/>
      </c>
      <c r="E116" s="111" t="str" cm="1">
        <f t="array" aca="1" ref="E116" ca="1">Common_InputFunctions.Utility_DisplayArrayInTable(Fertiliser_SourceData.Fertiliser_Products_Data2(),FertiliserProducts[[#Headers],[Include or Exclude]], 20)</f>
        <v/>
      </c>
      <c r="F116" s="111" t="str" cm="1">
        <f t="array" aca="1" ref="F116" ca="1">Common_InputFunctions.Utility_DisplayArrayInTable(Fertiliser_SourceData.Fertiliser_Products_Data2(),FertiliserProducts[[#Headers],[Include or Exclude]], 20)</f>
        <v/>
      </c>
      <c r="G116" s="111" t="str" cm="1">
        <f t="array" aca="1" ref="G116" ca="1">Common_InputFunctions.Utility_DisplayArrayInTable(Fertiliser_SourceData.Fertiliser_Products_Data2(),FertiliserProducts[[#Headers],[Include or Exclude]], 20)</f>
        <v/>
      </c>
      <c r="H116" s="111" t="str" cm="1">
        <f t="array" aca="1" ref="H116" ca="1">Common_InputFunctions.Utility_DisplayArrayInTable(Fertiliser_SourceData.Fertiliser_Products_Data2(),FertiliserProducts[[#Headers],[Include or Exclude]], 20)</f>
        <v/>
      </c>
      <c r="I116" s="111" t="str" cm="1">
        <f t="array" aca="1" ref="I116" ca="1">Common_InputFunctions.Utility_DisplayArrayInTable(Fertiliser_SourceData.Fertiliser_Products_Data2(),FertiliserProducts[[#Headers],[Include or Exclude]], 20)</f>
        <v/>
      </c>
      <c r="J116" s="111" t="str" cm="1">
        <f t="array" aca="1" ref="J116" ca="1">Common_InputFunctions.Utility_DisplayArrayInTable(Fertiliser_SourceData.Fertiliser_Products_Data2(),FertiliserProducts[[#Headers],[Include or Exclude]], 20)</f>
        <v/>
      </c>
      <c r="K116" s="111" t="str" cm="1">
        <f t="array" aca="1" ref="K116" ca="1">Common_InputFunctions.Utility_DisplayArrayInTable(Fertiliser_SourceData.Fertiliser_Products_Data2(),FertiliserProducts[[#Headers],[Include or Exclude]], 20)</f>
        <v/>
      </c>
      <c r="L116" s="111" t="str" cm="1">
        <f t="array" aca="1" ref="L116" ca="1">Common_InputFunctions.Utility_DisplayArrayInTable(Fertiliser_SourceData.Fertiliser_Products_Data2(),FertiliserProducts[[#Headers],[Include or Exclude]], 20)</f>
        <v/>
      </c>
      <c r="M116" s="111" t="str" cm="1">
        <f t="array" aca="1" ref="M116" ca="1">Common_InputFunctions.Utility_DisplayArrayInTable(Fertiliser_SourceData.Fertiliser_Products_Data2(),FertiliserProducts[[#Headers],[Include or Exclude]], 20)</f>
        <v/>
      </c>
      <c r="N116" s="111" t="str" cm="1">
        <f t="array" aca="1" ref="N116" ca="1">Common_InputFunctions.Utility_DisplayArrayInTable(Fertiliser_SourceData.Fertiliser_Products_Data2(),FertiliserProducts[[#Headers],[Include or Exclude]], 20)</f>
        <v/>
      </c>
      <c r="O116" s="111" t="str" cm="1">
        <f t="array" aca="1" ref="O116" ca="1">Common_InputFunctions.Utility_DisplayArrayInTable(Fertiliser_SourceData.Fertiliser_Products_Data2(),FertiliserProducts[[#Headers],[Include or Exclude]], 20)</f>
        <v/>
      </c>
      <c r="P116" s="111" t="str" cm="1">
        <f t="array" aca="1" ref="P116" ca="1">Common_InputFunctions.Utility_DisplayArrayInTable(Fertiliser_SourceData.Fertiliser_Products_Data2(),FertiliserProducts[[#Headers],[Include or Exclude]], 20)</f>
        <v/>
      </c>
      <c r="Q116" s="111" t="str" cm="1">
        <f t="array" aca="1" ref="Q116" ca="1">Common_InputFunctions.Utility_DisplayArrayInTable(Fertiliser_SourceData.Fertiliser_Products_Data2(),FertiliserProducts[[#Headers],[Include or Exclude]], 20)</f>
        <v/>
      </c>
      <c r="R116" s="111" t="str" cm="1">
        <f t="array" aca="1" ref="R116" ca="1">Common_InputFunctions.Utility_DisplayArrayInTable(Fertiliser_SourceData.Fertiliser_Products_Data2(),FertiliserProducts[[#Headers],[Include or Exclude]], 20)</f>
        <v/>
      </c>
      <c r="S116" s="111" t="str" cm="1">
        <f t="array" aca="1" ref="S116" ca="1">Common_InputFunctions.Utility_DisplayArrayInTable(Fertiliser_SourceData.Fertiliser_Products_Data2(),FertiliserProducts[[#Headers],[Include or Exclude]], 20)</f>
        <v/>
      </c>
      <c r="T116" s="111" t="str" cm="1">
        <f t="array" aca="1" ref="T116" ca="1">Common_InputFunctions.Utility_DisplayArrayInTable(Fertiliser_SourceData.Fertiliser_Products_Data2(),FertiliserProducts[[#Headers],[Include or Exclude]], 20)</f>
        <v/>
      </c>
      <c r="U116" s="111" t="str" cm="1">
        <f t="array" aca="1" ref="U116" ca="1">Common_InputFunctions.Utility_DisplayArrayInTable(Fertiliser_SourceData.Fertiliser_Products_Data2(),FertiliserProducts[[#Headers],[Include or Exclude]], 20)</f>
        <v/>
      </c>
      <c r="V116" s="111" t="str" cm="1">
        <f t="array" aca="1" ref="V116" ca="1">Common_InputFunctions.Utility_DisplayArrayInTable(Fertiliser_SourceData.Fertiliser_Products_Data2(),FertiliserProducts[[#Headers],[Include or Exclude]], 20)</f>
        <v/>
      </c>
      <c r="W116" s="111" t="str" cm="1">
        <f t="array" aca="1" ref="W116" ca="1">Common_InputFunctions.Utility_DisplayArrayInTable(Fertiliser_SourceData.Fertiliser_Products_Data2(),FertiliserProducts[[#Headers],[Include or Exclude]], 20)</f>
        <v/>
      </c>
      <c r="X116" s="111" t="str" cm="1">
        <f t="array" aca="1" ref="X116" ca="1">Common_InputFunctions.Utility_DisplayArrayInTable(Fertiliser_SourceData.Fertiliser_Products_Data2(),FertiliserProducts[[#Headers],[Include or Exclude]], 20)</f>
        <v/>
      </c>
      <c r="Y116" s="111" t="str" cm="1">
        <f t="array" aca="1" ref="Y116" ca="1">Common_InputFunctions.Utility_DisplayArrayInTable(Fertiliser_SourceData.Fertiliser_Products_Data2(),FertiliserProducts[[#Headers],[Include or Exclude]], 20)</f>
        <v/>
      </c>
      <c r="Z116" s="111" t="str" cm="1">
        <f t="array" aca="1" ref="Z116" ca="1">Common_InputFunctions.Utility_DisplayArrayInTable(Fertiliser_SourceData.Fertiliser_Products_Data2(),FertiliserProducts[[#Headers],[Include or Exclude]], 20)</f>
        <v/>
      </c>
      <c r="AA116" s="37" t="str" cm="1">
        <f t="array" aca="1" ref="AA116" ca="1">Common_InputFunctions.Utility_DisplayArrayInTable(Fertiliser_SourceData.Fertiliser_Products_Data2(),FertiliserProducts[[#Headers],[Include or Exclude]], 20)</f>
        <v/>
      </c>
      <c r="AB116" s="37" t="str" cm="1">
        <f t="array" aca="1" ref="AB116" ca="1">Common_InputFunctions.Utility_DisplayArrayInTable(Fertiliser_SourceData.Fertiliser_Products_Data2(),FertiliserProducts[[#Headers],[Include or Exclude]], 20)</f>
        <v/>
      </c>
      <c r="AC116" s="37" t="str" cm="1">
        <f t="array" aca="1" ref="AC116" ca="1">Common_InputFunctions.Utility_DisplayArrayInTable(Fertiliser_SourceData.Fertiliser_Products_Data2(),FertiliserProducts[[#Headers],[Include or Exclude]], 20)</f>
        <v/>
      </c>
      <c r="AD116" s="37" t="str" cm="1">
        <f t="array" aca="1" ref="AD116" ca="1">Common_InputFunctions.Utility_DisplayArrayInTable(Fertiliser_SourceData.Fertiliser_Products_Data2(),FertiliserProducts[[#Headers],[Include or Exclude]], 20)</f>
        <v/>
      </c>
      <c r="AE116" s="37" t="str" cm="1">
        <f t="array" aca="1" ref="AE116" ca="1">Common_InputFunctions.Utility_DisplayArrayInTable(Fertiliser_SourceData.Fertiliser_Products_Data2(),FertiliserProducts[[#Headers],[Include or Exclude]], 20)</f>
        <v/>
      </c>
    </row>
    <row r="117" spans="4:31" ht="20.100000000000001" customHeight="1" x14ac:dyDescent="0.25">
      <c r="D117" s="111" t="str" cm="1">
        <f t="array" aca="1" ref="D117" ca="1">Common_InputFunctions.Utility_DisplayArrayInTable(Fertiliser_SourceData.Fertiliser_Products_Data2(),FertiliserProducts[[#Headers],[Include or Exclude]], 20)</f>
        <v/>
      </c>
      <c r="E117" s="111" t="str" cm="1">
        <f t="array" aca="1" ref="E117" ca="1">Common_InputFunctions.Utility_DisplayArrayInTable(Fertiliser_SourceData.Fertiliser_Products_Data2(),FertiliserProducts[[#Headers],[Include or Exclude]], 20)</f>
        <v/>
      </c>
      <c r="F117" s="111" t="str" cm="1">
        <f t="array" aca="1" ref="F117" ca="1">Common_InputFunctions.Utility_DisplayArrayInTable(Fertiliser_SourceData.Fertiliser_Products_Data2(),FertiliserProducts[[#Headers],[Include or Exclude]], 20)</f>
        <v/>
      </c>
      <c r="G117" s="111" t="str" cm="1">
        <f t="array" aca="1" ref="G117" ca="1">Common_InputFunctions.Utility_DisplayArrayInTable(Fertiliser_SourceData.Fertiliser_Products_Data2(),FertiliserProducts[[#Headers],[Include or Exclude]], 20)</f>
        <v/>
      </c>
      <c r="H117" s="111" t="str" cm="1">
        <f t="array" aca="1" ref="H117" ca="1">Common_InputFunctions.Utility_DisplayArrayInTable(Fertiliser_SourceData.Fertiliser_Products_Data2(),FertiliserProducts[[#Headers],[Include or Exclude]], 20)</f>
        <v/>
      </c>
      <c r="I117" s="111" t="str" cm="1">
        <f t="array" aca="1" ref="I117" ca="1">Common_InputFunctions.Utility_DisplayArrayInTable(Fertiliser_SourceData.Fertiliser_Products_Data2(),FertiliserProducts[[#Headers],[Include or Exclude]], 20)</f>
        <v/>
      </c>
      <c r="J117" s="111" t="str" cm="1">
        <f t="array" aca="1" ref="J117" ca="1">Common_InputFunctions.Utility_DisplayArrayInTable(Fertiliser_SourceData.Fertiliser_Products_Data2(),FertiliserProducts[[#Headers],[Include or Exclude]], 20)</f>
        <v/>
      </c>
      <c r="K117" s="111" t="str" cm="1">
        <f t="array" aca="1" ref="K117" ca="1">Common_InputFunctions.Utility_DisplayArrayInTable(Fertiliser_SourceData.Fertiliser_Products_Data2(),FertiliserProducts[[#Headers],[Include or Exclude]], 20)</f>
        <v/>
      </c>
      <c r="L117" s="111" t="str" cm="1">
        <f t="array" aca="1" ref="L117" ca="1">Common_InputFunctions.Utility_DisplayArrayInTable(Fertiliser_SourceData.Fertiliser_Products_Data2(),FertiliserProducts[[#Headers],[Include or Exclude]], 20)</f>
        <v/>
      </c>
      <c r="M117" s="111" t="str" cm="1">
        <f t="array" aca="1" ref="M117" ca="1">Common_InputFunctions.Utility_DisplayArrayInTable(Fertiliser_SourceData.Fertiliser_Products_Data2(),FertiliserProducts[[#Headers],[Include or Exclude]], 20)</f>
        <v/>
      </c>
      <c r="N117" s="111" t="str" cm="1">
        <f t="array" aca="1" ref="N117" ca="1">Common_InputFunctions.Utility_DisplayArrayInTable(Fertiliser_SourceData.Fertiliser_Products_Data2(),FertiliserProducts[[#Headers],[Include or Exclude]], 20)</f>
        <v/>
      </c>
      <c r="O117" s="111" t="str" cm="1">
        <f t="array" aca="1" ref="O117" ca="1">Common_InputFunctions.Utility_DisplayArrayInTable(Fertiliser_SourceData.Fertiliser_Products_Data2(),FertiliserProducts[[#Headers],[Include or Exclude]], 20)</f>
        <v/>
      </c>
      <c r="P117" s="111" t="str" cm="1">
        <f t="array" aca="1" ref="P117" ca="1">Common_InputFunctions.Utility_DisplayArrayInTable(Fertiliser_SourceData.Fertiliser_Products_Data2(),FertiliserProducts[[#Headers],[Include or Exclude]], 20)</f>
        <v/>
      </c>
      <c r="Q117" s="111" t="str" cm="1">
        <f t="array" aca="1" ref="Q117" ca="1">Common_InputFunctions.Utility_DisplayArrayInTable(Fertiliser_SourceData.Fertiliser_Products_Data2(),FertiliserProducts[[#Headers],[Include or Exclude]], 20)</f>
        <v/>
      </c>
      <c r="R117" s="111" t="str" cm="1">
        <f t="array" aca="1" ref="R117" ca="1">Common_InputFunctions.Utility_DisplayArrayInTable(Fertiliser_SourceData.Fertiliser_Products_Data2(),FertiliserProducts[[#Headers],[Include or Exclude]], 20)</f>
        <v/>
      </c>
      <c r="S117" s="111" t="str" cm="1">
        <f t="array" aca="1" ref="S117" ca="1">Common_InputFunctions.Utility_DisplayArrayInTable(Fertiliser_SourceData.Fertiliser_Products_Data2(),FertiliserProducts[[#Headers],[Include or Exclude]], 20)</f>
        <v/>
      </c>
      <c r="T117" s="111" t="str" cm="1">
        <f t="array" aca="1" ref="T117" ca="1">Common_InputFunctions.Utility_DisplayArrayInTable(Fertiliser_SourceData.Fertiliser_Products_Data2(),FertiliserProducts[[#Headers],[Include or Exclude]], 20)</f>
        <v/>
      </c>
      <c r="U117" s="111" t="str" cm="1">
        <f t="array" aca="1" ref="U117" ca="1">Common_InputFunctions.Utility_DisplayArrayInTable(Fertiliser_SourceData.Fertiliser_Products_Data2(),FertiliserProducts[[#Headers],[Include or Exclude]], 20)</f>
        <v/>
      </c>
      <c r="V117" s="111" t="str" cm="1">
        <f t="array" aca="1" ref="V117" ca="1">Common_InputFunctions.Utility_DisplayArrayInTable(Fertiliser_SourceData.Fertiliser_Products_Data2(),FertiliserProducts[[#Headers],[Include or Exclude]], 20)</f>
        <v/>
      </c>
      <c r="W117" s="111" t="str" cm="1">
        <f t="array" aca="1" ref="W117" ca="1">Common_InputFunctions.Utility_DisplayArrayInTable(Fertiliser_SourceData.Fertiliser_Products_Data2(),FertiliserProducts[[#Headers],[Include or Exclude]], 20)</f>
        <v/>
      </c>
      <c r="X117" s="111" t="str" cm="1">
        <f t="array" aca="1" ref="X117" ca="1">Common_InputFunctions.Utility_DisplayArrayInTable(Fertiliser_SourceData.Fertiliser_Products_Data2(),FertiliserProducts[[#Headers],[Include or Exclude]], 20)</f>
        <v/>
      </c>
      <c r="Y117" s="111" t="str" cm="1">
        <f t="array" aca="1" ref="Y117" ca="1">Common_InputFunctions.Utility_DisplayArrayInTable(Fertiliser_SourceData.Fertiliser_Products_Data2(),FertiliserProducts[[#Headers],[Include or Exclude]], 20)</f>
        <v/>
      </c>
      <c r="Z117" s="111" t="str" cm="1">
        <f t="array" aca="1" ref="Z117" ca="1">Common_InputFunctions.Utility_DisplayArrayInTable(Fertiliser_SourceData.Fertiliser_Products_Data2(),FertiliserProducts[[#Headers],[Include or Exclude]], 20)</f>
        <v/>
      </c>
      <c r="AA117" s="37" t="str" cm="1">
        <f t="array" aca="1" ref="AA117" ca="1">Common_InputFunctions.Utility_DisplayArrayInTable(Fertiliser_SourceData.Fertiliser_Products_Data2(),FertiliserProducts[[#Headers],[Include or Exclude]], 20)</f>
        <v/>
      </c>
      <c r="AB117" s="37" t="str" cm="1">
        <f t="array" aca="1" ref="AB117" ca="1">Common_InputFunctions.Utility_DisplayArrayInTable(Fertiliser_SourceData.Fertiliser_Products_Data2(),FertiliserProducts[[#Headers],[Include or Exclude]], 20)</f>
        <v/>
      </c>
      <c r="AC117" s="37" t="str" cm="1">
        <f t="array" aca="1" ref="AC117" ca="1">Common_InputFunctions.Utility_DisplayArrayInTable(Fertiliser_SourceData.Fertiliser_Products_Data2(),FertiliserProducts[[#Headers],[Include or Exclude]], 20)</f>
        <v/>
      </c>
      <c r="AD117" s="37" t="str" cm="1">
        <f t="array" aca="1" ref="AD117" ca="1">Common_InputFunctions.Utility_DisplayArrayInTable(Fertiliser_SourceData.Fertiliser_Products_Data2(),FertiliserProducts[[#Headers],[Include or Exclude]], 20)</f>
        <v/>
      </c>
      <c r="AE117" s="37" t="str" cm="1">
        <f t="array" aca="1" ref="AE117" ca="1">Common_InputFunctions.Utility_DisplayArrayInTable(Fertiliser_SourceData.Fertiliser_Products_Data2(),FertiliserProducts[[#Headers],[Include or Exclude]], 20)</f>
        <v/>
      </c>
    </row>
    <row r="118" spans="4:31" ht="20.100000000000001" customHeight="1" x14ac:dyDescent="0.25">
      <c r="D118" s="111" t="str" cm="1">
        <f t="array" aca="1" ref="D118" ca="1">Common_InputFunctions.Utility_DisplayArrayInTable(Fertiliser_SourceData.Fertiliser_Products_Data2(),FertiliserProducts[[#Headers],[Include or Exclude]], 20)</f>
        <v/>
      </c>
      <c r="E118" s="111" t="str" cm="1">
        <f t="array" aca="1" ref="E118" ca="1">Common_InputFunctions.Utility_DisplayArrayInTable(Fertiliser_SourceData.Fertiliser_Products_Data2(),FertiliserProducts[[#Headers],[Include or Exclude]], 20)</f>
        <v/>
      </c>
      <c r="F118" s="111" t="str" cm="1">
        <f t="array" aca="1" ref="F118" ca="1">Common_InputFunctions.Utility_DisplayArrayInTable(Fertiliser_SourceData.Fertiliser_Products_Data2(),FertiliserProducts[[#Headers],[Include or Exclude]], 20)</f>
        <v/>
      </c>
      <c r="G118" s="111" t="str" cm="1">
        <f t="array" aca="1" ref="G118" ca="1">Common_InputFunctions.Utility_DisplayArrayInTable(Fertiliser_SourceData.Fertiliser_Products_Data2(),FertiliserProducts[[#Headers],[Include or Exclude]], 20)</f>
        <v/>
      </c>
      <c r="H118" s="111" t="str" cm="1">
        <f t="array" aca="1" ref="H118" ca="1">Common_InputFunctions.Utility_DisplayArrayInTable(Fertiliser_SourceData.Fertiliser_Products_Data2(),FertiliserProducts[[#Headers],[Include or Exclude]], 20)</f>
        <v/>
      </c>
      <c r="I118" s="111" t="str" cm="1">
        <f t="array" aca="1" ref="I118" ca="1">Common_InputFunctions.Utility_DisplayArrayInTable(Fertiliser_SourceData.Fertiliser_Products_Data2(),FertiliserProducts[[#Headers],[Include or Exclude]], 20)</f>
        <v/>
      </c>
      <c r="J118" s="111" t="str" cm="1">
        <f t="array" aca="1" ref="J118" ca="1">Common_InputFunctions.Utility_DisplayArrayInTable(Fertiliser_SourceData.Fertiliser_Products_Data2(),FertiliserProducts[[#Headers],[Include or Exclude]], 20)</f>
        <v/>
      </c>
      <c r="K118" s="111" t="str" cm="1">
        <f t="array" aca="1" ref="K118" ca="1">Common_InputFunctions.Utility_DisplayArrayInTable(Fertiliser_SourceData.Fertiliser_Products_Data2(),FertiliserProducts[[#Headers],[Include or Exclude]], 20)</f>
        <v/>
      </c>
      <c r="L118" s="111" t="str" cm="1">
        <f t="array" aca="1" ref="L118" ca="1">Common_InputFunctions.Utility_DisplayArrayInTable(Fertiliser_SourceData.Fertiliser_Products_Data2(),FertiliserProducts[[#Headers],[Include or Exclude]], 20)</f>
        <v/>
      </c>
      <c r="M118" s="111" t="str" cm="1">
        <f t="array" aca="1" ref="M118" ca="1">Common_InputFunctions.Utility_DisplayArrayInTable(Fertiliser_SourceData.Fertiliser_Products_Data2(),FertiliserProducts[[#Headers],[Include or Exclude]], 20)</f>
        <v/>
      </c>
      <c r="N118" s="111" t="str" cm="1">
        <f t="array" aca="1" ref="N118" ca="1">Common_InputFunctions.Utility_DisplayArrayInTable(Fertiliser_SourceData.Fertiliser_Products_Data2(),FertiliserProducts[[#Headers],[Include or Exclude]], 20)</f>
        <v/>
      </c>
      <c r="O118" s="111" t="str" cm="1">
        <f t="array" aca="1" ref="O118" ca="1">Common_InputFunctions.Utility_DisplayArrayInTable(Fertiliser_SourceData.Fertiliser_Products_Data2(),FertiliserProducts[[#Headers],[Include or Exclude]], 20)</f>
        <v/>
      </c>
      <c r="P118" s="111" t="str" cm="1">
        <f t="array" aca="1" ref="P118" ca="1">Common_InputFunctions.Utility_DisplayArrayInTable(Fertiliser_SourceData.Fertiliser_Products_Data2(),FertiliserProducts[[#Headers],[Include or Exclude]], 20)</f>
        <v/>
      </c>
      <c r="Q118" s="111" t="str" cm="1">
        <f t="array" aca="1" ref="Q118" ca="1">Common_InputFunctions.Utility_DisplayArrayInTable(Fertiliser_SourceData.Fertiliser_Products_Data2(),FertiliserProducts[[#Headers],[Include or Exclude]], 20)</f>
        <v/>
      </c>
      <c r="R118" s="111" t="str" cm="1">
        <f t="array" aca="1" ref="R118" ca="1">Common_InputFunctions.Utility_DisplayArrayInTable(Fertiliser_SourceData.Fertiliser_Products_Data2(),FertiliserProducts[[#Headers],[Include or Exclude]], 20)</f>
        <v/>
      </c>
      <c r="S118" s="111" t="str" cm="1">
        <f t="array" aca="1" ref="S118" ca="1">Common_InputFunctions.Utility_DisplayArrayInTable(Fertiliser_SourceData.Fertiliser_Products_Data2(),FertiliserProducts[[#Headers],[Include or Exclude]], 20)</f>
        <v/>
      </c>
      <c r="T118" s="111" t="str" cm="1">
        <f t="array" aca="1" ref="T118" ca="1">Common_InputFunctions.Utility_DisplayArrayInTable(Fertiliser_SourceData.Fertiliser_Products_Data2(),FertiliserProducts[[#Headers],[Include or Exclude]], 20)</f>
        <v/>
      </c>
      <c r="U118" s="111" t="str" cm="1">
        <f t="array" aca="1" ref="U118" ca="1">Common_InputFunctions.Utility_DisplayArrayInTable(Fertiliser_SourceData.Fertiliser_Products_Data2(),FertiliserProducts[[#Headers],[Include or Exclude]], 20)</f>
        <v/>
      </c>
      <c r="V118" s="111" t="str" cm="1">
        <f t="array" aca="1" ref="V118" ca="1">Common_InputFunctions.Utility_DisplayArrayInTable(Fertiliser_SourceData.Fertiliser_Products_Data2(),FertiliserProducts[[#Headers],[Include or Exclude]], 20)</f>
        <v/>
      </c>
      <c r="W118" s="111" t="str" cm="1">
        <f t="array" aca="1" ref="W118" ca="1">Common_InputFunctions.Utility_DisplayArrayInTable(Fertiliser_SourceData.Fertiliser_Products_Data2(),FertiliserProducts[[#Headers],[Include or Exclude]], 20)</f>
        <v/>
      </c>
      <c r="X118" s="111" t="str" cm="1">
        <f t="array" aca="1" ref="X118" ca="1">Common_InputFunctions.Utility_DisplayArrayInTable(Fertiliser_SourceData.Fertiliser_Products_Data2(),FertiliserProducts[[#Headers],[Include or Exclude]], 20)</f>
        <v/>
      </c>
      <c r="Y118" s="111" t="str" cm="1">
        <f t="array" aca="1" ref="Y118" ca="1">Common_InputFunctions.Utility_DisplayArrayInTable(Fertiliser_SourceData.Fertiliser_Products_Data2(),FertiliserProducts[[#Headers],[Include or Exclude]], 20)</f>
        <v/>
      </c>
      <c r="Z118" s="111" t="str" cm="1">
        <f t="array" aca="1" ref="Z118" ca="1">Common_InputFunctions.Utility_DisplayArrayInTable(Fertiliser_SourceData.Fertiliser_Products_Data2(),FertiliserProducts[[#Headers],[Include or Exclude]], 20)</f>
        <v/>
      </c>
      <c r="AA118" s="37" t="str" cm="1">
        <f t="array" aca="1" ref="AA118" ca="1">Common_InputFunctions.Utility_DisplayArrayInTable(Fertiliser_SourceData.Fertiliser_Products_Data2(),FertiliserProducts[[#Headers],[Include or Exclude]], 20)</f>
        <v/>
      </c>
      <c r="AB118" s="37" t="str" cm="1">
        <f t="array" aca="1" ref="AB118" ca="1">Common_InputFunctions.Utility_DisplayArrayInTable(Fertiliser_SourceData.Fertiliser_Products_Data2(),FertiliserProducts[[#Headers],[Include or Exclude]], 20)</f>
        <v/>
      </c>
      <c r="AC118" s="37" t="str" cm="1">
        <f t="array" aca="1" ref="AC118" ca="1">Common_InputFunctions.Utility_DisplayArrayInTable(Fertiliser_SourceData.Fertiliser_Products_Data2(),FertiliserProducts[[#Headers],[Include or Exclude]], 20)</f>
        <v/>
      </c>
      <c r="AD118" s="37" t="str" cm="1">
        <f t="array" aca="1" ref="AD118" ca="1">Common_InputFunctions.Utility_DisplayArrayInTable(Fertiliser_SourceData.Fertiliser_Products_Data2(),FertiliserProducts[[#Headers],[Include or Exclude]], 20)</f>
        <v/>
      </c>
      <c r="AE118" s="37" t="str" cm="1">
        <f t="array" aca="1" ref="AE118" ca="1">Common_InputFunctions.Utility_DisplayArrayInTable(Fertiliser_SourceData.Fertiliser_Products_Data2(),FertiliserProducts[[#Headers],[Include or Exclude]], 20)</f>
        <v/>
      </c>
    </row>
    <row r="119" spans="4:31" ht="20.100000000000001" customHeight="1" x14ac:dyDescent="0.25">
      <c r="D119" s="111" t="str" cm="1">
        <f t="array" aca="1" ref="D119" ca="1">Common_InputFunctions.Utility_DisplayArrayInTable(Fertiliser_SourceData.Fertiliser_Products_Data2(),FertiliserProducts[[#Headers],[Include or Exclude]], 20)</f>
        <v/>
      </c>
      <c r="E119" s="111" t="str" cm="1">
        <f t="array" aca="1" ref="E119" ca="1">Common_InputFunctions.Utility_DisplayArrayInTable(Fertiliser_SourceData.Fertiliser_Products_Data2(),FertiliserProducts[[#Headers],[Include or Exclude]], 20)</f>
        <v/>
      </c>
      <c r="F119" s="111" t="str" cm="1">
        <f t="array" aca="1" ref="F119" ca="1">Common_InputFunctions.Utility_DisplayArrayInTable(Fertiliser_SourceData.Fertiliser_Products_Data2(),FertiliserProducts[[#Headers],[Include or Exclude]], 20)</f>
        <v/>
      </c>
      <c r="G119" s="111" t="str" cm="1">
        <f t="array" aca="1" ref="G119" ca="1">Common_InputFunctions.Utility_DisplayArrayInTable(Fertiliser_SourceData.Fertiliser_Products_Data2(),FertiliserProducts[[#Headers],[Include or Exclude]], 20)</f>
        <v/>
      </c>
      <c r="H119" s="111" t="str" cm="1">
        <f t="array" aca="1" ref="H119" ca="1">Common_InputFunctions.Utility_DisplayArrayInTable(Fertiliser_SourceData.Fertiliser_Products_Data2(),FertiliserProducts[[#Headers],[Include or Exclude]], 20)</f>
        <v/>
      </c>
      <c r="I119" s="111" t="str" cm="1">
        <f t="array" aca="1" ref="I119" ca="1">Common_InputFunctions.Utility_DisplayArrayInTable(Fertiliser_SourceData.Fertiliser_Products_Data2(),FertiliserProducts[[#Headers],[Include or Exclude]], 20)</f>
        <v/>
      </c>
      <c r="J119" s="111" t="str" cm="1">
        <f t="array" aca="1" ref="J119" ca="1">Common_InputFunctions.Utility_DisplayArrayInTable(Fertiliser_SourceData.Fertiliser_Products_Data2(),FertiliserProducts[[#Headers],[Include or Exclude]], 20)</f>
        <v/>
      </c>
      <c r="K119" s="111" t="str" cm="1">
        <f t="array" aca="1" ref="K119" ca="1">Common_InputFunctions.Utility_DisplayArrayInTable(Fertiliser_SourceData.Fertiliser_Products_Data2(),FertiliserProducts[[#Headers],[Include or Exclude]], 20)</f>
        <v/>
      </c>
      <c r="L119" s="111" t="str" cm="1">
        <f t="array" aca="1" ref="L119" ca="1">Common_InputFunctions.Utility_DisplayArrayInTable(Fertiliser_SourceData.Fertiliser_Products_Data2(),FertiliserProducts[[#Headers],[Include or Exclude]], 20)</f>
        <v/>
      </c>
      <c r="M119" s="111" t="str" cm="1">
        <f t="array" aca="1" ref="M119" ca="1">Common_InputFunctions.Utility_DisplayArrayInTable(Fertiliser_SourceData.Fertiliser_Products_Data2(),FertiliserProducts[[#Headers],[Include or Exclude]], 20)</f>
        <v/>
      </c>
      <c r="N119" s="111" t="str" cm="1">
        <f t="array" aca="1" ref="N119" ca="1">Common_InputFunctions.Utility_DisplayArrayInTable(Fertiliser_SourceData.Fertiliser_Products_Data2(),FertiliserProducts[[#Headers],[Include or Exclude]], 20)</f>
        <v/>
      </c>
      <c r="O119" s="111" t="str" cm="1">
        <f t="array" aca="1" ref="O119" ca="1">Common_InputFunctions.Utility_DisplayArrayInTable(Fertiliser_SourceData.Fertiliser_Products_Data2(),FertiliserProducts[[#Headers],[Include or Exclude]], 20)</f>
        <v/>
      </c>
      <c r="P119" s="111" t="str" cm="1">
        <f t="array" aca="1" ref="P119" ca="1">Common_InputFunctions.Utility_DisplayArrayInTable(Fertiliser_SourceData.Fertiliser_Products_Data2(),FertiliserProducts[[#Headers],[Include or Exclude]], 20)</f>
        <v/>
      </c>
      <c r="Q119" s="111" t="str" cm="1">
        <f t="array" aca="1" ref="Q119" ca="1">Common_InputFunctions.Utility_DisplayArrayInTable(Fertiliser_SourceData.Fertiliser_Products_Data2(),FertiliserProducts[[#Headers],[Include or Exclude]], 20)</f>
        <v/>
      </c>
      <c r="R119" s="111" t="str" cm="1">
        <f t="array" aca="1" ref="R119" ca="1">Common_InputFunctions.Utility_DisplayArrayInTable(Fertiliser_SourceData.Fertiliser_Products_Data2(),FertiliserProducts[[#Headers],[Include or Exclude]], 20)</f>
        <v/>
      </c>
      <c r="S119" s="111" t="str" cm="1">
        <f t="array" aca="1" ref="S119" ca="1">Common_InputFunctions.Utility_DisplayArrayInTable(Fertiliser_SourceData.Fertiliser_Products_Data2(),FertiliserProducts[[#Headers],[Include or Exclude]], 20)</f>
        <v/>
      </c>
      <c r="T119" s="111" t="str" cm="1">
        <f t="array" aca="1" ref="T119" ca="1">Common_InputFunctions.Utility_DisplayArrayInTable(Fertiliser_SourceData.Fertiliser_Products_Data2(),FertiliserProducts[[#Headers],[Include or Exclude]], 20)</f>
        <v/>
      </c>
      <c r="U119" s="111" t="str" cm="1">
        <f t="array" aca="1" ref="U119" ca="1">Common_InputFunctions.Utility_DisplayArrayInTable(Fertiliser_SourceData.Fertiliser_Products_Data2(),FertiliserProducts[[#Headers],[Include or Exclude]], 20)</f>
        <v/>
      </c>
      <c r="V119" s="111" t="str" cm="1">
        <f t="array" aca="1" ref="V119" ca="1">Common_InputFunctions.Utility_DisplayArrayInTable(Fertiliser_SourceData.Fertiliser_Products_Data2(),FertiliserProducts[[#Headers],[Include or Exclude]], 20)</f>
        <v/>
      </c>
      <c r="W119" s="111" t="str" cm="1">
        <f t="array" aca="1" ref="W119" ca="1">Common_InputFunctions.Utility_DisplayArrayInTable(Fertiliser_SourceData.Fertiliser_Products_Data2(),FertiliserProducts[[#Headers],[Include or Exclude]], 20)</f>
        <v/>
      </c>
      <c r="X119" s="111" t="str" cm="1">
        <f t="array" aca="1" ref="X119" ca="1">Common_InputFunctions.Utility_DisplayArrayInTable(Fertiliser_SourceData.Fertiliser_Products_Data2(),FertiliserProducts[[#Headers],[Include or Exclude]], 20)</f>
        <v/>
      </c>
      <c r="Y119" s="111" t="str" cm="1">
        <f t="array" aca="1" ref="Y119" ca="1">Common_InputFunctions.Utility_DisplayArrayInTable(Fertiliser_SourceData.Fertiliser_Products_Data2(),FertiliserProducts[[#Headers],[Include or Exclude]], 20)</f>
        <v/>
      </c>
      <c r="Z119" s="111" t="str" cm="1">
        <f t="array" aca="1" ref="Z119" ca="1">Common_InputFunctions.Utility_DisplayArrayInTable(Fertiliser_SourceData.Fertiliser_Products_Data2(),FertiliserProducts[[#Headers],[Include or Exclude]], 20)</f>
        <v/>
      </c>
      <c r="AA119" s="37" t="str" cm="1">
        <f t="array" aca="1" ref="AA119" ca="1">Common_InputFunctions.Utility_DisplayArrayInTable(Fertiliser_SourceData.Fertiliser_Products_Data2(),FertiliserProducts[[#Headers],[Include or Exclude]], 20)</f>
        <v/>
      </c>
      <c r="AB119" s="37" t="str" cm="1">
        <f t="array" aca="1" ref="AB119" ca="1">Common_InputFunctions.Utility_DisplayArrayInTable(Fertiliser_SourceData.Fertiliser_Products_Data2(),FertiliserProducts[[#Headers],[Include or Exclude]], 20)</f>
        <v/>
      </c>
      <c r="AC119" s="37" t="str" cm="1">
        <f t="array" aca="1" ref="AC119" ca="1">Common_InputFunctions.Utility_DisplayArrayInTable(Fertiliser_SourceData.Fertiliser_Products_Data2(),FertiliserProducts[[#Headers],[Include or Exclude]], 20)</f>
        <v/>
      </c>
      <c r="AD119" s="37" t="str" cm="1">
        <f t="array" aca="1" ref="AD119" ca="1">Common_InputFunctions.Utility_DisplayArrayInTable(Fertiliser_SourceData.Fertiliser_Products_Data2(),FertiliserProducts[[#Headers],[Include or Exclude]], 20)</f>
        <v/>
      </c>
      <c r="AE119" s="37" t="str" cm="1">
        <f t="array" aca="1" ref="AE119" ca="1">Common_InputFunctions.Utility_DisplayArrayInTable(Fertiliser_SourceData.Fertiliser_Products_Data2(),FertiliserProducts[[#Headers],[Include or Exclude]], 20)</f>
        <v/>
      </c>
    </row>
    <row r="120" spans="4:31" ht="20.100000000000001" customHeight="1" x14ac:dyDescent="0.25">
      <c r="D120" s="111" t="str" cm="1">
        <f t="array" aca="1" ref="D120" ca="1">Common_InputFunctions.Utility_DisplayArrayInTable(Fertiliser_SourceData.Fertiliser_Products_Data2(),FertiliserProducts[[#Headers],[Include or Exclude]], 20)</f>
        <v/>
      </c>
      <c r="E120" s="111" t="str" cm="1">
        <f t="array" aca="1" ref="E120" ca="1">Common_InputFunctions.Utility_DisplayArrayInTable(Fertiliser_SourceData.Fertiliser_Products_Data2(),FertiliserProducts[[#Headers],[Include or Exclude]], 20)</f>
        <v/>
      </c>
      <c r="F120" s="111" t="str" cm="1">
        <f t="array" aca="1" ref="F120" ca="1">Common_InputFunctions.Utility_DisplayArrayInTable(Fertiliser_SourceData.Fertiliser_Products_Data2(),FertiliserProducts[[#Headers],[Include or Exclude]], 20)</f>
        <v/>
      </c>
      <c r="G120" s="111" t="str" cm="1">
        <f t="array" aca="1" ref="G120" ca="1">Common_InputFunctions.Utility_DisplayArrayInTable(Fertiliser_SourceData.Fertiliser_Products_Data2(),FertiliserProducts[[#Headers],[Include or Exclude]], 20)</f>
        <v/>
      </c>
      <c r="H120" s="111" t="str" cm="1">
        <f t="array" aca="1" ref="H120" ca="1">Common_InputFunctions.Utility_DisplayArrayInTable(Fertiliser_SourceData.Fertiliser_Products_Data2(),FertiliserProducts[[#Headers],[Include or Exclude]], 20)</f>
        <v/>
      </c>
      <c r="I120" s="111" t="str" cm="1">
        <f t="array" aca="1" ref="I120" ca="1">Common_InputFunctions.Utility_DisplayArrayInTable(Fertiliser_SourceData.Fertiliser_Products_Data2(),FertiliserProducts[[#Headers],[Include or Exclude]], 20)</f>
        <v/>
      </c>
      <c r="J120" s="111" t="str" cm="1">
        <f t="array" aca="1" ref="J120" ca="1">Common_InputFunctions.Utility_DisplayArrayInTable(Fertiliser_SourceData.Fertiliser_Products_Data2(),FertiliserProducts[[#Headers],[Include or Exclude]], 20)</f>
        <v/>
      </c>
      <c r="K120" s="111" t="str" cm="1">
        <f t="array" aca="1" ref="K120" ca="1">Common_InputFunctions.Utility_DisplayArrayInTable(Fertiliser_SourceData.Fertiliser_Products_Data2(),FertiliserProducts[[#Headers],[Include or Exclude]], 20)</f>
        <v/>
      </c>
      <c r="L120" s="111" t="str" cm="1">
        <f t="array" aca="1" ref="L120" ca="1">Common_InputFunctions.Utility_DisplayArrayInTable(Fertiliser_SourceData.Fertiliser_Products_Data2(),FertiliserProducts[[#Headers],[Include or Exclude]], 20)</f>
        <v/>
      </c>
      <c r="M120" s="111" t="str" cm="1">
        <f t="array" aca="1" ref="M120" ca="1">Common_InputFunctions.Utility_DisplayArrayInTable(Fertiliser_SourceData.Fertiliser_Products_Data2(),FertiliserProducts[[#Headers],[Include or Exclude]], 20)</f>
        <v/>
      </c>
      <c r="N120" s="111" t="str" cm="1">
        <f t="array" aca="1" ref="N120" ca="1">Common_InputFunctions.Utility_DisplayArrayInTable(Fertiliser_SourceData.Fertiliser_Products_Data2(),FertiliserProducts[[#Headers],[Include or Exclude]], 20)</f>
        <v/>
      </c>
      <c r="O120" s="111" t="str" cm="1">
        <f t="array" aca="1" ref="O120" ca="1">Common_InputFunctions.Utility_DisplayArrayInTable(Fertiliser_SourceData.Fertiliser_Products_Data2(),FertiliserProducts[[#Headers],[Include or Exclude]], 20)</f>
        <v/>
      </c>
      <c r="P120" s="111" t="str" cm="1">
        <f t="array" aca="1" ref="P120" ca="1">Common_InputFunctions.Utility_DisplayArrayInTable(Fertiliser_SourceData.Fertiliser_Products_Data2(),FertiliserProducts[[#Headers],[Include or Exclude]], 20)</f>
        <v/>
      </c>
      <c r="Q120" s="111" t="str" cm="1">
        <f t="array" aca="1" ref="Q120" ca="1">Common_InputFunctions.Utility_DisplayArrayInTable(Fertiliser_SourceData.Fertiliser_Products_Data2(),FertiliserProducts[[#Headers],[Include or Exclude]], 20)</f>
        <v/>
      </c>
      <c r="R120" s="111" t="str" cm="1">
        <f t="array" aca="1" ref="R120" ca="1">Common_InputFunctions.Utility_DisplayArrayInTable(Fertiliser_SourceData.Fertiliser_Products_Data2(),FertiliserProducts[[#Headers],[Include or Exclude]], 20)</f>
        <v/>
      </c>
      <c r="S120" s="111" t="str" cm="1">
        <f t="array" aca="1" ref="S120" ca="1">Common_InputFunctions.Utility_DisplayArrayInTable(Fertiliser_SourceData.Fertiliser_Products_Data2(),FertiliserProducts[[#Headers],[Include or Exclude]], 20)</f>
        <v/>
      </c>
      <c r="T120" s="111" t="str" cm="1">
        <f t="array" aca="1" ref="T120" ca="1">Common_InputFunctions.Utility_DisplayArrayInTable(Fertiliser_SourceData.Fertiliser_Products_Data2(),FertiliserProducts[[#Headers],[Include or Exclude]], 20)</f>
        <v/>
      </c>
      <c r="U120" s="111" t="str" cm="1">
        <f t="array" aca="1" ref="U120" ca="1">Common_InputFunctions.Utility_DisplayArrayInTable(Fertiliser_SourceData.Fertiliser_Products_Data2(),FertiliserProducts[[#Headers],[Include or Exclude]], 20)</f>
        <v/>
      </c>
      <c r="V120" s="111" t="str" cm="1">
        <f t="array" aca="1" ref="V120" ca="1">Common_InputFunctions.Utility_DisplayArrayInTable(Fertiliser_SourceData.Fertiliser_Products_Data2(),FertiliserProducts[[#Headers],[Include or Exclude]], 20)</f>
        <v/>
      </c>
      <c r="W120" s="111" t="str" cm="1">
        <f t="array" aca="1" ref="W120" ca="1">Common_InputFunctions.Utility_DisplayArrayInTable(Fertiliser_SourceData.Fertiliser_Products_Data2(),FertiliserProducts[[#Headers],[Include or Exclude]], 20)</f>
        <v/>
      </c>
      <c r="X120" s="111" t="str" cm="1">
        <f t="array" aca="1" ref="X120" ca="1">Common_InputFunctions.Utility_DisplayArrayInTable(Fertiliser_SourceData.Fertiliser_Products_Data2(),FertiliserProducts[[#Headers],[Include or Exclude]], 20)</f>
        <v/>
      </c>
      <c r="Y120" s="111" t="str" cm="1">
        <f t="array" aca="1" ref="Y120" ca="1">Common_InputFunctions.Utility_DisplayArrayInTable(Fertiliser_SourceData.Fertiliser_Products_Data2(),FertiliserProducts[[#Headers],[Include or Exclude]], 20)</f>
        <v/>
      </c>
      <c r="Z120" s="111" t="str" cm="1">
        <f t="array" aca="1" ref="Z120" ca="1">Common_InputFunctions.Utility_DisplayArrayInTable(Fertiliser_SourceData.Fertiliser_Products_Data2(),FertiliserProducts[[#Headers],[Include or Exclude]], 20)</f>
        <v/>
      </c>
      <c r="AA120" s="37" t="str" cm="1">
        <f t="array" aca="1" ref="AA120" ca="1">Common_InputFunctions.Utility_DisplayArrayInTable(Fertiliser_SourceData.Fertiliser_Products_Data2(),FertiliserProducts[[#Headers],[Include or Exclude]], 20)</f>
        <v/>
      </c>
      <c r="AB120" s="37" t="str" cm="1">
        <f t="array" aca="1" ref="AB120" ca="1">Common_InputFunctions.Utility_DisplayArrayInTable(Fertiliser_SourceData.Fertiliser_Products_Data2(),FertiliserProducts[[#Headers],[Include or Exclude]], 20)</f>
        <v/>
      </c>
      <c r="AC120" s="37" t="str" cm="1">
        <f t="array" aca="1" ref="AC120" ca="1">Common_InputFunctions.Utility_DisplayArrayInTable(Fertiliser_SourceData.Fertiliser_Products_Data2(),FertiliserProducts[[#Headers],[Include or Exclude]], 20)</f>
        <v/>
      </c>
      <c r="AD120" s="37" t="str" cm="1">
        <f t="array" aca="1" ref="AD120" ca="1">Common_InputFunctions.Utility_DisplayArrayInTable(Fertiliser_SourceData.Fertiliser_Products_Data2(),FertiliserProducts[[#Headers],[Include or Exclude]], 20)</f>
        <v/>
      </c>
      <c r="AE120" s="37" t="str" cm="1">
        <f t="array" aca="1" ref="AE120" ca="1">Common_InputFunctions.Utility_DisplayArrayInTable(Fertiliser_SourceData.Fertiliser_Products_Data2(),FertiliserProducts[[#Headers],[Include or Exclude]], 20)</f>
        <v/>
      </c>
    </row>
    <row r="121" spans="4:31" ht="20.100000000000001" customHeight="1" x14ac:dyDescent="0.25">
      <c r="D121" s="111" t="str" cm="1">
        <f t="array" aca="1" ref="D121" ca="1">Common_InputFunctions.Utility_DisplayArrayInTable(Fertiliser_SourceData.Fertiliser_Products_Data2(),FertiliserProducts[[#Headers],[Include or Exclude]], 20)</f>
        <v/>
      </c>
      <c r="E121" s="111" t="str" cm="1">
        <f t="array" aca="1" ref="E121" ca="1">Common_InputFunctions.Utility_DisplayArrayInTable(Fertiliser_SourceData.Fertiliser_Products_Data2(),FertiliserProducts[[#Headers],[Include or Exclude]], 20)</f>
        <v/>
      </c>
      <c r="F121" s="111" t="str" cm="1">
        <f t="array" aca="1" ref="F121" ca="1">Common_InputFunctions.Utility_DisplayArrayInTable(Fertiliser_SourceData.Fertiliser_Products_Data2(),FertiliserProducts[[#Headers],[Include or Exclude]], 20)</f>
        <v/>
      </c>
      <c r="G121" s="111" t="str" cm="1">
        <f t="array" aca="1" ref="G121" ca="1">Common_InputFunctions.Utility_DisplayArrayInTable(Fertiliser_SourceData.Fertiliser_Products_Data2(),FertiliserProducts[[#Headers],[Include or Exclude]], 20)</f>
        <v/>
      </c>
      <c r="H121" s="111" t="str" cm="1">
        <f t="array" aca="1" ref="H121" ca="1">Common_InputFunctions.Utility_DisplayArrayInTable(Fertiliser_SourceData.Fertiliser_Products_Data2(),FertiliserProducts[[#Headers],[Include or Exclude]], 20)</f>
        <v/>
      </c>
      <c r="I121" s="111" t="str" cm="1">
        <f t="array" aca="1" ref="I121" ca="1">Common_InputFunctions.Utility_DisplayArrayInTable(Fertiliser_SourceData.Fertiliser_Products_Data2(),FertiliserProducts[[#Headers],[Include or Exclude]], 20)</f>
        <v/>
      </c>
      <c r="J121" s="111" t="str" cm="1">
        <f t="array" aca="1" ref="J121" ca="1">Common_InputFunctions.Utility_DisplayArrayInTable(Fertiliser_SourceData.Fertiliser_Products_Data2(),FertiliserProducts[[#Headers],[Include or Exclude]], 20)</f>
        <v/>
      </c>
      <c r="K121" s="111" t="str" cm="1">
        <f t="array" aca="1" ref="K121" ca="1">Common_InputFunctions.Utility_DisplayArrayInTable(Fertiliser_SourceData.Fertiliser_Products_Data2(),FertiliserProducts[[#Headers],[Include or Exclude]], 20)</f>
        <v/>
      </c>
      <c r="L121" s="111" t="str" cm="1">
        <f t="array" aca="1" ref="L121" ca="1">Common_InputFunctions.Utility_DisplayArrayInTable(Fertiliser_SourceData.Fertiliser_Products_Data2(),FertiliserProducts[[#Headers],[Include or Exclude]], 20)</f>
        <v/>
      </c>
      <c r="M121" s="111" t="str" cm="1">
        <f t="array" aca="1" ref="M121" ca="1">Common_InputFunctions.Utility_DisplayArrayInTable(Fertiliser_SourceData.Fertiliser_Products_Data2(),FertiliserProducts[[#Headers],[Include or Exclude]], 20)</f>
        <v/>
      </c>
      <c r="N121" s="111" t="str" cm="1">
        <f t="array" aca="1" ref="N121" ca="1">Common_InputFunctions.Utility_DisplayArrayInTable(Fertiliser_SourceData.Fertiliser_Products_Data2(),FertiliserProducts[[#Headers],[Include or Exclude]], 20)</f>
        <v/>
      </c>
      <c r="O121" s="111" t="str" cm="1">
        <f t="array" aca="1" ref="O121" ca="1">Common_InputFunctions.Utility_DisplayArrayInTable(Fertiliser_SourceData.Fertiliser_Products_Data2(),FertiliserProducts[[#Headers],[Include or Exclude]], 20)</f>
        <v/>
      </c>
      <c r="P121" s="111" t="str" cm="1">
        <f t="array" aca="1" ref="P121" ca="1">Common_InputFunctions.Utility_DisplayArrayInTable(Fertiliser_SourceData.Fertiliser_Products_Data2(),FertiliserProducts[[#Headers],[Include or Exclude]], 20)</f>
        <v/>
      </c>
      <c r="Q121" s="111" t="str" cm="1">
        <f t="array" aca="1" ref="Q121" ca="1">Common_InputFunctions.Utility_DisplayArrayInTable(Fertiliser_SourceData.Fertiliser_Products_Data2(),FertiliserProducts[[#Headers],[Include or Exclude]], 20)</f>
        <v/>
      </c>
      <c r="R121" s="111" t="str" cm="1">
        <f t="array" aca="1" ref="R121" ca="1">Common_InputFunctions.Utility_DisplayArrayInTable(Fertiliser_SourceData.Fertiliser_Products_Data2(),FertiliserProducts[[#Headers],[Include or Exclude]], 20)</f>
        <v/>
      </c>
      <c r="S121" s="111" t="str" cm="1">
        <f t="array" aca="1" ref="S121" ca="1">Common_InputFunctions.Utility_DisplayArrayInTable(Fertiliser_SourceData.Fertiliser_Products_Data2(),FertiliserProducts[[#Headers],[Include or Exclude]], 20)</f>
        <v/>
      </c>
      <c r="T121" s="111" t="str" cm="1">
        <f t="array" aca="1" ref="T121" ca="1">Common_InputFunctions.Utility_DisplayArrayInTable(Fertiliser_SourceData.Fertiliser_Products_Data2(),FertiliserProducts[[#Headers],[Include or Exclude]], 20)</f>
        <v/>
      </c>
      <c r="U121" s="111" t="str" cm="1">
        <f t="array" aca="1" ref="U121" ca="1">Common_InputFunctions.Utility_DisplayArrayInTable(Fertiliser_SourceData.Fertiliser_Products_Data2(),FertiliserProducts[[#Headers],[Include or Exclude]], 20)</f>
        <v/>
      </c>
      <c r="V121" s="111" t="str" cm="1">
        <f t="array" aca="1" ref="V121" ca="1">Common_InputFunctions.Utility_DisplayArrayInTable(Fertiliser_SourceData.Fertiliser_Products_Data2(),FertiliserProducts[[#Headers],[Include or Exclude]], 20)</f>
        <v/>
      </c>
      <c r="W121" s="111" t="str" cm="1">
        <f t="array" aca="1" ref="W121" ca="1">Common_InputFunctions.Utility_DisplayArrayInTable(Fertiliser_SourceData.Fertiliser_Products_Data2(),FertiliserProducts[[#Headers],[Include or Exclude]], 20)</f>
        <v/>
      </c>
      <c r="X121" s="111" t="str" cm="1">
        <f t="array" aca="1" ref="X121" ca="1">Common_InputFunctions.Utility_DisplayArrayInTable(Fertiliser_SourceData.Fertiliser_Products_Data2(),FertiliserProducts[[#Headers],[Include or Exclude]], 20)</f>
        <v/>
      </c>
      <c r="Y121" s="111" t="str" cm="1">
        <f t="array" aca="1" ref="Y121" ca="1">Common_InputFunctions.Utility_DisplayArrayInTable(Fertiliser_SourceData.Fertiliser_Products_Data2(),FertiliserProducts[[#Headers],[Include or Exclude]], 20)</f>
        <v/>
      </c>
      <c r="Z121" s="111" t="str" cm="1">
        <f t="array" aca="1" ref="Z121" ca="1">Common_InputFunctions.Utility_DisplayArrayInTable(Fertiliser_SourceData.Fertiliser_Products_Data2(),FertiliserProducts[[#Headers],[Include or Exclude]], 20)</f>
        <v/>
      </c>
      <c r="AA121" s="37" t="str" cm="1">
        <f t="array" aca="1" ref="AA121" ca="1">Common_InputFunctions.Utility_DisplayArrayInTable(Fertiliser_SourceData.Fertiliser_Products_Data2(),FertiliserProducts[[#Headers],[Include or Exclude]], 20)</f>
        <v/>
      </c>
      <c r="AB121" s="37" t="str" cm="1">
        <f t="array" aca="1" ref="AB121" ca="1">Common_InputFunctions.Utility_DisplayArrayInTable(Fertiliser_SourceData.Fertiliser_Products_Data2(),FertiliserProducts[[#Headers],[Include or Exclude]], 20)</f>
        <v/>
      </c>
      <c r="AC121" s="37" t="str" cm="1">
        <f t="array" aca="1" ref="AC121" ca="1">Common_InputFunctions.Utility_DisplayArrayInTable(Fertiliser_SourceData.Fertiliser_Products_Data2(),FertiliserProducts[[#Headers],[Include or Exclude]], 20)</f>
        <v/>
      </c>
      <c r="AD121" s="37" t="str" cm="1">
        <f t="array" aca="1" ref="AD121" ca="1">Common_InputFunctions.Utility_DisplayArrayInTable(Fertiliser_SourceData.Fertiliser_Products_Data2(),FertiliserProducts[[#Headers],[Include or Exclude]], 20)</f>
        <v/>
      </c>
      <c r="AE121" s="37" t="str" cm="1">
        <f t="array" aca="1" ref="AE121" ca="1">Common_InputFunctions.Utility_DisplayArrayInTable(Fertiliser_SourceData.Fertiliser_Products_Data2(),FertiliserProducts[[#Headers],[Include or Exclude]], 20)</f>
        <v/>
      </c>
    </row>
    <row r="122" spans="4:31" ht="20.100000000000001" customHeight="1" x14ac:dyDescent="0.25">
      <c r="D122" s="111" t="str" cm="1">
        <f t="array" aca="1" ref="D122" ca="1">Common_InputFunctions.Utility_DisplayArrayInTable(Fertiliser_SourceData.Fertiliser_Products_Data2(),FertiliserProducts[[#Headers],[Include or Exclude]], 20)</f>
        <v/>
      </c>
      <c r="E122" s="111" t="str" cm="1">
        <f t="array" aca="1" ref="E122" ca="1">Common_InputFunctions.Utility_DisplayArrayInTable(Fertiliser_SourceData.Fertiliser_Products_Data2(),FertiliserProducts[[#Headers],[Include or Exclude]], 20)</f>
        <v/>
      </c>
      <c r="F122" s="111" t="str" cm="1">
        <f t="array" aca="1" ref="F122" ca="1">Common_InputFunctions.Utility_DisplayArrayInTable(Fertiliser_SourceData.Fertiliser_Products_Data2(),FertiliserProducts[[#Headers],[Include or Exclude]], 20)</f>
        <v/>
      </c>
      <c r="G122" s="111" t="str" cm="1">
        <f t="array" aca="1" ref="G122" ca="1">Common_InputFunctions.Utility_DisplayArrayInTable(Fertiliser_SourceData.Fertiliser_Products_Data2(),FertiliserProducts[[#Headers],[Include or Exclude]], 20)</f>
        <v/>
      </c>
      <c r="H122" s="111" t="str" cm="1">
        <f t="array" aca="1" ref="H122" ca="1">Common_InputFunctions.Utility_DisplayArrayInTable(Fertiliser_SourceData.Fertiliser_Products_Data2(),FertiliserProducts[[#Headers],[Include or Exclude]], 20)</f>
        <v/>
      </c>
      <c r="I122" s="111" t="str" cm="1">
        <f t="array" aca="1" ref="I122" ca="1">Common_InputFunctions.Utility_DisplayArrayInTable(Fertiliser_SourceData.Fertiliser_Products_Data2(),FertiliserProducts[[#Headers],[Include or Exclude]], 20)</f>
        <v/>
      </c>
      <c r="J122" s="111" t="str" cm="1">
        <f t="array" aca="1" ref="J122" ca="1">Common_InputFunctions.Utility_DisplayArrayInTable(Fertiliser_SourceData.Fertiliser_Products_Data2(),FertiliserProducts[[#Headers],[Include or Exclude]], 20)</f>
        <v/>
      </c>
      <c r="K122" s="111" t="str" cm="1">
        <f t="array" aca="1" ref="K122" ca="1">Common_InputFunctions.Utility_DisplayArrayInTable(Fertiliser_SourceData.Fertiliser_Products_Data2(),FertiliserProducts[[#Headers],[Include or Exclude]], 20)</f>
        <v/>
      </c>
      <c r="L122" s="111" t="str" cm="1">
        <f t="array" aca="1" ref="L122" ca="1">Common_InputFunctions.Utility_DisplayArrayInTable(Fertiliser_SourceData.Fertiliser_Products_Data2(),FertiliserProducts[[#Headers],[Include or Exclude]], 20)</f>
        <v/>
      </c>
      <c r="M122" s="111" t="str" cm="1">
        <f t="array" aca="1" ref="M122" ca="1">Common_InputFunctions.Utility_DisplayArrayInTable(Fertiliser_SourceData.Fertiliser_Products_Data2(),FertiliserProducts[[#Headers],[Include or Exclude]], 20)</f>
        <v/>
      </c>
      <c r="N122" s="111" t="str" cm="1">
        <f t="array" aca="1" ref="N122" ca="1">Common_InputFunctions.Utility_DisplayArrayInTable(Fertiliser_SourceData.Fertiliser_Products_Data2(),FertiliserProducts[[#Headers],[Include or Exclude]], 20)</f>
        <v/>
      </c>
      <c r="O122" s="111" t="str" cm="1">
        <f t="array" aca="1" ref="O122" ca="1">Common_InputFunctions.Utility_DisplayArrayInTable(Fertiliser_SourceData.Fertiliser_Products_Data2(),FertiliserProducts[[#Headers],[Include or Exclude]], 20)</f>
        <v/>
      </c>
      <c r="P122" s="111" t="str" cm="1">
        <f t="array" aca="1" ref="P122" ca="1">Common_InputFunctions.Utility_DisplayArrayInTable(Fertiliser_SourceData.Fertiliser_Products_Data2(),FertiliserProducts[[#Headers],[Include or Exclude]], 20)</f>
        <v/>
      </c>
      <c r="Q122" s="111" t="str" cm="1">
        <f t="array" aca="1" ref="Q122" ca="1">Common_InputFunctions.Utility_DisplayArrayInTable(Fertiliser_SourceData.Fertiliser_Products_Data2(),FertiliserProducts[[#Headers],[Include or Exclude]], 20)</f>
        <v/>
      </c>
      <c r="R122" s="111" t="str" cm="1">
        <f t="array" aca="1" ref="R122" ca="1">Common_InputFunctions.Utility_DisplayArrayInTable(Fertiliser_SourceData.Fertiliser_Products_Data2(),FertiliserProducts[[#Headers],[Include or Exclude]], 20)</f>
        <v/>
      </c>
      <c r="S122" s="111" t="str" cm="1">
        <f t="array" aca="1" ref="S122" ca="1">Common_InputFunctions.Utility_DisplayArrayInTable(Fertiliser_SourceData.Fertiliser_Products_Data2(),FertiliserProducts[[#Headers],[Include or Exclude]], 20)</f>
        <v/>
      </c>
      <c r="T122" s="111" t="str" cm="1">
        <f t="array" aca="1" ref="T122" ca="1">Common_InputFunctions.Utility_DisplayArrayInTable(Fertiliser_SourceData.Fertiliser_Products_Data2(),FertiliserProducts[[#Headers],[Include or Exclude]], 20)</f>
        <v/>
      </c>
      <c r="U122" s="111" t="str" cm="1">
        <f t="array" aca="1" ref="U122" ca="1">Common_InputFunctions.Utility_DisplayArrayInTable(Fertiliser_SourceData.Fertiliser_Products_Data2(),FertiliserProducts[[#Headers],[Include or Exclude]], 20)</f>
        <v/>
      </c>
      <c r="V122" s="111" t="str" cm="1">
        <f t="array" aca="1" ref="V122" ca="1">Common_InputFunctions.Utility_DisplayArrayInTable(Fertiliser_SourceData.Fertiliser_Products_Data2(),FertiliserProducts[[#Headers],[Include or Exclude]], 20)</f>
        <v/>
      </c>
      <c r="W122" s="111" t="str" cm="1">
        <f t="array" aca="1" ref="W122" ca="1">Common_InputFunctions.Utility_DisplayArrayInTable(Fertiliser_SourceData.Fertiliser_Products_Data2(),FertiliserProducts[[#Headers],[Include or Exclude]], 20)</f>
        <v/>
      </c>
      <c r="X122" s="111" t="str" cm="1">
        <f t="array" aca="1" ref="X122" ca="1">Common_InputFunctions.Utility_DisplayArrayInTable(Fertiliser_SourceData.Fertiliser_Products_Data2(),FertiliserProducts[[#Headers],[Include or Exclude]], 20)</f>
        <v/>
      </c>
      <c r="Y122" s="111" t="str" cm="1">
        <f t="array" aca="1" ref="Y122" ca="1">Common_InputFunctions.Utility_DisplayArrayInTable(Fertiliser_SourceData.Fertiliser_Products_Data2(),FertiliserProducts[[#Headers],[Include or Exclude]], 20)</f>
        <v/>
      </c>
      <c r="Z122" s="111" t="str" cm="1">
        <f t="array" aca="1" ref="Z122" ca="1">Common_InputFunctions.Utility_DisplayArrayInTable(Fertiliser_SourceData.Fertiliser_Products_Data2(),FertiliserProducts[[#Headers],[Include or Exclude]], 20)</f>
        <v/>
      </c>
      <c r="AA122" s="37" t="str" cm="1">
        <f t="array" aca="1" ref="AA122" ca="1">Common_InputFunctions.Utility_DisplayArrayInTable(Fertiliser_SourceData.Fertiliser_Products_Data2(),FertiliserProducts[[#Headers],[Include or Exclude]], 20)</f>
        <v/>
      </c>
      <c r="AB122" s="37" t="str" cm="1">
        <f t="array" aca="1" ref="AB122" ca="1">Common_InputFunctions.Utility_DisplayArrayInTable(Fertiliser_SourceData.Fertiliser_Products_Data2(),FertiliserProducts[[#Headers],[Include or Exclude]], 20)</f>
        <v/>
      </c>
      <c r="AC122" s="37" t="str" cm="1">
        <f t="array" aca="1" ref="AC122" ca="1">Common_InputFunctions.Utility_DisplayArrayInTable(Fertiliser_SourceData.Fertiliser_Products_Data2(),FertiliserProducts[[#Headers],[Include or Exclude]], 20)</f>
        <v/>
      </c>
      <c r="AD122" s="37" t="str" cm="1">
        <f t="array" aca="1" ref="AD122" ca="1">Common_InputFunctions.Utility_DisplayArrayInTable(Fertiliser_SourceData.Fertiliser_Products_Data2(),FertiliserProducts[[#Headers],[Include or Exclude]], 20)</f>
        <v/>
      </c>
      <c r="AE122" s="37" t="str" cm="1">
        <f t="array" aca="1" ref="AE122" ca="1">Common_InputFunctions.Utility_DisplayArrayInTable(Fertiliser_SourceData.Fertiliser_Products_Data2(),FertiliserProducts[[#Headers],[Include or Exclude]], 20)</f>
        <v/>
      </c>
    </row>
    <row r="123" spans="4:31" ht="20.100000000000001" customHeight="1" x14ac:dyDescent="0.25">
      <c r="D123" s="111" t="str" cm="1">
        <f t="array" aca="1" ref="D123" ca="1">Common_InputFunctions.Utility_DisplayArrayInTable(Fertiliser_SourceData.Fertiliser_Products_Data2(),FertiliserProducts[[#Headers],[Include or Exclude]], 20)</f>
        <v/>
      </c>
      <c r="E123" s="111" t="str" cm="1">
        <f t="array" aca="1" ref="E123" ca="1">Common_InputFunctions.Utility_DisplayArrayInTable(Fertiliser_SourceData.Fertiliser_Products_Data2(),FertiliserProducts[[#Headers],[Include or Exclude]], 20)</f>
        <v/>
      </c>
      <c r="F123" s="111" t="str" cm="1">
        <f t="array" aca="1" ref="F123" ca="1">Common_InputFunctions.Utility_DisplayArrayInTable(Fertiliser_SourceData.Fertiliser_Products_Data2(),FertiliserProducts[[#Headers],[Include or Exclude]], 20)</f>
        <v/>
      </c>
      <c r="G123" s="111" t="str" cm="1">
        <f t="array" aca="1" ref="G123" ca="1">Common_InputFunctions.Utility_DisplayArrayInTable(Fertiliser_SourceData.Fertiliser_Products_Data2(),FertiliserProducts[[#Headers],[Include or Exclude]], 20)</f>
        <v/>
      </c>
      <c r="H123" s="111" t="str" cm="1">
        <f t="array" aca="1" ref="H123" ca="1">Common_InputFunctions.Utility_DisplayArrayInTable(Fertiliser_SourceData.Fertiliser_Products_Data2(),FertiliserProducts[[#Headers],[Include or Exclude]], 20)</f>
        <v/>
      </c>
      <c r="I123" s="111" t="str" cm="1">
        <f t="array" aca="1" ref="I123" ca="1">Common_InputFunctions.Utility_DisplayArrayInTable(Fertiliser_SourceData.Fertiliser_Products_Data2(),FertiliserProducts[[#Headers],[Include or Exclude]], 20)</f>
        <v/>
      </c>
      <c r="J123" s="111" t="str" cm="1">
        <f t="array" aca="1" ref="J123" ca="1">Common_InputFunctions.Utility_DisplayArrayInTable(Fertiliser_SourceData.Fertiliser_Products_Data2(),FertiliserProducts[[#Headers],[Include or Exclude]], 20)</f>
        <v/>
      </c>
      <c r="K123" s="111" t="str" cm="1">
        <f t="array" aca="1" ref="K123" ca="1">Common_InputFunctions.Utility_DisplayArrayInTable(Fertiliser_SourceData.Fertiliser_Products_Data2(),FertiliserProducts[[#Headers],[Include or Exclude]], 20)</f>
        <v/>
      </c>
      <c r="L123" s="111" t="str" cm="1">
        <f t="array" aca="1" ref="L123" ca="1">Common_InputFunctions.Utility_DisplayArrayInTable(Fertiliser_SourceData.Fertiliser_Products_Data2(),FertiliserProducts[[#Headers],[Include or Exclude]], 20)</f>
        <v/>
      </c>
      <c r="M123" s="111" t="str" cm="1">
        <f t="array" aca="1" ref="M123" ca="1">Common_InputFunctions.Utility_DisplayArrayInTable(Fertiliser_SourceData.Fertiliser_Products_Data2(),FertiliserProducts[[#Headers],[Include or Exclude]], 20)</f>
        <v/>
      </c>
      <c r="N123" s="111" t="str" cm="1">
        <f t="array" aca="1" ref="N123" ca="1">Common_InputFunctions.Utility_DisplayArrayInTable(Fertiliser_SourceData.Fertiliser_Products_Data2(),FertiliserProducts[[#Headers],[Include or Exclude]], 20)</f>
        <v/>
      </c>
      <c r="O123" s="111" t="str" cm="1">
        <f t="array" aca="1" ref="O123" ca="1">Common_InputFunctions.Utility_DisplayArrayInTable(Fertiliser_SourceData.Fertiliser_Products_Data2(),FertiliserProducts[[#Headers],[Include or Exclude]], 20)</f>
        <v/>
      </c>
      <c r="P123" s="111" t="str" cm="1">
        <f t="array" aca="1" ref="P123" ca="1">Common_InputFunctions.Utility_DisplayArrayInTable(Fertiliser_SourceData.Fertiliser_Products_Data2(),FertiliserProducts[[#Headers],[Include or Exclude]], 20)</f>
        <v/>
      </c>
      <c r="Q123" s="111" t="str" cm="1">
        <f t="array" aca="1" ref="Q123" ca="1">Common_InputFunctions.Utility_DisplayArrayInTable(Fertiliser_SourceData.Fertiliser_Products_Data2(),FertiliserProducts[[#Headers],[Include or Exclude]], 20)</f>
        <v/>
      </c>
      <c r="R123" s="111" t="str" cm="1">
        <f t="array" aca="1" ref="R123" ca="1">Common_InputFunctions.Utility_DisplayArrayInTable(Fertiliser_SourceData.Fertiliser_Products_Data2(),FertiliserProducts[[#Headers],[Include or Exclude]], 20)</f>
        <v/>
      </c>
      <c r="S123" s="111" t="str" cm="1">
        <f t="array" aca="1" ref="S123" ca="1">Common_InputFunctions.Utility_DisplayArrayInTable(Fertiliser_SourceData.Fertiliser_Products_Data2(),FertiliserProducts[[#Headers],[Include or Exclude]], 20)</f>
        <v/>
      </c>
      <c r="T123" s="111" t="str" cm="1">
        <f t="array" aca="1" ref="T123" ca="1">Common_InputFunctions.Utility_DisplayArrayInTable(Fertiliser_SourceData.Fertiliser_Products_Data2(),FertiliserProducts[[#Headers],[Include or Exclude]], 20)</f>
        <v/>
      </c>
      <c r="U123" s="111" t="str" cm="1">
        <f t="array" aca="1" ref="U123" ca="1">Common_InputFunctions.Utility_DisplayArrayInTable(Fertiliser_SourceData.Fertiliser_Products_Data2(),FertiliserProducts[[#Headers],[Include or Exclude]], 20)</f>
        <v/>
      </c>
      <c r="V123" s="111" t="str" cm="1">
        <f t="array" aca="1" ref="V123" ca="1">Common_InputFunctions.Utility_DisplayArrayInTable(Fertiliser_SourceData.Fertiliser_Products_Data2(),FertiliserProducts[[#Headers],[Include or Exclude]], 20)</f>
        <v/>
      </c>
      <c r="W123" s="111" t="str" cm="1">
        <f t="array" aca="1" ref="W123" ca="1">Common_InputFunctions.Utility_DisplayArrayInTable(Fertiliser_SourceData.Fertiliser_Products_Data2(),FertiliserProducts[[#Headers],[Include or Exclude]], 20)</f>
        <v/>
      </c>
      <c r="X123" s="111" t="str" cm="1">
        <f t="array" aca="1" ref="X123" ca="1">Common_InputFunctions.Utility_DisplayArrayInTable(Fertiliser_SourceData.Fertiliser_Products_Data2(),FertiliserProducts[[#Headers],[Include or Exclude]], 20)</f>
        <v/>
      </c>
      <c r="Y123" s="111" t="str" cm="1">
        <f t="array" aca="1" ref="Y123" ca="1">Common_InputFunctions.Utility_DisplayArrayInTable(Fertiliser_SourceData.Fertiliser_Products_Data2(),FertiliserProducts[[#Headers],[Include or Exclude]], 20)</f>
        <v/>
      </c>
      <c r="Z123" s="111" t="str" cm="1">
        <f t="array" aca="1" ref="Z123" ca="1">Common_InputFunctions.Utility_DisplayArrayInTable(Fertiliser_SourceData.Fertiliser_Products_Data2(),FertiliserProducts[[#Headers],[Include or Exclude]], 20)</f>
        <v/>
      </c>
      <c r="AA123" s="37" t="str" cm="1">
        <f t="array" aca="1" ref="AA123" ca="1">Common_InputFunctions.Utility_DisplayArrayInTable(Fertiliser_SourceData.Fertiliser_Products_Data2(),FertiliserProducts[[#Headers],[Include or Exclude]], 20)</f>
        <v/>
      </c>
      <c r="AB123" s="37" t="str" cm="1">
        <f t="array" aca="1" ref="AB123" ca="1">Common_InputFunctions.Utility_DisplayArrayInTable(Fertiliser_SourceData.Fertiliser_Products_Data2(),FertiliserProducts[[#Headers],[Include or Exclude]], 20)</f>
        <v/>
      </c>
      <c r="AC123" s="37" t="str" cm="1">
        <f t="array" aca="1" ref="AC123" ca="1">Common_InputFunctions.Utility_DisplayArrayInTable(Fertiliser_SourceData.Fertiliser_Products_Data2(),FertiliserProducts[[#Headers],[Include or Exclude]], 20)</f>
        <v/>
      </c>
      <c r="AD123" s="37" t="str" cm="1">
        <f t="array" aca="1" ref="AD123" ca="1">Common_InputFunctions.Utility_DisplayArrayInTable(Fertiliser_SourceData.Fertiliser_Products_Data2(),FertiliserProducts[[#Headers],[Include or Exclude]], 20)</f>
        <v/>
      </c>
      <c r="AE123" s="37" t="str" cm="1">
        <f t="array" aca="1" ref="AE123" ca="1">Common_InputFunctions.Utility_DisplayArrayInTable(Fertiliser_SourceData.Fertiliser_Products_Data2(),FertiliserProducts[[#Headers],[Include or Exclude]], 20)</f>
        <v/>
      </c>
    </row>
    <row r="124" spans="4:31" ht="20.100000000000001" customHeight="1" x14ac:dyDescent="0.25">
      <c r="D124" s="111" t="str" cm="1">
        <f t="array" aca="1" ref="D124" ca="1">Common_InputFunctions.Utility_DisplayArrayInTable(Fertiliser_SourceData.Fertiliser_Products_Data2(),FertiliserProducts[[#Headers],[Include or Exclude]], 20)</f>
        <v/>
      </c>
      <c r="E124" s="111" t="str" cm="1">
        <f t="array" aca="1" ref="E124" ca="1">Common_InputFunctions.Utility_DisplayArrayInTable(Fertiliser_SourceData.Fertiliser_Products_Data2(),FertiliserProducts[[#Headers],[Include or Exclude]], 20)</f>
        <v/>
      </c>
      <c r="F124" s="111" t="str" cm="1">
        <f t="array" aca="1" ref="F124" ca="1">Common_InputFunctions.Utility_DisplayArrayInTable(Fertiliser_SourceData.Fertiliser_Products_Data2(),FertiliserProducts[[#Headers],[Include or Exclude]], 20)</f>
        <v/>
      </c>
      <c r="G124" s="111" t="str" cm="1">
        <f t="array" aca="1" ref="G124" ca="1">Common_InputFunctions.Utility_DisplayArrayInTable(Fertiliser_SourceData.Fertiliser_Products_Data2(),FertiliserProducts[[#Headers],[Include or Exclude]], 20)</f>
        <v/>
      </c>
      <c r="H124" s="111" t="str" cm="1">
        <f t="array" aca="1" ref="H124" ca="1">Common_InputFunctions.Utility_DisplayArrayInTable(Fertiliser_SourceData.Fertiliser_Products_Data2(),FertiliserProducts[[#Headers],[Include or Exclude]], 20)</f>
        <v/>
      </c>
      <c r="I124" s="111" t="str" cm="1">
        <f t="array" aca="1" ref="I124" ca="1">Common_InputFunctions.Utility_DisplayArrayInTable(Fertiliser_SourceData.Fertiliser_Products_Data2(),FertiliserProducts[[#Headers],[Include or Exclude]], 20)</f>
        <v/>
      </c>
      <c r="J124" s="111" t="str" cm="1">
        <f t="array" aca="1" ref="J124" ca="1">Common_InputFunctions.Utility_DisplayArrayInTable(Fertiliser_SourceData.Fertiliser_Products_Data2(),FertiliserProducts[[#Headers],[Include or Exclude]], 20)</f>
        <v/>
      </c>
      <c r="K124" s="111" t="str" cm="1">
        <f t="array" aca="1" ref="K124" ca="1">Common_InputFunctions.Utility_DisplayArrayInTable(Fertiliser_SourceData.Fertiliser_Products_Data2(),FertiliserProducts[[#Headers],[Include or Exclude]], 20)</f>
        <v/>
      </c>
      <c r="L124" s="111" t="str" cm="1">
        <f t="array" aca="1" ref="L124" ca="1">Common_InputFunctions.Utility_DisplayArrayInTable(Fertiliser_SourceData.Fertiliser_Products_Data2(),FertiliserProducts[[#Headers],[Include or Exclude]], 20)</f>
        <v/>
      </c>
      <c r="M124" s="111" t="str" cm="1">
        <f t="array" aca="1" ref="M124" ca="1">Common_InputFunctions.Utility_DisplayArrayInTable(Fertiliser_SourceData.Fertiliser_Products_Data2(),FertiliserProducts[[#Headers],[Include or Exclude]], 20)</f>
        <v/>
      </c>
      <c r="N124" s="111" t="str" cm="1">
        <f t="array" aca="1" ref="N124" ca="1">Common_InputFunctions.Utility_DisplayArrayInTable(Fertiliser_SourceData.Fertiliser_Products_Data2(),FertiliserProducts[[#Headers],[Include or Exclude]], 20)</f>
        <v/>
      </c>
      <c r="O124" s="111" t="str" cm="1">
        <f t="array" aca="1" ref="O124" ca="1">Common_InputFunctions.Utility_DisplayArrayInTable(Fertiliser_SourceData.Fertiliser_Products_Data2(),FertiliserProducts[[#Headers],[Include or Exclude]], 20)</f>
        <v/>
      </c>
      <c r="P124" s="111" t="str" cm="1">
        <f t="array" aca="1" ref="P124" ca="1">Common_InputFunctions.Utility_DisplayArrayInTable(Fertiliser_SourceData.Fertiliser_Products_Data2(),FertiliserProducts[[#Headers],[Include or Exclude]], 20)</f>
        <v/>
      </c>
      <c r="Q124" s="111" t="str" cm="1">
        <f t="array" aca="1" ref="Q124" ca="1">Common_InputFunctions.Utility_DisplayArrayInTable(Fertiliser_SourceData.Fertiliser_Products_Data2(),FertiliserProducts[[#Headers],[Include or Exclude]], 20)</f>
        <v/>
      </c>
      <c r="R124" s="111" t="str" cm="1">
        <f t="array" aca="1" ref="R124" ca="1">Common_InputFunctions.Utility_DisplayArrayInTable(Fertiliser_SourceData.Fertiliser_Products_Data2(),FertiliserProducts[[#Headers],[Include or Exclude]], 20)</f>
        <v/>
      </c>
      <c r="S124" s="111" t="str" cm="1">
        <f t="array" aca="1" ref="S124" ca="1">Common_InputFunctions.Utility_DisplayArrayInTable(Fertiliser_SourceData.Fertiliser_Products_Data2(),FertiliserProducts[[#Headers],[Include or Exclude]], 20)</f>
        <v/>
      </c>
      <c r="T124" s="111" t="str" cm="1">
        <f t="array" aca="1" ref="T124" ca="1">Common_InputFunctions.Utility_DisplayArrayInTable(Fertiliser_SourceData.Fertiliser_Products_Data2(),FertiliserProducts[[#Headers],[Include or Exclude]], 20)</f>
        <v/>
      </c>
      <c r="U124" s="111" t="str" cm="1">
        <f t="array" aca="1" ref="U124" ca="1">Common_InputFunctions.Utility_DisplayArrayInTable(Fertiliser_SourceData.Fertiliser_Products_Data2(),FertiliserProducts[[#Headers],[Include or Exclude]], 20)</f>
        <v/>
      </c>
      <c r="V124" s="111" t="str" cm="1">
        <f t="array" aca="1" ref="V124" ca="1">Common_InputFunctions.Utility_DisplayArrayInTable(Fertiliser_SourceData.Fertiliser_Products_Data2(),FertiliserProducts[[#Headers],[Include or Exclude]], 20)</f>
        <v/>
      </c>
      <c r="W124" s="111" t="str" cm="1">
        <f t="array" aca="1" ref="W124" ca="1">Common_InputFunctions.Utility_DisplayArrayInTable(Fertiliser_SourceData.Fertiliser_Products_Data2(),FertiliserProducts[[#Headers],[Include or Exclude]], 20)</f>
        <v/>
      </c>
      <c r="X124" s="111" t="str" cm="1">
        <f t="array" aca="1" ref="X124" ca="1">Common_InputFunctions.Utility_DisplayArrayInTable(Fertiliser_SourceData.Fertiliser_Products_Data2(),FertiliserProducts[[#Headers],[Include or Exclude]], 20)</f>
        <v/>
      </c>
      <c r="Y124" s="111" t="str" cm="1">
        <f t="array" aca="1" ref="Y124" ca="1">Common_InputFunctions.Utility_DisplayArrayInTable(Fertiliser_SourceData.Fertiliser_Products_Data2(),FertiliserProducts[[#Headers],[Include or Exclude]], 20)</f>
        <v/>
      </c>
      <c r="Z124" s="111" t="str" cm="1">
        <f t="array" aca="1" ref="Z124" ca="1">Common_InputFunctions.Utility_DisplayArrayInTable(Fertiliser_SourceData.Fertiliser_Products_Data2(),FertiliserProducts[[#Headers],[Include or Exclude]], 20)</f>
        <v/>
      </c>
      <c r="AA124" s="37" t="str" cm="1">
        <f t="array" aca="1" ref="AA124" ca="1">Common_InputFunctions.Utility_DisplayArrayInTable(Fertiliser_SourceData.Fertiliser_Products_Data2(),FertiliserProducts[[#Headers],[Include or Exclude]], 20)</f>
        <v/>
      </c>
      <c r="AB124" s="37" t="str" cm="1">
        <f t="array" aca="1" ref="AB124" ca="1">Common_InputFunctions.Utility_DisplayArrayInTable(Fertiliser_SourceData.Fertiliser_Products_Data2(),FertiliserProducts[[#Headers],[Include or Exclude]], 20)</f>
        <v/>
      </c>
      <c r="AC124" s="37" t="str" cm="1">
        <f t="array" aca="1" ref="AC124" ca="1">Common_InputFunctions.Utility_DisplayArrayInTable(Fertiliser_SourceData.Fertiliser_Products_Data2(),FertiliserProducts[[#Headers],[Include or Exclude]], 20)</f>
        <v/>
      </c>
      <c r="AD124" s="37" t="str" cm="1">
        <f t="array" aca="1" ref="AD124" ca="1">Common_InputFunctions.Utility_DisplayArrayInTable(Fertiliser_SourceData.Fertiliser_Products_Data2(),FertiliserProducts[[#Headers],[Include or Exclude]], 20)</f>
        <v/>
      </c>
      <c r="AE124" s="37" t="str" cm="1">
        <f t="array" aca="1" ref="AE124" ca="1">Common_InputFunctions.Utility_DisplayArrayInTable(Fertiliser_SourceData.Fertiliser_Products_Data2(),FertiliserProducts[[#Headers],[Include or Exclude]], 20)</f>
        <v/>
      </c>
    </row>
    <row r="125" spans="4:31" ht="20.100000000000001" customHeight="1" x14ac:dyDescent="0.25">
      <c r="D125" s="111" t="str" cm="1">
        <f t="array" aca="1" ref="D125" ca="1">Common_InputFunctions.Utility_DisplayArrayInTable(Fertiliser_SourceData.Fertiliser_Products_Data2(),FertiliserProducts[[#Headers],[Include or Exclude]], 20)</f>
        <v/>
      </c>
      <c r="E125" s="111" t="str" cm="1">
        <f t="array" aca="1" ref="E125" ca="1">Common_InputFunctions.Utility_DisplayArrayInTable(Fertiliser_SourceData.Fertiliser_Products_Data2(),FertiliserProducts[[#Headers],[Include or Exclude]], 20)</f>
        <v/>
      </c>
      <c r="F125" s="111" t="str" cm="1">
        <f t="array" aca="1" ref="F125" ca="1">Common_InputFunctions.Utility_DisplayArrayInTable(Fertiliser_SourceData.Fertiliser_Products_Data2(),FertiliserProducts[[#Headers],[Include or Exclude]], 20)</f>
        <v/>
      </c>
      <c r="G125" s="111" t="str" cm="1">
        <f t="array" aca="1" ref="G125" ca="1">Common_InputFunctions.Utility_DisplayArrayInTable(Fertiliser_SourceData.Fertiliser_Products_Data2(),FertiliserProducts[[#Headers],[Include or Exclude]], 20)</f>
        <v/>
      </c>
      <c r="H125" s="111" t="str" cm="1">
        <f t="array" aca="1" ref="H125" ca="1">Common_InputFunctions.Utility_DisplayArrayInTable(Fertiliser_SourceData.Fertiliser_Products_Data2(),FertiliserProducts[[#Headers],[Include or Exclude]], 20)</f>
        <v/>
      </c>
      <c r="I125" s="111" t="str" cm="1">
        <f t="array" aca="1" ref="I125" ca="1">Common_InputFunctions.Utility_DisplayArrayInTable(Fertiliser_SourceData.Fertiliser_Products_Data2(),FertiliserProducts[[#Headers],[Include or Exclude]], 20)</f>
        <v/>
      </c>
      <c r="J125" s="111" t="str" cm="1">
        <f t="array" aca="1" ref="J125" ca="1">Common_InputFunctions.Utility_DisplayArrayInTable(Fertiliser_SourceData.Fertiliser_Products_Data2(),FertiliserProducts[[#Headers],[Include or Exclude]], 20)</f>
        <v/>
      </c>
      <c r="K125" s="111" t="str" cm="1">
        <f t="array" aca="1" ref="K125" ca="1">Common_InputFunctions.Utility_DisplayArrayInTable(Fertiliser_SourceData.Fertiliser_Products_Data2(),FertiliserProducts[[#Headers],[Include or Exclude]], 20)</f>
        <v/>
      </c>
      <c r="L125" s="111" t="str" cm="1">
        <f t="array" aca="1" ref="L125" ca="1">Common_InputFunctions.Utility_DisplayArrayInTable(Fertiliser_SourceData.Fertiliser_Products_Data2(),FertiliserProducts[[#Headers],[Include or Exclude]], 20)</f>
        <v/>
      </c>
      <c r="M125" s="111" t="str" cm="1">
        <f t="array" aca="1" ref="M125" ca="1">Common_InputFunctions.Utility_DisplayArrayInTable(Fertiliser_SourceData.Fertiliser_Products_Data2(),FertiliserProducts[[#Headers],[Include or Exclude]], 20)</f>
        <v/>
      </c>
      <c r="N125" s="111" t="str" cm="1">
        <f t="array" aca="1" ref="N125" ca="1">Common_InputFunctions.Utility_DisplayArrayInTable(Fertiliser_SourceData.Fertiliser_Products_Data2(),FertiliserProducts[[#Headers],[Include or Exclude]], 20)</f>
        <v/>
      </c>
      <c r="O125" s="111" t="str" cm="1">
        <f t="array" aca="1" ref="O125" ca="1">Common_InputFunctions.Utility_DisplayArrayInTable(Fertiliser_SourceData.Fertiliser_Products_Data2(),FertiliserProducts[[#Headers],[Include or Exclude]], 20)</f>
        <v/>
      </c>
      <c r="P125" s="111" t="str" cm="1">
        <f t="array" aca="1" ref="P125" ca="1">Common_InputFunctions.Utility_DisplayArrayInTable(Fertiliser_SourceData.Fertiliser_Products_Data2(),FertiliserProducts[[#Headers],[Include or Exclude]], 20)</f>
        <v/>
      </c>
      <c r="Q125" s="111" t="str" cm="1">
        <f t="array" aca="1" ref="Q125" ca="1">Common_InputFunctions.Utility_DisplayArrayInTable(Fertiliser_SourceData.Fertiliser_Products_Data2(),FertiliserProducts[[#Headers],[Include or Exclude]], 20)</f>
        <v/>
      </c>
      <c r="R125" s="111" t="str" cm="1">
        <f t="array" aca="1" ref="R125" ca="1">Common_InputFunctions.Utility_DisplayArrayInTable(Fertiliser_SourceData.Fertiliser_Products_Data2(),FertiliserProducts[[#Headers],[Include or Exclude]], 20)</f>
        <v/>
      </c>
      <c r="S125" s="111" t="str" cm="1">
        <f t="array" aca="1" ref="S125" ca="1">Common_InputFunctions.Utility_DisplayArrayInTable(Fertiliser_SourceData.Fertiliser_Products_Data2(),FertiliserProducts[[#Headers],[Include or Exclude]], 20)</f>
        <v/>
      </c>
      <c r="T125" s="111" t="str" cm="1">
        <f t="array" aca="1" ref="T125" ca="1">Common_InputFunctions.Utility_DisplayArrayInTable(Fertiliser_SourceData.Fertiliser_Products_Data2(),FertiliserProducts[[#Headers],[Include or Exclude]], 20)</f>
        <v/>
      </c>
      <c r="U125" s="111" t="str" cm="1">
        <f t="array" aca="1" ref="U125" ca="1">Common_InputFunctions.Utility_DisplayArrayInTable(Fertiliser_SourceData.Fertiliser_Products_Data2(),FertiliserProducts[[#Headers],[Include or Exclude]], 20)</f>
        <v/>
      </c>
      <c r="V125" s="111" t="str" cm="1">
        <f t="array" aca="1" ref="V125" ca="1">Common_InputFunctions.Utility_DisplayArrayInTable(Fertiliser_SourceData.Fertiliser_Products_Data2(),FertiliserProducts[[#Headers],[Include or Exclude]], 20)</f>
        <v/>
      </c>
      <c r="W125" s="111" t="str" cm="1">
        <f t="array" aca="1" ref="W125" ca="1">Common_InputFunctions.Utility_DisplayArrayInTable(Fertiliser_SourceData.Fertiliser_Products_Data2(),FertiliserProducts[[#Headers],[Include or Exclude]], 20)</f>
        <v/>
      </c>
      <c r="X125" s="111" t="str" cm="1">
        <f t="array" aca="1" ref="X125" ca="1">Common_InputFunctions.Utility_DisplayArrayInTable(Fertiliser_SourceData.Fertiliser_Products_Data2(),FertiliserProducts[[#Headers],[Include or Exclude]], 20)</f>
        <v/>
      </c>
      <c r="Y125" s="111" t="str" cm="1">
        <f t="array" aca="1" ref="Y125" ca="1">Common_InputFunctions.Utility_DisplayArrayInTable(Fertiliser_SourceData.Fertiliser_Products_Data2(),FertiliserProducts[[#Headers],[Include or Exclude]], 20)</f>
        <v/>
      </c>
      <c r="Z125" s="111" t="str" cm="1">
        <f t="array" aca="1" ref="Z125" ca="1">Common_InputFunctions.Utility_DisplayArrayInTable(Fertiliser_SourceData.Fertiliser_Products_Data2(),FertiliserProducts[[#Headers],[Include or Exclude]], 20)</f>
        <v/>
      </c>
      <c r="AA125" s="37" t="str" cm="1">
        <f t="array" aca="1" ref="AA125" ca="1">Common_InputFunctions.Utility_DisplayArrayInTable(Fertiliser_SourceData.Fertiliser_Products_Data2(),FertiliserProducts[[#Headers],[Include or Exclude]], 20)</f>
        <v/>
      </c>
      <c r="AB125" s="37" t="str" cm="1">
        <f t="array" aca="1" ref="AB125" ca="1">Common_InputFunctions.Utility_DisplayArrayInTable(Fertiliser_SourceData.Fertiliser_Products_Data2(),FertiliserProducts[[#Headers],[Include or Exclude]], 20)</f>
        <v/>
      </c>
      <c r="AC125" s="37" t="str" cm="1">
        <f t="array" aca="1" ref="AC125" ca="1">Common_InputFunctions.Utility_DisplayArrayInTable(Fertiliser_SourceData.Fertiliser_Products_Data2(),FertiliserProducts[[#Headers],[Include or Exclude]], 20)</f>
        <v/>
      </c>
      <c r="AD125" s="37" t="str" cm="1">
        <f t="array" aca="1" ref="AD125" ca="1">Common_InputFunctions.Utility_DisplayArrayInTable(Fertiliser_SourceData.Fertiliser_Products_Data2(),FertiliserProducts[[#Headers],[Include or Exclude]], 20)</f>
        <v/>
      </c>
      <c r="AE125" s="37" t="str" cm="1">
        <f t="array" aca="1" ref="AE125" ca="1">Common_InputFunctions.Utility_DisplayArrayInTable(Fertiliser_SourceData.Fertiliser_Products_Data2(),FertiliserProducts[[#Headers],[Include or Exclude]], 20)</f>
        <v/>
      </c>
    </row>
    <row r="126" spans="4:31" ht="20.100000000000001" customHeight="1" x14ac:dyDescent="0.25">
      <c r="D126" s="111" t="str" cm="1">
        <f t="array" aca="1" ref="D126" ca="1">Common_InputFunctions.Utility_DisplayArrayInTable(Fertiliser_SourceData.Fertiliser_Products_Data2(),FertiliserProducts[[#Headers],[Include or Exclude]], 20)</f>
        <v/>
      </c>
      <c r="E126" s="111" t="str" cm="1">
        <f t="array" aca="1" ref="E126" ca="1">Common_InputFunctions.Utility_DisplayArrayInTable(Fertiliser_SourceData.Fertiliser_Products_Data2(),FertiliserProducts[[#Headers],[Include or Exclude]], 20)</f>
        <v/>
      </c>
      <c r="F126" s="111" t="str" cm="1">
        <f t="array" aca="1" ref="F126" ca="1">Common_InputFunctions.Utility_DisplayArrayInTable(Fertiliser_SourceData.Fertiliser_Products_Data2(),FertiliserProducts[[#Headers],[Include or Exclude]], 20)</f>
        <v/>
      </c>
      <c r="G126" s="111" t="str" cm="1">
        <f t="array" aca="1" ref="G126" ca="1">Common_InputFunctions.Utility_DisplayArrayInTable(Fertiliser_SourceData.Fertiliser_Products_Data2(),FertiliserProducts[[#Headers],[Include or Exclude]], 20)</f>
        <v/>
      </c>
      <c r="H126" s="111" t="str" cm="1">
        <f t="array" aca="1" ref="H126" ca="1">Common_InputFunctions.Utility_DisplayArrayInTable(Fertiliser_SourceData.Fertiliser_Products_Data2(),FertiliserProducts[[#Headers],[Include or Exclude]], 20)</f>
        <v/>
      </c>
      <c r="I126" s="111" t="str" cm="1">
        <f t="array" aca="1" ref="I126" ca="1">Common_InputFunctions.Utility_DisplayArrayInTable(Fertiliser_SourceData.Fertiliser_Products_Data2(),FertiliserProducts[[#Headers],[Include or Exclude]], 20)</f>
        <v/>
      </c>
      <c r="J126" s="111" t="str" cm="1">
        <f t="array" aca="1" ref="J126" ca="1">Common_InputFunctions.Utility_DisplayArrayInTable(Fertiliser_SourceData.Fertiliser_Products_Data2(),FertiliserProducts[[#Headers],[Include or Exclude]], 20)</f>
        <v/>
      </c>
      <c r="K126" s="111" t="str" cm="1">
        <f t="array" aca="1" ref="K126" ca="1">Common_InputFunctions.Utility_DisplayArrayInTable(Fertiliser_SourceData.Fertiliser_Products_Data2(),FertiliserProducts[[#Headers],[Include or Exclude]], 20)</f>
        <v/>
      </c>
      <c r="L126" s="111" t="str" cm="1">
        <f t="array" aca="1" ref="L126" ca="1">Common_InputFunctions.Utility_DisplayArrayInTable(Fertiliser_SourceData.Fertiliser_Products_Data2(),FertiliserProducts[[#Headers],[Include or Exclude]], 20)</f>
        <v/>
      </c>
      <c r="M126" s="111" t="str" cm="1">
        <f t="array" aca="1" ref="M126" ca="1">Common_InputFunctions.Utility_DisplayArrayInTable(Fertiliser_SourceData.Fertiliser_Products_Data2(),FertiliserProducts[[#Headers],[Include or Exclude]], 20)</f>
        <v/>
      </c>
      <c r="N126" s="111" t="str" cm="1">
        <f t="array" aca="1" ref="N126" ca="1">Common_InputFunctions.Utility_DisplayArrayInTable(Fertiliser_SourceData.Fertiliser_Products_Data2(),FertiliserProducts[[#Headers],[Include or Exclude]], 20)</f>
        <v/>
      </c>
      <c r="O126" s="111" t="str" cm="1">
        <f t="array" aca="1" ref="O126" ca="1">Common_InputFunctions.Utility_DisplayArrayInTable(Fertiliser_SourceData.Fertiliser_Products_Data2(),FertiliserProducts[[#Headers],[Include or Exclude]], 20)</f>
        <v/>
      </c>
      <c r="P126" s="111" t="str" cm="1">
        <f t="array" aca="1" ref="P126" ca="1">Common_InputFunctions.Utility_DisplayArrayInTable(Fertiliser_SourceData.Fertiliser_Products_Data2(),FertiliserProducts[[#Headers],[Include or Exclude]], 20)</f>
        <v/>
      </c>
      <c r="Q126" s="111" t="str" cm="1">
        <f t="array" aca="1" ref="Q126" ca="1">Common_InputFunctions.Utility_DisplayArrayInTable(Fertiliser_SourceData.Fertiliser_Products_Data2(),FertiliserProducts[[#Headers],[Include or Exclude]], 20)</f>
        <v/>
      </c>
      <c r="R126" s="111" t="str" cm="1">
        <f t="array" aca="1" ref="R126" ca="1">Common_InputFunctions.Utility_DisplayArrayInTable(Fertiliser_SourceData.Fertiliser_Products_Data2(),FertiliserProducts[[#Headers],[Include or Exclude]], 20)</f>
        <v/>
      </c>
      <c r="S126" s="111" t="str" cm="1">
        <f t="array" aca="1" ref="S126" ca="1">Common_InputFunctions.Utility_DisplayArrayInTable(Fertiliser_SourceData.Fertiliser_Products_Data2(),FertiliserProducts[[#Headers],[Include or Exclude]], 20)</f>
        <v/>
      </c>
      <c r="T126" s="111" t="str" cm="1">
        <f t="array" aca="1" ref="T126" ca="1">Common_InputFunctions.Utility_DisplayArrayInTable(Fertiliser_SourceData.Fertiliser_Products_Data2(),FertiliserProducts[[#Headers],[Include or Exclude]], 20)</f>
        <v/>
      </c>
      <c r="U126" s="111" t="str" cm="1">
        <f t="array" aca="1" ref="U126" ca="1">Common_InputFunctions.Utility_DisplayArrayInTable(Fertiliser_SourceData.Fertiliser_Products_Data2(),FertiliserProducts[[#Headers],[Include or Exclude]], 20)</f>
        <v/>
      </c>
      <c r="V126" s="111" t="str" cm="1">
        <f t="array" aca="1" ref="V126" ca="1">Common_InputFunctions.Utility_DisplayArrayInTable(Fertiliser_SourceData.Fertiliser_Products_Data2(),FertiliserProducts[[#Headers],[Include or Exclude]], 20)</f>
        <v/>
      </c>
      <c r="W126" s="111" t="str" cm="1">
        <f t="array" aca="1" ref="W126" ca="1">Common_InputFunctions.Utility_DisplayArrayInTable(Fertiliser_SourceData.Fertiliser_Products_Data2(),FertiliserProducts[[#Headers],[Include or Exclude]], 20)</f>
        <v/>
      </c>
      <c r="X126" s="111" t="str" cm="1">
        <f t="array" aca="1" ref="X126" ca="1">Common_InputFunctions.Utility_DisplayArrayInTable(Fertiliser_SourceData.Fertiliser_Products_Data2(),FertiliserProducts[[#Headers],[Include or Exclude]], 20)</f>
        <v/>
      </c>
      <c r="Y126" s="111" t="str" cm="1">
        <f t="array" aca="1" ref="Y126" ca="1">Common_InputFunctions.Utility_DisplayArrayInTable(Fertiliser_SourceData.Fertiliser_Products_Data2(),FertiliserProducts[[#Headers],[Include or Exclude]], 20)</f>
        <v/>
      </c>
      <c r="Z126" s="111" t="str" cm="1">
        <f t="array" aca="1" ref="Z126" ca="1">Common_InputFunctions.Utility_DisplayArrayInTable(Fertiliser_SourceData.Fertiliser_Products_Data2(),FertiliserProducts[[#Headers],[Include or Exclude]], 20)</f>
        <v/>
      </c>
      <c r="AA126" s="37" t="str" cm="1">
        <f t="array" aca="1" ref="AA126" ca="1">Common_InputFunctions.Utility_DisplayArrayInTable(Fertiliser_SourceData.Fertiliser_Products_Data2(),FertiliserProducts[[#Headers],[Include or Exclude]], 20)</f>
        <v/>
      </c>
      <c r="AB126" s="37" t="str" cm="1">
        <f t="array" aca="1" ref="AB126" ca="1">Common_InputFunctions.Utility_DisplayArrayInTable(Fertiliser_SourceData.Fertiliser_Products_Data2(),FertiliserProducts[[#Headers],[Include or Exclude]], 20)</f>
        <v/>
      </c>
      <c r="AC126" s="37" t="str" cm="1">
        <f t="array" aca="1" ref="AC126" ca="1">Common_InputFunctions.Utility_DisplayArrayInTable(Fertiliser_SourceData.Fertiliser_Products_Data2(),FertiliserProducts[[#Headers],[Include or Exclude]], 20)</f>
        <v/>
      </c>
      <c r="AD126" s="37" t="str" cm="1">
        <f t="array" aca="1" ref="AD126" ca="1">Common_InputFunctions.Utility_DisplayArrayInTable(Fertiliser_SourceData.Fertiliser_Products_Data2(),FertiliserProducts[[#Headers],[Include or Exclude]], 20)</f>
        <v/>
      </c>
      <c r="AE126" s="37" t="str" cm="1">
        <f t="array" aca="1" ref="AE126" ca="1">Common_InputFunctions.Utility_DisplayArrayInTable(Fertiliser_SourceData.Fertiliser_Products_Data2(),FertiliserProducts[[#Headers],[Include or Exclude]], 20)</f>
        <v/>
      </c>
    </row>
    <row r="127" spans="4:31" ht="20.100000000000001" customHeight="1" x14ac:dyDescent="0.25">
      <c r="D127" s="111" t="str" cm="1">
        <f t="array" aca="1" ref="D127" ca="1">Common_InputFunctions.Utility_DisplayArrayInTable(Fertiliser_SourceData.Fertiliser_Products_Data2(),FertiliserProducts[[#Headers],[Include or Exclude]], 20)</f>
        <v/>
      </c>
      <c r="E127" s="111" t="str" cm="1">
        <f t="array" aca="1" ref="E127" ca="1">Common_InputFunctions.Utility_DisplayArrayInTable(Fertiliser_SourceData.Fertiliser_Products_Data2(),FertiliserProducts[[#Headers],[Include or Exclude]], 20)</f>
        <v/>
      </c>
      <c r="F127" s="111" t="str" cm="1">
        <f t="array" aca="1" ref="F127" ca="1">Common_InputFunctions.Utility_DisplayArrayInTable(Fertiliser_SourceData.Fertiliser_Products_Data2(),FertiliserProducts[[#Headers],[Include or Exclude]], 20)</f>
        <v/>
      </c>
      <c r="G127" s="111" t="str" cm="1">
        <f t="array" aca="1" ref="G127" ca="1">Common_InputFunctions.Utility_DisplayArrayInTable(Fertiliser_SourceData.Fertiliser_Products_Data2(),FertiliserProducts[[#Headers],[Include or Exclude]], 20)</f>
        <v/>
      </c>
      <c r="H127" s="111" t="str" cm="1">
        <f t="array" aca="1" ref="H127" ca="1">Common_InputFunctions.Utility_DisplayArrayInTable(Fertiliser_SourceData.Fertiliser_Products_Data2(),FertiliserProducts[[#Headers],[Include or Exclude]], 20)</f>
        <v/>
      </c>
      <c r="I127" s="111" t="str" cm="1">
        <f t="array" aca="1" ref="I127" ca="1">Common_InputFunctions.Utility_DisplayArrayInTable(Fertiliser_SourceData.Fertiliser_Products_Data2(),FertiliserProducts[[#Headers],[Include or Exclude]], 20)</f>
        <v/>
      </c>
      <c r="J127" s="111" t="str" cm="1">
        <f t="array" aca="1" ref="J127" ca="1">Common_InputFunctions.Utility_DisplayArrayInTable(Fertiliser_SourceData.Fertiliser_Products_Data2(),FertiliserProducts[[#Headers],[Include or Exclude]], 20)</f>
        <v/>
      </c>
      <c r="K127" s="111" t="str" cm="1">
        <f t="array" aca="1" ref="K127" ca="1">Common_InputFunctions.Utility_DisplayArrayInTable(Fertiliser_SourceData.Fertiliser_Products_Data2(),FertiliserProducts[[#Headers],[Include or Exclude]], 20)</f>
        <v/>
      </c>
      <c r="L127" s="111" t="str" cm="1">
        <f t="array" aca="1" ref="L127" ca="1">Common_InputFunctions.Utility_DisplayArrayInTable(Fertiliser_SourceData.Fertiliser_Products_Data2(),FertiliserProducts[[#Headers],[Include or Exclude]], 20)</f>
        <v/>
      </c>
      <c r="M127" s="111" t="str" cm="1">
        <f t="array" aca="1" ref="M127" ca="1">Common_InputFunctions.Utility_DisplayArrayInTable(Fertiliser_SourceData.Fertiliser_Products_Data2(),FertiliserProducts[[#Headers],[Include or Exclude]], 20)</f>
        <v/>
      </c>
      <c r="N127" s="111" t="str" cm="1">
        <f t="array" aca="1" ref="N127" ca="1">Common_InputFunctions.Utility_DisplayArrayInTable(Fertiliser_SourceData.Fertiliser_Products_Data2(),FertiliserProducts[[#Headers],[Include or Exclude]], 20)</f>
        <v/>
      </c>
      <c r="O127" s="111" t="str" cm="1">
        <f t="array" aca="1" ref="O127" ca="1">Common_InputFunctions.Utility_DisplayArrayInTable(Fertiliser_SourceData.Fertiliser_Products_Data2(),FertiliserProducts[[#Headers],[Include or Exclude]], 20)</f>
        <v/>
      </c>
      <c r="P127" s="111" t="str" cm="1">
        <f t="array" aca="1" ref="P127" ca="1">Common_InputFunctions.Utility_DisplayArrayInTable(Fertiliser_SourceData.Fertiliser_Products_Data2(),FertiliserProducts[[#Headers],[Include or Exclude]], 20)</f>
        <v/>
      </c>
      <c r="Q127" s="111" t="str" cm="1">
        <f t="array" aca="1" ref="Q127" ca="1">Common_InputFunctions.Utility_DisplayArrayInTable(Fertiliser_SourceData.Fertiliser_Products_Data2(),FertiliserProducts[[#Headers],[Include or Exclude]], 20)</f>
        <v/>
      </c>
      <c r="R127" s="111" t="str" cm="1">
        <f t="array" aca="1" ref="R127" ca="1">Common_InputFunctions.Utility_DisplayArrayInTable(Fertiliser_SourceData.Fertiliser_Products_Data2(),FertiliserProducts[[#Headers],[Include or Exclude]], 20)</f>
        <v/>
      </c>
      <c r="S127" s="111" t="str" cm="1">
        <f t="array" aca="1" ref="S127" ca="1">Common_InputFunctions.Utility_DisplayArrayInTable(Fertiliser_SourceData.Fertiliser_Products_Data2(),FertiliserProducts[[#Headers],[Include or Exclude]], 20)</f>
        <v/>
      </c>
      <c r="T127" s="111" t="str" cm="1">
        <f t="array" aca="1" ref="T127" ca="1">Common_InputFunctions.Utility_DisplayArrayInTable(Fertiliser_SourceData.Fertiliser_Products_Data2(),FertiliserProducts[[#Headers],[Include or Exclude]], 20)</f>
        <v/>
      </c>
      <c r="U127" s="111" t="str" cm="1">
        <f t="array" aca="1" ref="U127" ca="1">Common_InputFunctions.Utility_DisplayArrayInTable(Fertiliser_SourceData.Fertiliser_Products_Data2(),FertiliserProducts[[#Headers],[Include or Exclude]], 20)</f>
        <v/>
      </c>
      <c r="V127" s="111" t="str" cm="1">
        <f t="array" aca="1" ref="V127" ca="1">Common_InputFunctions.Utility_DisplayArrayInTable(Fertiliser_SourceData.Fertiliser_Products_Data2(),FertiliserProducts[[#Headers],[Include or Exclude]], 20)</f>
        <v/>
      </c>
      <c r="W127" s="111" t="str" cm="1">
        <f t="array" aca="1" ref="W127" ca="1">Common_InputFunctions.Utility_DisplayArrayInTable(Fertiliser_SourceData.Fertiliser_Products_Data2(),FertiliserProducts[[#Headers],[Include or Exclude]], 20)</f>
        <v/>
      </c>
      <c r="X127" s="111" t="str" cm="1">
        <f t="array" aca="1" ref="X127" ca="1">Common_InputFunctions.Utility_DisplayArrayInTable(Fertiliser_SourceData.Fertiliser_Products_Data2(),FertiliserProducts[[#Headers],[Include or Exclude]], 20)</f>
        <v/>
      </c>
      <c r="Y127" s="111" t="str" cm="1">
        <f t="array" aca="1" ref="Y127" ca="1">Common_InputFunctions.Utility_DisplayArrayInTable(Fertiliser_SourceData.Fertiliser_Products_Data2(),FertiliserProducts[[#Headers],[Include or Exclude]], 20)</f>
        <v/>
      </c>
      <c r="Z127" s="111" t="str" cm="1">
        <f t="array" aca="1" ref="Z127" ca="1">Common_InputFunctions.Utility_DisplayArrayInTable(Fertiliser_SourceData.Fertiliser_Products_Data2(),FertiliserProducts[[#Headers],[Include or Exclude]], 20)</f>
        <v/>
      </c>
      <c r="AA127" s="37" t="str" cm="1">
        <f t="array" aca="1" ref="AA127" ca="1">Common_InputFunctions.Utility_DisplayArrayInTable(Fertiliser_SourceData.Fertiliser_Products_Data2(),FertiliserProducts[[#Headers],[Include or Exclude]], 20)</f>
        <v/>
      </c>
      <c r="AB127" s="37" t="str" cm="1">
        <f t="array" aca="1" ref="AB127" ca="1">Common_InputFunctions.Utility_DisplayArrayInTable(Fertiliser_SourceData.Fertiliser_Products_Data2(),FertiliserProducts[[#Headers],[Include or Exclude]], 20)</f>
        <v/>
      </c>
      <c r="AC127" s="37" t="str" cm="1">
        <f t="array" aca="1" ref="AC127" ca="1">Common_InputFunctions.Utility_DisplayArrayInTable(Fertiliser_SourceData.Fertiliser_Products_Data2(),FertiliserProducts[[#Headers],[Include or Exclude]], 20)</f>
        <v/>
      </c>
      <c r="AD127" s="37" t="str" cm="1">
        <f t="array" aca="1" ref="AD127" ca="1">Common_InputFunctions.Utility_DisplayArrayInTable(Fertiliser_SourceData.Fertiliser_Products_Data2(),FertiliserProducts[[#Headers],[Include or Exclude]], 20)</f>
        <v/>
      </c>
      <c r="AE127" s="37" t="str" cm="1">
        <f t="array" aca="1" ref="AE127" ca="1">Common_InputFunctions.Utility_DisplayArrayInTable(Fertiliser_SourceData.Fertiliser_Products_Data2(),FertiliserProducts[[#Headers],[Include or Exclude]], 20)</f>
        <v/>
      </c>
    </row>
    <row r="128" spans="4:31" ht="20.100000000000001" customHeight="1" x14ac:dyDescent="0.25">
      <c r="D128" s="111" t="str" cm="1">
        <f t="array" aca="1" ref="D128" ca="1">Common_InputFunctions.Utility_DisplayArrayInTable(Fertiliser_SourceData.Fertiliser_Products_Data2(),FertiliserProducts[[#Headers],[Include or Exclude]], 20)</f>
        <v/>
      </c>
      <c r="E128" s="111" t="str" cm="1">
        <f t="array" aca="1" ref="E128" ca="1">Common_InputFunctions.Utility_DisplayArrayInTable(Fertiliser_SourceData.Fertiliser_Products_Data2(),FertiliserProducts[[#Headers],[Include or Exclude]], 20)</f>
        <v/>
      </c>
      <c r="F128" s="111" t="str" cm="1">
        <f t="array" aca="1" ref="F128" ca="1">Common_InputFunctions.Utility_DisplayArrayInTable(Fertiliser_SourceData.Fertiliser_Products_Data2(),FertiliserProducts[[#Headers],[Include or Exclude]], 20)</f>
        <v/>
      </c>
      <c r="G128" s="111" t="str" cm="1">
        <f t="array" aca="1" ref="G128" ca="1">Common_InputFunctions.Utility_DisplayArrayInTable(Fertiliser_SourceData.Fertiliser_Products_Data2(),FertiliserProducts[[#Headers],[Include or Exclude]], 20)</f>
        <v/>
      </c>
      <c r="H128" s="111" t="str" cm="1">
        <f t="array" aca="1" ref="H128" ca="1">Common_InputFunctions.Utility_DisplayArrayInTable(Fertiliser_SourceData.Fertiliser_Products_Data2(),FertiliserProducts[[#Headers],[Include or Exclude]], 20)</f>
        <v/>
      </c>
      <c r="I128" s="111" t="str" cm="1">
        <f t="array" aca="1" ref="I128" ca="1">Common_InputFunctions.Utility_DisplayArrayInTable(Fertiliser_SourceData.Fertiliser_Products_Data2(),FertiliserProducts[[#Headers],[Include or Exclude]], 20)</f>
        <v/>
      </c>
      <c r="J128" s="111" t="str" cm="1">
        <f t="array" aca="1" ref="J128" ca="1">Common_InputFunctions.Utility_DisplayArrayInTable(Fertiliser_SourceData.Fertiliser_Products_Data2(),FertiliserProducts[[#Headers],[Include or Exclude]], 20)</f>
        <v/>
      </c>
      <c r="K128" s="111" t="str" cm="1">
        <f t="array" aca="1" ref="K128" ca="1">Common_InputFunctions.Utility_DisplayArrayInTable(Fertiliser_SourceData.Fertiliser_Products_Data2(),FertiliserProducts[[#Headers],[Include or Exclude]], 20)</f>
        <v/>
      </c>
      <c r="L128" s="111" t="str" cm="1">
        <f t="array" aca="1" ref="L128" ca="1">Common_InputFunctions.Utility_DisplayArrayInTable(Fertiliser_SourceData.Fertiliser_Products_Data2(),FertiliserProducts[[#Headers],[Include or Exclude]], 20)</f>
        <v/>
      </c>
      <c r="M128" s="111" t="str" cm="1">
        <f t="array" aca="1" ref="M128" ca="1">Common_InputFunctions.Utility_DisplayArrayInTable(Fertiliser_SourceData.Fertiliser_Products_Data2(),FertiliserProducts[[#Headers],[Include or Exclude]], 20)</f>
        <v/>
      </c>
      <c r="N128" s="111" t="str" cm="1">
        <f t="array" aca="1" ref="N128" ca="1">Common_InputFunctions.Utility_DisplayArrayInTable(Fertiliser_SourceData.Fertiliser_Products_Data2(),FertiliserProducts[[#Headers],[Include or Exclude]], 20)</f>
        <v/>
      </c>
      <c r="O128" s="111" t="str" cm="1">
        <f t="array" aca="1" ref="O128" ca="1">Common_InputFunctions.Utility_DisplayArrayInTable(Fertiliser_SourceData.Fertiliser_Products_Data2(),FertiliserProducts[[#Headers],[Include or Exclude]], 20)</f>
        <v/>
      </c>
      <c r="P128" s="111" t="str" cm="1">
        <f t="array" aca="1" ref="P128" ca="1">Common_InputFunctions.Utility_DisplayArrayInTable(Fertiliser_SourceData.Fertiliser_Products_Data2(),FertiliserProducts[[#Headers],[Include or Exclude]], 20)</f>
        <v/>
      </c>
      <c r="Q128" s="111" t="str" cm="1">
        <f t="array" aca="1" ref="Q128" ca="1">Common_InputFunctions.Utility_DisplayArrayInTable(Fertiliser_SourceData.Fertiliser_Products_Data2(),FertiliserProducts[[#Headers],[Include or Exclude]], 20)</f>
        <v/>
      </c>
      <c r="R128" s="111" t="str" cm="1">
        <f t="array" aca="1" ref="R128" ca="1">Common_InputFunctions.Utility_DisplayArrayInTable(Fertiliser_SourceData.Fertiliser_Products_Data2(),FertiliserProducts[[#Headers],[Include or Exclude]], 20)</f>
        <v/>
      </c>
      <c r="S128" s="111" t="str" cm="1">
        <f t="array" aca="1" ref="S128" ca="1">Common_InputFunctions.Utility_DisplayArrayInTable(Fertiliser_SourceData.Fertiliser_Products_Data2(),FertiliserProducts[[#Headers],[Include or Exclude]], 20)</f>
        <v/>
      </c>
      <c r="T128" s="111" t="str" cm="1">
        <f t="array" aca="1" ref="T128" ca="1">Common_InputFunctions.Utility_DisplayArrayInTable(Fertiliser_SourceData.Fertiliser_Products_Data2(),FertiliserProducts[[#Headers],[Include or Exclude]], 20)</f>
        <v/>
      </c>
      <c r="U128" s="111" t="str" cm="1">
        <f t="array" aca="1" ref="U128" ca="1">Common_InputFunctions.Utility_DisplayArrayInTable(Fertiliser_SourceData.Fertiliser_Products_Data2(),FertiliserProducts[[#Headers],[Include or Exclude]], 20)</f>
        <v/>
      </c>
      <c r="V128" s="111" t="str" cm="1">
        <f t="array" aca="1" ref="V128" ca="1">Common_InputFunctions.Utility_DisplayArrayInTable(Fertiliser_SourceData.Fertiliser_Products_Data2(),FertiliserProducts[[#Headers],[Include or Exclude]], 20)</f>
        <v/>
      </c>
      <c r="W128" s="111" t="str" cm="1">
        <f t="array" aca="1" ref="W128" ca="1">Common_InputFunctions.Utility_DisplayArrayInTable(Fertiliser_SourceData.Fertiliser_Products_Data2(),FertiliserProducts[[#Headers],[Include or Exclude]], 20)</f>
        <v/>
      </c>
      <c r="X128" s="111" t="str" cm="1">
        <f t="array" aca="1" ref="X128" ca="1">Common_InputFunctions.Utility_DisplayArrayInTable(Fertiliser_SourceData.Fertiliser_Products_Data2(),FertiliserProducts[[#Headers],[Include or Exclude]], 20)</f>
        <v/>
      </c>
      <c r="Y128" s="111" t="str" cm="1">
        <f t="array" aca="1" ref="Y128" ca="1">Common_InputFunctions.Utility_DisplayArrayInTable(Fertiliser_SourceData.Fertiliser_Products_Data2(),FertiliserProducts[[#Headers],[Include or Exclude]], 20)</f>
        <v/>
      </c>
      <c r="Z128" s="111" t="str" cm="1">
        <f t="array" aca="1" ref="Z128" ca="1">Common_InputFunctions.Utility_DisplayArrayInTable(Fertiliser_SourceData.Fertiliser_Products_Data2(),FertiliserProducts[[#Headers],[Include or Exclude]], 20)</f>
        <v/>
      </c>
      <c r="AA128" s="37" t="str" cm="1">
        <f t="array" aca="1" ref="AA128" ca="1">Common_InputFunctions.Utility_DisplayArrayInTable(Fertiliser_SourceData.Fertiliser_Products_Data2(),FertiliserProducts[[#Headers],[Include or Exclude]], 20)</f>
        <v/>
      </c>
      <c r="AB128" s="37" t="str" cm="1">
        <f t="array" aca="1" ref="AB128" ca="1">Common_InputFunctions.Utility_DisplayArrayInTable(Fertiliser_SourceData.Fertiliser_Products_Data2(),FertiliserProducts[[#Headers],[Include or Exclude]], 20)</f>
        <v/>
      </c>
      <c r="AC128" s="37" t="str" cm="1">
        <f t="array" aca="1" ref="AC128" ca="1">Common_InputFunctions.Utility_DisplayArrayInTable(Fertiliser_SourceData.Fertiliser_Products_Data2(),FertiliserProducts[[#Headers],[Include or Exclude]], 20)</f>
        <v/>
      </c>
      <c r="AD128" s="37" t="str" cm="1">
        <f t="array" aca="1" ref="AD128" ca="1">Common_InputFunctions.Utility_DisplayArrayInTable(Fertiliser_SourceData.Fertiliser_Products_Data2(),FertiliserProducts[[#Headers],[Include or Exclude]], 20)</f>
        <v/>
      </c>
      <c r="AE128" s="37" t="str" cm="1">
        <f t="array" aca="1" ref="AE128" ca="1">Common_InputFunctions.Utility_DisplayArrayInTable(Fertiliser_SourceData.Fertiliser_Products_Data2(),FertiliserProducts[[#Headers],[Include or Exclude]], 20)</f>
        <v/>
      </c>
    </row>
    <row r="129" spans="4:31" ht="20.100000000000001" customHeight="1" x14ac:dyDescent="0.25">
      <c r="D129" s="111" t="str" cm="1">
        <f t="array" aca="1" ref="D129" ca="1">Common_InputFunctions.Utility_DisplayArrayInTable(Fertiliser_SourceData.Fertiliser_Products_Data3(),FertiliserProducts[[#Headers],[Include or Exclude]], 40)</f>
        <v/>
      </c>
      <c r="E129" s="111" t="str" cm="1">
        <f t="array" aca="1" ref="E129" ca="1">Common_InputFunctions.Utility_DisplayArrayInTable(Fertiliser_SourceData.Fertiliser_Products_Data3(),FertiliserProducts[[#Headers],[Include or Exclude]], 40)</f>
        <v/>
      </c>
      <c r="F129" s="111" t="str" cm="1">
        <f t="array" aca="1" ref="F129" ca="1">Common_InputFunctions.Utility_DisplayArrayInTable(Fertiliser_SourceData.Fertiliser_Products_Data3(),FertiliserProducts[[#Headers],[Include or Exclude]], 40)</f>
        <v/>
      </c>
      <c r="G129" s="111" t="str" cm="1">
        <f t="array" aca="1" ref="G129" ca="1">Common_InputFunctions.Utility_DisplayArrayInTable(Fertiliser_SourceData.Fertiliser_Products_Data3(),FertiliserProducts[[#Headers],[Include or Exclude]], 40)</f>
        <v/>
      </c>
      <c r="H129" s="111" t="str" cm="1">
        <f t="array" aca="1" ref="H129" ca="1">Common_InputFunctions.Utility_DisplayArrayInTable(Fertiliser_SourceData.Fertiliser_Products_Data3(),FertiliserProducts[[#Headers],[Include or Exclude]], 40)</f>
        <v/>
      </c>
      <c r="I129" s="111" t="str" cm="1">
        <f t="array" aca="1" ref="I129" ca="1">Common_InputFunctions.Utility_DisplayArrayInTable(Fertiliser_SourceData.Fertiliser_Products_Data3(),FertiliserProducts[[#Headers],[Include or Exclude]], 40)</f>
        <v/>
      </c>
      <c r="J129" s="111" t="str" cm="1">
        <f t="array" aca="1" ref="J129" ca="1">Common_InputFunctions.Utility_DisplayArrayInTable(Fertiliser_SourceData.Fertiliser_Products_Data3(),FertiliserProducts[[#Headers],[Include or Exclude]], 40)</f>
        <v/>
      </c>
      <c r="K129" s="111" t="str" cm="1">
        <f t="array" aca="1" ref="K129" ca="1">Common_InputFunctions.Utility_DisplayArrayInTable(Fertiliser_SourceData.Fertiliser_Products_Data3(),FertiliserProducts[[#Headers],[Include or Exclude]], 40)</f>
        <v/>
      </c>
      <c r="L129" s="111" t="str" cm="1">
        <f t="array" aca="1" ref="L129" ca="1">Common_InputFunctions.Utility_DisplayArrayInTable(Fertiliser_SourceData.Fertiliser_Products_Data3(),FertiliserProducts[[#Headers],[Include or Exclude]], 40)</f>
        <v/>
      </c>
      <c r="M129" s="111" t="str" cm="1">
        <f t="array" aca="1" ref="M129" ca="1">Common_InputFunctions.Utility_DisplayArrayInTable(Fertiliser_SourceData.Fertiliser_Products_Data3(),FertiliserProducts[[#Headers],[Include or Exclude]], 40)</f>
        <v/>
      </c>
      <c r="N129" s="111" t="str" cm="1">
        <f t="array" aca="1" ref="N129" ca="1">Common_InputFunctions.Utility_DisplayArrayInTable(Fertiliser_SourceData.Fertiliser_Products_Data3(),FertiliserProducts[[#Headers],[Include or Exclude]], 40)</f>
        <v/>
      </c>
      <c r="O129" s="111" t="str" cm="1">
        <f t="array" aca="1" ref="O129" ca="1">Common_InputFunctions.Utility_DisplayArrayInTable(Fertiliser_SourceData.Fertiliser_Products_Data3(),FertiliserProducts[[#Headers],[Include or Exclude]], 40)</f>
        <v/>
      </c>
      <c r="P129" s="111" t="str" cm="1">
        <f t="array" aca="1" ref="P129" ca="1">Common_InputFunctions.Utility_DisplayArrayInTable(Fertiliser_SourceData.Fertiliser_Products_Data3(),FertiliserProducts[[#Headers],[Include or Exclude]], 40)</f>
        <v/>
      </c>
      <c r="Q129" s="111" t="str" cm="1">
        <f t="array" aca="1" ref="Q129" ca="1">Common_InputFunctions.Utility_DisplayArrayInTable(Fertiliser_SourceData.Fertiliser_Products_Data3(),FertiliserProducts[[#Headers],[Include or Exclude]], 40)</f>
        <v/>
      </c>
      <c r="R129" s="111" t="str" cm="1">
        <f t="array" aca="1" ref="R129" ca="1">Common_InputFunctions.Utility_DisplayArrayInTable(Fertiliser_SourceData.Fertiliser_Products_Data3(),FertiliserProducts[[#Headers],[Include or Exclude]], 40)</f>
        <v/>
      </c>
      <c r="S129" s="111" t="str" cm="1">
        <f t="array" aca="1" ref="S129" ca="1">Common_InputFunctions.Utility_DisplayArrayInTable(Fertiliser_SourceData.Fertiliser_Products_Data3(),FertiliserProducts[[#Headers],[Include or Exclude]], 40)</f>
        <v/>
      </c>
      <c r="T129" s="111" t="str" cm="1">
        <f t="array" aca="1" ref="T129" ca="1">Common_InputFunctions.Utility_DisplayArrayInTable(Fertiliser_SourceData.Fertiliser_Products_Data3(),FertiliserProducts[[#Headers],[Include or Exclude]], 40)</f>
        <v/>
      </c>
      <c r="U129" s="111" t="str" cm="1">
        <f t="array" aca="1" ref="U129" ca="1">Common_InputFunctions.Utility_DisplayArrayInTable(Fertiliser_SourceData.Fertiliser_Products_Data3(),FertiliserProducts[[#Headers],[Include or Exclude]], 40)</f>
        <v/>
      </c>
      <c r="V129" s="111" t="str" cm="1">
        <f t="array" aca="1" ref="V129" ca="1">Common_InputFunctions.Utility_DisplayArrayInTable(Fertiliser_SourceData.Fertiliser_Products_Data3(),FertiliserProducts[[#Headers],[Include or Exclude]], 40)</f>
        <v/>
      </c>
      <c r="W129" s="111" t="str" cm="1">
        <f t="array" aca="1" ref="W129" ca="1">Common_InputFunctions.Utility_DisplayArrayInTable(Fertiliser_SourceData.Fertiliser_Products_Data3(),FertiliserProducts[[#Headers],[Include or Exclude]], 40)</f>
        <v/>
      </c>
      <c r="X129" s="111" t="str" cm="1">
        <f t="array" aca="1" ref="X129" ca="1">Common_InputFunctions.Utility_DisplayArrayInTable(Fertiliser_SourceData.Fertiliser_Products_Data3(),FertiliserProducts[[#Headers],[Include or Exclude]], 40)</f>
        <v/>
      </c>
      <c r="Y129" s="111" t="str" cm="1">
        <f t="array" aca="1" ref="Y129" ca="1">Common_InputFunctions.Utility_DisplayArrayInTable(Fertiliser_SourceData.Fertiliser_Products_Data3(),FertiliserProducts[[#Headers],[Include or Exclude]], 40)</f>
        <v/>
      </c>
      <c r="Z129" s="111" t="str" cm="1">
        <f t="array" aca="1" ref="Z129" ca="1">Common_InputFunctions.Utility_DisplayArrayInTable(Fertiliser_SourceData.Fertiliser_Products_Data3(),FertiliserProducts[[#Headers],[Include or Exclude]], 40)</f>
        <v/>
      </c>
      <c r="AA129" s="37" t="str" cm="1">
        <f t="array" aca="1" ref="AA129" ca="1">Common_InputFunctions.Utility_DisplayArrayInTable(Fertiliser_SourceData.Fertiliser_Products_Data3(),FertiliserProducts[[#Headers],[Include or Exclude]], 40)</f>
        <v/>
      </c>
      <c r="AB129" s="37" t="str" cm="1">
        <f t="array" aca="1" ref="AB129" ca="1">Common_InputFunctions.Utility_DisplayArrayInTable(Fertiliser_SourceData.Fertiliser_Products_Data3(),FertiliserProducts[[#Headers],[Include or Exclude]], 40)</f>
        <v/>
      </c>
      <c r="AC129" s="37" t="str" cm="1">
        <f t="array" aca="1" ref="AC129" ca="1">Common_InputFunctions.Utility_DisplayArrayInTable(Fertiliser_SourceData.Fertiliser_Products_Data3(),FertiliserProducts[[#Headers],[Include or Exclude]], 40)</f>
        <v/>
      </c>
      <c r="AD129" s="37" t="str" cm="1">
        <f t="array" aca="1" ref="AD129" ca="1">Common_InputFunctions.Utility_DisplayArrayInTable(Fertiliser_SourceData.Fertiliser_Products_Data3(),FertiliserProducts[[#Headers],[Include or Exclude]], 40)</f>
        <v/>
      </c>
      <c r="AE129" s="37" t="str" cm="1">
        <f t="array" aca="1" ref="AE129" ca="1">Common_InputFunctions.Utility_DisplayArrayInTable(Fertiliser_SourceData.Fertiliser_Products_Data3(),FertiliserProducts[[#Headers],[Include or Exclude]], 40)</f>
        <v/>
      </c>
    </row>
    <row r="130" spans="4:31" ht="20.100000000000001" customHeight="1" x14ac:dyDescent="0.25">
      <c r="D130" s="111" t="str" cm="1">
        <f t="array" aca="1" ref="D130" ca="1">Common_InputFunctions.Utility_DisplayArrayInTable(Fertiliser_SourceData.Fertiliser_Products_Data3(),FertiliserProducts[[#Headers],[Include or Exclude]], 40)</f>
        <v/>
      </c>
      <c r="E130" s="111" t="str" cm="1">
        <f t="array" aca="1" ref="E130" ca="1">Common_InputFunctions.Utility_DisplayArrayInTable(Fertiliser_SourceData.Fertiliser_Products_Data3(),FertiliserProducts[[#Headers],[Include or Exclude]], 40)</f>
        <v/>
      </c>
      <c r="F130" s="111" t="str" cm="1">
        <f t="array" aca="1" ref="F130" ca="1">Common_InputFunctions.Utility_DisplayArrayInTable(Fertiliser_SourceData.Fertiliser_Products_Data3(),FertiliserProducts[[#Headers],[Include or Exclude]], 40)</f>
        <v/>
      </c>
      <c r="G130" s="111" t="str" cm="1">
        <f t="array" aca="1" ref="G130" ca="1">Common_InputFunctions.Utility_DisplayArrayInTable(Fertiliser_SourceData.Fertiliser_Products_Data3(),FertiliserProducts[[#Headers],[Include or Exclude]], 40)</f>
        <v/>
      </c>
      <c r="H130" s="111" t="str" cm="1">
        <f t="array" aca="1" ref="H130" ca="1">Common_InputFunctions.Utility_DisplayArrayInTable(Fertiliser_SourceData.Fertiliser_Products_Data3(),FertiliserProducts[[#Headers],[Include or Exclude]], 40)</f>
        <v/>
      </c>
      <c r="I130" s="111" t="str" cm="1">
        <f t="array" aca="1" ref="I130" ca="1">Common_InputFunctions.Utility_DisplayArrayInTable(Fertiliser_SourceData.Fertiliser_Products_Data3(),FertiliserProducts[[#Headers],[Include or Exclude]], 40)</f>
        <v/>
      </c>
      <c r="J130" s="111" t="str" cm="1">
        <f t="array" aca="1" ref="J130" ca="1">Common_InputFunctions.Utility_DisplayArrayInTable(Fertiliser_SourceData.Fertiliser_Products_Data3(),FertiliserProducts[[#Headers],[Include or Exclude]], 40)</f>
        <v/>
      </c>
      <c r="K130" s="111" t="str" cm="1">
        <f t="array" aca="1" ref="K130" ca="1">Common_InputFunctions.Utility_DisplayArrayInTable(Fertiliser_SourceData.Fertiliser_Products_Data3(),FertiliserProducts[[#Headers],[Include or Exclude]], 40)</f>
        <v/>
      </c>
      <c r="L130" s="111" t="str" cm="1">
        <f t="array" aca="1" ref="L130" ca="1">Common_InputFunctions.Utility_DisplayArrayInTable(Fertiliser_SourceData.Fertiliser_Products_Data3(),FertiliserProducts[[#Headers],[Include or Exclude]], 40)</f>
        <v/>
      </c>
      <c r="M130" s="111" t="str" cm="1">
        <f t="array" aca="1" ref="M130" ca="1">Common_InputFunctions.Utility_DisplayArrayInTable(Fertiliser_SourceData.Fertiliser_Products_Data3(),FertiliserProducts[[#Headers],[Include or Exclude]], 40)</f>
        <v/>
      </c>
      <c r="N130" s="111" t="str" cm="1">
        <f t="array" aca="1" ref="N130" ca="1">Common_InputFunctions.Utility_DisplayArrayInTable(Fertiliser_SourceData.Fertiliser_Products_Data3(),FertiliserProducts[[#Headers],[Include or Exclude]], 40)</f>
        <v/>
      </c>
      <c r="O130" s="111" t="str" cm="1">
        <f t="array" aca="1" ref="O130" ca="1">Common_InputFunctions.Utility_DisplayArrayInTable(Fertiliser_SourceData.Fertiliser_Products_Data3(),FertiliserProducts[[#Headers],[Include or Exclude]], 40)</f>
        <v/>
      </c>
      <c r="P130" s="111" t="str" cm="1">
        <f t="array" aca="1" ref="P130" ca="1">Common_InputFunctions.Utility_DisplayArrayInTable(Fertiliser_SourceData.Fertiliser_Products_Data3(),FertiliserProducts[[#Headers],[Include or Exclude]], 40)</f>
        <v/>
      </c>
      <c r="Q130" s="111" t="str" cm="1">
        <f t="array" aca="1" ref="Q130" ca="1">Common_InputFunctions.Utility_DisplayArrayInTable(Fertiliser_SourceData.Fertiliser_Products_Data3(),FertiliserProducts[[#Headers],[Include or Exclude]], 40)</f>
        <v/>
      </c>
      <c r="R130" s="111" t="str" cm="1">
        <f t="array" aca="1" ref="R130" ca="1">Common_InputFunctions.Utility_DisplayArrayInTable(Fertiliser_SourceData.Fertiliser_Products_Data3(),FertiliserProducts[[#Headers],[Include or Exclude]], 40)</f>
        <v/>
      </c>
      <c r="S130" s="111" t="str" cm="1">
        <f t="array" aca="1" ref="S130" ca="1">Common_InputFunctions.Utility_DisplayArrayInTable(Fertiliser_SourceData.Fertiliser_Products_Data3(),FertiliserProducts[[#Headers],[Include or Exclude]], 40)</f>
        <v/>
      </c>
      <c r="T130" s="111" t="str" cm="1">
        <f t="array" aca="1" ref="T130" ca="1">Common_InputFunctions.Utility_DisplayArrayInTable(Fertiliser_SourceData.Fertiliser_Products_Data3(),FertiliserProducts[[#Headers],[Include or Exclude]], 40)</f>
        <v/>
      </c>
      <c r="U130" s="111" t="str" cm="1">
        <f t="array" aca="1" ref="U130" ca="1">Common_InputFunctions.Utility_DisplayArrayInTable(Fertiliser_SourceData.Fertiliser_Products_Data3(),FertiliserProducts[[#Headers],[Include or Exclude]], 40)</f>
        <v/>
      </c>
      <c r="V130" s="111" t="str" cm="1">
        <f t="array" aca="1" ref="V130" ca="1">Common_InputFunctions.Utility_DisplayArrayInTable(Fertiliser_SourceData.Fertiliser_Products_Data3(),FertiliserProducts[[#Headers],[Include or Exclude]], 40)</f>
        <v/>
      </c>
      <c r="W130" s="111" t="str" cm="1">
        <f t="array" aca="1" ref="W130" ca="1">Common_InputFunctions.Utility_DisplayArrayInTable(Fertiliser_SourceData.Fertiliser_Products_Data3(),FertiliserProducts[[#Headers],[Include or Exclude]], 40)</f>
        <v/>
      </c>
      <c r="X130" s="111" t="str" cm="1">
        <f t="array" aca="1" ref="X130" ca="1">Common_InputFunctions.Utility_DisplayArrayInTable(Fertiliser_SourceData.Fertiliser_Products_Data3(),FertiliserProducts[[#Headers],[Include or Exclude]], 40)</f>
        <v/>
      </c>
      <c r="Y130" s="111" t="str" cm="1">
        <f t="array" aca="1" ref="Y130" ca="1">Common_InputFunctions.Utility_DisplayArrayInTable(Fertiliser_SourceData.Fertiliser_Products_Data3(),FertiliserProducts[[#Headers],[Include or Exclude]], 40)</f>
        <v/>
      </c>
      <c r="Z130" s="111" t="str" cm="1">
        <f t="array" aca="1" ref="Z130" ca="1">Common_InputFunctions.Utility_DisplayArrayInTable(Fertiliser_SourceData.Fertiliser_Products_Data3(),FertiliserProducts[[#Headers],[Include or Exclude]], 40)</f>
        <v/>
      </c>
      <c r="AA130" s="37" t="str" cm="1">
        <f t="array" aca="1" ref="AA130" ca="1">Common_InputFunctions.Utility_DisplayArrayInTable(Fertiliser_SourceData.Fertiliser_Products_Data3(),FertiliserProducts[[#Headers],[Include or Exclude]], 40)</f>
        <v/>
      </c>
      <c r="AB130" s="37" t="str" cm="1">
        <f t="array" aca="1" ref="AB130" ca="1">Common_InputFunctions.Utility_DisplayArrayInTable(Fertiliser_SourceData.Fertiliser_Products_Data3(),FertiliserProducts[[#Headers],[Include or Exclude]], 40)</f>
        <v/>
      </c>
      <c r="AC130" s="37" t="str" cm="1">
        <f t="array" aca="1" ref="AC130" ca="1">Common_InputFunctions.Utility_DisplayArrayInTable(Fertiliser_SourceData.Fertiliser_Products_Data3(),FertiliserProducts[[#Headers],[Include or Exclude]], 40)</f>
        <v/>
      </c>
      <c r="AD130" s="37" t="str" cm="1">
        <f t="array" aca="1" ref="AD130" ca="1">Common_InputFunctions.Utility_DisplayArrayInTable(Fertiliser_SourceData.Fertiliser_Products_Data3(),FertiliserProducts[[#Headers],[Include or Exclude]], 40)</f>
        <v/>
      </c>
      <c r="AE130" s="37" t="str" cm="1">
        <f t="array" aca="1" ref="AE130" ca="1">Common_InputFunctions.Utility_DisplayArrayInTable(Fertiliser_SourceData.Fertiliser_Products_Data3(),FertiliserProducts[[#Headers],[Include or Exclude]], 40)</f>
        <v/>
      </c>
    </row>
    <row r="131" spans="4:31" ht="20.100000000000001" customHeight="1" x14ac:dyDescent="0.25">
      <c r="D131" s="111" t="str" cm="1">
        <f t="array" aca="1" ref="D131" ca="1">Common_InputFunctions.Utility_DisplayArrayInTable(Fertiliser_SourceData.Fertiliser_Products_Data3(),FertiliserProducts[[#Headers],[Include or Exclude]], 40)</f>
        <v/>
      </c>
      <c r="E131" s="111" t="str" cm="1">
        <f t="array" aca="1" ref="E131" ca="1">Common_InputFunctions.Utility_DisplayArrayInTable(Fertiliser_SourceData.Fertiliser_Products_Data3(),FertiliserProducts[[#Headers],[Include or Exclude]], 40)</f>
        <v/>
      </c>
      <c r="F131" s="111" t="str" cm="1">
        <f t="array" aca="1" ref="F131" ca="1">Common_InputFunctions.Utility_DisplayArrayInTable(Fertiliser_SourceData.Fertiliser_Products_Data3(),FertiliserProducts[[#Headers],[Include or Exclude]], 40)</f>
        <v/>
      </c>
      <c r="G131" s="111" t="str" cm="1">
        <f t="array" aca="1" ref="G131" ca="1">Common_InputFunctions.Utility_DisplayArrayInTable(Fertiliser_SourceData.Fertiliser_Products_Data3(),FertiliserProducts[[#Headers],[Include or Exclude]], 40)</f>
        <v/>
      </c>
      <c r="H131" s="111" t="str" cm="1">
        <f t="array" aca="1" ref="H131" ca="1">Common_InputFunctions.Utility_DisplayArrayInTable(Fertiliser_SourceData.Fertiliser_Products_Data3(),FertiliserProducts[[#Headers],[Include or Exclude]], 40)</f>
        <v/>
      </c>
      <c r="I131" s="111" t="str" cm="1">
        <f t="array" aca="1" ref="I131" ca="1">Common_InputFunctions.Utility_DisplayArrayInTable(Fertiliser_SourceData.Fertiliser_Products_Data3(),FertiliserProducts[[#Headers],[Include or Exclude]], 40)</f>
        <v/>
      </c>
      <c r="J131" s="111" t="str" cm="1">
        <f t="array" aca="1" ref="J131" ca="1">Common_InputFunctions.Utility_DisplayArrayInTable(Fertiliser_SourceData.Fertiliser_Products_Data3(),FertiliserProducts[[#Headers],[Include or Exclude]], 40)</f>
        <v/>
      </c>
      <c r="K131" s="111" t="str" cm="1">
        <f t="array" aca="1" ref="K131" ca="1">Common_InputFunctions.Utility_DisplayArrayInTable(Fertiliser_SourceData.Fertiliser_Products_Data3(),FertiliserProducts[[#Headers],[Include or Exclude]], 40)</f>
        <v/>
      </c>
      <c r="L131" s="111" t="str" cm="1">
        <f t="array" aca="1" ref="L131" ca="1">Common_InputFunctions.Utility_DisplayArrayInTable(Fertiliser_SourceData.Fertiliser_Products_Data3(),FertiliserProducts[[#Headers],[Include or Exclude]], 40)</f>
        <v/>
      </c>
      <c r="M131" s="111" t="str" cm="1">
        <f t="array" aca="1" ref="M131" ca="1">Common_InputFunctions.Utility_DisplayArrayInTable(Fertiliser_SourceData.Fertiliser_Products_Data3(),FertiliserProducts[[#Headers],[Include or Exclude]], 40)</f>
        <v/>
      </c>
      <c r="N131" s="111" t="str" cm="1">
        <f t="array" aca="1" ref="N131" ca="1">Common_InputFunctions.Utility_DisplayArrayInTable(Fertiliser_SourceData.Fertiliser_Products_Data3(),FertiliserProducts[[#Headers],[Include or Exclude]], 40)</f>
        <v/>
      </c>
      <c r="O131" s="111" t="str" cm="1">
        <f t="array" aca="1" ref="O131" ca="1">Common_InputFunctions.Utility_DisplayArrayInTable(Fertiliser_SourceData.Fertiliser_Products_Data3(),FertiliserProducts[[#Headers],[Include or Exclude]], 40)</f>
        <v/>
      </c>
      <c r="P131" s="111" t="str" cm="1">
        <f t="array" aca="1" ref="P131" ca="1">Common_InputFunctions.Utility_DisplayArrayInTable(Fertiliser_SourceData.Fertiliser_Products_Data3(),FertiliserProducts[[#Headers],[Include or Exclude]], 40)</f>
        <v/>
      </c>
      <c r="Q131" s="111" t="str" cm="1">
        <f t="array" aca="1" ref="Q131" ca="1">Common_InputFunctions.Utility_DisplayArrayInTable(Fertiliser_SourceData.Fertiliser_Products_Data3(),FertiliserProducts[[#Headers],[Include or Exclude]], 40)</f>
        <v/>
      </c>
      <c r="R131" s="111" t="str" cm="1">
        <f t="array" aca="1" ref="R131" ca="1">Common_InputFunctions.Utility_DisplayArrayInTable(Fertiliser_SourceData.Fertiliser_Products_Data3(),FertiliserProducts[[#Headers],[Include or Exclude]], 40)</f>
        <v/>
      </c>
      <c r="S131" s="111" t="str" cm="1">
        <f t="array" aca="1" ref="S131" ca="1">Common_InputFunctions.Utility_DisplayArrayInTable(Fertiliser_SourceData.Fertiliser_Products_Data3(),FertiliserProducts[[#Headers],[Include or Exclude]], 40)</f>
        <v/>
      </c>
      <c r="T131" s="111" t="str" cm="1">
        <f t="array" aca="1" ref="T131" ca="1">Common_InputFunctions.Utility_DisplayArrayInTable(Fertiliser_SourceData.Fertiliser_Products_Data3(),FertiliserProducts[[#Headers],[Include or Exclude]], 40)</f>
        <v/>
      </c>
      <c r="U131" s="111" t="str" cm="1">
        <f t="array" aca="1" ref="U131" ca="1">Common_InputFunctions.Utility_DisplayArrayInTable(Fertiliser_SourceData.Fertiliser_Products_Data3(),FertiliserProducts[[#Headers],[Include or Exclude]], 40)</f>
        <v/>
      </c>
      <c r="V131" s="111" t="str" cm="1">
        <f t="array" aca="1" ref="V131" ca="1">Common_InputFunctions.Utility_DisplayArrayInTable(Fertiliser_SourceData.Fertiliser_Products_Data3(),FertiliserProducts[[#Headers],[Include or Exclude]], 40)</f>
        <v/>
      </c>
      <c r="W131" s="111" t="str" cm="1">
        <f t="array" aca="1" ref="W131" ca="1">Common_InputFunctions.Utility_DisplayArrayInTable(Fertiliser_SourceData.Fertiliser_Products_Data3(),FertiliserProducts[[#Headers],[Include or Exclude]], 40)</f>
        <v/>
      </c>
      <c r="X131" s="111" t="str" cm="1">
        <f t="array" aca="1" ref="X131" ca="1">Common_InputFunctions.Utility_DisplayArrayInTable(Fertiliser_SourceData.Fertiliser_Products_Data3(),FertiliserProducts[[#Headers],[Include or Exclude]], 40)</f>
        <v/>
      </c>
      <c r="Y131" s="111" t="str" cm="1">
        <f t="array" aca="1" ref="Y131" ca="1">Common_InputFunctions.Utility_DisplayArrayInTable(Fertiliser_SourceData.Fertiliser_Products_Data3(),FertiliserProducts[[#Headers],[Include or Exclude]], 40)</f>
        <v/>
      </c>
      <c r="Z131" s="111" t="str" cm="1">
        <f t="array" aca="1" ref="Z131" ca="1">Common_InputFunctions.Utility_DisplayArrayInTable(Fertiliser_SourceData.Fertiliser_Products_Data3(),FertiliserProducts[[#Headers],[Include or Exclude]], 40)</f>
        <v/>
      </c>
      <c r="AA131" s="37" t="str" cm="1">
        <f t="array" aca="1" ref="AA131" ca="1">Common_InputFunctions.Utility_DisplayArrayInTable(Fertiliser_SourceData.Fertiliser_Products_Data3(),FertiliserProducts[[#Headers],[Include or Exclude]], 40)</f>
        <v/>
      </c>
      <c r="AB131" s="37" t="str" cm="1">
        <f t="array" aca="1" ref="AB131" ca="1">Common_InputFunctions.Utility_DisplayArrayInTable(Fertiliser_SourceData.Fertiliser_Products_Data3(),FertiliserProducts[[#Headers],[Include or Exclude]], 40)</f>
        <v/>
      </c>
      <c r="AC131" s="37" t="str" cm="1">
        <f t="array" aca="1" ref="AC131" ca="1">Common_InputFunctions.Utility_DisplayArrayInTable(Fertiliser_SourceData.Fertiliser_Products_Data3(),FertiliserProducts[[#Headers],[Include or Exclude]], 40)</f>
        <v/>
      </c>
      <c r="AD131" s="37" t="str" cm="1">
        <f t="array" aca="1" ref="AD131" ca="1">Common_InputFunctions.Utility_DisplayArrayInTable(Fertiliser_SourceData.Fertiliser_Products_Data3(),FertiliserProducts[[#Headers],[Include or Exclude]], 40)</f>
        <v/>
      </c>
      <c r="AE131" s="37" t="str" cm="1">
        <f t="array" aca="1" ref="AE131" ca="1">Common_InputFunctions.Utility_DisplayArrayInTable(Fertiliser_SourceData.Fertiliser_Products_Data3(),FertiliserProducts[[#Headers],[Include or Exclude]], 40)</f>
        <v/>
      </c>
    </row>
    <row r="132" spans="4:31" ht="20.100000000000001" customHeight="1" x14ac:dyDescent="0.25">
      <c r="D132" s="111" t="str" cm="1">
        <f t="array" aca="1" ref="D132" ca="1">Common_InputFunctions.Utility_DisplayArrayInTable(Fertiliser_SourceData.Fertiliser_Products_Data3(),FertiliserProducts[[#Headers],[Include or Exclude]], 40)</f>
        <v/>
      </c>
      <c r="E132" s="111" t="str" cm="1">
        <f t="array" aca="1" ref="E132" ca="1">Common_InputFunctions.Utility_DisplayArrayInTable(Fertiliser_SourceData.Fertiliser_Products_Data3(),FertiliserProducts[[#Headers],[Include or Exclude]], 40)</f>
        <v/>
      </c>
      <c r="F132" s="111" t="str" cm="1">
        <f t="array" aca="1" ref="F132" ca="1">Common_InputFunctions.Utility_DisplayArrayInTable(Fertiliser_SourceData.Fertiliser_Products_Data3(),FertiliserProducts[[#Headers],[Include or Exclude]], 40)</f>
        <v/>
      </c>
      <c r="G132" s="111" t="str" cm="1">
        <f t="array" aca="1" ref="G132" ca="1">Common_InputFunctions.Utility_DisplayArrayInTable(Fertiliser_SourceData.Fertiliser_Products_Data3(),FertiliserProducts[[#Headers],[Include or Exclude]], 40)</f>
        <v/>
      </c>
      <c r="H132" s="111" t="str" cm="1">
        <f t="array" aca="1" ref="H132" ca="1">Common_InputFunctions.Utility_DisplayArrayInTable(Fertiliser_SourceData.Fertiliser_Products_Data3(),FertiliserProducts[[#Headers],[Include or Exclude]], 40)</f>
        <v/>
      </c>
      <c r="I132" s="111" t="str" cm="1">
        <f t="array" aca="1" ref="I132" ca="1">Common_InputFunctions.Utility_DisplayArrayInTable(Fertiliser_SourceData.Fertiliser_Products_Data3(),FertiliserProducts[[#Headers],[Include or Exclude]], 40)</f>
        <v/>
      </c>
      <c r="J132" s="111" t="str" cm="1">
        <f t="array" aca="1" ref="J132" ca="1">Common_InputFunctions.Utility_DisplayArrayInTable(Fertiliser_SourceData.Fertiliser_Products_Data3(),FertiliserProducts[[#Headers],[Include or Exclude]], 40)</f>
        <v/>
      </c>
      <c r="K132" s="111" t="str" cm="1">
        <f t="array" aca="1" ref="K132" ca="1">Common_InputFunctions.Utility_DisplayArrayInTable(Fertiliser_SourceData.Fertiliser_Products_Data3(),FertiliserProducts[[#Headers],[Include or Exclude]], 40)</f>
        <v/>
      </c>
      <c r="L132" s="111" t="str" cm="1">
        <f t="array" aca="1" ref="L132" ca="1">Common_InputFunctions.Utility_DisplayArrayInTable(Fertiliser_SourceData.Fertiliser_Products_Data3(),FertiliserProducts[[#Headers],[Include or Exclude]], 40)</f>
        <v/>
      </c>
      <c r="M132" s="111" t="str" cm="1">
        <f t="array" aca="1" ref="M132" ca="1">Common_InputFunctions.Utility_DisplayArrayInTable(Fertiliser_SourceData.Fertiliser_Products_Data3(),FertiliserProducts[[#Headers],[Include or Exclude]], 40)</f>
        <v/>
      </c>
      <c r="N132" s="111" t="str" cm="1">
        <f t="array" aca="1" ref="N132" ca="1">Common_InputFunctions.Utility_DisplayArrayInTable(Fertiliser_SourceData.Fertiliser_Products_Data3(),FertiliserProducts[[#Headers],[Include or Exclude]], 40)</f>
        <v/>
      </c>
      <c r="O132" s="111" t="str" cm="1">
        <f t="array" aca="1" ref="O132" ca="1">Common_InputFunctions.Utility_DisplayArrayInTable(Fertiliser_SourceData.Fertiliser_Products_Data3(),FertiliserProducts[[#Headers],[Include or Exclude]], 40)</f>
        <v/>
      </c>
      <c r="P132" s="111" t="str" cm="1">
        <f t="array" aca="1" ref="P132" ca="1">Common_InputFunctions.Utility_DisplayArrayInTable(Fertiliser_SourceData.Fertiliser_Products_Data3(),FertiliserProducts[[#Headers],[Include or Exclude]], 40)</f>
        <v/>
      </c>
      <c r="Q132" s="111" t="str" cm="1">
        <f t="array" aca="1" ref="Q132" ca="1">Common_InputFunctions.Utility_DisplayArrayInTable(Fertiliser_SourceData.Fertiliser_Products_Data3(),FertiliserProducts[[#Headers],[Include or Exclude]], 40)</f>
        <v/>
      </c>
      <c r="R132" s="111" t="str" cm="1">
        <f t="array" aca="1" ref="R132" ca="1">Common_InputFunctions.Utility_DisplayArrayInTable(Fertiliser_SourceData.Fertiliser_Products_Data3(),FertiliserProducts[[#Headers],[Include or Exclude]], 40)</f>
        <v/>
      </c>
      <c r="S132" s="111" t="str" cm="1">
        <f t="array" aca="1" ref="S132" ca="1">Common_InputFunctions.Utility_DisplayArrayInTable(Fertiliser_SourceData.Fertiliser_Products_Data3(),FertiliserProducts[[#Headers],[Include or Exclude]], 40)</f>
        <v/>
      </c>
      <c r="T132" s="111" t="str" cm="1">
        <f t="array" aca="1" ref="T132" ca="1">Common_InputFunctions.Utility_DisplayArrayInTable(Fertiliser_SourceData.Fertiliser_Products_Data3(),FertiliserProducts[[#Headers],[Include or Exclude]], 40)</f>
        <v/>
      </c>
      <c r="U132" s="111" t="str" cm="1">
        <f t="array" aca="1" ref="U132" ca="1">Common_InputFunctions.Utility_DisplayArrayInTable(Fertiliser_SourceData.Fertiliser_Products_Data3(),FertiliserProducts[[#Headers],[Include or Exclude]], 40)</f>
        <v/>
      </c>
      <c r="V132" s="111" t="str" cm="1">
        <f t="array" aca="1" ref="V132" ca="1">Common_InputFunctions.Utility_DisplayArrayInTable(Fertiliser_SourceData.Fertiliser_Products_Data3(),FertiliserProducts[[#Headers],[Include or Exclude]], 40)</f>
        <v/>
      </c>
      <c r="W132" s="111" t="str" cm="1">
        <f t="array" aca="1" ref="W132" ca="1">Common_InputFunctions.Utility_DisplayArrayInTable(Fertiliser_SourceData.Fertiliser_Products_Data3(),FertiliserProducts[[#Headers],[Include or Exclude]], 40)</f>
        <v/>
      </c>
      <c r="X132" s="111" t="str" cm="1">
        <f t="array" aca="1" ref="X132" ca="1">Common_InputFunctions.Utility_DisplayArrayInTable(Fertiliser_SourceData.Fertiliser_Products_Data3(),FertiliserProducts[[#Headers],[Include or Exclude]], 40)</f>
        <v/>
      </c>
      <c r="Y132" s="111" t="str" cm="1">
        <f t="array" aca="1" ref="Y132" ca="1">Common_InputFunctions.Utility_DisplayArrayInTable(Fertiliser_SourceData.Fertiliser_Products_Data3(),FertiliserProducts[[#Headers],[Include or Exclude]], 40)</f>
        <v/>
      </c>
      <c r="Z132" s="111" t="str" cm="1">
        <f t="array" aca="1" ref="Z132" ca="1">Common_InputFunctions.Utility_DisplayArrayInTable(Fertiliser_SourceData.Fertiliser_Products_Data3(),FertiliserProducts[[#Headers],[Include or Exclude]], 40)</f>
        <v/>
      </c>
      <c r="AA132" s="37" t="str" cm="1">
        <f t="array" aca="1" ref="AA132" ca="1">Common_InputFunctions.Utility_DisplayArrayInTable(Fertiliser_SourceData.Fertiliser_Products_Data3(),FertiliserProducts[[#Headers],[Include or Exclude]], 40)</f>
        <v/>
      </c>
      <c r="AB132" s="37" t="str" cm="1">
        <f t="array" aca="1" ref="AB132" ca="1">Common_InputFunctions.Utility_DisplayArrayInTable(Fertiliser_SourceData.Fertiliser_Products_Data3(),FertiliserProducts[[#Headers],[Include or Exclude]], 40)</f>
        <v/>
      </c>
      <c r="AC132" s="37" t="str" cm="1">
        <f t="array" aca="1" ref="AC132" ca="1">Common_InputFunctions.Utility_DisplayArrayInTable(Fertiliser_SourceData.Fertiliser_Products_Data3(),FertiliserProducts[[#Headers],[Include or Exclude]], 40)</f>
        <v/>
      </c>
      <c r="AD132" s="37" t="str" cm="1">
        <f t="array" aca="1" ref="AD132" ca="1">Common_InputFunctions.Utility_DisplayArrayInTable(Fertiliser_SourceData.Fertiliser_Products_Data3(),FertiliserProducts[[#Headers],[Include or Exclude]], 40)</f>
        <v/>
      </c>
      <c r="AE132" s="37" t="str" cm="1">
        <f t="array" aca="1" ref="AE132" ca="1">Common_InputFunctions.Utility_DisplayArrayInTable(Fertiliser_SourceData.Fertiliser_Products_Data3(),FertiliserProducts[[#Headers],[Include or Exclude]], 40)</f>
        <v/>
      </c>
    </row>
    <row r="133" spans="4:31" ht="20.100000000000001" customHeight="1" x14ac:dyDescent="0.25">
      <c r="D133" s="111" t="str" cm="1">
        <f t="array" aca="1" ref="D133" ca="1">Common_InputFunctions.Utility_DisplayArrayInTable(Fertiliser_SourceData.Fertiliser_Products_Data3(),FertiliserProducts[[#Headers],[Include or Exclude]], 40)</f>
        <v/>
      </c>
      <c r="E133" s="111" t="str" cm="1">
        <f t="array" aca="1" ref="E133" ca="1">Common_InputFunctions.Utility_DisplayArrayInTable(Fertiliser_SourceData.Fertiliser_Products_Data3(),FertiliserProducts[[#Headers],[Include or Exclude]], 40)</f>
        <v/>
      </c>
      <c r="F133" s="111" t="str" cm="1">
        <f t="array" aca="1" ref="F133" ca="1">Common_InputFunctions.Utility_DisplayArrayInTable(Fertiliser_SourceData.Fertiliser_Products_Data3(),FertiliserProducts[[#Headers],[Include or Exclude]], 40)</f>
        <v/>
      </c>
      <c r="G133" s="111" t="str" cm="1">
        <f t="array" aca="1" ref="G133" ca="1">Common_InputFunctions.Utility_DisplayArrayInTable(Fertiliser_SourceData.Fertiliser_Products_Data3(),FertiliserProducts[[#Headers],[Include or Exclude]], 40)</f>
        <v/>
      </c>
      <c r="H133" s="111" t="str" cm="1">
        <f t="array" aca="1" ref="H133" ca="1">Common_InputFunctions.Utility_DisplayArrayInTable(Fertiliser_SourceData.Fertiliser_Products_Data3(),FertiliserProducts[[#Headers],[Include or Exclude]], 40)</f>
        <v/>
      </c>
      <c r="I133" s="111" t="str" cm="1">
        <f t="array" aca="1" ref="I133" ca="1">Common_InputFunctions.Utility_DisplayArrayInTable(Fertiliser_SourceData.Fertiliser_Products_Data3(),FertiliserProducts[[#Headers],[Include or Exclude]], 40)</f>
        <v/>
      </c>
      <c r="J133" s="111" t="str" cm="1">
        <f t="array" aca="1" ref="J133" ca="1">Common_InputFunctions.Utility_DisplayArrayInTable(Fertiliser_SourceData.Fertiliser_Products_Data3(),FertiliserProducts[[#Headers],[Include or Exclude]], 40)</f>
        <v/>
      </c>
      <c r="K133" s="111" t="str" cm="1">
        <f t="array" aca="1" ref="K133" ca="1">Common_InputFunctions.Utility_DisplayArrayInTable(Fertiliser_SourceData.Fertiliser_Products_Data3(),FertiliserProducts[[#Headers],[Include or Exclude]], 40)</f>
        <v/>
      </c>
      <c r="L133" s="111" t="str" cm="1">
        <f t="array" aca="1" ref="L133" ca="1">Common_InputFunctions.Utility_DisplayArrayInTable(Fertiliser_SourceData.Fertiliser_Products_Data3(),FertiliserProducts[[#Headers],[Include or Exclude]], 40)</f>
        <v/>
      </c>
      <c r="M133" s="111" t="str" cm="1">
        <f t="array" aca="1" ref="M133" ca="1">Common_InputFunctions.Utility_DisplayArrayInTable(Fertiliser_SourceData.Fertiliser_Products_Data3(),FertiliserProducts[[#Headers],[Include or Exclude]], 40)</f>
        <v/>
      </c>
      <c r="N133" s="111" t="str" cm="1">
        <f t="array" aca="1" ref="N133" ca="1">Common_InputFunctions.Utility_DisplayArrayInTable(Fertiliser_SourceData.Fertiliser_Products_Data3(),FertiliserProducts[[#Headers],[Include or Exclude]], 40)</f>
        <v/>
      </c>
      <c r="O133" s="111" t="str" cm="1">
        <f t="array" aca="1" ref="O133" ca="1">Common_InputFunctions.Utility_DisplayArrayInTable(Fertiliser_SourceData.Fertiliser_Products_Data3(),FertiliserProducts[[#Headers],[Include or Exclude]], 40)</f>
        <v/>
      </c>
      <c r="P133" s="111" t="str" cm="1">
        <f t="array" aca="1" ref="P133" ca="1">Common_InputFunctions.Utility_DisplayArrayInTable(Fertiliser_SourceData.Fertiliser_Products_Data3(),FertiliserProducts[[#Headers],[Include or Exclude]], 40)</f>
        <v/>
      </c>
      <c r="Q133" s="111" t="str" cm="1">
        <f t="array" aca="1" ref="Q133" ca="1">Common_InputFunctions.Utility_DisplayArrayInTable(Fertiliser_SourceData.Fertiliser_Products_Data3(),FertiliserProducts[[#Headers],[Include or Exclude]], 40)</f>
        <v/>
      </c>
      <c r="R133" s="111" t="str" cm="1">
        <f t="array" aca="1" ref="R133" ca="1">Common_InputFunctions.Utility_DisplayArrayInTable(Fertiliser_SourceData.Fertiliser_Products_Data3(),FertiliserProducts[[#Headers],[Include or Exclude]], 40)</f>
        <v/>
      </c>
      <c r="S133" s="111" t="str" cm="1">
        <f t="array" aca="1" ref="S133" ca="1">Common_InputFunctions.Utility_DisplayArrayInTable(Fertiliser_SourceData.Fertiliser_Products_Data3(),FertiliserProducts[[#Headers],[Include or Exclude]], 40)</f>
        <v/>
      </c>
      <c r="T133" s="111" t="str" cm="1">
        <f t="array" aca="1" ref="T133" ca="1">Common_InputFunctions.Utility_DisplayArrayInTable(Fertiliser_SourceData.Fertiliser_Products_Data3(),FertiliserProducts[[#Headers],[Include or Exclude]], 40)</f>
        <v/>
      </c>
      <c r="U133" s="111" t="str" cm="1">
        <f t="array" aca="1" ref="U133" ca="1">Common_InputFunctions.Utility_DisplayArrayInTable(Fertiliser_SourceData.Fertiliser_Products_Data3(),FertiliserProducts[[#Headers],[Include or Exclude]], 40)</f>
        <v/>
      </c>
      <c r="V133" s="111" t="str" cm="1">
        <f t="array" aca="1" ref="V133" ca="1">Common_InputFunctions.Utility_DisplayArrayInTable(Fertiliser_SourceData.Fertiliser_Products_Data3(),FertiliserProducts[[#Headers],[Include or Exclude]], 40)</f>
        <v/>
      </c>
      <c r="W133" s="111" t="str" cm="1">
        <f t="array" aca="1" ref="W133" ca="1">Common_InputFunctions.Utility_DisplayArrayInTable(Fertiliser_SourceData.Fertiliser_Products_Data3(),FertiliserProducts[[#Headers],[Include or Exclude]], 40)</f>
        <v/>
      </c>
      <c r="X133" s="111" t="str" cm="1">
        <f t="array" aca="1" ref="X133" ca="1">Common_InputFunctions.Utility_DisplayArrayInTable(Fertiliser_SourceData.Fertiliser_Products_Data3(),FertiliserProducts[[#Headers],[Include or Exclude]], 40)</f>
        <v/>
      </c>
      <c r="Y133" s="111" t="str" cm="1">
        <f t="array" aca="1" ref="Y133" ca="1">Common_InputFunctions.Utility_DisplayArrayInTable(Fertiliser_SourceData.Fertiliser_Products_Data3(),FertiliserProducts[[#Headers],[Include or Exclude]], 40)</f>
        <v/>
      </c>
      <c r="Z133" s="111" t="str" cm="1">
        <f t="array" aca="1" ref="Z133" ca="1">Common_InputFunctions.Utility_DisplayArrayInTable(Fertiliser_SourceData.Fertiliser_Products_Data3(),FertiliserProducts[[#Headers],[Include or Exclude]], 40)</f>
        <v/>
      </c>
      <c r="AA133" s="37" t="str" cm="1">
        <f t="array" aca="1" ref="AA133" ca="1">Common_InputFunctions.Utility_DisplayArrayInTable(Fertiliser_SourceData.Fertiliser_Products_Data3(),FertiliserProducts[[#Headers],[Include or Exclude]], 40)</f>
        <v/>
      </c>
      <c r="AB133" s="37" t="str" cm="1">
        <f t="array" aca="1" ref="AB133" ca="1">Common_InputFunctions.Utility_DisplayArrayInTable(Fertiliser_SourceData.Fertiliser_Products_Data3(),FertiliserProducts[[#Headers],[Include or Exclude]], 40)</f>
        <v/>
      </c>
      <c r="AC133" s="37" t="str" cm="1">
        <f t="array" aca="1" ref="AC133" ca="1">Common_InputFunctions.Utility_DisplayArrayInTable(Fertiliser_SourceData.Fertiliser_Products_Data3(),FertiliserProducts[[#Headers],[Include or Exclude]], 40)</f>
        <v/>
      </c>
      <c r="AD133" s="37" t="str" cm="1">
        <f t="array" aca="1" ref="AD133" ca="1">Common_InputFunctions.Utility_DisplayArrayInTable(Fertiliser_SourceData.Fertiliser_Products_Data3(),FertiliserProducts[[#Headers],[Include or Exclude]], 40)</f>
        <v/>
      </c>
      <c r="AE133" s="37" t="str" cm="1">
        <f t="array" aca="1" ref="AE133" ca="1">Common_InputFunctions.Utility_DisplayArrayInTable(Fertiliser_SourceData.Fertiliser_Products_Data3(),FertiliserProducts[[#Headers],[Include or Exclude]], 40)</f>
        <v/>
      </c>
    </row>
    <row r="134" spans="4:31" ht="20.100000000000001" customHeight="1" x14ac:dyDescent="0.25">
      <c r="D134" s="111" t="str" cm="1">
        <f t="array" aca="1" ref="D134" ca="1">Common_InputFunctions.Utility_DisplayArrayInTable(Fertiliser_SourceData.Fertiliser_Products_Data3(),FertiliserProducts[[#Headers],[Include or Exclude]], 40)</f>
        <v/>
      </c>
      <c r="E134" s="111" t="str" cm="1">
        <f t="array" aca="1" ref="E134" ca="1">Common_InputFunctions.Utility_DisplayArrayInTable(Fertiliser_SourceData.Fertiliser_Products_Data3(),FertiliserProducts[[#Headers],[Include or Exclude]], 40)</f>
        <v/>
      </c>
      <c r="F134" s="111" t="str" cm="1">
        <f t="array" aca="1" ref="F134" ca="1">Common_InputFunctions.Utility_DisplayArrayInTable(Fertiliser_SourceData.Fertiliser_Products_Data3(),FertiliserProducts[[#Headers],[Include or Exclude]], 40)</f>
        <v/>
      </c>
      <c r="G134" s="111" t="str" cm="1">
        <f t="array" aca="1" ref="G134" ca="1">Common_InputFunctions.Utility_DisplayArrayInTable(Fertiliser_SourceData.Fertiliser_Products_Data3(),FertiliserProducts[[#Headers],[Include or Exclude]], 40)</f>
        <v/>
      </c>
      <c r="H134" s="111" t="str" cm="1">
        <f t="array" aca="1" ref="H134" ca="1">Common_InputFunctions.Utility_DisplayArrayInTable(Fertiliser_SourceData.Fertiliser_Products_Data3(),FertiliserProducts[[#Headers],[Include or Exclude]], 40)</f>
        <v/>
      </c>
      <c r="I134" s="111" t="str" cm="1">
        <f t="array" aca="1" ref="I134" ca="1">Common_InputFunctions.Utility_DisplayArrayInTable(Fertiliser_SourceData.Fertiliser_Products_Data3(),FertiliserProducts[[#Headers],[Include or Exclude]], 40)</f>
        <v/>
      </c>
      <c r="J134" s="111" t="str" cm="1">
        <f t="array" aca="1" ref="J134" ca="1">Common_InputFunctions.Utility_DisplayArrayInTable(Fertiliser_SourceData.Fertiliser_Products_Data3(),FertiliserProducts[[#Headers],[Include or Exclude]], 40)</f>
        <v/>
      </c>
      <c r="K134" s="111" t="str" cm="1">
        <f t="array" aca="1" ref="K134" ca="1">Common_InputFunctions.Utility_DisplayArrayInTable(Fertiliser_SourceData.Fertiliser_Products_Data3(),FertiliserProducts[[#Headers],[Include or Exclude]], 40)</f>
        <v/>
      </c>
      <c r="L134" s="111" t="str" cm="1">
        <f t="array" aca="1" ref="L134" ca="1">Common_InputFunctions.Utility_DisplayArrayInTable(Fertiliser_SourceData.Fertiliser_Products_Data3(),FertiliserProducts[[#Headers],[Include or Exclude]], 40)</f>
        <v/>
      </c>
      <c r="M134" s="111" t="str" cm="1">
        <f t="array" aca="1" ref="M134" ca="1">Common_InputFunctions.Utility_DisplayArrayInTable(Fertiliser_SourceData.Fertiliser_Products_Data3(),FertiliserProducts[[#Headers],[Include or Exclude]], 40)</f>
        <v/>
      </c>
      <c r="N134" s="111" t="str" cm="1">
        <f t="array" aca="1" ref="N134" ca="1">Common_InputFunctions.Utility_DisplayArrayInTable(Fertiliser_SourceData.Fertiliser_Products_Data3(),FertiliserProducts[[#Headers],[Include or Exclude]], 40)</f>
        <v/>
      </c>
      <c r="O134" s="111" t="str" cm="1">
        <f t="array" aca="1" ref="O134" ca="1">Common_InputFunctions.Utility_DisplayArrayInTable(Fertiliser_SourceData.Fertiliser_Products_Data3(),FertiliserProducts[[#Headers],[Include or Exclude]], 40)</f>
        <v/>
      </c>
      <c r="P134" s="111" t="str" cm="1">
        <f t="array" aca="1" ref="P134" ca="1">Common_InputFunctions.Utility_DisplayArrayInTable(Fertiliser_SourceData.Fertiliser_Products_Data3(),FertiliserProducts[[#Headers],[Include or Exclude]], 40)</f>
        <v/>
      </c>
      <c r="Q134" s="111" t="str" cm="1">
        <f t="array" aca="1" ref="Q134" ca="1">Common_InputFunctions.Utility_DisplayArrayInTable(Fertiliser_SourceData.Fertiliser_Products_Data3(),FertiliserProducts[[#Headers],[Include or Exclude]], 40)</f>
        <v/>
      </c>
      <c r="R134" s="111" t="str" cm="1">
        <f t="array" aca="1" ref="R134" ca="1">Common_InputFunctions.Utility_DisplayArrayInTable(Fertiliser_SourceData.Fertiliser_Products_Data3(),FertiliserProducts[[#Headers],[Include or Exclude]], 40)</f>
        <v/>
      </c>
      <c r="S134" s="111" t="str" cm="1">
        <f t="array" aca="1" ref="S134" ca="1">Common_InputFunctions.Utility_DisplayArrayInTable(Fertiliser_SourceData.Fertiliser_Products_Data3(),FertiliserProducts[[#Headers],[Include or Exclude]], 40)</f>
        <v/>
      </c>
      <c r="T134" s="111" t="str" cm="1">
        <f t="array" aca="1" ref="T134" ca="1">Common_InputFunctions.Utility_DisplayArrayInTable(Fertiliser_SourceData.Fertiliser_Products_Data3(),FertiliserProducts[[#Headers],[Include or Exclude]], 40)</f>
        <v/>
      </c>
      <c r="U134" s="111" t="str" cm="1">
        <f t="array" aca="1" ref="U134" ca="1">Common_InputFunctions.Utility_DisplayArrayInTable(Fertiliser_SourceData.Fertiliser_Products_Data3(),FertiliserProducts[[#Headers],[Include or Exclude]], 40)</f>
        <v/>
      </c>
      <c r="V134" s="111" t="str" cm="1">
        <f t="array" aca="1" ref="V134" ca="1">Common_InputFunctions.Utility_DisplayArrayInTable(Fertiliser_SourceData.Fertiliser_Products_Data3(),FertiliserProducts[[#Headers],[Include or Exclude]], 40)</f>
        <v/>
      </c>
      <c r="W134" s="111" t="str" cm="1">
        <f t="array" aca="1" ref="W134" ca="1">Common_InputFunctions.Utility_DisplayArrayInTable(Fertiliser_SourceData.Fertiliser_Products_Data3(),FertiliserProducts[[#Headers],[Include or Exclude]], 40)</f>
        <v/>
      </c>
      <c r="X134" s="111" t="str" cm="1">
        <f t="array" aca="1" ref="X134" ca="1">Common_InputFunctions.Utility_DisplayArrayInTable(Fertiliser_SourceData.Fertiliser_Products_Data3(),FertiliserProducts[[#Headers],[Include or Exclude]], 40)</f>
        <v/>
      </c>
      <c r="Y134" s="111" t="str" cm="1">
        <f t="array" aca="1" ref="Y134" ca="1">Common_InputFunctions.Utility_DisplayArrayInTable(Fertiliser_SourceData.Fertiliser_Products_Data3(),FertiliserProducts[[#Headers],[Include or Exclude]], 40)</f>
        <v/>
      </c>
      <c r="Z134" s="111" t="str" cm="1">
        <f t="array" aca="1" ref="Z134" ca="1">Common_InputFunctions.Utility_DisplayArrayInTable(Fertiliser_SourceData.Fertiliser_Products_Data3(),FertiliserProducts[[#Headers],[Include or Exclude]], 40)</f>
        <v/>
      </c>
      <c r="AA134" s="37" t="str" cm="1">
        <f t="array" aca="1" ref="AA134" ca="1">Common_InputFunctions.Utility_DisplayArrayInTable(Fertiliser_SourceData.Fertiliser_Products_Data3(),FertiliserProducts[[#Headers],[Include or Exclude]], 40)</f>
        <v/>
      </c>
      <c r="AB134" s="37" t="str" cm="1">
        <f t="array" aca="1" ref="AB134" ca="1">Common_InputFunctions.Utility_DisplayArrayInTable(Fertiliser_SourceData.Fertiliser_Products_Data3(),FertiliserProducts[[#Headers],[Include or Exclude]], 40)</f>
        <v/>
      </c>
      <c r="AC134" s="37" t="str" cm="1">
        <f t="array" aca="1" ref="AC134" ca="1">Common_InputFunctions.Utility_DisplayArrayInTable(Fertiliser_SourceData.Fertiliser_Products_Data3(),FertiliserProducts[[#Headers],[Include or Exclude]], 40)</f>
        <v/>
      </c>
      <c r="AD134" s="37" t="str" cm="1">
        <f t="array" aca="1" ref="AD134" ca="1">Common_InputFunctions.Utility_DisplayArrayInTable(Fertiliser_SourceData.Fertiliser_Products_Data3(),FertiliserProducts[[#Headers],[Include or Exclude]], 40)</f>
        <v/>
      </c>
      <c r="AE134" s="37" t="str" cm="1">
        <f t="array" aca="1" ref="AE134" ca="1">Common_InputFunctions.Utility_DisplayArrayInTable(Fertiliser_SourceData.Fertiliser_Products_Data3(),FertiliserProducts[[#Headers],[Include or Exclude]], 40)</f>
        <v/>
      </c>
    </row>
    <row r="135" spans="4:31" ht="20.100000000000001" customHeight="1" x14ac:dyDescent="0.25">
      <c r="D135" s="111" t="str" cm="1">
        <f t="array" aca="1" ref="D135" ca="1">Common_InputFunctions.Utility_DisplayArrayInTable(Fertiliser_SourceData.Fertiliser_Products_Data3(),FertiliserProducts[[#Headers],[Include or Exclude]], 40)</f>
        <v/>
      </c>
      <c r="E135" s="111" t="str" cm="1">
        <f t="array" aca="1" ref="E135" ca="1">Common_InputFunctions.Utility_DisplayArrayInTable(Fertiliser_SourceData.Fertiliser_Products_Data3(),FertiliserProducts[[#Headers],[Include or Exclude]], 40)</f>
        <v/>
      </c>
      <c r="F135" s="111" t="str" cm="1">
        <f t="array" aca="1" ref="F135" ca="1">Common_InputFunctions.Utility_DisplayArrayInTable(Fertiliser_SourceData.Fertiliser_Products_Data3(),FertiliserProducts[[#Headers],[Include or Exclude]], 40)</f>
        <v/>
      </c>
      <c r="G135" s="111" t="str" cm="1">
        <f t="array" aca="1" ref="G135" ca="1">Common_InputFunctions.Utility_DisplayArrayInTable(Fertiliser_SourceData.Fertiliser_Products_Data3(),FertiliserProducts[[#Headers],[Include or Exclude]], 40)</f>
        <v/>
      </c>
      <c r="H135" s="111" t="str" cm="1">
        <f t="array" aca="1" ref="H135" ca="1">Common_InputFunctions.Utility_DisplayArrayInTable(Fertiliser_SourceData.Fertiliser_Products_Data3(),FertiliserProducts[[#Headers],[Include or Exclude]], 40)</f>
        <v/>
      </c>
      <c r="I135" s="111" t="str" cm="1">
        <f t="array" aca="1" ref="I135" ca="1">Common_InputFunctions.Utility_DisplayArrayInTable(Fertiliser_SourceData.Fertiliser_Products_Data3(),FertiliserProducts[[#Headers],[Include or Exclude]], 40)</f>
        <v/>
      </c>
      <c r="J135" s="111" t="str" cm="1">
        <f t="array" aca="1" ref="J135" ca="1">Common_InputFunctions.Utility_DisplayArrayInTable(Fertiliser_SourceData.Fertiliser_Products_Data3(),FertiliserProducts[[#Headers],[Include or Exclude]], 40)</f>
        <v/>
      </c>
      <c r="K135" s="111" t="str" cm="1">
        <f t="array" aca="1" ref="K135" ca="1">Common_InputFunctions.Utility_DisplayArrayInTable(Fertiliser_SourceData.Fertiliser_Products_Data3(),FertiliserProducts[[#Headers],[Include or Exclude]], 40)</f>
        <v/>
      </c>
      <c r="L135" s="111" t="str" cm="1">
        <f t="array" aca="1" ref="L135" ca="1">Common_InputFunctions.Utility_DisplayArrayInTable(Fertiliser_SourceData.Fertiliser_Products_Data3(),FertiliserProducts[[#Headers],[Include or Exclude]], 40)</f>
        <v/>
      </c>
      <c r="M135" s="111" t="str" cm="1">
        <f t="array" aca="1" ref="M135" ca="1">Common_InputFunctions.Utility_DisplayArrayInTable(Fertiliser_SourceData.Fertiliser_Products_Data3(),FertiliserProducts[[#Headers],[Include or Exclude]], 40)</f>
        <v/>
      </c>
      <c r="N135" s="111" t="str" cm="1">
        <f t="array" aca="1" ref="N135" ca="1">Common_InputFunctions.Utility_DisplayArrayInTable(Fertiliser_SourceData.Fertiliser_Products_Data3(),FertiliserProducts[[#Headers],[Include or Exclude]], 40)</f>
        <v/>
      </c>
      <c r="O135" s="111" t="str" cm="1">
        <f t="array" aca="1" ref="O135" ca="1">Common_InputFunctions.Utility_DisplayArrayInTable(Fertiliser_SourceData.Fertiliser_Products_Data3(),FertiliserProducts[[#Headers],[Include or Exclude]], 40)</f>
        <v/>
      </c>
      <c r="P135" s="111" t="str" cm="1">
        <f t="array" aca="1" ref="P135" ca="1">Common_InputFunctions.Utility_DisplayArrayInTable(Fertiliser_SourceData.Fertiliser_Products_Data3(),FertiliserProducts[[#Headers],[Include or Exclude]], 40)</f>
        <v/>
      </c>
      <c r="Q135" s="111" t="str" cm="1">
        <f t="array" aca="1" ref="Q135" ca="1">Common_InputFunctions.Utility_DisplayArrayInTable(Fertiliser_SourceData.Fertiliser_Products_Data3(),FertiliserProducts[[#Headers],[Include or Exclude]], 40)</f>
        <v/>
      </c>
      <c r="R135" s="111" t="str" cm="1">
        <f t="array" aca="1" ref="R135" ca="1">Common_InputFunctions.Utility_DisplayArrayInTable(Fertiliser_SourceData.Fertiliser_Products_Data3(),FertiliserProducts[[#Headers],[Include or Exclude]], 40)</f>
        <v/>
      </c>
      <c r="S135" s="111" t="str" cm="1">
        <f t="array" aca="1" ref="S135" ca="1">Common_InputFunctions.Utility_DisplayArrayInTable(Fertiliser_SourceData.Fertiliser_Products_Data3(),FertiliserProducts[[#Headers],[Include or Exclude]], 40)</f>
        <v/>
      </c>
      <c r="T135" s="111" t="str" cm="1">
        <f t="array" aca="1" ref="T135" ca="1">Common_InputFunctions.Utility_DisplayArrayInTable(Fertiliser_SourceData.Fertiliser_Products_Data3(),FertiliserProducts[[#Headers],[Include or Exclude]], 40)</f>
        <v/>
      </c>
      <c r="U135" s="111" t="str" cm="1">
        <f t="array" aca="1" ref="U135" ca="1">Common_InputFunctions.Utility_DisplayArrayInTable(Fertiliser_SourceData.Fertiliser_Products_Data3(),FertiliserProducts[[#Headers],[Include or Exclude]], 40)</f>
        <v/>
      </c>
      <c r="V135" s="111" t="str" cm="1">
        <f t="array" aca="1" ref="V135" ca="1">Common_InputFunctions.Utility_DisplayArrayInTable(Fertiliser_SourceData.Fertiliser_Products_Data3(),FertiliserProducts[[#Headers],[Include or Exclude]], 40)</f>
        <v/>
      </c>
      <c r="W135" s="111" t="str" cm="1">
        <f t="array" aca="1" ref="W135" ca="1">Common_InputFunctions.Utility_DisplayArrayInTable(Fertiliser_SourceData.Fertiliser_Products_Data3(),FertiliserProducts[[#Headers],[Include or Exclude]], 40)</f>
        <v/>
      </c>
      <c r="X135" s="111" t="str" cm="1">
        <f t="array" aca="1" ref="X135" ca="1">Common_InputFunctions.Utility_DisplayArrayInTable(Fertiliser_SourceData.Fertiliser_Products_Data3(),FertiliserProducts[[#Headers],[Include or Exclude]], 40)</f>
        <v/>
      </c>
      <c r="Y135" s="111" t="str" cm="1">
        <f t="array" aca="1" ref="Y135" ca="1">Common_InputFunctions.Utility_DisplayArrayInTable(Fertiliser_SourceData.Fertiliser_Products_Data3(),FertiliserProducts[[#Headers],[Include or Exclude]], 40)</f>
        <v/>
      </c>
      <c r="Z135" s="111" t="str" cm="1">
        <f t="array" aca="1" ref="Z135" ca="1">Common_InputFunctions.Utility_DisplayArrayInTable(Fertiliser_SourceData.Fertiliser_Products_Data3(),FertiliserProducts[[#Headers],[Include or Exclude]], 40)</f>
        <v/>
      </c>
      <c r="AA135" s="37" t="str" cm="1">
        <f t="array" aca="1" ref="AA135" ca="1">Common_InputFunctions.Utility_DisplayArrayInTable(Fertiliser_SourceData.Fertiliser_Products_Data3(),FertiliserProducts[[#Headers],[Include or Exclude]], 40)</f>
        <v/>
      </c>
      <c r="AB135" s="37" t="str" cm="1">
        <f t="array" aca="1" ref="AB135" ca="1">Common_InputFunctions.Utility_DisplayArrayInTable(Fertiliser_SourceData.Fertiliser_Products_Data3(),FertiliserProducts[[#Headers],[Include or Exclude]], 40)</f>
        <v/>
      </c>
      <c r="AC135" s="37" t="str" cm="1">
        <f t="array" aca="1" ref="AC135" ca="1">Common_InputFunctions.Utility_DisplayArrayInTable(Fertiliser_SourceData.Fertiliser_Products_Data3(),FertiliserProducts[[#Headers],[Include or Exclude]], 40)</f>
        <v/>
      </c>
      <c r="AD135" s="37" t="str" cm="1">
        <f t="array" aca="1" ref="AD135" ca="1">Common_InputFunctions.Utility_DisplayArrayInTable(Fertiliser_SourceData.Fertiliser_Products_Data3(),FertiliserProducts[[#Headers],[Include or Exclude]], 40)</f>
        <v/>
      </c>
      <c r="AE135" s="37" t="str" cm="1">
        <f t="array" aca="1" ref="AE135" ca="1">Common_InputFunctions.Utility_DisplayArrayInTable(Fertiliser_SourceData.Fertiliser_Products_Data3(),FertiliserProducts[[#Headers],[Include or Exclude]], 40)</f>
        <v/>
      </c>
    </row>
    <row r="136" spans="4:31" ht="20.100000000000001" customHeight="1" x14ac:dyDescent="0.25">
      <c r="D136" s="111" t="str" cm="1">
        <f t="array" aca="1" ref="D136" ca="1">Common_InputFunctions.Utility_DisplayArrayInTable(Fertiliser_SourceData.Fertiliser_Products_Data3(),FertiliserProducts[[#Headers],[Include or Exclude]], 40)</f>
        <v/>
      </c>
      <c r="E136" s="111" t="str" cm="1">
        <f t="array" aca="1" ref="E136" ca="1">Common_InputFunctions.Utility_DisplayArrayInTable(Fertiliser_SourceData.Fertiliser_Products_Data3(),FertiliserProducts[[#Headers],[Include or Exclude]], 40)</f>
        <v/>
      </c>
      <c r="F136" s="111" t="str" cm="1">
        <f t="array" aca="1" ref="F136" ca="1">Common_InputFunctions.Utility_DisplayArrayInTable(Fertiliser_SourceData.Fertiliser_Products_Data3(),FertiliserProducts[[#Headers],[Include or Exclude]], 40)</f>
        <v/>
      </c>
      <c r="G136" s="111" t="str" cm="1">
        <f t="array" aca="1" ref="G136" ca="1">Common_InputFunctions.Utility_DisplayArrayInTable(Fertiliser_SourceData.Fertiliser_Products_Data3(),FertiliserProducts[[#Headers],[Include or Exclude]], 40)</f>
        <v/>
      </c>
      <c r="H136" s="111" t="str" cm="1">
        <f t="array" aca="1" ref="H136" ca="1">Common_InputFunctions.Utility_DisplayArrayInTable(Fertiliser_SourceData.Fertiliser_Products_Data3(),FertiliserProducts[[#Headers],[Include or Exclude]], 40)</f>
        <v/>
      </c>
      <c r="I136" s="111" t="str" cm="1">
        <f t="array" aca="1" ref="I136" ca="1">Common_InputFunctions.Utility_DisplayArrayInTable(Fertiliser_SourceData.Fertiliser_Products_Data3(),FertiliserProducts[[#Headers],[Include or Exclude]], 40)</f>
        <v/>
      </c>
      <c r="J136" s="111" t="str" cm="1">
        <f t="array" aca="1" ref="J136" ca="1">Common_InputFunctions.Utility_DisplayArrayInTable(Fertiliser_SourceData.Fertiliser_Products_Data3(),FertiliserProducts[[#Headers],[Include or Exclude]], 40)</f>
        <v/>
      </c>
      <c r="K136" s="111" t="str" cm="1">
        <f t="array" aca="1" ref="K136" ca="1">Common_InputFunctions.Utility_DisplayArrayInTable(Fertiliser_SourceData.Fertiliser_Products_Data3(),FertiliserProducts[[#Headers],[Include or Exclude]], 40)</f>
        <v/>
      </c>
      <c r="L136" s="111" t="str" cm="1">
        <f t="array" aca="1" ref="L136" ca="1">Common_InputFunctions.Utility_DisplayArrayInTable(Fertiliser_SourceData.Fertiliser_Products_Data3(),FertiliserProducts[[#Headers],[Include or Exclude]], 40)</f>
        <v/>
      </c>
      <c r="M136" s="111" t="str" cm="1">
        <f t="array" aca="1" ref="M136" ca="1">Common_InputFunctions.Utility_DisplayArrayInTable(Fertiliser_SourceData.Fertiliser_Products_Data3(),FertiliserProducts[[#Headers],[Include or Exclude]], 40)</f>
        <v/>
      </c>
      <c r="N136" s="111" t="str" cm="1">
        <f t="array" aca="1" ref="N136" ca="1">Common_InputFunctions.Utility_DisplayArrayInTable(Fertiliser_SourceData.Fertiliser_Products_Data3(),FertiliserProducts[[#Headers],[Include or Exclude]], 40)</f>
        <v/>
      </c>
      <c r="O136" s="111" t="str" cm="1">
        <f t="array" aca="1" ref="O136" ca="1">Common_InputFunctions.Utility_DisplayArrayInTable(Fertiliser_SourceData.Fertiliser_Products_Data3(),FertiliserProducts[[#Headers],[Include or Exclude]], 40)</f>
        <v/>
      </c>
      <c r="P136" s="111" t="str" cm="1">
        <f t="array" aca="1" ref="P136" ca="1">Common_InputFunctions.Utility_DisplayArrayInTable(Fertiliser_SourceData.Fertiliser_Products_Data3(),FertiliserProducts[[#Headers],[Include or Exclude]], 40)</f>
        <v/>
      </c>
      <c r="Q136" s="111" t="str" cm="1">
        <f t="array" aca="1" ref="Q136" ca="1">Common_InputFunctions.Utility_DisplayArrayInTable(Fertiliser_SourceData.Fertiliser_Products_Data3(),FertiliserProducts[[#Headers],[Include or Exclude]], 40)</f>
        <v/>
      </c>
      <c r="R136" s="111" t="str" cm="1">
        <f t="array" aca="1" ref="R136" ca="1">Common_InputFunctions.Utility_DisplayArrayInTable(Fertiliser_SourceData.Fertiliser_Products_Data3(),FertiliserProducts[[#Headers],[Include or Exclude]], 40)</f>
        <v/>
      </c>
      <c r="S136" s="111" t="str" cm="1">
        <f t="array" aca="1" ref="S136" ca="1">Common_InputFunctions.Utility_DisplayArrayInTable(Fertiliser_SourceData.Fertiliser_Products_Data3(),FertiliserProducts[[#Headers],[Include or Exclude]], 40)</f>
        <v/>
      </c>
      <c r="T136" s="111" t="str" cm="1">
        <f t="array" aca="1" ref="T136" ca="1">Common_InputFunctions.Utility_DisplayArrayInTable(Fertiliser_SourceData.Fertiliser_Products_Data3(),FertiliserProducts[[#Headers],[Include or Exclude]], 40)</f>
        <v/>
      </c>
      <c r="U136" s="111" t="str" cm="1">
        <f t="array" aca="1" ref="U136" ca="1">Common_InputFunctions.Utility_DisplayArrayInTable(Fertiliser_SourceData.Fertiliser_Products_Data3(),FertiliserProducts[[#Headers],[Include or Exclude]], 40)</f>
        <v/>
      </c>
      <c r="V136" s="111" t="str" cm="1">
        <f t="array" aca="1" ref="V136" ca="1">Common_InputFunctions.Utility_DisplayArrayInTable(Fertiliser_SourceData.Fertiliser_Products_Data3(),FertiliserProducts[[#Headers],[Include or Exclude]], 40)</f>
        <v/>
      </c>
      <c r="W136" s="111" t="str" cm="1">
        <f t="array" aca="1" ref="W136" ca="1">Common_InputFunctions.Utility_DisplayArrayInTable(Fertiliser_SourceData.Fertiliser_Products_Data3(),FertiliserProducts[[#Headers],[Include or Exclude]], 40)</f>
        <v/>
      </c>
      <c r="X136" s="111" t="str" cm="1">
        <f t="array" aca="1" ref="X136" ca="1">Common_InputFunctions.Utility_DisplayArrayInTable(Fertiliser_SourceData.Fertiliser_Products_Data3(),FertiliserProducts[[#Headers],[Include or Exclude]], 40)</f>
        <v/>
      </c>
      <c r="Y136" s="111" t="str" cm="1">
        <f t="array" aca="1" ref="Y136" ca="1">Common_InputFunctions.Utility_DisplayArrayInTable(Fertiliser_SourceData.Fertiliser_Products_Data3(),FertiliserProducts[[#Headers],[Include or Exclude]], 40)</f>
        <v/>
      </c>
      <c r="Z136" s="111" t="str" cm="1">
        <f t="array" aca="1" ref="Z136" ca="1">Common_InputFunctions.Utility_DisplayArrayInTable(Fertiliser_SourceData.Fertiliser_Products_Data3(),FertiliserProducts[[#Headers],[Include or Exclude]], 40)</f>
        <v/>
      </c>
      <c r="AA136" s="37" t="str" cm="1">
        <f t="array" aca="1" ref="AA136" ca="1">Common_InputFunctions.Utility_DisplayArrayInTable(Fertiliser_SourceData.Fertiliser_Products_Data3(),FertiliserProducts[[#Headers],[Include or Exclude]], 40)</f>
        <v/>
      </c>
      <c r="AB136" s="37" t="str" cm="1">
        <f t="array" aca="1" ref="AB136" ca="1">Common_InputFunctions.Utility_DisplayArrayInTable(Fertiliser_SourceData.Fertiliser_Products_Data3(),FertiliserProducts[[#Headers],[Include or Exclude]], 40)</f>
        <v/>
      </c>
      <c r="AC136" s="37" t="str" cm="1">
        <f t="array" aca="1" ref="AC136" ca="1">Common_InputFunctions.Utility_DisplayArrayInTable(Fertiliser_SourceData.Fertiliser_Products_Data3(),FertiliserProducts[[#Headers],[Include or Exclude]], 40)</f>
        <v/>
      </c>
      <c r="AD136" s="37" t="str" cm="1">
        <f t="array" aca="1" ref="AD136" ca="1">Common_InputFunctions.Utility_DisplayArrayInTable(Fertiliser_SourceData.Fertiliser_Products_Data3(),FertiliserProducts[[#Headers],[Include or Exclude]], 40)</f>
        <v/>
      </c>
      <c r="AE136" s="37" t="str" cm="1">
        <f t="array" aca="1" ref="AE136" ca="1">Common_InputFunctions.Utility_DisplayArrayInTable(Fertiliser_SourceData.Fertiliser_Products_Data3(),FertiliserProducts[[#Headers],[Include or Exclude]], 40)</f>
        <v/>
      </c>
    </row>
    <row r="137" spans="4:31" ht="20.100000000000001" customHeight="1" x14ac:dyDescent="0.25">
      <c r="D137" s="111" t="str" cm="1">
        <f t="array" aca="1" ref="D137" ca="1">Common_InputFunctions.Utility_DisplayArrayInTable(Fertiliser_SourceData.Fertiliser_Products_Data3(),FertiliserProducts[[#Headers],[Include or Exclude]], 40)</f>
        <v/>
      </c>
      <c r="E137" s="111" t="str" cm="1">
        <f t="array" aca="1" ref="E137" ca="1">Common_InputFunctions.Utility_DisplayArrayInTable(Fertiliser_SourceData.Fertiliser_Products_Data3(),FertiliserProducts[[#Headers],[Include or Exclude]], 40)</f>
        <v/>
      </c>
      <c r="F137" s="111" t="str" cm="1">
        <f t="array" aca="1" ref="F137" ca="1">Common_InputFunctions.Utility_DisplayArrayInTable(Fertiliser_SourceData.Fertiliser_Products_Data3(),FertiliserProducts[[#Headers],[Include or Exclude]], 40)</f>
        <v/>
      </c>
      <c r="G137" s="111" t="str" cm="1">
        <f t="array" aca="1" ref="G137" ca="1">Common_InputFunctions.Utility_DisplayArrayInTable(Fertiliser_SourceData.Fertiliser_Products_Data3(),FertiliserProducts[[#Headers],[Include or Exclude]], 40)</f>
        <v/>
      </c>
      <c r="H137" s="111" t="str" cm="1">
        <f t="array" aca="1" ref="H137" ca="1">Common_InputFunctions.Utility_DisplayArrayInTable(Fertiliser_SourceData.Fertiliser_Products_Data3(),FertiliserProducts[[#Headers],[Include or Exclude]], 40)</f>
        <v/>
      </c>
      <c r="I137" s="111" t="str" cm="1">
        <f t="array" aca="1" ref="I137" ca="1">Common_InputFunctions.Utility_DisplayArrayInTable(Fertiliser_SourceData.Fertiliser_Products_Data3(),FertiliserProducts[[#Headers],[Include or Exclude]], 40)</f>
        <v/>
      </c>
      <c r="J137" s="111" t="str" cm="1">
        <f t="array" aca="1" ref="J137" ca="1">Common_InputFunctions.Utility_DisplayArrayInTable(Fertiliser_SourceData.Fertiliser_Products_Data3(),FertiliserProducts[[#Headers],[Include or Exclude]], 40)</f>
        <v/>
      </c>
      <c r="K137" s="111" t="str" cm="1">
        <f t="array" aca="1" ref="K137" ca="1">Common_InputFunctions.Utility_DisplayArrayInTable(Fertiliser_SourceData.Fertiliser_Products_Data3(),FertiliserProducts[[#Headers],[Include or Exclude]], 40)</f>
        <v/>
      </c>
      <c r="L137" s="111" t="str" cm="1">
        <f t="array" aca="1" ref="L137" ca="1">Common_InputFunctions.Utility_DisplayArrayInTable(Fertiliser_SourceData.Fertiliser_Products_Data3(),FertiliserProducts[[#Headers],[Include or Exclude]], 40)</f>
        <v/>
      </c>
      <c r="M137" s="111" t="str" cm="1">
        <f t="array" aca="1" ref="M137" ca="1">Common_InputFunctions.Utility_DisplayArrayInTable(Fertiliser_SourceData.Fertiliser_Products_Data3(),FertiliserProducts[[#Headers],[Include or Exclude]], 40)</f>
        <v/>
      </c>
      <c r="N137" s="111" t="str" cm="1">
        <f t="array" aca="1" ref="N137" ca="1">Common_InputFunctions.Utility_DisplayArrayInTable(Fertiliser_SourceData.Fertiliser_Products_Data3(),FertiliserProducts[[#Headers],[Include or Exclude]], 40)</f>
        <v/>
      </c>
      <c r="O137" s="111" t="str" cm="1">
        <f t="array" aca="1" ref="O137" ca="1">Common_InputFunctions.Utility_DisplayArrayInTable(Fertiliser_SourceData.Fertiliser_Products_Data3(),FertiliserProducts[[#Headers],[Include or Exclude]], 40)</f>
        <v/>
      </c>
      <c r="P137" s="111" t="str" cm="1">
        <f t="array" aca="1" ref="P137" ca="1">Common_InputFunctions.Utility_DisplayArrayInTable(Fertiliser_SourceData.Fertiliser_Products_Data3(),FertiliserProducts[[#Headers],[Include or Exclude]], 40)</f>
        <v/>
      </c>
      <c r="Q137" s="111" t="str" cm="1">
        <f t="array" aca="1" ref="Q137" ca="1">Common_InputFunctions.Utility_DisplayArrayInTable(Fertiliser_SourceData.Fertiliser_Products_Data3(),FertiliserProducts[[#Headers],[Include or Exclude]], 40)</f>
        <v/>
      </c>
      <c r="R137" s="111" t="str" cm="1">
        <f t="array" aca="1" ref="R137" ca="1">Common_InputFunctions.Utility_DisplayArrayInTable(Fertiliser_SourceData.Fertiliser_Products_Data3(),FertiliserProducts[[#Headers],[Include or Exclude]], 40)</f>
        <v/>
      </c>
      <c r="S137" s="111" t="str" cm="1">
        <f t="array" aca="1" ref="S137" ca="1">Common_InputFunctions.Utility_DisplayArrayInTable(Fertiliser_SourceData.Fertiliser_Products_Data3(),FertiliserProducts[[#Headers],[Include or Exclude]], 40)</f>
        <v/>
      </c>
      <c r="T137" s="111" t="str" cm="1">
        <f t="array" aca="1" ref="T137" ca="1">Common_InputFunctions.Utility_DisplayArrayInTable(Fertiliser_SourceData.Fertiliser_Products_Data3(),FertiliserProducts[[#Headers],[Include or Exclude]], 40)</f>
        <v/>
      </c>
      <c r="U137" s="111" t="str" cm="1">
        <f t="array" aca="1" ref="U137" ca="1">Common_InputFunctions.Utility_DisplayArrayInTable(Fertiliser_SourceData.Fertiliser_Products_Data3(),FertiliserProducts[[#Headers],[Include or Exclude]], 40)</f>
        <v/>
      </c>
      <c r="V137" s="111" t="str" cm="1">
        <f t="array" aca="1" ref="V137" ca="1">Common_InputFunctions.Utility_DisplayArrayInTable(Fertiliser_SourceData.Fertiliser_Products_Data3(),FertiliserProducts[[#Headers],[Include or Exclude]], 40)</f>
        <v/>
      </c>
      <c r="W137" s="111" t="str" cm="1">
        <f t="array" aca="1" ref="W137" ca="1">Common_InputFunctions.Utility_DisplayArrayInTable(Fertiliser_SourceData.Fertiliser_Products_Data3(),FertiliserProducts[[#Headers],[Include or Exclude]], 40)</f>
        <v/>
      </c>
      <c r="X137" s="111" t="str" cm="1">
        <f t="array" aca="1" ref="X137" ca="1">Common_InputFunctions.Utility_DisplayArrayInTable(Fertiliser_SourceData.Fertiliser_Products_Data3(),FertiliserProducts[[#Headers],[Include or Exclude]], 40)</f>
        <v/>
      </c>
      <c r="Y137" s="111" t="str" cm="1">
        <f t="array" aca="1" ref="Y137" ca="1">Common_InputFunctions.Utility_DisplayArrayInTable(Fertiliser_SourceData.Fertiliser_Products_Data3(),FertiliserProducts[[#Headers],[Include or Exclude]], 40)</f>
        <v/>
      </c>
      <c r="Z137" s="111" t="str" cm="1">
        <f t="array" aca="1" ref="Z137" ca="1">Common_InputFunctions.Utility_DisplayArrayInTable(Fertiliser_SourceData.Fertiliser_Products_Data3(),FertiliserProducts[[#Headers],[Include or Exclude]], 40)</f>
        <v/>
      </c>
      <c r="AA137" s="37" t="str" cm="1">
        <f t="array" aca="1" ref="AA137" ca="1">Common_InputFunctions.Utility_DisplayArrayInTable(Fertiliser_SourceData.Fertiliser_Products_Data3(),FertiliserProducts[[#Headers],[Include or Exclude]], 40)</f>
        <v/>
      </c>
      <c r="AB137" s="37" t="str" cm="1">
        <f t="array" aca="1" ref="AB137" ca="1">Common_InputFunctions.Utility_DisplayArrayInTable(Fertiliser_SourceData.Fertiliser_Products_Data3(),FertiliserProducts[[#Headers],[Include or Exclude]], 40)</f>
        <v/>
      </c>
      <c r="AC137" s="37" t="str" cm="1">
        <f t="array" aca="1" ref="AC137" ca="1">Common_InputFunctions.Utility_DisplayArrayInTable(Fertiliser_SourceData.Fertiliser_Products_Data3(),FertiliserProducts[[#Headers],[Include or Exclude]], 40)</f>
        <v/>
      </c>
      <c r="AD137" s="37" t="str" cm="1">
        <f t="array" aca="1" ref="AD137" ca="1">Common_InputFunctions.Utility_DisplayArrayInTable(Fertiliser_SourceData.Fertiliser_Products_Data3(),FertiliserProducts[[#Headers],[Include or Exclude]], 40)</f>
        <v/>
      </c>
      <c r="AE137" s="37" t="str" cm="1">
        <f t="array" aca="1" ref="AE137" ca="1">Common_InputFunctions.Utility_DisplayArrayInTable(Fertiliser_SourceData.Fertiliser_Products_Data3(),FertiliserProducts[[#Headers],[Include or Exclude]], 40)</f>
        <v/>
      </c>
    </row>
    <row r="138" spans="4:31" ht="20.100000000000001" customHeight="1" x14ac:dyDescent="0.25">
      <c r="D138" s="111" t="str" cm="1">
        <f t="array" aca="1" ref="D138" ca="1">Common_InputFunctions.Utility_DisplayArrayInTable(Fertiliser_SourceData.Fertiliser_Products_Data3(),FertiliserProducts[[#Headers],[Include or Exclude]], 40)</f>
        <v/>
      </c>
      <c r="E138" s="111" t="str" cm="1">
        <f t="array" aca="1" ref="E138" ca="1">Common_InputFunctions.Utility_DisplayArrayInTable(Fertiliser_SourceData.Fertiliser_Products_Data3(),FertiliserProducts[[#Headers],[Include or Exclude]], 40)</f>
        <v/>
      </c>
      <c r="F138" s="111" t="str" cm="1">
        <f t="array" aca="1" ref="F138" ca="1">Common_InputFunctions.Utility_DisplayArrayInTable(Fertiliser_SourceData.Fertiliser_Products_Data3(),FertiliserProducts[[#Headers],[Include or Exclude]], 40)</f>
        <v/>
      </c>
      <c r="G138" s="111" t="str" cm="1">
        <f t="array" aca="1" ref="G138" ca="1">Common_InputFunctions.Utility_DisplayArrayInTable(Fertiliser_SourceData.Fertiliser_Products_Data3(),FertiliserProducts[[#Headers],[Include or Exclude]], 40)</f>
        <v/>
      </c>
      <c r="H138" s="111" t="str" cm="1">
        <f t="array" aca="1" ref="H138" ca="1">Common_InputFunctions.Utility_DisplayArrayInTable(Fertiliser_SourceData.Fertiliser_Products_Data3(),FertiliserProducts[[#Headers],[Include or Exclude]], 40)</f>
        <v/>
      </c>
      <c r="I138" s="111" t="str" cm="1">
        <f t="array" aca="1" ref="I138" ca="1">Common_InputFunctions.Utility_DisplayArrayInTable(Fertiliser_SourceData.Fertiliser_Products_Data3(),FertiliserProducts[[#Headers],[Include or Exclude]], 40)</f>
        <v/>
      </c>
      <c r="J138" s="111" t="str" cm="1">
        <f t="array" aca="1" ref="J138" ca="1">Common_InputFunctions.Utility_DisplayArrayInTable(Fertiliser_SourceData.Fertiliser_Products_Data3(),FertiliserProducts[[#Headers],[Include or Exclude]], 40)</f>
        <v/>
      </c>
      <c r="K138" s="111" t="str" cm="1">
        <f t="array" aca="1" ref="K138" ca="1">Common_InputFunctions.Utility_DisplayArrayInTable(Fertiliser_SourceData.Fertiliser_Products_Data3(),FertiliserProducts[[#Headers],[Include or Exclude]], 40)</f>
        <v/>
      </c>
      <c r="L138" s="111" t="str" cm="1">
        <f t="array" aca="1" ref="L138" ca="1">Common_InputFunctions.Utility_DisplayArrayInTable(Fertiliser_SourceData.Fertiliser_Products_Data3(),FertiliserProducts[[#Headers],[Include or Exclude]], 40)</f>
        <v/>
      </c>
      <c r="M138" s="111" t="str" cm="1">
        <f t="array" aca="1" ref="M138" ca="1">Common_InputFunctions.Utility_DisplayArrayInTable(Fertiliser_SourceData.Fertiliser_Products_Data3(),FertiliserProducts[[#Headers],[Include or Exclude]], 40)</f>
        <v/>
      </c>
      <c r="N138" s="111" t="str" cm="1">
        <f t="array" aca="1" ref="N138" ca="1">Common_InputFunctions.Utility_DisplayArrayInTable(Fertiliser_SourceData.Fertiliser_Products_Data3(),FertiliserProducts[[#Headers],[Include or Exclude]], 40)</f>
        <v/>
      </c>
      <c r="O138" s="111" t="str" cm="1">
        <f t="array" aca="1" ref="O138" ca="1">Common_InputFunctions.Utility_DisplayArrayInTable(Fertiliser_SourceData.Fertiliser_Products_Data3(),FertiliserProducts[[#Headers],[Include or Exclude]], 40)</f>
        <v/>
      </c>
      <c r="P138" s="111" t="str" cm="1">
        <f t="array" aca="1" ref="P138" ca="1">Common_InputFunctions.Utility_DisplayArrayInTable(Fertiliser_SourceData.Fertiliser_Products_Data3(),FertiliserProducts[[#Headers],[Include or Exclude]], 40)</f>
        <v/>
      </c>
      <c r="Q138" s="111" t="str" cm="1">
        <f t="array" aca="1" ref="Q138" ca="1">Common_InputFunctions.Utility_DisplayArrayInTable(Fertiliser_SourceData.Fertiliser_Products_Data3(),FertiliserProducts[[#Headers],[Include or Exclude]], 40)</f>
        <v/>
      </c>
      <c r="R138" s="111" t="str" cm="1">
        <f t="array" aca="1" ref="R138" ca="1">Common_InputFunctions.Utility_DisplayArrayInTable(Fertiliser_SourceData.Fertiliser_Products_Data3(),FertiliserProducts[[#Headers],[Include or Exclude]], 40)</f>
        <v/>
      </c>
      <c r="S138" s="111" t="str" cm="1">
        <f t="array" aca="1" ref="S138" ca="1">Common_InputFunctions.Utility_DisplayArrayInTable(Fertiliser_SourceData.Fertiliser_Products_Data3(),FertiliserProducts[[#Headers],[Include or Exclude]], 40)</f>
        <v/>
      </c>
      <c r="T138" s="111" t="str" cm="1">
        <f t="array" aca="1" ref="T138" ca="1">Common_InputFunctions.Utility_DisplayArrayInTable(Fertiliser_SourceData.Fertiliser_Products_Data3(),FertiliserProducts[[#Headers],[Include or Exclude]], 40)</f>
        <v/>
      </c>
      <c r="U138" s="111" t="str" cm="1">
        <f t="array" aca="1" ref="U138" ca="1">Common_InputFunctions.Utility_DisplayArrayInTable(Fertiliser_SourceData.Fertiliser_Products_Data3(),FertiliserProducts[[#Headers],[Include or Exclude]], 40)</f>
        <v/>
      </c>
      <c r="V138" s="111" t="str" cm="1">
        <f t="array" aca="1" ref="V138" ca="1">Common_InputFunctions.Utility_DisplayArrayInTable(Fertiliser_SourceData.Fertiliser_Products_Data3(),FertiliserProducts[[#Headers],[Include or Exclude]], 40)</f>
        <v/>
      </c>
      <c r="W138" s="111" t="str" cm="1">
        <f t="array" aca="1" ref="W138" ca="1">Common_InputFunctions.Utility_DisplayArrayInTable(Fertiliser_SourceData.Fertiliser_Products_Data3(),FertiliserProducts[[#Headers],[Include or Exclude]], 40)</f>
        <v/>
      </c>
      <c r="X138" s="111" t="str" cm="1">
        <f t="array" aca="1" ref="X138" ca="1">Common_InputFunctions.Utility_DisplayArrayInTable(Fertiliser_SourceData.Fertiliser_Products_Data3(),FertiliserProducts[[#Headers],[Include or Exclude]], 40)</f>
        <v/>
      </c>
      <c r="Y138" s="111" t="str" cm="1">
        <f t="array" aca="1" ref="Y138" ca="1">Common_InputFunctions.Utility_DisplayArrayInTable(Fertiliser_SourceData.Fertiliser_Products_Data3(),FertiliserProducts[[#Headers],[Include or Exclude]], 40)</f>
        <v/>
      </c>
      <c r="Z138" s="111" t="str" cm="1">
        <f t="array" aca="1" ref="Z138" ca="1">Common_InputFunctions.Utility_DisplayArrayInTable(Fertiliser_SourceData.Fertiliser_Products_Data3(),FertiliserProducts[[#Headers],[Include or Exclude]], 40)</f>
        <v/>
      </c>
      <c r="AA138" s="37" t="str" cm="1">
        <f t="array" aca="1" ref="AA138" ca="1">Common_InputFunctions.Utility_DisplayArrayInTable(Fertiliser_SourceData.Fertiliser_Products_Data3(),FertiliserProducts[[#Headers],[Include or Exclude]], 40)</f>
        <v/>
      </c>
      <c r="AB138" s="37" t="str" cm="1">
        <f t="array" aca="1" ref="AB138" ca="1">Common_InputFunctions.Utility_DisplayArrayInTable(Fertiliser_SourceData.Fertiliser_Products_Data3(),FertiliserProducts[[#Headers],[Include or Exclude]], 40)</f>
        <v/>
      </c>
      <c r="AC138" s="37" t="str" cm="1">
        <f t="array" aca="1" ref="AC138" ca="1">Common_InputFunctions.Utility_DisplayArrayInTable(Fertiliser_SourceData.Fertiliser_Products_Data3(),FertiliserProducts[[#Headers],[Include or Exclude]], 40)</f>
        <v/>
      </c>
      <c r="AD138" s="37" t="str" cm="1">
        <f t="array" aca="1" ref="AD138" ca="1">Common_InputFunctions.Utility_DisplayArrayInTable(Fertiliser_SourceData.Fertiliser_Products_Data3(),FertiliserProducts[[#Headers],[Include or Exclude]], 40)</f>
        <v/>
      </c>
      <c r="AE138" s="37" t="str" cm="1">
        <f t="array" aca="1" ref="AE138" ca="1">Common_InputFunctions.Utility_DisplayArrayInTable(Fertiliser_SourceData.Fertiliser_Products_Data3(),FertiliserProducts[[#Headers],[Include or Exclude]], 40)</f>
        <v/>
      </c>
    </row>
    <row r="139" spans="4:31" ht="20.100000000000001" customHeight="1" x14ac:dyDescent="0.25">
      <c r="D139" s="111" t="str" cm="1">
        <f t="array" aca="1" ref="D139" ca="1">Common_InputFunctions.Utility_DisplayArrayInTable(Fertiliser_SourceData.Fertiliser_Products_Data3(),FertiliserProducts[[#Headers],[Include or Exclude]], 40)</f>
        <v/>
      </c>
      <c r="E139" s="111" t="str" cm="1">
        <f t="array" aca="1" ref="E139" ca="1">Common_InputFunctions.Utility_DisplayArrayInTable(Fertiliser_SourceData.Fertiliser_Products_Data3(),FertiliserProducts[[#Headers],[Include or Exclude]], 40)</f>
        <v/>
      </c>
      <c r="F139" s="111" t="str" cm="1">
        <f t="array" aca="1" ref="F139" ca="1">Common_InputFunctions.Utility_DisplayArrayInTable(Fertiliser_SourceData.Fertiliser_Products_Data3(),FertiliserProducts[[#Headers],[Include or Exclude]], 40)</f>
        <v/>
      </c>
      <c r="G139" s="111" t="str" cm="1">
        <f t="array" aca="1" ref="G139" ca="1">Common_InputFunctions.Utility_DisplayArrayInTable(Fertiliser_SourceData.Fertiliser_Products_Data3(),FertiliserProducts[[#Headers],[Include or Exclude]], 40)</f>
        <v/>
      </c>
      <c r="H139" s="111" t="str" cm="1">
        <f t="array" aca="1" ref="H139" ca="1">Common_InputFunctions.Utility_DisplayArrayInTable(Fertiliser_SourceData.Fertiliser_Products_Data3(),FertiliserProducts[[#Headers],[Include or Exclude]], 40)</f>
        <v/>
      </c>
      <c r="I139" s="111" t="str" cm="1">
        <f t="array" aca="1" ref="I139" ca="1">Common_InputFunctions.Utility_DisplayArrayInTable(Fertiliser_SourceData.Fertiliser_Products_Data3(),FertiliserProducts[[#Headers],[Include or Exclude]], 40)</f>
        <v/>
      </c>
      <c r="J139" s="111" t="str" cm="1">
        <f t="array" aca="1" ref="J139" ca="1">Common_InputFunctions.Utility_DisplayArrayInTable(Fertiliser_SourceData.Fertiliser_Products_Data3(),FertiliserProducts[[#Headers],[Include or Exclude]], 40)</f>
        <v/>
      </c>
      <c r="K139" s="111" t="str" cm="1">
        <f t="array" aca="1" ref="K139" ca="1">Common_InputFunctions.Utility_DisplayArrayInTable(Fertiliser_SourceData.Fertiliser_Products_Data3(),FertiliserProducts[[#Headers],[Include or Exclude]], 40)</f>
        <v/>
      </c>
      <c r="L139" s="111" t="str" cm="1">
        <f t="array" aca="1" ref="L139" ca="1">Common_InputFunctions.Utility_DisplayArrayInTable(Fertiliser_SourceData.Fertiliser_Products_Data3(),FertiliserProducts[[#Headers],[Include or Exclude]], 40)</f>
        <v/>
      </c>
      <c r="M139" s="111" t="str" cm="1">
        <f t="array" aca="1" ref="M139" ca="1">Common_InputFunctions.Utility_DisplayArrayInTable(Fertiliser_SourceData.Fertiliser_Products_Data3(),FertiliserProducts[[#Headers],[Include or Exclude]], 40)</f>
        <v/>
      </c>
      <c r="N139" s="111" t="str" cm="1">
        <f t="array" aca="1" ref="N139" ca="1">Common_InputFunctions.Utility_DisplayArrayInTable(Fertiliser_SourceData.Fertiliser_Products_Data3(),FertiliserProducts[[#Headers],[Include or Exclude]], 40)</f>
        <v/>
      </c>
      <c r="O139" s="111" t="str" cm="1">
        <f t="array" aca="1" ref="O139" ca="1">Common_InputFunctions.Utility_DisplayArrayInTable(Fertiliser_SourceData.Fertiliser_Products_Data3(),FertiliserProducts[[#Headers],[Include or Exclude]], 40)</f>
        <v/>
      </c>
      <c r="P139" s="111" t="str" cm="1">
        <f t="array" aca="1" ref="P139" ca="1">Common_InputFunctions.Utility_DisplayArrayInTable(Fertiliser_SourceData.Fertiliser_Products_Data3(),FertiliserProducts[[#Headers],[Include or Exclude]], 40)</f>
        <v/>
      </c>
      <c r="Q139" s="111" t="str" cm="1">
        <f t="array" aca="1" ref="Q139" ca="1">Common_InputFunctions.Utility_DisplayArrayInTable(Fertiliser_SourceData.Fertiliser_Products_Data3(),FertiliserProducts[[#Headers],[Include or Exclude]], 40)</f>
        <v/>
      </c>
      <c r="R139" s="111" t="str" cm="1">
        <f t="array" aca="1" ref="R139" ca="1">Common_InputFunctions.Utility_DisplayArrayInTable(Fertiliser_SourceData.Fertiliser_Products_Data3(),FertiliserProducts[[#Headers],[Include or Exclude]], 40)</f>
        <v/>
      </c>
      <c r="S139" s="111" t="str" cm="1">
        <f t="array" aca="1" ref="S139" ca="1">Common_InputFunctions.Utility_DisplayArrayInTable(Fertiliser_SourceData.Fertiliser_Products_Data3(),FertiliserProducts[[#Headers],[Include or Exclude]], 40)</f>
        <v/>
      </c>
      <c r="T139" s="111" t="str" cm="1">
        <f t="array" aca="1" ref="T139" ca="1">Common_InputFunctions.Utility_DisplayArrayInTable(Fertiliser_SourceData.Fertiliser_Products_Data3(),FertiliserProducts[[#Headers],[Include or Exclude]], 40)</f>
        <v/>
      </c>
      <c r="U139" s="111" t="str" cm="1">
        <f t="array" aca="1" ref="U139" ca="1">Common_InputFunctions.Utility_DisplayArrayInTable(Fertiliser_SourceData.Fertiliser_Products_Data3(),FertiliserProducts[[#Headers],[Include or Exclude]], 40)</f>
        <v/>
      </c>
      <c r="V139" s="111" t="str" cm="1">
        <f t="array" aca="1" ref="V139" ca="1">Common_InputFunctions.Utility_DisplayArrayInTable(Fertiliser_SourceData.Fertiliser_Products_Data3(),FertiliserProducts[[#Headers],[Include or Exclude]], 40)</f>
        <v/>
      </c>
      <c r="W139" s="111" t="str" cm="1">
        <f t="array" aca="1" ref="W139" ca="1">Common_InputFunctions.Utility_DisplayArrayInTable(Fertiliser_SourceData.Fertiliser_Products_Data3(),FertiliserProducts[[#Headers],[Include or Exclude]], 40)</f>
        <v/>
      </c>
      <c r="X139" s="111" t="str" cm="1">
        <f t="array" aca="1" ref="X139" ca="1">Common_InputFunctions.Utility_DisplayArrayInTable(Fertiliser_SourceData.Fertiliser_Products_Data3(),FertiliserProducts[[#Headers],[Include or Exclude]], 40)</f>
        <v/>
      </c>
      <c r="Y139" s="111" t="str" cm="1">
        <f t="array" aca="1" ref="Y139" ca="1">Common_InputFunctions.Utility_DisplayArrayInTable(Fertiliser_SourceData.Fertiliser_Products_Data3(),FertiliserProducts[[#Headers],[Include or Exclude]], 40)</f>
        <v/>
      </c>
      <c r="Z139" s="111" t="str" cm="1">
        <f t="array" aca="1" ref="Z139" ca="1">Common_InputFunctions.Utility_DisplayArrayInTable(Fertiliser_SourceData.Fertiliser_Products_Data3(),FertiliserProducts[[#Headers],[Include or Exclude]], 40)</f>
        <v/>
      </c>
      <c r="AA139" s="37" t="str" cm="1">
        <f t="array" aca="1" ref="AA139" ca="1">Common_InputFunctions.Utility_DisplayArrayInTable(Fertiliser_SourceData.Fertiliser_Products_Data3(),FertiliserProducts[[#Headers],[Include or Exclude]], 40)</f>
        <v/>
      </c>
      <c r="AB139" s="37" t="str" cm="1">
        <f t="array" aca="1" ref="AB139" ca="1">Common_InputFunctions.Utility_DisplayArrayInTable(Fertiliser_SourceData.Fertiliser_Products_Data3(),FertiliserProducts[[#Headers],[Include or Exclude]], 40)</f>
        <v/>
      </c>
      <c r="AC139" s="37" t="str" cm="1">
        <f t="array" aca="1" ref="AC139" ca="1">Common_InputFunctions.Utility_DisplayArrayInTable(Fertiliser_SourceData.Fertiliser_Products_Data3(),FertiliserProducts[[#Headers],[Include or Exclude]], 40)</f>
        <v/>
      </c>
      <c r="AD139" s="37" t="str" cm="1">
        <f t="array" aca="1" ref="AD139" ca="1">Common_InputFunctions.Utility_DisplayArrayInTable(Fertiliser_SourceData.Fertiliser_Products_Data3(),FertiliserProducts[[#Headers],[Include or Exclude]], 40)</f>
        <v/>
      </c>
      <c r="AE139" s="37" t="str" cm="1">
        <f t="array" aca="1" ref="AE139" ca="1">Common_InputFunctions.Utility_DisplayArrayInTable(Fertiliser_SourceData.Fertiliser_Products_Data3(),FertiliserProducts[[#Headers],[Include or Exclude]], 40)</f>
        <v/>
      </c>
    </row>
    <row r="140" spans="4:31" ht="20.100000000000001" customHeight="1" x14ac:dyDescent="0.25">
      <c r="D140" s="111" t="str" cm="1">
        <f t="array" aca="1" ref="D140" ca="1">Common_InputFunctions.Utility_DisplayArrayInTable(Fertiliser_SourceData.Fertiliser_Products_Data3(),FertiliserProducts[[#Headers],[Include or Exclude]], 40)</f>
        <v/>
      </c>
      <c r="E140" s="111" t="str" cm="1">
        <f t="array" aca="1" ref="E140" ca="1">Common_InputFunctions.Utility_DisplayArrayInTable(Fertiliser_SourceData.Fertiliser_Products_Data3(),FertiliserProducts[[#Headers],[Include or Exclude]], 40)</f>
        <v/>
      </c>
      <c r="F140" s="111" t="str" cm="1">
        <f t="array" aca="1" ref="F140" ca="1">Common_InputFunctions.Utility_DisplayArrayInTable(Fertiliser_SourceData.Fertiliser_Products_Data3(),FertiliserProducts[[#Headers],[Include or Exclude]], 40)</f>
        <v/>
      </c>
      <c r="G140" s="111" t="str" cm="1">
        <f t="array" aca="1" ref="G140" ca="1">Common_InputFunctions.Utility_DisplayArrayInTable(Fertiliser_SourceData.Fertiliser_Products_Data3(),FertiliserProducts[[#Headers],[Include or Exclude]], 40)</f>
        <v/>
      </c>
      <c r="H140" s="111" t="str" cm="1">
        <f t="array" aca="1" ref="H140" ca="1">Common_InputFunctions.Utility_DisplayArrayInTable(Fertiliser_SourceData.Fertiliser_Products_Data3(),FertiliserProducts[[#Headers],[Include or Exclude]], 40)</f>
        <v/>
      </c>
      <c r="I140" s="111" t="str" cm="1">
        <f t="array" aca="1" ref="I140" ca="1">Common_InputFunctions.Utility_DisplayArrayInTable(Fertiliser_SourceData.Fertiliser_Products_Data3(),FertiliserProducts[[#Headers],[Include or Exclude]], 40)</f>
        <v/>
      </c>
      <c r="J140" s="111" t="str" cm="1">
        <f t="array" aca="1" ref="J140" ca="1">Common_InputFunctions.Utility_DisplayArrayInTable(Fertiliser_SourceData.Fertiliser_Products_Data3(),FertiliserProducts[[#Headers],[Include or Exclude]], 40)</f>
        <v/>
      </c>
      <c r="K140" s="111" t="str" cm="1">
        <f t="array" aca="1" ref="K140" ca="1">Common_InputFunctions.Utility_DisplayArrayInTable(Fertiliser_SourceData.Fertiliser_Products_Data3(),FertiliserProducts[[#Headers],[Include or Exclude]], 40)</f>
        <v/>
      </c>
      <c r="L140" s="111" t="str" cm="1">
        <f t="array" aca="1" ref="L140" ca="1">Common_InputFunctions.Utility_DisplayArrayInTable(Fertiliser_SourceData.Fertiliser_Products_Data3(),FertiliserProducts[[#Headers],[Include or Exclude]], 40)</f>
        <v/>
      </c>
      <c r="M140" s="111" t="str" cm="1">
        <f t="array" aca="1" ref="M140" ca="1">Common_InputFunctions.Utility_DisplayArrayInTable(Fertiliser_SourceData.Fertiliser_Products_Data3(),FertiliserProducts[[#Headers],[Include or Exclude]], 40)</f>
        <v/>
      </c>
      <c r="N140" s="111" t="str" cm="1">
        <f t="array" aca="1" ref="N140" ca="1">Common_InputFunctions.Utility_DisplayArrayInTable(Fertiliser_SourceData.Fertiliser_Products_Data3(),FertiliserProducts[[#Headers],[Include or Exclude]], 40)</f>
        <v/>
      </c>
      <c r="O140" s="111" t="str" cm="1">
        <f t="array" aca="1" ref="O140" ca="1">Common_InputFunctions.Utility_DisplayArrayInTable(Fertiliser_SourceData.Fertiliser_Products_Data3(),FertiliserProducts[[#Headers],[Include or Exclude]], 40)</f>
        <v/>
      </c>
      <c r="P140" s="111" t="str" cm="1">
        <f t="array" aca="1" ref="P140" ca="1">Common_InputFunctions.Utility_DisplayArrayInTable(Fertiliser_SourceData.Fertiliser_Products_Data3(),FertiliserProducts[[#Headers],[Include or Exclude]], 40)</f>
        <v/>
      </c>
      <c r="Q140" s="111" t="str" cm="1">
        <f t="array" aca="1" ref="Q140" ca="1">Common_InputFunctions.Utility_DisplayArrayInTable(Fertiliser_SourceData.Fertiliser_Products_Data3(),FertiliserProducts[[#Headers],[Include or Exclude]], 40)</f>
        <v/>
      </c>
      <c r="R140" s="111" t="str" cm="1">
        <f t="array" aca="1" ref="R140" ca="1">Common_InputFunctions.Utility_DisplayArrayInTable(Fertiliser_SourceData.Fertiliser_Products_Data3(),FertiliserProducts[[#Headers],[Include or Exclude]], 40)</f>
        <v/>
      </c>
      <c r="S140" s="111" t="str" cm="1">
        <f t="array" aca="1" ref="S140" ca="1">Common_InputFunctions.Utility_DisplayArrayInTable(Fertiliser_SourceData.Fertiliser_Products_Data3(),FertiliserProducts[[#Headers],[Include or Exclude]], 40)</f>
        <v/>
      </c>
      <c r="T140" s="111" t="str" cm="1">
        <f t="array" aca="1" ref="T140" ca="1">Common_InputFunctions.Utility_DisplayArrayInTable(Fertiliser_SourceData.Fertiliser_Products_Data3(),FertiliserProducts[[#Headers],[Include or Exclude]], 40)</f>
        <v/>
      </c>
      <c r="U140" s="111" t="str" cm="1">
        <f t="array" aca="1" ref="U140" ca="1">Common_InputFunctions.Utility_DisplayArrayInTable(Fertiliser_SourceData.Fertiliser_Products_Data3(),FertiliserProducts[[#Headers],[Include or Exclude]], 40)</f>
        <v/>
      </c>
      <c r="V140" s="111" t="str" cm="1">
        <f t="array" aca="1" ref="V140" ca="1">Common_InputFunctions.Utility_DisplayArrayInTable(Fertiliser_SourceData.Fertiliser_Products_Data3(),FertiliserProducts[[#Headers],[Include or Exclude]], 40)</f>
        <v/>
      </c>
      <c r="W140" s="111" t="str" cm="1">
        <f t="array" aca="1" ref="W140" ca="1">Common_InputFunctions.Utility_DisplayArrayInTable(Fertiliser_SourceData.Fertiliser_Products_Data3(),FertiliserProducts[[#Headers],[Include or Exclude]], 40)</f>
        <v/>
      </c>
      <c r="X140" s="111" t="str" cm="1">
        <f t="array" aca="1" ref="X140" ca="1">Common_InputFunctions.Utility_DisplayArrayInTable(Fertiliser_SourceData.Fertiliser_Products_Data3(),FertiliserProducts[[#Headers],[Include or Exclude]], 40)</f>
        <v/>
      </c>
      <c r="Y140" s="111" t="str" cm="1">
        <f t="array" aca="1" ref="Y140" ca="1">Common_InputFunctions.Utility_DisplayArrayInTable(Fertiliser_SourceData.Fertiliser_Products_Data3(),FertiliserProducts[[#Headers],[Include or Exclude]], 40)</f>
        <v/>
      </c>
      <c r="Z140" s="111" t="str" cm="1">
        <f t="array" aca="1" ref="Z140" ca="1">Common_InputFunctions.Utility_DisplayArrayInTable(Fertiliser_SourceData.Fertiliser_Products_Data3(),FertiliserProducts[[#Headers],[Include or Exclude]], 40)</f>
        <v/>
      </c>
      <c r="AA140" s="37" t="str" cm="1">
        <f t="array" aca="1" ref="AA140" ca="1">Common_InputFunctions.Utility_DisplayArrayInTable(Fertiliser_SourceData.Fertiliser_Products_Data3(),FertiliserProducts[[#Headers],[Include or Exclude]], 40)</f>
        <v/>
      </c>
      <c r="AB140" s="37" t="str" cm="1">
        <f t="array" aca="1" ref="AB140" ca="1">Common_InputFunctions.Utility_DisplayArrayInTable(Fertiliser_SourceData.Fertiliser_Products_Data3(),FertiliserProducts[[#Headers],[Include or Exclude]], 40)</f>
        <v/>
      </c>
      <c r="AC140" s="37" t="str" cm="1">
        <f t="array" aca="1" ref="AC140" ca="1">Common_InputFunctions.Utility_DisplayArrayInTable(Fertiliser_SourceData.Fertiliser_Products_Data3(),FertiliserProducts[[#Headers],[Include or Exclude]], 40)</f>
        <v/>
      </c>
      <c r="AD140" s="37" t="str" cm="1">
        <f t="array" aca="1" ref="AD140" ca="1">Common_InputFunctions.Utility_DisplayArrayInTable(Fertiliser_SourceData.Fertiliser_Products_Data3(),FertiliserProducts[[#Headers],[Include or Exclude]], 40)</f>
        <v/>
      </c>
      <c r="AE140" s="37" t="str" cm="1">
        <f t="array" aca="1" ref="AE140" ca="1">Common_InputFunctions.Utility_DisplayArrayInTable(Fertiliser_SourceData.Fertiliser_Products_Data3(),FertiliserProducts[[#Headers],[Include or Exclude]], 40)</f>
        <v/>
      </c>
    </row>
    <row r="141" spans="4:31" ht="20.100000000000001" customHeight="1" x14ac:dyDescent="0.25">
      <c r="D141" s="111" t="str" cm="1">
        <f t="array" aca="1" ref="D141" ca="1">Common_InputFunctions.Utility_DisplayArrayInTable(Fertiliser_SourceData.Fertiliser_Products_Data3(),FertiliserProducts[[#Headers],[Include or Exclude]], 40)</f>
        <v/>
      </c>
      <c r="E141" s="111" t="str" cm="1">
        <f t="array" aca="1" ref="E141" ca="1">Common_InputFunctions.Utility_DisplayArrayInTable(Fertiliser_SourceData.Fertiliser_Products_Data3(),FertiliserProducts[[#Headers],[Include or Exclude]], 40)</f>
        <v/>
      </c>
      <c r="F141" s="111" t="str" cm="1">
        <f t="array" aca="1" ref="F141" ca="1">Common_InputFunctions.Utility_DisplayArrayInTable(Fertiliser_SourceData.Fertiliser_Products_Data3(),FertiliserProducts[[#Headers],[Include or Exclude]], 40)</f>
        <v/>
      </c>
      <c r="G141" s="111" t="str" cm="1">
        <f t="array" aca="1" ref="G141" ca="1">Common_InputFunctions.Utility_DisplayArrayInTable(Fertiliser_SourceData.Fertiliser_Products_Data3(),FertiliserProducts[[#Headers],[Include or Exclude]], 40)</f>
        <v/>
      </c>
      <c r="H141" s="111" t="str" cm="1">
        <f t="array" aca="1" ref="H141" ca="1">Common_InputFunctions.Utility_DisplayArrayInTable(Fertiliser_SourceData.Fertiliser_Products_Data3(),FertiliserProducts[[#Headers],[Include or Exclude]], 40)</f>
        <v/>
      </c>
      <c r="I141" s="111" t="str" cm="1">
        <f t="array" aca="1" ref="I141" ca="1">Common_InputFunctions.Utility_DisplayArrayInTable(Fertiliser_SourceData.Fertiliser_Products_Data3(),FertiliserProducts[[#Headers],[Include or Exclude]], 40)</f>
        <v/>
      </c>
      <c r="J141" s="111" t="str" cm="1">
        <f t="array" aca="1" ref="J141" ca="1">Common_InputFunctions.Utility_DisplayArrayInTable(Fertiliser_SourceData.Fertiliser_Products_Data3(),FertiliserProducts[[#Headers],[Include or Exclude]], 40)</f>
        <v/>
      </c>
      <c r="K141" s="111" t="str" cm="1">
        <f t="array" aca="1" ref="K141" ca="1">Common_InputFunctions.Utility_DisplayArrayInTable(Fertiliser_SourceData.Fertiliser_Products_Data3(),FertiliserProducts[[#Headers],[Include or Exclude]], 40)</f>
        <v/>
      </c>
      <c r="L141" s="111" t="str" cm="1">
        <f t="array" aca="1" ref="L141" ca="1">Common_InputFunctions.Utility_DisplayArrayInTable(Fertiliser_SourceData.Fertiliser_Products_Data3(),FertiliserProducts[[#Headers],[Include or Exclude]], 40)</f>
        <v/>
      </c>
      <c r="M141" s="111" t="str" cm="1">
        <f t="array" aca="1" ref="M141" ca="1">Common_InputFunctions.Utility_DisplayArrayInTable(Fertiliser_SourceData.Fertiliser_Products_Data3(),FertiliserProducts[[#Headers],[Include or Exclude]], 40)</f>
        <v/>
      </c>
      <c r="N141" s="111" t="str" cm="1">
        <f t="array" aca="1" ref="N141" ca="1">Common_InputFunctions.Utility_DisplayArrayInTable(Fertiliser_SourceData.Fertiliser_Products_Data3(),FertiliserProducts[[#Headers],[Include or Exclude]], 40)</f>
        <v/>
      </c>
      <c r="O141" s="111" t="str" cm="1">
        <f t="array" aca="1" ref="O141" ca="1">Common_InputFunctions.Utility_DisplayArrayInTable(Fertiliser_SourceData.Fertiliser_Products_Data3(),FertiliserProducts[[#Headers],[Include or Exclude]], 40)</f>
        <v/>
      </c>
      <c r="P141" s="111" t="str" cm="1">
        <f t="array" aca="1" ref="P141" ca="1">Common_InputFunctions.Utility_DisplayArrayInTable(Fertiliser_SourceData.Fertiliser_Products_Data3(),FertiliserProducts[[#Headers],[Include or Exclude]], 40)</f>
        <v/>
      </c>
      <c r="Q141" s="111" t="str" cm="1">
        <f t="array" aca="1" ref="Q141" ca="1">Common_InputFunctions.Utility_DisplayArrayInTable(Fertiliser_SourceData.Fertiliser_Products_Data3(),FertiliserProducts[[#Headers],[Include or Exclude]], 40)</f>
        <v/>
      </c>
      <c r="R141" s="111" t="str" cm="1">
        <f t="array" aca="1" ref="R141" ca="1">Common_InputFunctions.Utility_DisplayArrayInTable(Fertiliser_SourceData.Fertiliser_Products_Data3(),FertiliserProducts[[#Headers],[Include or Exclude]], 40)</f>
        <v/>
      </c>
      <c r="S141" s="111" t="str" cm="1">
        <f t="array" aca="1" ref="S141" ca="1">Common_InputFunctions.Utility_DisplayArrayInTable(Fertiliser_SourceData.Fertiliser_Products_Data3(),FertiliserProducts[[#Headers],[Include or Exclude]], 40)</f>
        <v/>
      </c>
      <c r="T141" s="111" t="str" cm="1">
        <f t="array" aca="1" ref="T141" ca="1">Common_InputFunctions.Utility_DisplayArrayInTable(Fertiliser_SourceData.Fertiliser_Products_Data3(),FertiliserProducts[[#Headers],[Include or Exclude]], 40)</f>
        <v/>
      </c>
      <c r="U141" s="111" t="str" cm="1">
        <f t="array" aca="1" ref="U141" ca="1">Common_InputFunctions.Utility_DisplayArrayInTable(Fertiliser_SourceData.Fertiliser_Products_Data3(),FertiliserProducts[[#Headers],[Include or Exclude]], 40)</f>
        <v/>
      </c>
      <c r="V141" s="111" t="str" cm="1">
        <f t="array" aca="1" ref="V141" ca="1">Common_InputFunctions.Utility_DisplayArrayInTable(Fertiliser_SourceData.Fertiliser_Products_Data3(),FertiliserProducts[[#Headers],[Include or Exclude]], 40)</f>
        <v/>
      </c>
      <c r="W141" s="111" t="str" cm="1">
        <f t="array" aca="1" ref="W141" ca="1">Common_InputFunctions.Utility_DisplayArrayInTable(Fertiliser_SourceData.Fertiliser_Products_Data3(),FertiliserProducts[[#Headers],[Include or Exclude]], 40)</f>
        <v/>
      </c>
      <c r="X141" s="111" t="str" cm="1">
        <f t="array" aca="1" ref="X141" ca="1">Common_InputFunctions.Utility_DisplayArrayInTable(Fertiliser_SourceData.Fertiliser_Products_Data3(),FertiliserProducts[[#Headers],[Include or Exclude]], 40)</f>
        <v/>
      </c>
      <c r="Y141" s="111" t="str" cm="1">
        <f t="array" aca="1" ref="Y141" ca="1">Common_InputFunctions.Utility_DisplayArrayInTable(Fertiliser_SourceData.Fertiliser_Products_Data3(),FertiliserProducts[[#Headers],[Include or Exclude]], 40)</f>
        <v/>
      </c>
      <c r="Z141" s="111" t="str" cm="1">
        <f t="array" aca="1" ref="Z141" ca="1">Common_InputFunctions.Utility_DisplayArrayInTable(Fertiliser_SourceData.Fertiliser_Products_Data3(),FertiliserProducts[[#Headers],[Include or Exclude]], 40)</f>
        <v/>
      </c>
      <c r="AA141" s="37" t="str" cm="1">
        <f t="array" aca="1" ref="AA141" ca="1">Common_InputFunctions.Utility_DisplayArrayInTable(Fertiliser_SourceData.Fertiliser_Products_Data3(),FertiliserProducts[[#Headers],[Include or Exclude]], 40)</f>
        <v/>
      </c>
      <c r="AB141" s="37" t="str" cm="1">
        <f t="array" aca="1" ref="AB141" ca="1">Common_InputFunctions.Utility_DisplayArrayInTable(Fertiliser_SourceData.Fertiliser_Products_Data3(),FertiliserProducts[[#Headers],[Include or Exclude]], 40)</f>
        <v/>
      </c>
      <c r="AC141" s="37" t="str" cm="1">
        <f t="array" aca="1" ref="AC141" ca="1">Common_InputFunctions.Utility_DisplayArrayInTable(Fertiliser_SourceData.Fertiliser_Products_Data3(),FertiliserProducts[[#Headers],[Include or Exclude]], 40)</f>
        <v/>
      </c>
      <c r="AD141" s="37" t="str" cm="1">
        <f t="array" aca="1" ref="AD141" ca="1">Common_InputFunctions.Utility_DisplayArrayInTable(Fertiliser_SourceData.Fertiliser_Products_Data3(),FertiliserProducts[[#Headers],[Include or Exclude]], 40)</f>
        <v/>
      </c>
      <c r="AE141" s="37" t="str" cm="1">
        <f t="array" aca="1" ref="AE141" ca="1">Common_InputFunctions.Utility_DisplayArrayInTable(Fertiliser_SourceData.Fertiliser_Products_Data3(),FertiliserProducts[[#Headers],[Include or Exclude]], 40)</f>
        <v/>
      </c>
    </row>
    <row r="142" spans="4:31" ht="20.100000000000001" customHeight="1" x14ac:dyDescent="0.25">
      <c r="D142" s="111" t="str" cm="1">
        <f t="array" aca="1" ref="D142" ca="1">Common_InputFunctions.Utility_DisplayArrayInTable(Fertiliser_SourceData.Fertiliser_Products_Data3(),FertiliserProducts[[#Headers],[Include or Exclude]], 40)</f>
        <v/>
      </c>
      <c r="E142" s="111" t="str" cm="1">
        <f t="array" aca="1" ref="E142" ca="1">Common_InputFunctions.Utility_DisplayArrayInTable(Fertiliser_SourceData.Fertiliser_Products_Data3(),FertiliserProducts[[#Headers],[Include or Exclude]], 40)</f>
        <v/>
      </c>
      <c r="F142" s="111" t="str" cm="1">
        <f t="array" aca="1" ref="F142" ca="1">Common_InputFunctions.Utility_DisplayArrayInTable(Fertiliser_SourceData.Fertiliser_Products_Data3(),FertiliserProducts[[#Headers],[Include or Exclude]], 40)</f>
        <v/>
      </c>
      <c r="G142" s="111" t="str" cm="1">
        <f t="array" aca="1" ref="G142" ca="1">Common_InputFunctions.Utility_DisplayArrayInTable(Fertiliser_SourceData.Fertiliser_Products_Data3(),FertiliserProducts[[#Headers],[Include or Exclude]], 40)</f>
        <v/>
      </c>
      <c r="H142" s="111" t="str" cm="1">
        <f t="array" aca="1" ref="H142" ca="1">Common_InputFunctions.Utility_DisplayArrayInTable(Fertiliser_SourceData.Fertiliser_Products_Data3(),FertiliserProducts[[#Headers],[Include or Exclude]], 40)</f>
        <v/>
      </c>
      <c r="I142" s="111" t="str" cm="1">
        <f t="array" aca="1" ref="I142" ca="1">Common_InputFunctions.Utility_DisplayArrayInTable(Fertiliser_SourceData.Fertiliser_Products_Data3(),FertiliserProducts[[#Headers],[Include or Exclude]], 40)</f>
        <v/>
      </c>
      <c r="J142" s="111" t="str" cm="1">
        <f t="array" aca="1" ref="J142" ca="1">Common_InputFunctions.Utility_DisplayArrayInTable(Fertiliser_SourceData.Fertiliser_Products_Data3(),FertiliserProducts[[#Headers],[Include or Exclude]], 40)</f>
        <v/>
      </c>
      <c r="K142" s="111" t="str" cm="1">
        <f t="array" aca="1" ref="K142" ca="1">Common_InputFunctions.Utility_DisplayArrayInTable(Fertiliser_SourceData.Fertiliser_Products_Data3(),FertiliserProducts[[#Headers],[Include or Exclude]], 40)</f>
        <v/>
      </c>
      <c r="L142" s="111" t="str" cm="1">
        <f t="array" aca="1" ref="L142" ca="1">Common_InputFunctions.Utility_DisplayArrayInTable(Fertiliser_SourceData.Fertiliser_Products_Data3(),FertiliserProducts[[#Headers],[Include or Exclude]], 40)</f>
        <v/>
      </c>
      <c r="M142" s="111" t="str" cm="1">
        <f t="array" aca="1" ref="M142" ca="1">Common_InputFunctions.Utility_DisplayArrayInTable(Fertiliser_SourceData.Fertiliser_Products_Data3(),FertiliserProducts[[#Headers],[Include or Exclude]], 40)</f>
        <v/>
      </c>
      <c r="N142" s="111" t="str" cm="1">
        <f t="array" aca="1" ref="N142" ca="1">Common_InputFunctions.Utility_DisplayArrayInTable(Fertiliser_SourceData.Fertiliser_Products_Data3(),FertiliserProducts[[#Headers],[Include or Exclude]], 40)</f>
        <v/>
      </c>
      <c r="O142" s="111" t="str" cm="1">
        <f t="array" aca="1" ref="O142" ca="1">Common_InputFunctions.Utility_DisplayArrayInTable(Fertiliser_SourceData.Fertiliser_Products_Data3(),FertiliserProducts[[#Headers],[Include or Exclude]], 40)</f>
        <v/>
      </c>
      <c r="P142" s="111" t="str" cm="1">
        <f t="array" aca="1" ref="P142" ca="1">Common_InputFunctions.Utility_DisplayArrayInTable(Fertiliser_SourceData.Fertiliser_Products_Data3(),FertiliserProducts[[#Headers],[Include or Exclude]], 40)</f>
        <v/>
      </c>
      <c r="Q142" s="111" t="str" cm="1">
        <f t="array" aca="1" ref="Q142" ca="1">Common_InputFunctions.Utility_DisplayArrayInTable(Fertiliser_SourceData.Fertiliser_Products_Data3(),FertiliserProducts[[#Headers],[Include or Exclude]], 40)</f>
        <v/>
      </c>
      <c r="R142" s="111" t="str" cm="1">
        <f t="array" aca="1" ref="R142" ca="1">Common_InputFunctions.Utility_DisplayArrayInTable(Fertiliser_SourceData.Fertiliser_Products_Data3(),FertiliserProducts[[#Headers],[Include or Exclude]], 40)</f>
        <v/>
      </c>
      <c r="S142" s="111" t="str" cm="1">
        <f t="array" aca="1" ref="S142" ca="1">Common_InputFunctions.Utility_DisplayArrayInTable(Fertiliser_SourceData.Fertiliser_Products_Data3(),FertiliserProducts[[#Headers],[Include or Exclude]], 40)</f>
        <v/>
      </c>
      <c r="T142" s="111" t="str" cm="1">
        <f t="array" aca="1" ref="T142" ca="1">Common_InputFunctions.Utility_DisplayArrayInTable(Fertiliser_SourceData.Fertiliser_Products_Data3(),FertiliserProducts[[#Headers],[Include or Exclude]], 40)</f>
        <v/>
      </c>
      <c r="U142" s="111" t="str" cm="1">
        <f t="array" aca="1" ref="U142" ca="1">Common_InputFunctions.Utility_DisplayArrayInTable(Fertiliser_SourceData.Fertiliser_Products_Data3(),FertiliserProducts[[#Headers],[Include or Exclude]], 40)</f>
        <v/>
      </c>
      <c r="V142" s="111" t="str" cm="1">
        <f t="array" aca="1" ref="V142" ca="1">Common_InputFunctions.Utility_DisplayArrayInTable(Fertiliser_SourceData.Fertiliser_Products_Data3(),FertiliserProducts[[#Headers],[Include or Exclude]], 40)</f>
        <v/>
      </c>
      <c r="W142" s="111" t="str" cm="1">
        <f t="array" aca="1" ref="W142" ca="1">Common_InputFunctions.Utility_DisplayArrayInTable(Fertiliser_SourceData.Fertiliser_Products_Data3(),FertiliserProducts[[#Headers],[Include or Exclude]], 40)</f>
        <v/>
      </c>
      <c r="X142" s="111" t="str" cm="1">
        <f t="array" aca="1" ref="X142" ca="1">Common_InputFunctions.Utility_DisplayArrayInTable(Fertiliser_SourceData.Fertiliser_Products_Data3(),FertiliserProducts[[#Headers],[Include or Exclude]], 40)</f>
        <v/>
      </c>
      <c r="Y142" s="111" t="str" cm="1">
        <f t="array" aca="1" ref="Y142" ca="1">Common_InputFunctions.Utility_DisplayArrayInTable(Fertiliser_SourceData.Fertiliser_Products_Data3(),FertiliserProducts[[#Headers],[Include or Exclude]], 40)</f>
        <v/>
      </c>
      <c r="Z142" s="111" t="str" cm="1">
        <f t="array" aca="1" ref="Z142" ca="1">Common_InputFunctions.Utility_DisplayArrayInTable(Fertiliser_SourceData.Fertiliser_Products_Data3(),FertiliserProducts[[#Headers],[Include or Exclude]], 40)</f>
        <v/>
      </c>
      <c r="AA142" s="37" t="str" cm="1">
        <f t="array" aca="1" ref="AA142" ca="1">Common_InputFunctions.Utility_DisplayArrayInTable(Fertiliser_SourceData.Fertiliser_Products_Data3(),FertiliserProducts[[#Headers],[Include or Exclude]], 40)</f>
        <v/>
      </c>
      <c r="AB142" s="37" t="str" cm="1">
        <f t="array" aca="1" ref="AB142" ca="1">Common_InputFunctions.Utility_DisplayArrayInTable(Fertiliser_SourceData.Fertiliser_Products_Data3(),FertiliserProducts[[#Headers],[Include or Exclude]], 40)</f>
        <v/>
      </c>
      <c r="AC142" s="37" t="str" cm="1">
        <f t="array" aca="1" ref="AC142" ca="1">Common_InputFunctions.Utility_DisplayArrayInTable(Fertiliser_SourceData.Fertiliser_Products_Data3(),FertiliserProducts[[#Headers],[Include or Exclude]], 40)</f>
        <v/>
      </c>
      <c r="AD142" s="37" t="str" cm="1">
        <f t="array" aca="1" ref="AD142" ca="1">Common_InputFunctions.Utility_DisplayArrayInTable(Fertiliser_SourceData.Fertiliser_Products_Data3(),FertiliserProducts[[#Headers],[Include or Exclude]], 40)</f>
        <v/>
      </c>
      <c r="AE142" s="37" t="str" cm="1">
        <f t="array" aca="1" ref="AE142" ca="1">Common_InputFunctions.Utility_DisplayArrayInTable(Fertiliser_SourceData.Fertiliser_Products_Data3(),FertiliserProducts[[#Headers],[Include or Exclude]], 40)</f>
        <v/>
      </c>
    </row>
    <row r="143" spans="4:31" ht="20.100000000000001" customHeight="1" x14ac:dyDescent="0.25">
      <c r="D143" s="111" t="str" cm="1">
        <f t="array" aca="1" ref="D143" ca="1">Common_InputFunctions.Utility_DisplayArrayInTable(Fertiliser_SourceData.Fertiliser_Products_Data3(),FertiliserProducts[[#Headers],[Include or Exclude]], 40)</f>
        <v/>
      </c>
      <c r="E143" s="111" t="str" cm="1">
        <f t="array" aca="1" ref="E143" ca="1">Common_InputFunctions.Utility_DisplayArrayInTable(Fertiliser_SourceData.Fertiliser_Products_Data3(),FertiliserProducts[[#Headers],[Include or Exclude]], 40)</f>
        <v/>
      </c>
      <c r="F143" s="111" t="str" cm="1">
        <f t="array" aca="1" ref="F143" ca="1">Common_InputFunctions.Utility_DisplayArrayInTable(Fertiliser_SourceData.Fertiliser_Products_Data3(),FertiliserProducts[[#Headers],[Include or Exclude]], 40)</f>
        <v/>
      </c>
      <c r="G143" s="111" t="str" cm="1">
        <f t="array" aca="1" ref="G143" ca="1">Common_InputFunctions.Utility_DisplayArrayInTable(Fertiliser_SourceData.Fertiliser_Products_Data3(),FertiliserProducts[[#Headers],[Include or Exclude]], 40)</f>
        <v/>
      </c>
      <c r="H143" s="111" t="str" cm="1">
        <f t="array" aca="1" ref="H143" ca="1">Common_InputFunctions.Utility_DisplayArrayInTable(Fertiliser_SourceData.Fertiliser_Products_Data3(),FertiliserProducts[[#Headers],[Include or Exclude]], 40)</f>
        <v/>
      </c>
      <c r="I143" s="111" t="str" cm="1">
        <f t="array" aca="1" ref="I143" ca="1">Common_InputFunctions.Utility_DisplayArrayInTable(Fertiliser_SourceData.Fertiliser_Products_Data3(),FertiliserProducts[[#Headers],[Include or Exclude]], 40)</f>
        <v/>
      </c>
      <c r="J143" s="111" t="str" cm="1">
        <f t="array" aca="1" ref="J143" ca="1">Common_InputFunctions.Utility_DisplayArrayInTable(Fertiliser_SourceData.Fertiliser_Products_Data3(),FertiliserProducts[[#Headers],[Include or Exclude]], 40)</f>
        <v/>
      </c>
      <c r="K143" s="111" t="str" cm="1">
        <f t="array" aca="1" ref="K143" ca="1">Common_InputFunctions.Utility_DisplayArrayInTable(Fertiliser_SourceData.Fertiliser_Products_Data3(),FertiliserProducts[[#Headers],[Include or Exclude]], 40)</f>
        <v/>
      </c>
      <c r="L143" s="111" t="str" cm="1">
        <f t="array" aca="1" ref="L143" ca="1">Common_InputFunctions.Utility_DisplayArrayInTable(Fertiliser_SourceData.Fertiliser_Products_Data3(),FertiliserProducts[[#Headers],[Include or Exclude]], 40)</f>
        <v/>
      </c>
      <c r="M143" s="111" t="str" cm="1">
        <f t="array" aca="1" ref="M143" ca="1">Common_InputFunctions.Utility_DisplayArrayInTable(Fertiliser_SourceData.Fertiliser_Products_Data3(),FertiliserProducts[[#Headers],[Include or Exclude]], 40)</f>
        <v/>
      </c>
      <c r="N143" s="111" t="str" cm="1">
        <f t="array" aca="1" ref="N143" ca="1">Common_InputFunctions.Utility_DisplayArrayInTable(Fertiliser_SourceData.Fertiliser_Products_Data3(),FertiliserProducts[[#Headers],[Include or Exclude]], 40)</f>
        <v/>
      </c>
      <c r="O143" s="111" t="str" cm="1">
        <f t="array" aca="1" ref="O143" ca="1">Common_InputFunctions.Utility_DisplayArrayInTable(Fertiliser_SourceData.Fertiliser_Products_Data3(),FertiliserProducts[[#Headers],[Include or Exclude]], 40)</f>
        <v/>
      </c>
      <c r="P143" s="111" t="str" cm="1">
        <f t="array" aca="1" ref="P143" ca="1">Common_InputFunctions.Utility_DisplayArrayInTable(Fertiliser_SourceData.Fertiliser_Products_Data3(),FertiliserProducts[[#Headers],[Include or Exclude]], 40)</f>
        <v/>
      </c>
      <c r="Q143" s="111" t="str" cm="1">
        <f t="array" aca="1" ref="Q143" ca="1">Common_InputFunctions.Utility_DisplayArrayInTable(Fertiliser_SourceData.Fertiliser_Products_Data3(),FertiliserProducts[[#Headers],[Include or Exclude]], 40)</f>
        <v/>
      </c>
      <c r="R143" s="111" t="str" cm="1">
        <f t="array" aca="1" ref="R143" ca="1">Common_InputFunctions.Utility_DisplayArrayInTable(Fertiliser_SourceData.Fertiliser_Products_Data3(),FertiliserProducts[[#Headers],[Include or Exclude]], 40)</f>
        <v/>
      </c>
      <c r="S143" s="111" t="str" cm="1">
        <f t="array" aca="1" ref="S143" ca="1">Common_InputFunctions.Utility_DisplayArrayInTable(Fertiliser_SourceData.Fertiliser_Products_Data3(),FertiliserProducts[[#Headers],[Include or Exclude]], 40)</f>
        <v/>
      </c>
      <c r="T143" s="111" t="str" cm="1">
        <f t="array" aca="1" ref="T143" ca="1">Common_InputFunctions.Utility_DisplayArrayInTable(Fertiliser_SourceData.Fertiliser_Products_Data3(),FertiliserProducts[[#Headers],[Include or Exclude]], 40)</f>
        <v/>
      </c>
      <c r="U143" s="111" t="str" cm="1">
        <f t="array" aca="1" ref="U143" ca="1">Common_InputFunctions.Utility_DisplayArrayInTable(Fertiliser_SourceData.Fertiliser_Products_Data3(),FertiliserProducts[[#Headers],[Include or Exclude]], 40)</f>
        <v/>
      </c>
      <c r="V143" s="111" t="str" cm="1">
        <f t="array" aca="1" ref="V143" ca="1">Common_InputFunctions.Utility_DisplayArrayInTable(Fertiliser_SourceData.Fertiliser_Products_Data3(),FertiliserProducts[[#Headers],[Include or Exclude]], 40)</f>
        <v/>
      </c>
      <c r="W143" s="111" t="str" cm="1">
        <f t="array" aca="1" ref="W143" ca="1">Common_InputFunctions.Utility_DisplayArrayInTable(Fertiliser_SourceData.Fertiliser_Products_Data3(),FertiliserProducts[[#Headers],[Include or Exclude]], 40)</f>
        <v/>
      </c>
      <c r="X143" s="111" t="str" cm="1">
        <f t="array" aca="1" ref="X143" ca="1">Common_InputFunctions.Utility_DisplayArrayInTable(Fertiliser_SourceData.Fertiliser_Products_Data3(),FertiliserProducts[[#Headers],[Include or Exclude]], 40)</f>
        <v/>
      </c>
      <c r="Y143" s="111" t="str" cm="1">
        <f t="array" aca="1" ref="Y143" ca="1">Common_InputFunctions.Utility_DisplayArrayInTable(Fertiliser_SourceData.Fertiliser_Products_Data3(),FertiliserProducts[[#Headers],[Include or Exclude]], 40)</f>
        <v/>
      </c>
      <c r="Z143" s="111" t="str" cm="1">
        <f t="array" aca="1" ref="Z143" ca="1">Common_InputFunctions.Utility_DisplayArrayInTable(Fertiliser_SourceData.Fertiliser_Products_Data3(),FertiliserProducts[[#Headers],[Include or Exclude]], 40)</f>
        <v/>
      </c>
      <c r="AA143" s="37" t="str" cm="1">
        <f t="array" aca="1" ref="AA143" ca="1">Common_InputFunctions.Utility_DisplayArrayInTable(Fertiliser_SourceData.Fertiliser_Products_Data3(),FertiliserProducts[[#Headers],[Include or Exclude]], 40)</f>
        <v/>
      </c>
      <c r="AB143" s="37" t="str" cm="1">
        <f t="array" aca="1" ref="AB143" ca="1">Common_InputFunctions.Utility_DisplayArrayInTable(Fertiliser_SourceData.Fertiliser_Products_Data3(),FertiliserProducts[[#Headers],[Include or Exclude]], 40)</f>
        <v/>
      </c>
      <c r="AC143" s="37" t="str" cm="1">
        <f t="array" aca="1" ref="AC143" ca="1">Common_InputFunctions.Utility_DisplayArrayInTable(Fertiliser_SourceData.Fertiliser_Products_Data3(),FertiliserProducts[[#Headers],[Include or Exclude]], 40)</f>
        <v/>
      </c>
      <c r="AD143" s="37" t="str" cm="1">
        <f t="array" aca="1" ref="AD143" ca="1">Common_InputFunctions.Utility_DisplayArrayInTable(Fertiliser_SourceData.Fertiliser_Products_Data3(),FertiliserProducts[[#Headers],[Include or Exclude]], 40)</f>
        <v/>
      </c>
      <c r="AE143" s="37" t="str" cm="1">
        <f t="array" aca="1" ref="AE143" ca="1">Common_InputFunctions.Utility_DisplayArrayInTable(Fertiliser_SourceData.Fertiliser_Products_Data3(),FertiliserProducts[[#Headers],[Include or Exclude]], 40)</f>
        <v/>
      </c>
    </row>
    <row r="144" spans="4:31" ht="20.100000000000001" customHeight="1" x14ac:dyDescent="0.25">
      <c r="D144" s="111" t="str" cm="1">
        <f t="array" aca="1" ref="D144" ca="1">Common_InputFunctions.Utility_DisplayArrayInTable(Fertiliser_SourceData.Fertiliser_Products_Data3(),FertiliserProducts[[#Headers],[Include or Exclude]], 40)</f>
        <v/>
      </c>
      <c r="E144" s="111" t="str" cm="1">
        <f t="array" aca="1" ref="E144" ca="1">Common_InputFunctions.Utility_DisplayArrayInTable(Fertiliser_SourceData.Fertiliser_Products_Data3(),FertiliserProducts[[#Headers],[Include or Exclude]], 40)</f>
        <v/>
      </c>
      <c r="F144" s="111" t="str" cm="1">
        <f t="array" aca="1" ref="F144" ca="1">Common_InputFunctions.Utility_DisplayArrayInTable(Fertiliser_SourceData.Fertiliser_Products_Data3(),FertiliserProducts[[#Headers],[Include or Exclude]], 40)</f>
        <v/>
      </c>
      <c r="G144" s="111" t="str" cm="1">
        <f t="array" aca="1" ref="G144" ca="1">Common_InputFunctions.Utility_DisplayArrayInTable(Fertiliser_SourceData.Fertiliser_Products_Data3(),FertiliserProducts[[#Headers],[Include or Exclude]], 40)</f>
        <v/>
      </c>
      <c r="H144" s="111" t="str" cm="1">
        <f t="array" aca="1" ref="H144" ca="1">Common_InputFunctions.Utility_DisplayArrayInTable(Fertiliser_SourceData.Fertiliser_Products_Data3(),FertiliserProducts[[#Headers],[Include or Exclude]], 40)</f>
        <v/>
      </c>
      <c r="I144" s="111" t="str" cm="1">
        <f t="array" aca="1" ref="I144" ca="1">Common_InputFunctions.Utility_DisplayArrayInTable(Fertiliser_SourceData.Fertiliser_Products_Data3(),FertiliserProducts[[#Headers],[Include or Exclude]], 40)</f>
        <v/>
      </c>
      <c r="J144" s="111" t="str" cm="1">
        <f t="array" aca="1" ref="J144" ca="1">Common_InputFunctions.Utility_DisplayArrayInTable(Fertiliser_SourceData.Fertiliser_Products_Data3(),FertiliserProducts[[#Headers],[Include or Exclude]], 40)</f>
        <v/>
      </c>
      <c r="K144" s="111" t="str" cm="1">
        <f t="array" aca="1" ref="K144" ca="1">Common_InputFunctions.Utility_DisplayArrayInTable(Fertiliser_SourceData.Fertiliser_Products_Data3(),FertiliserProducts[[#Headers],[Include or Exclude]], 40)</f>
        <v/>
      </c>
      <c r="L144" s="111" t="str" cm="1">
        <f t="array" aca="1" ref="L144" ca="1">Common_InputFunctions.Utility_DisplayArrayInTable(Fertiliser_SourceData.Fertiliser_Products_Data3(),FertiliserProducts[[#Headers],[Include or Exclude]], 40)</f>
        <v/>
      </c>
      <c r="M144" s="111" t="str" cm="1">
        <f t="array" aca="1" ref="M144" ca="1">Common_InputFunctions.Utility_DisplayArrayInTable(Fertiliser_SourceData.Fertiliser_Products_Data3(),FertiliserProducts[[#Headers],[Include or Exclude]], 40)</f>
        <v/>
      </c>
      <c r="N144" s="111" t="str" cm="1">
        <f t="array" aca="1" ref="N144" ca="1">Common_InputFunctions.Utility_DisplayArrayInTable(Fertiliser_SourceData.Fertiliser_Products_Data3(),FertiliserProducts[[#Headers],[Include or Exclude]], 40)</f>
        <v/>
      </c>
      <c r="O144" s="111" t="str" cm="1">
        <f t="array" aca="1" ref="O144" ca="1">Common_InputFunctions.Utility_DisplayArrayInTable(Fertiliser_SourceData.Fertiliser_Products_Data3(),FertiliserProducts[[#Headers],[Include or Exclude]], 40)</f>
        <v/>
      </c>
      <c r="P144" s="111" t="str" cm="1">
        <f t="array" aca="1" ref="P144" ca="1">Common_InputFunctions.Utility_DisplayArrayInTable(Fertiliser_SourceData.Fertiliser_Products_Data3(),FertiliserProducts[[#Headers],[Include or Exclude]], 40)</f>
        <v/>
      </c>
      <c r="Q144" s="111" t="str" cm="1">
        <f t="array" aca="1" ref="Q144" ca="1">Common_InputFunctions.Utility_DisplayArrayInTable(Fertiliser_SourceData.Fertiliser_Products_Data3(),FertiliserProducts[[#Headers],[Include or Exclude]], 40)</f>
        <v/>
      </c>
      <c r="R144" s="111" t="str" cm="1">
        <f t="array" aca="1" ref="R144" ca="1">Common_InputFunctions.Utility_DisplayArrayInTable(Fertiliser_SourceData.Fertiliser_Products_Data3(),FertiliserProducts[[#Headers],[Include or Exclude]], 40)</f>
        <v/>
      </c>
      <c r="S144" s="111" t="str" cm="1">
        <f t="array" aca="1" ref="S144" ca="1">Common_InputFunctions.Utility_DisplayArrayInTable(Fertiliser_SourceData.Fertiliser_Products_Data3(),FertiliserProducts[[#Headers],[Include or Exclude]], 40)</f>
        <v/>
      </c>
      <c r="T144" s="111" t="str" cm="1">
        <f t="array" aca="1" ref="T144" ca="1">Common_InputFunctions.Utility_DisplayArrayInTable(Fertiliser_SourceData.Fertiliser_Products_Data3(),FertiliserProducts[[#Headers],[Include or Exclude]], 40)</f>
        <v/>
      </c>
      <c r="U144" s="111" t="str" cm="1">
        <f t="array" aca="1" ref="U144" ca="1">Common_InputFunctions.Utility_DisplayArrayInTable(Fertiliser_SourceData.Fertiliser_Products_Data3(),FertiliserProducts[[#Headers],[Include or Exclude]], 40)</f>
        <v/>
      </c>
      <c r="V144" s="111" t="str" cm="1">
        <f t="array" aca="1" ref="V144" ca="1">Common_InputFunctions.Utility_DisplayArrayInTable(Fertiliser_SourceData.Fertiliser_Products_Data3(),FertiliserProducts[[#Headers],[Include or Exclude]], 40)</f>
        <v/>
      </c>
      <c r="W144" s="111" t="str" cm="1">
        <f t="array" aca="1" ref="W144" ca="1">Common_InputFunctions.Utility_DisplayArrayInTable(Fertiliser_SourceData.Fertiliser_Products_Data3(),FertiliserProducts[[#Headers],[Include or Exclude]], 40)</f>
        <v/>
      </c>
      <c r="X144" s="111" t="str" cm="1">
        <f t="array" aca="1" ref="X144" ca="1">Common_InputFunctions.Utility_DisplayArrayInTable(Fertiliser_SourceData.Fertiliser_Products_Data3(),FertiliserProducts[[#Headers],[Include or Exclude]], 40)</f>
        <v/>
      </c>
      <c r="Y144" s="111" t="str" cm="1">
        <f t="array" aca="1" ref="Y144" ca="1">Common_InputFunctions.Utility_DisplayArrayInTable(Fertiliser_SourceData.Fertiliser_Products_Data3(),FertiliserProducts[[#Headers],[Include or Exclude]], 40)</f>
        <v/>
      </c>
      <c r="Z144" s="111" t="str" cm="1">
        <f t="array" aca="1" ref="Z144" ca="1">Common_InputFunctions.Utility_DisplayArrayInTable(Fertiliser_SourceData.Fertiliser_Products_Data3(),FertiliserProducts[[#Headers],[Include or Exclude]], 40)</f>
        <v/>
      </c>
      <c r="AA144" s="37" t="str" cm="1">
        <f t="array" aca="1" ref="AA144" ca="1">Common_InputFunctions.Utility_DisplayArrayInTable(Fertiliser_SourceData.Fertiliser_Products_Data3(),FertiliserProducts[[#Headers],[Include or Exclude]], 40)</f>
        <v/>
      </c>
      <c r="AB144" s="37" t="str" cm="1">
        <f t="array" aca="1" ref="AB144" ca="1">Common_InputFunctions.Utility_DisplayArrayInTable(Fertiliser_SourceData.Fertiliser_Products_Data3(),FertiliserProducts[[#Headers],[Include or Exclude]], 40)</f>
        <v/>
      </c>
      <c r="AC144" s="37" t="str" cm="1">
        <f t="array" aca="1" ref="AC144" ca="1">Common_InputFunctions.Utility_DisplayArrayInTable(Fertiliser_SourceData.Fertiliser_Products_Data3(),FertiliserProducts[[#Headers],[Include or Exclude]], 40)</f>
        <v/>
      </c>
      <c r="AD144" s="37" t="str" cm="1">
        <f t="array" aca="1" ref="AD144" ca="1">Common_InputFunctions.Utility_DisplayArrayInTable(Fertiliser_SourceData.Fertiliser_Products_Data3(),FertiliserProducts[[#Headers],[Include or Exclude]], 40)</f>
        <v/>
      </c>
      <c r="AE144" s="37" t="str" cm="1">
        <f t="array" aca="1" ref="AE144" ca="1">Common_InputFunctions.Utility_DisplayArrayInTable(Fertiliser_SourceData.Fertiliser_Products_Data3(),FertiliserProducts[[#Headers],[Include or Exclude]], 40)</f>
        <v/>
      </c>
    </row>
    <row r="145" spans="4:31" ht="20.100000000000001" customHeight="1" x14ac:dyDescent="0.25">
      <c r="D145" s="111" t="str" cm="1">
        <f t="array" aca="1" ref="D145" ca="1">Common_InputFunctions.Utility_DisplayArrayInTable(Fertiliser_SourceData.Fertiliser_Products_Data3(),FertiliserProducts[[#Headers],[Include or Exclude]], 40)</f>
        <v/>
      </c>
      <c r="E145" s="111" t="str" cm="1">
        <f t="array" aca="1" ref="E145" ca="1">Common_InputFunctions.Utility_DisplayArrayInTable(Fertiliser_SourceData.Fertiliser_Products_Data3(),FertiliserProducts[[#Headers],[Include or Exclude]], 40)</f>
        <v/>
      </c>
      <c r="F145" s="111" t="str" cm="1">
        <f t="array" aca="1" ref="F145" ca="1">Common_InputFunctions.Utility_DisplayArrayInTable(Fertiliser_SourceData.Fertiliser_Products_Data3(),FertiliserProducts[[#Headers],[Include or Exclude]], 40)</f>
        <v/>
      </c>
      <c r="G145" s="111" t="str" cm="1">
        <f t="array" aca="1" ref="G145" ca="1">Common_InputFunctions.Utility_DisplayArrayInTable(Fertiliser_SourceData.Fertiliser_Products_Data3(),FertiliserProducts[[#Headers],[Include or Exclude]], 40)</f>
        <v/>
      </c>
      <c r="H145" s="111" t="str" cm="1">
        <f t="array" aca="1" ref="H145" ca="1">Common_InputFunctions.Utility_DisplayArrayInTable(Fertiliser_SourceData.Fertiliser_Products_Data3(),FertiliserProducts[[#Headers],[Include or Exclude]], 40)</f>
        <v/>
      </c>
      <c r="I145" s="111" t="str" cm="1">
        <f t="array" aca="1" ref="I145" ca="1">Common_InputFunctions.Utility_DisplayArrayInTable(Fertiliser_SourceData.Fertiliser_Products_Data3(),FertiliserProducts[[#Headers],[Include or Exclude]], 40)</f>
        <v/>
      </c>
      <c r="J145" s="111" t="str" cm="1">
        <f t="array" aca="1" ref="J145" ca="1">Common_InputFunctions.Utility_DisplayArrayInTable(Fertiliser_SourceData.Fertiliser_Products_Data3(),FertiliserProducts[[#Headers],[Include or Exclude]], 40)</f>
        <v/>
      </c>
      <c r="K145" s="111" t="str" cm="1">
        <f t="array" aca="1" ref="K145" ca="1">Common_InputFunctions.Utility_DisplayArrayInTable(Fertiliser_SourceData.Fertiliser_Products_Data3(),FertiliserProducts[[#Headers],[Include or Exclude]], 40)</f>
        <v/>
      </c>
      <c r="L145" s="111" t="str" cm="1">
        <f t="array" aca="1" ref="L145" ca="1">Common_InputFunctions.Utility_DisplayArrayInTable(Fertiliser_SourceData.Fertiliser_Products_Data3(),FertiliserProducts[[#Headers],[Include or Exclude]], 40)</f>
        <v/>
      </c>
      <c r="M145" s="111" t="str" cm="1">
        <f t="array" aca="1" ref="M145" ca="1">Common_InputFunctions.Utility_DisplayArrayInTable(Fertiliser_SourceData.Fertiliser_Products_Data3(),FertiliserProducts[[#Headers],[Include or Exclude]], 40)</f>
        <v/>
      </c>
      <c r="N145" s="111" t="str" cm="1">
        <f t="array" aca="1" ref="N145" ca="1">Common_InputFunctions.Utility_DisplayArrayInTable(Fertiliser_SourceData.Fertiliser_Products_Data3(),FertiliserProducts[[#Headers],[Include or Exclude]], 40)</f>
        <v/>
      </c>
      <c r="O145" s="111" t="str" cm="1">
        <f t="array" aca="1" ref="O145" ca="1">Common_InputFunctions.Utility_DisplayArrayInTable(Fertiliser_SourceData.Fertiliser_Products_Data3(),FertiliserProducts[[#Headers],[Include or Exclude]], 40)</f>
        <v/>
      </c>
      <c r="P145" s="111" t="str" cm="1">
        <f t="array" aca="1" ref="P145" ca="1">Common_InputFunctions.Utility_DisplayArrayInTable(Fertiliser_SourceData.Fertiliser_Products_Data3(),FertiliserProducts[[#Headers],[Include or Exclude]], 40)</f>
        <v/>
      </c>
      <c r="Q145" s="111" t="str" cm="1">
        <f t="array" aca="1" ref="Q145" ca="1">Common_InputFunctions.Utility_DisplayArrayInTable(Fertiliser_SourceData.Fertiliser_Products_Data3(),FertiliserProducts[[#Headers],[Include or Exclude]], 40)</f>
        <v/>
      </c>
      <c r="R145" s="111" t="str" cm="1">
        <f t="array" aca="1" ref="R145" ca="1">Common_InputFunctions.Utility_DisplayArrayInTable(Fertiliser_SourceData.Fertiliser_Products_Data3(),FertiliserProducts[[#Headers],[Include or Exclude]], 40)</f>
        <v/>
      </c>
      <c r="S145" s="111" t="str" cm="1">
        <f t="array" aca="1" ref="S145" ca="1">Common_InputFunctions.Utility_DisplayArrayInTable(Fertiliser_SourceData.Fertiliser_Products_Data3(),FertiliserProducts[[#Headers],[Include or Exclude]], 40)</f>
        <v/>
      </c>
      <c r="T145" s="111" t="str" cm="1">
        <f t="array" aca="1" ref="T145" ca="1">Common_InputFunctions.Utility_DisplayArrayInTable(Fertiliser_SourceData.Fertiliser_Products_Data3(),FertiliserProducts[[#Headers],[Include or Exclude]], 40)</f>
        <v/>
      </c>
      <c r="U145" s="111" t="str" cm="1">
        <f t="array" aca="1" ref="U145" ca="1">Common_InputFunctions.Utility_DisplayArrayInTable(Fertiliser_SourceData.Fertiliser_Products_Data3(),FertiliserProducts[[#Headers],[Include or Exclude]], 40)</f>
        <v/>
      </c>
      <c r="V145" s="111" t="str" cm="1">
        <f t="array" aca="1" ref="V145" ca="1">Common_InputFunctions.Utility_DisplayArrayInTable(Fertiliser_SourceData.Fertiliser_Products_Data3(),FertiliserProducts[[#Headers],[Include or Exclude]], 40)</f>
        <v/>
      </c>
      <c r="W145" s="111" t="str" cm="1">
        <f t="array" aca="1" ref="W145" ca="1">Common_InputFunctions.Utility_DisplayArrayInTable(Fertiliser_SourceData.Fertiliser_Products_Data3(),FertiliserProducts[[#Headers],[Include or Exclude]], 40)</f>
        <v/>
      </c>
      <c r="X145" s="111" t="str" cm="1">
        <f t="array" aca="1" ref="X145" ca="1">Common_InputFunctions.Utility_DisplayArrayInTable(Fertiliser_SourceData.Fertiliser_Products_Data3(),FertiliserProducts[[#Headers],[Include or Exclude]], 40)</f>
        <v/>
      </c>
      <c r="Y145" s="111" t="str" cm="1">
        <f t="array" aca="1" ref="Y145" ca="1">Common_InputFunctions.Utility_DisplayArrayInTable(Fertiliser_SourceData.Fertiliser_Products_Data3(),FertiliserProducts[[#Headers],[Include or Exclude]], 40)</f>
        <v/>
      </c>
      <c r="Z145" s="111" t="str" cm="1">
        <f t="array" aca="1" ref="Z145" ca="1">Common_InputFunctions.Utility_DisplayArrayInTable(Fertiliser_SourceData.Fertiliser_Products_Data3(),FertiliserProducts[[#Headers],[Include or Exclude]], 40)</f>
        <v/>
      </c>
      <c r="AA145" s="37" t="str" cm="1">
        <f t="array" aca="1" ref="AA145" ca="1">Common_InputFunctions.Utility_DisplayArrayInTable(Fertiliser_SourceData.Fertiliser_Products_Data3(),FertiliserProducts[[#Headers],[Include or Exclude]], 40)</f>
        <v/>
      </c>
      <c r="AB145" s="37" t="str" cm="1">
        <f t="array" aca="1" ref="AB145" ca="1">Common_InputFunctions.Utility_DisplayArrayInTable(Fertiliser_SourceData.Fertiliser_Products_Data3(),FertiliserProducts[[#Headers],[Include or Exclude]], 40)</f>
        <v/>
      </c>
      <c r="AC145" s="37" t="str" cm="1">
        <f t="array" aca="1" ref="AC145" ca="1">Common_InputFunctions.Utility_DisplayArrayInTable(Fertiliser_SourceData.Fertiliser_Products_Data3(),FertiliserProducts[[#Headers],[Include or Exclude]], 40)</f>
        <v/>
      </c>
      <c r="AD145" s="37" t="str" cm="1">
        <f t="array" aca="1" ref="AD145" ca="1">Common_InputFunctions.Utility_DisplayArrayInTable(Fertiliser_SourceData.Fertiliser_Products_Data3(),FertiliserProducts[[#Headers],[Include or Exclude]], 40)</f>
        <v/>
      </c>
      <c r="AE145" s="37" t="str" cm="1">
        <f t="array" aca="1" ref="AE145" ca="1">Common_InputFunctions.Utility_DisplayArrayInTable(Fertiliser_SourceData.Fertiliser_Products_Data3(),FertiliserProducts[[#Headers],[Include or Exclude]], 40)</f>
        <v/>
      </c>
    </row>
    <row r="146" spans="4:31" ht="20.100000000000001" customHeight="1" x14ac:dyDescent="0.25">
      <c r="D146" s="111" t="str" cm="1">
        <f t="array" aca="1" ref="D146" ca="1">Common_InputFunctions.Utility_DisplayArrayInTable(Fertiliser_SourceData.Fertiliser_Products_Data3(),FertiliserProducts[[#Headers],[Include or Exclude]], 40)</f>
        <v/>
      </c>
      <c r="E146" s="111" t="str" cm="1">
        <f t="array" aca="1" ref="E146" ca="1">Common_InputFunctions.Utility_DisplayArrayInTable(Fertiliser_SourceData.Fertiliser_Products_Data3(),FertiliserProducts[[#Headers],[Include or Exclude]], 40)</f>
        <v/>
      </c>
      <c r="F146" s="111" t="str" cm="1">
        <f t="array" aca="1" ref="F146" ca="1">Common_InputFunctions.Utility_DisplayArrayInTable(Fertiliser_SourceData.Fertiliser_Products_Data3(),FertiliserProducts[[#Headers],[Include or Exclude]], 40)</f>
        <v/>
      </c>
      <c r="G146" s="111" t="str" cm="1">
        <f t="array" aca="1" ref="G146" ca="1">Common_InputFunctions.Utility_DisplayArrayInTable(Fertiliser_SourceData.Fertiliser_Products_Data3(),FertiliserProducts[[#Headers],[Include or Exclude]], 40)</f>
        <v/>
      </c>
      <c r="H146" s="111" t="str" cm="1">
        <f t="array" aca="1" ref="H146" ca="1">Common_InputFunctions.Utility_DisplayArrayInTable(Fertiliser_SourceData.Fertiliser_Products_Data3(),FertiliserProducts[[#Headers],[Include or Exclude]], 40)</f>
        <v/>
      </c>
      <c r="I146" s="111" t="str" cm="1">
        <f t="array" aca="1" ref="I146" ca="1">Common_InputFunctions.Utility_DisplayArrayInTable(Fertiliser_SourceData.Fertiliser_Products_Data3(),FertiliserProducts[[#Headers],[Include or Exclude]], 40)</f>
        <v/>
      </c>
      <c r="J146" s="111" t="str" cm="1">
        <f t="array" aca="1" ref="J146" ca="1">Common_InputFunctions.Utility_DisplayArrayInTable(Fertiliser_SourceData.Fertiliser_Products_Data3(),FertiliserProducts[[#Headers],[Include or Exclude]], 40)</f>
        <v/>
      </c>
      <c r="K146" s="111" t="str" cm="1">
        <f t="array" aca="1" ref="K146" ca="1">Common_InputFunctions.Utility_DisplayArrayInTable(Fertiliser_SourceData.Fertiliser_Products_Data3(),FertiliserProducts[[#Headers],[Include or Exclude]], 40)</f>
        <v/>
      </c>
      <c r="L146" s="111" t="str" cm="1">
        <f t="array" aca="1" ref="L146" ca="1">Common_InputFunctions.Utility_DisplayArrayInTable(Fertiliser_SourceData.Fertiliser_Products_Data3(),FertiliserProducts[[#Headers],[Include or Exclude]], 40)</f>
        <v/>
      </c>
      <c r="M146" s="111" t="str" cm="1">
        <f t="array" aca="1" ref="M146" ca="1">Common_InputFunctions.Utility_DisplayArrayInTable(Fertiliser_SourceData.Fertiliser_Products_Data3(),FertiliserProducts[[#Headers],[Include or Exclude]], 40)</f>
        <v/>
      </c>
      <c r="N146" s="111" t="str" cm="1">
        <f t="array" aca="1" ref="N146" ca="1">Common_InputFunctions.Utility_DisplayArrayInTable(Fertiliser_SourceData.Fertiliser_Products_Data3(),FertiliserProducts[[#Headers],[Include or Exclude]], 40)</f>
        <v/>
      </c>
      <c r="O146" s="111" t="str" cm="1">
        <f t="array" aca="1" ref="O146" ca="1">Common_InputFunctions.Utility_DisplayArrayInTable(Fertiliser_SourceData.Fertiliser_Products_Data3(),FertiliserProducts[[#Headers],[Include or Exclude]], 40)</f>
        <v/>
      </c>
      <c r="P146" s="111" t="str" cm="1">
        <f t="array" aca="1" ref="P146" ca="1">Common_InputFunctions.Utility_DisplayArrayInTable(Fertiliser_SourceData.Fertiliser_Products_Data3(),FertiliserProducts[[#Headers],[Include or Exclude]], 40)</f>
        <v/>
      </c>
      <c r="Q146" s="111" t="str" cm="1">
        <f t="array" aca="1" ref="Q146" ca="1">Common_InputFunctions.Utility_DisplayArrayInTable(Fertiliser_SourceData.Fertiliser_Products_Data3(),FertiliserProducts[[#Headers],[Include or Exclude]], 40)</f>
        <v/>
      </c>
      <c r="R146" s="111" t="str" cm="1">
        <f t="array" aca="1" ref="R146" ca="1">Common_InputFunctions.Utility_DisplayArrayInTable(Fertiliser_SourceData.Fertiliser_Products_Data3(),FertiliserProducts[[#Headers],[Include or Exclude]], 40)</f>
        <v/>
      </c>
      <c r="S146" s="111" t="str" cm="1">
        <f t="array" aca="1" ref="S146" ca="1">Common_InputFunctions.Utility_DisplayArrayInTable(Fertiliser_SourceData.Fertiliser_Products_Data3(),FertiliserProducts[[#Headers],[Include or Exclude]], 40)</f>
        <v/>
      </c>
      <c r="T146" s="111" t="str" cm="1">
        <f t="array" aca="1" ref="T146" ca="1">Common_InputFunctions.Utility_DisplayArrayInTable(Fertiliser_SourceData.Fertiliser_Products_Data3(),FertiliserProducts[[#Headers],[Include or Exclude]], 40)</f>
        <v/>
      </c>
      <c r="U146" s="111" t="str" cm="1">
        <f t="array" aca="1" ref="U146" ca="1">Common_InputFunctions.Utility_DisplayArrayInTable(Fertiliser_SourceData.Fertiliser_Products_Data3(),FertiliserProducts[[#Headers],[Include or Exclude]], 40)</f>
        <v/>
      </c>
      <c r="V146" s="111" t="str" cm="1">
        <f t="array" aca="1" ref="V146" ca="1">Common_InputFunctions.Utility_DisplayArrayInTable(Fertiliser_SourceData.Fertiliser_Products_Data3(),FertiliserProducts[[#Headers],[Include or Exclude]], 40)</f>
        <v/>
      </c>
      <c r="W146" s="111" t="str" cm="1">
        <f t="array" aca="1" ref="W146" ca="1">Common_InputFunctions.Utility_DisplayArrayInTable(Fertiliser_SourceData.Fertiliser_Products_Data3(),FertiliserProducts[[#Headers],[Include or Exclude]], 40)</f>
        <v/>
      </c>
      <c r="X146" s="111" t="str" cm="1">
        <f t="array" aca="1" ref="X146" ca="1">Common_InputFunctions.Utility_DisplayArrayInTable(Fertiliser_SourceData.Fertiliser_Products_Data3(),FertiliserProducts[[#Headers],[Include or Exclude]], 40)</f>
        <v/>
      </c>
      <c r="Y146" s="111" t="str" cm="1">
        <f t="array" aca="1" ref="Y146" ca="1">Common_InputFunctions.Utility_DisplayArrayInTable(Fertiliser_SourceData.Fertiliser_Products_Data3(),FertiliserProducts[[#Headers],[Include or Exclude]], 40)</f>
        <v/>
      </c>
      <c r="Z146" s="111" t="str" cm="1">
        <f t="array" aca="1" ref="Z146" ca="1">Common_InputFunctions.Utility_DisplayArrayInTable(Fertiliser_SourceData.Fertiliser_Products_Data3(),FertiliserProducts[[#Headers],[Include or Exclude]], 40)</f>
        <v/>
      </c>
      <c r="AA146" s="37" t="str" cm="1">
        <f t="array" aca="1" ref="AA146" ca="1">Common_InputFunctions.Utility_DisplayArrayInTable(Fertiliser_SourceData.Fertiliser_Products_Data3(),FertiliserProducts[[#Headers],[Include or Exclude]], 40)</f>
        <v/>
      </c>
      <c r="AB146" s="37" t="str" cm="1">
        <f t="array" aca="1" ref="AB146" ca="1">Common_InputFunctions.Utility_DisplayArrayInTable(Fertiliser_SourceData.Fertiliser_Products_Data3(),FertiliserProducts[[#Headers],[Include or Exclude]], 40)</f>
        <v/>
      </c>
      <c r="AC146" s="37" t="str" cm="1">
        <f t="array" aca="1" ref="AC146" ca="1">Common_InputFunctions.Utility_DisplayArrayInTable(Fertiliser_SourceData.Fertiliser_Products_Data3(),FertiliserProducts[[#Headers],[Include or Exclude]], 40)</f>
        <v/>
      </c>
      <c r="AD146" s="37" t="str" cm="1">
        <f t="array" aca="1" ref="AD146" ca="1">Common_InputFunctions.Utility_DisplayArrayInTable(Fertiliser_SourceData.Fertiliser_Products_Data3(),FertiliserProducts[[#Headers],[Include or Exclude]], 40)</f>
        <v/>
      </c>
      <c r="AE146" s="37" t="str" cm="1">
        <f t="array" aca="1" ref="AE146" ca="1">Common_InputFunctions.Utility_DisplayArrayInTable(Fertiliser_SourceData.Fertiliser_Products_Data3(),FertiliserProducts[[#Headers],[Include or Exclude]], 40)</f>
        <v/>
      </c>
    </row>
    <row r="147" spans="4:31" ht="20.100000000000001" customHeight="1" x14ac:dyDescent="0.25">
      <c r="D147" s="111" t="str" cm="1">
        <f t="array" aca="1" ref="D147" ca="1">Common_InputFunctions.Utility_DisplayArrayInTable(Fertiliser_SourceData.Fertiliser_Products_Data3(),FertiliserProducts[[#Headers],[Include or Exclude]], 40)</f>
        <v/>
      </c>
      <c r="E147" s="111" t="str" cm="1">
        <f t="array" aca="1" ref="E147" ca="1">Common_InputFunctions.Utility_DisplayArrayInTable(Fertiliser_SourceData.Fertiliser_Products_Data3(),FertiliserProducts[[#Headers],[Include or Exclude]], 40)</f>
        <v/>
      </c>
      <c r="F147" s="111" t="str" cm="1">
        <f t="array" aca="1" ref="F147" ca="1">Common_InputFunctions.Utility_DisplayArrayInTable(Fertiliser_SourceData.Fertiliser_Products_Data3(),FertiliserProducts[[#Headers],[Include or Exclude]], 40)</f>
        <v/>
      </c>
      <c r="G147" s="111" t="str" cm="1">
        <f t="array" aca="1" ref="G147" ca="1">Common_InputFunctions.Utility_DisplayArrayInTable(Fertiliser_SourceData.Fertiliser_Products_Data3(),FertiliserProducts[[#Headers],[Include or Exclude]], 40)</f>
        <v/>
      </c>
      <c r="H147" s="111" t="str" cm="1">
        <f t="array" aca="1" ref="H147" ca="1">Common_InputFunctions.Utility_DisplayArrayInTable(Fertiliser_SourceData.Fertiliser_Products_Data3(),FertiliserProducts[[#Headers],[Include or Exclude]], 40)</f>
        <v/>
      </c>
      <c r="I147" s="111" t="str" cm="1">
        <f t="array" aca="1" ref="I147" ca="1">Common_InputFunctions.Utility_DisplayArrayInTable(Fertiliser_SourceData.Fertiliser_Products_Data3(),FertiliserProducts[[#Headers],[Include or Exclude]], 40)</f>
        <v/>
      </c>
      <c r="J147" s="111" t="str" cm="1">
        <f t="array" aca="1" ref="J147" ca="1">Common_InputFunctions.Utility_DisplayArrayInTable(Fertiliser_SourceData.Fertiliser_Products_Data3(),FertiliserProducts[[#Headers],[Include or Exclude]], 40)</f>
        <v/>
      </c>
      <c r="K147" s="111" t="str" cm="1">
        <f t="array" aca="1" ref="K147" ca="1">Common_InputFunctions.Utility_DisplayArrayInTable(Fertiliser_SourceData.Fertiliser_Products_Data3(),FertiliserProducts[[#Headers],[Include or Exclude]], 40)</f>
        <v/>
      </c>
      <c r="L147" s="111" t="str" cm="1">
        <f t="array" aca="1" ref="L147" ca="1">Common_InputFunctions.Utility_DisplayArrayInTable(Fertiliser_SourceData.Fertiliser_Products_Data3(),FertiliserProducts[[#Headers],[Include or Exclude]], 40)</f>
        <v/>
      </c>
      <c r="M147" s="111" t="str" cm="1">
        <f t="array" aca="1" ref="M147" ca="1">Common_InputFunctions.Utility_DisplayArrayInTable(Fertiliser_SourceData.Fertiliser_Products_Data3(),FertiliserProducts[[#Headers],[Include or Exclude]], 40)</f>
        <v/>
      </c>
      <c r="N147" s="111" t="str" cm="1">
        <f t="array" aca="1" ref="N147" ca="1">Common_InputFunctions.Utility_DisplayArrayInTable(Fertiliser_SourceData.Fertiliser_Products_Data3(),FertiliserProducts[[#Headers],[Include or Exclude]], 40)</f>
        <v/>
      </c>
      <c r="O147" s="111" t="str" cm="1">
        <f t="array" aca="1" ref="O147" ca="1">Common_InputFunctions.Utility_DisplayArrayInTable(Fertiliser_SourceData.Fertiliser_Products_Data3(),FertiliserProducts[[#Headers],[Include or Exclude]], 40)</f>
        <v/>
      </c>
      <c r="P147" s="111" t="str" cm="1">
        <f t="array" aca="1" ref="P147" ca="1">Common_InputFunctions.Utility_DisplayArrayInTable(Fertiliser_SourceData.Fertiliser_Products_Data3(),FertiliserProducts[[#Headers],[Include or Exclude]], 40)</f>
        <v/>
      </c>
      <c r="Q147" s="111" t="str" cm="1">
        <f t="array" aca="1" ref="Q147" ca="1">Common_InputFunctions.Utility_DisplayArrayInTable(Fertiliser_SourceData.Fertiliser_Products_Data3(),FertiliserProducts[[#Headers],[Include or Exclude]], 40)</f>
        <v/>
      </c>
      <c r="R147" s="111" t="str" cm="1">
        <f t="array" aca="1" ref="R147" ca="1">Common_InputFunctions.Utility_DisplayArrayInTable(Fertiliser_SourceData.Fertiliser_Products_Data3(),FertiliserProducts[[#Headers],[Include or Exclude]], 40)</f>
        <v/>
      </c>
      <c r="S147" s="111" t="str" cm="1">
        <f t="array" aca="1" ref="S147" ca="1">Common_InputFunctions.Utility_DisplayArrayInTable(Fertiliser_SourceData.Fertiliser_Products_Data3(),FertiliserProducts[[#Headers],[Include or Exclude]], 40)</f>
        <v/>
      </c>
      <c r="T147" s="111" t="str" cm="1">
        <f t="array" aca="1" ref="T147" ca="1">Common_InputFunctions.Utility_DisplayArrayInTable(Fertiliser_SourceData.Fertiliser_Products_Data3(),FertiliserProducts[[#Headers],[Include or Exclude]], 40)</f>
        <v/>
      </c>
      <c r="U147" s="111" t="str" cm="1">
        <f t="array" aca="1" ref="U147" ca="1">Common_InputFunctions.Utility_DisplayArrayInTable(Fertiliser_SourceData.Fertiliser_Products_Data3(),FertiliserProducts[[#Headers],[Include or Exclude]], 40)</f>
        <v/>
      </c>
      <c r="V147" s="111" t="str" cm="1">
        <f t="array" aca="1" ref="V147" ca="1">Common_InputFunctions.Utility_DisplayArrayInTable(Fertiliser_SourceData.Fertiliser_Products_Data3(),FertiliserProducts[[#Headers],[Include or Exclude]], 40)</f>
        <v/>
      </c>
      <c r="W147" s="111" t="str" cm="1">
        <f t="array" aca="1" ref="W147" ca="1">Common_InputFunctions.Utility_DisplayArrayInTable(Fertiliser_SourceData.Fertiliser_Products_Data3(),FertiliserProducts[[#Headers],[Include or Exclude]], 40)</f>
        <v/>
      </c>
      <c r="X147" s="111" t="str" cm="1">
        <f t="array" aca="1" ref="X147" ca="1">Common_InputFunctions.Utility_DisplayArrayInTable(Fertiliser_SourceData.Fertiliser_Products_Data3(),FertiliserProducts[[#Headers],[Include or Exclude]], 40)</f>
        <v/>
      </c>
      <c r="Y147" s="111" t="str" cm="1">
        <f t="array" aca="1" ref="Y147" ca="1">Common_InputFunctions.Utility_DisplayArrayInTable(Fertiliser_SourceData.Fertiliser_Products_Data3(),FertiliserProducts[[#Headers],[Include or Exclude]], 40)</f>
        <v/>
      </c>
      <c r="Z147" s="111" t="str" cm="1">
        <f t="array" aca="1" ref="Z147" ca="1">Common_InputFunctions.Utility_DisplayArrayInTable(Fertiliser_SourceData.Fertiliser_Products_Data3(),FertiliserProducts[[#Headers],[Include or Exclude]], 40)</f>
        <v/>
      </c>
      <c r="AA147" s="37" t="str" cm="1">
        <f t="array" aca="1" ref="AA147" ca="1">Common_InputFunctions.Utility_DisplayArrayInTable(Fertiliser_SourceData.Fertiliser_Products_Data3(),FertiliserProducts[[#Headers],[Include or Exclude]], 40)</f>
        <v/>
      </c>
      <c r="AB147" s="37" t="str" cm="1">
        <f t="array" aca="1" ref="AB147" ca="1">Common_InputFunctions.Utility_DisplayArrayInTable(Fertiliser_SourceData.Fertiliser_Products_Data3(),FertiliserProducts[[#Headers],[Include or Exclude]], 40)</f>
        <v/>
      </c>
      <c r="AC147" s="37" t="str" cm="1">
        <f t="array" aca="1" ref="AC147" ca="1">Common_InputFunctions.Utility_DisplayArrayInTable(Fertiliser_SourceData.Fertiliser_Products_Data3(),FertiliserProducts[[#Headers],[Include or Exclude]], 40)</f>
        <v/>
      </c>
      <c r="AD147" s="37" t="str" cm="1">
        <f t="array" aca="1" ref="AD147" ca="1">Common_InputFunctions.Utility_DisplayArrayInTable(Fertiliser_SourceData.Fertiliser_Products_Data3(),FertiliserProducts[[#Headers],[Include or Exclude]], 40)</f>
        <v/>
      </c>
      <c r="AE147" s="37" t="str" cm="1">
        <f t="array" aca="1" ref="AE147" ca="1">Common_InputFunctions.Utility_DisplayArrayInTable(Fertiliser_SourceData.Fertiliser_Products_Data3(),FertiliserProducts[[#Headers],[Include or Exclude]], 40)</f>
        <v/>
      </c>
    </row>
    <row r="148" spans="4:31" ht="20.100000000000001" customHeight="1" x14ac:dyDescent="0.25">
      <c r="D148" s="111" t="str" cm="1">
        <f t="array" aca="1" ref="D148" ca="1">Common_InputFunctions.Utility_DisplayArrayInTable(Fertiliser_SourceData.Fertiliser_Products_Data3(),FertiliserProducts[[#Headers],[Include or Exclude]], 40)</f>
        <v/>
      </c>
      <c r="E148" s="111" t="str" cm="1">
        <f t="array" aca="1" ref="E148" ca="1">Common_InputFunctions.Utility_DisplayArrayInTable(Fertiliser_SourceData.Fertiliser_Products_Data3(),FertiliserProducts[[#Headers],[Include or Exclude]], 40)</f>
        <v/>
      </c>
      <c r="F148" s="111" t="str" cm="1">
        <f t="array" aca="1" ref="F148" ca="1">Common_InputFunctions.Utility_DisplayArrayInTable(Fertiliser_SourceData.Fertiliser_Products_Data3(),FertiliserProducts[[#Headers],[Include or Exclude]], 40)</f>
        <v/>
      </c>
      <c r="G148" s="111" t="str" cm="1">
        <f t="array" aca="1" ref="G148" ca="1">Common_InputFunctions.Utility_DisplayArrayInTable(Fertiliser_SourceData.Fertiliser_Products_Data3(),FertiliserProducts[[#Headers],[Include or Exclude]], 40)</f>
        <v/>
      </c>
      <c r="H148" s="111" t="str" cm="1">
        <f t="array" aca="1" ref="H148" ca="1">Common_InputFunctions.Utility_DisplayArrayInTable(Fertiliser_SourceData.Fertiliser_Products_Data3(),FertiliserProducts[[#Headers],[Include or Exclude]], 40)</f>
        <v/>
      </c>
      <c r="I148" s="111" t="str" cm="1">
        <f t="array" aca="1" ref="I148" ca="1">Common_InputFunctions.Utility_DisplayArrayInTable(Fertiliser_SourceData.Fertiliser_Products_Data3(),FertiliserProducts[[#Headers],[Include or Exclude]], 40)</f>
        <v/>
      </c>
      <c r="J148" s="111" t="str" cm="1">
        <f t="array" aca="1" ref="J148" ca="1">Common_InputFunctions.Utility_DisplayArrayInTable(Fertiliser_SourceData.Fertiliser_Products_Data3(),FertiliserProducts[[#Headers],[Include or Exclude]], 40)</f>
        <v/>
      </c>
      <c r="K148" s="111" t="str" cm="1">
        <f t="array" aca="1" ref="K148" ca="1">Common_InputFunctions.Utility_DisplayArrayInTable(Fertiliser_SourceData.Fertiliser_Products_Data3(),FertiliserProducts[[#Headers],[Include or Exclude]], 40)</f>
        <v/>
      </c>
      <c r="L148" s="111" t="str" cm="1">
        <f t="array" aca="1" ref="L148" ca="1">Common_InputFunctions.Utility_DisplayArrayInTable(Fertiliser_SourceData.Fertiliser_Products_Data3(),FertiliserProducts[[#Headers],[Include or Exclude]], 40)</f>
        <v/>
      </c>
      <c r="M148" s="111" t="str" cm="1">
        <f t="array" aca="1" ref="M148" ca="1">Common_InputFunctions.Utility_DisplayArrayInTable(Fertiliser_SourceData.Fertiliser_Products_Data3(),FertiliserProducts[[#Headers],[Include or Exclude]], 40)</f>
        <v/>
      </c>
      <c r="N148" s="111" t="str" cm="1">
        <f t="array" aca="1" ref="N148" ca="1">Common_InputFunctions.Utility_DisplayArrayInTable(Fertiliser_SourceData.Fertiliser_Products_Data3(),FertiliserProducts[[#Headers],[Include or Exclude]], 40)</f>
        <v/>
      </c>
      <c r="O148" s="111" t="str" cm="1">
        <f t="array" aca="1" ref="O148" ca="1">Common_InputFunctions.Utility_DisplayArrayInTable(Fertiliser_SourceData.Fertiliser_Products_Data3(),FertiliserProducts[[#Headers],[Include or Exclude]], 40)</f>
        <v/>
      </c>
      <c r="P148" s="111" t="str" cm="1">
        <f t="array" aca="1" ref="P148" ca="1">Common_InputFunctions.Utility_DisplayArrayInTable(Fertiliser_SourceData.Fertiliser_Products_Data3(),FertiliserProducts[[#Headers],[Include or Exclude]], 40)</f>
        <v/>
      </c>
      <c r="Q148" s="111" t="str" cm="1">
        <f t="array" aca="1" ref="Q148" ca="1">Common_InputFunctions.Utility_DisplayArrayInTable(Fertiliser_SourceData.Fertiliser_Products_Data3(),FertiliserProducts[[#Headers],[Include or Exclude]], 40)</f>
        <v/>
      </c>
      <c r="R148" s="111" t="str" cm="1">
        <f t="array" aca="1" ref="R148" ca="1">Common_InputFunctions.Utility_DisplayArrayInTable(Fertiliser_SourceData.Fertiliser_Products_Data3(),FertiliserProducts[[#Headers],[Include or Exclude]], 40)</f>
        <v/>
      </c>
      <c r="S148" s="111" t="str" cm="1">
        <f t="array" aca="1" ref="S148" ca="1">Common_InputFunctions.Utility_DisplayArrayInTable(Fertiliser_SourceData.Fertiliser_Products_Data3(),FertiliserProducts[[#Headers],[Include or Exclude]], 40)</f>
        <v/>
      </c>
      <c r="T148" s="111" t="str" cm="1">
        <f t="array" aca="1" ref="T148" ca="1">Common_InputFunctions.Utility_DisplayArrayInTable(Fertiliser_SourceData.Fertiliser_Products_Data3(),FertiliserProducts[[#Headers],[Include or Exclude]], 40)</f>
        <v/>
      </c>
      <c r="U148" s="111" t="str" cm="1">
        <f t="array" aca="1" ref="U148" ca="1">Common_InputFunctions.Utility_DisplayArrayInTable(Fertiliser_SourceData.Fertiliser_Products_Data3(),FertiliserProducts[[#Headers],[Include or Exclude]], 40)</f>
        <v/>
      </c>
      <c r="V148" s="111" t="str" cm="1">
        <f t="array" aca="1" ref="V148" ca="1">Common_InputFunctions.Utility_DisplayArrayInTable(Fertiliser_SourceData.Fertiliser_Products_Data3(),FertiliserProducts[[#Headers],[Include or Exclude]], 40)</f>
        <v/>
      </c>
      <c r="W148" s="111" t="str" cm="1">
        <f t="array" aca="1" ref="W148" ca="1">Common_InputFunctions.Utility_DisplayArrayInTable(Fertiliser_SourceData.Fertiliser_Products_Data3(),FertiliserProducts[[#Headers],[Include or Exclude]], 40)</f>
        <v/>
      </c>
      <c r="X148" s="111" t="str" cm="1">
        <f t="array" aca="1" ref="X148" ca="1">Common_InputFunctions.Utility_DisplayArrayInTable(Fertiliser_SourceData.Fertiliser_Products_Data3(),FertiliserProducts[[#Headers],[Include or Exclude]], 40)</f>
        <v/>
      </c>
      <c r="Y148" s="111" t="str" cm="1">
        <f t="array" aca="1" ref="Y148" ca="1">Common_InputFunctions.Utility_DisplayArrayInTable(Fertiliser_SourceData.Fertiliser_Products_Data3(),FertiliserProducts[[#Headers],[Include or Exclude]], 40)</f>
        <v/>
      </c>
      <c r="Z148" s="111" t="str" cm="1">
        <f t="array" aca="1" ref="Z148" ca="1">Common_InputFunctions.Utility_DisplayArrayInTable(Fertiliser_SourceData.Fertiliser_Products_Data3(),FertiliserProducts[[#Headers],[Include or Exclude]], 40)</f>
        <v/>
      </c>
      <c r="AA148" s="37" t="str" cm="1">
        <f t="array" aca="1" ref="AA148" ca="1">Common_InputFunctions.Utility_DisplayArrayInTable(Fertiliser_SourceData.Fertiliser_Products_Data3(),FertiliserProducts[[#Headers],[Include or Exclude]], 40)</f>
        <v/>
      </c>
      <c r="AB148" s="37" t="str" cm="1">
        <f t="array" aca="1" ref="AB148" ca="1">Common_InputFunctions.Utility_DisplayArrayInTable(Fertiliser_SourceData.Fertiliser_Products_Data3(),FertiliserProducts[[#Headers],[Include or Exclude]], 40)</f>
        <v/>
      </c>
      <c r="AC148" s="37" t="str" cm="1">
        <f t="array" aca="1" ref="AC148" ca="1">Common_InputFunctions.Utility_DisplayArrayInTable(Fertiliser_SourceData.Fertiliser_Products_Data3(),FertiliserProducts[[#Headers],[Include or Exclude]], 40)</f>
        <v/>
      </c>
      <c r="AD148" s="37" t="str" cm="1">
        <f t="array" aca="1" ref="AD148" ca="1">Common_InputFunctions.Utility_DisplayArrayInTable(Fertiliser_SourceData.Fertiliser_Products_Data3(),FertiliserProducts[[#Headers],[Include or Exclude]], 40)</f>
        <v/>
      </c>
      <c r="AE148" s="37" t="str" cm="1">
        <f t="array" aca="1" ref="AE148" ca="1">Common_InputFunctions.Utility_DisplayArrayInTable(Fertiliser_SourceData.Fertiliser_Products_Data3(),FertiliserProducts[[#Headers],[Include or Exclude]], 40)</f>
        <v/>
      </c>
    </row>
    <row r="149" spans="4:31" ht="20.100000000000001" customHeight="1" x14ac:dyDescent="0.25">
      <c r="D149" s="111" t="str" cm="1">
        <f t="array" aca="1" ref="D149" ca="1">Common_InputFunctions.Utility_DisplayArrayInTable(Fertiliser_SourceData.Fertiliser_Products_Data4(),FertiliserProducts[[#Headers],[Include or Exclude]], 60)</f>
        <v/>
      </c>
      <c r="E149" s="111" t="str" cm="1">
        <f t="array" aca="1" ref="E149" ca="1">Common_InputFunctions.Utility_DisplayArrayInTable(Fertiliser_SourceData.Fertiliser_Products_Data4(),FertiliserProducts[[#Headers],[Include or Exclude]], 60)</f>
        <v/>
      </c>
      <c r="F149" s="111" t="str" cm="1">
        <f t="array" aca="1" ref="F149" ca="1">Common_InputFunctions.Utility_DisplayArrayInTable(Fertiliser_SourceData.Fertiliser_Products_Data4(),FertiliserProducts[[#Headers],[Include or Exclude]], 60)</f>
        <v/>
      </c>
      <c r="G149" s="111" t="str" cm="1">
        <f t="array" aca="1" ref="G149" ca="1">Common_InputFunctions.Utility_DisplayArrayInTable(Fertiliser_SourceData.Fertiliser_Products_Data4(),FertiliserProducts[[#Headers],[Include or Exclude]], 60)</f>
        <v/>
      </c>
      <c r="H149" s="111" t="str" cm="1">
        <f t="array" aca="1" ref="H149" ca="1">Common_InputFunctions.Utility_DisplayArrayInTable(Fertiliser_SourceData.Fertiliser_Products_Data4(),FertiliserProducts[[#Headers],[Include or Exclude]], 60)</f>
        <v/>
      </c>
      <c r="I149" s="111" t="str" cm="1">
        <f t="array" aca="1" ref="I149" ca="1">Common_InputFunctions.Utility_DisplayArrayInTable(Fertiliser_SourceData.Fertiliser_Products_Data4(),FertiliserProducts[[#Headers],[Include or Exclude]], 60)</f>
        <v/>
      </c>
      <c r="J149" s="111" t="str" cm="1">
        <f t="array" aca="1" ref="J149" ca="1">Common_InputFunctions.Utility_DisplayArrayInTable(Fertiliser_SourceData.Fertiliser_Products_Data4(),FertiliserProducts[[#Headers],[Include or Exclude]], 60)</f>
        <v/>
      </c>
      <c r="K149" s="111" t="str" cm="1">
        <f t="array" aca="1" ref="K149" ca="1">Common_InputFunctions.Utility_DisplayArrayInTable(Fertiliser_SourceData.Fertiliser_Products_Data4(),FertiliserProducts[[#Headers],[Include or Exclude]], 60)</f>
        <v/>
      </c>
      <c r="L149" s="111" t="str" cm="1">
        <f t="array" aca="1" ref="L149" ca="1">Common_InputFunctions.Utility_DisplayArrayInTable(Fertiliser_SourceData.Fertiliser_Products_Data4(),FertiliserProducts[[#Headers],[Include or Exclude]], 60)</f>
        <v/>
      </c>
      <c r="M149" s="111" t="str" cm="1">
        <f t="array" aca="1" ref="M149" ca="1">Common_InputFunctions.Utility_DisplayArrayInTable(Fertiliser_SourceData.Fertiliser_Products_Data4(),FertiliserProducts[[#Headers],[Include or Exclude]], 60)</f>
        <v/>
      </c>
      <c r="N149" s="111" t="str" cm="1">
        <f t="array" aca="1" ref="N149" ca="1">Common_InputFunctions.Utility_DisplayArrayInTable(Fertiliser_SourceData.Fertiliser_Products_Data4(),FertiliserProducts[[#Headers],[Include or Exclude]], 60)</f>
        <v/>
      </c>
      <c r="O149" s="111" t="str" cm="1">
        <f t="array" aca="1" ref="O149" ca="1">Common_InputFunctions.Utility_DisplayArrayInTable(Fertiliser_SourceData.Fertiliser_Products_Data4(),FertiliserProducts[[#Headers],[Include or Exclude]], 60)</f>
        <v/>
      </c>
      <c r="P149" s="111" t="str" cm="1">
        <f t="array" aca="1" ref="P149" ca="1">Common_InputFunctions.Utility_DisplayArrayInTable(Fertiliser_SourceData.Fertiliser_Products_Data4(),FertiliserProducts[[#Headers],[Include or Exclude]], 60)</f>
        <v/>
      </c>
      <c r="Q149" s="111" t="str" cm="1">
        <f t="array" aca="1" ref="Q149" ca="1">Common_InputFunctions.Utility_DisplayArrayInTable(Fertiliser_SourceData.Fertiliser_Products_Data4(),FertiliserProducts[[#Headers],[Include or Exclude]], 60)</f>
        <v/>
      </c>
      <c r="R149" s="111" t="str" cm="1">
        <f t="array" aca="1" ref="R149" ca="1">Common_InputFunctions.Utility_DisplayArrayInTable(Fertiliser_SourceData.Fertiliser_Products_Data4(),FertiliserProducts[[#Headers],[Include or Exclude]], 60)</f>
        <v/>
      </c>
      <c r="S149" s="111" t="str" cm="1">
        <f t="array" aca="1" ref="S149" ca="1">Common_InputFunctions.Utility_DisplayArrayInTable(Fertiliser_SourceData.Fertiliser_Products_Data4(),FertiliserProducts[[#Headers],[Include or Exclude]], 60)</f>
        <v/>
      </c>
      <c r="T149" s="111" t="str" cm="1">
        <f t="array" aca="1" ref="T149" ca="1">Common_InputFunctions.Utility_DisplayArrayInTable(Fertiliser_SourceData.Fertiliser_Products_Data4(),FertiliserProducts[[#Headers],[Include or Exclude]], 60)</f>
        <v/>
      </c>
      <c r="U149" s="111" t="str" cm="1">
        <f t="array" aca="1" ref="U149" ca="1">Common_InputFunctions.Utility_DisplayArrayInTable(Fertiliser_SourceData.Fertiliser_Products_Data4(),FertiliserProducts[[#Headers],[Include or Exclude]], 60)</f>
        <v/>
      </c>
      <c r="V149" s="111" t="str" cm="1">
        <f t="array" aca="1" ref="V149" ca="1">Common_InputFunctions.Utility_DisplayArrayInTable(Fertiliser_SourceData.Fertiliser_Products_Data4(),FertiliserProducts[[#Headers],[Include or Exclude]], 60)</f>
        <v/>
      </c>
      <c r="W149" s="111" t="str" cm="1">
        <f t="array" aca="1" ref="W149" ca="1">Common_InputFunctions.Utility_DisplayArrayInTable(Fertiliser_SourceData.Fertiliser_Products_Data4(),FertiliserProducts[[#Headers],[Include or Exclude]], 60)</f>
        <v/>
      </c>
      <c r="X149" s="111" t="str" cm="1">
        <f t="array" aca="1" ref="X149" ca="1">Common_InputFunctions.Utility_DisplayArrayInTable(Fertiliser_SourceData.Fertiliser_Products_Data4(),FertiliserProducts[[#Headers],[Include or Exclude]], 60)</f>
        <v/>
      </c>
      <c r="Y149" s="111" t="str" cm="1">
        <f t="array" aca="1" ref="Y149" ca="1">Common_InputFunctions.Utility_DisplayArrayInTable(Fertiliser_SourceData.Fertiliser_Products_Data4(),FertiliserProducts[[#Headers],[Include or Exclude]], 60)</f>
        <v/>
      </c>
      <c r="Z149" s="111" t="str" cm="1">
        <f t="array" aca="1" ref="Z149" ca="1">Common_InputFunctions.Utility_DisplayArrayInTable(Fertiliser_SourceData.Fertiliser_Products_Data4(),FertiliserProducts[[#Headers],[Include or Exclude]], 60)</f>
        <v/>
      </c>
      <c r="AA149" s="37" t="str" cm="1">
        <f t="array" aca="1" ref="AA149" ca="1">Common_InputFunctions.Utility_DisplayArrayInTable(Fertiliser_SourceData.Fertiliser_Products_Data4(),FertiliserProducts[[#Headers],[Include or Exclude]], 60)</f>
        <v/>
      </c>
      <c r="AB149" s="37" t="str" cm="1">
        <f t="array" aca="1" ref="AB149" ca="1">Common_InputFunctions.Utility_DisplayArrayInTable(Fertiliser_SourceData.Fertiliser_Products_Data4(),FertiliserProducts[[#Headers],[Include or Exclude]], 60)</f>
        <v/>
      </c>
      <c r="AC149" s="37" t="str" cm="1">
        <f t="array" aca="1" ref="AC149" ca="1">Common_InputFunctions.Utility_DisplayArrayInTable(Fertiliser_SourceData.Fertiliser_Products_Data4(),FertiliserProducts[[#Headers],[Include or Exclude]], 60)</f>
        <v/>
      </c>
      <c r="AD149" s="37" t="str" cm="1">
        <f t="array" aca="1" ref="AD149" ca="1">Common_InputFunctions.Utility_DisplayArrayInTable(Fertiliser_SourceData.Fertiliser_Products_Data4(),FertiliserProducts[[#Headers],[Include or Exclude]], 60)</f>
        <v/>
      </c>
      <c r="AE149" s="37" t="str" cm="1">
        <f t="array" aca="1" ref="AE149" ca="1">Common_InputFunctions.Utility_DisplayArrayInTable(Fertiliser_SourceData.Fertiliser_Products_Data4(),FertiliserProducts[[#Headers],[Include or Exclude]], 60)</f>
        <v/>
      </c>
    </row>
    <row r="150" spans="4:31" ht="20.100000000000001" customHeight="1" x14ac:dyDescent="0.25">
      <c r="D150" s="111" t="str" cm="1">
        <f t="array" aca="1" ref="D150" ca="1">Common_InputFunctions.Utility_DisplayArrayInTable(Fertiliser_SourceData.Fertiliser_Products_Data4(),FertiliserProducts[[#Headers],[Include or Exclude]], 60)</f>
        <v/>
      </c>
      <c r="E150" s="111" t="str" cm="1">
        <f t="array" aca="1" ref="E150" ca="1">Common_InputFunctions.Utility_DisplayArrayInTable(Fertiliser_SourceData.Fertiliser_Products_Data4(),FertiliserProducts[[#Headers],[Include or Exclude]], 60)</f>
        <v/>
      </c>
      <c r="F150" s="111" t="str" cm="1">
        <f t="array" aca="1" ref="F150" ca="1">Common_InputFunctions.Utility_DisplayArrayInTable(Fertiliser_SourceData.Fertiliser_Products_Data4(),FertiliserProducts[[#Headers],[Include or Exclude]], 60)</f>
        <v/>
      </c>
      <c r="G150" s="111" t="str" cm="1">
        <f t="array" aca="1" ref="G150" ca="1">Common_InputFunctions.Utility_DisplayArrayInTable(Fertiliser_SourceData.Fertiliser_Products_Data4(),FertiliserProducts[[#Headers],[Include or Exclude]], 60)</f>
        <v/>
      </c>
      <c r="H150" s="111" t="str" cm="1">
        <f t="array" aca="1" ref="H150" ca="1">Common_InputFunctions.Utility_DisplayArrayInTable(Fertiliser_SourceData.Fertiliser_Products_Data4(),FertiliserProducts[[#Headers],[Include or Exclude]], 60)</f>
        <v/>
      </c>
      <c r="I150" s="111" t="str" cm="1">
        <f t="array" aca="1" ref="I150" ca="1">Common_InputFunctions.Utility_DisplayArrayInTable(Fertiliser_SourceData.Fertiliser_Products_Data4(),FertiliserProducts[[#Headers],[Include or Exclude]], 60)</f>
        <v/>
      </c>
      <c r="J150" s="111" t="str" cm="1">
        <f t="array" aca="1" ref="J150" ca="1">Common_InputFunctions.Utility_DisplayArrayInTable(Fertiliser_SourceData.Fertiliser_Products_Data4(),FertiliserProducts[[#Headers],[Include or Exclude]], 60)</f>
        <v/>
      </c>
      <c r="K150" s="111" t="str" cm="1">
        <f t="array" aca="1" ref="K150" ca="1">Common_InputFunctions.Utility_DisplayArrayInTable(Fertiliser_SourceData.Fertiliser_Products_Data4(),FertiliserProducts[[#Headers],[Include or Exclude]], 60)</f>
        <v/>
      </c>
      <c r="L150" s="111" t="str" cm="1">
        <f t="array" aca="1" ref="L150" ca="1">Common_InputFunctions.Utility_DisplayArrayInTable(Fertiliser_SourceData.Fertiliser_Products_Data4(),FertiliserProducts[[#Headers],[Include or Exclude]], 60)</f>
        <v/>
      </c>
      <c r="M150" s="111" t="str" cm="1">
        <f t="array" aca="1" ref="M150" ca="1">Common_InputFunctions.Utility_DisplayArrayInTable(Fertiliser_SourceData.Fertiliser_Products_Data4(),FertiliserProducts[[#Headers],[Include or Exclude]], 60)</f>
        <v/>
      </c>
      <c r="N150" s="111" t="str" cm="1">
        <f t="array" aca="1" ref="N150" ca="1">Common_InputFunctions.Utility_DisplayArrayInTable(Fertiliser_SourceData.Fertiliser_Products_Data4(),FertiliserProducts[[#Headers],[Include or Exclude]], 60)</f>
        <v/>
      </c>
      <c r="O150" s="111" t="str" cm="1">
        <f t="array" aca="1" ref="O150" ca="1">Common_InputFunctions.Utility_DisplayArrayInTable(Fertiliser_SourceData.Fertiliser_Products_Data4(),FertiliserProducts[[#Headers],[Include or Exclude]], 60)</f>
        <v/>
      </c>
      <c r="P150" s="111" t="str" cm="1">
        <f t="array" aca="1" ref="P150" ca="1">Common_InputFunctions.Utility_DisplayArrayInTable(Fertiliser_SourceData.Fertiliser_Products_Data4(),FertiliserProducts[[#Headers],[Include or Exclude]], 60)</f>
        <v/>
      </c>
      <c r="Q150" s="111" t="str" cm="1">
        <f t="array" aca="1" ref="Q150" ca="1">Common_InputFunctions.Utility_DisplayArrayInTable(Fertiliser_SourceData.Fertiliser_Products_Data4(),FertiliserProducts[[#Headers],[Include or Exclude]], 60)</f>
        <v/>
      </c>
      <c r="R150" s="111" t="str" cm="1">
        <f t="array" aca="1" ref="R150" ca="1">Common_InputFunctions.Utility_DisplayArrayInTable(Fertiliser_SourceData.Fertiliser_Products_Data4(),FertiliserProducts[[#Headers],[Include or Exclude]], 60)</f>
        <v/>
      </c>
      <c r="S150" s="111" t="str" cm="1">
        <f t="array" aca="1" ref="S150" ca="1">Common_InputFunctions.Utility_DisplayArrayInTable(Fertiliser_SourceData.Fertiliser_Products_Data4(),FertiliserProducts[[#Headers],[Include or Exclude]], 60)</f>
        <v/>
      </c>
      <c r="T150" s="111" t="str" cm="1">
        <f t="array" aca="1" ref="T150" ca="1">Common_InputFunctions.Utility_DisplayArrayInTable(Fertiliser_SourceData.Fertiliser_Products_Data4(),FertiliserProducts[[#Headers],[Include or Exclude]], 60)</f>
        <v/>
      </c>
      <c r="U150" s="111" t="str" cm="1">
        <f t="array" aca="1" ref="U150" ca="1">Common_InputFunctions.Utility_DisplayArrayInTable(Fertiliser_SourceData.Fertiliser_Products_Data4(),FertiliserProducts[[#Headers],[Include or Exclude]], 60)</f>
        <v/>
      </c>
      <c r="V150" s="111" t="str" cm="1">
        <f t="array" aca="1" ref="V150" ca="1">Common_InputFunctions.Utility_DisplayArrayInTable(Fertiliser_SourceData.Fertiliser_Products_Data4(),FertiliserProducts[[#Headers],[Include or Exclude]], 60)</f>
        <v/>
      </c>
      <c r="W150" s="111" t="str" cm="1">
        <f t="array" aca="1" ref="W150" ca="1">Common_InputFunctions.Utility_DisplayArrayInTable(Fertiliser_SourceData.Fertiliser_Products_Data4(),FertiliserProducts[[#Headers],[Include or Exclude]], 60)</f>
        <v/>
      </c>
      <c r="X150" s="111" t="str" cm="1">
        <f t="array" aca="1" ref="X150" ca="1">Common_InputFunctions.Utility_DisplayArrayInTable(Fertiliser_SourceData.Fertiliser_Products_Data4(),FertiliserProducts[[#Headers],[Include or Exclude]], 60)</f>
        <v/>
      </c>
      <c r="Y150" s="111" t="str" cm="1">
        <f t="array" aca="1" ref="Y150" ca="1">Common_InputFunctions.Utility_DisplayArrayInTable(Fertiliser_SourceData.Fertiliser_Products_Data4(),FertiliserProducts[[#Headers],[Include or Exclude]], 60)</f>
        <v/>
      </c>
      <c r="Z150" s="111" t="str" cm="1">
        <f t="array" aca="1" ref="Z150" ca="1">Common_InputFunctions.Utility_DisplayArrayInTable(Fertiliser_SourceData.Fertiliser_Products_Data4(),FertiliserProducts[[#Headers],[Include or Exclude]], 60)</f>
        <v/>
      </c>
      <c r="AA150" s="37" t="str" cm="1">
        <f t="array" aca="1" ref="AA150" ca="1">Common_InputFunctions.Utility_DisplayArrayInTable(Fertiliser_SourceData.Fertiliser_Products_Data4(),FertiliserProducts[[#Headers],[Include or Exclude]], 60)</f>
        <v/>
      </c>
      <c r="AB150" s="37" t="str" cm="1">
        <f t="array" aca="1" ref="AB150" ca="1">Common_InputFunctions.Utility_DisplayArrayInTable(Fertiliser_SourceData.Fertiliser_Products_Data4(),FertiliserProducts[[#Headers],[Include or Exclude]], 60)</f>
        <v/>
      </c>
      <c r="AC150" s="37" t="str" cm="1">
        <f t="array" aca="1" ref="AC150" ca="1">Common_InputFunctions.Utility_DisplayArrayInTable(Fertiliser_SourceData.Fertiliser_Products_Data4(),FertiliserProducts[[#Headers],[Include or Exclude]], 60)</f>
        <v/>
      </c>
      <c r="AD150" s="37" t="str" cm="1">
        <f t="array" aca="1" ref="AD150" ca="1">Common_InputFunctions.Utility_DisplayArrayInTable(Fertiliser_SourceData.Fertiliser_Products_Data4(),FertiliserProducts[[#Headers],[Include or Exclude]], 60)</f>
        <v/>
      </c>
      <c r="AE150" s="37" t="str" cm="1">
        <f t="array" aca="1" ref="AE150" ca="1">Common_InputFunctions.Utility_DisplayArrayInTable(Fertiliser_SourceData.Fertiliser_Products_Data4(),FertiliserProducts[[#Headers],[Include or Exclude]], 60)</f>
        <v/>
      </c>
    </row>
    <row r="151" spans="4:31" ht="20.100000000000001" customHeight="1" x14ac:dyDescent="0.25">
      <c r="D151" s="111" t="str" cm="1">
        <f t="array" aca="1" ref="D151" ca="1">Common_InputFunctions.Utility_DisplayArrayInTable(Fertiliser_SourceData.Fertiliser_Products_Data4(),FertiliserProducts[[#Headers],[Include or Exclude]], 60)</f>
        <v/>
      </c>
      <c r="E151" s="111" t="str" cm="1">
        <f t="array" aca="1" ref="E151" ca="1">Common_InputFunctions.Utility_DisplayArrayInTable(Fertiliser_SourceData.Fertiliser_Products_Data4(),FertiliserProducts[[#Headers],[Include or Exclude]], 60)</f>
        <v/>
      </c>
      <c r="F151" s="111" t="str" cm="1">
        <f t="array" aca="1" ref="F151" ca="1">Common_InputFunctions.Utility_DisplayArrayInTable(Fertiliser_SourceData.Fertiliser_Products_Data4(),FertiliserProducts[[#Headers],[Include or Exclude]], 60)</f>
        <v/>
      </c>
      <c r="G151" s="111" t="str" cm="1">
        <f t="array" aca="1" ref="G151" ca="1">Common_InputFunctions.Utility_DisplayArrayInTable(Fertiliser_SourceData.Fertiliser_Products_Data4(),FertiliserProducts[[#Headers],[Include or Exclude]], 60)</f>
        <v/>
      </c>
      <c r="H151" s="111" t="str" cm="1">
        <f t="array" aca="1" ref="H151" ca="1">Common_InputFunctions.Utility_DisplayArrayInTable(Fertiliser_SourceData.Fertiliser_Products_Data4(),FertiliserProducts[[#Headers],[Include or Exclude]], 60)</f>
        <v/>
      </c>
      <c r="I151" s="111" t="str" cm="1">
        <f t="array" aca="1" ref="I151" ca="1">Common_InputFunctions.Utility_DisplayArrayInTable(Fertiliser_SourceData.Fertiliser_Products_Data4(),FertiliserProducts[[#Headers],[Include or Exclude]], 60)</f>
        <v/>
      </c>
      <c r="J151" s="111" t="str" cm="1">
        <f t="array" aca="1" ref="J151" ca="1">Common_InputFunctions.Utility_DisplayArrayInTable(Fertiliser_SourceData.Fertiliser_Products_Data4(),FertiliserProducts[[#Headers],[Include or Exclude]], 60)</f>
        <v/>
      </c>
      <c r="K151" s="111" t="str" cm="1">
        <f t="array" aca="1" ref="K151" ca="1">Common_InputFunctions.Utility_DisplayArrayInTable(Fertiliser_SourceData.Fertiliser_Products_Data4(),FertiliserProducts[[#Headers],[Include or Exclude]], 60)</f>
        <v/>
      </c>
      <c r="L151" s="111" t="str" cm="1">
        <f t="array" aca="1" ref="L151" ca="1">Common_InputFunctions.Utility_DisplayArrayInTable(Fertiliser_SourceData.Fertiliser_Products_Data4(),FertiliserProducts[[#Headers],[Include or Exclude]], 60)</f>
        <v/>
      </c>
      <c r="M151" s="111" t="str" cm="1">
        <f t="array" aca="1" ref="M151" ca="1">Common_InputFunctions.Utility_DisplayArrayInTable(Fertiliser_SourceData.Fertiliser_Products_Data4(),FertiliserProducts[[#Headers],[Include or Exclude]], 60)</f>
        <v/>
      </c>
      <c r="N151" s="111" t="str" cm="1">
        <f t="array" aca="1" ref="N151" ca="1">Common_InputFunctions.Utility_DisplayArrayInTable(Fertiliser_SourceData.Fertiliser_Products_Data4(),FertiliserProducts[[#Headers],[Include or Exclude]], 60)</f>
        <v/>
      </c>
      <c r="O151" s="111" t="str" cm="1">
        <f t="array" aca="1" ref="O151" ca="1">Common_InputFunctions.Utility_DisplayArrayInTable(Fertiliser_SourceData.Fertiliser_Products_Data4(),FertiliserProducts[[#Headers],[Include or Exclude]], 60)</f>
        <v/>
      </c>
      <c r="P151" s="111" t="str" cm="1">
        <f t="array" aca="1" ref="P151" ca="1">Common_InputFunctions.Utility_DisplayArrayInTable(Fertiliser_SourceData.Fertiliser_Products_Data4(),FertiliserProducts[[#Headers],[Include or Exclude]], 60)</f>
        <v/>
      </c>
      <c r="Q151" s="111" t="str" cm="1">
        <f t="array" aca="1" ref="Q151" ca="1">Common_InputFunctions.Utility_DisplayArrayInTable(Fertiliser_SourceData.Fertiliser_Products_Data4(),FertiliserProducts[[#Headers],[Include or Exclude]], 60)</f>
        <v/>
      </c>
      <c r="R151" s="111" t="str" cm="1">
        <f t="array" aca="1" ref="R151" ca="1">Common_InputFunctions.Utility_DisplayArrayInTable(Fertiliser_SourceData.Fertiliser_Products_Data4(),FertiliserProducts[[#Headers],[Include or Exclude]], 60)</f>
        <v/>
      </c>
      <c r="S151" s="111" t="str" cm="1">
        <f t="array" aca="1" ref="S151" ca="1">Common_InputFunctions.Utility_DisplayArrayInTable(Fertiliser_SourceData.Fertiliser_Products_Data4(),FertiliserProducts[[#Headers],[Include or Exclude]], 60)</f>
        <v/>
      </c>
      <c r="T151" s="111" t="str" cm="1">
        <f t="array" aca="1" ref="T151" ca="1">Common_InputFunctions.Utility_DisplayArrayInTable(Fertiliser_SourceData.Fertiliser_Products_Data4(),FertiliserProducts[[#Headers],[Include or Exclude]], 60)</f>
        <v/>
      </c>
      <c r="U151" s="111" t="str" cm="1">
        <f t="array" aca="1" ref="U151" ca="1">Common_InputFunctions.Utility_DisplayArrayInTable(Fertiliser_SourceData.Fertiliser_Products_Data4(),FertiliserProducts[[#Headers],[Include or Exclude]], 60)</f>
        <v/>
      </c>
      <c r="V151" s="111" t="str" cm="1">
        <f t="array" aca="1" ref="V151" ca="1">Common_InputFunctions.Utility_DisplayArrayInTable(Fertiliser_SourceData.Fertiliser_Products_Data4(),FertiliserProducts[[#Headers],[Include or Exclude]], 60)</f>
        <v/>
      </c>
      <c r="W151" s="111" t="str" cm="1">
        <f t="array" aca="1" ref="W151" ca="1">Common_InputFunctions.Utility_DisplayArrayInTable(Fertiliser_SourceData.Fertiliser_Products_Data4(),FertiliserProducts[[#Headers],[Include or Exclude]], 60)</f>
        <v/>
      </c>
      <c r="X151" s="111" t="str" cm="1">
        <f t="array" aca="1" ref="X151" ca="1">Common_InputFunctions.Utility_DisplayArrayInTable(Fertiliser_SourceData.Fertiliser_Products_Data4(),FertiliserProducts[[#Headers],[Include or Exclude]], 60)</f>
        <v/>
      </c>
      <c r="Y151" s="111" t="str" cm="1">
        <f t="array" aca="1" ref="Y151" ca="1">Common_InputFunctions.Utility_DisplayArrayInTable(Fertiliser_SourceData.Fertiliser_Products_Data4(),FertiliserProducts[[#Headers],[Include or Exclude]], 60)</f>
        <v/>
      </c>
      <c r="Z151" s="111" t="str" cm="1">
        <f t="array" aca="1" ref="Z151" ca="1">Common_InputFunctions.Utility_DisplayArrayInTable(Fertiliser_SourceData.Fertiliser_Products_Data4(),FertiliserProducts[[#Headers],[Include or Exclude]], 60)</f>
        <v/>
      </c>
      <c r="AA151" s="37" t="str" cm="1">
        <f t="array" aca="1" ref="AA151" ca="1">Common_InputFunctions.Utility_DisplayArrayInTable(Fertiliser_SourceData.Fertiliser_Products_Data4(),FertiliserProducts[[#Headers],[Include or Exclude]], 60)</f>
        <v/>
      </c>
      <c r="AB151" s="37" t="str" cm="1">
        <f t="array" aca="1" ref="AB151" ca="1">Common_InputFunctions.Utility_DisplayArrayInTable(Fertiliser_SourceData.Fertiliser_Products_Data4(),FertiliserProducts[[#Headers],[Include or Exclude]], 60)</f>
        <v/>
      </c>
      <c r="AC151" s="37" t="str" cm="1">
        <f t="array" aca="1" ref="AC151" ca="1">Common_InputFunctions.Utility_DisplayArrayInTable(Fertiliser_SourceData.Fertiliser_Products_Data4(),FertiliserProducts[[#Headers],[Include or Exclude]], 60)</f>
        <v/>
      </c>
      <c r="AD151" s="37" t="str" cm="1">
        <f t="array" aca="1" ref="AD151" ca="1">Common_InputFunctions.Utility_DisplayArrayInTable(Fertiliser_SourceData.Fertiliser_Products_Data4(),FertiliserProducts[[#Headers],[Include or Exclude]], 60)</f>
        <v/>
      </c>
      <c r="AE151" s="37" t="str" cm="1">
        <f t="array" aca="1" ref="AE151" ca="1">Common_InputFunctions.Utility_DisplayArrayInTable(Fertiliser_SourceData.Fertiliser_Products_Data4(),FertiliserProducts[[#Headers],[Include or Exclude]], 60)</f>
        <v/>
      </c>
    </row>
    <row r="152" spans="4:31" ht="20.100000000000001" customHeight="1" x14ac:dyDescent="0.25">
      <c r="D152" s="111" t="str" cm="1">
        <f t="array" aca="1" ref="D152" ca="1">Common_InputFunctions.Utility_DisplayArrayInTable(Fertiliser_SourceData.Fertiliser_Products_Data4(),FertiliserProducts[[#Headers],[Include or Exclude]], 60)</f>
        <v/>
      </c>
      <c r="E152" s="111" t="str" cm="1">
        <f t="array" aca="1" ref="E152" ca="1">Common_InputFunctions.Utility_DisplayArrayInTable(Fertiliser_SourceData.Fertiliser_Products_Data4(),FertiliserProducts[[#Headers],[Include or Exclude]], 60)</f>
        <v/>
      </c>
      <c r="F152" s="111" t="str" cm="1">
        <f t="array" aca="1" ref="F152" ca="1">Common_InputFunctions.Utility_DisplayArrayInTable(Fertiliser_SourceData.Fertiliser_Products_Data4(),FertiliserProducts[[#Headers],[Include or Exclude]], 60)</f>
        <v/>
      </c>
      <c r="G152" s="111" t="str" cm="1">
        <f t="array" aca="1" ref="G152" ca="1">Common_InputFunctions.Utility_DisplayArrayInTable(Fertiliser_SourceData.Fertiliser_Products_Data4(),FertiliserProducts[[#Headers],[Include or Exclude]], 60)</f>
        <v/>
      </c>
      <c r="H152" s="111" t="str" cm="1">
        <f t="array" aca="1" ref="H152" ca="1">Common_InputFunctions.Utility_DisplayArrayInTable(Fertiliser_SourceData.Fertiliser_Products_Data4(),FertiliserProducts[[#Headers],[Include or Exclude]], 60)</f>
        <v/>
      </c>
      <c r="I152" s="111" t="str" cm="1">
        <f t="array" aca="1" ref="I152" ca="1">Common_InputFunctions.Utility_DisplayArrayInTable(Fertiliser_SourceData.Fertiliser_Products_Data4(),FertiliserProducts[[#Headers],[Include or Exclude]], 60)</f>
        <v/>
      </c>
      <c r="J152" s="111" t="str" cm="1">
        <f t="array" aca="1" ref="J152" ca="1">Common_InputFunctions.Utility_DisplayArrayInTable(Fertiliser_SourceData.Fertiliser_Products_Data4(),FertiliserProducts[[#Headers],[Include or Exclude]], 60)</f>
        <v/>
      </c>
      <c r="K152" s="111" t="str" cm="1">
        <f t="array" aca="1" ref="K152" ca="1">Common_InputFunctions.Utility_DisplayArrayInTable(Fertiliser_SourceData.Fertiliser_Products_Data4(),FertiliserProducts[[#Headers],[Include or Exclude]], 60)</f>
        <v/>
      </c>
      <c r="L152" s="111" t="str" cm="1">
        <f t="array" aca="1" ref="L152" ca="1">Common_InputFunctions.Utility_DisplayArrayInTable(Fertiliser_SourceData.Fertiliser_Products_Data4(),FertiliserProducts[[#Headers],[Include or Exclude]], 60)</f>
        <v/>
      </c>
      <c r="M152" s="111" t="str" cm="1">
        <f t="array" aca="1" ref="M152" ca="1">Common_InputFunctions.Utility_DisplayArrayInTable(Fertiliser_SourceData.Fertiliser_Products_Data4(),FertiliserProducts[[#Headers],[Include or Exclude]], 60)</f>
        <v/>
      </c>
      <c r="N152" s="111" t="str" cm="1">
        <f t="array" aca="1" ref="N152" ca="1">Common_InputFunctions.Utility_DisplayArrayInTable(Fertiliser_SourceData.Fertiliser_Products_Data4(),FertiliserProducts[[#Headers],[Include or Exclude]], 60)</f>
        <v/>
      </c>
      <c r="O152" s="111" t="str" cm="1">
        <f t="array" aca="1" ref="O152" ca="1">Common_InputFunctions.Utility_DisplayArrayInTable(Fertiliser_SourceData.Fertiliser_Products_Data4(),FertiliserProducts[[#Headers],[Include or Exclude]], 60)</f>
        <v/>
      </c>
      <c r="P152" s="111" t="str" cm="1">
        <f t="array" aca="1" ref="P152" ca="1">Common_InputFunctions.Utility_DisplayArrayInTable(Fertiliser_SourceData.Fertiliser_Products_Data4(),FertiliserProducts[[#Headers],[Include or Exclude]], 60)</f>
        <v/>
      </c>
      <c r="Q152" s="111" t="str" cm="1">
        <f t="array" aca="1" ref="Q152" ca="1">Common_InputFunctions.Utility_DisplayArrayInTable(Fertiliser_SourceData.Fertiliser_Products_Data4(),FertiliserProducts[[#Headers],[Include or Exclude]], 60)</f>
        <v/>
      </c>
      <c r="R152" s="111" t="str" cm="1">
        <f t="array" aca="1" ref="R152" ca="1">Common_InputFunctions.Utility_DisplayArrayInTable(Fertiliser_SourceData.Fertiliser_Products_Data4(),FertiliserProducts[[#Headers],[Include or Exclude]], 60)</f>
        <v/>
      </c>
      <c r="S152" s="111" t="str" cm="1">
        <f t="array" aca="1" ref="S152" ca="1">Common_InputFunctions.Utility_DisplayArrayInTable(Fertiliser_SourceData.Fertiliser_Products_Data4(),FertiliserProducts[[#Headers],[Include or Exclude]], 60)</f>
        <v/>
      </c>
      <c r="T152" s="111" t="str" cm="1">
        <f t="array" aca="1" ref="T152" ca="1">Common_InputFunctions.Utility_DisplayArrayInTable(Fertiliser_SourceData.Fertiliser_Products_Data4(),FertiliserProducts[[#Headers],[Include or Exclude]], 60)</f>
        <v/>
      </c>
      <c r="U152" s="111" t="str" cm="1">
        <f t="array" aca="1" ref="U152" ca="1">Common_InputFunctions.Utility_DisplayArrayInTable(Fertiliser_SourceData.Fertiliser_Products_Data4(),FertiliserProducts[[#Headers],[Include or Exclude]], 60)</f>
        <v/>
      </c>
      <c r="V152" s="111" t="str" cm="1">
        <f t="array" aca="1" ref="V152" ca="1">Common_InputFunctions.Utility_DisplayArrayInTable(Fertiliser_SourceData.Fertiliser_Products_Data4(),FertiliserProducts[[#Headers],[Include or Exclude]], 60)</f>
        <v/>
      </c>
      <c r="W152" s="111" t="str" cm="1">
        <f t="array" aca="1" ref="W152" ca="1">Common_InputFunctions.Utility_DisplayArrayInTable(Fertiliser_SourceData.Fertiliser_Products_Data4(),FertiliserProducts[[#Headers],[Include or Exclude]], 60)</f>
        <v/>
      </c>
      <c r="X152" s="111" t="str" cm="1">
        <f t="array" aca="1" ref="X152" ca="1">Common_InputFunctions.Utility_DisplayArrayInTable(Fertiliser_SourceData.Fertiliser_Products_Data4(),FertiliserProducts[[#Headers],[Include or Exclude]], 60)</f>
        <v/>
      </c>
      <c r="Y152" s="111" t="str" cm="1">
        <f t="array" aca="1" ref="Y152" ca="1">Common_InputFunctions.Utility_DisplayArrayInTable(Fertiliser_SourceData.Fertiliser_Products_Data4(),FertiliserProducts[[#Headers],[Include or Exclude]], 60)</f>
        <v/>
      </c>
      <c r="Z152" s="111" t="str" cm="1">
        <f t="array" aca="1" ref="Z152" ca="1">Common_InputFunctions.Utility_DisplayArrayInTable(Fertiliser_SourceData.Fertiliser_Products_Data4(),FertiliserProducts[[#Headers],[Include or Exclude]], 60)</f>
        <v/>
      </c>
      <c r="AA152" s="37" t="str" cm="1">
        <f t="array" aca="1" ref="AA152" ca="1">Common_InputFunctions.Utility_DisplayArrayInTable(Fertiliser_SourceData.Fertiliser_Products_Data4(),FertiliserProducts[[#Headers],[Include or Exclude]], 60)</f>
        <v/>
      </c>
      <c r="AB152" s="37" t="str" cm="1">
        <f t="array" aca="1" ref="AB152" ca="1">Common_InputFunctions.Utility_DisplayArrayInTable(Fertiliser_SourceData.Fertiliser_Products_Data4(),FertiliserProducts[[#Headers],[Include or Exclude]], 60)</f>
        <v/>
      </c>
      <c r="AC152" s="37" t="str" cm="1">
        <f t="array" aca="1" ref="AC152" ca="1">Common_InputFunctions.Utility_DisplayArrayInTable(Fertiliser_SourceData.Fertiliser_Products_Data4(),FertiliserProducts[[#Headers],[Include or Exclude]], 60)</f>
        <v/>
      </c>
      <c r="AD152" s="37" t="str" cm="1">
        <f t="array" aca="1" ref="AD152" ca="1">Common_InputFunctions.Utility_DisplayArrayInTable(Fertiliser_SourceData.Fertiliser_Products_Data4(),FertiliserProducts[[#Headers],[Include or Exclude]], 60)</f>
        <v/>
      </c>
      <c r="AE152" s="37" t="str" cm="1">
        <f t="array" aca="1" ref="AE152" ca="1">Common_InputFunctions.Utility_DisplayArrayInTable(Fertiliser_SourceData.Fertiliser_Products_Data4(),FertiliserProducts[[#Headers],[Include or Exclude]], 60)</f>
        <v/>
      </c>
    </row>
    <row r="153" spans="4:31" ht="20.100000000000001" customHeight="1" x14ac:dyDescent="0.25">
      <c r="D153" s="111" t="str" cm="1">
        <f t="array" aca="1" ref="D153" ca="1">Common_InputFunctions.Utility_DisplayArrayInTable(Fertiliser_SourceData.Fertiliser_Products_Data4(),FertiliserProducts[[#Headers],[Include or Exclude]], 60)</f>
        <v/>
      </c>
      <c r="E153" s="111" t="str" cm="1">
        <f t="array" aca="1" ref="E153" ca="1">Common_InputFunctions.Utility_DisplayArrayInTable(Fertiliser_SourceData.Fertiliser_Products_Data4(),FertiliserProducts[[#Headers],[Include or Exclude]], 60)</f>
        <v/>
      </c>
      <c r="F153" s="111" t="str" cm="1">
        <f t="array" aca="1" ref="F153" ca="1">Common_InputFunctions.Utility_DisplayArrayInTable(Fertiliser_SourceData.Fertiliser_Products_Data4(),FertiliserProducts[[#Headers],[Include or Exclude]], 60)</f>
        <v/>
      </c>
      <c r="G153" s="111" t="str" cm="1">
        <f t="array" aca="1" ref="G153" ca="1">Common_InputFunctions.Utility_DisplayArrayInTable(Fertiliser_SourceData.Fertiliser_Products_Data4(),FertiliserProducts[[#Headers],[Include or Exclude]], 60)</f>
        <v/>
      </c>
      <c r="H153" s="111" t="str" cm="1">
        <f t="array" aca="1" ref="H153" ca="1">Common_InputFunctions.Utility_DisplayArrayInTable(Fertiliser_SourceData.Fertiliser_Products_Data4(),FertiliserProducts[[#Headers],[Include or Exclude]], 60)</f>
        <v/>
      </c>
      <c r="I153" s="111" t="str" cm="1">
        <f t="array" aca="1" ref="I153" ca="1">Common_InputFunctions.Utility_DisplayArrayInTable(Fertiliser_SourceData.Fertiliser_Products_Data4(),FertiliserProducts[[#Headers],[Include or Exclude]], 60)</f>
        <v/>
      </c>
      <c r="J153" s="111" t="str" cm="1">
        <f t="array" aca="1" ref="J153" ca="1">Common_InputFunctions.Utility_DisplayArrayInTable(Fertiliser_SourceData.Fertiliser_Products_Data4(),FertiliserProducts[[#Headers],[Include or Exclude]], 60)</f>
        <v/>
      </c>
      <c r="K153" s="111" t="str" cm="1">
        <f t="array" aca="1" ref="K153" ca="1">Common_InputFunctions.Utility_DisplayArrayInTable(Fertiliser_SourceData.Fertiliser_Products_Data4(),FertiliserProducts[[#Headers],[Include or Exclude]], 60)</f>
        <v/>
      </c>
      <c r="L153" s="111" t="str" cm="1">
        <f t="array" aca="1" ref="L153" ca="1">Common_InputFunctions.Utility_DisplayArrayInTable(Fertiliser_SourceData.Fertiliser_Products_Data4(),FertiliserProducts[[#Headers],[Include or Exclude]], 60)</f>
        <v/>
      </c>
      <c r="M153" s="111" t="str" cm="1">
        <f t="array" aca="1" ref="M153" ca="1">Common_InputFunctions.Utility_DisplayArrayInTable(Fertiliser_SourceData.Fertiliser_Products_Data4(),FertiliserProducts[[#Headers],[Include or Exclude]], 60)</f>
        <v/>
      </c>
      <c r="N153" s="111" t="str" cm="1">
        <f t="array" aca="1" ref="N153" ca="1">Common_InputFunctions.Utility_DisplayArrayInTable(Fertiliser_SourceData.Fertiliser_Products_Data4(),FertiliserProducts[[#Headers],[Include or Exclude]], 60)</f>
        <v/>
      </c>
      <c r="O153" s="111" t="str" cm="1">
        <f t="array" aca="1" ref="O153" ca="1">Common_InputFunctions.Utility_DisplayArrayInTable(Fertiliser_SourceData.Fertiliser_Products_Data4(),FertiliserProducts[[#Headers],[Include or Exclude]], 60)</f>
        <v/>
      </c>
      <c r="P153" s="111" t="str" cm="1">
        <f t="array" aca="1" ref="P153" ca="1">Common_InputFunctions.Utility_DisplayArrayInTable(Fertiliser_SourceData.Fertiliser_Products_Data4(),FertiliserProducts[[#Headers],[Include or Exclude]], 60)</f>
        <v/>
      </c>
      <c r="Q153" s="111" t="str" cm="1">
        <f t="array" aca="1" ref="Q153" ca="1">Common_InputFunctions.Utility_DisplayArrayInTable(Fertiliser_SourceData.Fertiliser_Products_Data4(),FertiliserProducts[[#Headers],[Include or Exclude]], 60)</f>
        <v/>
      </c>
      <c r="R153" s="111" t="str" cm="1">
        <f t="array" aca="1" ref="R153" ca="1">Common_InputFunctions.Utility_DisplayArrayInTable(Fertiliser_SourceData.Fertiliser_Products_Data4(),FertiliserProducts[[#Headers],[Include or Exclude]], 60)</f>
        <v/>
      </c>
      <c r="S153" s="111" t="str" cm="1">
        <f t="array" aca="1" ref="S153" ca="1">Common_InputFunctions.Utility_DisplayArrayInTable(Fertiliser_SourceData.Fertiliser_Products_Data4(),FertiliserProducts[[#Headers],[Include or Exclude]], 60)</f>
        <v/>
      </c>
      <c r="T153" s="111" t="str" cm="1">
        <f t="array" aca="1" ref="T153" ca="1">Common_InputFunctions.Utility_DisplayArrayInTable(Fertiliser_SourceData.Fertiliser_Products_Data4(),FertiliserProducts[[#Headers],[Include or Exclude]], 60)</f>
        <v/>
      </c>
      <c r="U153" s="111" t="str" cm="1">
        <f t="array" aca="1" ref="U153" ca="1">Common_InputFunctions.Utility_DisplayArrayInTable(Fertiliser_SourceData.Fertiliser_Products_Data4(),FertiliserProducts[[#Headers],[Include or Exclude]], 60)</f>
        <v/>
      </c>
      <c r="V153" s="111" t="str" cm="1">
        <f t="array" aca="1" ref="V153" ca="1">Common_InputFunctions.Utility_DisplayArrayInTable(Fertiliser_SourceData.Fertiliser_Products_Data4(),FertiliserProducts[[#Headers],[Include or Exclude]], 60)</f>
        <v/>
      </c>
      <c r="W153" s="111" t="str" cm="1">
        <f t="array" aca="1" ref="W153" ca="1">Common_InputFunctions.Utility_DisplayArrayInTable(Fertiliser_SourceData.Fertiliser_Products_Data4(),FertiliserProducts[[#Headers],[Include or Exclude]], 60)</f>
        <v/>
      </c>
      <c r="X153" s="111" t="str" cm="1">
        <f t="array" aca="1" ref="X153" ca="1">Common_InputFunctions.Utility_DisplayArrayInTable(Fertiliser_SourceData.Fertiliser_Products_Data4(),FertiliserProducts[[#Headers],[Include or Exclude]], 60)</f>
        <v/>
      </c>
      <c r="Y153" s="111" t="str" cm="1">
        <f t="array" aca="1" ref="Y153" ca="1">Common_InputFunctions.Utility_DisplayArrayInTable(Fertiliser_SourceData.Fertiliser_Products_Data4(),FertiliserProducts[[#Headers],[Include or Exclude]], 60)</f>
        <v/>
      </c>
      <c r="Z153" s="111" t="str" cm="1">
        <f t="array" aca="1" ref="Z153" ca="1">Common_InputFunctions.Utility_DisplayArrayInTable(Fertiliser_SourceData.Fertiliser_Products_Data4(),FertiliserProducts[[#Headers],[Include or Exclude]], 60)</f>
        <v/>
      </c>
      <c r="AA153" s="37" t="str" cm="1">
        <f t="array" aca="1" ref="AA153" ca="1">Common_InputFunctions.Utility_DisplayArrayInTable(Fertiliser_SourceData.Fertiliser_Products_Data4(),FertiliserProducts[[#Headers],[Include or Exclude]], 60)</f>
        <v/>
      </c>
      <c r="AB153" s="37" t="str" cm="1">
        <f t="array" aca="1" ref="AB153" ca="1">Common_InputFunctions.Utility_DisplayArrayInTable(Fertiliser_SourceData.Fertiliser_Products_Data4(),FertiliserProducts[[#Headers],[Include or Exclude]], 60)</f>
        <v/>
      </c>
      <c r="AC153" s="37" t="str" cm="1">
        <f t="array" aca="1" ref="AC153" ca="1">Common_InputFunctions.Utility_DisplayArrayInTable(Fertiliser_SourceData.Fertiliser_Products_Data4(),FertiliserProducts[[#Headers],[Include or Exclude]], 60)</f>
        <v/>
      </c>
      <c r="AD153" s="37" t="str" cm="1">
        <f t="array" aca="1" ref="AD153" ca="1">Common_InputFunctions.Utility_DisplayArrayInTable(Fertiliser_SourceData.Fertiliser_Products_Data4(),FertiliserProducts[[#Headers],[Include or Exclude]], 60)</f>
        <v/>
      </c>
      <c r="AE153" s="37" t="str" cm="1">
        <f t="array" aca="1" ref="AE153" ca="1">Common_InputFunctions.Utility_DisplayArrayInTable(Fertiliser_SourceData.Fertiliser_Products_Data4(),FertiliserProducts[[#Headers],[Include or Exclude]], 60)</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474A6-BC61-4A0D-A90E-BD82C744CE4F}">
  <dimension ref="A1:AI165"/>
  <sheetViews>
    <sheetView showGridLines="0" zoomScaleNormal="100" workbookViewId="0">
      <selection activeCell="D10" sqref="D10"/>
    </sheetView>
  </sheetViews>
  <sheetFormatPr defaultRowHeight="15.75" x14ac:dyDescent="0.25"/>
  <cols>
    <col min="1" max="1" width="30.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8" customFormat="1" ht="30" customHeight="1" x14ac:dyDescent="0.35">
      <c r="A1" s="8" t="e" vm="1">
        <v>#VALUE!</v>
      </c>
      <c r="C1" s="8" t="s">
        <v>339</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Fuel_SourceData.Fuel_Scope1Scope3EmissionFactorsTransport_Title()</f>
        <v>Fuel scope 1 and 3 emission factors - Transport</v>
      </c>
      <c r="E5" s="110"/>
      <c r="F5" s="110"/>
      <c r="G5" s="110"/>
      <c r="H5" s="110"/>
      <c r="I5" s="110"/>
      <c r="J5" s="110"/>
      <c r="K5" s="110"/>
      <c r="L5" s="110"/>
    </row>
    <row r="6" spans="1:35" ht="20.100000000000001" customHeight="1" x14ac:dyDescent="0.25">
      <c r="A6" s="16"/>
      <c r="D6" s="1" t="str" cm="1">
        <f t="array" ref="D6">Fuel_SourceData.Fuel_Scope1Scope3EmissionFactorsTransport_Description()</f>
        <v>Direct (scope 1) and indirect (scope 3) emission factors for the consumption of transport fuels in different transport equipment</v>
      </c>
      <c r="E6" s="110"/>
      <c r="F6" s="110"/>
      <c r="G6" s="110"/>
      <c r="H6" s="110"/>
      <c r="I6" s="110"/>
      <c r="J6" s="110"/>
      <c r="K6" s="110"/>
      <c r="L6" s="110"/>
    </row>
    <row r="7" spans="1:35" ht="20.100000000000001" customHeight="1" x14ac:dyDescent="0.25">
      <c r="A7" s="20" t="s">
        <v>1</v>
      </c>
      <c r="D7" s="5" t="str" cm="1">
        <f t="array" ref="D7">Fuel_SourceData.Fuel_Scope1Scope3EmissionFactorsTransport_Source()</f>
        <v>Australian National Greenhouse Accounts Factors 2025 - Table 9</v>
      </c>
      <c r="E7" s="110"/>
      <c r="F7" s="110"/>
      <c r="G7" s="110"/>
      <c r="H7" s="110"/>
      <c r="I7" s="110"/>
      <c r="J7" s="110"/>
      <c r="K7" s="110"/>
      <c r="L7" s="110"/>
    </row>
    <row r="8" spans="1:35" ht="20.100000000000001" customHeight="1" x14ac:dyDescent="0.25">
      <c r="A8" s="17" t="str">
        <f>HYPERLINK("#'Input - Fuel'!A1", "Fuel")</f>
        <v>Fuel</v>
      </c>
      <c r="D8" s="53" t="str" cm="1">
        <f t="array" ref="D8">"⚠️" &amp; Fuel_SourceData.Fuel_Scope1Scope3EmissionFactorsTransport_Variation()</f>
        <v>⚠️VARIATION OF SOURCE DATA: 'NE' values returned as zero for calculations.</v>
      </c>
      <c r="E8" s="110"/>
      <c r="F8" s="110"/>
      <c r="G8" s="110"/>
      <c r="H8" s="110"/>
      <c r="I8" s="110"/>
      <c r="J8" s="110"/>
      <c r="K8" s="110"/>
      <c r="L8" s="110"/>
    </row>
    <row r="9" spans="1:35" ht="20.100000000000001" customHeight="1" x14ac:dyDescent="0.25">
      <c r="A9" s="17"/>
      <c r="D9" s="181" t="s">
        <v>340</v>
      </c>
      <c r="E9" s="181" t="s">
        <v>341</v>
      </c>
      <c r="F9" s="181" t="s">
        <v>342</v>
      </c>
      <c r="G9" s="181" t="s">
        <v>343</v>
      </c>
      <c r="H9" s="181" t="s">
        <v>344</v>
      </c>
      <c r="I9" s="181" t="s">
        <v>345</v>
      </c>
      <c r="J9" s="181" t="s">
        <v>346</v>
      </c>
      <c r="K9" s="181" t="s">
        <v>347</v>
      </c>
      <c r="L9" s="181" t="s">
        <v>348</v>
      </c>
    </row>
    <row r="10" spans="1:35" ht="20.100000000000001" customHeight="1" x14ac:dyDescent="0.25">
      <c r="A10" s="19" t="s">
        <v>69</v>
      </c>
      <c r="D10" s="182" t="str" cm="1">
        <f t="array" ref="D10">Common_InputFunctions.Utility_DisplayArrayInTable(Fuel_SourceData.Fuel_Scope1Scope3EmissionFactorsTransport_Data(), Table_Fuel_EFs_Transport[[#Headers],[Transport type]], 0)</f>
        <v>Cars and light commercial vehicles</v>
      </c>
      <c r="E10" s="182" t="str" cm="1">
        <f t="array" ref="E10">Common_InputFunctions.Utility_DisplayArrayInTable(Fuel_SourceData.Fuel_Scope1Scope3EmissionFactorsTransport_Data(), Table_Fuel_EFs_Transport[[#Headers],[Transport type]], 0)</f>
        <v>Gasoline</v>
      </c>
      <c r="F10" s="182" cm="1">
        <f t="array" ref="F10">Common_InputFunctions.Utility_DisplayArrayInTable(Fuel_SourceData.Fuel_Scope1Scope3EmissionFactorsTransport_Data(), Table_Fuel_EFs_Transport[[#Headers],[Transport type]], 0)</f>
        <v>34.200000000000003</v>
      </c>
      <c r="G10" s="182" t="str" cm="1">
        <f t="array" ref="G10">Common_InputFunctions.Utility_DisplayArrayInTable(Fuel_SourceData.Fuel_Scope1Scope3EmissionFactorsTransport_Data(), Table_Fuel_EFs_Transport[[#Headers],[Transport type]], 0)</f>
        <v>kl</v>
      </c>
      <c r="H10" s="182" cm="1">
        <f t="array" ref="H10">Common_InputFunctions.Utility_DisplayArrayInTable(Fuel_SourceData.Fuel_Scope1Scope3EmissionFactorsTransport_Data(), Table_Fuel_EFs_Transport[[#Headers],[Transport type]], 0)</f>
        <v>67.400000000000006</v>
      </c>
      <c r="I10" s="182" cm="1">
        <f t="array" ref="I10">Common_InputFunctions.Utility_DisplayArrayInTable(Fuel_SourceData.Fuel_Scope1Scope3EmissionFactorsTransport_Data(), Table_Fuel_EFs_Transport[[#Headers],[Transport type]], 0)</f>
        <v>0.02</v>
      </c>
      <c r="J10" s="182" cm="1">
        <f t="array" ref="J10">Common_InputFunctions.Utility_DisplayArrayInTable(Fuel_SourceData.Fuel_Scope1Scope3EmissionFactorsTransport_Data(), Table_Fuel_EFs_Transport[[#Headers],[Transport type]], 0)</f>
        <v>0.2</v>
      </c>
      <c r="K10" s="182" cm="1">
        <f t="array" ref="K10">Common_InputFunctions.Utility_DisplayArrayInTable(Fuel_SourceData.Fuel_Scope1Scope3EmissionFactorsTransport_Data(), Table_Fuel_EFs_Transport[[#Headers],[Transport type]], 0)</f>
        <v>67.62</v>
      </c>
      <c r="L10" s="182" cm="1">
        <f t="array" ref="L10">Common_InputFunctions.Utility_DisplayArrayInTable(Fuel_SourceData.Fuel_Scope1Scope3EmissionFactorsTransport_Data(), Table_Fuel_EFs_Transport[[#Headers],[Transport type]], 0)</f>
        <v>17.2</v>
      </c>
    </row>
    <row r="11" spans="1:35" ht="20.100000000000001" customHeight="1" x14ac:dyDescent="0.25">
      <c r="A11" s="17" t="str">
        <f>HYPERLINK("#'8.1.1.1-2 Transport fuel'!A1", "8.1.1.1-2 Transport fuel")</f>
        <v>8.1.1.1-2 Transport fuel</v>
      </c>
      <c r="D11" s="182" t="str" cm="1">
        <f t="array" ref="D11">Common_InputFunctions.Utility_DisplayArrayInTable(Fuel_SourceData.Fuel_Scope1Scope3EmissionFactorsTransport_Data(), Table_Fuel_EFs_Transport[[#Headers],[Transport type]], 0)</f>
        <v>Cars and light commercial vehicles</v>
      </c>
      <c r="E11" s="182" t="str" cm="1">
        <f t="array" ref="E11">Common_InputFunctions.Utility_DisplayArrayInTable(Fuel_SourceData.Fuel_Scope1Scope3EmissionFactorsTransport_Data(), Table_Fuel_EFs_Transport[[#Headers],[Transport type]], 0)</f>
        <v>Diesel oil</v>
      </c>
      <c r="F11" s="182" cm="1">
        <f t="array" ref="F11">Common_InputFunctions.Utility_DisplayArrayInTable(Fuel_SourceData.Fuel_Scope1Scope3EmissionFactorsTransport_Data(), Table_Fuel_EFs_Transport[[#Headers],[Transport type]], 0)</f>
        <v>38.6</v>
      </c>
      <c r="G11" s="182" t="str" cm="1">
        <f t="array" ref="G11">Common_InputFunctions.Utility_DisplayArrayInTable(Fuel_SourceData.Fuel_Scope1Scope3EmissionFactorsTransport_Data(), Table_Fuel_EFs_Transport[[#Headers],[Transport type]], 0)</f>
        <v>kl</v>
      </c>
      <c r="H11" s="182" cm="1">
        <f t="array" ref="H11">Common_InputFunctions.Utility_DisplayArrayInTable(Fuel_SourceData.Fuel_Scope1Scope3EmissionFactorsTransport_Data(), Table_Fuel_EFs_Transport[[#Headers],[Transport type]], 0)</f>
        <v>69.900000000000006</v>
      </c>
      <c r="I11" s="182" cm="1">
        <f t="array" ref="I11">Common_InputFunctions.Utility_DisplayArrayInTable(Fuel_SourceData.Fuel_Scope1Scope3EmissionFactorsTransport_Data(), Table_Fuel_EFs_Transport[[#Headers],[Transport type]], 0)</f>
        <v>0.01</v>
      </c>
      <c r="J11" s="182" cm="1">
        <f t="array" ref="J11">Common_InputFunctions.Utility_DisplayArrayInTable(Fuel_SourceData.Fuel_Scope1Scope3EmissionFactorsTransport_Data(), Table_Fuel_EFs_Transport[[#Headers],[Transport type]], 0)</f>
        <v>0.5</v>
      </c>
      <c r="K11" s="182" cm="1">
        <f t="array" ref="K11">Common_InputFunctions.Utility_DisplayArrayInTable(Fuel_SourceData.Fuel_Scope1Scope3EmissionFactorsTransport_Data(), Table_Fuel_EFs_Transport[[#Headers],[Transport type]], 0)</f>
        <v>70.41</v>
      </c>
      <c r="L11" s="182" cm="1">
        <f t="array" ref="L11">Common_InputFunctions.Utility_DisplayArrayInTable(Fuel_SourceData.Fuel_Scope1Scope3EmissionFactorsTransport_Data(), Table_Fuel_EFs_Transport[[#Headers],[Transport type]], 0)</f>
        <v>17.3</v>
      </c>
    </row>
    <row r="12" spans="1:35" ht="20.100000000000001" customHeight="1" x14ac:dyDescent="0.25">
      <c r="A12" s="17" t="str">
        <f>HYPERLINK("#'8.2.1.1-2 Stationary fuel'!A1", "8.2.1.1-2 Stationary fuel")</f>
        <v>8.2.1.1-2 Stationary fuel</v>
      </c>
      <c r="D12" s="182" t="str" cm="1">
        <f t="array" ref="D12">Common_InputFunctions.Utility_DisplayArrayInTable(Fuel_SourceData.Fuel_Scope1Scope3EmissionFactorsTransport_Data(), Table_Fuel_EFs_Transport[[#Headers],[Transport type]], 0)</f>
        <v>Cars and light commercial vehicles</v>
      </c>
      <c r="E12" s="182" t="str" cm="1">
        <f t="array" ref="E12">Common_InputFunctions.Utility_DisplayArrayInTable(Fuel_SourceData.Fuel_Scope1Scope3EmissionFactorsTransport_Data(), Table_Fuel_EFs_Transport[[#Headers],[Transport type]], 0)</f>
        <v>Liquefied petroleum gas (LPG)</v>
      </c>
      <c r="F12" s="182" cm="1">
        <f t="array" ref="F12">Common_InputFunctions.Utility_DisplayArrayInTable(Fuel_SourceData.Fuel_Scope1Scope3EmissionFactorsTransport_Data(), Table_Fuel_EFs_Transport[[#Headers],[Transport type]], 0)</f>
        <v>26.2</v>
      </c>
      <c r="G12" s="182" t="str" cm="1">
        <f t="array" ref="G12">Common_InputFunctions.Utility_DisplayArrayInTable(Fuel_SourceData.Fuel_Scope1Scope3EmissionFactorsTransport_Data(), Table_Fuel_EFs_Transport[[#Headers],[Transport type]], 0)</f>
        <v>kl</v>
      </c>
      <c r="H12" s="182" cm="1">
        <f t="array" ref="H12">Common_InputFunctions.Utility_DisplayArrayInTable(Fuel_SourceData.Fuel_Scope1Scope3EmissionFactorsTransport_Data(), Table_Fuel_EFs_Transport[[#Headers],[Transport type]], 0)</f>
        <v>60.2</v>
      </c>
      <c r="I12" s="182" cm="1">
        <f t="array" ref="I12">Common_InputFunctions.Utility_DisplayArrayInTable(Fuel_SourceData.Fuel_Scope1Scope3EmissionFactorsTransport_Data(), Table_Fuel_EFs_Transport[[#Headers],[Transport type]], 0)</f>
        <v>0.5</v>
      </c>
      <c r="J12" s="182" cm="1">
        <f t="array" ref="J12">Common_InputFunctions.Utility_DisplayArrayInTable(Fuel_SourceData.Fuel_Scope1Scope3EmissionFactorsTransport_Data(), Table_Fuel_EFs_Transport[[#Headers],[Transport type]], 0)</f>
        <v>0.3</v>
      </c>
      <c r="K12" s="182" cm="1">
        <f t="array" ref="K12">Common_InputFunctions.Utility_DisplayArrayInTable(Fuel_SourceData.Fuel_Scope1Scope3EmissionFactorsTransport_Data(), Table_Fuel_EFs_Transport[[#Headers],[Transport type]], 0)</f>
        <v>61</v>
      </c>
      <c r="L12" s="182" cm="1">
        <f t="array" ref="L12">Common_InputFunctions.Utility_DisplayArrayInTable(Fuel_SourceData.Fuel_Scope1Scope3EmissionFactorsTransport_Data(), Table_Fuel_EFs_Transport[[#Headers],[Transport type]], 0)</f>
        <v>20.2</v>
      </c>
    </row>
    <row r="13" spans="1:35" ht="20.100000000000001" customHeight="1" x14ac:dyDescent="0.25">
      <c r="A13" s="17" t="str">
        <f>HYPERLINK("#'8.X.1.1-2 General use fuel'!A1", "8.X.1.1-2 General use fuel")</f>
        <v>8.X.1.1-2 General use fuel</v>
      </c>
      <c r="D13" s="182" t="str" cm="1">
        <f t="array" ref="D13">Common_InputFunctions.Utility_DisplayArrayInTable(Fuel_SourceData.Fuel_Scope1Scope3EmissionFactorsTransport_Data(), Table_Fuel_EFs_Transport[[#Headers],[Transport type]], 0)</f>
        <v>Cars and light commercial vehicles</v>
      </c>
      <c r="E13" s="182" t="str" cm="1">
        <f t="array" ref="E13">Common_InputFunctions.Utility_DisplayArrayInTable(Fuel_SourceData.Fuel_Scope1Scope3EmissionFactorsTransport_Data(), Table_Fuel_EFs_Transport[[#Headers],[Transport type]], 0)</f>
        <v>Fuel oil</v>
      </c>
      <c r="F13" s="182" cm="1">
        <f t="array" ref="F13">Common_InputFunctions.Utility_DisplayArrayInTable(Fuel_SourceData.Fuel_Scope1Scope3EmissionFactorsTransport_Data(), Table_Fuel_EFs_Transport[[#Headers],[Transport type]], 0)</f>
        <v>39.700000000000003</v>
      </c>
      <c r="G13" s="182" t="str" cm="1">
        <f t="array" ref="G13">Common_InputFunctions.Utility_DisplayArrayInTable(Fuel_SourceData.Fuel_Scope1Scope3EmissionFactorsTransport_Data(), Table_Fuel_EFs_Transport[[#Headers],[Transport type]], 0)</f>
        <v>kl</v>
      </c>
      <c r="H13" s="182" cm="1">
        <f t="array" ref="H13">Common_InputFunctions.Utility_DisplayArrayInTable(Fuel_SourceData.Fuel_Scope1Scope3EmissionFactorsTransport_Data(), Table_Fuel_EFs_Transport[[#Headers],[Transport type]], 0)</f>
        <v>73.599999999999994</v>
      </c>
      <c r="I13" s="182" cm="1">
        <f t="array" ref="I13">Common_InputFunctions.Utility_DisplayArrayInTable(Fuel_SourceData.Fuel_Scope1Scope3EmissionFactorsTransport_Data(), Table_Fuel_EFs_Transport[[#Headers],[Transport type]], 0)</f>
        <v>0.08</v>
      </c>
      <c r="J13" s="182" cm="1">
        <f t="array" ref="J13">Common_InputFunctions.Utility_DisplayArrayInTable(Fuel_SourceData.Fuel_Scope1Scope3EmissionFactorsTransport_Data(), Table_Fuel_EFs_Transport[[#Headers],[Transport type]], 0)</f>
        <v>0.5</v>
      </c>
      <c r="K13" s="182" cm="1">
        <f t="array" ref="K13">Common_InputFunctions.Utility_DisplayArrayInTable(Fuel_SourceData.Fuel_Scope1Scope3EmissionFactorsTransport_Data(), Table_Fuel_EFs_Transport[[#Headers],[Transport type]], 0)</f>
        <v>74.180000000000007</v>
      </c>
      <c r="L13" s="182" cm="1">
        <f t="array" ref="L13">Common_InputFunctions.Utility_DisplayArrayInTable(Fuel_SourceData.Fuel_Scope1Scope3EmissionFactorsTransport_Data(), Table_Fuel_EFs_Transport[[#Headers],[Transport type]], 0)</f>
        <v>18</v>
      </c>
    </row>
    <row r="14" spans="1:35" ht="20.100000000000001" customHeight="1" x14ac:dyDescent="0.25">
      <c r="A14" s="17"/>
      <c r="D14" s="182" t="str" cm="1">
        <f t="array" ref="D14">Common_InputFunctions.Utility_DisplayArrayInTable(Fuel_SourceData.Fuel_Scope1Scope3EmissionFactorsTransport_Data(), Table_Fuel_EFs_Transport[[#Headers],[Transport type]], 0)</f>
        <v>Cars and light commercial vehicles</v>
      </c>
      <c r="E14" s="182" t="str" cm="1">
        <f t="array" ref="E14">Common_InputFunctions.Utility_DisplayArrayInTable(Fuel_SourceData.Fuel_Scope1Scope3EmissionFactorsTransport_Data(), Table_Fuel_EFs_Transport[[#Headers],[Transport type]], 0)</f>
        <v>Ethanol</v>
      </c>
      <c r="F14" s="182" cm="1">
        <f t="array" ref="F14">Common_InputFunctions.Utility_DisplayArrayInTable(Fuel_SourceData.Fuel_Scope1Scope3EmissionFactorsTransport_Data(), Table_Fuel_EFs_Transport[[#Headers],[Transport type]], 0)</f>
        <v>23.4</v>
      </c>
      <c r="G14" s="182" t="str" cm="1">
        <f t="array" ref="G14">Common_InputFunctions.Utility_DisplayArrayInTable(Fuel_SourceData.Fuel_Scope1Scope3EmissionFactorsTransport_Data(), Table_Fuel_EFs_Transport[[#Headers],[Transport type]], 0)</f>
        <v>kl</v>
      </c>
      <c r="H14" s="182" cm="1">
        <f t="array" ref="H14">Common_InputFunctions.Utility_DisplayArrayInTable(Fuel_SourceData.Fuel_Scope1Scope3EmissionFactorsTransport_Data(), Table_Fuel_EFs_Transport[[#Headers],[Transport type]], 0)</f>
        <v>0</v>
      </c>
      <c r="I14" s="182" cm="1">
        <f t="array" ref="I14">Common_InputFunctions.Utility_DisplayArrayInTable(Fuel_SourceData.Fuel_Scope1Scope3EmissionFactorsTransport_Data(), Table_Fuel_EFs_Transport[[#Headers],[Transport type]], 0)</f>
        <v>0.2</v>
      </c>
      <c r="J14" s="182" cm="1">
        <f t="array" ref="J14">Common_InputFunctions.Utility_DisplayArrayInTable(Fuel_SourceData.Fuel_Scope1Scope3EmissionFactorsTransport_Data(), Table_Fuel_EFs_Transport[[#Headers],[Transport type]], 0)</f>
        <v>0.2</v>
      </c>
      <c r="K14" s="182" cm="1">
        <f t="array" ref="K14">Common_InputFunctions.Utility_DisplayArrayInTable(Fuel_SourceData.Fuel_Scope1Scope3EmissionFactorsTransport_Data(), Table_Fuel_EFs_Transport[[#Headers],[Transport type]], 0)</f>
        <v>0.4</v>
      </c>
      <c r="L14" s="182" t="str" cm="1">
        <f t="array" ref="L14">Common_InputFunctions.Utility_DisplayArrayInTable(Fuel_SourceData.Fuel_Scope1Scope3EmissionFactorsTransport_Data(), Table_Fuel_EFs_Transport[[#Headers],[Transport type]], 0)</f>
        <v>NE</v>
      </c>
    </row>
    <row r="15" spans="1:35" ht="20.100000000000001" customHeight="1" x14ac:dyDescent="0.25">
      <c r="A15" s="18" t="s">
        <v>2</v>
      </c>
      <c r="D15" s="182" t="str" cm="1">
        <f t="array" ref="D15">Common_InputFunctions.Utility_DisplayArrayInTable(Fuel_SourceData.Fuel_Scope1Scope3EmissionFactorsTransport_Data(), Table_Fuel_EFs_Transport[[#Headers],[Transport type]], 0)</f>
        <v>Cars and light commercial vehicles</v>
      </c>
      <c r="E15" s="182" t="str" cm="1">
        <f t="array" ref="E15">Common_InputFunctions.Utility_DisplayArrayInTable(Fuel_SourceData.Fuel_Scope1Scope3EmissionFactorsTransport_Data(), Table_Fuel_EFs_Transport[[#Headers],[Transport type]], 0)</f>
        <v>Biodiesel</v>
      </c>
      <c r="F15" s="182" cm="1">
        <f t="array" ref="F15">Common_InputFunctions.Utility_DisplayArrayInTable(Fuel_SourceData.Fuel_Scope1Scope3EmissionFactorsTransport_Data(), Table_Fuel_EFs_Transport[[#Headers],[Transport type]], 0)</f>
        <v>34.6</v>
      </c>
      <c r="G15" s="182" t="str" cm="1">
        <f t="array" ref="G15">Common_InputFunctions.Utility_DisplayArrayInTable(Fuel_SourceData.Fuel_Scope1Scope3EmissionFactorsTransport_Data(), Table_Fuel_EFs_Transport[[#Headers],[Transport type]], 0)</f>
        <v>kl</v>
      </c>
      <c r="H15" s="182" cm="1">
        <f t="array" ref="H15">Common_InputFunctions.Utility_DisplayArrayInTable(Fuel_SourceData.Fuel_Scope1Scope3EmissionFactorsTransport_Data(), Table_Fuel_EFs_Transport[[#Headers],[Transport type]], 0)</f>
        <v>0</v>
      </c>
      <c r="I15" s="182" cm="1">
        <f t="array" ref="I15">Common_InputFunctions.Utility_DisplayArrayInTable(Fuel_SourceData.Fuel_Scope1Scope3EmissionFactorsTransport_Data(), Table_Fuel_EFs_Transport[[#Headers],[Transport type]], 0)</f>
        <v>0.8</v>
      </c>
      <c r="J15" s="182" cm="1">
        <f t="array" ref="J15">Common_InputFunctions.Utility_DisplayArrayInTable(Fuel_SourceData.Fuel_Scope1Scope3EmissionFactorsTransport_Data(), Table_Fuel_EFs_Transport[[#Headers],[Transport type]], 0)</f>
        <v>1.7</v>
      </c>
      <c r="K15" s="182" cm="1">
        <f t="array" ref="K15">Common_InputFunctions.Utility_DisplayArrayInTable(Fuel_SourceData.Fuel_Scope1Scope3EmissionFactorsTransport_Data(), Table_Fuel_EFs_Transport[[#Headers],[Transport type]], 0)</f>
        <v>2.5</v>
      </c>
      <c r="L15" s="182" t="str" cm="1">
        <f t="array" ref="L15">Common_InputFunctions.Utility_DisplayArrayInTable(Fuel_SourceData.Fuel_Scope1Scope3EmissionFactorsTransport_Data(), Table_Fuel_EFs_Transport[[#Headers],[Transport type]], 0)</f>
        <v>NE</v>
      </c>
    </row>
    <row r="16" spans="1:35" ht="20.100000000000001" customHeight="1" x14ac:dyDescent="0.25">
      <c r="A16" s="178" t="str">
        <f>HYPERLINK("#'Constants - Fuel'!A1", "Constants - Fuel")</f>
        <v>Constants - Fuel</v>
      </c>
      <c r="D16" s="182" t="str" cm="1">
        <f t="array" ref="D16">Common_InputFunctions.Utility_DisplayArrayInTable(Fuel_SourceData.Fuel_Scope1Scope3EmissionFactorsTransport_Data(), Table_Fuel_EFs_Transport[[#Headers],[Transport type]], 0)</f>
        <v>Cars and light commercial vehicles</v>
      </c>
      <c r="E16" s="182" t="str" cm="1">
        <f t="array" ref="E16">Common_InputFunctions.Utility_DisplayArrayInTable(Fuel_SourceData.Fuel_Scope1Scope3EmissionFactorsTransport_Data(), Table_Fuel_EFs_Transport[[#Headers],[Transport type]], 0)</f>
        <v>Renewable diesel</v>
      </c>
      <c r="F16" s="182" cm="1">
        <f t="array" ref="F16">Common_InputFunctions.Utility_DisplayArrayInTable(Fuel_SourceData.Fuel_Scope1Scope3EmissionFactorsTransport_Data(), Table_Fuel_EFs_Transport[[#Headers],[Transport type]], 0)</f>
        <v>38.6</v>
      </c>
      <c r="G16" s="182" t="str" cm="1">
        <f t="array" ref="G16">Common_InputFunctions.Utility_DisplayArrayInTable(Fuel_SourceData.Fuel_Scope1Scope3EmissionFactorsTransport_Data(), Table_Fuel_EFs_Transport[[#Headers],[Transport type]], 0)</f>
        <v>kl</v>
      </c>
      <c r="H16" s="182" cm="1">
        <f t="array" ref="H16">Common_InputFunctions.Utility_DisplayArrayInTable(Fuel_SourceData.Fuel_Scope1Scope3EmissionFactorsTransport_Data(), Table_Fuel_EFs_Transport[[#Headers],[Transport type]], 0)</f>
        <v>0</v>
      </c>
      <c r="I16" s="182" cm="1">
        <f t="array" ref="I16">Common_InputFunctions.Utility_DisplayArrayInTable(Fuel_SourceData.Fuel_Scope1Scope3EmissionFactorsTransport_Data(), Table_Fuel_EFs_Transport[[#Headers],[Transport type]], 0)</f>
        <v>0.01</v>
      </c>
      <c r="J16" s="182" cm="1">
        <f t="array" ref="J16">Common_InputFunctions.Utility_DisplayArrayInTable(Fuel_SourceData.Fuel_Scope1Scope3EmissionFactorsTransport_Data(), Table_Fuel_EFs_Transport[[#Headers],[Transport type]], 0)</f>
        <v>0.5</v>
      </c>
      <c r="K16" s="182" cm="1">
        <f t="array" ref="K16">Common_InputFunctions.Utility_DisplayArrayInTable(Fuel_SourceData.Fuel_Scope1Scope3EmissionFactorsTransport_Data(), Table_Fuel_EFs_Transport[[#Headers],[Transport type]], 0)</f>
        <v>0.51</v>
      </c>
      <c r="L16" s="182" t="str" cm="1">
        <f t="array" ref="L16">Common_InputFunctions.Utility_DisplayArrayInTable(Fuel_SourceData.Fuel_Scope1Scope3EmissionFactorsTransport_Data(), Table_Fuel_EFs_Transport[[#Headers],[Transport type]], 0)</f>
        <v>NE</v>
      </c>
    </row>
    <row r="17" spans="1:12" ht="20.100000000000001" customHeight="1" x14ac:dyDescent="0.25">
      <c r="A17" s="17" t="str">
        <f>HYPERLINK("#'Constants - Common'!A1", "Constants - Common")</f>
        <v>Constants - Common</v>
      </c>
      <c r="D17" s="182" t="str" cm="1">
        <f t="array" ref="D17">Common_InputFunctions.Utility_DisplayArrayInTable(Fuel_SourceData.Fuel_Scope1Scope3EmissionFactorsTransport_Data(), Table_Fuel_EFs_Transport[[#Headers],[Transport type]], 0)</f>
        <v>Cars and light commercial vehicles</v>
      </c>
      <c r="E17" s="182" t="str" cm="1">
        <f t="array" ref="E17">Common_InputFunctions.Utility_DisplayArrayInTable(Fuel_SourceData.Fuel_Scope1Scope3EmissionFactorsTransport_Data(), Table_Fuel_EFs_Transport[[#Headers],[Transport type]], 0)</f>
        <v>Other biofuels</v>
      </c>
      <c r="F17" s="182" cm="1">
        <f t="array" ref="F17">Common_InputFunctions.Utility_DisplayArrayInTable(Fuel_SourceData.Fuel_Scope1Scope3EmissionFactorsTransport_Data(), Table_Fuel_EFs_Transport[[#Headers],[Transport type]], 0)</f>
        <v>23.4</v>
      </c>
      <c r="G17" s="182" t="str" cm="1">
        <f t="array" ref="G17">Common_InputFunctions.Utility_DisplayArrayInTable(Fuel_SourceData.Fuel_Scope1Scope3EmissionFactorsTransport_Data(), Table_Fuel_EFs_Transport[[#Headers],[Transport type]], 0)</f>
        <v>kl</v>
      </c>
      <c r="H17" s="182" cm="1">
        <f t="array" ref="H17">Common_InputFunctions.Utility_DisplayArrayInTable(Fuel_SourceData.Fuel_Scope1Scope3EmissionFactorsTransport_Data(), Table_Fuel_EFs_Transport[[#Headers],[Transport type]], 0)</f>
        <v>0</v>
      </c>
      <c r="I17" s="182" cm="1">
        <f t="array" ref="I17">Common_InputFunctions.Utility_DisplayArrayInTable(Fuel_SourceData.Fuel_Scope1Scope3EmissionFactorsTransport_Data(), Table_Fuel_EFs_Transport[[#Headers],[Transport type]], 0)</f>
        <v>0.8</v>
      </c>
      <c r="J17" s="182" cm="1">
        <f t="array" ref="J17">Common_InputFunctions.Utility_DisplayArrayInTable(Fuel_SourceData.Fuel_Scope1Scope3EmissionFactorsTransport_Data(), Table_Fuel_EFs_Transport[[#Headers],[Transport type]], 0)</f>
        <v>1.7</v>
      </c>
      <c r="K17" s="182" cm="1">
        <f t="array" ref="K17">Common_InputFunctions.Utility_DisplayArrayInTable(Fuel_SourceData.Fuel_Scope1Scope3EmissionFactorsTransport_Data(), Table_Fuel_EFs_Transport[[#Headers],[Transport type]], 0)</f>
        <v>2.5</v>
      </c>
      <c r="L17" s="182" t="str" cm="1">
        <f t="array" ref="L17">Common_InputFunctions.Utility_DisplayArrayInTable(Fuel_SourceData.Fuel_Scope1Scope3EmissionFactorsTransport_Data(), Table_Fuel_EFs_Transport[[#Headers],[Transport type]], 0)</f>
        <v>NE</v>
      </c>
    </row>
    <row r="18" spans="1:12" ht="20.100000000000001" customHeight="1" x14ac:dyDescent="0.25">
      <c r="D18" s="182" t="str" cm="1">
        <f t="array" ref="D18">Common_InputFunctions.Utility_DisplayArrayInTable(Fuel_SourceData.Fuel_Scope1Scope3EmissionFactorsTransport_Data(), Table_Fuel_EFs_Transport[[#Headers],[Transport type]], 0)</f>
        <v>Light duty vehicles</v>
      </c>
      <c r="E18" s="182" t="str" cm="1">
        <f t="array" ref="E18">Common_InputFunctions.Utility_DisplayArrayInTable(Fuel_SourceData.Fuel_Scope1Scope3EmissionFactorsTransport_Data(), Table_Fuel_EFs_Transport[[#Headers],[Transport type]], 0)</f>
        <v>Compressed natural gas</v>
      </c>
      <c r="F18" s="182" cm="1">
        <f t="array" ref="F18">Common_InputFunctions.Utility_DisplayArrayInTable(Fuel_SourceData.Fuel_Scope1Scope3EmissionFactorsTransport_Data(), Table_Fuel_EFs_Transport[[#Headers],[Transport type]], 0)</f>
        <v>3.9300000000000002E-2</v>
      </c>
      <c r="G18" s="182" t="str" cm="1">
        <f t="array" ref="G18">Common_InputFunctions.Utility_DisplayArrayInTable(Fuel_SourceData.Fuel_Scope1Scope3EmissionFactorsTransport_Data(), Table_Fuel_EFs_Transport[[#Headers],[Transport type]], 0)</f>
        <v>m3</v>
      </c>
      <c r="H18" s="182" cm="1">
        <f t="array" ref="H18">Common_InputFunctions.Utility_DisplayArrayInTable(Fuel_SourceData.Fuel_Scope1Scope3EmissionFactorsTransport_Data(), Table_Fuel_EFs_Transport[[#Headers],[Transport type]], 0)</f>
        <v>51.4</v>
      </c>
      <c r="I18" s="182" cm="1">
        <f t="array" ref="I18">Common_InputFunctions.Utility_DisplayArrayInTable(Fuel_SourceData.Fuel_Scope1Scope3EmissionFactorsTransport_Data(), Table_Fuel_EFs_Transport[[#Headers],[Transport type]], 0)</f>
        <v>7.3</v>
      </c>
      <c r="J18" s="182" cm="1">
        <f t="array" ref="J18">Common_InputFunctions.Utility_DisplayArrayInTable(Fuel_SourceData.Fuel_Scope1Scope3EmissionFactorsTransport_Data(), Table_Fuel_EFs_Transport[[#Headers],[Transport type]], 0)</f>
        <v>0.3</v>
      </c>
      <c r="K18" s="182" cm="1">
        <f t="array" ref="K18">Common_InputFunctions.Utility_DisplayArrayInTable(Fuel_SourceData.Fuel_Scope1Scope3EmissionFactorsTransport_Data(), Table_Fuel_EFs_Transport[[#Headers],[Transport type]], 0)</f>
        <v>59</v>
      </c>
      <c r="L18" s="182" cm="1">
        <f t="array" ref="L18">Common_InputFunctions.Utility_DisplayArrayInTable(Fuel_SourceData.Fuel_Scope1Scope3EmissionFactorsTransport_Data(), Table_Fuel_EFs_Transport[[#Headers],[Transport type]], 0)</f>
        <v>18</v>
      </c>
    </row>
    <row r="19" spans="1:12" ht="20.100000000000001" customHeight="1" x14ac:dyDescent="0.25">
      <c r="D19" s="182" t="str" cm="1">
        <f t="array" ref="D19">Common_InputFunctions.Utility_DisplayArrayInTable(Fuel_SourceData.Fuel_Scope1Scope3EmissionFactorsTransport_Data(), Table_Fuel_EFs_Transport[[#Headers],[Transport type]], 0)</f>
        <v>Light duty vehicles</v>
      </c>
      <c r="E19" s="182" t="str" cm="1">
        <f t="array" ref="E19">Common_InputFunctions.Utility_DisplayArrayInTable(Fuel_SourceData.Fuel_Scope1Scope3EmissionFactorsTransport_Data(), Table_Fuel_EFs_Transport[[#Headers],[Transport type]], 0)</f>
        <v>Liquefied natural gas</v>
      </c>
      <c r="F19" s="182" cm="1">
        <f t="array" ref="F19">Common_InputFunctions.Utility_DisplayArrayInTable(Fuel_SourceData.Fuel_Scope1Scope3EmissionFactorsTransport_Data(), Table_Fuel_EFs_Transport[[#Headers],[Transport type]], 0)</f>
        <v>25.3</v>
      </c>
      <c r="G19" s="182" t="str" cm="1">
        <f t="array" ref="G19">Common_InputFunctions.Utility_DisplayArrayInTable(Fuel_SourceData.Fuel_Scope1Scope3EmissionFactorsTransport_Data(), Table_Fuel_EFs_Transport[[#Headers],[Transport type]], 0)</f>
        <v>kl</v>
      </c>
      <c r="H19" s="182" cm="1">
        <f t="array" ref="H19">Common_InputFunctions.Utility_DisplayArrayInTable(Fuel_SourceData.Fuel_Scope1Scope3EmissionFactorsTransport_Data(), Table_Fuel_EFs_Transport[[#Headers],[Transport type]], 0)</f>
        <v>51.4</v>
      </c>
      <c r="I19" s="182" cm="1">
        <f t="array" ref="I19">Common_InputFunctions.Utility_DisplayArrayInTable(Fuel_SourceData.Fuel_Scope1Scope3EmissionFactorsTransport_Data(), Table_Fuel_EFs_Transport[[#Headers],[Transport type]], 0)</f>
        <v>7.3</v>
      </c>
      <c r="J19" s="182" cm="1">
        <f t="array" ref="J19">Common_InputFunctions.Utility_DisplayArrayInTable(Fuel_SourceData.Fuel_Scope1Scope3EmissionFactorsTransport_Data(), Table_Fuel_EFs_Transport[[#Headers],[Transport type]], 0)</f>
        <v>0.3</v>
      </c>
      <c r="K19" s="182" cm="1">
        <f t="array" ref="K19">Common_InputFunctions.Utility_DisplayArrayInTable(Fuel_SourceData.Fuel_Scope1Scope3EmissionFactorsTransport_Data(), Table_Fuel_EFs_Transport[[#Headers],[Transport type]], 0)</f>
        <v>59</v>
      </c>
      <c r="L19" s="182" cm="1">
        <f t="array" ref="L19">Common_InputFunctions.Utility_DisplayArrayInTable(Fuel_SourceData.Fuel_Scope1Scope3EmissionFactorsTransport_Data(), Table_Fuel_EFs_Transport[[#Headers],[Transport type]], 0)</f>
        <v>18</v>
      </c>
    </row>
    <row r="20" spans="1:12" ht="20.100000000000001" customHeight="1" x14ac:dyDescent="0.25">
      <c r="A20" s="17"/>
      <c r="D20" s="182" t="str" cm="1">
        <f t="array" ref="D20">Common_InputFunctions.Utility_DisplayArrayInTable(Fuel_SourceData.Fuel_Scope1Scope3EmissionFactorsTransport_Data(), Table_Fuel_EFs_Transport[[#Headers],[Transport type]], 0)</f>
        <v>Heavy duty vehicles</v>
      </c>
      <c r="E20" s="182" t="str" cm="1">
        <f t="array" ref="E20">Common_InputFunctions.Utility_DisplayArrayInTable(Fuel_SourceData.Fuel_Scope1Scope3EmissionFactorsTransport_Data(), Table_Fuel_EFs_Transport[[#Headers],[Transport type]], 0)</f>
        <v>Compressed natural gas</v>
      </c>
      <c r="F20" s="182" cm="1">
        <f t="array" ref="F20">Common_InputFunctions.Utility_DisplayArrayInTable(Fuel_SourceData.Fuel_Scope1Scope3EmissionFactorsTransport_Data(), Table_Fuel_EFs_Transport[[#Headers],[Transport type]], 0)</f>
        <v>3.9300000000000002E-2</v>
      </c>
      <c r="G20" s="182" t="str" cm="1">
        <f t="array" ref="G20">Common_InputFunctions.Utility_DisplayArrayInTable(Fuel_SourceData.Fuel_Scope1Scope3EmissionFactorsTransport_Data(), Table_Fuel_EFs_Transport[[#Headers],[Transport type]], 0)</f>
        <v>m3</v>
      </c>
      <c r="H20" s="182" cm="1">
        <f t="array" ref="H20">Common_InputFunctions.Utility_DisplayArrayInTable(Fuel_SourceData.Fuel_Scope1Scope3EmissionFactorsTransport_Data(), Table_Fuel_EFs_Transport[[#Headers],[Transport type]], 0)</f>
        <v>51.4</v>
      </c>
      <c r="I20" s="182" cm="1">
        <f t="array" ref="I20">Common_InputFunctions.Utility_DisplayArrayInTable(Fuel_SourceData.Fuel_Scope1Scope3EmissionFactorsTransport_Data(), Table_Fuel_EFs_Transport[[#Headers],[Transport type]], 0)</f>
        <v>2.8</v>
      </c>
      <c r="J20" s="182" cm="1">
        <f t="array" ref="J20">Common_InputFunctions.Utility_DisplayArrayInTable(Fuel_SourceData.Fuel_Scope1Scope3EmissionFactorsTransport_Data(), Table_Fuel_EFs_Transport[[#Headers],[Transport type]], 0)</f>
        <v>0.3</v>
      </c>
      <c r="K20" s="182" cm="1">
        <f t="array" ref="K20">Common_InputFunctions.Utility_DisplayArrayInTable(Fuel_SourceData.Fuel_Scope1Scope3EmissionFactorsTransport_Data(), Table_Fuel_EFs_Transport[[#Headers],[Transport type]], 0)</f>
        <v>54.5</v>
      </c>
      <c r="L20" s="182" cm="1">
        <f t="array" ref="L20">Common_InputFunctions.Utility_DisplayArrayInTable(Fuel_SourceData.Fuel_Scope1Scope3EmissionFactorsTransport_Data(), Table_Fuel_EFs_Transport[[#Headers],[Transport type]], 0)</f>
        <v>18</v>
      </c>
    </row>
    <row r="21" spans="1:12" ht="20.100000000000001" customHeight="1" x14ac:dyDescent="0.25">
      <c r="A21" s="17"/>
      <c r="D21" s="182" t="str" cm="1">
        <f t="array" ref="D21">Common_InputFunctions.Utility_DisplayArrayInTable(Fuel_SourceData.Fuel_Scope1Scope3EmissionFactorsTransport_Data(), Table_Fuel_EFs_Transport[[#Headers],[Transport type]], 0)</f>
        <v>Heavy duty vehicles</v>
      </c>
      <c r="E21" s="182" t="str" cm="1">
        <f t="array" ref="E21">Common_InputFunctions.Utility_DisplayArrayInTable(Fuel_SourceData.Fuel_Scope1Scope3EmissionFactorsTransport_Data(), Table_Fuel_EFs_Transport[[#Headers],[Transport type]], 0)</f>
        <v>Liquefied natural gas</v>
      </c>
      <c r="F21" s="182" cm="1">
        <f t="array" ref="F21">Common_InputFunctions.Utility_DisplayArrayInTable(Fuel_SourceData.Fuel_Scope1Scope3EmissionFactorsTransport_Data(), Table_Fuel_EFs_Transport[[#Headers],[Transport type]], 0)</f>
        <v>25.3</v>
      </c>
      <c r="G21" s="182" t="str" cm="1">
        <f t="array" ref="G21">Common_InputFunctions.Utility_DisplayArrayInTable(Fuel_SourceData.Fuel_Scope1Scope3EmissionFactorsTransport_Data(), Table_Fuel_EFs_Transport[[#Headers],[Transport type]], 0)</f>
        <v>kl</v>
      </c>
      <c r="H21" s="182" cm="1">
        <f t="array" ref="H21">Common_InputFunctions.Utility_DisplayArrayInTable(Fuel_SourceData.Fuel_Scope1Scope3EmissionFactorsTransport_Data(), Table_Fuel_EFs_Transport[[#Headers],[Transport type]], 0)</f>
        <v>51.4</v>
      </c>
      <c r="I21" s="182" cm="1">
        <f t="array" ref="I21">Common_InputFunctions.Utility_DisplayArrayInTable(Fuel_SourceData.Fuel_Scope1Scope3EmissionFactorsTransport_Data(), Table_Fuel_EFs_Transport[[#Headers],[Transport type]], 0)</f>
        <v>2.8</v>
      </c>
      <c r="J21" s="182" cm="1">
        <f t="array" ref="J21">Common_InputFunctions.Utility_DisplayArrayInTable(Fuel_SourceData.Fuel_Scope1Scope3EmissionFactorsTransport_Data(), Table_Fuel_EFs_Transport[[#Headers],[Transport type]], 0)</f>
        <v>0.3</v>
      </c>
      <c r="K21" s="182" cm="1">
        <f t="array" ref="K21">Common_InputFunctions.Utility_DisplayArrayInTable(Fuel_SourceData.Fuel_Scope1Scope3EmissionFactorsTransport_Data(), Table_Fuel_EFs_Transport[[#Headers],[Transport type]], 0)</f>
        <v>54.5</v>
      </c>
      <c r="L21" s="182" cm="1">
        <f t="array" ref="L21">Common_InputFunctions.Utility_DisplayArrayInTable(Fuel_SourceData.Fuel_Scope1Scope3EmissionFactorsTransport_Data(), Table_Fuel_EFs_Transport[[#Headers],[Transport type]], 0)</f>
        <v>18</v>
      </c>
    </row>
    <row r="22" spans="1:12" ht="20.100000000000001" customHeight="1" x14ac:dyDescent="0.25">
      <c r="D22" s="182" t="str" cm="1">
        <f t="array" ref="D22">Common_InputFunctions.Utility_DisplayArrayInTable(Fuel_SourceData.Fuel_Scope1Scope3EmissionFactorsTransport_Data(), Table_Fuel_EFs_Transport[[#Headers],[Transport type]], 0)</f>
        <v>Heavy duty vehicles</v>
      </c>
      <c r="E22" s="182" t="str" cm="1">
        <f t="array" ref="E22">Common_InputFunctions.Utility_DisplayArrayInTable(Fuel_SourceData.Fuel_Scope1Scope3EmissionFactorsTransport_Data(), Table_Fuel_EFs_Transport[[#Headers],[Transport type]], 0)</f>
        <v>Diesel oil - Euro iv or higher</v>
      </c>
      <c r="F22" s="182" cm="1">
        <f t="array" ref="F22">Common_InputFunctions.Utility_DisplayArrayInTable(Fuel_SourceData.Fuel_Scope1Scope3EmissionFactorsTransport_Data(), Table_Fuel_EFs_Transport[[#Headers],[Transport type]], 0)</f>
        <v>38.6</v>
      </c>
      <c r="G22" s="182" t="str" cm="1">
        <f t="array" ref="G22">Common_InputFunctions.Utility_DisplayArrayInTable(Fuel_SourceData.Fuel_Scope1Scope3EmissionFactorsTransport_Data(), Table_Fuel_EFs_Transport[[#Headers],[Transport type]], 0)</f>
        <v>kl</v>
      </c>
      <c r="H22" s="182" cm="1">
        <f t="array" ref="H22">Common_InputFunctions.Utility_DisplayArrayInTable(Fuel_SourceData.Fuel_Scope1Scope3EmissionFactorsTransport_Data(), Table_Fuel_EFs_Transport[[#Headers],[Transport type]], 0)</f>
        <v>69.900000000000006</v>
      </c>
      <c r="I22" s="182" cm="1">
        <f t="array" ref="I22">Common_InputFunctions.Utility_DisplayArrayInTable(Fuel_SourceData.Fuel_Scope1Scope3EmissionFactorsTransport_Data(), Table_Fuel_EFs_Transport[[#Headers],[Transport type]], 0)</f>
        <v>7.0000000000000007E-2</v>
      </c>
      <c r="J22" s="182" cm="1">
        <f t="array" ref="J22">Common_InputFunctions.Utility_DisplayArrayInTable(Fuel_SourceData.Fuel_Scope1Scope3EmissionFactorsTransport_Data(), Table_Fuel_EFs_Transport[[#Headers],[Transport type]], 0)</f>
        <v>0.4</v>
      </c>
      <c r="K22" s="182" cm="1">
        <f t="array" ref="K22">Common_InputFunctions.Utility_DisplayArrayInTable(Fuel_SourceData.Fuel_Scope1Scope3EmissionFactorsTransport_Data(), Table_Fuel_EFs_Transport[[#Headers],[Transport type]], 0)</f>
        <v>70.37</v>
      </c>
      <c r="L22" s="182" cm="1">
        <f t="array" ref="L22">Common_InputFunctions.Utility_DisplayArrayInTable(Fuel_SourceData.Fuel_Scope1Scope3EmissionFactorsTransport_Data(), Table_Fuel_EFs_Transport[[#Headers],[Transport type]], 0)</f>
        <v>17.3</v>
      </c>
    </row>
    <row r="23" spans="1:12" ht="20.100000000000001" customHeight="1" x14ac:dyDescent="0.25">
      <c r="A23" s="17"/>
      <c r="D23" s="182" t="str" cm="1">
        <f t="array" ref="D23">Common_InputFunctions.Utility_DisplayArrayInTable(Fuel_SourceData.Fuel_Scope1Scope3EmissionFactorsTransport_Data(), Table_Fuel_EFs_Transport[[#Headers],[Transport type]], 0)</f>
        <v>Heavy duty vehicles</v>
      </c>
      <c r="E23" s="182" t="str" cm="1">
        <f t="array" ref="E23">Common_InputFunctions.Utility_DisplayArrayInTable(Fuel_SourceData.Fuel_Scope1Scope3EmissionFactorsTransport_Data(), Table_Fuel_EFs_Transport[[#Headers],[Transport type]], 0)</f>
        <v>Diesel oil - Euro iii</v>
      </c>
      <c r="F23" s="182" cm="1">
        <f t="array" ref="F23">Common_InputFunctions.Utility_DisplayArrayInTable(Fuel_SourceData.Fuel_Scope1Scope3EmissionFactorsTransport_Data(), Table_Fuel_EFs_Transport[[#Headers],[Transport type]], 0)</f>
        <v>38.6</v>
      </c>
      <c r="G23" s="182" t="str" cm="1">
        <f t="array" ref="G23">Common_InputFunctions.Utility_DisplayArrayInTable(Fuel_SourceData.Fuel_Scope1Scope3EmissionFactorsTransport_Data(), Table_Fuel_EFs_Transport[[#Headers],[Transport type]], 0)</f>
        <v>kl</v>
      </c>
      <c r="H23" s="182" cm="1">
        <f t="array" ref="H23">Common_InputFunctions.Utility_DisplayArrayInTable(Fuel_SourceData.Fuel_Scope1Scope3EmissionFactorsTransport_Data(), Table_Fuel_EFs_Transport[[#Headers],[Transport type]], 0)</f>
        <v>69.900000000000006</v>
      </c>
      <c r="I23" s="182" cm="1">
        <f t="array" ref="I23">Common_InputFunctions.Utility_DisplayArrayInTable(Fuel_SourceData.Fuel_Scope1Scope3EmissionFactorsTransport_Data(), Table_Fuel_EFs_Transport[[#Headers],[Transport type]], 0)</f>
        <v>0.1</v>
      </c>
      <c r="J23" s="182" cm="1">
        <f t="array" ref="J23">Common_InputFunctions.Utility_DisplayArrayInTable(Fuel_SourceData.Fuel_Scope1Scope3EmissionFactorsTransport_Data(), Table_Fuel_EFs_Transport[[#Headers],[Transport type]], 0)</f>
        <v>0.4</v>
      </c>
      <c r="K23" s="182" cm="1">
        <f t="array" ref="K23">Common_InputFunctions.Utility_DisplayArrayInTable(Fuel_SourceData.Fuel_Scope1Scope3EmissionFactorsTransport_Data(), Table_Fuel_EFs_Transport[[#Headers],[Transport type]], 0)</f>
        <v>70.400000000000006</v>
      </c>
      <c r="L23" s="182" cm="1">
        <f t="array" ref="L23">Common_InputFunctions.Utility_DisplayArrayInTable(Fuel_SourceData.Fuel_Scope1Scope3EmissionFactorsTransport_Data(), Table_Fuel_EFs_Transport[[#Headers],[Transport type]], 0)</f>
        <v>17.3</v>
      </c>
    </row>
    <row r="24" spans="1:12" ht="20.100000000000001" customHeight="1" x14ac:dyDescent="0.25">
      <c r="D24" s="182" t="str" cm="1">
        <f t="array" ref="D24">Common_InputFunctions.Utility_DisplayArrayInTable(Fuel_SourceData.Fuel_Scope1Scope3EmissionFactorsTransport_Data(), Table_Fuel_EFs_Transport[[#Headers],[Transport type]], 0)</f>
        <v>Heavy duty vehicles</v>
      </c>
      <c r="E24" s="182" t="str" cm="1">
        <f t="array" ref="E24">Common_InputFunctions.Utility_DisplayArrayInTable(Fuel_SourceData.Fuel_Scope1Scope3EmissionFactorsTransport_Data(), Table_Fuel_EFs_Transport[[#Headers],[Transport type]], 0)</f>
        <v>Diesel oil - Euro i</v>
      </c>
      <c r="F24" s="182" cm="1">
        <f t="array" ref="F24">Common_InputFunctions.Utility_DisplayArrayInTable(Fuel_SourceData.Fuel_Scope1Scope3EmissionFactorsTransport_Data(), Table_Fuel_EFs_Transport[[#Headers],[Transport type]], 0)</f>
        <v>38.6</v>
      </c>
      <c r="G24" s="182" t="str" cm="1">
        <f t="array" ref="G24">Common_InputFunctions.Utility_DisplayArrayInTable(Fuel_SourceData.Fuel_Scope1Scope3EmissionFactorsTransport_Data(), Table_Fuel_EFs_Transport[[#Headers],[Transport type]], 0)</f>
        <v>kl</v>
      </c>
      <c r="H24" s="182" cm="1">
        <f t="array" ref="H24">Common_InputFunctions.Utility_DisplayArrayInTable(Fuel_SourceData.Fuel_Scope1Scope3EmissionFactorsTransport_Data(), Table_Fuel_EFs_Transport[[#Headers],[Transport type]], 0)</f>
        <v>69.900000000000006</v>
      </c>
      <c r="I24" s="182" cm="1">
        <f t="array" ref="I24">Common_InputFunctions.Utility_DisplayArrayInTable(Fuel_SourceData.Fuel_Scope1Scope3EmissionFactorsTransport_Data(), Table_Fuel_EFs_Transport[[#Headers],[Transport type]], 0)</f>
        <v>0.2</v>
      </c>
      <c r="J24" s="182" cm="1">
        <f t="array" ref="J24">Common_InputFunctions.Utility_DisplayArrayInTable(Fuel_SourceData.Fuel_Scope1Scope3EmissionFactorsTransport_Data(), Table_Fuel_EFs_Transport[[#Headers],[Transport type]], 0)</f>
        <v>0.4</v>
      </c>
      <c r="K24" s="182" cm="1">
        <f t="array" ref="K24">Common_InputFunctions.Utility_DisplayArrayInTable(Fuel_SourceData.Fuel_Scope1Scope3EmissionFactorsTransport_Data(), Table_Fuel_EFs_Transport[[#Headers],[Transport type]], 0)</f>
        <v>70.5</v>
      </c>
      <c r="L24" s="182" cm="1">
        <f t="array" ref="L24">Common_InputFunctions.Utility_DisplayArrayInTable(Fuel_SourceData.Fuel_Scope1Scope3EmissionFactorsTransport_Data(), Table_Fuel_EFs_Transport[[#Headers],[Transport type]], 0)</f>
        <v>17.3</v>
      </c>
    </row>
    <row r="25" spans="1:12" ht="20.100000000000001" customHeight="1" x14ac:dyDescent="0.25">
      <c r="D25" s="182" t="str" cm="1">
        <f t="array" ref="D25">Common_InputFunctions.Utility_DisplayArrayInTable(Fuel_SourceData.Fuel_Scope1Scope3EmissionFactorsTransport_Data(), Table_Fuel_EFs_Transport[[#Headers],[Transport type]], 0)</f>
        <v>Heavy duty vehicles</v>
      </c>
      <c r="E25" s="182" t="str" cm="1">
        <f t="array" ref="E25">Common_InputFunctions.Utility_DisplayArrayInTable(Fuel_SourceData.Fuel_Scope1Scope3EmissionFactorsTransport_Data(), Table_Fuel_EFs_Transport[[#Headers],[Transport type]], 0)</f>
        <v>Renewable diesel – Euro iv or higher</v>
      </c>
      <c r="F25" s="182" cm="1">
        <f t="array" ref="F25">Common_InputFunctions.Utility_DisplayArrayInTable(Fuel_SourceData.Fuel_Scope1Scope3EmissionFactorsTransport_Data(), Table_Fuel_EFs_Transport[[#Headers],[Transport type]], 0)</f>
        <v>38.6</v>
      </c>
      <c r="G25" s="182" t="str" cm="1">
        <f t="array" ref="G25">Common_InputFunctions.Utility_DisplayArrayInTable(Fuel_SourceData.Fuel_Scope1Scope3EmissionFactorsTransport_Data(), Table_Fuel_EFs_Transport[[#Headers],[Transport type]], 0)</f>
        <v>kl</v>
      </c>
      <c r="H25" s="182" cm="1">
        <f t="array" ref="H25">Common_InputFunctions.Utility_DisplayArrayInTable(Fuel_SourceData.Fuel_Scope1Scope3EmissionFactorsTransport_Data(), Table_Fuel_EFs_Transport[[#Headers],[Transport type]], 0)</f>
        <v>0</v>
      </c>
      <c r="I25" s="182" cm="1">
        <f t="array" ref="I25">Common_InputFunctions.Utility_DisplayArrayInTable(Fuel_SourceData.Fuel_Scope1Scope3EmissionFactorsTransport_Data(), Table_Fuel_EFs_Transport[[#Headers],[Transport type]], 0)</f>
        <v>7.0000000000000007E-2</v>
      </c>
      <c r="J25" s="182" cm="1">
        <f t="array" ref="J25">Common_InputFunctions.Utility_DisplayArrayInTable(Fuel_SourceData.Fuel_Scope1Scope3EmissionFactorsTransport_Data(), Table_Fuel_EFs_Transport[[#Headers],[Transport type]], 0)</f>
        <v>0.4</v>
      </c>
      <c r="K25" s="182" cm="1">
        <f t="array" ref="K25">Common_InputFunctions.Utility_DisplayArrayInTable(Fuel_SourceData.Fuel_Scope1Scope3EmissionFactorsTransport_Data(), Table_Fuel_EFs_Transport[[#Headers],[Transport type]], 0)</f>
        <v>0.47</v>
      </c>
      <c r="L25" s="182" t="str" cm="1">
        <f t="array" ref="L25">Common_InputFunctions.Utility_DisplayArrayInTable(Fuel_SourceData.Fuel_Scope1Scope3EmissionFactorsTransport_Data(), Table_Fuel_EFs_Transport[[#Headers],[Transport type]], 0)</f>
        <v>NE</v>
      </c>
    </row>
    <row r="26" spans="1:12" ht="20.100000000000001" customHeight="1" x14ac:dyDescent="0.25">
      <c r="D26" s="182" t="str" cm="1">
        <f t="array" ref="D26">Common_InputFunctions.Utility_DisplayArrayInTable(Fuel_SourceData.Fuel_Scope1Scope3EmissionFactorsTransport_Data(), Table_Fuel_EFs_Transport[[#Headers],[Transport type]], 0)</f>
        <v>Heavy duty vehicles</v>
      </c>
      <c r="E26" s="182" t="str" cm="1">
        <f t="array" ref="E26">Common_InputFunctions.Utility_DisplayArrayInTable(Fuel_SourceData.Fuel_Scope1Scope3EmissionFactorsTransport_Data(), Table_Fuel_EFs_Transport[[#Headers],[Transport type]], 0)</f>
        <v>Renewable diesel – Euro iii</v>
      </c>
      <c r="F26" s="182" cm="1">
        <f t="array" ref="F26">Common_InputFunctions.Utility_DisplayArrayInTable(Fuel_SourceData.Fuel_Scope1Scope3EmissionFactorsTransport_Data(), Table_Fuel_EFs_Transport[[#Headers],[Transport type]], 0)</f>
        <v>38.6</v>
      </c>
      <c r="G26" s="182" t="str" cm="1">
        <f t="array" ref="G26">Common_InputFunctions.Utility_DisplayArrayInTable(Fuel_SourceData.Fuel_Scope1Scope3EmissionFactorsTransport_Data(), Table_Fuel_EFs_Transport[[#Headers],[Transport type]], 0)</f>
        <v>kl</v>
      </c>
      <c r="H26" s="182" cm="1">
        <f t="array" ref="H26">Common_InputFunctions.Utility_DisplayArrayInTable(Fuel_SourceData.Fuel_Scope1Scope3EmissionFactorsTransport_Data(), Table_Fuel_EFs_Transport[[#Headers],[Transport type]], 0)</f>
        <v>0</v>
      </c>
      <c r="I26" s="182" cm="1">
        <f t="array" ref="I26">Common_InputFunctions.Utility_DisplayArrayInTable(Fuel_SourceData.Fuel_Scope1Scope3EmissionFactorsTransport_Data(), Table_Fuel_EFs_Transport[[#Headers],[Transport type]], 0)</f>
        <v>0.1</v>
      </c>
      <c r="J26" s="182" cm="1">
        <f t="array" ref="J26">Common_InputFunctions.Utility_DisplayArrayInTable(Fuel_SourceData.Fuel_Scope1Scope3EmissionFactorsTransport_Data(), Table_Fuel_EFs_Transport[[#Headers],[Transport type]], 0)</f>
        <v>0.4</v>
      </c>
      <c r="K26" s="182" cm="1">
        <f t="array" ref="K26">Common_InputFunctions.Utility_DisplayArrayInTable(Fuel_SourceData.Fuel_Scope1Scope3EmissionFactorsTransport_Data(), Table_Fuel_EFs_Transport[[#Headers],[Transport type]], 0)</f>
        <v>0.5</v>
      </c>
      <c r="L26" s="182" t="str" cm="1">
        <f t="array" ref="L26">Common_InputFunctions.Utility_DisplayArrayInTable(Fuel_SourceData.Fuel_Scope1Scope3EmissionFactorsTransport_Data(), Table_Fuel_EFs_Transport[[#Headers],[Transport type]], 0)</f>
        <v>NE</v>
      </c>
    </row>
    <row r="27" spans="1:12" ht="20.100000000000001" customHeight="1" x14ac:dyDescent="0.25">
      <c r="D27" s="182" t="str" cm="1">
        <f t="array" ref="D27">Common_InputFunctions.Utility_DisplayArrayInTable(Fuel_SourceData.Fuel_Scope1Scope3EmissionFactorsTransport_Data(), Table_Fuel_EFs_Transport[[#Headers],[Transport type]], 0)</f>
        <v>Heavy duty vehicles</v>
      </c>
      <c r="E27" s="182" t="str" cm="1">
        <f t="array" ref="E27">Common_InputFunctions.Utility_DisplayArrayInTable(Fuel_SourceData.Fuel_Scope1Scope3EmissionFactorsTransport_Data(), Table_Fuel_EFs_Transport[[#Headers],[Transport type]], 0)</f>
        <v>Renewable diesel – Euro i</v>
      </c>
      <c r="F27" s="182" cm="1">
        <f t="array" ref="F27">Common_InputFunctions.Utility_DisplayArrayInTable(Fuel_SourceData.Fuel_Scope1Scope3EmissionFactorsTransport_Data(), Table_Fuel_EFs_Transport[[#Headers],[Transport type]], 0)</f>
        <v>38.6</v>
      </c>
      <c r="G27" s="182" t="str" cm="1">
        <f t="array" ref="G27">Common_InputFunctions.Utility_DisplayArrayInTable(Fuel_SourceData.Fuel_Scope1Scope3EmissionFactorsTransport_Data(), Table_Fuel_EFs_Transport[[#Headers],[Transport type]], 0)</f>
        <v>kl</v>
      </c>
      <c r="H27" s="182" cm="1">
        <f t="array" ref="H27">Common_InputFunctions.Utility_DisplayArrayInTable(Fuel_SourceData.Fuel_Scope1Scope3EmissionFactorsTransport_Data(), Table_Fuel_EFs_Transport[[#Headers],[Transport type]], 0)</f>
        <v>0</v>
      </c>
      <c r="I27" s="182" cm="1">
        <f t="array" ref="I27">Common_InputFunctions.Utility_DisplayArrayInTable(Fuel_SourceData.Fuel_Scope1Scope3EmissionFactorsTransport_Data(), Table_Fuel_EFs_Transport[[#Headers],[Transport type]], 0)</f>
        <v>0.2</v>
      </c>
      <c r="J27" s="182" cm="1">
        <f t="array" ref="J27">Common_InputFunctions.Utility_DisplayArrayInTable(Fuel_SourceData.Fuel_Scope1Scope3EmissionFactorsTransport_Data(), Table_Fuel_EFs_Transport[[#Headers],[Transport type]], 0)</f>
        <v>0.4</v>
      </c>
      <c r="K27" s="182" cm="1">
        <f t="array" ref="K27">Common_InputFunctions.Utility_DisplayArrayInTable(Fuel_SourceData.Fuel_Scope1Scope3EmissionFactorsTransport_Data(), Table_Fuel_EFs_Transport[[#Headers],[Transport type]], 0)</f>
        <v>0.6</v>
      </c>
      <c r="L27" s="182" t="str" cm="1">
        <f t="array" ref="L27">Common_InputFunctions.Utility_DisplayArrayInTable(Fuel_SourceData.Fuel_Scope1Scope3EmissionFactorsTransport_Data(), Table_Fuel_EFs_Transport[[#Headers],[Transport type]], 0)</f>
        <v>NE</v>
      </c>
    </row>
    <row r="28" spans="1:12" ht="20.100000000000001" customHeight="1" x14ac:dyDescent="0.25">
      <c r="D28" s="182" t="str" cm="1">
        <f t="array" ref="D28">Common_InputFunctions.Utility_DisplayArrayInTable(Fuel_SourceData.Fuel_Scope1Scope3EmissionFactorsTransport_Data(), Table_Fuel_EFs_Transport[[#Headers],[Transport type]], 0)</f>
        <v>Aviation</v>
      </c>
      <c r="E28" s="182" t="str" cm="1">
        <f t="array" ref="E28">Common_InputFunctions.Utility_DisplayArrayInTable(Fuel_SourceData.Fuel_Scope1Scope3EmissionFactorsTransport_Data(), Table_Fuel_EFs_Transport[[#Headers],[Transport type]], 0)</f>
        <v>Gasoline for use as fuel in an aircraft</v>
      </c>
      <c r="F28" s="182" cm="1">
        <f t="array" ref="F28">Common_InputFunctions.Utility_DisplayArrayInTable(Fuel_SourceData.Fuel_Scope1Scope3EmissionFactorsTransport_Data(), Table_Fuel_EFs_Transport[[#Headers],[Transport type]], 0)</f>
        <v>33.1</v>
      </c>
      <c r="G28" s="182" t="str" cm="1">
        <f t="array" ref="G28">Common_InputFunctions.Utility_DisplayArrayInTable(Fuel_SourceData.Fuel_Scope1Scope3EmissionFactorsTransport_Data(), Table_Fuel_EFs_Transport[[#Headers],[Transport type]], 0)</f>
        <v>kl</v>
      </c>
      <c r="H28" s="182" cm="1">
        <f t="array" ref="H28">Common_InputFunctions.Utility_DisplayArrayInTable(Fuel_SourceData.Fuel_Scope1Scope3EmissionFactorsTransport_Data(), Table_Fuel_EFs_Transport[[#Headers],[Transport type]], 0)</f>
        <v>67</v>
      </c>
      <c r="I28" s="182" cm="1">
        <f t="array" ref="I28">Common_InputFunctions.Utility_DisplayArrayInTable(Fuel_SourceData.Fuel_Scope1Scope3EmissionFactorsTransport_Data(), Table_Fuel_EFs_Transport[[#Headers],[Transport type]], 0)</f>
        <v>0.06</v>
      </c>
      <c r="J28" s="182" cm="1">
        <f t="array" ref="J28">Common_InputFunctions.Utility_DisplayArrayInTable(Fuel_SourceData.Fuel_Scope1Scope3EmissionFactorsTransport_Data(), Table_Fuel_EFs_Transport[[#Headers],[Transport type]], 0)</f>
        <v>0.6</v>
      </c>
      <c r="K28" s="182" cm="1">
        <f t="array" ref="K28">Common_InputFunctions.Utility_DisplayArrayInTable(Fuel_SourceData.Fuel_Scope1Scope3EmissionFactorsTransport_Data(), Table_Fuel_EFs_Transport[[#Headers],[Transport type]], 0)</f>
        <v>67.66</v>
      </c>
      <c r="L28" s="182" cm="1">
        <f t="array" ref="L28">Common_InputFunctions.Utility_DisplayArrayInTable(Fuel_SourceData.Fuel_Scope1Scope3EmissionFactorsTransport_Data(), Table_Fuel_EFs_Transport[[#Headers],[Transport type]], 0)</f>
        <v>18</v>
      </c>
    </row>
    <row r="29" spans="1:12" ht="20.100000000000001" customHeight="1" x14ac:dyDescent="0.25">
      <c r="D29" s="182" t="str" cm="1">
        <f t="array" ref="D29">Common_InputFunctions.Utility_DisplayArrayInTable(Fuel_SourceData.Fuel_Scope1Scope3EmissionFactorsTransport_Data(), Table_Fuel_EFs_Transport[[#Headers],[Transport type]], 0)</f>
        <v>Aviation</v>
      </c>
      <c r="E29" s="182" t="str" cm="1">
        <f t="array" ref="E29">Common_InputFunctions.Utility_DisplayArrayInTable(Fuel_SourceData.Fuel_Scope1Scope3EmissionFactorsTransport_Data(), Table_Fuel_EFs_Transport[[#Headers],[Transport type]], 0)</f>
        <v>Kerosene for use as fuel in an aircraft</v>
      </c>
      <c r="F29" s="182" cm="1">
        <f t="array" ref="F29">Common_InputFunctions.Utility_DisplayArrayInTable(Fuel_SourceData.Fuel_Scope1Scope3EmissionFactorsTransport_Data(), Table_Fuel_EFs_Transport[[#Headers],[Transport type]], 0)</f>
        <v>36.799999999999997</v>
      </c>
      <c r="G29" s="182" t="str" cm="1">
        <f t="array" ref="G29">Common_InputFunctions.Utility_DisplayArrayInTable(Fuel_SourceData.Fuel_Scope1Scope3EmissionFactorsTransport_Data(), Table_Fuel_EFs_Transport[[#Headers],[Transport type]], 0)</f>
        <v>kl</v>
      </c>
      <c r="H29" s="182" cm="1">
        <f t="array" ref="H29">Common_InputFunctions.Utility_DisplayArrayInTable(Fuel_SourceData.Fuel_Scope1Scope3EmissionFactorsTransport_Data(), Table_Fuel_EFs_Transport[[#Headers],[Transport type]], 0)</f>
        <v>69.599999999999994</v>
      </c>
      <c r="I29" s="182" cm="1">
        <f t="array" ref="I29">Common_InputFunctions.Utility_DisplayArrayInTable(Fuel_SourceData.Fuel_Scope1Scope3EmissionFactorsTransport_Data(), Table_Fuel_EFs_Transport[[#Headers],[Transport type]], 0)</f>
        <v>0.01</v>
      </c>
      <c r="J29" s="182" cm="1">
        <f t="array" ref="J29">Common_InputFunctions.Utility_DisplayArrayInTable(Fuel_SourceData.Fuel_Scope1Scope3EmissionFactorsTransport_Data(), Table_Fuel_EFs_Transport[[#Headers],[Transport type]], 0)</f>
        <v>0.6</v>
      </c>
      <c r="K29" s="182" cm="1">
        <f t="array" ref="K29">Common_InputFunctions.Utility_DisplayArrayInTable(Fuel_SourceData.Fuel_Scope1Scope3EmissionFactorsTransport_Data(), Table_Fuel_EFs_Transport[[#Headers],[Transport type]], 0)</f>
        <v>70.209999999999994</v>
      </c>
      <c r="L29" s="182" cm="1">
        <f t="array" ref="L29">Common_InputFunctions.Utility_DisplayArrayInTable(Fuel_SourceData.Fuel_Scope1Scope3EmissionFactorsTransport_Data(), Table_Fuel_EFs_Transport[[#Headers],[Transport type]], 0)</f>
        <v>18</v>
      </c>
    </row>
    <row r="30" spans="1:12" ht="20.100000000000001" customHeight="1" x14ac:dyDescent="0.25">
      <c r="D30" s="182" t="str" cm="1">
        <f t="array" ref="D30">Common_InputFunctions.Utility_DisplayArrayInTable(Fuel_SourceData.Fuel_Scope1Scope3EmissionFactorsTransport_Data(), Table_Fuel_EFs_Transport[[#Headers],[Transport type]], 0)</f>
        <v>Aviation</v>
      </c>
      <c r="E30" s="182" t="str" cm="1">
        <f t="array" ref="E30">Common_InputFunctions.Utility_DisplayArrayInTable(Fuel_SourceData.Fuel_Scope1Scope3EmissionFactorsTransport_Data(), Table_Fuel_EFs_Transport[[#Headers],[Transport type]], 0)</f>
        <v>Renewable aviation kerosene</v>
      </c>
      <c r="F30" s="182" cm="1">
        <f t="array" ref="F30">Common_InputFunctions.Utility_DisplayArrayInTable(Fuel_SourceData.Fuel_Scope1Scope3EmissionFactorsTransport_Data(), Table_Fuel_EFs_Transport[[#Headers],[Transport type]], 0)</f>
        <v>36.799999999999997</v>
      </c>
      <c r="G30" s="182" t="str" cm="1">
        <f t="array" ref="G30">Common_InputFunctions.Utility_DisplayArrayInTable(Fuel_SourceData.Fuel_Scope1Scope3EmissionFactorsTransport_Data(), Table_Fuel_EFs_Transport[[#Headers],[Transport type]], 0)</f>
        <v>kl</v>
      </c>
      <c r="H30" s="182" cm="1">
        <f t="array" ref="H30">Common_InputFunctions.Utility_DisplayArrayInTable(Fuel_SourceData.Fuel_Scope1Scope3EmissionFactorsTransport_Data(), Table_Fuel_EFs_Transport[[#Headers],[Transport type]], 0)</f>
        <v>0</v>
      </c>
      <c r="I30" s="182" cm="1">
        <f t="array" ref="I30">Common_InputFunctions.Utility_DisplayArrayInTable(Fuel_SourceData.Fuel_Scope1Scope3EmissionFactorsTransport_Data(), Table_Fuel_EFs_Transport[[#Headers],[Transport type]], 0)</f>
        <v>0.01</v>
      </c>
      <c r="J30" s="182" cm="1">
        <f t="array" ref="J30">Common_InputFunctions.Utility_DisplayArrayInTable(Fuel_SourceData.Fuel_Scope1Scope3EmissionFactorsTransport_Data(), Table_Fuel_EFs_Transport[[#Headers],[Transport type]], 0)</f>
        <v>0.6</v>
      </c>
      <c r="K30" s="182" cm="1">
        <f t="array" ref="K30">Common_InputFunctions.Utility_DisplayArrayInTable(Fuel_SourceData.Fuel_Scope1Scope3EmissionFactorsTransport_Data(), Table_Fuel_EFs_Transport[[#Headers],[Transport type]], 0)</f>
        <v>0.61</v>
      </c>
      <c r="L30" s="182" t="str" cm="1">
        <f t="array" ref="L30">Common_InputFunctions.Utility_DisplayArrayInTable(Fuel_SourceData.Fuel_Scope1Scope3EmissionFactorsTransport_Data(), Table_Fuel_EFs_Transport[[#Headers],[Transport type]], 0)</f>
        <v>NE</v>
      </c>
    </row>
    <row r="31" spans="1:12" ht="20.100000000000001" customHeight="1" x14ac:dyDescent="0.25">
      <c r="D31" s="182" t="str" cm="1">
        <f t="array" ref="D31">Common_InputFunctions.Utility_DisplayArrayInTable(Fuel_SourceData.Fuel_Scope1Scope3EmissionFactorsTransport_Data(), Table_Fuel_EFs_Transport[[#Headers],[Transport type]], 0)</f>
        <v>Vessels</v>
      </c>
      <c r="E31" s="182" t="str" cm="1">
        <f t="array" ref="E31">Common_InputFunctions.Utility_DisplayArrayInTable(Fuel_SourceData.Fuel_Scope1Scope3EmissionFactorsTransport_Data(), Table_Fuel_EFs_Transport[[#Headers],[Transport type]], 0)</f>
        <v>Gasoline</v>
      </c>
      <c r="F31" s="182" cm="1">
        <f t="array" ref="F31">Common_InputFunctions.Utility_DisplayArrayInTable(Fuel_SourceData.Fuel_Scope1Scope3EmissionFactorsTransport_Data(), Table_Fuel_EFs_Transport[[#Headers],[Transport type]], 0)</f>
        <v>34.200000000000003</v>
      </c>
      <c r="G31" s="182" t="str" cm="1">
        <f t="array" ref="G31">Common_InputFunctions.Utility_DisplayArrayInTable(Fuel_SourceData.Fuel_Scope1Scope3EmissionFactorsTransport_Data(), Table_Fuel_EFs_Transport[[#Headers],[Transport type]], 0)</f>
        <v>kL</v>
      </c>
      <c r="H31" s="182" cm="1">
        <f t="array" ref="H31">Common_InputFunctions.Utility_DisplayArrayInTable(Fuel_SourceData.Fuel_Scope1Scope3EmissionFactorsTransport_Data(), Table_Fuel_EFs_Transport[[#Headers],[Transport type]], 0)</f>
        <v>67.400000000000006</v>
      </c>
      <c r="I31" s="182" cm="1">
        <f t="array" ref="I31">Common_InputFunctions.Utility_DisplayArrayInTable(Fuel_SourceData.Fuel_Scope1Scope3EmissionFactorsTransport_Data(), Table_Fuel_EFs_Transport[[#Headers],[Transport type]], 0)</f>
        <v>10.1</v>
      </c>
      <c r="J31" s="182" cm="1">
        <f t="array" ref="J31">Common_InputFunctions.Utility_DisplayArrayInTable(Fuel_SourceData.Fuel_Scope1Scope3EmissionFactorsTransport_Data(), Table_Fuel_EFs_Transport[[#Headers],[Transport type]], 0)</f>
        <v>0.3</v>
      </c>
      <c r="K31" s="182" t="str" cm="1">
        <f t="array" ref="K31">Common_InputFunctions.Utility_DisplayArrayInTable(Fuel_SourceData.Fuel_Scope1Scope3EmissionFactorsTransport_Data(), Table_Fuel_EFs_Transport[[#Headers],[Transport type]], 0)</f>
        <v/>
      </c>
      <c r="L31" s="182" cm="1">
        <f t="array" ref="L31">Common_InputFunctions.Utility_DisplayArrayInTable(Fuel_SourceData.Fuel_Scope1Scope3EmissionFactorsTransport_Data(), Table_Fuel_EFs_Transport[[#Headers],[Transport type]], 0)</f>
        <v>17.2</v>
      </c>
    </row>
    <row r="32" spans="1:12" ht="20.100000000000001" customHeight="1" x14ac:dyDescent="0.25">
      <c r="D32" s="183" t="str" cm="1">
        <f t="array" ref="D32">Common_InputFunctions.Utility_DisplayArrayInTable(Fuel_SourceData.Fuel_Scope1Scope3EmissionFactorsTransport_Data(), Table_Fuel_EFs_Transport[[#Headers],[Transport type]], 0)</f>
        <v>Vessels</v>
      </c>
      <c r="E32" s="183" t="str" cm="1">
        <f t="array" ref="E32">Common_InputFunctions.Utility_DisplayArrayInTable(Fuel_SourceData.Fuel_Scope1Scope3EmissionFactorsTransport_Data(), Table_Fuel_EFs_Transport[[#Headers],[Transport type]], 0)</f>
        <v>Diesel oil</v>
      </c>
      <c r="F32" s="183" cm="1">
        <f t="array" ref="F32">Common_InputFunctions.Utility_DisplayArrayInTable(Fuel_SourceData.Fuel_Scope1Scope3EmissionFactorsTransport_Data(), Table_Fuel_EFs_Transport[[#Headers],[Transport type]], 0)</f>
        <v>38.6</v>
      </c>
      <c r="G32" s="183" t="str" cm="1">
        <f t="array" ref="G32">Common_InputFunctions.Utility_DisplayArrayInTable(Fuel_SourceData.Fuel_Scope1Scope3EmissionFactorsTransport_Data(), Table_Fuel_EFs_Transport[[#Headers],[Transport type]], 0)</f>
        <v>kL</v>
      </c>
      <c r="H32" s="183" cm="1">
        <f t="array" ref="H32">Common_InputFunctions.Utility_DisplayArrayInTable(Fuel_SourceData.Fuel_Scope1Scope3EmissionFactorsTransport_Data(), Table_Fuel_EFs_Transport[[#Headers],[Transport type]], 0)</f>
        <v>69.900000000000006</v>
      </c>
      <c r="I32" s="183" cm="1">
        <f t="array" ref="I32">Common_InputFunctions.Utility_DisplayArrayInTable(Fuel_SourceData.Fuel_Scope1Scope3EmissionFactorsTransport_Data(), Table_Fuel_EFs_Transport[[#Headers],[Transport type]], 0)</f>
        <v>0.2</v>
      </c>
      <c r="J32" s="183" cm="1">
        <f t="array" ref="J32">Common_InputFunctions.Utility_DisplayArrayInTable(Fuel_SourceData.Fuel_Scope1Scope3EmissionFactorsTransport_Data(), Table_Fuel_EFs_Transport[[#Headers],[Transport type]], 0)</f>
        <v>0.5</v>
      </c>
      <c r="K32" s="183" t="str" cm="1">
        <f t="array" ref="K32">Common_InputFunctions.Utility_DisplayArrayInTable(Fuel_SourceData.Fuel_Scope1Scope3EmissionFactorsTransport_Data(), Table_Fuel_EFs_Transport[[#Headers],[Transport type]], 0)</f>
        <v/>
      </c>
      <c r="L32" s="183" cm="1">
        <f t="array" ref="L32">Common_InputFunctions.Utility_DisplayArrayInTable(Fuel_SourceData.Fuel_Scope1Scope3EmissionFactorsTransport_Data(), Table_Fuel_EFs_Transport[[#Headers],[Transport type]], 0)</f>
        <v>17.3</v>
      </c>
    </row>
    <row r="33" spans="4:12" ht="20.100000000000001" customHeight="1" x14ac:dyDescent="0.25">
      <c r="D33" s="183" t="str" cm="1">
        <f t="array" ref="D33">Common_InputFunctions.Utility_DisplayArrayInTable(Fuel_SourceData.Fuel_Scope1Scope3EmissionFactorsTransport_Data(), Table_Fuel_EFs_Transport[[#Headers],[Transport type]], 0)</f>
        <v>Vessels</v>
      </c>
      <c r="E33" s="183" t="str" cm="1">
        <f t="array" ref="E33">Common_InputFunctions.Utility_DisplayArrayInTable(Fuel_SourceData.Fuel_Scope1Scope3EmissionFactorsTransport_Data(), Table_Fuel_EFs_Transport[[#Headers],[Transport type]], 0)</f>
        <v>Fuel Oil</v>
      </c>
      <c r="F33" s="183" cm="1">
        <f t="array" ref="F33">Common_InputFunctions.Utility_DisplayArrayInTable(Fuel_SourceData.Fuel_Scope1Scope3EmissionFactorsTransport_Data(), Table_Fuel_EFs_Transport[[#Headers],[Transport type]], 0)</f>
        <v>39.700000000000003</v>
      </c>
      <c r="G33" s="183" t="str" cm="1">
        <f t="array" ref="G33">Common_InputFunctions.Utility_DisplayArrayInTable(Fuel_SourceData.Fuel_Scope1Scope3EmissionFactorsTransport_Data(), Table_Fuel_EFs_Transport[[#Headers],[Transport type]], 0)</f>
        <v>kL</v>
      </c>
      <c r="H33" s="183" cm="1">
        <f t="array" ref="H33">Common_InputFunctions.Utility_DisplayArrayInTable(Fuel_SourceData.Fuel_Scope1Scope3EmissionFactorsTransport_Data(), Table_Fuel_EFs_Transport[[#Headers],[Transport type]], 0)</f>
        <v>73.599999999999994</v>
      </c>
      <c r="I33" s="183" cm="1">
        <f t="array" ref="I33">Common_InputFunctions.Utility_DisplayArrayInTable(Fuel_SourceData.Fuel_Scope1Scope3EmissionFactorsTransport_Data(), Table_Fuel_EFs_Transport[[#Headers],[Transport type]], 0)</f>
        <v>0.2</v>
      </c>
      <c r="J33" s="183" cm="1">
        <f t="array" ref="J33">Common_InputFunctions.Utility_DisplayArrayInTable(Fuel_SourceData.Fuel_Scope1Scope3EmissionFactorsTransport_Data(), Table_Fuel_EFs_Transport[[#Headers],[Transport type]], 0)</f>
        <v>0.5</v>
      </c>
      <c r="K33" s="183" t="str" cm="1">
        <f t="array" ref="K33">Common_InputFunctions.Utility_DisplayArrayInTable(Fuel_SourceData.Fuel_Scope1Scope3EmissionFactorsTransport_Data(), Table_Fuel_EFs_Transport[[#Headers],[Transport type]], 0)</f>
        <v/>
      </c>
      <c r="L33" s="183" cm="1">
        <f t="array" ref="L33">Common_InputFunctions.Utility_DisplayArrayInTable(Fuel_SourceData.Fuel_Scope1Scope3EmissionFactorsTransport_Data(), Table_Fuel_EFs_Transport[[#Headers],[Transport type]], 0)</f>
        <v>18</v>
      </c>
    </row>
    <row r="34" spans="4:12" ht="20.100000000000001" customHeight="1" x14ac:dyDescent="0.25">
      <c r="D34" s="183" t="str" cm="1">
        <f t="array" ref="D34">Common_InputFunctions.Utility_DisplayArrayInTable(Fuel_SourceData.Fuel_Scope1Scope3EmissionFactorsTransport_Data(), Table_Fuel_EFs_Transport[[#Headers],[Transport type]], 0)</f>
        <v>Off-road Agriculture and forestry equipment</v>
      </c>
      <c r="E34" s="183" t="str" cm="1">
        <f t="array" ref="E34">Common_InputFunctions.Utility_DisplayArrayInTable(Fuel_SourceData.Fuel_Scope1Scope3EmissionFactorsTransport_Data(), Table_Fuel_EFs_Transport[[#Headers],[Transport type]], 0)</f>
        <v>Diesel oil</v>
      </c>
      <c r="F34" s="183" cm="1">
        <f t="array" ref="F34">Common_InputFunctions.Utility_DisplayArrayInTable(Fuel_SourceData.Fuel_Scope1Scope3EmissionFactorsTransport_Data(), Table_Fuel_EFs_Transport[[#Headers],[Transport type]], 0)</f>
        <v>38.6</v>
      </c>
      <c r="G34" s="183" t="str" cm="1">
        <f t="array" ref="G34">Common_InputFunctions.Utility_DisplayArrayInTable(Fuel_SourceData.Fuel_Scope1Scope3EmissionFactorsTransport_Data(), Table_Fuel_EFs_Transport[[#Headers],[Transport type]], 0)</f>
        <v>kL</v>
      </c>
      <c r="H34" s="183" cm="1">
        <f t="array" ref="H34">Common_InputFunctions.Utility_DisplayArrayInTable(Fuel_SourceData.Fuel_Scope1Scope3EmissionFactorsTransport_Data(), Table_Fuel_EFs_Transport[[#Headers],[Transport type]], 0)</f>
        <v>69.900000000000006</v>
      </c>
      <c r="I34" s="183" cm="1">
        <f t="array" ref="I34">Common_InputFunctions.Utility_DisplayArrayInTable(Fuel_SourceData.Fuel_Scope1Scope3EmissionFactorsTransport_Data(), Table_Fuel_EFs_Transport[[#Headers],[Transport type]], 0)</f>
        <v>0.3</v>
      </c>
      <c r="J34" s="183" cm="1">
        <f t="array" ref="J34">Common_InputFunctions.Utility_DisplayArrayInTable(Fuel_SourceData.Fuel_Scope1Scope3EmissionFactorsTransport_Data(), Table_Fuel_EFs_Transport[[#Headers],[Transport type]], 0)</f>
        <v>0.5</v>
      </c>
      <c r="K34" s="183" t="str" cm="1">
        <f t="array" ref="K34">Common_InputFunctions.Utility_DisplayArrayInTable(Fuel_SourceData.Fuel_Scope1Scope3EmissionFactorsTransport_Data(), Table_Fuel_EFs_Transport[[#Headers],[Transport type]], 0)</f>
        <v/>
      </c>
      <c r="L34" s="183" cm="1">
        <f t="array" ref="L34">Common_InputFunctions.Utility_DisplayArrayInTable(Fuel_SourceData.Fuel_Scope1Scope3EmissionFactorsTransport_Data(), Table_Fuel_EFs_Transport[[#Headers],[Transport type]], 0)</f>
        <v>17.3</v>
      </c>
    </row>
    <row r="35" spans="4:12" ht="20.100000000000001" customHeight="1" x14ac:dyDescent="0.25"/>
    <row r="36" spans="4:12" ht="20.100000000000001" customHeight="1" x14ac:dyDescent="0.25"/>
    <row r="37" spans="4:12" ht="20.100000000000001" customHeight="1" x14ac:dyDescent="0.25">
      <c r="D37" s="6" t="str" cm="1">
        <f t="array" ref="D37">Fuel_SourceData.Fuel_Scope1Scope3EmissionFactorsTransportOffRoad_Title()</f>
        <v>Fuel scope 1 and 3 emission factors - Off-road equipment and vessels</v>
      </c>
    </row>
    <row r="38" spans="4:12" ht="20.100000000000001" customHeight="1" x14ac:dyDescent="0.25">
      <c r="D38" s="5" t="str" cm="1">
        <f t="array" ref="D38">Fuel_SourceData.Fuel_Scope1Scope3EmissionFactorsTransportOffRoad_Source()</f>
        <v>VEERG 2026: Table A.4.2.1</v>
      </c>
    </row>
    <row r="39" spans="4:12" ht="20.100000000000001" customHeight="1" x14ac:dyDescent="0.25">
      <c r="D39" s="37" t="s">
        <v>349</v>
      </c>
      <c r="E39" s="37" t="s">
        <v>350</v>
      </c>
      <c r="F39" s="37" t="s">
        <v>351</v>
      </c>
      <c r="G39" s="37" t="s">
        <v>352</v>
      </c>
      <c r="H39" s="37" t="s">
        <v>353</v>
      </c>
      <c r="I39" s="37" t="s">
        <v>354</v>
      </c>
      <c r="J39" s="37" t="s">
        <v>355</v>
      </c>
    </row>
    <row r="40" spans="4:12" ht="20.100000000000001" customHeight="1" x14ac:dyDescent="0.25">
      <c r="D40" s="37" t="str" cm="1">
        <f t="array" ref="D40">Common_InputFunctions.Utility_DisplayArrayInTable(Fuel_SourceData.Fuel_Scope1Scope3EmissionFactorsTransportOffRoad_Data(), Table_SourceData_Fuel_TransportOffroad[[#Headers],[Transport type t]],0)</f>
        <v>Vessel</v>
      </c>
      <c r="E40" s="37" t="str" cm="1">
        <f t="array" ref="E40">Common_InputFunctions.Utility_DisplayArrayInTable(Fuel_SourceData.Fuel_Scope1Scope3EmissionFactorsTransportOffRoad_Data(), Table_SourceData_Fuel_TransportOffroad[[#Headers],[Transport type t]],0)</f>
        <v>Petrol</v>
      </c>
      <c r="F40" s="37" cm="1">
        <f t="array" ref="F40">Common_InputFunctions.Utility_DisplayArrayInTable(Fuel_SourceData.Fuel_Scope1Scope3EmissionFactorsTransportOffRoad_Data(), Table_SourceData_Fuel_TransportOffroad[[#Headers],[Transport type t]],0)</f>
        <v>34.200000000000003</v>
      </c>
      <c r="G40" s="37" cm="1">
        <f t="array" ref="G40">Common_InputFunctions.Utility_DisplayArrayInTable(Fuel_SourceData.Fuel_Scope1Scope3EmissionFactorsTransportOffRoad_Data(), Table_SourceData_Fuel_TransportOffroad[[#Headers],[Transport type t]],0)</f>
        <v>67.400000000000006</v>
      </c>
      <c r="H40" s="37" cm="1">
        <f t="array" ref="H40">Common_InputFunctions.Utility_DisplayArrayInTable(Fuel_SourceData.Fuel_Scope1Scope3EmissionFactorsTransportOffRoad_Data(), Table_SourceData_Fuel_TransportOffroad[[#Headers],[Transport type t]],0)</f>
        <v>10.1</v>
      </c>
      <c r="I40" s="37" cm="1">
        <f t="array" ref="I40">Common_InputFunctions.Utility_DisplayArrayInTable(Fuel_SourceData.Fuel_Scope1Scope3EmissionFactorsTransportOffRoad_Data(), Table_SourceData_Fuel_TransportOffroad[[#Headers],[Transport type t]],0)</f>
        <v>0.3</v>
      </c>
      <c r="J40" s="37" cm="1">
        <f t="array" ref="J40">Common_InputFunctions.Utility_DisplayArrayInTable(Fuel_SourceData.Fuel_Scope1Scope3EmissionFactorsTransportOffRoad_Data(), Table_SourceData_Fuel_TransportOffroad[[#Headers],[Transport type t]],0)</f>
        <v>17.2</v>
      </c>
    </row>
    <row r="41" spans="4:12" ht="20.100000000000001" customHeight="1" x14ac:dyDescent="0.25">
      <c r="D41" s="1" t="str" cm="1">
        <f t="array" ref="D41">Common_InputFunctions.Utility_DisplayArrayInTable(Fuel_SourceData.Fuel_Scope1Scope3EmissionFactorsTransportOffRoad_Data(), Table_SourceData_Fuel_TransportOffroad[[#Headers],[Transport type t]],0)</f>
        <v>Vessel</v>
      </c>
      <c r="E41" s="37" t="str" cm="1">
        <f t="array" ref="E41">Common_InputFunctions.Utility_DisplayArrayInTable(Fuel_SourceData.Fuel_Scope1Scope3EmissionFactorsTransportOffRoad_Data(), Table_SourceData_Fuel_TransportOffroad[[#Headers],[Transport type t]],0)</f>
        <v>Diesel</v>
      </c>
      <c r="F41" s="37" cm="1">
        <f t="array" ref="F41">Common_InputFunctions.Utility_DisplayArrayInTable(Fuel_SourceData.Fuel_Scope1Scope3EmissionFactorsTransportOffRoad_Data(), Table_SourceData_Fuel_TransportOffroad[[#Headers],[Transport type t]],0)</f>
        <v>38.6</v>
      </c>
      <c r="G41" s="37" cm="1">
        <f t="array" ref="G41">Common_InputFunctions.Utility_DisplayArrayInTable(Fuel_SourceData.Fuel_Scope1Scope3EmissionFactorsTransportOffRoad_Data(), Table_SourceData_Fuel_TransportOffroad[[#Headers],[Transport type t]],0)</f>
        <v>69.900000000000006</v>
      </c>
      <c r="H41" s="37" cm="1">
        <f t="array" ref="H41">Common_InputFunctions.Utility_DisplayArrayInTable(Fuel_SourceData.Fuel_Scope1Scope3EmissionFactorsTransportOffRoad_Data(), Table_SourceData_Fuel_TransportOffroad[[#Headers],[Transport type t]],0)</f>
        <v>0.2</v>
      </c>
      <c r="I41" s="37" cm="1">
        <f t="array" ref="I41">Common_InputFunctions.Utility_DisplayArrayInTable(Fuel_SourceData.Fuel_Scope1Scope3EmissionFactorsTransportOffRoad_Data(), Table_SourceData_Fuel_TransportOffroad[[#Headers],[Transport type t]],0)</f>
        <v>0.5</v>
      </c>
      <c r="J41" s="37" cm="1">
        <f t="array" ref="J41">Common_InputFunctions.Utility_DisplayArrayInTable(Fuel_SourceData.Fuel_Scope1Scope3EmissionFactorsTransportOffRoad_Data(), Table_SourceData_Fuel_TransportOffroad[[#Headers],[Transport type t]],0)</f>
        <v>17.3</v>
      </c>
    </row>
    <row r="42" spans="4:12" ht="20.100000000000001" customHeight="1" x14ac:dyDescent="0.25">
      <c r="D42" s="1" t="str" cm="1">
        <f t="array" ref="D42">Common_InputFunctions.Utility_DisplayArrayInTable(Fuel_SourceData.Fuel_Scope1Scope3EmissionFactorsTransportOffRoad_Data(), Table_SourceData_Fuel_TransportOffroad[[#Headers],[Transport type t]],0)</f>
        <v>Vessel</v>
      </c>
      <c r="E42" s="37" t="str" cm="1">
        <f t="array" ref="E42">Common_InputFunctions.Utility_DisplayArrayInTable(Fuel_SourceData.Fuel_Scope1Scope3EmissionFactorsTransportOffRoad_Data(), Table_SourceData_Fuel_TransportOffroad[[#Headers],[Transport type t]],0)</f>
        <v>Fuel Oil</v>
      </c>
      <c r="F42" s="37" cm="1">
        <f t="array" ref="F42">Common_InputFunctions.Utility_DisplayArrayInTable(Fuel_SourceData.Fuel_Scope1Scope3EmissionFactorsTransportOffRoad_Data(), Table_SourceData_Fuel_TransportOffroad[[#Headers],[Transport type t]],0)</f>
        <v>39.700000000000003</v>
      </c>
      <c r="G42" s="37" cm="1">
        <f t="array" ref="G42">Common_InputFunctions.Utility_DisplayArrayInTable(Fuel_SourceData.Fuel_Scope1Scope3EmissionFactorsTransportOffRoad_Data(), Table_SourceData_Fuel_TransportOffroad[[#Headers],[Transport type t]],0)</f>
        <v>73.599999999999994</v>
      </c>
      <c r="H42" s="37" cm="1">
        <f t="array" ref="H42">Common_InputFunctions.Utility_DisplayArrayInTable(Fuel_SourceData.Fuel_Scope1Scope3EmissionFactorsTransportOffRoad_Data(), Table_SourceData_Fuel_TransportOffroad[[#Headers],[Transport type t]],0)</f>
        <v>0.2</v>
      </c>
      <c r="I42" s="37" cm="1">
        <f t="array" ref="I42">Common_InputFunctions.Utility_DisplayArrayInTable(Fuel_SourceData.Fuel_Scope1Scope3EmissionFactorsTransportOffRoad_Data(), Table_SourceData_Fuel_TransportOffroad[[#Headers],[Transport type t]],0)</f>
        <v>0.5</v>
      </c>
      <c r="J42" s="37" cm="1">
        <f t="array" ref="J42">Common_InputFunctions.Utility_DisplayArrayInTable(Fuel_SourceData.Fuel_Scope1Scope3EmissionFactorsTransportOffRoad_Data(), Table_SourceData_Fuel_TransportOffroad[[#Headers],[Transport type t]],0)</f>
        <v>18</v>
      </c>
    </row>
    <row r="43" spans="4:12" ht="20.100000000000001" customHeight="1" x14ac:dyDescent="0.25">
      <c r="D43" s="1" t="str" cm="1">
        <f t="array" ref="D43">Common_InputFunctions.Utility_DisplayArrayInTable(Fuel_SourceData.Fuel_Scope1Scope3EmissionFactorsTransportOffRoad_Data(), Table_SourceData_Fuel_TransportOffroad[[#Headers],[Transport type t]],0)</f>
        <v>Off-road Agriculture and forestry equipment</v>
      </c>
      <c r="E43" s="37" t="str" cm="1">
        <f t="array" ref="E43">Common_InputFunctions.Utility_DisplayArrayInTable(Fuel_SourceData.Fuel_Scope1Scope3EmissionFactorsTransportOffRoad_Data(), Table_SourceData_Fuel_TransportOffroad[[#Headers],[Transport type t]],0)</f>
        <v>Diesel</v>
      </c>
      <c r="F43" s="37" cm="1">
        <f t="array" ref="F43">Common_InputFunctions.Utility_DisplayArrayInTable(Fuel_SourceData.Fuel_Scope1Scope3EmissionFactorsTransportOffRoad_Data(), Table_SourceData_Fuel_TransportOffroad[[#Headers],[Transport type t]],0)</f>
        <v>38.6</v>
      </c>
      <c r="G43" s="37" cm="1">
        <f t="array" ref="G43">Common_InputFunctions.Utility_DisplayArrayInTable(Fuel_SourceData.Fuel_Scope1Scope3EmissionFactorsTransportOffRoad_Data(), Table_SourceData_Fuel_TransportOffroad[[#Headers],[Transport type t]],0)</f>
        <v>69.900000000000006</v>
      </c>
      <c r="H43" s="37" cm="1">
        <f t="array" ref="H43">Common_InputFunctions.Utility_DisplayArrayInTable(Fuel_SourceData.Fuel_Scope1Scope3EmissionFactorsTransportOffRoad_Data(), Table_SourceData_Fuel_TransportOffroad[[#Headers],[Transport type t]],0)</f>
        <v>0.3</v>
      </c>
      <c r="I43" s="37" cm="1">
        <f t="array" ref="I43">Common_InputFunctions.Utility_DisplayArrayInTable(Fuel_SourceData.Fuel_Scope1Scope3EmissionFactorsTransportOffRoad_Data(), Table_SourceData_Fuel_TransportOffroad[[#Headers],[Transport type t]],0)</f>
        <v>0.5</v>
      </c>
      <c r="J43" s="37" cm="1">
        <f t="array" ref="J43">Common_InputFunctions.Utility_DisplayArrayInTable(Fuel_SourceData.Fuel_Scope1Scope3EmissionFactorsTransportOffRoad_Data(), Table_SourceData_Fuel_TransportOffroad[[#Headers],[Transport type t]],0)</f>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6" t="str" cm="1">
        <f t="array" ref="D49">Fuel_SourceData.Fuel_Scope1Scope3EmissionFactorsStationaryLiquid_Title()</f>
        <v>Fuel scope 1 and 3 emission factors - Stationary liquid fuels</v>
      </c>
      <c r="E49" s="110"/>
      <c r="F49" s="110"/>
      <c r="G49" s="110"/>
      <c r="H49" s="110"/>
      <c r="I49" s="110"/>
      <c r="J49" s="110"/>
      <c r="K49" s="110"/>
      <c r="L49" s="110"/>
    </row>
    <row r="50" spans="4:12" ht="20.100000000000001" customHeight="1" x14ac:dyDescent="0.25">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110"/>
      <c r="F50" s="110"/>
      <c r="G50" s="110"/>
      <c r="H50" s="110"/>
      <c r="I50" s="110"/>
      <c r="J50" s="110"/>
      <c r="K50" s="110"/>
      <c r="L50" s="110"/>
    </row>
    <row r="51" spans="4:12" ht="20.100000000000001" customHeight="1" x14ac:dyDescent="0.25">
      <c r="D51" s="5" t="str" cm="1">
        <f t="array" ref="D51">Fuel_SourceData.Fuel_Scope1Scope3EmissionFactorsStationaryLiquid_Source()</f>
        <v>Australian National Greenhouse Accounts Factors 2025 - Table 8</v>
      </c>
      <c r="E51" s="110"/>
      <c r="F51" s="110"/>
      <c r="G51" s="110"/>
      <c r="H51" s="110"/>
      <c r="I51" s="110"/>
      <c r="J51" s="110"/>
      <c r="K51" s="110"/>
      <c r="L51" s="110"/>
    </row>
    <row r="52" spans="4:12" ht="20.100000000000001" customHeight="1" x14ac:dyDescent="0.25">
      <c r="D52" s="53" t="str" cm="1">
        <f t="array" ref="D52">"⚠️" &amp; Fuel_SourceData.Fuel_Scope1Scope3EmissionFactorsStationaryLiquid_Variation()</f>
        <v>⚠️VARIATION OF SOURCE DATA: 'NE' values returned as zero for calculations.</v>
      </c>
      <c r="E52" s="110"/>
      <c r="F52" s="110"/>
      <c r="G52" s="110"/>
      <c r="H52" s="110"/>
      <c r="I52" s="110"/>
      <c r="J52" s="110"/>
      <c r="K52" s="110"/>
      <c r="L52" s="110"/>
    </row>
    <row r="53" spans="4:12" ht="20.100000000000001" customHeight="1" x14ac:dyDescent="0.25">
      <c r="D53" s="184" t="s">
        <v>341</v>
      </c>
      <c r="E53" s="181" t="s">
        <v>342</v>
      </c>
      <c r="F53" s="184" t="s">
        <v>343</v>
      </c>
      <c r="G53" s="181" t="s">
        <v>344</v>
      </c>
      <c r="H53" s="181" t="s">
        <v>345</v>
      </c>
      <c r="I53" s="181" t="s">
        <v>346</v>
      </c>
      <c r="J53" s="181" t="s">
        <v>347</v>
      </c>
      <c r="K53" s="181" t="s">
        <v>348</v>
      </c>
      <c r="L53" s="110"/>
    </row>
    <row r="54" spans="4:12" ht="20.100000000000001" customHeight="1" x14ac:dyDescent="0.25">
      <c r="D54" s="185"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185" cm="1">
        <f t="array" ref="E54">Common_InputFunctions.Utility_DisplayArrayInTable(Fuel_SourceData.Fuel_Scope1Scope3EmissionFactorsStationaryLiquid_Data(), Table_Fuel_EFs_StationaryLiquid[[#Headers],[Fuel combusted]],0)</f>
        <v>38.799999999999997</v>
      </c>
      <c r="F54" s="185" t="str" cm="1">
        <f t="array" ref="F54">Common_InputFunctions.Utility_DisplayArrayInTable(Fuel_SourceData.Fuel_Scope1Scope3EmissionFactorsStationaryLiquid_Data(), Table_Fuel_EFs_StationaryLiquid[[#Headers],[Fuel combusted]],0)</f>
        <v>kl</v>
      </c>
      <c r="G54" s="185" cm="1">
        <f t="array" ref="G54">Common_InputFunctions.Utility_DisplayArrayInTable(Fuel_SourceData.Fuel_Scope1Scope3EmissionFactorsStationaryLiquid_Data(), Table_Fuel_EFs_StationaryLiquid[[#Headers],[Fuel combusted]],0)</f>
        <v>13.9</v>
      </c>
      <c r="H54" s="185" cm="1">
        <f t="array" ref="H54">Common_InputFunctions.Utility_DisplayArrayInTable(Fuel_SourceData.Fuel_Scope1Scope3EmissionFactorsStationaryLiquid_Data(), Table_Fuel_EFs_StationaryLiquid[[#Headers],[Fuel combusted]],0)</f>
        <v>0</v>
      </c>
      <c r="I54" s="185" cm="1">
        <f t="array" ref="I54">Common_InputFunctions.Utility_DisplayArrayInTable(Fuel_SourceData.Fuel_Scope1Scope3EmissionFactorsStationaryLiquid_Data(), Table_Fuel_EFs_StationaryLiquid[[#Headers],[Fuel combusted]],0)</f>
        <v>0</v>
      </c>
      <c r="J54" s="185" cm="1">
        <f t="array" ref="J54">Common_InputFunctions.Utility_DisplayArrayInTable(Fuel_SourceData.Fuel_Scope1Scope3EmissionFactorsStationaryLiquid_Data(), Table_Fuel_EFs_StationaryLiquid[[#Headers],[Fuel combusted]],0)</f>
        <v>13.9</v>
      </c>
      <c r="K54" s="185" cm="1">
        <f t="array" ref="K54">Common_InputFunctions.Utility_DisplayArrayInTable(Fuel_SourceData.Fuel_Scope1Scope3EmissionFactorsStationaryLiquid_Data(), Table_Fuel_EFs_StationaryLiquid[[#Headers],[Fuel combusted]],0)</f>
        <v>18</v>
      </c>
      <c r="L54" s="110"/>
    </row>
    <row r="55" spans="4:12" ht="20.100000000000001" customHeight="1" x14ac:dyDescent="0.25">
      <c r="D55" s="185" t="str" cm="1">
        <f t="array" ref="D55">Common_InputFunctions.Utility_DisplayArrayInTable(Fuel_SourceData.Fuel_Scope1Scope3EmissionFactorsStationaryLiquid_Data(), Table_Fuel_EFs_StationaryLiquid[[#Headers],[Fuel combusted]],0)</f>
        <v>Petroleum based greases</v>
      </c>
      <c r="E55" s="185" cm="1">
        <f t="array" ref="E55">Common_InputFunctions.Utility_DisplayArrayInTable(Fuel_SourceData.Fuel_Scope1Scope3EmissionFactorsStationaryLiquid_Data(), Table_Fuel_EFs_StationaryLiquid[[#Headers],[Fuel combusted]],0)</f>
        <v>38.799999999999997</v>
      </c>
      <c r="F55" s="185" t="str" cm="1">
        <f t="array" ref="F55">Common_InputFunctions.Utility_DisplayArrayInTable(Fuel_SourceData.Fuel_Scope1Scope3EmissionFactorsStationaryLiquid_Data(), Table_Fuel_EFs_StationaryLiquid[[#Headers],[Fuel combusted]],0)</f>
        <v>kl</v>
      </c>
      <c r="G55" s="185" cm="1">
        <f t="array" ref="G55">Common_InputFunctions.Utility_DisplayArrayInTable(Fuel_SourceData.Fuel_Scope1Scope3EmissionFactorsStationaryLiquid_Data(), Table_Fuel_EFs_StationaryLiquid[[#Headers],[Fuel combusted]],0)</f>
        <v>3.5</v>
      </c>
      <c r="H55" s="185" cm="1">
        <f t="array" ref="H55">Common_InputFunctions.Utility_DisplayArrayInTable(Fuel_SourceData.Fuel_Scope1Scope3EmissionFactorsStationaryLiquid_Data(), Table_Fuel_EFs_StationaryLiquid[[#Headers],[Fuel combusted]],0)</f>
        <v>0</v>
      </c>
      <c r="I55" s="185" cm="1">
        <f t="array" ref="I55">Common_InputFunctions.Utility_DisplayArrayInTable(Fuel_SourceData.Fuel_Scope1Scope3EmissionFactorsStationaryLiquid_Data(), Table_Fuel_EFs_StationaryLiquid[[#Headers],[Fuel combusted]],0)</f>
        <v>0</v>
      </c>
      <c r="J55" s="185" cm="1">
        <f t="array" ref="J55">Common_InputFunctions.Utility_DisplayArrayInTable(Fuel_SourceData.Fuel_Scope1Scope3EmissionFactorsStationaryLiquid_Data(), Table_Fuel_EFs_StationaryLiquid[[#Headers],[Fuel combusted]],0)</f>
        <v>3.5</v>
      </c>
      <c r="K55" s="185" cm="1">
        <f t="array" ref="K55">Common_InputFunctions.Utility_DisplayArrayInTable(Fuel_SourceData.Fuel_Scope1Scope3EmissionFactorsStationaryLiquid_Data(), Table_Fuel_EFs_StationaryLiquid[[#Headers],[Fuel combusted]],0)</f>
        <v>18</v>
      </c>
      <c r="L55" s="110"/>
    </row>
    <row r="56" spans="4:12" ht="20.100000000000001" customHeight="1" x14ac:dyDescent="0.25">
      <c r="D56" s="185" t="str" cm="1">
        <f t="array" ref="D56">Common_InputFunctions.Utility_DisplayArrayInTable(Fuel_SourceData.Fuel_Scope1Scope3EmissionFactorsStationaryLiquid_Data(), Table_Fuel_EFs_StationaryLiquid[[#Headers],[Fuel combusted]],0)</f>
        <v>Crude oil including crude oil condensates</v>
      </c>
      <c r="E56" s="185" cm="1">
        <f t="array" ref="E56">Common_InputFunctions.Utility_DisplayArrayInTable(Fuel_SourceData.Fuel_Scope1Scope3EmissionFactorsStationaryLiquid_Data(), Table_Fuel_EFs_StationaryLiquid[[#Headers],[Fuel combusted]],0)</f>
        <v>45.3</v>
      </c>
      <c r="F56" s="185" t="str" cm="1">
        <f t="array" ref="F56">Common_InputFunctions.Utility_DisplayArrayInTable(Fuel_SourceData.Fuel_Scope1Scope3EmissionFactorsStationaryLiquid_Data(), Table_Fuel_EFs_StationaryLiquid[[#Headers],[Fuel combusted]],0)</f>
        <v>t</v>
      </c>
      <c r="G56" s="185" cm="1">
        <f t="array" ref="G56">Common_InputFunctions.Utility_DisplayArrayInTable(Fuel_SourceData.Fuel_Scope1Scope3EmissionFactorsStationaryLiquid_Data(), Table_Fuel_EFs_StationaryLiquid[[#Headers],[Fuel combusted]],0)</f>
        <v>69.599999999999994</v>
      </c>
      <c r="H56" s="185" cm="1">
        <f t="array" ref="H56">Common_InputFunctions.Utility_DisplayArrayInTable(Fuel_SourceData.Fuel_Scope1Scope3EmissionFactorsStationaryLiquid_Data(), Table_Fuel_EFs_StationaryLiquid[[#Headers],[Fuel combusted]],0)</f>
        <v>0.08</v>
      </c>
      <c r="I56" s="185" cm="1">
        <f t="array" ref="I56">Common_InputFunctions.Utility_DisplayArrayInTable(Fuel_SourceData.Fuel_Scope1Scope3EmissionFactorsStationaryLiquid_Data(), Table_Fuel_EFs_StationaryLiquid[[#Headers],[Fuel combusted]],0)</f>
        <v>0.2</v>
      </c>
      <c r="J56" s="185" cm="1">
        <f t="array" ref="J56">Common_InputFunctions.Utility_DisplayArrayInTable(Fuel_SourceData.Fuel_Scope1Scope3EmissionFactorsStationaryLiquid_Data(), Table_Fuel_EFs_StationaryLiquid[[#Headers],[Fuel combusted]],0)</f>
        <v>69.88</v>
      </c>
      <c r="K56" s="185" t="str" cm="1">
        <f t="array" ref="K56">Common_InputFunctions.Utility_DisplayArrayInTable(Fuel_SourceData.Fuel_Scope1Scope3EmissionFactorsStationaryLiquid_Data(), Table_Fuel_EFs_StationaryLiquid[[#Headers],[Fuel combusted]],0)</f>
        <v>NE</v>
      </c>
      <c r="L56" s="110"/>
    </row>
    <row r="57" spans="4:12" ht="20.100000000000001" customHeight="1" x14ac:dyDescent="0.25">
      <c r="D57" s="185" t="str" cm="1">
        <f t="array" ref="D57">Common_InputFunctions.Utility_DisplayArrayInTable(Fuel_SourceData.Fuel_Scope1Scope3EmissionFactorsStationaryLiquid_Data(), Table_Fuel_EFs_StationaryLiquid[[#Headers],[Fuel combusted]],0)</f>
        <v>Other natural gas liquids</v>
      </c>
      <c r="E57" s="185" cm="1">
        <f t="array" ref="E57">Common_InputFunctions.Utility_DisplayArrayInTable(Fuel_SourceData.Fuel_Scope1Scope3EmissionFactorsStationaryLiquid_Data(), Table_Fuel_EFs_StationaryLiquid[[#Headers],[Fuel combusted]],0)</f>
        <v>46.5</v>
      </c>
      <c r="F57" s="185" t="str" cm="1">
        <f t="array" ref="F57">Common_InputFunctions.Utility_DisplayArrayInTable(Fuel_SourceData.Fuel_Scope1Scope3EmissionFactorsStationaryLiquid_Data(), Table_Fuel_EFs_StationaryLiquid[[#Headers],[Fuel combusted]],0)</f>
        <v>t</v>
      </c>
      <c r="G57" s="185" cm="1">
        <f t="array" ref="G57">Common_InputFunctions.Utility_DisplayArrayInTable(Fuel_SourceData.Fuel_Scope1Scope3EmissionFactorsStationaryLiquid_Data(), Table_Fuel_EFs_StationaryLiquid[[#Headers],[Fuel combusted]],0)</f>
        <v>61</v>
      </c>
      <c r="H57" s="185" cm="1">
        <f t="array" ref="H57">Common_InputFunctions.Utility_DisplayArrayInTable(Fuel_SourceData.Fuel_Scope1Scope3EmissionFactorsStationaryLiquid_Data(), Table_Fuel_EFs_StationaryLiquid[[#Headers],[Fuel combusted]],0)</f>
        <v>0.08</v>
      </c>
      <c r="I57" s="185" cm="1">
        <f t="array" ref="I57">Common_InputFunctions.Utility_DisplayArrayInTable(Fuel_SourceData.Fuel_Scope1Scope3EmissionFactorsStationaryLiquid_Data(), Table_Fuel_EFs_StationaryLiquid[[#Headers],[Fuel combusted]],0)</f>
        <v>0.2</v>
      </c>
      <c r="J57" s="185" cm="1">
        <f t="array" ref="J57">Common_InputFunctions.Utility_DisplayArrayInTable(Fuel_SourceData.Fuel_Scope1Scope3EmissionFactorsStationaryLiquid_Data(), Table_Fuel_EFs_StationaryLiquid[[#Headers],[Fuel combusted]],0)</f>
        <v>61.28</v>
      </c>
      <c r="K57" s="185" t="str" cm="1">
        <f t="array" ref="K57">Common_InputFunctions.Utility_DisplayArrayInTable(Fuel_SourceData.Fuel_Scope1Scope3EmissionFactorsStationaryLiquid_Data(), Table_Fuel_EFs_StationaryLiquid[[#Headers],[Fuel combusted]],0)</f>
        <v>NE</v>
      </c>
      <c r="L57" s="110"/>
    </row>
    <row r="58" spans="4:12" ht="20.100000000000001" customHeight="1" x14ac:dyDescent="0.25">
      <c r="D58" s="185" t="str" cm="1">
        <f t="array" ref="D58">Common_InputFunctions.Utility_DisplayArrayInTable(Fuel_SourceData.Fuel_Scope1Scope3EmissionFactorsStationaryLiquid_Data(), Table_Fuel_EFs_StationaryLiquid[[#Headers],[Fuel combusted]],0)</f>
        <v>Automotive gasoline / petrol (other than for use as fuel in an aircraft)</v>
      </c>
      <c r="E58" s="185" cm="1">
        <f t="array" ref="E58">Common_InputFunctions.Utility_DisplayArrayInTable(Fuel_SourceData.Fuel_Scope1Scope3EmissionFactorsStationaryLiquid_Data(), Table_Fuel_EFs_StationaryLiquid[[#Headers],[Fuel combusted]],0)</f>
        <v>34.200000000000003</v>
      </c>
      <c r="F58" s="185" t="str" cm="1">
        <f t="array" ref="F58">Common_InputFunctions.Utility_DisplayArrayInTable(Fuel_SourceData.Fuel_Scope1Scope3EmissionFactorsStationaryLiquid_Data(), Table_Fuel_EFs_StationaryLiquid[[#Headers],[Fuel combusted]],0)</f>
        <v>kL</v>
      </c>
      <c r="G58" s="185" cm="1">
        <f t="array" ref="G58">Common_InputFunctions.Utility_DisplayArrayInTable(Fuel_SourceData.Fuel_Scope1Scope3EmissionFactorsStationaryLiquid_Data(), Table_Fuel_EFs_StationaryLiquid[[#Headers],[Fuel combusted]],0)</f>
        <v>67.400000000000006</v>
      </c>
      <c r="H58" s="185" cm="1">
        <f t="array" ref="H58">Common_InputFunctions.Utility_DisplayArrayInTable(Fuel_SourceData.Fuel_Scope1Scope3EmissionFactorsStationaryLiquid_Data(), Table_Fuel_EFs_StationaryLiquid[[#Headers],[Fuel combusted]],0)</f>
        <v>0.2</v>
      </c>
      <c r="I58" s="185" cm="1">
        <f t="array" ref="I58">Common_InputFunctions.Utility_DisplayArrayInTable(Fuel_SourceData.Fuel_Scope1Scope3EmissionFactorsStationaryLiquid_Data(), Table_Fuel_EFs_StationaryLiquid[[#Headers],[Fuel combusted]],0)</f>
        <v>0.2</v>
      </c>
      <c r="J58" s="185" cm="1">
        <f t="array" ref="J58">Common_InputFunctions.Utility_DisplayArrayInTable(Fuel_SourceData.Fuel_Scope1Scope3EmissionFactorsStationaryLiquid_Data(), Table_Fuel_EFs_StationaryLiquid[[#Headers],[Fuel combusted]],0)</f>
        <v>67.8</v>
      </c>
      <c r="K58" s="185" cm="1">
        <f t="array" ref="K58">Common_InputFunctions.Utility_DisplayArrayInTable(Fuel_SourceData.Fuel_Scope1Scope3EmissionFactorsStationaryLiquid_Data(), Table_Fuel_EFs_StationaryLiquid[[#Headers],[Fuel combusted]],0)</f>
        <v>17.2</v>
      </c>
      <c r="L58" s="110"/>
    </row>
    <row r="59" spans="4:12" ht="20.100000000000001" customHeight="1" x14ac:dyDescent="0.25">
      <c r="D59" s="185" t="str" cm="1">
        <f t="array" ref="D59">Common_InputFunctions.Utility_DisplayArrayInTable(Fuel_SourceData.Fuel_Scope1Scope3EmissionFactorsStationaryLiquid_Data(), Table_Fuel_EFs_StationaryLiquid[[#Headers],[Fuel combusted]],0)</f>
        <v>Aviation gasoline</v>
      </c>
      <c r="E59" s="185" cm="1">
        <f t="array" ref="E59">Common_InputFunctions.Utility_DisplayArrayInTable(Fuel_SourceData.Fuel_Scope1Scope3EmissionFactorsStationaryLiquid_Data(), Table_Fuel_EFs_StationaryLiquid[[#Headers],[Fuel combusted]],0)</f>
        <v>33.1</v>
      </c>
      <c r="F59" s="185" t="str" cm="1">
        <f t="array" ref="F59">Common_InputFunctions.Utility_DisplayArrayInTable(Fuel_SourceData.Fuel_Scope1Scope3EmissionFactorsStationaryLiquid_Data(), Table_Fuel_EFs_StationaryLiquid[[#Headers],[Fuel combusted]],0)</f>
        <v>kL</v>
      </c>
      <c r="G59" s="185" cm="1">
        <f t="array" ref="G59">Common_InputFunctions.Utility_DisplayArrayInTable(Fuel_SourceData.Fuel_Scope1Scope3EmissionFactorsStationaryLiquid_Data(), Table_Fuel_EFs_StationaryLiquid[[#Headers],[Fuel combusted]],0)</f>
        <v>67</v>
      </c>
      <c r="H59" s="185" cm="1">
        <f t="array" ref="H59">Common_InputFunctions.Utility_DisplayArrayInTable(Fuel_SourceData.Fuel_Scope1Scope3EmissionFactorsStationaryLiquid_Data(), Table_Fuel_EFs_StationaryLiquid[[#Headers],[Fuel combusted]],0)</f>
        <v>0.2</v>
      </c>
      <c r="I59" s="185" cm="1">
        <f t="array" ref="I59">Common_InputFunctions.Utility_DisplayArrayInTable(Fuel_SourceData.Fuel_Scope1Scope3EmissionFactorsStationaryLiquid_Data(), Table_Fuel_EFs_StationaryLiquid[[#Headers],[Fuel combusted]],0)</f>
        <v>0.2</v>
      </c>
      <c r="J59" s="185" cm="1">
        <f t="array" ref="J59">Common_InputFunctions.Utility_DisplayArrayInTable(Fuel_SourceData.Fuel_Scope1Scope3EmissionFactorsStationaryLiquid_Data(), Table_Fuel_EFs_StationaryLiquid[[#Headers],[Fuel combusted]],0)</f>
        <v>67.400000000000006</v>
      </c>
      <c r="K59" s="185" cm="1">
        <f t="array" ref="K59">Common_InputFunctions.Utility_DisplayArrayInTable(Fuel_SourceData.Fuel_Scope1Scope3EmissionFactorsStationaryLiquid_Data(), Table_Fuel_EFs_StationaryLiquid[[#Headers],[Fuel combusted]],0)</f>
        <v>18</v>
      </c>
      <c r="L59" s="110"/>
    </row>
    <row r="60" spans="4:12" ht="20.100000000000001" customHeight="1" x14ac:dyDescent="0.25">
      <c r="D60" s="185" t="str" cm="1">
        <f t="array" ref="D60">Common_InputFunctions.Utility_DisplayArrayInTable(Fuel_SourceData.Fuel_Scope1Scope3EmissionFactorsStationaryLiquid_Data(), Table_Fuel_EFs_StationaryLiquid[[#Headers],[Fuel combusted]],0)</f>
        <v>Kerosene (other than for use as fuel in an aircraft)</v>
      </c>
      <c r="E60" s="185" cm="1">
        <f t="array" ref="E60">Common_InputFunctions.Utility_DisplayArrayInTable(Fuel_SourceData.Fuel_Scope1Scope3EmissionFactorsStationaryLiquid_Data(), Table_Fuel_EFs_StationaryLiquid[[#Headers],[Fuel combusted]],0)</f>
        <v>37.5</v>
      </c>
      <c r="F60" s="185" t="str" cm="1">
        <f t="array" ref="F60">Common_InputFunctions.Utility_DisplayArrayInTable(Fuel_SourceData.Fuel_Scope1Scope3EmissionFactorsStationaryLiquid_Data(), Table_Fuel_EFs_StationaryLiquid[[#Headers],[Fuel combusted]],0)</f>
        <v>kL</v>
      </c>
      <c r="G60" s="185" cm="1">
        <f t="array" ref="G60">Common_InputFunctions.Utility_DisplayArrayInTable(Fuel_SourceData.Fuel_Scope1Scope3EmissionFactorsStationaryLiquid_Data(), Table_Fuel_EFs_StationaryLiquid[[#Headers],[Fuel combusted]],0)</f>
        <v>68.900000000000006</v>
      </c>
      <c r="H60" s="185" cm="1">
        <f t="array" ref="H60">Common_InputFunctions.Utility_DisplayArrayInTable(Fuel_SourceData.Fuel_Scope1Scope3EmissionFactorsStationaryLiquid_Data(), Table_Fuel_EFs_StationaryLiquid[[#Headers],[Fuel combusted]],0)</f>
        <v>0.01</v>
      </c>
      <c r="I60" s="185" cm="1">
        <f t="array" ref="I60">Common_InputFunctions.Utility_DisplayArrayInTable(Fuel_SourceData.Fuel_Scope1Scope3EmissionFactorsStationaryLiquid_Data(), Table_Fuel_EFs_StationaryLiquid[[#Headers],[Fuel combusted]],0)</f>
        <v>0.2</v>
      </c>
      <c r="J60" s="185" cm="1">
        <f t="array" ref="J60">Common_InputFunctions.Utility_DisplayArrayInTable(Fuel_SourceData.Fuel_Scope1Scope3EmissionFactorsStationaryLiquid_Data(), Table_Fuel_EFs_StationaryLiquid[[#Headers],[Fuel combusted]],0)</f>
        <v>69.11</v>
      </c>
      <c r="K60" s="185" cm="1">
        <f t="array" ref="K60">Common_InputFunctions.Utility_DisplayArrayInTable(Fuel_SourceData.Fuel_Scope1Scope3EmissionFactorsStationaryLiquid_Data(), Table_Fuel_EFs_StationaryLiquid[[#Headers],[Fuel combusted]],0)</f>
        <v>18</v>
      </c>
      <c r="L60" s="110"/>
    </row>
    <row r="61" spans="4:12" ht="20.100000000000001" customHeight="1" x14ac:dyDescent="0.25">
      <c r="D61" s="185" t="str" cm="1">
        <f t="array" ref="D61">Common_InputFunctions.Utility_DisplayArrayInTable(Fuel_SourceData.Fuel_Scope1Scope3EmissionFactorsStationaryLiquid_Data(), Table_Fuel_EFs_StationaryLiquid[[#Headers],[Fuel combusted]],0)</f>
        <v>Aviation turbine fuel / kerosene</v>
      </c>
      <c r="E61" s="185" cm="1">
        <f t="array" ref="E61">Common_InputFunctions.Utility_DisplayArrayInTable(Fuel_SourceData.Fuel_Scope1Scope3EmissionFactorsStationaryLiquid_Data(), Table_Fuel_EFs_StationaryLiquid[[#Headers],[Fuel combusted]],0)</f>
        <v>36.799999999999997</v>
      </c>
      <c r="F61" s="185" t="str" cm="1">
        <f t="array" ref="F61">Common_InputFunctions.Utility_DisplayArrayInTable(Fuel_SourceData.Fuel_Scope1Scope3EmissionFactorsStationaryLiquid_Data(), Table_Fuel_EFs_StationaryLiquid[[#Headers],[Fuel combusted]],0)</f>
        <v>kL</v>
      </c>
      <c r="G61" s="185" cm="1">
        <f t="array" ref="G61">Common_InputFunctions.Utility_DisplayArrayInTable(Fuel_SourceData.Fuel_Scope1Scope3EmissionFactorsStationaryLiquid_Data(), Table_Fuel_EFs_StationaryLiquid[[#Headers],[Fuel combusted]],0)</f>
        <v>69.599999999999994</v>
      </c>
      <c r="H61" s="185" cm="1">
        <f t="array" ref="H61">Common_InputFunctions.Utility_DisplayArrayInTable(Fuel_SourceData.Fuel_Scope1Scope3EmissionFactorsStationaryLiquid_Data(), Table_Fuel_EFs_StationaryLiquid[[#Headers],[Fuel combusted]],0)</f>
        <v>0.02</v>
      </c>
      <c r="I61" s="185" cm="1">
        <f t="array" ref="I61">Common_InputFunctions.Utility_DisplayArrayInTable(Fuel_SourceData.Fuel_Scope1Scope3EmissionFactorsStationaryLiquid_Data(), Table_Fuel_EFs_StationaryLiquid[[#Headers],[Fuel combusted]],0)</f>
        <v>0.2</v>
      </c>
      <c r="J61" s="185" cm="1">
        <f t="array" ref="J61">Common_InputFunctions.Utility_DisplayArrayInTable(Fuel_SourceData.Fuel_Scope1Scope3EmissionFactorsStationaryLiquid_Data(), Table_Fuel_EFs_StationaryLiquid[[#Headers],[Fuel combusted]],0)</f>
        <v>69.819999999999993</v>
      </c>
      <c r="K61" s="185" cm="1">
        <f t="array" ref="K61">Common_InputFunctions.Utility_DisplayArrayInTable(Fuel_SourceData.Fuel_Scope1Scope3EmissionFactorsStationaryLiquid_Data(), Table_Fuel_EFs_StationaryLiquid[[#Headers],[Fuel combusted]],0)</f>
        <v>18</v>
      </c>
      <c r="L61" s="110"/>
    </row>
    <row r="62" spans="4:12" ht="20.100000000000001" customHeight="1" x14ac:dyDescent="0.25">
      <c r="D62" s="185" t="str" cm="1">
        <f t="array" ref="D62">Common_InputFunctions.Utility_DisplayArrayInTable(Fuel_SourceData.Fuel_Scope1Scope3EmissionFactorsStationaryLiquid_Data(), Table_Fuel_EFs_StationaryLiquid[[#Headers],[Fuel combusted]],0)</f>
        <v>Heating oil</v>
      </c>
      <c r="E62" s="185" cm="1">
        <f t="array" ref="E62">Common_InputFunctions.Utility_DisplayArrayInTable(Fuel_SourceData.Fuel_Scope1Scope3EmissionFactorsStationaryLiquid_Data(), Table_Fuel_EFs_StationaryLiquid[[#Headers],[Fuel combusted]],0)</f>
        <v>37.299999999999997</v>
      </c>
      <c r="F62" s="185" t="str" cm="1">
        <f t="array" ref="F62">Common_InputFunctions.Utility_DisplayArrayInTable(Fuel_SourceData.Fuel_Scope1Scope3EmissionFactorsStationaryLiquid_Data(), Table_Fuel_EFs_StationaryLiquid[[#Headers],[Fuel combusted]],0)</f>
        <v>kL</v>
      </c>
      <c r="G62" s="185" cm="1">
        <f t="array" ref="G62">Common_InputFunctions.Utility_DisplayArrayInTable(Fuel_SourceData.Fuel_Scope1Scope3EmissionFactorsStationaryLiquid_Data(), Table_Fuel_EFs_StationaryLiquid[[#Headers],[Fuel combusted]],0)</f>
        <v>69.5</v>
      </c>
      <c r="H62" s="185" cm="1">
        <f t="array" ref="H62">Common_InputFunctions.Utility_DisplayArrayInTable(Fuel_SourceData.Fuel_Scope1Scope3EmissionFactorsStationaryLiquid_Data(), Table_Fuel_EFs_StationaryLiquid[[#Headers],[Fuel combusted]],0)</f>
        <v>0.03</v>
      </c>
      <c r="I62" s="185" cm="1">
        <f t="array" ref="I62">Common_InputFunctions.Utility_DisplayArrayInTable(Fuel_SourceData.Fuel_Scope1Scope3EmissionFactorsStationaryLiquid_Data(), Table_Fuel_EFs_StationaryLiquid[[#Headers],[Fuel combusted]],0)</f>
        <v>0.2</v>
      </c>
      <c r="J62" s="185" cm="1">
        <f t="array" ref="J62">Common_InputFunctions.Utility_DisplayArrayInTable(Fuel_SourceData.Fuel_Scope1Scope3EmissionFactorsStationaryLiquid_Data(), Table_Fuel_EFs_StationaryLiquid[[#Headers],[Fuel combusted]],0)</f>
        <v>69.73</v>
      </c>
      <c r="K62" s="185" cm="1">
        <f t="array" ref="K62">Common_InputFunctions.Utility_DisplayArrayInTable(Fuel_SourceData.Fuel_Scope1Scope3EmissionFactorsStationaryLiquid_Data(), Table_Fuel_EFs_StationaryLiquid[[#Headers],[Fuel combusted]],0)</f>
        <v>18</v>
      </c>
      <c r="L62" s="110"/>
    </row>
    <row r="63" spans="4:12" ht="20.100000000000001" customHeight="1" x14ac:dyDescent="0.25">
      <c r="D63" s="185" t="str" cm="1">
        <f t="array" ref="D63">Common_InputFunctions.Utility_DisplayArrayInTable(Fuel_SourceData.Fuel_Scope1Scope3EmissionFactorsStationaryLiquid_Data(), Table_Fuel_EFs_StationaryLiquid[[#Headers],[Fuel combusted]],0)</f>
        <v>Diesel oil</v>
      </c>
      <c r="E63" s="185" cm="1">
        <f t="array" ref="E63">Common_InputFunctions.Utility_DisplayArrayInTable(Fuel_SourceData.Fuel_Scope1Scope3EmissionFactorsStationaryLiquid_Data(), Table_Fuel_EFs_StationaryLiquid[[#Headers],[Fuel combusted]],0)</f>
        <v>38.6</v>
      </c>
      <c r="F63" s="185" t="str" cm="1">
        <f t="array" ref="F63">Common_InputFunctions.Utility_DisplayArrayInTable(Fuel_SourceData.Fuel_Scope1Scope3EmissionFactorsStationaryLiquid_Data(), Table_Fuel_EFs_StationaryLiquid[[#Headers],[Fuel combusted]],0)</f>
        <v>kL</v>
      </c>
      <c r="G63" s="185" cm="1">
        <f t="array" ref="G63">Common_InputFunctions.Utility_DisplayArrayInTable(Fuel_SourceData.Fuel_Scope1Scope3EmissionFactorsStationaryLiquid_Data(), Table_Fuel_EFs_StationaryLiquid[[#Headers],[Fuel combusted]],0)</f>
        <v>69.900000000000006</v>
      </c>
      <c r="H63" s="185" cm="1">
        <f t="array" ref="H63">Common_InputFunctions.Utility_DisplayArrayInTable(Fuel_SourceData.Fuel_Scope1Scope3EmissionFactorsStationaryLiquid_Data(), Table_Fuel_EFs_StationaryLiquid[[#Headers],[Fuel combusted]],0)</f>
        <v>0.1</v>
      </c>
      <c r="I63" s="185" cm="1">
        <f t="array" ref="I63">Common_InputFunctions.Utility_DisplayArrayInTable(Fuel_SourceData.Fuel_Scope1Scope3EmissionFactorsStationaryLiquid_Data(), Table_Fuel_EFs_StationaryLiquid[[#Headers],[Fuel combusted]],0)</f>
        <v>0.2</v>
      </c>
      <c r="J63" s="185" cm="1">
        <f t="array" ref="J63">Common_InputFunctions.Utility_DisplayArrayInTable(Fuel_SourceData.Fuel_Scope1Scope3EmissionFactorsStationaryLiquid_Data(), Table_Fuel_EFs_StationaryLiquid[[#Headers],[Fuel combusted]],0)</f>
        <v>70.2</v>
      </c>
      <c r="K63" s="185" cm="1">
        <f t="array" ref="K63">Common_InputFunctions.Utility_DisplayArrayInTable(Fuel_SourceData.Fuel_Scope1Scope3EmissionFactorsStationaryLiquid_Data(), Table_Fuel_EFs_StationaryLiquid[[#Headers],[Fuel combusted]],0)</f>
        <v>17.3</v>
      </c>
      <c r="L63" s="110"/>
    </row>
    <row r="64" spans="4:12" ht="20.100000000000001" customHeight="1" x14ac:dyDescent="0.25">
      <c r="D64" s="185" t="str" cm="1">
        <f t="array" ref="D64">Common_InputFunctions.Utility_DisplayArrayInTable(Fuel_SourceData.Fuel_Scope1Scope3EmissionFactorsStationaryLiquid_Data(), Table_Fuel_EFs_StationaryLiquid[[#Headers],[Fuel combusted]],0)</f>
        <v>Fuel oil</v>
      </c>
      <c r="E64" s="185" cm="1">
        <f t="array" ref="E64">Common_InputFunctions.Utility_DisplayArrayInTable(Fuel_SourceData.Fuel_Scope1Scope3EmissionFactorsStationaryLiquid_Data(), Table_Fuel_EFs_StationaryLiquid[[#Headers],[Fuel combusted]],0)</f>
        <v>39.700000000000003</v>
      </c>
      <c r="F64" s="185" t="str" cm="1">
        <f t="array" ref="F64">Common_InputFunctions.Utility_DisplayArrayInTable(Fuel_SourceData.Fuel_Scope1Scope3EmissionFactorsStationaryLiquid_Data(), Table_Fuel_EFs_StationaryLiquid[[#Headers],[Fuel combusted]],0)</f>
        <v>kL</v>
      </c>
      <c r="G64" s="185" cm="1">
        <f t="array" ref="G64">Common_InputFunctions.Utility_DisplayArrayInTable(Fuel_SourceData.Fuel_Scope1Scope3EmissionFactorsStationaryLiquid_Data(), Table_Fuel_EFs_StationaryLiquid[[#Headers],[Fuel combusted]],0)</f>
        <v>73.599999999999994</v>
      </c>
      <c r="H64" s="185" cm="1">
        <f t="array" ref="H64">Common_InputFunctions.Utility_DisplayArrayInTable(Fuel_SourceData.Fuel_Scope1Scope3EmissionFactorsStationaryLiquid_Data(), Table_Fuel_EFs_StationaryLiquid[[#Headers],[Fuel combusted]],0)</f>
        <v>0.04</v>
      </c>
      <c r="I64" s="185" cm="1">
        <f t="array" ref="I64">Common_InputFunctions.Utility_DisplayArrayInTable(Fuel_SourceData.Fuel_Scope1Scope3EmissionFactorsStationaryLiquid_Data(), Table_Fuel_EFs_StationaryLiquid[[#Headers],[Fuel combusted]],0)</f>
        <v>0.2</v>
      </c>
      <c r="J64" s="185" cm="1">
        <f t="array" ref="J64">Common_InputFunctions.Utility_DisplayArrayInTable(Fuel_SourceData.Fuel_Scope1Scope3EmissionFactorsStationaryLiquid_Data(), Table_Fuel_EFs_StationaryLiquid[[#Headers],[Fuel combusted]],0)</f>
        <v>73.84</v>
      </c>
      <c r="K64" s="185" cm="1">
        <f t="array" ref="K64">Common_InputFunctions.Utility_DisplayArrayInTable(Fuel_SourceData.Fuel_Scope1Scope3EmissionFactorsStationaryLiquid_Data(), Table_Fuel_EFs_StationaryLiquid[[#Headers],[Fuel combusted]],0)</f>
        <v>18</v>
      </c>
      <c r="L64" s="110"/>
    </row>
    <row r="65" spans="4:13" ht="20.100000000000001" customHeight="1" x14ac:dyDescent="0.25">
      <c r="D65" s="185" t="str" cm="1">
        <f t="array" ref="D65">Common_InputFunctions.Utility_DisplayArrayInTable(Fuel_SourceData.Fuel_Scope1Scope3EmissionFactorsStationaryLiquid_Data(), Table_Fuel_EFs_StationaryLiquid[[#Headers],[Fuel combusted]],0)</f>
        <v>Liquefied aromatic hydrocarbons</v>
      </c>
      <c r="E65" s="185" cm="1">
        <f t="array" ref="E65">Common_InputFunctions.Utility_DisplayArrayInTable(Fuel_SourceData.Fuel_Scope1Scope3EmissionFactorsStationaryLiquid_Data(), Table_Fuel_EFs_StationaryLiquid[[#Headers],[Fuel combusted]],0)</f>
        <v>34.4</v>
      </c>
      <c r="F65" s="185" t="str" cm="1">
        <f t="array" ref="F65">Common_InputFunctions.Utility_DisplayArrayInTable(Fuel_SourceData.Fuel_Scope1Scope3EmissionFactorsStationaryLiquid_Data(), Table_Fuel_EFs_StationaryLiquid[[#Headers],[Fuel combusted]],0)</f>
        <v>kL</v>
      </c>
      <c r="G65" s="185" cm="1">
        <f t="array" ref="G65">Common_InputFunctions.Utility_DisplayArrayInTable(Fuel_SourceData.Fuel_Scope1Scope3EmissionFactorsStationaryLiquid_Data(), Table_Fuel_EFs_StationaryLiquid[[#Headers],[Fuel combusted]],0)</f>
        <v>69.7</v>
      </c>
      <c r="H65" s="185" cm="1">
        <f t="array" ref="H65">Common_InputFunctions.Utility_DisplayArrayInTable(Fuel_SourceData.Fuel_Scope1Scope3EmissionFactorsStationaryLiquid_Data(), Table_Fuel_EFs_StationaryLiquid[[#Headers],[Fuel combusted]],0)</f>
        <v>0.03</v>
      </c>
      <c r="I65" s="185" cm="1">
        <f t="array" ref="I65">Common_InputFunctions.Utility_DisplayArrayInTable(Fuel_SourceData.Fuel_Scope1Scope3EmissionFactorsStationaryLiquid_Data(), Table_Fuel_EFs_StationaryLiquid[[#Headers],[Fuel combusted]],0)</f>
        <v>0.2</v>
      </c>
      <c r="J65" s="185" cm="1">
        <f t="array" ref="J65">Common_InputFunctions.Utility_DisplayArrayInTable(Fuel_SourceData.Fuel_Scope1Scope3EmissionFactorsStationaryLiquid_Data(), Table_Fuel_EFs_StationaryLiquid[[#Headers],[Fuel combusted]],0)</f>
        <v>69.930000000000007</v>
      </c>
      <c r="K65" s="185" cm="1">
        <f t="array" ref="K65">Common_InputFunctions.Utility_DisplayArrayInTable(Fuel_SourceData.Fuel_Scope1Scope3EmissionFactorsStationaryLiquid_Data(), Table_Fuel_EFs_StationaryLiquid[[#Headers],[Fuel combusted]],0)</f>
        <v>18</v>
      </c>
      <c r="L65" s="110"/>
    </row>
    <row r="66" spans="4:13" ht="20.100000000000001" customHeight="1" x14ac:dyDescent="0.25">
      <c r="D66" s="185" t="str" cm="1">
        <f t="array" ref="D66">Common_InputFunctions.Utility_DisplayArrayInTable(Fuel_SourceData.Fuel_Scope1Scope3EmissionFactorsStationaryLiquid_Data(), Table_Fuel_EFs_StationaryLiquid[[#Headers],[Fuel combusted]],0)</f>
        <v>Solvents: mineral turpentine or white spirits</v>
      </c>
      <c r="E66" s="185" cm="1">
        <f t="array" ref="E66">Common_InputFunctions.Utility_DisplayArrayInTable(Fuel_SourceData.Fuel_Scope1Scope3EmissionFactorsStationaryLiquid_Data(), Table_Fuel_EFs_StationaryLiquid[[#Headers],[Fuel combusted]],0)</f>
        <v>34.4</v>
      </c>
      <c r="F66" s="185" t="str" cm="1">
        <f t="array" ref="F66">Common_InputFunctions.Utility_DisplayArrayInTable(Fuel_SourceData.Fuel_Scope1Scope3EmissionFactorsStationaryLiquid_Data(), Table_Fuel_EFs_StationaryLiquid[[#Headers],[Fuel combusted]],0)</f>
        <v>kL</v>
      </c>
      <c r="G66" s="185" cm="1">
        <f t="array" ref="G66">Common_InputFunctions.Utility_DisplayArrayInTable(Fuel_SourceData.Fuel_Scope1Scope3EmissionFactorsStationaryLiquid_Data(), Table_Fuel_EFs_StationaryLiquid[[#Headers],[Fuel combusted]],0)</f>
        <v>69.7</v>
      </c>
      <c r="H66" s="185" cm="1">
        <f t="array" ref="H66">Common_InputFunctions.Utility_DisplayArrayInTable(Fuel_SourceData.Fuel_Scope1Scope3EmissionFactorsStationaryLiquid_Data(), Table_Fuel_EFs_StationaryLiquid[[#Headers],[Fuel combusted]],0)</f>
        <v>0.03</v>
      </c>
      <c r="I66" s="185" cm="1">
        <f t="array" ref="I66">Common_InputFunctions.Utility_DisplayArrayInTable(Fuel_SourceData.Fuel_Scope1Scope3EmissionFactorsStationaryLiquid_Data(), Table_Fuel_EFs_StationaryLiquid[[#Headers],[Fuel combusted]],0)</f>
        <v>0.2</v>
      </c>
      <c r="J66" s="185" cm="1">
        <f t="array" ref="J66">Common_InputFunctions.Utility_DisplayArrayInTable(Fuel_SourceData.Fuel_Scope1Scope3EmissionFactorsStationaryLiquid_Data(), Table_Fuel_EFs_StationaryLiquid[[#Headers],[Fuel combusted]],0)</f>
        <v>69.930000000000007</v>
      </c>
      <c r="K66" s="185" cm="1">
        <f t="array" ref="K66">Common_InputFunctions.Utility_DisplayArrayInTable(Fuel_SourceData.Fuel_Scope1Scope3EmissionFactorsStationaryLiquid_Data(), Table_Fuel_EFs_StationaryLiquid[[#Headers],[Fuel combusted]],0)</f>
        <v>18</v>
      </c>
      <c r="L66" s="110"/>
    </row>
    <row r="67" spans="4:13" ht="20.100000000000001" customHeight="1" x14ac:dyDescent="0.25">
      <c r="D67" s="185" t="str" cm="1">
        <f t="array" ref="D67">Common_InputFunctions.Utility_DisplayArrayInTable(Fuel_SourceData.Fuel_Scope1Scope3EmissionFactorsStationaryLiquid_Data(), Table_Fuel_EFs_StationaryLiquid[[#Headers],[Fuel combusted]],0)</f>
        <v>Liquefied petroleum gas (LPG)</v>
      </c>
      <c r="E67" s="185" cm="1">
        <f t="array" ref="E67">Common_InputFunctions.Utility_DisplayArrayInTable(Fuel_SourceData.Fuel_Scope1Scope3EmissionFactorsStationaryLiquid_Data(), Table_Fuel_EFs_StationaryLiquid[[#Headers],[Fuel combusted]],0)</f>
        <v>25.7</v>
      </c>
      <c r="F67" s="185" t="str" cm="1">
        <f t="array" ref="F67">Common_InputFunctions.Utility_DisplayArrayInTable(Fuel_SourceData.Fuel_Scope1Scope3EmissionFactorsStationaryLiquid_Data(), Table_Fuel_EFs_StationaryLiquid[[#Headers],[Fuel combusted]],0)</f>
        <v>kL</v>
      </c>
      <c r="G67" s="185" cm="1">
        <f t="array" ref="G67">Common_InputFunctions.Utility_DisplayArrayInTable(Fuel_SourceData.Fuel_Scope1Scope3EmissionFactorsStationaryLiquid_Data(), Table_Fuel_EFs_StationaryLiquid[[#Headers],[Fuel combusted]],0)</f>
        <v>60.2</v>
      </c>
      <c r="H67" s="185" cm="1">
        <f t="array" ref="H67">Common_InputFunctions.Utility_DisplayArrayInTable(Fuel_SourceData.Fuel_Scope1Scope3EmissionFactorsStationaryLiquid_Data(), Table_Fuel_EFs_StationaryLiquid[[#Headers],[Fuel combusted]],0)</f>
        <v>0.2</v>
      </c>
      <c r="I67" s="185" cm="1">
        <f t="array" ref="I67">Common_InputFunctions.Utility_DisplayArrayInTable(Fuel_SourceData.Fuel_Scope1Scope3EmissionFactorsStationaryLiquid_Data(), Table_Fuel_EFs_StationaryLiquid[[#Headers],[Fuel combusted]],0)</f>
        <v>0.2</v>
      </c>
      <c r="J67" s="185" cm="1">
        <f t="array" ref="J67">Common_InputFunctions.Utility_DisplayArrayInTable(Fuel_SourceData.Fuel_Scope1Scope3EmissionFactorsStationaryLiquid_Data(), Table_Fuel_EFs_StationaryLiquid[[#Headers],[Fuel combusted]],0)</f>
        <v>60.6</v>
      </c>
      <c r="K67" s="185" cm="1">
        <f t="array" ref="K67">Common_InputFunctions.Utility_DisplayArrayInTable(Fuel_SourceData.Fuel_Scope1Scope3EmissionFactorsStationaryLiquid_Data(), Table_Fuel_EFs_StationaryLiquid[[#Headers],[Fuel combusted]],0)</f>
        <v>20.2</v>
      </c>
      <c r="L67" s="110"/>
    </row>
    <row r="68" spans="4:13" ht="20.100000000000001" customHeight="1" x14ac:dyDescent="0.25">
      <c r="D68" s="185" t="str" cm="1">
        <f t="array" ref="D68">Common_InputFunctions.Utility_DisplayArrayInTable(Fuel_SourceData.Fuel_Scope1Scope3EmissionFactorsStationaryLiquid_Data(), Table_Fuel_EFs_StationaryLiquid[[#Headers],[Fuel combusted]],0)</f>
        <v>Naphtha</v>
      </c>
      <c r="E68" s="185" cm="1">
        <f t="array" ref="E68">Common_InputFunctions.Utility_DisplayArrayInTable(Fuel_SourceData.Fuel_Scope1Scope3EmissionFactorsStationaryLiquid_Data(), Table_Fuel_EFs_StationaryLiquid[[#Headers],[Fuel combusted]],0)</f>
        <v>31.4</v>
      </c>
      <c r="F68" s="185" t="str" cm="1">
        <f t="array" ref="F68">Common_InputFunctions.Utility_DisplayArrayInTable(Fuel_SourceData.Fuel_Scope1Scope3EmissionFactorsStationaryLiquid_Data(), Table_Fuel_EFs_StationaryLiquid[[#Headers],[Fuel combusted]],0)</f>
        <v>kL</v>
      </c>
      <c r="G68" s="185" cm="1">
        <f t="array" ref="G68">Common_InputFunctions.Utility_DisplayArrayInTable(Fuel_SourceData.Fuel_Scope1Scope3EmissionFactorsStationaryLiquid_Data(), Table_Fuel_EFs_StationaryLiquid[[#Headers],[Fuel combusted]],0)</f>
        <v>69.8</v>
      </c>
      <c r="H68" s="185" cm="1">
        <f t="array" ref="H68">Common_InputFunctions.Utility_DisplayArrayInTable(Fuel_SourceData.Fuel_Scope1Scope3EmissionFactorsStationaryLiquid_Data(), Table_Fuel_EFs_StationaryLiquid[[#Headers],[Fuel combusted]],0)</f>
        <v>0.01</v>
      </c>
      <c r="I68" s="185" cm="1">
        <f t="array" ref="I68">Common_InputFunctions.Utility_DisplayArrayInTable(Fuel_SourceData.Fuel_Scope1Scope3EmissionFactorsStationaryLiquid_Data(), Table_Fuel_EFs_StationaryLiquid[[#Headers],[Fuel combusted]],0)</f>
        <v>0.01</v>
      </c>
      <c r="J68" s="185" cm="1">
        <f t="array" ref="J68">Common_InputFunctions.Utility_DisplayArrayInTable(Fuel_SourceData.Fuel_Scope1Scope3EmissionFactorsStationaryLiquid_Data(), Table_Fuel_EFs_StationaryLiquid[[#Headers],[Fuel combusted]],0)</f>
        <v>69.819999999999993</v>
      </c>
      <c r="K68" s="185" cm="1">
        <f t="array" ref="K68">Common_InputFunctions.Utility_DisplayArrayInTable(Fuel_SourceData.Fuel_Scope1Scope3EmissionFactorsStationaryLiquid_Data(), Table_Fuel_EFs_StationaryLiquid[[#Headers],[Fuel combusted]],0)</f>
        <v>18</v>
      </c>
      <c r="L68" s="110"/>
    </row>
    <row r="69" spans="4:13" ht="20.100000000000001" customHeight="1" x14ac:dyDescent="0.25">
      <c r="D69" s="185" t="str" cm="1">
        <f t="array" ref="D69">Common_InputFunctions.Utility_DisplayArrayInTable(Fuel_SourceData.Fuel_Scope1Scope3EmissionFactorsStationaryLiquid_Data(), Table_Fuel_EFs_StationaryLiquid[[#Headers],[Fuel combusted]],0)</f>
        <v>Petroleum coke</v>
      </c>
      <c r="E69" s="185" cm="1">
        <f t="array" ref="E69">Common_InputFunctions.Utility_DisplayArrayInTable(Fuel_SourceData.Fuel_Scope1Scope3EmissionFactorsStationaryLiquid_Data(), Table_Fuel_EFs_StationaryLiquid[[#Headers],[Fuel combusted]],0)</f>
        <v>34.200000000000003</v>
      </c>
      <c r="F69" s="185" t="str" cm="1">
        <f t="array" ref="F69">Common_InputFunctions.Utility_DisplayArrayInTable(Fuel_SourceData.Fuel_Scope1Scope3EmissionFactorsStationaryLiquid_Data(), Table_Fuel_EFs_StationaryLiquid[[#Headers],[Fuel combusted]],0)</f>
        <v>t</v>
      </c>
      <c r="G69" s="185" cm="1">
        <f t="array" ref="G69">Common_InputFunctions.Utility_DisplayArrayInTable(Fuel_SourceData.Fuel_Scope1Scope3EmissionFactorsStationaryLiquid_Data(), Table_Fuel_EFs_StationaryLiquid[[#Headers],[Fuel combusted]],0)</f>
        <v>92.6</v>
      </c>
      <c r="H69" s="185" cm="1">
        <f t="array" ref="H69">Common_InputFunctions.Utility_DisplayArrayInTable(Fuel_SourceData.Fuel_Scope1Scope3EmissionFactorsStationaryLiquid_Data(), Table_Fuel_EFs_StationaryLiquid[[#Headers],[Fuel combusted]],0)</f>
        <v>0.08</v>
      </c>
      <c r="I69" s="185" cm="1">
        <f t="array" ref="I69">Common_InputFunctions.Utility_DisplayArrayInTable(Fuel_SourceData.Fuel_Scope1Scope3EmissionFactorsStationaryLiquid_Data(), Table_Fuel_EFs_StationaryLiquid[[#Headers],[Fuel combusted]],0)</f>
        <v>0.2</v>
      </c>
      <c r="J69" s="185" cm="1">
        <f t="array" ref="J69">Common_InputFunctions.Utility_DisplayArrayInTable(Fuel_SourceData.Fuel_Scope1Scope3EmissionFactorsStationaryLiquid_Data(), Table_Fuel_EFs_StationaryLiquid[[#Headers],[Fuel combusted]],0)</f>
        <v>92.88</v>
      </c>
      <c r="K69" s="185" cm="1">
        <f t="array" ref="K69">Common_InputFunctions.Utility_DisplayArrayInTable(Fuel_SourceData.Fuel_Scope1Scope3EmissionFactorsStationaryLiquid_Data(), Table_Fuel_EFs_StationaryLiquid[[#Headers],[Fuel combusted]],0)</f>
        <v>18</v>
      </c>
      <c r="L69" s="110"/>
    </row>
    <row r="70" spans="4:13" ht="20.100000000000001" customHeight="1" x14ac:dyDescent="0.25">
      <c r="D70" s="185" t="str" cm="1">
        <f t="array" ref="D70">Common_InputFunctions.Utility_DisplayArrayInTable(Fuel_SourceData.Fuel_Scope1Scope3EmissionFactorsStationaryLiquid_Data(), Table_Fuel_EFs_StationaryLiquid[[#Headers],[Fuel combusted]],0)</f>
        <v>Refinery gas and liquids</v>
      </c>
      <c r="E70" s="185" cm="1">
        <f t="array" ref="E70">Common_InputFunctions.Utility_DisplayArrayInTable(Fuel_SourceData.Fuel_Scope1Scope3EmissionFactorsStationaryLiquid_Data(), Table_Fuel_EFs_StationaryLiquid[[#Headers],[Fuel combusted]],0)</f>
        <v>42.9</v>
      </c>
      <c r="F70" s="185" t="str" cm="1">
        <f t="array" ref="F70">Common_InputFunctions.Utility_DisplayArrayInTable(Fuel_SourceData.Fuel_Scope1Scope3EmissionFactorsStationaryLiquid_Data(), Table_Fuel_EFs_StationaryLiquid[[#Headers],[Fuel combusted]],0)</f>
        <v>t</v>
      </c>
      <c r="G70" s="185" cm="1">
        <f t="array" ref="G70">Common_InputFunctions.Utility_DisplayArrayInTable(Fuel_SourceData.Fuel_Scope1Scope3EmissionFactorsStationaryLiquid_Data(), Table_Fuel_EFs_StationaryLiquid[[#Headers],[Fuel combusted]],0)</f>
        <v>54.7</v>
      </c>
      <c r="H70" s="185" cm="1">
        <f t="array" ref="H70">Common_InputFunctions.Utility_DisplayArrayInTable(Fuel_SourceData.Fuel_Scope1Scope3EmissionFactorsStationaryLiquid_Data(), Table_Fuel_EFs_StationaryLiquid[[#Headers],[Fuel combusted]],0)</f>
        <v>0.03</v>
      </c>
      <c r="I70" s="185" cm="1">
        <f t="array" ref="I70">Common_InputFunctions.Utility_DisplayArrayInTable(Fuel_SourceData.Fuel_Scope1Scope3EmissionFactorsStationaryLiquid_Data(), Table_Fuel_EFs_StationaryLiquid[[#Headers],[Fuel combusted]],0)</f>
        <v>0.03</v>
      </c>
      <c r="J70" s="185" cm="1">
        <f t="array" ref="J70">Common_InputFunctions.Utility_DisplayArrayInTable(Fuel_SourceData.Fuel_Scope1Scope3EmissionFactorsStationaryLiquid_Data(), Table_Fuel_EFs_StationaryLiquid[[#Headers],[Fuel combusted]],0)</f>
        <v>54.76</v>
      </c>
      <c r="K70" s="185" cm="1">
        <f t="array" ref="K70">Common_InputFunctions.Utility_DisplayArrayInTable(Fuel_SourceData.Fuel_Scope1Scope3EmissionFactorsStationaryLiquid_Data(), Table_Fuel_EFs_StationaryLiquid[[#Headers],[Fuel combusted]],0)</f>
        <v>18</v>
      </c>
      <c r="L70" s="110"/>
    </row>
    <row r="71" spans="4:13" ht="20.100000000000001" customHeight="1" x14ac:dyDescent="0.25">
      <c r="D71" s="185" t="str" cm="1">
        <f t="array" ref="D71">Common_InputFunctions.Utility_DisplayArrayInTable(Fuel_SourceData.Fuel_Scope1Scope3EmissionFactorsStationaryLiquid_Data(), Table_Fuel_EFs_StationaryLiquid[[#Headers],[Fuel combusted]],0)</f>
        <v>Refinery coke</v>
      </c>
      <c r="E71" s="185" cm="1">
        <f t="array" ref="E71">Common_InputFunctions.Utility_DisplayArrayInTable(Fuel_SourceData.Fuel_Scope1Scope3EmissionFactorsStationaryLiquid_Data(), Table_Fuel_EFs_StationaryLiquid[[#Headers],[Fuel combusted]],0)</f>
        <v>34.200000000000003</v>
      </c>
      <c r="F71" s="185" t="str" cm="1">
        <f t="array" ref="F71">Common_InputFunctions.Utility_DisplayArrayInTable(Fuel_SourceData.Fuel_Scope1Scope3EmissionFactorsStationaryLiquid_Data(), Table_Fuel_EFs_StationaryLiquid[[#Headers],[Fuel combusted]],0)</f>
        <v>t</v>
      </c>
      <c r="G71" s="185" cm="1">
        <f t="array" ref="G71">Common_InputFunctions.Utility_DisplayArrayInTable(Fuel_SourceData.Fuel_Scope1Scope3EmissionFactorsStationaryLiquid_Data(), Table_Fuel_EFs_StationaryLiquid[[#Headers],[Fuel combusted]],0)</f>
        <v>92.6</v>
      </c>
      <c r="H71" s="185" cm="1">
        <f t="array" ref="H71">Common_InputFunctions.Utility_DisplayArrayInTable(Fuel_SourceData.Fuel_Scope1Scope3EmissionFactorsStationaryLiquid_Data(), Table_Fuel_EFs_StationaryLiquid[[#Headers],[Fuel combusted]],0)</f>
        <v>0.08</v>
      </c>
      <c r="I71" s="185" cm="1">
        <f t="array" ref="I71">Common_InputFunctions.Utility_DisplayArrayInTable(Fuel_SourceData.Fuel_Scope1Scope3EmissionFactorsStationaryLiquid_Data(), Table_Fuel_EFs_StationaryLiquid[[#Headers],[Fuel combusted]],0)</f>
        <v>0.2</v>
      </c>
      <c r="J71" s="185" cm="1">
        <f t="array" ref="J71">Common_InputFunctions.Utility_DisplayArrayInTable(Fuel_SourceData.Fuel_Scope1Scope3EmissionFactorsStationaryLiquid_Data(), Table_Fuel_EFs_StationaryLiquid[[#Headers],[Fuel combusted]],0)</f>
        <v>92.88</v>
      </c>
      <c r="K71" s="185" cm="1">
        <f t="array" ref="K71">Common_InputFunctions.Utility_DisplayArrayInTable(Fuel_SourceData.Fuel_Scope1Scope3EmissionFactorsStationaryLiquid_Data(), Table_Fuel_EFs_StationaryLiquid[[#Headers],[Fuel combusted]],0)</f>
        <v>18</v>
      </c>
      <c r="L71" s="110"/>
    </row>
    <row r="72" spans="4:13" ht="20.100000000000001" customHeight="1" x14ac:dyDescent="0.25">
      <c r="D72" s="185" t="str" cm="1">
        <f t="array" ref="D72">Common_InputFunctions.Utility_DisplayArrayInTable(Fuel_SourceData.Fuel_Scope1Scope3EmissionFactorsStationaryLiquid_Data(), Table_Fuel_EFs_StationaryLiquid[[#Headers],[Fuel combusted]],0)</f>
        <v>Petroleum based products other than mentioned in the items above</v>
      </c>
      <c r="E72" s="185" cm="1">
        <f t="array" ref="E72">Common_InputFunctions.Utility_DisplayArrayInTable(Fuel_SourceData.Fuel_Scope1Scope3EmissionFactorsStationaryLiquid_Data(), Table_Fuel_EFs_StationaryLiquid[[#Headers],[Fuel combusted]],0)</f>
        <v>34.4</v>
      </c>
      <c r="F72" s="185" t="str" cm="1">
        <f t="array" ref="F72">Common_InputFunctions.Utility_DisplayArrayInTable(Fuel_SourceData.Fuel_Scope1Scope3EmissionFactorsStationaryLiquid_Data(), Table_Fuel_EFs_StationaryLiquid[[#Headers],[Fuel combusted]],0)</f>
        <v>kL</v>
      </c>
      <c r="G72" s="185" cm="1">
        <f t="array" ref="G72">Common_InputFunctions.Utility_DisplayArrayInTable(Fuel_SourceData.Fuel_Scope1Scope3EmissionFactorsStationaryLiquid_Data(), Table_Fuel_EFs_StationaryLiquid[[#Headers],[Fuel combusted]],0)</f>
        <v>69.8</v>
      </c>
      <c r="H72" s="185" cm="1">
        <f t="array" ref="H72">Common_InputFunctions.Utility_DisplayArrayInTable(Fuel_SourceData.Fuel_Scope1Scope3EmissionFactorsStationaryLiquid_Data(), Table_Fuel_EFs_StationaryLiquid[[#Headers],[Fuel combusted]],0)</f>
        <v>0.02</v>
      </c>
      <c r="I72" s="185" cm="1">
        <f t="array" ref="I72">Common_InputFunctions.Utility_DisplayArrayInTable(Fuel_SourceData.Fuel_Scope1Scope3EmissionFactorsStationaryLiquid_Data(), Table_Fuel_EFs_StationaryLiquid[[#Headers],[Fuel combusted]],0)</f>
        <v>0.1</v>
      </c>
      <c r="J72" s="185" cm="1">
        <f t="array" ref="J72">Common_InputFunctions.Utility_DisplayArrayInTable(Fuel_SourceData.Fuel_Scope1Scope3EmissionFactorsStationaryLiquid_Data(), Table_Fuel_EFs_StationaryLiquid[[#Headers],[Fuel combusted]],0)</f>
        <v>69.92</v>
      </c>
      <c r="K72" s="185" cm="1">
        <f t="array" ref="K72">Common_InputFunctions.Utility_DisplayArrayInTable(Fuel_SourceData.Fuel_Scope1Scope3EmissionFactorsStationaryLiquid_Data(), Table_Fuel_EFs_StationaryLiquid[[#Headers],[Fuel combusted]],0)</f>
        <v>18</v>
      </c>
      <c r="L72" s="110"/>
    </row>
    <row r="73" spans="4:13" ht="20.100000000000001" customHeight="1" x14ac:dyDescent="0.25">
      <c r="D73" s="185" t="str" cm="1">
        <f t="array" ref="D73">Common_InputFunctions.Utility_DisplayArrayInTable(Fuel_SourceData.Fuel_Scope1Scope3EmissionFactorsStationaryLiquid_Data(), Table_Fuel_EFs_StationaryLiquid[[#Headers],[Fuel combusted]],0)</f>
        <v>Biodiesel</v>
      </c>
      <c r="E73" s="185" cm="1">
        <f t="array" ref="E73">Common_InputFunctions.Utility_DisplayArrayInTable(Fuel_SourceData.Fuel_Scope1Scope3EmissionFactorsStationaryLiquid_Data(), Table_Fuel_EFs_StationaryLiquid[[#Headers],[Fuel combusted]],0)</f>
        <v>34.6</v>
      </c>
      <c r="F73" s="185" t="str" cm="1">
        <f t="array" ref="F73">Common_InputFunctions.Utility_DisplayArrayInTable(Fuel_SourceData.Fuel_Scope1Scope3EmissionFactorsStationaryLiquid_Data(), Table_Fuel_EFs_StationaryLiquid[[#Headers],[Fuel combusted]],0)</f>
        <v>kL</v>
      </c>
      <c r="G73" s="185" cm="1">
        <f t="array" ref="G73">Common_InputFunctions.Utility_DisplayArrayInTable(Fuel_SourceData.Fuel_Scope1Scope3EmissionFactorsStationaryLiquid_Data(), Table_Fuel_EFs_StationaryLiquid[[#Headers],[Fuel combusted]],0)</f>
        <v>0</v>
      </c>
      <c r="H73" s="185" cm="1">
        <f t="array" ref="H73">Common_InputFunctions.Utility_DisplayArrayInTable(Fuel_SourceData.Fuel_Scope1Scope3EmissionFactorsStationaryLiquid_Data(), Table_Fuel_EFs_StationaryLiquid[[#Headers],[Fuel combusted]],0)</f>
        <v>0.08</v>
      </c>
      <c r="I73" s="185" cm="1">
        <f t="array" ref="I73">Common_InputFunctions.Utility_DisplayArrayInTable(Fuel_SourceData.Fuel_Scope1Scope3EmissionFactorsStationaryLiquid_Data(), Table_Fuel_EFs_StationaryLiquid[[#Headers],[Fuel combusted]],0)</f>
        <v>0.2</v>
      </c>
      <c r="J73" s="185" cm="1">
        <f t="array" ref="J73">Common_InputFunctions.Utility_DisplayArrayInTable(Fuel_SourceData.Fuel_Scope1Scope3EmissionFactorsStationaryLiquid_Data(), Table_Fuel_EFs_StationaryLiquid[[#Headers],[Fuel combusted]],0)</f>
        <v>0.28000000000000003</v>
      </c>
      <c r="K73" s="185" t="str" cm="1">
        <f t="array" ref="K73">Common_InputFunctions.Utility_DisplayArrayInTable(Fuel_SourceData.Fuel_Scope1Scope3EmissionFactorsStationaryLiquid_Data(), Table_Fuel_EFs_StationaryLiquid[[#Headers],[Fuel combusted]],0)</f>
        <v>NE</v>
      </c>
      <c r="L73" s="110"/>
    </row>
    <row r="74" spans="4:13" ht="20.100000000000001" customHeight="1" x14ac:dyDescent="0.25">
      <c r="D74" s="185" t="str" cm="1">
        <f t="array" ref="D74">Common_InputFunctions.Utility_DisplayArrayInTable(Fuel_SourceData.Fuel_Scope1Scope3EmissionFactorsStationaryLiquid_Data(), Table_Fuel_EFs_StationaryLiquid[[#Headers],[Fuel combusted]],0)</f>
        <v>Ethanol for use as a fuel in an internal combustion engine</v>
      </c>
      <c r="E74" s="185" cm="1">
        <f t="array" ref="E74">Common_InputFunctions.Utility_DisplayArrayInTable(Fuel_SourceData.Fuel_Scope1Scope3EmissionFactorsStationaryLiquid_Data(), Table_Fuel_EFs_StationaryLiquid[[#Headers],[Fuel combusted]],0)</f>
        <v>23.4</v>
      </c>
      <c r="F74" s="185" t="str" cm="1">
        <f t="array" ref="F74">Common_InputFunctions.Utility_DisplayArrayInTable(Fuel_SourceData.Fuel_Scope1Scope3EmissionFactorsStationaryLiquid_Data(), Table_Fuel_EFs_StationaryLiquid[[#Headers],[Fuel combusted]],0)</f>
        <v>kL</v>
      </c>
      <c r="G74" s="185" cm="1">
        <f t="array" ref="G74">Common_InputFunctions.Utility_DisplayArrayInTable(Fuel_SourceData.Fuel_Scope1Scope3EmissionFactorsStationaryLiquid_Data(), Table_Fuel_EFs_StationaryLiquid[[#Headers],[Fuel combusted]],0)</f>
        <v>0</v>
      </c>
      <c r="H74" s="185" cm="1">
        <f t="array" ref="H74">Common_InputFunctions.Utility_DisplayArrayInTable(Fuel_SourceData.Fuel_Scope1Scope3EmissionFactorsStationaryLiquid_Data(), Table_Fuel_EFs_StationaryLiquid[[#Headers],[Fuel combusted]],0)</f>
        <v>0.08</v>
      </c>
      <c r="I74" s="185" cm="1">
        <f t="array" ref="I74">Common_InputFunctions.Utility_DisplayArrayInTable(Fuel_SourceData.Fuel_Scope1Scope3EmissionFactorsStationaryLiquid_Data(), Table_Fuel_EFs_StationaryLiquid[[#Headers],[Fuel combusted]],0)</f>
        <v>0.2</v>
      </c>
      <c r="J74" s="185" cm="1">
        <f t="array" ref="J74">Common_InputFunctions.Utility_DisplayArrayInTable(Fuel_SourceData.Fuel_Scope1Scope3EmissionFactorsStationaryLiquid_Data(), Table_Fuel_EFs_StationaryLiquid[[#Headers],[Fuel combusted]],0)</f>
        <v>0.28000000000000003</v>
      </c>
      <c r="K74" s="185" t="str" cm="1">
        <f t="array" ref="K74">Common_InputFunctions.Utility_DisplayArrayInTable(Fuel_SourceData.Fuel_Scope1Scope3EmissionFactorsStationaryLiquid_Data(), Table_Fuel_EFs_StationaryLiquid[[#Headers],[Fuel combusted]],0)</f>
        <v>NE</v>
      </c>
      <c r="L74" s="110"/>
    </row>
    <row r="75" spans="4:13" ht="20.100000000000001" customHeight="1" x14ac:dyDescent="0.25">
      <c r="D75" s="185" t="str" cm="1">
        <f t="array" ref="D75">Common_InputFunctions.Utility_DisplayArrayInTable(Fuel_SourceData.Fuel_Scope1Scope3EmissionFactorsStationaryLiquid_Data(), Table_Fuel_EFs_StationaryLiquid[[#Headers],[Fuel combusted]],0)</f>
        <v>Biofuels other than those mentioned in the items above and below</v>
      </c>
      <c r="E75" s="185" cm="1">
        <f t="array" ref="E75">Common_InputFunctions.Utility_DisplayArrayInTable(Fuel_SourceData.Fuel_Scope1Scope3EmissionFactorsStationaryLiquid_Data(), Table_Fuel_EFs_StationaryLiquid[[#Headers],[Fuel combusted]],0)</f>
        <v>23.4</v>
      </c>
      <c r="F75" s="185" t="str" cm="1">
        <f t="array" ref="F75">Common_InputFunctions.Utility_DisplayArrayInTable(Fuel_SourceData.Fuel_Scope1Scope3EmissionFactorsStationaryLiquid_Data(), Table_Fuel_EFs_StationaryLiquid[[#Headers],[Fuel combusted]],0)</f>
        <v>kL</v>
      </c>
      <c r="G75" s="185" cm="1">
        <f t="array" ref="G75">Common_InputFunctions.Utility_DisplayArrayInTable(Fuel_SourceData.Fuel_Scope1Scope3EmissionFactorsStationaryLiquid_Data(), Table_Fuel_EFs_StationaryLiquid[[#Headers],[Fuel combusted]],0)</f>
        <v>0</v>
      </c>
      <c r="H75" s="185" cm="1">
        <f t="array" ref="H75">Common_InputFunctions.Utility_DisplayArrayInTable(Fuel_SourceData.Fuel_Scope1Scope3EmissionFactorsStationaryLiquid_Data(), Table_Fuel_EFs_StationaryLiquid[[#Headers],[Fuel combusted]],0)</f>
        <v>0.08</v>
      </c>
      <c r="I75" s="185" cm="1">
        <f t="array" ref="I75">Common_InputFunctions.Utility_DisplayArrayInTable(Fuel_SourceData.Fuel_Scope1Scope3EmissionFactorsStationaryLiquid_Data(), Table_Fuel_EFs_StationaryLiquid[[#Headers],[Fuel combusted]],0)</f>
        <v>0.2</v>
      </c>
      <c r="J75" s="185" cm="1">
        <f t="array" ref="J75">Common_InputFunctions.Utility_DisplayArrayInTable(Fuel_SourceData.Fuel_Scope1Scope3EmissionFactorsStationaryLiquid_Data(), Table_Fuel_EFs_StationaryLiquid[[#Headers],[Fuel combusted]],0)</f>
        <v>0.28000000000000003</v>
      </c>
      <c r="K75" s="185" t="str" cm="1">
        <f t="array" ref="K75">Common_InputFunctions.Utility_DisplayArrayInTable(Fuel_SourceData.Fuel_Scope1Scope3EmissionFactorsStationaryLiquid_Data(), Table_Fuel_EFs_StationaryLiquid[[#Headers],[Fuel combusted]],0)</f>
        <v>NE</v>
      </c>
      <c r="L75" s="110"/>
    </row>
    <row r="76" spans="4:13" ht="20.100000000000001" customHeight="1" x14ac:dyDescent="0.25">
      <c r="D76" s="185" t="str" cm="1">
        <f t="array" ref="D76">Common_InputFunctions.Utility_DisplayArrayInTable(Fuel_SourceData.Fuel_Scope1Scope3EmissionFactorsStationaryLiquid_Data(), Table_Fuel_EFs_StationaryLiquid[[#Headers],[Fuel combusted]],0)</f>
        <v>Renewable aviation kerosene</v>
      </c>
      <c r="E76" s="185" cm="1">
        <f t="array" ref="E76">Common_InputFunctions.Utility_DisplayArrayInTable(Fuel_SourceData.Fuel_Scope1Scope3EmissionFactorsStationaryLiquid_Data(), Table_Fuel_EFs_StationaryLiquid[[#Headers],[Fuel combusted]],0)</f>
        <v>36.799999999999997</v>
      </c>
      <c r="F76" s="185" t="str" cm="1">
        <f t="array" ref="F76">Common_InputFunctions.Utility_DisplayArrayInTable(Fuel_SourceData.Fuel_Scope1Scope3EmissionFactorsStationaryLiquid_Data(), Table_Fuel_EFs_StationaryLiquid[[#Headers],[Fuel combusted]],0)</f>
        <v>kL</v>
      </c>
      <c r="G76" s="185" cm="1">
        <f t="array" ref="G76">Common_InputFunctions.Utility_DisplayArrayInTable(Fuel_SourceData.Fuel_Scope1Scope3EmissionFactorsStationaryLiquid_Data(), Table_Fuel_EFs_StationaryLiquid[[#Headers],[Fuel combusted]],0)</f>
        <v>0</v>
      </c>
      <c r="H76" s="185" cm="1">
        <f t="array" ref="H76">Common_InputFunctions.Utility_DisplayArrayInTable(Fuel_SourceData.Fuel_Scope1Scope3EmissionFactorsStationaryLiquid_Data(), Table_Fuel_EFs_StationaryLiquid[[#Headers],[Fuel combusted]],0)</f>
        <v>0.02</v>
      </c>
      <c r="I76" s="185" cm="1">
        <f t="array" ref="I76">Common_InputFunctions.Utility_DisplayArrayInTable(Fuel_SourceData.Fuel_Scope1Scope3EmissionFactorsStationaryLiquid_Data(), Table_Fuel_EFs_StationaryLiquid[[#Headers],[Fuel combusted]],0)</f>
        <v>0.2</v>
      </c>
      <c r="J76" s="185" cm="1">
        <f t="array" ref="J76">Common_InputFunctions.Utility_DisplayArrayInTable(Fuel_SourceData.Fuel_Scope1Scope3EmissionFactorsStationaryLiquid_Data(), Table_Fuel_EFs_StationaryLiquid[[#Headers],[Fuel combusted]],0)</f>
        <v>0.22</v>
      </c>
      <c r="K76" s="185" t="str" cm="1">
        <f t="array" ref="K76">Common_InputFunctions.Utility_DisplayArrayInTable(Fuel_SourceData.Fuel_Scope1Scope3EmissionFactorsStationaryLiquid_Data(), Table_Fuel_EFs_StationaryLiquid[[#Headers],[Fuel combusted]],0)</f>
        <v>NE</v>
      </c>
      <c r="L76" s="110"/>
    </row>
    <row r="77" spans="4:13" ht="20.100000000000001" customHeight="1" x14ac:dyDescent="0.25">
      <c r="D77" s="185" t="str" cm="1">
        <f t="array" ref="D77">Common_InputFunctions.Utility_DisplayArrayInTable(Fuel_SourceData.Fuel_Scope1Scope3EmissionFactorsStationaryLiquid_Data(), Table_Fuel_EFs_StationaryLiquid[[#Headers],[Fuel combusted]],0)</f>
        <v>Renewable diesel</v>
      </c>
      <c r="E77" s="185" cm="1">
        <f t="array" ref="E77">Common_InputFunctions.Utility_DisplayArrayInTable(Fuel_SourceData.Fuel_Scope1Scope3EmissionFactorsStationaryLiquid_Data(), Table_Fuel_EFs_StationaryLiquid[[#Headers],[Fuel combusted]],0)</f>
        <v>38.6</v>
      </c>
      <c r="F77" s="185" t="str" cm="1">
        <f t="array" ref="F77">Common_InputFunctions.Utility_DisplayArrayInTable(Fuel_SourceData.Fuel_Scope1Scope3EmissionFactorsStationaryLiquid_Data(), Table_Fuel_EFs_StationaryLiquid[[#Headers],[Fuel combusted]],0)</f>
        <v>kL</v>
      </c>
      <c r="G77" s="185" cm="1">
        <f t="array" ref="G77">Common_InputFunctions.Utility_DisplayArrayInTable(Fuel_SourceData.Fuel_Scope1Scope3EmissionFactorsStationaryLiquid_Data(), Table_Fuel_EFs_StationaryLiquid[[#Headers],[Fuel combusted]],0)</f>
        <v>0</v>
      </c>
      <c r="H77" s="185" cm="1">
        <f t="array" ref="H77">Common_InputFunctions.Utility_DisplayArrayInTable(Fuel_SourceData.Fuel_Scope1Scope3EmissionFactorsStationaryLiquid_Data(), Table_Fuel_EFs_StationaryLiquid[[#Headers],[Fuel combusted]],0)</f>
        <v>0.1</v>
      </c>
      <c r="I77" s="185" cm="1">
        <f t="array" ref="I77">Common_InputFunctions.Utility_DisplayArrayInTable(Fuel_SourceData.Fuel_Scope1Scope3EmissionFactorsStationaryLiquid_Data(), Table_Fuel_EFs_StationaryLiquid[[#Headers],[Fuel combusted]],0)</f>
        <v>0.2</v>
      </c>
      <c r="J77" s="185" cm="1">
        <f t="array" ref="J77">Common_InputFunctions.Utility_DisplayArrayInTable(Fuel_SourceData.Fuel_Scope1Scope3EmissionFactorsStationaryLiquid_Data(), Table_Fuel_EFs_StationaryLiquid[[#Headers],[Fuel combusted]],0)</f>
        <v>0.3</v>
      </c>
      <c r="K77" s="185" t="str" cm="1">
        <f t="array" ref="K77">Common_InputFunctions.Utility_DisplayArrayInTable(Fuel_SourceData.Fuel_Scope1Scope3EmissionFactorsStationaryLiquid_Data(), Table_Fuel_EFs_StationaryLiquid[[#Headers],[Fuel combusted]],0)</f>
        <v>NE</v>
      </c>
      <c r="L77" s="110"/>
    </row>
    <row r="78" spans="4:13" ht="20.100000000000001" customHeight="1" x14ac:dyDescent="0.25">
      <c r="D78" s="110"/>
      <c r="E78" s="110"/>
      <c r="F78" s="110"/>
      <c r="G78" s="110"/>
      <c r="H78" s="110"/>
      <c r="I78" s="110"/>
      <c r="J78" s="110"/>
      <c r="K78" s="110"/>
      <c r="L78" s="110"/>
    </row>
    <row r="79" spans="4:13" ht="20.100000000000001" customHeight="1" x14ac:dyDescent="0.25">
      <c r="D79" s="110"/>
      <c r="E79" s="110"/>
      <c r="F79" s="110"/>
      <c r="G79" s="110"/>
      <c r="H79" s="110"/>
      <c r="I79" s="110"/>
      <c r="J79" s="110"/>
      <c r="K79" s="110"/>
      <c r="L79" s="110"/>
      <c r="M79" s="110"/>
    </row>
    <row r="80" spans="4:13" ht="20.100000000000001" customHeight="1" x14ac:dyDescent="0.25">
      <c r="D80" s="110"/>
      <c r="E80" s="110"/>
      <c r="F80" s="110"/>
      <c r="G80" s="110"/>
      <c r="H80" s="110"/>
      <c r="I80" s="110"/>
      <c r="J80" s="110"/>
      <c r="K80" s="110"/>
      <c r="L80" s="110"/>
      <c r="M80" s="110"/>
    </row>
    <row r="81" spans="4:12" ht="20.100000000000001" customHeight="1" x14ac:dyDescent="0.25">
      <c r="D81" s="6" t="str" cm="1">
        <f t="array" ref="D81">Fuel_SourceData.Fuel_Scope1EmissionFactorsStationaryGaseous_Title()</f>
        <v>Fuel scope 1 emission factors - Stationary gaseous fuels</v>
      </c>
      <c r="E81" s="110"/>
      <c r="F81" s="110"/>
      <c r="G81" s="110"/>
      <c r="H81" s="110"/>
      <c r="I81" s="110"/>
      <c r="J81" s="110"/>
      <c r="K81" s="110"/>
      <c r="L81" s="110"/>
    </row>
    <row r="82" spans="4:12" ht="20.100000000000001" customHeight="1" x14ac:dyDescent="0.25">
      <c r="D82" s="1" t="str" cm="1">
        <f t="array" ref="D82">Fuel_SourceData.Fuel_Scope1EmissionFactorsStationaryGaseous_Description()</f>
        <v xml:space="preserve">Direct (Scope 1) emission factors for the consumption of gaseous fuels including liquefied natural gas  </v>
      </c>
      <c r="E82" s="110"/>
      <c r="F82" s="110"/>
      <c r="G82" s="110"/>
      <c r="H82" s="110"/>
      <c r="I82" s="110"/>
      <c r="J82" s="110"/>
      <c r="K82" s="110"/>
      <c r="L82" s="110"/>
    </row>
    <row r="83" spans="4:12" ht="20.100000000000001" customHeight="1" x14ac:dyDescent="0.25">
      <c r="D83" s="5" t="str" cm="1">
        <f t="array" ref="D83">Fuel_SourceData.Fuel_Scope1EmissionFactorsStationaryGaseous_Source()</f>
        <v>Australian National Greenhouse Accounts Factors 2025 - Table 5</v>
      </c>
      <c r="E83" s="110"/>
      <c r="F83" s="110"/>
      <c r="G83" s="110"/>
      <c r="H83" s="110"/>
      <c r="I83" s="110"/>
      <c r="J83" s="110"/>
      <c r="K83" s="110"/>
      <c r="L83" s="110"/>
    </row>
    <row r="84" spans="4:12" ht="20.100000000000001" customHeight="1" x14ac:dyDescent="0.25">
      <c r="D84" s="53"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10"/>
      <c r="F84" s="110"/>
      <c r="G84" s="110"/>
      <c r="H84" s="110"/>
      <c r="I84" s="110"/>
      <c r="J84" s="110"/>
      <c r="K84" s="110"/>
      <c r="L84" s="110"/>
    </row>
    <row r="85" spans="4:12" ht="20.100000000000001" customHeight="1" x14ac:dyDescent="0.25">
      <c r="D85" s="110"/>
      <c r="E85" s="110"/>
      <c r="F85" s="110"/>
      <c r="G85" s="110"/>
      <c r="H85" s="110"/>
      <c r="I85" s="110"/>
      <c r="J85" s="110"/>
      <c r="K85" s="110"/>
      <c r="L85" s="110"/>
    </row>
    <row r="86" spans="4:12" ht="20.100000000000001" customHeight="1" x14ac:dyDescent="0.25">
      <c r="D86" s="184" t="s">
        <v>341</v>
      </c>
      <c r="E86" s="181" t="s">
        <v>342</v>
      </c>
      <c r="F86" s="184" t="s">
        <v>343</v>
      </c>
      <c r="G86" s="181" t="s">
        <v>344</v>
      </c>
      <c r="H86" s="181" t="s">
        <v>345</v>
      </c>
      <c r="I86" s="181" t="s">
        <v>346</v>
      </c>
      <c r="J86" s="181" t="s">
        <v>347</v>
      </c>
      <c r="K86" s="110"/>
      <c r="L86" s="110"/>
    </row>
    <row r="87" spans="4:12" ht="20.100000000000001" customHeight="1" x14ac:dyDescent="0.25">
      <c r="D87" s="185" t="str" cm="1">
        <f t="array" ref="D87">Common_InputFunctions.Utility_DisplayArrayInTable(Fuel_SourceData.Fuel_Scope1EmissionFactorsStationaryGaseous_Data(), Table_Fuel_EFs_StationaryGaseous[[#Headers],[Fuel combusted]],0)</f>
        <v>Natural gas distributed in a pipeline</v>
      </c>
      <c r="E87" s="185" cm="1">
        <f t="array" ref="E87">Common_InputFunctions.Utility_DisplayArrayInTable(Fuel_SourceData.Fuel_Scope1EmissionFactorsStationaryGaseous_Data(), Table_Fuel_EFs_StationaryGaseous[[#Headers],[Fuel combusted]],0)</f>
        <v>3.9300000000000002E-2</v>
      </c>
      <c r="F87" s="185" t="str" cm="1">
        <f t="array" ref="F87">Common_InputFunctions.Utility_DisplayArrayInTable(Fuel_SourceData.Fuel_Scope1EmissionFactorsStationaryGaseous_Data(), Table_Fuel_EFs_StationaryGaseous[[#Headers],[Fuel combusted]],0)</f>
        <v>m3</v>
      </c>
      <c r="G87" s="185" cm="1">
        <f t="array" ref="G87">Common_InputFunctions.Utility_DisplayArrayInTable(Fuel_SourceData.Fuel_Scope1EmissionFactorsStationaryGaseous_Data(), Table_Fuel_EFs_StationaryGaseous[[#Headers],[Fuel combusted]],0)</f>
        <v>51.4</v>
      </c>
      <c r="H87" s="185" cm="1">
        <f t="array" ref="H87">Common_InputFunctions.Utility_DisplayArrayInTable(Fuel_SourceData.Fuel_Scope1EmissionFactorsStationaryGaseous_Data(), Table_Fuel_EFs_StationaryGaseous[[#Headers],[Fuel combusted]],0)</f>
        <v>0.1</v>
      </c>
      <c r="I87" s="185" cm="1">
        <f t="array" ref="I87">Common_InputFunctions.Utility_DisplayArrayInTable(Fuel_SourceData.Fuel_Scope1EmissionFactorsStationaryGaseous_Data(), Table_Fuel_EFs_StationaryGaseous[[#Headers],[Fuel combusted]],0)</f>
        <v>0.03</v>
      </c>
      <c r="J87" s="185" cm="1">
        <f t="array" ref="J87">Common_InputFunctions.Utility_DisplayArrayInTable(Fuel_SourceData.Fuel_Scope1EmissionFactorsStationaryGaseous_Data(), Table_Fuel_EFs_StationaryGaseous[[#Headers],[Fuel combusted]],0)</f>
        <v>51.53</v>
      </c>
      <c r="K87" s="110"/>
      <c r="L87" s="110"/>
    </row>
    <row r="88" spans="4:12" ht="20.100000000000001" customHeight="1" x14ac:dyDescent="0.25">
      <c r="D88" s="185" t="str" cm="1">
        <f t="array" ref="D88">Common_InputFunctions.Utility_DisplayArrayInTable(Fuel_SourceData.Fuel_Scope1EmissionFactorsStationaryGaseous_Data(), Table_Fuel_EFs_StationaryGaseous[[#Headers],[Fuel combusted]],0)</f>
        <v>Coal seam methane that is captured for combustion</v>
      </c>
      <c r="E88" s="185" cm="1">
        <f t="array" ref="E88">Common_InputFunctions.Utility_DisplayArrayInTable(Fuel_SourceData.Fuel_Scope1EmissionFactorsStationaryGaseous_Data(), Table_Fuel_EFs_StationaryGaseous[[#Headers],[Fuel combusted]],0)</f>
        <v>3.7699999999999997E-2</v>
      </c>
      <c r="F88" s="185" t="str" cm="1">
        <f t="array" ref="F88">Common_InputFunctions.Utility_DisplayArrayInTable(Fuel_SourceData.Fuel_Scope1EmissionFactorsStationaryGaseous_Data(), Table_Fuel_EFs_StationaryGaseous[[#Headers],[Fuel combusted]],0)</f>
        <v>m3</v>
      </c>
      <c r="G88" s="185" cm="1">
        <f t="array" ref="G88">Common_InputFunctions.Utility_DisplayArrayInTable(Fuel_SourceData.Fuel_Scope1EmissionFactorsStationaryGaseous_Data(), Table_Fuel_EFs_StationaryGaseous[[#Headers],[Fuel combusted]],0)</f>
        <v>51.4</v>
      </c>
      <c r="H88" s="185" cm="1">
        <f t="array" ref="H88">Common_InputFunctions.Utility_DisplayArrayInTable(Fuel_SourceData.Fuel_Scope1EmissionFactorsStationaryGaseous_Data(), Table_Fuel_EFs_StationaryGaseous[[#Headers],[Fuel combusted]],0)</f>
        <v>0.2</v>
      </c>
      <c r="I88" s="185" cm="1">
        <f t="array" ref="I88">Common_InputFunctions.Utility_DisplayArrayInTable(Fuel_SourceData.Fuel_Scope1EmissionFactorsStationaryGaseous_Data(), Table_Fuel_EFs_StationaryGaseous[[#Headers],[Fuel combusted]],0)</f>
        <v>0.03</v>
      </c>
      <c r="J88" s="185" cm="1">
        <f t="array" ref="J88">Common_InputFunctions.Utility_DisplayArrayInTable(Fuel_SourceData.Fuel_Scope1EmissionFactorsStationaryGaseous_Data(), Table_Fuel_EFs_StationaryGaseous[[#Headers],[Fuel combusted]],0)</f>
        <v>51.63</v>
      </c>
      <c r="K88" s="110"/>
      <c r="L88" s="110"/>
    </row>
    <row r="89" spans="4:12" ht="20.100000000000001" customHeight="1" x14ac:dyDescent="0.25">
      <c r="D89" s="185" t="str" cm="1">
        <f t="array" ref="D89">Common_InputFunctions.Utility_DisplayArrayInTable(Fuel_SourceData.Fuel_Scope1EmissionFactorsStationaryGaseous_Data(), Table_Fuel_EFs_StationaryGaseous[[#Headers],[Fuel combusted]],0)</f>
        <v>Coal mine waste gas that is captured for combustion</v>
      </c>
      <c r="E89" s="185" cm="1">
        <f t="array" ref="E89">Common_InputFunctions.Utility_DisplayArrayInTable(Fuel_SourceData.Fuel_Scope1EmissionFactorsStationaryGaseous_Data(), Table_Fuel_EFs_StationaryGaseous[[#Headers],[Fuel combusted]],0)</f>
        <v>3.7699999999999997E-2</v>
      </c>
      <c r="F89" s="185" t="str" cm="1">
        <f t="array" ref="F89">Common_InputFunctions.Utility_DisplayArrayInTable(Fuel_SourceData.Fuel_Scope1EmissionFactorsStationaryGaseous_Data(), Table_Fuel_EFs_StationaryGaseous[[#Headers],[Fuel combusted]],0)</f>
        <v>m3</v>
      </c>
      <c r="G89" s="185" cm="1">
        <f t="array" ref="G89">Common_InputFunctions.Utility_DisplayArrayInTable(Fuel_SourceData.Fuel_Scope1EmissionFactorsStationaryGaseous_Data(), Table_Fuel_EFs_StationaryGaseous[[#Headers],[Fuel combusted]],0)</f>
        <v>51.9</v>
      </c>
      <c r="H89" s="185" cm="1">
        <f t="array" ref="H89">Common_InputFunctions.Utility_DisplayArrayInTable(Fuel_SourceData.Fuel_Scope1EmissionFactorsStationaryGaseous_Data(), Table_Fuel_EFs_StationaryGaseous[[#Headers],[Fuel combusted]],0)</f>
        <v>4.5999999999999996</v>
      </c>
      <c r="I89" s="185" cm="1">
        <f t="array" ref="I89">Common_InputFunctions.Utility_DisplayArrayInTable(Fuel_SourceData.Fuel_Scope1EmissionFactorsStationaryGaseous_Data(), Table_Fuel_EFs_StationaryGaseous[[#Headers],[Fuel combusted]],0)</f>
        <v>0.3</v>
      </c>
      <c r="J89" s="185" cm="1">
        <f t="array" ref="J89">Common_InputFunctions.Utility_DisplayArrayInTable(Fuel_SourceData.Fuel_Scope1EmissionFactorsStationaryGaseous_Data(), Table_Fuel_EFs_StationaryGaseous[[#Headers],[Fuel combusted]],0)</f>
        <v>56.8</v>
      </c>
      <c r="K89" s="110"/>
      <c r="L89" s="110"/>
    </row>
    <row r="90" spans="4:12" ht="20.100000000000001" customHeight="1" x14ac:dyDescent="0.25">
      <c r="D90" s="185" t="str" cm="1">
        <f t="array" ref="D90">Common_InputFunctions.Utility_DisplayArrayInTable(Fuel_SourceData.Fuel_Scope1EmissionFactorsStationaryGaseous_Data(), Table_Fuel_EFs_StationaryGaseous[[#Headers],[Fuel combusted]],0)</f>
        <v>Compressed natural gas(reverting to standard conditions)</v>
      </c>
      <c r="E90" s="185" cm="1">
        <f t="array" ref="E90">Common_InputFunctions.Utility_DisplayArrayInTable(Fuel_SourceData.Fuel_Scope1EmissionFactorsStationaryGaseous_Data(), Table_Fuel_EFs_StationaryGaseous[[#Headers],[Fuel combusted]],0)</f>
        <v>3.9300000000000002E-2</v>
      </c>
      <c r="F90" s="185" t="str" cm="1">
        <f t="array" ref="F90">Common_InputFunctions.Utility_DisplayArrayInTable(Fuel_SourceData.Fuel_Scope1EmissionFactorsStationaryGaseous_Data(), Table_Fuel_EFs_StationaryGaseous[[#Headers],[Fuel combusted]],0)</f>
        <v>m3</v>
      </c>
      <c r="G90" s="185" cm="1">
        <f t="array" ref="G90">Common_InputFunctions.Utility_DisplayArrayInTable(Fuel_SourceData.Fuel_Scope1EmissionFactorsStationaryGaseous_Data(), Table_Fuel_EFs_StationaryGaseous[[#Headers],[Fuel combusted]],0)</f>
        <v>51.4</v>
      </c>
      <c r="H90" s="185" cm="1">
        <f t="array" ref="H90">Common_InputFunctions.Utility_DisplayArrayInTable(Fuel_SourceData.Fuel_Scope1EmissionFactorsStationaryGaseous_Data(), Table_Fuel_EFs_StationaryGaseous[[#Headers],[Fuel combusted]],0)</f>
        <v>0.1</v>
      </c>
      <c r="I90" s="185" cm="1">
        <f t="array" ref="I90">Common_InputFunctions.Utility_DisplayArrayInTable(Fuel_SourceData.Fuel_Scope1EmissionFactorsStationaryGaseous_Data(), Table_Fuel_EFs_StationaryGaseous[[#Headers],[Fuel combusted]],0)</f>
        <v>0.03</v>
      </c>
      <c r="J90" s="185" cm="1">
        <f t="array" ref="J90">Common_InputFunctions.Utility_DisplayArrayInTable(Fuel_SourceData.Fuel_Scope1EmissionFactorsStationaryGaseous_Data(), Table_Fuel_EFs_StationaryGaseous[[#Headers],[Fuel combusted]],0)</f>
        <v>51.53</v>
      </c>
      <c r="K90" s="110"/>
      <c r="L90" s="110"/>
    </row>
    <row r="91" spans="4:12" ht="20.100000000000001" customHeight="1" x14ac:dyDescent="0.25">
      <c r="D91" s="185" t="str" cm="1">
        <f t="array" ref="D91">Common_InputFunctions.Utility_DisplayArrayInTable(Fuel_SourceData.Fuel_Scope1EmissionFactorsStationaryGaseous_Data(), Table_Fuel_EFs_StationaryGaseous[[#Headers],[Fuel combusted]],0)</f>
        <v>Unprocessed natural gas</v>
      </c>
      <c r="E91" s="185" cm="1">
        <f t="array" ref="E91">Common_InputFunctions.Utility_DisplayArrayInTable(Fuel_SourceData.Fuel_Scope1EmissionFactorsStationaryGaseous_Data(), Table_Fuel_EFs_StationaryGaseous[[#Headers],[Fuel combusted]],0)</f>
        <v>3.9300000000000002E-2</v>
      </c>
      <c r="F91" s="185" t="str" cm="1">
        <f t="array" ref="F91">Common_InputFunctions.Utility_DisplayArrayInTable(Fuel_SourceData.Fuel_Scope1EmissionFactorsStationaryGaseous_Data(), Table_Fuel_EFs_StationaryGaseous[[#Headers],[Fuel combusted]],0)</f>
        <v>m3</v>
      </c>
      <c r="G91" s="185" cm="1">
        <f t="array" ref="G91">Common_InputFunctions.Utility_DisplayArrayInTable(Fuel_SourceData.Fuel_Scope1EmissionFactorsStationaryGaseous_Data(), Table_Fuel_EFs_StationaryGaseous[[#Headers],[Fuel combusted]],0)</f>
        <v>51.4</v>
      </c>
      <c r="H91" s="185" cm="1">
        <f t="array" ref="H91">Common_InputFunctions.Utility_DisplayArrayInTable(Fuel_SourceData.Fuel_Scope1EmissionFactorsStationaryGaseous_Data(), Table_Fuel_EFs_StationaryGaseous[[#Headers],[Fuel combusted]],0)</f>
        <v>0.1</v>
      </c>
      <c r="I91" s="185" cm="1">
        <f t="array" ref="I91">Common_InputFunctions.Utility_DisplayArrayInTable(Fuel_SourceData.Fuel_Scope1EmissionFactorsStationaryGaseous_Data(), Table_Fuel_EFs_StationaryGaseous[[#Headers],[Fuel combusted]],0)</f>
        <v>0.03</v>
      </c>
      <c r="J91" s="185" cm="1">
        <f t="array" ref="J91">Common_InputFunctions.Utility_DisplayArrayInTable(Fuel_SourceData.Fuel_Scope1EmissionFactorsStationaryGaseous_Data(), Table_Fuel_EFs_StationaryGaseous[[#Headers],[Fuel combusted]],0)</f>
        <v>51.53</v>
      </c>
      <c r="K91" s="110"/>
      <c r="L91" s="110"/>
    </row>
    <row r="92" spans="4:12" ht="20.100000000000001" customHeight="1" x14ac:dyDescent="0.25">
      <c r="D92" s="185" t="str" cm="1">
        <f t="array" ref="D92">Common_InputFunctions.Utility_DisplayArrayInTable(Fuel_SourceData.Fuel_Scope1EmissionFactorsStationaryGaseous_Data(), Table_Fuel_EFs_StationaryGaseous[[#Headers],[Fuel combusted]],0)</f>
        <v>Ethane</v>
      </c>
      <c r="E92" s="185" cm="1">
        <f t="array" ref="E92">Common_InputFunctions.Utility_DisplayArrayInTable(Fuel_SourceData.Fuel_Scope1EmissionFactorsStationaryGaseous_Data(), Table_Fuel_EFs_StationaryGaseous[[#Headers],[Fuel combusted]],0)</f>
        <v>6.2899999999999998E-2</v>
      </c>
      <c r="F92" s="185" t="str" cm="1">
        <f t="array" ref="F92">Common_InputFunctions.Utility_DisplayArrayInTable(Fuel_SourceData.Fuel_Scope1EmissionFactorsStationaryGaseous_Data(), Table_Fuel_EFs_StationaryGaseous[[#Headers],[Fuel combusted]],0)</f>
        <v>m3</v>
      </c>
      <c r="G92" s="185" cm="1">
        <f t="array" ref="G92">Common_InputFunctions.Utility_DisplayArrayInTable(Fuel_SourceData.Fuel_Scope1EmissionFactorsStationaryGaseous_Data(), Table_Fuel_EFs_StationaryGaseous[[#Headers],[Fuel combusted]],0)</f>
        <v>56.5</v>
      </c>
      <c r="H92" s="185" cm="1">
        <f t="array" ref="H92">Common_InputFunctions.Utility_DisplayArrayInTable(Fuel_SourceData.Fuel_Scope1EmissionFactorsStationaryGaseous_Data(), Table_Fuel_EFs_StationaryGaseous[[#Headers],[Fuel combusted]],0)</f>
        <v>0.03</v>
      </c>
      <c r="I92" s="185" cm="1">
        <f t="array" ref="I92">Common_InputFunctions.Utility_DisplayArrayInTable(Fuel_SourceData.Fuel_Scope1EmissionFactorsStationaryGaseous_Data(), Table_Fuel_EFs_StationaryGaseous[[#Headers],[Fuel combusted]],0)</f>
        <v>0.03</v>
      </c>
      <c r="J92" s="185" cm="1">
        <f t="array" ref="J92">Common_InputFunctions.Utility_DisplayArrayInTable(Fuel_SourceData.Fuel_Scope1EmissionFactorsStationaryGaseous_Data(), Table_Fuel_EFs_StationaryGaseous[[#Headers],[Fuel combusted]],0)</f>
        <v>56.56</v>
      </c>
      <c r="K92" s="110"/>
      <c r="L92" s="110"/>
    </row>
    <row r="93" spans="4:12" ht="20.100000000000001" customHeight="1" x14ac:dyDescent="0.25">
      <c r="D93" s="185" t="str" cm="1">
        <f t="array" ref="D93">Common_InputFunctions.Utility_DisplayArrayInTable(Fuel_SourceData.Fuel_Scope1EmissionFactorsStationaryGaseous_Data(), Table_Fuel_EFs_StationaryGaseous[[#Headers],[Fuel combusted]],0)</f>
        <v>Coke oven gas</v>
      </c>
      <c r="E93" s="185" cm="1">
        <f t="array" ref="E93">Common_InputFunctions.Utility_DisplayArrayInTable(Fuel_SourceData.Fuel_Scope1EmissionFactorsStationaryGaseous_Data(), Table_Fuel_EFs_StationaryGaseous[[#Headers],[Fuel combusted]],0)</f>
        <v>1.8100000000000002E-2</v>
      </c>
      <c r="F93" s="185" t="str" cm="1">
        <f t="array" ref="F93">Common_InputFunctions.Utility_DisplayArrayInTable(Fuel_SourceData.Fuel_Scope1EmissionFactorsStationaryGaseous_Data(), Table_Fuel_EFs_StationaryGaseous[[#Headers],[Fuel combusted]],0)</f>
        <v>m3</v>
      </c>
      <c r="G93" s="185" cm="1">
        <f t="array" ref="G93">Common_InputFunctions.Utility_DisplayArrayInTable(Fuel_SourceData.Fuel_Scope1EmissionFactorsStationaryGaseous_Data(), Table_Fuel_EFs_StationaryGaseous[[#Headers],[Fuel combusted]],0)</f>
        <v>37</v>
      </c>
      <c r="H93" s="185" cm="1">
        <f t="array" ref="H93">Common_InputFunctions.Utility_DisplayArrayInTable(Fuel_SourceData.Fuel_Scope1EmissionFactorsStationaryGaseous_Data(), Table_Fuel_EFs_StationaryGaseous[[#Headers],[Fuel combusted]],0)</f>
        <v>0.03</v>
      </c>
      <c r="I93" s="185" cm="1">
        <f t="array" ref="I93">Common_InputFunctions.Utility_DisplayArrayInTable(Fuel_SourceData.Fuel_Scope1EmissionFactorsStationaryGaseous_Data(), Table_Fuel_EFs_StationaryGaseous[[#Headers],[Fuel combusted]],0)</f>
        <v>0.05</v>
      </c>
      <c r="J93" s="185" cm="1">
        <f t="array" ref="J93">Common_InputFunctions.Utility_DisplayArrayInTable(Fuel_SourceData.Fuel_Scope1EmissionFactorsStationaryGaseous_Data(), Table_Fuel_EFs_StationaryGaseous[[#Headers],[Fuel combusted]],0)</f>
        <v>37.08</v>
      </c>
      <c r="K93" s="110"/>
      <c r="L93" s="110"/>
    </row>
    <row r="94" spans="4:12" ht="20.100000000000001" customHeight="1" x14ac:dyDescent="0.25">
      <c r="D94" s="185" t="str" cm="1">
        <f t="array" ref="D94">Common_InputFunctions.Utility_DisplayArrayInTable(Fuel_SourceData.Fuel_Scope1EmissionFactorsStationaryGaseous_Data(), Table_Fuel_EFs_StationaryGaseous[[#Headers],[Fuel combusted]],0)</f>
        <v>Blast furnace gas</v>
      </c>
      <c r="E94" s="185" cm="1">
        <f t="array" ref="E94">Common_InputFunctions.Utility_DisplayArrayInTable(Fuel_SourceData.Fuel_Scope1EmissionFactorsStationaryGaseous_Data(), Table_Fuel_EFs_StationaryGaseous[[#Headers],[Fuel combusted]],0)</f>
        <v>4.0000000000000001E-3</v>
      </c>
      <c r="F94" s="185" t="str" cm="1">
        <f t="array" ref="F94">Common_InputFunctions.Utility_DisplayArrayInTable(Fuel_SourceData.Fuel_Scope1EmissionFactorsStationaryGaseous_Data(), Table_Fuel_EFs_StationaryGaseous[[#Headers],[Fuel combusted]],0)</f>
        <v>m3</v>
      </c>
      <c r="G94" s="185" cm="1">
        <f t="array" ref="G94">Common_InputFunctions.Utility_DisplayArrayInTable(Fuel_SourceData.Fuel_Scope1EmissionFactorsStationaryGaseous_Data(), Table_Fuel_EFs_StationaryGaseous[[#Headers],[Fuel combusted]],0)</f>
        <v>234</v>
      </c>
      <c r="H94" s="185" cm="1">
        <f t="array" ref="H94">Common_InputFunctions.Utility_DisplayArrayInTable(Fuel_SourceData.Fuel_Scope1EmissionFactorsStationaryGaseous_Data(), Table_Fuel_EFs_StationaryGaseous[[#Headers],[Fuel combusted]],0)</f>
        <v>0.03</v>
      </c>
      <c r="I94" s="185" cm="1">
        <f t="array" ref="I94">Common_InputFunctions.Utility_DisplayArrayInTable(Fuel_SourceData.Fuel_Scope1EmissionFactorsStationaryGaseous_Data(), Table_Fuel_EFs_StationaryGaseous[[#Headers],[Fuel combusted]],0)</f>
        <v>0.02</v>
      </c>
      <c r="J94" s="185" cm="1">
        <f t="array" ref="J94">Common_InputFunctions.Utility_DisplayArrayInTable(Fuel_SourceData.Fuel_Scope1EmissionFactorsStationaryGaseous_Data(), Table_Fuel_EFs_StationaryGaseous[[#Headers],[Fuel combusted]],0)</f>
        <v>234.05</v>
      </c>
      <c r="K94" s="110"/>
      <c r="L94" s="110"/>
    </row>
    <row r="95" spans="4:12" ht="20.100000000000001" customHeight="1" x14ac:dyDescent="0.25">
      <c r="D95" s="185" t="str" cm="1">
        <f t="array" ref="D95">Common_InputFunctions.Utility_DisplayArrayInTable(Fuel_SourceData.Fuel_Scope1EmissionFactorsStationaryGaseous_Data(), Table_Fuel_EFs_StationaryGaseous[[#Headers],[Fuel combusted]],0)</f>
        <v>Town gas</v>
      </c>
      <c r="E95" s="185" cm="1">
        <f t="array" ref="E95">Common_InputFunctions.Utility_DisplayArrayInTable(Fuel_SourceData.Fuel_Scope1EmissionFactorsStationaryGaseous_Data(), Table_Fuel_EFs_StationaryGaseous[[#Headers],[Fuel combusted]],0)</f>
        <v>3.9E-2</v>
      </c>
      <c r="F95" s="185" t="str" cm="1">
        <f t="array" ref="F95">Common_InputFunctions.Utility_DisplayArrayInTable(Fuel_SourceData.Fuel_Scope1EmissionFactorsStationaryGaseous_Data(), Table_Fuel_EFs_StationaryGaseous[[#Headers],[Fuel combusted]],0)</f>
        <v>m3</v>
      </c>
      <c r="G95" s="185" cm="1">
        <f t="array" ref="G95">Common_InputFunctions.Utility_DisplayArrayInTable(Fuel_SourceData.Fuel_Scope1EmissionFactorsStationaryGaseous_Data(), Table_Fuel_EFs_StationaryGaseous[[#Headers],[Fuel combusted]],0)</f>
        <v>60.2</v>
      </c>
      <c r="H95" s="185" cm="1">
        <f t="array" ref="H95">Common_InputFunctions.Utility_DisplayArrayInTable(Fuel_SourceData.Fuel_Scope1EmissionFactorsStationaryGaseous_Data(), Table_Fuel_EFs_StationaryGaseous[[#Headers],[Fuel combusted]],0)</f>
        <v>0.04</v>
      </c>
      <c r="I95" s="185" cm="1">
        <f t="array" ref="I95">Common_InputFunctions.Utility_DisplayArrayInTable(Fuel_SourceData.Fuel_Scope1EmissionFactorsStationaryGaseous_Data(), Table_Fuel_EFs_StationaryGaseous[[#Headers],[Fuel combusted]],0)</f>
        <v>0.03</v>
      </c>
      <c r="J95" s="185" cm="1">
        <f t="array" ref="J95">Common_InputFunctions.Utility_DisplayArrayInTable(Fuel_SourceData.Fuel_Scope1EmissionFactorsStationaryGaseous_Data(), Table_Fuel_EFs_StationaryGaseous[[#Headers],[Fuel combusted]],0)</f>
        <v>60.27</v>
      </c>
      <c r="K95" s="110"/>
      <c r="L95" s="110"/>
    </row>
    <row r="96" spans="4:12" ht="20.100000000000001" customHeight="1" x14ac:dyDescent="0.25">
      <c r="D96" s="185" t="str" cm="1">
        <f t="array" ref="D96">Common_InputFunctions.Utility_DisplayArrayInTable(Fuel_SourceData.Fuel_Scope1EmissionFactorsStationaryGaseous_Data(), Table_Fuel_EFs_StationaryGaseous[[#Headers],[Fuel combusted]],0)</f>
        <v>Liquefied natural gas</v>
      </c>
      <c r="E96" s="185" cm="1">
        <f t="array" ref="E96">Common_InputFunctions.Utility_DisplayArrayInTable(Fuel_SourceData.Fuel_Scope1EmissionFactorsStationaryGaseous_Data(), Table_Fuel_EFs_StationaryGaseous[[#Headers],[Fuel combusted]],0)</f>
        <v>25.3</v>
      </c>
      <c r="F96" s="185" t="str" cm="1">
        <f t="array" ref="F96">Common_InputFunctions.Utility_DisplayArrayInTable(Fuel_SourceData.Fuel_Scope1EmissionFactorsStationaryGaseous_Data(), Table_Fuel_EFs_StationaryGaseous[[#Headers],[Fuel combusted]],0)</f>
        <v>kL</v>
      </c>
      <c r="G96" s="185" cm="1">
        <f t="array" ref="G96">Common_InputFunctions.Utility_DisplayArrayInTable(Fuel_SourceData.Fuel_Scope1EmissionFactorsStationaryGaseous_Data(), Table_Fuel_EFs_StationaryGaseous[[#Headers],[Fuel combusted]],0)</f>
        <v>51.4</v>
      </c>
      <c r="H96" s="185" cm="1">
        <f t="array" ref="H96">Common_InputFunctions.Utility_DisplayArrayInTable(Fuel_SourceData.Fuel_Scope1EmissionFactorsStationaryGaseous_Data(), Table_Fuel_EFs_StationaryGaseous[[#Headers],[Fuel combusted]],0)</f>
        <v>0.1</v>
      </c>
      <c r="I96" s="185" cm="1">
        <f t="array" ref="I96">Common_InputFunctions.Utility_DisplayArrayInTable(Fuel_SourceData.Fuel_Scope1EmissionFactorsStationaryGaseous_Data(), Table_Fuel_EFs_StationaryGaseous[[#Headers],[Fuel combusted]],0)</f>
        <v>0.03</v>
      </c>
      <c r="J96" s="185" cm="1">
        <f t="array" ref="J96">Common_InputFunctions.Utility_DisplayArrayInTable(Fuel_SourceData.Fuel_Scope1EmissionFactorsStationaryGaseous_Data(), Table_Fuel_EFs_StationaryGaseous[[#Headers],[Fuel combusted]],0)</f>
        <v>51.53</v>
      </c>
      <c r="K96" s="110"/>
      <c r="L96" s="110"/>
    </row>
    <row r="97" spans="4:13" ht="20.100000000000001" customHeight="1" x14ac:dyDescent="0.25">
      <c r="D97" s="185" t="str" cm="1">
        <f t="array" ref="D97">Common_InputFunctions.Utility_DisplayArrayInTable(Fuel_SourceData.Fuel_Scope1EmissionFactorsStationaryGaseous_Data(), Table_Fuel_EFs_StationaryGaseous[[#Headers],[Fuel combusted]],0)</f>
        <v>Gaseous fossil fuels other than those mentioned in the items above</v>
      </c>
      <c r="E97" s="185" cm="1">
        <f t="array" ref="E97">Common_InputFunctions.Utility_DisplayArrayInTable(Fuel_SourceData.Fuel_Scope1EmissionFactorsStationaryGaseous_Data(), Table_Fuel_EFs_StationaryGaseous[[#Headers],[Fuel combusted]],0)</f>
        <v>3.9E-2</v>
      </c>
      <c r="F97" s="185" t="str" cm="1">
        <f t="array" ref="F97">Common_InputFunctions.Utility_DisplayArrayInTable(Fuel_SourceData.Fuel_Scope1EmissionFactorsStationaryGaseous_Data(), Table_Fuel_EFs_StationaryGaseous[[#Headers],[Fuel combusted]],0)</f>
        <v>m3</v>
      </c>
      <c r="G97" s="185" cm="1">
        <f t="array" ref="G97">Common_InputFunctions.Utility_DisplayArrayInTable(Fuel_SourceData.Fuel_Scope1EmissionFactorsStationaryGaseous_Data(), Table_Fuel_EFs_StationaryGaseous[[#Headers],[Fuel combusted]],0)</f>
        <v>51.4</v>
      </c>
      <c r="H97" s="185" cm="1">
        <f t="array" ref="H97">Common_InputFunctions.Utility_DisplayArrayInTable(Fuel_SourceData.Fuel_Scope1EmissionFactorsStationaryGaseous_Data(), Table_Fuel_EFs_StationaryGaseous[[#Headers],[Fuel combusted]],0)</f>
        <v>0.1</v>
      </c>
      <c r="I97" s="185" cm="1">
        <f t="array" ref="I97">Common_InputFunctions.Utility_DisplayArrayInTable(Fuel_SourceData.Fuel_Scope1EmissionFactorsStationaryGaseous_Data(), Table_Fuel_EFs_StationaryGaseous[[#Headers],[Fuel combusted]],0)</f>
        <v>0.03</v>
      </c>
      <c r="J97" s="185" cm="1">
        <f t="array" ref="J97">Common_InputFunctions.Utility_DisplayArrayInTable(Fuel_SourceData.Fuel_Scope1EmissionFactorsStationaryGaseous_Data(), Table_Fuel_EFs_StationaryGaseous[[#Headers],[Fuel combusted]],0)</f>
        <v>51.53</v>
      </c>
      <c r="K97" s="110"/>
      <c r="L97" s="110"/>
    </row>
    <row r="98" spans="4:13" ht="20.100000000000001" customHeight="1" x14ac:dyDescent="0.25">
      <c r="D98" s="185" t="str" cm="1">
        <f t="array" ref="D98">Common_InputFunctions.Utility_DisplayArrayInTable(Fuel_SourceData.Fuel_Scope1EmissionFactorsStationaryGaseous_Data(), Table_Fuel_EFs_StationaryGaseous[[#Headers],[Fuel combusted]],0)</f>
        <v>Landfill biogas that is captured for combustion (methane only)</v>
      </c>
      <c r="E98" s="185" cm="1">
        <f t="array" ref="E98">Common_InputFunctions.Utility_DisplayArrayInTable(Fuel_SourceData.Fuel_Scope1EmissionFactorsStationaryGaseous_Data(), Table_Fuel_EFs_StationaryGaseous[[#Headers],[Fuel combusted]],0)</f>
        <v>3.7699999999999997E-2</v>
      </c>
      <c r="F98" s="185" t="str" cm="1">
        <f t="array" ref="F98">Common_InputFunctions.Utility_DisplayArrayInTable(Fuel_SourceData.Fuel_Scope1EmissionFactorsStationaryGaseous_Data(), Table_Fuel_EFs_StationaryGaseous[[#Headers],[Fuel combusted]],0)</f>
        <v>m3</v>
      </c>
      <c r="G98" s="185" cm="1">
        <f t="array" ref="G98">Common_InputFunctions.Utility_DisplayArrayInTable(Fuel_SourceData.Fuel_Scope1EmissionFactorsStationaryGaseous_Data(), Table_Fuel_EFs_StationaryGaseous[[#Headers],[Fuel combusted]],0)</f>
        <v>0</v>
      </c>
      <c r="H98" s="185" cm="1">
        <f t="array" ref="H98">Common_InputFunctions.Utility_DisplayArrayInTable(Fuel_SourceData.Fuel_Scope1EmissionFactorsStationaryGaseous_Data(), Table_Fuel_EFs_StationaryGaseous[[#Headers],[Fuel combusted]],0)</f>
        <v>6.4</v>
      </c>
      <c r="I98" s="185" cm="1">
        <f t="array" ref="I98">Common_InputFunctions.Utility_DisplayArrayInTable(Fuel_SourceData.Fuel_Scope1EmissionFactorsStationaryGaseous_Data(), Table_Fuel_EFs_StationaryGaseous[[#Headers],[Fuel combusted]],0)</f>
        <v>0.03</v>
      </c>
      <c r="J98" s="185" cm="1">
        <f t="array" ref="J98">Common_InputFunctions.Utility_DisplayArrayInTable(Fuel_SourceData.Fuel_Scope1EmissionFactorsStationaryGaseous_Data(), Table_Fuel_EFs_StationaryGaseous[[#Headers],[Fuel combusted]],0)</f>
        <v>6.43</v>
      </c>
      <c r="K98" s="110"/>
      <c r="L98" s="110"/>
    </row>
    <row r="99" spans="4:13" ht="20.100000000000001" customHeight="1" x14ac:dyDescent="0.25">
      <c r="D99" s="185" t="str" cm="1">
        <f t="array" ref="D99">Common_InputFunctions.Utility_DisplayArrayInTable(Fuel_SourceData.Fuel_Scope1EmissionFactorsStationaryGaseous_Data(), Table_Fuel_EFs_StationaryGaseous[[#Headers],[Fuel combusted]],0)</f>
        <v>Sludge biogas that is captured for combustion (methane only)</v>
      </c>
      <c r="E99" s="185" cm="1">
        <f t="array" ref="E99">Common_InputFunctions.Utility_DisplayArrayInTable(Fuel_SourceData.Fuel_Scope1EmissionFactorsStationaryGaseous_Data(), Table_Fuel_EFs_StationaryGaseous[[#Headers],[Fuel combusted]],0)</f>
        <v>3.7699999999999997E-2</v>
      </c>
      <c r="F99" s="185" t="str" cm="1">
        <f t="array" ref="F99">Common_InputFunctions.Utility_DisplayArrayInTable(Fuel_SourceData.Fuel_Scope1EmissionFactorsStationaryGaseous_Data(), Table_Fuel_EFs_StationaryGaseous[[#Headers],[Fuel combusted]],0)</f>
        <v>m3</v>
      </c>
      <c r="G99" s="185" cm="1">
        <f t="array" ref="G99">Common_InputFunctions.Utility_DisplayArrayInTable(Fuel_SourceData.Fuel_Scope1EmissionFactorsStationaryGaseous_Data(), Table_Fuel_EFs_StationaryGaseous[[#Headers],[Fuel combusted]],0)</f>
        <v>0</v>
      </c>
      <c r="H99" s="185" cm="1">
        <f t="array" ref="H99">Common_InputFunctions.Utility_DisplayArrayInTable(Fuel_SourceData.Fuel_Scope1EmissionFactorsStationaryGaseous_Data(), Table_Fuel_EFs_StationaryGaseous[[#Headers],[Fuel combusted]],0)</f>
        <v>6.4</v>
      </c>
      <c r="I99" s="185" cm="1">
        <f t="array" ref="I99">Common_InputFunctions.Utility_DisplayArrayInTable(Fuel_SourceData.Fuel_Scope1EmissionFactorsStationaryGaseous_Data(), Table_Fuel_EFs_StationaryGaseous[[#Headers],[Fuel combusted]],0)</f>
        <v>0.03</v>
      </c>
      <c r="J99" s="185" cm="1">
        <f t="array" ref="J99">Common_InputFunctions.Utility_DisplayArrayInTable(Fuel_SourceData.Fuel_Scope1EmissionFactorsStationaryGaseous_Data(), Table_Fuel_EFs_StationaryGaseous[[#Headers],[Fuel combusted]],0)</f>
        <v>6.43</v>
      </c>
      <c r="K99" s="110"/>
      <c r="L99" s="110"/>
    </row>
    <row r="100" spans="4:13" ht="20.100000000000001" customHeight="1" x14ac:dyDescent="0.25">
      <c r="D100" s="185"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185" cm="1">
        <f t="array" ref="E100">Common_InputFunctions.Utility_DisplayArrayInTable(Fuel_SourceData.Fuel_Scope1EmissionFactorsStationaryGaseous_Data(), Table_Fuel_EFs_StationaryGaseous[[#Headers],[Fuel combusted]],0)</f>
        <v>3.6999999999999998E-2</v>
      </c>
      <c r="F100" s="185" t="str" cm="1">
        <f t="array" ref="F100">Common_InputFunctions.Utility_DisplayArrayInTable(Fuel_SourceData.Fuel_Scope1EmissionFactorsStationaryGaseous_Data(), Table_Fuel_EFs_StationaryGaseous[[#Headers],[Fuel combusted]],0)</f>
        <v>m3</v>
      </c>
      <c r="G100" s="185" cm="1">
        <f t="array" ref="G100">Common_InputFunctions.Utility_DisplayArrayInTable(Fuel_SourceData.Fuel_Scope1EmissionFactorsStationaryGaseous_Data(), Table_Fuel_EFs_StationaryGaseous[[#Headers],[Fuel combusted]],0)</f>
        <v>0</v>
      </c>
      <c r="H100" s="185" cm="1">
        <f t="array" ref="H100">Common_InputFunctions.Utility_DisplayArrayInTable(Fuel_SourceData.Fuel_Scope1EmissionFactorsStationaryGaseous_Data(), Table_Fuel_EFs_StationaryGaseous[[#Headers],[Fuel combusted]],0)</f>
        <v>6.4</v>
      </c>
      <c r="I100" s="185" cm="1">
        <f t="array" ref="I100">Common_InputFunctions.Utility_DisplayArrayInTable(Fuel_SourceData.Fuel_Scope1EmissionFactorsStationaryGaseous_Data(), Table_Fuel_EFs_StationaryGaseous[[#Headers],[Fuel combusted]],0)</f>
        <v>0.03</v>
      </c>
      <c r="J100" s="185" cm="1">
        <f t="array" ref="J100">Common_InputFunctions.Utility_DisplayArrayInTable(Fuel_SourceData.Fuel_Scope1EmissionFactorsStationaryGaseous_Data(), Table_Fuel_EFs_StationaryGaseous[[#Headers],[Fuel combusted]],0)</f>
        <v>6.43</v>
      </c>
      <c r="K100" s="110"/>
      <c r="L100" s="110"/>
    </row>
    <row r="101" spans="4:13" ht="20.100000000000001" customHeight="1" x14ac:dyDescent="0.25">
      <c r="D101" s="185" t="str" cm="1">
        <f t="array" ref="D101">Common_InputFunctions.Utility_DisplayArrayInTable(Fuel_SourceData.Fuel_Scope1EmissionFactorsStationaryGaseous_Data(), Table_Fuel_EFs_StationaryGaseous[[#Headers],[Fuel combusted]],0)</f>
        <v>Biomethane</v>
      </c>
      <c r="E101" s="185" cm="1">
        <f t="array" ref="E101">Common_InputFunctions.Utility_DisplayArrayInTable(Fuel_SourceData.Fuel_Scope1EmissionFactorsStationaryGaseous_Data(), Table_Fuel_EFs_StationaryGaseous[[#Headers],[Fuel combusted]],0)</f>
        <v>3.9300000000000002E-2</v>
      </c>
      <c r="F101" s="185" t="str" cm="1">
        <f t="array" ref="F101">Common_InputFunctions.Utility_DisplayArrayInTable(Fuel_SourceData.Fuel_Scope1EmissionFactorsStationaryGaseous_Data(), Table_Fuel_EFs_StationaryGaseous[[#Headers],[Fuel combusted]],0)</f>
        <v>m3</v>
      </c>
      <c r="G101" s="185" cm="1">
        <f t="array" ref="G101">Common_InputFunctions.Utility_DisplayArrayInTable(Fuel_SourceData.Fuel_Scope1EmissionFactorsStationaryGaseous_Data(), Table_Fuel_EFs_StationaryGaseous[[#Headers],[Fuel combusted]],0)</f>
        <v>0</v>
      </c>
      <c r="H101" s="185" cm="1">
        <f t="array" ref="H101">Common_InputFunctions.Utility_DisplayArrayInTable(Fuel_SourceData.Fuel_Scope1EmissionFactorsStationaryGaseous_Data(), Table_Fuel_EFs_StationaryGaseous[[#Headers],[Fuel combusted]],0)</f>
        <v>0.1</v>
      </c>
      <c r="I101" s="185" cm="1">
        <f t="array" ref="I101">Common_InputFunctions.Utility_DisplayArrayInTable(Fuel_SourceData.Fuel_Scope1EmissionFactorsStationaryGaseous_Data(), Table_Fuel_EFs_StationaryGaseous[[#Headers],[Fuel combusted]],0)</f>
        <v>0.03</v>
      </c>
      <c r="J101" s="185" cm="1">
        <f t="array" ref="J101">Common_InputFunctions.Utility_DisplayArrayInTable(Fuel_SourceData.Fuel_Scope1EmissionFactorsStationaryGaseous_Data(), Table_Fuel_EFs_StationaryGaseous[[#Headers],[Fuel combusted]],0)</f>
        <v>0.13</v>
      </c>
      <c r="K101" s="110"/>
      <c r="L101" s="110"/>
    </row>
    <row r="102" spans="4:13" ht="20.100000000000001" customHeight="1" x14ac:dyDescent="0.25">
      <c r="D102" s="185" t="str" cm="1">
        <f t="array" ref="D102">Common_InputFunctions.Utility_DisplayArrayInTable(Fuel_SourceData.Fuel_Scope1EmissionFactorsStationaryGaseous_Data(), Table_Fuel_EFs_StationaryGaseous[[#Headers],[Fuel combusted]],0)</f>
        <v>Hydrogen</v>
      </c>
      <c r="E102" s="185" cm="1">
        <f t="array" ref="E102">Common_InputFunctions.Utility_DisplayArrayInTable(Fuel_SourceData.Fuel_Scope1EmissionFactorsStationaryGaseous_Data(), Table_Fuel_EFs_StationaryGaseous[[#Headers],[Fuel combusted]],0)</f>
        <v>1.2200000000000001E-2</v>
      </c>
      <c r="F102" s="185" t="str" cm="1">
        <f t="array" ref="F102">Common_InputFunctions.Utility_DisplayArrayInTable(Fuel_SourceData.Fuel_Scope1EmissionFactorsStationaryGaseous_Data(), Table_Fuel_EFs_StationaryGaseous[[#Headers],[Fuel combusted]],0)</f>
        <v>m3</v>
      </c>
      <c r="G102" s="185" cm="1">
        <f t="array" ref="G102">Common_InputFunctions.Utility_DisplayArrayInTable(Fuel_SourceData.Fuel_Scope1EmissionFactorsStationaryGaseous_Data(), Table_Fuel_EFs_StationaryGaseous[[#Headers],[Fuel combusted]],0)</f>
        <v>0</v>
      </c>
      <c r="H102" s="185" cm="1">
        <f t="array" ref="H102">Common_InputFunctions.Utility_DisplayArrayInTable(Fuel_SourceData.Fuel_Scope1EmissionFactorsStationaryGaseous_Data(), Table_Fuel_EFs_StationaryGaseous[[#Headers],[Fuel combusted]],0)</f>
        <v>0</v>
      </c>
      <c r="I102" s="185" cm="1">
        <f t="array" ref="I102">Common_InputFunctions.Utility_DisplayArrayInTable(Fuel_SourceData.Fuel_Scope1EmissionFactorsStationaryGaseous_Data(), Table_Fuel_EFs_StationaryGaseous[[#Headers],[Fuel combusted]],0)</f>
        <v>0.5</v>
      </c>
      <c r="J102" s="185" cm="1">
        <f t="array" ref="J102">Common_InputFunctions.Utility_DisplayArrayInTable(Fuel_SourceData.Fuel_Scope1EmissionFactorsStationaryGaseous_Data(), Table_Fuel_EFs_StationaryGaseous[[#Headers],[Fuel combusted]],0)</f>
        <v>0.5</v>
      </c>
      <c r="K102" s="110"/>
      <c r="L102" s="110"/>
    </row>
    <row r="103" spans="4:13" ht="20.100000000000001" customHeight="1" x14ac:dyDescent="0.25">
      <c r="D103" s="185" t="str" cm="1">
        <f t="array" ref="D103">Common_InputFunctions.Utility_DisplayArrayInTable(Fuel_SourceData.Fuel_Scope1EmissionFactorsStationaryGaseous_Data(), Table_Fuel_EFs_StationaryGaseous[[#Headers],[Fuel combusted]],0)</f>
        <v>Natural gas distributed in a pipeline - Gigajoules</v>
      </c>
      <c r="E103" s="185" cm="1">
        <f t="array" ref="E103">Common_InputFunctions.Utility_DisplayArrayInTable(Fuel_SourceData.Fuel_Scope1EmissionFactorsStationaryGaseous_Data(), Table_Fuel_EFs_StationaryGaseous[[#Headers],[Fuel combusted]],0)</f>
        <v>1</v>
      </c>
      <c r="F103" s="185" t="str" cm="1">
        <f t="array" ref="F103">Common_InputFunctions.Utility_DisplayArrayInTable(Fuel_SourceData.Fuel_Scope1EmissionFactorsStationaryGaseous_Data(), Table_Fuel_EFs_StationaryGaseous[[#Headers],[Fuel combusted]],0)</f>
        <v>GJ</v>
      </c>
      <c r="G103" s="185" cm="1">
        <f t="array" ref="G103">Common_InputFunctions.Utility_DisplayArrayInTable(Fuel_SourceData.Fuel_Scope1EmissionFactorsStationaryGaseous_Data(), Table_Fuel_EFs_StationaryGaseous[[#Headers],[Fuel combusted]],0)</f>
        <v>51.4</v>
      </c>
      <c r="H103" s="185" cm="1">
        <f t="array" ref="H103">Common_InputFunctions.Utility_DisplayArrayInTable(Fuel_SourceData.Fuel_Scope1EmissionFactorsStationaryGaseous_Data(), Table_Fuel_EFs_StationaryGaseous[[#Headers],[Fuel combusted]],0)</f>
        <v>0.1</v>
      </c>
      <c r="I103" s="185" cm="1">
        <f t="array" ref="I103">Common_InputFunctions.Utility_DisplayArrayInTable(Fuel_SourceData.Fuel_Scope1EmissionFactorsStationaryGaseous_Data(), Table_Fuel_EFs_StationaryGaseous[[#Headers],[Fuel combusted]],0)</f>
        <v>0.03</v>
      </c>
      <c r="J103" s="185" cm="1">
        <f t="array" ref="J103">Common_InputFunctions.Utility_DisplayArrayInTable(Fuel_SourceData.Fuel_Scope1EmissionFactorsStationaryGaseous_Data(), Table_Fuel_EFs_StationaryGaseous[[#Headers],[Fuel combusted]],0)</f>
        <v>51.53</v>
      </c>
      <c r="K103" s="110"/>
      <c r="L103" s="110"/>
    </row>
    <row r="104" spans="4:13" ht="20.100000000000001" customHeight="1" x14ac:dyDescent="0.25">
      <c r="D104" s="185" t="str" cm="1">
        <f t="array" ref="D104">Common_InputFunctions.Utility_DisplayArrayInTable(Fuel_SourceData.Fuel_Scope1EmissionFactorsStationaryGaseous_Data(), Table_Fuel_EFs_StationaryGaseous[[#Headers],[Fuel combusted]],0)</f>
        <v>Town gas - Gigajoules</v>
      </c>
      <c r="E104" s="185" cm="1">
        <f t="array" ref="E104">Common_InputFunctions.Utility_DisplayArrayInTable(Fuel_SourceData.Fuel_Scope1EmissionFactorsStationaryGaseous_Data(), Table_Fuel_EFs_StationaryGaseous[[#Headers],[Fuel combusted]],0)</f>
        <v>1</v>
      </c>
      <c r="F104" s="185" t="str" cm="1">
        <f t="array" ref="F104">Common_InputFunctions.Utility_DisplayArrayInTable(Fuel_SourceData.Fuel_Scope1EmissionFactorsStationaryGaseous_Data(), Table_Fuel_EFs_StationaryGaseous[[#Headers],[Fuel combusted]],0)</f>
        <v>GJ</v>
      </c>
      <c r="G104" s="185" cm="1">
        <f t="array" ref="G104">Common_InputFunctions.Utility_DisplayArrayInTable(Fuel_SourceData.Fuel_Scope1EmissionFactorsStationaryGaseous_Data(), Table_Fuel_EFs_StationaryGaseous[[#Headers],[Fuel combusted]],0)</f>
        <v>60.2</v>
      </c>
      <c r="H104" s="185" cm="1">
        <f t="array" ref="H104">Common_InputFunctions.Utility_DisplayArrayInTable(Fuel_SourceData.Fuel_Scope1EmissionFactorsStationaryGaseous_Data(), Table_Fuel_EFs_StationaryGaseous[[#Headers],[Fuel combusted]],0)</f>
        <v>0.04</v>
      </c>
      <c r="I104" s="185" cm="1">
        <f t="array" ref="I104">Common_InputFunctions.Utility_DisplayArrayInTable(Fuel_SourceData.Fuel_Scope1EmissionFactorsStationaryGaseous_Data(), Table_Fuel_EFs_StationaryGaseous[[#Headers],[Fuel combusted]],0)</f>
        <v>0.03</v>
      </c>
      <c r="J104" s="185" cm="1">
        <f t="array" ref="J104">Common_InputFunctions.Utility_DisplayArrayInTable(Fuel_SourceData.Fuel_Scope1EmissionFactorsStationaryGaseous_Data(), Table_Fuel_EFs_StationaryGaseous[[#Headers],[Fuel combusted]],0)</f>
        <v>60.27</v>
      </c>
      <c r="K104" s="110"/>
      <c r="L104" s="110"/>
    </row>
    <row r="105" spans="4:13" ht="20.100000000000001" customHeight="1" x14ac:dyDescent="0.25">
      <c r="D105" s="110"/>
      <c r="E105" s="110"/>
      <c r="F105" s="110"/>
      <c r="G105" s="110"/>
      <c r="H105" s="110"/>
      <c r="I105" s="110"/>
      <c r="J105" s="110"/>
      <c r="K105" s="110"/>
      <c r="L105" s="110"/>
      <c r="M105" s="110"/>
    </row>
    <row r="106" spans="4:13" ht="20.100000000000001" customHeight="1" x14ac:dyDescent="0.25">
      <c r="D106" s="110"/>
      <c r="E106" s="110"/>
      <c r="F106" s="110"/>
      <c r="G106" s="110"/>
      <c r="H106" s="110"/>
      <c r="I106" s="110"/>
      <c r="J106" s="110"/>
      <c r="K106" s="110"/>
      <c r="L106" s="110"/>
      <c r="M106" s="110"/>
    </row>
    <row r="107" spans="4:13" ht="20.100000000000001" customHeight="1" x14ac:dyDescent="0.25">
      <c r="D107" s="6" t="str" cm="1">
        <f t="array" ref="D107">Fuel_SourceData.Fuel_Scope3EmissionFactorsStationaryGaseous_Title()</f>
        <v>Fuel scope 3 emission factors - Stationary gaseous fuels</v>
      </c>
      <c r="E107" s="110"/>
      <c r="F107" s="110"/>
      <c r="G107" s="110"/>
      <c r="H107" s="110"/>
      <c r="I107" s="110"/>
      <c r="J107" s="110"/>
      <c r="K107" s="110"/>
      <c r="L107" s="110"/>
    </row>
    <row r="108" spans="4:13" ht="20.100000000000001" customHeight="1" x14ac:dyDescent="0.25">
      <c r="D108" s="1" t="str" cm="1">
        <f t="array" ref="D108">Fuel_SourceData.Fuel_Scope3EmissionFactorsStationaryGaseous_Description()</f>
        <v>Indirect (Scope 3) emission factors for the consumption of natural gas.</v>
      </c>
      <c r="E108" s="110"/>
      <c r="F108" s="110"/>
      <c r="G108" s="110"/>
      <c r="H108" s="110"/>
      <c r="I108" s="110"/>
      <c r="J108" s="110"/>
      <c r="K108" s="110"/>
      <c r="L108" s="110"/>
    </row>
    <row r="109" spans="4:13" ht="20.100000000000001" customHeight="1" x14ac:dyDescent="0.25">
      <c r="D109" s="5" t="str" cm="1">
        <f t="array" ref="D109">Fuel_SourceData.Fuel_Scope3EmissionFactorsStationaryGaseous_Source()</f>
        <v>Australian National Greenhouse Accounts Factors 2025 - Table 6</v>
      </c>
      <c r="E109" s="110"/>
      <c r="F109" s="110"/>
      <c r="G109" s="110"/>
      <c r="H109" s="110"/>
      <c r="I109" s="110"/>
      <c r="J109" s="110"/>
      <c r="K109" s="110"/>
      <c r="L109" s="110"/>
    </row>
    <row r="110" spans="4:13" ht="20.100000000000001" customHeight="1" x14ac:dyDescent="0.25">
      <c r="D110" s="53"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10"/>
      <c r="F110" s="110"/>
      <c r="G110" s="110"/>
      <c r="H110" s="110"/>
      <c r="I110" s="110"/>
      <c r="J110" s="110"/>
      <c r="K110" s="110"/>
      <c r="L110" s="110"/>
    </row>
    <row r="111" spans="4:13" ht="20.100000000000001" customHeight="1" x14ac:dyDescent="0.25">
      <c r="D111" s="110"/>
      <c r="E111" s="110"/>
      <c r="F111" s="110"/>
      <c r="G111" s="110"/>
      <c r="H111" s="110"/>
      <c r="I111" s="110"/>
      <c r="J111" s="110"/>
      <c r="K111" s="110"/>
      <c r="L111" s="110"/>
    </row>
    <row r="112" spans="4:13" ht="20.100000000000001" customHeight="1" x14ac:dyDescent="0.25">
      <c r="D112" s="184" t="s">
        <v>356</v>
      </c>
      <c r="E112" s="181" t="s">
        <v>357</v>
      </c>
      <c r="F112" s="181" t="s">
        <v>358</v>
      </c>
      <c r="G112" s="110"/>
      <c r="H112" s="51" t="s">
        <v>359</v>
      </c>
      <c r="I112" s="110"/>
      <c r="J112" s="110"/>
      <c r="K112" s="110"/>
      <c r="L112" s="110"/>
    </row>
    <row r="113" spans="4:13" ht="20.100000000000001" customHeight="1" x14ac:dyDescent="0.25">
      <c r="D113" s="186" t="str" cm="1">
        <f t="array" ref="D113">Common_InputFunctions.Utility_DisplayArrayInTable(Fuel_SourceData.Fuel_Scope3EmissionFactorsStationaryGaseous_Data(), Table_Fuel_EFs_StationaryGaseous34[[#Headers],[State or territory]],0)</f>
        <v>New South Wales</v>
      </c>
      <c r="E113" s="186" cm="1">
        <f t="array" ref="E113">Common_InputFunctions.Utility_DisplayArrayInTable(Fuel_SourceData.Fuel_Scope3EmissionFactorsStationaryGaseous_Data(), Table_Fuel_EFs_StationaryGaseous34[[#Headers],[State or territory]],0)</f>
        <v>13.1</v>
      </c>
      <c r="F113" s="186" cm="1">
        <f t="array" ref="F113">Common_InputFunctions.Utility_DisplayArrayInTable(Fuel_SourceData.Fuel_Scope3EmissionFactorsStationaryGaseous_Data(), Table_Fuel_EFs_StationaryGaseous34[[#Headers],[State or territory]],0)</f>
        <v>14</v>
      </c>
      <c r="G113" s="30"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110"/>
      <c r="J113" s="110"/>
      <c r="K113" s="110"/>
      <c r="L113" s="110"/>
    </row>
    <row r="114" spans="4:13" ht="20.100000000000001" customHeight="1" x14ac:dyDescent="0.25">
      <c r="D114" s="186" t="str" cm="1">
        <f t="array" ref="D114">Common_InputFunctions.Utility_DisplayArrayInTable(Fuel_SourceData.Fuel_Scope3EmissionFactorsStationaryGaseous_Data(), Table_Fuel_EFs_StationaryGaseous34[[#Headers],[State or territory]],0)</f>
        <v>ACT</v>
      </c>
      <c r="E114" s="186" cm="1">
        <f t="array" ref="E114">Common_InputFunctions.Utility_DisplayArrayInTable(Fuel_SourceData.Fuel_Scope3EmissionFactorsStationaryGaseous_Data(), Table_Fuel_EFs_StationaryGaseous34[[#Headers],[State or territory]],0)</f>
        <v>13.1</v>
      </c>
      <c r="F114" s="186" cm="1">
        <f t="array" ref="F114">Common_InputFunctions.Utility_DisplayArrayInTable(Fuel_SourceData.Fuel_Scope3EmissionFactorsStationaryGaseous_Data(), Table_Fuel_EFs_StationaryGaseous34[[#Headers],[State or territory]],0)</f>
        <v>14</v>
      </c>
      <c r="G114" s="30" t="str">
        <v/>
      </c>
      <c r="H114" s="1" t="str">
        <v>Gas reaches end users either from the metro distribution networks or direct from the high - pressure distribution pipelines.</v>
      </c>
      <c r="I114" s="110"/>
      <c r="J114" s="110"/>
      <c r="K114" s="110"/>
      <c r="L114" s="110"/>
    </row>
    <row r="115" spans="4:13" ht="20.100000000000001" customHeight="1" x14ac:dyDescent="0.25">
      <c r="D115" s="186" t="str" cm="1">
        <f t="array" ref="D115">Common_InputFunctions.Utility_DisplayArrayInTable(Fuel_SourceData.Fuel_Scope3EmissionFactorsStationaryGaseous_Data(), Table_Fuel_EFs_StationaryGaseous34[[#Headers],[State or territory]],0)</f>
        <v>Victoria</v>
      </c>
      <c r="E115" s="186" cm="1">
        <f t="array" ref="E115">Common_InputFunctions.Utility_DisplayArrayInTable(Fuel_SourceData.Fuel_Scope3EmissionFactorsStationaryGaseous_Data(), Table_Fuel_EFs_StationaryGaseous34[[#Headers],[State or territory]],0)</f>
        <v>4</v>
      </c>
      <c r="F115" s="186" cm="1">
        <f t="array" ref="F115">Common_InputFunctions.Utility_DisplayArrayInTable(Fuel_SourceData.Fuel_Scope3EmissionFactorsStationaryGaseous_Data(), Table_Fuel_EFs_StationaryGaseous34[[#Headers],[State or territory]],0)</f>
        <v>4</v>
      </c>
      <c r="G115" s="30" t="str">
        <v/>
      </c>
      <c r="H115" s="1" t="str">
        <v>Households and commercial users tend to be served by the former, and electricity generators and large industrial plants from the latter.</v>
      </c>
      <c r="I115" s="110"/>
      <c r="J115" s="110"/>
      <c r="K115" s="110"/>
      <c r="L115" s="110"/>
    </row>
    <row r="116" spans="4:13" ht="20.100000000000001" customHeight="1" x14ac:dyDescent="0.25">
      <c r="D116" s="186" t="str" cm="1">
        <f t="array" ref="D116">Common_InputFunctions.Utility_DisplayArrayInTable(Fuel_SourceData.Fuel_Scope3EmissionFactorsStationaryGaseous_Data(), Table_Fuel_EFs_StationaryGaseous34[[#Headers],[State or territory]],0)</f>
        <v>Queensland</v>
      </c>
      <c r="E116" s="186" cm="1">
        <f t="array" ref="E116">Common_InputFunctions.Utility_DisplayArrayInTable(Fuel_SourceData.Fuel_Scope3EmissionFactorsStationaryGaseous_Data(), Table_Fuel_EFs_StationaryGaseous34[[#Headers],[State or territory]],0)</f>
        <v>8.8000000000000007</v>
      </c>
      <c r="F116" s="186" cm="1">
        <f t="array" ref="F116">Common_InputFunctions.Utility_DisplayArrayInTable(Fuel_SourceData.Fuel_Scope3EmissionFactorsStationaryGaseous_Data(), Table_Fuel_EFs_StationaryGaseous34[[#Headers],[State or territory]],0)</f>
        <v>7.9</v>
      </c>
      <c r="G116" s="30" t="str">
        <v>-</v>
      </c>
      <c r="H116" s="1" t="str">
        <v>Metro is defined as located on or east of the dividing range in NSW, including Canberra and Queanbeyan, Melbourne, Brisbane, Adelaide or Perth.</v>
      </c>
      <c r="I116" s="110"/>
      <c r="J116" s="110"/>
      <c r="K116" s="110"/>
      <c r="L116" s="110"/>
    </row>
    <row r="117" spans="4:13" ht="20.100000000000001" customHeight="1" x14ac:dyDescent="0.25">
      <c r="D117" s="186" t="str" cm="1">
        <f t="array" ref="D117">Common_InputFunctions.Utility_DisplayArrayInTable(Fuel_SourceData.Fuel_Scope3EmissionFactorsStationaryGaseous_Data(), Table_Fuel_EFs_StationaryGaseous34[[#Headers],[State or territory]],0)</f>
        <v>South Australia</v>
      </c>
      <c r="E117" s="186" cm="1">
        <f t="array" ref="E117">Common_InputFunctions.Utility_DisplayArrayInTable(Fuel_SourceData.Fuel_Scope3EmissionFactorsStationaryGaseous_Data(), Table_Fuel_EFs_StationaryGaseous34[[#Headers],[State or territory]],0)</f>
        <v>10.7</v>
      </c>
      <c r="F117" s="186" cm="1">
        <f t="array" ref="F117">Common_InputFunctions.Utility_DisplayArrayInTable(Fuel_SourceData.Fuel_Scope3EmissionFactorsStationaryGaseous_Data(), Table_Fuel_EFs_StationaryGaseous34[[#Headers],[State or territory]],0)</f>
        <v>10.6</v>
      </c>
      <c r="G117" s="30" t="str">
        <v/>
      </c>
      <c r="H117" s="1" t="str">
        <v>Otherwise, the non - metro factor should be used.</v>
      </c>
      <c r="I117" s="110"/>
      <c r="J117" s="110"/>
      <c r="K117" s="110"/>
      <c r="L117" s="110"/>
    </row>
    <row r="118" spans="4:13" ht="20.100000000000001" customHeight="1" x14ac:dyDescent="0.25">
      <c r="D118" s="186" t="str" cm="1">
        <f t="array" ref="D118">Common_InputFunctions.Utility_DisplayArrayInTable(Fuel_SourceData.Fuel_Scope3EmissionFactorsStationaryGaseous_Data(), Table_Fuel_EFs_StationaryGaseous34[[#Headers],[State or territory]],0)</f>
        <v>Western Australia</v>
      </c>
      <c r="E118" s="186" cm="1">
        <f t="array" ref="E118">Common_InputFunctions.Utility_DisplayArrayInTable(Fuel_SourceData.Fuel_Scope3EmissionFactorsStationaryGaseous_Data(), Table_Fuel_EFs_StationaryGaseous34[[#Headers],[State or territory]],0)</f>
        <v>4.0999999999999996</v>
      </c>
      <c r="F118" s="186" cm="1">
        <f t="array" ref="F118">Common_InputFunctions.Utility_DisplayArrayInTable(Fuel_SourceData.Fuel_Scope3EmissionFactorsStationaryGaseous_Data(), Table_Fuel_EFs_StationaryGaseous34[[#Headers],[State or territory]],0)</f>
        <v>4</v>
      </c>
      <c r="G118" s="30" t="str">
        <v>-</v>
      </c>
      <c r="H118" s="1" t="str">
        <v>Factors are calculated for all natural gas distributed in a pipeline which may include coal seam methane.</v>
      </c>
      <c r="I118" s="110"/>
      <c r="J118" s="110"/>
      <c r="K118" s="110"/>
      <c r="L118" s="110"/>
    </row>
    <row r="119" spans="4:13" ht="20.100000000000001" customHeight="1" x14ac:dyDescent="0.25">
      <c r="D119" s="186" t="str" cm="1">
        <f t="array" ref="D119">Common_InputFunctions.Utility_DisplayArrayInTable(Fuel_SourceData.Fuel_Scope3EmissionFactorsStationaryGaseous_Data(), Table_Fuel_EFs_StationaryGaseous34[[#Headers],[State or territory]],0)</f>
        <v>Tasmania</v>
      </c>
      <c r="E119" s="186" cm="1">
        <f t="array" ref="E119">Common_InputFunctions.Utility_DisplayArrayInTable(Fuel_SourceData.Fuel_Scope3EmissionFactorsStationaryGaseous_Data(), Table_Fuel_EFs_StationaryGaseous34[[#Headers],[State or territory]],0)</f>
        <v>4</v>
      </c>
      <c r="F119" s="186" cm="1">
        <f t="array" ref="F119">Common_InputFunctions.Utility_DisplayArrayInTable(Fuel_SourceData.Fuel_Scope3EmissionFactorsStationaryGaseous_Data(), Table_Fuel_EFs_StationaryGaseous34[[#Headers],[State or territory]],0)</f>
        <v>4</v>
      </c>
      <c r="G119" s="30" t="str">
        <v>-</v>
      </c>
      <c r="H119" s="1" t="str">
        <v>Table 6 is not applicable to ethane. See Table 7 Indirect (Scope 3) emissions from the consumption of ethane.</v>
      </c>
      <c r="I119" s="110"/>
      <c r="J119" s="110"/>
      <c r="K119" s="110"/>
      <c r="L119" s="110"/>
    </row>
    <row r="120" spans="4:13" ht="20.100000000000001" customHeight="1" x14ac:dyDescent="0.25">
      <c r="D120" s="186" t="str" cm="1">
        <f t="array" ref="D120">Common_InputFunctions.Utility_DisplayArrayInTable(Fuel_SourceData.Fuel_Scope3EmissionFactorsStationaryGaseous_Data(), Table_Fuel_EFs_StationaryGaseous34[[#Headers],[State or territory]],0)</f>
        <v>Northern Territory</v>
      </c>
      <c r="E120" s="186" cm="1">
        <f t="array" ref="E120">Common_InputFunctions.Utility_DisplayArrayInTable(Fuel_SourceData.Fuel_Scope3EmissionFactorsStationaryGaseous_Data(), Table_Fuel_EFs_StationaryGaseous34[[#Headers],[State or territory]],0)</f>
        <v>4.0999999999999996</v>
      </c>
      <c r="F120" s="186" cm="1">
        <f t="array" ref="F120">Common_InputFunctions.Utility_DisplayArrayInTable(Fuel_SourceData.Fuel_Scope3EmissionFactorsStationaryGaseous_Data(), Table_Fuel_EFs_StationaryGaseous34[[#Headers],[State or territory]],0)</f>
        <v>4</v>
      </c>
      <c r="G120" s="30" t="str">
        <v>-</v>
      </c>
      <c r="H120" s="1" t="str">
        <v>C = Confidential. Scope 3 emission factors for Tasmania and the Northern Territory are not available due to confidentiality constraints that arise</v>
      </c>
      <c r="I120" s="110"/>
      <c r="J120" s="110"/>
      <c r="K120" s="110"/>
      <c r="L120" s="110"/>
    </row>
    <row r="121" spans="4:13" ht="20.100000000000001" customHeight="1" x14ac:dyDescent="0.25">
      <c r="D121" s="22"/>
      <c r="E121" s="22"/>
      <c r="F121" s="22"/>
      <c r="G121" s="30" t="str">
        <v/>
      </c>
      <c r="H121" s="1" t="str">
        <v>from the use of a limited number of NGER data inputs. It is suggested that for Tasmania the use of the Victorian emission factors is appropriate,</v>
      </c>
      <c r="I121" s="110"/>
      <c r="J121" s="110"/>
      <c r="K121" s="110"/>
      <c r="L121" s="110"/>
    </row>
    <row r="122" spans="4:13" ht="20.100000000000001" customHeight="1" x14ac:dyDescent="0.25">
      <c r="D122" s="110"/>
      <c r="F122" s="187"/>
      <c r="G122" s="30" t="str">
        <v/>
      </c>
      <c r="H122" s="1" t="str">
        <v>while for Northern Territory the use of the Western Australian emission factors is appropriate.</v>
      </c>
      <c r="I122" s="110"/>
      <c r="J122" s="110"/>
      <c r="K122" s="110"/>
      <c r="L122" s="110"/>
    </row>
    <row r="123" spans="4:13" ht="20.100000000000001" customHeight="1" x14ac:dyDescent="0.25">
      <c r="D123" s="188"/>
      <c r="F123" s="187"/>
      <c r="G123" s="30" t="str">
        <v>-</v>
      </c>
      <c r="H123" s="1" t="str">
        <v>Scope 3 emission factors do not include fugitive emission leakage from low pressure natural gas distribution pipeline networks while those from high pressure</v>
      </c>
      <c r="I123" s="110"/>
      <c r="J123" s="110"/>
      <c r="K123" s="110"/>
      <c r="L123" s="110"/>
    </row>
    <row r="124" spans="4:13" ht="20.100000000000001" customHeight="1" x14ac:dyDescent="0.25">
      <c r="D124" s="188"/>
      <c r="F124" s="187"/>
      <c r="G124" s="110" t="str">
        <v/>
      </c>
      <c r="H124" s="1" t="str">
        <v>gas networks are considered negligible.</v>
      </c>
      <c r="I124" s="110"/>
      <c r="J124" s="110"/>
      <c r="K124" s="110"/>
      <c r="L124" s="110"/>
    </row>
    <row r="125" spans="4:13" ht="20.100000000000001" customHeight="1" x14ac:dyDescent="0.25">
      <c r="D125" s="188"/>
      <c r="F125" s="187"/>
      <c r="G125" s="110"/>
      <c r="H125" s="110"/>
      <c r="I125" s="110"/>
      <c r="J125" s="110"/>
      <c r="K125" s="110"/>
      <c r="L125" s="110"/>
    </row>
    <row r="126" spans="4:13" ht="20.100000000000001" customHeight="1" x14ac:dyDescent="0.25">
      <c r="D126" s="110"/>
      <c r="E126" s="110"/>
      <c r="F126" s="110"/>
      <c r="G126" s="110"/>
      <c r="H126" s="110"/>
      <c r="I126" s="110"/>
      <c r="J126" s="110"/>
      <c r="K126" s="110"/>
      <c r="L126" s="110"/>
      <c r="M126" s="110"/>
    </row>
    <row r="127" spans="4:13" ht="20.100000000000001" customHeight="1" x14ac:dyDescent="0.25">
      <c r="D127" s="110"/>
      <c r="E127" s="110"/>
      <c r="F127" s="110"/>
      <c r="G127" s="110"/>
      <c r="H127" s="110"/>
      <c r="I127" s="110"/>
      <c r="J127" s="110"/>
      <c r="K127" s="110"/>
      <c r="L127" s="110"/>
      <c r="M127" s="110"/>
    </row>
    <row r="128" spans="4:13" ht="20.100000000000001" customHeight="1" x14ac:dyDescent="0.25">
      <c r="D128" s="110"/>
      <c r="E128" s="110"/>
      <c r="F128" s="110"/>
      <c r="G128" s="110"/>
      <c r="H128" s="110"/>
      <c r="I128" s="110"/>
      <c r="J128" s="110"/>
      <c r="K128" s="110"/>
      <c r="L128" s="110"/>
      <c r="M128" s="110"/>
    </row>
    <row r="129" spans="4:33" ht="20.100000000000001" customHeight="1" x14ac:dyDescent="0.25">
      <c r="D129" s="189"/>
      <c r="E129" s="110"/>
      <c r="F129" s="110"/>
      <c r="G129" s="110"/>
      <c r="H129" s="110"/>
      <c r="I129" s="110"/>
      <c r="J129" s="110"/>
      <c r="K129" s="110"/>
      <c r="L129" s="110"/>
    </row>
    <row r="130" spans="4:33" ht="20.100000000000001" customHeight="1" x14ac:dyDescent="0.25">
      <c r="D130" s="190" t="s">
        <v>360</v>
      </c>
      <c r="E130" s="190" t="s">
        <v>361</v>
      </c>
      <c r="F130" s="190" t="s">
        <v>362</v>
      </c>
      <c r="G130" s="190" t="s">
        <v>363</v>
      </c>
      <c r="H130" s="190" t="s">
        <v>364</v>
      </c>
      <c r="I130" s="190" t="s">
        <v>365</v>
      </c>
      <c r="J130" s="190" t="s">
        <v>329</v>
      </c>
      <c r="K130" s="110"/>
      <c r="L130" s="110"/>
      <c r="M130" s="110"/>
      <c r="AG130" s="1"/>
    </row>
    <row r="131" spans="4:33" ht="20.100000000000001" customHeight="1" x14ac:dyDescent="0.25">
      <c r="D131" s="191" t="str">
        <f>$D$143</f>
        <v>Petrol</v>
      </c>
      <c r="E131" s="191" t="str">
        <f>$D$143</f>
        <v>Petrol</v>
      </c>
      <c r="F131" s="191" t="str">
        <f>$D$150</f>
        <v>Avgas</v>
      </c>
      <c r="G131" s="191" t="str">
        <f>$D$143</f>
        <v>Petrol</v>
      </c>
      <c r="H131" s="191" t="str">
        <f>$D$144</f>
        <v>Diesel</v>
      </c>
      <c r="I131" s="191" t="str">
        <f>$D$143</f>
        <v>Petrol</v>
      </c>
      <c r="J131" s="191" t="str">
        <f>$D$143</f>
        <v>Petrol</v>
      </c>
      <c r="K131" s="110"/>
      <c r="L131" s="110"/>
      <c r="M131" s="110"/>
      <c r="AG131" s="1"/>
    </row>
    <row r="132" spans="4:33" ht="20.100000000000001" customHeight="1" x14ac:dyDescent="0.25">
      <c r="D132" s="191" t="str">
        <f>$D$144</f>
        <v>Diesel</v>
      </c>
      <c r="E132" s="191" t="str">
        <f>$D$144</f>
        <v>Diesel</v>
      </c>
      <c r="F132" s="191" t="str">
        <f>$D$151</f>
        <v>Jet A1, Jet B</v>
      </c>
      <c r="G132" s="191" t="str">
        <f>$D$144</f>
        <v>Diesel</v>
      </c>
      <c r="H132" s="191"/>
      <c r="I132" s="191" t="str">
        <f>$D$144</f>
        <v>Diesel</v>
      </c>
      <c r="J132" s="191" t="str">
        <f>$D$144</f>
        <v>Diesel</v>
      </c>
      <c r="K132" s="110"/>
      <c r="L132" s="110"/>
      <c r="M132" s="110"/>
      <c r="AG132" s="1"/>
    </row>
    <row r="133" spans="4:33" ht="20.100000000000001" customHeight="1" x14ac:dyDescent="0.25">
      <c r="D133" s="191" t="str">
        <f>$D$145</f>
        <v>Liquefied petroleum gas (LPG)</v>
      </c>
      <c r="E133" s="191" t="str">
        <f>$D$145</f>
        <v>Liquefied petroleum gas (LPG)</v>
      </c>
      <c r="F133" s="191" t="str">
        <f>$D$152</f>
        <v>Renewable aviation kerosene</v>
      </c>
      <c r="G133" s="191" t="str">
        <f>$D$145</f>
        <v>Liquefied petroleum gas (LPG)</v>
      </c>
      <c r="H133" s="191"/>
      <c r="I133" s="191" t="s">
        <v>366</v>
      </c>
      <c r="J133" s="191" t="str">
        <f>$D$145</f>
        <v>Liquefied petroleum gas (LPG)</v>
      </c>
      <c r="K133" s="110"/>
      <c r="L133" s="110"/>
      <c r="M133" s="110"/>
      <c r="AG133" s="1"/>
    </row>
    <row r="134" spans="4:33" ht="20.100000000000001" customHeight="1" x14ac:dyDescent="0.25">
      <c r="D134" s="191" t="str">
        <f>$D$146</f>
        <v>Biodiesel</v>
      </c>
      <c r="E134" s="191" t="str">
        <f>$D$146</f>
        <v>Biodiesel</v>
      </c>
      <c r="F134" s="190"/>
      <c r="G134" s="191" t="str">
        <f>$D$160</f>
        <v>Fuel oil</v>
      </c>
      <c r="H134" s="191"/>
      <c r="I134" s="191"/>
      <c r="J134" s="191" t="str">
        <f>$D$146</f>
        <v>Biodiesel</v>
      </c>
      <c r="K134" s="110"/>
      <c r="L134" s="110"/>
      <c r="M134" s="110"/>
      <c r="AG134" s="1"/>
    </row>
    <row r="135" spans="4:33" ht="20.100000000000001" customHeight="1" x14ac:dyDescent="0.25">
      <c r="D135" s="191" t="str">
        <f>$D$147</f>
        <v>Ethanol</v>
      </c>
      <c r="E135" s="191" t="str">
        <f>$D$147</f>
        <v>Ethanol</v>
      </c>
      <c r="F135" s="190"/>
      <c r="G135" s="191" t="str">
        <f>$D$147</f>
        <v>Ethanol</v>
      </c>
      <c r="H135" s="191"/>
      <c r="I135" s="191"/>
      <c r="J135" s="191" t="str">
        <f>$D$147</f>
        <v>Ethanol</v>
      </c>
      <c r="K135" s="110"/>
      <c r="L135" s="110"/>
      <c r="M135" s="110"/>
      <c r="AG135" s="1"/>
    </row>
    <row r="136" spans="4:33" ht="20.100000000000001" customHeight="1" x14ac:dyDescent="0.25">
      <c r="D136" s="191" t="str">
        <f>$D$148</f>
        <v>Other biofuels</v>
      </c>
      <c r="E136" s="191" t="str">
        <f>$D$148</f>
        <v>Other biofuels</v>
      </c>
      <c r="F136" s="190"/>
      <c r="G136" s="191" t="str">
        <f>$D$146</f>
        <v>Biodiesel</v>
      </c>
      <c r="H136" s="191"/>
      <c r="I136" s="191"/>
      <c r="J136" s="191" t="str">
        <f>$D$148</f>
        <v>Other biofuels</v>
      </c>
      <c r="K136" s="110"/>
      <c r="L136" s="110"/>
      <c r="M136" s="110"/>
      <c r="AG136" s="1"/>
    </row>
    <row r="137" spans="4:33" ht="20.100000000000001" customHeight="1" x14ac:dyDescent="0.25">
      <c r="D137" s="191" t="str">
        <f>$D$149</f>
        <v>Renewable diesel</v>
      </c>
      <c r="E137" s="191" t="str">
        <f>$D$149</f>
        <v>Renewable diesel</v>
      </c>
      <c r="F137" s="190"/>
      <c r="G137" s="191" t="str">
        <f>$D$149</f>
        <v>Renewable diesel</v>
      </c>
      <c r="H137" s="191"/>
      <c r="I137" s="191"/>
      <c r="J137" s="191" t="str">
        <f>$D$149</f>
        <v>Renewable diesel</v>
      </c>
      <c r="K137" s="110"/>
      <c r="L137" s="110"/>
      <c r="M137" s="110"/>
      <c r="AG137" s="1"/>
    </row>
    <row r="138" spans="4:33" ht="20.100000000000001" customHeight="1" x14ac:dyDescent="0.25">
      <c r="D138" s="190"/>
      <c r="E138" s="192" t="str">
        <f>$D$161</f>
        <v>Natural gas (via pipeline) in GJ</v>
      </c>
      <c r="F138" s="192"/>
      <c r="G138" s="191" t="str">
        <f>$D$148</f>
        <v>Other biofuels</v>
      </c>
      <c r="H138" s="191"/>
      <c r="I138" s="191"/>
      <c r="J138" s="192" t="str">
        <f>$D$161</f>
        <v>Natural gas (via pipeline) in GJ</v>
      </c>
      <c r="K138" s="110"/>
      <c r="L138" s="110"/>
      <c r="M138" s="110"/>
      <c r="AG138" s="1"/>
    </row>
    <row r="139" spans="4:33" ht="20.100000000000001" customHeight="1" x14ac:dyDescent="0.25">
      <c r="D139" s="192"/>
      <c r="E139" s="192" t="str">
        <f>$D$162</f>
        <v>Town gas in GJ</v>
      </c>
      <c r="F139" s="192"/>
      <c r="G139" s="192"/>
      <c r="H139" s="192"/>
      <c r="I139" s="192"/>
      <c r="J139" s="192" t="str">
        <f>$D$162</f>
        <v>Town gas in GJ</v>
      </c>
      <c r="K139" s="110"/>
      <c r="L139" s="110"/>
      <c r="M139" s="110"/>
      <c r="AG139" s="1"/>
    </row>
    <row r="140" spans="4:33" ht="20.100000000000001" customHeight="1" x14ac:dyDescent="0.25">
      <c r="D140" s="110"/>
      <c r="E140" s="110"/>
      <c r="F140" s="110"/>
      <c r="G140" s="110"/>
      <c r="H140" s="110"/>
      <c r="I140" s="110"/>
      <c r="J140" s="110"/>
      <c r="K140" s="110"/>
      <c r="L140" s="110"/>
    </row>
    <row r="141" spans="4:33" ht="20.100000000000001" customHeight="1" x14ac:dyDescent="0.25">
      <c r="D141" s="110"/>
      <c r="E141" s="110"/>
      <c r="F141" s="110"/>
      <c r="G141" s="110"/>
      <c r="H141" s="110"/>
      <c r="I141" s="110"/>
      <c r="J141" s="110"/>
      <c r="K141" s="110"/>
      <c r="L141" s="110"/>
    </row>
    <row r="142" spans="4:33" ht="20.100000000000001" customHeight="1" x14ac:dyDescent="0.25">
      <c r="D142" t="s">
        <v>367</v>
      </c>
      <c r="E142" t="s">
        <v>16</v>
      </c>
      <c r="F142" s="110"/>
      <c r="G142" s="110"/>
      <c r="H142" s="110"/>
      <c r="I142" s="110"/>
      <c r="J142" s="110"/>
      <c r="K142" s="110"/>
      <c r="L142" s="110"/>
    </row>
    <row r="143" spans="4:33" ht="20.100000000000001" customHeight="1" x14ac:dyDescent="0.25">
      <c r="D143" s="191" t="s">
        <v>330</v>
      </c>
      <c r="E143" t="s">
        <v>368</v>
      </c>
      <c r="F143" s="110"/>
      <c r="G143" s="110"/>
      <c r="H143" s="110"/>
      <c r="I143" s="110"/>
      <c r="J143" s="110"/>
      <c r="K143" s="110"/>
      <c r="L143" s="110"/>
    </row>
    <row r="144" spans="4:33" ht="20.100000000000001" customHeight="1" x14ac:dyDescent="0.25">
      <c r="D144" s="191" t="s">
        <v>331</v>
      </c>
      <c r="E144" t="s">
        <v>368</v>
      </c>
      <c r="F144" s="110"/>
      <c r="G144" s="110"/>
      <c r="H144" s="110"/>
      <c r="I144" s="110"/>
      <c r="J144" s="110"/>
      <c r="K144" s="110"/>
      <c r="L144" s="110"/>
    </row>
    <row r="145" spans="4:12" ht="20.100000000000001" customHeight="1" x14ac:dyDescent="0.25">
      <c r="D145" s="191" t="s">
        <v>335</v>
      </c>
      <c r="E145" t="s">
        <v>368</v>
      </c>
      <c r="F145" s="110"/>
      <c r="G145" s="110"/>
      <c r="H145" s="110"/>
      <c r="I145" s="110"/>
      <c r="J145" s="110"/>
      <c r="K145" s="110"/>
      <c r="L145" s="110"/>
    </row>
    <row r="146" spans="4:12" ht="20.100000000000001" customHeight="1" x14ac:dyDescent="0.25">
      <c r="D146" s="191" t="s">
        <v>332</v>
      </c>
      <c r="E146" t="s">
        <v>368</v>
      </c>
      <c r="F146" s="110"/>
      <c r="G146" s="110"/>
      <c r="H146" s="110"/>
      <c r="I146" s="110"/>
      <c r="J146" s="110"/>
      <c r="K146" s="110"/>
      <c r="L146" s="110"/>
    </row>
    <row r="147" spans="4:12" ht="20.100000000000001" customHeight="1" x14ac:dyDescent="0.25">
      <c r="D147" s="191" t="s">
        <v>333</v>
      </c>
      <c r="E147" t="s">
        <v>368</v>
      </c>
      <c r="F147" s="110"/>
      <c r="G147" s="110"/>
      <c r="H147" s="110"/>
      <c r="I147" s="110"/>
      <c r="J147" s="110"/>
      <c r="K147" s="110"/>
      <c r="L147" s="110"/>
    </row>
    <row r="148" spans="4:12" ht="20.100000000000001" customHeight="1" x14ac:dyDescent="0.25">
      <c r="D148" s="191" t="s">
        <v>334</v>
      </c>
      <c r="E148" t="s">
        <v>368</v>
      </c>
      <c r="F148" s="110"/>
      <c r="G148" s="110"/>
      <c r="H148" s="110"/>
      <c r="I148" s="110"/>
      <c r="J148" s="110"/>
      <c r="K148" s="110"/>
      <c r="L148" s="110"/>
    </row>
    <row r="149" spans="4:12" ht="20.100000000000001" customHeight="1" x14ac:dyDescent="0.25">
      <c r="D149" s="191" t="s">
        <v>336</v>
      </c>
      <c r="E149" t="s">
        <v>368</v>
      </c>
      <c r="F149" s="110"/>
      <c r="G149" s="110"/>
      <c r="H149" s="110"/>
      <c r="I149" s="110"/>
      <c r="J149" s="110"/>
      <c r="K149" s="110"/>
      <c r="L149" s="110"/>
    </row>
    <row r="150" spans="4:12" ht="20.100000000000001" customHeight="1" x14ac:dyDescent="0.25">
      <c r="D150" s="191" t="s">
        <v>369</v>
      </c>
      <c r="E150" t="s">
        <v>368</v>
      </c>
      <c r="F150" s="110"/>
      <c r="G150" s="110"/>
      <c r="H150" s="110"/>
      <c r="I150" s="110"/>
      <c r="J150" s="110"/>
      <c r="K150" s="110"/>
      <c r="L150" s="110"/>
    </row>
    <row r="151" spans="4:12" ht="20.100000000000001" customHeight="1" x14ac:dyDescent="0.25">
      <c r="D151" s="191" t="s">
        <v>370</v>
      </c>
      <c r="E151" t="s">
        <v>368</v>
      </c>
      <c r="F151" s="110"/>
      <c r="G151" s="110"/>
      <c r="H151" s="110"/>
      <c r="I151" s="110"/>
      <c r="J151" s="110"/>
      <c r="K151" s="110"/>
      <c r="L151" s="110"/>
    </row>
    <row r="152" spans="4:12" ht="20.100000000000001" customHeight="1" x14ac:dyDescent="0.25">
      <c r="D152" s="193" t="s">
        <v>371</v>
      </c>
      <c r="E152" s="22" t="s">
        <v>368</v>
      </c>
      <c r="F152" s="110"/>
      <c r="G152" s="110"/>
      <c r="H152" s="110"/>
      <c r="I152" s="110"/>
      <c r="J152" s="110"/>
      <c r="K152" s="110"/>
      <c r="L152" s="110"/>
    </row>
    <row r="153" spans="4:12" ht="20.100000000000001" customHeight="1" x14ac:dyDescent="0.25">
      <c r="D153" s="193" t="s">
        <v>372</v>
      </c>
      <c r="E153" s="22" t="s">
        <v>368</v>
      </c>
      <c r="F153" s="110"/>
      <c r="G153" s="110"/>
      <c r="H153" s="110"/>
      <c r="I153" s="110"/>
      <c r="J153" s="110"/>
      <c r="K153" s="110"/>
      <c r="L153" s="110"/>
    </row>
    <row r="154" spans="4:12" ht="20.100000000000001" customHeight="1" x14ac:dyDescent="0.25">
      <c r="D154" s="193" t="s">
        <v>373</v>
      </c>
      <c r="E154" s="22" t="s">
        <v>368</v>
      </c>
      <c r="F154" s="110"/>
      <c r="G154" s="110"/>
      <c r="H154" s="110"/>
      <c r="I154" s="110"/>
      <c r="J154" s="110"/>
      <c r="K154" s="110"/>
      <c r="L154" s="110"/>
    </row>
    <row r="155" spans="4:12" ht="20.100000000000001" customHeight="1" x14ac:dyDescent="0.25">
      <c r="D155" s="193" t="s">
        <v>374</v>
      </c>
      <c r="E155" s="22" t="s">
        <v>368</v>
      </c>
      <c r="F155" s="110"/>
      <c r="G155" s="110"/>
      <c r="H155" s="110"/>
      <c r="I155" s="110"/>
      <c r="J155" s="110"/>
      <c r="K155" s="110"/>
      <c r="L155" s="110"/>
    </row>
    <row r="156" spans="4:12" ht="20.100000000000001" customHeight="1" x14ac:dyDescent="0.25">
      <c r="D156" s="193" t="s">
        <v>375</v>
      </c>
      <c r="E156" s="22" t="s">
        <v>368</v>
      </c>
      <c r="F156" s="110"/>
      <c r="G156" s="110"/>
      <c r="H156" s="110"/>
      <c r="I156" s="110"/>
      <c r="J156" s="110"/>
      <c r="K156" s="110"/>
      <c r="L156" s="110"/>
    </row>
    <row r="157" spans="4:12" ht="20.100000000000001" customHeight="1" x14ac:dyDescent="0.25">
      <c r="D157" s="193" t="s">
        <v>376</v>
      </c>
      <c r="E157" s="22" t="s">
        <v>368</v>
      </c>
      <c r="F157" s="110"/>
      <c r="G157" s="110"/>
      <c r="H157" s="110"/>
      <c r="I157" s="110"/>
      <c r="J157" s="110"/>
      <c r="K157" s="110"/>
      <c r="L157" s="110"/>
    </row>
    <row r="158" spans="4:12" ht="20.100000000000001" customHeight="1" x14ac:dyDescent="0.25">
      <c r="D158" s="193" t="s">
        <v>377</v>
      </c>
      <c r="E158" s="22" t="s">
        <v>368</v>
      </c>
      <c r="F158" s="110"/>
      <c r="G158" s="110"/>
      <c r="H158" s="110"/>
      <c r="I158" s="110"/>
      <c r="J158" s="110"/>
      <c r="K158" s="110"/>
      <c r="L158" s="110"/>
    </row>
    <row r="159" spans="4:12" ht="20.100000000000001" customHeight="1" x14ac:dyDescent="0.25">
      <c r="D159" s="193" t="s">
        <v>378</v>
      </c>
      <c r="E159" s="22" t="s">
        <v>368</v>
      </c>
      <c r="F159" s="110"/>
      <c r="G159" s="110"/>
      <c r="H159" s="110"/>
      <c r="I159" s="110"/>
      <c r="J159" s="110"/>
      <c r="K159" s="110"/>
      <c r="L159" s="110"/>
    </row>
    <row r="160" spans="4:12" ht="20.100000000000001" customHeight="1" x14ac:dyDescent="0.25">
      <c r="D160" s="193" t="s">
        <v>366</v>
      </c>
      <c r="E160" s="22" t="s">
        <v>368</v>
      </c>
      <c r="F160" s="110"/>
      <c r="G160" s="110"/>
      <c r="H160" s="110"/>
      <c r="I160" s="110"/>
      <c r="J160" s="110"/>
      <c r="K160" s="110"/>
      <c r="L160" s="110"/>
    </row>
    <row r="161" spans="4:12" ht="20.100000000000001" customHeight="1" x14ac:dyDescent="0.25">
      <c r="D161" s="192" t="s">
        <v>337</v>
      </c>
      <c r="E161" s="110" t="s">
        <v>379</v>
      </c>
      <c r="F161" s="110"/>
      <c r="G161" s="110"/>
      <c r="H161" s="110"/>
      <c r="I161" s="110"/>
      <c r="J161" s="110"/>
      <c r="K161" s="110"/>
      <c r="L161" s="110"/>
    </row>
    <row r="162" spans="4:12" ht="20.100000000000001" customHeight="1" x14ac:dyDescent="0.25">
      <c r="D162" s="110" t="s">
        <v>338</v>
      </c>
      <c r="E162" s="110" t="s">
        <v>379</v>
      </c>
      <c r="F162" s="110"/>
      <c r="G162" s="110"/>
      <c r="H162" s="110"/>
      <c r="I162" s="110"/>
      <c r="J162" s="110"/>
      <c r="K162" s="110"/>
      <c r="L162" s="110"/>
    </row>
    <row r="163" spans="4:12" ht="20.100000000000001" customHeight="1" x14ac:dyDescent="0.25"/>
    <row r="164" spans="4:12" ht="20.100000000000001" customHeight="1" x14ac:dyDescent="0.25"/>
    <row r="165" spans="4:12"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6C07E-3BBC-40AD-9550-B73B24462357}">
  <dimension ref="A1:BY259"/>
  <sheetViews>
    <sheetView showGridLines="0" zoomScale="85" zoomScaleNormal="85" workbookViewId="0">
      <selection activeCell="E191" sqref="E191"/>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17</v>
      </c>
      <c r="E6" s="37" t="s">
        <v>18</v>
      </c>
      <c r="F6" s="37" t="s">
        <v>19</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20</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23</v>
      </c>
      <c r="E36" s="37" t="s">
        <v>24</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23</v>
      </c>
      <c r="E47" s="37" t="s">
        <v>26</v>
      </c>
      <c r="F47" s="37" t="s">
        <v>27</v>
      </c>
      <c r="G47" s="37" t="s">
        <v>28</v>
      </c>
      <c r="H47" s="37" t="s">
        <v>29</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8</v>
      </c>
      <c r="E63" s="37" t="s">
        <v>44</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8</v>
      </c>
      <c r="E89" s="37" t="s">
        <v>32</v>
      </c>
      <c r="F89" s="37" t="s">
        <v>33</v>
      </c>
      <c r="G89" s="37" t="s">
        <v>34</v>
      </c>
      <c r="H89" s="37" t="s">
        <v>35</v>
      </c>
      <c r="I89" s="37" t="s">
        <v>36</v>
      </c>
      <c r="J89" s="37" t="s">
        <v>37</v>
      </c>
      <c r="K89" s="37" t="s">
        <v>38</v>
      </c>
      <c r="L89" s="37" t="s">
        <v>39</v>
      </c>
      <c r="M89" s="37" t="s">
        <v>40</v>
      </c>
      <c r="N89" s="37" t="s">
        <v>41</v>
      </c>
      <c r="O89" s="37" t="s">
        <v>45</v>
      </c>
      <c r="P89" s="37" t="s">
        <v>42</v>
      </c>
      <c r="Q89" s="37" t="s">
        <v>46</v>
      </c>
      <c r="R89" s="37" t="s">
        <v>43</v>
      </c>
      <c r="S89" s="37" t="s">
        <v>47</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c r="D98" s="52" t="str" cm="1">
        <f t="array" ref="D98:D101">Common_SourceData.Common_SourceData_ClimateZones_Appendices()</f>
        <v>Note:</v>
      </c>
    </row>
    <row r="99" spans="4:20" ht="20.100000000000001" customHeight="1" x14ac:dyDescent="0.25">
      <c r="D99" s="52" t="str">
        <v>MAT = mean annual temperature</v>
      </c>
    </row>
    <row r="100" spans="4:20" ht="20.100000000000001" customHeight="1" x14ac:dyDescent="0.25">
      <c r="D100" s="52" t="str">
        <v>MAP = mean annual precipitation</v>
      </c>
    </row>
    <row r="101" spans="4:20" ht="20.100000000000001" customHeight="1" x14ac:dyDescent="0.25">
      <c r="D101" s="52" t="str">
        <v>PET = potential evapotranspiration</v>
      </c>
    </row>
    <row r="102" spans="4:20" ht="20.100000000000001" customHeight="1" x14ac:dyDescent="0.25">
      <c r="D102" s="52"/>
    </row>
    <row r="103" spans="4:20" ht="20.100000000000001" customHeight="1" x14ac:dyDescent="0.25"/>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51</v>
      </c>
      <c r="E109" s="37" t="s">
        <v>32</v>
      </c>
      <c r="F109" s="37" t="s">
        <v>52</v>
      </c>
      <c r="G109" s="37" t="s">
        <v>53</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54</v>
      </c>
      <c r="E119" s="37" t="s">
        <v>55</v>
      </c>
      <c r="F119" s="37" t="s">
        <v>39</v>
      </c>
      <c r="G119" s="37" t="s">
        <v>40</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61</v>
      </c>
      <c r="E127" s="37" t="s">
        <v>62</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92</v>
      </c>
      <c r="E142" s="37" t="s">
        <v>75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63</v>
      </c>
      <c r="E153" s="37" t="s">
        <v>64</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83</v>
      </c>
      <c r="E186" s="37" t="s">
        <v>84</v>
      </c>
      <c r="F186" s="37" t="s">
        <v>85</v>
      </c>
      <c r="G186" s="37" t="s">
        <v>86</v>
      </c>
      <c r="H186" s="37" t="s">
        <v>31</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8</v>
      </c>
      <c r="E206" s="37" t="s">
        <v>94</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91</v>
      </c>
      <c r="E212" s="37" t="s">
        <v>99</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48</v>
      </c>
      <c r="E231" s="37" t="s">
        <v>213</v>
      </c>
      <c r="F231" s="36" t="s">
        <v>214</v>
      </c>
      <c r="G231" s="37" t="s">
        <v>105</v>
      </c>
      <c r="H231" s="37" t="s">
        <v>215</v>
      </c>
      <c r="I231" s="37" t="s">
        <v>216</v>
      </c>
      <c r="J231" s="37" t="s">
        <v>104</v>
      </c>
      <c r="K231" s="37" t="s">
        <v>103</v>
      </c>
      <c r="L231" s="37" t="s">
        <v>217</v>
      </c>
      <c r="M231" s="37" t="s">
        <v>218</v>
      </c>
      <c r="N231" s="37" t="s">
        <v>102</v>
      </c>
      <c r="O231" s="37" t="s">
        <v>219</v>
      </c>
      <c r="P231" s="37" t="s">
        <v>107</v>
      </c>
      <c r="Q231" s="37" t="s">
        <v>108</v>
      </c>
      <c r="R231" s="37" t="s">
        <v>106</v>
      </c>
      <c r="S231" s="37" t="s">
        <v>220</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256</v>
      </c>
      <c r="E257" s="37" t="s">
        <v>257</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EAOQ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AnAEIAYQBzAGkAcwAnACAAYwBvAGwAdQBtAG4AIAB0AG8AIABhAGwAbABvAHcAIABjAHIAbwBzAHMALQByAGUAZgBlAHIAZQBuAGMAaQBuAGcAIAB3AGkAdABoACAAdABhAGIAbABlACA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7AFwAbgAgACAAXAAiAEEAZABkAGUAZAAgAGUAeAB0AHIAYQAgAGYAZQByAHQAaQBsAGkAcwBlAHIAIAB0AHkAcABlAHMAIABhAG4AZAAgAGcAZQBuAGUAcgBpAGMAIABjAGgAZQBtAGkAYwBhAGwAIABjAG8AbQBwAG8AdQBuAGQAcwAgAHQAbwAgAGEAbABsAG8AdwAgAGYAbwByACAAYwB1AHMAdABvAG0AIABOAFAASwBTACAAYgBsAGUAbgBkAHMAXAAiADsAXABuACAAIABcACIAQQBkAGQAZQBkACAAZQB4AHQAcgBhACAAJwBTAGMAbwBwAGUAIAAzACAAZABlAGYAaQBuAGkAdABpAG8AbgAnACAAYwBvAGwAdQBtAG4AIAB0AG8AIABhAGwAbABvAHcAIABtAGEAcABwAGkAbgBnACAAdwBpAHQAaAAgAHMAYwBvAHAAZQAgADMAIABkAGEAdABhAFwAIgA7AFwAbgAgACAAXAAiAEEAZABkAGUAZAAgACcAUwBvAHUAcgBjAGUAJ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AnAFIAZQBmAGUAcgBlAG4AYwBlAHMAJwAgAGMAbwBsAHUAbQBuAFwAIgA7AFwAbgAgACAAXAAiAEUAeABjAGwAdQBkAGUAZAAgACcAQQBtAG0AbwBuAGkAdQBtACAAcwB1AGwAZgBhAHQAZQAnACAAYQBzACAAaQB0ACAAaQBzACAAYQAgAGQAdQBwAGwAaQBjAGEAdABlACAAbwBmACAAJwBTAHUAbABwAGgAYQB0AGUAIABvAGYAIABhAG0AbQBvAG4AaQBhACAAKABTAE8AQQApACcAXAAiADsAXABuACAAIABcACIARQB4AGMAbAB1AGQAZQBkACAAJwBDAGEAbABjAGkAdQBtACAAbgBpAHQAcgBhAHQAZQAnACAAYQBzACAAbgBvACAAcwBjAG8AcABlACAAMwAgAHYAYQBsAHUAZQAgAGEAdgBhAGkAbABhAGIAbABlAC4AXAAiADsAXABuACAAIABcACIAUwBlAHQAIAAnAE4AaQB0AHIAbwBnAGUAbgAgAC0AIABHAGUAbgBlAHIAaQBjACcAIABiAGEAcwBpAHMAIABhAHMAIAAnAFUAcgBlAGEALQBiAGEAcwBlAGQAIABmAGUAcgB0AGkAbABpAHMAZQByAHMALAAgAGEAcwAgAHUAcgBlAGEAIABpAHMAIAB0AGgAZQAgAG0AbwBzAHQAIABjAG8AbQBtAG8AbgBsAHkAIAB1AHMAZQBkACAAZgBvAHIAbQAgAG8AZgAgAG4AaQB0AHIAbwBnAGUAbgAgAGkAbgAgAEEAdQBzAHQAcgBhAGwAaQBhAG4AIABmAGUAcgB0AGkAbABpAHMAZQByAHMAXAAiADsAXABuACAAIABcACIAUwBlAHQAIAAnAFUAcgBlAGEALQBhAG0AbQBvAG4AaQB1AG0AIABuAGkAdAByAGEAdABlACcAIABiAGEAcwBpAHMAIABhAHMAIAAnAFUAcgBlAGEALQBiAGEAcwBlAGQAIABmAGUAcgB0AGkAbABpAHMAZQByAC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ATIE4AIAArACAATgBPAHgAEyBOACkALwBrAGcAIABOACkAIAAoAEYAcgBhAGMARwBBAFMARgBmACkAXAAiACkAKQA7AFwAbgBcAG4ARgBlAHIAdABpAGwAaQBzAGUAcgBfAEYAcgBhAGMARwBBAFMARgBfAEQAYQB0AGEAXABuAD0ATABBAE0AQgBEAEEAKABcAG4AIABNAEEASwBFAEEAUgBSAEEAWQAoADYALAAgADIALABcAG4AIABMAEEATQBCAEQAQQAoAHIALABjACwAXABuACAAIABJAE4ARABFAFgAKAB7AFwAbgAgACAAXAAiAEYAZQByAHQAaQBsAGkAcwBlAHIAIAB0AHkAcABlACAAZgBcACIALAAgAFwAIgBGAHIAYQBjAEcAQQBTAEYAZgBcACIAOwBcAG4AIAAgAFwAIgBVAHIAZQBhAC0AYgBhAHMAZQBkACAAZgBlAHIAdABpAGwAaQBzAGUAcgBzAFwAIgAsACAAMAAuADEANQA7AFwAbgAgACAAXAAiAEEAbQBtAG8AbgBpAHUAbQAtAGIAYQBzAGUAZAAgAGYAZQByAHQAaQBsAGkAcwBlAHIAcwBcACIALAAgADAALgAwADgAOwBcAG4AIAAgAFwAIgBOAGkAdAByAGEAdABlAC0AYgBhAHMAZQBkACAAZgBlAHIAdABpAGwAaQBzAGUAcgBzAFwAIgAsACAAMAAuADAAMQA7AFwAbgAgACAAXAAiAEEAbQBtAG8AbgBpAHUAbQAtAG4AaQB0AHIAYQB0AGUAIABiAGEAcwBlAGQAIABmAGUAcgB0AGkAbABpAHMAZQByAHMAXAAiACwAIAAwAC4AMAA1ADsAXABuACAAIABcACIATwB0AGgAZQByACAAZgBlAHIAdABpAGwAaQBzAGUAcgBzAFwAIgAsACAAMAAuADEAMQBcAG4AIAAgAH0ALAAgAHIALAAgAGMAKQBcAG4AKQApACkAOwBcAG4AXABuAEYAZQByAHQAaQBsAGkAcwBlAHIAXwBGAHIAYQBjAEcAQQBTAEY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MAYQByAGIAbwBuACAAZQBtAGkAcwBzAGkAbwBuAHMAIABmAHIAbwBtACAAdQByAGUAYQAgAGEAcABwAGwAaQBjAGEAdABpAG8AbgBcAG4APQA9AD0APQA9AD0APQA9AD0APQA9AD0APQA9AD0APQA9AD0APQA9AD0APQA9AD0APQA9AD0APQA9AD0APQA9AD0APQA9AD0APQA9AD0APQA9AD0APQA9AD0APQA9AD0APQA9AD0APQA9AD0APQA9AD0APQA9AD0APQA9AD0APQA9AD0APQA9AD0APQA9AD0APQA9AD0APQBcAG4AKgAvAFwAbgBcAG4ARgBlAHIAdABpAGwAaQBzAGUAcgBfAEUARgBVAHIAZQBhAEMATwAyAF8AVABpAHQAbABlAFwAbgA9AEwAQQBNAEIARABBACgAKABcACIARQBtAGkAcwBzAGkAbwBuACAAZgBhAGMAdABvAHIAIABmAG8AcgAgAGMAYQByAGIAbwBuACAAZQBtAGkAcwBzAGkAbwBuAHMAIABmAHIAbwBtACAAdQByAGUAYQAgAGEAcABwAGwAaQBjAGEAdABpAG8AbgBcACIAKQApADsAXABuAFwAbgBGAGUAcgB0AGkAbABpAHMAZQByAF8ARQBGAFUAcgBlAGEAQwBPADIAXwBTAG8AdQByAGMAZQBcAG4APQBMAEEATQBCAEQAQQAoACgAXAAiAFYARQBFAFIARwAgADIAMAAyADYAOgAgADUALgAxAC4AMgAuADIAIABDAG8AbgBzAHQAYQBuAHQAIABQAGEAcgBhAG0AZQB0AGUAcgBzAFwAIgApACkAOwBcAG4AXABuAEYAZQByAHQAaQBsAGkAcwBlAHIAXwBFAEYAVQByAGUAYQBDAE8AMgBfAFYAYQByAGkAYQBiAGwAZQBcAG4APQBMAEEATQBCAEQAQQAoACgAXAAiAEUARgB1AHIAZQBhAEMATwAyAFwAIgApACkAOwBcAG4AXABuAEYAZQByAHQAaQBsAGkAcwBlAHIAXwBFAEYAVQByAGUAYQBDAE8AMgBfAFUAbgBpAHQAXABuAD0ATABBAE0AQgBEAEEAKAAoAFwAIgBrAGcAIABDAC8AawBnACAAdQByAGUAYQBcACIAKQApADsAXABuAFwAbgBGAGUAcgB0AGkAbABpAHMAZQByAF8ARQBGAFUAcgBlAGEAQwBPADIAXwBEAGEAdABhAFwAbgA9AEwAQQBNAEIARABBACgAMAAuADIAKQA7AFwAbgBcAG4ARgBlAHIAdABpAGwAaQBzAGUAcgBfAEUARgBVAHIAZQBhAEMATwAy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TQBTAG8AaQBsAF8AVABpAHQAbABlAFwAbgA9AEwAQQBNAEIARABBACgAKABcACIARgByAGEAYwB0AGkAbwBuACAAbwBmACAAbwByAGcAYQBuAGkAYwAgAGYAZQByAHQAaQBsAGkAcwBlAHIAIAB0AGgAYQB0ACAAdgBvAGwAYQB0AGkAbABpAHMAZQBzACAAYQBzACAATgBIADMAIABhAG4AZAAgAE4ATwB4AFwAIgApACkAOwBcAG4AXABuAEYAZQByAHQAaQBsAGkAcwBlAHIAXwBGAHIAYQBjAEcAQQBTAE0AUwBvAGkAbABfAFMAbwB1AHIAYwBlAFwAbgA9AEwAQQBNAEIARABBACgAKABcACIAVgBFAEUAUgBHACAAMgAwADIANgA6ACAANQAuADQALgAyAC4AMwAgAEMAbwBuAHMAdABhAG4AdAAgAFAAYQByAGEAbQBlAHQAZQByAHMAXAAiACkAKQA7AFwAbgBcAG4ARgBlAHIAdABpAGwAaQBzAGUAcgBfAEYAcgBhAGMARwBBAFMATQBTAG8AaQBsAF8AVgBhAHIAaQBhAGIAbABlAFwAbgA9AEwAQQBNAEIARABBACgAKABcACIARgByAGEAYwBHAEEAUwBNAHMAbwBpAGwAXAAiACkAKQA7AFwAbgBcAG4ARgBlAHIAdABpAGwAaQBzAGUAcgBfAEYAcgBhAGMARwBBAFMATQBTAG8AaQBsAF8AVQBuAGkAdABcAG4APQBMAEEATQBCAEQAQQAoACgAXAAiACgAawBnACAATgBIADMALQBOACAAKwAgAE4ATwB4AC0ATgApAC8AawBnACAATgBcACIAKQApADsAXABuAFwAbgBGAGUAcgB0AGkAbABpAHMAZQByAF8ARgByAGEAYwBHAEEAUwBNAFMAbwBpAGwAXwBEAGEAdABhAFwAbgA9AEwAQQBNAEIARABBACgAMAAuADIAMQApADsAXABuAFwAbgBGAGUAcgB0AGkAbABpAHMAZQByAF8ARgByAGEAYwBHAEEAUwBNAFMAbwBpAGw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dABoAGEAdAAgAGkAcwAgAGwAbwBzAHQAIAB0AGgAcgBvAHUAZwBo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YAcgBhAGMATABFAEEAQwBIAF8AVABpAHQAbABlAFwAbgA9AEwAQQBNAEIARABBACgAKABcACIARgByAGEAYwB0AGkAbwBuACAAbwBmACAAbgBpAHQAcgBvAGcAZQBuACAAdABoAGEAdAAgAGkAcwAgAGwAbwBzAHQAIAB0AGgAcgBvAHUAZwBoACAAbABlAGEAYwBoAGkAbgBnACAAYQBuAGQAIAByAHUAbgBvAGYAZgBcACIAKQApADsAXABuAFwAbgBGAGUAcgB0AGkAbABpAHMAZQByAF8ARgByAGEAYwBMAEUAQQBDAEgAXwBTAG8AdQByAGMAZQBcAG4APQBMAEEATQBCAEQAQQAoACgAXAAiAFYARQBFAFIARwAgADIAMAAyADYAOgAgADUALgA1AC4AMgAuADMAIABDAG8AbgBzAHQAYQBuAHQAIABQAGEAcgBhAG0AZQB0AGUAcgBzAFwAIgApACkAOwBcAG4AXABuAEYAZQByAHQAaQBsAGkAcwBlAHIAXwBGAHIAYQBjAEwARQBBAEMASABfAFYAYQByAGkAYQBiAGwAZQBcAG4APQBMAEEATQBCAEQAQQAoACgAXAAiAEYAcgBhAGMATABFAEEAQwBIAFwAIgApACkAOwBcAG4AXABuAEYAZQByAHQAaQBsAGkAcwBlAHIAXwBGAHIAYQBjAEwARQBBAEMASABfAFUAbgBpAHQAXABuAD0ATABBAE0AQgBEAEEAKAAoAFwAIgBmAHIAYQBjAHQAaQBvAG4AXAAiACkAKQA7AFwAbgBcAG4ARgBlAHIAdABpAGwAaQBzAGUAcgBfAEYAcgBhAGMATABFAEEAQwBIAF8ARABhAHQAYQBcAG4APQBMAEEATQBCAEQAQQAoADAALgAyADQAKQA7AFwAbgBcAG4ARgBlAHIAdABpAGwAaQBzAGUAcgBfAEYAcgBhAGMATABFAEEAQwBI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uAGkAdAByAG8AZwBlAG4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QBGAEwAZQBhAGMAaABfAFQAaQB0AGwAZQBcAG4APQBMAEEATQBCAEQAQQAoACgAXAAiAEUAbQBpAHMAcwBpAG8AbgAgAGYAYQBjAHQAbwByACAAZgBvAHIAIABuAGkAdAByAG8AZwBlAG4AIABsAGUAYQBjAGgAaQBuAGcAIABhAG4AZAAgAHIAdQBuAG8AZgBmAFwAIgApACkAOwBcAG4AXABuAEYAZQByAHQAaQBsAGkAcwBlAHIAXwBFAEYATABlAGEAYwBoAF8AUwBvAHUAcgBjAGUAXABuAD0ATABBAE0AQgBEAEEAKAAoAFwAIgBWAEUARQBSAEcAIAAyADAAMgA2ADoAIAA1AC4ANQAuADIALgAzACAAQwBvAG4AcwB0AGEAbgB0ACAAUABhAHIAYQBtAGUAdABlAHIAcwBcACIAKQApADsAXABuAFwAbgBGAGUAcgB0AGkAbABpAHMAZQByAF8ARQBGAEwAZQBhAGMAaABfAFYAYQByAGkAYQBiAGwAZQBcAG4APQBMAEEATQBCAEQAQQAoACgAXAAiAEUARgBMAGUAYQBjAGgAXAAiACkAKQA7AFwAbgBcAG4ARgBlAHIAdABpAGwAaQBzAGUAcgBfAEUARgBMAGUAYQBjAGgAXwBVAG4AaQB0AFwAbgA9AEwAQQBNAEIARABBACgAKABcACIAawBnACAATgAyAE8ALQBOACAALwAgAGsAZwAgAE4AXAAiACkAKQA7AFwAbgBcAG4ARgBlAHIAdABpAGwAaQBzAGUAcgBfAEUARgBMAGUAYQBjAGgAXwBEAGEAdABhAFwAbgA9AEwAQQBNAEIARABBACgAMAAuADAAMQAxACkAOwBcAG4AXABuAEYAZQByAHQAaQBsAGkAcwBlAHIAXwBFAEYATABlAGEAYwBoAF8AVgBhAHIAaQBhAHQAaQBvAG4AXABuAD0ATABBAE0AQgBEAEEAKABcACIAXAAiACkAOwBcAG4AXABuAFwAbgBcAG4ALwAqAFwAbgA9AD0APQA9AD0APQA9AD0APQA9AD0APQA9AD0APQA9AD0APQA9AD0APQA9AD0APQA9AD0APQA9AD0APQA9AD0APQA9AD0APQA9AD0APQA9AD0APQA9AD0APQA9AD0APQA9AD0APQA9AD0APQA9AD0APQA9AD0APQA9AD0APQA9AD0APQA9AD0APQA9AD0APQA9AD0APQA9AFwAbgBMAGkAbQBlACwAIABkAG8AbABvAG0AaQB0AGUAIABhAG4AZAAgAGcAeQBwAHMAdQBtAFwAbgA9AD0APQA9AD0APQA9AD0APQA9AD0APQA9AD0APQA9AD0APQA9AD0APQA9AD0APQA9AD0APQA9AD0APQA9AD0APQA9AD0APQA9AD0APQA9AD0APQA9AD0APQA9AD0APQA9AD0APQA9AD0APQA9AD0APQA9AD0APQA9AD0APQA9AD0APQA9AD0APQA9AD0APQA9AD0APQA9AFwAbgAqAC8AXABuAFwAbgBGAGUAcgB0AGkAbABpAHMAZQByAF8ATABpAG0AZQBEAG8AbABvAG0AaQB0AGUARwB5AHAAcwB1AG0AQwBvAG4AcwB0AGEAbgB0AHMAXwBUAGkAdABsAGUAXABuAD0ATABBAE0AQgBEAEEAKAAoAFwAIgBDAG8AbgBzAHQAYQBuAHQAcwAgAGYAbwByACAAbABpAG0AZQAsACAAZABvAGwAbwBtAGkAdABlACAAYQBuAGQAIABnAHkAcABzAHUAbQBcACIAKQApADsAXABuAFwAbgBGAGUAcgB0AGkAbABpAHMAZQByAF8ATABpAG0AZQBEAG8AbABvAG0AaQB0AGUARwB5AHAAcwB1AG0AQwBvAG4AcwB0AGEAbgB0AHMAXwBEAGUAcwBjAHIAaQBwAHQAaQBvAG4AXABuAD0ATABBAE0AQgBEAEEAKAAoAFwAIgBDAG8AbgBzAHQAYQBuAHQAcwAgAGYAbwByACAAbABpAG0AZQAsACAAZABvAGwAbwBtAGkAdABlACAAYQBuAGQAIABnAHkAcABzAHUAbQBcACIAKQApADsAXABuAFwAbgBGAGUAcgB0AGkAbABpAHMAZQByAF8ATABpAG0AZQBEAG8AbABvAG0AaQB0AGUARwB5AHAAcwB1AG0AQwBvAG4AcwB0AGEAbgB0AHMAXwBTAG8AdQByAGMAZQBcAG4APQBMAEEATQBCAEQAQQAoACgAXAAiAFYARQBFAFIARwAgADIAMAAyADYAOgAgADUALgAzAC4AMgAuADMAIABDAG8AbgBzAHQAYQBuAHQAIABQAGEAcgBhAG0AZQB0AGUAcgBzAFwAIgApACkAOwBcAG4AXABuAEYAZQByAHQAaQBsAGkAcwBlAHIAXwBMAGkAbQBlAEQAbwBsAG8AbQBpAHQAZQBHAHkAcABzAHUAbQBDAG8AbgBzAHQAYQBuAHQAcwBfAEQAYQB0AGEAXABuAD0ATABBAE0AQgBEAEEAKABcAG4AIABNAEEASwBFAEEAUgBSAEEAWQAoADQALAAgADMALABcAG4AIABMAEEATQBCAEQAQQAoAHIALABjACwAXABuACAAIABJAE4ARABFAFgAKAB7AFwAbgAgACAAXAAiAEUAbABlAG0AZQBuAHQAXAAiACwAIABcACIAUABcACIALAAgAFwAIgBFAEYAXAAiADsAXABuACAAIABcACIATABpAG0AZQAgACgAQwBhAGwAYwBpAHUAbQAgAGMAYQByAGIAbwBuAGEAdABlACkAXAAiACwAIAAwAC4AOQAsACAAMAAuADEAMgA7AFwAbgAgACAAXAAiAEQAbwBsAG8AbQBpAHQAZQAgACgATQBhAGcAbgBlAHMAaQB1AG0AIABjAGEAcgBiAG8AbgBhAHQAZQApAFwAIgAsACAAMAAuADkANQAsACAAMAAuADEAMwA7AFwAbgAgACAAXAAiAEcAeQBwAHMAdQBtAFwAIgAsACAAMAAsACAAMABcAG4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TgBDAG8AbQBtAG8AbgBGAGUAcgB0AGkAbABpAHMAZQByAHMAXwBUAGkAdABsAGUAXABuAD0ATABBAE0AQgBEAEEAKAAoAFwAIgBGAHIAYQBjAHQAaQBvAG4AIABvAGYAIABuAGkAdAByAG8AZwBlAG4AIABpAG4AIABjAG8AbQBtAG8AbgAgAGkAbgBvAHIAZwBhAG4AaQBjACAAZgBlAHIAdABpAGwAaQBzAGUAcgBzACAAKABrAGcATgAvAGsAZwApACAAKABGAE4AbwByAGcAYQBuAGkAYwAsAGYAKQBcACIAKQApADsAXABuAFwAbgBGAGUAcgB0AGkAbABpAHMAZQByAF8ARgByAGEAYwB0AGkAbwBuAE4AQwBvAG0AbQBvAG4ARgBlAHIAdABpAGwAaQBzAGUAcgBzAF8AUwBvAHUAcgBjAGUAXABuAD0ATABBAE0AQgBEAEEAKAAoAFwAIgBWAEUARQBSAEcAIAAyADAAMgA2ADoAIABUAGEAYgBsAGUAIABBAC4AMgAuADIALgAzAFwAIgApACkAOwBcAG4AXABuAEYAZQByAHQAaQBsAGkAcwBlAHIAXwBGAHIAYQBjAHQAaQBvAG4ATg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E4AaQBuAG8AcgBnAGEAbgBpAGMAZgBcACIAOwBcAG4AIAAgAFwAIgBNAG8AbgBvAGEAbQBtAG8AbgBpAHUAbQAgAHAAaABvAHMAcABoAGEAdABlACAAKABNAEEAUAApAFwAIgAsACAAMAAuADEAMAA7AFwAbgAgACAAXAAiAEQAaQBhAG0AbQBvAG4AaQB1AG0AIABwAGgAbwBzAHAAaABhAHQAZQAgACgARABBAFAAKQBcACIALAAgADAALgAxADgAOwBcAG4AIAAgAFwAIgBVAHIAZQBhAFwAIgAsACAAMAAuADQANgA7AFwAbgAgACAAXAAiAFMAdQBsAHAAaABhAHQAZQAgAG8AZgAgAGEAbQBtAG8AbgBpAGEAIAAoAFMATwBBACkAXAAiACwAIAAwAC4AMgAxADsAXABuACAAIABcACIAVQByAGUAYQAtAGEAbQBtAG8AbgBpAHUAbQAgAG4AaQB0AHIAYQB0AGUAIAAoAFUAQQBOACkAXAAiACwAIAAwAC4AMwAyADsAXABuACAAIABcACIAQQBtAG0AbwBuAGkAdQBtACAAbgBpAHQAcgBhAHQAZQAgACgAQQBOACkAXAAiACwAIAAwAC4AMwAzADcAOwBcAG4AIAAgAFwAIgBDAGEAbABjAGkAdQBtACAAYQBtAG0AbwBuAGkAdQBtACAAbgBpAHQAcgBhAHQAZQAgACgAQwBBAE4AKQBcACIALAAgADAALgAyADcAOwBcAG4AIAAgAFwAIgBBAG0AbQBvAG4AaQB1AG0AIABTAHUAbABmAGEAdABlAFwAIgAsACAAMAAuADIAMQA7AFwAbgAgACAAXAAiAEMAYQBsAGMAaQB1AG0AIABOAGkAdAByAGEAdABlAFwAIgAsACAAMAAuADEANQA1AFwAbgAgACAAfQAsACAAcgAsACAAYwApAFwAbgApACkAKQA7AFwAbgBcAG4ARgBlAHIAdABpAGwAaQBzAGUAcgBfAEYAcgBhAGMAdABpAG8AbgBO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dQByAGUAYQ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VQByAGUAYQBDAG8AbQBtAG8AbgBGAGUAcgB0AGkAbABpAHMAZQByAHMAXwBUAGkAdABsAGUAXABuAD0ATABBAE0AQgBEAEEAKAAoAFwAIgBGAHIAYQBjAHQAaQBvAG4AIABvAGYAIAB1AHIAZQBhACAAaQBuACAAYwBvAG0AbQBvAG4AIABpAG4AbwByAGcAYQBuAGkAYwAgAGYAZQByAHQAaQBsAGkAcwBlAHIAcwAgACgAawBnACAAdQByAGUAYQAvAGsAZwApACAAKABGAFUAZgApAFwAIgApACkAOwBcAG4AXABuAEYAZQByAHQAaQBsAGkAcwBlAHIAXwBGAHIAYQBjAHQAaQBvAG4AVQByAGUAYQBDAG8AbQBtAG8AbgBGAGUAcgB0AGkAbABpAHMAZQByAHMAXwBTAG8AdQByAGMAZQBcAG4APQBMAEEATQBCAEQAQQAoACgAXAAiAFYARQBFAFIARwAgADIAMAAyADYAOgAgAFQAYQBiAGwAZQAgAEEALgAyAC4AMgAuADQAXAAiACkAKQA7AFwAbgBcAG4ARgBlAHIAdABpAGwAaQBzAGUAcgBfAEYAcgBhAGMAdABpAG8AbgBVAHIAZQBh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VQBmAFwAIgA7AFwAbgAgACAAXAAiAE0AbwBuAG8AYQBtAG0AbwBuAGkAdQBtACAAcABoAG8AcwBwAGgAYQB0AGUAIAAoAE0AQQBQACkAXAAiACwAIAAwADsAXABuACAAIABcACIARABpAGEAbQBtAG8AbgBpAHUAbQAgAHAAaABvAHMAcABoAGEAdABlACAAKABEAEEAUAApAFwAIgAsACAAMAA7AFwAbgAgACAAXAAiAFUAcgBlAGEAXAAiACwAIAAxADsAXABuACAAIABcACIAUwB1AGwAcABoAGEAdABlACAAbwBmACAAYQBtAG0AbwBuAGkAYQAgACgAUwBPAEEAKQBcACIALAAgADAAOwBcAG4AIAAgAFwAIgBVAHIAZQBhAC0AYQBtAG0AbwBuAGkAdQBtACAAbgBpAHQAcgBhAHQAZQAgACgAVQBBAE4AKQBcACIALAAgADAALgAzADUAOwBcAG4AIAAgAFwAIgBBAG0AbQBvAG4AaQB1AG0AIABuAGkAdAByAGEAdABlACAAKABBAE4AKQBcACIALAAgADAAOwBcAG4AIAAgAFwAIgBDAGEAbABjAGkAdQBtACAAYQBtAG0AbwBuAGkAdQBtACAAbgBpAHQAcgBhAHQAZQAgACgAQwBBAE4AKQBcACIALAAgADAAOwBcAG4AIAAgAFwAIgBBAG0AbQBvAG4AaQB1AG0AIABTAHUAbABmAGEAdABlAFwAIgAsACAAMAA7AFwAbgAgACAAXAAiAEMAYQBsAGMAaQB1AG0AIABOAGkAdAByAGEAdABlAFwAIgAsACAAMABcAG4AIAAgAH0ALAAgAHIALAAgAGMAKQBcAG4AKQApACkAOwBcAG4AXABuAEYAZQByAHQAaQBsAGkAcwBlAHIAXwBGAHIAYQBjAHQAaQBvAG4AVQByAGUAYQBDAG8AbQBtAG8AbgBGAGUAcgB0AGkAbABpAHMAZQByAHMAXwBWAGEAcgBpAGEAdABpAG8AbgBcAG4APQBMAEEATQBCAEQAQQAoACgAXAAiAFwAIg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EAMgAsACAAMgA4ACwAXABuACAATABBAE0AQgBEAEEAKAByACwAYwAsAFwAbgAgACAASQBOAEQARQBYACgAewBcAG4AXAAiAEkAbgBjAGwAdQBkAGUAIABvAHIAIABlAHgAYwBsAHUAZABlAFwAIgAsAFwAIgBOAG8AdABlAHMAXAAiACwAXAAiAEMAbwBtAHAAYQBuAHkAXAAiACwAXAAiAFAAcgBvAGQAdQBjAHQAIABOAGEAbQBlAFwAIgAsAFwAIgBVAG4AaQB0AFwAIgAsAFwAIgBEAGUAbgBzAGkAdAB5AFwAIgAsAFwAIgBVAHIAZQBhACAAcwBvAHUAcgBjAGUAXAAiACwAXAAiAEEAbQBtAG8AbgBpAGEAIABzAG8AdQByAGMAZQBcACIALABcACIASQBuAGcAcgBlAGQAaQBlAG4AdAAgADEAXAAiACwAXAAiAEkAbgBnAHIAZQBkAGkAZQBuAHQAIAAxACAAcABlAHIAYwBlAG4AdABcACIALABcACIASQBuAGcAcgBlAGQAaQBlAG4AdAAgADIAXAAiACwAXAAiAEkAbgBnAHIAZQBkAGkAZQBuAHQAIAAyACAAcABlAHIAYwBlAG4AdABcACIALABcACIASQBuAGcAcgBlAGQAaQBlAG4AdAAgADMAXAAiACwAXAAiAEkAbgBnAHIAZQBkAGkAZQBuAHQAIAAzACAAcABlAHIAYwBlAG4AdABcACIALABcACIASQBuAGcAcgBlAGQAaQBlAG4AdAAgADQAXAAiACwAXAAiAEkAbgBnAHIAZQBkAGkAZQBuAHQAIAA0ACAAcABlAHIAYwBlAG4AdABcACIALABcACIASQBuAGcAcgBlAGQAaQBlAG4AdAAgADUAXAAiACwAXAAiAEkAbgBnAHIAZQBkAGkAZQBuAHQAIAA1ACAAcABlAHIAYwBlAG4AdABcACIALABcACIASQBuAGcAcgBlAGQAaQBlAG4AdAAgADYAXAAiACwAXAAiAEkAbgBnAHIAZQBkAGkAZQBuAHQAIAA2ACAAcABlAHIAYwBlAG4AdABcACIALABcACIASQBuAGcAcgBlAGQAaQBlAG4AdAAgADcAXAAiACwAXAAiAEkAbgBnAHIAZQBkAGkAZQBuAHQAIAA3ACAAcABlAHIAYwBlAG4AdABcACIALABcACIASQBuAGcAcgBlAGQAaQBlAG4AdAAgADgAXAAiACwAXAAiAEkAbgBnAHIAZQBkAGkAZQBuAHQAIAA4ACAAcABlAHIAYwBlAG4AdABcACIALABcACIASQBuAGcAcgBlAGQAaQBlAG4AdAAgADkAXAAiACwAXAAiAEkAbgBnAHIAZQBkAGkAZQBuAHQAIAA5ACAAcABlAHIAYwBlAG4AdABcACIALABcACIASQBuAGcAcgBlAGQAaQBlAG4AdAAgADEAMABcACIALABcACIASQBuAGcAcgBlAGQAaQBlAG4AdAAgADEAMAAgAHAAZQByAGMAZQBuAHQAXAAiADsAXABuAFwAIgBJAG4AYwBsAHUAZABlAFwAIgAsAFwAIgBcACIALABcACIAQwBhAG0AcABiAGUAbABsAHMAIABmAGUAcgB0AGkAbABpAHMAZQByAHMAIABBAHUAcwB0AHIAYQBsAGkAYQBcACIALABcACIAQQBxAHUAYQAgAEYAaQBuAGkAcwBoAFwAIgAsAFwAIgBMAFwAIgAsADEALgAyADYALABcACIAXAAiACwAXAAiAFwAIgAsAFwAIgBQAG8AdABhAHMAcwBpAHUAbQAgAC0AIABHAGUAbgBlAHIAaQBjAFwAIgAsADAALgAyADIANQAsAFwAIgBQAGgAbwBzAHAAaABvAHIAdQBzACAALQAgAEcAZQBuAGUAcgBpAGMAXAAiACwAMAAuADAANAAsAFwAIgBOAGkAdAByAG8AZwBlAG4AIAAtACAARwBlAG4AZQByAGkAYwBcACIALAAwAC4AMAAyADY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HAHIAbwB3AFwAIgAsAFwAIgBMAFwAIgAsADEALgAyADYALABcACIAXAAiACwAXAAiAFwAIgAsAFwAIgBQAG8AdABhAHMAcwBpAHUAbQAgAC0AIABHAGUAbgBlAHIAaQBjAFwAIgAsADAALgAxADAANQAsAFwAIgBOAGkAdAByAG8AZwBlAG4AIAAtACAARwBlAG4AZQByAGkAYwBcACIALAAwAC4AMAA5ADYALABcACIAUABoAG8AcwBwAGgAbwByAHUAcwAgAC0AIABHAGUAbgBlAHIAaQBjAFwAIgAsADAALgAwADU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OAGkAdAByAG8AIABBAE4AXAAiACwAXAAiAEwAXAAiACwAMQAuADIANA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TAHQAYQByAHQAXAAiACwAXAAiAEwAXAAiACwAMQAuADIANQAsAFwAIgBcACIALABcACIAXAAiACwAXAAiAE4AaQB0AHIAbwBnAGUAbgAgAC0AIABHAGUAbgBlAHIAaQBjAFwAIgAsADAALgAxADAAMwAsAFwAIgBQAGgAbwBzAHAAaABvAHIAdQBzACAALQAgAEcAZQBuAGUAcgBpAGMAXAAiACwAMAAuADEALABcACIAUABvAHQAYQBzAHMAaQB1AG0AIAAtACAARwBlAG4AZQByAGkAYwBcACIALAAwAC4AMAAzADQ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UAGgAaQBvAC0AQwBvAG0AcABsAGUAdABl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DsAXABuAFwAIgBJAG4AYwBsAHUAZABlAFwAIgAsAFwAIgBcACIALABcACIAQwBhAG0AcABiAGUAbABsAHMAIABmAGUAcgB0AGkAbABpAHMAZQByAHMAIABBAHUAcwB0AHIAYQBsAGkAYQBcACIALABcACIAQQBxAHUAYQAgAFQAaABpAG8ALQBFAG0AZQByAGcAZQ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UAGgAaQBvAC0ARgBsAG8AdQByAGkAcwBoAFwAIgAsAFwAIgBMAFwAIgAsADEALgAzADIALABcACIAXAAiACwAXAAiAFwAIgAsAFwAIgBQAG8AdABhAHMAcwBpAHUAbQAgAC0AIABHAGUAbgBlAHIAaQBjAFwAIgAsADAALgAxADAAOAAsAFwAIgBOAGkAdAByAG8AZwBlAG4AIAAtACAARwBlAG4AZQByAGkAYwBcACIALAAwAC4AMAA5ADUALABcACIAUwB1AGwAZgB1AHIAIAAtACAARwBlAG4AZQByAGkAYwBcACIALAAwAC4AMAA4ADEALABcACIAUABoAG8AcwBwAGgAbwByAHUAcwAgAC0AIABHAGUAbgBlAHIAaQBjAFwAIgAsADAALgAwADQANwAsAFwAIgBcACIALABcACIAXAAiACwAXAAiAFwAIgAsAFwAIgBcACIALABcACIAXAAiACwAXAAiAFwAIgAsAFwAIgBcACIALABcACIAXAAiACwAXAAiAFwAIgAsAFwAIgBcACIALABcACIAXAAiACwAXAAiAFwAIgA7AFwAbgBcACIASQBuAGMAbAB1AGQAZQAgAC0AIABBAGIAcwBlAG4AdAAgAGkAbgBnAHIAZQBkAGkAZQBuAHQAcwAgADw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GsAZwBcACIALAAxACwAXAAiAFwAIgAsAFwAIgBcACIALABcACIAVQByAGUAYQBcACIALAAwAC4ANQAyADEANwAzADkAMQAzACwAXAAiAFAAbwB0AGEAcwBzAGkAdQBtACAALQAgAEcAZQBuAGUAcgBpAGMAXAAiACwAMAAuADAAOAAsAFwAIgBTAHUAbABmAHUAcgAgAC0AIABHAGUAbgBlAHIAaQBjAFwAIgAsADAALgAwADUAMwAsAFwAIgBQAGgAbwBzAHAAaABvAHIAdQBzACAALQAgAEcAZQBuAGUAcgBpAGMAXAAiACwAMAAuADAANQAyACwAXAAiAE0AYQBnAG4AZQBzAGkAdQBtAFwAIgAsADAALgAwADEAMwAsAFwAIgBaAGkAbgBjAFwAIgAsADAALgAwADAAMgAsAFwAIgBNAGEAbgBnAGEAbgBlAHMAZQBcACIALAAwAC4AMAAwADMANQAsAFwAIgBJAHIAbwBuAFwAIgAsADAALgAwADAAMQAzACwAXAAiAEMAbwBwAHAAZQByAFwAIgAsADAALgAwADAAMAA3ACwAXAAiAEIAbwByAG8AbgBcACIALAAwAC4AMAAwADAANwA7AFwAbgBcACIASQBuAGMAbAB1AGQAZQBcACIALABcACIAXAAiACwAXAAiAEMAYQBtAHAAYgBlAGwAbABzACAAZgBlAHIAdABpAGwAaQBzAGUAcgBzACAAQQB1AHMAdAByAGEAbABpAGEAXAAiACwAXAAiAEIAcgBvAG4AegBlAFwAIgAsAFwAIgBrAGcAXAAiACwAMQAsAFwAIgBcACIALABcACIAXAAiACwAXAAiAE0AdQByAGkAYQB0AGUAIABvAGYAIABQAG8AdABhAHMAaAAgACgATQBPAFAAKQBcACIALAAwAC4AMgAzADIALABcACIATgBpAHQAcgBvAGcAZQBuACAALQAgAEcAZQBuAGUAcgBpAGMAXAAiACwAMAAuADEANwAsAFwAIgBTAHUAbABmAHUAcgAgAC0AIABHAGUAbgBlAHIAaQBjAFwAIgAsADAALgAwADAANQAsAFwAIgBNAGEAZwBuAGUAcwBpAHUAbQBcACIALAAwAC4AMAAwADIANAAsAFwAIgBQAGgAbwBzAHAAaABvAHIAdQBzACAALQAgAEcAZQBuAGUAcgBpAGMAXAAiACwAMAAuADAAMAAwADQALABcACIAXAAiACwAXAAiAFwAIgAsAFwAIgBcACIALABcACIAXAAiACwAXAAiAFwAIgAsAFwAIgBcACIALABcACIAXAAiACwAXAAiAFwAIgAsAFwAIgBcACIALABcACIAXAAiADsAXABuAFwAIgBJAG4AYwBsAHUAZABlAFwAIgAsAFwAIgA1ADAALwA1ADAAIABuAGkAdAByAGEAdABlACAAYQBuAGQAIABhAG0AbQBvAG4AaQBhAGMAYQBsACAAbgBpAHQAcgBvAGcAZQBuACAAKABhAG0AbQBvAG4AaQB1AG0AIABuAGkAdAByAGEAdABlACkAXAAiACwAXAAiAEMAYQBtAHAAYgBlAGwAbABzACAAZgBlAHIAdABpAGwAaQBzAGUAcgBzACAAQQB1AHMAdAByAGEAbABpAGEAXAAiACwAXAAiAEMAbwBtAHAAYQBzAHMAXAAiACwAXAAiAGsAZwBcACIALAAxACwAXAAiAFwAIgAsAFwAIgBcACIALABcACIATgBpAHQAcgBvAGcAZQBuACAALQAgAEEAbQBtAG8AbgBpAGEAYwBhAGwAXAAiACwAMAAuADAANwA1ACwAXAAiAE4AaQB0AHIAbwBnAGUAbgAgAC0AIABOAGkAdAByAGEAdABlAFwAIgAsADAALgAwADcANQAsAFwAIgBQAG8AdABhAHMAcwBpAHUAbQAgAC0AIABHAGUAbgBlAHIAaQBjAFwAIgAsADAALgAxADIANQAsAFwAIgBQAGgAbwBzAHAAaABvAHIAdQBzAC0ARwBlAG4AZQByAGkAYwBcACIALAAwAC4AMAA2ADUALABcACIAUwB1AGwAZgB1AHIAIAAtACAARwBlAG4AZQByAGkAYwBcACIALAAwAC4AMAA2ACwAXAAiAFwAIgAsAFwAIgBcACIALABcACIAXAAiACwAXAAiAFwAIgAsAFwAIgBcACIALABcACIAXAAiACwAXAAiAFwAIgAsAFwAIgBcACIALABcACIAXAAiACwAXAAiAFwAIgA7AFwAbgBcACIASQBuAGMAbAB1AGQAZQAgAC0AIABBAGIAcwBlAG4AdAAgAGkAbgBnAHIAZQBkAGkAZQBuAHQAcwAgADwAIAAyACUAXAAiACwAXAAiAEMAbwBuAHQAcgBvAGwAbABlAGQAIAByAGUAbABlAGEAcwBlACAATgAgAHQAcgBlAGEAdABlAGQAIABhAHMAIABnAGUAbgBlAHIAaQBjACwAIABBAG0AbwB1AG4AdAAgAG8AZgAgAHUAcgBlAGEAIABjAGEAbABjAHUAbABhAHQAZQBkACAAZgByAG8AbQAgAHUAcgBlAGEAIABuAGkAdAByAG8AZwBlAG4AIABhAG0AbwB1AG4AdABcACIALABcACIAQwBhAG0AcABiAGUAbABsAHMAIABmAGUAcgB0AGkAbABpAHMAZQByAHMAIABBAHUAcwB0AHIAYQBsAGkAYQBcACIALABcACIAQwBvAFIAbwBOACAAMQAyAC0AMAAtADEAMABcACIALABcACIATABcACIALAAxAC4AMgAxADUALABcACIAXAAiACwAXAAiAFwAIgAsAFwAIgBVAHIAZQBhAFwAIgAsADAALgAxADkANQA2ADUAMgAxADcANA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BcAG4AfQAsACAAcgAsACAAYwApAFwAbgApACkAKQA7AFwAbgBcAG4ALwAqAFwAbgBGAGUAcgB0AGkAbABpAHMAZQByAF8AUAByAG8AZAB1AGMAdABzAF8ARABhAHQAYQAyAFwAbgA9AEwAQQBNAEIARABBACgAXABuACAATQBBAEsARQBBAFIAUgBBAFkAKAA2ACwAIAAyADgALABcAG4AIABMAEEATQBCAEQAQQAoAHIALABjACwAXABuACAAIABJAE4ARABFAFgAKAB7AFwAbgBcACIARQB4AGMAbAB1AGQAZQAgAC0AIABBAGIAcwBlAG4AdAAgAGkAbgBnAHIAZQBkAGkAZQBuAHQAcwAgAD4AIAAyACUAXAAiACwAXAAiAFwAIgAsAFwAIgBDAGEAbQBwAGIAZQBsAGwAcwAgAGYAZQByAHQAaQBsAGkAcwBlAHIAcwAgAEEAdQBzAHQAcgBhAGwAaQBhAFwAIgAsAFwAIgBCAHUAZAAtAFcAaQBzAGUAcgAgAEQAcgB5AFwAIgAsAFwAIgBrAGc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gBpAHQAIABD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wBpAHUAbQAgADEANwA1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EAYgBzAGUAbgB0ACAAaQBuAGcAcgBlAGQAaQBlAG4AdABzACAAPgAgADIAJQBcACIALABcACIAXAAiACwAXAAiAEMAYQBtAHAAYgBlAGwAbABzACAAZgBlAHIAdABpAGwAaQBzAGUAcgBzACAAQQB1AHMAdAByAGEAbABpAGEAXAAiACwAXAAiAEMAYQBsAFAAaABvAHMAXAAiACwAXAAiAEwAXAAiACwAMQAuADIAOAA1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OwBcAG4AXAAiAEkAbgBjAGwAdQBkAGUAXAAiACwAXAAiADUAMAAvADUAMAAgAG4AaQB0AHIAYQB0AGUAIABhAG4AZAAgAGEAbQBtAG8AbgBpAGEAYwBhAGwAIABuAGkAdAByAG8AZwBlAG4AIAAoAGEAbQBtAG8AbgBpAHUAbQAgAG4AaQB0AHIAYQB0AGUAKQBcACIALABcACIAXAAiACwAXAAiAEMAYQBtAHAAYgBlAGwAbABzACAAZgBlAHIAdABpAGwAaQBzAGUAcgBzACAAQQB1AHMAdAByAGEAbABpAGEAXAAiACwAXAAiAEMAbwBtAHAAYQBzAHMAXAAiACwAXAAiAGsAZwBcACIALAAx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7AFwAbgBcACIASQBuAGMAbAB1AGQAZQAgAC0AIABBAGIAcwBlAG4AdAAgAGkAbgBnAHIAZQBkAGkAZQBuAHQAcwAgADwAIAAyACUAXAAiACwAXAAiAEMAbwBuAHQAcgBvAGwAbABlAGQAIAByAGUAbABlAGEAcwBlACAATgAgAHQAcgBlAGEAdABlAGQAIABhAHMAIABnAGUAbgBlAHIAaQBjAFwAIgAsAFwAIgBcACIALABcACIAQwBhAG0AcABiAGUAbABsAHMAIABmAGUAcgB0AGkAbABpAHMAZQByAHMAIABBAHUAcwB0AHIAYQBsAGkAYQBcACIALABcACIAQwBvAFIAbwBOACAAMQAyAC0AMAAtADEAMABcACIALABcACIATABcACIALAAxAC4AMgAxADUALABcACIAXAAiACwAXAAiAE4AaQB0AHIAbwBnAGUAbgAgAC0AIABVAHIAZQBpAGMAXAAiACwAMAAuADAAOQ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BcAG4AIAAgAH0ALAAgAHIALAAgAGMAKQBcAG4AKQApACkAOwBcAG4AXABuAFwAbgBGAGUAcgB0AGkAbABpAHMAZQByAF8AUAByAG8AZAB1AGMAdABzAF8ARABhAHQAYQAzAFwAbgA9AEwAQQBNAEIARABBACgAXABuACAATQBBAEsARQBBAFIAUgBBAFkAKAAyADAALAAgADMANQAsAFwAbgAgAEwAQQBNAEIARABBACgAcgAsAGMALABcAG4AIAAgAEkATgBEAEUAWAAoAHsAXABuAFwAIgBSAHUAcwB0AGkAYwBhACAATgBlAHIAZwBlAHQAaQBjAFwAIgAsAFwAIgBrAGcAXAAiACwAMQAsAFwAIgBQAG8AdABhAHMAcwBpAHUAbQAgAC0AIABHAGUAbgBlAHIAaQBjAFwAIgAsADAALgAxADQAMQ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OQA2ACwAXAAiAEwAbwBjAGEAdABpAG8AbgAgAG4AbwB0ACAAcwBwAGUAYwBpAGYAaQBlAGQAXAAiACwAXAAiAFAAaABvAHMAcABoAG8AcgB1AHMAIAAtACAARwBlAG4AZQByAGkAYwBcACIALAAwAC4AMAA1ADIALABcACIATABvAGMAYQB0AGkAbwBuACAAbgBvAHQAIABzAHAAZQBjAGkAZgBpAGUAZABcACIALABcACIATQBhAGcAbgBlAHMAaQB1AG0AIAAtACAAZwBlAG4AZQByAGkAYwBcACIALAAwAC4AMAAxADIALABcACIATABvAGMAYQB0AGkAbwBuACAAbgBvAHQAIABzAHAAZQBjAGkAZgBpAGUAZABcACIALABcACIAWgBpAG4AYwAgAC0AIABHAGUAbgBlAHIAaQBjAFwAIgAsADAALgAwADAAMA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2ACwAXAAiAEwAbwBjAGEAdABpAG8AbgAgAG4AbwB0ACAAcwBwAGUAYwBpAGYAaQBlAGQAXAAiACwAXAAiAEIAbwByAG8AbgAgAC0AIABnAGUAbgBlAHIAaQBjAFwAIgAsADAALgAwADAAMAAyACwAXAAiAEwAbwBjAGEAdABpAG8AbgAgAG4AbwB0ACAAcwBwAGUAYwBpAGYAaQBlAGQAXAAiACwAXAAiAFwAIgAsAFwAIgBcACIALABcACIAXAAiADsAXABuAFwAIgBTAEUAVABuAFMASQBaAEUAXAAiACwAXAAiAEwAXAAiACwAMQAuADMALABcACIAUABvAHQAYQBzAHMAaQB1AG0AIAAtACAARwBlAG4AZQByAGkAYwBcACIALAAwAC4AMAA3ADkAMgAsAFwAIgBMAG8AYwBhAHQAaQBvAG4AIABuAG8AdAAgAHMAcABlAGMAaQBmAGkAZQBkAFwAIgAsAFwAIgBQAGgAbwBzAHAAaABvAHIAdQBzACAALQAgAEcAZQBuAGUAcgBpAGMAXAAiACwAMAAuADAANgAwADUALABcACIATABvAGMAYQB0AGkAbwBuACAAbgBvAHQAIABzAHAAZQBjAGkAZgBpAGUAZABcACIALABcACIATgBpAHQAcgBvAGcAZQBuACAALQAgAEcAZQBuAGUAcgBpAGMAXAAiACwAMAAuADAAMQAwADgALABcACIATABvAGMAYQB0AGkAbwBuACAAbgBvAHQAIABzAHAAZQBjAGkAZgBpAGUAZABcACIALABcACIAWgBpAG4AYwAgAC0AIABHAGUAbgBlAHIAaQBjAFwAIgAsADAALgAwADEAMAA3ACwAXAAiAEwAbwBjAGEAdABpAG8AbgAgAG4AbwB0ACAAcwBwAGUAYwBpAGYAaQBlAGQAXAAiACwAXAAiAE0AYQBnAG4AZQBzAGkAdQBtACAALQAgAGcAZQBuAGUAcgBpAGMAXAAiACwAMAAuADAAMQAwADQALABcACIATABvAGMAYQB0AGkAbwBuACAAbgBvAHQAIABzAHAAZQBjAGkAZgBpAGUAZABcACIALABcACIATQBhAG4AZwBhAG4AZQBzAGUAIAAtACAARwBlAG4AZQByAGkAYwBcACIALAAwAC4AMAAwADcANQAsAFwAIgBMAG8AYwBhAHQAaQBvAG4AIABuAG8AdAAgAHMAcABlAGMAaQBmAGkAZQBkAFwAIgAsAFwAIgBTAHUAbABmAHUAcgAgAC0AIABHAGUAbgBlAHIAaQBjAFwAIgAsADAALgAwADAANQA0ACwAXAAiAEwAbwBjAGEAdABpAG8AbgAgAG4AbwB0ACAAcwBwAGUAYwBpAGYAaQBlAGQAXAAiACwAXAAiAEMAbwBiAGEAbAB0ACAALQAgAGcAZQBuAGUAcgBpAGMAXAAiACwAMAAuADAAMAAxADgALABcACIATABvAGMAYQB0AGkAbwBuACAAbgBvAHQAIABzAHAAZQBjAGkAZgBpAGUAZABcACIALABcACIASQByAG8AbgAgAC0AIABnAGUAbgBlAHIAaQBjAFwAIgAsADAALgAwADAAMQA1ACwAXAAiAEwAbwBjAGEAdABpAG8AbgAgAG4AbwB0ACAAcwBwAGUAYwBpAGYAaQBlAGQAXAAiACwAXAAiAEMAbwBwAHAAZQByACAALQAgAGcAZQBuAGUAcgBpAGMAXAAiACwAMAAuADAAMAAxADEALABcACIATABvAGMAYQB0AGkAbwBuACAAbgBvAHQAIABzAHAAZQBjAGkAZgBpAGUAZABcACIAOwBcAG4AXAAiAFMATwBBAFwAIgAsAFwAIgBrAGcAXAAiACwAMQAsAFwAIgBOAGkAdAByAG8AZwBlAG4AIAAtACAAQQBtAG0AbwBuAGkAYQBjAGEAbABcACIALAAwAC4AMgAxACwAXAAiAEwAbwBjAGEAdABpAG8AbgAgAG4AbwB0ACAAcwBwAGUAYwBpAGYAaQBlAGQAXAAiACwAXAAiAFMAdQBsAGYAdQByACAALQAgAEcAZQBuAGUAcgBpAGMAXAAiACwAMAAuADI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sAUABcACIALABcACIAawBnAFwAIgAsADEALABcACIAUABoAG8AcwBwAGgAbwByAHUAcwAgAC0AIABHAGUAbgBlAHIAaQBjAFwAIgAsADAALgAyADIANwAsAFwAIgBMAG8AYwBhAHQAaQBvAG4AIABuAG8AdAAgAHMAcABlAGMAaQBmAGkAZQBkAFwAIgAsAFwAIgBQAG8AdABhAHMAcwBpAHUAbQAgAC0AIABHAGUAbgBlAHIAaQBjAFwAIgAsADAALgAyADg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MAYQBtAFwAIgAsAFwAIgBrAGcAXAAiACwAMQAsAFwAIgBOAGkAdAByAG8AZwBlAG4AIAAtACAAQQBtAG0AbwBuAGkAYQBjAGEAbABcACIALAAwAC4AMgAwADgALABcACIATABvAGMAYQB0AGkAbwBuACAAbgBvAHQAIABzAHAAZQBjAGkAZgBpAGUAZABcACIALABcACIAUwB1AGwAZgB1AHIAIAAtACAARwBlAG4AZQByAGkAYwBcACIALAAwAC4AMgAz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aAGkAbgBjAFwAIgAsAFwAIgBrAGcAXAAiACwAMQAsAFwAIgBaAGkAbgBjACAALQAgAEcAZQBuAGUAcgBpAGMAXAAiACwAMAAuADIAMQAsAFwAIgBMAG8AYwBhAHQAaQBvAG4AIABuAG8AdAAgAHMAcABlAGMAaQBmAGkAZQBkAFwAIgAsAFwAIgBTAHUAbABmAHUAcgAgAC0AIABHAGUAbgBlAHIAaQBjAFwAIgAsADAALgAxADA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sAXAAiACwAXAAiAEwAXAAiACwAMQAuADQANwAsAFwAIgBQAG8AdABhAHMAcwBpAHUAbQAgAC0AIABHAGUAbgBlAHIAaQBjAFwAIgAsADAALgAzACwAXAAiAEwAbwBjAGEAdABpAG8AbgAgAG4AbwB0ACAAcwBwAGUAYwBpAGYAaQBlAGQAXAAiACwAXAAiAFMAdQBsAGYAdQByACAALQAgAEcAZQBuAGUAcgBpAGMAXAAiACwAMAAuADI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XAAiACwAXAAiAEwAXAAiACwAMQAuADMAMgAsAFwAIgBOAGkAdAByAG8AZwBlAG4AIAAtACAARwBlAG4AZQByAGkAYwBcACIALAAwAC4AMwA3ADI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AgAFAAbAB1AHMAXAAiACwAXAAiAEwAXAAiACwAMQAuADMAMgAsAFwAIgBOAGkAdAByAG8AZwBlAG4AIAAtACAARwBlAG4AZQByAGkAYwBcACIALAAwAC4AMwA2ADQ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UwB1AGwAXAAiACwAXAAiAEwAXAAiACwAMQAuADMANQAsAFwAIgBTAHUAbABmAHUAcgAgAC0AIABHAGUAbgBlAHIAaQBjAFwAIgAsADAALgAzADUALABcACIATABvAGMAYQB0AGkAbwBuACAAbgBvAHQAIABzAHAAZQBjAGkAZgBpAGUAZABcACIALABcACIATgBpAHQAcgBvAGcAZQBuACAALQAgAEEAbQBtAG8AbgBpAGEAYwBhAGwAXAAiACwAMAAuADEAN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QBBAFMAXAAiACwAXAAiAEwAXAAiACwAMQAuADIAMwA1ACwAXAAiAE4AaQB0AHIAbwBnAGUAbgAgAC0AIABHAGUAbgBlAHIAaQBjAFwAIgAsADAALgAyADAAOQAsAFwAIgBMAG8AYwBhAHQAaQBvAG4AIABuAG8AdAAgAHMAcABlAGMAaQBmAGkAZQBkAFwAIgAsAFwAIgBTAHUAbABmAHUAcgAgAC0AIABHAGUAbgBlAHIAaQBjAFwAIgAsADAALgAwADYANwAsAFwAIgBMAG8AYwBhAHQAaQBvAG4AIABuAG8AdAAgAHMAcABlAGMAaQBmAGkAZQBkAFwAIgAsAFwAIgBOAGkAdAByAG8AZwBlAG4AIAAtACAAQQBtAG0AbwBuAGkAYQBjAGEAbABcACIALAAwAC4AMAA1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IABMAGkAcQB1AGkAZABzACAATgAtAEYATwBMACAAMgA0ACsAVABFAFwAIgAsAFwAIgBrAGcAXAAiACwAMQAsAFwAIgBOAGkAdAByAG8AZwBlAG4AIAAtACAARwBlAG4AZQByAGkAYwBcACIALAAwAC4AMQA5ACwAXAAiAEwAbwBjAGEAdABpAG8AbgAgAG4AbwB0ACAAcwBwAGUAYwBpAGYAaQBlAGQAXAAiACwAXAAiAFAAbwB0AGEAcwBzAGkAdQBtACAALQAgAEcAZQBuAGUAcgBpAGMAXAAiACwAMAAuADEANgA2ACwAXAAiAEwAbwBjAGEAdABpAG8AbgAgAG4AbwB0ACAAcwBwAGUAYwBpAGYAaQBlAGQAXAAiACwAXAAiAFMAdQBsAGYAdQByACAALQAgAEcAZQBuAGUAcgBpAGMAXAAiACwAMAAuADAAMwAsAFwAIgBMAG8AYwBhAHQAaQBvAG4AIABuAG8AdAAgAHMAcABlAGMAaQBmAGkAZQBkAFwAIgAsAFwAIgBQAGgAbwBzAHAAaABvAHIAdQBzACAALQAgAEcAZQBuAGUAcgBpAGMAXAAiACwAMAAuADAAMgA2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AgAFUAbgBpAGsAYQAgAFAAbAB1AHMAXAAiACwAXAAiAGsAZwBcACIALAAxACwAXAAiAFAAbwB0AGEAcwBzAGkAdQBtACAALQAgAEcAZQBuAGUAcgBpAGMAXAAiACwAMAAuADMAOAAy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TQBpAGwAYQAgADIAMQAtADcALQAzACgANAApAFwAIgAsAFwAIgBrAGcAXAAiACwAMQAsAFwAIgBOAGkAdAByAG8AZwBlAG4AIAAtACAARwBlAG4AZQByAGkAYwBcACIALAAwAC4AMgAxACwAXAAiAEwAbwBjAGEAdABpAG8AbgAgAG4AbwB0ACAAcwBwAGUAYwBpAGYAaQBlAGQAXAAiACwAXAAiAFAAaABvAHMAcABoAG8AcgB1AHMAIAAtACAARwBlAG4AZQByAGkAYwBcACIALAAwAC4AMAA3ADQALABcACIATABvAGMAYQB0AGkAbwBuACAAbgBvAHQAIABzAHAAZQBjAGkAZgBpAGUAZABcACIALABcACIAUwB1AGwAZgB1AHIAIAAtACAARwBlAG4AZQByAGkAYwBcACIALAAwAC4AMAA0ACwAXAAiAEwAbwBjAGEAdABpAG8AbgAgAG4AbwB0ACAAcwBwAGUAYwBpAGYAaQBlAGQAXAAiACwAXAAiAFAAbwB0AGEAcwBzAGkAdQBtACAALQAgAEcAZQBuAGUAcgBpAGMAXAAiACwAMAAuADAAMgA1ACwAXAAiAEwAbwBjAGEAdABpAG8AbgAgAG4AbwB0ACAAcwBwAGUAYwBpAGYAaQBlAGQAXAAiACwAXAAiAE0AYQBnAG4AZQBzAGkAdQBtACAALQAgAGcAZQBuAGUAcgBpAGMAXAAiACwAMAAuADAAMAA0ACwAXAAiAEwAbwBjAGEAdABpAG8AbgAgAG4AbwB0ACAAcwBwAGUAYwBpAGYAaQBlAGQAXAAiACwAXAAiAFoAaQBuAGMAIAAtACAARwBlAG4AZQByAGkAYwBcACIALAAwAC4AMAAwADEANQAsAFwAIgBMAG8AYwBhAHQAaQBvAG4AIABuAG8AdAAgAHMAcABlAGMAaQBmAGkAZQBkAFwAIgAsAFwAIgBcACIALABcACIAXAAiACwAXAAiAFwAIgAsAFwAIgBcACIALABcACIAXAAiACwAXAAiAFwAIgAsAFwAIgBcACIALABcACIAXAAiACwAXAAiAFwAIgAsAFwAIgBcACIALABcACIAXAAiACwAXAAiAFwAIgA7AFwAbgBcACIAWQBhAHIAYQBSAGUAZwBhACAAMQAzAC0AMgAtADIAMQBcACIALABcACIAawBnAFwAIgAsADEALABcACIAUABvAHQAYQBzAHMAaQB1AG0AIAAtACAARwBlAG4AZQByAGkAYwBcACIALAAwAC4AMgAxACwAXAAiAEwAbwBjAGEAdABpAG8AbgAgAG4AbwB0ACAAcwBwAGUAYwBpAGYAaQBlAGQAXAAiACwAXAAiAFMAdQBsAGYAdQByACAALQAgAEcAZQBuAGUAcgBpAGMAXAAiACwAMAAuADEAMAA4ACwAXAAiAEwAbwBjAGEAdABpAG8AbgAgAG4AbwB0ACAAcwBwAGUAYwBpAGYAaQBlAGQAXAAiACwAXAAiAE4AaQB0AHIAbwBnAGUAbgAgAC0AIABBAG0AbQBvAG4AaQBhAGMAYQBsAFwAIgAsADAALgAwADcANwAsAFwAIgBMAG8AYwBhAHQAaQBvAG4AIABuAG8AdAAgAHMAcABlAGMAaQBmAGkAZQBkAFwAIgAsAFwAIgBOAGkAdAByAG8AZwBlAG4AIABmAHIAbwBtACAATgBpAHQAcgBhAHQAZQBcACIALAAwAC4AMAA1ADMALABcACIATABvAGMAYQB0AGkAbwBuACAAbgBvAHQAIABzAHAAZQBjAGkAZgBpAGUAZABcACIALABcACIAUABoAG8AcwBwAGgAbwByAHUAcwAgAC0AIABHAGUAbgBlAHIAaQBjAFwAIgAsADAALgAwADEANwA1ACwAXAAiAEwAbwBjAGEAdABpAG8AbgAgAG4AbwB0ACAAcwBwAGUAYwBpAGYAaQBlAGQAXAAiACwAXAAiAE0AYQBnAG4AZQBzAGkAdQBtACAALQAgAGcAZQBuAGUAcgBpAGMAXAAiACwAMAAuADAAMAA0ACwAXAAiAEwAbwBjAGEAdABpAG8AbgAgAG4AbwB0ACAAcwBwAGUAYwBpAGYAaQBlAGQAXAAiACwAXAAiAEIAbwByAG8AbgAgAC0AIABnAGUAbgBlAHIAaQBjAFwAIgAsADAALgAwADAAMAA4ACwAXAAiAEwAbwBjAGEAdABpAG8AbgAgAG4AbwB0ACAAcwBwAGUAYwBpAGYAaQBlAGQAXAAiACwAXAAiAFoAaQBuAGMAIAAtACAARwBlAG4AZQByAGkAYwBcACIALAAwAC4AMAAwADAAOAAsAFwAIgBMAG8AYwBhAHQAaQBvAG4AIABuAG8AdAAgAHMAcABlAGMAaQBmAGkAZQBkAFwAIgAsAFwAIgBcACIALABcACIAXAAiACwAXAAiAFwAIgAsAFwAIgBcACIALABcACIAXAAiACwAXAAiAFwAIgA7AFwAbgBcACIAWQBhAHIAYQBSAGUAZwBhACAAOQAtADAALQAzADAAIAAoADEANAApAFwAIgAsAFwAIgBrAGcAXAAiACwAMQAsAFwAIgBQAG8AdABhAHMAcwBpAHUAbQAgAC0AIABHAGUAbgBlAHIAaQBjAFwAIgAsADAALgAzACwAXAAiAEwAbwBjAGEAdABpAG8AbgAgAG4AbwB0ACAAcwBwAGUAYwBpAGYAaQBlAGQAXAAiACwAXAAiAFMAdQBsAGYAdQByACAALQAgAEcAZQBuAGUAcgBpAGMAXAAiACwAMAAuADEANAAsAFwAIgBMAG8AYwBhAHQAaQBvAG4AIABuAG8AdAAgAHMAcABlAGMAaQBmAGkAZQBkAFwAIgAsAFwAIgBOAGkAdAByAG8AZwBlAG4AIAAtACAAQQBtAG0AbwBuAGkAYQBjAGEAbABcACIALAAwAC4AMAA0ADUALABcACIATABvAGMAYQB0AGkAbwBuACAAbgBvAHQAIABzAHAAZQBjAGkAZgBpAGUAZABcACIALABcACIATgBpAHQAcgBvAGcAZQBuACAAZgByAG8AbQAgAE4AaQB0AHIAYQB0AGUAXAAiACwAMAAuADAAN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sAIABQAEwAVQBTAFwAIgAsAFwAIgBrAGcAXAAiACwAMQAsAFwAIgBOAGkAdAByAG8AZwBlAG4AIAAtACAARwBlAG4AZQByAGkAYwBcACIALAAwAC4AMQAzADcALABcACIATABvAGMAYQB0AGkAbwBuACAAbgBvAHQAIABzAHAAZQBjAGkAZgBpAGUAZABcACIALABcACIAUABvAHQAYQBzAHMAaQB1AG0AIAAtACAARwBlAG4AZQByAGkAYwBcACIALAAwAC4AMwA4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sAUABcACIALABcACIAawBnAFwAIgAsADEALABcACIAUABvAHQAYQBzAHMAaQB1AG0AIAAtACAARwBlAG4AZQByAGkAYwBcACIALAAwAC4AMgA4ADIALABcACIATABvAGMAYQB0AGkAbwBuACAAbgBvAHQAIABzAHAAZQBjAGkAZgBpAGUAZABcACIALABcACIAUABoAG8AcwBwAGgAbwByAHUAcwAgAC0AIABHAGUAbgBlAHIAaQBjAFwAIgAsADAALgAyADI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XABuAEYAZQByAHQAaQBsAGkAcwBlAHIAXwBQAHIAbwBkAHUAYwB0AHMAXwBEAGEAdABhADQAXABuAD0ATABBAE0AQgBEAEEAKABcAG4AIABNAEEASwBFAEEAUgBSAEEAWQAoADUALAAgADMANQAsAFwAbgAgAEwAQQBNAEIARABBACgAcgAsAGMALABcAG4AIAAgAEkATgBEAEUAWAAoAHsAXABuAFwAIgBZAGEAcgBhAFQAZQByAGEAIABLAFIASQBTAFQAQQBMAE8ATgAgAFIARQBEAFwAIgAsAFwAIgBrAGcAXAAiACwAMQAsAFwAIgBQAG8AdABhAHMAcwBpAHUAbQAgAC0AIABHAGUAbgBlAHIAaQBjAFwAIgAsADAALgAyADkAOAA4ACwAXAAiAEwAbwBjAGEAdABpAG8AbgAgAG4AbwB0ACAAcwBwAGUAYwBpAGYAaQBlAGQAXAAiACwAXAAiAE4AaQB0AHIAbwBnAGUAbgAgAC0AIABHAGUAbgBlAHIAaQBjAFwAIgAsADAALgAxADIALABcACIATABvAGMAYQB0AGkAbwBuACAAbgBvAHQAIABzAHAAZQBjAGkAZgBpAGUAZABcACIALABcACIAUABoAG8AcwBwAGgAbwByAHUAcwAgAC0AIABHAGUAbgBlAHIAaQBjAFwAIgAsADAALgAwADUAMgA0ADQALABcACIATABvAGMAYQB0AGkAbwBuACAAbgBvAHQAIABzAHAAZQBjAGkAZgBpAGUAZABcACIALABcACIAUwB1AGwAZgB1AHIAIAAtACAARwBlAG4AZQByAGkAYwBcACIALAAwAC4AMAAxACwAXAAiAEwAbwBjAGEAdABpAG8AbgAgAG4AbwB0ACAAcwBwAGUAYwBpAGYAaQBlAGQAXAAiACwAXAAiAE0AYQBnAG4AZQBzAGkAdQBtACAALQAgAGcAZQBuAGUAcgBpAGMAXAAiACwAMAAuADAAMAA2ADAAMw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ABlAHIAYQAgAEsAUgBJAFMAVABBAEwATwBOACAAUwBQAEUAQwBJAEEATABcACIALABcACIAawBnAFwAIgAsADEALABcACIATgBpAHQAcgBvAGcAZQBuACAALQAgAEcAZQBuAGUAcgBpAGMAXAAiACwAMAAuADEAOAAsAFwAIgBMAG8AYwBhAHQAaQBvAG4AIABuAG8AdAAgAHMAcABlAGMAaQBmAGkAZQBkAFwAIgAsAFwAIgBQAG8AdABhAHMAcwBpAHUAbQAgAC0AIABHAGUAbgBlAHIAaQBjAFwAIgAsADAALgAxADQAOQAsAFwAIgBMAG8AYwBhAHQAaQBvAG4AIABuAG8AdAAgAHMAcABlAGMAaQBmAGkAZQBkAFwAIgAsAFwAIgBQAGgAbwBzAHAAaABvAHIAdQBzACAALQAgAEcAZQBuAGUAcgBpAGMAXAAiACwAMAAuADAANwA5ACwAXAAiAEwAbwBjAGEAdABpAG8AbgAgAG4AbwB0ACAAcwBwAGUAYwBpAGYAaQBlAGQAXAAiACwAXAAiAFMAdQBsAGYAdQByACAALQAgAEcAZQBuAGUAcgBpAGMAXAAiACwAMAAuADAAM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gBpAHQAYQAgAEcAbAB5AHQAcgBlAGwAIABaAG4AUABcACIALABcACIATABcACIALAAxAC4AMwA1ADQALABcACIAWgBpAG4AYwAgAC0AIABHAGUAbgBlAHIAaQBjAFwAIgAsADAALgAxACwAXAAiAEwAbwBjAGEAdABpAG8AbgAgAG4AbwB0ACAAcwBwAGUAYwBpAGYAaQBlAGQAXAAiACwAXAAiAFAAaABvAHMAcABoAG8AcgB1AHMAIAAtACAARwBlAG4AZQByAGkAYwBcACIALAAwAC4AMAA0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gBpAHQAYQAgAFoAaQBuAHQAcgBhAGMAXAAiACwAXAAiAEwAXAAiACwAMQAuADcAMwA0ACwAXAAiAFoAaQBuAGMAIAAtACAARwBlAG4AZQByAGkAYwBcACIALAAwAC4ANwAsAFwAIgBMAG8AYwBhAHQAaQBvAG4AIABuAG8AdAAgAHMAcABlAGMAaQBmAGkAZQBkAFwAIgAsAFwAIgBOAGkAdAByAG8AZwBlAG4AIAAtACAARwBlAG4AZQByAGkAYwBcACIALAAwAC4AMAAx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oAaQBuAGMAUwB0AGEAcgBcACIALABcACIAawBnAFwAIgAsADEALABcACIATgBpAHQAcgBvAGcAZQBuACAALQAgAEEAbQBtAG8AbgBpAGEAYwBhAGwAXAAiACwAMAAuADEALABcACIATABvAGMAYQB0AGkAbwBuACAAbgBvAHQAIABzAHAAZQBjAGkAZgBpAGUAZABcACIALABcACIAUABoAG8AcwBwAGgAbwByAHUAcwAgAC0AIABHAGUAbgBlAHIAaQBjAFwAIgAsADAALgAyADIALABcACIATABvAGMAYQB0AGkAbwBuACAAbgBvAHQAIABzAHAAZQBjAGkAZgBpAGUAZABcACIALABcACIAUwB1AGwAZgB1AHIAIAAtACAARwBlAG4AZQByAGkAYwBcACIALAAwAC4AMAAyACwAXAAiAEwAbwBjAGEAdABpAG8AbgAgAG4AbwB0ACAAcwBwAGUAYwBpAGYAaQBlAGQAXAAiACwAXAAiAFoAaQBuAGMAIAAtACAARwBlAG4AZQByAGkAYwBcACIALAAwAC4AMAAx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AqAC8AXABuAFwAbgBcAG4AXABuACIAfQAsAHsAIgBwAGEAdABoACIAOgAiAC8AcAByAG8AagBlAGMAdABzAC8ARgBlAHIAdABpAGwAaQBzAGUAcgBfAEkAbgBwAHUAdABGAHUAbgBjAHQAaQBvAG4AcwAiACwAIgB0AGUAeAB0ACIAOgAiAEYAZQByAHQAaQBsAGkAcwBlAHIAXwBGAGUAcgB0AGkAbABpAHMAZQByAFAAcgBvAGQAdQBjAHQATABvAG8AawB1AHAAXABuAD0ATABBAE0AQgBEAEEAKABQAHIAbwBkAHUAYwB0ACwAIABQAHIAbwBkAHUAYwB0AEEAdAB0AHIAaQBiAHUAdABlACwAIABQAHIAbwBkAHUAYwB0AEEAcgByAGEAeQAsACAAUAByAG8AZAB1AGMAdABBAHIAcgBhAHkAQwBvAGwAdQBtAG4ALAAgAFAAcgBvAGQAdQBjAHQAQQByAHIAYQB5AEgAZQBhAGQAZQByAHMALABcAG4AIAAgAEkARgBFAFIAUgBPAFIAKABcAG4AIAAgACAAIABJAE4ARABFAFgAKABcAG4AIAAgACAAIAAgACAAUAByAG8AZAB1AGMAdABBAHIAcgBhAHkALABcAG4AIAAgACAAIAAgACAAWABNAEEAVABDAEgAKABUAFIASQBNACgAUAByAG8AZAB1AGMAdAApACwAIABQAHIAbwBkAHUAYwB0AEEAcgByAGEAeQBDAG8AbAB1AG0AbgAsACAAMAApACwAXABuACAAIAAgACAAIAAgAFgATQBBAFQAQwBIACgAVABSAEkATQAoAFAAcgBvAGQAdQBjAHQAQQB0AHQAcgBpAGIAdQB0AGUAKQAsACAAUAByAG8AZAB1AGMAdABBAHIAcgBhAHkASABlAGEAZABlAHIAcwAsACAAMAApAFwAbgAgACAAIAAgACkALABcAG4AIAAgACAAIABcACIAXAAiAFwAbgAgACAAKQBcAG4AKQA7AFwAbgBcAG4AXABuAEYAZQByAHQAaQBsAGkAcwBlAHIAXwBTAHUAbQBQAHIAbwBkAHUAYwB0AEEAcABwAGwAaQBlAGQAXABuAD0ATABBAE0AQgBEAEEAKABcAG4AIAAgAEwAbwBvAGsAdQBwAFQAYQByAGcAZQB0ADEALABMAG8AbwBrAHUAcABBAHIAcgBhAHkAMQAsAEEAbQBvAHUAbgB0AEEAcABwAGwAaQBlAGQALABbAEwAbwBvAGsAdQBwAFQAYQByAGcAZQB0ADIAXQAsAFsATABvAG8AawB1AHAAQQByAHIAYQB5ADIAXQAsAFwAbgAgACAATABFAFQAKABcAG4AIAAgACAAIABjAHIAaQB0AGUAcgBpAGEAMQAsAC0ALQAoAEkARgBFAFIAUgBPAFIAKABMAG8AbwBrAHUAcABBAHIAcgBhAHkAMQAsAFwAIgBcACIAKQA9AEwAbwBvAGsAdQBwAFQAYQByAGcAZQB0ADEAKQAsAFwAbgAgACAAIAAgAGMAcgBpAHQAZQByAGkAYQAyACwASQBGACgASQBTAE8ATQBJAFQAVABFAEQAKABMAG8AbwBrAHUAcABUAGEAcgBnAGUAdAAyACkALAAxACwASQBGAEUAUgBSAE8AUgAoAC0ALQAoAEwAbwBvAGsAdQBwAEEAcgByAGEAeQAyAD0ATABvAG8AawB1AHAAVABhAHIAZwBlAHQAMgApACwAMAApACkALABcAG4AIAAgACAAIABhAG0AbwB1AG4AdABzACwASQBGAEUAUgBSAE8AUgAoAEEAbQBvAHUAbgB0AEEAcABwAGwAaQBlAGQAKgAxACwAMAApACwAXABuACAAIAAgACAAUwBVAE0AUABSAE8ARABVAEMAVAAoAGMAcgBpAHQAZQByAGkAYQAxACoAYwByAGkAdABlAHIAaQBhADIAKgBhAG0AbwB1AG4AdABzACkAXABuACAAIAApAFwAbgApADsAXABuAFwAbgBGAGUAcgB0AGkAbABpAHMAZQByAF8AVABvAHQAYQBsAFMAbwBpAGwAQQBtAGUAbgBkAG0AZQBuAHQAQQBwAHAAbABpAGUAZABcAG4APQBMAEEATQBCAEQAQQAoAFwAbgAgACAAQQBtAG8AdQBuAHQAQQBwAHAAbABpAGUAZAAsACAAQQBtAGUAbgBkAG0AZQBuAHQAUABlAHIAYwBlAG4AdAAsAFwAbgAgACAAUwBVAE0AUABSAE8ARABVAEMAVAAoAEEAbQBvAHUAbgB0AEEAcABwAGwAaQBlAGQAIAAqACAAQQBtAGUAbgBkAG0AZQBuAHQAUABlAHIAYwBlAG4AdAApAFwAbgApADsAXABuAFwAbgBcAG4AXABuAEYAZQByAHQAaQBsAGkAcwBlAHIAXwBUAG8AdABhAGwAQwBoAGUAbQBpAGMAYQBsAEMAbwBtAHAAbwB1AG4AZABBAHAAcABsAGkAZQBkAEEAbABsAEkAbgBnAHIAZQBkAGkAZQBuAHQAcwBcAG4APQBMAEEATQBCAEQAQQAoAFwAbgAgACAAQwBoAGUAbQBpAGMAYQBsAEMAbwBtAHAAbwB1AG4AZAAsAFwAbgAgACAAQQBtAG8AdQBuAHQAQQBwAHAAbABpAGUAZAAsAFwAbgAgACAAUAByAG8AZAB1AGMAdABJAG4AZwByAGUAZABpAGUAbgB0ADEALAAgAFAAcgBvAGQAdQBjAHQASQBuAGcAcgBlAGQAaQBlAG4AdABQAGUAcgBjAGUAbgB0ADEALABcAG4AIAAgAFsAUAByAG8AZAB1AGMAdABJAG4AZwByAGUAZABpAGUAbgB0ADIAXQAsACAAWwBQAHIAbwBkAHUAYwB0AEkAbgBnAHIAZQBkAGkAZQBuAHQAUABlAHIAYwBlAG4AdAAyAF0ALABcAG4AIAAgAFsAUAByAG8AZAB1AGMAdABJAG4AZwByAGUAZABpAGUAbgB0ADMAXQAsACAAWwBQAHIAbwBkAHUAYwB0AEkAbgBnAHIAZQBkAGkAZQBuAHQAUABlAHIAYwBlAG4AdAAzAF0ALABcAG4AIAAgAFsAUAByAG8AZAB1AGMAdABJAG4AZwByAGUAZABpAGUAbgB0ADQAXQAsACAAWwBQAHIAbwBkAHUAYwB0AEkAbgBnAHIAZQBkAGkAZQBuAHQAUABlAHIAYwBlAG4AdAA0AF0ALABcAG4AIAAgAFsAUAByAG8AZAB1AGMAdABJAG4AZwByAGUAZABpAGUAbgB0ADUAXQAsACAAWwBQAHIAbwBkAHUAYwB0AEkAbgBnAHIAZQBkAGkAZQBuAHQAUABlAHIAYwBlAG4AdAA1AF0ALABcAG4AIAAgAFsAUAByAG8AZAB1AGMAdABJAG4AZwByAGUAZABpAGUAbgB0ADYAXQAsACAAWwBQAHIAbwBkAHUAYwB0AEkAbgBnAHIAZQBkAGkAZQBuAHQAUABlAHIAYwBlAG4AdAA2AF0ALABcAG4AIAAgAEwARQBUACgAXABuACAAIAAgACAAYwBhAGwAYwB1AGwAYQB0AGUAZABBAG0AbwB1AG4AdAAxACwAIAAoAEEAbQBvAHUAbgB0AEEAcABwAGwAaQBlAGQAKgBQAHIAbwBkAHUAYwB0AEkAbgBnAHIAZQBkAGkAZQBuAHQAUABlAHIAYwBlAG4AdAAxACkALABcAG4AIAAgACAAIABjAGEAbABjAHUAbABhAHQAZQBkAEEAbQBvAHUAbgB0ADIALAAgAEkARgAoAEkAUwBPAE0ASQBUAFQARQBEACgAUAByAG8AZAB1AGMAdABJAG4AZwByAGUAZABpAGUAbgB0ADIAKQAsACAAMAAsACAAQQBtAG8AdQBuAHQAQQBwAHAAbABpAGUAZAAqAFAAcgBvAGQAdQBjAHQASQBuAGcAcgBlAGQAaQBlAG4AdABQAGUAcgBjAGUAbgB0ADIAKQAsAFwAbgAgACAAIAAgAGMAYQBsAGMAdQBsAGEAdABlAGQAQQBtAG8AdQBuAHQAMwAsACAASQBGACgASQBTAE8ATQBJAFQAVABFAEQAKABQAHIAbwBkAHUAYwB0AEkAbgBnAHIAZQBkAGkAZQBuAHQAMwApACwAIAAwACwAIABBAG0AbwB1AG4AdABBAHAAcABsAGkAZQBkACoAUAByAG8AZAB1AGMAdABJAG4AZwByAGUAZABpAGUAbgB0AFAAZQByAGMAZQBuAHQAMwApACwAIABcAG4AIAAgACAAIABjAGEAbABjAHUAbABhAHQAZQBkAEEAbQBvAHUAbgB0ADQALAAgAEkARgAoAEkAUwBPAE0ASQBUAFQARQBEACgAUAByAG8AZAB1AGMAdABJAG4AZwByAGUAZABpAGUAbgB0ADQAKQAsACAAMAAsACAAQQBtAG8AdQBuAHQAQQBwAHAAbABpAGUAZAAqAFAAcgBvAGQAdQBjAHQASQBuAGcAcgBlAGQAaQBlAG4AdABQAGUAcgBjAGUAbgB0ADQAKQAsACAAXABuACAAIAAgACAAYwBhAGwAYwB1AGwAYQB0AGUAZABBAG0AbwB1AG4AdAA1ACwAIABJAEYAKABJAFMATwBNAEkAVABUAEUARAAoAFAAcgBvAGQAdQBjAHQASQBuAGcAcgBlAGQAaQBlAG4AdAA1ACkALAAgADAALAAgAEEAbQBvAHUAbgB0AEEAcABwAGwAaQBlAGQAKgBQAHIAbwBkAHUAYwB0AEkAbgBnAHIAZQBkAGkAZQBuAHQAUABlAHIAYwBlAG4AdAA1ACkALAAgAFwAbgAgACAAIAAgAGMAYQBsAGMAdQBsAGEAdABlAGQAQQBtAG8AdQBuAHQANgAsACAASQBGACgASQBTAE8ATQBJAFQAVABFAEQAKABQAHIAbwBkAHUAYwB0AEkAbgBnAHIAZQBkAGkAZQBuAHQANgApACwAIAAwACwAIABBAG0AbwB1AG4AdABBAHAAcABsAGkAZQBkACoAUAByAG8AZAB1AGMAdABJAG4AZwByAGUAZABpAGUAbgB0AFAAZQByAGMAZQBuAHQANgApACwAIAAgAFwAbgAgACAAIAAgAEYAZQByAHQAaQBsAGkAcwBlAHIAXwBTAHUAbQBQAHIAbwBkAHUAYwB0AEEAcABwAGwAaQBlAGQAKABcAG4AIAAgACAAIAAgACAAQwBoAGUAbQBpAGMAYQBsAEMAbwBtAHAAbwB1AG4AZAAsACAAUAByAG8AZAB1AGMAdABJAG4AZwByAGUAZABpAGUAbgB0ADEALAAgAGMAYQBsAGMAdQBsAGEAdABlAGQAQQBtAG8AdQBuAHQAMQBcAG4AIAAgACAAIAApACsAXABuACAAIAAgACAASQBGAEUAUgBSAE8AUgAoAFwAbgAgACAAIAAgACAAIABJAEYAKABJAFMATwBNAEkAVABUAEUARAAoAFAAcgBvAGQAdQBjAHQASQBuAGcAcgBlAGQAaQBlAG4AdAAyACkALAAgADAALAAgAFwAbgAgACAAIAAgACAAIABGAGUAcgB0AGkAbABpAHMAZQByAF8AUwB1AG0AUAByAG8AZAB1AGMAdABBAHAAcABsAGkAZQBkACgAQwBoAGUAbQBpAGMAYQBsAEMAbwBtAHAAbwB1AG4AZAAsACAAUAByAG8AZAB1AGMAdABJAG4AZwByAGUAZABpAGUAbgB0ADIALAAgAGMAYQBsAGMAdQBsAGEAdABlAGQAQQBtAG8AdQBuAHQAMgApACkALAAgADAAKQArAFwAbgAgACAAIAAgAEkARgBFAFIAUgBPAFIAKABcAG4AIAAgACAAIAAgACAASQBGACgASQBTAE8ATQBJAFQAVABFAEQAKABQAHIAbwBkAHUAYwB0AEkAbgBnAHIAZQBkAGkAZQBuAHQAMwApACwAIAAwACwAIABcAG4AIAAgACAAIAAgACAARgBlAHIAdABpAGwAaQBzAGUAcgBfAFMAdQBtAFAAcgBvAGQAdQBjAHQAQQBwAHAAbABpAGUAZAAoAEMAaABlAG0AaQBjAGEAbABDAG8AbQBwAG8AdQBuAGQALAAgAFAAcgBvAGQAdQBjAHQASQBuAGcAcgBlAGQAaQBlAG4AdAAzACwAIABjAGEAbABjAHUAbABhAHQAZQBkAEEAbQBvAHUAbgB0ADMAKQApACwAIAAwACkAKwBcAG4AIAAgACAAIABJAEYARQBSAFIATwBSACgAXABuACAAIAAgACAAIAAgAEkARgAoAEkAUwBPAE0ASQBUAFQARQBEACgAUAByAG8AZAB1AGMAdABJAG4AZwByAGUAZABpAGUAbgB0ADQAKQAsACAAMAAsACAAXABuACAAIAAgACAAIAAgAEYAZQByAHQAaQBsAGkAcwBlAHIAXwBTAHUAbQBQAHIAbwBkAHUAYwB0AEEAcABwAGwAaQBlAGQAKABDAGgAZQBtAGkAYwBhAGwAQwBvAG0AcABvAHUAbgBkACwAIABQAHIAbwBkAHUAYwB0AEkAbgBnAHIAZQBkAGkAZQBuAHQANAAsACAAYwBhAGwAYwB1AGwAYQB0AGUAZABBAG0AbwB1AG4AdAA0ACkAKQAsACAAMAApACsAXABuACAAIAAgACAASQBGAEUAUgBSAE8AUgAoAFwAbgAgACAAIAAgACAAIABJAEYAKABJAFMATwBNAEkAVABUAEUARAAoAFAAcgBvAGQAdQBjAHQASQBuAGcAcgBlAGQAaQBlAG4AdAA1ACkALAAgADAALAAgAFwAbgAgACAAIAAgACAAIABGAGUAcgB0AGkAbABpAHMAZQByAF8AUwB1AG0AUAByAG8AZAB1AGMAdABBAHAAcABsAGkAZQBkACgAQwBoAGUAbQBpAGMAYQBsAEMAbwBtAHAAbwB1AG4AZAAsACAAUAByAG8AZAB1AGMAdABJAG4AZwByAGUAZABpAGUAbgB0ADUALAAgAGMAYQBsAGMAdQBsAGEAdABlAGQAQQBtAG8AdQBuAHQANQApACkALAAgADAAKQArAFwAbgAgACAAIAAgAEkARgBFAFIAUgBPAFIAKABcAG4AIAAgACAAIAAgACAASQBGACgASQBTAE8ATQBJAFQAVABFAEQAKABQAHIAbwBkAHUAYwB0AEkAbgBnAHIAZQBkAGkAZQBuAHQANgApACwAIAAwACwAIABcAG4AIAAgACAAIAAgACAARgBlAHIAdABpAGwAaQBzAGUAcgBfAFMAdQBtAFAAcgBvAGQAdQBjAHQAQQBwAHAAbABpAGUAZAAoAEMAaABlAG0AaQBjAGEAbABDAG8AbQBwAG8AdQBuAGQALAAgAFAAcgBvAGQAdQBjAHQASQBuAGcAcgBlAGQAaQBlAG4AdAA2ACwAIABjAGEAbABjAHUAbABhAHQAZQBkAEEAbQBvAHUAbgB0ADYAKQApACwAIAAw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UAByAG8AZAB1AGMAdABJAG4AZwByAGUAZABpAGUAbgB0ADEAUwBvAHUAcgBjAGUALABcAG4AIAAgAFsAUAByAG8AZAB1AGMAdABJAG4AZwByAGUAZABpAGUAbgB0ADIAXQAsAFwAbgAgACAAWwBQAHIAbwBkAHUAYwB0AEkAbgBnAHIAZQBkAGkAZQBuAHQAUABlAHIAYwBlAG4AdAAyAF0ALABcAG4AIAAgAFsAUAByAG8AZAB1AGMAdABJAG4AZwByAGUAZABpAGUAbgB0ADIAUwBvAHUAcgBjAGUAXQAsAFwAbgAgACAAWwBQAHIAbwBkAHUAYwB0AEkAbgBnAHIAZQBkAGkAZQBuAHQAMwBdACwAXABuACAAIABbAFAAcgBvAGQAdQBjAHQASQBuAGcAcgBlAGQAaQBlAG4AdABQAGUAcgBjAGUAbgB0ADMAXQAsAFwAbgAgACAAWwBQAHIAbwBkAHUAYwB0AEkAbgBnAHIAZQBkAGkAZQBuAHQAMwBTAG8AdQByAGMAZQBdACwAXABuACAAIABbAFAAcgBvAGQAdQBjAHQASQBuAGcAcgBlAGQAaQBlAG4AdAA0AF0ALABcAG4AIAAgAFsAUAByAG8AZAB1AGMAdABJAG4AZwByAGUAZABpAGUAbgB0AFAAZQByAGMAZQBuAHQANABdACwAXABuACAAIABbAFAAcgBvAGQAdQBjAHQASQBuAGcAcgBlAGQAaQBlAG4AdAA0AFMAbwB1AHIAYwBlAF0ALABcAG4AIAAgAFsAUAByAG8AZAB1AGMAdABJAG4AZwByAGUAZABpAGUAbgB0ADUAXQAsAFwAbgAgACAAWwBQAHIAbwBkAHUAYwB0AEkAbgBnAHIAZQBkAGkAZQBuAHQAUABlAHIAYwBlAG4AdAA1AF0ALABcAG4AIAAgAFsAUAByAG8AZAB1AGMAdABJAG4AZwByAGUAZABpAGUAbgB0ADUAUwBvAHUAcgBjAGUAXQAsAFwAbgAgACAAWwBQAHIAbwBkAHUAYwB0AEkAbgBnAHIAZQBkAGkAZQBuAHQANgBdACwAXABuACAAIABbAFAAcgBvAGQAdQBjAHQASQBuAGcAcgBlAGQAaQBlAG4AdABQAGUAcgBjAGUAbgB0ADYAXQAsAFwAbgAgACAAWwBQAHIAbwBkAHUAYwB0AEkAbgBnAHIAZQBkAGkAZQBuAHQANgBTAG8AdQByAGMAZQBdACwAXABuACAAIABMAEUAVAAoAFwAbgAgACAAIAAgAGMAYQBsAGMAdQBsAGEAdABlAGQAQQBtAG8AdQBuAHQAMQAsACAAKABBAG0AbwB1AG4AdABBAHAAcABsAGkAZQBkACoAUAByAG8AZAB1AGMAdABJAG4AZwByAGUAZABpAGUAbgB0AFAAZQByAGMAZQBuAHQAMQApACwAXABuACAAIAAgACAAYwBhAGwAYwB1AGwAYQB0AGUAZABBAG0AbwB1AG4AdAAyACwAIAAoAEEAbQBvAHUAbgB0AEEAcABwAGwAaQBlAGQAKgBQAHIAbwBkAHUAYwB0AEkAbgBnAHIAZQBkAGkAZQBuAHQAUABlAHIAYwBlAG4AdAAyACkALABcAG4AIAAgACAAIABjAGEAbABjAHUAbABhAHQAZQBkAEEAbQBvAHUAbgB0ADMALAAgACgAQQBtAG8AdQBuAHQAQQBwAHAAbABpAGUAZAAqAFAAcgBvAGQAdQBjAHQASQBuAGcAcgBlAGQAaQBlAG4AdABQAGUAcgBjAGUAbgB0ADMAKQAsACAAXABuACAAIAAgACAAYwBhAGwAYwB1AGwAYQB0AGUAZABBAG0AbwB1AG4AdAA0ACwAIAAoAEEAbQBvAHUAbgB0AEEAcABwAGwAaQBlAGQAKgBQAHIAbwBkAHUAYwB0AEkAbgBnAHIAZQBkAGkAZQBuAHQAUABlAHIAYwBlAG4AdAA0ACkALAAgAFwAbgAgACAAIAAgAGMAYQBsAGMAdQBsAGEAdABlAGQAQQBtAG8AdQBuAHQANQAsACAAKABBAG0AbwB1AG4AdABBAHAAcABsAGkAZQBkACoAUAByAG8AZAB1AGMAdABJAG4AZwByAGUAZABpAGUAbgB0AFAAZQByAGMAZQBuAHQANQApACwAIABcAG4AIAAgACAAIABjAGEAbABjAHUAbABhAHQAZQBkAEEAbQBvAHUAbgB0ADYALAAgACgAQQBtAG8AdQBuAHQAQQBwAHAAbABpAGUAZAAqAFAAcgBvAGQAdQBjAHQASQBuAGcAcgBlAGQAaQBlAG4AdABQAGUAcgBjAGUAbgB0ADYAKQAsACAAIABcAG4AIAAgACAAIABGAGUAcgB0AGkAbABpAHMAZQByAF8AUwB1AG0AUAByAG8AZAB1AGMAdABBAHAAcABsAGkAZQBkACgAXABuACAAIAAgACAAIAAgAEMAaABlAG0AaQBjAGEAbABDAG8AbQBwAG8AdQBuAGQALAAgAFAAcgBvAGQAdQBjAHQASQBuAGcAcgBlAGQAaQBlAG4AdAAxACwAIABjAGEAbABjAHUAbABhAHQAZQBkAEEAbQBvAHUAbgB0ADEALAAgAFMAbwB1AHIAYwBlACwAIABQAHIAbwBkAHUAYwB0AEkAbgBnAHIAZQBkAGkAZQBuAHQAMQBTAG8AdQByAGMAZQBcAG4AIAAgACAAIAApACsAXABuACAAIAAgACAASQBGAEUAUgBSAE8AUgAoAEYAZQByAHQAaQBsAGkAcwBlAHIAXwBTAHUAbQBQAHIAbwBkAHUAYwB0AEEAcABwAGwAaQBlAGQAKABcAG4AIAAgACAAIAAgACAAQwBoAGUAbQBpAGMAYQBsAEMAbwBtAHAAbwB1AG4AZAAsACAAUAByAG8AZAB1AGMAdABJAG4AZwByAGUAZABpAGUAbgB0ADIALAAgAGMAYQBsAGMAdQBsAGEAdABlAGQAQQBtAG8AdQBuAHQAMgAsACAAUwBvAHUAcgBjAGUALAAgAFAAcgBvAGQAdQBjAHQASQBuAGcAcgBlAGQAaQBlAG4AdAAyAFMAbwB1AHIAYwBlAFwAbgAgACAAIAAgACkALAAgADAAKQArAFwAbgAgACAAIAAgAEkARgBFAFIAUgBPAFIAKABGAGUAcgB0AGkAbABpAHMAZQByAF8AUwB1AG0AUAByAG8AZAB1AGMAdABBAHAAcABsAGkAZQBkACgAXABuACAAIAAgACAAIAAgAEMAaABlAG0AaQBjAGEAbABDAG8AbQBwAG8AdQBuAGQALAAgAFAAcgBvAGQAdQBjAHQASQBuAGcAcgBlAGQAaQBlAG4AdAAzACwAIABjAGEAbABjAHUAbABhAHQAZQBkAEEAbQBvAHUAbgB0ADMALAAgAFMAbwB1AHIAYwBlACwAIABQAHIAbwBkAHUAYwB0AEkAbgBnAHIAZQBkAGkAZQBuAHQAMwBTAG8AdQByAGMAZQBcAG4AIAAgACAAIAApACwAIAAwACkAKwBcAG4AIAAgACAAIABJAEYARQBSAFIATwBSACgARgBlAHIAdABpAGwAaQBzAGUAcgBfAFMAdQBtAFAAcgBvAGQAdQBjAHQAQQBwAHAAbABpAGUAZAAoAFwAbgAgACAAIAAgACAAIABDAGgAZQBtAGkAYwBhAGwAQwBvAG0AcABvAHUAbgBkACwAIABQAHIAbwBkAHUAYwB0AEkAbgBnAHIAZQBkAGkAZQBuAHQANAAsACAAYwBhAGwAYwB1AGwAYQB0AGUAZABBAG0AbwB1AG4AdAA0ACwAIABTAG8AdQByAGMAZQAsACAAUAByAG8AZAB1AGMAdABJAG4AZwByAGUAZABpAGUAbgB0ADQAUwBvAHUAcgBjAGUAXABuACAAIAAgACAAKQAsACAAMAApACsAXABuACAAIAAgACAASQBGAEUAUgBSAE8AUgAoAEYAZQByAHQAaQBsAGkAcwBlAHIAXwBTAHUAbQBQAHIAbwBkAHUAYwB0AEEAcABwAGwAaQBlAGQAKABcAG4AIAAgACAAIAAgACAAQwBoAGUAbQBpAGMAYQBsAEMAbwBtAHAAbwB1AG4AZAAsACAAUAByAG8AZAB1AGMAdABJAG4AZwByAGUAZABpAGUAbgB0ADUALAAgAGMAYQBsAGMAdQBsAGEAdABlAGQAQQBtAG8AdQBuAHQANQAsACAAUwBvAHUAcgBjAGUALAAgAFAAcgBvAGQAdQBjAHQASQBuAGcAcgBlAGQAaQBlAG4AdAA1AFMAbwB1AHIAYwBlAFwAbgAgACAAIAAgACkALAAgADAAKQArAFwAbgAgACAAIAAgAEkARgBFAFIAUgBPAFIAKABGAGUAcgB0AGkAbABpAHMAZQByAF8AUwB1AG0AUAByAG8AZAB1AGMAdABBAHAAcABsAGkAZQBkACgAXABuACAAIAAgACAAIAAgAEMAaABlAG0AaQBjAGEAbABDAG8AbQBwAG8AdQBuAGQALAAgAFAAcgBvAGQAdQBjAHQASQBuAGcAcgBlAGQAaQBlAG4AdAA2ACwAIABjAGEAbABjAHUAbABhAHQAZQBkAEEAbQBvAHUAbgB0ADYALAAgAFMAbwB1AHIAYwBlACwAIABQAHIAbwBkAHUAYwB0AEkAbgBnAHIAZQBkAGkAZQBuAHQANgBTAG8AdQByAGMAZQBcAG4AIAAgACAAIAApACwAIAAwACkAXABuACAAIAApAFwAbgApADsAXABuAFwAbgBGAGUAcgB0AGkAbABpAHMAZQByAF8ARwBlAHQAUwBjAG8AcABlADMARQBGAFwAbgA9AEwAQQBNAEIARABBACgAXABuACAAIAAgACAAQwBoAGUAbQBpAGMAYQBsAEMAbwBtAHAAbwB1AG4AZAAsACAAUwBjAG8AcABlADMAQQByAHIAYQB5ACwAIABDAGgAZQBtAGkAYwBhAGwAQwBvAG0AcABvAHUAbgBkAEMAbwBsAHUAbQBuACwAIABTAG8AdQByAGMAZQAsACAAUwBvAHUAcgBjAGUAUgBvAHcALABcAG4AIAAgACAAIABJAE4ARABFAFgAKABTAGMAbwBwAGUAMwBBAHIAcgBhAHkALABcAG4AIAAgACAAIAAgACAAIABNAEEAVABDAEgAKABDAGgAZQBtAGkAYwBhAGwAQwBvAG0AcABvAHUAbgBkACwAIABDAGgAZQBtAGkAYwBhAGwAQwBvAG0AcABvAHUAbgBkAEMAbwBsAHUAbQBuACwAIAAwACkALABcAG4AIAAgACAAIAAgACAAIABNAEEAVABDAEgAKABTAG8AdQByAGMAZQAsACAAUwBvAHUAcgBjAGUAUgBvAHcALAAgADAAKQBcAG4AIAAgACAAIAApAFwAbgApADsAXABuAFwAbgBGAGUAcgB0AGkAbABpAHMAZQByAF8ARwBlAHQAQwBoAGUAbQBpAGMAYQBsAEMAbwBtAHAAbwB1AG4AZABFAGwAZQBtAGUAbgB0AEYAcgBhAGMAdABpAG8AbgBcAG4APQBMAEEATQBCAEQAQQAoAFwAbgAgACAAIAAgAEMAaABlAG0AaQBjAGEAbABDAG8AbQBwAG8AdQBuAGQALAAgAEUAbABlAG0AZQBuAHQALAAgAEMAaABlAG0AaQBjAGEAbABDAG8AbQBwAG8AdQBuAGQAQQByAHIAYQB5ACwAIABDAGgAZQBtAGkAYwBhAGwAQwBvAG0AcABvAHUAbgBkAEMAbwBsAHUAbQBuACwAIABFAGwAZQBtAGUAbgB0AFIAbwB3ACwAXABuACAAIAAgACAASQBOAEQARQBYACgAQwBoAGUAbQBpAGMAYQBsAEMAbwBtAHAAbwB1AG4AZABBAHIAcgBhAHkALABcAG4AIAAgACAAIAAgACAATQBBAFQAQwBIACgAQwBoAGUAbQBpAGMAYQBsAEMAbwBtAHAAbwB1AG4AZAAsACAAQwBoAGUAbQBpAGMAYQBsAEMAbwBtAHAAbwB1AG4AZABDAG8AbAB1AG0AbgAsACAAMAApACwAXABuACAAIAAgACAAIAAgAE0AQQBUAEMASAAoAEUAbABlAG0AZQBuAHQALAAgAEUAbABlAG0AZQBuAHQAUgBvAHcALAAgADAAKQBcAG4AIAAgACAAIAApAFwAbgApADsAIgB9ACwAewAiAHAAYQB0AGgAIgA6ACIALwBwAHIAbwBqAGUAYwB0AHMALwBGAGUAcgB0AGkAbABpAHMAZQByAF8ARQBxAHUAYQB0AGkAbwBuAHMAXwBJAG4AbwByAGcAYQBuAGkAYwBOADIATw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QBfAF8AMQBfAEkAbgBvAHIAZwBhAG4AaQBjAEYAZQByAHQAaQBsAGkAcwBlAHIAQQBwAHAAbABpAGMAYQB0AGkAbwBuAE4AMgBPAEUAbQBpAHMAcwBpAG8AbgBzAFwAbgBOAGkAdAByAG8AdQBzACAAbwB4AGkAZABlACAAZQBtAGkAcwBzAGkAbwBuAHMAIABmAHIAbwBtACAAdABoAGUAIABhAHAAcABsAGkAYwBhAHQAaQBvAG4AIABvAGYAIABhAGwAbAAgAGkAbgBvAHIAZwBhAG4AaQBjACAAZgBlAHIAdABpAGwAaQBzAGUAcgAgAHQAeQBwAGUAcwAgAGYAIAB0AG8AIABhAGwAbAAgAHAAcgBvAGQAdQBjAHQAaQBvAG4AIABzAHkAcwB0AGUAbQBzACAAagBcAG4ARQBfAE4AMgBPAFwAbgB0ACAATgAyAE8AXABuAFwAXABzAHUAbQBfAHsAagB9AFwAXABzAHUAbQBfAHsAZgB9ACgAKABNAE4AXwB7AGoAZgB9AFwAXAB0AGkAbQBlAHMAIABFAEYAXwB7AGoALABOADIATwB9AFwAXAB0AGkAbQBlAHMAIABDAF8AewBOADIATwB9ACkAXABcAHQAaQBtAGUAcwAgADEAMABeAHsALQAzAH0AKQBcAG4ATQBOAF8AagBmAFwAbgBFAEYAXwBqAE4AMgBPAFwAbgBDAF8ATgAyAE8AXABuAGoAXABuAGYAXABuAC0ALQAtAC0ALQAtAC0ALQAtAC0ALQAtAC0ALQAtAC0ALQAtAC0ALQAtAC0ALQAtAC0ALQAtAC0ALQAtAC0ALQAtAC0ALQAtAC0ALQBcAG4AKgAvAFwAbgBcAG4AVgBFAEUAUgBHAF8ANQBfADEAXwAxAF8AMQBfAF8AMQBfAEkAbgBvAHIAZwBhAG4AaQBjAEYAZQByAHQAaQBsAGkAcwBlAHIAQQBwAHAAbABpAGMAYQB0AGkAbwBuAE4AMgBPAEUAbQBpAHMAcwBpAG8AbgBzAFwAbgAgACAAPQBMAEEATQBCAEQAQQAoAFwAbgAgACAAIAAgAE0ATgBfAGoAZgAsACAARQBGAF8AagBOADIATwAsACAAQwBfAE4AMgBPACwAXABuACAAIAAgACAAKABNAE4AXwBqAGYAIAAqACAARQBGAF8AagBOADIATwAgACoAIABDAF8ATgAyAE8AKQAgACoAIAAxADAAIABeACAALQAzAFwAbgAgACAAKQA7AFwAbgBcAG4AVgBFAEUAUgBHAF8ANQBfADEAXwAxAF8AMQBfAF8AMQBfAEkAbgBv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kAbgBvAHIAZwBhAG4AaQBjACAAZgBlAHIAdABpAGwAaQBzAGUAcgAgAHQAeQBwAGUAcwAgAGYAIAB0AG8AIABhAGwAbAAgAHAAcgBvAGQAdQBjAHQAaQBvAG4AIABzAHkAcwB0AGUAbQBzACAAagBcACIAKQA7AFwAbgBcAG4AVgBFAEUAUgBHAF8ANQBfADEAXwAxAF8AMQBfAF8AMQBfAEkAbgBvAHIAZwBhAG4AaQBjAEYAZQByAHQAaQBsAGkAcwBlAHIAQQBwAHAAbABpAGMAYQB0AGkAbwBuAE4AMgBPAEUAbQBpAHMAcwBpAG8AbgBzAF8AVgBhAHIAaQBhAGIAbABlAFwAbgAgACAAPQBMAEEATQBCAEQAQQAoAFwAIgBFAF8ATgAyAE8AXAAiACkAOwBcAG4AXABuAFYARQBFAFIARwBfADUAXwAxAF8AMQBfADEAXwBfADEAXwBJAG4AbwByAGcAYQBuAGkAYwBGAGUAcgB0AGkAbABpAHMAZQByAEEAcABwAGwAaQBjAGEAdABpAG8AbgBOADIATwBFAG0AaQBzAHMAaQBvAG4AcwBfAFUAbgBpAHQAXABuACAAIAA9AEwAQQBNAEIARABBACgAXAAiAHQAIABOADIATwBcACIAKQA7AFwAbgBcAG4AVgBFAEUAUgBHAF8ANQBfADEAXwAxAF8AMQBfAF8AMQBfAEkAbgBvAHIAZwBhAG4AaQBjAEYAZQByAHQAaQBsAGkAcwBlAHIAQQBwAHAAbABpAGMAYQB0AGkAbwBuAE4AMgBPAEUAbQBpAHMAcwBpAG8AbgBzAF8AUwBvAHUAcgBjAGUAXABuACAAIAA9AEwAQQBNAEIARABBACgAXAAiAFYARQBFAFIARwAgADIAMAAyADYAOgAgADUALgAxAC4AMQAuADEALAAgAEUAcQB1AGEAdABpAG8AbgAgACgAMQApAFwAIgApADsAXABuAFwAbgBWAEUARQBSAEcAXwA1AF8AMQBfADEAXwAxAF8AXwAxAF8ASQBuAG8AcgBnAGEAbgBpAGMARgBlAHIAdABpAGwAaQBzAGUAcgBBAHAAcABsAGkAYwBhAHQAaQBvAG4ATgAyAE8ARQBtAGkAcwBzAGkAbwBuAHMAXwBOAEkAUgBSAGUAZgBlAHIAZQBuAGMAZQBcAG4AIAAgAD0ATABBAE0AQgBEAEEAKABcACIAXAAiACkAOwBcAG4AXABuAFYARQBFAFIARwBfADUAXwAxAF8AMQBfADEAXwBfADEAXwBJAG4AbwByAGcAYQBuAGkAYwBGAGUAcgB0AGkAbABpAHMAZQByAEEAcABwAGwAaQBjAGEAdABpAG8AbgBOADIATwBFAG0AaQBzAHMAaQBvAG4AcwBfAEwAYQB0AGUAeABFAHEAdQBhAHQAaQBvAG4AXABuACAAIAA9AEwAQQBNAEIARABBACgAXAAiAEUAXwB7AE4AMgBPAH0APQBcAFwAcwB1AG0AXwB7AGoAfQBcAFwAcwB1AG0AXwB7AGYAfQAoACgATQBOAF8AewBqAGYAfQBcAFwAdABpAG0AZQBzACAARQBGAF8AewBqACwATgAyAE8AfQBcAFwAdABpAG0AZQBzACAAQwBfAHsATgAyAE8AfQApAFwAXAB0AGkAbQBlAHMAIAAxADAAXgB7AC0AMwB9ACkAXAAiACkAOwBcAG4AXABuAFYARQBFAFIARwBfADUAXwAxAF8AMQBfADEAXwBfADEAXwBJAG4AbwByAGcAYQBuAGkAYwBGAGUAcgB0AGkAbABpAHMAZQByAEEAcABwAGwAaQBjAGEAdABpAG8AbgBOADIATwBFAG0AaQBzAHMAaQBvAG4AcwBfAEEAcgBnAHUAbQBlAG4AdABzAFwAbgAgACAAPQBMAEEATQBCAEQAQQAoAFwAbgAgACAAIAAgAE0AQQBLAEUAQQBSAFIAQQBZACgANw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mAFwAIgAsAFwAIgBJAG4AbwByAGcAYQBuAGkAYwAgAGYAZQByAHQAaQBsAGkAcwBlAHIAIAB0AHkAcABlAFwAIgAsACAAXAAiAFwAIgAsACAAXAAiAEMAbwBuAHMAdABhAG4AdABcACIAOwBcAG4AIAAgACAAIAAgACAAIAAgACAAIABcACIAaQByAFwAIgAsACAAXAAiAGkAcgByAGkAZwBhAHQAaQBvAG4AIABtAGUAdABoAG8AZABcACIALAAgAFwAIgBcACIALAAgAFwAIgBJAG4AcAB1AHQAXAAiADsAXABuACAAIAAgACAAIAAgACAAIAAgACAAXAAiAHoAXAAiACwAIABcACIAcgBhAGkAbgBmAGEAbABsACAAegBvAG4AZQBcACIALAAgAFwAIgBcACIALAAgAFwAIgBJAG4AcAB1AHQAXAAiAFwAbgAgACAAIAAgACAAIAAgACAAfQAsACAAcgAsACAAYwApAFwAbgAgACAAIAAgACAAIAApAFwAbgAgACAAIAAgACkAXABuACAAIAApADsAXABuAFwAbgBWAEUARQBSAEcAXwA1AF8AMQBfADEAXwAxAF8AXwAxAF8ASQBuAG8AcgBnAGEAbgBpAGMARgBlAHIAdABpAGwAaQBzAGUAcgBBAHAAcABsAGkAYwBhAHQAaQBvAG4ATgAyAE8ARQBtAGkAcwBzAGkAbwBuAHMAXwBBAHIAZwB1AG0AZQBuAHQAcwBfAE0AZQB0AGgAbwBkADIAXABuACAAIAA9AEwAQQBNAEIARABBACgAXABuACAAIAAgACAATQBBAEsARQBBAFIAUgBBAFkAKAA4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EAbABjAHUAbABhAHQAZQBkACAAZgByAG8AbQAgADUALgAxAC4AMQAuADIAIAAoADEAKQAoADIAKQAoADMAKQ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YwBcACIALABcACIAQwByAG8AcAAgAHQAeQBwAGUAXAAiACwAIABcACIAXAAiACwAIABcACIASQBuAHAAdQB0AFwAIgA7AFwAbgAgACAAIAAgACAAIAAgACAAIAAgAFwAIgBmAFwAIgAsAFwAIgBJAG4AbwByAGcAYQBuAGkAYwAgAGYAZQByAHQAaQBsAGkAcwBlAHIAIAB0AHkAcABlAFwAIgAsACAAXAAiAFwAIgAsACAAXAAiAEMAbwBuAHMAdABhAG4AdABcACIAOwBcAG4AIAAgACAAIAAgACAAIAAgACAAIABcACIAaQByAFwAIgAsACAAXAAiAGkAcgByAGkAZwBhAHQAaQBvAG4AIABtAGUAdABoAG8AZABcACIALAAgAFwAIgBcACIALAAgAFwAIgBJAG4AcAB1AHQAXAAiADsAXABuACAAIAAgACAAIAAgACAAIAAgACAAXAAiAHoAXAAiACwAIABcACIAcgBhAGkAbgBmAGEAbABs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QBfADEAXwAxAF8AXwAyAF8ATQBhAHMAcwBPAGYATgBpAHQAcgBvAGcAZQBuAEkAbgBJAG4AbwByAGcAYQBuAGkAYwBGAGUAcgB0AGkAbABpAHMAZQByAFwAbgBNAGEAcwBzACAAbwBmACAAbgBpAHQAcgBvAGcAZQBuACAAaQBuACAAaQBuAG8AcgBnAGEAbgBpAGMAIABmAGUAcgB0AGkAbABpAHMAZQByACAAYQBwAHAAbABpAGUAZAAgAHQAbwAgAHAAcgBvAGQAdQBjAHQAaQBvAG4AIABzAHkAcwB0AGUAbQBcAG4ATQBOAF8AagBmAFwAbgBrAGcAIABOAFwAbgB7AE0ATgB9AF8AewBqAGYAfQA9AFQATQBfAHsAagBmAH0AXABcAHQAaQBtAGUAcwAgAEYATgBfAHsAaQBuAG8AcgBnAGEAbgBpAGMALABmAH0AXABuAFQATQBfAGoAZgBcAG4ARgBOAF8AaQBuAG8AcgBnAGEAbgBpAGMAZgBcAG4AagBcAG4AaQBuAG8AcgBnAGEAbgBpAGMAXABuAGYAXABuAC0ALQAtAC0ALQAtAC0ALQAtAC0ALQAtAC0ALQAtAC0ALQAtAC0ALQAtAC0ALQAtAC0ALQAtAC0ALQAtAC0ALQAtAC0ALQAtAC0ALQBcAG4AKgAvAFwAbgBcAG4AVgBFAEUAUgBHAF8ANQBfADEAXwAxAF8AMQBfAF8AMgBfAE0AYQBzAHMATwBmAE4AaQB0AHIAbwBnAGUAbgBJAG4ASQBuAG8AcgBnAGEAbgBpAGMARgBlAHIAdABpAGwAaQBzAGUAcgBcAG4AIAAgAD0ATABBAE0AQgBEAEEAKABcAG4AIAAgACAAIABUAE0AXwBqAGYALAAgAEYATgBfAGkAbgBvAHIAZwBhAG4AaQBjAGYALABcAG4AIAAgACAAIABUAE0AXwBqAGYAIAAqACAARgBOAF8AaQBuAG8AcgBnAGEAbgBpAGMAZgBcAG4AIAAgACkAOwBcAG4AXABuAFYARQBFAFIARwBfADUAXwAxAF8AMQBfADEAXwBfADIAXwBNAGEAcwBzAE8AZgBOAGkAdAByAG8AZwBlAG4ASQBuAEkAbgBvAHIAZwBhAG4AaQBjAEYAZQByAHQAaQBsAGkAcwBlAHIAXwBUAGkAdABsAGUAXABuACAAIAA9AEwAQQBNAEIARABBACgAXAAiAE0AYQBzAHMAIABvAGYAIABuAGkAdAByAG8AZwBlAG4AIABpAG4AIABpAG4AbwByAGcAYQBuAGkAYwAgAGYAZQByAHQAaQBsAGkAcwBlAHIAIABhAHAAcABsAGkAZQBkACAAdABvACAAcAByAG8AZAB1AGMAdABpAG8AbgAgAHMAeQBzAHQAZQBtAFwAIgApADsAXABuAFwAbgBWAEUARQBSAEcAXwA1AF8AMQBfADEAXwAxAF8AXwAyAF8ATQBhAHMAcwBPAGYATgBpAHQAcgBvAGcAZQBuAEkAbgBJAG4AbwByAGcAYQBuAGkAYwBGAGUAcgB0AGkAbABpAHMAZQByAF8AVgBhAHIAaQBhAGIAbABlAFwAbgAgACAAPQBMAEEATQBCAEQAQQAoAFwAIgBNAE4AXwBqAGYAXAAiACkAOwBcAG4AXABuAFYARQBFAFIARwBfADUAXwAxAF8AMQBfADEAXwBfADIAXwBNAGEAcwBzAE8AZgBOAGkAdAByAG8AZwBlAG4ASQBuAEkAbgBvAHIAZwBhAG4AaQBjAEYAZQByAHQAaQBsAGkAcwBlAHIAXwBVAG4AaQB0AFwAbgAgACAAPQBMAEEATQBCAEQAQQAoAFwAIgBrAGcAIABOAFwAIgApADsAXABuAFwAbgBWAEUARQBSAEcAXwA1AF8AMQBfADEAXwAxAF8AXwAyAF8ATQBhAHMAcwBPAGYATgBpAHQAcgBvAGcAZQBuAEkAbgBJAG4AbwByAGcAYQBuAGkAYwBGAGUAcgB0AGkAbABpAHMAZQByAF8AUwBvAHUAcgBjAGUAXABuACAAIAA9AEwAQQBNAEIARABBACgAXAAiAFYARQBFAFIARwAgADIAMAAyADYAOgAgADUALgAxAC4AMQAuADEALAAgAEUAcQB1AGEAdABpAG8AbgAgACgAMgApAFwAIgApADsAXABuAFwAbgBWAEUARQBSAEcAXwA1AF8AMQBfADEAXwAxAF8AXwAyAF8ATQBhAHMAcwBPAGYATgBpAHQAcgBvAGcAZQBuAEkAbgBJAG4AbwByAGcAYQBuAGkAYwBGAGUAcgB0AGkAbABpAHMAZQByAF8ATgBJAFIAUgBlAGYAZQByAGUAbgBjAGUAXABuACAAIAA9AEwAQQBNAEIARABBACgAXAAiAFwAIgApADsAXABuAFwAbgBWAEUARQBSAEcAXwA1AF8AMQBfADEAXwAxAF8AXwAyAF8ATQBhAHMAcwBPAGYATgBpAHQAcgBvAGcAZQBuAEkAbgBJAG4AbwByAGcAYQBuAGkAYwBGAGUAcgB0AGkAbABpAHMAZQByAF8ATABhAHQAZQB4AEUAcQB1AGEAdABpAG8AbgBcAG4AIAAgAD0ATABBAE0AQgBEAEEAKABcACIAewBNAE4AfQBfAHsAagBmAH0APQBUAE0AXwB7AGoAZgB9AFwAXAB0AGkAbQBlAHMAIABGAE4AXwB7AGkAbgBvAHIAZwBhAG4AaQBjACwAZgB9AFwAIgApADsAXABuAFwAbgBWAEUARQBSAEcAXwA1AF8AMQBfADEAXwAxAF8AXwAyAF8ATQBhAHMAcwBPAGYATgBpAHQAcgBvAGcAZQBu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CAAXAAiAGsAZwBcACIALAAgAFwAIgBJAG4AcAB1AHQAXAAiADsAXABuACAAIAAgACAAIAAgACAAIAAgACAAXAAiAEYATgBfAGkAbgBvAHIAZwBhAG4AaQBjAGYAXAAiACwAXAAiAGYAcgBhAGMAdABpAG8AbgAgAG8AZgAgAG4AaQB0AHIAbwBnAGUAbgAgAGkAbgAgAGkAbgBvAHIAZwBhAG4AaQBjACAAZgBlAHIAdABpAGwAaQBzAGUAcgAgAHQAeQBwAGUAIABmACAAXAAiACwAIABcACIAawBnACAATgAvAGsAZwBcACIALAAgAFwAIgBDAG8AbgBzAHQAYQBuAHQAXAAiAFwAbgAgACAAIAAgACAAIAAgACAAfQAsACAAcgAsACAAYwApAFwAbgAgACAAIAAgACAAIAApAFwAbgAgACAAIAAgACkAXABuACAAIAApADsAXABuAFwAbgBcAG4ALwAqACAAXABuAC0ALQAtAC0ALQAtAC0ALQAtAC0ALQAtAC0ALQAtAC0ALQAtAC0ALQAtAC0ALQAtAC0ALQAtAC0ALQAtAC0ALQAtAC0ALQAtAC0ALQBcAG4AVgBFAEUAUgBHAF8ANQBfADEAXwAxAF8AMgBfAF8AMQBfAEUAbQBpAHMAcwBpAG8AbgBGAGEAYwB0AG8AcgBJAHIAcgBpAGcAYQB0AGUAZABNAGEAaQB6AGUAXABuAEUAbQBpAHMAcwBpAG8AbgAgAGYAYQBjAHQAbwByACAAZgBvAHIAIABuAGkAdAByAG8AdQBzACAAbwB4AGkAZABlACAAZgBvAHIAIABpAHIAcgBpAGcAYQB0AGUAZAAgAG0AYQBpAHoAZQBcAG4ARQBGAF8AZgBqAEkAcgByAGkAZwBhAHQAZQBkAE0AYQBpAHoAZQBOADIATwBcAG4AawBnACAATgAyAE8ALQBOAC8AawBnACAATgAgAGEAcABwAGwAaQBlAGQAXABuAEUARgBfAHsAZgBqAD0AaQByAHIAaQBnAGEAdABlAGQAbQBhAGkAegBlACwATgAyAE8AfQA9ACgALQAwAC4AMQA0ADcANAArACgAMAAuADAAMAA2ADEAXABcAHQAaQBtAGUAcwAgAE4AXwB7AGYAagA9AGkAcgByAGkAZwBhAHQAZQBkAG0AYQBpAHoAZQB9ACkAKQBcAFwAdABpAG0AZQBzACAAMQAwAF4AewAtADIAfQBcAG4ATgBfAGYAagBJAHIAcgBpAGcAYQB0AGUAZABNAGEAaQB6AGUAXABuAGYAXABuAC0ALQAtAC0ALQAtAC0ALQAtAC0ALQAtAC0ALQAtAC0ALQAtAC0ALQAtAC0ALQAtAC0ALQAtAC0ALQAtAC0ALQAtAC0ALQAtAC0ALQBcAG4AKgAvAFwAbgBcAG4AVgBFAEUAUgBHAF8ANQBfADEAXwAxAF8AMgBfAF8AMQBfAEUAbQBpAHMAcwBpAG8AbgBGAGEAYwB0AG8AcgBJAHIAcgBpAGcAYQB0AGUAZABNAGEAaQB6AGUAXABuACAAIAA9AEwAQQBNAEIARABBACgAXABuACAAIAAgACAATgBfAGYAagBJAHIAcgBpAGcAYQB0AGUAZABNAGEAaQB6AGUALABcAG4AIAAgACAAIAAoAC0AMAAuADEANAA3ADQAIAArACAAKAAwAC4AMAAwADYAMQAgACoAIABOAF8AZgBqAEkAcgByAGkAZwBhAHQAZQBkAE0AYQBpAHoAZQApACkAIAAqACAAMQAwACAAXgAgAC0AMgBcAG4AIAAgACkAOwBcAG4AXABuAFYARQBFAFIARwBfADUAXwAxAF8AMQBfADIAXwBfADEAXwBFAG0AaQBzAHMAaQBvAG4ARgBhAGMAdABvAHIASQByAHIAaQBnAGEAdABlAGQATQBhAGkAegBlAF8AVABpAHQAbABlAFwAbgAgACAAPQBMAEEATQBCAEQAQQAoAFwAIgBFAG0AaQBzAHMAaQBvAG4AIABmAGEAYwB0AG8AcgAgAGYAbwByACAAbgBpAHQAcgBvAHUAcwAgAG8AeABpAGQAZQAgAGYAbwByACAAaQByAHIAaQBnAGEAdABlAGQAIABtAGEAaQB6AGUAXAAiACkAOwBcAG4AXABuAFYARQBFAFIARwBfADUAXwAxAF8AMQBfADIAXwBfADEAXwBFAG0AaQBzAHMAaQBvAG4ARgBhAGMAdABvAHIASQByAHIAaQBnAGEAdABlAGQATQBhAGkAegBlAF8AVgBhAHIAaQBhAGIAbABlAFwAbgAgACAAPQBMAEEATQBCAEQAQQAoAFwAIgBFAEYAXwBmAGoASQByAHIAaQBnAGEAdABlAGQATQBhAGkAegBlAE4AMgBPAFwAIgApADsAXABuAFwAbgBWAEUARQBSAEcAXwA1AF8AMQBfADEAXwAyAF8AXwAxAF8ARQBtAGkAcwBzAGkAbwBuAEYAYQBjAHQAbwByAEkAcgByAGkAZwBhAHQAZQBkAE0AYQBpAHoAZQBfAFUAbgBpAHQAXABuACAAIAA9AEwAQQBNAEIARABBACgAXAAiAGsAZwAgAE4AMgBPAC0ATgAvAGsAZwAgAE4AIABhAHAAcABsAGkAZQBkAFwAIgApADsAXABuAFwAbgBWAEUARQBSAEcAXwA1AF8AMQBfADEAXwAyAF8AXwAxAF8ARQBtAGkAcwBzAGkAbwBuAEYAYQBjAHQAbwByAEkAcgByAGkAZwBhAHQAZQBkAE0AYQBpAHoAZQBfAFMAbwB1AHIAYwBlAFwAbgAgACAAPQBMAEEATQBCAEQAQQAoAFwAIgBWAEUARQBSAEcAIAAyADAAMgA2ADoAIAA1AC4AMQAuADEALgAyACwAIABFAHEAdQBhAHQAaQBvAG4AIAAoADEAKQBcACIAKQA7AFwAbgBcAG4AVgBFAEUAUgBHAF8ANQBfADEAXwAxAF8AMgBfAF8AMQBfAEUAbQBpAHMAcwBpAG8AbgBGAGEAYwB0AG8AcgBJAHIAcgBpAGcAYQB0AGUAZABNAGEAaQB6AGUAXwBOAEkAUgBSAGUAZgBlAHIAZQBuAGMAZQBcAG4AIAAgAD0ATABBAE0AQgBEAEEAKABcACIAXAAiACkAOwBcAG4AXABuAFYARQBFAFIARwBfADUAXwAxAF8AMQBfADIAXwBfADEAXwBFAG0AaQBzAHMAaQBvAG4ARgBhAGMAdABvAHIASQByAHIAaQBnAGEAdABlAGQATQBhAGkAegBlAF8ATABhAHQAZQB4AEUAcQB1AGEAdABpAG8AbgBcAG4AIAAgAD0ATABBAE0AQgBEAEEAKABcACIARQBGAF8AewBmAGoAPQBpAHIAcgBpAGcAYQB0AGUAZABtAGEAaQB6AGUALABOADIATwB9AD0AKAAtADAALgAxADQANwA0ACsAKAAwAC4AMAAwADYAMQBcAFwAdABpAG0AZQBzACAATgBfAHsAZgBqAD0AaQByAHIAaQBnAGEAdABlAGQAbQBhAGkAegBlAH0AKQApAFwAXAB0AGkAbQBlAHMAIAAxADAAXgB7AC0AMgB9AFwAIgApADsAXABuAFwAbgBWAEUARQBSAEcAXwA1AF8AMQBfADEAXwAyAF8AXwAxAF8ARQBtAGkAcwBzAGkAbwBuAEYAYQBjAHQAbwByAEkAcgByAGkAZwBhAHQAZQBkAE0AYQBpAHoAZQBfAEEAcgBnAHUAbQBlAG4AdABzAFwAbgAgACAAPQBMAEEATQBCAEQAQQAoAFwAbgAgACAAIAAgAE0AQQBLAEUAQQBSAFIAQQBZACgAMgAsACAANAAsACAAXABuACAAIAAgACAAIAAgAEwAQQBNAEIARABBACgAcgAsAGMALAAgAFwAbgAgACAAIAAgACAAIAAgACAASQBOAEQARQBYACgAewBcAG4AIAAgACAAIAAgACAAIAAgACAAIABcACIATgBfAGYAagBJAHIAcgBpAGcAYQB0AGUAZABNAGEAaQB6AGUAXAAiACwAXAAiAGEAcABwAGwAaQBjAGEAdABpAG8AbgAgAHIAYQB0AGUAIABvAGYAIABpAG4AbwByAGcAYQBuAGkAYwAgAGYAZQByAHQAaQBsAGkAcwBlAHIAIAB0AHkAcABlACAAZgAgAGkAbgAgAHQAaABlACAAaQByAHIAaQBnAGEAdABlAGQAIABtAGEAaQB6AGU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xAF8AMQBfADIAXwBfADIAXwBFAG0AaQBzAHMAaQBvAG4ARgBhAGMAdABvAHIATgBvAG4ASQByAHIAaQBnAGEAdABlAGQARwByAGEAaQBuAHMASABpAGcAaABSAGEAaQBuAGYAYQBsAGwAXABuAEUAbQBpAHMAcwBpAG8AbgAgAGYAYQBjAHQAbwByACAAZgBvAHIAIABuAGkAdAByAG8AdQBzACAAbwB4AGkAZABlACAAZgBvAHIAIABuAG8AbgAtAGkAcgByAGkAZwBhAHQAZQBkACAAZwByAGEAaQBuAHMAIABpAG4AIABoAGkAZwBoACAAcgBhAGkAbgBmAGEAbABsACAAegBvAG4AZQBcAG4ARQBGAF8AZgBqAE4AbwBuAEkAcgByAGkAZwBhAHQAZQBkAEcAcgBhAGkAbgBzAE4AMgBPAFwAbgBrAGcAIABOADIATwAtAE4ALwBrAGcAIABOACAAYQBwAHAAbABpAGUAZABcAG4ARQBGAF8AewBmAGoAPQBuAG8AbgBpAHIAcgBpAGcAYQB0AGUAZABnAHIAYQBpAG4AcwAsAE4AMgBPAH0APQAoADAALgAwADcAOAAxACsAKAAwAC4AMAAwADcANQBcAFwAdABpAG0AZQBzACAATgBfAHsAZgBqAD0AbgBvAG4AaQByAHIAaQBnAGEAdABlAGQAZwByAGEAaQBuAHMAfQApACkAXABcAHQAaQBtAGUAcwAgADEAMABeAHsALQAyAH0AXABuAE4AXwBmAGoATgBvAG4ASQByAHIAaQBnAGEAdABlAGQARwByAGEAaQBuAHMAXABuAGYAXABuAC0ALQAtAC0ALQAtAC0ALQAtAC0ALQAtAC0ALQAtAC0ALQAtAC0ALQAtAC0ALQAtAC0ALQAtAC0ALQAtAC0ALQAtAC0ALQAtAC0ALQBcAG4AKgAvAFwAbgBcAG4AVgBFAEUAUgBHAF8ANQBfADEAXwAxAF8AMgBfAF8AMgBfAEUAbQBpAHMAcwBpAG8AbgBGAGEAYwB0AG8AcgBOAG8AbgBJAHIAcgBpAGcAYQB0AGUAZABHAHIAYQBpAG4AcwBIAGkAZwBoAFIAYQBpAG4AZgBhAGwAbABcAG4AIAAgAD0ATABBAE0AQgBEAEEAKABcAG4AIAAgACAAIABOAF8AZgBqAE4AbwBuAEkAcgByAGkAZwBhAHQAZQBkAEcAcgBhAGkAbgBzACwAXABuACAAIAAgACAAKAAwAC4AMAA3ADgAMQAgACsAIAAoADAALgAwADAANwA1ACAAKgAgAE4AXwBmAGoATgBvAG4ASQByAHIAaQBnAGEAdABlAGQARwByAGEAaQBuAHMAKQApACAAKgAgADEAMAAgAF4AIAAtADIAXABuACAAIAApADsAXABuAFwAbgBWAEUARQBSAEcAXwA1AF8AMQBfADEAXwAyAF8AXwAyAF8ARQBtAGkAcwBzAGkAbwBuAEYAYQBjAHQAbwByAE4AbwBuAEkAcgByAGkAZwBhAHQAZQBkAEcAcgBhAGkAbgBzAEgAaQBnAGgAUgBhAGkAbgBmAGEAbABsAF8AVABpAHQAbABlAFwAbgAgACAAPQBMAEEATQBCAEQAQQAoAFwAIgBFAG0AaQBzAHMAaQBvAG4AIABmAGEAYwB0AG8AcgAgAGYAbwByACAAbgBpAHQAcgBvAHUAcwAgAG8AeABpAGQAZQAgAGYAbwByACAAbgBvAG4ALQBpAHIAcgBpAGcAYQB0AGUAZAAgAGcAcgBhAGkAbgBzACAAaQBuACAAaABpAGcAaAAgAHIAYQBpAG4AZgBhAGwAbAAgAHoAbwBuAGUAXAAiACkAOwBcAG4AXABuAFYARQBFAFIARwBfADUAXwAxAF8AMQBfADIAXwBfADIAXwBFAG0AaQBzAHMAaQBvAG4ARgBhAGMAdABvAHIATgBvAG4ASQByAHIAaQBnAGEAdABlAGQARwByAGEAaQBuAHMASABpAGcAaABSAGEAaQBuAGYAYQBsAGwAXwBWAGEAcgBpAGEAYgBsAGUAXABuACAAIAA9AEwAQQBNAEIARABBACgAXAAiAEUARgBfAGYAagBOAG8AbgBJAHIAcgBpAGcAYQB0AGUAZABHAHIAYQBpAG4AcwBOADIATwBcACIAKQA7AFwAbgBcAG4AVgBFAEUAUgBHAF8ANQBfADEAXwAxAF8AMgBfAF8AMgBfAEUAbQBpAHMAcwBpAG8AbgBGAGEAYwB0AG8AcgBOAG8AbgBJAHIAcgBpAGcAYQB0AGUAZABHAHIAYQBpAG4AcwBIAGkAZwBoAFIAYQBpAG4AZgBhAGwAbABfAFUAbgBpAHQAXABuACAAIAA9AEwAQQBNAEIARABBACgAXAAiAGsAZwAgAE4AMgBPAC0ATgAvAGsAZwAgAE4AIABhAHAAcABsAGkAZQBkAFwAIgApADsAXABuAFwAbgBWAEUARQBSAEcAXwA1AF8AMQBfADEAXwAyAF8AXwAyAF8ARQBtAGkAcwBzAGkAbwBuAEYAYQBjAHQAbwByAE4AbwBuAEkAcgByAGkAZwBhAHQAZQBkAEcAcgBhAGkAbgBzAEgAaQBnAGgAUgBhAGkAbgBmAGEAbABsAF8AUwBvAHUAcgBjAGUAXABuACAAIAA9AEwAQQBNAEIARABBACgAXAAiAFYARQBFAFIARwAgADIAMAAyADYAOgAgADUALgAxAC4AMQAuADIALAAgAEUAcQB1AGEAdABpAG8AbgAgACgAMgApAFwAIgApADsAXABuAFwAbgBWAEUARQBSAEcAXwA1AF8AMQBfADEAXwAyAF8AXwAyAF8ARQBtAGkAcwBzAGkAbwBuAEYAYQBjAHQAbwByAE4AbwBuAEkAcgByAGkAZwBhAHQAZQBkAEcAcgBhAGkAbgBzAEgAaQBnAGgAUgBhAGkAbgBmAGEAbABsAF8ATgBJAFIAUgBlAGYAZQByAGUAbgBjAGUAXABuACAAIAA9AEwAQQBNAEIARABBACgAXAAiAFwAIgApADsAXABuAFwAbgBWAEUARQBSAEcAXwA1AF8AMQBfADEAXwAyAF8AXwAyAF8ARQBtAGkAcwBzAGkAbwBuAEYAYQBjAHQAbwByAE4AbwBuAEkAcgByAGkAZwBhAHQAZQBkAEcAcgBhAGkAbgBzAEgAaQBnAGgAUgBhAGkAbgBmAGEAbABsAF8ATABhAHQAZQB4AEUAcQB1AGEAdABpAG8AbgBcAG4AIAAgAD0ATABBAE0AQgBEAEEAKABcACIARQBGAF8AewBmAGoAPQBuAG8AbgBpAHIAcgBpAGcAYQB0AGUAZABnAHIAYQBpAG4AcwAsAE4AMgBPAH0APQAoADAALgAwADcAOAAxACsAKAAwAC4AMAAwADcANQBcAFwAdABpAG0AZQBzACAATgBfAHsAZgBqAD0AbgBvAG4AaQByAHIAaQBnAGEAdABlAGQAZwByAGEAaQBuAHMAfQApACkAXABcAHQAaQBtAGUAcwAgADEAMABeAHsALQAyAH0AXAAiACkAOwBcAG4AXABuAFYARQBFAFIARwBfADUAXwAxAF8AMQBfADIAXwBfADIAXwBFAG0AaQBzAHMAaQBvAG4ARgBhAGMAdABvAHIATgBvAG4ASQByAHIAaQBnAGEAdABlAGQARwByAGEAaQBuAHMASABpAGcAaABSAGEAaQBuAGYAYQBsAGwAXwBBAHIAZwB1AG0AZQBuAHQAcwBcAG4AIAAgAD0ATABBAE0AQgBEAEEAKABcAG4AIAAgACAAIABNAEEASwBFAEEAUgBSAEEAWQAoADIALAAgADQALAAgAFwAbgAgACAAIAAgACAAIABMAEEATQBCAEQAQQAoAHIALABjACwAIABcAG4AIAAgACAAIAAgACAAIAAgAEkATgBEAEUAWAAoAHsAXABuACAAIAAgACAAIAAgACAAIAAgACAAXAAiAE4AXwBmAGoATgBvAG4ASQByAHIAaQBnAGEAdABlAGQARwByAGEAaQBuAHMAXAAiACwAXAAiAGEAcABwAGwAaQBjAGEAdABpAG8AbgAgAHIAYQB0AGUAIABvAGYAIABpAG4AbwByAGcAYQBuAGkAYwAgAGYAZQByAHQAaQBsAGkAcwBlAHIAIAB0AHkAcABlACAAZgAgAGkAbgAgAHQAaABlACAAZwByAGEAaQBuAHM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xAF8AMQBfADIAXwBfADMAXwBFAG0AaQBzAHMAaQBvAG4ARgBhAGMAdABvAHIAQwBvAHQAdABvAG4AXABuAEUAbQBpAHMAcwBpAG8AbgAgAGYAYQBjAHQAbwByACAAZgBvAHIAIABuAGkAdAByAG8AdQBzACAAbwB4AGkAZABlACAAZgBvAHIAIABjAG8AdAB0AG8AbgBcAG4ARQBGAF8AZgBqAEMAbwB0AHQAbwBuAE4AMgBPAFwAbgBrAGcAIABOADIATwAtAE4ALwBrAGcAIABOACAAYQBwAHAAbABpAGUAZABcAG4ARQBGAF8AewBmAGoAPQBjAG8AdAB0AG8AbgAsAE4AMgBPAH0APQBcAFwAbQBpAG4AXABcAGwAZQBmAHQAKAAoADAALgAwADEAXABcAHQAaQBtAGUAcwAoADAALgAyADkAKwAwAC4AMAAwADcAXABcAHQAaQBtAGUAcwAoACgAZQBeAHsAKAAwAC4AMAAzADcAXABcAHQAaQBtAGUAcwAgAE4AXwB7AGYAagA9AGMAbwB0AHQAbwBuAH0AKQB9AC0AMQApAC8ATgBfAHsAZgBqAD0AYwBvAHQAdABvAG4AfQApACkAKQBcAFwAdABpAG0AZQBzACAAMQAwAF4AewAtADIAfQAsADAALgAwADEAOAAzAFwAXAByAGkAZwBoAHQAKQBcAG4ATgBfAGYAagBDAG8AdAB0AG8AbgBcAG4AZgBcAG4ALQAtAC0ALQAtAC0ALQAtAC0ALQAtAC0ALQAtAC0ALQAtAC0ALQAtAC0ALQAtAC0ALQAtAC0ALQAtAC0ALQAtAC0ALQAtAC0ALQAtAFwAbgAqAC8AXABuAFwAbgBWAEUARQBSAEcAXwA1AF8AMQBfADEAXwAyAF8AXwAzAF8ARQBtAGkAcwBzAGkAbwBuAEYAYQBjAHQAbwByAEMAbwB0AHQAbwBuAFwAbgAgACAAPQBMAEEATQBCAEQAQQAoAFwAbgAgACAAIAAgAE4AXwBmAGoAQwBvAHQAdABvAG4ALABcAG4AIAAgACAAIAAoADAALgAwADEAIAAqACAAKAAwAC4AMgA5ACAAKwAgACgAIAAgACgAMAAuADAAMAA3ACAAKgAgACgARQBYAFAAKAAwAC4AMAAzADcAIAAqACAATgBfAGYAagBDAG8AdAB0AG8AbgApACAALQAgADEAKQApACAALwAgAE4AXwBmAGoAQwBvAHQAdABvAG4AIAAgACkAIAApACkAIAAqACAAMQAwACAAXgAgAC0AMgBcAG4AIAAgACkAOwBcAG4AXABuAFYARQBFAFIARwBfADUAXwAxAF8AMQBfADIAXwBfADMAXwBFAG0AaQBzAHMAaQBvAG4ARgBhAGMAdABvAHIAQwBvAHQAdABvAG4AXwBUAGkAdABsAGUAXABuACAAIAA9AEwAQQBNAEIARABBACgAXAAiAEUAbQBpAHMAcwBpAG8AbgAgAGYAYQBjAHQAbwByACAAZgBvAHIAIABuAGkAdAByAG8AdQBzACAAbwB4AGkAZABlACAAZgBvAHIAIABjAG8AdAB0AG8AbgBcACIAKQA7AFwAbgBcAG4AVgBFAEUAUgBHAF8ANQBfADEAXwAxAF8AMgBfAF8AMwBfAEUAbQBpAHMAcwBpAG8AbgBGAGEAYwB0AG8AcgBDAG8AdAB0AG8AbgBfAFYAYQByAGkAYQBiAGwAZQBcAG4AIAAgAD0ATABBAE0AQgBEAEEAKABcACIARQBGAF8AZgBqAEMAbwB0AHQAbwBuAE4AMgBPAFwAIgApADsAXABuAFwAbgBWAEUARQBSAEcAXwA1AF8AMQBfADEAXwAyAF8AXwAzAF8ARQBtAGkAcwBzAGkAbwBuAEYAYQBjAHQAbwByAEMAbwB0AHQAbwBuAF8AVQBuAGkAdABcAG4AIAAgAD0ATABBAE0AQgBEAEEAKABcACIAawBnACAATgAyAE8ALQBOAC8AawBnACAATgAgAGEAcABwAGwAaQBlAGQAXAAiACkAOwBcAG4AXABuAFYARQBFAFIARwBfADUAXwAxAF8AMQBfADIAXwBfADMAXwBFAG0AaQBzAHMAaQBvAG4ARgBhAGMAdABvAHIAQwBvAHQAdABvAG4AXwBTAG8AdQByAGMAZQBcAG4AIAAgAD0ATABBAE0AQgBEAEEAKABcACIAVgBFAEUAUgBHACAAMgAwADIANgA6ACAANQAuADEALgAxAC4AMgAsACAARQBxAHUAYQB0AGkAbwBuACAAKAAzACkAXAAiACkAOwBcAG4AXABuAFYARQBFAFIARwBfADUAXwAxAF8AMQBfADIAXwBfADMAXwBFAG0AaQBzAHMAaQBvAG4ARgBhAGMAdABvAHIAQwBvAHQAdABvAG4AXwBOAEkAUgBSAGUAZgBlAHIAZQBuAGMAZQBcAG4AIAAgAD0ATABBAE0AQgBEAEEAKABcACIAXAAiACkAOwBcAG4AXABuAFYARQBFAFIARwBfADUAXwAxAF8AMQBfADIAXwBfADMAXwBFAG0AaQBzAHMAaQBvAG4ARgBhAGMAdABvAHIAQwBvAHQAdABvAG4AXwBMAGEAdABlAHgARQBxAHUAYQB0AGkAbwBuAFwAbgAgACAAPQBMAEEATQBCAEQAQQAoAFwAIgBFAEYAXwB7AGYAagA9AGMAbwB0AHQAbwBuACwATgAyAE8AfQA9ACgAMAAuADAAMQAgAFwAXAB0AGkAbQBlAHMAIAAoADAALgAyADkAIAArACAAXABcAGYAcgBhAGMAewAwAC4AMAAwADcAKABlAF4AewAwAC4AMAAzADcAIABcAFwAdABpAG0AZQBzACAATgBfAHsAZgBqAD0AYwBvAHQAdABvAG4AfQB9AC0AMQApAH0AewBOAF8AewBmAGoAPQBjAG8AdAB0AG8AbgB9AH0AKQApACAAXABcAHQAaQBtAGUAcwAgADEAMABeAHsALQAyAH0AXABuAFwAIgApADsAXABuAFwAbgBWAEUARQBSAEcAXwA1AF8AMQBfADEAXwAyAF8AXwAzAF8ARQBtAGkAcwBzAGkAbwBuAEYAYQBjAHQAbwByAEMAbwB0AHQAbwBuAF8AQQByAGcAdQBtAGUAbgB0AHMAXABuACAAIAA9AEwAQQBNAEIARABBACgAXABuACAAIAAgACAATQBBAEsARQBBAFIAUgBBAFkAKAAyACwAIAA0ACwAIABcAG4AIAAgACAAIAAgACAATABBAE0AQgBEAEEAKAByACwAYwAsACAAXABuACAAIAAgACAAIAAgACAAIABJAE4ARABFAFgAKAB7AFwAbgAgACAAIAAgACAAIAAgACAAIAAgAFwAIgBOAF8AZgBqAEMAbwB0AHQAbwBuAFwAIgAsAFwAIgBhAHAAcABsAGkAYwBhAHQAaQBvAG4AIAByAGEAdABlACAAbwBmACAAaQBuAG8AcgBnAGEAbgBpAGMAIABmAGUAcgB0AGkAbABpAHMAZQByACAAdAB5AHAAZQAgAGYAIABpAG4AIAB0AGgAZQAgAGMAbwB0AHQAbwBu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iAH0ALAB7ACIAcABhAHQAaAAiADoAIgAvAHAAcgBvAGoAZQBjAHQAcwAvAEYAZQByAHQAaQBsAGkAcwBlAHIAXwBFAHEAdQBhAHQAaQBvAG4AcwBfAEkAbgBvAHIAZwBhAG4AaQBjAEMATwAy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zAF8AXwAxAF8ASQBuAG8AcgBnAGEAbgBpAGMARgBlAHIAdABpAGwAaQBzAGUAcgBBAHAAcABsAGkAYwBhAHQAaQBvAG4AQwBPADIARQBtAGkAcwBzAGkAbwBuAHMAXABuAEMAYQByAGIAbwBuACAAZABpAG8AeABpAGQAZQAgAGUAbQBpAHMAcwBpAG8AbgBzACAAcgBlAHMAdQBsAHQAaQBuAGcAIABmAHIAbwBtACAAdABoAGUAIAB1AHMAZQAgAG8AZgAgAGEAbABsACAAaQBuAG8AcgBnAGEAbgBpAGMALAAgAHUAcgBlAGEALQBiAGEAcwBlAGQAIABmAGUAcgB0AGkAbABpAHMAZQByAHMAXABuAEUAXwBDAE8AMgBcAG4AdAAgAEMATwAyAFwAbgBFAF8AewBDAE8AMgB9AD0AXABcAHMAdQBtAF8AewBqAH0AXABcAHMAdQBtAF8AewBmAH0AKAAoAE0AVQBfAHsAagBmAH0AXABcAHQAaQBtAGUAcwAgAEUARgBfAHsAdQByAGUAYQAsAEMATwAyAH0AXABcAHQAaQBtAGUAcwAgAEMAXwB7AEMATwAyAH0AKQBcAFwAdABpAG0AZQBzACAAMQAwAF4AewAtADMAfQApAFwAbgBNAFUAXwBqAGYAXABuAEUARgBfAHUAcgBlAGEAQwBPADIAXABuAEMAXwBDAE8AMgBcAG4AagBcAG4AZgBcAG4ALQAtAC0ALQAtAC0ALQAtAC0ALQAtAC0ALQAtAC0ALQAtAC0ALQAtAC0ALQAtAC0ALQAtAC0ALQAtAC0ALQAtAC0ALQAtAC0ALQAtAFwAbgAqAC8AXABuAFwAbgBWAEUARQBSAEcAXwA1AF8AMQBfADEAXwAzAF8AXwAxAF8ASQBuAG8AcgBnAGEAbgBpAGMARgBlAHIAdABpAGwAaQBzAGUAcgBBAHAAcABsAGkAYwBhAHQAaQBvAG4AQwBPADIARQBtAGkAcwBzAGkAbwBuAHMAXABuACAAIAA9AEwAQQBNAEIARABBACgAXABuACAAIAAgACAATQBVAF8AagBmACwAIABFAEYAXwB1AHIAZQBhAEMATwAyACwAIABDAF8AQwBPADIALABcAG4AIAAgACAAIAAoAE0AVQBfAGoAZgAgACoAIABFAEYAXwB1AHIAZQBhAEMATwAyACAAKgAgAEMAXwBDAE8AMgApACAAKgAgADEAMAAgAF4AIAAtADMAXABuACAAIAApADsAXABuAFwAbgBWAEUARQBSAEcAXwA1AF8AMQBfADEAXwAzAF8AXwAxAF8ASQBuAG8AcgBnAGEAbgBpAGMARgBlAHIAdABpAGwAaQBzAGUAcgBBAHAAcABsAGkAYwBhAHQAaQBvAG4AQwBPADIARQBtAGkAcwBzAGkAbwBuAHMAXwBUAGkAdABsAGUAXABuACAAIAA9AEwAQQBNAEIARABBACgAXAAiAEMAYQByAGIAbwBuACAAZABpAG8AeABpAGQAZQAgAGUAbQBpAHMAcwBpAG8AbgBzACAAcgBlAHMAdQBsAHQAaQBuAGcAIABmAHIAbwBtACAAdABoAGUAIAB1AHMAZQAgAG8AZgAgAGEAbABsACAAaQBuAG8AcgBnAGEAbgBpAGMALAAgAHUAcgBlAGEALQBiAGEAcwBlAGQAIABmAGUAcgB0AGkAbABpAHMAZQByAHMAXAAiACkAOwBcAG4AXABuAFYARQBFAFIARwBfADUAXwAxAF8AMQBfADMAXwBfADEAXwBJAG4AbwByAGcAYQBuAGkAYwBGAGUAcgB0AGkAbABpAHMAZQByAEEAcABwAGwAaQBjAGEAdABpAG8AbgBDAE8AMgBFAG0AaQBzAHMAaQBvAG4AcwBfAFYAYQByAGkAYQBiAGwAZQBcAG4AIAAgAD0ATABBAE0AQgBEAEEAKABcACIARQBfAEMATwAyAFwAIgApADsAXABuAFwAbgBWAEUARQBSAEcAXwA1AF8AMQBfADEAXwAzAF8AXwAxAF8ASQBuAG8AcgBnAGEAbgBpAGMARgBlAHIAdABpAGwAaQBzAGUAcgBBAHAAcABsAGkAYwBhAHQAaQBvAG4AQwBPADIARQBtAGkAcwBzAGkAbwBuAHMAXwBVAG4AaQB0AFwAbgAgACAAPQBMAEEATQBCAEQAQQAoAFwAIgB0ACAAQwBPADIAXAAiACkAOwBcAG4AXABuAFYARQBFAFIARwBfADUAXwAxAF8AMQBfADMAXwBfADEAXwBJAG4AbwByAGcAYQBuAGkAYwBGAGUAcgB0AGkAbABpAHMAZQByAEEAcABwAGwAaQBjAGEAdABpAG8AbgBDAE8AMgBFAG0AaQBzAHMAaQBvAG4AcwBfAFMAbwB1AHIAYwBlAFwAbgAgACAAPQBMAEEATQBCAEQAQQAoAFwAIgBWAEUARQBSAEcAIAAyADAAMgA2ADoAIAA1AC4AMQAuADEALgAzACwAIABFAHEAdQBhAHQAaQBvAG4AIAAoADEAKQBcACIAKQA7AFwAbgBcAG4AVgBFAEUAUgBHAF8ANQBfADEAXwAxAF8AMwBfAF8AMQBfAEkAbgBvAHIAZwBhAG4AaQBjAEYAZQByAHQAaQBsAGkAcwBlAHIAQQBwAHAAbABpAGMAYQB0AGkAbwBuAEMATwAyAEUAbQBpAHMAcwBpAG8AbgBzAF8ATgBJAFIAUgBlAGYAZQByAGUAbgBjAGUAXABuACAAIAA9AEwAQQBNAEIARABBACgAXAAiAFwAIgApADsAXABuAFwAbgBWAEUARQBSAEcAXwA1AF8AMQBfADEAXwAzAF8AXwAxAF8ASQBuAG8AcgBnAGEAbgBpAGMARgBlAHIAdABpAGwAaQBzAGUAcgBBAHAAcABsAGkAYwBhAHQAaQBvAG4AQwBPADIARQBtAGkAcwBzAGkAbwBuAHMAXwBMAGEAdABlAHgARQBxAHUAYQB0AGkAbwBuAFwAbgAgACAAPQBMAEEATQBCAEQAQQAoAFwAIgBFAF8AewBDAE8AMgB9AD0AXABcAHMAdQBtAF8AewBqAH0AXABcAHMAdQBtAF8AewBmAH0AKAAoAE0AVQBfAHsAagBmAH0AXABcAHQAaQBtAGUAcwAgAEUARgBfAHsAdQByAGUAYQAsAEMATwAyAH0AXABcAHQAaQBtAGUAcwAgAEMAXwB7AEMATwAyAH0AKQBcAFwAdABpAG0AZQBzACAAMQAwAF4AewAtADMAfQApAFwAIgApADsAXABuAFwAbgBWAEUARQBSAEcAXwA1AF8AMQBfADEAXwAzAF8AXwAxAF8ASQBuAG8AcgBnAGEAbgBpAGMARgBlAHIAdABpAGwAaQBzAGUAcgBBAHAAcABsAGkAYwBhAHQAaQBvAG4AQwBPADI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VQBfAGoAZgBcACIALABcACIAbQBhAHMAcwAgAG8AZgAgAHUAcgBlAGEAIABvAGYAIABpAG4AbwByAGcAYQBuAGkAYwAgAGYAZQByAHQAaQBsAGkAcwBlAHIAIAB0AHkAcABlACAAZgAgAGEAcABwAGwAaQBlAGQAIAB0AG8AIABwAHIAbwBkAHUAYwB0AGkAbwBuACAAcwB5AHMAdABlAG0AIABqAFwAIgAsACAAXAAiAGsAZwAgAHUAcgBlAGEAXAAiACwAIABcACIAQwBhAGwAYwB1AGwAYQB0AGUAZABcACIAOwBcAG4AIAAgACAAIAAgACAAIAAgACAAIABcACIARQBGAF8AdQByAGUAYQBDAE8AMgBcACIALABcACIAZQBtAGkAcwBzAGkAbwBuACAAZgBhAGMAdABvAHIAIABmAG8AcgAgAGMAYQByAGIAbwBuACAAZQBtAGkAcwBzAGkAbwBuAHMAIABmAHIAbwBtACAAdQByAGUAYQAtAGIAYQBzAGUAZAAgAGYAZQByAHQAaQBsAGkAcwBlAHIAcwBcACIALAAgAFwAIgBrAGcAIABDAC8AawBnACAAdQByAGUAYQBcACIALAAgAFwAIgBDAG8AbgBzAHQAYQBuAHQAXAAiADsAXABuACAAIAAgACAAIAAgACAAIAAgACAAXAAiAEMAXwBDAE8AMgBcACIALABcACIAZgBhAGMAdABvAHIAIAB0AG8AIABjAG8AbgB2AGUAcgB0ACAAZQBsAGUAbQBlAG4AdABhAGwAIABtAGEAcwBzACAAbwBmACAAYwBhAHIAYgBvAG4AIAB0AG8AIABtAG8AbABlAGMAdQBsAGEAcgAgAG0AYQBzAHMAIABvAGYAIABjAGEAcgBiAG8AbgAgAGQAaQBvAHgAaQBkAGUAXAAiACwAIABcACIAXAAiACwAIABcACIAQwBvAG4AcwB0AGEAbgB0AFwAIgA7AFwAbgAgACAAIAAgACAAIAAgACAAIAAgAFwAIgBqAFwAIgAsAFwAIgBQAHIAbwBkAHUAYwB0AGkAbwBuACAAcwB5AHMAdABlAG0AXAAiACwAIABcACIAXAAiACwAIABcACIASQBuAHAAdQB0AFwAIgA7AFwAbgAgACAAIAAgACAAIAAgACAAIAAgAFwAIgBmAFwAIgAsAFwAIgBJAG4AbwByAGcAYQBuAGkAYwAgAGYAZQByAHQAaQBsAGkAcwBlAHIAIAB0AHkAcABlAFwAIgAsACAAXAAiAFwAIgAsACAAXAAiAEwAbwBvAGsAdQBwAFwAIgBcAG4AIAAgACAAIAAgACAAIAAgAH0ALAAgAHIALAAgAGMAKQBcAG4AIAAgACAAIAAgACAAKQBcAG4AIAAgACAAIAApAFwAbgAgACAAKQA7AFwAbgBcAG4ALwAqACAAXABuAC0ALQAtAC0ALQAtAC0ALQAtAC0ALQAtAC0ALQAtAC0ALQAtAC0ALQAtAC0ALQAtAC0ALQAtAC0ALQAtAC0ALQAtAC0ALQAtAC0ALQBcAG4AVgBFAEUAUgBHAF8ANQBfADEAXwAxAF8AMwBfAF8AMgBfAE0AYQBzAHMATwBmAFUAcgBlAGEASQBuAEkAbgBvAHIAZwBhAG4AaQBjAEYAZQByAHQAaQBsAGkAcwBlAHIAXABuAE0AYQBzAHMAIABvAGYAIAB1AHIAZQBhACAAYQBwAHAAbABpAGUAZAAgAHQAbwAgAHAAcgBvAGQAdQBjAHQAaQBvAG4AIABzAHkAcwB0AGUAbQBcAG4ATQBVAF8AagBmAFwAbgBrAGcAIAB1AHIAZQBhAFwAbgB7AE0AVQB9AF8AewBqAGYAfQA9AFQATQBfAHsAagBmAH0AXABcAHQAaQBtAGUAcwAgAEYAVQBfAGYAXABuAFQATQBfAGoAZgBcAG4ARgBVAF8AZgBcAG4AagBcAG4AZgBcAG4ALQAtAC0ALQAtAC0ALQAtAC0ALQAtAC0ALQAtAC0ALQAtAC0ALQAtAC0ALQAtAC0ALQAtAC0ALQAtAC0ALQAtAC0ALQAtAC0ALQAtAFwAbgAqAC8AXABuAFwAbgBWAEUARQBSAEcAXwA1AF8AMQBfADEAXwAzAF8AXwAyAF8ATQBhAHMAcwBPAGYAVQByAGUAYQBJAG4ASQBuAG8AcgBnAGEAbgBpAGMARgBlAHIAdABpAGwAaQBzAGUAcgBcAG4AIAAgAD0ATABBAE0AQgBEAEEAKABcAG4AIAAgACAAIABUAE0AXwBqAGYALAAgAEYAVQBfAGYALABcAG4AIAAgACAAIABUAE0AXwBqAGYAIAAqACAARgBVAF8AZgBcAG4AIAAgACkAOwBcAG4AXABuAFYARQBFAFIARwBfADUAXwAxAF8AMQBfADMAXwBfADIAXwBNAGEAcwBzAE8AZgBVAHIAZQBhAEkAbgBJAG4AbwByAGcAYQBuAGkAYwBGAGUAcgB0AGkAbABpAHMAZQByAF8AVABpAHQAbABlAFwAbgAgACAAPQBMAEEATQBCAEQAQQAoAFwAIgBNAGEAcwBzACAAbwBmACAAdQByAGUAYQAgAGEAcABwAGwAaQBlAGQAIAB0AG8AIABwAHIAbwBkAHUAYwB0AGkAbwBuACAAcwB5AHMAdABlAG0AXAAiACkAOwBcAG4AXABuAFYARQBFAFIARwBfADUAXwAxAF8AMQBfADMAXwBfADIAXwBNAGEAcwBzAE8AZgBVAHIAZQBhAEkAbgBJAG4AbwByAGcAYQBuAGkAYwBGAGUAcgB0AGkAbABpAHMAZQByAF8AVgBhAHIAaQBhAGIAbABlAFwAbgAgACAAPQBMAEEATQBCAEQAQQAoAFwAIgBNAFUAXwBqAGYAXAAiACkAOwBcAG4AXABuAFYARQBFAFIARwBfADUAXwAxAF8AMQBfADMAXwBfADIAXwBNAGEAcwBzAE8AZgBVAHIAZQBhAEkAbgBJAG4AbwByAGcAYQBuAGkAYwBGAGUAcgB0AGkAbABpAHMAZQByAF8AVQBuAGkAdABcAG4AIAAgAD0ATABBAE0AQgBEAEEAKABcACIAawBnACAAdQByAGUAYQBcACIAKQA7AFwAbgBcAG4AVgBFAEUAUgBHAF8ANQBfADEAXwAxAF8AMwBfAF8AMgBfAE0AYQBzAHMATwBmAFUAcgBlAGEASQBuAEkAbgBvAHIAZwBhAG4AaQBjAEYAZQByAHQAaQBsAGkAcwBlAHIAXwBTAG8AdQByAGMAZQBcAG4AIAAgAD0ATABBAE0AQgBEAEEAKABcACIAVgBFAEUAUgBHACAAMgAwADIANgA6ACAANQAuADEALgAxAC4AMwAsACAARQBxAHUAYQB0AGkAbwBuACAAKAAyACkAXAAiACkAOwBcAG4AXABuAFYARQBFAFIARwBfADUAXwAxAF8AMQBfADMAXwBfADIAXwBNAGEAcwBzAE8AZgBVAHIAZQBhAEkAbgBJAG4AbwByAGcAYQBuAGkAYwBGAGUAcgB0AGkAbABpAHMAZQByAF8ATgBJAFIAUgBlAGYAZQByAGUAbgBjAGUAXABuACAAIAA9AEwAQQBNAEIARABBACgAXAAiAFwAIgApADsAXABuAFwAbgBWAEUARQBSAEcAXwA1AF8AMQBfADEAXwAzAF8AXwAyAF8ATQBhAHMAcwBPAGYAVQByAGUAYQBJAG4ASQBuAG8AcgBnAGEAbgBpAGMARgBlAHIAdABpAGwAaQBzAGUAcgBfAEwAYQB0AGUAeABFAHEAdQBhAHQAaQBvAG4AXABuACAAIAA9AEwAQQBNAEIARABBACgAXAAiAHsATQBVAH0AXwB7AGoAZgB9AD0AVABNAF8AewBqAGYAfQBcAFwAdABpAG0AZQBzACAARgBVAF8AZgBcACIAKQA7AFwAbgBcAG4AVgBFAEUAUgBHAF8ANQBfADEAXwAxAF8AMwBfAF8AMgBfAE0AYQBzAHMATwBmAFUAcgBlAGE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XAAiAGsAZwBcACIALAAgAFwAIgBJAG4AcAB1AHQAXAAiADsAXABuACAAIAAgACAAIAAgACAAIAAgACAAXAAiAEYAVQBfAGYAXAAiACwAXAAiAGYAcgBhAGMAdABpAG8AbgAgAG8AZgAgAHUAcgBlAGEAIABpAG4AIABmAGUAcgB0AGkAbABpAHMAZQByACAAdAB5AHAAZQAgAGYAXAAiACwAXAAiAGsAZwAgAHUAcgBlAGEALwBrAGcAXAAiACwAIABcACIATABvAG8AawB1AHAAXAAiAFwAbgAgACAAIAAgACAAIAAgACAAfQAsACAAcgAsACAAYwApAFwAbgAgACAAIAAgACAAIAApAFwAbgAgACAAIAAgACkAXABuACAAIAApADsAXABuACIAfQAsAHsAIgBwAGEAdABoACIAOgAiAC8AcAByAG8AagBlAGMAdABzAC8ARgBlAHIAdABpAGwAaQBzAGUAcgBfAEUAcQB1AGEAdABpAG8AbgBzAF8ATwByAGcAYQBuAGkAYwBOADIATw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IAIABP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gBfADEAXwAxAF8AXwAxAF8ATwByAGcAYQBuAGkAYwBGAGUAcgB0AGkAbABpAHMAZQByAEEAcABwAGwAaQBjAGEAdABpAG8AbgBOADIATwBFAG0AaQBzAHMAaQBvAG4AcwBcAG4ATgBpAHQAcgBvAHUAcwAgAG8AeABpAGQAZQAgAGUAbQBpAHMAcwBpAG8AbgBzACAAZgByAG8AbQAgAHQAaABlACAAYQBwAHAAbABpAGMAYQB0AGkAbwBuACAAbwBmACAAYQBsAGwAIABvAHIAZwBhAG4AaQBjACAAZgBlAHIAdABpAGwAaQBzAGUAcgAgAHQAeQBwAGUAcwAgAGYAIAB0AG8AIABhAGwAbAAgAHAAcgBvAGQAdQBjAHQAaQBvAG4AIABzAHkAcwB0AGUAbQBzACAAagBcAG4ARQBfAE4AMgBPAFwAbgB0ACAATgAyAE8AXABuAEUAXwB7AE4AMgBPAH0APQBcAFwAcwB1AG0AXwB7AGoAfQBcAFwAcwB1AG0AXwB7AGYAfQAoACgATQBOAFMAbwBpAGwAXwB7AGoAZgB9AFwAXAB0AGkAbQBlAHMAIABFAEYAXwB7AE4AMgBPACwAaQB9AFwAXAB0AGkAbQBlAHMAIABDAF8AewBOADIATwB9ACkAXABcAHQAaQBtAGUAcwAgADEAMABeAHsALQAzAH0AKQBcAG4ATQBOAFMAbwBpAGwAXwBqAGYAXABuAEUARgBfAE4AMgBPAGkAXABuAEMAXwBOADIATwBcAG4AagBcAG4AaQBcAG4AZgBcAG4ALQAtAC0ALQAtAC0ALQAtAC0ALQAtAC0ALQAtAC0ALQAtAC0ALQAtAC0ALQAtAC0ALQAtAC0ALQAtAC0ALQAtAC0ALQAtAC0ALQAtAFwAbgAqAC8AXABuAFwAbgBWAEUARQBSAEcAXwA1AF8AMgBfADEAXwAxAF8AXwAxAF8ATwByAGcAYQBuAGkAYwBGAGUAcgB0AGkAbABpAHMAZQByAEEAcABwAGwAaQBjAGEAdABpAG8AbgBOADIATwBFAG0AaQBzAHMAaQBvAG4AcwBcAG4AIAAgAD0ATABBAE0AQgBEAEEAKABcAG4AIAAgACAAIABNAE4AUwBvAGkAbABfAGoAZgAsACAARQBGAF8ATgAyAE8AaQAsACAAQwBfAE4AMgBPACwAXABuACAAIAAgACAAKABNAE4AUwBvAGkAbABfAGoAZgAgACoAIABFAEYAXwBOADIATwBpACAAKgAgAEMAXwBOADIATwApACAAKgAgADEAMAAgAF4AIAAtADMAXABuACAAIAApADsAXABuAFwAbgBWAEUARQBSAEcAXwA1AF8AMgBfADEAXwAxAF8AXwAxAF8AT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vAHIAZwBhAG4AaQBjACAAZgBlAHIAdABpAGwAaQBzAGUAcgAgAHQAeQBwAGUAcwAgAGYAIAB0AG8AIABhAGwAbAAgAHAAcgBvAGQAdQBjAHQAaQBvAG4AIABzAHkAcwB0AGUAbQBzACAAagBcACIAKQA7AFwAbgBcAG4AVgBFAEUAUgBHAF8ANQBfADIAXwAxAF8AMQBfAF8AMQBfAE8AcgBnAGEAbgBpAGMARgBlAHIAdABpAGwAaQBzAGUAcgBBAHAAcABsAGkAYwBhAHQAaQBvAG4ATgAyAE8ARQBtAGkAcwBzAGkAbwBuAHMAXwBWAGEAcgBpAGEAYgBsAGUAXABuACAAIAA9AEwAQQBNAEIARABBACgAXAAiAEUAXwBOADIATwBcACIAKQA7AFwAbgBcAG4AVgBFAEUAUgBHAF8ANQBfADIAXwAxAF8AMQBfAF8AMQBfAE8AcgBnAGEAbgBpAGMARgBlAHIAdABpAGwAaQBzAGUAcgBBAHAAcABsAGkAYwBhAHQAaQBvAG4ATgAyAE8ARQBtAGkAcwBzAGkAbwBuAHMAXwBVAG4AaQB0AFwAbgAgACAAPQBMAEEATQBCAEQAQQAoAFwAIgB0ACAATgAyAE8AXAAiACkAOwBcAG4AXABuAFYARQBFAFIARwBfADUAXwAyAF8AMQBfADEAXwBfADEAXwBPAHIAZwBhAG4AaQBjAEYAZQByAHQAaQBsAGkAcwBlAHIAQQBwAHAAbABpAGMAYQB0AGkAbwBuAE4AMgBPAEUAbQBpAHMAcwBpAG8AbgBzAF8AUwBvAHUAcgBjAGUAXABuACAAIAA9AEwAQQBNAEIARABBACgAXAAiAFYARQBFAFIARwAgADIAMAAyADYAOgAgADUALgAyAC4AMQAuADEALAAgAEUAcQB1AGEAdABpAG8AbgAgACgAMQApAFwAIgApADsAXABuAFwAbgBWAEUARQBSAEcAXwA1AF8AMgBfADEAXwAxAF8AXwAxAF8ATwByAGcAYQBuAGkAYwBGAGUAcgB0AGkAbABpAHMAZQByAEEAcABwAGwAaQBjAGEAdABpAG8AbgBOADIATwBFAG0AaQBzAHMAaQBvAG4AcwBfAE4ASQBSAFIAZQBmAGUAcgBlAG4AYwBlAFwAbgAgACAAPQBMAEEATQBCAEQAQQAoAFwAIgBcACIAKQA7AFwAbgBcAG4AVgBFAEUAUgBHAF8ANQBfADIAXwAxAF8AMQBfAF8AMQBfAE8AcgBnAGEAbgBpAGMARgBlAHIAdABpAGwAaQBzAGUAcgBBAHAAcABsAGkAYwBhAHQAaQBvAG4ATgAyAE8ARQBtAGkAcwBzAGkAbwBuAHMAXwBMAGEAdABlAHgARQBxAHUAYQB0AGkAbwBuAFwAbgAgACAAPQBMAEEATQBCAEQAQQAoAFwAIgBFAF8AewBOADIATwB9AD0AXABcAHMAdQBtAF8AewBqAH0AXABcAHMAdQBtAF8AewBmAH0AKAAoAE0ATgBTAG8AaQBsAF8AewBqAGYAfQBcAFwAdABpAG0AZQBzACAARQBGAF8AewBOADIATwAsAGkAfQBcAFwAdABpAG0AZQBzACAAQwBfAHsATgAyAE8AfQApAFwAXAB0AGkAbQBlAHMAIAAxADAAXgB7AC0AMwB9ACkAXAAiACkAOwBcAG4AXABuAFYARQBFAFIARwBfADUAXwAyAF8AMQBfADEAXwBfADEAXwBPAHIAZwBhAG4AaQBjAEYAZQByAHQAaQBsAGkAcwBlAHIAQQBwAHAAbABpAGMAYQB0AGkAbwBuAE4AMgBP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FAEYAXwBOADIATwBpAFwAIgAsAFwAIgBlAG0AaQBzAHMAaQBvAG4AIABmAGEAYwB0AG8AcgAgAGYAbwByACAAZABpAHIAZQBjAHQAIABuAGkAdAByAG8AdQBzACAAbwB4AGkAZABlACAAZQBtAGkAcwBzAGkAbwBuAHMAIABmAHIAbwBtACAAbwByAGcAYQBuAGkAYwAgAGYAZQByAHQAaQBsAGkAcwBlAHIAIABhAHAAcABsAGkAZQBkACAAdABvACAAcwBvAGkAbABzACAAYQBuAGQAIABhAHEAdQBhAHQAaQBjACAAcwB5AHMAdABlAG0AcwAgAGkAbgAgAGMAbABpAG0AYQB0AGUAIAB6AG8AbgBlACAAaQBcACIALAAgAFwAIgBrAGcAIABOADIATwAtAE4ALwBrAGcAIABOAFwAIgAsACAAXAAiAEwAbwBvAGsAdQBw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FwAIgAsAFwAIgBXAGUAdAAgAG8AcgAgAGQAcgB5ACAAYwBsAGkAbQBhAHQAZQ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IAXwAxAF8AMQBfAF8AMgBfAE0AYQBzAHMATwBmAE4AaQB0AHIAbwBnAGUAbgBJAG4ATwByAGcAYQBuAGkAYwBGAGUAcgB0AGkAbABpAHMAZQByAFwAbgBNAGEAcwBzACAAbwBmACAAbgBpAHQAcgBvAGcAZQBuACAAaQBuACAAcAB1AHIAYwBoAGEAcwBlAGQAIABvAHIAZwBhAG4AaQBjACAAZgBlAHIAdABpAGwAaQBzAGUAcgBzACAAYQBwAHAAbABpAGUAZAAgAHQAbwAgAHAAcgBvAGQAdQBjAHQAaQBvAG4AIABzAHkAcwB0AGUAbQBcAG4ATQBOAFMAbwBpAGwAXwBqAGYAXABuAGsAZwAgAE4AXABuAE0ATgBTAG8AaQBsAF8AewBqAGYAfQA9AE0AXwB7AG8AcgBnAGEAbgBpAGMALABqAGYAfQBcAFwAdABpAG0AZQBzACAARgBOAF8AewBvAHIAZwBhAG4AaQBjACwAZgB9AFwAbgBNAF8AbwByAGcAYQBuAGkAYwBqAGYAXABuAEYATgBfAG8AcgBnAGEAbgBpAGMAZgBcAG4AagBcAG4AZgBcAG4ALQAtAC0ALQAtAC0ALQAtAC0ALQAtAC0ALQAtAC0ALQAtAC0ALQAtAC0ALQAtAC0ALQAtAC0ALQAtAC0ALQAtAC0ALQAtAC0ALQAtAFwAbgAqAC8AXABuAFwAbgBWAEUARQBSAEcAXwA1AF8AMgBfADEAXwAxAF8AXwAyAF8ATQBhAHMAcwBPAGYATgBpAHQAcgBvAGcAZQBuAEkAbgBPAHIAZwBhAG4AaQBjAEYAZQByAHQAaQBsAGkAcwBlAHIAXABuACAAIAA9AEwAQQBNAEIARABBACgAXABuACAAIAAgACAATQBfAG8AcgBnAGEAbgBpAGMAagBmACwAIABGAE4AXwBvAHIAZwBhAG4AaQBjAGYALABcAG4AIAAgACAAIABNAF8AbwByAGcAYQBuAGkAYwBqAGYAIAAqACAARgBOAF8AbwByAGcAYQBuAGkAYwBmAFwAbgAgACAAKQA7AFwAbgBcAG4AVgBFAEUAUgBHAF8ANQBfADIAXwAxAF8AMQBfAF8AMgBfAE0AYQBzAHMATwBmAE4AaQB0AHIAbwBnAGUAbgBJAG4ATwByAGcAYQBuAGkAYwBGAGUAcgB0AGkAbABpAHMAZQByAF8AVABpAHQAbABlAFwAbgAgACAAPQBMAEEATQBCAEQAQQAoAFwAIgBNAGEAcwBzACAAbwBmACAAbgBpAHQAcgBvAGcAZQBuACAAaQBuACAAcAB1AHIAYwBoAGEAcwBlAGQAIABvAHIAZwBhAG4AaQBjACAAZgBlAHIAdABpAGwAaQBzAGUAcgBzACAAYQBwAHAAbABpAGUAZAAgAHQAbwAgAHAAcgBvAGQAdQBjAHQAaQBvAG4AIABzAHkAcwB0AGUAbQBcACIAKQA7AFwAbgBcAG4AVgBFAEUAUgBHAF8ANQBfADIAXwAxAF8AMQBfAF8AMgBfAE0AYQBzAHMATwBmAE4AaQB0AHIAbwBnAGUAbgBJAG4ATwByAGcAYQBuAGkAYwBGAGUAcgB0AGkAbABpAHMAZQByAF8AVgBhAHIAaQBhAGIAbABlAFwAbgAgACAAPQBMAEEATQBCAEQAQQAoAFwAIgBNAE4AUwBvAGkAbABfAGoAZgBcACIAKQA7AFwAbgBcAG4AVgBFAEUAUgBHAF8ANQBfADIAXwAxAF8AMQBfAF8AMgBfAE0AYQBzAHMATwBmAE4AaQB0AHIAbwBnAGUAbgBJAG4ATwByAGcAYQBuAGkAYwBGAGUAcgB0AGkAbABpAHMAZQByAF8AVQBuAGkAdABcAG4AIAAgAD0ATABBAE0AQgBEAEEAKABcACIAawBnACAATgBcACIAKQA7AFwAbgBcAG4AVgBFAEUAUgBHAF8ANQBfADIAXwAxAF8AMQBfAF8AMgBfAE0AYQBzAHMATwBmAE4AaQB0AHIAbwBnAGUAbgBJAG4ATwByAGcAYQBuAGkAYwBGAGUAcgB0AGkAbABpAHMAZQByAF8AUwBvAHUAcgBjAGUAXABuACAAIAA9AEwAQQBNAEIARABBACgAXAAiAFYARQBFAFIARwAgADIAMAAyADYAOgAgADUALgAyAC4AMQAuADEALAAgAEUAcQB1AGEAdABpAG8AbgAgACgAMgApAFwAIgApADsAXABuAFwAbgBWAEUARQBSAEcAXwA1AF8AMgBfADEAXwAxAF8AXwAyAF8ATQBhAHMAcwBPAGYATgBpAHQAcgBvAGcAZQBuAEkAbgBPAHIAZwBhAG4AaQBjAEYAZQByAHQAaQBsAGkAcwBlAHIAXwBOAEkAUgBSAGUAZgBlAHIAZQBuAGMAZQBcAG4AIAAgAD0ATABBAE0AQgBEAEEAKABcACIAXAAiACkAOwBcAG4AXABuAFYARQBFAFIARwBfADUAXwAyAF8AMQBfADEAXwBfADIAXwBNAGEAcwBzAE8AZgBOAGkAdAByAG8AZwBlAG4ASQBuAE8AcgBnAGEAbgBpAGMARgBlAHIAdABpAGwAaQBzAGUAcgBfAEwAYQB0AGUAeABFAHEAdQBhAHQAaQBvAG4AXABuACAAIAA9AEwAQQBNAEIARABBACgAXAAiAE0ATgBTAG8AaQBsAF8AewBqAGYAfQA9AE0AXwB7AG8AcgBnAGEAbgBpAGMALABqAGYAfQBcAFwAdABpAG0AZQBzACAARgBOAF8AewBvAHIAZwBhAG4AaQBjACwAZgB9AFwAIgApADsAXABuAFwAbgBWAEUARQBSAEcAXwA1AF8AMgBfADEAXwAxAF8AXwAyAF8ATQBhAHMAcwBPAGYATgBpAHQAcgBvAGcAZQBuAEkAbgBPAHIAZwBhAG4AaQBjAEYAZQByAHQAaQBsAGkAcwBlAHIAXwBBAHIAZwB1AG0AZQBuAHQAcwBcAG4AIAAgAD0ATABBAE0AQgBEAEEAKABcAG4AIAAgACAAIABNAEEASwBFAEEAUgBSAEEAWQAoADMALAAgADQALAAgAFwAbgAgACAAIAAgACAAIABMAEEATQBCAEQAQQAoAHIALABjACwAIABcAG4AIAAgACAAIAAgACAAIAAgAEkATgBEAEUAWAAoAHsAXABuACAAIAAgACAAIAAgACAAIAAgACAAXAAiAE0AXwBvAHIAZwBhAG4AaQBjAGoAZgBcACIALABcACIAbQBhAHMAcwAgAG8AZgAgAG8AcgBnAGEAbgBpAGMAIABmAGUAcgB0AGkAbABpAHMAZQByACAAdAB5AHAAZQAgAGYAIABhAHAAcABsAGkAZQBkACAAdABvACAAcAByAG8AZAB1AGMAdABpAG8AbgAgAHMAeQBzAHQAZQBtACAAagBcACIALAAgAFwAIgBrAGcAXAAiACwAIABcACIASQBuAHAAdQB0AFwAIgA7AFwAbgAgACAAIAAgACAAIAAgACAAIAAgAFwAIgBGAE4AXwBvAHIAZwBhAG4AaQBjAGYAXAAiACwAXAAiAG4AaQB0AHIAbwBnAGUAbgAgAGYAcgBhAGMAdABpAG8AbgAgAG8AZgAgAG8AcgBnAGEAbgBpAGMAIABmAGUAcgB0AGkAbABpAHMAZQByACAAdAB5AHAAZQAgAGYAXAAiACwAIABcACIAawBnACAATgAvAGsAZwBcACIALAAgAFwAIgBJAG4AcAB1AHQAXAAiADsAXABuACAAIAAgACAAIAAgACAAIAAgACAAXAAiAGYAXAAiACwAXAAiAE8AcgBnAGEAbgBpAGMAIABmAGUAcgB0AGkAbABpAHMAZQByACAAdAB5AHAAZQBcACIALAAgAFwAIgBcACIALAAgAFwAIgBJAG4AcAB1AHQAXAAiAFwAbgAgACAAIAAgACAAIAAgACAAfQAsACAAcgAsACAAYwApAFwAbgAgACAAIAAgACAAIAApAFwAbgAgACAAIAAgACkAXABuACAAIAApADsAXABuACIAfQAsAHsAIgBwAGEAdABoACIAOgAiAC8AcAByAG8AagBlAGMAdABzAC8ARgBlAHIAdABpAGwAaQBzAGUAcgBfAEUAcQB1AGEAdABpAG8AbgBzAF8ATABpAG0AZQ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MAIABMAGkAbQBl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zAF8AMQBfADEAXwBfADEAXwBMAGkAbQBlAEEAcABwAGwAaQBjAGEAdABpAG8AbgBDAE8AMgBFAG0AaQBzAHMAaQBvAG4AcwBcAG4ARQBtAGkAcwBzAGkAbwBuAHMAIABmAHIAbwBtACAAdABoAGUAIABhAHAAcABsAGkAYwBhAHQAaQBvAG4AIABvAGYAIABsAGkAbQBlACAAYQBuAGQAIABkAG8AbABvAG0AaQB0AGUAIAB0AG8AIABwAHIAbwBkAHUAYwB0AGkAbwBuACAAcwB5AHMAdABlAG0AcwBcAG4ARQBfAGwAaQBtAGUAXABuAHQAIABDAE8AMgBcAG4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G4ATQBfAGwAaQBtAGUAXABuAEYAcgBhAGMATABpAG0AZQBcAG4AUABfAGwAaQBtAGUAXABuAEUARgBfAGwAaQBtAGUAXABuAEYAcgBhAGMARABvAGwAXABuAFAAXwBkAG8AbABcAG4ARQBGAF8AZABvAGwAXABuAEMAXwBDAE8AMgBcAG4ALQAtAC0ALQAtAC0ALQAtAC0ALQAtAC0ALQAtAC0ALQAtAC0ALQAtAC0ALQAtAC0ALQAtAC0ALQAtAC0ALQAtAC0ALQAtAC0ALQAtAFwAbgAqAC8AXABuAFwAbgBWAEUARQBSAEcAXwA1AF8AMwBfADEAXwAxAF8AXwAxAF8ATABpAG0AZQBBAHAAcABsAGkAYwBhAHQAaQBvAG4AQwBPADIARQBtAGkAcwBzAGkAbwBuAHMAXABuACAAIAA9AEwAQQBNAEIARABBACgAXABuACAAIAAgACAATQBfAGwAaQBtAGUALAAgAEYAcgBhAGMATABpAG0AZQAsACAAUABfAGwAaQBtAGUALAAgAEUARgBfAGwAaQBtAGUALAAgAEYAcgBhAGMARABvAGwALAAgAFAAXwBkAG8AbAAsACAARQBGAF8AZABvAGwALAAgAEMAXwBDAE8AMgAsAFwAbgAgACAAIAAgACgAKABNAF8AbABpAG0AZQAgACoAIABGAHIAYQBjAEwAaQBtAGUAIAAqACAAUABfAGwAaQBtAGUAIAAqACAARQBGAF8AbABpAG0AZQApACAAKwAgACgATQBfAGwAaQBtAGUAIAAqACAARgByAGEAYwBEAG8AbAAgACoAIABQAF8AZABvAGwAIAAqACAARQBGAF8AZABvAGwAKQApACAAKgAgAEMAXwBDAE8AMgAgACoAIAAxADAAIABeACAALQAzAFwAbgAgACAAKQA7AFwAbgBcAG4AVgBFAEUAUgBHAF8ANQBfADMAXwAxAF8AMQBfAF8AMQBfAEwAaQBtAGUAQQBwAHAAbABpAGMAYQB0AGkAbwBuAEMATwAyAEUAbQBpAHMAcwBpAG8AbgBzAF8AVABpAHQAbABlAFwAbgAgACAAPQBMAEEATQBCAEQAQQAoAFwAIgBFAG0AaQBzAHMAaQBvAG4AcwAgAGYAcgBvAG0AIAB0AGgAZQAgAGEAcABwAGwAaQBjAGEAdABpAG8AbgAgAG8AZgAgAGwAaQBtAGUAIABhAG4AZAAgAGQAbwBsAG8AbQBpAHQAZQAgAHQAbwAgAHAAcgBvAGQAdQBjAHQAaQBvAG4AIABzAHkAcwB0AGUAbQBzAFwAIgApADsAXABuAFwAbgBWAEUARQBSAEcAXwA1AF8AMwBfADEAXwAxAF8AXwAxAF8ATABpAG0AZQBBAHAAcABsAGkAYwBhAHQAaQBvAG4AQwBPADIARQBtAGkAcwBzAGkAbwBuAHMAXwBWAGEAcgBpAGEAYgBsAGUAXABuACAAIAA9AEwAQQBNAEIARABBACgAXAAiAEUAXwBsAGkAbQBlAFwAIgApADsAXABuAFwAbgBWAEUARQBSAEcAXwA1AF8AMwBfADEAXwAxAF8AXwAxAF8ATABpAG0AZQBBAHAAcABsAGkAYwBhAHQAaQBvAG4AQwBPADIARQBtAGkAcwBzAGkAbwBuAHMAXwBVAG4AaQB0AFwAbgAgACAAPQBMAEEATQBCAEQAQQAoAFwAIgB0ACAAQwBPADIAXAAiACkAOwBcAG4AXABuAFYARQBFAFIARwBfADUAXwAzAF8AMQBfADEAXwBfADEAXwBMAGkAbQBlAEEAcABwAGwAaQBjAGEAdABpAG8AbgBDAE8AMgBFAG0AaQBzAHMAaQBvAG4AcwBfAFMAbwB1AHIAYwBlAFwAbgAgACAAPQBMAEEATQBCAEQAQQAoAFwAIgBWAEUARQBSAEcAIAAyADAAMgA2ADoAIAA1AC4AMwAuADEALgAxACwAIABFAHEAdQBhAHQAaQBvAG4AIAAoADEAKQBcACIAKQA7AFwAbgBcAG4AVgBFAEUAUgBHAF8ANQBfADMAXwAxAF8AMQBfAF8AMQBfAEwAaQBtAGUAQQBwAHAAbABpAGMAYQB0AGkAbwBuAEMATwAyAEUAbQBpAHMAcwBpAG8AbgBzAF8ATgBJAFIAUgBlAGYAZQByAGUAbgBjAGUAXABuACAAIAA9AEwAQQBNAEIARABBACgAXAAiAFwAIgApADsAXABuAFwAbgBWAEUARQBSAEcAXwA1AF8AMwBfADEAXwAxAF8AXwAxAF8ATABpAG0AZQBBAHAAcABsAGkAYwBhAHQAaQBvAG4AQwBPADIARQBtAGkAcwBzAGkAbwBuAHMAXwBMAGEAdABlAHgARQBxAHUAYQB0AGkAbwBuAFwAbgAgACAAPQBMAEEATQBCAEQAQQAoAFwAI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IgApADsAXABuAFwAbgBWAEUARQBSAEcAXwA1AF8AMwBfADEAXwAxAF8AXwAxAF8ATABpAG0AZQBBAHAAcABsAGkAYwBhAHQAaQBvAG4AQwBPADIARQBtAGkAcwBzAGkAbwBuAHMAXwBBAHIAZwB1AG0AZQBuAHQAcwBcAG4AIAAgAD0ATABBAE0AQgBEAEEAKABcAG4AIAAgACAAIABNAEEASwBFAEEAUgBSAEEAWQAoADgALAAgADQALAAgAFwAbgAgACAAIAAgACAAIABMAEEATQBCAEQAQQAoAHIALABjACwAIABcAG4AIAAgACAAIAAgACAAIAAgAEkATgBEAEUAWAAoAHsAXABuACAAIAAgACAAIAAgACAAIAAgACAAXAAiAE0AXwBsAGkAbQBlAFwAIgAsAFwAIgB0AG8AdABhAGwAIABtAGEAcwBzACAAbwBmACAAbABpAG0AZQAgAGEAcABwAGwAaQBlAGQAIAB0AG8AIABwAHIAbwBkAHUAYwB0AGkAbwBuACAAcwB5AHMAdABlAG0AXAAiACwAIABcACIAawBnAFwAIgAsACAAXAAiAEkAbgBwAHUAdABcACIAOwBcAG4AIAAgACAAIAAgACAAIAAgACAAIABcACIARgByAGEAYwBMAGkAbQBlAFwAIgAsAFwAIgBmAHIAYQBjAHQAaQBvAG4AIABvAGYAIABsAGkAbQBlACAAYQBzACAAbABpAG0AZQBzAHQAbwBuAGUAIAAoAEMAYQBDAE8AMwApAFwAIgAsACAAXAAiAGYAcgBhAGMAdABpAG8AbgBcACIALAAgAFwAIgBJAG4AcAB1AHQAXAAiADsAXABuACAAIAAgACAAIAAgACAAIAAgACAAXAAiAFAAXwBsAGkAbQBlAFwAIgAsAFwAIgBmAHIAYQBjAHQAaQBvAG4AYQBsACAAcAB1AHIAaQB0AHkAIABvAGYAIABsAGkAbQBlAHMAdABvAG4AZQBcACIALAAgAFwAIgBmAHIAYQBjAHQAaQBvAG4AXAAiACwAIABcACIAQwBvAG4AcwB0AGEAbgB0AFwAIgA7AFwAbgAgACAAIAAgACAAIAAgACAAIAAgAFwAIgBFAEYAXwBsAGkAbQBlAFwAIgAsAFwAIgBlAG0AaQBzAHMAaQBvAG4AIABmAGEAYwB0AG8AcgAgAGYAbwByACAAbABpAG0AZQBzAHQAbwBuAGUAIABmAHIAYQBjAHQAaQBvAG4AIABvAGYAIABsAGkAbQBlAFwAIgAsACAAXAAiAGsAZwAgAEMALwBrAGcAXAAiACwAIABcACIAQwBvAG4AcwB0AGEAbgB0AFwAIgA7AFwAbgAgACAAIAAgACAAIAAgACAAIAAgAFwAIgBGAHIAYQBjAEQAbwBsAFwAIgAsAFwAIgBmAHIAYQBjAHQAaQBvAG4AIABvAGYAIABsAGkAbQBlACAAYQBzACAAZABvAGwAbwBtAGkAdABlAFwAIgAsACAAXAAiAGYAcgBhAGMAdABpAG8AbgBcACIALAAgAFwAIgBJAG4AcAB1AHQAXAAiADsAXABuACAAIAAgACAAIAAgACAAIAAgACAAXAAiAFAAXwBkAG8AbABcACIALABcACIAZgByAGEAYwB0AGkAbwBuAGEAbAAgAHAAdQByAGkAdAB5ACAAbwBmACAAZABvAGwAbwBtAGkAdABlAFwAIgAsACAAXAAiAGYAcgBhAGMAdABpAG8AbgBcACIALAAgAFwAIgBDAG8AbgBzAHQAYQBuAHQAXAAiADsAXABuACAAIAAgACAAIAAgACAAIAAgACAAXAAiAEUARgBfAGQAbwBsAFwAIgAsAFwAIgBlAG0AaQBzAHMAaQBvAG4AIABmAGEAYwB0AG8AcgAgAGYAbwByACAAZABvAGwAbwBtAGkAdABlACAAZgByAGEAYwB0AGkAbwBuACAAbwBmACAAbABpAG0AZQBcACIALAAgAFwAIgBrAGcAIABDAC8AawBnAFwAIgAsACAAXAAiAEMAbwBuAHMAdABhAG4AdABcACIAOwBcAG4AIAAgACAAIAAgACAAIAAgACAAIABcACIAQwBfAEMATwAyAFwAIgAsAFwAIgBmAGEAYwB0AG8AcgAgAHQAbwAgAGMAbwBuAHYAZQByAHQAIABlAGwAZQBtAGUAbgB0AGEAbAAgAG0AYQBzAHMAIABvAGYAIABjAGEAcgBiAG8AbgAgAGQAaQBvAHgAaQBkAGUAIAB0AG8AIABtAG8AbABlAGMAdQBsAGEAcgAgAG0AYQBzAHMAXAAiACwAIABcACIAXAAiACwAIABcACIAQwBvAG4AcwB0AGEAbgB0AFwAIgBcAG4AIAAgACAAIAAgACAAIAAgAH0ALAAgAHIALAAgAGMAKQBcAG4AIAAgACAAIAAgACAAKQBcAG4AIAAgACAAIAApAFwAbgAgACAAKQA7AFwAbgBcAG4AXABuACIAfQAsAHsAIgBwAGEAdABoACIAOgAiAC8AcAByAG8AagBlAGMAdABzAC8ARgBlAHIAdABpAGwAaQBzAGUAcgBfAEUAcQB1AGEAdABpAG8AbgBzAF8AQQB0AG0AbwBzAHAAaABlAHIAaQBjAEQAZQBwAG8AcwBpAHQAaQBvAG4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0ACAASQBuAG8AcgBnAGEAbgBpAGMAIABmAGUAcgB0AGkAbABpAHMAZQByACAAYQB0AG0AbwBzAHAAaABlAHIAaQBjACAAZABlAHAAbwBzAGk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NABfADEAXwAxAF8AXwAxAF8ASQBuAG8AcgBnAGEAbgBpAGMARgBlAHIAdABpAGwAaQBzAGUAcgBBAHQAbQBvAHMAcABoAGUAcgBpAGMARABlAHAAbwBzAGkAdABpAG8AbgBOADIATwBFAG0AaQBzAHMAaQBvAG4AcwBcAG4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G4ARQBfAGEAZABpAG4AbwByAGcAYQBuAGkAYwBcAG4AdAAgAE4AMgBPAFwAbgBFAF8AewBhAGQALABpAG4AbwByAGcAYQBuAGkAYwB9AD0AXABcAHMAdQBtAF8AewBqAH0AXABcAHMAdQBtAF8AewBmAH0AKAAoAE0AXwB7AHYAbwBsACwAaQBuAG8AcgBnAGEAbgBpAGMALABqAGYAfQBcAFwAdABpAG0AZQBzACAARQBGAF8AewBOADIATwAsAGoAfQApAFwAXAB0AGkAbQBlAHMAIABDAF8AewBOADIATwB9AFwAXAB0AGkAbQBlAHMAIAAxADAAXgB7AC0AMwB9ACkAXABuAE0AXwB2AG8AbABpAG4AbwByAGcAYQBuAGkAYwBqAGYAXABuAEUARgBfAE4AMgBPAGoAXABuAEMAXwBOADIATwBcAG4AagBcAG4AZgBcAG4ALQAtAC0ALQAtAC0ALQAtAC0ALQAtAC0ALQAtAC0ALQAtAC0ALQAtAC0ALQAtAC0ALQAtAC0ALQAtAC0ALQAtAC0ALQAtAC0ALQAtAFwAbgAqAC8AXABuAFwAbgBWAEUARQBSAEcAXwA1AF8ANABfADEAXwAxAF8AXwAxAF8ASQBuAG8AcgBnAGEAbgBpAGMARgBlAHIAdABpAGwAaQBzAGUAcgBBAHQAbQBvAHMAcABoAGUAcgBpAGMARABlAHAAbwBzAGkAdABpAG8AbgBOADIATwBFAG0AaQBzAHMAaQBvAG4AcwBcAG4AIAAgAD0ATABBAE0AQgBEAEEAKABcAG4AIAAgACAAIABNAF8AdgBvAGwAaQBuAG8AcgBnAGEAbgBpAGMAagBmACwAIABFAEYAXwBOADIATwBqACwAIABDAF8ATgAyAE8ALABcAG4AIAAgACAAIAAoAE0AXwB2AG8AbABpAG4AbwByAGcAYQBuAGkAYwBqAGYAIAAqACAARQBGAF8ATgAyAE8AagApACAAKgAgAEMAXwBOADIATwAgACoAIAAxADAAIABeACAALQAzAFwAbgAgACAAKQA7AFwAbgBcAG4AVgBFAEUAUgBHAF8ANQBfADQAXwAxAF8AMQBfAF8AMQBfAEkAbgBv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AiACkAOwBcAG4AXABuAFYARQBFAFIARwBfADUAXwA0AF8AMQBfADEAXwBfADEAXwBJAG4AbwByAGcAYQBuAGkAYwBGAGUAcgB0AGkAbABpAHMAZQByAEEAdABtAG8AcwBwAGgAZQByAGkAYwBEAGUAcABvAHMAaQB0AGkAbwBuAE4AMgBPAEUAbQBpAHMAcwBpAG8AbgBzAF8AVgBhAHIAaQBhAGIAbABlAFwAbgAgACAAPQBMAEEATQBCAEQAQQAoAFwAIgBFAF8AYQBkAGkAbgBvAHIAZwBhAG4AaQBjAFwAIgApADsAXABuAFwAbgBWAEUARQBSAEcAXwA1AF8ANABfADEAXwAxAF8AXwAxAF8ASQBuAG8AcgBnAGEAbgBpAGMARgBlAHIAdABpAGwAaQBzAGUAcgBBAHQAbQBvAHMAcABoAGUAcgBpAGMARABlAHAAbwBzAGkAdABpAG8AbgBOADIATwBFAG0AaQBzAHMAaQBvAG4AcwBfAFUAbgBpAHQAXABuACAAIAA9AEwAQQBNAEIARABBACgAXAAiAHQAIABOADIATwBcACIAKQA7AFwAbgBcAG4AVgBFAEUAUgBHAF8ANQBfADQAXwAxAF8AMQBfAF8AMQBfAEkAbgBvAHIAZwBhAG4AaQBjAEYAZQByAHQAaQBsAGkAcwBlAHIAQQB0AG0AbwBzAHAAaABlAHIAaQBjAEQAZQBwAG8AcwBpAHQAaQBvAG4ATgAyAE8ARQBtAGkAcwBzAGkAbwBuAHMAXwBTAG8AdQByAGMAZQBcAG4AIAAgAD0ATABBAE0AQgBEAEEAKABcACIAVgBFAEUAUgBHACAAMgAwADIANgA6ACAANQAuADQALgAxAC4AMQAsACAARQBxAHUAYQB0AGkAbwBuACAAKAAxACkAXAAiACkAOwBcAG4AXABuAFYARQBFAFIARwBfADUAXwA0AF8AMQBfADEAXwBfADEAXwBJAG4AbwByAGcAYQBuAGkAYwBGAGUAcgB0AGkAbABpAHMAZQByAEEAdABtAG8AcwBwAGgAZQByAGkAYwBEAGUAcABvAHMAaQB0AGkAbwBuAE4AMgBPAEUAbQBpAHMAcwBpAG8AbgBzAF8ATgBJAFIAUgBlAGYAZQByAGUAbgBjAGUAXABuACAAIAA9AEwAQQBNAEIARABBACgAXAAiAFwAIgApADsAXABuAFwAbgBWAEUARQBSAEcAXwA1AF8ANABfADEAXwAxAF8AXwAxAF8ASQBuAG8AcgBnAGEAbgBpAGMARgBlAHIAdABpAGwAaQBzAGUAcgBBAHQAbQBvAHMAcABoAGUAcgBpAGMARABlAHAAbwBzAGkAdABpAG8AbgBOADIATwBFAG0AaQBzAHMAaQBvAG4AcwBfAEwAYQB0AGUAeABFAHEAdQBhAHQAaQBvAG4AXABuACAAIAA9AEwAQQBNAEIARABBACgAXAAiAEUAXwB7AGEAZAAsAGkAbgBvAHIAZwBhAG4AaQBjAH0APQBcAFwAcwB1AG0AXABcAG4AbwBsAGkAbQBpAHQAcwBfAHsAagB9AFwAXABzAHUAbQBcAFwAbgBvAGwAaQBtAGkAdABzAF8AewBmAH0AKAAoAE0AXwB7AHYAbwBsACwAaQBuAG8AcgBnAGEAbgBpAGMALABqAGYAfQBcAFwAdABpAG0AZQBzACAARQBGAF8AewBOADIATwAsAGoAfQApAFwAXAB0AGkAbQBlAHMAIABDAF8AewBOADIATwB9AFwAXAB0AGkAbQBlAHMAIAAxADAAXgB7AC0AMwB9ACkAXAAiACkAOwBcAG4AXABuAFYARQBFAFIARwBfADUAXwA0AF8AMQBfADEAXwBfADEAXwBJAG4AbwByAGcAYQBuAGkAYwBGAGUAcgB0AGkAbABpAHMAZQByAEEAdABtAG8AcwBwAGgAZQByAGkAYwBEAGUAcABvAHMAaQB0AGkAbwBuAE4AMgBPAEUAbQBpAHMAcwBpAG8AbgBzAF8AQQByAGcAdQBtAGUAbgB0AHMAXABuACAAIAA9AEwAQQBNAEIARABBACgAXABuACAAIAAgACAATQBBAEsARQBBAFIAUgBBAFkAKAA2ACwAIAA0ACwAIABcAG4AIAAgACAAIAAgACAATABBAE0AQgBEAEEAKAByACwAYwAsACAAXABuACAAIAAgACAAIAAgACAAIABJAE4ARABFAFgAKAB7AFwAbgAgACAAIAAgACAAIAAgACAAIAAgAFwAIgBNAF8AdgBvAGwAaQBuAG8AcgBnAGEAbgBpAGMAagBmAFwAIgAsAFwAIgBtAGEAcwBzACAAbwBmACAAbgBpAHQAcgBvAGcAZQBuACAAdgBvAGwAYQB0AGkAbABpAHMAZQBkACAAZgByAG8AbQAgAGkAbgBvAHIAZwBhAG4AaQBjACAAZgBlAHIAdABpAGwAaQBzAGUAcgAgAGEAcABwAGwAaQBlAGQAIAB0AG8AIABwAHIAbwBkAHUAYwB0AGkAbwBuACAAcwB5AHMAdABlAG0AXAAiACwAIABcACIAawBnACAATgBcACIALAAgAFwAIgBDAGEAbABjAHUAbABhAHQAZQBkACAAZgByAG8AbQAgADUALgA0AC4AMQAuADEAIAAoADIAKQBcACIAOwBcAG4AIAAgACAAIAAgACAAIAAgACAAIABcACIARQBGAF8ATgAyAE8AagBcACIALABcACIAZQBtAGkAcwBzAGkAbwBuACAAZgBhAGMAdABvAHIAIABmAG8AcgAgAGEAdABtAG8AcwBwAGgAZQByAGkAYwAgAGQAZQBwAG8AcwBpAHQAaQBvAG4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QBfAF8AMgBfAE0AYQBzAHMATwBmAE4AaQB0AHIAbwBnAGUAbgBWAG8AbABhAHQAaQBsAGkAcwBlAGQARgByAG8AbQBJAG4AbwByAGcAYQBuAGkAYwBGAGUAcgB0AGkAbABpAHMAZQByAFwAbgBNAGEAcwBzACAAbwBmACAAbgBpAHQAcgBvAGcAZQBuACAAdgBvAGwAYQB0AGkAbABpAHMAZQBkACAAZgByAG8AbQAgAGkAbgBvAHIAZwBhAG4AaQBjACAAZgBlAHIAdABpAGwAaQBzAGUAcgAgAGEAcABwAGwAaQBlAGQAIAB0AG8AIABwAHIAbwBkAHUAYwB0AGkAbwBuACAAcwB5AHMAdABlAG0AXABuAE0AXwB2AG8AbABpAG4AbwByAGcAYQBuAGkAYwBqAGYAXABuAGsAZwAgAE4AXABuAE0AXwB7AHYAbwBsACwAaQBuAG8AcgBnAGEAbgBpAGMALABqAGYAfQA9AHsATQBOAH0AXwB7AGoAZgB9AFwAXAB0AGkAbQBlAHMAIABGAHIAYQBjAEcAQQBTAEYAXwB7AGYAfQBcAG4ATQBOAF8AagBmAFwAbgBGAHIAYQBjAEcAQQBTAEYAXwBmAFwAbgBqAFwAbgBmAFwAbgAtAC0ALQAtAC0ALQAtAC0ALQAtAC0ALQAtAC0ALQAtAC0ALQAtAC0ALQAtAC0ALQAtAC0ALQAtAC0ALQAtAC0ALQAtAC0ALQAtAC0AXABuACoALwBcAG4AXABuAFYARQBFAFIARwBfADUAXwA0AF8AMQBfADEAXwBfADIAXwBNAGEAcwBzAE8AZgBOAGkAdAByAG8AZwBlAG4AVgBvAGwAYQB0AGkAbABpAHMAZQBkAEYAcgBvAG0ASQBuAG8AcgBnAGEAbgBpAGMARgBlAHIAdABpAGwAaQBzAGUAcgBcAG4AIAAgAD0ATABBAE0AQgBEAEEAKABcAG4AIAAgACAAIABNAE4AXwBqAGYALAAgAEYAcgBhAGMARwBBAFMARgBfAGYALABcAG4AIAAgACAAIABNAE4AXwBqAGYAIAAqACAARgByAGEAYwBHAEEAUwBGAF8AZgBcAG4AIAAgACkAOwBcAG4AXABuAFYARQBFAFIARwBfADUAXwA0AF8AMQBfADEAXwBfADIAXwBNAGEAcwBzAE8AZgBOAGkAdAByAG8AZwBlAG4AVgBvAGwAYQB0AGkAbABpAHMAZQBkAEYAcgBvAG0ASQBuAG8AcgBnAGEAbgBpAGMARgBlAHIAdABpAGwAaQBzAGUAcgBfAFQAaQB0AGwAZQBcAG4AIAAgAD0ATABBAE0AQgBEAEEAKABcACIATQBhAHMAcwAgAG8AZgAgAG4AaQB0AHIAbwBnAGUAbgAgAHYAbwBsAGEAdABpAGwAaQBzAGUAZAAgAGYAcgBvAG0AIABpAG4AbwByAGcAYQBuAGkAYwAgAGYAZQByAHQAaQBsAGkAcwBlAHIAIABhAHAAcABsAGkAZQBkACAAdABvACAAcAByAG8AZAB1AGMAdABpAG8AbgAgAHMAeQBzAHQAZQBtAFwAIgApADsAXABuAFwAbgBWAEUARQBSAEcAXwA1AF8ANABfADEAXwAxAF8AXwAyAF8ATQBhAHMAcwBPAGYATgBpAHQAcgBvAGcAZQBuAFYAbwBsAGEAdABpAGwAaQBzAGUAZABGAHIAbwBtAEkAbgBvAHIAZwBhAG4AaQBjAEYAZQByAHQAaQBsAGkAcwBlAHIAXwBWAGEAcgBpAGEAYgBsAGUAXABuACAAIAA9AEwAQQBNAEIARABBACgAXAAiAE0AXwB2AG8AbABpAG4AbwByAGcAYQBuAGkAYwBqAGYAXAAiACkAOwBcAG4AXABuAFYARQBFAFIARwBfADUAXwA0AF8AMQBfADEAXwBfADIAXwBNAGEAcwBzAE8AZgBOAGkAdAByAG8AZwBlAG4AVgBvAGwAYQB0AGkAbABpAHMAZQBkAEYAcgBvAG0ASQBuAG8AcgBnAGEAbgBpAGMARgBlAHIAdABpAGwAaQBzAGUAcgBfAFUAbgBpAHQAXABuACAAIAA9AEwAQQBNAEIARABBACgAXAAiAGsAZwAgAE4AXAAiACkAOwBcAG4AXABuAFYARQBFAFIARwBfADUAXwA0AF8AMQBfADEAXwBfADIAXwBNAGEAcwBzAE8AZgBOAGkAdAByAG8AZwBlAG4AVgBvAGwAYQB0AGkAbABpAHMAZQBkAEYAcgBvAG0ASQBuAG8AcgBnAGEAbgBpAGMARgBlAHIAdABpAGwAaQBzAGUAcgBfAFMAbwB1AHIAYwBlAFwAbgAgACAAPQBMAEEATQBCAEQAQQAoAFwAIgBWAEUARQBSAEcAIAAyADAAMgA2ADoAIAA1AC4ANAAuADEALgAxACwAIABFAHEAdQBhAHQAaQBvAG4AIAAoADIAKQBcACIAKQA7AFwAbgBcAG4AVgBFAEUAUgBHAF8ANQBfADQAXwAxAF8AMQBfAF8AMgBfAE0AYQBzAHMATwBmAE4AaQB0AHIAbwBnAGUAbgBWAG8AbABhAHQAaQBsAGkAcwBlAGQARgByAG8AbQBJAG4AbwByAGcAYQBuAGkAYwBGAGUAcgB0AGkAbABpAHMAZQByAF8ATgBJAFIAUgBlAGYAZQByAGUAbgBjAGUAXABuACAAIAA9AEwAQQBNAEIARABBACgAXAAiAFwAIgApADsAXABuAFwAbgBWAEUARQBSAEcAXwA1AF8ANABfADEAXwAxAF8AXwAyAF8ATQBhAHMAcwBPAGYATgBpAHQAcgBvAGcAZQBuAFYAbwBsAGEAdABpAGwAaQBzAGUAZABGAHIAbwBtAEkAbgBvAHIAZwBhAG4AaQBjAEYAZQByAHQAaQBsAGkAcwBlAHIAXwBMAGEAdABlAHgARQBxAHUAYQB0AGkAbwBuAFwAbgAgACAAPQBMAEEATQBCAEQAQQAoAFwAIgBNAF8AewB2AG8AbAAsAGkAbgBvAHIAZwBhAG4AaQBjACwAagBmAH0APQB7AE0ATgB9AF8AewBqAGYAfQBcAFwAdABpAG0AZQBzACAARgByAGEAYwBHAEEAUwBGAF8AewBmAH0AXAAiACkAOwBcAG4AXABuAFYARQBFAFIARwBfADUAXwA0AF8AMQBfADEAXwBfADIAXwBNAGEAcwBzAE8AZgBOAGkAdAByAG8AZwBlAG4AVgBvAGwAYQB0AGkAbABpAHMAZQBkAEYAcgBvAG0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YQBwAHAAbABpAGUAZABcACIALAAgAFwAIgBrAGcAIABOAFwAIgAsACAAXAAiAEMAYQBsAGMAdQBsAGEAdABlAGQAIABmAHIAbwBtACAANQAuADEALgAxAC4AMQAgACgAMgApAFwAIgA7AFwAbgAgACAAIAAgACAAIAAgACAAIAAgAFwAIgBGAHIAYQBjAEcAQQBTAEYAXwBmAFwAIgAsAFwAIgBmAHIAYQBjAHQAaQBvAG4AIABvAGYAIABpAG4AbwByAGcAYQBuAGkAYwAgAGYAZQByAHQAaQBsAGkAcwBlAHIAIAB0AGgAYQB0ACAAdgBvAGwAYQB0AGkAbABpAHMAZQBzAFwAIgAsACAAXAAiACgAawBnACAATgBIADMALQBOACAAKwAgAE4ATwB4AC0ATgApAC8AawBnACAATgBcACIALAAgAFwAIgBDAG8AbgBzAHQAYQBuAHQAXAAiAFwAbgAgACAAIAAgACAAIAAgACAAfQAsACAAcgAsACAAYwApAFwAbgAgACAAIAAgACAAIAApAFwAbgAgACAAIAAgACkAXABuACAAIAApADsAXABuAFwAbgBcAG4ALwAqACAAXABuAC0ALQAtAC0ALQAtAC0ALQAtAC0ALQAtAC0ALQAtAC0ALQAtAC0ALQAtAC0ALQAtAC0ALQAtAC0ALQAtAC0ALQAtAC0ALQAtAC0ALQBcAG4AVgBFAEUAUgBHAF8ANQBfADQAXwAxAF8AMwBfAF8AMQBfAE8AcgBnAGEAbgBpAGMARgBlAHIAdABpAGwAaQBzAGUAcgBBAHQAbQBvAHMAcABoAGUAcgBpAGMARABlAHAAbwBzAGkAdABpAG8AbgBOADIATwBFAG0AaQBzAHMAaQBvAG4AcwBcAG4ATgBpAHQAcgBvAHUAcwAgAG8AeABpAGQAZQAgAGUAbQBpAHMAcwBpAG8AbgBzACAAZgByAG8AbQAgAGEAdABtAG8AcwBwAGgAZQByAGkAYwAgAGQAZQBwAG8AcwBpAHQAaQBvAG4AIABvAGYAIABhAGwAbAAgAG8AcgBnAGEAbgBpAGMAIABmAGUAcgB0AGkAbABpAHMAZQByACAAdAB5AHAAZQBzACAAZgAgAGEAbgBkACAAYQBsAGwAIABwAHIAbwBkAHUAYwB0AGkAbwBuACAAcwB5AHMAdABlAG0AcwAgAGoAXABuAEUAXwBhAGQAbwByAGcAYQBuAGkAYwBcAG4AdAAgAE4AMgBPAFwAbgBFAF8AewBhAGQALABvAHIAZwBhAG4AaQBjAH0APQBcAFwAcwB1AG0AXwB7AGoAfQBcAFwAcwB1AG0AXwB7AGYAfQAoACgATQBfAHsAdgBvAGwALABvAHIAZwBhAG4AaQBjACwAagBmAH0AXABcAHQAaQBtAGUAcwAgAEUARgBfAHsATgAyAE8ALABqAH0AKQBcAFwAdABpAG0AZQBzACAAQwBfAHsATgAyAE8AfQBcAFwAdABpAG0AZQBzACAAMQAwAF4AewAtADMAfQApAFwAbgBNAF8AdgBvAGwAbwByAGcAYQBuAGkAYwBqAGYAXABuAEUARgBfAE4AMgBPAGoAXABuAEMAXwBOADIATwBcAG4AagBcAG4AZgBcAG4ALQAtAC0ALQAtAC0ALQAtAC0ALQAtAC0ALQAtAC0ALQAtAC0ALQAtAC0ALQAtAC0ALQAtAC0ALQAtAC0ALQAtAC0ALQAtAC0ALQAtAFwAbgAqAC8AXABuAFwAbgBWAEUARQBSAEcAXwA1AF8ANABfADEAXwAzAF8AXwAxAF8ATwByAGcAYQBuAGkAYwBGAGUAcgB0AGkAbABpAHMAZQByAEEAdABtAG8AcwBwAGgAZQByAGkAYwBEAGUAcABvAHMAaQB0AGkAbwBuAE4AMgBPAEUAbQBpAHMAcwBpAG8AbgBzAFwAbgAgACAAPQBMAEEATQBCAEQAQQAoAFwAbgAgACAAIAAgAE0AXwB2AG8AbABvAHIAZwBhAG4AaQBjAGoAZgAsACAARQBGAF8ATgAyAE8AagAsACAAQwBfAE4AMgBPACwAXABuACAAIAAgACAAKABNAF8AdgBvAGwAbwByAGcAYQBuAGkAYwBqAGYAIAAqACAARQBGAF8ATgAyAE8AagApACAAKgAgAEMAXwBOADIATwAgACoAIAAxADAAIABeACAALQAzAFwAbgAgACAAKQA7AFwAbgBcAG4AVgBFAEUAUgBHAF8ANQBfADQAXwAxAF8AMwBfAF8AMQBfAE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vAGYAIABhAGwAbAAgAG8AcgBnAGEAbgBpAGMAIABmAGUAcgB0AGkAbABpAHMAZQByACAAdAB5AHAAZQBzACAAZgAgAGEAbgBkACAAYQBsAGwAIABwAHIAbwBkAHUAYwB0AGkAbwBuACAAcwB5AHMAdABlAG0AcwAgAGoAXAAiACkAOwBcAG4AXABuAFYARQBFAFIARwBfADUAXwA0AF8AMQBfADMAXwBfADEAXwBPAHIAZwBhAG4AaQBjAEYAZQByAHQAaQBsAGkAcwBlAHIAQQB0AG0AbwBzAHAAaABlAHIAaQBjAEQAZQBwAG8AcwBpAHQAaQBvAG4ATgAyAE8ARQBtAGkAcwBzAGkAbwBuAHMAXwBWAGEAcgBpAGEAYgBsAGUAXABuACAAIAA9AEwAQQBNAEIARABBACgAXAAiAEUAXwBhAGQAbwByAGcAYQBuAGkAYwBcACIAKQA7AFwAbgBcAG4AVgBFAEUAUgBHAF8ANQBfADQAXwAxAF8AMwBfAF8AMQBfAE8AcgBnAGEAbgBpAGMARgBlAHIAdABpAGwAaQBzAGUAcgBBAHQAbQBvAHMAcABoAGUAcgBpAGMARABlAHAAbwBzAGkAdABpAG8AbgBOADIATwBFAG0AaQBzAHMAaQBvAG4AcwBfAFUAbgBpAHQAXABuACAAIAA9AEwAQQBNAEIARABBACgAXAAiAHQAIABOADIATwBcACIAKQA7AFwAbgBcAG4AVgBFAEUAUgBHAF8ANQBfADQAXwAxAF8AMwBfAF8AMQBfAE8AcgBnAGEAbgBpAGMARgBlAHIAdABpAGwAaQBzAGUAcgBBAHQAbQBvAHMAcABoAGUAcgBpAGMARABlAHAAbwBzAGkAdABpAG8AbgBOADIATwBFAG0AaQBzAHMAaQBvAG4AcwBfAFMAbwB1AHIAYwBlAFwAbgAgACAAPQBMAEEATQBCAEQAQQAoAFwAIgBWAEUARQBSAEcAIAAyADAAMgA2ADoAIAA1AC4ANAAuADEALgAzACwAIABFAHEAdQBhAHQAaQBvAG4AIAAoADEAKQBcACIAKQA7AFwAbgBcAG4AVgBFAEUAUgBHAF8ANQBfADQAXwAxAF8AMwBfAF8AMQBfAE8AcgBnAGEAbgBpAGMARgBlAHIAdABpAGwAaQBzAGUAcgBBAHQAbQBvAHMAcABoAGUAcgBpAGMARABlAHAAbwBzAGkAdABpAG8AbgBOADIATwBFAG0AaQBzAHMAaQBvAG4AcwBfAE4ASQBSAFIAZQBmAGUAcgBlAG4AYwBlAFwAbgAgACAAPQBMAEEATQBCAEQAQQAoAFwAIgBcACIAKQA7AFwAbgBcAG4AVgBFAEUAUgBHAF8ANQBfADQAXwAxAF8AMwBfAF8AMQBfAE8AcgBnAGEAbgBpAGMARgBlAHIAdABpAGwAaQBzAGUAcgBBAHQAbQBvAHMAcABoAGUAcgBpAGMARABlAHAAbwBzAGkAdABpAG8AbgBOADIATwBFAG0AaQBzAHMAaQBvAG4AcwBfAEwAYQB0AGUAeABFAHEAdQBhAHQAaQBvAG4AXABuACAAIAA9AEwAQQBNAEIARABBACgAXAAiAEUAXwB7AGEAZAAsAG8AcgBnAGEAbgBpAGMAfQA9AFwAXABzAHUAbQBcAFwAbgBvAGwAaQBtAGkAdABzAF8AewBqAH0AXABcAHMAdQBtAFwAXABuAG8AbABpAG0AaQB0AHMAXwB7AGYAfQAoACgATQBfAHsAdgBvAGwALABvAHIAZwBhAG4AaQBjACwAagBmAH0AXABcAHQAaQBtAGUAcwAgAEUARgBfAHsATgAyAE8ALABqAH0AKQBcAFwAdABpAG0AZQBzACAAQwBfAHsATgAyAE8AfQBcAFwAdABpAG0AZQBzACAAMQAwAF4AewAtADMAfQApAFwAIgApADsAXABuAFwAbgBWAEUARQBSAEcAXwA1AF8ANABfADEAXwAzAF8AXwAxAF8ATwByAGcAYQBuAGkAYwBGAGUAcgB0AGkAbABpAHMAZQByAEEAdABtAG8AcwBwAGgAZQByAGkAYwBEAGUAcABvAHMAaQB0AGkAbwBuAE4AMgBPAEUAbQBpAHMAcwBpAG8AbgBzAF8AQQByAGcAdQBtAGUAbgB0AHMAXABuACAAIAA9AEwAQQBNAEIARABBACgAXABuACAAIAAgACAATQBBAEsARQBBAFIAUgBBAFkAKAA2ACwAIAA0ACwAIABcAG4AIAAgACAAIAAgACAATABBAE0AQgBEAEEAKAByACwAYwAsACAAXABuACAAIAAgACAAIAAgACAAIABJAE4ARABFAFgAKAB7AFwAbgAgACAAIAAgACAAIAAgACAAIAAgAFwAIgBNAF8AdgBvAGwAbwByAGcAYQBuAGkAYwBqAGYAXAAiACwAXAAiAG0AYQBzAHMAIABvAGYAIABuAGkAdAByAG8AZwBlAG4AIAB2AG8AbABhAHQAaQBsAGkAcwBlAGQAIABmAHIAbwBtACAAbwByAGcAYQBuAGkAYwAgAGYAZQByAHQAaQBsAGkAcwBlAHIAIABhAHAAcABsAGkAZQBkACAAdABvACAAcAByAG8AZAB1AGMAdABpAG8AbgAgAHMAeQBzAHQAZQBtAFwAIgAsACAAXAAiAGsAZwAgAE4AXAAiACwAIABcACIAQwBhAGwAYwB1AGwAYQB0AGUAZAAgAGYAcgBvAG0AIAA1AC4ANAAuADEALgAzACAAKAAyACkAXAAiADsAXABuACAAIAAgACAAIAAgACAAIAAgACAAXAAiAEUARgBfAE4AMgBPAGoAXAAiACwAXAAiAGUAbQBpAHMAcwBpAG8AbgAgAGYAYQBjAHQAbwByACAAZgBvAHIAIABhAHQAbQBvAHMAcABoAGUAcgBpAGMAIABkAGUAcABvAHMAaQB0AGkAbwBuACAAaQBuACAAcAByAG8AZAB1AGMAdABpAG8AbgAgAHMAeQBzAHQAZQBtACAAa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zAF8AXwAyAF8ATQBhAHMAcwBPAGYATgBpAHQAcgBvAGcAZQBuAFYAbwBsAGEAdABpAGwAaQBzAGUAZABGAHIAbwBtAE8AcgBnAGEAbgBpAGMARgBlAHIAdABpAGwAaQBzAGUAcgBcAG4ATQBhAHMAcwAgAG8AZgAgAG4AaQB0AHIAbwBnAGUAbgAgAHYAbwBsAGEAdABpAGwAaQBzAGUAZAAgAGYAcgBvAG0AIABvAHIAZwBhAG4AaQBjACAAZgBlAHIAdABpAGwAaQBzAGUAcgAgAGEAcABwAGwAaQBlAGQAIAB0AG8AIABwAHIAbwBkAHUAYwB0AGkAbwBuACAAcwB5AHMAdABlAG0AXABuAE0AXwB2AG8AbABvAHIAZwBhAG4AaQBjAGoAZgBcAG4AawBnACAATgBcAG4ATQBfAHsAdgBvAGwALABvAHIAZwBhAG4AaQBjACwAagBmAH0APQBNAE4AUwBvAGkAbABfAHsAagBmAH0AXABcAHQAaQBtAGUAcwAgAEYAcgBhAGMARwBBAFMATQBfAHsAcwBvAGkAbAB9AFwAbgBNAE4AUwBvAGkAbABfAGoAZgBcAG4ARgByAGEAYwBHAEEAUwBNAF8AcwBvAGkAbABcAG4AagBcAG4AZgBcAG4ALQAtAC0ALQAtAC0ALQAtAC0ALQAtAC0ALQAtAC0ALQAtAC0ALQAtAC0ALQAtAC0ALQAtAC0ALQAtAC0ALQAtAC0ALQAtAC0ALQAtAFwAbgAqAC8AXABuAFwAbgBWAEUARQBSAEcAXwA1AF8ANABfADEAXwAzAF8AXwAyAF8ATQBhAHMAcwBPAGYATgBpAHQAcgBvAGcAZQBuAFYAbwBsAGEAdABpAGwAaQBzAGUAZABGAHIAbwBtAE8AcgBnAGEAbgBpAGMARgBlAHIAdABpAGwAaQBzAGUAcgBcAG4AIAAgAD0ATABBAE0AQgBEAEEAKABcAG4AIAAgACAAIABNAE4AUwBvAGkAbABfAGoAZgAsACAARgByAGEAYwBHAEEAUwBNAF8AcwBvAGkAbAAsAFwAbgAgACAAIAAgAE0ATgBTAG8AaQBsAF8AagBmACAAKgAgAEYAcgBhAGMARwBBAFMATQBfAHMAbwBpAGwAXABuACAAIAApADsAXABuAFwAbgBWAEUARQBSAEcAXwA1AF8ANABfADEAXwAzAF8AXwAyAF8ATQBhAHMAcwBPAGYATgBpAHQAcgBvAGcAZQBuAFYAbwBsAGEAdABpAGwAaQBzAGUAZABGAHIAbwBtAE8AcgBnAGEAbgBpAGMARgBlAHIAdABpAGwAaQBzAGUAcgBfAFQAaQB0AGwAZQBcAG4AIAAgAD0ATABBAE0AQgBEAEEAKABcACIATQBhAHMAcwAgAG8AZgAgAG4AaQB0AHIAbwBnAGUAbgAgAHYAbwBsAGEAdABpAGwAaQBzAGUAZAAgAGYAcgBvAG0AIABvAHIAZwBhAG4AaQBjACAAZgBlAHIAdABpAGwAaQBzAGUAcgAgAGEAcABwAGwAaQBlAGQAIAB0AG8AIABwAHIAbwBkAHUAYwB0AGkAbwBuACAAcwB5AHMAdABlAG0AXAAiACkAOwBcAG4AXABuAFYARQBFAFIARwBfADUAXwA0AF8AMQBfADMAXwBfADIAXwBNAGEAcwBzAE8AZgBOAGkAdAByAG8AZwBlAG4AVgBvAGwAYQB0AGkAbABpAHMAZQBkAEYAcgBvAG0ATwByAGcAYQBuAGkAYwBGAGUAcgB0AGkAbABpAHMAZQByAF8AVgBhAHIAaQBhAGIAbABlAFwAbgAgACAAPQBMAEEATQBCAEQAQQAoAFwAIgBNAF8AdgBvAGwAbwByAGcAYQBuAGkAYwBqAGYAXAAiACkAOwBcAG4AXABuAFYARQBFAFIARwBfADUAXwA0AF8AMQBfADMAXwBfADIAXwBNAGEAcwBzAE8AZgBOAGkAdAByAG8AZwBlAG4AVgBvAGwAYQB0AGkAbABpAHMAZQBkAEYAcgBvAG0ATwByAGcAYQBuAGkAYwBGAGUAcgB0AGkAbABpAHMAZQByAF8AVQBuAGkAdABcAG4AIAAgAD0ATABBAE0AQgBEAEEAKABcACIAawBnACAATgBcACIAKQA7AFwAbgBcAG4AVgBFAEUAUgBHAF8ANQBfADQAXwAxAF8AMwBfAF8AMgBfAE0AYQBzAHMATwBmAE4AaQB0AHIAbwBnAGUAbgBWAG8AbABhAHQAaQBsAGkAcwBlAGQARgByAG8AbQBPAHIAZwBhAG4AaQBjAEYAZQByAHQAaQBsAGkAcwBlAHIAXwBTAG8AdQByAGMAZQBcAG4AIAAgAD0ATABBAE0AQgBEAEEAKABcACIAVgBFAEUAUgBHACAAMgAwADIANgA6ACAANQAuADQALgAxAC4AMwAsACAARQBxAHUAYQB0AGkAbwBuACAAKAAyACkAXAAiACkAOwBcAG4AXABuAFYARQBFAFIARwBfADUAXwA0AF8AMQBfADMAXwBfADIAXwBNAGEAcwBzAE8AZgBOAGkAdAByAG8AZwBlAG4AVgBvAGwAYQB0AGkAbABpAHMAZQBkAEYAcgBvAG0ATwByAGcAYQBuAGkAYwBGAGUAcgB0AGkAbABpAHMAZQByAF8ATgBJAFIAUgBlAGYAZQByAGUAbgBjAGUAXABuACAAIAA9AEwAQQBNAEIARABBACgAXAAiAFwAIgApADsAXABuAFwAbgBWAEUARQBSAEcAXwA1AF8ANABfADEAXwAzAF8AXwAyAF8ATQBhAHMAcwBPAGYATgBpAHQAcgBvAGcAZQBuAFYAbwBsAGEAdABpAGwAaQBzAGUAZABGAHIAbwBtAE8AcgBnAGEAbgBpAGMARgBlAHIAdABpAGwAaQBzAGUAcgBfAEwAYQB0AGUAeABFAHEAdQBhAHQAaQBvAG4AXABuACAAIAA9AEwAQQBNAEIARABBACgAXAAiAE0AXwB7AHYAbwBsACwAbwByAGcAYQBuAGkAYwAsAGoAZgB9AD0ATQBOAFMAbwBpAGwAXwB7AGoAZgB9AFwAXAB0AGkAbQBlAHMAIABGAHIAYQBjAEcAQQBTAE0AXwB7AHMAbwBpAGwAfQBcACIAKQA7AFwAbgBcAG4AVgBFAEUAUgBHAF8ANQBfADQAXwAxAF8AMwBfAF8AMgBfAE0AYQBzAHMATwBmAE4AaQB0AHIAbwBnAGUAbgBWAG8AbABhAHQAaQBsAGkAcwBlAGQARgByAG8AbQBP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YAcgBhAGMARwBBAFMATQBfAHMAbwBpAGwAXAAiACwAXAAiAGYAcgBhAGMAdABpAG8AbgAgAG8AZgAgAG8AcgBnAGEAbgBpAGMAIABmAGUAcgB0AGkAbABpAHMAZQByACAATgAgAHQAaABhAHQAIAB2AG8AbABhAHQAaQBsAGkAcwBlAH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GAGUAcgB0AGkAbABpAHMAZQByAF8ARQBxAHUAYQB0AGkAbwBuAHMAXwBMAGUAYQBjAGgAaQBuAGcAQQBuAGQAUgB1AG4AbwBmAGY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1ACAATABlAGEAYwBoAGkAbgBnACAAYQBuAGQAIAByAHUAbgAtAG8AZgBmACAAcgBlAHMAdQBsAHQAaQBuAGcAIABmAHIAbwBt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NQBfADEAXwAxAF8AXwAxAF8ARgBlAHIAdABpAGwAaQBzAGUAcgBMAGUAYQBjAGgAaQBuAGcAQQBuAGQAUgB1AG4AbwBmAGYATgAyAE8ARQBtAGkAcwBzAGkAbwBuAHMAXABu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bgBFAF8AZgBlAHIAdABsAGUAYQBjAGgAXABuAHQAIABOADIATwBcAG4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BuAE0AXwBsAGUAYQBjAGgAaQBuAG8AcgBnAGEAbgBpAGMAagBcAG4ATQBfAGwAZQBhAGMAaABvAHIAZwBhAG4AaQBjAGoAXABuAEUARgBfAGwAZQBhAGMAaABcAG4AQwBfAE4AMgBPAFwAbgBqAFwAbgAtAC0ALQAtAC0ALQAtAC0ALQAtAC0ALQAtAC0ALQAtAC0ALQAtAC0ALQAtAC0ALQAtAC0ALQAtAC0ALQAtAC0ALQAtAC0ALQAtAC0AXABuACoALwBcAG4AXABuAFYARQBFAFIARwBfADUAXwA1AF8AMQBfADEAXwBfADEAXwBGAGUAcgB0AGkAbABpAHMAZQByAEwAZQBhAGMAaABpAG4AZwBBAG4AZABSAHUAbgBvAGYAZgBOADIATwBFAG0AaQBzAHMAaQBvAG4AcwBcAG4AIAAgAD0ATABBAE0AQgBEAEEAKABcAG4AIAAgACAAIABNAF8AbABlAGEAYwBoAGkAbgBvAHIAZwBhAG4AaQBjAGoALAAgAE0AXwBsAGUAYQBjAGgAbwByAGcAYQBuAGkAYwBqACwAIABFAEYAXwBsAGUAYQBjAGgALAAgAEMAXwBOADIATwAsAFwAbgAgACAAIAAgACgATQBfAGwAZQBhAGMAaABpAG4AbwByAGcAYQBuAGkAYwBqACAAKwAgAE0AXwBsAGUAYQBjAGgAbwByAGcAYQBuAGkAYwBqACkAIAAqACAARQBGAF8AbABlAGEAYwBoACAAKgAgAEMAXwBOADIATwAgACoAIAAxADAAIABeACAALQAzAFwAbgAgACAAKQA7AFwAbgBcAG4AVgBFAEUAUgBHAF8ANQBfADUAXwAxAF8AMQBfAF8AMQBfAEYAZQByAHQAaQBsAGkAcwBlAHIATABlAGEAYwBoAGkAbgBnAEEAbgBkAFIAdQBuAG8AZgBmAE4AMgBPAEUAbQBpAHMAcwBpAG8AbgBzAF8AVABpAHQAbABlAFwAbgAgACAAPQBMAEEATQBCAEQAQQAoAFwAI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CIAKQA7AFwAbgBcAG4AVgBFAEUAUgBHAF8ANQBfADUAXwAxAF8AMQBfAF8AMQBfAEYAZQByAHQAaQBsAGkAcwBlAHIATABlAGEAYwBoAGkAbgBnAEEAbgBkAFIAdQBuAG8AZgBmAE4AMgBPAEUAbQBpAHMAcwBpAG8AbgBzAF8AVgBhAHIAaQBhAGIAbABlAFwAbgAgACAAPQBMAEEATQBCAEQAQQAoAFwAIgBFAF8AZgBlAHIAdABsAGUAYQBjAGgAXAAiACkAOwBcAG4AXABuAFYARQBFAFIARwBfADUAXwA1AF8AMQBfADEAXwBfADEAXwBGAGUAcgB0AGkAbABpAHMAZQByAEwAZQBhAGMAaABpAG4AZwBBAG4AZABSAHUAbgBvAGYAZgBOADIATwBFAG0AaQBzAHMAaQBvAG4AcwBfAFUAbgBpAHQAXABuACAAIAA9AEwAQQBNAEIARABBACgAXAAiAHQAIABOADIATwBcACIAKQA7AFwAbgBcAG4AVgBFAEUAUgBHAF8ANQBfADUAXwAxAF8AMQBfAF8AMQBfAEYAZQByAHQAaQBsAGkAcwBlAHIATABlAGEAYwBoAGkAbgBnAEEAbgBkAFIAdQBuAG8AZgBmAE4AMgBPAEUAbQBpAHMAcwBpAG8AbgBzAF8AUwBvAHUAcgBjAGUAXABuACAAIAA9AEwAQQBNAEIARABBACgAXAAiAFYARQBFAFIARwAgADIAMAAyADYAOgAgADUALgA1ACwAIABFAHEAdQBhAHQAaQBvAG4AIAAoADEAKQBcACIAKQA7AFwAbgBcAG4AVgBFAEUAUgBHAF8ANQBfADUAXwAxAF8AMQBfAF8AMQBfAEYAZQByAHQAaQBsAGkAcwBlAHIATABlAGEAYwBoAGkAbgBnAEEAbgBkAFIAdQBuAG8AZgBmAE4AMgBPAEUAbQBpAHMAcwBpAG8AbgBzAF8ATgBJAFIAUgBlAGYAZQByAGUAbgBjAGUAXABuACAAIAA9AEwAQQBNAEIARABBACgAXAAiAFwAIgApADsAXABuAFwAbgBWAEUARQBSAEcAXwA1AF8ANQBfADEAXwAxAF8AXwAxAF8ARgBlAHIAdABpAGwAaQBzAGUAcgBMAGUAYQBjAGgAaQBuAGcAQQBuAGQAUgB1AG4AbwBmAGYATgAyAE8ARQBtAGkAcwBzAGkAbwBuAHMAXwBMAGEAdABlAHgARQBxAHUAYQB0AGkAbwBuAFwAbgAgACAAPQBMAEEATQBCAEQAQQAoAFwAI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CIAKQA7AFwAbgBcAG4AVgBFAEUAUgBHAF8ANQBfADUAXwAxAF8AMQBfAF8AMQBfAEYAZQByAHQAaQBsAGkAcwBlAHIATABlAGEAYwBoAGkAbgBnAEEAbgBkAFIAdQBuAG8AZgBmAE4AMgBPAEUAbQBpAHMAcwBpAG8AbgBzAF8AQQByAGcAdQBtAGUAbgB0AHMAXABuACAAIAA9AEwAQQBNAEIARABBACgAXABuACAAIAAgACAATQBBAEsARQBBAFIAUgBBAFkAKAA0ACwAIAA0ACwAIABcAG4AIAAgACAAIAAgACAATABBAE0AQgBEAEEAKAByACwAYwAsACAAXABuACAAIAAgACAAIAAgACAAIABJAE4ARABFAFgAKAB7AFwAbgAgACAAIAAgACAAIAAgACAAIAAgAFwAIgBNAF8AbABlAGEAYwBoAGkAbgBvAHIAZwBhAG4AaQBjAGoAXAAiACwAXAAiAG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LAAgAFwAIgBrAGcAIABOAFwAIgAsACAAXAAiAEMAYQBsAGMAdQBsAGEAdABlAGQAIABmAHIAbwBtACAANQAuADUALgAxAC4AMQAgACgAMgApAFwAIgA7AFwAbgAgACAAIAAgACAAIAAgACAAIAAgAFwAIgBNAF8AbABlAGEAYwBoAG8AcgBnAGEAbgBpAGMAagBcACIALABcACIAbQBhAHMAcwAgAG8AZgAgAG4AaQB0AHIAbwBnAGUAbgAgAGwAbwBzAHQAIAB0AGgAcgBvAHUAZwBoACAAbABlAGEAYwBoAGkAbgBnACAAYQBuAGQAIAByAHUAbgBvAGYAZgAgAGYAcgBvAG0AIABvAHIAZwBhAG4AaQBjACAAZgBlAHIAdABpAGwAaQBzAGUAcgAgAGEAcABwAGwAaQBjAGEAdABpAG8AbgBcACIALAAgAFwAIgBrAGcAIABOAFwAIgAsACAAXAAiAEMAYQBsAGMAdQBsAGEAdABlAGQAIABmAHIAbwBtACAANQAuADUALgAxAC4AMQAgACgAMwApAFwAIgA7AFwAbgAgACAAIAAgACAAIAAgACAAIAAgAFwAIgBFAEYAXwBsAGUAYQBjAGgAXAAiACwAXAAiAGUAbQBpAHMAcwBpAG8AbgAgAGYAYQBjAHQAbwByACAAZgBvAHIAIABuAGkAdAByAG8AZwBlAG4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gBfAE0AYQBzAHMATwBmAE4AaQB0AHIAbwBnAGUAbgBMAGUAYQBjAGgAZQBkAEYAcgBvAG0ASQBuAG8AcgBnAGEAbgBpAGMARgBlAHIAdABpAGwAaQBzAGUAcgBcAG4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bgBNAF8AbABlAGEAYwBoAGkAbgBvAHIAZwBhAG4AaQBjAGoAXABuAGsAZwAgAE4AXABuAE0AXwB7AGwAZQBhAGMAaAAsAGkAbgBvAHIAZwBhAG4AaQBjACwAagB9AD0AXABcAHMAdQBtAF8AewBmAH0AKAB7AE0ATgB9AF8AewBqAGYAfQBcAFwAdABpAG0AZQBzACAARgByAGEAYwBfAHsAVwBFAFQALABqAH0AXABcAHQAaQBtAGUAcwAgAEYAcgBhAGMAXwB7AEwARQBBAEMASAB9ACkAXABuAE0ATgBfAGoAZgBcAG4ARgByAGEAYwBXAEUAVABqAFwAbgBGAHIAYQBjAEwARQBBAEMASABcAG4AagBcAG4AZgBcAG4ALQAtAC0ALQAtAC0ALQAtAC0ALQAtAC0ALQAtAC0ALQAtAC0ALQAtAC0ALQAtAC0ALQAtAC0ALQAtAC0ALQAtAC0ALQAtAC0ALQAtAFwAbgAqAC8AXABuAFwAbgBWAEUARQBSAEcAXwA1AF8ANQBfADEAXwAxAF8AXwAyAF8ATQBhAHMAcwBPAGYATgBpAHQAcgBvAGcAZQBuAEwAZQBhAGMAaABlAGQARgByAG8AbQBJAG4AbwByAGcAYQBuAGkAYwBGAGUAcgB0AGkAbABpAHMAZQByAFwAbgAgACAAPQBMAEEATQBCAEQAQQAoAFwAbgAgACAAIAAgAE0ATgBfAGoAZgAsACAARgByAGEAYwBXAEUAVABqACwAIABGAHIAYQBjAEwARQBBAEMASAAsAFwAbgAgACAAIAAgAE0ATgBfAGoAZgAgACoAIABGAHIAYQBjAFcARQBUAGoAIAAqACAARgByAGEAYwBMAEUAQQBDAEgAXABuACAAIAApADsAXABuAFwAbgBWAEUARQBSAEcAXwA1AF8ANQBfADEAXwAxAF8AXwAyAF8ATQBhAHMAcwBPAGYATgBpAHQAcgBvAGcAZQBuAEwAZQBhAGMAaABlAGQARgByAG8AbQBJAG4AbwByAGcAYQBuAGkAYwBGAGUAcgB0AGkAbABpAHMAZQByAF8AVABpAHQAbABlAFwAbgAgACAAPQBMAEEATQBCAEQAQQAoAFwAI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kAOwBcAG4AXABuAFYARQBFAFIARwBfADUAXwA1AF8AMQBfADEAXwBfADIAXwBNAGEAcwBzAE8AZgBOAGkAdAByAG8AZwBlAG4ATABlAGEAYwBoAGUAZABGAHIAbwBtAEkAbgBvAHIAZwBhAG4AaQBjAEYAZQByAHQAaQBsAGkAcwBlAHIAXwBWAGEAcgBpAGEAYgBsAGUAXABuACAAIAA9AEwAQQBNAEIARABBACgAXAAiAE0AXwBsAGUAYQBjAGgAaQBuAG8AcgBnAGEAbgBpAGMAagBcACIAKQA7AFwAbgBcAG4AVgBFAEUAUgBHAF8ANQBfADUAXwAxAF8AMQBfAF8AMgBfAE0AYQBzAHMATwBmAE4AaQB0AHIAbwBnAGUAbgBMAGUAYQBjAGgAZQBkAEYAcgBvAG0ASQBuAG8AcgBnAGEAbgBpAGMARgBlAHIAdABpAGwAaQBzAGUAcgBfAFUAbgBpAHQAXABuACAAIAA9AEwAQQBNAEIARABBACgAXAAiAGsAZwAgAE4AXAAiACkAOwBcAG4AXABuAFYARQBFAFIARwBfADUAXwA1AF8AMQBfADEAXwBfADIAXwBNAGEAcwBzAE8AZgBOAGkAdAByAG8AZwBlAG4ATABlAGEAYwBoAGUAZABGAHIAbwBtAEkAbgBvAHIAZwBhAG4AaQBjAEYAZQByAHQAaQBsAGkAcwBlAHIAXwBTAG8AdQByAGMAZQBcAG4AIAAgAD0ATABBAE0AQgBEAEEAKABcACIAVgBFAEUAUgBHACAAMgAwADIANgA6ACAANQAuADUALAAgAEUAcQB1AGEAdABpAG8AbgAgACgAMgApAFwAIgApADsAXABuAFwAbgBWAEUARQBSAEcAXwA1AF8ANQBfADEAXwAxAF8AXwAyAF8ATQBhAHMAcwBPAGYATgBpAHQAcgBvAGcAZQBuAEwAZQBhAGMAaABlAGQARgByAG8AbQBJAG4AbwByAGcAYQBuAGkAYwBGAGUAcgB0AGkAbABpAHMAZQByAF8ATgBJAFIAUgBlAGYAZQByAGUAbgBjAGUAXABuACAAIAA9AEwAQQBNAEIARABBACgAXAAiAFwAIgApADsAXABuAFwAbgBWAEUARQBSAEcAXwA1AF8ANQBfADEAXwAxAF8AXwAyAF8ATQBhAHMAcwBPAGYATgBpAHQAcgBvAGcAZQBuAEwAZQBhAGMAaABlAGQARgByAG8AbQBJAG4AbwByAGcAYQBuAGkAYwBGAGUAcgB0AGkAbABpAHMAZQByAF8ATABhAHQAZQB4AEUAcQB1AGEAdABpAG8AbgBcAG4AIAAgAD0ATABBAE0AQgBEAEEAKABcACIATQBfAHsAbABlAGEAYwBoACwAaQBuAG8AcgBnAGEAbgBpAGMALABqAH0APQBcAFwAcwB1AG0AXABcAG4AbwBsAGkAbQBpAHQAcwBfAHsAZgB9AFwAXABsAGUAZgB0ACgAewBNAE4AfQBfAHsAagBmAH0AXABcAHQAaQBtAGUAcwAgAEYAcgBhAGMAXwB7AFcARQBUACwAagB9AFwAXAB0AGkAbQBlAHMAIABGAHIAYQBjAF8AewBMAEUAQQBDAEgAfQBcAFwAcgBpAGcAaAB0ACkAXAAiACkAOwBcAG4AXABuAFYARQBFAFIARwBfADUAXwA1AF8AMQBfADEAXwBfADIAXwBNAGEAcwBzAE8AZgBOAGkAdAByAG8AZwBlAG4ATABlAGEAYwBoAGUAZABGAHIAbwBtAEkAbgBv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BcACIALAAgAFwAIgBrAGcAIABOAFwAIgAsACAAXAAiAEMAYQBsAGMAdQBsAGEAdABlAGQAIABmAHIAbwBtACAANQAuADEALgAxAC4AMQAgACgAMgApAFwAIgA7AFwAbgAgACAAIAAgACAAIAAgACAAIAAgAFwAIgBGAHIAYQBjAFcARQBUAGoAXAAiACw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BcACIAZgByAGEAYwB0AGkAbwBuACAAbwBmACAATgAgAHQAaABhAHQAIABpAHMAIABsAG8AcwB0ACAAdABoAHIAbwB1AGcAaAAgAGwAZQBhAGMAaABpAG4AZwAgAGEAbgBkACAAcgB1AG4AbwBmAGYAXAAiACwAIABcACIAZgByAGEAYwB0AGkAbwBuAFwAIgAsACAAXAAiAEMAbwBuAHMAdABhAG4AdABcACIAOwBcAG4AIAAgACAAIAAgACAAIAAgACAAIAAgACAAXAAiAHoAXAAiACwAXAAiAGwAbwBjAGEAdABpAG8AbgAgAGkAbgAgAGwAZQBhAGMAaABpAG4AZwAgAHoAbwBuAGUAXAAiACwAIABcACIAXAAiACwAIABcACIASQBuAHAAdQB0AFwAIgA7AFwAbgAgACAAIAAgACAAIAAgACAAIAAgACAAIABcACIAagBcACIALABcACIAcAByAG8AZAB1AGMAdABpAG8AbgAgAHMAeQBzAHQAZQBtAFwAIgAsACAAXAAiAFwAIgAsACAAXAAiAEkAbgBwAHUAdABcACIAOwBcAG4AIAAgACAAIAAgACAAIAAgACAAIAAgACAAXAAiAGkAcgBcACIALABcACIAaQByAHIAaQBnAGEAdABpAG8AbgAgAG0AZQB0AGgAbwBk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MAXwBNAGEAcwBzAE8AZgBOAGkAdAByAG8AZwBlAG4ATABlAGEAYwBoAGUAZABGAHIAbwBtAE8AcgBnAGEAbgBpAGMARgBlAHIAdABpAGwAaQBzAGUAcgBcAG4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BuAE0AXwBsAGUAYQBjAGgAbwByAGcAYQBuAGkAYwBqAFwAbgBrAGcAIABOAFwAbgBNAF8AewBsAGUAYQBjAGgALABvAHIAZwBhAG4AaQBjACwAagB9AD0AXABcAHMAdQBtAF8AewBmAH0AKAB7AE0ATgBTAG8AaQBsAH0AXwB7AGoAZgB9AFwAXAB0AGkAbQBlAHMAIABGAHIAYQBjAF8AewBXAEUAVAAsAGoAfQBcAFwAdABpAG0AZQBzACAARgByAGEAYwBfAHsATABFAEEAQwBIAH0AKQBcAG4ATQBOAFMAbwBpAGwAXwBqAGYAXABuAEYAcgBhAGMAVwBFAFQAagBcAG4ARgByAGEAYwBMAEUAQQBDAEgAXABuAGoAXABuAGYAXABuAC0ALQAtAC0ALQAtAC0ALQAtAC0ALQAtAC0ALQAtAC0ALQAtAC0ALQAtAC0ALQAtAC0ALQAtAC0ALQAtAC0ALQAtAC0ALQAtAC0ALQBcAG4AKgAvAFwAbgBcAG4AVgBFAEUAUgBHAF8ANQBfADUAXwAxAF8AMQBfAF8AMwBfAE0AYQBzAHMATwBmAE4AaQB0AHIAbwBnAGUAbgBMAGUAYQBjAGgAZQBkAEYAcgBvAG0ATwByAGcAYQBuAGkAYwBGAGUAcgB0AGkAbABpAHMAZQByAFwAbgAgACAAPQBMAEEATQBCAEQAQQAoAFwAbgAgACAAIAAgAE0ATgBTAG8AaQBsAF8AagBmACwAIABGAHIAYQBjAFcARQBUAGoALAAgAEYAcgBhAGMATABFAEEAQwBIACwAXABuACAAIAAgACAATQBOAFMAbwBpAGwAXwBqAGYAIAAqACAARgByAGEAYwBXAEUAVABqACAAKgAgAEYAcgBhAGMATABFAEEAQwBIAFwAbgAgACAAKQA7AFwAbgBcAG4AVgBFAEUAUgBHAF8ANQBfADUAXwAxAF8AMQBfAF8AMwBfAE0AYQBzAHMATwBmAE4AaQB0AHIAbwBnAGUAbgBMAGUAYQBjAGgAZQBkAEYAcgBvAG0ATwByAGcAYQBuAGkAYwBGAGUAcgB0AGkAbABpAHMAZQByAF8AVABpAHQAbABlAFwAbgAgACAAPQBMAEEATQBCAEQAQQAoAFwAI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CIAKQA7AFwAbgBcAG4AVgBFAEUAUgBHAF8ANQBfADUAXwAxAF8AMQBfAF8AMwBfAE0AYQBzAHMATwBmAE4AaQB0AHIAbwBnAGUAbgBMAGUAYQBjAGgAZQBkAEYAcgBvAG0ATwByAGcAYQBuAGkAYwBGAGUAcgB0AGkAbABpAHMAZQByAF8AVgBhAHIAaQBhAGIAbABlAFwAbgAgACAAPQBMAEEATQBCAEQAQQAoAFwAIgBNAF8AbABlAGEAYwBoAG8AcgBnAGEAbgBpAGMAagBcACIAKQA7AFwAbgBcAG4AVgBFAEUAUgBHAF8ANQBfADUAXwAxAF8AMQBfAF8AMwBfAE0AYQBzAHMATwBmAE4AaQB0AHIAbwBnAGUAbgBMAGUAYQBjAGgAZQBkAEYAcgBvAG0ATwByAGcAYQBuAGkAYwBGAGUAcgB0AGkAbABpAHMAZQByAF8AVQBuAGkAdABcAG4AIAAgAD0ATABBAE0AQgBEAEEAKABcACIAawBnACAATgBcACIAKQA7AFwAbgBcAG4AVgBFAEUAUgBHAF8ANQBfADUAXwAxAF8AMQBfAF8AMwBfAE0AYQBzAHMATwBmAE4AaQB0AHIAbwBnAGUAbgBMAGUAYQBjAGgAZQBkAEYAcgBvAG0ATwByAGcAYQBuAGkAYwBGAGUAcgB0AGkAbABpAHMAZQByAF8AUwBvAHUAcgBjAGUAXABuACAAIAA9AEwAQQBNAEIARABBACgAXAAiAFYARQBFAFIARwAgADIAMAAyADYAOgAgADUALgA1ACwAIABFAHEAdQBhAHQAaQBvAG4AIAAoADMAKQBcACIAKQA7AFwAbgBcAG4AVgBFAEUAUgBHAF8ANQBfADUAXwAxAF8AMQBfAF8AMwBfAE0AYQBzAHMATwBmAE4AaQB0AHIAbwBnAGUAbgBMAGUAYQBjAGgAZQBkAEYAcgBvAG0ATwByAGcAYQBuAGkAYwBGAGUAcgB0AGkAbABpAHMAZQByAF8ATgBJAFIAUgBlAGYAZQByAGUAbgBjAGUAXABuACAAIAA9AEwAQQBNAEIARABBACgAXAAiAFwAIgApADsAXABuAFwAbgBWAEUARQBSAEcAXwA1AF8ANQBfADEAXwAxAF8AXwAzAF8ATQBhAHMAcwBPAGYATgBpAHQAcgBvAGcAZQBuAEwAZQBhAGMAaABlAGQARgByAG8AbQBPAHIAZwBhAG4AaQBjAEYAZQByAHQAaQBsAGkAcwBlAHIAXwBMAGEAdABlAHgARQBxAHUAYQB0AGkAbwBuAFwAbgAgACAAPQBMAEEATQBCAEQAQQAoAFwAIgBNAF8AewBsAGUAYQBjAGgALABvAHIAZwBhAG4AaQBjACwAagB9AD0AXABcAHMAdQBtAFwAXABuAG8AbABpAG0AaQB0AHMAXwB7AGYAfQBcAFwAbABlAGYAdAAoAHsATQBOAFMAbwBpAGwAfQBfAHsAagBmAH0AXABcAHQAaQBtAGUAcwAgAEYAcgBhAGMAXwB7AFcARQBUACwAagB9AFwAXAB0AGkAbQBlAHMAIABGAHIAYQBjAF8AewBMAEUAQQBDAEgAfQBcAFwAcgBpAGcAaAB0ACkAXAAiACkAOwBcAG4AXABuAFYARQBFAFIARwBfADUAXwA1AF8AMQBfADEAXwBfADMAXwBNAGEAcwBzAE8AZgBOAGkAdAByAG8AZwBlAG4ATABlAGEAYwBoAGUAZABGAHIAbwBtAE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BcACIALAAgAFwAIgBrAGcAIABOAFwAIgAsACAAXAAiAEMAYQBsAGMAdQBsAGEAdABlAGQAIABmAHIAbwBtACAANQAuADIALgAxAC4AMQAgACgAMgApAFwAIgA7AFwAbgAgACAAIAAgACAAIAAgACAAIAAgAFwAIgBGAHIAYQBjAFcARQBUAGoAXAAiACw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BcACIAbABvAGMAYQB0AGkAbwBuACAAaQBuACAAbABlAGEAYwBoAGkAbgBnACAAegBvAG4AZQBcACIALAAgAFwAIgBcACIALAAgAFwAIgBJAG4AcAB1AHQAXAAiADsAXABuACAAIAAgACAAIAAgACAAIAAgACAAXAAiAGoAXAAiACwAXAAiAHAAcgBvAGQAdQBjAHQAaQBvAG4AIABzAHkAcwB0AGUAbQBcACIALAAgAFwAIgBcACIALAAgAFwAIgBJAG4AcAB1AHQAXAAiADsAXABuACAAIAAgACAAIAAgACAAIAAgACAAXAAiAGkAcgBcACIAL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RgBlAHIAdABpAGwAaQBzAGUAcgBfAFMAbwB1AHIAYwBlAEQAYQB0AGEALgBGAGUAcgB0AGkAbABpAHMAZQByAF8AQwBoAGUAbQBpAGMAYQBsAEMAbwBtAHAAbwB1AG4AZABFAGwAZQBtAGUAbgB0AHMAXwBUAGkAdABsAGUAIgAsACIARgBlAHIAdABpAGwAaQBzAGUAcgBfAFMAbwB1AHIAYwBlAEQAYQB0AGEALgBGAGUAcgB0AGkAbABpAHMAZQByAF8AQwBoAGUAbQBpAGMAYQBsAEMAbwBtAHAAbwB1AG4AZABFAGwAZQBtAGUAbgB0AHMAXwBTAG8AdQByAGMAZQAiACwAIgBGAGUAcgB0AGkAbABpAHMAZQByAF8AUwBvAHUAcgBjAGUARABhAHQAYQAuAEYAZQByAHQAaQBsAGkAcwBlAHIAXwBDAGgAZQBtAGkAYwBhAGwAQwBvAG0AcABvAHUAbgBkAEUAbABlAG0AZQBuAHQAcwBfAEQAYQB0AGEAIgAsACIARgBlAHIAdABpAGwAaQBzAGUAcgBfAFMAbwB1AHIAYwBlAEQAYQB0AGEALgBGAGUAcgB0AGkAbABpAHMAZQByAF8AQwBoAGUAbQBpAGMAYQBsAEMAbwBtAHAAbwB1AG4AZABFAGwAZQBtAGUAbgB0AHMAXwBWAGEAcgBpAGEAdABpAG8AbgAiACwAIgBGAGUAcgB0AGkAbABpAHMAZQByAF8AUwBvAHUAcgBjAGUARABhAHQAYQAuAEYAZQByAHQAaQBsAGkAcwBlAHIAXwBGAHIAYQBjAEcAQQBTAEYAXwBUAGkAdABsAGUAIgAsACIARgBlAHIAdABpAGwAaQBzAGUAcgBfAFMAbwB1AHIAYwBlAEQAYQB0AGEALgBGAGUAcgB0AGkAbABpAHMAZQByAF8ARgByAGEAYwBHAEEAUwBGAF8AUwBvAHUAcgBjAGUAIgAsACIARgBlAHIAdABpAGwAaQBzAGUAcgBfAFMAbwB1AHIAYwBlAEQAYQB0AGEALgBGAGUAcgB0AGkAbABpAHMAZQByAF8ARgByAGEAYwBHAEEAUwBGAF8ARABhAHQAYQAiACwAIgBGAGUAcgB0AGkAbABpAHMAZQByAF8AUwBvAHUAcgBjAGUARABhAHQAYQAuAEYAZQByAHQAaQBsAGkAcwBlAHIAXwBGAHIAYQBjAEcAQQBTAEYAXwBWAGEAcgBpAGEAdABpAG8AbgAiACwAIgBGAGUAcgB0AGkAbABpAHMAZQByAF8AUwBvAHUAcgBjAGUARABhAHQAYQAuAEYAZQByAHQAaQBsAGkAcwBlAHIAXwBFAEYAVQByAGUAYQBDAE8AMgBfAFQAaQB0AGwAZQAiACwAIgBGAGUAcgB0AGkAbABpAHMAZQByAF8AUwBvAHUAcgBjAGUARABhAHQAYQAuAEYAZQByAHQAaQBsAGkAcwBlAHIAXwBFAEYAVQByAGUAYQBDAE8AMgBfAFMAbwB1AHIAYwBlACIALAAiAEYAZQByAHQAaQBsAGkAcwBlAHIAXwBTAG8AdQByAGMAZQBEAGEAdABhAC4ARgBlAHIAdABpAGwAaQBzAGUAcgBfAEUARgBVAHIAZQBhAEMATwAyAF8AVgBhAHIAaQBhAGIAbABlACIALAAiAEYAZQByAHQAaQBsAGkAcwBlAHIAXwBTAG8AdQByAGMAZQBEAGEAdABhAC4ARgBlAHIAdABpAGwAaQBzAGUAcgBfAEUARgBVAHIAZQBhAEMATwAyAF8AVQBuAGkAdAAiACwAIgBGAGUAcgB0AGkAbABpAHMAZQByAF8AUwBvAHUAcgBjAGUARABhAHQAYQAuAEYAZQByAHQAaQBsAGkAcwBlAHIAXwBFAEYAVQByAGUAYQBDAE8AMgBfAEQAYQB0AGEAIgAsACIARgBlAHIAdABpAGwAaQBzAGUAcgBfAFMAbwB1AHIAYwBlAEQAYQB0AGEALgBGAGUAcgB0AGkAbABpAHMAZQByAF8ARQBGAFUAcgBlAGEAQwBPADIAXwBWAGEAcgBpAGEAdABpAG8AbgAiACwAIgBGAGUAcgB0AGkAbABpAHMAZQByAF8AUwBvAHUAcgBjAGUARABhAHQAYQAuAEYAZQByAHQAaQBsAGkAcwBlAHIAXwBGAHIAYQBjAEcAQQBTAE0AUwBvAGkAbABfAFQAaQB0AGwAZQAiACwAIgBGAGUAcgB0AGkAbABpAHMAZQByAF8AUwBvAHUAcgBjAGUARABhAHQAYQAuAEYAZQByAHQAaQBsAGkAcwBlAHIAXwBGAHIAYQBjAEcAQQBTAE0AUwBvAGkAbABfAFMAbwB1AHIAYwBlACIALAAiAEYAZQByAHQAaQBsAGkAcwBlAHIAXwBTAG8AdQByAGMAZQBEAGEAdABhAC4ARgBlAHIAdABpAGwAaQBzAGUAcgBfAEYAcgBhAGMARwBBAFMATQBTAG8AaQBsAF8AVgBhAHIAaQBhAGIAbABlACIALAAiAEYAZQByAHQAaQBsAGkAcwBlAHIAXwBTAG8AdQByAGMAZQBEAGEAdABhAC4ARgBlAHIAdABpAGwAaQBzAGUAcgBfAEYAcgBhAGMARwBBAFMATQBTAG8AaQBsAF8AVQBuAGkAdAAiACwAIgBGAGUAcgB0AGkAbABpAHMAZQByAF8AUwBvAHUAcgBjAGUARABhAHQAYQAuAEYAZQByAHQAaQBsAGkAcwBlAHIAXwBGAHIAYQBjAEcAQQBTAE0AUwBvAGkAbABfAEQAYQB0AGEAIgAsACIARgBlAHIAdABpAGwAaQBzAGUAcgBfAFMAbwB1AHIAYwBlAEQAYQB0AGEALgBGAGUAcgB0AGkAbABpAHMAZQByAF8ARgByAGEAYwBHAEEAUwBNAFMAbwBpAGwAXwBWAGEAcgBpAGEAdABpAG8AbgAiACwAIgBGAGUAcgB0AGkAbABpAHMAZQByAF8AUwBvAHUAcgBjAGUARABhAHQAYQAuAEYAZQByAHQAaQBsAGkAcwBlAHIAXwBGAHIAYQBjAEwARQBBAEMASABfAFQAaQB0AGwAZQAiACwAIgBGAGUAcgB0AGkAbABpAHMAZQByAF8AUwBvAHUAcgBjAGUARABhAHQAYQAuAEYAZQByAHQAaQBsAGkAcwBlAHIAXwBGAHIAYQBjAEwARQBBAEMASABfAFMAbwB1AHIAYwBlACIALAAiAEYAZQByAHQAaQBsAGkAcwBlAHIAXwBTAG8AdQByAGMAZQBEAGEAdABhAC4ARgBlAHIAdABpAGwAaQBzAGUAcgBfAEYAcgBhAGMATABFAEEAQwBIAF8AVgBhAHIAaQBhAGIAbABlACIALAAiAEYAZQByAHQAaQBsAGkAcwBlAHIAXwBTAG8AdQByAGMAZQBEAGEAdABhAC4ARgBlAHIAdABpAGwAaQBzAGUAcgBfAEYAcgBhAGMATABFAEEAQwBIAF8AVQBuAGkAdAAiACwAIgBGAGUAcgB0AGkAbABpAHMAZQByAF8AUwBvAHUAcgBjAGUARABhAHQAYQAuAEYAZQByAHQAaQBsAGkAcwBlAHIAXwBGAHIAYQBjAEwARQBBAEMASABfAEQAYQB0AGEAIgAsACIARgBlAHIAdABpAGwAaQBzAGUAcgBfAFMAbwB1AHIAYwBlAEQAYQB0AGEALgBGAGUAcgB0AGkAbABpAHMAZQByAF8ARgByAGEAYwBMAEUAQQBDAEgAXwBWAGEAcgBpAGEAdABpAG8AbgAiACwAIgBGAGUAcgB0AGkAbABpAHMAZQByAF8AUwBvAHUAcgBjAGUARABhAHQAYQAuAEYAZQByAHQAaQBsAGkAcwBlAHIAXwBFAEYATABlAGEAYwBoAF8AVABpAHQAbABlACIALAAiAEYAZQByAHQAaQBsAGkAcwBlAHIAXwBTAG8AdQByAGMAZQBEAGEAdABhAC4ARgBlAHIAdABpAGwAaQBzAGUAcgBfAEUARgBMAGUAYQBjAGgAXwBTAG8AdQByAGMAZQAiACwAIgBGAGUAcgB0AGkAbABpAHMAZQByAF8AUwBvAHUAcgBjAGUARABhAHQAYQAuAEYAZQByAHQAaQBsAGkAcwBlAHIAXwBFAEYATABlAGEAYwBoAF8AVgBhAHIAaQBhAGIAbABlACIALAAiAEYAZQByAHQAaQBsAGkAcwBlAHIAXwBTAG8AdQByAGMAZQBEAGEAdABhAC4ARgBlAHIAdABpAGwAaQBzAGUAcgBfAEUARgBMAGUAYQBjAGgAXwBVAG4AaQB0ACIALAAiAEYAZQByAHQAaQBsAGkAcwBlAHIAXwBTAG8AdQByAGMAZQBEAGEAdABhAC4ARgBlAHIAdABpAGwAaQBzAGUAcgBfAEUARgBMAGUAYQBjAGgAXwBEAGEAdABhACIALAAiAEYAZQByAHQAaQBsAGkAcwBlAHIAXwBTAG8AdQByAGMAZQBEAGEAdABhAC4ARgBlAHIAdABpAGwAaQBzAGUAcgBfAEUARgBMAGUAYQBjAGgAXwBWAGEAcgBpAGEAdABpAG8AbgAiACwAIgBGAGUAcgB0AGkAbABpAHMAZQByAF8AUwBvAHUAcgBjAGUARABhAHQAYQAuAEYAZQByAHQAaQBsAGkAcwBlAHIAXwBMAGkAbQBlAEQAbwBsAG8AbQBpAHQAZQBHAHkAcABzAHUAbQBDAG8AbgBzAHQAYQBuAHQAcwBfAFQAaQB0AGwAZQAiACwAIgBGAGUAcgB0AGkAbABpAHMAZQByAF8AUwBvAHUAcgBjAGUARABhAHQAYQAuAEYAZQByAHQAaQBsAGkAcwBlAHIAXwBMAGkAbQBlAEQAbwBsAG8AbQBpAHQAZQBHAHkAcABzAHUAbQBDAG8AbgBzAHQAYQBuAHQAcwBfAEQAZQBzAGMAcgBpAHAAdABpAG8AbgAiACwAIgBGAGUAcgB0AGkAbABpAHMAZQByAF8AUwBvAHUAcgBjAGUARABhAHQAYQAuAEYAZQByAHQAaQBsAGkAcwBlAHIAXwBMAGkAbQBlAEQAbwBsAG8AbQBpAHQAZQBHAHkAcABzAHUAbQBDAG8AbgBzAHQAYQBuAHQAcwBfAFMAbwB1AHIAYwBlACIALAAiAEYAZQByAHQAaQBsAGkAcwBlAHIAXwBTAG8AdQByAGMAZQBEAGEAdABhAC4ARgBlAHIAdABpAGwAaQBzAGUAcgBfAEwAaQBtAGUARABvAGwAbwBtAGkAdABlAEcAeQBwAHMAdQBtAEMAbwBuAHMAdABhAG4AdABzAF8ARABhAHQAYQAiACwAIgBGAGUAcgB0AGkAbABpAHMAZQByAF8AUwBvAHUAcgBjAGUARABhAHQAYQAuAEYAZQByAHQAaQBsAGkAcwBlAHIAXwBMAGkAbQBlAEQAbwBsAG8AbQBpAHQAZQBHAHkAcABzAHUAbQBDAG8AbgBzAHQAYQBuAHQAcwBfAFYAYQByAGkAYQB0AGkAbwBuACIALAAiAEYAZQByAHQAaQBsAGkAcwBlAHIAXwBTAG8AdQByAGMAZQBEAGEAdABhAC4ARgBlAHIAdABpAGwAaQBzAGUAcgBfAEYAcgBhAGMAdABpAG8AbgBOAEMAbwBtAG0AbwBuAEYAZQByAHQAaQBsAGkAcwBlAHIAcwBfAFQAaQB0AGwAZQAiACwAIgBGAGUAcgB0AGkAbABpAHMAZQByAF8AUwBvAHUAcgBjAGUARABhAHQAYQAuAEYAZQByAHQAaQBsAGkAcwBlAHIAXwBGAHIAYQBjAHQAaQBvAG4ATgBDAG8AbQBtAG8AbgBGAGUAcgB0AGkAbABpAHMAZQByAHMAXwBTAG8AdQByAGMAZQAiACwAIgBGAGUAcgB0AGkAbABpAHMAZQByAF8AUwBvAHUAcgBjAGUARABhAHQAYQAuAEYAZQByAHQAaQBsAGkAcwBlAHIAXwBGAHIAYQBjAHQAaQBvAG4ATgBDAG8AbQBtAG8AbgBGAGUAcgB0AGkAbABpAHMAZQByAHMAXwBEAGEAdABhACIALAAiAEYAZQByAHQAaQBsAGkAcwBlAHIAXwBTAG8AdQByAGMAZQBEAGEAdABhAC4ARgBlAHIAdABpAGwAaQBzAGUAcgBfAEYAcgBhAGMAdABpAG8AbgBOAEMAbwBtAG0AbwBuAEYAZQByAHQAaQBsAGkAcwBlAHIAcwBfAFYAYQByAGkAYQB0AGkAbwBuACIALAAiAEYAZQByAHQAaQBsAGkAcwBlAHIAXwBTAG8AdQByAGMAZQBEAGEAdABhAC4ARgBlAHIAdABpAGwAaQBzAGUAcgBfAEYAcgBhAGMAdABpAG8AbgBVAHIAZQBhAEMAbwBtAG0AbwBuAEYAZQByAHQAaQBsAGkAcwBlAHIAcwBfAFQAaQB0AGwAZQAiACwAIgBGAGUAcgB0AGkAbABpAHMAZQByAF8AUwBvAHUAcgBjAGUARABhAHQAYQAuAEYAZQByAHQAaQBsAGkAcwBlAHIAXwBGAHIAYQBjAHQAaQBvAG4AVQByAGUAYQBDAG8AbQBtAG8AbgBGAGUAcgB0AGkAbABpAHMAZQByAHMAXwBTAG8AdQByAGMAZQAiACwAIgBGAGUAcgB0AGkAbABpAHMAZQByAF8AUwBvAHUAcgBjAGUARABhAHQAYQAuAEYAZQByAHQAaQBsAGkAcwBlAHIAXwBGAHIAYQBjAHQAaQBvAG4AVQByAGUAYQBDAG8AbQBtAG8AbgBGAGUAcgB0AGkAbABpAHMAZQByAHMAXwBEAGEAdABhACIALAAiAEYAZQByAHQAaQBsAGkAcwBlAHIAXwBTAG8AdQByAGMAZQBEAGEAdABhAC4ARgBlAHIAdABpAGwAaQBzAGUAcgBfAEYAcgBhAGMAdABpAG8AbgBVAHIAZQBhAEMAbwBtAG0AbwBuAEYAZQByAHQAaQBsAGkAcwBlAHIAcwBfAFYAYQByAGkAYQB0AGkAbwBuACIALAAiAEYAZQByAHQAaQBsAGkAcwBlAHIAXwBTAG8AdQByAGMAZQBEAGEAdABhAC4ARgBlAHIAdABpAGwAaQBzAGUAcgBfAFAAcgBvAGQAdQBjAHQAcwBfAFQAaQB0AGwAZQAiACwAIgBGAGUAcgB0AGkAbABpAHMAZQByAF8AUwBvAHUAcgBjAGUARABhAHQAYQAuAEYAZQByAHQAaQBsAGkAcwBlAHIAXwBQAHIAbwBkAHUAYwB0AHMAXwBTAG8AdQByAGMAZQAiACwAIgBGAGUAcgB0AGkAbABpAHMAZQByAF8AUwBvAHUAcgBjAGUARABhAHQAYQAuAEYAZQByAHQAaQBsAGkAcwBlAHIAXwBQAHIAbwBkAHUAYwB0AHMAXwBEAGEAdABhADEAIgAsACIARgBlAHIAdABpAGwAaQBzAGUAcgBfAEkAbgBwAHUAdABGAHUAbgBjAHQAaQBvAG4AcwAuAEYAZQByAHQAaQBsAGkAcwBlAHIAXwBGAGUAcgB0AGkAbABpAHMAZQByAFAAcgBvAGQAdQBjAHQATABvAG8AawB1AHAAIgAsACIARgBlAHIAdABpAGwAaQBzAGUAcgBfAEkAbgBwAHUAdABGAHUAbgBjAHQAaQBvAG4AcwAuAEYAZQByAHQAaQBsAGkAcwBlAHIAXwBTAHUAbQBQAHIAbwBkAHUAYwB0AEEAcABwAGwAaQBlAGQAIgAsACIARgBlAHIAdABpAGwAaQBzAGUAcgBfAEkAbgBwAHUAdABGAHUAbgBjAHQAaQBvAG4AcwAuAEYAZQByAHQAaQBsAGkAcwBlAHIAXwBUAG8AdABhAGwAUwBvAGkAbABBAG0AZQBuAGQAbQBlAG4AdABBAHAAcABsAGkAZQBkACIALAAiAEYAZQByAHQAaQBsAGkAcwBlAHIAXwBJAG4AcAB1AHQARgB1AG4AYwB0AGkAbwBuAHMALgBGAGUAcgB0AGkAbABpAHMAZQByAF8AVABvAHQAYQBsAEMAaABlAG0AaQBjAGEAbABDAG8AbQBwAG8AdQBuAGQAQQBwAHAAbABpAGUAZABBAGwAbABJAG4AZwByAGUAZABpAGUAbgB0AHMAIgAsACIARgBlAHIAdABpAGwAaQBzAGUAcgBfAEkAbgBwAHUAdABGAHUAbgBjAHQAaQBvAG4AcwAuAEYAZQByAHQAaQBsAGkAcwBlAHIAXwBUAG8AdABhAGwAQwBoAGUAbQBpAGMAYQBsAEMAbwBtAHAAbwB1AG4AZAB0AEEAcABwAGwAaQBlAGQAQgB5AFMAbwB1AHIAYwBlAEEAbABsAEkAbgBnAHIAZQBkAGkAZQBuAHQAcwAiACwAIgBGAGUAcgB0AGkAbABpAHMAZQByAF8ASQBuAHAAdQB0AEYAdQBuAGMAdABpAG8AbgBzAC4ARgBlAHIAdABpAGwAaQBzAGUAcgBfAEcAZQB0AFMAYwBvAHAAZQAzAEUARgAiACwAIgBGAGUAcgB0AGkAbABpAHMAZQByAF8ASQBuAHAAdQB0AEYAdQBuAGMAdABpAG8AbgBzAC4ARgBlAHIAdABpAGwAaQBzAGUAcgBfAEcAZQB0AEMAaABlAG0AaQBjAGEAbABDAG8AbQBwAG8AdQBuAGQARQBsAGUAbQBlAG4AdABGAHIAYQBjAHQAaQBvAG4AIgAsACIARgBlAHIAdABpAGwAaQBzAGUAcgBfAEUAcQB1AGEAdABpAG8AbgBzAF8ASQBuAG8AcgBnAGEAbgBpAGMATgAyAE8ALgBWAEUARQBSAEcAXwA1AF8AMQBfADEAXwAxAF8AXwAxAF8ASQBuAG8AcgBnAGEAbgBpAGMARgBlAHIAdABpAGwAaQBzAGUAcgBBAHAAcABsAGkAYwBhAHQAaQBvAG4ATgAyAE8ARQBtAGkAcwBzAGkAbwBuAHMAIgAsACIARgBlAHIAdABpAGwAaQBzAGUAcgBfAEUAcQB1AGEAdABpAG8AbgBzAF8ASQBuAG8AcgBnAGEAbgBpAGMATgAyAE8ALgBWAEUARQBSAEcAXwA1AF8AMQBfADEAXwAxAF8AXwAxAF8ASQBuAG8AcgBnAGEAbgBpAGMARgBlAHIAdABpAGwAaQBzAGUAcgBBAHAAcABsAGkAYwBhAHQAaQBvAG4ATgAyAE8ARQBtAGkAcwBzAGkAbwBuAHMAXwBUAGkAdABsAGUAIgAsACIARgBlAHIAdABpAGwAaQBzAGUAcgBfAEUAcQB1AGEAdABpAG8AbgBzAF8ASQBuAG8AcgBnAGEAbgBpAGMATgAyAE8ALgBWAEUARQBSAEcAXwA1AF8AMQBfADEAXwAxAF8AXwAxAF8ASQBuAG8AcgBnAGEAbgBpAGMARgBlAHIAdABpAGwAaQBzAGUAcgBBAHAAcABsAGkAYwBhAHQAaQBvAG4ATgAyAE8ARQBtAGkAcwBzAGkAbwBuAHMAXwBWAGEAcgBpAGEAYgBsAGUAIgAsACIARgBlAHIAdABpAGwAaQBzAGUAcgBfAEUAcQB1AGEAdABpAG8AbgBzAF8ASQBuAG8AcgBnAGEAbgBpAGMATgAyAE8ALgBWAEUARQBSAEcAXwA1AF8AMQBfADEAXwAxAF8AXwAxAF8ASQBuAG8AcgBnAGEAbgBpAGMARgBlAHIAdABpAGwAaQBzAGUAcgBBAHAAcABsAGkAYwBhAHQAaQBvAG4ATgAyAE8ARQBtAGkAcwBzAGkAbwBuAHMAXwBVAG4AaQB0ACIALAAiAEYAZQByAHQAaQBsAGkAcwBlAHIAXwBFAHEAdQBhAHQAaQBvAG4AcwBfAEkAbgBvAHIAZwBhAG4AaQBjAE4AMgBPAC4AVgBFAEUAUgBHAF8ANQBfADEAXwAxAF8AMQBfAF8AMQBfAEkAbgBvAHIAZwBhAG4AaQBjAEYAZQByAHQAaQBsAGkAcwBlAHIAQQBwAHAAbABpAGMAYQB0AGkAbwBuAE4AMgBPAEUAbQBpAHMAcwBpAG8AbgBzAF8AUwBvAHUAcgBjAGUAIgAsACIARgBlAHIAdABpAGwAaQBzAGUAcgBfAEUAcQB1AGEAdABpAG8AbgBzAF8ASQBuAG8AcgBnAGEAbgBpAGMATgAyAE8ALgBWAEUARQBSAEcAXwA1AF8AMQBfADEAXwAxAF8AXwAxAF8ASQBuAG8AcgBnAGEAbgBpAGMARgBlAHIAdABpAGwAaQBzAGUAcgBBAHAAcABsAGkAYwBhAHQAaQBvAG4ATgAyAE8ARQBtAGkAcwBzAGkAbwBuAHMAXwBOAEkAUgBSAGUAZgBlAHIAZQBuAGMAZQAiACwAIgBGAGUAcgB0AGkAbABpAHMAZQByAF8ARQBxAHUAYQB0AGkAbwBuAHMAXwBJAG4AbwByAGcAYQBuAGkAYwBOADIATwAuAFYARQBFAFIARwBfADUAXwAxAF8AMQBfADEAXwBfADEAXwBJAG4AbwByAGcAYQBuAGkAYwBGAGUAcgB0AGkAbABpAHMAZQByAEEAcABwAGwAaQBjAGEAdABpAG8AbgBOADIATwBFAG0AaQBzAHMAaQBvAG4AcwBfAEwAYQB0AGUAeABFAHEAdQBhAHQAaQBvAG4AIgAsACIARgBlAHIAdABpAGwAaQBzAGUAcgBfAEUAcQB1AGEAdABpAG8AbgBzAF8ASQBuAG8AcgBnAGEAbgBpAGMATgAyAE8ALgBWAEUARQBSAEcAXwA1AF8AMQBfADEAXwAxAF8AXwAxAF8ASQBuAG8AcgBnAGEAbgBpAGMARgBlAHIAdABpAGwAaQBzAGUAcgBBAHAAcABsAGkAYwBhAHQAaQBvAG4ATgAyAE8ARQBtAGkAcwBzAGkAbwBuAHMAXwBBAHIAZwB1AG0AZQBuAHQAcw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F8ATQBlAHQAaABvAGQAMgAiACwAIgBGAGUAcgB0AGkAbABpAHMAZQByAF8ARQBxAHUAYQB0AGkAbwBuAHMAXwBJAG4AbwByAGcAYQBuAGkAYwBOADIATwAuAFYARQBFAFIARwBfADUAXwAxAF8AMQBfADEAXwBfADIAXwBNAGEAcwBzAE8AZgBOAGkAdAByAG8AZwBlAG4ASQBuAEkAbgBvAHIAZwBhAG4AaQBjAEYAZQByAHQAaQBsAGkAcwBlAHIAIgAsACIARgBlAHIAdABpAGwAaQBzAGUAcgBfAEUAcQB1AGEAdABpAG8AbgBzAF8ASQBuAG8AcgBnAGEAbgBpAGMATgAyAE8ALgBWAEUARQBSAEcAXwA1AF8AMQBfADEAXwAxAF8AXwAyAF8ATQBhAHMAcwBPAGYATgBpAHQAcgBvAGcAZQBuAEkAbgBJAG4AbwByAGcAYQBuAGkAYwBGAGUAcgB0AGkAbABpAHMAZQByAF8AVABpAHQAbABlACIALAAiAEYAZQByAHQAaQBsAGkAcwBlAHIAXwBFAHEAdQBhAHQAaQBvAG4AcwBfAEkAbgBvAHIAZwBhAG4AaQBjAE4AMgBPAC4AVgBFAEUAUgBHAF8ANQBfADEAXwAxAF8AMQBfAF8AMgBfAE0AYQBzAHMATwBmAE4AaQB0AHIAbwBnAGUAbgBJAG4ASQBuAG8AcgBnAGEAbgBpAGMARgBlAHIAdABpAGwAaQBzAGUAcgBfAFYAYQByAGkAYQBiAGwAZQAiACwAIgBGAGUAcgB0AGkAbABpAHMAZQByAF8ARQBxAHUAYQB0AGkAbwBuAHMAXwBJAG4AbwByAGcAYQBuAGkAYwBOADIATwAuAFYARQBFAFIARwBfADUAXwAxAF8AMQBfADEAXwBfADIAXwBNAGEAcwBzAE8AZgBOAGkAdAByAG8AZwBlAG4ASQBuAEkAbgBvAHIAZwBhAG4AaQBjAEYAZQByAHQAaQBsAGkAcwBlAHIAXwBVAG4AaQB0ACIALAAiAEYAZQByAHQAaQBsAGkAcwBlAHIAXwBFAHEAdQBhAHQAaQBvAG4AcwBfAEkAbgBvAHIAZwBhAG4AaQBjAE4AMgBPAC4AVgBFAEUAUgBHAF8ANQBfADEAXwAxAF8AMQBfAF8AMgBfAE0AYQBzAHMATwBmAE4AaQB0AHIAbwBnAGUAbgBJAG4ASQBuAG8AcgBnAGEAbgBpAGMARgBlAHIAdABpAGwAaQBzAGUAcgBfAFMAbwB1AHIAYwBlACIALAAiAEYAZQByAHQAaQBsAGkAcwBlAHIAXwBFAHEAdQBhAHQAaQBvAG4AcwBfAEkAbgBvAHIAZwBhAG4AaQBjAE4AMgBPAC4AVgBFAEUAUgBHAF8ANQBfADEAXwAxAF8AMQBfAF8AMgBfAE0AYQBzAHMATwBmAE4AaQB0AHIAbwBnAGUAbgBJAG4ASQBuAG8AcgBnAGEAbgBpAGMARgBlAHIAdABpAGwAaQBzAGUAcgBfAE4ASQBSAFIAZQBmAGUAcgBlAG4AYwBlACIALAAiAEYAZQByAHQAaQBsAGkAcwBlAHIAXwBFAHEAdQBhAHQAaQBvAG4AcwBfAEkAbgBvAHIAZwBhAG4AaQBjAE4AMgBPAC4AVgBFAEUAUgBHAF8ANQBfADEAXwAxAF8AMQBfAF8AMgBfAE0AYQBzAHMATwBmAE4AaQB0AHIAbwBnAGUAbgBJAG4ASQBuAG8AcgBnAGEAbgBpAGMARgBlAHIAdABpAGwAaQBzAGUAcgBfAEwAYQB0AGUAeABFAHEAdQBhAHQAaQBvAG4AIgAsACIARgBlAHIAdABpAGwAaQBzAGUAcgBfAEUAcQB1AGEAdABpAG8AbgBzAF8ASQBuAG8AcgBnAGEAbgBpAGMATgAyAE8ALgBWAEUARQBSAEcAXwA1AF8AMQBfADEAXwAxAF8AXwAyAF8ATQBhAHMAcwBPAGYATgBpAHQAcgBvAGcAZQBuAEkAbgBJAG4AbwByAGcAYQBuAGkAYwBGAGUAcgB0AGkAbABpAHMAZQByAF8AQQByAGcAdQBtAGUAbgB0AHMAIgAsACIARgBlAHIAdABpAGwAaQBzAGUAcgBfAEUAcQB1AGEAdABpAG8AbgBzAF8ASQBuAG8AcgBnAGEAbgBpAGMATgAyAE8ALgBWAEUARQBSAEcAXwA1AF8AMQBfADEAXwAyAF8AXwAxAF8ARQBtAGkAcwBzAGkAbwBuAEYAYQBjAHQAbwByAEkAcgByAGkAZwBhAHQAZQBkAE0AYQBpAHoAZQAiACwAIgBGAGUAcgB0AGkAbABpAHMAZQByAF8ARQBxAHUAYQB0AGkAbwBuAHMAXwBJAG4AbwByAGcAYQBuAGkAYwBOADIATwAuAFYARQBFAFIARwBfADUAXwAxAF8AMQBfADIAXwBfADEAXwBFAG0AaQBzAHMAaQBvAG4ARgBhAGMAdABvAHIASQByAHIAaQBnAGEAdABlAGQATQBhAGkAegBlAF8AVABpAHQAbABlACIALAAiAEYAZQByAHQAaQBsAGkAcwBlAHIAXwBFAHEAdQBhAHQAaQBvAG4AcwBfAEkAbgBvAHIAZwBhAG4AaQBjAE4AMgBPAC4AVgBFAEUAUgBHAF8ANQBfADEAXwAxAF8AMgBfAF8AMQBfAEUAbQBpAHMAcwBpAG8AbgBGAGEAYwB0AG8AcgBJAHIAcgBpAGcAYQB0AGUAZABNAGEAaQB6AGUAXwBWAGEAcgBpAGEAYgBsAGUAIgAsACIARgBlAHIAdABpAGwAaQBzAGUAcgBfAEUAcQB1AGEAdABpAG8AbgBzAF8ASQBuAG8AcgBnAGEAbgBpAGMATgAyAE8ALgBWAEUARQBSAEcAXwA1AF8AMQBfADEAXwAyAF8AXwAxAF8ARQBtAGkAcwBzAGkAbwBuAEYAYQBjAHQAbwByAEkAcgByAGkAZwBhAHQAZQBkAE0AYQBpAHoAZQBfAFUAbgBpAHQAIgAsACIARgBlAHIAdABpAGwAaQBzAGUAcgBfAEUAcQB1AGEAdABpAG8AbgBzAF8ASQBuAG8AcgBnAGEAbgBpAGMATgAyAE8ALgBWAEUARQBSAEcAXwA1AF8AMQBfADEAXwAyAF8AXwAxAF8ARQBtAGkAcwBzAGkAbwBuAEYAYQBjAHQAbwByAEkAcgByAGkAZwBhAHQAZQBkAE0AYQBpAHoAZQBfAFMAbwB1AHIAYwBlACIALAAiAEYAZQByAHQAaQBsAGkAcwBlAHIAXwBFAHEAdQBhAHQAaQBvAG4AcwBfAEkAbgBvAHIAZwBhAG4AaQBjAE4AMgBPAC4AVgBFAEUAUgBHAF8ANQBfADEAXwAxAF8AMgBfAF8AMQBfAEUAbQBpAHMAcwBpAG8AbgBGAGEAYwB0AG8AcgBJAHIAcgBpAGcAYQB0AGUAZABNAGEAaQB6AGUAXwBOAEkAUgBSAGUAZgBlAHIAZQBuAGMAZQAiACwAIgBGAGUAcgB0AGkAbABpAHMAZQByAF8ARQBxAHUAYQB0AGkAbwBuAHMAXwBJAG4AbwByAGcAYQBuAGkAYwBOADIATwAuAFYARQBFAFIARwBfADUAXwAxAF8AMQBfADIAXwBfADEAXwBFAG0AaQBzAHMAaQBvAG4ARgBhAGMAdABvAHIASQByAHIAaQBnAGEAdABlAGQATQBhAGkAegBlAF8ATABhAHQAZQB4AEUAcQB1AGEAdABpAG8AbgAiACwAIgBGAGUAcgB0AGkAbABpAHMAZQByAF8ARQBxAHUAYQB0AGkAbwBuAHMAXwBJAG4AbwByAGcAYQBuAGkAYwBOADIATwAuAFYARQBFAFIARwBfADUAXwAxAF8AMQBfADIAXwBfADEAXwBFAG0AaQBzAHMAaQBvAG4ARgBhAGMAdABvAHIASQByAHIAaQBnAGEAdABlAGQATQBhAGkAegBlAF8AQQByAGcAdQBtAGUAbgB0AHMAIgAsACIARgBlAHIAdABpAGwAaQBzAGUAcgBfAEUAcQB1AGEAdABpAG8AbgBzAF8ASQBuAG8AcgBnAGEAbgBpAGMATgAyAE8ALgBWAEUARQBSAEcAXwA1AF8AMQBfADEAXwAyAF8AXwAyAF8ARQBtAGkAcwBzAGkAbwBuAEYAYQBjAHQAbwByAE4AbwBuAEkAcgByAGkAZwBhAHQAZQBkAEcAcgBhAGkAbgBzAEgAaQBnAGgAUgBhAGkAbgBmAGEAbABsACIALAAiAEYAZQByAHQAaQBsAGkAcwBlAHIAXwBFAHEAdQBhAHQAaQBvAG4AcwBfAEkAbgBvAHIAZwBhAG4AaQBjAE4AMgBPAC4AVgBFAEUAUgBHAF8ANQBfADEAXwAxAF8AMgBfAF8AMgBfAEUAbQBpAHMAcwBpAG8AbgBGAGEAYwB0AG8AcgBOAG8AbgBJAHIAcgBpAGcAYQB0AGUAZABHAHIAYQBpAG4AcwBIAGkAZwBoAFIAYQBpAG4AZgBhAGwAbABfAFQAaQB0AGwAZQAiACwAIgBGAGUAcgB0AGkAbABpAHMAZQByAF8ARQBxAHUAYQB0AGkAbwBuAHMAXwBJAG4AbwByAGcAYQBuAGkAYwBOADIATwAuAFYARQBFAFIARwBfADUAXwAxAF8AMQBfADIAXwBfADIAXwBFAG0AaQBzAHMAaQBvAG4ARgBhAGMAdABvAHIATgBvAG4ASQByAHIAaQBnAGEAdABlAGQARwByAGEAaQBuAHMASABpAGcAaABSAGEAaQBuAGYAYQBsAGwAXwBWAGEAcgBpAGEAYgBsAGUAIgAsACIARgBlAHIAdABpAGwAaQBzAGUAcgBfAEUAcQB1AGEAdABpAG8AbgBzAF8ASQBuAG8AcgBnAGEAbgBpAGMATgAyAE8ALgBWAEUARQBSAEcAXwA1AF8AMQBfADEAXwAyAF8AXwAyAF8ARQBtAGkAcwBzAGkAbwBuAEYAYQBjAHQAbwByAE4AbwBuAEkAcgByAGkAZwBhAHQAZQBkAEcAcgBhAGkAbgBzAEgAaQBnAGgAUgBhAGkAbgBmAGEAbABsAF8AVQBuAGkAdAAiACwAIgBGAGUAcgB0AGkAbABpAHMAZQByAF8ARQBxAHUAYQB0AGkAbwBuAHMAXwBJAG4AbwByAGcAYQBuAGkAYwBOADIATwAuAFYARQBFAFIARwBfADUAXwAxAF8AMQBfADIAXwBfADIAXwBFAG0AaQBzAHMAaQBvAG4ARgBhAGMAdABvAHIATgBvAG4ASQByAHIAaQBnAGEAdABlAGQARwByAGEAaQBuAHMASABpAGcAaABSAGEAaQBuAGYAYQBsAGwAXwBTAG8AdQByAGMAZQAiACwAIgBGAGUAcgB0AGkAbABpAHMAZQByAF8ARQBxAHUAYQB0AGkAbwBuAHMAXwBJAG4AbwByAGcAYQBuAGkAYwBOADIATwAuAFYARQBFAFIARwBfADUAXwAxAF8AMQBfADIAXwBfADIAXwBFAG0AaQBzAHMAaQBvAG4ARgBhAGMAdABvAHIATgBvAG4ASQByAHIAaQBnAGEAdABlAGQARwByAGEAaQBuAHMASABpAGcAaABSAGEAaQBuAGYAYQBsAGwAXwBOAEkAUgBSAGUAZgBlAHIAZQBuAGMAZQAiACwAIgBGAGUAcgB0AGkAbABpAHMAZQByAF8ARQBxAHUAYQB0AGkAbwBuAHMAXwBJAG4AbwByAGcAYQBuAGkAYwBOADIATwAuAFYARQBFAFIARwBfADUAXwAxAF8AMQBfADIAXwBfADIAXwBFAG0AaQBzAHMAaQBvAG4ARgBhAGMAdABvAHIATgBvAG4ASQByAHIAaQBnAGEAdABlAGQARwByAGEAaQBuAHMASABpAGcAaABSAGEAaQBuAGYAYQBsAGwAXwBMAGEAdABlAHgARQBxAHUAYQB0AGkAbwBuACIALAAiAEYAZQByAHQAaQBsAGkAcwBlAHIAXwBFAHEAdQBhAHQAaQBvAG4AcwBfAEkAbgBvAHIAZwBhAG4AaQBjAE4AMgBPAC4AVgBFAEUAUgBHAF8ANQBfADEAXwAxAF8AMgBfAF8AMgBfAEUAbQBpAHMAcwBpAG8AbgBGAGEAYwB0AG8AcgBOAG8AbgBJAHIAcgBpAGcAYQB0AGUAZABHAHIAYQBpAG4AcwBIAGkAZwBoAFIAYQBpAG4AZgBhAGwAbABfAEEAcgBnAHUAbQBlAG4AdABzACIALAAiAEYAZQByAHQAaQBsAGkAcwBlAHIAXwBFAHEAdQBhAHQAaQBvAG4AcwBfAEkAbgBvAHIAZwBhAG4AaQBjAE4AMgBPAC4AVgBFAEUAUgBHAF8ANQBfADEAXwAxAF8AMgBfAF8AMwBfAEUAbQBpAHMAcwBpAG8AbgBGAGEAYwB0AG8AcgBDAG8AdAB0AG8AbgAiACwAIgBGAGUAcgB0AGkAbABpAHMAZQByAF8ARQBxAHUAYQB0AGkAbwBuAHMAXwBJAG4AbwByAGcAYQBuAGkAYwBOADIATwAuAFYARQBFAFIARwBfADUAXwAxAF8AMQBfADIAXwBfADMAXwBFAG0AaQBzAHMAaQBvAG4ARgBhAGMAdABvAHIAQwBvAHQAdABvAG4AXwBUAGkAdABsAGUAIgAsACIARgBlAHIAdABpAGwAaQBzAGUAcgBfAEUAcQB1AGEAdABpAG8AbgBzAF8ASQBuAG8AcgBnAGEAbgBpAGMATgAyAE8ALgBWAEUARQBSAEcAXwA1AF8AMQBfADEAXwAyAF8AXwAzAF8ARQBtAGkAcwBzAGkAbwBuAEYAYQBjAHQAbwByAEMAbwB0AHQAbwBuAF8AVgBhAHIAaQBhAGIAbABlACIALAAiAEYAZQByAHQAaQBsAGkAcwBlAHIAXwBFAHEAdQBhAHQAaQBvAG4AcwBfAEkAbgBvAHIAZwBhAG4AaQBjAE4AMgBPAC4AVgBFAEUAUgBHAF8ANQBfADEAXwAxAF8AMgBfAF8AMwBfAEUAbQBpAHMAcwBpAG8AbgBGAGEAYwB0AG8AcgBDAG8AdAB0AG8AbgBfAFUAbgBpAHQAIgAsACIARgBlAHIAdABpAGwAaQBzAGUAcgBfAEUAcQB1AGEAdABpAG8AbgBzAF8ASQBuAG8AcgBnAGEAbgBpAGMATgAyAE8ALgBWAEUARQBSAEcAXwA1AF8AMQBfADEAXwAyAF8AXwAzAF8ARQBtAGkAcwBzAGkAbwBuAEYAYQBjAHQAbwByAEMAbwB0AHQAbwBuAF8AUwBvAHUAcgBjAGUAIgAsACIARgBlAHIAdABpAGwAaQBzAGUAcgBfAEUAcQB1AGEAdABpAG8AbgBzAF8ASQBuAG8AcgBnAGEAbgBpAGMATgAyAE8ALgBWAEUARQBSAEcAXwA1AF8AMQBfADEAXwAyAF8AXwAzAF8ARQBtAGkAcwBzAGkAbwBuAEYAYQBjAHQAbwByAEMAbwB0AHQAbwBuAF8ATgBJAFIAUgBlAGYAZQByAGUAbgBjAGUAIgAsACIARgBlAHIAdABpAGwAaQBzAGUAcgBfAEUAcQB1AGEAdABpAG8AbgBzAF8ASQBuAG8AcgBnAGEAbgBpAGMATgAyAE8ALgBWAEUARQBSAEcAXwA1AF8AMQBfADEAXwAyAF8AXwAzAF8ARQBtAGkAcwBzAGkAbwBuAEYAYQBjAHQAbwByAEMAbwB0AHQAbwBuAF8ATABhAHQAZQB4AEUAcQB1AGEAdABpAG8AbgAiACwAIgBGAGUAcgB0AGkAbABpAHMAZQByAF8ARQBxAHUAYQB0AGkAbwBuAHMAXwBJAG4AbwByAGcAYQBuAGkAYwBOADIATwAuAFYARQBFAFIARwBfADUAXwAxAF8AMQBfADIAXwBfADMAXwBFAG0AaQBzAHMAaQBvAG4ARgBhAGMAdABvAHIAQwBvAHQAdABvAG4AXwBBAHIAZwB1AG0AZQBuAHQAcwAiACwAIgBGAGUAcgB0AGkAbABpAHMAZQByAF8ARQBxAHUAYQB0AGkAbwBuAHMAXwBJAG4AbwByAGcAYQBuAGkAYwBDAE8AMgAuAFYARQBFAFIARwBfADUAXwAxAF8AMQBfADMAXwBfADEAXwBJAG4AbwByAGcAYQBuAGkAYwBGAGUAcgB0AGkAbABpAHMAZQByAEEAcABwAGwAaQBjAGEAdABpAG8AbgBDAE8AMgBFAG0AaQBzAHMAaQBvAG4AcwAiACwAIgBGAGUAcgB0AGkAbABpAHMAZQByAF8ARQBxAHUAYQB0AGkAbwBuAHMAXwBJAG4AbwByAGcAYQBuAGkAYwBDAE8AMgAuAFYARQBFAFIARwBfADUAXwAxAF8AMQBfADMAXwBfADEAXwBJAG4AbwByAGcAYQBuAGkAYwBGAGUAcgB0AGkAbABpAHMAZQByAEEAcABwAGwAaQBjAGEAdABpAG8AbgBDAE8AMgBFAG0AaQBzAHMAaQBvAG4AcwBfAFQAaQB0AGwAZQAiACwAIgBGAGUAcgB0AGkAbABpAHMAZQByAF8ARQBxAHUAYQB0AGkAbwBuAHMAXwBJAG4AbwByAGcAYQBuAGkAYwBDAE8AMgAuAFYARQBFAFIARwBfADUAXwAxAF8AMQBfADMAXwBfADEAXwBJAG4AbwByAGcAYQBuAGkAYwBGAGUAcgB0AGkAbABpAHMAZQByAEEAcABwAGwAaQBjAGEAdABpAG8AbgBDAE8AMgBFAG0AaQBzAHMAaQBvAG4AcwBfAFYAYQByAGkAYQBiAGwAZQAiACwAIgBGAGUAcgB0AGkAbABpAHMAZQByAF8ARQBxAHUAYQB0AGkAbwBuAHMAXwBJAG4AbwByAGcAYQBuAGkAYwBDAE8AMgAuAFYARQBFAFIARwBfADUAXwAxAF8AMQBfADMAXwBfADEAXwBJAG4AbwByAGcAYQBuAGkAYwBGAGUAcgB0AGkAbABpAHMAZQByAEEAcABwAGwAaQBjAGEAdABpAG8AbgBDAE8AMgBFAG0AaQBzAHMAaQBvAG4AcwBfAFUAbgBpAHQAIgAsACIARgBlAHIAdABpAGwAaQBzAGUAcgBfAEUAcQB1AGEAdABpAG8AbgBzAF8ASQBuAG8AcgBnAGEAbgBpAGMAQwBPADIALgBWAEUARQBSAEcAXwA1AF8AMQBfADEAXwAzAF8AXwAxAF8ASQBuAG8AcgBnAGEAbgBpAGMARgBlAHIAdABpAGwAaQBzAGUAcgBBAHAAcABsAGkAYwBhAHQAaQBvAG4AQwBPADIARQBtAGkAcwBzAGkAbwBuAHMAXwBTAG8AdQByAGMAZQAiACwAIgBGAGUAcgB0AGkAbABpAHMAZQByAF8ARQBxAHUAYQB0AGkAbwBuAHMAXwBJAG4AbwByAGcAYQBuAGkAYwBDAE8AMgAuAFYARQBFAFIARwBfADUAXwAxAF8AMQBfADMAXwBfADEAXwBJAG4AbwByAGcAYQBuAGkAYwBGAGUAcgB0AGkAbABpAHMAZQByAEEAcABwAGwAaQBjAGEAdABpAG8AbgBDAE8AMgBFAG0AaQBzAHMAaQBvAG4AcwBfAE4ASQBSAFIAZQBmAGUAcgBlAG4AYwBlACIALAAiAEYAZQByAHQAaQBsAGkAcwBlAHIAXwBFAHEAdQBhAHQAaQBvAG4AcwBfAEkAbgBvAHIAZwBhAG4AaQBjAEMATwAyAC4AVgBFAEUAUgBHAF8ANQBfADEAXwAxAF8AMwBfAF8AMQBfAEkAbgBvAHIAZwBhAG4AaQBjAEYAZQByAHQAaQBsAGkAcwBlAHIAQQBwAHAAbABpAGMAYQB0AGkAbwBuAEMATwAyAEUAbQBpAHMAcwBpAG8AbgBzAF8ATABhAHQAZQB4AEUAcQB1AGEAdABpAG8AbgAiACwAIgBGAGUAcgB0AGkAbABpAHMAZQByAF8ARQBxAHUAYQB0AGkAbwBuAHMAXwBJAG4AbwByAGcAYQBuAGkAYwBDAE8AMgAuAFYARQBFAFIARwBfADUAXwAxAF8AMQBfADMAXwBfADEAXwBJAG4AbwByAGcAYQBuAGkAYwBGAGUAcgB0AGkAbABpAHMAZQByAEEAcABwAGwAaQBjAGEAdABpAG8AbgBDAE8AMgBFAG0AaQBzAHMAaQBvAG4AcwBfAEEAcgBnAHUAbQBlAG4AdABzACIALAAiAEYAZQByAHQAaQBsAGkAcwBlAHIAXwBFAHEAdQBhAHQAaQBvAG4AcwBfAEkAbgBvAHIAZwBhAG4AaQBjAEMATwAyAC4AVgBFAEUAUgBHAF8ANQBfADEAXwAxAF8AMwBfAF8AMgBfAE0AYQBzAHMATwBmAFUAcgBlAGEASQBuAEkAbgBvAHIAZwBhAG4AaQBjAEYAZQByAHQAaQBsAGkAcwBlAHIAIgAsACIARgBlAHIAdABpAGwAaQBzAGUAcgBfAEUAcQB1AGEAdABpAG8AbgBzAF8ASQBuAG8AcgBnAGEAbgBpAGMAQwBPADIALgBWAEUARQBSAEcAXwA1AF8AMQBfADEAXwAzAF8AXwAyAF8ATQBhAHMAcwBPAGYAVQByAGUAYQBJAG4ASQBuAG8AcgBnAGEAbgBpAGMARgBlAHIAdABpAGwAaQBzAGUAcgBfAFQAaQB0AGwAZQAiACwAIgBGAGUAcgB0AGkAbABpAHMAZQByAF8ARQBxAHUAYQB0AGkAbwBuAHMAXwBJAG4AbwByAGcAYQBuAGkAYwBDAE8AMgAuAFYARQBFAFIARwBfADUAXwAxAF8AMQBfADMAXwBfADIAXwBNAGEAcwBzAE8AZgBVAHIAZQBhAEkAbgBJAG4AbwByAGcAYQBuAGkAYwBGAGUAcgB0AGkAbABpAHMAZQByAF8AVgBhAHIAaQBhAGIAbABlACIALAAiAEYAZQByAHQAaQBsAGkAcwBlAHIAXwBFAHEAdQBhAHQAaQBvAG4AcwBfAEkAbgBvAHIAZwBhAG4AaQBjAEMATwAyAC4AVgBFAEUAUgBHAF8ANQBfADEAXwAxAF8AMwBfAF8AMgBfAE0AYQBzAHMATwBmAFUAcgBlAGEASQBuAEkAbgBvAHIAZwBhAG4AaQBjAEYAZQByAHQAaQBsAGkAcwBlAHIAXwBVAG4AaQB0ACIALAAiAEYAZQByAHQAaQBsAGkAcwBlAHIAXwBFAHEAdQBhAHQAaQBvAG4AcwBfAEkAbgBvAHIAZwBhAG4AaQBjAEMATwAyAC4AVgBFAEUAUgBHAF8ANQBfADEAXwAxAF8AMwBfAF8AMgBfAE0AYQBzAHMATwBmAFUAcgBlAGEASQBuAEkAbgBvAHIAZwBhAG4AaQBjAEYAZQByAHQAaQBsAGkAcwBlAHIAXwBTAG8AdQByAGMAZQAiACwAIgBGAGUAcgB0AGkAbABpAHMAZQByAF8ARQBxAHUAYQB0AGkAbwBuAHMAXwBJAG4AbwByAGcAYQBuAGkAYwBDAE8AMgAuAFYARQBFAFIARwBfADUAXwAxAF8AMQBfADMAXwBfADIAXwBNAGEAcwBzAE8AZgBVAHIAZQBhAEkAbgBJAG4AbwByAGcAYQBuAGkAYwBGAGUAcgB0AGkAbABpAHMAZQByAF8ATgBJAFIAUgBlAGYAZQByAGUAbgBjAGUAIgAsACIARgBlAHIAdABpAGwAaQBzAGUAcgBfAEUAcQB1AGEAdABpAG8AbgBzAF8ASQBuAG8AcgBnAGEAbgBpAGMAQwBPADIALgBWAEUARQBSAEcAXwA1AF8AMQBfADEAXwAzAF8AXwAyAF8ATQBhAHMAcwBPAGYAVQByAGUAYQBJAG4ASQBuAG8AcgBnAGEAbgBpAGMARgBlAHIAdABpAGwAaQBzAGUAcgBfAEwAYQB0AGUAeABFAHEAdQBhAHQAaQBvAG4AIgAsACIARgBlAHIAdABpAGwAaQBzAGUAcgBfAEUAcQB1AGEAdABpAG8AbgBzAF8ASQBuAG8AcgBnAGEAbgBpAGMAQwBPADIALgBWAEUARQBSAEcAXwA1AF8AMQBfADEAXwAzAF8AXwAyAF8ATQBhAHMAcwBPAGYAVQByAGUAYQBJAG4ASQBuAG8AcgBnAGEAbgBpAGMARgBlAHIAdABpAGwAaQBzAGUAcgBfAEEAcgBnAHUAbQBlAG4AdABzACIALAAiAEYAZQByAHQAaQBsAGkAcwBlAHIAXwBFAHEAdQBhAHQAaQBvAG4AcwBfAE8AcgBnAGEAbgBpAGMATgAyAE8ALgBWAEUARQBSAEcAXwA1AF8AMgBfADEAXwAxAF8AXwAxAF8ATwByAGcAYQBuAGkAYwBGAGUAcgB0AGkAbABpAHMAZQByAEEAcABwAGwAaQBjAGEAdABpAG8AbgBOADIATwBFAG0AaQBzAHMAaQBvAG4AcwAiACwAIgBGAGUAcgB0AGkAbABpAHMAZQByAF8ARQBxAHUAYQB0AGkAbwBuAHMAXwBPAHIAZwBhAG4AaQBjAE4AMgBPAC4AVgBFAEUAUgBHAF8ANQBfADIAXwAxAF8AMQBfAF8AMQBfAE8AcgBnAGEAbgBpAGMARgBlAHIAdABpAGwAaQBzAGUAcgBBAHAAcABsAGkAYwBhAHQAaQBvAG4ATgAyAE8ARQBtAGkAcwBzAGkAbwBuAHMAXwBUAGkAdABsAGUAIgAsACIARgBlAHIAdABpAGwAaQBzAGUAcgBfAEUAcQB1AGEAdABpAG8AbgBzAF8ATwByAGcAYQBuAGkAYwBOADIATwAuAFYARQBFAFIARwBfADUAXwAyAF8AMQBfADEAXwBfADEAXwBPAHIAZwBhAG4AaQBjAEYAZQByAHQAaQBsAGkAcwBlAHIAQQBwAHAAbABpAGMAYQB0AGkAbwBuAE4AMgBPAEUAbQBpAHMAcwBpAG8AbgBzAF8AVgBhAHIAaQBhAGIAbABlACIALAAiAEYAZQByAHQAaQBsAGkAcwBlAHIAXwBFAHEAdQBhAHQAaQBvAG4AcwBfAE8AcgBnAGEAbgBpAGMATgAyAE8ALgBWAEUARQBSAEcAXwA1AF8AMgBfADEAXwAxAF8AXwAxAF8ATwByAGcAYQBuAGkAYwBGAGUAcgB0AGkAbABpAHMAZQByAEEAcABwAGwAaQBjAGEAdABpAG8AbgBOADIATwBFAG0AaQBzAHMAaQBvAG4AcwBfAFUAbgBpAHQAIgAsACIARgBlAHIAdABpAGwAaQBzAGUAcgBfAEUAcQB1AGEAdABpAG8AbgBzAF8ATwByAGcAYQBuAGkAYwBOADIATwAuAFYARQBFAFIARwBfADUAXwAyAF8AMQBfADEAXwBfADEAXwBPAHIAZwBhAG4AaQBjAEYAZQByAHQAaQBsAGkAcwBlAHIAQQBwAHAAbABpAGMAYQB0AGkAbwBuAE4AMgBPAEUAbQBpAHMAcwBpAG8AbgBzAF8AUwBvAHUAcgBjAGUAIgAsACIARgBlAHIAdABpAGwAaQBzAGUAcgBfAEUAcQB1AGEAdABpAG8AbgBzAF8ATwByAGcAYQBuAGkAYwBOADIATwAuAFYARQBFAFIARwBfADUAXwAyAF8AMQBfADEAXwBfADEAXwBPAHIAZwBhAG4AaQBjAEYAZQByAHQAaQBsAGkAcwBlAHIAQQBwAHAAbABpAGMAYQB0AGkAbwBuAE4AMgBPAEUAbQBpAHMAcwBpAG8AbgBzAF8ATgBJAFIAUgBlAGYAZQByAGUAbgBjAGUAIgAsACIARgBlAHIAdABpAGwAaQBzAGUAcgBfAEUAcQB1AGEAdABpAG8AbgBzAF8ATwByAGcAYQBuAGkAYwBOADIATwAuAFYARQBFAFIARwBfADUAXwAyAF8AMQBfADEAXwBfADEAXwBPAHIAZwBhAG4AaQBjAEYAZQByAHQAaQBsAGkAcwBlAHIAQQBwAHAAbABpAGMAYQB0AGkAbwBuAE4AMgBPAEUAbQBpAHMAcwBpAG8AbgBzAF8ATABhAHQAZQB4AEUAcQB1AGEAdABpAG8AbgAiACwAIgBGAGUAcgB0AGkAbABpAHMAZQByAF8ARQBxAHUAYQB0AGkAbwBuAHMAXwBPAHIAZwBhAG4AaQBjAE4AMgBPAC4AVgBFAEUAUgBHAF8ANQBfADIAXwAxAF8AMQBfAF8AMQBfAE8AcgBnAGEAbgBpAGMARgBlAHIAdABpAGwAaQBzAGUAcgBBAHAAcABsAGkAYwBhAHQAaQBvAG4ATgAyAE8ARQBtAGkAcwBzAGkAbwBuAHMAXwBBAHIAZwB1AG0AZQBuAHQAcwAiACwAIgBGAGUAcgB0AGkAbABpAHMAZQByAF8ARQBxAHUAYQB0AGkAbwBuAHMAXwBPAHIAZwBhAG4AaQBjAE4AMgBPAC4AVgBFAEUAUgBHAF8ANQBfADIAXwAxAF8AMQBfAF8AMgBfAE0AYQBzAHMATwBmAE4AaQB0AHIAbwBnAGUAbgBJAG4ATwByAGcAYQBuAGkAYwBGAGUAcgB0AGkAbABpAHMAZQByACIALAAiAEYAZQByAHQAaQBsAGkAcwBlAHIAXwBFAHEAdQBhAHQAaQBvAG4AcwBfAE8AcgBnAGEAbgBpAGMATgAyAE8ALgBWAEUARQBSAEcAXwA1AF8AMgBfADEAXwAxAF8AXwAyAF8ATQBhAHMAcwBPAGYATgBpAHQAcgBvAGcAZQBuAEkAbgBPAHIAZwBhAG4AaQBjAEYAZQByAHQAaQBsAGkAcwBlAHIAXwBUAGkAdABsAGUAIgAsACIARgBlAHIAdABpAGwAaQBzAGUAcgBfAEUAcQB1AGEAdABpAG8AbgBzAF8ATwByAGcAYQBuAGkAYwBOADIATwAuAFYARQBFAFIARwBfADUAXwAyAF8AMQBfADEAXwBfADIAXwBNAGEAcwBzAE8AZgBOAGkAdAByAG8AZwBlAG4ASQBuAE8AcgBnAGEAbgBpAGMARgBlAHIAdABpAGwAaQBzAGUAcgBfAFYAYQByAGkAYQBiAGwAZQAiACwAIgBGAGUAcgB0AGkAbABpAHMAZQByAF8ARQBxAHUAYQB0AGkAbwBuAHMAXwBPAHIAZwBhAG4AaQBjAE4AMgBPAC4AVgBFAEUAUgBHAF8ANQBfADIAXwAxAF8AMQBfAF8AMgBfAE0AYQBzAHMATwBmAE4AaQB0AHIAbwBnAGUAbgBJAG4ATwByAGcAYQBuAGkAYwBGAGUAcgB0AGkAbABpAHMAZQByAF8AVQBuAGkAdAAiACwAIgBGAGUAcgB0AGkAbABpAHMAZQByAF8ARQBxAHUAYQB0AGkAbwBuAHMAXwBPAHIAZwBhAG4AaQBjAE4AMgBPAC4AVgBFAEUAUgBHAF8ANQBfADIAXwAxAF8AMQBfAF8AMgBfAE0AYQBzAHMATwBmAE4AaQB0AHIAbwBnAGUAbgBJAG4ATwByAGcAYQBuAGkAYwBGAGUAcgB0AGkAbABpAHMAZQByAF8AUwBvAHUAcgBjAGUAIgAsACIARgBlAHIAdABpAGwAaQBzAGUAcgBfAEUAcQB1AGEAdABpAG8AbgBzAF8ATwByAGcAYQBuAGkAYwBOADIATwAuAFYARQBFAFIARwBfADUAXwAyAF8AMQBfADEAXwBfADIAXwBNAGEAcwBzAE8AZgBOAGkAdAByAG8AZwBlAG4ASQBuAE8AcgBnAGEAbgBpAGMARgBlAHIAdABpAGwAaQBzAGUAcgBfAE4ASQBSAFIAZQBmAGUAcgBlAG4AYwBlACIALAAiAEYAZQByAHQAaQBsAGkAcwBlAHIAXwBFAHEAdQBhAHQAaQBvAG4AcwBfAE8AcgBnAGEAbgBpAGMATgAyAE8ALgBWAEUARQBSAEcAXwA1AF8AMgBfADEAXwAxAF8AXwAyAF8ATQBhAHMAcwBPAGYATgBpAHQAcgBvAGcAZQBuAEkAbgBPAHIAZwBhAG4AaQBjAEYAZQByAHQAaQBsAGkAcwBlAHIAXwBMAGEAdABlAHgARQBxAHUAYQB0AGkAbwBuACIALAAiAEYAZQByAHQAaQBsAGkAcwBlAHIAXwBFAHEAdQBhAHQAaQBvAG4AcwBfAE8AcgBnAGEAbgBpAGMATgAyAE8ALgBWAEUARQBSAEcAXwA1AF8AMgBfADEAXwAxAF8AXwAyAF8ATQBhAHMAcwBPAGYATgBpAHQAcgBvAGcAZQBuAEkAbgBPAHIAZwBhAG4AaQBjAEYAZQByAHQAaQBsAGkAcwBlAHIAXwBBAHIAZwB1AG0AZQBuAHQAcwAiACwAIgBGAGUAcgB0AGkAbABpAHMAZQByAF8ARQBxAHUAYQB0AGkAbwBuAHMAXwBMAGkAbQBlAC4AVgBFAEUAUgBHAF8ANQBfADMAXwAxAF8AMQBfAF8AMQBfAEwAaQBtAGUAQQBwAHAAbABpAGMAYQB0AGkAbwBuAEMATwAyAEUAbQBpAHMAcwBpAG8AbgBzACIALAAiAEYAZQByAHQAaQBsAGkAcwBlAHIAXwBFAHEAdQBhAHQAaQBvAG4AcwBfAEwAaQBtAGUALgBWAEUARQBSAEcAXwA1AF8AMwBfADEAXwAxAF8AXwAxAF8ATABpAG0AZQBBAHAAcABsAGkAYwBhAHQAaQBvAG4AQwBPADIARQBtAGkAcwBzAGkAbwBuAHMAXwBUAGkAdABsAGUAIgAsACIARgBlAHIAdABpAGwAaQBzAGUAcgBfAEUAcQB1AGEAdABpAG8AbgBzAF8ATABpAG0AZQAuAFYARQBFAFIARwBfADUAXwAzAF8AMQBfADEAXwBfADEAXwBMAGkAbQBlAEEAcABwAGwAaQBjAGEAdABpAG8AbgBDAE8AMgBFAG0AaQBzAHMAaQBvAG4AcwBfAFYAYQByAGkAYQBiAGwAZQAiACwAIgBGAGUAcgB0AGkAbABpAHMAZQByAF8ARQBxAHUAYQB0AGkAbwBuAHMAXwBMAGkAbQBlAC4AVgBFAEUAUgBHAF8ANQBfADMAXwAxAF8AMQBfAF8AMQBfAEwAaQBtAGUAQQBwAHAAbABpAGMAYQB0AGkAbwBuAEMATwAyAEUAbQBpAHMAcwBpAG8AbgBzAF8AVQBuAGkAdAAiACwAIgBGAGUAcgB0AGkAbABpAHMAZQByAF8ARQBxAHUAYQB0AGkAbwBuAHMAXwBMAGkAbQBlAC4AVgBFAEUAUgBHAF8ANQBfADMAXwAxAF8AMQBfAF8AMQBfAEwAaQBtAGUAQQBwAHAAbABpAGMAYQB0AGkAbwBuAEMATwAyAEUAbQBpAHMAcwBpAG8AbgBzAF8AUwBvAHUAcgBjAGUAIgAsACIARgBlAHIAdABpAGwAaQBzAGUAcgBfAEUAcQB1AGEAdABpAG8AbgBzAF8ATABpAG0AZQAuAFYARQBFAFIARwBfADUAXwAzAF8AMQBfADEAXwBfADEAXwBMAGkAbQBlAEEAcABwAGwAaQBjAGEAdABpAG8AbgBDAE8AMgBFAG0AaQBzAHMAaQBvAG4AcwBfAE4ASQBSAFIAZQBmAGUAcgBlAG4AYwBlACIALAAiAEYAZQByAHQAaQBsAGkAcwBlAHIAXwBFAHEAdQBhAHQAaQBvAG4AcwBfAEwAaQBtAGUALgBWAEUARQBSAEcAXwA1AF8AMwBfADEAXwAxAF8AXwAxAF8ATABpAG0AZQBBAHAAcABsAGkAYwBhAHQAaQBvAG4AQwBPADIARQBtAGkAcwBzAGkAbwBuAHMAXwBMAGEAdABlAHgARQBxAHUAYQB0AGkAbwBuACIALAAiAEYAZQByAHQAaQBsAGkAcwBlAHIAXwBFAHEAdQBhAHQAaQBvAG4AcwBfAEwAaQBtAGUALgBWAEUARQBSAEcAXwA1AF8AMwBfADEAXwAxAF8AXwAxAF8ATABpAG0AZQBBAHAAcABsAGkAYwBhAHQAaQBvAG4AQwBPADIARQBtAGkAcwBzAGkAbwBuAHMAXwBBAHIAZwB1AG0AZQBuAHQ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QAaQB0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YAYQByAGkAYQBi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UAbgBpAHQ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TAG8AdQBy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4ASQBSAFIAZQBmAGUAcgBlAG4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ABhAHQAZQB4AEUAcQB1AGEAdABpAG8Ab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EAcgBnAHUAbQBlAG4AdA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UAGkAdA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YAYQByAGkAYQBi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QBuAGkAdA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UwBvAHUAc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4ASQBSAFIAZQBmAGUAcgBlAG4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MAGEAdABlAHgARQBxAHUAYQB0AGkAbwBu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BAHIAZwB1AG0AZQBuAHQAcwAiACwAIgBGAGUAcgB0AGkAbABpAHMAZQByAF8ARQBxAHUAYQB0AGkAbwBuAHMAXwBMAGUAYQBjAGgAaQBuAGcAQQBuAGQAUgB1AG4AbwBmAGYALgBWAEUARQBSAEcAXwA1AF8ANQBfADEAXwAxAF8AXwAxAF8ARgBlAHIAdABpAGwAaQBzAGUAcgBMAGUAYQBjAGgAaQBuAGcAQQBuAGQAUgB1AG4AbwBmAGYATgAyAE8ARQBtAGkAcwBzAGkAbwBuAHMAIgAsACIARgBlAHIAdABpAGwAaQBzAGUAcgBfAEUAcQB1AGEAdABpAG8AbgBzAF8ATABlAGEAYwBoAGkAbgBnAEEAbgBkAFIAdQBuAG8AZgBmAC4AVgBFAEUAUgBHAF8ANQBfADUAXwAxAF8AMQBfAF8AMQBfAEYAZQByAHQAaQBsAGkAcwBlAHIATABlAGEAYwBoAGkAbgBnAEEAbgBkAFIAdQBuAG8AZgBmAE4AMgBPAEUAbQBpAHMAcwBpAG8AbgBzAF8AVABpAHQAbABlACIALAAiAEYAZQByAHQAaQBsAGkAcwBlAHIAXwBFAHEAdQBhAHQAaQBvAG4AcwBfAEwAZQBhAGMAaABpAG4AZwBBAG4AZABSAHUAbgBvAGYAZgAuAFYARQBFAFIARwBfADUAXwA1AF8AMQBfADEAXwBfADEAXwBGAGUAcgB0AGkAbABpAHMAZQByAEwAZQBhAGMAaABpAG4AZwBBAG4AZABSAHUAbgBvAGYAZgBOADIATwBFAG0AaQBzAHMAaQBvAG4AcwBfAFYAYQByAGkAYQBiAGwAZQAiACwAIgBGAGUAcgB0AGkAbABpAHMAZQByAF8ARQBxAHUAYQB0AGkAbwBuAHMAXwBMAGUAYQBjAGgAaQBuAGcAQQBuAGQAUgB1AG4AbwBmAGYALgBWAEUARQBSAEcAXwA1AF8ANQBfADEAXwAxAF8AXwAxAF8ARgBlAHIAdABpAGwAaQBzAGUAcgBMAGUAYQBjAGgAaQBuAGcAQQBuAGQAUgB1AG4AbwBmAGYATgAyAE8ARQBtAGkAcwBzAGkAbwBuAHMAXwBVAG4AaQB0ACIALAAiAEYAZQByAHQAaQBsAGkAcwBlAHIAXwBFAHEAdQBhAHQAaQBvAG4AcwBfAEwAZQBhAGMAaABpAG4AZwBBAG4AZABSAHUAbgBvAGYAZgAuAFYARQBFAFIARwBfADUAXwA1AF8AMQBfADEAXwBfADEAXwBGAGUAcgB0AGkAbABpAHMAZQByAEwAZQBhAGMAaABpAG4AZwBBAG4AZABSAHUAbgBvAGYAZgBOADIATwBFAG0AaQBzAHMAaQBvAG4AcwBfAFMAbwB1AHIAYwBlACIALAAiAEYAZQByAHQAaQBsAGkAcwBlAHIAXwBFAHEAdQBhAHQAaQBvAG4AcwBfAEwAZQBhAGMAaABpAG4AZwBBAG4AZABSAHUAbgBvAGYAZgAuAFYARQBFAFIARwBfADUAXwA1AF8AMQBfADEAXwBfADEAXwBGAGUAcgB0AGkAbABpAHMAZQByAEwAZQBhAGMAaABpAG4AZwBBAG4AZABSAHUAbgBvAGYAZgBOADIATwBFAG0AaQBzAHMAaQBvAG4AcwBfAE4ASQBSAFIAZQBmAGUAcgBlAG4AYwBlACIALAAiAEYAZQByAHQAaQBsAGkAcwBlAHIAXwBFAHEAdQBhAHQAaQBvAG4AcwBfAEwAZQBhAGMAaABpAG4AZwBBAG4AZABSAHUAbgBvAGYAZgAuAFYARQBFAFIARwBfADUAXwA1AF8AMQBfADEAXwBfADEAXwBGAGUAcgB0AGkAbABpAHMAZQByAEwAZQBhAGMAaABpAG4AZwBBAG4AZABSAHUAbgBvAGYAZgBOADIATwBFAG0AaQBzAHMAaQBvAG4AcwBfAEwAYQB0AGUAeABFAHEAdQBhAHQAaQBvAG4AIgAsACIARgBlAHIAdABpAGwAaQBzAGUAcgBfAEUAcQB1AGEAdABpAG8AbgBzAF8ATABlAGEAYwBoAGkAbgBnAEEAbgBkAFIAdQBuAG8AZgBmAC4AVgBFAEUAUgBHAF8ANQBfADUAXwAxAF8AMQBfAF8AMQBfAEYAZQByAHQAaQBsAGkAcwBlAHIATABlAGEAYwBoAGkAbgBnAEEAbgBkAFIAdQBuAG8AZgBmAE4AMgBPAEUAbQBpAHMAcwBpAG8AbgBzAF8AQQByAGcAdQBtAGUAbgB0AHMAIgAsACIARgBlAHIAdABpAGwAaQBzAGUAcgBfAEUAcQB1AGEAdABpAG8AbgBzAF8ATABlAGEAYwBoAGkAbgBnAEEAbgBkAFIAdQBuAG8AZgBmAC4AVgBFAEUAUgBHAF8ANQBfADUAXwAxAF8AMQBfAF8AMgBfAE0AYQBzAHMATwBmAE4AaQB0AHIAbwBnAGUAbgBMAGUAYQBjAGgAZQBkAEYAcgBvAG0ASQBuAG8AcgBnAGEAbgBpAGMARgBlAHIAdABpAGwAaQBzAGUAcgAiACwAIgBGAGUAcgB0AGkAbABpAHMAZQByAF8ARQBxAHUAYQB0AGkAbwBuAHMAXwBMAGUAYQBjAGgAaQBuAGcAQQBuAGQAUgB1AG4AbwBmAGYALgBWAEUARQBSAEcAXwA1AF8ANQBfADEAXwAxAF8AXwAyAF8ATQBhAHMAcwBPAGYATgBpAHQAcgBvAGcAZQBuAEwAZQBhAGMAaABlAGQARgByAG8AbQBJAG4AbwByAGcAYQBuAGkAYwBGAGUAcgB0AGkAbABpAHMAZQByAF8AVABpAHQ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WAGEAcgBpAGEAYg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UAbgBpAHQAIgAsACIARgBlAHIAdABpAGwAaQBzAGUAcgBfAEUAcQB1AGEAdABpAG8AbgBzAF8ATABlAGEAYwBoAGkAbgBnAEEAbgBkAFIAdQBuAG8AZgBmAC4AVgBFAEUAUgBHAF8ANQBfADUAXwAxAF8AMQBfAF8AMgBfAE0AYQBzAHMATwBmAE4AaQB0AHIAbwBnAGUAbgBMAGUAYQBjAGgAZQBkAEYAcgBvAG0ASQBuAG8AcgBnAGEAbgBpAGMARgBlAHIAdABpAGwAaQBzAGUAcgBfAFMAbwB1AHI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OAEkAUgBSAGUAZgBlAHIAZQBu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ABhAHQAZQB4AEUAcQB1AGEAdABpAG8AbgAiACwAIgBGAGUAcgB0AGkAbABpAHMAZQByAF8ARQBxAHUAYQB0AGkAbwBuAHMAXwBMAGUAYQBjAGgAaQBuAGcAQQBuAGQAUgB1AG4AbwBmAGYALgBWAEUARQBSAEcAXwA1AF8ANQBfADEAXwAxAF8AXwAyAF8ATQBhAHMAcwBPAGYATgBpAHQAcgBvAGcAZQBuAEwAZQBhAGMAaABlAGQARgByAG8AbQBJAG4AbwByAGcAYQBuAGkAYwBGAGUAcgB0AGkAbABpAHMAZQByAF8AQQByAGcAdQBtAGUAbgB0AHMAIgAsACIARgBlAHIAdABpAGwAaQBzAGUAcgBfAEUAcQB1AGEAdABpAG8AbgBzAF8ATABlAGEAYwBoAGkAbgBnAEEAbgBkAFIAdQBuAG8AZgBmAC4AVgBFAEUAUgBHAF8ANQBfADUAXwAxAF8AMQBfAF8AMwBfAE0AYQBzAHMATwBmAE4AaQB0AHIAbwBnAGUAbgBMAGUAYQBjAGgAZQBkAEYAcgBvAG0ATwByAGcAYQBuAGkAYwBGAGUAcgB0AGkAbABpAHMAZQByACIALAAiAEYAZQByAHQAaQBsAGkAcwBlAHIAXwBFAHEAdQBhAHQAaQBvAG4AcwBfAEwAZQBhAGMAaABpAG4AZwBBAG4AZABSAHUAbgBvAGYAZgAuAFYARQBFAFIARwBfADUAXwA1AF8AMQBfADEAXwBfADMAXwBNAGEAcwBzAE8AZgBOAGkAdAByAG8AZwBlAG4ATABlAGEAYwBoAGUAZABGAHIAbwBtAE8AcgBnAGEAbgBpAGMARgBlAHIAdABpAGwAaQBzAGUAcgBfAFQAaQB0AGwAZQAiACwAIgBGAGUAcgB0AGkAbABpAHMAZQByAF8ARQBxAHUAYQB0AGkAbwBuAHMAXwBMAGUAYQBjAGgAaQBuAGcAQQBuAGQAUgB1AG4AbwBmAGYALgBWAEUARQBSAEcAXwA1AF8ANQBfADEAXwAxAF8AXwAzAF8ATQBhAHMAcwBPAGYATgBpAHQAcgBvAGcAZQBuAEwAZQBhAGMAaABlAGQARgByAG8AbQBPAHIAZwBhAG4AaQBjAEYAZQByAHQAaQBsAGkAcwBlAHIAXwBWAGEAcgBpAGEAYgBsAGUAIgAsACIARgBlAHIAdABpAGwAaQBzAGUAcgBfAEUAcQB1AGEAdABpAG8AbgBzAF8ATABlAGEAYwBoAGkAbgBnAEEAbgBkAFIAdQBuAG8AZgBmAC4AVgBFAEUAUgBHAF8ANQBfADUAXwAxAF8AMQBfAF8AMwBfAE0AYQBzAHMATwBmAE4AaQB0AHIAbwBnAGUAbgBMAGUAYQBjAGgAZQBkAEYAcgBvAG0ATwByAGcAYQBuAGkAYwBGAGUAcgB0AGkAbABpAHMAZQByAF8AVQBuAGkAdAAiACwAIgBGAGUAcgB0AGkAbABpAHMAZQByAF8ARQBxAHUAYQB0AGkAbwBuAHMAXwBMAGUAYQBjAGgAaQBuAGcAQQBuAGQAUgB1AG4AbwBmAGYALgBWAEUARQBSAEcAXwA1AF8ANQBfADEAXwAxAF8AXwAzAF8ATQBhAHMAcwBPAGYATgBpAHQAcgBvAGcAZQBuAEwAZQBhAGMAaABlAGQARgByAG8AbQBPAHIAZwBhAG4AaQBjAEYAZQByAHQAaQBsAGkAcwBlAHIAXwBTAG8AdQByAGMAZQAiACwAIgBGAGUAcgB0AGkAbABpAHMAZQByAF8ARQBxAHUAYQB0AGkAbwBuAHMAXwBMAGUAYQBjAGgAaQBuAGcAQQBuAGQAUgB1AG4AbwBmAGYALgBWAEUARQBSAEcAXwA1AF8ANQBfADEAXwAxAF8AXwAzAF8ATQBhAHMAcwBPAGYATgBpAHQAcgBvAGcAZQBuAEwAZQBhAGMAaABlAGQARgByAG8AbQBPAHIAZwBhAG4AaQBjAEYAZQByAHQAaQBsAGkAcwBlAHIAXwBOAEkAUgBSAGUAZgBlAHIAZQBuAGMAZQAiACwAIgBGAGUAcgB0AGkAbABpAHMAZQByAF8ARQBxAHUAYQB0AGkAbwBuAHMAXwBMAGUAYQBjAGgAaQBuAGcAQQBuAGQAUgB1AG4AbwBmAGYALgBWAEUARQBSAEcAXwA1AF8ANQBfADEAXwAxAF8AXwAzAF8ATQBhAHMAcwBPAGYATgBpAHQAcgBvAGcAZQBuAEwAZQBhAGMAaABlAGQARgByAG8AbQBPAHIAZwBhAG4AaQBjAEYAZQByAHQAaQBsAGkAcwBlAHIAXwBMAGEAdABlAHgARQBxAHUAYQB0AGkAbwBuACIALAAiAEYAZQByAHQAaQBsAGkAcwBlAHIAXwBFAHEAdQBhAHQAaQBvAG4AcwBfAEwAZQBhAGMAaABpAG4AZwBBAG4AZABSAHUAbgBvAGYAZgAuAFYARQBFAFIARwBfADUAXwA1AF8AMQBfADEAXwBfADMAXwBNAGEAcwBzAE8AZgBOAGkAdAByAG8AZwBlAG4ATABlAGEAYwBoAGUAZABGAHIAbwBtAE8AcgBnAGEAbgBpAGMARgBlAHIAdABpAGwAaQBzAGUAc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2</vt:i4>
      </vt:variant>
    </vt:vector>
  </HeadingPairs>
  <TitlesOfParts>
    <vt:vector size="18" baseType="lpstr">
      <vt:lpstr>Home</vt:lpstr>
      <vt:lpstr>Overview</vt:lpstr>
      <vt:lpstr>Results</vt:lpstr>
      <vt:lpstr>Input - Site</vt:lpstr>
      <vt:lpstr>Input - Fertiliser</vt:lpstr>
      <vt:lpstr>Input - Fuel</vt:lpstr>
      <vt:lpstr>Sheet3</vt:lpstr>
      <vt:lpstr>5.1.1.1-2 Inorganic fert N2O</vt:lpstr>
      <vt:lpstr>5.1.1.3-4 Inorganic fert CO2</vt:lpstr>
      <vt:lpstr>5.2.1.1-2 Organic Fert N2O</vt:lpstr>
      <vt:lpstr>5.3.1.1-2 Lime CO2</vt:lpstr>
      <vt:lpstr>5.4.1.1-4 Atmos deposition</vt:lpstr>
      <vt:lpstr>5.5.1.1-2 Leaching and runoff</vt:lpstr>
      <vt:lpstr>Constants - Fertiliser</vt:lpstr>
      <vt:lpstr>Constants - Fuel</vt:lpstr>
      <vt:lpstr>Constants - Common</vt:lpstr>
      <vt:lpstr>'5.4.1.1-4 Atmos deposition'!_Toc225350871</vt:lpstr>
      <vt:lpstr>'5.5.1.1-2 Leaching and runoff'!_Toc225350871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2026-05-25T02:19:08Z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