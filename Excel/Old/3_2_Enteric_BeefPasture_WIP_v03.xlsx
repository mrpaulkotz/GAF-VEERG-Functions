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858092E-8D57-4300-BF40-508F2E8622DC}" xr6:coauthVersionLast="47" xr6:coauthVersionMax="47" xr10:uidLastSave="{00000000-0000-0000-0000-000000000000}"/>
  <bookViews>
    <workbookView xWindow="1365" yWindow="960" windowWidth="35745" windowHeight="18900" activeTab="5"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79" l="1"/>
  <c r="O27" i="79"/>
  <c r="O26" i="79"/>
  <c r="O25" i="79"/>
  <c r="O24" i="79"/>
  <c r="O23" i="79"/>
  <c r="O22" i="79"/>
  <c r="O21" i="79"/>
  <c r="O20" i="79"/>
  <c r="O19" i="79"/>
  <c r="E65" i="43" a="1"/>
  <c r="E65" i="43" s="1"/>
  <c r="D65" i="43" a="1"/>
  <c r="D65" i="43" s="1"/>
  <c r="D63" i="43" a="1"/>
  <c r="D63" i="43" s="1"/>
  <c r="D62" i="43"/>
  <c r="D62" i="43" a="1"/>
  <c r="E60" i="43"/>
  <c r="E60" i="43" a="1"/>
  <c r="D60" i="43"/>
  <c r="D60" i="43" a="1"/>
  <c r="D58" i="43" a="1"/>
  <c r="D58" i="43" s="1"/>
  <c r="D57" i="43" a="1"/>
  <c r="D57" i="43" s="1"/>
  <c r="E55" i="43" a="1"/>
  <c r="E55" i="43" s="1"/>
  <c r="D55" i="43" a="1"/>
  <c r="D55" i="43" s="1"/>
  <c r="D53" i="43"/>
  <c r="D53" i="43" a="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c r="D483" i="79" a="1"/>
  <c r="I482" i="79" a="1"/>
  <c r="I482" i="79" s="1"/>
  <c r="H482" i="79" a="1"/>
  <c r="H482" i="79" s="1"/>
  <c r="G482" i="79" a="1"/>
  <c r="G482" i="79" s="1"/>
  <c r="F482" i="79" a="1"/>
  <c r="F482" i="79" s="1"/>
  <c r="E482" i="79" a="1"/>
  <c r="E482" i="79" s="1"/>
  <c r="D482" i="79" a="1"/>
  <c r="D482" i="79" s="1"/>
  <c r="I481" i="79"/>
  <c r="I481" i="79" a="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44" i="70"/>
  <c r="U144" i="70"/>
  <c r="U143" i="70"/>
  <c r="U142" i="70"/>
  <c r="U141" i="70"/>
  <c r="U140" i="70"/>
  <c r="U139" i="70"/>
  <c r="U138" i="70"/>
  <c r="U137" i="70"/>
  <c r="U136" i="70"/>
  <c r="U135" i="70"/>
  <c r="U134" i="70"/>
  <c r="U133" i="70"/>
  <c r="U128" i="70"/>
  <c r="U127" i="70"/>
  <c r="U126" i="70"/>
  <c r="U125" i="70"/>
  <c r="U124" i="70"/>
  <c r="U123" i="70"/>
  <c r="U122" i="70"/>
  <c r="U121" i="70"/>
  <c r="U120" i="70"/>
  <c r="U119" i="70"/>
  <c r="U118" i="70"/>
  <c r="U117" i="70"/>
  <c r="U108" i="70"/>
  <c r="U107" i="70"/>
  <c r="U106" i="70"/>
  <c r="U105" i="70"/>
  <c r="U104" i="70"/>
  <c r="U103" i="70"/>
  <c r="U102" i="70"/>
  <c r="U101" i="70"/>
  <c r="U100" i="70"/>
  <c r="U99" i="70"/>
  <c r="U98" i="70"/>
  <c r="U97" i="70"/>
  <c r="U87" i="70"/>
  <c r="U86" i="70"/>
  <c r="U85" i="70"/>
  <c r="U84" i="70"/>
  <c r="U83" i="70"/>
  <c r="U82" i="70"/>
  <c r="U81" i="70"/>
  <c r="U80" i="70"/>
  <c r="U79" i="70"/>
  <c r="U78" i="70"/>
  <c r="U77" i="70"/>
  <c r="U76" i="70"/>
  <c r="U71" i="70"/>
  <c r="U70" i="70"/>
  <c r="U69" i="70"/>
  <c r="U68" i="70"/>
  <c r="U67" i="70"/>
  <c r="U66" i="70"/>
  <c r="U65" i="70"/>
  <c r="U64" i="70"/>
  <c r="U63" i="70"/>
  <c r="U62" i="70"/>
  <c r="U61" i="70"/>
  <c r="U60" i="70"/>
  <c r="U55" i="70"/>
  <c r="U54" i="70"/>
  <c r="U53" i="70"/>
  <c r="U52" i="70"/>
  <c r="U51" i="70"/>
  <c r="U50" i="70"/>
  <c r="U49" i="70"/>
  <c r="U48" i="70"/>
  <c r="U47" i="70"/>
  <c r="U46" i="70"/>
  <c r="U45" i="70"/>
  <c r="U44" i="70"/>
  <c r="U39" i="70"/>
  <c r="U38" i="70"/>
  <c r="U37" i="70"/>
  <c r="U36" i="70"/>
  <c r="U35" i="70"/>
  <c r="U34" i="70"/>
  <c r="U33" i="70"/>
  <c r="U32" i="70"/>
  <c r="U31" i="70"/>
  <c r="U30" i="70"/>
  <c r="U29" i="70"/>
  <c r="U28" i="70"/>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99" i="70"/>
  <c r="D98" i="70"/>
  <c r="D97" i="70"/>
  <c r="D96" i="70"/>
  <c r="D95" i="70"/>
  <c r="D94" i="70"/>
  <c r="D93" i="70"/>
  <c r="D92" i="70"/>
  <c r="D91" i="70"/>
  <c r="D90" i="70"/>
  <c r="D89" i="70"/>
  <c r="D88" i="70"/>
  <c r="D77" i="70"/>
  <c r="D76" i="70"/>
  <c r="D75" i="70"/>
  <c r="D74" i="70"/>
  <c r="D73" i="70"/>
  <c r="D72" i="70"/>
  <c r="D71" i="70"/>
  <c r="D70" i="70"/>
  <c r="D69" i="70"/>
  <c r="D68" i="70"/>
  <c r="D67" i="70"/>
  <c r="D66" i="70"/>
  <c r="D55" i="70"/>
  <c r="D54" i="70"/>
  <c r="D53" i="70"/>
  <c r="D52" i="70"/>
  <c r="D51" i="70"/>
  <c r="D50" i="70"/>
  <c r="D49" i="70"/>
  <c r="D48" i="70"/>
  <c r="D47" i="70"/>
  <c r="D46" i="70"/>
  <c r="D45" i="70"/>
  <c r="D33" i="70"/>
  <c r="D32" i="70"/>
  <c r="D31" i="70"/>
  <c r="D30" i="70"/>
  <c r="D29" i="70"/>
  <c r="D28" i="70"/>
  <c r="D27" i="70"/>
  <c r="D26" i="70"/>
  <c r="D25" i="70"/>
  <c r="D24" i="70"/>
  <c r="D23" i="70"/>
  <c r="D22" i="70"/>
  <c r="D59" i="69"/>
  <c r="D58" i="69"/>
  <c r="D57" i="69"/>
  <c r="D56" i="69"/>
  <c r="D51" i="69"/>
  <c r="D50" i="69"/>
  <c r="D49" i="69"/>
  <c r="D48" i="69"/>
  <c r="E7" i="70"/>
  <c r="V117" i="69" a="1"/>
  <c r="V117" i="69" s="1"/>
  <c r="U71" i="69"/>
  <c r="U70" i="69"/>
  <c r="U69" i="69"/>
  <c r="U68" i="69"/>
  <c r="U67" i="69"/>
  <c r="U66" i="69"/>
  <c r="U65" i="69"/>
  <c r="U64" i="69"/>
  <c r="U63" i="69"/>
  <c r="U62" i="69"/>
  <c r="U61" i="69"/>
  <c r="U60" i="69"/>
  <c r="U55" i="69"/>
  <c r="U54" i="69"/>
  <c r="U53" i="69"/>
  <c r="U52" i="69"/>
  <c r="U51" i="69"/>
  <c r="U50" i="69"/>
  <c r="U49" i="69"/>
  <c r="U48" i="69"/>
  <c r="U47" i="69"/>
  <c r="U46" i="69"/>
  <c r="U45" i="69"/>
  <c r="U44" i="69"/>
  <c r="E115" i="69" a="1"/>
  <c r="E115" i="69" s="1"/>
  <c r="E107" i="69" a="1"/>
  <c r="E107" i="69" s="1"/>
  <c r="J16" i="69"/>
  <c r="U108" i="69" l="1"/>
  <c r="U107" i="69"/>
  <c r="U106" i="69"/>
  <c r="U105" i="69"/>
  <c r="U104" i="69"/>
  <c r="U103" i="69"/>
  <c r="U102" i="69"/>
  <c r="U101" i="69"/>
  <c r="U100" i="69"/>
  <c r="U99" i="69"/>
  <c r="U98" i="69"/>
  <c r="U97" i="69"/>
  <c r="G37" i="69" a="1"/>
  <c r="G37" i="69"/>
  <c r="D9" i="79" l="1"/>
  <c r="D8" i="79"/>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59" i="70"/>
  <c r="M159" i="70"/>
  <c r="L159" i="70"/>
  <c r="K159" i="70"/>
  <c r="J159" i="70"/>
  <c r="I159" i="70"/>
  <c r="H159" i="70"/>
  <c r="G159" i="70"/>
  <c r="F159" i="70"/>
  <c r="E159"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131" i="70"/>
  <c r="M131" i="70"/>
  <c r="L131" i="70"/>
  <c r="K131" i="70"/>
  <c r="J131" i="70"/>
  <c r="I131" i="70"/>
  <c r="H131" i="70"/>
  <c r="G131" i="70"/>
  <c r="F131" i="70"/>
  <c r="E131"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X164" i="69"/>
  <c r="G131" i="69"/>
  <c r="E173" i="70"/>
  <c r="E172"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28" i="70"/>
  <c r="M128" i="70"/>
  <c r="L128" i="70"/>
  <c r="K128" i="70"/>
  <c r="J128" i="70"/>
  <c r="I128" i="70"/>
  <c r="H128" i="70"/>
  <c r="G128" i="70"/>
  <c r="F128" i="70"/>
  <c r="E128" i="70"/>
  <c r="N127" i="70"/>
  <c r="M127" i="70"/>
  <c r="L127" i="70"/>
  <c r="K127" i="70"/>
  <c r="J127" i="70"/>
  <c r="I127" i="70"/>
  <c r="H127" i="70"/>
  <c r="G127" i="70"/>
  <c r="F127" i="70"/>
  <c r="E127" i="70"/>
  <c r="N126" i="70"/>
  <c r="M126" i="70"/>
  <c r="L126" i="70"/>
  <c r="K126" i="70"/>
  <c r="J126" i="70"/>
  <c r="I126" i="70"/>
  <c r="H126" i="70"/>
  <c r="G126" i="70"/>
  <c r="F126" i="70"/>
  <c r="E126" i="70"/>
  <c r="N125" i="70"/>
  <c r="M125" i="70"/>
  <c r="L125" i="70"/>
  <c r="K125" i="70"/>
  <c r="J125" i="70"/>
  <c r="I125" i="70"/>
  <c r="H125" i="70"/>
  <c r="G125" i="70"/>
  <c r="F125" i="70"/>
  <c r="E125"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V60" i="69" l="1" a="1"/>
  <c r="V60" i="69" s="1"/>
  <c r="V44" i="69" a="1"/>
  <c r="V44" i="69" s="1"/>
  <c r="E56" i="69" a="1"/>
  <c r="E56" i="69" s="1"/>
  <c r="E48" i="69" a="1"/>
  <c r="E48" i="69" s="1"/>
  <c r="H53" i="107"/>
  <c r="H54" i="107"/>
  <c r="H50" i="107"/>
  <c r="H48" i="107"/>
  <c r="H51" i="107"/>
  <c r="H49" i="107"/>
  <c r="H52" i="107"/>
  <c r="O115" i="69"/>
  <c r="O107" i="69"/>
  <c r="F128" i="69"/>
  <c r="AF117" i="69"/>
  <c r="AF149" i="69"/>
  <c r="O85" i="69"/>
  <c r="E94" i="69"/>
  <c r="E73" i="69"/>
  <c r="V76" i="69" l="1" a="1"/>
  <c r="V76" i="69" s="1"/>
  <c r="D21" i="69"/>
  <c r="E29" i="69" s="1" a="1"/>
  <c r="E29" i="69" s="1"/>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3" i="70"/>
  <c r="K32" i="70"/>
  <c r="L31" i="70"/>
  <c r="M30" i="70"/>
  <c r="N29" i="70"/>
  <c r="N28" i="70"/>
  <c r="M27" i="70"/>
  <c r="J26" i="70"/>
  <c r="N25" i="70"/>
  <c r="N24" i="70"/>
  <c r="M23" i="70"/>
  <c r="K22" i="70"/>
  <c r="E11" i="69" a="1"/>
  <c r="E11" i="69" s="1"/>
  <c r="E10" i="69" a="1"/>
  <c r="E10" i="69" s="1"/>
  <c r="D5" i="69" a="1"/>
  <c r="D5" i="69" s="1"/>
  <c r="AH39" i="69" l="1"/>
  <c r="AH38" i="69"/>
  <c r="AH37" i="69"/>
  <c r="AH36" i="69"/>
  <c r="AH35" i="69"/>
  <c r="AH34" i="69"/>
  <c r="AH33" i="69"/>
  <c r="AH32" i="69"/>
  <c r="AH31" i="69"/>
  <c r="AH30" i="69"/>
  <c r="J14" i="69" a="1"/>
  <c r="J14" i="69" s="1"/>
  <c r="J15" i="69" a="1"/>
  <c r="J15" i="69" s="1"/>
  <c r="K33" i="70"/>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V133" i="69" l="1"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W161" i="69" l="1"/>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AE83" i="69" l="1"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<sst xmlns="http://schemas.openxmlformats.org/spreadsheetml/2006/main" count="1146" uniqueCount="297">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</sst>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7">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6"/>
      <tableStyleElement type="headerRow" dxfId="165"/>
      <tableStyleElement type="totalRow" dxfId="164"/>
      <tableStyleElement type="firstColumn" dxfId="163"/>
      <tableStyleElement type="firstRowStripe" dxfId="162"/>
      <tableStyleElement type="secondRowStripe" dxfId="161"/>
    </tableStyle>
    <tableStyle name="Equation table" pivot="0" count="6" xr9:uid="{B247698E-E41D-4CCD-AA0A-C14817E9DE65}">
      <tableStyleElement type="wholeTable" dxfId="160"/>
      <tableStyleElement type="headerRow" dxfId="159"/>
      <tableStyleElement type="totalRow" dxfId="158"/>
      <tableStyleElement type="firstColumn" dxfId="157"/>
      <tableStyleElement type="firstRowStripe" dxfId="156"/>
      <tableStyleElement type="secondRowStripe" dxfId="155"/>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89" dataCellStyle="Content normal">
      <calculatedColumnFormula>D351</calculatedColumnFormula>
    </tableColumn>
    <tableColumn id="2" xr3:uid="{B172192B-EDB5-47A5-A010-C82516ED13B5}" name="Bulls &lt; 1 year" dataDxfId="88" dataCellStyle="Content normal">
      <calculatedColumnFormula>E351</calculatedColumnFormula>
    </tableColumn>
    <tableColumn id="3" xr3:uid="{F83B528D-B6D7-4E92-967F-018ED1475D9B}" name="Bulls &gt; 1 year" dataDxfId="87" dataCellStyle="Content normal">
      <calculatedColumnFormula>F351</calculatedColumnFormula>
    </tableColumn>
    <tableColumn id="4" xr3:uid="{E83019D4-F113-4C9E-ADA7-433997A968A1}" name="Cows &lt; 1 year" dataDxfId="86" dataCellStyle="Content normal">
      <calculatedColumnFormula>G351</calculatedColumnFormula>
    </tableColumn>
    <tableColumn id="5" xr3:uid="{B51413B2-710F-409C-8C3C-6B72C8E99B49}" name="Cows 1-2 years" dataDxfId="85" dataCellStyle="Content normal">
      <calculatedColumnFormula>H351</calculatedColumnFormula>
    </tableColumn>
    <tableColumn id="6" xr3:uid="{F7B12596-1E7F-417C-83F5-67964BA7AAAE}" name="Cows 2-3 years" dataDxfId="84" dataCellStyle="Content normal">
      <calculatedColumnFormula>I351</calculatedColumnFormula>
    </tableColumn>
    <tableColumn id="7" xr3:uid="{C1B8EAD9-BCCE-49FF-9E3D-15E99DEC329C}" name="Cows &gt; 3 years" dataDxfId="83" dataCellStyle="Content normal">
      <calculatedColumnFormula>I351</calculatedColumnFormula>
    </tableColumn>
    <tableColumn id="8" xr3:uid="{6AB556D2-AF6C-4E98-9AA1-A8C6DC5F5CA9}" name="Steers &lt; 1 year" dataDxfId="82" dataCellStyle="Content normal">
      <calculatedColumnFormula>J351</calculatedColumnFormula>
    </tableColumn>
    <tableColumn id="9" xr3:uid="{46DC3CBA-6FB0-4A95-A39E-B2179DC8CFE6}" name="Steers 1-2 years" dataDxfId="81" dataCellStyle="Content normal">
      <calculatedColumnFormula>K351</calculatedColumnFormula>
    </tableColumn>
    <tableColumn id="10" xr3:uid="{105CEA90-EFAD-4757-B82A-B19E9A3F2664}" name="Steers 2-3 years" dataDxfId="80" dataCellStyle="Content normal"/>
    <tableColumn id="11" xr3:uid="{5E2A59D6-56CA-4967-885E-8602CA905B74}" name="Steers &gt;3 years" dataDxfId="79" dataCellStyle="Content normal"/>
    <tableColumn id="12" xr3:uid="{1C306FC1-FFBA-4C23-8EAD-1C07A5BAAA50}" name="State abbreviation" dataDxfId="78"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66"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65"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64"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63"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62"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6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4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4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4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4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4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2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12"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11" dataCellStyle="Content normal">
  <autoFilter ref="D43:E50" xr:uid="{F711E95C-01C8-48A7-BB52-9F827483965C}"/>
  <tableColumns count="2">
    <tableColumn id="1" xr3:uid="{08B90907-6C3E-412D-8433-9F6039F4029A}" name="Product" dataDxfId="10"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9"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8" dataCellStyle="Content normal">
  <autoFilter ref="D54:E55" xr:uid="{2A75A840-CA11-4C7B-8899-C3A821D14E27}"/>
  <tableColumns count="2">
    <tableColumn id="1" xr3:uid="{F170FD6C-DD1B-4B8F-AF9E-3B62B67338A0}" name="Product" dataDxfId="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6"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5" dataCellStyle="Content normal">
  <autoFilter ref="D59:E60" xr:uid="{2D888E1E-7753-4DC0-B298-BEAC22F6BD88}"/>
  <tableColumns count="2">
    <tableColumn id="1" xr3:uid="{C9C3D59B-D677-4AA1-B0C2-2067DFB471D5}" name="Product" dataDxfId="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2" dataCellStyle="Content normal">
  <autoFilter ref="D64:E65" xr:uid="{4DB6C08B-3AF7-4AD1-AB80-46559AA7950B}"/>
  <tableColumns count="2">
    <tableColumn id="1" xr3:uid="{89BE89CD-FE25-4013-84CD-7E8828148DA3}" name="Product" dataDxfId="1"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0"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1" Type="http://schemas.openxmlformats.org/officeDocument/2006/relationships/printerSettings" Target="../printerSettings/printerSettings4.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printerSettings" Target="../printerSettings/printerSettings5.bin"/><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t="e">
        <f>VEERG_3_2_1_1__1_TotalAnnualMethaneFromEntericFermentation_Result</f>
        <v>#NAME?</v>
      </c>
      <c r="F7" s="105">
        <f ca="1">VEERG_3_2_1_1__1_TotalAnnualMethaneFromEntericFermentation_Result_Method2</f>
        <v>56.163952698425533</v>
      </c>
      <c r="G7" s="53" t="s">
        <v>117</v>
      </c>
      <c r="H7" s="105">
        <f ca="1">'3.2.1.1-2 Enteric Methane'!E133</f>
        <v>1558.9857296902248</v>
      </c>
      <c r="I7" s="105">
        <f ca="1">'3.2.1.1-2 Enteric Methane'!V166</f>
        <v>1572.5906755559149</v>
      </c>
      <c r="J7" s="53" t="s">
        <v>120</v>
      </c>
      <c r="K7" s="22"/>
    </row>
    <row r="8" spans="1:11" ht="20.100000000000001" customHeight="1" x14ac:dyDescent="0.3">
      <c r="A8" s="17" t="str">
        <f>HYPERLINK("#'Input - Pasture Beef'!A1", "Pasture Beef")</f>
        <v>Pasture Beef</v>
      </c>
      <c r="C8" s="22"/>
      <c r="D8" s="29" t="s">
        <v>99</v>
      </c>
      <c r="E8" s="23"/>
      <c r="F8" s="23"/>
      <c r="G8" s="29"/>
      <c r="H8" s="106">
        <f ca="1">SUM(H7:H7)</f>
        <v>1558.9857296902248</v>
      </c>
      <c r="I8" s="106">
        <f ca="1">SUM(I7:I7)</f>
        <v>1572.5906755559149</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34" zoomScale="85" zoomScaleNormal="85" workbookViewId="0">
      <selection activeCell="D45" sqref="D4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X_Cell_Site_State</f>
        <v>Western Australia</v>
      </c>
      <c r="P7" s="3"/>
      <c r="T7" s="7"/>
    </row>
    <row r="8" spans="1:25" ht="20.100000000000001" customHeight="1" x14ac:dyDescent="0.25">
      <c r="A8" s="119"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143</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140</v>
      </c>
      <c r="T14" s="37"/>
    </row>
    <row r="15" spans="1:25" ht="20.100000000000001" customHeight="1" x14ac:dyDescent="0.25">
      <c r="A15" s="17" t="str">
        <f>HYPERLINK("#'Constants - Livestock'!A1", "Constants - Livestock")</f>
        <v>Constants - Livestock</v>
      </c>
      <c r="D15" s="61" t="s">
        <v>141</v>
      </c>
      <c r="E15" s="61" t="s">
        <v>104</v>
      </c>
      <c r="F15" s="61" t="s">
        <v>103</v>
      </c>
      <c r="G15" s="61" t="s">
        <v>127</v>
      </c>
      <c r="H15" s="61" t="s">
        <v>128</v>
      </c>
      <c r="I15" s="61" t="s">
        <v>129</v>
      </c>
      <c r="J15" s="61" t="s">
        <v>130</v>
      </c>
      <c r="K15" s="61" t="s">
        <v>131</v>
      </c>
      <c r="L15" s="61" t="s">
        <v>132</v>
      </c>
      <c r="M15" s="61" t="s">
        <v>133</v>
      </c>
      <c r="N15" s="61" t="s">
        <v>134</v>
      </c>
      <c r="T15" s="37"/>
    </row>
    <row r="16" spans="1:25" ht="20.100000000000001" customHeight="1" x14ac:dyDescent="0.25">
      <c r="A16" s="17" t="str">
        <f>HYPERLINK("#'Constants - Common'!A1", "Constants - Common")</f>
        <v>Constants - Common</v>
      </c>
      <c r="D16" s="1" t="s">
        <v>135</v>
      </c>
      <c r="E16" s="51">
        <v>91.25</v>
      </c>
      <c r="F16" s="51">
        <v>91.25</v>
      </c>
      <c r="G16" s="51">
        <v>91.25</v>
      </c>
      <c r="H16" s="51">
        <v>91.25</v>
      </c>
      <c r="I16" s="51">
        <v>91.25</v>
      </c>
      <c r="J16" s="51">
        <v>91.25</v>
      </c>
      <c r="K16" s="51">
        <v>91.25</v>
      </c>
      <c r="L16" s="51">
        <v>91.25</v>
      </c>
      <c r="M16" s="51">
        <v>91.25</v>
      </c>
      <c r="N16" s="51">
        <v>91.25</v>
      </c>
      <c r="O16" s="2" t="s">
        <v>47</v>
      </c>
      <c r="T16" s="37"/>
    </row>
    <row r="17" spans="1:21" ht="20.100000000000001" customHeight="1" x14ac:dyDescent="0.25">
      <c r="A17" s="17" t="str">
        <f>HYPERLINK("#'Acknowledgements'!A1", "Acknowledgements")</f>
        <v>Acknowledgements</v>
      </c>
      <c r="D17" s="1" t="s">
        <v>136</v>
      </c>
      <c r="E17" s="51">
        <v>91.25</v>
      </c>
      <c r="F17" s="51">
        <v>91.25</v>
      </c>
      <c r="G17" s="51">
        <v>91.25</v>
      </c>
      <c r="H17" s="51">
        <v>91.25</v>
      </c>
      <c r="I17" s="51">
        <v>91.25</v>
      </c>
      <c r="J17" s="51">
        <v>91.25</v>
      </c>
      <c r="K17" s="51">
        <v>91.25</v>
      </c>
      <c r="L17" s="51">
        <v>91.25</v>
      </c>
      <c r="M17" s="51">
        <v>91.25</v>
      </c>
      <c r="N17" s="51">
        <v>91.25</v>
      </c>
      <c r="O17" s="2" t="s">
        <v>47</v>
      </c>
      <c r="T17" s="7"/>
    </row>
    <row r="18" spans="1:21" ht="20.100000000000001" customHeight="1" x14ac:dyDescent="0.25">
      <c r="D18" s="1" t="s">
        <v>137</v>
      </c>
      <c r="E18" s="51">
        <v>91.25</v>
      </c>
      <c r="F18" s="51">
        <v>91.25</v>
      </c>
      <c r="G18" s="51">
        <v>91.25</v>
      </c>
      <c r="H18" s="51">
        <v>91.25</v>
      </c>
      <c r="I18" s="51">
        <v>91.25</v>
      </c>
      <c r="J18" s="51">
        <v>91.25</v>
      </c>
      <c r="K18" s="51">
        <v>91.25</v>
      </c>
      <c r="L18" s="51">
        <v>91.25</v>
      </c>
      <c r="M18" s="51">
        <v>91.25</v>
      </c>
      <c r="N18" s="51">
        <v>91.25</v>
      </c>
      <c r="O18" s="2" t="s">
        <v>47</v>
      </c>
      <c r="T18" s="7"/>
    </row>
    <row r="19" spans="1:21" ht="20.100000000000001" customHeight="1" x14ac:dyDescent="0.25">
      <c r="A19" s="17"/>
      <c r="D19" s="1" t="s">
        <v>138</v>
      </c>
      <c r="E19" s="51">
        <v>91.25</v>
      </c>
      <c r="F19" s="51">
        <v>91.25</v>
      </c>
      <c r="G19" s="51">
        <v>91.25</v>
      </c>
      <c r="H19" s="51">
        <v>91.25</v>
      </c>
      <c r="I19" s="51">
        <v>91.25</v>
      </c>
      <c r="J19" s="51">
        <v>91.25</v>
      </c>
      <c r="K19" s="51">
        <v>91.25</v>
      </c>
      <c r="L19" s="51">
        <v>91.25</v>
      </c>
      <c r="M19" s="51">
        <v>91.25</v>
      </c>
      <c r="N19" s="51">
        <v>91.25</v>
      </c>
      <c r="O19" s="2" t="s">
        <v>47</v>
      </c>
      <c r="T19" s="7"/>
    </row>
    <row r="20" spans="1:21" ht="20.100000000000001" customHeight="1" x14ac:dyDescent="0.25">
      <c r="A20" s="17"/>
      <c r="T20" s="7"/>
    </row>
    <row r="21" spans="1:21" ht="20.100000000000001" customHeight="1" x14ac:dyDescent="0.25">
      <c r="D21" s="61" t="s">
        <v>142</v>
      </c>
      <c r="E21" s="61" t="s">
        <v>104</v>
      </c>
      <c r="F21" s="61" t="s">
        <v>103</v>
      </c>
      <c r="G21" s="61" t="s">
        <v>127</v>
      </c>
      <c r="H21" s="61" t="s">
        <v>128</v>
      </c>
      <c r="I21" s="61" t="s">
        <v>129</v>
      </c>
      <c r="J21" s="61" t="s">
        <v>130</v>
      </c>
      <c r="K21" s="61" t="s">
        <v>131</v>
      </c>
      <c r="L21" s="61" t="s">
        <v>132</v>
      </c>
      <c r="M21" s="61" t="s">
        <v>133</v>
      </c>
      <c r="N21" s="61" t="s">
        <v>134</v>
      </c>
      <c r="T21" s="7"/>
    </row>
    <row r="22" spans="1:21" ht="20.100000000000001" customHeight="1" x14ac:dyDescent="0.25">
      <c r="A22" s="17"/>
      <c r="D22" s="1" t="str">
        <f>TEXT(X_Cell_Site_StartDate,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47</v>
      </c>
      <c r="T22" s="7"/>
    </row>
    <row r="23" spans="1:21" ht="20.100000000000001" customHeight="1" x14ac:dyDescent="0.25">
      <c r="A23" s="17"/>
      <c r="D23" s="1" t="str">
        <f>TEXT(EDATE(X_Cell_Site_StartDate,1),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47</v>
      </c>
      <c r="T23" s="7"/>
    </row>
    <row r="24" spans="1:21" ht="20.100000000000001" customHeight="1" x14ac:dyDescent="0.25">
      <c r="A24" s="17"/>
      <c r="D24" s="1" t="str">
        <f>TEXT(EDATE(X_Cell_Site_StartDate,2),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47</v>
      </c>
      <c r="T24" s="7"/>
    </row>
    <row r="25" spans="1:21" ht="20.100000000000001" customHeight="1" x14ac:dyDescent="0.25">
      <c r="D25" s="1" t="str">
        <f>TEXT(EDATE(X_Cell_Site_StartDate,3),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47</v>
      </c>
      <c r="T25" s="7"/>
    </row>
    <row r="26" spans="1:21" ht="20.100000000000001" customHeight="1" x14ac:dyDescent="0.25">
      <c r="A26" s="17"/>
      <c r="D26" s="1" t="str">
        <f>TEXT(EDATE(X_Cell_Site_StartDate,4),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47</v>
      </c>
      <c r="T26" s="7"/>
    </row>
    <row r="27" spans="1:21" ht="20.100000000000001" customHeight="1" x14ac:dyDescent="0.25">
      <c r="A27" s="17"/>
      <c r="D27" s="1" t="str">
        <f>TEXT(EDATE(X_Cell_Site_StartDate,5),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47</v>
      </c>
      <c r="T27" s="7"/>
    </row>
    <row r="28" spans="1:21" ht="20.100000000000001" customHeight="1" x14ac:dyDescent="0.25">
      <c r="A28" s="17"/>
      <c r="D28" s="1" t="str">
        <f>TEXT(EDATE(X_Cell_Site_StartDate,6),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47</v>
      </c>
      <c r="T28" s="7"/>
      <c r="U28" s="55" t="str">
        <f>TEXT(X_Cell_Site_StartDate,"mmmm")</f>
        <v>January</v>
      </c>
    </row>
    <row r="29" spans="1:21" ht="20.100000000000001" customHeight="1" x14ac:dyDescent="0.25">
      <c r="A29" s="17"/>
      <c r="D29" s="1" t="str">
        <f>TEXT(EDATE(X_Cell_Site_StartDate,7),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c r="U29" s="55" t="str">
        <f>TEXT(EDATE(X_Cell_Site_StartDate,1), "mmmm")</f>
        <v>February</v>
      </c>
    </row>
    <row r="30" spans="1:21" ht="20.100000000000001" customHeight="1" x14ac:dyDescent="0.25">
      <c r="A30" s="17"/>
      <c r="D30" s="1" t="str">
        <f>TEXT(EDATE(X_Cell_Site_StartDate,8),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47</v>
      </c>
      <c r="T30" s="7"/>
      <c r="U30" s="55" t="str">
        <f>TEXT(EDATE(X_Cell_Site_StartDate,2), "mmmm")</f>
        <v>March</v>
      </c>
    </row>
    <row r="31" spans="1:21" ht="20.100000000000001" customHeight="1" x14ac:dyDescent="0.25">
      <c r="A31" s="65"/>
      <c r="D31" s="1" t="str">
        <f>TEXT(EDATE(X_Cell_Site_StartDate,9),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47</v>
      </c>
      <c r="T31" s="7"/>
      <c r="U31" s="55" t="str">
        <f>TEXT(EDATE(X_Cell_Site_StartDate,3), "mmmm")</f>
        <v>April</v>
      </c>
    </row>
    <row r="32" spans="1:21" ht="20.100000000000001" customHeight="1" x14ac:dyDescent="0.25">
      <c r="A32" s="65"/>
      <c r="D32" s="1" t="str">
        <f>TEXT(EDATE(X_Cell_Site_StartDate,10),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47</v>
      </c>
      <c r="T32" s="7"/>
      <c r="U32" s="55" t="str">
        <f>TEXT(EDATE(X_Cell_Site_StartDate,4), "mmmm")</f>
        <v>May</v>
      </c>
    </row>
    <row r="33" spans="1:21" ht="20.100000000000001" customHeight="1" x14ac:dyDescent="0.25">
      <c r="A33" s="17"/>
      <c r="D33" s="1" t="str">
        <f>TEXT(EDATE(X_Cell_Site_StartDate,11),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47</v>
      </c>
      <c r="T33" s="7"/>
      <c r="U33" s="55" t="str">
        <f>TEXT(EDATE(X_Cell_Site_StartDate,5), "mmmm")</f>
        <v>June</v>
      </c>
    </row>
    <row r="34" spans="1:21" ht="20.100000000000001" customHeight="1" x14ac:dyDescent="0.25">
      <c r="T34" s="7"/>
      <c r="U34" s="55" t="str">
        <f>TEXT(EDATE(X_Cell_Site_StartDate,6), "mmmm")</f>
        <v>July</v>
      </c>
    </row>
    <row r="35" spans="1:21" ht="20.100000000000001" customHeight="1" x14ac:dyDescent="0.25">
      <c r="T35" s="7"/>
      <c r="U35" s="55" t="str">
        <f>TEXT(EDATE(X_Cell_Site_StartDate,7), "mmmm")</f>
        <v>August</v>
      </c>
    </row>
    <row r="36" spans="1:21" ht="20.100000000000001" customHeight="1" x14ac:dyDescent="0.25">
      <c r="D36" s="47" t="s">
        <v>82</v>
      </c>
      <c r="T36" s="7"/>
      <c r="U36" s="55" t="str">
        <f>TEXT(EDATE(X_Cell_Site_StartDate,8), "mmmm")</f>
        <v>September</v>
      </c>
    </row>
    <row r="37" spans="1:21" ht="20.100000000000001" customHeight="1" x14ac:dyDescent="0.25">
      <c r="D37" s="61" t="s">
        <v>108</v>
      </c>
      <c r="E37" s="61" t="s">
        <v>104</v>
      </c>
      <c r="F37" s="61" t="s">
        <v>103</v>
      </c>
      <c r="G37" s="61" t="s">
        <v>127</v>
      </c>
      <c r="H37" s="61" t="s">
        <v>128</v>
      </c>
      <c r="I37" s="61" t="s">
        <v>129</v>
      </c>
      <c r="J37" s="61" t="s">
        <v>130</v>
      </c>
      <c r="K37" s="61" t="s">
        <v>131</v>
      </c>
      <c r="L37" s="61" t="s">
        <v>132</v>
      </c>
      <c r="M37" s="61" t="s">
        <v>133</v>
      </c>
      <c r="N37" s="61" t="s">
        <v>134</v>
      </c>
      <c r="T37" s="7"/>
      <c r="U37" s="55" t="str">
        <f>TEXT(EDATE(X_Cell_Site_StartDate,9), "mmmm")</f>
        <v>October</v>
      </c>
    </row>
    <row r="38" spans="1:21" ht="20.100000000000001" customHeight="1" x14ac:dyDescent="0.25">
      <c r="D38" s="1" t="s">
        <v>135</v>
      </c>
      <c r="E38" s="64">
        <v>100</v>
      </c>
      <c r="F38" s="64">
        <v>100</v>
      </c>
      <c r="G38" s="64">
        <v>100</v>
      </c>
      <c r="H38" s="64">
        <v>100</v>
      </c>
      <c r="I38" s="64">
        <v>100</v>
      </c>
      <c r="J38" s="64">
        <v>100</v>
      </c>
      <c r="K38" s="64">
        <v>100</v>
      </c>
      <c r="L38" s="64">
        <v>100</v>
      </c>
      <c r="M38" s="64">
        <v>100</v>
      </c>
      <c r="N38" s="64">
        <v>100</v>
      </c>
      <c r="O38" s="2" t="s">
        <v>82</v>
      </c>
      <c r="T38" s="7"/>
      <c r="U38" s="55" t="str">
        <f>TEXT(EDATE(X_Cell_Site_StartDate,10), "mmmm")</f>
        <v>November</v>
      </c>
    </row>
    <row r="39" spans="1:21" ht="20.100000000000001" customHeight="1" x14ac:dyDescent="0.25">
      <c r="A39" s="17"/>
      <c r="D39" s="1" t="s">
        <v>136</v>
      </c>
      <c r="E39" s="64">
        <v>100</v>
      </c>
      <c r="F39" s="64">
        <v>100</v>
      </c>
      <c r="G39" s="64">
        <v>100</v>
      </c>
      <c r="H39" s="64">
        <v>100</v>
      </c>
      <c r="I39" s="64">
        <v>100</v>
      </c>
      <c r="J39" s="64">
        <v>100</v>
      </c>
      <c r="K39" s="64">
        <v>100</v>
      </c>
      <c r="L39" s="64">
        <v>100</v>
      </c>
      <c r="M39" s="64">
        <v>100</v>
      </c>
      <c r="N39" s="64">
        <v>100</v>
      </c>
      <c r="O39" s="2" t="s">
        <v>82</v>
      </c>
      <c r="T39" s="7"/>
      <c r="U39" s="55" t="str">
        <f>TEXT(EDATE(X_Cell_Site_StartDate,11), "mmmm")</f>
        <v>December</v>
      </c>
    </row>
    <row r="40" spans="1:21" ht="20.100000000000001" customHeight="1" x14ac:dyDescent="0.25">
      <c r="D40" s="1" t="s">
        <v>137</v>
      </c>
      <c r="E40" s="64">
        <v>100</v>
      </c>
      <c r="F40" s="64">
        <v>100</v>
      </c>
      <c r="G40" s="64">
        <v>100</v>
      </c>
      <c r="H40" s="64">
        <v>100</v>
      </c>
      <c r="I40" s="64">
        <v>100</v>
      </c>
      <c r="J40" s="64">
        <v>100</v>
      </c>
      <c r="K40" s="64">
        <v>100</v>
      </c>
      <c r="L40" s="64">
        <v>100</v>
      </c>
      <c r="M40" s="64">
        <v>100</v>
      </c>
      <c r="N40" s="64">
        <v>100</v>
      </c>
      <c r="O40" s="2" t="s">
        <v>82</v>
      </c>
      <c r="T40" s="7"/>
    </row>
    <row r="41" spans="1:21" ht="20.100000000000001" customHeight="1" x14ac:dyDescent="0.25">
      <c r="A41" s="43"/>
      <c r="D41" s="1" t="s">
        <v>138</v>
      </c>
      <c r="E41" s="64">
        <v>100</v>
      </c>
      <c r="F41" s="64">
        <v>100</v>
      </c>
      <c r="G41" s="64">
        <v>100</v>
      </c>
      <c r="H41" s="64">
        <v>100</v>
      </c>
      <c r="I41" s="64">
        <v>100</v>
      </c>
      <c r="J41" s="64">
        <v>100</v>
      </c>
      <c r="K41" s="64">
        <v>100</v>
      </c>
      <c r="L41" s="64">
        <v>100</v>
      </c>
      <c r="M41" s="64">
        <v>100</v>
      </c>
      <c r="N41" s="64">
        <v>100</v>
      </c>
      <c r="O41" s="2" t="s">
        <v>82</v>
      </c>
      <c r="T41" s="7"/>
    </row>
    <row r="42" spans="1:21" ht="20.100000000000001" customHeight="1" x14ac:dyDescent="0.25">
      <c r="O42" s="2"/>
      <c r="T42" s="7"/>
    </row>
    <row r="43" spans="1:21" ht="20.100000000000001" customHeight="1" x14ac:dyDescent="0.25">
      <c r="D43" s="61" t="s">
        <v>109</v>
      </c>
      <c r="E43" s="61" t="s">
        <v>104</v>
      </c>
      <c r="F43" s="61" t="s">
        <v>103</v>
      </c>
      <c r="G43" s="61" t="s">
        <v>127</v>
      </c>
      <c r="H43" s="61" t="s">
        <v>128</v>
      </c>
      <c r="I43" s="61" t="s">
        <v>129</v>
      </c>
      <c r="J43" s="61" t="s">
        <v>130</v>
      </c>
      <c r="K43" s="61" t="s">
        <v>131</v>
      </c>
      <c r="L43" s="61" t="s">
        <v>132</v>
      </c>
      <c r="M43" s="61" t="s">
        <v>133</v>
      </c>
      <c r="N43" s="61" t="s">
        <v>134</v>
      </c>
      <c r="O43" s="2"/>
      <c r="T43" s="7"/>
    </row>
    <row r="44" spans="1:21" ht="20.100000000000001" customHeight="1" x14ac:dyDescent="0.25">
      <c r="D44" s="1" t="str">
        <f>TEXT(X_Cell_Site_StartDate, "mmmm yyyy")</f>
        <v>January 2024</v>
      </c>
      <c r="E44" s="64">
        <v>100</v>
      </c>
      <c r="F44" s="64">
        <v>100</v>
      </c>
      <c r="G44" s="64">
        <v>100</v>
      </c>
      <c r="H44" s="64">
        <v>100</v>
      </c>
      <c r="I44" s="64">
        <v>100</v>
      </c>
      <c r="J44" s="64">
        <v>100</v>
      </c>
      <c r="K44" s="64">
        <v>100</v>
      </c>
      <c r="L44" s="64">
        <v>100</v>
      </c>
      <c r="M44" s="64">
        <v>100</v>
      </c>
      <c r="N44" s="64">
        <v>100</v>
      </c>
      <c r="O44" s="2" t="s">
        <v>82</v>
      </c>
      <c r="T44" s="7"/>
      <c r="U44" s="55" t="str">
        <f>TEXT(X_Cell_Site_StartDate,"mmmm")</f>
        <v>January</v>
      </c>
    </row>
    <row r="45" spans="1:21" ht="20.100000000000001" customHeight="1" x14ac:dyDescent="0.25">
      <c r="D45" s="1" t="str">
        <f>TEXT(EDATE(X_Cell_Site_StartDate,1), "mmmm yyyy")</f>
        <v>February 2024</v>
      </c>
      <c r="E45" s="64">
        <v>100</v>
      </c>
      <c r="F45" s="64">
        <v>100</v>
      </c>
      <c r="G45" s="64">
        <v>100</v>
      </c>
      <c r="H45" s="64">
        <v>100</v>
      </c>
      <c r="I45" s="64">
        <v>100</v>
      </c>
      <c r="J45" s="64">
        <v>100</v>
      </c>
      <c r="K45" s="64">
        <v>100</v>
      </c>
      <c r="L45" s="64">
        <v>100</v>
      </c>
      <c r="M45" s="64">
        <v>100</v>
      </c>
      <c r="N45" s="64">
        <v>100</v>
      </c>
      <c r="O45" s="2" t="s">
        <v>82</v>
      </c>
      <c r="T45" s="7"/>
      <c r="U45" s="55" t="str">
        <f>TEXT(EDATE(X_Cell_Site_StartDate,1), "mmmm")</f>
        <v>February</v>
      </c>
    </row>
    <row r="46" spans="1:21" ht="20.100000000000001" customHeight="1" x14ac:dyDescent="0.25">
      <c r="D46" s="1" t="str">
        <f>TEXT(EDATE(X_Cell_Site_StartDate,2), "mmmm yyyy")</f>
        <v>March 2024</v>
      </c>
      <c r="E46" s="64">
        <v>100</v>
      </c>
      <c r="F46" s="64">
        <v>100</v>
      </c>
      <c r="G46" s="64">
        <v>100</v>
      </c>
      <c r="H46" s="64">
        <v>100</v>
      </c>
      <c r="I46" s="64">
        <v>100</v>
      </c>
      <c r="J46" s="64">
        <v>100</v>
      </c>
      <c r="K46" s="64">
        <v>100</v>
      </c>
      <c r="L46" s="64">
        <v>100</v>
      </c>
      <c r="M46" s="64">
        <v>100</v>
      </c>
      <c r="N46" s="64">
        <v>100</v>
      </c>
      <c r="O46" s="2" t="s">
        <v>82</v>
      </c>
      <c r="T46" s="7"/>
      <c r="U46" s="55" t="str">
        <f>TEXT(EDATE(X_Cell_Site_StartDate,2), "mmmm")</f>
        <v>March</v>
      </c>
    </row>
    <row r="47" spans="1:21" ht="20.100000000000001" customHeight="1" x14ac:dyDescent="0.25">
      <c r="D47" s="1" t="str">
        <f>TEXT(EDATE(X_Cell_Site_StartDate,3), "mmmm yyyy")</f>
        <v>April 2024</v>
      </c>
      <c r="E47" s="64">
        <v>100</v>
      </c>
      <c r="F47" s="64">
        <v>100</v>
      </c>
      <c r="G47" s="64">
        <v>100</v>
      </c>
      <c r="H47" s="64">
        <v>100</v>
      </c>
      <c r="I47" s="64">
        <v>100</v>
      </c>
      <c r="J47" s="64">
        <v>100</v>
      </c>
      <c r="K47" s="64">
        <v>100</v>
      </c>
      <c r="L47" s="64">
        <v>100</v>
      </c>
      <c r="M47" s="64">
        <v>100</v>
      </c>
      <c r="N47" s="64">
        <v>100</v>
      </c>
      <c r="O47" s="2" t="s">
        <v>82</v>
      </c>
      <c r="T47" s="7"/>
      <c r="U47" s="55" t="str">
        <f>TEXT(EDATE(X_Cell_Site_StartDate,3), "mmmm")</f>
        <v>April</v>
      </c>
    </row>
    <row r="48" spans="1:21" ht="20.100000000000001" customHeight="1" x14ac:dyDescent="0.25">
      <c r="D48" s="1" t="str">
        <f>TEXT(EDATE(X_Cell_Site_StartDate,4), "mmmm yyyy")</f>
        <v>May 2024</v>
      </c>
      <c r="E48" s="64">
        <v>100</v>
      </c>
      <c r="F48" s="64">
        <v>100</v>
      </c>
      <c r="G48" s="64">
        <v>100</v>
      </c>
      <c r="H48" s="64">
        <v>100</v>
      </c>
      <c r="I48" s="64">
        <v>100</v>
      </c>
      <c r="J48" s="64">
        <v>100</v>
      </c>
      <c r="K48" s="64">
        <v>100</v>
      </c>
      <c r="L48" s="64">
        <v>100</v>
      </c>
      <c r="M48" s="64">
        <v>100</v>
      </c>
      <c r="N48" s="64">
        <v>100</v>
      </c>
      <c r="O48" s="2" t="s">
        <v>82</v>
      </c>
      <c r="T48" s="7"/>
      <c r="U48" s="55" t="str">
        <f>TEXT(EDATE(X_Cell_Site_StartDate,4), "mmmm")</f>
        <v>May</v>
      </c>
    </row>
    <row r="49" spans="4:21" ht="20.100000000000001" customHeight="1" x14ac:dyDescent="0.25">
      <c r="D49" s="1" t="str">
        <f>TEXT(EDATE(X_Cell_Site_StartDate,5), "mmmm yyyy")</f>
        <v>June 2024</v>
      </c>
      <c r="E49" s="64">
        <v>100</v>
      </c>
      <c r="F49" s="64">
        <v>100</v>
      </c>
      <c r="G49" s="64">
        <v>100</v>
      </c>
      <c r="H49" s="64">
        <v>100</v>
      </c>
      <c r="I49" s="64">
        <v>100</v>
      </c>
      <c r="J49" s="64">
        <v>100</v>
      </c>
      <c r="K49" s="64">
        <v>100</v>
      </c>
      <c r="L49" s="64">
        <v>100</v>
      </c>
      <c r="M49" s="64">
        <v>100</v>
      </c>
      <c r="N49" s="64">
        <v>100</v>
      </c>
      <c r="O49" s="2" t="s">
        <v>82</v>
      </c>
      <c r="T49" s="7"/>
      <c r="U49" s="55" t="str">
        <f>TEXT(EDATE(X_Cell_Site_StartDate,5), "mmmm")</f>
        <v>June</v>
      </c>
    </row>
    <row r="50" spans="4:21" ht="20.100000000000001" customHeight="1" x14ac:dyDescent="0.25">
      <c r="D50" s="1" t="str">
        <f>TEXT(EDATE(X_Cell_Site_StartDate,6), "mmmm yyyy")</f>
        <v>July 2024</v>
      </c>
      <c r="E50" s="64">
        <v>100</v>
      </c>
      <c r="F50" s="64">
        <v>100</v>
      </c>
      <c r="G50" s="64">
        <v>100</v>
      </c>
      <c r="H50" s="64">
        <v>100</v>
      </c>
      <c r="I50" s="64">
        <v>100</v>
      </c>
      <c r="J50" s="64">
        <v>100</v>
      </c>
      <c r="K50" s="64">
        <v>100</v>
      </c>
      <c r="L50" s="64">
        <v>100</v>
      </c>
      <c r="M50" s="64">
        <v>100</v>
      </c>
      <c r="N50" s="64">
        <v>100</v>
      </c>
      <c r="O50" s="2" t="s">
        <v>82</v>
      </c>
      <c r="P50" s="3"/>
      <c r="T50" s="7"/>
      <c r="U50" s="55" t="str">
        <f>TEXT(EDATE(X_Cell_Site_StartDate,6), "mmmm")</f>
        <v>July</v>
      </c>
    </row>
    <row r="51" spans="4:21" ht="20.100000000000001" customHeight="1" x14ac:dyDescent="0.25">
      <c r="D51" s="1" t="str">
        <f>TEXT(EDATE(X_Cell_Site_StartDate,7), "mmmm yyyy")</f>
        <v>August 2024</v>
      </c>
      <c r="E51" s="64">
        <v>100</v>
      </c>
      <c r="F51" s="64">
        <v>100</v>
      </c>
      <c r="G51" s="64">
        <v>100</v>
      </c>
      <c r="H51" s="64">
        <v>100</v>
      </c>
      <c r="I51" s="64">
        <v>100</v>
      </c>
      <c r="J51" s="64">
        <v>100</v>
      </c>
      <c r="K51" s="64">
        <v>100</v>
      </c>
      <c r="L51" s="64">
        <v>100</v>
      </c>
      <c r="M51" s="64">
        <v>100</v>
      </c>
      <c r="N51" s="64">
        <v>100</v>
      </c>
      <c r="O51" s="2" t="s">
        <v>82</v>
      </c>
      <c r="P51" s="3"/>
      <c r="T51" s="7"/>
      <c r="U51" s="55" t="str">
        <f>TEXT(EDATE(X_Cell_Site_StartDate,7), "mmmm")</f>
        <v>August</v>
      </c>
    </row>
    <row r="52" spans="4:21" ht="20.100000000000001" customHeight="1" x14ac:dyDescent="0.25">
      <c r="D52" s="1" t="str">
        <f>TEXT(EDATE(X_Cell_Site_StartDate,8), "mmmm yyyy")</f>
        <v>September 2024</v>
      </c>
      <c r="E52" s="64">
        <v>100</v>
      </c>
      <c r="F52" s="64">
        <v>100</v>
      </c>
      <c r="G52" s="64">
        <v>100</v>
      </c>
      <c r="H52" s="64">
        <v>100</v>
      </c>
      <c r="I52" s="64">
        <v>100</v>
      </c>
      <c r="J52" s="64">
        <v>100</v>
      </c>
      <c r="K52" s="64">
        <v>100</v>
      </c>
      <c r="L52" s="64">
        <v>100</v>
      </c>
      <c r="M52" s="64">
        <v>100</v>
      </c>
      <c r="N52" s="64">
        <v>100</v>
      </c>
      <c r="O52" s="2" t="s">
        <v>82</v>
      </c>
      <c r="P52" s="3"/>
      <c r="T52" s="7"/>
      <c r="U52" s="55" t="str">
        <f>TEXT(EDATE(X_Cell_Site_StartDate,8), "mmmm")</f>
        <v>September</v>
      </c>
    </row>
    <row r="53" spans="4:21" ht="20.100000000000001" customHeight="1" x14ac:dyDescent="0.25">
      <c r="D53" s="1" t="str">
        <f>TEXT(EDATE(X_Cell_Site_StartDate,9), "mmmm yyyy")</f>
        <v>October 2024</v>
      </c>
      <c r="E53" s="64">
        <v>100</v>
      </c>
      <c r="F53" s="64">
        <v>100</v>
      </c>
      <c r="G53" s="64">
        <v>100</v>
      </c>
      <c r="H53" s="64">
        <v>100</v>
      </c>
      <c r="I53" s="64">
        <v>100</v>
      </c>
      <c r="J53" s="64">
        <v>100</v>
      </c>
      <c r="K53" s="64">
        <v>100</v>
      </c>
      <c r="L53" s="64">
        <v>100</v>
      </c>
      <c r="M53" s="64">
        <v>100</v>
      </c>
      <c r="N53" s="64">
        <v>100</v>
      </c>
      <c r="O53" s="2" t="s">
        <v>82</v>
      </c>
      <c r="P53" s="3"/>
      <c r="T53" s="7"/>
      <c r="U53" s="55" t="str">
        <f>TEXT(EDATE(X_Cell_Site_StartDate,9), "mmmm")</f>
        <v>October</v>
      </c>
    </row>
    <row r="54" spans="4:21" ht="20.100000000000001" customHeight="1" x14ac:dyDescent="0.25">
      <c r="D54" s="1" t="str">
        <f>TEXT(EDATE(X_Cell_Site_StartDate,10), "mmmm yyyy")</f>
        <v>November 2024</v>
      </c>
      <c r="E54" s="64">
        <v>100</v>
      </c>
      <c r="F54" s="64">
        <v>100</v>
      </c>
      <c r="G54" s="64">
        <v>100</v>
      </c>
      <c r="H54" s="64">
        <v>100</v>
      </c>
      <c r="I54" s="64">
        <v>100</v>
      </c>
      <c r="J54" s="64">
        <v>100</v>
      </c>
      <c r="K54" s="64">
        <v>100</v>
      </c>
      <c r="L54" s="64">
        <v>100</v>
      </c>
      <c r="M54" s="64">
        <v>100</v>
      </c>
      <c r="N54" s="64">
        <v>100</v>
      </c>
      <c r="O54" s="2" t="s">
        <v>82</v>
      </c>
      <c r="P54" s="3"/>
      <c r="T54" s="7"/>
      <c r="U54" s="55" t="str">
        <f>TEXT(EDATE(X_Cell_Site_StartDate,10), "mmmm")</f>
        <v>November</v>
      </c>
    </row>
    <row r="55" spans="4:21" ht="20.100000000000001" customHeight="1" x14ac:dyDescent="0.25">
      <c r="D55" s="1" t="str">
        <f>TEXT(EDATE(X_Cell_Site_StartDate,11), "mmmm yyyy")</f>
        <v>December 2024</v>
      </c>
      <c r="E55" s="64">
        <v>100</v>
      </c>
      <c r="F55" s="64">
        <v>100</v>
      </c>
      <c r="G55" s="64">
        <v>100</v>
      </c>
      <c r="H55" s="64">
        <v>100</v>
      </c>
      <c r="I55" s="64">
        <v>100</v>
      </c>
      <c r="J55" s="64">
        <v>100</v>
      </c>
      <c r="K55" s="64">
        <v>100</v>
      </c>
      <c r="L55" s="64">
        <v>100</v>
      </c>
      <c r="M55" s="64">
        <v>100</v>
      </c>
      <c r="N55" s="64">
        <v>100</v>
      </c>
      <c r="O55" s="2" t="s">
        <v>82</v>
      </c>
      <c r="P55" s="3"/>
      <c r="T55" s="7"/>
      <c r="U55" s="55" t="str">
        <f>TEXT(EDATE(X_Cell_Site_StartDate,11), "mmmm")</f>
        <v>December</v>
      </c>
    </row>
    <row r="56" spans="4:21" ht="20.100000000000001" customHeight="1" x14ac:dyDescent="0.25">
      <c r="P56" s="3"/>
      <c r="T56" s="7"/>
    </row>
    <row r="57" spans="4:21" ht="20.100000000000001" customHeight="1" x14ac:dyDescent="0.25">
      <c r="P57" s="3"/>
      <c r="T57" s="7"/>
    </row>
    <row r="58" spans="4:21" ht="20.100000000000001" customHeight="1" x14ac:dyDescent="0.25">
      <c r="D58" s="47" t="s">
        <v>112</v>
      </c>
      <c r="P58" s="3"/>
      <c r="T58" s="7"/>
    </row>
    <row r="59" spans="4:21" ht="20.100000000000001" customHeight="1" x14ac:dyDescent="0.25">
      <c r="D59" s="61" t="s">
        <v>141</v>
      </c>
      <c r="E59" s="61" t="s">
        <v>104</v>
      </c>
      <c r="F59" s="61" t="s">
        <v>103</v>
      </c>
      <c r="G59" s="61" t="s">
        <v>127</v>
      </c>
      <c r="H59" s="61" t="s">
        <v>128</v>
      </c>
      <c r="I59" s="61" t="s">
        <v>129</v>
      </c>
      <c r="J59" s="61" t="s">
        <v>130</v>
      </c>
      <c r="K59" s="61" t="s">
        <v>131</v>
      </c>
      <c r="L59" s="61" t="s">
        <v>132</v>
      </c>
      <c r="M59" s="61" t="s">
        <v>133</v>
      </c>
      <c r="N59" s="61" t="s">
        <v>134</v>
      </c>
      <c r="P59" s="3"/>
      <c r="T59" s="7"/>
    </row>
    <row r="60" spans="4:21" ht="20.100000000000001" customHeight="1" x14ac:dyDescent="0.25">
      <c r="D60" s="1" t="s">
        <v>135</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106</v>
      </c>
      <c r="P60" s="3"/>
      <c r="T60" s="7"/>
      <c r="U60" s="55" t="str">
        <f>TEXT(X_Cell_Site_StartDate,"mmmm")</f>
        <v>January</v>
      </c>
    </row>
    <row r="61" spans="4:21" ht="20.100000000000001" customHeight="1" x14ac:dyDescent="0.25">
      <c r="D61" s="1" t="s">
        <v>136</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106</v>
      </c>
      <c r="P61" s="3"/>
      <c r="T61" s="7"/>
      <c r="U61" s="55" t="str">
        <f>TEXT(EDATE(X_Cell_Site_StartDate,1), "mmmm")</f>
        <v>February</v>
      </c>
    </row>
    <row r="62" spans="4:21" ht="20.100000000000001" customHeight="1" x14ac:dyDescent="0.25">
      <c r="D62" s="1" t="s">
        <v>137</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106</v>
      </c>
      <c r="P62" s="3"/>
      <c r="T62" s="7"/>
      <c r="U62" s="55" t="str">
        <f>TEXT(EDATE(X_Cell_Site_StartDate,2), "mmmm")</f>
        <v>March</v>
      </c>
    </row>
    <row r="63" spans="4:21" ht="20.100000000000001" customHeight="1" x14ac:dyDescent="0.25">
      <c r="D63" s="1" t="s">
        <v>138</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106</v>
      </c>
      <c r="P63" s="3"/>
      <c r="T63" s="7"/>
      <c r="U63" s="55" t="str">
        <f>TEXT(EDATE(X_Cell_Site_StartDate,3), "mmmm")</f>
        <v>April</v>
      </c>
    </row>
    <row r="64" spans="4:21" ht="20.100000000000001" customHeight="1" x14ac:dyDescent="0.25">
      <c r="O64" s="2"/>
      <c r="P64" s="3"/>
      <c r="T64" s="7"/>
      <c r="U64" s="55" t="str">
        <f>TEXT(EDATE(X_Cell_Site_StartDate,4), "mmmm")</f>
        <v>May</v>
      </c>
    </row>
    <row r="65" spans="4:21" ht="20.100000000000001" customHeight="1" x14ac:dyDescent="0.25">
      <c r="D65" s="61" t="s">
        <v>142</v>
      </c>
      <c r="E65" s="61" t="s">
        <v>104</v>
      </c>
      <c r="F65" s="61" t="s">
        <v>103</v>
      </c>
      <c r="G65" s="61" t="s">
        <v>127</v>
      </c>
      <c r="H65" s="61" t="s">
        <v>128</v>
      </c>
      <c r="I65" s="61" t="s">
        <v>129</v>
      </c>
      <c r="J65" s="61" t="s">
        <v>130</v>
      </c>
      <c r="K65" s="61" t="s">
        <v>131</v>
      </c>
      <c r="L65" s="61" t="s">
        <v>132</v>
      </c>
      <c r="M65" s="61" t="s">
        <v>133</v>
      </c>
      <c r="N65" s="61" t="s">
        <v>134</v>
      </c>
      <c r="O65" s="2"/>
      <c r="P65" s="3"/>
      <c r="T65" s="7"/>
      <c r="U65" s="55" t="str">
        <f>TEXT(EDATE(X_Cell_Site_StartDate,5), "mmmm")</f>
        <v>June</v>
      </c>
    </row>
    <row r="66" spans="4:21" ht="20.100000000000001" customHeight="1" x14ac:dyDescent="0.25">
      <c r="D66" s="1" t="str">
        <f>TEXT(X_Cell_Site_StartDate,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106</v>
      </c>
      <c r="P66" s="3"/>
      <c r="T66" s="7"/>
      <c r="U66" s="55" t="str">
        <f>TEXT(EDATE(X_Cell_Site_StartDate,6), "mmmm")</f>
        <v>July</v>
      </c>
    </row>
    <row r="67" spans="4:21" ht="20.100000000000001" customHeight="1" x14ac:dyDescent="0.25">
      <c r="D67" s="1" t="str">
        <f>TEXT(EDATE(X_Cell_Site_StartDate,1),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c r="U67" s="55" t="str">
        <f>TEXT(EDATE(X_Cell_Site_StartDate,7), "mmmm")</f>
        <v>August</v>
      </c>
    </row>
    <row r="68" spans="4:21" ht="20.100000000000001" customHeight="1" x14ac:dyDescent="0.25">
      <c r="D68" s="1" t="str">
        <f>TEXT(EDATE(X_Cell_Site_StartDate,2),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106</v>
      </c>
      <c r="P68" s="3"/>
      <c r="T68" s="7"/>
      <c r="U68" s="55" t="str">
        <f>TEXT(EDATE(X_Cell_Site_StartDate,8), "mmmm")</f>
        <v>September</v>
      </c>
    </row>
    <row r="69" spans="4:21" ht="20.100000000000001" customHeight="1" x14ac:dyDescent="0.25">
      <c r="D69" s="1" t="str">
        <f>TEXT(EDATE(X_Cell_Site_StartDate,3),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c r="U69" s="55" t="str">
        <f>TEXT(EDATE(X_Cell_Site_StartDate,9), "mmmm")</f>
        <v>October</v>
      </c>
    </row>
    <row r="70" spans="4:21" ht="20.100000000000001" customHeight="1" x14ac:dyDescent="0.25">
      <c r="D70" s="1" t="str">
        <f>TEXT(EDATE(X_Cell_Site_StartDate,4),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c r="U70" s="55" t="str">
        <f>TEXT(EDATE(X_Cell_Site_StartDate,10), "mmmm")</f>
        <v>November</v>
      </c>
    </row>
    <row r="71" spans="4:21" ht="20.100000000000001" customHeight="1" x14ac:dyDescent="0.25">
      <c r="D71" s="1" t="str">
        <f>TEXT(EDATE(X_Cell_Site_StartDate,5),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106</v>
      </c>
      <c r="P71" s="3"/>
      <c r="T71" s="7"/>
      <c r="U71" s="55" t="str">
        <f>TEXT(EDATE(X_Cell_Site_StartDate,11), "mmmm")</f>
        <v>December</v>
      </c>
    </row>
    <row r="72" spans="4:21" ht="20.100000000000001" customHeight="1" x14ac:dyDescent="0.25">
      <c r="D72" s="1" t="str">
        <f>TEXT(EDATE(X_Cell_Site_StartDate,6),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1" ht="20.100000000000001" customHeight="1" x14ac:dyDescent="0.25">
      <c r="D73" s="1" t="str">
        <f>TEXT(EDATE(X_Cell_Site_StartDate,7),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1" ht="20.100000000000001" customHeight="1" x14ac:dyDescent="0.25">
      <c r="D74" s="1" t="str">
        <f>TEXT(EDATE(X_Cell_Site_StartDate,8),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106</v>
      </c>
      <c r="T74" s="7"/>
    </row>
    <row r="75" spans="4:21" ht="20.100000000000001" customHeight="1" x14ac:dyDescent="0.25">
      <c r="D75" s="1" t="str">
        <f>TEXT(EDATE(X_Cell_Site_StartDate,9),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1" ht="20.100000000000001" customHeight="1" x14ac:dyDescent="0.25">
      <c r="D76" s="1" t="str">
        <f>TEXT(EDATE(X_Cell_Site_StartDate,10),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c r="U76" s="55" t="str">
        <f>TEXT(X_Cell_Site_StartDate, "mmmm yyyy")</f>
        <v>January 2024</v>
      </c>
    </row>
    <row r="77" spans="4:21" ht="20.100000000000001" customHeight="1" x14ac:dyDescent="0.25">
      <c r="D77" s="1" t="str">
        <f>TEXT(EDATE(X_Cell_Site_StartDate,11),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106</v>
      </c>
      <c r="T77" s="7"/>
      <c r="U77" s="55" t="str">
        <f>TEXT(EDATE(X_Cell_Site_StartDate,1), "mmmm yyyy")</f>
        <v>February 2024</v>
      </c>
    </row>
    <row r="78" spans="4:21" ht="20.100000000000001" customHeight="1" x14ac:dyDescent="0.25">
      <c r="T78" s="7"/>
      <c r="U78" s="55" t="str">
        <f>TEXT(EDATE(X_Cell_Site_StartDate,2), "mmmm yyyy")</f>
        <v>March 2024</v>
      </c>
    </row>
    <row r="79" spans="4:21" ht="20.100000000000001" customHeight="1" x14ac:dyDescent="0.25">
      <c r="T79" s="7"/>
      <c r="U79" s="55" t="str">
        <f>TEXT(EDATE(X_Cell_Site_StartDate,3), "mmmm yyyy")</f>
        <v>April 2024</v>
      </c>
    </row>
    <row r="80" spans="4:21" ht="20.100000000000001" customHeight="1" x14ac:dyDescent="0.25">
      <c r="D80" s="47" t="s">
        <v>139</v>
      </c>
      <c r="T80" s="7"/>
      <c r="U80" s="55" t="str">
        <f>TEXT(EDATE(X_Cell_Site_StartDate,4), "mmmm yyyy")</f>
        <v>May 2024</v>
      </c>
    </row>
    <row r="81" spans="4:21" ht="20.100000000000001" customHeight="1" x14ac:dyDescent="0.25">
      <c r="D81" s="61" t="s">
        <v>141</v>
      </c>
      <c r="E81" s="61" t="s">
        <v>104</v>
      </c>
      <c r="F81" s="61" t="s">
        <v>103</v>
      </c>
      <c r="G81" s="61" t="s">
        <v>127</v>
      </c>
      <c r="H81" s="61" t="s">
        <v>128</v>
      </c>
      <c r="I81" s="61" t="s">
        <v>129</v>
      </c>
      <c r="J81" s="61" t="s">
        <v>130</v>
      </c>
      <c r="K81" s="61" t="s">
        <v>131</v>
      </c>
      <c r="L81" s="61" t="s">
        <v>132</v>
      </c>
      <c r="M81" s="61" t="s">
        <v>133</v>
      </c>
      <c r="N81" s="61" t="s">
        <v>134</v>
      </c>
      <c r="T81" s="7"/>
      <c r="U81" s="55" t="str">
        <f>TEXT(EDATE(X_Cell_Site_StartDate,5), "mmmm yyyy")</f>
        <v>June 2024</v>
      </c>
    </row>
    <row r="82" spans="4:21" ht="20.100000000000001" customHeight="1" x14ac:dyDescent="0.25">
      <c r="D82" s="1" t="s">
        <v>135</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107</v>
      </c>
      <c r="T82" s="7"/>
      <c r="U82" s="55" t="str">
        <f>TEXT(EDATE(X_Cell_Site_StartDate,6), "mmmm yyyy")</f>
        <v>July 2024</v>
      </c>
    </row>
    <row r="83" spans="4:21" ht="20.100000000000001" customHeight="1" x14ac:dyDescent="0.25">
      <c r="D83" s="1" t="s">
        <v>136</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107</v>
      </c>
      <c r="T83" s="7"/>
      <c r="U83" s="55" t="str">
        <f>TEXT(EDATE(X_Cell_Site_StartDate,7), "mmmm yyyy")</f>
        <v>August 2024</v>
      </c>
    </row>
    <row r="84" spans="4:21" ht="20.100000000000001" customHeight="1" x14ac:dyDescent="0.25">
      <c r="D84" s="1" t="s">
        <v>137</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107</v>
      </c>
      <c r="T84" s="7"/>
      <c r="U84" s="55" t="str">
        <f>TEXT(EDATE(X_Cell_Site_StartDate,8), "mmmm yyyy")</f>
        <v>September 2024</v>
      </c>
    </row>
    <row r="85" spans="4:21" ht="20.100000000000001" customHeight="1" x14ac:dyDescent="0.25">
      <c r="D85" s="1" t="s">
        <v>138</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107</v>
      </c>
      <c r="T85" s="7"/>
      <c r="U85" s="55" t="str">
        <f>TEXT(EDATE(X_Cell_Site_StartDate,9), "mmmm yyyy")</f>
        <v>October 2024</v>
      </c>
    </row>
    <row r="86" spans="4:21" ht="20.100000000000001" customHeight="1" x14ac:dyDescent="0.25">
      <c r="O86" s="2"/>
      <c r="T86" s="7"/>
      <c r="U86" s="55" t="str">
        <f>TEXT(EDATE(X_Cell_Site_StartDate,10), "mmmm yyyy")</f>
        <v>November 2024</v>
      </c>
    </row>
    <row r="87" spans="4:21" ht="20.100000000000001" customHeight="1" x14ac:dyDescent="0.25">
      <c r="D87" s="61" t="s">
        <v>142</v>
      </c>
      <c r="E87" s="61" t="s">
        <v>104</v>
      </c>
      <c r="F87" s="61" t="s">
        <v>103</v>
      </c>
      <c r="G87" s="61" t="s">
        <v>127</v>
      </c>
      <c r="H87" s="61" t="s">
        <v>128</v>
      </c>
      <c r="I87" s="61" t="s">
        <v>129</v>
      </c>
      <c r="J87" s="61" t="s">
        <v>130</v>
      </c>
      <c r="K87" s="61" t="s">
        <v>131</v>
      </c>
      <c r="L87" s="61" t="s">
        <v>132</v>
      </c>
      <c r="M87" s="61" t="s">
        <v>133</v>
      </c>
      <c r="N87" s="61" t="s">
        <v>134</v>
      </c>
      <c r="O87" s="2"/>
      <c r="T87" s="7"/>
      <c r="U87" s="55" t="str">
        <f>TEXT(EDATE(X_Cell_Site_StartDate,11), "mmmm yyyy")</f>
        <v>December 2024</v>
      </c>
    </row>
    <row r="88" spans="4:21" ht="20.100000000000001" customHeight="1" x14ac:dyDescent="0.25">
      <c r="D88" s="1" t="str">
        <f>TEXT(X_Cell_Site_StartDate,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107</v>
      </c>
      <c r="T88" s="7"/>
    </row>
    <row r="89" spans="4:21" ht="20.100000000000001" customHeight="1" x14ac:dyDescent="0.25">
      <c r="D89" s="1" t="str">
        <f>TEXT(EDATE(X_Cell_Site_StartDate,1),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1" ht="20.100000000000001" customHeight="1" x14ac:dyDescent="0.25">
      <c r="D90" s="1" t="str">
        <f>TEXT(EDATE(X_Cell_Site_StartDate,2),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107</v>
      </c>
      <c r="T90" s="7"/>
    </row>
    <row r="91" spans="4:21" ht="20.100000000000001" customHeight="1" x14ac:dyDescent="0.25">
      <c r="D91" s="1" t="str">
        <f>TEXT(EDATE(X_Cell_Site_StartDate,3),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1" ht="20.100000000000001" customHeight="1" x14ac:dyDescent="0.25">
      <c r="D92" s="1" t="str">
        <f>TEXT(EDATE(X_Cell_Site_StartDate,4),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1" ht="20.100000000000001" customHeight="1" x14ac:dyDescent="0.25">
      <c r="D93" s="1" t="str">
        <f>TEXT(EDATE(X_Cell_Site_StartDate,5),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107</v>
      </c>
      <c r="T93" s="7"/>
    </row>
    <row r="94" spans="4:21" ht="20.100000000000001" customHeight="1" x14ac:dyDescent="0.25">
      <c r="D94" s="1" t="str">
        <f>TEXT(EDATE(X_Cell_Site_StartDate,6),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1" ht="20.100000000000001" customHeight="1" x14ac:dyDescent="0.25">
      <c r="D95" s="1" t="str">
        <f>TEXT(EDATE(X_Cell_Site_StartDate,7),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1" ht="20.100000000000001" customHeight="1" x14ac:dyDescent="0.25">
      <c r="D96" s="1" t="str">
        <f>TEXT(EDATE(X_Cell_Site_StartDate,8),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107</v>
      </c>
      <c r="T96" s="7"/>
    </row>
    <row r="97" spans="4:21" ht="20.100000000000001" customHeight="1" x14ac:dyDescent="0.25">
      <c r="D97" s="1" t="str">
        <f>TEXT(EDATE(X_Cell_Site_StartDate,9),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c r="U97" s="55" t="str">
        <f>TEXT(X_Cell_Site_StartDate, "mmmm yyyy")</f>
        <v>January 2024</v>
      </c>
    </row>
    <row r="98" spans="4:21" ht="20.100000000000001" customHeight="1" x14ac:dyDescent="0.25">
      <c r="D98" s="1" t="str">
        <f>TEXT(EDATE(X_Cell_Site_StartDate,10),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c r="U98" s="55" t="str">
        <f>TEXT(EDATE(X_Cell_Site_StartDate,1), "mmmm yyyy")</f>
        <v>February 2024</v>
      </c>
    </row>
    <row r="99" spans="4:21" ht="20.100000000000001" customHeight="1" x14ac:dyDescent="0.25">
      <c r="D99" s="1" t="str">
        <f>TEXT(EDATE(X_Cell_Site_StartDate,11),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107</v>
      </c>
      <c r="T99" s="7"/>
      <c r="U99" s="55" t="str">
        <f>TEXT(EDATE(X_Cell_Site_StartDate,2), "mmmm yyyy")</f>
        <v>March 2024</v>
      </c>
    </row>
    <row r="100" spans="4:21" ht="20.100000000000001" customHeight="1" x14ac:dyDescent="0.25">
      <c r="T100" s="7"/>
      <c r="U100" s="55" t="str">
        <f>TEXT(EDATE(X_Cell_Site_StartDate,3), "mmmm yyyy")</f>
        <v>April 2024</v>
      </c>
    </row>
    <row r="101" spans="4:21" ht="20.100000000000001" customHeight="1" x14ac:dyDescent="0.25">
      <c r="T101" s="7"/>
      <c r="U101" s="55" t="str">
        <f>TEXT(EDATE(X_Cell_Site_StartDate,4), "mmmm yyyy")</f>
        <v>May 2024</v>
      </c>
    </row>
    <row r="102" spans="4:21" ht="20.100000000000001" customHeight="1" x14ac:dyDescent="0.25">
      <c r="D102" s="47" t="s">
        <v>191</v>
      </c>
      <c r="K102" s="2"/>
      <c r="L102" s="2"/>
      <c r="M102" s="2"/>
      <c r="N102" s="2"/>
      <c r="O102" s="2"/>
      <c r="T102" s="7"/>
      <c r="U102" s="55" t="str">
        <f>TEXT(EDATE(X_Cell_Site_StartDate,5), "mmmm yyyy")</f>
        <v>June 2024</v>
      </c>
    </row>
    <row r="103" spans="4:21" ht="20.100000000000001" customHeight="1" x14ac:dyDescent="0.25">
      <c r="D103" s="61" t="s">
        <v>108</v>
      </c>
      <c r="E103" s="61"/>
      <c r="F103" s="61"/>
      <c r="G103" s="61"/>
      <c r="T103" s="7"/>
      <c r="U103" s="55" t="str">
        <f>TEXT(EDATE(X_Cell_Site_StartDate,6), "mmmm yyyy")</f>
        <v>July 2024</v>
      </c>
    </row>
    <row r="104" spans="4:21" ht="20.100000000000001" customHeight="1" x14ac:dyDescent="0.25">
      <c r="D104" s="1" t="s">
        <v>208</v>
      </c>
      <c r="E104" s="38" t="s">
        <v>138</v>
      </c>
      <c r="F104" s="2" t="s">
        <v>8</v>
      </c>
      <c r="T104" s="7"/>
      <c r="U104" s="55" t="str">
        <f>TEXT(EDATE(X_Cell_Site_StartDate,7), "mmmm yyyy")</f>
        <v>August 2024</v>
      </c>
    </row>
    <row r="105" spans="4:21" ht="20.100000000000001" customHeight="1" x14ac:dyDescent="0.25">
      <c r="T105" s="7"/>
      <c r="U105" s="55" t="str">
        <f>TEXT(EDATE(X_Cell_Site_StartDate,8), "mmmm yyyy")</f>
        <v>September 2024</v>
      </c>
    </row>
    <row r="106" spans="4:21" ht="20.100000000000001" customHeight="1" x14ac:dyDescent="0.25">
      <c r="E106" s="61" t="s">
        <v>128</v>
      </c>
      <c r="F106" s="61" t="s">
        <v>129</v>
      </c>
      <c r="G106" s="61" t="s">
        <v>130</v>
      </c>
      <c r="L106" s="2"/>
      <c r="M106" s="2"/>
      <c r="N106" s="2"/>
      <c r="O106" s="2"/>
      <c r="T106" s="7"/>
      <c r="U106" s="55" t="str">
        <f>TEXT(EDATE(X_Cell_Site_StartDate,9), "mmmm yyyy")</f>
        <v>October 2024</v>
      </c>
    </row>
    <row r="107" spans="4:21"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c r="U107" s="55" t="str">
        <f>TEXT(EDATE(X_Cell_Site_StartDate,10), "mmmm yyyy")</f>
        <v>November 2024</v>
      </c>
    </row>
    <row r="108" spans="4:21" ht="20.100000000000001" customHeight="1" x14ac:dyDescent="0.25">
      <c r="U108" s="55" t="str">
        <f>TEXT(EDATE(X_Cell_Site_StartDate,11), "mmmm yyyy")</f>
        <v>December 2024</v>
      </c>
    </row>
    <row r="109" spans="4:21" ht="20.100000000000001" customHeight="1" x14ac:dyDescent="0.25"/>
    <row r="110" spans="4:21" ht="20.100000000000001" customHeight="1" x14ac:dyDescent="0.25">
      <c r="D110" s="61" t="s">
        <v>109</v>
      </c>
      <c r="E110" s="61"/>
      <c r="F110" s="61"/>
      <c r="G110" s="61"/>
    </row>
    <row r="111" spans="4:21" ht="20.100000000000001" customHeight="1" x14ac:dyDescent="0.25">
      <c r="D111" s="1" t="s">
        <v>255</v>
      </c>
      <c r="E111" s="38" t="s">
        <v>253</v>
      </c>
      <c r="F111" s="2" t="s">
        <v>8</v>
      </c>
    </row>
    <row r="112" spans="4:21" ht="20.100000000000001" customHeight="1" x14ac:dyDescent="0.25">
      <c r="D112" s="1" t="s">
        <v>251</v>
      </c>
      <c r="E112" s="51" t="str">
        <f>TEXT(EDATE(E111,1), "mmmm yyyy")</f>
        <v>September 2024</v>
      </c>
    </row>
    <row r="113" spans="4:21" ht="20.100000000000001" customHeight="1" x14ac:dyDescent="0.25">
      <c r="D113" s="1" t="s">
        <v>252</v>
      </c>
      <c r="E113" s="51" t="str">
        <f>TEXT(EDATE(E111,2), "mmmm yyyy")</f>
        <v>October 2024</v>
      </c>
    </row>
    <row r="114" spans="4:21" ht="20.100000000000001" customHeight="1" x14ac:dyDescent="0.25"/>
    <row r="115" spans="4:21" ht="20.100000000000001" customHeight="1" x14ac:dyDescent="0.25"/>
    <row r="116" spans="4:21" ht="20.100000000000001" customHeight="1" x14ac:dyDescent="0.25">
      <c r="E116" s="61" t="s">
        <v>128</v>
      </c>
      <c r="F116" s="61" t="s">
        <v>129</v>
      </c>
      <c r="G116" s="61" t="s">
        <v>130</v>
      </c>
      <c r="L116" s="2"/>
      <c r="M116" s="2"/>
      <c r="N116" s="2"/>
      <c r="O116" s="2"/>
    </row>
    <row r="117" spans="4:21" ht="20.100000000000001" customHeight="1" x14ac:dyDescent="0.25">
      <c r="D117" s="1" t="str">
        <f>E111</f>
        <v>August 2024</v>
      </c>
      <c r="E117" s="45">
        <v>0.25</v>
      </c>
      <c r="F117" s="45">
        <v>0.25</v>
      </c>
      <c r="G117" s="45">
        <v>0.25</v>
      </c>
      <c r="H117" s="2" t="s">
        <v>14</v>
      </c>
      <c r="L117" s="2"/>
      <c r="M117" s="2"/>
      <c r="N117" s="2"/>
      <c r="O117" s="2"/>
      <c r="U117" s="55" t="str">
        <f>TEXT(X_Cell_Site_StartDate, "mmmm yyyy")</f>
        <v>January 2024</v>
      </c>
    </row>
    <row r="118" spans="4:21" ht="20.100000000000001" customHeight="1" x14ac:dyDescent="0.25">
      <c r="D118" s="1" t="str">
        <f>E112</f>
        <v>September 2024</v>
      </c>
      <c r="E118" s="45">
        <v>0.25</v>
      </c>
      <c r="F118" s="45">
        <v>0.25</v>
      </c>
      <c r="G118" s="45">
        <v>0.25</v>
      </c>
      <c r="H118" s="2" t="s">
        <v>14</v>
      </c>
      <c r="U118" s="55" t="str">
        <f>TEXT(EDATE(X_Cell_Site_StartDate,1), "mmmm yyyy")</f>
        <v>February 2024</v>
      </c>
    </row>
    <row r="119" spans="4:21" ht="20.100000000000001" customHeight="1" x14ac:dyDescent="0.25">
      <c r="D119" s="1" t="str">
        <f>E113</f>
        <v>October 2024</v>
      </c>
      <c r="E119" s="45">
        <v>0.25</v>
      </c>
      <c r="F119" s="45">
        <v>0.25</v>
      </c>
      <c r="G119" s="45">
        <v>0.25</v>
      </c>
      <c r="H119" s="2" t="s">
        <v>14</v>
      </c>
      <c r="U119" s="55" t="str">
        <f>TEXT(EDATE(X_Cell_Site_StartDate,2), "mmmm yyyy")</f>
        <v>March 2024</v>
      </c>
    </row>
    <row r="120" spans="4:21"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c r="U120" s="55" t="str">
        <f>TEXT(EDATE(X_Cell_Site_StartDate,3), "mmmm yyyy")</f>
        <v>April 2024</v>
      </c>
    </row>
    <row r="121" spans="4:21" ht="20.100000000000001" customHeight="1" x14ac:dyDescent="0.25">
      <c r="U121" s="55" t="str">
        <f>TEXT(EDATE(X_Cell_Site_StartDate,4), "mmmm yyyy")</f>
        <v>May 2024</v>
      </c>
    </row>
    <row r="122" spans="4:21" ht="20.100000000000001" customHeight="1" x14ac:dyDescent="0.25">
      <c r="K122" s="2"/>
      <c r="L122" s="2"/>
      <c r="M122" s="2"/>
      <c r="N122" s="2"/>
      <c r="O122" s="2"/>
      <c r="U122" s="55" t="str">
        <f>TEXT(EDATE(X_Cell_Site_StartDate,5), "mmmm yyyy")</f>
        <v>June 2024</v>
      </c>
    </row>
    <row r="123" spans="4:21" ht="20.100000000000001" customHeight="1" x14ac:dyDescent="0.25">
      <c r="D123" s="47" t="s">
        <v>13</v>
      </c>
      <c r="K123" s="2"/>
      <c r="L123" s="2"/>
      <c r="M123" s="2"/>
      <c r="N123" s="2"/>
      <c r="O123" s="2"/>
      <c r="U123" s="55" t="str">
        <f>TEXT(EDATE(X_Cell_Site_StartDate,6), "mmmm yyyy")</f>
        <v>July 2024</v>
      </c>
    </row>
    <row r="124" spans="4:21" ht="20.100000000000001" customHeight="1" x14ac:dyDescent="0.25">
      <c r="D124" s="61" t="s">
        <v>141</v>
      </c>
      <c r="E124" s="61" t="s">
        <v>104</v>
      </c>
      <c r="F124" s="61" t="s">
        <v>103</v>
      </c>
      <c r="G124" s="61" t="s">
        <v>127</v>
      </c>
      <c r="H124" s="61" t="s">
        <v>128</v>
      </c>
      <c r="I124" s="61" t="s">
        <v>129</v>
      </c>
      <c r="J124" s="61" t="s">
        <v>130</v>
      </c>
      <c r="K124" s="61" t="s">
        <v>131</v>
      </c>
      <c r="L124" s="61" t="s">
        <v>132</v>
      </c>
      <c r="M124" s="61" t="s">
        <v>133</v>
      </c>
      <c r="N124" s="61" t="s">
        <v>134</v>
      </c>
      <c r="U124" s="55" t="str">
        <f>TEXT(EDATE(X_Cell_Site_StartDate,7), "mmmm yyyy")</f>
        <v>August 2024</v>
      </c>
    </row>
    <row r="125" spans="4:21" ht="20.100000000000001" customHeight="1" x14ac:dyDescent="0.25">
      <c r="D125" s="1" t="s">
        <v>135</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113</v>
      </c>
      <c r="U125" s="55" t="str">
        <f>TEXT(EDATE(X_Cell_Site_StartDate,8), "mmmm yyyy")</f>
        <v>September 2024</v>
      </c>
    </row>
    <row r="126" spans="4:21" ht="20.100000000000001" customHeight="1" x14ac:dyDescent="0.25">
      <c r="D126" s="1" t="s">
        <v>136</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113</v>
      </c>
      <c r="U126" s="55" t="str">
        <f>TEXT(EDATE(X_Cell_Site_StartDate,9), "mmmm yyyy")</f>
        <v>October 2024</v>
      </c>
    </row>
    <row r="127" spans="4:21" ht="20.100000000000001" customHeight="1" x14ac:dyDescent="0.25">
      <c r="D127" s="1" t="s">
        <v>137</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113</v>
      </c>
      <c r="U127" s="55" t="str">
        <f>TEXT(EDATE(X_Cell_Site_StartDate,10), "mmmm yyyy")</f>
        <v>November 2024</v>
      </c>
    </row>
    <row r="128" spans="4:21" ht="20.100000000000001" customHeight="1" x14ac:dyDescent="0.25">
      <c r="D128" s="1" t="s">
        <v>138</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113</v>
      </c>
      <c r="U128" s="55" t="str">
        <f>TEXT(EDATE(X_Cell_Site_StartDate,11), "mmmm yyyy")</f>
        <v>December 2024</v>
      </c>
    </row>
    <row r="129" spans="4:21" ht="20.100000000000001" customHeight="1" x14ac:dyDescent="0.25"/>
    <row r="130" spans="4:21" ht="20.100000000000001" customHeight="1" x14ac:dyDescent="0.25">
      <c r="D130" s="61" t="s">
        <v>142</v>
      </c>
      <c r="E130" s="61" t="s">
        <v>104</v>
      </c>
      <c r="F130" s="61" t="s">
        <v>103</v>
      </c>
      <c r="G130" s="61" t="s">
        <v>127</v>
      </c>
      <c r="H130" s="61" t="s">
        <v>128</v>
      </c>
      <c r="I130" s="61" t="s">
        <v>129</v>
      </c>
      <c r="J130" s="61" t="s">
        <v>130</v>
      </c>
      <c r="K130" s="61" t="s">
        <v>131</v>
      </c>
      <c r="L130" s="61" t="s">
        <v>132</v>
      </c>
      <c r="M130" s="61" t="s">
        <v>133</v>
      </c>
      <c r="N130" s="61" t="s">
        <v>134</v>
      </c>
    </row>
    <row r="131" spans="4:21" ht="20.100000000000001" customHeight="1" x14ac:dyDescent="0.25">
      <c r="D131" s="1" t="str">
        <f>TEXT(X_Cell_Site_StartDate,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113</v>
      </c>
    </row>
    <row r="132" spans="4:21" ht="20.100000000000001" customHeight="1" x14ac:dyDescent="0.25">
      <c r="D132" s="1" t="str">
        <f>TEXT(EDATE(X_Cell_Site_StartDate,1),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113</v>
      </c>
    </row>
    <row r="133" spans="4:21" ht="20.100000000000001" customHeight="1" x14ac:dyDescent="0.25">
      <c r="D133" s="1" t="str">
        <f>TEXT(EDATE(X_Cell_Site_StartDate,2),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113</v>
      </c>
      <c r="U133" s="55" t="str">
        <f>TEXT(X_Cell_Site_StartDate, "mmmm yyyy")</f>
        <v>January 2024</v>
      </c>
    </row>
    <row r="134" spans="4:21" ht="20.100000000000001" customHeight="1" x14ac:dyDescent="0.25">
      <c r="D134" s="1" t="str">
        <f>TEXT(EDATE(X_Cell_Site_StartDate,3),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113</v>
      </c>
      <c r="U134" s="55" t="str">
        <f>TEXT(EDATE(X_Cell_Site_StartDate,1), "mmmm yyyy")</f>
        <v>February 2024</v>
      </c>
    </row>
    <row r="135" spans="4:21" ht="20.100000000000001" customHeight="1" x14ac:dyDescent="0.25">
      <c r="D135" s="1" t="str">
        <f>TEXT(EDATE(X_Cell_Site_StartDate,4),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113</v>
      </c>
      <c r="U135" s="55" t="str">
        <f>TEXT(EDATE(X_Cell_Site_StartDate,2), "mmmm yyyy")</f>
        <v>March 2024</v>
      </c>
    </row>
    <row r="136" spans="4:21" ht="20.100000000000001" customHeight="1" x14ac:dyDescent="0.25">
      <c r="D136" s="1" t="str">
        <f>TEXT(EDATE(X_Cell_Site_StartDate,5),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113</v>
      </c>
      <c r="U136" s="55" t="str">
        <f>TEXT(EDATE(X_Cell_Site_StartDate,3), "mmmm yyyy")</f>
        <v>April 2024</v>
      </c>
    </row>
    <row r="137" spans="4:21" ht="20.100000000000001" customHeight="1" x14ac:dyDescent="0.25">
      <c r="D137" s="1" t="str">
        <f>TEXT(EDATE(X_Cell_Site_StartDate,6),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113</v>
      </c>
      <c r="U137" s="55" t="str">
        <f>TEXT(EDATE(X_Cell_Site_StartDate,4), "mmmm yyyy")</f>
        <v>May 2024</v>
      </c>
    </row>
    <row r="138" spans="4:21" ht="20.100000000000001" customHeight="1" x14ac:dyDescent="0.25">
      <c r="D138" s="1" t="str">
        <f>TEXT(EDATE(X_Cell_Site_StartDate,7),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113</v>
      </c>
      <c r="U138" s="55" t="str">
        <f>TEXT(EDATE(X_Cell_Site_StartDate,5), "mmmm yyyy")</f>
        <v>June 2024</v>
      </c>
    </row>
    <row r="139" spans="4:21" ht="20.100000000000001" customHeight="1" x14ac:dyDescent="0.25">
      <c r="D139" s="1" t="str">
        <f>TEXT(EDATE(X_Cell_Site_StartDate,8),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113</v>
      </c>
      <c r="U139" s="55" t="str">
        <f>TEXT(EDATE(X_Cell_Site_StartDate,6), "mmmm yyyy")</f>
        <v>July 2024</v>
      </c>
    </row>
    <row r="140" spans="4:21" ht="20.100000000000001" customHeight="1" x14ac:dyDescent="0.25">
      <c r="D140" s="1" t="str">
        <f>TEXT(EDATE(X_Cell_Site_StartDate,9),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113</v>
      </c>
      <c r="U140" s="55" t="str">
        <f>TEXT(EDATE(X_Cell_Site_StartDate,7), "mmmm yyyy")</f>
        <v>August 2024</v>
      </c>
    </row>
    <row r="141" spans="4:21" ht="20.100000000000001" customHeight="1" x14ac:dyDescent="0.25">
      <c r="D141" s="1" t="str">
        <f>TEXT(EDATE(X_Cell_Site_StartDate,10),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113</v>
      </c>
      <c r="U141" s="55" t="str">
        <f>TEXT(EDATE(X_Cell_Site_StartDate,8), "mmmm yyyy")</f>
        <v>September 2024</v>
      </c>
    </row>
    <row r="142" spans="4:21" ht="20.100000000000001" customHeight="1" x14ac:dyDescent="0.25">
      <c r="D142" s="1" t="str">
        <f>TEXT(EDATE(X_Cell_Site_StartDate,11),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113</v>
      </c>
      <c r="U142" s="55" t="str">
        <f>TEXT(EDATE(X_Cell_Site_StartDate,9), "mmmm yyyy")</f>
        <v>October 2024</v>
      </c>
    </row>
    <row r="143" spans="4:21" ht="20.100000000000001" customHeight="1" x14ac:dyDescent="0.25">
      <c r="U143" s="55" t="str">
        <f>TEXT(EDATE(X_Cell_Site_StartDate,10), "mmmm yyyy")</f>
        <v>November 2024</v>
      </c>
    </row>
    <row r="144" spans="4:21" ht="20.100000000000001" customHeight="1" x14ac:dyDescent="0.25">
      <c r="U144" s="55" t="str">
        <f>TEXT(EDATE(X_Cell_Site_StartDate,11), "mmmm yyyy")</f>
        <v>December 2024</v>
      </c>
    </row>
    <row r="145" spans="4:15" ht="20.100000000000001" customHeight="1" x14ac:dyDescent="0.25">
      <c r="D145" s="47" t="s">
        <v>84</v>
      </c>
      <c r="K145" s="2"/>
      <c r="L145" s="2"/>
      <c r="M145" s="2"/>
      <c r="N145" s="2"/>
      <c r="O145" s="2"/>
    </row>
    <row r="146" spans="4:15" ht="20.100000000000001" customHeight="1" x14ac:dyDescent="0.25">
      <c r="D146" s="61" t="s">
        <v>141</v>
      </c>
      <c r="E146" s="61" t="s">
        <v>104</v>
      </c>
      <c r="F146" s="61" t="s">
        <v>103</v>
      </c>
      <c r="G146" s="61" t="s">
        <v>127</v>
      </c>
      <c r="H146" s="61" t="s">
        <v>128</v>
      </c>
      <c r="I146" s="61" t="s">
        <v>129</v>
      </c>
      <c r="J146" s="61" t="s">
        <v>130</v>
      </c>
      <c r="K146" s="61" t="s">
        <v>131</v>
      </c>
      <c r="L146" s="61" t="s">
        <v>132</v>
      </c>
      <c r="M146" s="61" t="s">
        <v>133</v>
      </c>
      <c r="N146" s="61" t="s">
        <v>134</v>
      </c>
    </row>
    <row r="147" spans="4:15" ht="20.100000000000001" customHeight="1" x14ac:dyDescent="0.25">
      <c r="D147" s="1" t="s">
        <v>135</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113</v>
      </c>
    </row>
    <row r="148" spans="4:15" ht="20.100000000000001" customHeight="1" x14ac:dyDescent="0.25">
      <c r="D148" s="1" t="s">
        <v>136</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113</v>
      </c>
    </row>
    <row r="149" spans="4:15" ht="20.100000000000001" customHeight="1" x14ac:dyDescent="0.25">
      <c r="D149" s="1" t="s">
        <v>137</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113</v>
      </c>
    </row>
    <row r="150" spans="4:15" ht="20.100000000000001" customHeight="1" x14ac:dyDescent="0.25">
      <c r="D150" s="1" t="s">
        <v>138</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113</v>
      </c>
    </row>
    <row r="151" spans="4:15" ht="20.100000000000001" customHeight="1" x14ac:dyDescent="0.25"/>
    <row r="152" spans="4:15" ht="20.100000000000001" customHeight="1" x14ac:dyDescent="0.25">
      <c r="D152" s="61" t="s">
        <v>142</v>
      </c>
      <c r="E152" s="61" t="s">
        <v>104</v>
      </c>
      <c r="F152" s="61" t="s">
        <v>103</v>
      </c>
      <c r="G152" s="61" t="s">
        <v>127</v>
      </c>
      <c r="H152" s="61" t="s">
        <v>128</v>
      </c>
      <c r="I152" s="61" t="s">
        <v>129</v>
      </c>
      <c r="J152" s="61" t="s">
        <v>130</v>
      </c>
      <c r="K152" s="61" t="s">
        <v>131</v>
      </c>
      <c r="L152" s="61" t="s">
        <v>132</v>
      </c>
      <c r="M152" s="61" t="s">
        <v>133</v>
      </c>
      <c r="N152" s="61" t="s">
        <v>134</v>
      </c>
    </row>
    <row r="153" spans="4:15" ht="20.100000000000001" customHeight="1" x14ac:dyDescent="0.25">
      <c r="D153" s="1" t="str">
        <f>TEXT(X_Cell_Site_StartDate,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113</v>
      </c>
    </row>
    <row r="154" spans="4:15" ht="20.100000000000001" customHeight="1" x14ac:dyDescent="0.25">
      <c r="D154" s="1" t="str">
        <f>TEXT(EDATE(X_Cell_Site_StartDate,1),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113</v>
      </c>
    </row>
    <row r="155" spans="4:15" ht="20.100000000000001" customHeight="1" x14ac:dyDescent="0.25">
      <c r="D155" s="1" t="str">
        <f>TEXT(EDATE(X_Cell_Site_StartDate,2),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113</v>
      </c>
    </row>
    <row r="156" spans="4:15" ht="20.100000000000001" customHeight="1" x14ac:dyDescent="0.25">
      <c r="D156" s="1" t="str">
        <f>TEXT(EDATE(X_Cell_Site_StartDate,3),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113</v>
      </c>
    </row>
    <row r="157" spans="4:15" ht="20.100000000000001" customHeight="1" x14ac:dyDescent="0.25">
      <c r="D157" s="1" t="str">
        <f>TEXT(EDATE(X_Cell_Site_StartDate,4),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113</v>
      </c>
    </row>
    <row r="158" spans="4:15" ht="20.100000000000001" customHeight="1" x14ac:dyDescent="0.25">
      <c r="D158" s="1" t="str">
        <f>TEXT(EDATE(X_Cell_Site_StartDate,5),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113</v>
      </c>
    </row>
    <row r="159" spans="4:15" ht="20.100000000000001" customHeight="1" x14ac:dyDescent="0.25">
      <c r="D159" s="1" t="str">
        <f>TEXT(EDATE(X_Cell_Site_StartDate,6),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113</v>
      </c>
    </row>
    <row r="160" spans="4:15" ht="20.100000000000001" customHeight="1" x14ac:dyDescent="0.25">
      <c r="D160" s="1" t="str">
        <f>TEXT(EDATE(X_Cell_Site_StartDate,7),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113</v>
      </c>
    </row>
    <row r="161" spans="4:15" ht="20.100000000000001" customHeight="1" x14ac:dyDescent="0.25">
      <c r="D161" s="1" t="str">
        <f>TEXT(EDATE(X_Cell_Site_StartDate,8),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113</v>
      </c>
    </row>
    <row r="162" spans="4:15" ht="20.100000000000001" customHeight="1" x14ac:dyDescent="0.25">
      <c r="D162" s="1" t="str">
        <f>TEXT(EDATE(X_Cell_Site_StartDate,9),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113</v>
      </c>
    </row>
    <row r="163" spans="4:15" ht="20.100000000000001" customHeight="1" x14ac:dyDescent="0.25">
      <c r="D163" s="1" t="str">
        <f>TEXT(EDATE(X_Cell_Site_StartDate,10),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113</v>
      </c>
    </row>
    <row r="164" spans="4:15" ht="20.100000000000001" customHeight="1" x14ac:dyDescent="0.25">
      <c r="D164" s="1" t="str">
        <f>TEXT(EDATE(X_Cell_Site_StartDate,11),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113</v>
      </c>
    </row>
    <row r="165" spans="4:15" ht="20.100000000000001" customHeight="1" x14ac:dyDescent="0.25">
      <c r="L165" s="2"/>
      <c r="M165" s="2"/>
      <c r="N165" s="2"/>
      <c r="O165" s="2"/>
    </row>
    <row r="166" spans="4:15" x14ac:dyDescent="0.25">
      <c r="L166" s="2"/>
      <c r="M166" s="2"/>
      <c r="N166" s="2"/>
      <c r="O166" s="2"/>
    </row>
    <row r="167" spans="4:15" ht="18.75" x14ac:dyDescent="0.25">
      <c r="D167" s="47" t="s">
        <v>220</v>
      </c>
      <c r="L167" s="2"/>
      <c r="M167" s="2"/>
      <c r="N167" s="2"/>
      <c r="O167" s="2"/>
    </row>
    <row r="169" spans="4:15" x14ac:dyDescent="0.25">
      <c r="D169" s="1" t="s">
        <v>221</v>
      </c>
      <c r="E169" s="38" t="s">
        <v>111</v>
      </c>
      <c r="F169" s="2" t="s">
        <v>8</v>
      </c>
      <c r="L169" s="2"/>
      <c r="M169" s="2"/>
      <c r="N169" s="2"/>
      <c r="O169" s="2"/>
    </row>
    <row r="171" spans="4:15" x14ac:dyDescent="0.25">
      <c r="D171" s="61" t="s">
        <v>16</v>
      </c>
      <c r="E171" s="61" t="s">
        <v>222</v>
      </c>
      <c r="L171" s="2"/>
      <c r="M171" s="2"/>
      <c r="N171" s="2"/>
      <c r="O171" s="2"/>
    </row>
    <row r="172" spans="4:15" x14ac:dyDescent="0.25">
      <c r="D172" s="1" t="s">
        <v>110</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223</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233</v>
      </c>
      <c r="E176" s="38" t="s">
        <v>236</v>
      </c>
      <c r="F176" s="2" t="s">
        <v>8</v>
      </c>
      <c r="L176" s="2"/>
      <c r="M176" s="2"/>
      <c r="N176" s="2"/>
      <c r="O176" s="2"/>
    </row>
    <row r="177" spans="5:6" x14ac:dyDescent="0.25">
      <c r="E177" s="38" t="s">
        <v>94</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24" priority="32" operator="lessThan">
      <formula>0</formula>
    </cfRule>
  </conditionalFormatting>
  <conditionalFormatting sqref="F245:F246">
    <cfRule type="cellIs" dxfId="23" priority="23" operator="lessThan">
      <formula>0</formula>
    </cfRule>
  </conditionalFormatting>
  <conditionalFormatting sqref="F250:F251">
    <cfRule type="cellIs" dxfId="22" priority="22" operator="lessThan">
      <formula>0</formula>
    </cfRule>
  </conditionalFormatting>
  <conditionalFormatting sqref="F255:F256">
    <cfRule type="cellIs" dxfId="21" priority="21" operator="lessThan">
      <formula>0</formula>
    </cfRule>
  </conditionalFormatting>
  <conditionalFormatting sqref="F279:F280">
    <cfRule type="cellIs" dxfId="20" priority="15" operator="lessThan">
      <formula>0</formula>
    </cfRule>
  </conditionalFormatting>
  <conditionalFormatting sqref="F284:F285">
    <cfRule type="cellIs" dxfId="19" priority="14" operator="lessThan">
      <formula>0</formula>
    </cfRule>
  </conditionalFormatting>
  <conditionalFormatting sqref="F289:F290">
    <cfRule type="cellIs" dxfId="18" priority="13" operator="lessThan">
      <formula>0</formula>
    </cfRule>
  </conditionalFormatting>
  <conditionalFormatting sqref="H116:O116 I117:O117">
    <cfRule type="cellIs" dxfId="17" priority="3" operator="lessThan">
      <formula>0</formula>
    </cfRule>
  </conditionalFormatting>
  <conditionalFormatting sqref="I106:O107">
    <cfRule type="cellIs" dxfId="16" priority="4" operator="lessThan">
      <formula>0</formula>
    </cfRule>
  </conditionalFormatting>
  <conditionalFormatting sqref="I122:O123">
    <cfRule type="cellIs" dxfId="15" priority="9" operator="lessThan">
      <formula>0</formula>
    </cfRule>
  </conditionalFormatting>
  <conditionalFormatting sqref="I145:O145">
    <cfRule type="cellIs" dxfId="14" priority="1" operator="lessThan">
      <formula>0</formula>
    </cfRule>
  </conditionalFormatting>
  <conditionalFormatting sqref="P43:R43">
    <cfRule type="cellIs" dxfId="13"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3"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t="str">
        <f>'Input - Pasture Beef'!$E$104</f>
        <v>Winter</v>
      </c>
      <c r="E21" s="51">
        <f>'Input - Pasture Beef'!$E$107</f>
        <v>0.9</v>
      </c>
      <c r="F21" s="51">
        <f>'Input - Pasture Beef'!$F$107</f>
        <v>0.5</v>
      </c>
      <c r="G21" s="51">
        <f>'Input - Pasture Beef'!$G$107</f>
        <v>0.5</v>
      </c>
      <c r="H21" s="2" t="s">
        <v>80</v>
      </c>
      <c r="U21" s="50" t="s">
        <v>105</v>
      </c>
      <c r="V21" s="115" t="s">
        <v>128</v>
      </c>
      <c r="W21" s="115" t="s">
        <v>129</v>
      </c>
      <c r="X21" s="115" t="s">
        <v>130</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80</v>
      </c>
    </row>
    <row r="23" spans="1:34" ht="20.100000000000001" customHeight="1" x14ac:dyDescent="0.25">
      <c r="A23" s="17"/>
      <c r="D23" s="96" t="s">
        <v>202</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214</v>
      </c>
    </row>
    <row r="27" spans="1:34" ht="20.100000000000001" customHeight="1" x14ac:dyDescent="0.25">
      <c r="D27" s="51" t="s">
        <v>136</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138</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TEXT(EDATE('Input - Site'!$E$12,1),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TEXT(EDATE('Input - Site'!$E$12,2),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INDEX(X_Table_PastureBeef_Liveweight_Method1,2,1)</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TEXT(EDATE('Input - Site'!$E$12,4),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INDEX(X_Table_PastureBeef_Liveweight_Method1,3,1)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TEXT(EDATE('Input - Site'!$E$12,5),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INDEX(X_Table_PastureBeef_Liveweight_Method1,4,1)</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TEXT(EDATE('Input - Site'!$E$12,6),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INDEX(X_Table_PastureBeef_Liveweight_Method1,5,1)</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TEXT(EDATE('Input - Site'!$E$12,7),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TEXT(EDATE('Input - Site'!$E$12,8),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TEXT(EDATE('Input - Site'!$E$12,9),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TEXT(EDATE('Input - Site'!$E$12,10),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INDEX(X_Table_PastureBeef_LiveweightGain_Method1,2,1)</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INDEX(X_Table_PastureBeef_LiveweightGain_Method1,3,1)</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INDEX(X_Table_PastureBeef_LiveweightGain_Method1,4,1)</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INDEX(X_Table_PastureBeef_LiveweightGain_Method1,5,1)</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TEXT(EDATE('Input - Site'!$E$12,1),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TEXT(EDATE('Input - Site'!$E$12,2),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9.4536614511090029</v>
      </c>
      <c r="I64" s="51" cm="1">
        <f t="array" aca="1" ref="I64" ca="1">EntericMethane_PastureBeef_Equations.VEERG_3_2_1_1__3_FeedIntakeForGrazingBeef(I48,I56,K26)</f>
        <v>10.112646138000002</v>
      </c>
      <c r="J64" s="51" cm="1">
        <f t="array" aca="1" ref="J64" ca="1">EntericMethane_PastureBeef_Equations.VEERG_3_2_1_1__3_FeedIntakeForGrazingBeef(J48,J56,L26)</f>
        <v>10.112646138000002</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TEXT(EDATE('Input - Site'!$E$12,4),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TEXT(EDATE('Input - Site'!$E$12,5),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TEXT(EDATE('Input - Site'!$E$12,6),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7.5283222358070025</v>
      </c>
      <c r="I67" s="51" cm="1">
        <f t="array" aca="1" ref="I67" ca="1">EntericMethane_PastureBeef_Equations.VEERG_3_2_1_1__3_FeedIntakeForGrazingBeef(I51,I59,K29)</f>
        <v>9.145195140114998</v>
      </c>
      <c r="J67" s="51" cm="1">
        <f t="array" aca="1" ref="J67" ca="1">EntericMethane_PastureBeef_Equations.VEERG_3_2_1_1__3_FeedIntakeForGrazingBeef(J51,J59,L29)</f>
        <v>9.145195140114998</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TEXT(EDATE('Input - Site'!$E$12,7),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TEXT(EDATE('Input - Site'!$E$12,8),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TEXT(EDATE('Input - Site'!$E$12,9),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8.4608409301875014</v>
      </c>
      <c r="Z76" s="51" cm="1">
        <f t="array" aca="1" ref="Z76" ca="1">EntericMethane_PastureBeef_Equations.VEERG_3_2_1_1__3_FeedIntakeForGrazingBeef(Z44,Z60,AB28)</f>
        <v>8.3772677761199983</v>
      </c>
      <c r="AA76" s="51" cm="1">
        <f t="array" aca="1" ref="AA76" ca="1">EntericMethane_PastureBeef_Equations.VEERG_3_2_1_1__3_FeedIntakeForGrazingBeef(AA44,AA60,AC28)</f>
        <v>8.3772677761199983</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7.2615706605225032</v>
      </c>
      <c r="Z83" s="51" cm="1">
        <f t="array" aca="1" ref="Z83" ca="1">EntericMethane_PastureBeef_Equations.VEERG_3_2_1_1__3_FeedIntakeForGrazingBeef(Z51,Z67,AB35)</f>
        <v>9.7416209101224993</v>
      </c>
      <c r="AA83" s="51" cm="1">
        <f t="array" aca="1" ref="AA83" ca="1">EntericMethane_PastureBeef_Equations.VEERG_3_2_1_1__3_FeedIntakeForGrazingBeef(AA51,AA67,AC35)</f>
        <v>9.7416209101224993</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10.624527777622504</v>
      </c>
      <c r="Z84" s="51" cm="1">
        <f t="array" aca="1" ref="Z84" ca="1">EntericMethane_PastureBeef_Equations.VEERG_3_2_1_1__3_FeedIntakeForGrazingBeef(Z52,Z68,AB36)</f>
        <v>11.798087161000003</v>
      </c>
      <c r="AA84" s="51" cm="1">
        <f t="array" aca="1" ref="AA84" ca="1">EntericMethane_PastureBeef_Equations.VEERG_3_2_1_1__3_FeedIntakeForGrazingBeef(AA52,AA68,AC36)</f>
        <v>11.798087161000003</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0.19569079203795636</v>
      </c>
      <c r="I85" s="51" cm="1">
        <f t="array" aca="1" ref="I85" ca="1">EntericMethane_PastureBeef_Equations.VEERG_3_2_1_1__2_DailyEntericMethaneProduction(I64)</f>
        <v>0.20933177505660003</v>
      </c>
      <c r="J85" s="51" cm="1">
        <f t="array" aca="1" ref="J85" ca="1">EntericMethane_PastureBeef_Equations.VEERG_3_2_1_1__2_DailyEntericMethaneProduction(J64)</f>
        <v>0.20933177505660003</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TEXT(EDATE('Input - Site'!$E$12,9), "mmmm yyyy")</f>
        <v>October 2024</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10.624527777622504</v>
      </c>
      <c r="Z85" s="51" cm="1">
        <f t="array" aca="1" ref="Z85" ca="1">EntericMethane_PastureBeef_Equations.VEERG_3_2_1_1__3_FeedIntakeForGrazingBeef(Z53,Z69,AB37)</f>
        <v>11.798087161000003</v>
      </c>
      <c r="AA85" s="51" cm="1">
        <f t="array" aca="1" ref="AA85" ca="1">EntericMethane_PastureBeef_Equations.VEERG_3_2_1_1__3_FeedIntakeForGrazingBeef(AA53,AA69,AC37)</f>
        <v>11.798087161000003</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TEXT(EDATE('Input - Site'!$E$12,10), "mmmm yyyy")</f>
        <v>November 2024</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9.3235651926075036</v>
      </c>
      <c r="Z86" s="51" cm="1">
        <f t="array" aca="1" ref="Z86" ca="1">EntericMethane_PastureBeef_Equations.VEERG_3_2_1_1__3_FeedIntakeForGrazingBeef(Z54,Z70,AB38)</f>
        <v>10.353423427000003</v>
      </c>
      <c r="AA86" s="51" cm="1">
        <f t="array" aca="1" ref="AA86" ca="1">EntericMethane_PastureBeef_Equations.VEERG_3_2_1_1__3_FeedIntakeForGrazingBeef(AA54,AA70,AC38)</f>
        <v>10.353423427000003</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TEXT(EDATE('Input - Site'!$E$12,11), "mmmm yyyy")</f>
        <v>December 2024</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8.4608409301875014</v>
      </c>
      <c r="Z87" s="51" cm="1">
        <f t="array" aca="1" ref="Z87" ca="1">EntericMethane_PastureBeef_Equations.VEERG_3_2_1_1__3_FeedIntakeForGrazingBeef(Z55,Z71,AB39)</f>
        <v>8.3772677761199983</v>
      </c>
      <c r="AA87" s="51" cm="1">
        <f t="array" aca="1" ref="AA87" ca="1">EntericMethane_PastureBeef_Equations.VEERG_3_2_1_1__3_FeedIntakeForGrazingBeef(AA55,AA71,AC39)</f>
        <v>8.3772677761199983</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0.15583627028120495</v>
      </c>
      <c r="I88" s="51" cm="1">
        <f t="array" aca="1" ref="I88" ca="1">EntericMethane_PastureBeef_Equations.VEERG_3_2_1_1__2_DailyEntericMethaneProduction(I67)</f>
        <v>0.18930553940038045</v>
      </c>
      <c r="J88" s="51" cm="1">
        <f t="array" aca="1" ref="J88" ca="1">EntericMethane_PastureBeef_Equations.VEERG_3_2_1_1__2_DailyEntericMethaneProduction(J67)</f>
        <v>0.18930553940038045</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0.17513940725488128</v>
      </c>
      <c r="Z97" s="51" cm="1">
        <f t="array" aca="1" ref="Z97" ca="1">EntericMethane_PastureBeef_Equations.VEERG_3_2_1_1__2_DailyEntericMethaneProduction(Z76)</f>
        <v>0.17340944296568395</v>
      </c>
      <c r="AA97" s="51" cm="1">
        <f t="array" aca="1" ref="AA97" ca="1">EntericMethane_PastureBeef_Equations.VEERG_3_2_1_1__2_DailyEntericMethaneProduction(AA76)</f>
        <v>0.17340944296568395</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0.15031451267281581</v>
      </c>
      <c r="Z104" s="51" cm="1">
        <f t="array" aca="1" ref="Z104" ca="1">EntericMethane_PastureBeef_Equations.VEERG_3_2_1_1__2_DailyEntericMethaneProduction(Z83)</f>
        <v>0.20165155283953573</v>
      </c>
      <c r="AA104" s="51" cm="1">
        <f t="array" aca="1" ref="AA104" ca="1">EntericMethane_PastureBeef_Equations.VEERG_3_2_1_1__2_DailyEntericMethaneProduction(AA83)</f>
        <v>0.20165155283953573</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0.21992772499678584</v>
      </c>
      <c r="Z105" s="51" cm="1">
        <f t="array" aca="1" ref="Z105" ca="1">EntericMethane_PastureBeef_Equations.VEERG_3_2_1_1__2_DailyEntericMethaneProduction(Z84)</f>
        <v>0.24422040423270006</v>
      </c>
      <c r="AA105" s="51" cm="1">
        <f t="array" aca="1" ref="AA105" ca="1">EntericMethane_PastureBeef_Equations.VEERG_3_2_1_1__2_DailyEntericMethaneProduction(AA84)</f>
        <v>0.24422040423270006</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TEXT(EDATE('Input - Site'!$E$12,9), "mmmm yyyy")</f>
        <v>October 2024</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0.21992772499678584</v>
      </c>
      <c r="Z106" s="51" cm="1">
        <f t="array" aca="1" ref="Z106" ca="1">EntericMethane_PastureBeef_Equations.VEERG_3_2_1_1__2_DailyEntericMethaneProduction(Z85)</f>
        <v>0.24422040423270006</v>
      </c>
      <c r="AA106" s="51" cm="1">
        <f t="array" aca="1" ref="AA106" ca="1">EntericMethane_PastureBeef_Equations.VEERG_3_2_1_1__2_DailyEntericMethaneProduction(AA85)</f>
        <v>0.24422040423270006</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TEXT(EDATE('Input - Site'!$E$12,10), "mmmm yyyy")</f>
        <v>November 2024</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0.19299779948697532</v>
      </c>
      <c r="Z107" s="51" cm="1">
        <f t="array" aca="1" ref="Z107" ca="1">EntericMethane_PastureBeef_Equations.VEERG_3_2_1_1__2_DailyEntericMethaneProduction(Z86)</f>
        <v>0.21431586493890006</v>
      </c>
      <c r="AA107" s="51" cm="1">
        <f t="array" aca="1" ref="AA107" ca="1">EntericMethane_PastureBeef_Equations.VEERG_3_2_1_1__2_DailyEntericMethaneProduction(AA86)</f>
        <v>0.21431586493890006</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TEXT(EDATE('Input - Site'!$E$12,11), "mmmm yyyy")</f>
        <v>December 2024</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0.17513940725488128</v>
      </c>
      <c r="Z108" s="51" cm="1">
        <f t="array" aca="1" ref="Z108" ca="1">EntericMethane_PastureBeef_Equations.VEERG_3_2_1_1__2_DailyEntericMethaneProduction(Z87)</f>
        <v>0.17340944296568395</v>
      </c>
      <c r="AA108" s="51" cm="1">
        <f t="array" aca="1" ref="AA108" ca="1">EntericMethane_PastureBeef_Equations.VEERG_3_2_1_1__2_DailyEntericMethaneProduction(AA87)</f>
        <v>0.17340944296568395</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TEXT('Input - Site'!$E$12, "mmmm yyyy")</f>
        <v>January 2024</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TEXT(EDATE('Input - Site'!$E$12,1), "mmmm yyyy")</f>
        <v>February 2024</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TEXT(EDATE('Input - Site'!$E$12,2), "mmmm yyyy")</f>
        <v>March 2024</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TEXT(EDATE('Input - Site'!$E$12,3), "mmmm yyyy")</f>
        <v>April 2024</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TEXT(EDATE('Input - Site'!$E$12,4), "mmmm yyyy")</f>
        <v>May 2024</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1.7856784773463517</v>
      </c>
      <c r="I123" s="51" cm="1">
        <f t="array" aca="1" ref="I123" ca="1">EntericMethane_PastureBeef_Equations.VEERG_3_2_1_1__1_TotalAnnualMethaneFromEntericFermentation(I115,I85,I107)</f>
        <v>1.9101524473914753</v>
      </c>
      <c r="J123" s="51" cm="1">
        <f t="array" aca="1" ref="J123" ca="1">EntericMethane_PastureBeef_Equations.VEERG_3_2_1_1__1_TotalAnnualMethaneFromEntericFermentation(J115,J85,J107)</f>
        <v>1.9101524473914753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TEXT(EDATE('Input - Site'!$E$12,6), "mmmm yyyy")</f>
        <v>July 2024</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TEXT(EDATE('Input - Site'!$E$12,7), "mmmm yyyy")</f>
        <v>August 2024</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TEXT(EDATE('Input - Site'!$E$12,8), "mmmm yyyy")</f>
        <v>September 2024</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1.422005966315995</v>
      </c>
      <c r="I126" s="51" cm="1">
        <f t="array" aca="1" ref="I126" ca="1">EntericMethane_PastureBeef_Equations.VEERG_3_2_1_1__1_TotalAnnualMethaneFromEntericFermentation(I118,I88,I110)</f>
        <v>1.7274130470284719</v>
      </c>
      <c r="J126" s="51" cm="1">
        <f t="array" aca="1" ref="J126" ca="1">EntericMethane_PastureBeef_Equations.VEERG_3_2_1_1__1_TotalAnnualMethaneFromEntericFermentation(J118,J88,J110)</f>
        <v>1.7274130470284719</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TEXT(EDATE('Input - Site'!$E$12,9), "mmmm yyyy")</f>
        <v>October 2024</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TEXT(EDATE('Input - Site'!$E$12,10), "mmmm yyyy")</f>
        <v>November 2024</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55.678061774650885</v>
      </c>
      <c r="F128" s="99" t="str">
        <f>$E$98</f>
        <v>t CH4</v>
      </c>
      <c r="Q128" s="2"/>
      <c r="U128" s="51" t="str">
        <f>TEXT(EDATE('Input - Site'!$E$12,11), "mmmm yyyy")</f>
        <v>December 2024</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55.678061774650885</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1558.9857296902248</v>
      </c>
      <c r="F133" s="101" t="str" cm="1">
        <f t="array" ref="F133">Common_Equations.Common_ConvertN2OToCO2e_Unit()</f>
        <v>t CO2e</v>
      </c>
      <c r="U133" s="51" t="str">
        <f>TEXT('Input - Site'!$E$12, "mmmm yyyy")</f>
        <v>January 2024</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TEXT(EDATE('Input - Site'!$E$12,1), "mmmm yyyy")</f>
        <v>February 2024</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TEXT(EDATE('Input - Site'!$E$12,2), "mmmm yyyy")</f>
        <v>March 2024</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TEXT(EDATE('Input - Site'!$E$12,3), "mmmm yyyy")</f>
        <v>April 2024</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TEXT(EDATE('Input - Site'!$E$12,4), "mmmm yyyy")</f>
        <v>May 2024</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TEXT(EDATE('Input - Site'!$E$12,5), "mmmm yyyy")</f>
        <v>June 2024</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TEXT(EDATE('Input - Site'!$E$12,6), "mmmm yyyy")</f>
        <v>July 2024</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TEXT(EDATE('Input - Site'!$E$12,7), "mmmm yyyy")</f>
        <v>August 2024</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TEXT(EDATE('Input - Site'!$E$12,8), "mmmm yyyy")</f>
        <v>September 2024</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TEXT(EDATE('Input - Site'!$E$12,9), "mmmm yyyy")</f>
        <v>October 2024</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TEXT(EDATE('Input - Site'!$E$12,10), "mmmm yyyy")</f>
        <v>November 2024</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TEXT(EDATE('Input - Site'!$E$12,11), "mmmm yyyy")</f>
        <v>December 2024</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0.54293216249013199</v>
      </c>
      <c r="Z149" s="51" cm="1">
        <f t="array" aca="1" ref="Z149" ca="1">EntericMethane_PastureBeef_Equations.VEERG_3_2_1_1__1_TotalAnnualMethaneFromEntericFermentation(Z133,Z97,Z117)</f>
        <v>0.53756927319362025</v>
      </c>
      <c r="AA149" s="51" cm="1">
        <f t="array" aca="1" ref="AA149" ca="1">EntericMethane_PastureBeef_Equations.VEERG_3_2_1_1__1_TotalAnnualMethaneFromEntericFermentation(AA133,AA97,AA117)</f>
        <v>0.53756927319362025</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0.465974989285729</v>
      </c>
      <c r="Z156" s="51" cm="1">
        <f t="array" aca="1" ref="Z156" ca="1">EntericMethane_PastureBeef_Equations.VEERG_3_2_1_1__1_TotalAnnualMethaneFromEntericFermentation(Z140,Z104,Z124)</f>
        <v>0.62511981380256076</v>
      </c>
      <c r="AA156" s="51" cm="1">
        <f t="array" aca="1" ref="AA156" ca="1">EntericMethane_PastureBeef_Equations.VEERG_3_2_1_1__1_TotalAnnualMethaneFromEntericFermentation(AA140,AA104,AA124)</f>
        <v>0.62511981380256076</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0.65978317499035743</v>
      </c>
      <c r="Z157" s="51" cm="1">
        <f t="array" aca="1" ref="Z157" ca="1">EntericMethane_PastureBeef_Equations.VEERG_3_2_1_1__1_TotalAnnualMethaneFromEntericFermentation(Z141,Z105,Z125)</f>
        <v>0.73266121269810014</v>
      </c>
      <c r="AA157" s="51" cm="1">
        <f t="array" aca="1" ref="AA157" ca="1">EntericMethane_PastureBeef_Equations.VEERG_3_2_1_1__1_TotalAnnualMethaneFromEntericFermentation(AA141,AA105,AA125)</f>
        <v>0.73266121269810014</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0.68177594749003623</v>
      </c>
      <c r="Z158" s="51" cm="1">
        <f t="array" aca="1" ref="Z158" ca="1">EntericMethane_PastureBeef_Equations.VEERG_3_2_1_1__1_TotalAnnualMethaneFromEntericFermentation(Z142,Z106,Z126)</f>
        <v>0.75708325312137015</v>
      </c>
      <c r="AA158" s="51" cm="1">
        <f t="array" aca="1" ref="AA158" ca="1">EntericMethane_PastureBeef_Equations.VEERG_3_2_1_1__1_TotalAnnualMethaneFromEntericFermentation(AA142,AA106,AA126)</f>
        <v>0.75708325312137015</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0.57899339846092601</v>
      </c>
      <c r="Z159" s="51" cm="1">
        <f t="array" aca="1" ref="Z159" ca="1">EntericMethane_PastureBeef_Equations.VEERG_3_2_1_1__1_TotalAnnualMethaneFromEntericFermentation(Z143,Z107,Z127)</f>
        <v>0.64294759481670016</v>
      </c>
      <c r="AA159" s="51" cm="1">
        <f t="array" aca="1" ref="AA159" ca="1">EntericMethane_PastureBeef_Equations.VEERG_3_2_1_1__1_TotalAnnualMethaneFromEntericFermentation(AA143,AA107,AA127)</f>
        <v>0.64294759481670016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0.54293216249013199</v>
      </c>
      <c r="Z160" s="51" cm="1">
        <f t="array" aca="1" ref="Z160" ca="1">EntericMethane_PastureBeef_Equations.VEERG_3_2_1_1__1_TotalAnnualMethaneFromEntericFermentation(Z144,Z108,Z128)</f>
        <v>0.53756927319362025</v>
      </c>
      <c r="AA160" s="51" cm="1">
        <f t="array" aca="1" ref="AA160" ca="1">EntericMethane_PastureBeef_Equations.VEERG_3_2_1_1__1_TotalAnnualMethaneFromEntericFermentation(AA144,AA108,AA128)</f>
        <v>0.53756927319362025</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56.163952698425533</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abSelected="1" topLeftCell="J2" zoomScale="85" zoomScaleNormal="85" workbookViewId="0">
      <selection activeCell="O29" sqref="O2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O17" s="1" t="s">
        <v>271</v>
      </c>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O18" s="36" t="s">
        <v>272</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s="36" t="str">
        <f>Table_SourceData_PastureBeef_LiveweightAllStates[[#Headers],[Bulls &lt; 1 year]]</f>
        <v>Bulls &lt; 1 year</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s="36" t="str">
        <f>Table_SourceData_PastureBeef_LiveweightAllStates[[#Headers],[Bulls &gt; 1 year]]</f>
        <v>Bulls &gt; 1 year</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s="36" t="str">
        <f>Table_SourceData_PastureBeef_LiveweightAllStates[[#Headers],[Cows &lt; 1 year]]</f>
        <v>Cows &lt; 1 year</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s="36" t="str">
        <f>Table_SourceData_PastureBeef_LiveweightAllStates[[#Headers],[Cows 1-2 years]]</f>
        <v>Cows 1-2 years</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s="36" t="str">
        <f>Table_SourceData_PastureBeef_LiveweightAllStates[[#Headers],[Cows 2-3 years]]</f>
        <v>Cows 2-3 years</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s="36"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s="36" t="str">
        <f>Table_SourceData_PastureBeef_LiveweightAllStates[[#Headers],[Steers &lt; 1 year]]</f>
        <v>Steers &lt; 1 year</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s="36"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s="36" t="str">
        <f>Table_SourceData_PastureBeef_LiveweightAllStates[[#Headers],[Steers 2-3 years]]</f>
        <v>Steers 2-3 years</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s="36" t="str">
        <f>Table_SourceData_PastureBeef_LiveweightAllStates[[#Headers],[Steers &gt;3 years]]</f>
        <v>Steers &gt;3 years</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273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145</v>
      </c>
      <c r="P32" s="36" t="s">
        <v>274</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66</v>
      </c>
      <c r="P33" s="36" t="s">
        <v>67</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67</v>
      </c>
      <c r="P34" s="36" t="s">
        <v>67</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70</v>
      </c>
      <c r="P35" s="36" t="s">
        <v>70</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71</v>
      </c>
      <c r="P36" s="36" t="s">
        <v>71</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72</v>
      </c>
      <c r="P37" s="36" t="s">
        <v>72</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275</v>
      </c>
      <c r="P38" s="36" t="s">
        <v>73</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276</v>
      </c>
      <c r="P39" s="36" t="s">
        <v>73</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277</v>
      </c>
      <c r="P40" s="36" t="s">
        <v>73</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278</v>
      </c>
      <c r="P41" s="36" t="s">
        <v>68</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279</v>
      </c>
      <c r="P42" s="36" t="s">
        <v>68</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280</v>
      </c>
      <c r="P43" s="36" t="s">
        <v>68</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281</v>
      </c>
      <c r="P44" s="36" t="s">
        <v>69</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282</v>
      </c>
      <c r="P45" s="36" t="s">
        <v>69</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283</v>
      </c>
      <c r="P46" s="36" t="s">
        <v>69</v>
      </c>
    </row>
    <row r="47" spans="4:16" ht="20.100000000000001" customHeight="1" x14ac:dyDescent="0.25">
      <c r="M47" s="1"/>
      <c r="O47" s="36" t="s">
        <v>284</v>
      </c>
      <c r="P47" s="36" t="s">
        <v>69</v>
      </c>
    </row>
    <row r="48" spans="4:16" ht="20.100000000000001" customHeight="1" x14ac:dyDescent="0.25">
      <c r="M48" s="1"/>
      <c r="O48" s="1" t="s">
        <v>268</v>
      </c>
      <c r="P48" s="1" t="s">
        <v>268</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D442" s="36" t="s">
        <v>285</v>
      </c>
      <c r="E442" s="36" t="s">
        <v>286</v>
      </c>
      <c r="F442" s="36" t="s">
        <v>287</v>
      </c>
      <c r="G442" s="36" t="s">
        <v>288</v>
      </c>
      <c r="H442" s="36" t="s">
        <v>289</v>
      </c>
      <c r="I442" s="36" t="s">
        <v>290</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286</v>
      </c>
      <c r="E31" s="36" t="s">
        <v>291</v>
      </c>
      <c r="F31" s="1" t="s">
        <v>292</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286</v>
      </c>
      <c r="E43" s="36" t="s">
        <v>291</v>
      </c>
      <c r="F43" s="1" t="s">
        <v>293</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286</v>
      </c>
      <c r="E54" s="36" t="s">
        <v>291</v>
      </c>
      <c r="F54" s="1" t="s">
        <v>294</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286</v>
      </c>
      <c r="E59" s="36" t="s">
        <v>291</v>
      </c>
      <c r="F59" s="1" t="s">
        <v>295</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286</v>
      </c>
      <c r="E64" s="36" t="s">
        <v>291</v>
      </c>
      <c r="F64" s="1" t="s">
        <v>296</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A8AD0AIAAyACwAIAAgAFwAIgBTAHUAbQBtAGUAcgBcACIALABcAG4AIAAgACAAIAAgACAATQBPAE4AVABIACgAUAB1AHIAYwBoAGEAcwBlAEQAYQB0AGUAKQAgADwAPQAgADUALAAgACAAXAAiAEEAdQB0AHUAbQBuAFwAIgAsAFwAbgAgACAAIAAgACAAIABNAE8ATgBUAEgAKABQAHUAcgBjAGgAYQBzAGUARABhAHQAZQApACAAPAA9ACAAOAAsACAAIABcACIAVwBpAG4AdABlAHIAXAAiACwAXABuACAAIAAgACAAIAAgAE0ATwBOAFQASAAoAFAAdQByAGMAaABhAHMAZQBEAGEAdABlACkAIAA8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UwBjAG8AcABlADMAXwBJAG4AcAB1AHQARgB1AG4AYwB0AGkAbwBuAHMALgBHAGUAdABMAGkAdgBlAHcAZQBpAGcAaAB0AF8AUABhAHMAdAB1AHIAZQBCAGUAZQBm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41</vt:i4>
      </vt:variant>
    </vt:vector>
  </HeadingPairs>
  <TitlesOfParts>
    <vt:vector size="50"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2026-07-14T02:06:30Z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