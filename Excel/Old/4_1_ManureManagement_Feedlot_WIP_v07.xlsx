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3D71BF8-1A74-4591-AA9E-CECA5D6B0440}" xr6:coauthVersionLast="47" xr6:coauthVersionMax="47" xr10:uidLastSave="{00000000-0000-0000-0000-000000000000}"/>
  <bookViews>
    <workbookView xWindow="390" yWindow="390" windowWidth="28800" windowHeight="15345" firstSheet="10" activeTab="10"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externalReferences>
    <externalReference r:id="rId15"/>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R113" i="69"/>
  <c r="O89" i="69"/>
  <c r="O88" i="69"/>
  <c r="O87" i="69"/>
  <c r="I59" i="82"/>
  <c r="E30" i="15"/>
  <c r="E33" i="15"/>
  <c r="E32" i="15"/>
  <c r="E31"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R150" i="69" l="1"/>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2" i="69"/>
  <c r="G82" i="69"/>
  <c r="F82"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K34" i="70"/>
  <c r="N108" i="81"/>
  <c r="D108" i="81"/>
  <c r="D100" i="81"/>
  <c r="N84" i="81"/>
  <c r="D84" i="81"/>
  <c r="E101" i="81"/>
  <c r="E99" i="81"/>
  <c r="E98" i="81"/>
  <c r="D42" i="81"/>
  <c r="E51" i="81"/>
  <c r="K33" i="70"/>
  <c r="E49" i="81" s="1"/>
  <c r="K32" i="70"/>
  <c r="E48" i="81" s="1"/>
  <c r="K38" i="70"/>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34" i="70"/>
  <c r="G169" i="76" s="1"/>
  <c r="F34" i="70"/>
  <c r="F169" i="76" s="1"/>
  <c r="E34" i="70"/>
  <c r="E169" i="76" s="1"/>
  <c r="G14" i="82" l="1"/>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7" i="81" a="1"/>
  <c r="E181" i="76" a="1"/>
  <c r="E7" i="82" a="1"/>
  <c r="E67" i="81" a="1"/>
  <c r="R84" i="81" l="1"/>
  <c r="H84" i="81"/>
  <c r="R108" i="81"/>
  <c r="H108" i="81"/>
  <c r="F46" i="82"/>
  <c r="F87" i="81"/>
  <c r="F18" i="13" s="1"/>
  <c r="H58" i="81"/>
  <c r="R58" i="81"/>
  <c r="I63" i="82"/>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F17" i="13" s="1"/>
  <c r="P111" i="81"/>
  <c r="F61" i="81"/>
  <c r="F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7" i="76" a="1"/>
  <c r="E135" i="76" a="1"/>
  <c r="E155" i="76" a="1"/>
  <c r="E89" i="76" a="1"/>
  <c r="E60" i="76" a="1"/>
  <c r="E36" i="76" a="1"/>
  <c r="E112" i="76" a="1"/>
  <c r="F89" i="69" l="1" a="1"/>
  <c r="F89" i="69" s="1"/>
  <c r="E33" i="81"/>
  <c r="E42" i="81"/>
  <c r="H129" i="76"/>
  <c r="E32" i="82"/>
  <c r="E195" i="76"/>
  <c r="E30" i="81"/>
  <c r="G17" i="70" a="1"/>
  <c r="G17" i="70" s="1"/>
  <c r="F49" i="76" s="1"/>
  <c r="E20" i="70" a="1"/>
  <c r="E20" i="70" s="1"/>
  <c r="E39" i="81"/>
  <c r="E23" i="70" a="1"/>
  <c r="E23" i="70" s="1"/>
  <c r="O49" i="76" s="1"/>
  <c r="F23" i="70" a="1"/>
  <c r="F23" i="70" s="1"/>
  <c r="P49" i="76" s="1"/>
  <c r="G23" i="70" a="1"/>
  <c r="G23" i="70" s="1"/>
  <c r="Q49" i="76" s="1"/>
  <c r="E17" i="70" a="1"/>
  <c r="E17" i="70" s="1"/>
  <c r="D49" i="76" s="1"/>
  <c r="F17" i="70" a="1"/>
  <c r="F17" i="70" s="1"/>
  <c r="E49" i="76"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F20" i="76" s="1"/>
  <c r="E15" i="70" a="1"/>
  <c r="E15" i="70" s="1"/>
  <c r="F14" i="70" a="1"/>
  <c r="F14" i="70" s="1"/>
  <c r="E20" i="76" s="1"/>
  <c r="E14" i="70" a="1"/>
  <c r="E14" i="70" s="1"/>
  <c r="D20" i="76" s="1"/>
  <c r="G22" i="70" a="1"/>
  <c r="G22" i="70" s="1"/>
  <c r="Q25" i="76" s="1"/>
  <c r="F20" i="70" a="1"/>
  <c r="F20" i="70" s="1"/>
  <c r="G20" i="70" a="1"/>
  <c r="G20" i="70" s="1"/>
  <c r="G15" i="70" a="1"/>
  <c r="G15" i="70" s="1"/>
  <c r="E16" i="70" a="1"/>
  <c r="E16" i="70" s="1"/>
  <c r="D25" i="76" s="1"/>
  <c r="F16" i="70" a="1"/>
  <c r="F16" i="70" s="1"/>
  <c r="E25" i="76" s="1"/>
  <c r="G16" i="70" a="1"/>
  <c r="G16" i="70" s="1"/>
  <c r="F25" i="76" s="1"/>
  <c r="E21" i="70" a="1"/>
  <c r="E21" i="70" s="1"/>
  <c r="M25" i="69" s="1"/>
  <c r="E22" i="70" a="1"/>
  <c r="E22" i="70" s="1"/>
  <c r="O25" i="76" s="1"/>
  <c r="F22" i="70" a="1"/>
  <c r="F22" i="70" s="1"/>
  <c r="P25" i="76" s="1"/>
  <c r="F15" i="70" a="1"/>
  <c r="F15" i="70" s="1"/>
  <c r="F21" i="70" a="1"/>
  <c r="F21" i="70" s="1"/>
  <c r="N25" i="69" s="1"/>
  <c r="G21" i="70" a="1"/>
  <c r="G21" i="70" s="1"/>
  <c r="O25" i="69" s="1"/>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D8" i="70"/>
  <c r="D9" i="70"/>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G38" i="70"/>
  <c r="F38" i="70"/>
  <c r="E38" i="70"/>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N171" i="69" l="1"/>
  <c r="P173" i="69" s="1"/>
  <c r="N176" i="69" s="1" a="1"/>
  <c r="N176" i="69" s="1"/>
  <c r="I7" i="13" s="1"/>
  <c r="E171" i="69"/>
  <c r="G173" i="69" s="1"/>
  <c r="E176" i="69" s="1" a="1"/>
  <c r="E176" i="69" s="1"/>
  <c r="H7" i="13" s="1"/>
  <c r="E61" i="81"/>
  <c r="E16" i="13" s="1"/>
  <c r="O61" i="81"/>
  <c r="O111" i="81"/>
  <c r="E111" i="81"/>
  <c r="E17" i="13" s="1"/>
  <c r="E87" i="81"/>
  <c r="E18" i="13" s="1"/>
  <c r="O87" i="8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<sst xmlns="http://schemas.openxmlformats.org/spreadsheetml/2006/main" count="839" uniqueCount="359">
  <si>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</si>
  <si>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</si>
  <si>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</si>
  <si>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</si>
  <si>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</si>
  <si>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</si>
  <si>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</si>
  <si>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</si>
  <si>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</si>
  <si>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</si>
  <si>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</si>
  <si>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</si>
  <si>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</si>
  <si>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</si>
  <si>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</si>
  <si>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</si>
  <si>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</si>
  <si>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</si>
  <si>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</si>
  <si>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</si>
  <si>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</si>
  <si>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</si>
  <si>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</si>
  <si>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</si>
  <si>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</si>
  <si>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</si>
  <si>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</si>
  <si>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</si>
  <si>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</si>
  <si>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</si>
  <si>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</si>
  <si>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</si>
  <si>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</si>
  <si>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</si>
  <si>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</si>
  <si>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</si>
  <si>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</si>
  <si>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</si>
  <si>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</si>
  <si>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</si>
  <si>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</si>
  <si>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</si>
  <si>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</si>
  <si>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</si>
  <si>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</si>
  <si>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</si>
  <si>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</si>
  <si>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</si>
  <si>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</si>
  <si>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</si>
  <si>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</si>
  <si>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</si>
  <si>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</si>
  <si>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</si>
  <si>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</si>
  <si>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</si>
  <si>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</si>
  <si>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</si>
  <si>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</si>
  <si>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</si>
  <si>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</si>
  <si>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</si>
  <si>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</si>
  <si>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</si>
  <si>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</si>
  <si>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</si>
  <si>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</si>
  <si>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</si>
  <si>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</si>
  <si>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</si>
  <si>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</si>
  <si>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</si>
  <si>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</si>
  <si>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</si>
  <si>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</si>
  <si>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</si>
  <si>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</si>
  <si>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</si>
  <si>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</si>
  <si>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</si>
  <si>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</si>
  <si>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</si>
  <si>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</si>
  <si>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</si>
  <si>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</si>
  <si>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</si>
  <si>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</si>
  <si>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</si>
  <si>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</si>
  <si>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</si>
  <si>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</si>
  <si>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</si>
  <si>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</si>
  <si>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</si>
  <si>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</si>
  <si>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</si>
  <si>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</si>
  <si>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</si>
  <si>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</si>
  <si>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</si>
  <si>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Table_MCF_i_m</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</si>
  <si>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</si>
  <si>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</si>
  <si>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</si>
  <si>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</si>
  <si>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</si>
  <si>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</si>
  <si>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</si>
  <si>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</si>
  <si>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</si>
  <si>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</si>
  <si>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</si>
  <si>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</si>
  <si>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</si>
  <si>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</si>
  <si>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</si>
  <si>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Methane conversion factor for state and MMS</t>
  </si>
  <si>
    <t>New South Wales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</si>
  <si>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</si>
  <si>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</si>
  <si>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</si>
  <si>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</si>
  <si>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</si>
  <si>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</si>
  <si>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</si>
  <si>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</si>
  <si>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</si>
  <si>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</si>
  <si>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</si>
  <si>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</si>
  <si>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</si>
  <si>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</si>
  <si>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</si>
  <si>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</si>
  <si>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</si>
  <si>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</si>
  <si>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</si>
  <si>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</si>
  <si>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</si>
  <si>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</si>
  <si>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</si>
  <si>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</si>
  <si>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</si>
  <si>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</si>
  <si>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</si>
  <si>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</si>
  <si>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</si>
  <si>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</si>
  <si>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</si>
  <si>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</si>
  <si>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</si>
  <si>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</si>
  <si>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</si>
  <si>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</si>
  <si>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</si>
  <si>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</si>
  <si>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</si>
  <si>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</si>
  <si>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</si>
  <si>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</si>
  <si>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</si>
  <si>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</si>
  <si>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</si>
  <si>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</si>
  <si>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</si>
  <si>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</si>
  <si>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</si>
  <si>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</si>
  <si>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</si>
  <si>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</si>
  <si>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</si>
  <si>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</si>
  <si>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</si>
  <si>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</si>
  <si>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</si>
  <si>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</si>
  <si>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</si>
  <si>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</si>
  <si>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</si>
  <si>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</si>
  <si>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</si>
  <si>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</si>
  <si>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</si>
  <si>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</si>
  <si>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</si>
  <si>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</si>
  <si>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</si>
  <si>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</si>
  <si>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</si>
  <si>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</si>
  <si>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</si>
  <si>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</si>
  <si>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</si>
  <si>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</si>
  <si>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</si>
  <si>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</si>
  <si>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</si>
  <si>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</si>
  <si>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</si>
  <si>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</si>
  <si>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</si>
  <si>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</si>
  <si>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</si>
  <si>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</si>
  <si>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</si>
  <si>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</si>
  <si>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</si>
  <si>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</si>
  <si>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</si>
  <si>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</si>
  <si>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</si>
  <si>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</si>
  <si>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</si>
  <si>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</si>
  <si>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</si>
  <si>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</si>
  <si>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</si>
  <si>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</si>
  <si>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</si>
  <si>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</si>
  <si>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</si>
  <si>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</si>
  <si>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</si>
  <si>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</si>
  <si>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</si>
  <si>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</si>
  <si>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</si>
  <si>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</si>
  <si>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</si>
  <si>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</si>
  <si>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</si>
  <si>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</si>
  <si>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</si>
  <si>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</si>
  <si>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</si>
  <si>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</si>
  <si>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</si>
  <si>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</si>
  <si>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</si>
  <si>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</si>
  <si>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</si>
  <si>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</si>
  <si>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</si>
  <si>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</si>
  <si>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</si>
  <si>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</si>
  <si>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</si>
  <si>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</si>
  <si>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</si>
  <si>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</si>
  <si>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</si>
  <si>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</si>
  <si>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</si>
  <si>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</si>
  <si>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</si>
  <si>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</si>
  <si>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</si>
  <si>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</si>
  <si>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</si>
  <si>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</si>
  <si>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</si>
  <si>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</si>
  <si>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</si>
  <si>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</si>
  <si>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</si>
  <si>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</si>
  <si>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</si>
  <si>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</si>
  <si>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</si>
  <si>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</si>
  <si>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</si>
  <si>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</si>
  <si>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</si>
  <si>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</si>
  <si>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</si>
  <si>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</si>
  <si>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</si>
  <si>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</si>
  <si>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</si>
  <si>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</si>
  <si>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</si>
  <si>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</si>
  <si>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</si>
  <si>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</si>
  <si>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</si>
  <si>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</si>
  <si>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</si>
  <si>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</si>
  <si>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</si>
  <si>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</si>
  <si>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</si>
  <si>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</si>
  <si>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</si>
  <si>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</si>
  <si>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</si>
  <si>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</si>
  <si>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</si>
  <si>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</si>
  <si>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</si>
  <si>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</si>
  <si>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</si>
  <si>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</si>
  <si>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</si>
  <si>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</si>
  <si>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</si>
  <si>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</si>
  <si>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</si>
  <si>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</si>
  <si>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</si>
  <si>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</si>
  <si>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</si>
  <si>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</si>
  <si>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</si>
  <si>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</si>
  <si>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</si>
  <si>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</si>
  <si>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</si>
  <si>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</si>
  <si>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</si>
  <si>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</si>
  <si>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</si>
  <si>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</si>
  <si>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</si>
  <si>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</si>
  <si>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</si>
  <si>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</si>
  <si>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</si>
  <si>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</si>
  <si>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</si>
  <si>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</si>
  <si>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</si>
  <si>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</si>
  <si>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</si>
  <si>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</si>
  <si>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</si>
  <si>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</si>
  <si>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</si>
  <si>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</si>
  <si>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</si>
  <si>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</si>
  <si>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</si>
  <si>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</si>
  <si>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</si>
  <si>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</si>
  <si>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</si>
  <si>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</si>
  <si>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</si>
  <si>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</si>
  <si>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</si>
  <si>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</si>
  <si>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</si>
  <si>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t>Do method 2 MCF</t>
  </si>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</sst>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5" borderId="2">
      <alignment horizontal="center" vertical="center"/>
    </xf>
    <xf numFmtId="0" fontId="65" fillId="16" borderId="2">
      <alignment horizontal="center" vertical="center"/>
    </xf>
    <xf numFmtId="0" fontId="35" fillId="4" borderId="2">
      <alignment horizontal="left" vertical="center"/>
    </xf>
    <xf numFmtId="0" fontId="68" fillId="4" borderId="2">
      <alignment horizontal="left" vertical="center"/>
    </xf>
  </cellStyleXfs>
  <cellXfs count="15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40" fillId="14" borderId="0" xfId="8"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5" borderId="2" xfId="65">
      <alignment horizontal="center" vertical="center"/>
    </xf>
    <xf numFmtId="0" fontId="65" fillId="16"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4" t="s">
        <v>356</v>
      </c>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row>
    <row r="2" spans="1:64" ht="20.100000000000001" customHeight="1" x14ac:dyDescent="0.25">
      <c r="A2" s="9"/>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row>
    <row r="3" spans="1:64" ht="20.100000000000001" customHeight="1" x14ac:dyDescent="0.25">
      <c r="A3" s="17" t="str">
        <f>HYPERLINK("#'Home'!A1", "Home")</f>
        <v>Home</v>
      </c>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row>
    <row r="4" spans="1:64" ht="20.100000000000001" customHeight="1" x14ac:dyDescent="0.25">
      <c r="A4" s="128"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7" t="s">
        <v>354</v>
      </c>
      <c r="E5" s="147"/>
      <c r="F5" s="147"/>
      <c r="G5" s="147"/>
      <c r="H5" s="147"/>
      <c r="I5" s="117"/>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8" t="s">
        <v>355</v>
      </c>
      <c r="E6" s="149"/>
      <c r="F6" s="149"/>
      <c r="G6" s="149"/>
      <c r="H6" s="149"/>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11" sqref="I1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9" t="s">
        <v>299</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8" t="str">
        <f>HYPERLINK("#'Results'!A1", "Results")</f>
        <v>Results</v>
      </c>
      <c r="C5" s="24"/>
      <c r="D5" s="28"/>
      <c r="E5" s="29"/>
      <c r="F5" s="29"/>
      <c r="G5" s="29"/>
      <c r="H5" s="26"/>
      <c r="I5" s="24"/>
      <c r="J5" s="24"/>
      <c r="K5" s="24"/>
      <c r="L5" s="24"/>
    </row>
    <row r="6" spans="1:12" ht="20.100000000000001" customHeight="1" x14ac:dyDescent="0.25">
      <c r="A6" s="16"/>
      <c r="C6" s="24"/>
      <c r="D6" s="127" t="s">
        <v>260</v>
      </c>
      <c r="E6" s="127" t="s">
        <v>314</v>
      </c>
      <c r="F6" s="127" t="s">
        <v>315</v>
      </c>
      <c r="G6" s="127" t="s">
        <v>286</v>
      </c>
      <c r="H6" s="127" t="s">
        <v>316</v>
      </c>
      <c r="I6" s="127" t="s">
        <v>318</v>
      </c>
      <c r="J6" s="127" t="s">
        <v>287</v>
      </c>
      <c r="K6" s="24"/>
      <c r="L6" s="24"/>
    </row>
    <row r="7" spans="1:12" ht="20.100000000000001" customHeight="1" x14ac:dyDescent="0.25">
      <c r="A7" s="20" t="s">
        <v>3</v>
      </c>
      <c r="C7" s="24"/>
      <c r="D7" s="1" t="s">
        <v>311</v>
      </c>
      <c r="E7" s="120">
        <f>'4.1.1.1-2 Methane'!E171</f>
        <v>2.5235017586687993</v>
      </c>
      <c r="F7" s="120">
        <f>'4.1.1.1-2 Methane'!N171</f>
        <v>2.5595517837926396</v>
      </c>
      <c r="G7" s="57" t="str">
        <f>'4.1.1.1-2 Methane'!F171</f>
        <v>t CH4</v>
      </c>
      <c r="H7" s="120">
        <f>'4.1.1.1-2 Methane'!E176</f>
        <v>70.658049242726378</v>
      </c>
      <c r="I7" s="120">
        <f>'4.1.1.1-2 Methane'!N176</f>
        <v>71.667449946193912</v>
      </c>
      <c r="J7" s="57" t="s">
        <v>317</v>
      </c>
      <c r="K7" s="24"/>
      <c r="L7" s="24"/>
    </row>
    <row r="8" spans="1:12" ht="20.100000000000001" customHeight="1" x14ac:dyDescent="0.25">
      <c r="A8" s="17" t="str">
        <f>HYPERLINK("#'Input - Site'!A1", "Site")</f>
        <v>Site</v>
      </c>
      <c r="C8" s="24"/>
      <c r="D8" s="1" t="s">
        <v>312</v>
      </c>
      <c r="E8" s="120">
        <f>'4.1.1.3-4 Direct N20'!E212</f>
        <v>0.79920735133264487</v>
      </c>
      <c r="F8" s="120">
        <f>'4.1.1.3-4 Direct N20'!P212</f>
        <v>0.79920735133264487</v>
      </c>
      <c r="G8" s="57" t="str">
        <f>'4.1.1.3-4 Direct N20'!F212</f>
        <v>t N2O</v>
      </c>
      <c r="H8" s="120">
        <f>'4.1.1.3-4 Direct N20'!E217</f>
        <v>211.78994810315089</v>
      </c>
      <c r="I8" s="120">
        <f>'4.1.1.3-4 Direct N20'!P217</f>
        <v>211.78994810315089</v>
      </c>
      <c r="J8" s="57" t="s">
        <v>317</v>
      </c>
      <c r="K8" s="24"/>
      <c r="L8" s="24"/>
    </row>
    <row r="9" spans="1:12" ht="20.100000000000001" customHeight="1" x14ac:dyDescent="0.25">
      <c r="A9" s="17" t="str">
        <f>HYPERLINK("#'Input - Feedlot'!A1", "Feedlot")</f>
        <v>Feedlot</v>
      </c>
      <c r="C9" s="24"/>
      <c r="D9" s="1" t="s">
        <v>313</v>
      </c>
      <c r="E9" s="120">
        <f>'4.1.1.5-6 Atmos Deposition'!$E$65</f>
        <v>0.14458898055388003</v>
      </c>
      <c r="F9" s="120">
        <f>'4.1.1.5-6 Atmos Deposition'!$N$65</f>
        <v>0.14458898055388003</v>
      </c>
      <c r="G9" s="57" t="str">
        <f>'4.1.1.5-6 Atmos Deposition'!$F$65</f>
        <v>t N2O</v>
      </c>
      <c r="H9" s="120">
        <f>'4.1.1.5-6 Atmos Deposition'!$E$70</f>
        <v>38.316079846778209</v>
      </c>
      <c r="I9" s="120">
        <f>'4.1.1.5-6 Atmos Deposition'!$N$70</f>
        <v>38.316079846778209</v>
      </c>
      <c r="J9" s="57" t="s">
        <v>317</v>
      </c>
      <c r="K9" s="24"/>
      <c r="L9" s="24"/>
    </row>
    <row r="10" spans="1:12" ht="20.100000000000001" customHeight="1" x14ac:dyDescent="0.3">
      <c r="A10" s="17"/>
      <c r="C10" s="24"/>
      <c r="D10" s="31" t="s">
        <v>284</v>
      </c>
      <c r="E10" s="25"/>
      <c r="F10" s="31"/>
      <c r="G10" s="31"/>
      <c r="H10" s="124">
        <f>SUM(H7:H9)</f>
        <v>320.76407719265552</v>
      </c>
      <c r="I10" s="124">
        <f>SUM(I7:I9)</f>
        <v>321.77347789612304</v>
      </c>
      <c r="J10" s="112" t="s">
        <v>317</v>
      </c>
      <c r="K10" s="24"/>
      <c r="L10" s="24"/>
    </row>
    <row r="11" spans="1:12" ht="20.100000000000001" customHeight="1" x14ac:dyDescent="0.25">
      <c r="A11" s="19" t="s">
        <v>76</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229</v>
      </c>
      <c r="E12" s="1"/>
      <c r="F12" s="1"/>
      <c r="G12" s="1"/>
      <c r="H12" s="26"/>
      <c r="I12" s="24"/>
      <c r="J12" s="24"/>
      <c r="K12" s="24"/>
      <c r="L12" s="24"/>
    </row>
    <row r="13" spans="1:12" ht="20.100000000000001" customHeight="1" x14ac:dyDescent="0.25">
      <c r="A13" s="17" t="str">
        <f>HYPERLINK("#'4.1.1.3-4 Direct N20'!A1", "4.1.1.3-4 Direct N2O")</f>
        <v>4.1.1.3-4 Direct N2O</v>
      </c>
      <c r="C13" s="24"/>
      <c r="D13" s="113" t="s">
        <v>292</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5" t="s">
        <v>298</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7" t="s">
        <v>293</v>
      </c>
      <c r="E15" s="127" t="s">
        <v>290</v>
      </c>
      <c r="F15" s="127" t="s">
        <v>291</v>
      </c>
      <c r="G15" s="127" t="s">
        <v>285</v>
      </c>
      <c r="H15" s="127" t="s">
        <v>297</v>
      </c>
      <c r="I15" s="1"/>
      <c r="J15" s="1"/>
      <c r="K15" s="24"/>
      <c r="L15" s="24"/>
    </row>
    <row r="16" spans="1:12" ht="20.100000000000001" customHeight="1" x14ac:dyDescent="0.25">
      <c r="C16" s="24"/>
      <c r="D16" s="1" t="s">
        <v>310</v>
      </c>
      <c r="E16" s="126">
        <f>'4.1.1.9 Manure applied to soils'!$E$61</f>
        <v>24130.039038028423</v>
      </c>
      <c r="F16" s="57" t="str">
        <f>'4.1.1.9 Manure applied to soils'!$F$61</f>
        <v>kg N</v>
      </c>
      <c r="G16" s="1" t="s">
        <v>304</v>
      </c>
      <c r="H16" s="1" t="s">
        <v>296</v>
      </c>
      <c r="I16" s="1"/>
      <c r="J16" s="1"/>
      <c r="K16" s="24"/>
      <c r="L16" s="24"/>
    </row>
    <row r="17" spans="1:12" ht="20.100000000000001" customHeight="1" x14ac:dyDescent="0.25">
      <c r="A17" s="18" t="s">
        <v>4</v>
      </c>
      <c r="C17" s="24"/>
      <c r="D17" s="1" t="s">
        <v>294</v>
      </c>
      <c r="E17" s="126">
        <f>'4.1.1.9 Manure applied to soils'!$E$111</f>
        <v>2202.6859482366731</v>
      </c>
      <c r="F17" s="57" t="str">
        <f>'4.1.1.9 Manure applied to soils'!$F$111</f>
        <v>kg N</v>
      </c>
      <c r="G17" s="1" t="s">
        <v>304</v>
      </c>
      <c r="H17" s="1" t="s">
        <v>296</v>
      </c>
      <c r="I17" s="1"/>
      <c r="J17" s="1"/>
      <c r="K17" s="24"/>
      <c r="L17" s="24"/>
    </row>
    <row r="18" spans="1:12" ht="20.100000000000001" customHeight="1" x14ac:dyDescent="0.25">
      <c r="A18" s="17" t="str">
        <f>HYPERLINK("#'Constants - Feedlot'!A1", "Constants - Feedlot")</f>
        <v>Constants - Feedlot</v>
      </c>
      <c r="C18" s="24"/>
      <c r="D18" s="1" t="s">
        <v>288</v>
      </c>
      <c r="E18" s="126">
        <f>'4.1.1.9 Manure applied to soils'!E87</f>
        <v>2202.6859482366731</v>
      </c>
      <c r="F18" s="57" t="str">
        <f>'4.1.1.9 Manure applied to soils'!F87</f>
        <v>kg N</v>
      </c>
      <c r="G18" s="1" t="s">
        <v>289</v>
      </c>
      <c r="H18" s="1" t="s">
        <v>295</v>
      </c>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9"/>
      <c r="J38" s="119"/>
      <c r="K38" s="119"/>
      <c r="L38" s="24"/>
    </row>
    <row r="39" spans="3:12" ht="20.100000000000001" customHeight="1" x14ac:dyDescent="0.25">
      <c r="C39" s="24"/>
      <c r="D39" s="1"/>
      <c r="E39" s="1"/>
      <c r="F39" s="1"/>
      <c r="G39" s="1"/>
      <c r="H39" s="1"/>
      <c r="I39" s="119"/>
      <c r="J39" s="119"/>
      <c r="K39" s="119"/>
      <c r="L39" s="24"/>
    </row>
    <row r="40" spans="3:12" ht="20.100000000000001" customHeight="1" x14ac:dyDescent="0.25">
      <c r="C40" s="24"/>
      <c r="D40" s="1"/>
      <c r="E40" s="1"/>
      <c r="F40" s="1"/>
      <c r="G40" s="1"/>
      <c r="H40" s="1"/>
      <c r="I40" s="119"/>
      <c r="J40" s="119"/>
      <c r="K40" s="119"/>
      <c r="L40" s="24"/>
    </row>
    <row r="41" spans="3:12" ht="20.100000000000001" customHeight="1" x14ac:dyDescent="0.25">
      <c r="C41" s="24"/>
      <c r="D41" s="1"/>
      <c r="E41" s="1"/>
      <c r="F41" s="1"/>
      <c r="G41" s="1"/>
      <c r="H41" s="1"/>
      <c r="I41" s="119"/>
      <c r="J41" s="119"/>
      <c r="K41" s="119"/>
      <c r="L41" s="24"/>
    </row>
    <row r="42" spans="3:12" ht="20.100000000000001" customHeight="1" x14ac:dyDescent="0.25">
      <c r="C42" s="24"/>
      <c r="D42" s="1"/>
      <c r="E42" s="1"/>
      <c r="F42" s="1"/>
      <c r="G42" s="1"/>
      <c r="H42" s="1"/>
      <c r="I42" s="119"/>
      <c r="J42" s="119"/>
      <c r="K42" s="119"/>
      <c r="L42" s="24"/>
    </row>
    <row r="43" spans="3:12" ht="20.100000000000001" customHeight="1" x14ac:dyDescent="0.25">
      <c r="C43" s="24"/>
      <c r="D43" s="1"/>
      <c r="E43" s="1"/>
      <c r="F43" s="1"/>
      <c r="G43" s="1"/>
      <c r="H43" s="1"/>
      <c r="I43" s="119"/>
      <c r="J43" s="119"/>
      <c r="K43" s="119"/>
      <c r="L43" s="24"/>
    </row>
    <row r="44" spans="3:12" ht="20.100000000000001" customHeight="1" x14ac:dyDescent="0.25">
      <c r="C44" s="24"/>
      <c r="D44" s="1"/>
      <c r="E44" s="1"/>
      <c r="F44" s="1"/>
      <c r="G44" s="1"/>
      <c r="H44" s="1"/>
      <c r="I44" s="119"/>
      <c r="J44" s="119"/>
      <c r="K44" s="119"/>
      <c r="L44" s="24"/>
    </row>
    <row r="45" spans="3:12" ht="20.100000000000001" customHeight="1" x14ac:dyDescent="0.25">
      <c r="C45" s="24"/>
      <c r="D45" s="1"/>
      <c r="E45" s="1"/>
      <c r="F45" s="1"/>
      <c r="G45" s="1"/>
      <c r="H45" s="1"/>
      <c r="I45" s="119"/>
      <c r="J45" s="119"/>
      <c r="K45" s="119"/>
      <c r="L45" s="24"/>
    </row>
    <row r="46" spans="3:12" ht="20.100000000000001" customHeight="1" x14ac:dyDescent="0.25">
      <c r="C46" s="24"/>
      <c r="D46" s="1"/>
      <c r="E46" s="1"/>
      <c r="F46" s="1"/>
      <c r="G46" s="1"/>
      <c r="H46" s="1"/>
      <c r="I46" s="119"/>
      <c r="J46" s="119"/>
      <c r="K46" s="119"/>
      <c r="L46" s="24"/>
    </row>
    <row r="47" spans="3:12" ht="20.100000000000001" customHeight="1" x14ac:dyDescent="0.25">
      <c r="C47" s="24"/>
      <c r="D47" s="1"/>
      <c r="E47" s="1"/>
      <c r="F47" s="1"/>
      <c r="G47" s="1"/>
      <c r="H47" s="1"/>
      <c r="I47" s="119"/>
      <c r="J47" s="119"/>
      <c r="K47" s="119"/>
      <c r="L47" s="24"/>
    </row>
    <row r="48" spans="3:12" ht="20.100000000000001" customHeight="1" x14ac:dyDescent="0.25">
      <c r="C48" s="24"/>
      <c r="D48" s="1"/>
      <c r="E48" s="1"/>
      <c r="F48" s="1"/>
      <c r="G48" s="1"/>
      <c r="H48" s="1"/>
      <c r="I48" s="119"/>
      <c r="J48" s="119"/>
      <c r="K48" s="119"/>
      <c r="L48" s="24"/>
    </row>
    <row r="49" spans="3:12" ht="20.100000000000001" customHeight="1" x14ac:dyDescent="0.25">
      <c r="C49" s="24"/>
      <c r="D49" s="1"/>
      <c r="E49" s="1"/>
      <c r="F49" s="1"/>
      <c r="G49" s="1"/>
      <c r="H49" s="119"/>
      <c r="I49" s="119"/>
      <c r="J49" s="119"/>
      <c r="K49" s="119"/>
      <c r="L49" s="24"/>
    </row>
    <row r="50" spans="3:12" ht="20.100000000000001" customHeight="1" x14ac:dyDescent="0.25">
      <c r="C50" s="24"/>
      <c r="D50" s="1"/>
      <c r="E50" s="1"/>
      <c r="F50" s="1"/>
      <c r="G50" s="1"/>
      <c r="H50" s="119"/>
      <c r="I50" s="119"/>
      <c r="J50" s="119"/>
      <c r="K50" s="119"/>
      <c r="L50" s="24"/>
    </row>
    <row r="51" spans="3:12" ht="20.100000000000001" customHeight="1" x14ac:dyDescent="0.25">
      <c r="C51" s="24"/>
      <c r="D51" s="1"/>
      <c r="E51" s="1"/>
      <c r="F51" s="1"/>
      <c r="G51" s="1"/>
      <c r="H51" s="119"/>
      <c r="I51" s="119"/>
      <c r="J51" s="119"/>
      <c r="K51" s="119"/>
      <c r="L51" s="24"/>
    </row>
    <row r="52" spans="3:12" ht="20.100000000000001" customHeight="1" x14ac:dyDescent="0.25">
      <c r="C52" s="24"/>
      <c r="D52" s="1"/>
      <c r="E52" s="1"/>
      <c r="F52" s="1"/>
      <c r="G52" s="1"/>
      <c r="H52" s="119"/>
      <c r="I52" s="119"/>
      <c r="J52" s="119"/>
      <c r="K52" s="119"/>
      <c r="L52" s="24"/>
    </row>
    <row r="53" spans="3:12" ht="20.100000000000001" customHeight="1" x14ac:dyDescent="0.25">
      <c r="C53" s="24"/>
      <c r="D53" s="1"/>
      <c r="E53" s="1"/>
      <c r="F53" s="1"/>
      <c r="G53" s="1"/>
      <c r="H53" s="119"/>
      <c r="I53" s="119"/>
      <c r="J53" s="119"/>
      <c r="K53" s="119"/>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72</v>
      </c>
      <c r="E8" s="35" t="s">
        <v>73</v>
      </c>
    </row>
    <row r="9" spans="1:24" ht="20.100000000000001" customHeight="1" x14ac:dyDescent="0.25">
      <c r="A9" s="17" t="str">
        <f>HYPERLINK("#'Input - Feedlot'!A1", "Feedlot")</f>
        <v>Feedlot</v>
      </c>
      <c r="N9" s="45"/>
    </row>
    <row r="10" spans="1:24" ht="20.100000000000001" customHeight="1" x14ac:dyDescent="0.25">
      <c r="A10" s="17"/>
      <c r="D10" s="97" t="s">
        <v>90</v>
      </c>
      <c r="E10" s="95"/>
      <c r="F10" s="98"/>
      <c r="G10" s="92"/>
      <c r="N10" s="45"/>
    </row>
    <row r="11" spans="1:24" ht="20.100000000000001" customHeight="1" x14ac:dyDescent="0.25">
      <c r="A11" s="19" t="s">
        <v>76</v>
      </c>
      <c r="N11" s="46"/>
    </row>
    <row r="12" spans="1:24" ht="20.100000000000001" customHeight="1" x14ac:dyDescent="0.25">
      <c r="A12" s="17" t="str">
        <f>HYPERLINK("#'4.1.1.1-2 Methane'!A1", "4.1.1.1-2 Methane")</f>
        <v>4.1.1.1-2 Methane</v>
      </c>
      <c r="D12" s="10" t="s">
        <v>96</v>
      </c>
      <c r="E12" s="66">
        <v>45292</v>
      </c>
      <c r="F12" s="2" t="s">
        <v>70</v>
      </c>
    </row>
    <row r="13" spans="1:24" ht="20.100000000000001" customHeight="1" x14ac:dyDescent="0.25">
      <c r="A13" s="17" t="str">
        <f>HYPERLINK("#'4.1.1.3-4 Direct N20'!A1", "4.1.1.3-4 Direct N2O")</f>
        <v>4.1.1.3-4 Direct N2O</v>
      </c>
      <c r="D13" s="10" t="s">
        <v>97</v>
      </c>
      <c r="E13" s="73">
        <f>DATE(YEAR(E12)+1,MONTH(E12),DAY(E12))-1</f>
        <v>45657</v>
      </c>
      <c r="F13" s="2" t="s">
        <v>17</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14</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16</v>
      </c>
      <c r="E18" s="94"/>
      <c r="F18" s="94"/>
      <c r="G18" s="90"/>
    </row>
    <row r="19" spans="1:25" ht="20.100000000000001" customHeight="1" x14ac:dyDescent="0.25">
      <c r="A19" s="17" t="str">
        <f>HYPERLINK("#'Constants - Livestock'!A1", "Constants - Livestock")</f>
        <v>Constants - Livestock</v>
      </c>
      <c r="D19" s="96" t="s">
        <v>71</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8</v>
      </c>
      <c r="E21" s="42" t="s">
        <v>117</v>
      </c>
      <c r="F21" s="2" t="s">
        <v>11</v>
      </c>
    </row>
    <row r="22" spans="1:25" ht="20.100000000000001" customHeight="1" x14ac:dyDescent="0.25">
      <c r="A22"/>
      <c r="D22" s="1" t="s">
        <v>25</v>
      </c>
      <c r="E22" s="42" t="s">
        <v>34</v>
      </c>
      <c r="F22" s="2" t="s">
        <v>11</v>
      </c>
      <c r="G22" s="1"/>
    </row>
    <row r="23" spans="1:25" ht="20.100000000000001" customHeight="1" x14ac:dyDescent="0.25">
      <c r="A23"/>
      <c r="D23" s="1" t="s">
        <v>9</v>
      </c>
      <c r="E23" s="42" t="s">
        <v>95</v>
      </c>
      <c r="F23" s="2" t="s">
        <v>11</v>
      </c>
    </row>
    <row r="24" spans="1:25" ht="20.100000000000001" customHeight="1" x14ac:dyDescent="0.25">
      <c r="A24"/>
      <c r="D24" s="1" t="s">
        <v>39</v>
      </c>
      <c r="E24" s="35">
        <v>307.7</v>
      </c>
      <c r="F24" s="2" t="s">
        <v>53</v>
      </c>
    </row>
    <row r="25" spans="1:25" ht="20.100000000000001" customHeight="1" x14ac:dyDescent="0.25">
      <c r="A25"/>
      <c r="D25" s="1" t="s">
        <v>61</v>
      </c>
      <c r="E25" s="35">
        <v>18</v>
      </c>
      <c r="F25" s="2" t="s">
        <v>12</v>
      </c>
      <c r="N25" s="44"/>
    </row>
    <row r="26" spans="1:25" ht="20.100000000000001" customHeight="1" x14ac:dyDescent="0.25">
      <c r="A26"/>
      <c r="D26" s="1" t="s">
        <v>62</v>
      </c>
      <c r="E26" s="35">
        <v>601</v>
      </c>
      <c r="F26" s="2" t="s">
        <v>13</v>
      </c>
    </row>
    <row r="27" spans="1:25" ht="20.100000000000001" customHeight="1" x14ac:dyDescent="0.25">
      <c r="A27"/>
      <c r="D27" s="10" t="s">
        <v>63</v>
      </c>
      <c r="E27" s="35">
        <v>1326</v>
      </c>
      <c r="F27" s="2" t="s">
        <v>13</v>
      </c>
    </row>
    <row r="28" spans="1:25" ht="20.100000000000001" customHeight="1" x14ac:dyDescent="0.25">
      <c r="A28"/>
      <c r="D28" s="1" t="s">
        <v>64</v>
      </c>
      <c r="E28" s="35">
        <v>7</v>
      </c>
      <c r="F28" s="2" t="s">
        <v>54</v>
      </c>
    </row>
    <row r="29" spans="1:25" ht="20.100000000000001" customHeight="1" x14ac:dyDescent="0.25">
      <c r="A29"/>
      <c r="D29" s="10" t="s">
        <v>60</v>
      </c>
      <c r="E29" s="55">
        <f>E26/E27</f>
        <v>0.45324283559577677</v>
      </c>
      <c r="F29" s="2"/>
    </row>
    <row r="30" spans="1:25" ht="20.100000000000001" customHeight="1" x14ac:dyDescent="0.25">
      <c r="A30"/>
      <c r="D30" s="10" t="s">
        <v>35</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52</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107</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121</v>
      </c>
    </row>
    <row r="6" spans="1:21" ht="20.100000000000001" customHeight="1" x14ac:dyDescent="0.25">
      <c r="A6" s="16"/>
    </row>
    <row r="7" spans="1:21" ht="20.100000000000001" customHeight="1" x14ac:dyDescent="0.25">
      <c r="A7" s="20" t="s">
        <v>3</v>
      </c>
      <c r="D7" s="65"/>
      <c r="E7" s="41" t="s">
        <v>140</v>
      </c>
      <c r="F7" s="41" t="s">
        <v>141</v>
      </c>
      <c r="G7" s="41" t="s">
        <v>142</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106">
        <v>4300</v>
      </c>
      <c r="F8" s="106">
        <v>100</v>
      </c>
      <c r="G8" s="106">
        <v>100</v>
      </c>
      <c r="H8" s="2" t="s">
        <v>123</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106">
        <v>90</v>
      </c>
      <c r="F9" s="106">
        <v>140</v>
      </c>
      <c r="G9" s="106">
        <v>250</v>
      </c>
      <c r="H9" s="2" t="s">
        <v>327</v>
      </c>
      <c r="I9" s="2"/>
      <c r="J9" s="2"/>
      <c r="K9" s="2"/>
    </row>
    <row r="10" spans="1:21" ht="20.100000000000001" customHeight="1" x14ac:dyDescent="0.25">
      <c r="A10" s="17"/>
    </row>
    <row r="11" spans="1:21" ht="20.100000000000001" customHeight="1" x14ac:dyDescent="0.25">
      <c r="A11" s="19" t="s">
        <v>76</v>
      </c>
      <c r="D11" s="6" t="s">
        <v>103</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300</v>
      </c>
      <c r="E13" s="41" t="s">
        <v>140</v>
      </c>
      <c r="F13" s="41" t="s">
        <v>141</v>
      </c>
      <c r="G13" s="41" t="s">
        <v>142</v>
      </c>
    </row>
    <row r="14" spans="1:21" ht="20.100000000000001" customHeight="1" x14ac:dyDescent="0.25">
      <c r="A14" s="17" t="str">
        <f>HYPERLINK("#'4.1.1.5-6 Atmos Deposition'!A1", "4.1.1.5-6 Atmospheric deposition")</f>
        <v>4.1.1.5-6 Atmospheric deposition</v>
      </c>
      <c r="D14" s="1" t="s">
        <v>146</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108</v>
      </c>
      <c r="I14" s="2"/>
      <c r="J14" s="2"/>
      <c r="K14" s="2"/>
    </row>
    <row r="15" spans="1:21" ht="20.100000000000001" customHeight="1" x14ac:dyDescent="0.25">
      <c r="A15" s="17" t="str">
        <f>HYPERLINK("#'4.1.1.9 Manure applied to soils'!A1", "4.1.1.9 Manure applied to soils")</f>
        <v>4.1.1.9 Manure applied to soils</v>
      </c>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328</v>
      </c>
      <c r="I15" s="2"/>
      <c r="J15" s="2"/>
      <c r="K15" s="2"/>
    </row>
    <row r="16" spans="1:21" ht="20.100000000000001" customHeight="1" x14ac:dyDescent="0.25">
      <c r="D16" s="1" t="s">
        <v>133</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328</v>
      </c>
      <c r="I16" s="2"/>
      <c r="J16" s="2"/>
      <c r="K16" s="2"/>
    </row>
    <row r="17" spans="1:11" ht="20.100000000000001" customHeight="1" x14ac:dyDescent="0.25">
      <c r="A17" s="18" t="s">
        <v>4</v>
      </c>
      <c r="D17" s="1" t="s">
        <v>150</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330</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301</v>
      </c>
      <c r="E19" s="41" t="s">
        <v>140</v>
      </c>
      <c r="F19" s="41" t="s">
        <v>141</v>
      </c>
      <c r="G19" s="41" t="s">
        <v>142</v>
      </c>
    </row>
    <row r="20" spans="1:11" ht="20.100000000000001" customHeight="1" x14ac:dyDescent="0.25">
      <c r="A20" s="17" t="str">
        <f>HYPERLINK("#'Constants - Common'!A1", "Constants - Common")</f>
        <v>Constants - Common</v>
      </c>
      <c r="D20" s="1" t="s">
        <v>146</v>
      </c>
      <c r="E20" s="68" cm="1">
        <f t="array" ref="E20">_xlfn.XLOOKUP(1, (Table_SourceData_Feedlot_AnimalCharacteristics[Feedlot type] = E$19) * (Table_SourceData_Feedlot_AnimalCharacteristics[Characteristic] = $D$20), Table_SourceData_Feedlot_AnimalCharacteristics[2020-2023], "Not Found")</f>
        <v>10.4</v>
      </c>
      <c r="F20" s="68" cm="1">
        <f t="array" ref="F20">_xlfn.XLOOKUP(1, (Table_SourceData_Feedlot_AnimalCharacteristics[Feedlot type] = F$19) * (Table_SourceData_Feedlot_AnimalCharacteristics[Characteristic] = $D$20), Table_SourceData_Feedlot_AnimalCharacteristics[2020-2023], "Not Found")</f>
        <v>10.8</v>
      </c>
      <c r="G20" s="68" cm="1">
        <f t="array" ref="G20">_xlfn.XLOOKUP(1, (Table_SourceData_Feedlot_AnimalCharacteristics[Feedlot type] = G$19) * (Table_SourceData_Feedlot_AnimalCharacteristics[Characteristic] = $D$20), Table_SourceData_Feedlot_AnimalCharacteristics[2020-2023], "Not Found")</f>
        <v>8.1999999999999993</v>
      </c>
      <c r="H20" s="2" t="s">
        <v>108</v>
      </c>
      <c r="I20" s="2"/>
      <c r="J20" s="2"/>
      <c r="K20" s="2"/>
    </row>
    <row r="21" spans="1:11" ht="20.100000000000001" customHeight="1" x14ac:dyDescent="0.25">
      <c r="A21" s="17" t="str">
        <f>HYPERLINK("#'Acknowledgements'!A1", "Acknowledgements")</f>
        <v>Acknowledgements</v>
      </c>
      <c r="D21" s="1" t="s">
        <v>18</v>
      </c>
      <c r="E21" s="68" cm="1">
        <f t="array" ref="E21">_xlfn.XLOOKUP(1, (Table_SourceData_Feedlot_DietProperties[Feedlot type] = E$19) * (Table_SourceData_Feedlot_DietProperties[Nutrient analysis] = $D$21), Table_SourceData_Feedlot_DietProperties[2020-2023 Converted to fraction], "Not Found")</f>
        <v>0.81</v>
      </c>
      <c r="F21" s="68" cm="1">
        <f t="array" ref="F21">_xlfn.XLOOKUP(1, (Table_SourceData_Feedlot_DietProperties[Feedlot type] = F$19) * (Table_SourceData_Feedlot_DietProperties[Nutrient analysis] = $D$21), Table_SourceData_Feedlot_DietProperties[2020-2023 Converted to fraction], "Not Found")</f>
        <v>0.81</v>
      </c>
      <c r="G21" s="68" cm="1">
        <f t="array" ref="G21">_xlfn.XLOOKUP(1, (Table_SourceData_Feedlot_DietProperties[Feedlot type] = G$19) * (Table_SourceData_Feedlot_DietProperties[Nutrient analysis] = $D$21), Table_SourceData_Feedlot_DietProperties[2020-2023 Converted to fraction], "Not Found")</f>
        <v>0.81</v>
      </c>
      <c r="H21" s="2" t="s">
        <v>328</v>
      </c>
      <c r="I21" s="2"/>
      <c r="J21" s="2"/>
      <c r="K21" s="2"/>
    </row>
    <row r="22" spans="1:11" ht="20.100000000000001" customHeight="1" x14ac:dyDescent="0.25">
      <c r="D22" s="1" t="s">
        <v>133</v>
      </c>
      <c r="E22" s="68" cm="1">
        <f t="array" ref="E22">_xlfn.XLOOKUP(1, (Table_SourceData_Feedlot_DietProperties[Feedlot type] = E$19) * (Table_SourceData_Feedlot_DietProperties[Nutrient analysis] = $D$22), Table_SourceData_Feedlot_DietProperties[2020-2023 Converted to fraction], "Not Found")</f>
        <v>0.14000000000000001</v>
      </c>
      <c r="F22" s="68" cm="1">
        <f t="array" ref="F22">_xlfn.XLOOKUP(1, (Table_SourceData_Feedlot_DietProperties[Feedlot type] = F$19) * (Table_SourceData_Feedlot_DietProperties[Nutrient analysis] = $D$22), Table_SourceData_Feedlot_DietProperties[2020-2023 Converted to fraction], "Not Found")</f>
        <v>0.12</v>
      </c>
      <c r="G22" s="68" cm="1">
        <f t="array" ref="G22">_xlfn.XLOOKUP(1, (Table_SourceData_Feedlot_DietProperties[Feedlot type] = G$19) * (Table_SourceData_Feedlot_DietProperties[Nutrient analysis] = $D$22), Table_SourceData_Feedlot_DietProperties[2020-2023 Converted to fraction], "Not Found")</f>
        <v>0.12</v>
      </c>
      <c r="H22" s="2" t="s">
        <v>328</v>
      </c>
      <c r="I22" s="2"/>
      <c r="J22" s="2"/>
      <c r="K22" s="2"/>
    </row>
    <row r="23" spans="1:11" ht="20.100000000000001" customHeight="1" x14ac:dyDescent="0.25">
      <c r="D23" s="1" t="s">
        <v>150</v>
      </c>
      <c r="E23" s="68" cm="1">
        <f t="array" ref="E23">_xlfn.XLOOKUP(1, (Table_SourceData_Feedlot_AnimalCharacteristics[Feedlot type] = E$19) * (Table_SourceData_Feedlot_AnimalCharacteristics[Characteristic] = $D$23), Table_SourceData_Feedlot_AnimalCharacteristics[2020-2023], "Not Found")</f>
        <v>20.399999999999999</v>
      </c>
      <c r="F23" s="68" cm="1">
        <f t="array" ref="F23">_xlfn.XLOOKUP(1, (Table_SourceData_Feedlot_AnimalCharacteristics[Feedlot type] = F$19) * (Table_SourceData_Feedlot_AnimalCharacteristics[Characteristic] = $D$23), Table_SourceData_Feedlot_AnimalCharacteristics[2020-2023], "Not Found")</f>
        <v>12.7</v>
      </c>
      <c r="G23" s="68" cm="1">
        <f t="array" ref="G23">_xlfn.XLOOKUP(1, (Table_SourceData_Feedlot_AnimalCharacteristics[Feedlot type] = G$19) * (Table_SourceData_Feedlot_AnimalCharacteristics[Characteristic] = $D$23), Table_SourceData_Feedlot_AnimalCharacteristics[2020-2023], "Not Found")</f>
        <v>7</v>
      </c>
      <c r="H23" s="2" t="s">
        <v>330</v>
      </c>
      <c r="I23" s="2"/>
      <c r="J23" s="2"/>
      <c r="K23" s="2"/>
    </row>
    <row r="24" spans="1:11" ht="20.100000000000001" customHeight="1" x14ac:dyDescent="0.25"/>
    <row r="25" spans="1:11" ht="20.100000000000001" customHeight="1" x14ac:dyDescent="0.25">
      <c r="A25" s="17"/>
      <c r="D25" s="6" t="s">
        <v>112</v>
      </c>
    </row>
    <row r="26" spans="1:11" ht="20.100000000000001" customHeight="1" x14ac:dyDescent="0.25">
      <c r="A26" s="17"/>
    </row>
    <row r="27" spans="1:11" ht="20.100000000000001" customHeight="1" x14ac:dyDescent="0.25">
      <c r="A27" s="17"/>
      <c r="D27" s="65" t="s">
        <v>106</v>
      </c>
      <c r="E27" s="100" t="s">
        <v>140</v>
      </c>
      <c r="F27" s="100" t="s">
        <v>141</v>
      </c>
      <c r="G27" s="100" t="s">
        <v>142</v>
      </c>
    </row>
    <row r="28" spans="1:11" ht="20.100000000000001" customHeight="1" x14ac:dyDescent="0.25">
      <c r="A28" s="17"/>
      <c r="D28" s="135" t="s">
        <v>101</v>
      </c>
      <c r="E28" s="101">
        <v>1</v>
      </c>
      <c r="F28" s="101">
        <v>1</v>
      </c>
      <c r="G28" s="101">
        <v>1</v>
      </c>
      <c r="H28" s="2" t="s">
        <v>329</v>
      </c>
      <c r="I28" s="2"/>
      <c r="J28" s="2"/>
      <c r="K28" s="2"/>
    </row>
    <row r="29" spans="1:11" ht="20.100000000000001" customHeight="1" x14ac:dyDescent="0.25">
      <c r="A29" s="17"/>
      <c r="D29" s="132" t="s">
        <v>321</v>
      </c>
    </row>
    <row r="30" spans="1:11" ht="20.100000000000001" customHeight="1" x14ac:dyDescent="0.25">
      <c r="A30" s="17"/>
      <c r="D30" s="133" t="s">
        <v>102</v>
      </c>
      <c r="E30" s="100" t="s">
        <v>140</v>
      </c>
      <c r="F30" s="100" t="s">
        <v>141</v>
      </c>
      <c r="G30" s="100" t="s">
        <v>142</v>
      </c>
      <c r="H30" s="138" t="s">
        <v>325</v>
      </c>
      <c r="I30" s="65" t="s">
        <v>332</v>
      </c>
      <c r="J30" s="65"/>
      <c r="K30" s="65"/>
    </row>
    <row r="31" spans="1:11" ht="20.100000000000001" customHeight="1" x14ac:dyDescent="0.25">
      <c r="A31" s="69"/>
      <c r="D31" s="136" t="str">
        <f>"From Stage 1: " &amp; $D$28 &amp; " to:"</f>
        <v>From Stage 1: Drylot (feed pad) to:</v>
      </c>
      <c r="E31" s="58"/>
      <c r="I31" s="126" t="s">
        <v>322</v>
      </c>
      <c r="J31" s="126" t="s">
        <v>323</v>
      </c>
      <c r="K31" s="126" t="s">
        <v>324</v>
      </c>
    </row>
    <row r="32" spans="1:11" ht="20.100000000000001" customHeight="1" x14ac:dyDescent="0.25">
      <c r="A32" s="69"/>
      <c r="D32" s="137" t="str">
        <f>'Constants - Feedlot'!D29</f>
        <v>Solid storage</v>
      </c>
      <c r="E32" s="49">
        <v>0.2</v>
      </c>
      <c r="F32" s="49">
        <v>0.2</v>
      </c>
      <c r="G32" s="49">
        <v>0.2</v>
      </c>
      <c r="H32" s="2" t="s">
        <v>329</v>
      </c>
      <c r="I32" s="49">
        <v>0.25</v>
      </c>
      <c r="J32" s="49">
        <v>0.25</v>
      </c>
      <c r="K32" s="101">
        <f t="shared" ref="K32:K34" si="0">1-SUM(I32:J32)</f>
        <v>0.5</v>
      </c>
    </row>
    <row r="33" spans="1:11" ht="20.100000000000001" customHeight="1" x14ac:dyDescent="0.25">
      <c r="A33" s="17"/>
      <c r="D33" s="137" t="str">
        <f>'Constants - Feedlot'!D30</f>
        <v>Composting (passive windrow)</v>
      </c>
      <c r="E33" s="49">
        <v>0.2</v>
      </c>
      <c r="F33" s="49">
        <v>0.2</v>
      </c>
      <c r="G33" s="49">
        <v>0.2</v>
      </c>
      <c r="H33" s="2" t="s">
        <v>329</v>
      </c>
      <c r="I33" s="49">
        <v>0.25</v>
      </c>
      <c r="J33" s="49">
        <v>0.25</v>
      </c>
      <c r="K33" s="101">
        <f t="shared" si="0"/>
        <v>0.5</v>
      </c>
    </row>
    <row r="34" spans="1:11" ht="20.100000000000001" customHeight="1" x14ac:dyDescent="0.25">
      <c r="D34" s="137" t="s">
        <v>320</v>
      </c>
      <c r="E34" s="101">
        <f>1-SUM(E32, E33)</f>
        <v>0.6</v>
      </c>
      <c r="F34" s="101">
        <f t="shared" ref="F34:G34" si="1">1-SUM(F32, F33)</f>
        <v>0.6</v>
      </c>
      <c r="G34" s="101">
        <f t="shared" si="1"/>
        <v>0.6</v>
      </c>
      <c r="H34" s="2" t="s">
        <v>329</v>
      </c>
      <c r="I34" s="101">
        <v>0</v>
      </c>
      <c r="J34" s="101">
        <v>0</v>
      </c>
      <c r="K34" s="101">
        <f t="shared" si="0"/>
        <v>1</v>
      </c>
    </row>
    <row r="35" spans="1:11" ht="20.100000000000001" customHeight="1" x14ac:dyDescent="0.25"/>
    <row r="36" spans="1:11" ht="20.100000000000001" customHeight="1" x14ac:dyDescent="0.25">
      <c r="D36" s="134" t="s">
        <v>119</v>
      </c>
      <c r="E36" s="100" t="s">
        <v>140</v>
      </c>
      <c r="F36" s="100" t="s">
        <v>141</v>
      </c>
      <c r="G36" s="100" t="s">
        <v>142</v>
      </c>
      <c r="H36" s="138" t="s">
        <v>325</v>
      </c>
      <c r="I36" s="65" t="s">
        <v>331</v>
      </c>
      <c r="J36" s="65"/>
      <c r="K36" s="65"/>
    </row>
    <row r="37" spans="1:11" ht="20.100000000000001" customHeight="1" x14ac:dyDescent="0.25">
      <c r="D37" s="136" t="str">
        <f>"From Stage 1: " &amp; $D$28 &amp; " to:"</f>
        <v>From Stage 1: Drylot (feed pad) to:</v>
      </c>
      <c r="I37" s="126" t="s">
        <v>322</v>
      </c>
      <c r="J37" s="126" t="s">
        <v>323</v>
      </c>
      <c r="K37" s="126" t="s">
        <v>324</v>
      </c>
    </row>
    <row r="38" spans="1:11" ht="20.100000000000001" customHeight="1" x14ac:dyDescent="0.25">
      <c r="D38" s="137" t="str">
        <f>'Constants - Feedlot'!$D$32</f>
        <v>Anaerobic lagoon</v>
      </c>
      <c r="E38" s="101">
        <f>'Constants - Feedlot'!$E$12</f>
        <v>0.02</v>
      </c>
      <c r="F38" s="101">
        <f>'Constants - Feedlot'!$E$12</f>
        <v>0.02</v>
      </c>
      <c r="G38" s="101">
        <f>'Constants - Feedlot'!$E$12</f>
        <v>0.02</v>
      </c>
      <c r="H38" s="2" t="s">
        <v>329</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308</v>
      </c>
      <c r="E41" s="42" t="s">
        <v>274</v>
      </c>
      <c r="F41" s="2" t="s">
        <v>11</v>
      </c>
    </row>
    <row r="42" spans="1:11" ht="20.100000000000001" customHeight="1" x14ac:dyDescent="0.25">
      <c r="E42" s="42" t="s">
        <v>278</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261</v>
      </c>
    </row>
    <row r="2" spans="1:19" s="9" customFormat="1" ht="20.100000000000001" customHeight="1" x14ac:dyDescent="0.25"/>
    <row r="3" spans="1:19" ht="20.100000000000001" customHeight="1" x14ac:dyDescent="0.25">
      <c r="A3" s="17" t="str">
        <f>HYPERLINK("#'Home'!A1", "Home")</f>
        <v>Home</v>
      </c>
      <c r="C3" s="4"/>
      <c r="D3" s="4" t="s">
        <v>161</v>
      </c>
      <c r="E3" s="4"/>
      <c r="F3" s="4"/>
      <c r="G3" s="4"/>
      <c r="H3" s="4"/>
      <c r="I3" s="4"/>
      <c r="J3" s="4"/>
      <c r="L3" s="4"/>
      <c r="M3" s="4" t="s">
        <v>162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26</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29</v>
      </c>
      <c r="E10" s="1" t="str" cm="1">
        <f t="array" ref="E10">MMS_Feedlot_Methane_Equations.VEERG_4_1_1_1__5_VolatileSolidProduction_Variable()</f>
        <v>VS_j</v>
      </c>
    </row>
    <row r="11" spans="1:19" ht="20.100000000000001" customHeight="1" x14ac:dyDescent="0.25">
      <c r="A11" s="19" t="s">
        <v>76</v>
      </c>
      <c r="D11" s="56" t="s">
        <v>19</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9" t="str" cm="1">
        <f t="array" ref="D13:G15">MMS_Feedlot_Methane_Equations.VEERG_4_1_1_1__5_VolatileSolidProduction_Arguments()</f>
        <v>I_j</v>
      </c>
      <c r="E13" s="139" t="str">
        <v>dry matter intake for each group j</v>
      </c>
      <c r="F13" s="139" t="str">
        <v>kg DM/head/day</v>
      </c>
      <c r="G13" s="130" t="str">
        <v>Input</v>
      </c>
      <c r="H13" s="140"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9" t="str">
        <v>DMD_j</v>
      </c>
      <c r="E14" s="139" t="str">
        <v>dry matter digestibility for each group j</v>
      </c>
      <c r="F14" s="139" t="str">
        <v>fraction</v>
      </c>
      <c r="G14" s="130" t="str">
        <v>Input</v>
      </c>
      <c r="H14" s="140"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9" t="str">
        <v>A</v>
      </c>
      <c r="E15" s="139" t="str">
        <v>ash content of manure</v>
      </c>
      <c r="F15" s="139" t="str">
        <v>fraction</v>
      </c>
      <c r="G15" s="131" t="str">
        <v>Constant</v>
      </c>
      <c r="H15" s="139">
        <f>'Constants - Feedlot'!$E$17</f>
        <v>0.16</v>
      </c>
    </row>
    <row r="16" spans="1:19" ht="20.100000000000001" customHeight="1" x14ac:dyDescent="0.25"/>
    <row r="17" spans="1:16" ht="20.100000000000001" customHeight="1" x14ac:dyDescent="0.25">
      <c r="A17" s="18" t="s">
        <v>4</v>
      </c>
      <c r="D17" s="104" t="s">
        <v>151</v>
      </c>
      <c r="M17" s="104" t="s">
        <v>154</v>
      </c>
    </row>
    <row r="18" spans="1:16" ht="20.100000000000001" customHeight="1" x14ac:dyDescent="0.25">
      <c r="A18" s="17" t="str">
        <f>HYPERLINK("#'Constants - Feedlot'!A1", "Constants - Feedlot")</f>
        <v>Constants - Feedlot</v>
      </c>
      <c r="D18" s="103" t="s">
        <v>198</v>
      </c>
      <c r="M18" s="103" t="s">
        <v>199</v>
      </c>
    </row>
    <row r="19" spans="1:16" ht="20.100000000000001" customHeight="1" x14ac:dyDescent="0.25">
      <c r="A19" s="17" t="str">
        <f>HYPERLINK("#'Constants - Livestock'!A1", "Constants - Livestock")</f>
        <v>Constants - Livestock</v>
      </c>
      <c r="D19" s="41" t="s">
        <v>140</v>
      </c>
      <c r="E19" s="41" t="s">
        <v>141</v>
      </c>
      <c r="F19" s="41" t="s">
        <v>142</v>
      </c>
      <c r="M19" s="41" t="s">
        <v>140</v>
      </c>
      <c r="N19" s="41" t="s">
        <v>141</v>
      </c>
      <c r="O19" s="41" t="s">
        <v>142</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104</v>
      </c>
      <c r="M20" s="55">
        <f>'Input - Feedlot'!$E$20</f>
        <v>10.4</v>
      </c>
      <c r="N20" s="55">
        <f>'Input - Feedlot'!$F$20</f>
        <v>10.8</v>
      </c>
      <c r="O20" s="55">
        <f>'Input - Feedlot'!$G$20</f>
        <v>8.1999999999999993</v>
      </c>
      <c r="P20" s="2" t="s">
        <v>104</v>
      </c>
    </row>
    <row r="21" spans="1:16" ht="20.100000000000001" customHeight="1" x14ac:dyDescent="0.25">
      <c r="A21" s="17" t="str">
        <f>HYPERLINK("#'Acknowledgements'!A1", "Acknowledgements")</f>
        <v>Acknowledgements</v>
      </c>
    </row>
    <row r="22" spans="1:16" ht="20.100000000000001" customHeight="1" x14ac:dyDescent="0.25">
      <c r="D22" s="104" t="s">
        <v>202</v>
      </c>
      <c r="M22" s="104" t="s">
        <v>206</v>
      </c>
    </row>
    <row r="23" spans="1:16" ht="20.100000000000001" customHeight="1" x14ac:dyDescent="0.25">
      <c r="D23" s="103" t="s">
        <v>205</v>
      </c>
      <c r="M23" s="103" t="s">
        <v>205</v>
      </c>
    </row>
    <row r="24" spans="1:16" ht="20.100000000000001" customHeight="1" x14ac:dyDescent="0.25">
      <c r="A24" s="17"/>
      <c r="D24" s="41" t="s">
        <v>140</v>
      </c>
      <c r="E24" s="41" t="s">
        <v>141</v>
      </c>
      <c r="F24" s="41" t="s">
        <v>142</v>
      </c>
      <c r="M24" s="41" t="s">
        <v>140</v>
      </c>
      <c r="N24" s="41" t="s">
        <v>141</v>
      </c>
      <c r="O24" s="41" t="s">
        <v>142</v>
      </c>
    </row>
    <row r="25" spans="1:16" ht="20.100000000000001" customHeight="1" x14ac:dyDescent="0.25">
      <c r="A25" s="17"/>
      <c r="D25" s="55">
        <f>'Input - Feedlot'!$E$15</f>
        <v>0.81</v>
      </c>
      <c r="E25" s="55">
        <f>'Input - Feedlot'!$F$15</f>
        <v>0.81</v>
      </c>
      <c r="F25" s="55">
        <f>'Input - Feedlot'!$G$15</f>
        <v>0.81</v>
      </c>
      <c r="G25" s="2" t="s">
        <v>328</v>
      </c>
      <c r="M25" s="55">
        <f>'Input - Feedlot'!$E$21</f>
        <v>0.81</v>
      </c>
      <c r="N25" s="55">
        <f>'Input - Feedlot'!$F$21</f>
        <v>0.81</v>
      </c>
      <c r="O25" s="55">
        <f>'Input - Feedlot'!$G$21</f>
        <v>0.81</v>
      </c>
      <c r="P25" s="2" t="s">
        <v>328</v>
      </c>
    </row>
    <row r="26" spans="1:16" ht="20.100000000000001" customHeight="1" x14ac:dyDescent="0.25"/>
    <row r="27" spans="1:16" ht="20.100000000000001" customHeight="1" x14ac:dyDescent="0.25">
      <c r="D27" s="104" t="s">
        <v>203</v>
      </c>
      <c r="M27" s="104" t="s">
        <v>207</v>
      </c>
    </row>
    <row r="28" spans="1:16" ht="20.100000000000001" customHeight="1" x14ac:dyDescent="0.25">
      <c r="D28" s="103" t="s">
        <v>204</v>
      </c>
      <c r="M28" s="103" t="s">
        <v>208</v>
      </c>
    </row>
    <row r="29" spans="1:16" ht="20.100000000000001" customHeight="1" x14ac:dyDescent="0.25">
      <c r="D29" s="54" t="s">
        <v>140</v>
      </c>
      <c r="E29" s="54" t="s">
        <v>141</v>
      </c>
      <c r="F29" s="54" t="s">
        <v>142</v>
      </c>
      <c r="M29" s="54" t="s">
        <v>140</v>
      </c>
      <c r="N29" s="54" t="s">
        <v>141</v>
      </c>
      <c r="O29" s="54" t="s">
        <v>142</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26</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29</v>
      </c>
      <c r="E39" s="1" t="str" cm="1">
        <f t="array" ref="E39">MMS_Feedlot_Methane_Equations.VEERG_4_1_1_1__2_Stage1MethaneProductionDrylot_Variable()</f>
        <v>M_jm5T1</v>
      </c>
    </row>
    <row r="40" spans="3:18" ht="20.100000000000001" customHeight="1" x14ac:dyDescent="0.25">
      <c r="D40" s="56" t="s">
        <v>19</v>
      </c>
      <c r="E40" s="57" t="str" cm="1">
        <f t="array" ref="E40">MMS_Feedlot_Methane_Equations.VEERG_4_1_1_1__2_Stage1MethaneProductionDrylot_Unit()</f>
        <v>kg CH4/head/day</v>
      </c>
      <c r="M40" s="97" t="s">
        <v>353</v>
      </c>
      <c r="N40" s="92"/>
    </row>
    <row r="41" spans="3:18" ht="20.100000000000001" customHeight="1" x14ac:dyDescent="0.25"/>
    <row r="42" spans="3:18" ht="20.100000000000001" customHeight="1" x14ac:dyDescent="0.25">
      <c r="D42" s="139" t="str" cm="1">
        <f t="array" ref="D42:E47">_xlfn.CHOOSECOLS(MMS_Feedlot_Methane_Equations.VEERG_4_1_1_1__2_Stage1MethaneProductionDrylot_Arguments(),1,2)</f>
        <v>VS_j</v>
      </c>
      <c r="E42" s="142" t="str">
        <v>volatile solid production from feedlot cattle in each group</v>
      </c>
      <c r="F42" s="141"/>
      <c r="G42" s="139" t="str" cm="1">
        <f t="array" ref="G42:H47">_xlfn.CHOOSECOLS(MMS_Feedlot_Methane_Equations.VEERG_4_1_1_1__2_Stage1MethaneProductionDrylot_Arguments(),3,4)</f>
        <v>kg/head/day</v>
      </c>
      <c r="H42" s="131" t="str">
        <v>Calculated from 4.1.1.1 (5)</v>
      </c>
      <c r="I42" s="140" t="str" cm="1">
        <f t="array" aca="1" ref="I42" ca="1">HYPERLINK(Common_InputFunctions.Utility_SourceHyperlink($D$27),$D$27)</f>
        <v>M1_Table_VS_j</v>
      </c>
      <c r="M42" s="139" t="str" cm="1">
        <f t="array" ref="M42:N47">_xlfn.CHOOSECOLS(MMS_Feedlot_Methane_Equations.VEERG_4_1_1_1__2_Stage1MethaneProductionDrylot_Arguments_Method2(),1,2)</f>
        <v>VS_j</v>
      </c>
      <c r="N42" s="142" t="str">
        <v>volatile solid production from feedlot cattle in each group</v>
      </c>
      <c r="O42" s="141"/>
      <c r="P42" s="139" t="str" cm="1">
        <f t="array" ref="P42:Q47">_xlfn.CHOOSECOLS(MMS_Feedlot_Methane_Equations.VEERG_4_1_1_1__2_Stage1MethaneProductionDrylot_Arguments_Method2(),3,4)</f>
        <v>kg/head/day</v>
      </c>
      <c r="Q42" s="131" t="str">
        <v>Calculated from 4.1.1.1 (5)</v>
      </c>
      <c r="R42" s="140" t="str" cm="1">
        <f t="array" aca="1" ref="R42" ca="1">HYPERLINK(Common_InputFunctions.Utility_SourceHyperlink($D$27),$D$27)</f>
        <v>M1_Table_VS_j</v>
      </c>
    </row>
    <row r="43" spans="3:18" ht="20.100000000000001" customHeight="1" x14ac:dyDescent="0.25">
      <c r="D43" s="139" t="str">
        <v>BO</v>
      </c>
      <c r="E43" s="142" t="str">
        <v>emissions potential</v>
      </c>
      <c r="F43" s="141"/>
      <c r="G43" s="139" t="str">
        <v>m3 CH4/kg VS</v>
      </c>
      <c r="H43" s="131" t="str">
        <v>Constant</v>
      </c>
      <c r="I43" s="139">
        <f>'Constants - Feedlot'!$E$22</f>
        <v>0.19</v>
      </c>
      <c r="M43" s="139" t="str">
        <v>BO</v>
      </c>
      <c r="N43" s="142" t="str">
        <v>emissions potential</v>
      </c>
      <c r="O43" s="141"/>
      <c r="P43" s="139" t="str">
        <v>m3 CH4/kg VS</v>
      </c>
      <c r="Q43" s="131" t="str">
        <v>Constant</v>
      </c>
      <c r="R43" s="139">
        <f>'Constants - Feedlot'!$E$22</f>
        <v>0.19</v>
      </c>
    </row>
    <row r="44" spans="3:18" ht="20.100000000000001" customHeight="1" x14ac:dyDescent="0.25">
      <c r="D44" s="139" t="str">
        <v>MMS_m5T1</v>
      </c>
      <c r="E44" s="142" t="str">
        <v>fraction of manure in primary system drylot MMS</v>
      </c>
      <c r="F44" s="141"/>
      <c r="G44" s="139" t="str">
        <v>fraction</v>
      </c>
      <c r="H44" s="130" t="str">
        <v>Input</v>
      </c>
      <c r="I44" s="140" t="str" cm="1">
        <f t="array" aca="1" ref="I44" ca="1">HYPERLINK(Common_InputFunctions.Utility_SourceHyperlink($D$49),$D$49)</f>
        <v>Table_MMS_m-5_T-1</v>
      </c>
      <c r="M44" s="139" t="str">
        <v>MMS_m5T1</v>
      </c>
      <c r="N44" s="142" t="str">
        <v>fraction of manure in primary system drylot MMS</v>
      </c>
      <c r="O44" s="141"/>
      <c r="P44" s="139" t="str">
        <v>fraction</v>
      </c>
      <c r="Q44" s="130" t="str">
        <v>Input</v>
      </c>
      <c r="R44" s="140" t="str" cm="1">
        <f t="array" aca="1" ref="R44" ca="1">HYPERLINK(Common_InputFunctions.Utility_SourceHyperlink($D$49),$D$49)</f>
        <v>Table_MMS_m-5_T-1</v>
      </c>
    </row>
    <row r="45" spans="3:18" ht="20.100000000000001" customHeight="1" x14ac:dyDescent="0.25">
      <c r="D45" s="139" t="str">
        <v>MCF_im5</v>
      </c>
      <c r="E45" s="142" t="str">
        <v>methane conversion factor for state and drylot system</v>
      </c>
      <c r="F45" s="141"/>
      <c r="G45" s="139" t="str">
        <v>fraction</v>
      </c>
      <c r="H45" s="131" t="str">
        <v>Constant</v>
      </c>
      <c r="I45" s="139">
        <f>HLOOKUP(I47, Table_SourceData_Feedlot_MCF[#All], 2, FALSE)</f>
        <v>0.01</v>
      </c>
      <c r="M45" s="139" t="str">
        <v>MCF_im5</v>
      </c>
      <c r="N45" s="142" t="str">
        <v>methane conversion factor for state and drylot system</v>
      </c>
      <c r="O45" s="141"/>
      <c r="P45" s="139" t="str">
        <v>fraction</v>
      </c>
      <c r="Q45" s="131" t="str">
        <v>Constant</v>
      </c>
      <c r="R45" s="139">
        <f>HLOOKUP(I47, Table_SourceData_Feedlot_MCF[#All], 2, FALSE)</f>
        <v>0.01</v>
      </c>
    </row>
    <row r="46" spans="3:18" ht="20.100000000000001" customHeight="1" x14ac:dyDescent="0.25">
      <c r="D46" s="139" t="str">
        <v>rho</v>
      </c>
      <c r="E46" s="142" t="str">
        <v>density of methane</v>
      </c>
      <c r="F46" s="141"/>
      <c r="G46" s="139" t="str">
        <v>kg/m3</v>
      </c>
      <c r="H46" s="131" t="str">
        <v>Constant</v>
      </c>
      <c r="I46" s="139">
        <f>'Constants - Common'!$D$175</f>
        <v>0.6784</v>
      </c>
      <c r="M46" s="139" t="str">
        <v>rho</v>
      </c>
      <c r="N46" s="142" t="str">
        <v>density of methane</v>
      </c>
      <c r="O46" s="141"/>
      <c r="P46" s="139" t="str">
        <v>kg/m3</v>
      </c>
      <c r="Q46" s="131" t="str">
        <v>Constant</v>
      </c>
      <c r="R46" s="139">
        <f>'Constants - Common'!$D$175</f>
        <v>0.6784</v>
      </c>
    </row>
    <row r="47" spans="3:18" ht="20.100000000000001" customHeight="1" x14ac:dyDescent="0.25">
      <c r="D47" s="139" t="str">
        <v>i</v>
      </c>
      <c r="E47" s="142" t="str">
        <v>state</v>
      </c>
      <c r="F47" s="141"/>
      <c r="G47" s="139" t="str">
        <v/>
      </c>
      <c r="H47" s="130" t="str">
        <v>Input</v>
      </c>
      <c r="I47" s="139" t="str">
        <f>Common_InputFunctions.Utility_LookupValueInTable('Input - Site'!$E$21,Table_AustralianStates[Common Name],Table_AustralianStates[Abbreviation])</f>
        <v>NSW</v>
      </c>
      <c r="M47" s="139" t="str">
        <v>i</v>
      </c>
      <c r="N47" s="142" t="str">
        <v>state</v>
      </c>
      <c r="O47" s="141"/>
      <c r="P47" s="139" t="str">
        <v/>
      </c>
      <c r="Q47" s="130" t="str">
        <v>Input</v>
      </c>
      <c r="R47" s="139" t="str">
        <f>Common_InputFunctions.Utility_LookupValueInTable('Input - Site'!$E$21,Table_AustralianStates[Common Name],Table_AustralianStates[Abbreviation])</f>
        <v>NSW</v>
      </c>
    </row>
    <row r="48" spans="3:18" ht="20.100000000000001" customHeight="1" x14ac:dyDescent="0.25"/>
    <row r="49" spans="3:18" ht="20.100000000000001" customHeight="1" x14ac:dyDescent="0.25">
      <c r="D49" s="104" t="s">
        <v>111</v>
      </c>
    </row>
    <row r="50" spans="3:18" ht="20.100000000000001" customHeight="1" x14ac:dyDescent="0.25">
      <c r="D50" s="103" t="s">
        <v>109</v>
      </c>
    </row>
    <row r="51" spans="3:18" ht="20.100000000000001" customHeight="1" x14ac:dyDescent="0.25">
      <c r="D51" s="41" t="s">
        <v>106</v>
      </c>
      <c r="E51" s="41" t="s">
        <v>140</v>
      </c>
      <c r="F51" s="41" t="s">
        <v>141</v>
      </c>
      <c r="G51" s="41" t="s">
        <v>142</v>
      </c>
    </row>
    <row r="52" spans="3:18" ht="20.100000000000001" customHeight="1" x14ac:dyDescent="0.25">
      <c r="D52" s="55" t="str">
        <f>'Input - Feedlot'!$D$28</f>
        <v>Drylot (feed pad)</v>
      </c>
      <c r="E52" s="55">
        <f>'Input - Feedlot'!$E$28</f>
        <v>1</v>
      </c>
      <c r="F52" s="55">
        <f>'Input - Feedlot'!$F$28</f>
        <v>1</v>
      </c>
      <c r="G52" s="55">
        <f>'Input - Feedlot'!$G$28</f>
        <v>1</v>
      </c>
      <c r="H52" s="2" t="s">
        <v>328</v>
      </c>
    </row>
    <row r="53" spans="3:18" ht="20.100000000000001" customHeight="1" x14ac:dyDescent="0.25"/>
    <row r="54" spans="3:18" ht="20.100000000000001" customHeight="1" x14ac:dyDescent="0.25">
      <c r="D54" s="104" t="s">
        <v>209</v>
      </c>
      <c r="M54" s="104" t="s">
        <v>211</v>
      </c>
    </row>
    <row r="55" spans="3:18" ht="20.100000000000001" customHeight="1" x14ac:dyDescent="0.25">
      <c r="D55" s="103" t="s">
        <v>210</v>
      </c>
      <c r="M55" s="103" t="s">
        <v>212</v>
      </c>
    </row>
    <row r="56" spans="3:18" ht="20.100000000000001" customHeight="1" x14ac:dyDescent="0.25">
      <c r="D56" s="54" t="s">
        <v>106</v>
      </c>
      <c r="E56" s="54" t="s">
        <v>140</v>
      </c>
      <c r="F56" s="54" t="s">
        <v>141</v>
      </c>
      <c r="G56" s="54" t="s">
        <v>142</v>
      </c>
      <c r="M56" s="54" t="s">
        <v>106</v>
      </c>
      <c r="N56" s="54" t="s">
        <v>140</v>
      </c>
      <c r="O56" s="54" t="s">
        <v>141</v>
      </c>
      <c r="P56" s="54" t="s">
        <v>142</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26</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29</v>
      </c>
      <c r="E66" s="1" t="str" cm="1">
        <f t="array" ref="E66">MMS_Feedlot_Methane_Equations.VEERG_4_1_1_1__3_Stage2MethaneProduction_Variable()</f>
        <v>M_jmT2</v>
      </c>
    </row>
    <row r="67" spans="4:18" ht="20.100000000000001" customHeight="1" x14ac:dyDescent="0.25">
      <c r="D67" s="56" t="s">
        <v>19</v>
      </c>
      <c r="E67" s="57" t="str" cm="1">
        <f t="array" ref="E67">MMS_Feedlot_Methane_Equations.VEERG_4_1_1_1__3_Stage2MethaneProduction_Unit()</f>
        <v>kg CH4/head/day</v>
      </c>
      <c r="M67" s="115" t="s">
        <v>351</v>
      </c>
    </row>
    <row r="68" spans="4:18" ht="20.100000000000001" customHeight="1" x14ac:dyDescent="0.25"/>
    <row r="69" spans="4:18" ht="20.100000000000001" customHeight="1" x14ac:dyDescent="0.25">
      <c r="D69" s="139" t="str" cm="1">
        <f t="array" ref="D69:E75">_xlfn.CHOOSECOLS(MMS_Feedlot_Methane_Equations.VEERG_4_1_1_1__3_Stage2MethaneProduction_Arguments(),1,2)</f>
        <v>VSL</v>
      </c>
      <c r="E69" s="142" t="str">
        <v>fraction of volatile solids lost during storage in the primary system</v>
      </c>
      <c r="F69" s="141"/>
      <c r="G69" s="139" t="str" cm="1">
        <f t="array" ref="G69:H75">_xlfn.CHOOSECOLS(MMS_Feedlot_Methane_Equations.VEERG_4_1_1_1__3_Stage2MethaneProduction_Arguments(),3,4)</f>
        <v>fraction</v>
      </c>
      <c r="H69" s="131" t="str">
        <v>Constant</v>
      </c>
      <c r="I69" s="60">
        <f>'Constants - Feedlot'!$E$7</f>
        <v>0.5</v>
      </c>
      <c r="M69" s="139" t="str" cm="1">
        <f t="array" ref="M69:N75">_xlfn.CHOOSECOLS(MMS_Feedlot_Methane_Equations.VEERG_4_1_1_1__3_Stage2MethaneProduction_Arguments_Method2(),1,2)</f>
        <v>VSL</v>
      </c>
      <c r="N69" s="142" t="str">
        <v>fraction of volatile solids lost during storage in the primary system</v>
      </c>
      <c r="O69" s="141"/>
      <c r="P69" s="139" t="str" cm="1">
        <f t="array" ref="P69:Q75">_xlfn.CHOOSECOLS(MMS_Feedlot_Methane_Equations.VEERG_4_1_1_1__3_Stage2MethaneProduction_Arguments_Method2(),3,4)</f>
        <v>fraction</v>
      </c>
      <c r="Q69" s="131" t="str">
        <v>Constant</v>
      </c>
      <c r="R69" s="60"/>
    </row>
    <row r="70" spans="4:18" ht="20.100000000000001" customHeight="1" x14ac:dyDescent="0.25">
      <c r="D70" s="139" t="str">
        <v>VS_j</v>
      </c>
      <c r="E70" s="142" t="str">
        <v>volatile solid production from feedlot cattle in each group</v>
      </c>
      <c r="F70" s="141"/>
      <c r="G70" s="139" t="str">
        <v>kg/head/day</v>
      </c>
      <c r="H70" s="131" t="str">
        <v>Calculated from 4.1.1.1 (5)</v>
      </c>
      <c r="I70" s="140" t="str" cm="1">
        <f t="array" aca="1" ref="I70" ca="1">HYPERLINK(Common_InputFunctions.Utility_SourceHyperlink($D$27),$D$27)</f>
        <v>M1_Table_VS_j</v>
      </c>
      <c r="M70" s="139" t="str">
        <v>VS_j</v>
      </c>
      <c r="N70" s="142" t="str">
        <v>volatile solid production from feedlot cattle in each group</v>
      </c>
      <c r="O70" s="141"/>
      <c r="P70" s="139" t="str">
        <v>kg/head/day</v>
      </c>
      <c r="Q70" s="131" t="str">
        <v>Calculated from 4.1.1.1 (5)</v>
      </c>
      <c r="R70" s="140"/>
    </row>
    <row r="71" spans="4:18" ht="20.100000000000001" customHeight="1" x14ac:dyDescent="0.25">
      <c r="D71" s="139" t="str">
        <v>BO</v>
      </c>
      <c r="E71" s="142" t="str">
        <v>emissions potential</v>
      </c>
      <c r="F71" s="141"/>
      <c r="G71" s="139" t="str">
        <v>m3 CH4/kg VS</v>
      </c>
      <c r="H71" s="131" t="str">
        <v>Constant</v>
      </c>
      <c r="I71" s="60">
        <f>'Constants - Feedlot'!$E$22</f>
        <v>0.19</v>
      </c>
      <c r="M71" s="139" t="str">
        <v>BO</v>
      </c>
      <c r="N71" s="142" t="str">
        <v>emissions potential</v>
      </c>
      <c r="O71" s="141"/>
      <c r="P71" s="139" t="str">
        <v>m3 CH4/kg VS</v>
      </c>
      <c r="Q71" s="131" t="str">
        <v>Constant</v>
      </c>
      <c r="R71" s="60"/>
    </row>
    <row r="72" spans="4:18" ht="20.100000000000001" customHeight="1" x14ac:dyDescent="0.25">
      <c r="D72" s="139" t="str">
        <v>MMS_mT2</v>
      </c>
      <c r="E72" s="142" t="str">
        <v>fraction of manure in each secondary system</v>
      </c>
      <c r="F72" s="141"/>
      <c r="G72" s="139" t="str">
        <v>fraction</v>
      </c>
      <c r="H72" s="130" t="str">
        <v>Input</v>
      </c>
      <c r="I72" s="140" t="str" cm="1">
        <f t="array" aca="1" ref="I72" ca="1">HYPERLINK(Common_InputFunctions.Utility_SourceHyperlink($D$77),$D$77)</f>
        <v>Table_MMS_m_T-2</v>
      </c>
      <c r="M72" s="139" t="str">
        <v>MMS_mT2</v>
      </c>
      <c r="N72" s="142" t="str">
        <v>fraction of manure in each secondary system</v>
      </c>
      <c r="O72" s="141"/>
      <c r="P72" s="139" t="str">
        <v>fraction</v>
      </c>
      <c r="Q72" s="130" t="str">
        <v>Input</v>
      </c>
      <c r="R72" s="140"/>
    </row>
    <row r="73" spans="4:18" ht="20.100000000000001" customHeight="1" x14ac:dyDescent="0.25">
      <c r="D73" s="139" t="str">
        <v>MCF_im</v>
      </c>
      <c r="E73" s="142" t="str">
        <v>methane conversion factor for state and MMS</v>
      </c>
      <c r="F73" s="141"/>
      <c r="G73" s="139" t="str">
        <v>fraction</v>
      </c>
      <c r="H73" s="131" t="str">
        <v>Constant</v>
      </c>
      <c r="I73" s="140" t="str" cm="1">
        <f t="array" aca="1" ref="I73" ca="1">HYPERLINK(Common_InputFunctions.Utility_SourceHyperlink($D$84),$D$84)</f>
        <v>Table_MCF_i_m</v>
      </c>
      <c r="M73" s="139" t="str">
        <v>MCF_im</v>
      </c>
      <c r="N73" s="142" t="str">
        <v>methane conversion factor for mean annual temperature and MMS</v>
      </c>
      <c r="O73" s="141"/>
      <c r="P73" s="139" t="str">
        <v>fraction</v>
      </c>
      <c r="Q73" s="131" t="str">
        <v>Constant</v>
      </c>
      <c r="R73" s="140" t="str" cm="1">
        <f t="array" aca="1" ref="R73" ca="1">HYPERLINK(Common_InputFunctions.Utility_SourceHyperlink($M$84),$M$84)</f>
        <v>Table_MCF_i_m</v>
      </c>
    </row>
    <row r="74" spans="4:18" ht="20.100000000000001" customHeight="1" x14ac:dyDescent="0.25">
      <c r="D74" s="139" t="str">
        <v>rho</v>
      </c>
      <c r="E74" s="142" t="str">
        <v>density of methane</v>
      </c>
      <c r="F74" s="141"/>
      <c r="G74" s="139" t="str">
        <v>kg/m3</v>
      </c>
      <c r="H74" s="131" t="str">
        <v>Constant</v>
      </c>
      <c r="I74" s="60">
        <f>'Constants - Common'!$D$175</f>
        <v>0.6784</v>
      </c>
      <c r="M74" s="139" t="str">
        <v>rho</v>
      </c>
      <c r="N74" s="142" t="str">
        <v>density of methane</v>
      </c>
      <c r="O74" s="141"/>
      <c r="P74" s="139" t="str">
        <v>kg/m3</v>
      </c>
      <c r="Q74" s="131" t="str">
        <v>Constant</v>
      </c>
      <c r="R74" s="60"/>
    </row>
    <row r="75" spans="4:18" ht="20.100000000000001" customHeight="1" x14ac:dyDescent="0.25">
      <c r="D75" s="139" t="str">
        <v>i</v>
      </c>
      <c r="E75" s="142" t="str">
        <v>state</v>
      </c>
      <c r="F75" s="141"/>
      <c r="G75" s="139" t="str">
        <v/>
      </c>
      <c r="H75" s="130" t="str">
        <v>Input</v>
      </c>
      <c r="I75" s="60" t="str">
        <f>Common_InputFunctions.Utility_LookupValueInTable('Input - Site'!$E$21,Table_AustralianStates[Common Name],Table_AustralianStates[Abbreviation])</f>
        <v>NSW</v>
      </c>
      <c r="M75" s="139" t="str">
        <v>i</v>
      </c>
      <c r="N75" s="142" t="str">
        <v>Mean annual temperature</v>
      </c>
      <c r="O75" s="141"/>
      <c r="P75" s="139" t="str">
        <v/>
      </c>
      <c r="Q75" s="130" t="str">
        <v>Input</v>
      </c>
      <c r="R75" s="60">
        <f>'Input - Site'!$E$25</f>
        <v>18</v>
      </c>
    </row>
    <row r="76" spans="4:18" ht="20.100000000000001" customHeight="1" x14ac:dyDescent="0.25"/>
    <row r="77" spans="4:18" ht="20.100000000000001" customHeight="1" x14ac:dyDescent="0.25">
      <c r="D77" s="104" t="s">
        <v>113</v>
      </c>
    </row>
    <row r="78" spans="4:18" ht="20.100000000000001" customHeight="1" x14ac:dyDescent="0.25">
      <c r="D78" s="103" t="s">
        <v>114</v>
      </c>
    </row>
    <row r="79" spans="4:18" ht="20.100000000000001" customHeight="1" x14ac:dyDescent="0.25">
      <c r="D79" s="41" t="s">
        <v>106</v>
      </c>
      <c r="E79" s="41" t="s">
        <v>102</v>
      </c>
      <c r="F79" s="41" t="s">
        <v>140</v>
      </c>
      <c r="G79" s="41" t="s">
        <v>141</v>
      </c>
      <c r="H79" s="41" t="s">
        <v>142</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100</v>
      </c>
      <c r="M84" s="104" t="s">
        <v>100</v>
      </c>
    </row>
    <row r="85" spans="4:17" ht="20.100000000000001" customHeight="1" x14ac:dyDescent="0.25">
      <c r="D85" s="103" t="s">
        <v>116</v>
      </c>
      <c r="M85" s="103" t="s">
        <v>116</v>
      </c>
    </row>
    <row r="86" spans="4:17" ht="20.100000000000001" customHeight="1" x14ac:dyDescent="0.25">
      <c r="D86" s="54" t="s">
        <v>106</v>
      </c>
      <c r="E86" s="54" t="s">
        <v>102</v>
      </c>
      <c r="F86" s="54" t="s">
        <v>98</v>
      </c>
      <c r="M86" s="54" t="s">
        <v>106</v>
      </c>
      <c r="N86" s="54" t="s">
        <v>102</v>
      </c>
      <c r="O86" s="54" t="s">
        <v>98</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Common_InputFunctions.Common_GetMCFTemperatureZone(R76,N88,Table_SourceData_Common_MCFTemperatureZone[MAT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Common_InputFunctions.Common_GetMCFTemperatureZone(R77,N89,Table_SourceData_Common_MCFTemperatureZone[MAT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352</v>
      </c>
      <c r="E91" s="98"/>
      <c r="F91" s="98"/>
      <c r="G91" s="98"/>
      <c r="H91" s="92"/>
    </row>
    <row r="92" spans="4:17" ht="20.100000000000001" customHeight="1" x14ac:dyDescent="0.25"/>
    <row r="93" spans="4:17" ht="20.100000000000001" customHeight="1" x14ac:dyDescent="0.25">
      <c r="D93" s="104" t="s">
        <v>213</v>
      </c>
      <c r="M93" s="104" t="s">
        <v>215</v>
      </c>
    </row>
    <row r="94" spans="4:17" ht="20.100000000000001" customHeight="1" x14ac:dyDescent="0.25">
      <c r="D94" s="103" t="s">
        <v>214</v>
      </c>
      <c r="M94" s="103" t="s">
        <v>216</v>
      </c>
    </row>
    <row r="95" spans="4:17" ht="20.100000000000001" customHeight="1" x14ac:dyDescent="0.25">
      <c r="D95" s="54" t="s">
        <v>102</v>
      </c>
      <c r="E95" s="54" t="s">
        <v>140</v>
      </c>
      <c r="F95" s="54" t="s">
        <v>141</v>
      </c>
      <c r="G95" s="54" t="s">
        <v>142</v>
      </c>
      <c r="M95" s="54" t="s">
        <v>102</v>
      </c>
      <c r="N95" s="54" t="s">
        <v>140</v>
      </c>
      <c r="O95" s="54" t="s">
        <v>141</v>
      </c>
      <c r="P95" s="54" t="s">
        <v>142</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26</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29</v>
      </c>
      <c r="E107" s="1" t="str" cm="1">
        <f t="array" ref="E107">MMS_Feedlot_Methane_Equations.VEERG_4_1_1_1__4_Stage3MethaneProductionAnaerobicLagoon_Variable()</f>
        <v>M_jm1T3</v>
      </c>
    </row>
    <row r="108" spans="3:18" ht="20.100000000000001" customHeight="1" x14ac:dyDescent="0.25">
      <c r="D108" s="56" t="s">
        <v>19</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9" t="str" cm="1">
        <f t="array" ref="D110:E115">_xlfn.CHOOSECOLS(MMS_Feedlot_Methane_Equations.VEERG_4_1_1_1__4_Stage3MethaneProductionAnaerobicLagoon_Arguments(),1,2)</f>
        <v>VS_j</v>
      </c>
      <c r="E110" s="142" t="str">
        <v>volatile solid production from feedlot cattle in each group j</v>
      </c>
      <c r="F110" s="141"/>
      <c r="G110" s="139" t="str" cm="1">
        <f t="array" ref="G110:H115">_xlfn.CHOOSECOLS(MMS_Feedlot_Methane_Equations.VEERG_4_1_1_1__4_Stage3MethaneProductionAnaerobicLagoon_Arguments(),3,4)</f>
        <v>kg/head/day</v>
      </c>
      <c r="H110" s="131" t="str">
        <v>Calculated from 4.1.1.1 (5)</v>
      </c>
      <c r="I110" s="140" t="str" cm="1">
        <f t="array" aca="1" ref="I110" ca="1">HYPERLINK(Common_InputFunctions.Utility_SourceHyperlink($D$27),$D$27)</f>
        <v>M1_Table_VS_j</v>
      </c>
      <c r="M110" s="139" t="str" cm="1">
        <f t="array" ref="M110:N115">_xlfn.CHOOSECOLS(MMS_Feedlot_Methane_Equations.VEERG_4_1_1_1__4_Stage3MethaneProductionAnaerobicLagoon_Arguments_Method2(),1,2)</f>
        <v>VS_j</v>
      </c>
      <c r="N110" s="142" t="str">
        <v>volatile solid production from feedlot cattle in each group j</v>
      </c>
      <c r="O110" s="141"/>
      <c r="P110" s="139" t="str" cm="1">
        <f t="array" ref="P110:Q115">_xlfn.CHOOSECOLS(MMS_Feedlot_Methane_Equations.VEERG_4_1_1_1__4_Stage3MethaneProductionAnaerobicLagoon_Arguments_Method2(),3,4)</f>
        <v>kg/head/day</v>
      </c>
      <c r="Q110" s="131" t="str">
        <v>Calculated from 4.1.1.1 (5)</v>
      </c>
      <c r="R110" s="140"/>
    </row>
    <row r="111" spans="3:18" ht="20.100000000000001" customHeight="1" x14ac:dyDescent="0.25">
      <c r="D111" s="139" t="str">
        <v>BO</v>
      </c>
      <c r="E111" s="142" t="str">
        <v>emissions potential</v>
      </c>
      <c r="F111" s="141"/>
      <c r="G111" s="139" t="str">
        <v>m3 CH4/kg VS</v>
      </c>
      <c r="H111" s="131" t="str">
        <v>Constant</v>
      </c>
      <c r="I111" s="139">
        <f>'Constants - Feedlot'!$E$22</f>
        <v>0.19</v>
      </c>
      <c r="M111" s="139" t="str">
        <v>BO</v>
      </c>
      <c r="N111" s="142" t="str">
        <v>emissions potential</v>
      </c>
      <c r="O111" s="141"/>
      <c r="P111" s="139" t="str">
        <v>m3 CH4/kg VS</v>
      </c>
      <c r="Q111" s="131" t="str">
        <v>Constant</v>
      </c>
      <c r="R111" s="139"/>
    </row>
    <row r="112" spans="3:18" ht="20.100000000000001" customHeight="1" x14ac:dyDescent="0.25">
      <c r="D112" s="139" t="str">
        <v>MMS_m1T3</v>
      </c>
      <c r="E112" s="142" t="str">
        <v>fraction of manure to tertiary anaerobic lagoon system</v>
      </c>
      <c r="F112" s="141"/>
      <c r="G112" s="139" t="str">
        <v>fraction</v>
      </c>
      <c r="H112" s="130" t="str">
        <v>Input</v>
      </c>
      <c r="I112" s="140" t="str" cm="1">
        <f t="array" aca="1" ref="I112" ca="1">HYPERLINK(Common_InputFunctions.Utility_SourceHyperlink($D$117),$D$117)</f>
        <v>Table_MMS_m-1_T-3</v>
      </c>
      <c r="M112" s="139" t="str">
        <v>MMS_m1T3</v>
      </c>
      <c r="N112" s="142" t="str">
        <v>fraction of manure to tertiary anaerobic lagoon system</v>
      </c>
      <c r="O112" s="141"/>
      <c r="P112" s="139" t="str">
        <v>fraction</v>
      </c>
      <c r="Q112" s="130" t="str">
        <v>Input</v>
      </c>
      <c r="R112" s="140"/>
    </row>
    <row r="113" spans="3:18" ht="20.100000000000001" customHeight="1" x14ac:dyDescent="0.25">
      <c r="D113" s="139" t="str">
        <v>MCF_im1</v>
      </c>
      <c r="E113" s="142" t="str">
        <v>methane conversion factor for state and anaerobic lagoon system</v>
      </c>
      <c r="F113" s="141"/>
      <c r="G113" s="139" t="str">
        <v>fraction</v>
      </c>
      <c r="H113" s="131" t="str">
        <v>Constant</v>
      </c>
      <c r="I113" s="139">
        <f>HLOOKUP(I115, Table_SourceData_Feedlot_MCF[#All], 6, FALSE)</f>
        <v>0.75</v>
      </c>
      <c r="M113" s="139" t="str">
        <v>MCF_im1</v>
      </c>
      <c r="N113" s="142" t="str">
        <v>methane conversion factor for mean annual temperature and anaerobic lagoon system</v>
      </c>
      <c r="O113" s="141"/>
      <c r="P113" s="139" t="str">
        <v>fraction</v>
      </c>
      <c r="Q113" s="131" t="str">
        <v>Constant</v>
      </c>
      <c r="R113" s="139">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9" t="str">
        <v>rho</v>
      </c>
      <c r="E114" s="142" t="str">
        <v>density of methane</v>
      </c>
      <c r="F114" s="141"/>
      <c r="G114" s="139" t="str">
        <v>kg/m3</v>
      </c>
      <c r="H114" s="131" t="str">
        <v>Constant</v>
      </c>
      <c r="I114" s="139">
        <f>'Constants - Common'!$D$175</f>
        <v>0.6784</v>
      </c>
      <c r="M114" s="139" t="str">
        <v>rho</v>
      </c>
      <c r="N114" s="142" t="str">
        <v>density of methane</v>
      </c>
      <c r="O114" s="141"/>
      <c r="P114" s="139" t="str">
        <v>kg/m3</v>
      </c>
      <c r="Q114" s="131" t="str">
        <v>Constant</v>
      </c>
      <c r="R114" s="139"/>
    </row>
    <row r="115" spans="3:18" ht="20.100000000000001" customHeight="1" x14ac:dyDescent="0.25">
      <c r="D115" s="139" t="str">
        <v>i</v>
      </c>
      <c r="E115" s="142" t="str">
        <v>state</v>
      </c>
      <c r="F115" s="141"/>
      <c r="G115" s="139" t="str">
        <v/>
      </c>
      <c r="H115" s="130" t="str">
        <v>Input</v>
      </c>
      <c r="I115" s="139" t="str">
        <f>Common_InputFunctions.Utility_LookupValueInTable('Input - Site'!$E$21,Table_AustralianStates[Common Name],Table_AustralianStates[Abbreviation])</f>
        <v>NSW</v>
      </c>
      <c r="M115" s="139" t="str">
        <v>i</v>
      </c>
      <c r="N115" s="142" t="str">
        <v>Mean annual temperature</v>
      </c>
      <c r="O115" s="141"/>
      <c r="P115" s="139" t="str">
        <v/>
      </c>
      <c r="Q115" s="130" t="str">
        <v>Input</v>
      </c>
      <c r="R115" s="60">
        <f>'Input - Site'!$E$25</f>
        <v>18</v>
      </c>
    </row>
    <row r="116" spans="3:18" ht="20.100000000000001" customHeight="1" x14ac:dyDescent="0.25"/>
    <row r="117" spans="3:18" ht="20.100000000000001" customHeight="1" x14ac:dyDescent="0.25">
      <c r="D117" s="104" t="s">
        <v>118</v>
      </c>
    </row>
    <row r="118" spans="3:18" ht="20.100000000000001" customHeight="1" x14ac:dyDescent="0.25">
      <c r="D118" s="103" t="s">
        <v>120</v>
      </c>
    </row>
    <row r="119" spans="3:18" ht="20.100000000000001" customHeight="1" x14ac:dyDescent="0.25">
      <c r="D119" s="41" t="s">
        <v>119</v>
      </c>
      <c r="E119" s="41" t="s">
        <v>140</v>
      </c>
      <c r="F119" s="41" t="s">
        <v>141</v>
      </c>
      <c r="G119" s="41" t="s">
        <v>142</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217</v>
      </c>
      <c r="M122" s="104" t="s">
        <v>219</v>
      </c>
    </row>
    <row r="123" spans="3:18" ht="20.100000000000001" customHeight="1" x14ac:dyDescent="0.25">
      <c r="D123" s="103" t="s">
        <v>218</v>
      </c>
      <c r="M123" s="103" t="s">
        <v>220</v>
      </c>
    </row>
    <row r="124" spans="3:18" ht="20.100000000000001" customHeight="1" x14ac:dyDescent="0.25">
      <c r="D124" s="54" t="s">
        <v>119</v>
      </c>
      <c r="E124" s="54" t="s">
        <v>140</v>
      </c>
      <c r="F124" s="54" t="s">
        <v>141</v>
      </c>
      <c r="G124" s="54" t="s">
        <v>142</v>
      </c>
      <c r="M124" s="54" t="s">
        <v>119</v>
      </c>
      <c r="N124" s="54" t="s">
        <v>140</v>
      </c>
      <c r="O124" s="54" t="s">
        <v>141</v>
      </c>
      <c r="P124" s="54" t="s">
        <v>142</v>
      </c>
    </row>
    <row r="125" spans="3:18" ht="20.100000000000001" customHeight="1" x14ac:dyDescent="0.25">
      <c r="D125" s="55" t="str">
        <f>'Input - Feedlot'!$D$38</f>
        <v>Anaerobic lagoon</v>
      </c>
      <c r="E125" s="55" cm="1">
        <f t="array" ref="E125">MMS_Feedlot_Methane_Equations.VEERG_4_1_1_1__4_Stage3MethaneProductionAnaerobicLagoon(D$30, $I$111,E120,$I$113,$I$114)</f>
        <v>3.2092010495999991E-3</v>
      </c>
      <c r="F125" s="55" cm="1">
        <f t="array" ref="F125">MMS_Feedlot_Methane_Equations.VEERG_4_1_1_1__4_Stage3MethaneProductionAnaerobicLagoon(E$30, $I$111,F120,$I$113,$I$114)</f>
        <v>3.3326318591999997E-3</v>
      </c>
      <c r="G125" s="55" cm="1">
        <f t="array" ref="G125">MMS_Feedlot_Methane_Equations.VEERG_4_1_1_1__4_Stage3MethaneProductionAnaerobicLagoon(F$30, $I$111,G120,$I$113,$I$114)</f>
        <v>2.530331596799999E-3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26</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29</v>
      </c>
      <c r="E135" s="1" t="str" cm="1">
        <f t="array" ref="E135">MMS_Feedlot_Methane_Equations.VEERG_4_1_1_1__1_TotalAnnualMethaneEmissions_Variable()</f>
        <v>E_CH4</v>
      </c>
    </row>
    <row r="136" spans="4:9" ht="20.100000000000001" customHeight="1" x14ac:dyDescent="0.25">
      <c r="D136" s="56" t="s">
        <v>19</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9" t="str" cm="1">
        <f t="array" ref="D138:E140">_xlfn.CHOOSECOLS(MMS_Feedlot_Methane_Equations.VEERG_4_1_1_1__1_TotalAnnualMethaneEmissions_Arguments(),1,2)</f>
        <v>D_j</v>
      </c>
      <c r="E138" s="142" t="str">
        <v>length of stay of each cattle group</v>
      </c>
      <c r="F138" s="141"/>
      <c r="G138" s="139" t="str" cm="1">
        <f t="array" ref="G138:H140">_xlfn.CHOOSECOLS(MMS_Feedlot_Methane_Equations.VEERG_4_1_1_1__1_TotalAnnualMethaneEmissions_Arguments(),3,4)</f>
        <v>days</v>
      </c>
      <c r="H138" s="130" t="str">
        <v>Input</v>
      </c>
      <c r="I138" s="140" t="str" cm="1">
        <f t="array" aca="1" ref="I138" ca="1">HYPERLINK(Common_InputFunctions.Utility_SourceHyperlink($D$142),$D$142)</f>
        <v>Table_D_j</v>
      </c>
    </row>
    <row r="139" spans="4:9" ht="20.100000000000001" customHeight="1" x14ac:dyDescent="0.25">
      <c r="D139" s="139" t="str">
        <v>M_jmT</v>
      </c>
      <c r="E139" s="142" t="str">
        <v>methane production from manure per cattle group, MMS, and treatment stage</v>
      </c>
      <c r="F139" s="141"/>
      <c r="G139" s="139" t="str">
        <v>kg CH4/head/day</v>
      </c>
      <c r="H139" s="131" t="str">
        <v>Calculated from 4.1.1.1 (2)(3)(4)</v>
      </c>
      <c r="I139" s="140" t="str" cm="1">
        <f t="array" aca="1" ref="I139" ca="1">HYPERLINK(Common_InputFunctions.Utility_SourceHyperlink($D$147),$D$147)</f>
        <v>M1_Table_M_j_m_T</v>
      </c>
    </row>
    <row r="140" spans="4:9" ht="20.100000000000001" customHeight="1" x14ac:dyDescent="0.25">
      <c r="D140" s="139" t="str">
        <v>N_j</v>
      </c>
      <c r="E140" s="142" t="str">
        <v>numbers of beef cattle in each group</v>
      </c>
      <c r="F140" s="141"/>
      <c r="G140" s="139" t="str">
        <v>head</v>
      </c>
      <c r="H140" s="130" t="str">
        <v>Input</v>
      </c>
      <c r="I140" s="140" t="str" cm="1">
        <f t="array" aca="1" ref="I140" ca="1">HYPERLINK(Common_InputFunctions.Utility_SourceHyperlink($D$156),$D$156)</f>
        <v>Table_N_j</v>
      </c>
    </row>
    <row r="141" spans="4:9" ht="20.100000000000001" customHeight="1" x14ac:dyDescent="0.25"/>
    <row r="142" spans="4:9" ht="20.100000000000001" customHeight="1" x14ac:dyDescent="0.25">
      <c r="D142" s="104" t="s">
        <v>124</v>
      </c>
    </row>
    <row r="143" spans="4:9" ht="20.100000000000001" customHeight="1" x14ac:dyDescent="0.25">
      <c r="D143" s="103" t="s">
        <v>122</v>
      </c>
    </row>
    <row r="144" spans="4:9" ht="20.100000000000001" customHeight="1" x14ac:dyDescent="0.25">
      <c r="D144" s="41" t="s">
        <v>140</v>
      </c>
      <c r="E144" s="41" t="s">
        <v>141</v>
      </c>
      <c r="F144" s="41" t="s">
        <v>142</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221</v>
      </c>
      <c r="M147" s="104" t="s">
        <v>223</v>
      </c>
    </row>
    <row r="148" spans="4:18" ht="20.100000000000001" customHeight="1" x14ac:dyDescent="0.25">
      <c r="D148" s="103" t="s">
        <v>222</v>
      </c>
      <c r="M148" s="103" t="s">
        <v>224</v>
      </c>
    </row>
    <row r="149" spans="4:18" ht="20.100000000000001" customHeight="1" x14ac:dyDescent="0.25">
      <c r="D149" s="54" t="s">
        <v>128</v>
      </c>
      <c r="E149" s="54" t="s">
        <v>67</v>
      </c>
      <c r="F149" s="54" t="s">
        <v>140</v>
      </c>
      <c r="G149" s="54" t="s">
        <v>141</v>
      </c>
      <c r="H149" s="54" t="s">
        <v>142</v>
      </c>
      <c r="M149" s="54" t="s">
        <v>128</v>
      </c>
      <c r="N149" s="54" t="s">
        <v>67</v>
      </c>
      <c r="O149" s="54" t="s">
        <v>140</v>
      </c>
      <c r="P149" s="54" t="s">
        <v>141</v>
      </c>
      <c r="Q149" s="54" t="s">
        <v>142</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3.2092010495999991E-3</v>
      </c>
      <c r="G154" s="55">
        <f>$F$125</f>
        <v>3.3326318591999997E-3</v>
      </c>
      <c r="H154" s="55">
        <f>$G$125</f>
        <v>2.530331596799999E-3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125</v>
      </c>
    </row>
    <row r="157" spans="4:18" ht="20.100000000000001" customHeight="1" x14ac:dyDescent="0.25">
      <c r="D157" s="103" t="s">
        <v>126</v>
      </c>
    </row>
    <row r="158" spans="4:18" ht="20.100000000000001" customHeight="1" x14ac:dyDescent="0.25">
      <c r="D158" s="41" t="s">
        <v>140</v>
      </c>
      <c r="E158" s="41" t="s">
        <v>141</v>
      </c>
      <c r="F158" s="41" t="s">
        <v>142</v>
      </c>
    </row>
    <row r="159" spans="4:18" ht="20.100000000000001" customHeight="1" x14ac:dyDescent="0.25">
      <c r="D159" s="107">
        <f>'Input - Feedlot'!$E$8</f>
        <v>4300</v>
      </c>
      <c r="E159" s="107">
        <f>'Input - Feedlot'!$F$8</f>
        <v>100</v>
      </c>
      <c r="F159" s="107">
        <f>'Input - Feedlot'!$G$8</f>
        <v>100</v>
      </c>
      <c r="G159" s="2" t="str">
        <f>G140</f>
        <v>head</v>
      </c>
    </row>
    <row r="160" spans="4:18" ht="20.100000000000001" customHeight="1" x14ac:dyDescent="0.25"/>
    <row r="161" spans="4:18" ht="20.100000000000001" customHeight="1" x14ac:dyDescent="0.25">
      <c r="D161" s="104" t="s">
        <v>130</v>
      </c>
      <c r="M161" s="104" t="s">
        <v>130</v>
      </c>
    </row>
    <row r="162" spans="4:18" ht="20.100000000000001" customHeight="1" x14ac:dyDescent="0.25">
      <c r="D162" s="103" t="s">
        <v>131</v>
      </c>
      <c r="M162" s="103" t="s">
        <v>131</v>
      </c>
    </row>
    <row r="163" spans="4:18" ht="20.100000000000001" customHeight="1" x14ac:dyDescent="0.25">
      <c r="D163" s="54" t="s">
        <v>128</v>
      </c>
      <c r="E163" s="54" t="s">
        <v>67</v>
      </c>
      <c r="F163" s="54" t="s">
        <v>140</v>
      </c>
      <c r="G163" s="54" t="s">
        <v>141</v>
      </c>
      <c r="H163" s="54" t="s">
        <v>142</v>
      </c>
      <c r="M163" s="54" t="s">
        <v>128</v>
      </c>
      <c r="N163" s="54" t="s">
        <v>67</v>
      </c>
      <c r="O163" s="54" t="s">
        <v>140</v>
      </c>
      <c r="P163" s="54" t="s">
        <v>141</v>
      </c>
      <c r="Q163" s="54" t="s">
        <v>142</v>
      </c>
    </row>
    <row r="164" spans="4:18" ht="20.100000000000001" customHeight="1" x14ac:dyDescent="0.25">
      <c r="D164" s="55">
        <v>1</v>
      </c>
      <c r="E164" s="55" t="str">
        <f>'Input - Feedlot'!$D$28</f>
        <v>Drylot (feed pad)</v>
      </c>
      <c r="F164" s="55" cm="1">
        <f t="array" ref="F164">MMS_Feedlot_Methane_Equations.VEERG_4_1_1_1__1_TotalAnnualMethaneEmissions(D$145, F150, D$159)</f>
        <v>0.82797387079679996</v>
      </c>
      <c r="G164" s="55" cm="1">
        <f t="array" ref="G164">MMS_Feedlot_Methane_Equations.VEERG_4_1_1_1__1_TotalAnnualMethaneEmissions(E$145, G150, E$159)</f>
        <v>3.1104564019199994E-2</v>
      </c>
      <c r="H164" s="55" cm="1">
        <f t="array" ref="H164">MMS_Feedlot_Methane_Equations.VEERG_4_1_1_1__1_TotalAnnualMethaneEmissions(F$145, H150, F$159)</f>
        <v>4.2172193279999978E-2</v>
      </c>
      <c r="I164" s="2" t="str">
        <f>$E$136</f>
        <v>t CH4</v>
      </c>
      <c r="M164" s="55">
        <v>1</v>
      </c>
      <c r="N164" s="55" t="str">
        <f>'Input - Feedlot'!$D$28</f>
        <v>Drylot (feed pad)</v>
      </c>
      <c r="O164" s="55" cm="1">
        <f t="array" ref="O164">MMS_Feedlot_Methane_Equations.VEERG_4_1_1_1__1_TotalAnnualMethaneEmissions(D$145, O150, D$159)</f>
        <v>0.82797387079679996</v>
      </c>
      <c r="P164" s="55" cm="1">
        <f t="array" ref="P164">MMS_Feedlot_Methane_Equations.VEERG_4_1_1_1__1_TotalAnnualMethaneEmissions(E$145, P150, E$159)</f>
        <v>3.1104564019199994E-2</v>
      </c>
      <c r="Q164" s="55" cm="1">
        <f t="array" ref="Q164">MMS_Feedlot_Methane_Equations.VEERG_4_1_1_1__1_TotalAnnualMethaneEmissions(F$145, Q150, F$159)</f>
        <v>4.2172193279999978E-2</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0.16559477415936</v>
      </c>
      <c r="G165" s="55" cm="1">
        <f t="array" ref="G165">MMS_Feedlot_Methane_Equations.VEERG_4_1_1_1__1_TotalAnnualMethaneEmissions(E$145, G151, E$159)</f>
        <v>6.2209128038399984E-3</v>
      </c>
      <c r="H165" s="55" cm="1">
        <f t="array" ref="H165">MMS_Feedlot_Methane_Equations.VEERG_4_1_1_1__1_TotalAnnualMethaneEmissions(F$145, H151, F$159)</f>
        <v>8.4344386559999981E-3</v>
      </c>
      <c r="I165" s="2"/>
      <c r="M165" s="55">
        <v>2</v>
      </c>
      <c r="N165" s="55" t="str">
        <f>'Input - Feedlot'!$D$32</f>
        <v>Solid storage</v>
      </c>
      <c r="O165" s="55" cm="1">
        <f t="array" ref="O165">MMS_Feedlot_Methane_Equations.VEERG_4_1_1_1__1_TotalAnnualMethaneEmissions(D$145, O151, D$159)</f>
        <v>0.16559477415936</v>
      </c>
      <c r="P165" s="55" cm="1">
        <f t="array" ref="P165">MMS_Feedlot_Methane_Equations.VEERG_4_1_1_1__1_TotalAnnualMethaneEmissions(E$145, P151, E$159)</f>
        <v>6.2209128038399984E-3</v>
      </c>
      <c r="Q165" s="55" cm="1">
        <f t="array" ref="Q165">MMS_Feedlot_Methane_Equations.VEERG_4_1_1_1__1_TotalAnnualMethaneEmissions(F$145, Q151, F$159)</f>
        <v>8.4344386559999981E-3</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8.2797387079679999E-2</v>
      </c>
      <c r="G166" s="55" cm="1">
        <f t="array" ref="G166">MMS_Feedlot_Methane_Equations.VEERG_4_1_1_1__1_TotalAnnualMethaneEmissions(E$145, G152, E$159)</f>
        <v>3.1104564019199992E-3</v>
      </c>
      <c r="H166" s="55" cm="1">
        <f t="array" ref="H166">MMS_Feedlot_Methane_Equations.VEERG_4_1_1_1__1_TotalAnnualMethaneEmissions(F$145, H152, F$159)</f>
        <v>4.217219327999999E-3</v>
      </c>
      <c r="I166" s="2"/>
      <c r="M166" s="55">
        <v>2</v>
      </c>
      <c r="N166" s="55" t="str">
        <f>'Input - Feedlot'!$D$33</f>
        <v>Composting (passive windrow)</v>
      </c>
      <c r="O166" s="55" cm="1">
        <f t="array" ref="O166">MMS_Feedlot_Methane_Equations.VEERG_4_1_1_1__1_TotalAnnualMethaneEmissions(D$145, O152, D$159)</f>
        <v>8.2797387079679999E-2</v>
      </c>
      <c r="P166" s="55" cm="1">
        <f t="array" ref="P166">MMS_Feedlot_Methane_Equations.VEERG_4_1_1_1__1_TotalAnnualMethaneEmissions(E$145, P152, E$159)</f>
        <v>3.1104564019199992E-3</v>
      </c>
      <c r="Q166" s="55" cm="1">
        <f t="array" ref="Q166">MMS_Feedlot_Methane_Equations.VEERG_4_1_1_1__1_TotalAnnualMethaneEmissions(F$145, Q152, F$159)</f>
        <v>4.217219327999999E-3</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1.2419608061951997</v>
      </c>
      <c r="G168" s="55" cm="1">
        <f t="array" ref="G168">MMS_Feedlot_Methane_Equations.VEERG_4_1_1_1__1_TotalAnnualMethaneEmissions(E$145, G154, E$159)</f>
        <v>4.6656846028799999E-2</v>
      </c>
      <c r="H168" s="55" cm="1">
        <f t="array" ref="H168">MMS_Feedlot_Methane_Equations.VEERG_4_1_1_1__1_TotalAnnualMethaneEmissions(F$145, H154, F$159)</f>
        <v>6.3258289919999974E-2</v>
      </c>
      <c r="I168" s="2"/>
      <c r="M168" s="55">
        <v>3</v>
      </c>
      <c r="N168" s="55" t="str">
        <f>'Input - Feedlot'!$D$38</f>
        <v>Anaerobic lagoon</v>
      </c>
      <c r="O168" s="55" cm="1">
        <f t="array" ref="O168">MMS_Feedlot_Methane_Equations.VEERG_4_1_1_1__1_TotalAnnualMethaneEmissions(D$145, O154, D$159)</f>
        <v>1.2750797610270719</v>
      </c>
      <c r="P168" s="55" cm="1">
        <f t="array" ref="P168">MMS_Feedlot_Methane_Equations.VEERG_4_1_1_1__1_TotalAnnualMethaneEmissions(E$145, P154, E$159)</f>
        <v>4.7901028589567997E-2</v>
      </c>
      <c r="Q168" s="55" cm="1">
        <f t="array" ref="Q168">MMS_Feedlot_Methane_Equations.VEERG_4_1_1_1__1_TotalAnnualMethaneEmissions(F$145, Q154, F$159)</f>
        <v>6.4945177651199976E-2</v>
      </c>
      <c r="R168" s="2"/>
    </row>
    <row r="169" spans="4:18" ht="20.100000000000001" customHeight="1" x14ac:dyDescent="0.25"/>
    <row r="170" spans="4:18" ht="20.100000000000001" customHeight="1" x14ac:dyDescent="0.25"/>
    <row r="171" spans="4:18" ht="20.100000000000001" customHeight="1" x14ac:dyDescent="0.25">
      <c r="D171" s="108" t="s">
        <v>225</v>
      </c>
      <c r="E171" s="109">
        <f>SUM(F164:H168)</f>
        <v>2.5235017586687993</v>
      </c>
      <c r="F171" s="110" t="str">
        <f>$E$136</f>
        <v>t CH4</v>
      </c>
      <c r="M171" s="108" t="s">
        <v>226</v>
      </c>
      <c r="N171" s="109">
        <f>SUM(O164:Q168)</f>
        <v>2.5595517837926396</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2.5235017586687993</v>
      </c>
      <c r="H173" s="2" t="str">
        <f>$E$136</f>
        <v>t CH4</v>
      </c>
      <c r="M173" s="60" t="str" cm="1">
        <f t="array" ref="M173:N174">Common_Equations.Common_ConvertCH4ToCO2e_Arguments()</f>
        <v>ECH4</v>
      </c>
      <c r="N173" s="61" t="str">
        <v>Methane emissions (t CH4)</v>
      </c>
      <c r="O173" s="111"/>
      <c r="P173" s="55">
        <f>N171</f>
        <v>2.5595517837926396</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227</v>
      </c>
      <c r="E176" s="48" cm="1">
        <f t="array" ref="E176">Common_Equations.Common_ConvertCH4ToCO2e(G173,G174)</f>
        <v>70.658049242726378</v>
      </c>
      <c r="F176" s="112" t="str" cm="1">
        <f t="array" ref="F176">Common_Equations.Common_ConvertN2OToCO2e_Unit()</f>
        <v>t CO2e</v>
      </c>
      <c r="M176" s="48" t="s">
        <v>228</v>
      </c>
      <c r="N176" s="48" cm="1">
        <f t="array" ref="N176">Common_Equations.Common_ConvertCH4ToCO2e(P173,P174)</f>
        <v>71.667449946193912</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262</v>
      </c>
    </row>
    <row r="2" spans="1:20" s="9" customFormat="1" ht="20.100000000000001" customHeight="1" x14ac:dyDescent="0.25"/>
    <row r="3" spans="1:20" ht="20.100000000000001" customHeight="1" x14ac:dyDescent="0.25">
      <c r="A3" s="17" t="str">
        <f>HYPERLINK("#'Home'!A1", "Home")</f>
        <v>Home</v>
      </c>
      <c r="C3" s="4"/>
      <c r="D3" s="4" t="s">
        <v>161</v>
      </c>
      <c r="E3" s="4"/>
      <c r="F3" s="4"/>
      <c r="G3" s="4"/>
      <c r="H3" s="4"/>
      <c r="I3" s="4"/>
      <c r="J3" s="4"/>
      <c r="K3" s="4"/>
      <c r="L3" s="4"/>
      <c r="N3" s="4"/>
      <c r="O3" s="4" t="s">
        <v>162</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132</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29</v>
      </c>
      <c r="E10" s="1" t="str" cm="1">
        <f t="array" ref="E10">MMS_Feedlot_N2ODirect_Equations.VEERG_4_1_1_3__5_NitrogenIntake_Variable()</f>
        <v>NI_j</v>
      </c>
    </row>
    <row r="11" spans="1:20" ht="20.100000000000001" customHeight="1" x14ac:dyDescent="0.25">
      <c r="A11" s="19" t="s">
        <v>76</v>
      </c>
      <c r="D11" s="56" t="s">
        <v>19</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9" t="str" cm="1">
        <f t="array" ref="D13:E15">_xlfn.CHOOSECOLS(MMS_Feedlot_N2ODirect_Equations.VEERG_4_1_1_3__5_NitrogenIntake_Arguments(),1,2)</f>
        <v>I_j</v>
      </c>
      <c r="E13" s="142" t="str">
        <v>dry matter intake</v>
      </c>
      <c r="F13" s="141"/>
      <c r="G13" s="139" t="str" cm="1">
        <f t="array" ref="G13:H15">_xlfn.CHOOSECOLS(MMS_Feedlot_N2ODirect_Equations.VEERG_4_1_1_3__5_NitrogenIntake_Arguments(),3,4)</f>
        <v>kg DM/head/day</v>
      </c>
      <c r="H13" s="130" t="str">
        <v>Input</v>
      </c>
      <c r="I13" s="140"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9" t="str">
        <v>CP_j</v>
      </c>
      <c r="E14" s="142" t="str">
        <v>crude protein content of feed</v>
      </c>
      <c r="F14" s="141"/>
      <c r="G14" s="139" t="str">
        <v>fraction</v>
      </c>
      <c r="H14" s="130" t="str">
        <v>Input</v>
      </c>
      <c r="I14" s="140"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9" t="str">
        <v>6.25</v>
      </c>
      <c r="E15" s="142" t="str">
        <v>factor for converting crude protein into nitrogen</v>
      </c>
      <c r="F15" s="141"/>
      <c r="G15" s="139" t="str">
        <v>ratio</v>
      </c>
      <c r="H15" s="131" t="str">
        <v>Constant</v>
      </c>
      <c r="I15" s="139" t="str">
        <f>D15</f>
        <v>6.25</v>
      </c>
    </row>
    <row r="16" spans="1:20" ht="20.100000000000001" customHeight="1" x14ac:dyDescent="0.25"/>
    <row r="17" spans="1:19" ht="20.100000000000001" customHeight="1" x14ac:dyDescent="0.25">
      <c r="A17" s="18" t="s">
        <v>4</v>
      </c>
      <c r="D17" s="104" t="s">
        <v>151</v>
      </c>
      <c r="O17" s="104" t="s">
        <v>154</v>
      </c>
    </row>
    <row r="18" spans="1:19" ht="20.100000000000001" customHeight="1" x14ac:dyDescent="0.25">
      <c r="A18" s="17" t="str">
        <f>HYPERLINK("#'Constants - Feedlot'!A1", "Constants - Feedlot")</f>
        <v>Constants - Feedlot</v>
      </c>
      <c r="D18" s="103" t="s">
        <v>198</v>
      </c>
      <c r="O18" s="103" t="s">
        <v>199</v>
      </c>
    </row>
    <row r="19" spans="1:19" ht="20.100000000000001" customHeight="1" x14ac:dyDescent="0.25">
      <c r="A19" s="17" t="str">
        <f>HYPERLINK("#'Constants - Livestock'!A1", "Constants - Livestock")</f>
        <v>Constants - Livestock</v>
      </c>
      <c r="D19" s="41" t="s">
        <v>140</v>
      </c>
      <c r="E19" s="41" t="s">
        <v>141</v>
      </c>
      <c r="F19" s="41" t="s">
        <v>142</v>
      </c>
      <c r="O19" s="41" t="s">
        <v>140</v>
      </c>
      <c r="P19" s="41" t="s">
        <v>141</v>
      </c>
      <c r="Q19" s="41" t="s">
        <v>142</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104</v>
      </c>
      <c r="H20" s="2"/>
      <c r="I20" s="2"/>
      <c r="J20" s="2"/>
      <c r="K20" s="2"/>
      <c r="O20" s="55">
        <f>'Input - Feedlot'!$E$20</f>
        <v>10.4</v>
      </c>
      <c r="P20" s="55">
        <f>'Input - Feedlot'!$F$20</f>
        <v>10.8</v>
      </c>
      <c r="Q20" s="55">
        <f>'Input - Feedlot'!$G$20</f>
        <v>8.1999999999999993</v>
      </c>
      <c r="R20" s="2" t="s">
        <v>104</v>
      </c>
      <c r="S20" s="2"/>
    </row>
    <row r="21" spans="1:19" ht="20.100000000000001" customHeight="1" x14ac:dyDescent="0.25">
      <c r="A21" s="17" t="str">
        <f>HYPERLINK("#'Acknowledgements'!A1", "Acknowledgements")</f>
        <v>Acknowledgements</v>
      </c>
    </row>
    <row r="22" spans="1:19" ht="20.100000000000001" customHeight="1" x14ac:dyDescent="0.25">
      <c r="D22" s="104" t="s">
        <v>152</v>
      </c>
      <c r="O22" s="104" t="s">
        <v>155</v>
      </c>
    </row>
    <row r="23" spans="1:19" ht="20.100000000000001" customHeight="1" x14ac:dyDescent="0.25">
      <c r="D23" s="103" t="s">
        <v>197</v>
      </c>
      <c r="O23" s="103" t="s">
        <v>200</v>
      </c>
    </row>
    <row r="24" spans="1:19" ht="20.100000000000001" customHeight="1" x14ac:dyDescent="0.25">
      <c r="A24" s="17"/>
      <c r="D24" s="41" t="s">
        <v>140</v>
      </c>
      <c r="E24" s="41" t="s">
        <v>141</v>
      </c>
      <c r="F24" s="41" t="s">
        <v>142</v>
      </c>
      <c r="O24" s="41" t="s">
        <v>140</v>
      </c>
      <c r="P24" s="41" t="s">
        <v>141</v>
      </c>
      <c r="Q24" s="41" t="s">
        <v>142</v>
      </c>
    </row>
    <row r="25" spans="1:19" ht="20.100000000000001" customHeight="1" x14ac:dyDescent="0.25">
      <c r="A25" s="17"/>
      <c r="D25" s="55">
        <f>'Input - Feedlot'!$E$16</f>
        <v>0.14000000000000001</v>
      </c>
      <c r="E25" s="55">
        <f>'Input - Feedlot'!$F$16</f>
        <v>0.12</v>
      </c>
      <c r="F25" s="55">
        <f>'Input - Feedlot'!$G$16</f>
        <v>0.12</v>
      </c>
      <c r="G25" s="2" t="s">
        <v>328</v>
      </c>
      <c r="H25" s="2"/>
      <c r="I25" s="2"/>
      <c r="J25" s="2"/>
      <c r="K25" s="2"/>
      <c r="O25" s="55">
        <f>'Input - Feedlot'!$E$22</f>
        <v>0.14000000000000001</v>
      </c>
      <c r="P25" s="55">
        <f>'Input - Feedlot'!$F$22</f>
        <v>0.12</v>
      </c>
      <c r="Q25" s="55">
        <f>'Input - Feedlot'!$G$22</f>
        <v>0.12</v>
      </c>
      <c r="R25" s="2" t="s">
        <v>328</v>
      </c>
      <c r="S25" s="2"/>
    </row>
    <row r="26" spans="1:19" ht="20.100000000000001" customHeight="1" x14ac:dyDescent="0.25"/>
    <row r="27" spans="1:19" ht="20.100000000000001" customHeight="1" x14ac:dyDescent="0.25">
      <c r="D27" s="104" t="s">
        <v>153</v>
      </c>
      <c r="O27" s="104" t="s">
        <v>156</v>
      </c>
    </row>
    <row r="28" spans="1:19" ht="20.100000000000001" customHeight="1" x14ac:dyDescent="0.25">
      <c r="D28" s="103" t="s">
        <v>196</v>
      </c>
      <c r="O28" s="103" t="s">
        <v>201</v>
      </c>
    </row>
    <row r="29" spans="1:19" ht="20.100000000000001" customHeight="1" x14ac:dyDescent="0.25">
      <c r="D29" s="54" t="s">
        <v>140</v>
      </c>
      <c r="E29" s="54" t="s">
        <v>141</v>
      </c>
      <c r="F29" s="54" t="s">
        <v>142</v>
      </c>
      <c r="O29" s="54" t="s">
        <v>140</v>
      </c>
      <c r="P29" s="54" t="s">
        <v>141</v>
      </c>
      <c r="Q29" s="54" t="s">
        <v>142</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26</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29</v>
      </c>
      <c r="E40" s="1" t="str" cm="1">
        <f t="array" ref="E40">MMS_Feedlot_N2ODirect_Equations.VEERG_4_1_1_3__4_NitrogenExcretionPerHead_Variable()</f>
        <v>NE_j</v>
      </c>
    </row>
    <row r="41" spans="3:20" ht="20.100000000000001" customHeight="1" x14ac:dyDescent="0.25">
      <c r="D41" s="56" t="s">
        <v>19</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9" t="str" cm="1">
        <f t="array" ref="D43:E44">_xlfn.CHOOSECOLS(MMS_Feedlot_N2ODirect_Equations.VEERG_4_1_1_3__4_NitrogenExcretionPerHead_Arguments(),1,2)</f>
        <v>NI_j</v>
      </c>
      <c r="E43" s="142" t="str">
        <v>nitrogen intake</v>
      </c>
      <c r="F43" s="141"/>
      <c r="G43" s="139" t="str" cm="1">
        <f t="array" ref="G43:H44">_xlfn.CHOOSECOLS(MMS_Feedlot_N2ODirect_Equations.VEERG_4_1_1_3__4_NitrogenExcretionPerHead_Arguments(),3,4)</f>
        <v>kg N/head/day</v>
      </c>
      <c r="H43" s="131" t="str">
        <v>Calculated from 4.1.1.3 (5)</v>
      </c>
      <c r="I43" s="140" t="str" cm="1">
        <f t="array" aca="1" ref="I43" ca="1">HYPERLINK(Common_InputFunctions.Utility_SourceHyperlink($D$27),$D$27)</f>
        <v>M1_Table_NI_j</v>
      </c>
    </row>
    <row r="44" spans="3:20" ht="20.100000000000001" customHeight="1" x14ac:dyDescent="0.25">
      <c r="D44" s="139" t="str">
        <v>NR_j</v>
      </c>
      <c r="E44" s="142" t="str">
        <v>nitrogen retention expressed as a fraction of intake</v>
      </c>
      <c r="F44" s="141"/>
      <c r="G44" s="139" t="str">
        <v>fraction</v>
      </c>
      <c r="H44" s="130" t="str">
        <v>Input</v>
      </c>
      <c r="I44" s="140" t="str" cm="1">
        <f t="array" aca="1" ref="I44" ca="1">HYPERLINK(Common_InputFunctions.Utility_SourceHyperlink($D$46),$D$46)</f>
        <v>M1_Table_NR_j</v>
      </c>
    </row>
    <row r="45" spans="3:20" ht="20.100000000000001" customHeight="1" x14ac:dyDescent="0.25"/>
    <row r="46" spans="3:20" ht="20.100000000000001" customHeight="1" x14ac:dyDescent="0.25">
      <c r="D46" s="104" t="s">
        <v>157</v>
      </c>
      <c r="E46" s="2"/>
      <c r="F46" s="2"/>
      <c r="O46" s="104" t="s">
        <v>158</v>
      </c>
      <c r="P46" s="2"/>
      <c r="Q46" s="2"/>
    </row>
    <row r="47" spans="3:20" ht="20.100000000000001" customHeight="1" x14ac:dyDescent="0.25">
      <c r="D47" s="103" t="s">
        <v>194</v>
      </c>
      <c r="O47" s="103" t="s">
        <v>195</v>
      </c>
    </row>
    <row r="48" spans="3:20" ht="20.100000000000001" customHeight="1" x14ac:dyDescent="0.25">
      <c r="D48" s="41" t="s">
        <v>140</v>
      </c>
      <c r="E48" s="41" t="s">
        <v>141</v>
      </c>
      <c r="F48" s="41" t="s">
        <v>142</v>
      </c>
      <c r="O48" s="41" t="s">
        <v>140</v>
      </c>
      <c r="P48" s="41" t="s">
        <v>141</v>
      </c>
      <c r="Q48" s="41" t="s">
        <v>142</v>
      </c>
    </row>
    <row r="49" spans="3:20" ht="20.100000000000001" customHeight="1" x14ac:dyDescent="0.25">
      <c r="D49" s="55">
        <f>'Input - Feedlot'!$E$17/100</f>
        <v>0.20399999999999999</v>
      </c>
      <c r="E49" s="55">
        <f>'Input - Feedlot'!$F$17/100</f>
        <v>0.127</v>
      </c>
      <c r="F49" s="55">
        <f>'Input - Feedlot'!$G$17/100</f>
        <v>7.0000000000000007E-2</v>
      </c>
      <c r="G49" s="2" t="s">
        <v>163</v>
      </c>
      <c r="H49" s="2"/>
      <c r="I49" s="2"/>
      <c r="J49" s="2"/>
      <c r="K49" s="2"/>
      <c r="O49" s="55">
        <f>'Input - Feedlot'!$E$23/100</f>
        <v>0.20399999999999999</v>
      </c>
      <c r="P49" s="55">
        <f>'Input - Feedlot'!$F$23/100</f>
        <v>0.127</v>
      </c>
      <c r="Q49" s="55">
        <f>'Input - Feedlot'!$G$23/100</f>
        <v>7.0000000000000007E-2</v>
      </c>
      <c r="R49" s="2" t="s">
        <v>328</v>
      </c>
      <c r="S49" s="2"/>
    </row>
    <row r="50" spans="3:20" ht="20.100000000000001" customHeight="1" x14ac:dyDescent="0.25"/>
    <row r="51" spans="3:20" ht="20.100000000000001" customHeight="1" x14ac:dyDescent="0.25">
      <c r="D51" s="104" t="s">
        <v>159</v>
      </c>
      <c r="O51" s="104" t="s">
        <v>160</v>
      </c>
    </row>
    <row r="52" spans="3:20" ht="20.100000000000001" customHeight="1" x14ac:dyDescent="0.25">
      <c r="D52" s="103" t="s">
        <v>194</v>
      </c>
      <c r="O52" s="103" t="s">
        <v>195</v>
      </c>
    </row>
    <row r="53" spans="3:20" ht="20.100000000000001" customHeight="1" x14ac:dyDescent="0.25">
      <c r="D53" s="54" t="s">
        <v>140</v>
      </c>
      <c r="E53" s="54" t="s">
        <v>141</v>
      </c>
      <c r="F53" s="54" t="s">
        <v>142</v>
      </c>
      <c r="O53" s="54" t="s">
        <v>140</v>
      </c>
      <c r="P53" s="54" t="s">
        <v>141</v>
      </c>
      <c r="Q53" s="54" t="s">
        <v>142</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26</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29</v>
      </c>
      <c r="E63" s="1" t="str" cm="1">
        <f t="array" ref="E63">MMS_Feedlot_N2ODirect_Equations.VEERG_4_1_1_3__3_AnnualNitrogenExcretion_Variable()</f>
        <v>AE_j</v>
      </c>
    </row>
    <row r="64" spans="3:20" ht="20.100000000000001" customHeight="1" x14ac:dyDescent="0.25">
      <c r="D64" s="56" t="s">
        <v>19</v>
      </c>
      <c r="E64" s="57" t="str" cm="1">
        <f t="array" ref="E64">MMS_Feedlot_N2ODirect_Equations.VEERG_4_1_1_3__3_AnnualNitrogenExcretion_Unit()</f>
        <v>kg N</v>
      </c>
    </row>
    <row r="65" spans="4:15" ht="20.100000000000001" customHeight="1" x14ac:dyDescent="0.25"/>
    <row r="66" spans="4:15" ht="20.100000000000001" customHeight="1" x14ac:dyDescent="0.25">
      <c r="D66" s="139" t="str" cm="1">
        <f t="array" ref="D66:G68">MMS_Feedlot_N2ODirect_Equations.VEERG_4_1_1_3__3_AnnualNitrogenExcretion_Arguments()</f>
        <v>N_j</v>
      </c>
      <c r="E66" s="139" t="str">
        <v>number of cattle in each group</v>
      </c>
      <c r="F66" s="139" t="str">
        <v>head</v>
      </c>
      <c r="G66" s="130" t="str">
        <v>Input</v>
      </c>
      <c r="H66" s="140" t="str" cm="1">
        <f t="array" aca="1" ref="H66" ca="1">HYPERLINK(Common_InputFunctions.Utility_SourceHyperlink($D$70),$D$70)</f>
        <v>Table_N_j</v>
      </c>
    </row>
    <row r="67" spans="4:15" ht="20.100000000000001" customHeight="1" x14ac:dyDescent="0.25">
      <c r="D67" s="139" t="str">
        <v>NE_j</v>
      </c>
      <c r="E67" s="139" t="str">
        <v>nitrogen excretion</v>
      </c>
      <c r="F67" s="139" t="str">
        <v>kg N/head/day</v>
      </c>
      <c r="G67" s="131" t="str">
        <v>Calculated from 4.1.1.3 (4)</v>
      </c>
      <c r="H67" s="140" t="str" cm="1">
        <f t="array" aca="1" ref="H67" ca="1">HYPERLINK(Common_InputFunctions.Utility_SourceHyperlink($D$51),$D$51)</f>
        <v>M1_Table_NE_j</v>
      </c>
    </row>
    <row r="68" spans="4:15" ht="20.100000000000001" customHeight="1" x14ac:dyDescent="0.25">
      <c r="D68" s="139" t="str">
        <v>D_j</v>
      </c>
      <c r="E68" s="139" t="str">
        <v>duration of stay of cattle group</v>
      </c>
      <c r="F68" s="139" t="str">
        <v>days</v>
      </c>
      <c r="G68" s="130" t="str">
        <v>Input</v>
      </c>
      <c r="H68" s="140" t="str" cm="1">
        <f t="array" aca="1" ref="H68" ca="1">HYPERLINK(Common_InputFunctions.Utility_SourceHyperlink($D$75),$D$75)</f>
        <v>Table_D_j</v>
      </c>
    </row>
    <row r="69" spans="4:15" ht="20.100000000000001" customHeight="1" x14ac:dyDescent="0.25"/>
    <row r="70" spans="4:15" ht="20.100000000000001" customHeight="1" x14ac:dyDescent="0.25">
      <c r="D70" s="104" t="s">
        <v>125</v>
      </c>
    </row>
    <row r="71" spans="4:15" ht="20.100000000000001" customHeight="1" x14ac:dyDescent="0.25">
      <c r="D71" s="103" t="s">
        <v>126</v>
      </c>
    </row>
    <row r="72" spans="4:15" ht="20.100000000000001" customHeight="1" x14ac:dyDescent="0.25">
      <c r="D72" s="41" t="s">
        <v>140</v>
      </c>
      <c r="E72" s="41" t="s">
        <v>141</v>
      </c>
      <c r="F72" s="41" t="s">
        <v>142</v>
      </c>
    </row>
    <row r="73" spans="4:15" ht="20.100000000000001" customHeight="1" x14ac:dyDescent="0.25">
      <c r="D73" s="107">
        <f>'Input - Feedlot'!$E$8</f>
        <v>4300</v>
      </c>
      <c r="E73" s="107">
        <f>'Input - Feedlot'!$F$8</f>
        <v>100</v>
      </c>
      <c r="F73" s="107">
        <f>'Input - Feedlot'!$G$8</f>
        <v>100</v>
      </c>
      <c r="G73" s="2" t="s">
        <v>127</v>
      </c>
      <c r="H73" s="2"/>
      <c r="I73" s="2"/>
      <c r="J73" s="2"/>
      <c r="K73" s="2"/>
    </row>
    <row r="74" spans="4:15" ht="20.100000000000001" customHeight="1" x14ac:dyDescent="0.25"/>
    <row r="75" spans="4:15" ht="20.100000000000001" customHeight="1" x14ac:dyDescent="0.25">
      <c r="D75" s="104" t="s">
        <v>124</v>
      </c>
    </row>
    <row r="76" spans="4:15" ht="20.100000000000001" customHeight="1" x14ac:dyDescent="0.25">
      <c r="D76" s="103" t="s">
        <v>122</v>
      </c>
    </row>
    <row r="77" spans="4:15" ht="20.100000000000001" customHeight="1" x14ac:dyDescent="0.25">
      <c r="D77" s="41" t="s">
        <v>140</v>
      </c>
      <c r="E77" s="41" t="s">
        <v>141</v>
      </c>
      <c r="F77" s="41" t="s">
        <v>142</v>
      </c>
    </row>
    <row r="78" spans="4:15" ht="20.100000000000001" customHeight="1" x14ac:dyDescent="0.25">
      <c r="D78" s="107">
        <f>'Input - Feedlot'!$E$9</f>
        <v>90</v>
      </c>
      <c r="E78" s="107">
        <f>'Input - Feedlot'!$F$9</f>
        <v>140</v>
      </c>
      <c r="F78" s="107">
        <f>'Input - Feedlot'!$G$9</f>
        <v>250</v>
      </c>
      <c r="G78" s="2" t="s">
        <v>54</v>
      </c>
      <c r="H78" s="2"/>
      <c r="I78" s="2"/>
      <c r="J78" s="2"/>
      <c r="K78" s="2"/>
    </row>
    <row r="79" spans="4:15" ht="20.100000000000001" customHeight="1" x14ac:dyDescent="0.25"/>
    <row r="80" spans="4:15" ht="20.100000000000001" customHeight="1" x14ac:dyDescent="0.25">
      <c r="D80" s="104" t="s">
        <v>164</v>
      </c>
      <c r="O80" s="104" t="s">
        <v>165</v>
      </c>
    </row>
    <row r="81" spans="3:20" ht="20.100000000000001" customHeight="1" x14ac:dyDescent="0.25">
      <c r="D81" s="103" t="s">
        <v>192</v>
      </c>
      <c r="O81" s="103" t="s">
        <v>193</v>
      </c>
    </row>
    <row r="82" spans="3:20" ht="20.100000000000001" customHeight="1" x14ac:dyDescent="0.25">
      <c r="D82" s="54" t="s">
        <v>140</v>
      </c>
      <c r="E82" s="54" t="s">
        <v>141</v>
      </c>
      <c r="F82" s="54" t="s">
        <v>142</v>
      </c>
      <c r="O82" s="54" t="s">
        <v>140</v>
      </c>
      <c r="P82" s="54" t="s">
        <v>141</v>
      </c>
      <c r="Q82" s="54" t="s">
        <v>142</v>
      </c>
    </row>
    <row r="83" spans="3:20" ht="20.100000000000001" customHeight="1" x14ac:dyDescent="0.25">
      <c r="D83" s="107" cm="1">
        <f t="array" ref="D83">MMS_Feedlot_N2ODirect_Equations.VEERG_4_1_1_3__3_AnnualNitrogenExcretion(D73,D54,D78)</f>
        <v>71763.793920000026</v>
      </c>
      <c r="E83" s="107" cm="1">
        <f t="array" ref="E83">MMS_Feedlot_N2ODirect_Equations.VEERG_4_1_1_3__3_AnnualNitrogenExcretion(E73,E54,E78)</f>
        <v>2534.35392</v>
      </c>
      <c r="F83" s="107" cm="1">
        <f t="array" ref="F83">MMS_Feedlot_N2ODirect_Equations.VEERG_4_1_1_3__3_AnnualNitrogenExcretion(F73,F54,F78)</f>
        <v>3660.4799999999991</v>
      </c>
      <c r="G83" s="2" t="str">
        <f>$E$64</f>
        <v>kg N</v>
      </c>
      <c r="H83" s="2"/>
      <c r="I83" s="2"/>
      <c r="J83" s="2"/>
      <c r="K83" s="2"/>
      <c r="O83" s="107" cm="1">
        <f t="array" ref="O83">MMS_Feedlot_N2ODirect_Equations.VEERG_4_1_1_3__3_AnnualNitrogenExcretion(D73,O54,D78)</f>
        <v>71763.793920000026</v>
      </c>
      <c r="P83" s="107" cm="1">
        <f t="array" ref="P83">MMS_Feedlot_N2ODirect_Equations.VEERG_4_1_1_3__3_AnnualNitrogenExcretion(E73,P54,E78)</f>
        <v>2534.35392</v>
      </c>
      <c r="Q83" s="107" cm="1">
        <f t="array" ref="Q83">MMS_Feedlot_N2ODirect_Equations.VEERG_4_1_1_3__3_AnnualNitrogenExcretion(F73,Q54,F78)</f>
        <v>3660.4799999999991</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26</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29</v>
      </c>
      <c r="E92" s="1" t="str" cm="1">
        <f t="array" ref="E92">MMS_Feedlot_N2ODirect_Equations.VEERG_4_1_1_3__2_Stage1NitrogenInMMSDrylot_Variable()</f>
        <v>MN_jm5T1</v>
      </c>
    </row>
    <row r="93" spans="3:20" ht="20.100000000000001" customHeight="1" x14ac:dyDescent="0.25">
      <c r="D93" s="56" t="s">
        <v>19</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9" t="str" cm="1">
        <f t="array" ref="D95:E96">_xlfn.CHOOSECOLS(MMS_Feedlot_N2ODirect_Equations.VEERG_4_1_1_3__2_Stage1NitrogenInMMSDrylot_Arguments(),1,2)</f>
        <v>AE_j</v>
      </c>
      <c r="E95" s="142" t="str">
        <v>total nitrogen excreted by each cattle group</v>
      </c>
      <c r="F95" s="141"/>
      <c r="G95" s="139" t="str" cm="1">
        <f t="array" ref="G95:H96">_xlfn.CHOOSECOLS(MMS_Feedlot_N2ODirect_Equations.VEERG_4_1_1_3__2_Stage1NitrogenInMMSDrylot_Arguments(),3,4)</f>
        <v>kg N</v>
      </c>
      <c r="H95" s="131" t="str">
        <v>Calculated from 4.1.1.3 (3)</v>
      </c>
      <c r="I95" s="140" t="str" cm="1">
        <f t="array" aca="1" ref="I95" ca="1">HYPERLINK(Common_InputFunctions.Utility_SourceHyperlink($D$80),$D$80)</f>
        <v>M1_Table_AE_j</v>
      </c>
    </row>
    <row r="96" spans="3:20" ht="20.100000000000001" customHeight="1" x14ac:dyDescent="0.25">
      <c r="D96" s="139" t="str">
        <v>MMS_jm5T1</v>
      </c>
      <c r="E96" s="142" t="str">
        <v>fraction of manure in primary system drylot MMS</v>
      </c>
      <c r="F96" s="141"/>
      <c r="G96" s="139" t="str">
        <v>fraction</v>
      </c>
      <c r="H96" s="130" t="str">
        <v>Input</v>
      </c>
      <c r="I96" s="140" t="str" cm="1">
        <f t="array" aca="1" ref="I96" ca="1">HYPERLINK(Common_InputFunctions.Utility_SourceHyperlink($D$98),$D$98)</f>
        <v>Table_MMS_j_m-5_T-1</v>
      </c>
    </row>
    <row r="97" spans="3:20" ht="20.100000000000001" customHeight="1" x14ac:dyDescent="0.25"/>
    <row r="98" spans="3:20" ht="20.100000000000001" customHeight="1" x14ac:dyDescent="0.25">
      <c r="D98" s="104" t="s">
        <v>166</v>
      </c>
    </row>
    <row r="99" spans="3:20" ht="20.100000000000001" customHeight="1" x14ac:dyDescent="0.25">
      <c r="D99" s="103" t="s">
        <v>109</v>
      </c>
    </row>
    <row r="100" spans="3:20" ht="20.100000000000001" customHeight="1" x14ac:dyDescent="0.25">
      <c r="D100" s="41" t="s">
        <v>106</v>
      </c>
      <c r="E100" s="41" t="s">
        <v>140</v>
      </c>
      <c r="F100" s="41" t="s">
        <v>141</v>
      </c>
      <c r="G100" s="41" t="s">
        <v>142</v>
      </c>
    </row>
    <row r="101" spans="3:20" ht="20.100000000000001" customHeight="1" x14ac:dyDescent="0.25">
      <c r="D101" s="55" t="str">
        <f>'Input - Feedlot'!$D$28</f>
        <v>Drylot (feed pad)</v>
      </c>
      <c r="E101" s="55">
        <f>'Input - Feedlot'!$E$28</f>
        <v>1</v>
      </c>
      <c r="F101" s="55">
        <f>'Input - Feedlot'!$F$28</f>
        <v>1</v>
      </c>
      <c r="G101" s="55">
        <f>'Input - Feedlot'!$G$28</f>
        <v>1</v>
      </c>
      <c r="H101" s="2" t="s">
        <v>328</v>
      </c>
      <c r="I101" s="2"/>
      <c r="J101" s="2"/>
      <c r="K101" s="2"/>
    </row>
    <row r="102" spans="3:20" ht="20.100000000000001" customHeight="1" x14ac:dyDescent="0.25"/>
    <row r="103" spans="3:20" ht="20.100000000000001" customHeight="1" x14ac:dyDescent="0.25">
      <c r="D103" s="104" t="s">
        <v>167</v>
      </c>
      <c r="O103" s="104" t="s">
        <v>168</v>
      </c>
    </row>
    <row r="104" spans="3:20" ht="20.100000000000001" customHeight="1" x14ac:dyDescent="0.25">
      <c r="D104" s="103" t="s">
        <v>190</v>
      </c>
      <c r="O104" s="103" t="s">
        <v>191</v>
      </c>
    </row>
    <row r="105" spans="3:20" ht="20.100000000000001" customHeight="1" x14ac:dyDescent="0.25">
      <c r="D105" s="54" t="s">
        <v>106</v>
      </c>
      <c r="E105" s="54" t="s">
        <v>140</v>
      </c>
      <c r="F105" s="54" t="s">
        <v>141</v>
      </c>
      <c r="G105" s="54" t="s">
        <v>142</v>
      </c>
      <c r="O105" s="54" t="s">
        <v>106</v>
      </c>
      <c r="P105" s="54" t="s">
        <v>140</v>
      </c>
      <c r="Q105" s="54" t="s">
        <v>141</v>
      </c>
      <c r="R105" s="54" t="s">
        <v>142</v>
      </c>
    </row>
    <row r="106" spans="3:20" ht="20.100000000000001" customHeight="1" x14ac:dyDescent="0.25">
      <c r="D106" s="55" t="str">
        <f>'Input - Feedlot'!$D$28</f>
        <v>Drylot (feed pad)</v>
      </c>
      <c r="E106" s="55" cm="1">
        <f t="array" ref="E106">MMS_Feedlot_N2ODirect_Equations.VEERG_4_1_1_3__2_Stage1NitrogenInMMSDrylot(D83,E101)</f>
        <v>71763.793920000026</v>
      </c>
      <c r="F106" s="55" cm="1">
        <f t="array" ref="F106">MMS_Feedlot_N2ODirect_Equations.VEERG_4_1_1_3__2_Stage1NitrogenInMMSDrylot(E83,F101)</f>
        <v>2534.35392</v>
      </c>
      <c r="G106" s="55" cm="1">
        <f t="array" ref="G106">MMS_Feedlot_N2ODirect_Equations.VEERG_4_1_1_3__2_Stage1NitrogenInMMSDrylot(F83,G101)</f>
        <v>3660.4799999999991</v>
      </c>
      <c r="H106" s="2" t="str">
        <f>$E$93</f>
        <v>kg N</v>
      </c>
      <c r="I106" s="2"/>
      <c r="J106" s="2"/>
      <c r="K106" s="2"/>
      <c r="O106" s="55" t="str">
        <f>'Input - Feedlot'!$D$28</f>
        <v>Drylot (feed pad)</v>
      </c>
      <c r="P106" s="55" cm="1">
        <f t="array" ref="P106">MMS_Feedlot_N2ODirect_Equations.VEERG_4_1_1_3__2_Stage1NitrogenInMMSDrylot(O83,E101)</f>
        <v>71763.793920000026</v>
      </c>
      <c r="Q106" s="55" cm="1">
        <f t="array" ref="Q106">MMS_Feedlot_N2ODirect_Equations.VEERG_4_1_1_3__2_Stage1NitrogenInMMSDrylot(P83,F101)</f>
        <v>2534.35392</v>
      </c>
      <c r="R106" s="55" cm="1">
        <f t="array" ref="R106">MMS_Feedlot_N2ODirect_Equations.VEERG_4_1_1_3__2_Stage1NitrogenInMMSDrylot(Q83,G101)</f>
        <v>3660.4799999999991</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26</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29</v>
      </c>
      <c r="E115" s="1" t="str" cm="1">
        <f t="array" ref="E115">MMS_Feedlot_N2ODirect_Equations.VEERG_4_1_1_3__8_Stage3NitrogenInMMSAnaerobicLagoon_Variable()</f>
        <v>MN_jm1T3</v>
      </c>
    </row>
    <row r="116" spans="4:18" ht="20.100000000000001" customHeight="1" x14ac:dyDescent="0.25">
      <c r="D116" s="56" t="s">
        <v>19</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9" t="str" cm="1">
        <f t="array" ref="D118:E119">_xlfn.CHOOSECOLS(MMS_Feedlot_N2ODirect_Equations.VEERG_4_1_1_3__8_Stage3NitrogenInMMSAnaerobicLagoon_Arguments(),1,2)</f>
        <v>AE_j</v>
      </c>
      <c r="E118" s="142" t="str">
        <v>total nitrogen excreted by each cattle group</v>
      </c>
      <c r="F118" s="141"/>
      <c r="G118" s="139" t="str" cm="1">
        <f t="array" ref="G118:H119">_xlfn.CHOOSECOLS(MMS_Feedlot_N2ODirect_Equations.VEERG_4_1_1_3__8_Stage3NitrogenInMMSAnaerobicLagoon_Arguments(),3,4)</f>
        <v>kg N</v>
      </c>
      <c r="H118" s="131" t="str">
        <v>Calculated from 4.1.1.3 (3)</v>
      </c>
      <c r="I118" s="140" t="str" cm="1">
        <f t="array" aca="1" ref="I118" ca="1">HYPERLINK(Common_InputFunctions.Utility_SourceHyperlink($D$80),$D$80)</f>
        <v>M1_Table_AE_j</v>
      </c>
    </row>
    <row r="119" spans="4:18" ht="20.100000000000001" customHeight="1" x14ac:dyDescent="0.25">
      <c r="D119" s="139" t="str">
        <v>MMS_jm1T3</v>
      </c>
      <c r="E119" s="142" t="str">
        <v>fraction of manure to tertiary anaerobic lagoon system</v>
      </c>
      <c r="F119" s="141"/>
      <c r="G119" s="139" t="str">
        <v>fraction</v>
      </c>
      <c r="H119" s="130" t="str">
        <v>Input</v>
      </c>
      <c r="I119" s="140"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171</v>
      </c>
    </row>
    <row r="122" spans="4:18" ht="20.100000000000001" customHeight="1" x14ac:dyDescent="0.25">
      <c r="D122" s="103" t="s">
        <v>170</v>
      </c>
    </row>
    <row r="123" spans="4:18" ht="20.100000000000001" customHeight="1" x14ac:dyDescent="0.25">
      <c r="D123" s="41" t="s">
        <v>119</v>
      </c>
      <c r="E123" s="41" t="s">
        <v>140</v>
      </c>
      <c r="F123" s="41" t="s">
        <v>141</v>
      </c>
      <c r="G123" s="41" t="s">
        <v>142</v>
      </c>
    </row>
    <row r="124" spans="4:18" ht="20.100000000000001" customHeight="1" x14ac:dyDescent="0.25">
      <c r="D124" s="55" t="str">
        <f>'Input - Feedlot'!$D$38</f>
        <v>Anaerobic lagoon</v>
      </c>
      <c r="E124" s="55">
        <f>'Input - Feedlot'!$E$38</f>
        <v>0.02</v>
      </c>
      <c r="F124" s="55">
        <f>'Input - Feedlot'!$F$38</f>
        <v>0.02</v>
      </c>
      <c r="G124" s="55">
        <f>'Input - Feedlot'!$G$38</f>
        <v>0.02</v>
      </c>
      <c r="H124" s="2" t="s">
        <v>328</v>
      </c>
      <c r="I124" s="2"/>
      <c r="J124" s="2"/>
      <c r="K124" s="2"/>
    </row>
    <row r="125" spans="4:18" ht="20.100000000000001" customHeight="1" x14ac:dyDescent="0.25"/>
    <row r="126" spans="4:18" ht="20.100000000000001" customHeight="1" x14ac:dyDescent="0.25">
      <c r="D126" s="104" t="s">
        <v>176</v>
      </c>
      <c r="O126" s="104" t="s">
        <v>177</v>
      </c>
    </row>
    <row r="127" spans="4:18" ht="20.100000000000001" customHeight="1" x14ac:dyDescent="0.25">
      <c r="D127" s="103" t="s">
        <v>188</v>
      </c>
      <c r="O127" s="103" t="s">
        <v>189</v>
      </c>
    </row>
    <row r="128" spans="4:18" ht="20.100000000000001" customHeight="1" x14ac:dyDescent="0.25">
      <c r="D128" s="54" t="s">
        <v>119</v>
      </c>
      <c r="E128" s="54" t="s">
        <v>140</v>
      </c>
      <c r="F128" s="54" t="s">
        <v>141</v>
      </c>
      <c r="G128" s="54" t="s">
        <v>142</v>
      </c>
      <c r="O128" s="54" t="s">
        <v>119</v>
      </c>
      <c r="P128" s="54" t="s">
        <v>140</v>
      </c>
      <c r="Q128" s="54" t="s">
        <v>141</v>
      </c>
      <c r="R128" s="54" t="s">
        <v>142</v>
      </c>
    </row>
    <row r="129" spans="3:20" ht="20.100000000000001" customHeight="1" x14ac:dyDescent="0.25">
      <c r="D129" s="55" t="str">
        <f>'Input - Feedlot'!$D$38</f>
        <v>Anaerobic lagoon</v>
      </c>
      <c r="E129" s="55" cm="1">
        <f t="array" ref="E129">MMS_Feedlot_N2ODirect_Equations.VEERG_4_1_1_3__8_Stage3NitrogenInMMSAnaerobicLagoon(D83,E124)</f>
        <v>1435.2758784000005</v>
      </c>
      <c r="F129" s="55" cm="1">
        <f t="array" ref="F129">MMS_Feedlot_N2ODirect_Equations.VEERG_4_1_1_3__8_Stage3NitrogenInMMSAnaerobicLagoon(E83,F124)</f>
        <v>50.687078400000004</v>
      </c>
      <c r="G129" s="55" cm="1">
        <f t="array" ref="G129">MMS_Feedlot_N2ODirect_Equations.VEERG_4_1_1_3__8_Stage3NitrogenInMMSAnaerobicLagoon(F83,G124)</f>
        <v>73.20959999999998</v>
      </c>
      <c r="H129" s="2" t="str">
        <f>$E$116</f>
        <v>kg N</v>
      </c>
      <c r="I129" s="2"/>
      <c r="J129" s="2"/>
      <c r="K129" s="2"/>
      <c r="O129" s="55" t="str">
        <f>'Input - Feedlot'!$D$38</f>
        <v>Anaerobic lagoon</v>
      </c>
      <c r="P129" s="55" cm="1">
        <f t="array" ref="P129">MMS_Feedlot_N2ODirect_Equations.VEERG_4_1_1_3__8_Stage3NitrogenInMMSAnaerobicLagoon(O83,E124)</f>
        <v>1435.2758784000005</v>
      </c>
      <c r="Q129" s="55" cm="1">
        <f t="array" ref="Q129">MMS_Feedlot_N2ODirect_Equations.VEERG_4_1_1_3__8_Stage3NitrogenInMMSAnaerobicLagoon(P83,F124)</f>
        <v>50.687078400000004</v>
      </c>
      <c r="R129" s="55" cm="1">
        <f t="array" ref="R129">MMS_Feedlot_N2ODirect_Equations.VEERG_4_1_1_3__8_Stage3NitrogenInMMSAnaerobicLagoon(Q83,G124)</f>
        <v>73.20959999999998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26</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29</v>
      </c>
      <c r="E138" s="1" t="str" cm="1">
        <f t="array" ref="E138">MMS_Feedlot_N2ODirect_Equations.VEERG_4_1_1_3__7_NitrogenTransferredToStage2_Variable()</f>
        <v>NT_jmT2</v>
      </c>
    </row>
    <row r="139" spans="3:20" ht="20.100000000000001" customHeight="1" x14ac:dyDescent="0.25">
      <c r="D139" s="56" t="s">
        <v>19</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9" t="str" cm="1">
        <f t="array" ref="D141:E144">_xlfn.CHOOSECOLS(MMS_Feedlot_N2ODirect_Equations.VEERG_4_1_1_3__7_NitrogenTransferredToStage2_Arguments(),1,2)</f>
        <v>MN_jm5T1</v>
      </c>
      <c r="E141" s="142" t="str">
        <v>nitrogen in MMS treatment stage 1</v>
      </c>
      <c r="F141" s="141"/>
      <c r="G141" s="139" t="str" cm="1">
        <f t="array" ref="G141:H144">_xlfn.CHOOSECOLS(MMS_Feedlot_N2ODirect_Equations.VEERG_4_1_1_3__7_NitrogenTransferredToStage2_Arguments(),3,4)</f>
        <v>kg N</v>
      </c>
      <c r="H141" s="131" t="str">
        <v>Calculated from 4.1.1.3 (2)</v>
      </c>
      <c r="I141" s="140" t="str" cm="1">
        <f t="array" aca="1" ref="I141" ca="1">HYPERLINK(Common_InputFunctions.Utility_SourceHyperlink($D$103),$D$103)</f>
        <v>M1_Table_MN_j_m-5_T-1</v>
      </c>
    </row>
    <row r="142" spans="3:20" ht="20.100000000000001" customHeight="1" x14ac:dyDescent="0.25">
      <c r="D142" s="139" t="str">
        <v>FracGASM_m5</v>
      </c>
      <c r="E142" s="142" t="str">
        <v>fraction of N volatilised from drylot MMS</v>
      </c>
      <c r="F142" s="141"/>
      <c r="G142" s="139" t="str">
        <v>fraction</v>
      </c>
      <c r="H142" s="131" t="str">
        <v>Constant</v>
      </c>
      <c r="I142" s="139">
        <f>'Constants - Feedlot'!$F$113</f>
        <v>0.6</v>
      </c>
    </row>
    <row r="143" spans="3:20" ht="20.100000000000001" customHeight="1" x14ac:dyDescent="0.25">
      <c r="D143" s="139" t="str">
        <v>EF_m5</v>
      </c>
      <c r="E143" s="142" t="str">
        <v>nitrous oxide emission factor for drylot MMS</v>
      </c>
      <c r="F143" s="141"/>
      <c r="G143" s="139" t="str">
        <v>kg N2O-N/kg N deposited</v>
      </c>
      <c r="H143" s="131" t="str">
        <v>Constant</v>
      </c>
      <c r="I143" s="139">
        <f>'Constants - Feedlot'!$F$101</f>
        <v>5.4000000000000003E-3</v>
      </c>
    </row>
    <row r="144" spans="3:20" ht="20.100000000000001" customHeight="1" x14ac:dyDescent="0.25">
      <c r="D144" s="139" t="str">
        <v>MN_jmT3</v>
      </c>
      <c r="E144" s="142" t="str">
        <v>nitrogen in MMS treatment stage 3</v>
      </c>
      <c r="F144" s="141"/>
      <c r="G144" s="139" t="str">
        <v>kg N</v>
      </c>
      <c r="H144" s="131" t="str">
        <v>Calculated from 4.1.1.3 (8)</v>
      </c>
      <c r="I144" s="140"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178</v>
      </c>
      <c r="O146" s="104" t="s">
        <v>179</v>
      </c>
    </row>
    <row r="147" spans="3:20" ht="20.100000000000001" customHeight="1" x14ac:dyDescent="0.25">
      <c r="D147" s="103" t="s">
        <v>186</v>
      </c>
      <c r="O147" s="103" t="s">
        <v>187</v>
      </c>
    </row>
    <row r="148" spans="3:20" ht="20.100000000000001" customHeight="1" x14ac:dyDescent="0.25">
      <c r="D148" s="54" t="s">
        <v>140</v>
      </c>
      <c r="E148" s="54" t="s">
        <v>141</v>
      </c>
      <c r="F148" s="54" t="s">
        <v>142</v>
      </c>
      <c r="O148" s="54" t="s">
        <v>140</v>
      </c>
      <c r="P148" s="54" t="s">
        <v>141</v>
      </c>
      <c r="Q148" s="54" t="s">
        <v>142</v>
      </c>
    </row>
    <row r="149" spans="3:20" ht="20.100000000000001" customHeight="1" x14ac:dyDescent="0.25">
      <c r="D149" s="55" cm="1">
        <f t="array" ref="D149">MMS_Feedlot_N2ODirect_Equations.VEERG_4_1_1_3__7_NitrogenTransferredToStage2(E106,$I$142,$I$143,E129)</f>
        <v>26882.71720243201</v>
      </c>
      <c r="E149" s="55" cm="1">
        <f t="array" ref="E149">MMS_Feedlot_N2ODirect_Equations.VEERG_4_1_1_3__7_NitrogenTransferredToStage2(F106,$I$142,$I$143,F129)</f>
        <v>949.36897843199995</v>
      </c>
      <c r="F149" s="55" cm="1">
        <f t="array" ref="F149">MMS_Feedlot_N2ODirect_Equations.VEERG_4_1_1_3__7_NitrogenTransferredToStage2(G106,$I$142,$I$143,G129)</f>
        <v>1371.2158079999997</v>
      </c>
      <c r="G149" s="2" t="str">
        <f>$E$116</f>
        <v>kg N</v>
      </c>
      <c r="O149" s="55" cm="1">
        <f t="array" ref="O149">MMS_Feedlot_N2ODirect_Equations.VEERG_4_1_1_3__7_NitrogenTransferredToStage2(P106,$I$142,$I$143,P129)</f>
        <v>26882.71720243201</v>
      </c>
      <c r="P149" s="55" cm="1">
        <f t="array" ref="P149">MMS_Feedlot_N2ODirect_Equations.VEERG_4_1_1_3__7_NitrogenTransferredToStage2(Q106,$I$142,$I$143,Q129)</f>
        <v>949.36897843199995</v>
      </c>
      <c r="Q149" s="55" cm="1">
        <f t="array" ref="Q149">MMS_Feedlot_N2ODirect_Equations.VEERG_4_1_1_3__7_NitrogenTransferredToStage2(R106,$I$142,$I$143,R129)</f>
        <v>1371.2158079999997</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26</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29</v>
      </c>
      <c r="E158" s="1" t="str" cm="1">
        <f t="array" ref="E158">MMS_Feedlot_N2ODirect_Equations.VEERG_4_1_1_3__6_Stage2NitrogenInMMS_Variable()</f>
        <v>MN_jmT2</v>
      </c>
    </row>
    <row r="159" spans="3:20" ht="20.100000000000001" customHeight="1" x14ac:dyDescent="0.25">
      <c r="D159" s="56" t="s">
        <v>19</v>
      </c>
      <c r="E159" s="57" t="str" cm="1">
        <f t="array" ref="E159">MMS_Feedlot_N2ODirect_Equations.VEERG_4_1_1_3__6_Stage2NitrogenInMMS_Unit()</f>
        <v>kg N</v>
      </c>
    </row>
    <row r="160" spans="3:20" ht="20.100000000000001" customHeight="1" x14ac:dyDescent="0.25"/>
    <row r="161" spans="4:19" ht="20.100000000000001" customHeight="1" x14ac:dyDescent="0.25">
      <c r="D161" s="139" t="str" cm="1">
        <f t="array" ref="D161:E162">_xlfn.CHOOSECOLS(MMS_Feedlot_N2ODirect_Equations.VEERG_4_1_1_3__6_Stage2NitrogenInMMS_Arguments(),1,2)</f>
        <v>NT_jmT2</v>
      </c>
      <c r="E161" s="142" t="str">
        <v>nitrogen transferred to secondary treatment MMS</v>
      </c>
      <c r="F161" s="141"/>
      <c r="G161" s="139" t="str" cm="1">
        <f t="array" ref="G161:H162">_xlfn.CHOOSECOLS(MMS_Feedlot_N2ODirect_Equations.VEERG_4_1_1_3__6_Stage2NitrogenInMMS_Arguments(),3,4)</f>
        <v>kg N</v>
      </c>
      <c r="H161" s="131" t="str">
        <v>Calculated from 4.1.1.3 (7)</v>
      </c>
      <c r="I161" s="140" t="str" cm="1">
        <f t="array" aca="1" ref="I161" ca="1">HYPERLINK(Common_InputFunctions.Utility_SourceHyperlink($D$146),$D$146)</f>
        <v>M1_Table_NT_j_m-_T-2</v>
      </c>
    </row>
    <row r="162" spans="4:19" ht="20.100000000000001" customHeight="1" x14ac:dyDescent="0.25">
      <c r="D162" s="139" t="str">
        <v>MMS_jmT2</v>
      </c>
      <c r="E162" s="142" t="str">
        <v>fraction of manure in each secondary system</v>
      </c>
      <c r="F162" s="141"/>
      <c r="G162" s="139" t="str">
        <v>fraction</v>
      </c>
      <c r="H162" s="130" t="str">
        <v>Input</v>
      </c>
      <c r="I162" s="140"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169</v>
      </c>
      <c r="L164" s="2"/>
    </row>
    <row r="165" spans="4:19" ht="20.100000000000001" customHeight="1" x14ac:dyDescent="0.25">
      <c r="D165" s="103" t="s">
        <v>114</v>
      </c>
    </row>
    <row r="166" spans="4:19" ht="20.100000000000001" customHeight="1" x14ac:dyDescent="0.25">
      <c r="D166" s="41" t="s">
        <v>102</v>
      </c>
      <c r="E166" s="41" t="s">
        <v>140</v>
      </c>
      <c r="F166" s="41" t="s">
        <v>141</v>
      </c>
      <c r="G166" s="41" t="s">
        <v>142</v>
      </c>
    </row>
    <row r="167" spans="4:19" ht="20.100000000000001" customHeight="1" x14ac:dyDescent="0.25">
      <c r="D167" s="55" t="str">
        <f>'Input - Feedlot'!$D$32</f>
        <v>Solid storage</v>
      </c>
      <c r="E167" s="55">
        <f>'Input - Feedlot'!$E$32</f>
        <v>0.2</v>
      </c>
      <c r="F167" s="55">
        <f>'Input - Feedlot'!$F$32</f>
        <v>0.2</v>
      </c>
      <c r="G167" s="55">
        <f>'Input - Feedlot'!$G$32</f>
        <v>0.2</v>
      </c>
      <c r="H167" s="2" t="s">
        <v>328</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328</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180</v>
      </c>
      <c r="O171" s="104" t="s">
        <v>180</v>
      </c>
    </row>
    <row r="172" spans="4:19" ht="20.100000000000001" customHeight="1" x14ac:dyDescent="0.25">
      <c r="D172" s="103" t="s">
        <v>184</v>
      </c>
      <c r="O172" s="103" t="s">
        <v>185</v>
      </c>
    </row>
    <row r="173" spans="4:19" ht="20.100000000000001" customHeight="1" x14ac:dyDescent="0.25">
      <c r="D173" s="54" t="s">
        <v>102</v>
      </c>
      <c r="E173" s="54" t="s">
        <v>140</v>
      </c>
      <c r="F173" s="54" t="s">
        <v>141</v>
      </c>
      <c r="G173" s="54" t="s">
        <v>142</v>
      </c>
      <c r="O173" s="54" t="s">
        <v>102</v>
      </c>
      <c r="P173" s="54" t="s">
        <v>140</v>
      </c>
      <c r="Q173" s="54" t="s">
        <v>141</v>
      </c>
      <c r="R173" s="54" t="s">
        <v>142</v>
      </c>
    </row>
    <row r="174" spans="4:19" ht="20.100000000000001" customHeight="1" x14ac:dyDescent="0.25">
      <c r="D174" s="55" t="str">
        <f>'Input - Feedlot'!$D$32</f>
        <v>Solid storage</v>
      </c>
      <c r="E174" s="55" cm="1">
        <f t="array" ref="E174">MMS_Feedlot_N2ODirect_Equations.VEERG_4_1_1_3__6_Stage2NitrogenInMMS(D$149,E167)</f>
        <v>5376.5434404864027</v>
      </c>
      <c r="F174" s="55" cm="1">
        <f t="array" ref="F174">MMS_Feedlot_N2ODirect_Equations.VEERG_4_1_1_3__6_Stage2NitrogenInMMS(E$149,F167)</f>
        <v>189.8737956864</v>
      </c>
      <c r="G174" s="55" cm="1">
        <f t="array" ref="G174">MMS_Feedlot_N2ODirect_Equations.VEERG_4_1_1_3__6_Stage2NitrogenInMMS(F$149,G167)</f>
        <v>274.24316159999995</v>
      </c>
      <c r="H174" s="2" t="str">
        <f>$E$159</f>
        <v>kg N</v>
      </c>
      <c r="I174" s="2"/>
      <c r="J174" s="2"/>
      <c r="K174" s="2"/>
      <c r="O174" s="55" t="str">
        <f>'Input - Feedlot'!$D$32</f>
        <v>Solid storage</v>
      </c>
      <c r="P174" s="55" cm="1">
        <f t="array" ref="P174">MMS_Feedlot_N2ODirect_Equations.VEERG_4_1_1_3__6_Stage2NitrogenInMMS(O$149,E167)</f>
        <v>5376.5434404864027</v>
      </c>
      <c r="Q174" s="55" cm="1">
        <f t="array" ref="Q174">MMS_Feedlot_N2ODirect_Equations.VEERG_4_1_1_3__6_Stage2NitrogenInMMS(P$149,F167)</f>
        <v>189.8737956864</v>
      </c>
      <c r="R174" s="55" cm="1">
        <f t="array" ref="R174">MMS_Feedlot_N2ODirect_Equations.VEERG_4_1_1_3__6_Stage2NitrogenInMMS(Q$149,G167)</f>
        <v>274.24316159999995</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5376.5434404864027</v>
      </c>
      <c r="F175" s="55" cm="1">
        <f t="array" ref="F175">MMS_Feedlot_N2ODirect_Equations.VEERG_4_1_1_3__6_Stage2NitrogenInMMS(E$149,F168)</f>
        <v>189.8737956864</v>
      </c>
      <c r="G175" s="55" cm="1">
        <f t="array" ref="G175">MMS_Feedlot_N2ODirect_Equations.VEERG_4_1_1_3__6_Stage2NitrogenInMMS(F$149,G168)</f>
        <v>274.24316159999995</v>
      </c>
      <c r="H175" s="2" t="str">
        <f>$E$159</f>
        <v>kg N</v>
      </c>
      <c r="I175" s="2"/>
      <c r="J175" s="2"/>
      <c r="K175" s="2"/>
      <c r="O175" s="55" t="str">
        <f>'Input - Feedlot'!$D$33</f>
        <v>Composting (passive windrow)</v>
      </c>
      <c r="P175" s="55" cm="1">
        <f t="array" ref="P175">MMS_Feedlot_N2ODirect_Equations.VEERG_4_1_1_3__6_Stage2NitrogenInMMS(O$149,E168)</f>
        <v>5376.5434404864027</v>
      </c>
      <c r="Q175" s="55" cm="1">
        <f t="array" ref="Q175">MMS_Feedlot_N2ODirect_Equations.VEERG_4_1_1_3__6_Stage2NitrogenInMMS(P$149,F168)</f>
        <v>189.8737956864</v>
      </c>
      <c r="R175" s="55" cm="1">
        <f t="array" ref="R175">MMS_Feedlot_N2ODirect_Equations.VEERG_4_1_1_3__6_Stage2NitrogenInMMS(Q$149,G168)</f>
        <v>274.24316159999995</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16129.630321459204</v>
      </c>
      <c r="F176" s="55" cm="1">
        <f t="array" ref="F176">MMS_Feedlot_N2ODirect_Equations.VEERG_4_1_1_3__6_Stage2NitrogenInMMS(E$149,F169)</f>
        <v>569.62138705919995</v>
      </c>
      <c r="G176" s="55" cm="1">
        <f t="array" ref="G176">MMS_Feedlot_N2ODirect_Equations.VEERG_4_1_1_3__6_Stage2NitrogenInMMS(F$149,G169)</f>
        <v>822.7294847999998</v>
      </c>
      <c r="H176" s="2" t="str">
        <f>$E$159</f>
        <v>kg N</v>
      </c>
      <c r="I176" s="2"/>
      <c r="J176" s="2"/>
      <c r="K176" s="2"/>
      <c r="O176" s="55" t="str">
        <f>'Input - Feedlot'!$D$34</f>
        <v>Direct application</v>
      </c>
      <c r="P176" s="55" cm="1">
        <f t="array" ref="P176">MMS_Feedlot_N2ODirect_Equations.VEERG_4_1_1_3__6_Stage2NitrogenInMMS(O$149,E169)</f>
        <v>16129.630321459204</v>
      </c>
      <c r="Q176" s="55" cm="1">
        <f t="array" ref="Q176">MMS_Feedlot_N2ODirect_Equations.VEERG_4_1_1_3__6_Stage2NitrogenInMMS(P$149,F169)</f>
        <v>569.62138705919995</v>
      </c>
      <c r="R176" s="55" cm="1">
        <f t="array" ref="R176">MMS_Feedlot_N2ODirect_Equations.VEERG_4_1_1_3__6_Stage2NitrogenInMMS(Q$149,G169)</f>
        <v>822.7294847999998</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26</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29</v>
      </c>
      <c r="E185" s="1" t="str" cm="1">
        <f t="array" ref="E185">MMS_Feedlot_N2ODirect_Equations.VEERG_4_1_1_3__1_TotalAnnualDirectNitrousOxideEmissions_Variable()</f>
        <v>E_N2Odir</v>
      </c>
    </row>
    <row r="186" spans="3:20" ht="20.100000000000001" customHeight="1" x14ac:dyDescent="0.25">
      <c r="D186" s="56" t="s">
        <v>19</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9" t="str" cm="1">
        <f t="array" ref="D188:E190">_xlfn.CHOOSECOLS(MMS_Feedlot_N2ODirect_Equations.VEERG_4_1_1_3__1_TotalAnnualDirectNitrousOxideEmissions_Arguments(),1,2)</f>
        <v>MN_jmT</v>
      </c>
      <c r="E188" s="142" t="str">
        <v>nitrogen per cattle group, MMS and treatment stage</v>
      </c>
      <c r="F188" s="141"/>
      <c r="G188" s="139" t="str" cm="1">
        <f t="array" ref="G188:H190">_xlfn.CHOOSECOLS(MMS_Feedlot_N2ODirect_Equations.VEERG_4_1_1_3__1_TotalAnnualDirectNitrousOxideEmissions_Arguments(),3,4)</f>
        <v>kg N</v>
      </c>
      <c r="H188" s="131" t="str">
        <v>Calculated from 4.1.1.3 (2)(6)(8)</v>
      </c>
      <c r="I188" s="140" t="str" cm="1">
        <f t="array" aca="1" ref="I188" ca="1">HYPERLINK(Common_InputFunctions.Utility_SourceHyperlink($D$103),$D$103)</f>
        <v>M1_Table_MN_j_m-5_T-1</v>
      </c>
      <c r="J188" s="140" t="str" cm="1">
        <f t="array" aca="1" ref="J188" ca="1">HYPERLINK(Common_InputFunctions.Utility_SourceHyperlink($D$171),$D$171)</f>
        <v>M1_Table_MN_j_m_T-2</v>
      </c>
      <c r="K188" s="140" t="str" cm="1">
        <f t="array" aca="1" ref="K188" ca="1">HYPERLINK(Common_InputFunctions.Utility_SourceHyperlink($D$126),$D$126)</f>
        <v>M1_Table_MN_j_m-1_T-3</v>
      </c>
    </row>
    <row r="189" spans="3:20" ht="20.100000000000001" customHeight="1" x14ac:dyDescent="0.25">
      <c r="D189" s="139" t="str">
        <v>EF_jm</v>
      </c>
      <c r="E189" s="142" t="str">
        <v>nitrous oxide emission factor for MMS</v>
      </c>
      <c r="F189" s="141"/>
      <c r="G189" s="139" t="str">
        <v>kg N2O-N/kg N</v>
      </c>
      <c r="H189" s="131" t="str">
        <v>Constant</v>
      </c>
      <c r="I189" s="140" t="str" cm="1">
        <f t="array" aca="1" ref="I189" ca="1">HYPERLINK(Common_InputFunctions.Utility_SourceHyperlink($D$192),$D$192)</f>
        <v>Table_EF_j_m</v>
      </c>
      <c r="J189" s="139"/>
      <c r="K189" s="139"/>
    </row>
    <row r="190" spans="3:20" ht="20.100000000000001" customHeight="1" x14ac:dyDescent="0.25">
      <c r="D190" s="139" t="str">
        <v>C_N2O</v>
      </c>
      <c r="E190" s="142" t="str">
        <v>factor to convert elemental mass of nitrous oxide to molecular mass</v>
      </c>
      <c r="F190" s="141"/>
      <c r="G190" s="139" t="str">
        <v>ratio</v>
      </c>
      <c r="H190" s="131" t="str">
        <v>Constant</v>
      </c>
      <c r="I190" s="139">
        <f>Common_InputFunctions.Utility_LookupValueInTableNumber("N2O",Table_GasToMolecularConversionFactor[Gas],Table_GasToMolecularConversionFactor[Conversion factor combined])</f>
        <v>1.5714285714285714</v>
      </c>
      <c r="J190" s="139"/>
      <c r="K190" s="139"/>
    </row>
    <row r="191" spans="3:20" ht="20.100000000000001" customHeight="1" x14ac:dyDescent="0.25"/>
    <row r="192" spans="3:20" ht="20.100000000000001" customHeight="1" x14ac:dyDescent="0.25">
      <c r="D192" s="104" t="s">
        <v>172</v>
      </c>
    </row>
    <row r="193" spans="4:19" ht="20.100000000000001" customHeight="1" x14ac:dyDescent="0.25">
      <c r="D193" s="103" t="s">
        <v>173</v>
      </c>
    </row>
    <row r="194" spans="4:19" ht="20.100000000000001" customHeight="1" x14ac:dyDescent="0.25">
      <c r="D194" s="116" t="s">
        <v>67</v>
      </c>
      <c r="E194" s="116" t="s">
        <v>174</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7" t="s">
        <v>350</v>
      </c>
      <c r="E200" s="94"/>
      <c r="F200" s="94"/>
      <c r="G200" s="90"/>
    </row>
    <row r="201" spans="4:19" ht="20.100000000000001" customHeight="1" x14ac:dyDescent="0.25">
      <c r="D201" s="96" t="s">
        <v>333</v>
      </c>
      <c r="E201" s="93"/>
      <c r="F201" s="93"/>
      <c r="G201" s="91"/>
    </row>
    <row r="202" spans="4:19" ht="20.100000000000001" customHeight="1" x14ac:dyDescent="0.25"/>
    <row r="203" spans="4:19" ht="20.100000000000001" customHeight="1" x14ac:dyDescent="0.25">
      <c r="D203" s="104" t="s">
        <v>181</v>
      </c>
      <c r="O203" s="104" t="s">
        <v>181</v>
      </c>
    </row>
    <row r="204" spans="4:19" ht="20.100000000000001" customHeight="1" x14ac:dyDescent="0.25">
      <c r="D204" s="103" t="s">
        <v>182</v>
      </c>
      <c r="O204" s="103" t="s">
        <v>183</v>
      </c>
    </row>
    <row r="205" spans="4:19" ht="20.100000000000001" customHeight="1" x14ac:dyDescent="0.25">
      <c r="D205" s="116" t="s">
        <v>67</v>
      </c>
      <c r="E205" s="54" t="s">
        <v>140</v>
      </c>
      <c r="F205" s="54" t="s">
        <v>141</v>
      </c>
      <c r="G205" s="54" t="s">
        <v>142</v>
      </c>
      <c r="O205" s="116" t="s">
        <v>67</v>
      </c>
      <c r="P205" s="54" t="s">
        <v>140</v>
      </c>
      <c r="Q205" s="54" t="s">
        <v>141</v>
      </c>
      <c r="R205" s="54" t="s">
        <v>142</v>
      </c>
    </row>
    <row r="206" spans="4:19" ht="20.100000000000001" customHeight="1" x14ac:dyDescent="0.25">
      <c r="D206" s="55" t="str">
        <f>'Input - Feedlot'!$D$28</f>
        <v>Drylot (feed pad)</v>
      </c>
      <c r="E206" s="55" cm="1">
        <f t="array" ref="E206">MMS_Feedlot_N2ODirect_Equations.VEERG_4_1_1_3__1_TotalAnnualDirectNitrousOxideEmissions(E$106,$E195,$I$190)</f>
        <v>0.6089670512640003</v>
      </c>
      <c r="F206" s="55" cm="1">
        <f t="array" ref="F206">MMS_Feedlot_N2ODirect_Equations.VEERG_4_1_1_3__1_TotalAnnualDirectNitrousOxideEmissions(F$106,$E195,$I$190)</f>
        <v>2.1505803264000003E-2</v>
      </c>
      <c r="G206" s="55" cm="1">
        <f t="array" ref="G206">MMS_Feedlot_N2ODirect_Equations.VEERG_4_1_1_3__1_TotalAnnualDirectNitrousOxideEmissions(G$106,$E195,$I$190)</f>
        <v>3.1061787428571422E-2</v>
      </c>
      <c r="H206" s="2" t="str">
        <f>$E$186</f>
        <v>t N2O</v>
      </c>
      <c r="I206" s="2"/>
      <c r="J206" s="2"/>
      <c r="K206" s="2"/>
      <c r="O206" s="55" t="str">
        <f>'Input - Feedlot'!$D$28</f>
        <v>Drylot (feed pad)</v>
      </c>
      <c r="P206" s="55" cm="1">
        <f t="array" ref="P206">MMS_Feedlot_N2ODirect_Equations.VEERG_4_1_1_3__1_TotalAnnualDirectNitrousOxideEmissions(P$106,$E195,$I$190)</f>
        <v>0.6089670512640003</v>
      </c>
      <c r="Q206" s="55" cm="1">
        <f t="array" ref="Q206">MMS_Feedlot_N2ODirect_Equations.VEERG_4_1_1_3__1_TotalAnnualDirectNitrousOxideEmissions(Q$106,$E195,$I$190)</f>
        <v>2.1505803264000003E-2</v>
      </c>
      <c r="R206" s="55" cm="1">
        <f t="array" ref="R206">MMS_Feedlot_N2ODirect_Equations.VEERG_4_1_1_3__1_TotalAnnualDirectNitrousOxideEmissions(R$106,$E195,$I$190)</f>
        <v>3.1061787428571422E-2</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4.2244269889536022E-2</v>
      </c>
      <c r="F207" s="55" cm="1">
        <f t="array" ref="F207">MMS_Feedlot_N2ODirect_Equations.VEERG_4_1_1_3__1_TotalAnnualDirectNitrousOxideEmissions(F$174,$E196,$I$190)</f>
        <v>1.4918655375360003E-3</v>
      </c>
      <c r="G207" s="55" cm="1">
        <f t="array" ref="G207">MMS_Feedlot_N2ODirect_Equations.VEERG_4_1_1_3__1_TotalAnnualDirectNitrousOxideEmissions(G$174,$E196,$I$190)</f>
        <v>2.1547676982857141E-3</v>
      </c>
      <c r="H207" s="2" t="str">
        <f>$E$186</f>
        <v>t N2O</v>
      </c>
      <c r="I207" s="2"/>
      <c r="J207" s="2"/>
      <c r="K207" s="2"/>
      <c r="O207" s="55" t="str">
        <f>'Input - Feedlot'!$D$32</f>
        <v>Solid storage</v>
      </c>
      <c r="P207" s="55" cm="1">
        <f t="array" ref="P207">MMS_Feedlot_N2ODirect_Equations.VEERG_4_1_1_3__1_TotalAnnualDirectNitrousOxideEmissions(P$174,$E196,$I$190)</f>
        <v>4.2244269889536022E-2</v>
      </c>
      <c r="Q207" s="55" cm="1">
        <f t="array" ref="Q207">MMS_Feedlot_N2ODirect_Equations.VEERG_4_1_1_3__1_TotalAnnualDirectNitrousOxideEmissions(Q$174,$E196,$I$190)</f>
        <v>1.4918655375360003E-3</v>
      </c>
      <c r="R207" s="55" cm="1">
        <f t="array" ref="R207">MMS_Feedlot_N2ODirect_Equations.VEERG_4_1_1_3__1_TotalAnnualDirectNitrousOxideEmissions(R$174,$E196,$I$190)</f>
        <v>2.1547676982857141E-3</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8.4488539779072044E-2</v>
      </c>
      <c r="F208" s="55" cm="1">
        <f t="array" ref="F208">MMS_Feedlot_N2ODirect_Equations.VEERG_4_1_1_3__1_TotalAnnualDirectNitrousOxideEmissions(F$175,$E197,$I$190)</f>
        <v>2.9837310750720006E-3</v>
      </c>
      <c r="G208" s="55" cm="1">
        <f t="array" ref="G208">MMS_Feedlot_N2ODirect_Equations.VEERG_4_1_1_3__1_TotalAnnualDirectNitrousOxideEmissions(G$175,$E197,$I$190)</f>
        <v>4.3095353965714282E-3</v>
      </c>
      <c r="H208" s="2" t="str">
        <f>$E$186</f>
        <v>t N2O</v>
      </c>
      <c r="I208" s="2"/>
      <c r="J208" s="2"/>
      <c r="K208" s="2"/>
      <c r="O208" s="55" t="str">
        <f>'Input - Feedlot'!$D$33</f>
        <v>Composting (passive windrow)</v>
      </c>
      <c r="P208" s="55" cm="1">
        <f t="array" ref="P208">MMS_Feedlot_N2ODirect_Equations.VEERG_4_1_1_3__1_TotalAnnualDirectNitrousOxideEmissions(P$175,$E197,$I$190)</f>
        <v>8.4488539779072044E-2</v>
      </c>
      <c r="Q208" s="55" cm="1">
        <f t="array" ref="Q208">MMS_Feedlot_N2ODirect_Equations.VEERG_4_1_1_3__1_TotalAnnualDirectNitrousOxideEmissions(Q$175,$E197,$I$190)</f>
        <v>2.9837310750720006E-3</v>
      </c>
      <c r="R208" s="55" cm="1">
        <f t="array" ref="R208">MMS_Feedlot_N2ODirect_Equations.VEERG_4_1_1_3__1_TotalAnnualDirectNitrousOxideEmissions(R$175,$E197,$I$190)</f>
        <v>4.3095353965714282E-3</v>
      </c>
      <c r="S208" s="2" t="str">
        <f>$E$186</f>
        <v>t N2O</v>
      </c>
    </row>
    <row r="209" spans="4:19" ht="20.100000000000001" customHeight="1" x14ac:dyDescent="0.25">
      <c r="D209" s="55" t="str">
        <f>'Input - Feedlot'!$D$34</f>
        <v>Direct application</v>
      </c>
      <c r="E209" s="55" t="s">
        <v>319</v>
      </c>
      <c r="F209" s="55" t="s">
        <v>319</v>
      </c>
      <c r="G209" s="55" t="s">
        <v>319</v>
      </c>
      <c r="H209" s="2" t="str">
        <f>$E$186</f>
        <v>t N2O</v>
      </c>
      <c r="I209" s="2"/>
      <c r="J209" s="2"/>
      <c r="K209" s="2"/>
      <c r="O209" s="55" t="str">
        <f>'Input - Feedlot'!$D$34</f>
        <v>Direct application</v>
      </c>
      <c r="P209" s="55" t="s">
        <v>319</v>
      </c>
      <c r="Q209" s="55" t="s">
        <v>319</v>
      </c>
      <c r="R209" s="55" t="s">
        <v>319</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175</v>
      </c>
      <c r="E212" s="109">
        <f>SUM(E206:G210)</f>
        <v>0.79920735133264487</v>
      </c>
      <c r="F212" s="110" t="str">
        <f>$E$186</f>
        <v>t N2O</v>
      </c>
      <c r="O212" s="108" t="s">
        <v>175</v>
      </c>
      <c r="P212" s="109">
        <f>SUM(P206:R210)</f>
        <v>0.79920735133264487</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0.79920735133264487</v>
      </c>
      <c r="O214" s="60" t="str" cm="1">
        <f t="array" ref="O214:P215">Common_Equations.Common_ConvertN2OToCO2e_Arguments()</f>
        <v>EN2O</v>
      </c>
      <c r="P214" s="61" t="str">
        <v>Nitrous oxide emissions (t N2O)</v>
      </c>
      <c r="Q214" s="111"/>
      <c r="R214" s="55">
        <f>P212</f>
        <v>0.79920735133264487</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129</v>
      </c>
      <c r="E217" s="48" cm="1">
        <f t="array" ref="E217">Common_Equations.Common_ConvertN2OToCO2e(G214,G215)</f>
        <v>211.78994810315089</v>
      </c>
      <c r="F217" s="112" t="str" cm="1">
        <f t="array" ref="F217">Common_Equations.Common_ConvertN2OToCO2e_Unit()</f>
        <v>t CO2e</v>
      </c>
      <c r="O217" s="48" t="s">
        <v>129</v>
      </c>
      <c r="P217" s="48" cm="1">
        <f t="array" ref="P217">Common_Equations.Common_ConvertN2OToCO2e(R214,R215)</f>
        <v>211.78994810315089</v>
      </c>
      <c r="Q217" s="112" t="str" cm="1">
        <f t="array" ref="Q217">Common_Equations.Common_ConvertN2OToCO2e_Unit()</f>
        <v>t CO2e</v>
      </c>
    </row>
  </sheetData>
  <dataValidations disablePrompts="1"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263</v>
      </c>
    </row>
    <row r="2" spans="1:19" s="9" customFormat="1" ht="20.100000000000001" customHeight="1" x14ac:dyDescent="0.25"/>
    <row r="3" spans="1:19" ht="20.100000000000001" customHeight="1" x14ac:dyDescent="0.25">
      <c r="A3" s="17" t="str">
        <f>HYPERLINK("#'Home'!A1", "Home")</f>
        <v>Home</v>
      </c>
      <c r="C3" s="4"/>
      <c r="D3" s="4" t="s">
        <v>161</v>
      </c>
      <c r="E3" s="4"/>
      <c r="F3" s="4"/>
      <c r="G3" s="4"/>
      <c r="H3" s="4"/>
      <c r="I3" s="4"/>
      <c r="J3" s="4"/>
      <c r="L3" s="4"/>
      <c r="M3" s="4" t="s">
        <v>162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26</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76</v>
      </c>
      <c r="D11" s="56" t="s">
        <v>29</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19</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9" t="str" cm="1">
        <f t="array" ref="D14:E15">_xlfn.CHOOSECOLS(MMS_Feedlot_AtmosphericDeposition_Equations.VEERG_4_1_1_5__2_VolatilisedNitrogenFromManureManagement_Arguments(),1,2)</f>
        <v>MN_jmT</v>
      </c>
      <c r="E14" s="139" t="str">
        <v>nitrogen in each treatment stage MMS (excluding MN_ijm13T2)</v>
      </c>
      <c r="F14" s="139"/>
      <c r="G14" s="139" t="str" cm="1">
        <f t="array" ref="G14:H15">_xlfn.CHOOSECOLS(MMS_Feedlot_AtmosphericDeposition_Equations.VEERG_4_1_1_5__2_VolatilisedNitrogenFromManureManagement_Arguments(),3,4)</f>
        <v>kg N</v>
      </c>
      <c r="H14" s="131" t="str">
        <v>Calculated from 4.1.1.3 (2)(6)(8)</v>
      </c>
      <c r="I14" s="140"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9" t="str">
        <v>FracGASM_mT</v>
      </c>
      <c r="E15" s="139" t="str">
        <v>fraction of N volatilised in each MMS</v>
      </c>
      <c r="F15" s="139"/>
      <c r="G15" s="139" t="str">
        <v>(kg NH3-N + NOx-N)/kg N</v>
      </c>
      <c r="H15" s="131" t="str">
        <v>Constant</v>
      </c>
      <c r="I15" s="140"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7" t="s">
        <v>334</v>
      </c>
      <c r="E17" s="94"/>
      <c r="F17" s="94"/>
      <c r="G17" s="90"/>
    </row>
    <row r="18" spans="1:18" ht="20.100000000000001" customHeight="1" x14ac:dyDescent="0.25">
      <c r="A18" s="17" t="str">
        <f>HYPERLINK("#'Constants - Feedlot'!A1", "Constants - Feedlot")</f>
        <v>Constants - Feedlot</v>
      </c>
      <c r="D18" s="96" t="s">
        <v>333</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264</v>
      </c>
      <c r="M20" s="104" t="s">
        <v>267</v>
      </c>
    </row>
    <row r="21" spans="1:18" ht="20.100000000000001" customHeight="1" x14ac:dyDescent="0.25">
      <c r="A21" s="17" t="str">
        <f>HYPERLINK("#'Acknowledgements'!A1", "Acknowledgements")</f>
        <v>Acknowledgements</v>
      </c>
      <c r="D21" s="103" t="s">
        <v>266</v>
      </c>
      <c r="M21" s="103" t="s">
        <v>268</v>
      </c>
    </row>
    <row r="22" spans="1:18" ht="20.100000000000001" customHeight="1" x14ac:dyDescent="0.25">
      <c r="D22" s="116" t="s">
        <v>67</v>
      </c>
      <c r="E22" s="54" t="s">
        <v>140</v>
      </c>
      <c r="F22" s="54" t="s">
        <v>141</v>
      </c>
      <c r="G22" s="54" t="s">
        <v>142</v>
      </c>
      <c r="M22" s="116" t="s">
        <v>67</v>
      </c>
      <c r="N22" s="54" t="s">
        <v>140</v>
      </c>
      <c r="O22" s="54" t="s">
        <v>141</v>
      </c>
      <c r="P22" s="54" t="s">
        <v>142</v>
      </c>
    </row>
    <row r="23" spans="1:18" ht="20.100000000000001" customHeight="1" x14ac:dyDescent="0.25">
      <c r="D23" s="55" t="str">
        <f>'Input - Feedlot'!$D$28</f>
        <v>Drylot (feed pad)</v>
      </c>
      <c r="E23" s="55">
        <f>'4.1.1.3-4 Direct N20'!$E$106</f>
        <v>71763.793920000026</v>
      </c>
      <c r="F23" s="55">
        <f>'4.1.1.3-4 Direct N20'!$F$106</f>
        <v>2534.35392</v>
      </c>
      <c r="G23" s="55">
        <f>'4.1.1.3-4 Direct N20'!$G$106</f>
        <v>3660.4799999999991</v>
      </c>
      <c r="H23" s="2" t="str">
        <f>$G$14</f>
        <v>kg N</v>
      </c>
      <c r="I23" s="2"/>
      <c r="M23" s="55" t="str">
        <f>'Input - Feedlot'!$D$28</f>
        <v>Drylot (feed pad)</v>
      </c>
      <c r="N23" s="55">
        <f>'4.1.1.3-4 Direct N20'!$P$106</f>
        <v>71763.793920000026</v>
      </c>
      <c r="O23" s="55">
        <f>'4.1.1.3-4 Direct N20'!$Q$106</f>
        <v>2534.35392</v>
      </c>
      <c r="P23" s="55">
        <f>'4.1.1.3-4 Direct N20'!$R$106</f>
        <v>3660.4799999999991</v>
      </c>
      <c r="Q23" s="2" t="str">
        <f>$G$14</f>
        <v>kg N</v>
      </c>
      <c r="R23" s="2"/>
    </row>
    <row r="24" spans="1:18" ht="20.100000000000001" customHeight="1" x14ac:dyDescent="0.25">
      <c r="A24" s="17"/>
      <c r="D24" s="55" t="str">
        <f>'Input - Feedlot'!$D$32</f>
        <v>Solid storage</v>
      </c>
      <c r="E24" s="55">
        <f>'4.1.1.3-4 Direct N20'!$E$174</f>
        <v>5376.5434404864027</v>
      </c>
      <c r="F24" s="55">
        <f>'4.1.1.3-4 Direct N20'!$F$174</f>
        <v>189.8737956864</v>
      </c>
      <c r="G24" s="55">
        <f>'4.1.1.3-4 Direct N20'!$G$174</f>
        <v>274.24316159999995</v>
      </c>
      <c r="H24" s="2"/>
      <c r="I24" s="2"/>
      <c r="M24" s="55" t="str">
        <f>'Input - Feedlot'!$D$32</f>
        <v>Solid storage</v>
      </c>
      <c r="N24" s="55">
        <f>'4.1.1.3-4 Direct N20'!$P$174</f>
        <v>5376.5434404864027</v>
      </c>
      <c r="O24" s="55">
        <f>'4.1.1.3-4 Direct N20'!$Q$174</f>
        <v>189.8737956864</v>
      </c>
      <c r="P24" s="55">
        <f>'4.1.1.3-4 Direct N20'!$R$174</f>
        <v>274.24316159999995</v>
      </c>
      <c r="Q24" s="2"/>
      <c r="R24" s="2"/>
    </row>
    <row r="25" spans="1:18" ht="20.100000000000001" customHeight="1" x14ac:dyDescent="0.25">
      <c r="A25" s="17"/>
      <c r="D25" s="55" t="str">
        <f>'Input - Feedlot'!$D$33</f>
        <v>Composting (passive windrow)</v>
      </c>
      <c r="E25" s="55">
        <f>'4.1.1.3-4 Direct N20'!$E$175</f>
        <v>5376.5434404864027</v>
      </c>
      <c r="F25" s="55">
        <f>'4.1.1.3-4 Direct N20'!$F$175</f>
        <v>189.8737956864</v>
      </c>
      <c r="G25" s="55">
        <f>'4.1.1.3-4 Direct N20'!$G$175</f>
        <v>274.24316159999995</v>
      </c>
      <c r="H25" s="2"/>
      <c r="I25" s="2"/>
      <c r="M25" s="55" t="str">
        <f>'Input - Feedlot'!$D$33</f>
        <v>Composting (passive windrow)</v>
      </c>
      <c r="N25" s="55">
        <f>'4.1.1.3-4 Direct N20'!$P$175</f>
        <v>5376.5434404864027</v>
      </c>
      <c r="O25" s="55">
        <f>'4.1.1.3-4 Direct N20'!$Q$175</f>
        <v>189.8737956864</v>
      </c>
      <c r="P25" s="55">
        <f>'4.1.1.3-4 Direct N20'!$R$175</f>
        <v>274.24316159999995</v>
      </c>
      <c r="Q25" s="2"/>
      <c r="R25" s="2"/>
    </row>
    <row r="26" spans="1:18" ht="20.100000000000001" customHeight="1" x14ac:dyDescent="0.25">
      <c r="D26" s="55" t="str">
        <f>'Input - Feedlot'!$D$34</f>
        <v>Direct application</v>
      </c>
      <c r="E26" s="55" t="s">
        <v>319</v>
      </c>
      <c r="F26" s="55" t="s">
        <v>319</v>
      </c>
      <c r="G26" s="55" t="s">
        <v>319</v>
      </c>
      <c r="H26" s="2"/>
      <c r="I26" s="2"/>
      <c r="M26" s="55" t="str">
        <f>'Input - Feedlot'!$D$34</f>
        <v>Direct application</v>
      </c>
      <c r="N26" s="55" t="s">
        <v>319</v>
      </c>
      <c r="O26" s="55" t="s">
        <v>319</v>
      </c>
      <c r="P26" s="55" t="s">
        <v>319</v>
      </c>
      <c r="Q26" s="2"/>
      <c r="R26" s="2"/>
    </row>
    <row r="27" spans="1:18" ht="20.100000000000001" customHeight="1" x14ac:dyDescent="0.25">
      <c r="D27" s="55" t="str">
        <f>'Input - Feedlot'!$D$38</f>
        <v>Anaerobic lagoon</v>
      </c>
      <c r="E27" s="55">
        <f>'4.1.1.3-4 Direct N20'!$E$129</f>
        <v>1435.2758784000005</v>
      </c>
      <c r="F27" s="55">
        <f>'4.1.1.3-4 Direct N20'!$F$129</f>
        <v>50.687078400000004</v>
      </c>
      <c r="G27" s="55">
        <f>'4.1.1.3-4 Direct N20'!$G$129</f>
        <v>73.20959999999998</v>
      </c>
      <c r="H27" s="2"/>
      <c r="I27" s="2"/>
      <c r="M27" s="55" t="str">
        <f>'Input - Feedlot'!$D$38</f>
        <v>Anaerobic lagoon</v>
      </c>
      <c r="N27" s="55">
        <f>'4.1.1.3-4 Direct N20'!$P$129</f>
        <v>1435.2758784000005</v>
      </c>
      <c r="O27" s="55">
        <f>'4.1.1.3-4 Direct N20'!$Q$129</f>
        <v>50.687078400000004</v>
      </c>
      <c r="P27" s="55">
        <f>'4.1.1.3-4 Direct N20'!$R$129</f>
        <v>73.20959999999998</v>
      </c>
      <c r="Q27" s="2"/>
      <c r="R27" s="2"/>
    </row>
    <row r="28" spans="1:18" ht="20.100000000000001" customHeight="1" x14ac:dyDescent="0.25"/>
    <row r="29" spans="1:18" ht="20.100000000000001" customHeight="1" x14ac:dyDescent="0.25">
      <c r="D29" s="104" t="s">
        <v>232</v>
      </c>
    </row>
    <row r="30" spans="1:18" ht="20.100000000000001" customHeight="1" x14ac:dyDescent="0.25">
      <c r="D30" s="103" t="s">
        <v>234</v>
      </c>
    </row>
    <row r="31" spans="1:18" ht="20.100000000000001" customHeight="1" x14ac:dyDescent="0.25">
      <c r="D31" s="116" t="s">
        <v>67</v>
      </c>
      <c r="E31" s="116" t="s">
        <v>174</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265</v>
      </c>
      <c r="M37" s="104" t="s">
        <v>265</v>
      </c>
    </row>
    <row r="38" spans="3:19" ht="20.100000000000001" customHeight="1" x14ac:dyDescent="0.25">
      <c r="D38" s="103" t="s">
        <v>266</v>
      </c>
      <c r="M38" s="103" t="s">
        <v>266</v>
      </c>
    </row>
    <row r="39" spans="3:19" ht="20.100000000000001" customHeight="1" x14ac:dyDescent="0.25">
      <c r="D39" s="116" t="s">
        <v>67</v>
      </c>
      <c r="E39" s="54" t="s">
        <v>140</v>
      </c>
      <c r="F39" s="54" t="s">
        <v>141</v>
      </c>
      <c r="G39" s="54" t="s">
        <v>142</v>
      </c>
      <c r="M39" s="116" t="s">
        <v>67</v>
      </c>
      <c r="N39" s="54" t="s">
        <v>140</v>
      </c>
      <c r="O39" s="54" t="s">
        <v>141</v>
      </c>
      <c r="P39" s="54" t="s">
        <v>142</v>
      </c>
    </row>
    <row r="40" spans="3:19" ht="20.100000000000001" customHeight="1" x14ac:dyDescent="0.25">
      <c r="D40" s="55" t="str">
        <f>'Input - Feedlot'!$D$28</f>
        <v>Drylot (feed pad)</v>
      </c>
      <c r="E40" s="55" cm="1">
        <f t="array" ref="E40">MMS_Feedlot_AtmosphericDeposition_Equations.VEERG_4_1_1_5__2_VolatilisedNitrogenFromManureManagement(E23,$E32)</f>
        <v>43058.276352000015</v>
      </c>
      <c r="F40" s="55" cm="1">
        <f t="array" ref="F40">MMS_Feedlot_AtmosphericDeposition_Equations.VEERG_4_1_1_5__2_VolatilisedNitrogenFromManureManagement(F23,$E32)</f>
        <v>1520.6123519999999</v>
      </c>
      <c r="G40" s="55" cm="1">
        <f t="array" ref="G40">MMS_Feedlot_AtmosphericDeposition_Equations.VEERG_4_1_1_5__2_VolatilisedNitrogenFromManureManagement(G23,$E32)</f>
        <v>2196.2879999999996</v>
      </c>
      <c r="H40" s="2" t="str">
        <f>$E$12</f>
        <v>kg N</v>
      </c>
      <c r="I40" s="2"/>
      <c r="M40" s="55" t="str">
        <f>'Input - Feedlot'!$D$28</f>
        <v>Drylot (feed pad)</v>
      </c>
      <c r="N40" s="55" cm="1">
        <f t="array" ref="N40">MMS_Feedlot_AtmosphericDeposition_Equations.VEERG_4_1_1_5__2_VolatilisedNitrogenFromManureManagement(N23,$E32)</f>
        <v>43058.276352000015</v>
      </c>
      <c r="O40" s="55" cm="1">
        <f t="array" ref="O40">MMS_Feedlot_AtmosphericDeposition_Equations.VEERG_4_1_1_5__2_VolatilisedNitrogenFromManureManagement(O23,$E32)</f>
        <v>1520.6123519999999</v>
      </c>
      <c r="P40" s="55" cm="1">
        <f t="array" ref="P40">MMS_Feedlot_AtmosphericDeposition_Equations.VEERG_4_1_1_5__2_VolatilisedNitrogenFromManureManagement(P23,$E32)</f>
        <v>2196.2879999999996</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1344.1358601216007</v>
      </c>
      <c r="F41" s="55" cm="1">
        <f t="array" ref="F41">MMS_Feedlot_AtmosphericDeposition_Equations.VEERG_4_1_1_5__2_VolatilisedNitrogenFromManureManagement(F24,$E33)</f>
        <v>47.4684489216</v>
      </c>
      <c r="G41" s="55" cm="1">
        <f t="array" ref="G41">MMS_Feedlot_AtmosphericDeposition_Equations.VEERG_4_1_1_5__2_VolatilisedNitrogenFromManureManagement(G24,$E33)</f>
        <v>68.560790399999988</v>
      </c>
      <c r="H41" s="2"/>
      <c r="I41" s="2"/>
      <c r="M41" s="55" t="str">
        <f>'Input - Feedlot'!$D$32</f>
        <v>Solid storage</v>
      </c>
      <c r="N41" s="55" cm="1">
        <f t="array" ref="N41">MMS_Feedlot_AtmosphericDeposition_Equations.VEERG_4_1_1_5__2_VolatilisedNitrogenFromManureManagement(N24,$E33)</f>
        <v>1344.1358601216007</v>
      </c>
      <c r="O41" s="55" cm="1">
        <f t="array" ref="O41">MMS_Feedlot_AtmosphericDeposition_Equations.VEERG_4_1_1_5__2_VolatilisedNitrogenFromManureManagement(O24,$E33)</f>
        <v>47.4684489216</v>
      </c>
      <c r="P41" s="55" cm="1">
        <f t="array" ref="P41">MMS_Feedlot_AtmosphericDeposition_Equations.VEERG_4_1_1_5__2_VolatilisedNitrogenFromManureManagement(P24,$E33)</f>
        <v>68.560790399999988</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2150.6173761945611</v>
      </c>
      <c r="F42" s="55" cm="1">
        <f t="array" ref="F42">MMS_Feedlot_AtmosphericDeposition_Equations.VEERG_4_1_1_5__2_VolatilisedNitrogenFromManureManagement(F25,$E34)</f>
        <v>75.949518274560006</v>
      </c>
      <c r="G42" s="55" cm="1">
        <f t="array" ref="G42">MMS_Feedlot_AtmosphericDeposition_Equations.VEERG_4_1_1_5__2_VolatilisedNitrogenFromManureManagement(G25,$E34)</f>
        <v>109.69726463999999</v>
      </c>
      <c r="H42" s="2"/>
      <c r="I42" s="2"/>
      <c r="M42" s="55" t="str">
        <f>'Input - Feedlot'!$D$33</f>
        <v>Composting (passive windrow)</v>
      </c>
      <c r="N42" s="55" cm="1">
        <f t="array" ref="N42">MMS_Feedlot_AtmosphericDeposition_Equations.VEERG_4_1_1_5__2_VolatilisedNitrogenFromManureManagement(N25,$E34)</f>
        <v>2150.6173761945611</v>
      </c>
      <c r="O42" s="55" cm="1">
        <f t="array" ref="O42">MMS_Feedlot_AtmosphericDeposition_Equations.VEERG_4_1_1_5__2_VolatilisedNitrogenFromManureManagement(O25,$E34)</f>
        <v>75.949518274560006</v>
      </c>
      <c r="P42" s="55" cm="1">
        <f t="array" ref="P42">MMS_Feedlot_AtmosphericDeposition_Equations.VEERG_4_1_1_5__2_VolatilisedNitrogenFromManureManagement(P25,$E34)</f>
        <v>109.69726463999999</v>
      </c>
    </row>
    <row r="43" spans="3:19" ht="20.100000000000001" customHeight="1" x14ac:dyDescent="0.25">
      <c r="D43" s="55" t="str">
        <f>'Input - Feedlot'!$D$34</f>
        <v>Direct application</v>
      </c>
      <c r="E43" s="55" t="s">
        <v>319</v>
      </c>
      <c r="F43" s="55" t="s">
        <v>319</v>
      </c>
      <c r="G43" s="55" t="s">
        <v>319</v>
      </c>
      <c r="H43" s="2"/>
      <c r="I43" s="2"/>
      <c r="M43" s="55" t="str">
        <f>'Input - Feedlot'!$D$34</f>
        <v>Direct application</v>
      </c>
      <c r="N43" s="55" t="s">
        <v>319</v>
      </c>
      <c r="O43" s="55" t="s">
        <v>319</v>
      </c>
      <c r="P43" s="55" t="s">
        <v>319</v>
      </c>
    </row>
    <row r="44" spans="3:19" ht="20.100000000000001" customHeight="1" x14ac:dyDescent="0.25">
      <c r="D44" s="55" t="str">
        <f>'Input - Feedlot'!$D$38</f>
        <v>Anaerobic lagoon</v>
      </c>
      <c r="E44" s="55" cm="1">
        <f t="array" ref="E44">MMS_Feedlot_AtmosphericDeposition_Equations.VEERG_4_1_1_5__2_VolatilisedNitrogenFromManureManagement(E27,$E35)</f>
        <v>502.34655744000014</v>
      </c>
      <c r="F44" s="55" cm="1">
        <f t="array" ref="F44">MMS_Feedlot_AtmosphericDeposition_Equations.VEERG_4_1_1_5__2_VolatilisedNitrogenFromManureManagement(F27,$E35)</f>
        <v>17.740477439999999</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502.34655744000014</v>
      </c>
      <c r="O44" s="55" cm="1">
        <f t="array" ref="O44">MMS_Feedlot_AtmosphericDeposition_Equations.VEERG_4_1_1_5__2_VolatilisedNitrogenFromManureManagement(O27,$E35)</f>
        <v>17.740477439999999</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3" t="s">
        <v>269</v>
      </c>
      <c r="E46" s="48">
        <f>SUM(E40:G44)</f>
        <v>51117.316357432333</v>
      </c>
      <c r="F46" s="121" t="str">
        <f>$E$12</f>
        <v>kg N</v>
      </c>
      <c r="M46" s="123" t="s">
        <v>269</v>
      </c>
      <c r="N46" s="48">
        <f>SUM(N40:P44)</f>
        <v>51117.316357432333</v>
      </c>
      <c r="O46" s="121" t="str">
        <f>$E$12</f>
        <v>kg N</v>
      </c>
    </row>
    <row r="47" spans="3:19" ht="20.100000000000001" customHeight="1" x14ac:dyDescent="0.25"/>
    <row r="48" spans="3:19" ht="20.100000000000001" customHeight="1" x14ac:dyDescent="0.25">
      <c r="C48" s="122"/>
      <c r="D48" s="122"/>
      <c r="E48" s="122"/>
      <c r="F48" s="122"/>
      <c r="G48" s="122"/>
      <c r="H48" s="122"/>
      <c r="I48" s="122"/>
      <c r="J48" s="122"/>
      <c r="L48" s="122"/>
      <c r="M48" s="122"/>
      <c r="N48" s="122"/>
      <c r="O48" s="122"/>
      <c r="P48" s="122"/>
      <c r="Q48" s="122"/>
      <c r="R48" s="122"/>
      <c r="S48" s="122"/>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26</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29</v>
      </c>
      <c r="E55" s="1" t="str" cm="1">
        <f t="array" ref="E55">MMS_Feedlot_AtmosphericDeposition_Equations.VEERG_4_1_1_5__1_TotalAnnualAtmosphericDepositionEmissions_Variable()</f>
        <v>E_N2Oad</v>
      </c>
    </row>
    <row r="56" spans="4:18" ht="20.100000000000001" customHeight="1" x14ac:dyDescent="0.25">
      <c r="D56" s="56" t="s">
        <v>19</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9" t="str" cm="1">
        <f t="array" ref="D58:E63">_xlfn.CHOOSECOLS(MMS_Feedlot_AtmosphericDeposition_Equations.VEERG_4_1_1_5__1_TotalAnnualAtmosphericDepositionEmissions_Arguments(),1,2)</f>
        <v>MMS_ATMOS</v>
      </c>
      <c r="E58" s="142" t="str">
        <v>mass of N volatilised from MMS</v>
      </c>
      <c r="F58" s="141"/>
      <c r="G58" s="139" t="str" cm="1">
        <f t="array" ref="G58:H63">_xlfn.CHOOSECOLS(MMS_Feedlot_AtmosphericDeposition_Equations.VEERG_4_1_1_5__1_TotalAnnualAtmosphericDepositionEmissions_Arguments(),3,4)</f>
        <v>kg N</v>
      </c>
      <c r="H58" s="131" t="str">
        <v>Calculated from 4.1.1.5 (2)</v>
      </c>
      <c r="I58" s="139">
        <f>$E$46</f>
        <v>51117.316357432333</v>
      </c>
      <c r="M58" s="139" t="str" cm="1">
        <f t="array" ref="M58:N63">_xlfn.CHOOSECOLS(MMS_Feedlot_AtmosphericDeposition_Equations.VEERG_4_1_1_5__1_TotalAnnualAtmosphericDepositionEmissions_Arguments(),1,2)</f>
        <v>MMS_ATMOS</v>
      </c>
      <c r="N58" s="142" t="str">
        <v>mass of N volatilised from MMS</v>
      </c>
      <c r="O58" s="141"/>
      <c r="P58" s="139" t="str" cm="1">
        <f t="array" ref="P58:Q63">_xlfn.CHOOSECOLS(MMS_Feedlot_AtmosphericDeposition_Equations.VEERG_4_1_1_5__1_TotalAnnualAtmosphericDepositionEmissions_Arguments(),3,4)</f>
        <v>kg N</v>
      </c>
      <c r="Q58" s="131" t="str">
        <v>Calculated from 4.1.1.5 (2)</v>
      </c>
      <c r="R58" s="60">
        <f>$N$46</f>
        <v>51117.316357432333</v>
      </c>
    </row>
    <row r="59" spans="4:18" ht="20.100000000000001" customHeight="1" x14ac:dyDescent="0.25">
      <c r="D59" s="139" t="str">
        <v>EF_N2O</v>
      </c>
      <c r="E59" s="142" t="str">
        <v>nitrous oxide emission factor for atmospheric deposition</v>
      </c>
      <c r="F59" s="141"/>
      <c r="G59" s="139" t="str">
        <v>kg N2O-N/kg N</v>
      </c>
      <c r="H59" s="131" t="str">
        <v>Constant</v>
      </c>
      <c r="I59" s="139">
        <f>Common_InputFunctions.Utility_LookupN2OEFFromProdIrrigationRainfall($I$61,$I$62,$I$63,Table_SourceData_Common_EFN2O[Production system only],Table_SourceData_Common_EFN2O[Irrigation method],Table_SourceData_Common_EFN2O[Rainfall zone],Table_SourceData_Common_EFN2O[EFN2O])</f>
        <v>1.8E-3</v>
      </c>
      <c r="M59" s="139" t="str">
        <v>EF_N2O</v>
      </c>
      <c r="N59" s="142" t="str">
        <v>nitrous oxide emission factor for atmospheric deposition</v>
      </c>
      <c r="O59" s="141"/>
      <c r="P59" s="139" t="str">
        <v>kg N2O-N/kg N</v>
      </c>
      <c r="Q59" s="131" t="str">
        <v>Constant</v>
      </c>
      <c r="R59" s="60"/>
    </row>
    <row r="60" spans="4:18" ht="20.100000000000001" customHeight="1" x14ac:dyDescent="0.25">
      <c r="D60" s="139" t="str">
        <v>C_N2O</v>
      </c>
      <c r="E60" s="142" t="str">
        <v>factor to convert elemental mass of nitrous oxide to molecular mass</v>
      </c>
      <c r="F60" s="141"/>
      <c r="G60" s="139" t="str">
        <v/>
      </c>
      <c r="H60" s="131" t="str">
        <v>Constant</v>
      </c>
      <c r="I60" s="139">
        <f>Common_InputFunctions.Utility_LookupValueInTableNumber("N2O",Table_GasToMolecularConversionFactor[Gas],Table_GasToMolecularConversionFactor[Conversion factor combined])</f>
        <v>1.5714285714285714</v>
      </c>
      <c r="M60" s="139" t="str">
        <v>C_N2O</v>
      </c>
      <c r="N60" s="142" t="str">
        <v>factor to convert elemental mass of nitrous oxide to molecular mass</v>
      </c>
      <c r="O60" s="141"/>
      <c r="P60" s="139" t="str">
        <v/>
      </c>
      <c r="Q60" s="131" t="str">
        <v>Constant</v>
      </c>
      <c r="R60" s="60"/>
    </row>
    <row r="61" spans="4:18" ht="20.100000000000001" customHeight="1" x14ac:dyDescent="0.25">
      <c r="D61" s="139" t="str">
        <v>j</v>
      </c>
      <c r="E61" s="142" t="str">
        <v>production system</v>
      </c>
      <c r="F61" s="141"/>
      <c r="G61" s="139" t="str">
        <v/>
      </c>
      <c r="H61" s="130" t="str">
        <v>Input</v>
      </c>
      <c r="I61" s="139" t="str">
        <f>'Input - Feedlot'!$E$41</f>
        <v>Pasture</v>
      </c>
      <c r="M61" s="139" t="str">
        <v>j</v>
      </c>
      <c r="N61" s="142" t="str">
        <v>production system</v>
      </c>
      <c r="O61" s="141"/>
      <c r="P61" s="139" t="str">
        <v/>
      </c>
      <c r="Q61" s="130" t="str">
        <v>Input</v>
      </c>
      <c r="R61" s="60"/>
    </row>
    <row r="62" spans="4:18" ht="20.100000000000001" customHeight="1" x14ac:dyDescent="0.25">
      <c r="D62" s="139" t="str">
        <v>i</v>
      </c>
      <c r="E62" s="142" t="str">
        <v>irrigation method</v>
      </c>
      <c r="F62" s="141"/>
      <c r="G62" s="139" t="str">
        <v/>
      </c>
      <c r="H62" s="130" t="str">
        <v>Input</v>
      </c>
      <c r="I62" s="139" t="str">
        <f>'Input - Feedlot'!$E$42</f>
        <v>Not irrigated</v>
      </c>
      <c r="M62" s="139" t="str">
        <v>i</v>
      </c>
      <c r="N62" s="142" t="str">
        <v>irrigation method</v>
      </c>
      <c r="O62" s="141"/>
      <c r="P62" s="139" t="str">
        <v/>
      </c>
      <c r="Q62" s="130" t="str">
        <v>Input</v>
      </c>
      <c r="R62" s="60"/>
    </row>
    <row r="63" spans="4:18" ht="20.100000000000001" customHeight="1" x14ac:dyDescent="0.25">
      <c r="D63" s="139" t="str">
        <v>r</v>
      </c>
      <c r="E63" s="142" t="str">
        <v>rainfall zone</v>
      </c>
      <c r="F63" s="141"/>
      <c r="G63" s="139" t="str">
        <v/>
      </c>
      <c r="H63" s="130" t="str">
        <v>Input</v>
      </c>
      <c r="I63" s="139" t="str">
        <f>'Input - Site'!$E$30</f>
        <v>High rainfall</v>
      </c>
      <c r="M63" s="139" t="str">
        <v>r</v>
      </c>
      <c r="N63" s="142" t="str">
        <v>rainfall zone</v>
      </c>
      <c r="O63" s="141"/>
      <c r="P63" s="139" t="str">
        <v/>
      </c>
      <c r="Q63" s="130" t="str">
        <v>Input</v>
      </c>
      <c r="R63" s="60"/>
    </row>
    <row r="64" spans="4:18" ht="20.100000000000001" customHeight="1" x14ac:dyDescent="0.25"/>
    <row r="65" spans="4:16" ht="20.100000000000001" customHeight="1" x14ac:dyDescent="0.25">
      <c r="D65" s="108" t="s">
        <v>283</v>
      </c>
      <c r="E65" s="109" cm="1">
        <f t="array" ref="E65">MMS_Feedlot_AtmosphericDeposition_Equations.VEERG_4_1_1_5__1_TotalAnnualAtmosphericDepositionEmissions(I58,I59,I60)</f>
        <v>0.14458898055388003</v>
      </c>
      <c r="F65" s="110" t="str">
        <f>$E$56</f>
        <v>t N2O</v>
      </c>
      <c r="M65" s="108" t="s">
        <v>283</v>
      </c>
      <c r="N65" s="109" cm="1">
        <f t="array" ref="N65">MMS_Feedlot_AtmosphericDeposition_Equations.VEERG_4_1_1_5__1_TotalAnnualAtmosphericDepositionEmissions(R58,I59,I60)</f>
        <v>0.14458898055388003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0.14458898055388003</v>
      </c>
      <c r="M67" s="60" t="str" cm="1">
        <f t="array" ref="M67:N68">Common_Equations.Common_ConvertN2OToCO2e_Arguments()</f>
        <v>EN2O</v>
      </c>
      <c r="N67" s="61" t="str">
        <v>Nitrous oxide emissions (t N2O)</v>
      </c>
      <c r="O67" s="111"/>
      <c r="P67" s="55">
        <f>N65</f>
        <v>0.14458898055388003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129</v>
      </c>
      <c r="E70" s="48" cm="1">
        <f t="array" ref="E70">Common_Equations.Common_ConvertN2OToCO2e(G67,G68)</f>
        <v>38.316079846778209</v>
      </c>
      <c r="F70" s="112" t="str" cm="1">
        <f t="array" ref="F70">Common_Equations.Common_ConvertN2OToCO2e_Unit()</f>
        <v>t CO2e</v>
      </c>
      <c r="M70" s="48" t="s">
        <v>129</v>
      </c>
      <c r="N70" s="48" cm="1">
        <f t="array" ref="N70">Common_Equations.Common_ConvertN2OToCO2e(P67,P68)</f>
        <v>38.316079846778209</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229</v>
      </c>
    </row>
    <row r="2" spans="1:19" s="9" customFormat="1" ht="20.100000000000001" customHeight="1" x14ac:dyDescent="0.25"/>
    <row r="3" spans="1:19" ht="20.100000000000001" customHeight="1" x14ac:dyDescent="0.25">
      <c r="A3" s="17" t="str">
        <f>HYPERLINK("#'Home'!A1", "Home")</f>
        <v>Home</v>
      </c>
      <c r="C3" s="4"/>
      <c r="D3" s="4" t="s">
        <v>161</v>
      </c>
      <c r="E3" s="4"/>
      <c r="F3" s="4"/>
      <c r="G3" s="4"/>
      <c r="H3" s="4"/>
      <c r="I3" s="4"/>
      <c r="J3" s="4"/>
      <c r="K3" s="4"/>
      <c r="M3" s="4"/>
      <c r="N3" s="4" t="s">
        <v>162</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26</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76</v>
      </c>
      <c r="D11" s="56" t="s">
        <v>29</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19</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9" t="str" cm="1">
        <f t="array" ref="D14:E17">_xlfn.CHOOSECOLS(MMS_Feedlot_ManureAppliedToSoils_Equations.VEERG_4_1_1_9__1_MassOfNitrogenAppliedToSoilsScope1_Arguments(),1,2)</f>
        <v>MN_jmT23</v>
      </c>
      <c r="E14" s="142" t="str">
        <v>mass of N in secondary and tertiary treatment MMS stages as calculated for manure management</v>
      </c>
      <c r="F14" s="143"/>
      <c r="G14" s="141"/>
      <c r="H14" s="139" t="str" cm="1">
        <f t="array" ref="H14:I17">_xlfn.CHOOSECOLS(MMS_Feedlot_ManureAppliedToSoils_Equations.VEERG_4_1_1_9__1_MassOfNitrogenAppliedToSoilsScope1_Arguments(),3,4)</f>
        <v>kg N</v>
      </c>
      <c r="I14" s="131" t="str">
        <v>Calculated from 4.1.1.3 (6)(8)</v>
      </c>
      <c r="J14" s="140"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9" t="str">
        <v>EF_mT23</v>
      </c>
      <c r="E15" s="142" t="str">
        <v>nitrous oxide emission factor for each MMS</v>
      </c>
      <c r="F15" s="143"/>
      <c r="G15" s="141"/>
      <c r="H15" s="139" t="str">
        <v>kg N2O-N/kg N</v>
      </c>
      <c r="I15" s="131" t="str">
        <v>Constant</v>
      </c>
      <c r="J15" s="140" t="str" cm="1">
        <f t="array" aca="1" ref="J15" ca="1">HYPERLINK(Common_InputFunctions.Utility_SourceHyperlink($D$27),$D$27)</f>
        <v>Table_EF_j_m_T-2-3</v>
      </c>
    </row>
    <row r="16" spans="1:19" ht="20.100000000000001" customHeight="1" x14ac:dyDescent="0.25">
      <c r="D16" s="139" t="str">
        <v>FracGASM_mT23</v>
      </c>
      <c r="E16" s="142" t="str">
        <v>fraction of animal waste N volatilised in each MMS for each cattle group</v>
      </c>
      <c r="F16" s="143"/>
      <c r="G16" s="141"/>
      <c r="H16" s="139" t="str">
        <v>(kg NH3-N + NOx-N)/kg N</v>
      </c>
      <c r="I16" s="131" t="str">
        <v>Constant</v>
      </c>
      <c r="J16" s="140" t="str" cm="1">
        <f t="array" aca="1" ref="J16" ca="1">HYPERLINK(Common_InputFunctions.Utility_SourceHyperlink($D$36),$D$36)</f>
        <v>Table_FracGASM_m_T-2-3</v>
      </c>
    </row>
    <row r="17" spans="1:18" ht="20.100000000000001" customHeight="1" x14ac:dyDescent="0.25">
      <c r="A17" s="18" t="s">
        <v>4</v>
      </c>
      <c r="D17" s="139" t="str">
        <v>PF</v>
      </c>
      <c r="E17" s="142" t="str">
        <v>fraction of manure applied to soil within the feedlot boundary</v>
      </c>
      <c r="F17" s="143"/>
      <c r="G17" s="141"/>
      <c r="H17" s="139" t="str">
        <v>fraction</v>
      </c>
      <c r="I17" s="130" t="str">
        <v>Input</v>
      </c>
      <c r="J17" s="140"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231</v>
      </c>
      <c r="N19" s="104" t="s">
        <v>239</v>
      </c>
    </row>
    <row r="20" spans="1:18" ht="20.100000000000001" customHeight="1" x14ac:dyDescent="0.25">
      <c r="A20" s="17" t="str">
        <f>HYPERLINK("#'Constants - Common'!A1", "Constants - Common")</f>
        <v>Constants - Common</v>
      </c>
      <c r="D20" s="103" t="s">
        <v>241</v>
      </c>
      <c r="N20" s="103" t="s">
        <v>240</v>
      </c>
    </row>
    <row r="21" spans="1:18" ht="20.100000000000001" customHeight="1" x14ac:dyDescent="0.25">
      <c r="A21" s="17" t="str">
        <f>HYPERLINK("#'Acknowledgements'!A1", "Acknowledgements")</f>
        <v>Acknowledgements</v>
      </c>
      <c r="D21" s="54" t="s">
        <v>67</v>
      </c>
      <c r="E21" s="54" t="s">
        <v>140</v>
      </c>
      <c r="F21" s="54" t="s">
        <v>141</v>
      </c>
      <c r="G21" s="54" t="s">
        <v>142</v>
      </c>
      <c r="N21" s="54" t="s">
        <v>67</v>
      </c>
      <c r="O21" s="54" t="s">
        <v>140</v>
      </c>
      <c r="P21" s="54" t="s">
        <v>141</v>
      </c>
      <c r="Q21" s="54" t="s">
        <v>142</v>
      </c>
    </row>
    <row r="22" spans="1:18" ht="20.100000000000001" customHeight="1" x14ac:dyDescent="0.25">
      <c r="D22" s="55" t="str">
        <f>'Input - Feedlot'!$D$32</f>
        <v>Solid storage</v>
      </c>
      <c r="E22" s="55">
        <f>'4.1.1.3-4 Direct N20'!$E$174</f>
        <v>5376.5434404864027</v>
      </c>
      <c r="F22" s="55">
        <f>'4.1.1.3-4 Direct N20'!$F$174</f>
        <v>189.8737956864</v>
      </c>
      <c r="G22" s="55">
        <f>'4.1.1.3-4 Direct N20'!$G$174</f>
        <v>274.24316159999995</v>
      </c>
      <c r="H22" s="2" t="s">
        <v>230</v>
      </c>
      <c r="I22" s="2"/>
      <c r="J22" s="2"/>
      <c r="N22" s="55" t="str">
        <f>'Input - Feedlot'!$D$32</f>
        <v>Solid storage</v>
      </c>
      <c r="O22" s="55">
        <f>'4.1.1.3-4 Direct N20'!$P$174</f>
        <v>5376.5434404864027</v>
      </c>
      <c r="P22" s="55">
        <f>'4.1.1.3-4 Direct N20'!$Q$174</f>
        <v>189.8737956864</v>
      </c>
      <c r="Q22" s="55">
        <f>'4.1.1.3-4 Direct N20'!$R$174</f>
        <v>274.24316159999995</v>
      </c>
      <c r="R22" s="2" t="s">
        <v>230</v>
      </c>
    </row>
    <row r="23" spans="1:18" ht="20.100000000000001" customHeight="1" x14ac:dyDescent="0.25">
      <c r="D23" s="55" t="str">
        <f>'Input - Feedlot'!$D$33</f>
        <v>Composting (passive windrow)</v>
      </c>
      <c r="E23" s="55">
        <f>'4.1.1.3-4 Direct N20'!$E$175</f>
        <v>5376.5434404864027</v>
      </c>
      <c r="F23" s="55">
        <f>'4.1.1.3-4 Direct N20'!$F$175</f>
        <v>189.8737956864</v>
      </c>
      <c r="G23" s="55">
        <f>'4.1.1.3-4 Direct N20'!$G$175</f>
        <v>274.24316159999995</v>
      </c>
      <c r="H23" s="2" t="s">
        <v>230</v>
      </c>
      <c r="I23" s="2"/>
      <c r="J23" s="2"/>
      <c r="N23" s="55" t="str">
        <f>'Input - Feedlot'!$D$33</f>
        <v>Composting (passive windrow)</v>
      </c>
      <c r="O23" s="55">
        <f>'4.1.1.3-4 Direct N20'!$P$175</f>
        <v>5376.5434404864027</v>
      </c>
      <c r="P23" s="55">
        <f>'4.1.1.3-4 Direct N20'!$Q$175</f>
        <v>189.8737956864</v>
      </c>
      <c r="Q23" s="55">
        <f>'4.1.1.3-4 Direct N20'!$R$175</f>
        <v>274.24316159999995</v>
      </c>
      <c r="R23" s="2" t="s">
        <v>230</v>
      </c>
    </row>
    <row r="24" spans="1:18" ht="20.100000000000001" customHeight="1" x14ac:dyDescent="0.25">
      <c r="A24" s="17"/>
      <c r="D24" s="55" t="str">
        <f>'Input - Feedlot'!$D$34</f>
        <v>Direct application</v>
      </c>
      <c r="E24" s="55">
        <f>'4.1.1.3-4 Direct N20'!$E$176</f>
        <v>16129.630321459204</v>
      </c>
      <c r="F24" s="55">
        <f>'4.1.1.3-4 Direct N20'!$F$176</f>
        <v>569.62138705919995</v>
      </c>
      <c r="G24" s="55">
        <f>'4.1.1.3-4 Direct N20'!$G$176</f>
        <v>822.7294847999998</v>
      </c>
      <c r="N24" s="55" t="str">
        <f>'Input - Feedlot'!$D$34</f>
        <v>Direct application</v>
      </c>
      <c r="O24" s="55">
        <f>'4.1.1.3-4 Direct N20'!$P$176</f>
        <v>16129.630321459204</v>
      </c>
      <c r="P24" s="55">
        <f>'4.1.1.3-4 Direct N20'!$Q$176</f>
        <v>569.62138705919995</v>
      </c>
      <c r="Q24" s="55">
        <f>'4.1.1.3-4 Direct N20'!$R$176</f>
        <v>822.7294847999998</v>
      </c>
      <c r="R24" s="2" t="s">
        <v>230</v>
      </c>
    </row>
    <row r="25" spans="1:18" ht="20.100000000000001" customHeight="1" x14ac:dyDescent="0.25">
      <c r="A25" s="17"/>
      <c r="D25" s="55" t="str">
        <f>'Input - Feedlot'!$D$38</f>
        <v>Anaerobic lagoon</v>
      </c>
      <c r="E25" s="55">
        <f>'4.1.1.3-4 Direct N20'!$E$129</f>
        <v>1435.2758784000005</v>
      </c>
      <c r="F25" s="55">
        <f>'4.1.1.3-4 Direct N20'!$F$129</f>
        <v>50.687078400000004</v>
      </c>
      <c r="G25" s="55">
        <f>'4.1.1.3-4 Direct N20'!$G$129</f>
        <v>73.20959999999998</v>
      </c>
      <c r="H25" s="2" t="s">
        <v>230</v>
      </c>
      <c r="I25" s="2"/>
      <c r="J25" s="2"/>
      <c r="N25" s="55" t="str">
        <f>'Input - Feedlot'!$D$38</f>
        <v>Anaerobic lagoon</v>
      </c>
      <c r="O25" s="55">
        <f>'4.1.1.3-4 Direct N20'!$P$129</f>
        <v>1435.2758784000005</v>
      </c>
      <c r="P25" s="55">
        <f>'4.1.1.3-4 Direct N20'!$Q$129</f>
        <v>50.687078400000004</v>
      </c>
      <c r="Q25" s="55">
        <f>'4.1.1.3-4 Direct N20'!$R$129</f>
        <v>73.20959999999998</v>
      </c>
      <c r="R25" s="2" t="s">
        <v>230</v>
      </c>
    </row>
    <row r="26" spans="1:18" ht="20.100000000000001" customHeight="1" x14ac:dyDescent="0.25"/>
    <row r="27" spans="1:18" ht="20.100000000000001" customHeight="1" x14ac:dyDescent="0.25">
      <c r="D27" s="104" t="s">
        <v>233</v>
      </c>
    </row>
    <row r="28" spans="1:18" ht="20.100000000000001" customHeight="1" x14ac:dyDescent="0.25">
      <c r="D28" s="103" t="s">
        <v>173</v>
      </c>
    </row>
    <row r="29" spans="1:18" ht="20.100000000000001" customHeight="1" x14ac:dyDescent="0.25">
      <c r="D29" s="116" t="s">
        <v>67</v>
      </c>
      <c r="E29" s="116" t="s">
        <v>174</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237</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237</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237</v>
      </c>
    </row>
    <row r="33" spans="4:10" ht="20.100000000000001" customHeight="1" x14ac:dyDescent="0.25">
      <c r="D33" s="55" t="s">
        <v>320</v>
      </c>
      <c r="E33" s="55">
        <f>_xlfn.XLOOKUP($D$33, Table_SourceData_Feedlot_NO2EFs[NIR definition], Table_SourceData_Feedlot_NO2EFs[EF mT])</f>
        <v>0</v>
      </c>
      <c r="F33" s="2" t="s">
        <v>237</v>
      </c>
    </row>
    <row r="34" spans="4:10" ht="20.100000000000001" customHeight="1" x14ac:dyDescent="0.25">
      <c r="D34" s="55" t="str">
        <f>'Input - Feedlot'!$D$38</f>
        <v>Anaerobic lagoon</v>
      </c>
      <c r="E34" s="55">
        <f>_xlfn.XLOOKUP($D$34, Table_SourceData_Feedlot_NO2EFs[NIR definition], Table_SourceData_Feedlot_NO2EFs[EF mT])</f>
        <v>0</v>
      </c>
      <c r="F34" s="2" t="s">
        <v>237</v>
      </c>
    </row>
    <row r="35" spans="4:10" ht="20.100000000000001" customHeight="1" x14ac:dyDescent="0.25"/>
    <row r="36" spans="4:10" ht="20.100000000000001" customHeight="1" x14ac:dyDescent="0.25">
      <c r="D36" s="104" t="s">
        <v>232</v>
      </c>
    </row>
    <row r="37" spans="4:10" ht="20.100000000000001" customHeight="1" x14ac:dyDescent="0.25">
      <c r="D37" s="103" t="s">
        <v>234</v>
      </c>
    </row>
    <row r="38" spans="4:10" ht="20.100000000000001" customHeight="1" x14ac:dyDescent="0.25">
      <c r="D38" s="116" t="s">
        <v>67</v>
      </c>
      <c r="E38" s="116" t="s">
        <v>174</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238</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238</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238</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238</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238</v>
      </c>
    </row>
    <row r="44" spans="4:10" ht="20.100000000000001" customHeight="1" x14ac:dyDescent="0.25"/>
    <row r="45" spans="4:10" ht="20.100000000000001" customHeight="1" x14ac:dyDescent="0.25">
      <c r="D45" s="104" t="s">
        <v>235</v>
      </c>
    </row>
    <row r="46" spans="4:10" ht="20.100000000000001" customHeight="1" x14ac:dyDescent="0.25">
      <c r="D46" s="103" t="s">
        <v>236</v>
      </c>
    </row>
    <row r="47" spans="4:10" ht="20.100000000000001" customHeight="1" x14ac:dyDescent="0.25">
      <c r="D47" s="65" t="s">
        <v>67</v>
      </c>
      <c r="E47" s="65" t="s">
        <v>326</v>
      </c>
    </row>
    <row r="48" spans="4:10" ht="20.100000000000001" customHeight="1" x14ac:dyDescent="0.25">
      <c r="D48" s="55" t="str">
        <f>'Input - Feedlot'!$D$32</f>
        <v>Solid storage</v>
      </c>
      <c r="E48" s="55">
        <f>'Input - Feedlot'!J32+'Input - Feedlot'!K32</f>
        <v>0.75</v>
      </c>
      <c r="F48" s="2" t="s">
        <v>328</v>
      </c>
      <c r="H48" s="2"/>
      <c r="I48" s="2"/>
      <c r="J48" s="2"/>
    </row>
    <row r="49" spans="3:19" ht="20.100000000000001" customHeight="1" x14ac:dyDescent="0.25">
      <c r="D49" s="55" t="str">
        <f>'Input - Feedlot'!$D$33</f>
        <v>Composting (passive windrow)</v>
      </c>
      <c r="E49" s="55">
        <f>'Input - Feedlot'!J33+'Input - Feedlot'!K33</f>
        <v>0.75</v>
      </c>
      <c r="F49" s="2" t="s">
        <v>328</v>
      </c>
      <c r="H49" s="2"/>
      <c r="I49" s="2"/>
      <c r="J49" s="2"/>
    </row>
    <row r="50" spans="3:19" ht="20.100000000000001" customHeight="1" x14ac:dyDescent="0.25">
      <c r="D50" s="55" t="str">
        <f>'Input - Feedlot'!$D$34</f>
        <v>Direct application</v>
      </c>
      <c r="E50" s="55">
        <f>'Input - Feedlot'!J34+'Input - Feedlot'!K34</f>
        <v>1</v>
      </c>
      <c r="F50" s="2" t="s">
        <v>328</v>
      </c>
      <c r="H50" s="2"/>
      <c r="I50" s="2"/>
      <c r="J50" s="2"/>
    </row>
    <row r="51" spans="3:19" ht="20.100000000000001" customHeight="1" x14ac:dyDescent="0.25">
      <c r="D51" s="55" t="str">
        <f>'Input - Feedlot'!$D$38</f>
        <v>Anaerobic lagoon</v>
      </c>
      <c r="E51" s="55">
        <f>'Input - Feedlot'!J38+'Input - Feedlot'!K38</f>
        <v>0.75</v>
      </c>
      <c r="F51" s="2" t="s">
        <v>328</v>
      </c>
      <c r="H51" s="2"/>
      <c r="I51" s="2"/>
      <c r="J51" s="2"/>
    </row>
    <row r="52" spans="3:19" ht="20.100000000000001" customHeight="1" x14ac:dyDescent="0.25"/>
    <row r="53" spans="3:19" ht="20.100000000000001" customHeight="1" x14ac:dyDescent="0.25">
      <c r="D53" s="104" t="s">
        <v>242</v>
      </c>
      <c r="N53" s="104" t="s">
        <v>255</v>
      </c>
    </row>
    <row r="54" spans="3:19" ht="20.100000000000001" customHeight="1" x14ac:dyDescent="0.25">
      <c r="D54" s="103" t="s">
        <v>257</v>
      </c>
      <c r="N54" s="103" t="s">
        <v>256</v>
      </c>
    </row>
    <row r="55" spans="3:19" ht="20.100000000000001" customHeight="1" x14ac:dyDescent="0.25">
      <c r="D55" s="54" t="s">
        <v>67</v>
      </c>
      <c r="E55" s="54" t="s">
        <v>140</v>
      </c>
      <c r="F55" s="54" t="s">
        <v>141</v>
      </c>
      <c r="G55" s="54" t="s">
        <v>142</v>
      </c>
      <c r="N55" s="54" t="s">
        <v>67</v>
      </c>
      <c r="O55" s="54" t="s">
        <v>140</v>
      </c>
      <c r="P55" s="54" t="s">
        <v>141</v>
      </c>
      <c r="Q55" s="54" t="s">
        <v>142</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3004.1436473717777</v>
      </c>
      <c r="F56" s="55" cm="1">
        <f t="array" ref="F56">MMS_Feedlot_ManureAppliedToSoils_Equations.VEERG_4_1_1_9__1_MassOfNitrogenAppliedToSoilsScope1(F22,_xlfn.XLOOKUP($D56,$D$30:$D$34,$E$30:$E$34),_xlfn.XLOOKUP($D56,$D$39:$D$43,$E$39:$E$43),$E48)</f>
        <v>106.09198333977601</v>
      </c>
      <c r="G56" s="55" cm="1">
        <f t="array" ref="G56">MMS_Feedlot_ManureAppliedToSoils_Equations.VEERG_4_1_1_9__1_MassOfNitrogenAppliedToSoilsScope1(G22,_xlfn.XLOOKUP($D56,$D$30:$D$34,$E$30:$E$34),_xlfn.XLOOKUP($D56,$D$39:$D$43,$E$39:$E$43),$E48)</f>
        <v>153.23336654399998</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3004.1436473717777</v>
      </c>
      <c r="P56" s="55" cm="1">
        <f t="array" ref="P56">MMS_Feedlot_ManureAppliedToSoils_Equations.VEERG_4_1_1_9__1_MassOfNitrogenAppliedToSoilsScope1(P22,_xlfn.XLOOKUP($N56,$D$30:$D$34,$E$30:$E$34),_xlfn.XLOOKUP($N56,$D$39:$D$43,$E$39:$E$43),$E48)</f>
        <v>106.09198333977601</v>
      </c>
      <c r="Q56" s="55" cm="1">
        <f t="array" ref="Q56">MMS_Feedlot_ManureAppliedToSoils_Equations.VEERG_4_1_1_9__1_MassOfNitrogenAppliedToSoilsScope1(Q22,_xlfn.XLOOKUP($N56,$D$30:$D$34,$E$30:$E$34),_xlfn.XLOOKUP($N56,$D$39:$D$43,$E$39:$E$43),$E48)</f>
        <v>153.23336654399998</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2379.1204724152331</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2379.1204724152331</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16129.630321459204</v>
      </c>
      <c r="F58" s="55" cm="1">
        <f t="array" ref="F58">MMS_Feedlot_ManureAppliedToSoils_Equations.VEERG_4_1_1_9__1_MassOfNitrogenAppliedToSoilsScope1(F24,_xlfn.XLOOKUP($D58,$D$30:$D$34,$E$30:$E$34),_xlfn.XLOOKUP($D58,$D$39:$D$43,$E$39:$E$43),$E50)</f>
        <v>569.62138705919995</v>
      </c>
      <c r="G58" s="55" cm="1">
        <f t="array" ref="G58">MMS_Feedlot_ManureAppliedToSoils_Equations.VEERG_4_1_1_9__1_MassOfNitrogenAppliedToSoilsScope1(G24,_xlfn.XLOOKUP($D58,$D$30:$D$34,$E$30:$E$34),_xlfn.XLOOKUP($D58,$D$39:$D$43,$E$39:$E$43),$E50)</f>
        <v>822.7294847999998</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16129.630321459204</v>
      </c>
      <c r="P58" s="55" cm="1">
        <f t="array" ref="P58">MMS_Feedlot_ManureAppliedToSoils_Equations.VEERG_4_1_1_9__1_MassOfNitrogenAppliedToSoilsScope1(P24,_xlfn.XLOOKUP($N58,$D$30:$D$34,$E$30:$E$34),_xlfn.XLOOKUP($N58,$D$39:$D$43,$E$39:$E$43),$E50)</f>
        <v>569.62138705919995</v>
      </c>
      <c r="Q58" s="55" cm="1">
        <f t="array" ref="Q58">MMS_Feedlot_ManureAppliedToSoils_Equations.VEERG_4_1_1_9__1_MassOfNitrogenAppliedToSoilsScope1(Q24,_xlfn.XLOOKUP($N58,$D$30:$D$34,$E$30:$E$34),_xlfn.XLOOKUP($N58,$D$39:$D$43,$E$39:$E$43),$E50)</f>
        <v>822.7294847999998</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699.69699072000026</v>
      </c>
      <c r="F59" s="55" cm="1">
        <f t="array" ref="F59">MMS_Feedlot_ManureAppliedToSoils_Equations.VEERG_4_1_1_9__1_MassOfNitrogenAppliedToSoilsScope1(F25,_xlfn.XLOOKUP($D59,$D$30:$D$34,$E$30:$E$34),_xlfn.XLOOKUP($D59,$D$39:$D$43,$E$39:$E$43),$E51)</f>
        <v>24.709950720000002</v>
      </c>
      <c r="G59" s="55" cm="1">
        <f t="array" ref="G59">MMS_Feedlot_ManureAppliedToSoils_Equations.VEERG_4_1_1_9__1_MassOfNitrogenAppliedToSoilsScope1(G25,_xlfn.XLOOKUP($D59,$D$30:$D$34,$E$30:$E$34),_xlfn.XLOOKUP($D59,$D$39:$D$43,$E$39:$E$43),$E51)</f>
        <v>35.689679999999996</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699.69699072000026</v>
      </c>
      <c r="P59" s="55" cm="1">
        <f t="array" ref="P59">MMS_Feedlot_ManureAppliedToSoils_Equations.VEERG_4_1_1_9__1_MassOfNitrogenAppliedToSoilsScope1(P25,_xlfn.XLOOKUP($N59,$D$30:$D$34,$E$30:$E$34),_xlfn.XLOOKUP($N59,$D$39:$D$43,$E$39:$E$43),$E51)</f>
        <v>24.709950720000002</v>
      </c>
      <c r="Q59" s="55" cm="1">
        <f t="array" ref="Q59">MMS_Feedlot_ManureAppliedToSoils_Equations.VEERG_4_1_1_9__1_MassOfNitrogenAppliedToSoilsScope1(Q25,_xlfn.XLOOKUP($N59,$D$30:$D$34,$E$30:$E$34),_xlfn.XLOOKUP($N59,$D$39:$D$43,$E$39:$E$43),$E51)</f>
        <v>35.689679999999996</v>
      </c>
      <c r="R59" s="2" t="str">
        <f>$E$12</f>
        <v>kg N</v>
      </c>
    </row>
    <row r="60" spans="3:19" ht="20.100000000000001" customHeight="1" x14ac:dyDescent="0.25"/>
    <row r="61" spans="3:19" ht="20.100000000000001" customHeight="1" x14ac:dyDescent="0.25">
      <c r="D61" s="108" t="s">
        <v>243</v>
      </c>
      <c r="E61" s="109">
        <f>SUM(E56:G59)</f>
        <v>24130.039038028423</v>
      </c>
      <c r="F61" s="110" t="str">
        <f>$E$12</f>
        <v>kg N</v>
      </c>
      <c r="N61" s="108" t="s">
        <v>243</v>
      </c>
      <c r="O61" s="109">
        <f>SUM(O56:Q59)</f>
        <v>24130.039038028423</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26</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29</v>
      </c>
      <c r="E71" s="1" t="str" cm="1">
        <f t="array" ref="E71">MMS_Feedlot_ManureAppliedToSoils_Equations.VEERG_4_1_1_9__2_MassOfNitrogenAppliedToSoilsScope3_Variable()</f>
        <v>MNSoil_scope3</v>
      </c>
    </row>
    <row r="72" spans="4:14" ht="20.100000000000001" customHeight="1" x14ac:dyDescent="0.25">
      <c r="D72" s="56" t="s">
        <v>19</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9" t="str" cm="1">
        <f t="array" ref="D74:E77">_xlfn.CHOOSECOLS(MMS_Feedlot_ManureAppliedToSoils_Equations.VEERG_4_1_1_9__2_MassOfNitrogenAppliedToSoilsScope3_Arguments(),1,2)</f>
        <v>MN_jmT23</v>
      </c>
      <c r="E74" s="142" t="str">
        <v>mass of N in secondary and tertiary treatment MMS stages as calculated for manure management</v>
      </c>
      <c r="F74" s="143"/>
      <c r="G74" s="141"/>
      <c r="H74" s="139" t="str" cm="1">
        <f t="array" ref="H74:I77">_xlfn.CHOOSECOLS(MMS_Feedlot_ManureAppliedToSoils_Equations.VEERG_4_1_1_9__2_MassOfNitrogenAppliedToSoilsScope3_Arguments(),3,4)</f>
        <v>kg N</v>
      </c>
      <c r="I74" s="131" t="str">
        <v>Calculated from 4.1.1.3 (6)(8)</v>
      </c>
      <c r="J74" s="140" t="str" cm="1">
        <f t="array" aca="1" ref="J74" ca="1">HYPERLINK(Common_InputFunctions.Utility_SourceHyperlink($D$19),$D$19)</f>
        <v>M1_Table_MN_j_m_T-2-3</v>
      </c>
    </row>
    <row r="75" spans="4:14" ht="20.100000000000001" customHeight="1" x14ac:dyDescent="0.25">
      <c r="D75" s="139" t="str">
        <v>EF_mT23</v>
      </c>
      <c r="E75" s="142" t="str">
        <v>nitrous oxide emission factor for each MMS</v>
      </c>
      <c r="F75" s="143"/>
      <c r="G75" s="141"/>
      <c r="H75" s="139" t="str">
        <v>kg N2O-N/kg N</v>
      </c>
      <c r="I75" s="131" t="str">
        <v>Constant</v>
      </c>
      <c r="J75" s="140" t="str" cm="1">
        <f t="array" aca="1" ref="J75" ca="1">HYPERLINK(Common_InputFunctions.Utility_SourceHyperlink($D$27),$D$27)</f>
        <v>Table_EF_j_m_T-2-3</v>
      </c>
    </row>
    <row r="76" spans="4:14" ht="20.100000000000001" customHeight="1" x14ac:dyDescent="0.25">
      <c r="D76" s="139" t="str">
        <v>FracGASM_mT23</v>
      </c>
      <c r="E76" s="142" t="str">
        <v>fraction of animal waste N volatilised in each MMS for each cattle group</v>
      </c>
      <c r="F76" s="143"/>
      <c r="G76" s="141"/>
      <c r="H76" s="139" t="str">
        <v>(kg NH3-N + NOx-N)/kg N</v>
      </c>
      <c r="I76" s="131" t="str">
        <v>Constant</v>
      </c>
      <c r="J76" s="140" t="str" cm="1">
        <f t="array" aca="1" ref="J76" ca="1">HYPERLINK(Common_InputFunctions.Utility_SourceHyperlink($D$36),$D$36)</f>
        <v>Table_FracGASM_m_T-2-3</v>
      </c>
    </row>
    <row r="77" spans="4:14" ht="20.100000000000001" customHeight="1" x14ac:dyDescent="0.25">
      <c r="D77" s="139" t="str">
        <v>PF</v>
      </c>
      <c r="E77" s="142" t="str">
        <v>fraction of manure applied to soil within the feedlot boundary</v>
      </c>
      <c r="F77" s="143"/>
      <c r="G77" s="141"/>
      <c r="H77" s="139" t="str">
        <v>fraction</v>
      </c>
      <c r="I77" s="130" t="str">
        <v>Input</v>
      </c>
      <c r="J77" s="140" t="str" cm="1">
        <f t="array" aca="1" ref="J77" ca="1">HYPERLINK(Common_InputFunctions.Utility_SourceHyperlink($D$45),$D$45)</f>
        <v>Table_PF</v>
      </c>
    </row>
    <row r="78" spans="4:14" ht="20.100000000000001" customHeight="1" x14ac:dyDescent="0.25"/>
    <row r="79" spans="4:14" ht="20.100000000000001" customHeight="1" x14ac:dyDescent="0.25">
      <c r="D79" s="104" t="s">
        <v>246</v>
      </c>
      <c r="N79" s="104" t="s">
        <v>251</v>
      </c>
    </row>
    <row r="80" spans="4:14" ht="20.100000000000001" customHeight="1" x14ac:dyDescent="0.25">
      <c r="D80" s="103" t="s">
        <v>254</v>
      </c>
      <c r="N80" s="103" t="s">
        <v>252</v>
      </c>
    </row>
    <row r="81" spans="3:19" ht="20.100000000000001" customHeight="1" x14ac:dyDescent="0.25">
      <c r="D81" s="54" t="s">
        <v>67</v>
      </c>
      <c r="E81" s="54" t="s">
        <v>140</v>
      </c>
      <c r="F81" s="54" t="s">
        <v>141</v>
      </c>
      <c r="G81" s="54" t="s">
        <v>142</v>
      </c>
      <c r="N81" s="54" t="s">
        <v>67</v>
      </c>
      <c r="O81" s="54" t="s">
        <v>140</v>
      </c>
      <c r="P81" s="54" t="s">
        <v>141</v>
      </c>
      <c r="Q81" s="54" t="s">
        <v>142</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1001.3812157905925</v>
      </c>
      <c r="F82" s="55" cm="1">
        <f t="array" ref="F82">MMS_Feedlot_ManureAppliedToSoils_Equations.VEERG_4_1_1_9__2_MassOfNitrogenAppliedToSoilsScope3(F22,_xlfn.XLOOKUP($D82, $D$30:$D$34,$E$30:$E$34),_xlfn.XLOOKUP($D82,$D$39:$D$43,$E$39:$E$43),$E48)</f>
        <v>35.363994446592002</v>
      </c>
      <c r="G82" s="55" cm="1">
        <f t="array" ref="G82">MMS_Feedlot_ManureAppliedToSoils_Equations.VEERG_4_1_1_9__2_MassOfNitrogenAppliedToSoilsScope3(G22,_xlfn.XLOOKUP($D82, $D$30:$D$34,$E$30:$E$34),_xlfn.XLOOKUP($D82,$D$39:$D$43,$E$39:$E$43),$E48)</f>
        <v>51.07778884799999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1001.3812157905925</v>
      </c>
      <c r="P82" s="55" cm="1">
        <f t="array" ref="P82">MMS_Feedlot_ManureAppliedToSoils_Equations.VEERG_4_1_1_9__2_MassOfNitrogenAppliedToSoilsScope3(P22,_xlfn.XLOOKUP($N82, $D$30:$D$34,$E$30:$E$34),_xlfn.XLOOKUP($N82,$D$39:$D$43,$E$39:$E$43),$E48)</f>
        <v>35.363994446592002</v>
      </c>
      <c r="Q82" s="55" cm="1">
        <f t="array" ref="Q82">MMS_Feedlot_ManureAppliedToSoils_Equations.VEERG_4_1_1_9__2_MassOfNitrogenAppliedToSoilsScope3(Q22,_xlfn.XLOOKUP($N82, $D$30:$D$34,$E$30:$E$34),_xlfn.XLOOKUP($N82,$D$39:$D$43,$E$39:$E$43),$E48)</f>
        <v>51.07778884799999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793.04015747174435</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793.04015747174435</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233.2323302400001</v>
      </c>
      <c r="F85" s="55" cm="1">
        <f t="array" ref="F85">MMS_Feedlot_ManureAppliedToSoils_Equations.VEERG_4_1_1_9__2_MassOfNitrogenAppliedToSoilsScope3(F25,_xlfn.XLOOKUP($D85, $D$30:$D$34,$E$30:$E$34),_xlfn.XLOOKUP($D85,$D$39:$D$43,$E$39:$E$43),$E51)</f>
        <v>8.2366502400000012</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233.2323302400001</v>
      </c>
      <c r="P85" s="55" cm="1">
        <f t="array" ref="P85">MMS_Feedlot_ManureAppliedToSoils_Equations.VEERG_4_1_1_9__2_MassOfNitrogenAppliedToSoilsScope3(P25,_xlfn.XLOOKUP($N85, $D$30:$D$34,$E$30:$E$34),_xlfn.XLOOKUP($N85,$D$39:$D$43,$E$39:$E$43),$E51)</f>
        <v>8.2366502400000012</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248</v>
      </c>
      <c r="E87" s="109">
        <f>SUM(E82:G85)</f>
        <v>2202.6859482366731</v>
      </c>
      <c r="F87" s="110" t="str">
        <f>$E$12</f>
        <v>kg N</v>
      </c>
      <c r="N87" s="108" t="s">
        <v>248</v>
      </c>
      <c r="O87" s="109">
        <f>SUM(O82:Q85)</f>
        <v>2202.6859482366731</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8"/>
      <c r="M90" s="48"/>
      <c r="N90" s="48"/>
      <c r="O90" s="48"/>
      <c r="P90" s="48"/>
      <c r="Q90" s="48"/>
      <c r="R90" s="48"/>
      <c r="S90" s="48"/>
    </row>
    <row r="91" spans="3:19" ht="20.100000000000001" customHeight="1" x14ac:dyDescent="0.25">
      <c r="D91" s="117"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258</v>
      </c>
      <c r="E92" s="93"/>
      <c r="F92" s="93"/>
      <c r="G92" s="93"/>
      <c r="H92" s="91"/>
    </row>
    <row r="93" spans="3:19" ht="20.100000000000001" customHeight="1" x14ac:dyDescent="0.25"/>
    <row r="94" spans="3:19" ht="20.100000000000001" customHeight="1" x14ac:dyDescent="0.25">
      <c r="D94" s="6" t="s">
        <v>309</v>
      </c>
    </row>
    <row r="95" spans="3:19" ht="20.100000000000001" customHeight="1" x14ac:dyDescent="0.25">
      <c r="D95" s="104" t="s">
        <v>244</v>
      </c>
    </row>
    <row r="96" spans="3:19" ht="20.100000000000001" customHeight="1" x14ac:dyDescent="0.25">
      <c r="D96" s="103" t="s">
        <v>245</v>
      </c>
    </row>
    <row r="97" spans="4:18" ht="20.100000000000001" customHeight="1" x14ac:dyDescent="0.25">
      <c r="D97" s="65" t="s">
        <v>67</v>
      </c>
      <c r="E97" s="65" t="s">
        <v>349</v>
      </c>
    </row>
    <row r="98" spans="4:18" ht="20.100000000000001" customHeight="1" x14ac:dyDescent="0.25">
      <c r="D98" s="55" t="str">
        <f>'Input - Feedlot'!$D$32</f>
        <v>Solid storage</v>
      </c>
      <c r="E98" s="55">
        <f>'Input - Feedlot'!J32</f>
        <v>0.25</v>
      </c>
      <c r="F98" s="2" t="s">
        <v>328</v>
      </c>
    </row>
    <row r="99" spans="4:18" ht="20.100000000000001" customHeight="1" x14ac:dyDescent="0.25">
      <c r="D99" s="55" t="str">
        <f>'Input - Feedlot'!$D$33</f>
        <v>Composting (passive windrow)</v>
      </c>
      <c r="E99" s="55">
        <f>'Input - Feedlot'!J33</f>
        <v>0.25</v>
      </c>
      <c r="F99" s="2" t="s">
        <v>328</v>
      </c>
    </row>
    <row r="100" spans="4:18" ht="20.100000000000001" customHeight="1" x14ac:dyDescent="0.25">
      <c r="D100" s="55" t="str">
        <f>'Input - Feedlot'!$D$34</f>
        <v>Direct application</v>
      </c>
      <c r="E100" s="55">
        <v>0</v>
      </c>
      <c r="F100" s="2" t="s">
        <v>328</v>
      </c>
    </row>
    <row r="101" spans="4:18" ht="20.100000000000001" customHeight="1" x14ac:dyDescent="0.25">
      <c r="D101" s="55" t="str">
        <f>'Input - Feedlot'!$D$38</f>
        <v>Anaerobic lagoon</v>
      </c>
      <c r="E101" s="55">
        <f>'Input - Feedlot'!J38</f>
        <v>0.25</v>
      </c>
      <c r="F101" s="2" t="s">
        <v>328</v>
      </c>
    </row>
    <row r="102" spans="4:18" ht="20.100000000000001" customHeight="1" x14ac:dyDescent="0.25"/>
    <row r="103" spans="4:18" ht="20.100000000000001" customHeight="1" x14ac:dyDescent="0.25">
      <c r="D103" s="104" t="s">
        <v>247</v>
      </c>
      <c r="N103" s="104" t="s">
        <v>249</v>
      </c>
    </row>
    <row r="104" spans="4:18" ht="20.100000000000001" customHeight="1" x14ac:dyDescent="0.25">
      <c r="D104" s="103" t="s">
        <v>253</v>
      </c>
      <c r="N104" s="103" t="s">
        <v>250</v>
      </c>
    </row>
    <row r="105" spans="4:18" ht="20.100000000000001" customHeight="1" x14ac:dyDescent="0.25">
      <c r="D105" s="54" t="s">
        <v>67</v>
      </c>
      <c r="E105" s="54" t="s">
        <v>140</v>
      </c>
      <c r="F105" s="54" t="s">
        <v>141</v>
      </c>
      <c r="G105" s="54" t="s">
        <v>142</v>
      </c>
      <c r="N105" s="54" t="s">
        <v>67</v>
      </c>
      <c r="O105" s="54" t="s">
        <v>140</v>
      </c>
      <c r="P105" s="54" t="s">
        <v>141</v>
      </c>
      <c r="Q105" s="54" t="s">
        <v>142</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1001.3812157905925</v>
      </c>
      <c r="F106" s="55" cm="1">
        <f t="array" ref="F106">MMS_Feedlot_ManureAppliedToSoils_Equations.VEERG_4_1_1_9__1_MassOfNitrogenAppliedToSoilsScope1(F22,_xlfn.XLOOKUP($D106,$D$30:$D$34,$E$30:$E$34),_xlfn.XLOOKUP($D106,$D$39:$D$43,$E$39:$E$43),$E98)</f>
        <v>35.363994446592002</v>
      </c>
      <c r="G106" s="55" cm="1">
        <f t="array" ref="G106">MMS_Feedlot_ManureAppliedToSoils_Equations.VEERG_4_1_1_9__1_MassOfNitrogenAppliedToSoilsScope1(G22,_xlfn.XLOOKUP($D106,$D$30:$D$34,$E$30:$E$34),_xlfn.XLOOKUP($D106,$D$39:$D$43,$E$39:$E$43),$E98)</f>
        <v>51.07778884799999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1001.3812157905925</v>
      </c>
      <c r="P106" s="55" cm="1">
        <f t="array" ref="P106">MMS_Feedlot_ManureAppliedToSoils_Equations.VEERG_4_1_1_9__1_MassOfNitrogenAppliedToSoilsScope1(P22,_xlfn.XLOOKUP($N106,$D$30:$D$34,$E$30:$E$34),_xlfn.XLOOKUP($N106,$D$39:$D$43,$E$39:$E$43),$E98)</f>
        <v>35.363994446592002</v>
      </c>
      <c r="Q106" s="55" cm="1">
        <f t="array" ref="Q106">MMS_Feedlot_ManureAppliedToSoils_Equations.VEERG_4_1_1_9__1_MassOfNitrogenAppliedToSoilsScope1(Q22,_xlfn.XLOOKUP($N106,$D$30:$D$34,$E$30:$E$34),_xlfn.XLOOKUP($N106,$D$39:$D$43,$E$39:$E$43),$E98)</f>
        <v>51.07778884799999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793.04015747174435</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793.04015747174435</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233.2323302400001</v>
      </c>
      <c r="F109" s="55" cm="1">
        <f t="array" ref="F109">MMS_Feedlot_ManureAppliedToSoils_Equations.VEERG_4_1_1_9__1_MassOfNitrogenAppliedToSoilsScope1(F25,_xlfn.XLOOKUP($D109,$D$30:$D$34,$E$30:$E$34),_xlfn.XLOOKUP($D109,$D$39:$D$43,$E$39:$E$43),$E101)</f>
        <v>8.2366502400000012</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233.2323302400001</v>
      </c>
      <c r="P109" s="55" cm="1">
        <f t="array" ref="P109">MMS_Feedlot_ManureAppliedToSoils_Equations.VEERG_4_1_1_9__1_MassOfNitrogenAppliedToSoilsScope1(P25,_xlfn.XLOOKUP($N109,$D$30:$D$34,$E$30:$E$34),_xlfn.XLOOKUP($N109,$D$39:$D$43,$E$39:$E$43),$E101)</f>
        <v>8.2366502400000012</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259</v>
      </c>
      <c r="E111" s="109">
        <f>SUM(E106:G109)</f>
        <v>2202.6859482366731</v>
      </c>
      <c r="F111" s="110" t="str">
        <f>$E$12</f>
        <v>kg N</v>
      </c>
      <c r="N111" s="108" t="s">
        <v>259</v>
      </c>
      <c r="O111" s="109">
        <f>SUM(O106:Q109)</f>
        <v>2202.6859482366731</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139</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76</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115</v>
      </c>
      <c r="G25" s="6" t="s">
        <v>275</v>
      </c>
      <c r="J25" s="6" t="s">
        <v>277</v>
      </c>
      <c r="M25" s="1"/>
    </row>
    <row r="26" spans="1:13" ht="20.100000000000001" customHeight="1" x14ac:dyDescent="0.25">
      <c r="M26" s="1"/>
    </row>
    <row r="27" spans="1:13" ht="20.100000000000001" customHeight="1" x14ac:dyDescent="0.25">
      <c r="D27" s="102" t="s">
        <v>67</v>
      </c>
      <c r="E27" s="39" t="s">
        <v>81</v>
      </c>
      <c r="G27" s="39" t="s">
        <v>276</v>
      </c>
      <c r="J27" s="39" t="s">
        <v>273</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278</v>
      </c>
      <c r="M28" s="1"/>
    </row>
    <row r="29" spans="1:13" ht="20.100000000000001" customHeight="1" x14ac:dyDescent="0.25">
      <c r="D29" s="39" t="str">
        <f>'Constants - Livestock'!$E$15</f>
        <v>Solid storage</v>
      </c>
      <c r="E29" s="39" t="str">
        <f>'Constants - Livestock'!$F$15</f>
        <v>Solid storage (m=4)</v>
      </c>
      <c r="G29" s="1" t="str">
        <f>'Constants - Common'!$F$187</f>
        <v>Pasture</v>
      </c>
      <c r="J29" s="39" t="s">
        <v>279</v>
      </c>
      <c r="M29" s="1"/>
    </row>
    <row r="30" spans="1:13" ht="20.100000000000001" customHeight="1" x14ac:dyDescent="0.25">
      <c r="D30" s="39" t="str">
        <f>'Constants - Livestock'!$E$17</f>
        <v>Composting (passive windrow)</v>
      </c>
      <c r="E30" s="39" t="str">
        <f>'Constants - Livestock'!$F$17</f>
        <v>Composting (passive windrow) (m=6)</v>
      </c>
      <c r="J30" s="1" t="s">
        <v>280</v>
      </c>
      <c r="M30" s="1"/>
    </row>
    <row r="31" spans="1:13" ht="20.100000000000001" customHeight="1" x14ac:dyDescent="0.25">
      <c r="D31" s="39" t="str">
        <f>'Constants - Livestock'!$E$26</f>
        <v>Direct application</v>
      </c>
      <c r="E31" s="39" t="str">
        <f>'Constants - Livestock'!$F$26</f>
        <v>Direct application (m=13)</v>
      </c>
      <c r="J31" s="1" t="s">
        <v>281</v>
      </c>
      <c r="M31" s="1"/>
    </row>
    <row r="32" spans="1:13" ht="20.100000000000001" customHeight="1" x14ac:dyDescent="0.25">
      <c r="D32" s="1" t="str">
        <f>'Constants - Livestock'!$E$10</f>
        <v>Anaerobic lagoon</v>
      </c>
      <c r="E32" s="1" t="str">
        <f>'Constants - Livestock'!$F$10</f>
        <v>Anaerobic lagoon (m=1)</v>
      </c>
      <c r="J32" s="1" t="s">
        <v>282</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134</v>
      </c>
      <c r="E38" s="39" t="s">
        <v>147</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134</v>
      </c>
      <c r="E49" s="39" t="s">
        <v>144</v>
      </c>
      <c r="F49" s="39" t="s">
        <v>19</v>
      </c>
      <c r="G49" s="39" t="s">
        <v>145</v>
      </c>
      <c r="H49" s="39" t="s">
        <v>136</v>
      </c>
      <c r="I49" s="39" t="s">
        <v>137</v>
      </c>
      <c r="J49" s="39" t="s">
        <v>138</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134</v>
      </c>
      <c r="E66" s="39" t="s">
        <v>135</v>
      </c>
      <c r="F66" s="39" t="s">
        <v>19</v>
      </c>
      <c r="G66" s="39" t="s">
        <v>136</v>
      </c>
      <c r="H66" s="39" t="s">
        <v>137</v>
      </c>
      <c r="I66" s="39" t="s">
        <v>138</v>
      </c>
      <c r="J66" s="39" t="s">
        <v>143</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110</v>
      </c>
      <c r="E88" s="39" t="s">
        <v>105</v>
      </c>
      <c r="F88" s="39" t="s">
        <v>83</v>
      </c>
      <c r="G88" s="39" t="s">
        <v>82</v>
      </c>
      <c r="H88" s="39" t="s">
        <v>85</v>
      </c>
      <c r="I88" s="39" t="s">
        <v>84</v>
      </c>
      <c r="J88" s="39" t="s">
        <v>86</v>
      </c>
      <c r="K88" s="39" t="s">
        <v>88</v>
      </c>
      <c r="L88" s="39" t="s">
        <v>89</v>
      </c>
      <c r="M88" s="39" t="s">
        <v>87</v>
      </c>
      <c r="N88" s="39" t="s">
        <v>99</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110</v>
      </c>
      <c r="E100" s="39" t="s">
        <v>105</v>
      </c>
      <c r="F100" s="39" t="s">
        <v>148</v>
      </c>
      <c r="G100" s="39" t="s">
        <v>99</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110</v>
      </c>
      <c r="E112" s="114" t="s">
        <v>105</v>
      </c>
      <c r="F112" s="114" t="s">
        <v>149</v>
      </c>
      <c r="G112" s="114" t="s">
        <v>99</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21</v>
      </c>
      <c r="E6" s="39" t="s">
        <v>22</v>
      </c>
      <c r="F6" s="39" t="s">
        <v>23</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24</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27</v>
      </c>
      <c r="E36" s="39" t="s">
        <v>28</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27</v>
      </c>
      <c r="E47" s="39" t="s">
        <v>30</v>
      </c>
      <c r="F47" s="39" t="s">
        <v>31</v>
      </c>
      <c r="G47" s="39" t="s">
        <v>32</v>
      </c>
      <c r="H47" s="39" t="s">
        <v>33</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48</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36</v>
      </c>
      <c r="F89" s="39" t="s">
        <v>37</v>
      </c>
      <c r="G89" s="39" t="s">
        <v>38</v>
      </c>
      <c r="H89" s="39" t="s">
        <v>39</v>
      </c>
      <c r="I89" s="39" t="s">
        <v>40</v>
      </c>
      <c r="J89" s="39" t="s">
        <v>41</v>
      </c>
      <c r="K89" s="39" t="s">
        <v>42</v>
      </c>
      <c r="L89" s="39" t="s">
        <v>43</v>
      </c>
      <c r="M89" s="39" t="s">
        <v>44</v>
      </c>
      <c r="N89" s="39" t="s">
        <v>45</v>
      </c>
      <c r="O89" s="39" t="s">
        <v>49</v>
      </c>
      <c r="P89" s="39" t="s">
        <v>46</v>
      </c>
      <c r="Q89" s="39" t="s">
        <v>50</v>
      </c>
      <c r="R89" s="39" t="s">
        <v>47</v>
      </c>
      <c r="S89" s="39" t="s">
        <v>51</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55</v>
      </c>
      <c r="E109" s="39" t="s">
        <v>36</v>
      </c>
      <c r="F109" s="39" t="s">
        <v>56</v>
      </c>
      <c r="G109" s="39" t="s">
        <v>57</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58</v>
      </c>
      <c r="E119" s="39" t="s">
        <v>59</v>
      </c>
      <c r="F119" s="39" t="s">
        <v>43</v>
      </c>
      <c r="G119" s="39" t="s">
        <v>44</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65</v>
      </c>
      <c r="E127" s="39" t="s">
        <v>66</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302</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68</v>
      </c>
      <c r="E153" s="39" t="s">
        <v>69</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270</v>
      </c>
      <c r="E186" s="39" t="s">
        <v>271</v>
      </c>
      <c r="F186" s="39" t="s">
        <v>272</v>
      </c>
      <c r="G186" s="39" t="s">
        <v>273</v>
      </c>
      <c r="H186" s="39" t="s">
        <v>35</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303</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305</v>
      </c>
      <c r="E212" s="39" t="s">
        <v>306</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52</v>
      </c>
      <c r="E231" s="39" t="s">
        <v>335</v>
      </c>
      <c r="F231" s="38" t="s">
        <v>336</v>
      </c>
      <c r="G231" s="39" t="s">
        <v>337</v>
      </c>
      <c r="H231" s="39" t="s">
        <v>338</v>
      </c>
      <c r="I231" s="39" t="s">
        <v>339</v>
      </c>
      <c r="J231" s="39" t="s">
        <v>340</v>
      </c>
      <c r="K231" s="39" t="s">
        <v>341</v>
      </c>
      <c r="L231" s="39" t="s">
        <v>342</v>
      </c>
      <c r="M231" s="39" t="s">
        <v>343</v>
      </c>
      <c r="N231" s="39" t="s">
        <v>344</v>
      </c>
      <c r="O231" s="39" t="s">
        <v>345</v>
      </c>
      <c r="P231" s="39" t="s">
        <v>346</v>
      </c>
      <c r="Q231" s="39" t="s">
        <v>320</v>
      </c>
      <c r="R231" s="39" t="s">
        <v>347</v>
      </c>
      <c r="S231" s="39" t="s">
        <v>348</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357</v>
      </c>
      <c r="E257" s="39" t="s">
        <v>358</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80</v>
      </c>
      <c r="E9" s="39" t="s">
        <v>20</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78</v>
      </c>
    </row>
    <row r="17" spans="1:1" ht="20.100000000000001" customHeight="1" x14ac:dyDescent="0.25">
      <c r="A17" s="69"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9" t="s">
        <v>1</v>
      </c>
    </row>
    <row r="23" spans="1:1" ht="20.100000000000001" customHeight="1" x14ac:dyDescent="0.25">
      <c r="A23" s="69"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78</v>
      </c>
    </row>
    <row r="32" spans="1:1" ht="20.100000000000001" customHeight="1" x14ac:dyDescent="0.25">
      <c r="A32" s="69"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2026-06-10T00:29:49Z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