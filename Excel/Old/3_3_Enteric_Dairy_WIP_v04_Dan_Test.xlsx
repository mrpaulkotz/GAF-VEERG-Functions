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14C1C10-D1FE-4B6C-A74B-734A55246E75}" xr6:coauthVersionLast="47" xr6:coauthVersionMax="47" xr10:uidLastSave="{00000000-0000-0000-0000-000000000000}"/>
  <bookViews>
    <workbookView xWindow="3120" yWindow="3120" windowWidth="28800" windowHeight="15345" firstSheet="2"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9"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D_j">'3.3.1.1-2 Enteric Methane'!$D$164:$H$165</definedName>
    <definedName name="M1_Table_DMD_j">'3.3.1.1-2 Enteric Methane'!$D$18:$H$19</definedName>
    <definedName name="M1_Table_DPW_j35">'3.3.1.1-2 Enteric Methane'!$D$169:$H$170</definedName>
    <definedName name="M1_Table_E_enteric">'3.3.1.1-2 Enteric Methane'!$M$179:$Q$180</definedName>
    <definedName name="M1_Table_E_enteric_Consumer_1">'3.3.1.1-2 Enteric Methane'!$D$179:$H$180</definedName>
    <definedName name="M1_Table_I_j">'3.3.1.1-2 Enteric Methane'!$D$114:$H$115</definedName>
    <definedName name="M1_Table_LWG_j">'3.3.1.1-2 Enteric Methane'!$D$104:$H$105</definedName>
    <definedName name="M1_Table_M_j">'3.3.1.1-2 Enteric Methane'!$D$131:$H$132</definedName>
    <definedName name="M1_Table_MI_j">'3.3.1.1-2 Enteric Methane'!$D$79:$H$80</definedName>
    <definedName name="M1_Table_MP_j_from_solids">'3.3.1.1-2 Enteric Methane'!$D$49:$H$50</definedName>
    <definedName name="M1_Table_MPW_j35">'3.3.1.1-2 Enteric Methane'!$D$174:$E$175</definedName>
    <definedName name="M1_Table_MS_j">'3.3.1.1-2 Enteric Methane'!$D$44:$H$45</definedName>
    <definedName name="M1_Table_qm_j">'3.3.1.1-2 Enteric Methane'!$D$23:$H$24</definedName>
    <definedName name="M1_Table_W_j">'3.3.1.1-2 Enteric Methane'!$D$99:$H$100</definedName>
    <definedName name="M2_Table_D_j">'3.3.1.1-2 Enteric Methane'!$M$164:$Q$165</definedName>
    <definedName name="M2_Table_DMD_j">'3.3.1.1-2 Enteric Methane'!$M$18:$Q$19</definedName>
    <definedName name="M2_Table_DPW_j">'3.3.1.1-2 Enteric Methane'!$M$169:$Q$170</definedName>
    <definedName name="M2_Table_I_j">'3.3.1.1-2 Enteric Methane'!$M$114:$Q$115</definedName>
    <definedName name="M2_Table_LWG_j">'3.3.1.1-2 Enteric Methane'!$M$104:$Q$105</definedName>
    <definedName name="M2_Table_M_j">'3.3.1.1-2 Enteric Methane'!$M$131:$Q$132</definedName>
    <definedName name="M2_Table_MI_j">'3.3.1.1-2 Enteric Methane'!$M$79:$Q$80</definedName>
    <definedName name="M2_Table_MP_j_from_solids">'3.3.1.1-2 Enteric Methane'!$M$49:$Q$50</definedName>
    <definedName name="M2_Table_qm_j">'3.3.1.1-2 Enteric Methane'!$M$23:$Q$24</definedName>
    <definedName name="M2_Table_W_j">'3.3.1.1-2 Enteric Methane'!$M$99:$Q$100</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tep1">#REF!</definedName>
    <definedName name="Step2">#REF!</definedName>
    <definedName name="Step3">#REF!</definedName>
    <definedName name="Table_MP_j">'3.3.1.1-2 Enteric Methane'!$D$74:$H$75</definedName>
    <definedName name="Table_MR_j">'3.3.1.1-2 Enteric Methane'!$D$109:$H$110</definedName>
    <definedName name="Table_N_j">'3.3.1.1-2 Enteric Methane'!$D$159:$H$160</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X_Cell_Dairy_Breed">'Input - Dairy'!$E$7</definedName>
    <definedName name="X_Cell_Dairy_MilkProductionAmount">'Input - Dairy'!$E$52</definedName>
    <definedName name="X_Cell_Dairy_MilkProductionUnit">'Input - Dairy'!$E$49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4" i="69" l="1"/>
  <c r="G184" i="69"/>
  <c r="D75" i="69"/>
  <c r="D45" i="69"/>
  <c r="F52" i="70"/>
  <c r="D29" i="70"/>
  <c r="D28" i="70"/>
  <c r="D25" i="70"/>
  <c r="D24" i="70"/>
  <c r="E18" i="70"/>
  <c r="E14" i="70"/>
  <c r="D10" i="70"/>
  <c r="E33" i="15"/>
  <c r="E32" i="15"/>
  <c r="E31" i="15"/>
  <c r="E30" i="15"/>
  <c r="E29" i="15"/>
  <c r="E13" i="15"/>
  <c r="E52" i="70"/>
  <c r="G9" i="79"/>
  <c r="G8" i="79"/>
  <c r="P185" i="69"/>
  <c r="G185"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c r="E175" i="109" a="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c r="D139" i="109" a="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P37" i="69" a="1"/>
  <c r="P37" i="69" s="1"/>
  <c r="M37" i="69" a="1"/>
  <c r="M37" i="69" s="1"/>
  <c r="I64" i="69"/>
  <c r="I37" i="69"/>
  <c r="H52" i="109" l="1"/>
  <c r="H50" i="109"/>
  <c r="H51" i="109"/>
  <c r="H53" i="109"/>
  <c r="H48" i="109"/>
  <c r="H54" i="109"/>
  <c r="H49" i="109"/>
  <c r="D6" i="69" a="1"/>
  <c r="D6" i="69" s="1"/>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F55" i="70" l="1"/>
  <c r="R39" i="69" s="1"/>
  <c r="E55" i="70"/>
  <c r="I39" i="69" s="1"/>
  <c r="E56" i="70"/>
  <c r="I40" i="69" s="1"/>
  <c r="F56" i="70"/>
  <c r="R40" i="69" s="1"/>
  <c r="D56" i="69" a="1"/>
  <c r="D56" i="69" s="1"/>
  <c r="I66" i="69" a="1"/>
  <c r="I66" i="69" s="1"/>
  <c r="I38" i="69" a="1"/>
  <c r="I38" i="69" s="1"/>
  <c r="D30" i="69" a="1"/>
  <c r="D30" i="69" s="1"/>
  <c r="G37" i="69" a="1"/>
  <c r="G37" i="69" s="1"/>
  <c r="D37" i="69" a="1"/>
  <c r="D37" i="69" s="1"/>
  <c r="E35" i="69" a="1"/>
  <c r="E35" i="69" s="1"/>
  <c r="E34" i="69" a="1"/>
  <c r="E34" i="69" s="1"/>
  <c r="D29" i="69" a="1"/>
  <c r="D29" i="69" s="1"/>
  <c r="D28" i="69" a="1"/>
  <c r="D28" i="69" s="1"/>
  <c r="E139" i="69" a="1"/>
  <c r="E31" i="69" a="1"/>
  <c r="D50" i="69" l="1" a="1"/>
  <c r="D50" i="69" s="1"/>
  <c r="M50" i="69"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M184" i="69" a="1"/>
  <c r="M184" i="69" s="1"/>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E57" i="69" a="1"/>
  <c r="E86" i="69" a="1"/>
  <c r="E8" i="69" a="1"/>
  <c r="H37" i="70" l="1"/>
  <c r="G37" i="70"/>
  <c r="I41" i="70"/>
  <c r="E37" i="70"/>
  <c r="H41" i="70"/>
  <c r="I37" i="70"/>
  <c r="F37" i="70"/>
  <c r="G41" i="70"/>
  <c r="F41" i="70"/>
  <c r="E41" i="70"/>
  <c r="D24" i="69" a="1"/>
  <c r="D24" i="69" s="1"/>
  <c r="F40" i="70"/>
  <c r="N19" i="69" s="1"/>
  <c r="N24" i="69" s="1" a="1"/>
  <c r="N24" i="69" s="1"/>
  <c r="I40" i="70"/>
  <c r="Q19" i="69" s="1"/>
  <c r="Q24" i="69" s="1" a="1"/>
  <c r="Q24" i="69" s="1"/>
  <c r="E36" i="70"/>
  <c r="D19" i="69" s="1"/>
  <c r="E40" i="70"/>
  <c r="M19" i="69" s="1"/>
  <c r="M24" i="69" s="1" a="1"/>
  <c r="M24" i="69" s="1"/>
  <c r="I36" i="70"/>
  <c r="H19" i="69" s="1"/>
  <c r="G40" i="70"/>
  <c r="O19" i="69" s="1"/>
  <c r="O24" i="69" s="1" a="1"/>
  <c r="O24" i="69" s="1"/>
  <c r="O80" i="69" s="1" a="1"/>
  <c r="O80" i="69" s="1"/>
  <c r="H36" i="70"/>
  <c r="G19" i="69" s="1"/>
  <c r="G36" i="70"/>
  <c r="F19" i="69" s="1"/>
  <c r="F36" i="70"/>
  <c r="E19" i="69" s="1"/>
  <c r="H40" i="70"/>
  <c r="P19" i="69" s="1"/>
  <c r="P24" i="69" s="1" a="1"/>
  <c r="P24" i="69" s="1"/>
  <c r="P80" i="69" s="1" a="1"/>
  <c r="P80" i="69" s="1"/>
  <c r="M80" i="69" a="1"/>
  <c r="M80" i="69" s="1"/>
  <c r="D80" i="69" a="1"/>
  <c r="D80" i="69" s="1"/>
  <c r="R115" i="69"/>
  <c r="I24" i="69"/>
  <c r="R24" i="69"/>
  <c r="E86" i="69"/>
  <c r="N80" i="69" a="1"/>
  <c r="N80" i="69" s="1"/>
  <c r="Q80" i="69" a="1"/>
  <c r="Q80" i="69" s="1"/>
  <c r="I80" i="69"/>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M165" i="69" s="1"/>
  <c r="O165" i="69"/>
  <c r="P165" i="69"/>
  <c r="F25" i="70" a="1"/>
  <c r="F25" i="70" s="1"/>
  <c r="N165" i="69"/>
  <c r="E24" i="70" a="1"/>
  <c r="E24" i="70" s="1"/>
  <c r="D165" i="69" s="1"/>
  <c r="Q165" i="69"/>
  <c r="E165" i="69"/>
  <c r="F165" i="69"/>
  <c r="G165" i="69"/>
  <c r="H165" i="69"/>
  <c r="E25" i="70" a="1"/>
  <c r="E25" i="70" s="1"/>
  <c r="D170" i="69" s="1"/>
  <c r="E29" i="70" l="1"/>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5" i="70" a="1"/>
  <c r="E15" i="70" s="1"/>
  <c r="E19" i="70" a="1"/>
  <c r="E19"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E7" i="13" s="1"/>
  <c r="N187" i="69" l="1" a="1"/>
  <c r="N187" i="69" s="1"/>
  <c r="I7" i="13" s="1"/>
  <c r="I8" i="13" s="1"/>
  <c r="E187" i="69" a="1"/>
  <c r="E187" i="69" s="1"/>
  <c r="H7" i="13" s="1"/>
  <c r="H8" i="1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<sst xmlns="http://schemas.openxmlformats.org/spreadsheetml/2006/main" count="522" uniqueCount="253">
  <si>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</si>
  <si>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</si>
  <si>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</si>
  <si>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</si>
  <si>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</si>
  <si>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</si>
  <si>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</si>
  <si>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</si>
  <si>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</si>
  <si>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</si>
  <si>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</si>
  <si>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</si>
  <si>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</si>
  <si>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</si>
  <si>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</si>
  <si>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</si>
  <si>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</si>
  <si>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</si>
  <si>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</si>
  <si>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</si>
  <si>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</si>
  <si>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</si>
  <si>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</si>
  <si>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</si>
  <si>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</si>
  <si>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</si>
  <si>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</si>
  <si>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</si>
  <si>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</si>
  <si>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</si>
  <si>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</si>
  <si>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</si>
  <si>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</si>
  <si>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</si>
  <si>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</si>
  <si>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</si>
  <si>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</si>
  <si>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</si>
  <si>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</si>
  <si>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</si>
  <si>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</si>
  <si>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</si>
  <si>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</si>
  <si>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</si>
  <si>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</si>
  <si>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</si>
  <si>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</si>
  <si>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</si>
  <si>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</si>
  <si>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</si>
  <si>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</si>
  <si>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</si>
  <si>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</si>
  <si>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</si>
  <si>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</si>
  <si>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</si>
  <si>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</si>
  <si>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</si>
  <si>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</si>
  <si>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</si>
  <si>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</si>
  <si>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</si>
  <si>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</si>
  <si>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</si>
  <si>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</si>
  <si>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</si>
  <si>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</si>
  <si>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</si>
  <si>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</si>
  <si>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</si>
  <si>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</si>
  <si>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</si>
  <si>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</si>
  <si>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</si>
  <si>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</si>
  <si>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</si>
  <si>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</si>
  <si>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</si>
  <si>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</si>
  <si>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</si>
  <si>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</si>
  <si>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</si>
  <si>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</si>
  <si>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</si>
  <si>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</si>
  <si>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</si>
  <si>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</si>
  <si>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</si>
  <si>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</si>
  <si>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</si>
  <si>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</si>
  <si>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</si>
  <si>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</si>
  <si>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</si>
  <si>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</si>
  <si>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</si>
  <si>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</si>
  <si>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</si>
  <si>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</si>
  <si>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</si>
  <si>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</si>
  <si>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</si>
  <si>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</si>
  <si>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</si>
  <si>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</si>
  <si>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</si>
  <si>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</si>
  <si>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</si>
  <si>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</si>
  <si>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</si>
  <si>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</si>
  <si>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</si>
  <si>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</si>
  <si>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</si>
  <si>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</si>
  <si>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</si>
  <si>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</si>
  <si>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</si>
  <si>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</si>
  <si>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</si>
  <si>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</si>
  <si>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</si>
  <si>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</si>
  <si>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</si>
  <si>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</si>
  <si>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</si>
  <si>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</si>
  <si>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</si>
  <si>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</si>
  <si>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</si>
  <si>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</si>
  <si>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</si>
  <si>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</si>
  <si>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</si>
  <si>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</si>
  <si>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</si>
  <si>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</si>
  <si>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</si>
  <si>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</si>
  <si>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</si>
  <si>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</si>
  <si>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</si>
  <si>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</si>
  <si>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</si>
  <si>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</si>
  <si>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</si>
  <si>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</si>
  <si>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</si>
  <si>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</si>
  <si>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</si>
  <si>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</si>
  <si>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</si>
  <si>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</si>
  <si>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</si>
  <si>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</si>
  <si>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</si>
  <si>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</si>
  <si>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</si>
  <si>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</si>
  <si>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</si>
  <si>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</si>
  <si>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</si>
  <si>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</si>
  <si>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</si>
  <si>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</si>
  <si>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</si>
  <si>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</si>
  <si>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</si>
  <si>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</si>
  <si>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</si>
  <si>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</si>
  <si>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</si>
  <si>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</si>
  <si>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</si>
  <si>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</si>
  <si>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</si>
  <si>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</si>
  <si>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</si>
  <si>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</si>
  <si>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</si>
  <si>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</si>
  <si>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</si>
  <si>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</si>
  <si>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</si>
  <si>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</si>
  <si>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</si>
  <si>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</si>
  <si>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</si>
  <si>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</si>
  <si>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</si>
  <si>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</si>
  <si>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</si>
  <si>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</si>
  <si>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</si>
  <si>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</si>
  <si>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</si>
  <si>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</si>
  <si>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</si>
  <si>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</si>
  <si>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</si>
  <si>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</si>
  <si>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</si>
  <si>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</si>
  <si>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</si>
  <si>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</si>
  <si>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</si>
  <si>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</si>
  <si>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</si>
  <si>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</si>
  <si>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</si>
  <si>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</si>
  <si>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</si>
  <si>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</si>
  <si>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</si>
  <si>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</si>
  <si>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</si>
  <si>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</si>
  <si>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</si>
  <si>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</si>
  <si>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</si>
  <si>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</si>
  <si>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</si>
  <si>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</si>
  <si>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</si>
  <si>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</si>
  <si>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</si>
  <si>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</si>
  <si>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</si>
  <si>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</si>
  <si>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</si>
  <si>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</si>
  <si>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</si>
  <si>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</si>
  <si>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</si>
  <si>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</si>
  <si>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</si>
  <si>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</si>
  <si>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</si>
  <si>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</si>
  <si>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</si>
  <si>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</si>
  <si>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</si>
  <si>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</si>
  <si>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</si>
  <si>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</si>
  <si>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</si>
  <si>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</si>
  <si>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</si>
  <si>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</si>
  <si>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</si>
  <si>
    <t>Climate Zone</t>
  </si>
  <si>
    <t>EFNi &amp; EFN2Oi</t>
  </si>
  <si>
    <t>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</si>
</sst>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0"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0"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4AC6DCF-248C-4332-8ED6-D6794E57D78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273393C-70CF-4B29-B056-8B0C85705174}" name="State/Territory">
      <calculatedColumnFormula array="1">Common_InputFunctions.Utility_DisplayArrayInTable(Common_SourceData.Common_SourceData_AustralianStatesTerritories_Data(),Table_AustralianStates[[#Headers],[State/Territory]],0)</calculatedColumnFormula>
    </tableColumn>
    <tableColumn id="2" xr3:uid="{28123822-6FBA-4B3B-98F0-498C879302E6}" name="Common Name">
      <calculatedColumnFormula array="1">Common_InputFunctions.Utility_DisplayArrayInTable(Common_SourceData.Common_SourceData_AustralianStatesTerritories_Data(),Table_AustralianStates[[#Headers],[State/Territory]],0)</calculatedColumnFormula>
    </tableColumn>
    <tableColumn id="3" xr3:uid="{7D0B7619-0C7E-4581-9ABB-93B28A66AEF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839DB19-D58D-462C-BCEF-22557C99F96F}" name="Table_WASA4Areas" displayName="Table_WASA4Areas" ref="D20:D30" totalsRowShown="0">
  <autoFilter ref="D20:D30" xr:uid="{5FA81339-C6C8-4D36-BEEA-6C4AEDD9E676}">
    <filterColumn colId="0" hiddenButton="1"/>
  </autoFilter>
  <tableColumns count="1">
    <tableColumn id="1" xr3:uid="{43DDF9E4-2D74-481C-A7C0-AAAF622E353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DBA8DF-FC7C-47DE-A436-9DA6053EE6EA}" name="Table_GWPData" displayName="Table_GWPData" ref="D36:E43" totalsRowShown="0">
  <autoFilter ref="D36:E43" xr:uid="{B8E87A66-3E41-4AD3-925D-01EE21B43D7A}">
    <filterColumn colId="0" hiddenButton="1"/>
    <filterColumn colId="1" hiddenButton="1"/>
  </autoFilter>
  <tableColumns count="2">
    <tableColumn id="1" xr3:uid="{F6E0E967-10FA-49BF-9FD8-36E25721A174}" name="Gas">
      <calculatedColumnFormula array="1">Common_InputFunctions.Utility_DisplayArrayInTable(Common_SourceData.Common_SourceData_GWP_Data(), Table_GWPData[[#Headers],[Gas]], 0)</calculatedColumnFormula>
    </tableColumn>
    <tableColumn id="2" xr3:uid="{F31B7A04-87DE-4BB3-9376-B0FB16EE3B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3EBE8EA-35CD-4319-A2F2-DD5C9C2449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327D612-4B2F-4B9A-9F2A-80300772C1FD}" name="Gas">
      <calculatedColumnFormula array="1">Common_InputFunctions.Utility_DisplayArrayInTable(Common_SourceData.Common_SourceData_ConvertGasElementalToMolecular_Data(),Table_GasToMolecularConversionFactor[[#Headers],[Gas]], 0)</calculatedColumnFormula>
    </tableColumn>
    <tableColumn id="5" xr3:uid="{81C4F0B1-891D-4376-A126-D5DCAD295229}" name="Conversion factor">
      <calculatedColumnFormula array="1">Common_InputFunctions.Utility_DisplayArrayInTable(Common_SourceData.Common_SourceData_ConvertGasElementalToMolecular_Data(),Table_GasToMolecularConversionFactor[[#Headers],[Gas]], 0)</calculatedColumnFormula>
    </tableColumn>
    <tableColumn id="2" xr3:uid="{1F9F8721-1464-4820-B2A3-47A8B0B9D80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4DDAF44-5E4B-4897-B55B-1C7EC1A88D6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92FCCDD7-C029-444C-B457-646E0537FF7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71320A0-B051-4096-99D7-AF877DE28CB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AEF881-C78E-463C-9D79-93DBE58994F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B78F69E-B830-4E3C-8C54-4166BB60014C}"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A332F63B-3583-45CD-98F9-8A429C3D0404}"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45D7E57D-EFEE-4636-9BAE-87B85A891D22}"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4FE3980A-CA88-4805-BFAB-284E9055F957}"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EA43BA0F-B3C5-4A16-B602-E8469677E4D8}"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624CED45-8896-4722-B1BA-F86CB8DE28A3}"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91D449BB-0250-4400-BF07-C8F7F2E53E09}"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B24AC653-90F3-496B-8305-5326EFF32B58}"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CF3F4B6A-490B-4062-9F5D-E4F1664118EA}"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414BFBE4-3CE5-475C-9C53-B6449B7CFA1A}"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B1691ED3-192C-473E-85D9-F130906DBE7B}"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886CBA35-E770-4C7F-8D89-853C37D574B6}"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F00DA484-529F-4278-BBCB-9ECC48BEAD61}"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C2782B1B-C69E-4F1F-BF78-7262E6A3760B}"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54D5B925-03AF-481E-8061-DE49433E2C0C}"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40B9888-E468-4914-B7DA-5619708BE71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09F652-7823-447A-968D-E6EAACCF13E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15D54D4-3334-432C-B6B6-BFE4F53B0703}"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29668F6-8F14-44C8-B44E-7FE27CEECEF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1E9061F-FF35-4D28-842A-025195FBFF69}" name="Temperature Zone">
      <calculatedColumnFormula array="1">Common_InputFunctions.Utility_DisplayArrayInTable(Common_SourceData.Common_SourceData_TemperatureZones_Data(),Table_SourceData_TemperatureZones[[#Headers],[Temperature Zone]],0)</calculatedColumnFormula>
    </tableColumn>
    <tableColumn id="2" xr3:uid="{D1593F29-449E-4C78-8517-539E52FBD23F}" name="MAT">
      <calculatedColumnFormula array="1">Common_InputFunctions.Utility_DisplayArrayInTable(Common_SourceData.Common_SourceData_TemperatureZones_Data(),Table_SourceData_TemperatureZones[[#Headers],[Temperature Zone]],0)</calculatedColumnFormula>
    </tableColumn>
    <tableColumn id="3" xr3:uid="{0D7FCB20-B7ED-408D-BD67-138CF7AB731E}" name="Min MAT">
      <calculatedColumnFormula array="1">Common_InputFunctions.Utility_DisplayArrayInTable(Common_SourceData.Common_SourceData_TemperatureZones_Data(),Table_SourceData_TemperatureZones[[#Headers],[Temperature Zone]],0)</calculatedColumnFormula>
    </tableColumn>
    <tableColumn id="4" xr3:uid="{8A371676-8979-4B1E-A622-767EDC2CB2E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0C6061B-1C11-4AD9-9EC3-38C9D2C194A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E06CD35-16EF-4FC7-BB5D-83C96A639A13}" name="Rainfall Zone">
      <calculatedColumnFormula array="1">Common_InputFunctions.Utility_DisplayArrayInTable(Common_SourceData.Common_SourceData_RainfallZones_Data(),Table_SourceData_RainfallZones[[#Headers],[Rainfall Zone]],0)</calculatedColumnFormula>
    </tableColumn>
    <tableColumn id="2" xr3:uid="{0F123CCF-2EEC-4246-98EC-86970C4CA2D2}" name="Annual rainfall">
      <calculatedColumnFormula array="1">Common_InputFunctions.Utility_DisplayArrayInTable(Common_SourceData.Common_SourceData_RainfallZones_Data(),Table_SourceData_RainfallZones[[#Headers],[Rainfall Zone]],0)</calculatedColumnFormula>
    </tableColumn>
    <tableColumn id="3" xr3:uid="{68EF4B8E-3B1D-4DD6-AB30-33FB1D46A21A}" name="Min rainfall">
      <calculatedColumnFormula array="1">Common_InputFunctions.Utility_DisplayArrayInTable(Common_SourceData.Common_SourceData_RainfallZones_Data(),Table_SourceData_RainfallZones[[#Headers],[Rainfall Zone]],0)</calculatedColumnFormula>
    </tableColumn>
    <tableColumn id="4" xr3:uid="{CB4CF9F9-5516-439E-8CF2-E1DD0CB0194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6D4FC-461D-45A8-95F2-64C4FB1A7DC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ACA5E06-B6A8-47C2-B379-562813E6CF49}" name="Leaching Zone">
      <calculatedColumnFormula array="1">Common_InputFunctions.Utility_DisplayArrayInTable(Common_SourceData.Common_SourceData_LeachingZones_Data(), Table_SourceData_LeachingZones[[#Headers],[Leaching Zone]], 0)</calculatedColumnFormula>
    </tableColumn>
    <tableColumn id="2" xr3:uid="{547E3892-5DAC-4656-822F-BF05782AC4A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390359F-E172-4D19-B70D-A5FE0C92390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02B4D61-F994-4673-9E29-110F111AF0A9}" name="Data source">
      <calculatedColumnFormula array="1">Common_InputFunctions.Utility_DisplayArrayInTable(Common_SourceData.Common_SourceData_DataScores_Scope3_Data(), Table_SourceData_DataScores_Scope3[[#Headers],[Data source]], 0)</calculatedColumnFormula>
    </tableColumn>
    <tableColumn id="2" xr3:uid="{1FBD5037-159C-4AC0-8D4C-27514F1DAEF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5DAA365A-0066-48B8-88D9-BF34D233C5A2}" name="Table_SourceData_FracWET" displayName="Table_SourceData_FracWET" ref="D134:E136" totalsRowShown="0">
  <autoFilter ref="D134:E136" xr:uid="{308E99BE-FE1F-47A4-B2CA-97217277C4E9}">
    <filterColumn colId="0" hiddenButton="1"/>
    <filterColumn colId="1" hiddenButton="1"/>
  </autoFilter>
  <tableColumns count="2">
    <tableColumn id="1" xr3:uid="{E8AA0B84-C69A-45E6-AB9D-54E6A3AF2EA5}" name="Is in leaching zone">
      <calculatedColumnFormula array="1">Common_InputFunctions.Utility_DisplayArrayInTable(Common_SourceData.Common_SourceData_FracWET_Data(),Table_SourceData_FracWET[[#Headers],[Is in leaching zone]],0)</calculatedColumnFormula>
    </tableColumn>
    <tableColumn id="2" xr3:uid="{269C2655-5902-4A7B-8BA1-DFD2E5DADAD7}"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BB50AC9-02F5-47EA-92A4-E30A8F2CDA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FC37806-D141-4899-A4BD-A8ABAD58A7FC}" name="Production system j">
      <calculatedColumnFormula array="1">Common_InputFunctions.Utility_DisplayArrayInTable(Common_SourceData.Common_SourceData_EFN2O_Data(), Table_SourceData_Common_EFN2O[[#Headers],[Production system j]], 0)</calculatedColumnFormula>
    </tableColumn>
    <tableColumn id="2" xr3:uid="{14869C20-E8C3-47C8-A847-FF3CCF4EFE2C}" name="EFN2O">
      <calculatedColumnFormula array="1">Common_InputFunctions.Utility_DisplayArrayInTable(Common_SourceData.Common_SourceData_EFN2O_Data(), Table_SourceData_Common_EFN2O[[#Headers],[Production system j]], 0)</calculatedColumnFormula>
    </tableColumn>
    <tableColumn id="3" xr3:uid="{E85502C0-C9B5-4B7E-830E-4EB3810AA827}" name="Production system only">
      <calculatedColumnFormula array="1">Common_InputFunctions.Utility_DisplayArrayInTable(Common_SourceData.Common_SourceData_EFN2O_Data(), Table_SourceData_Common_EFN2O[[#Headers],[Production system j]], 0)</calculatedColumnFormula>
    </tableColumn>
    <tableColumn id="4" xr3:uid="{99EB316A-2134-470A-9405-5606D97F8BC6}" name="Irrigation method">
      <calculatedColumnFormula array="1">Common_InputFunctions.Utility_DisplayArrayInTable(Common_SourceData.Common_SourceData_EFN2O_Data(), Table_SourceData_Common_EFN2O[[#Headers],[Production system j]], 0)</calculatedColumnFormula>
    </tableColumn>
    <tableColumn id="5" xr3:uid="{D5373DE8-3F33-4908-8B23-503F9DCB593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881BCB5-E20A-40F7-9688-570E8419DD2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4D43B8B-75F9-4162-9CCE-D1E4C8AFEAE1}" name="Irrigation type i">
      <calculatedColumnFormula array="1">Common_InputFunctions.Utility_DisplayArrayInTable(Common_SourceData.Common_SourceData_FracWETIrrigation_Data(), Table_SourceData_FracWETIrrigation[[#Headers],[Irrigation type i]], 0)</calculatedColumnFormula>
    </tableColumn>
    <tableColumn id="2" xr3:uid="{01C73BC3-D8AF-4E26-9BDD-992DC124FF48}"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13775CC-849E-43A4-8067-1E93BE383F6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0135C64-981E-42DE-AD55-B9C89F3F4B9E}"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783DD98-27DE-47E6-8BCD-F7237704841C}"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8668388-68F6-48E1-BF02-12A39DAE49D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EAD7A6C-C9F9-4C51-989E-DE4080A2849C}" name="Month">
      <calculatedColumnFormula array="1">Common_InputFunctions.Utility_DisplayArrayInTable(Common_SourceData.Common_SourceData_MonthsToSeasons_Data(), Table_SourceData_Common_MonthToSeason[[#Headers],[Month]], 0)</calculatedColumnFormula>
    </tableColumn>
    <tableColumn id="2" xr3:uid="{C63A9FC0-656D-4CFF-A096-D43F2CDFDDBE}"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B7DC37C-E15E-43D9-9AF9-AB31797774E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E64ADE5-6FA4-42B3-ABD4-D7193A5137E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58BD6D7-7B55-4F4B-80D5-34C8E1778C7C}"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199DBFB-8E87-4693-B5BD-405C5A892C2B}"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D7B9966-8FA0-44A9-94D0-9514C7F577CE}"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1BD9FEB-788F-4844-A71C-E5C58AD4110B}"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8B2BE4B-9943-40D8-AC14-D8D4927EF10A}"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63697D9-6582-4F80-8454-EF209259E92C}"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A1D0F4C-5313-47F4-AC70-26E5E01BE212}"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1F9D3E6-1F72-462E-95DD-0CD72808DDCA}"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4BA8FEAD-0E09-4C0D-86DA-260F8276A1AA}"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D2700ED-581F-4384-981F-D8FB0E72EA1B}"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F21037D-FB61-4065-B277-EC90AD2F4CEF}"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7050E6-D05C-46C6-BB94-64276D5986C8}"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B2D3346-C68A-4E0E-AC51-F32EB19DF39B}"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DB0D3E8-3CCE-4D93-87FE-453FC9118BFA}"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491F767-B6F1-4EAF-9546-4754B46788A7}"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9BA8F05-E723-40B3-B60A-67DA1870553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85A76DE-267B-43F4-A0D3-5D4E85A474C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5969726-1D0F-4741-B2E4-58D0A856BABF}"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215</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234</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214</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216</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108</v>
      </c>
      <c r="E6" s="113" t="s">
        <v>192</v>
      </c>
      <c r="F6" s="113" t="s">
        <v>193</v>
      </c>
      <c r="G6" s="113" t="s">
        <v>122</v>
      </c>
      <c r="H6" s="113" t="s">
        <v>194</v>
      </c>
      <c r="I6" s="113" t="s">
        <v>195</v>
      </c>
      <c r="J6" s="113" t="s">
        <v>123</v>
      </c>
      <c r="K6" s="24"/>
    </row>
    <row r="7" spans="1:11" ht="20.100000000000001" customHeight="1" x14ac:dyDescent="0.25">
      <c r="A7" s="20" t="s">
        <v>1</v>
      </c>
      <c r="C7" s="24"/>
      <c r="D7" s="1" t="s">
        <v>233</v>
      </c>
      <c r="E7" s="111">
        <f>VEERG_3_3_1_1__1_TotalAnnualMethaneFromEntericFermentationVariation_Result_Method1</f>
        <v>13.505469968333362</v>
      </c>
      <c r="F7" s="111">
        <f>VEERG_3_3_1_1__1_TotalAnnualMethaneFromEntericFermentationVariation_Result_Method2</f>
        <v>13.505469968333362</v>
      </c>
      <c r="G7" s="56" t="str">
        <f>'3.3.1.1-2 Enteric Methane'!$F$182</f>
        <v>t CH4</v>
      </c>
      <c r="H7" s="111">
        <f>'3.3.1.1-2 Enteric Methane'!E187</f>
        <v>378.15315911333414</v>
      </c>
      <c r="I7" s="111">
        <f>'3.3.1.1-2 Enteric Methane'!N187</f>
        <v>378.15315911333414</v>
      </c>
      <c r="J7" s="56" t="s">
        <v>190</v>
      </c>
      <c r="K7" s="24"/>
    </row>
    <row r="8" spans="1:11" ht="20.100000000000001" customHeight="1" x14ac:dyDescent="0.3">
      <c r="A8" s="17" t="str">
        <f>HYPERLINK("#'Input - Site'!A1", "Site")</f>
        <v>Site</v>
      </c>
      <c r="C8" s="24"/>
      <c r="D8" s="31" t="s">
        <v>121</v>
      </c>
      <c r="E8" s="25"/>
      <c r="F8" s="25"/>
      <c r="G8" s="31"/>
      <c r="H8" s="112">
        <f>SUM(H7)</f>
        <v>378.15315911333414</v>
      </c>
      <c r="I8" s="112">
        <f>SUM(I7:I7)</f>
        <v>378.15315911333414</v>
      </c>
      <c r="J8" s="107" t="s">
        <v>190</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2"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DATE(YEAR(X_Cell_Site_StartDate)+1,MONTH(X_Cell_Site_StartDate),DAY(X_Cell_Site_StartDate))-1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252</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X_Cell_Site_TotalRainfall/X_Cell_Site_PotentialEvapotranspiration</f>
        <v>0.45324283559577677</v>
      </c>
      <c r="F29" s="2"/>
    </row>
    <row r="30" spans="1:25" ht="20.100000000000001" customHeight="1" x14ac:dyDescent="0.25">
      <c r="A30"/>
      <c r="D30" s="10" t="s">
        <v>33</v>
      </c>
      <c r="E30" s="54" t="str">
        <f>Common_InputFunctions.Utility_LookupItemFromMinMax(X_Cell_Site_TotalRainfall,Table_SourceData_RainfallZones[Min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Common_InputFunctions.Utility_LookupValueInTable(X_Cell_Site_ClimateZone,Table_SourceData_WetDryZones[Climate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Common_InputFunctions.Utility_LookupItemFromMinMax(X_Cell_Site_AverageTemperature,Table_SourceData_TemperatureZones[Min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34" workbookViewId="0">
      <selection activeCell="E52" sqref="E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148</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95</v>
      </c>
      <c r="N5" s="3"/>
      <c r="R5" s="7"/>
    </row>
    <row r="6" spans="1:23" ht="20.100000000000001" customHeight="1" x14ac:dyDescent="0.25">
      <c r="A6" s="16"/>
      <c r="N6" s="3"/>
      <c r="R6" s="7"/>
    </row>
    <row r="7" spans="1:23" ht="20.100000000000001" customHeight="1" x14ac:dyDescent="0.25">
      <c r="A7" s="20" t="s">
        <v>1</v>
      </c>
      <c r="D7" s="1" t="s">
        <v>126</v>
      </c>
      <c r="E7" s="42" t="s">
        <v>162</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127</v>
      </c>
      <c r="F9" s="41" t="s">
        <v>144</v>
      </c>
      <c r="G9" s="41" t="s">
        <v>145</v>
      </c>
      <c r="H9" s="41" t="s">
        <v>146</v>
      </c>
      <c r="I9" s="41" t="s">
        <v>147</v>
      </c>
      <c r="R9" s="7"/>
    </row>
    <row r="10" spans="1:23" ht="20.100000000000001" customHeight="1" x14ac:dyDescent="0.25">
      <c r="A10" s="17"/>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97</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159</v>
      </c>
      <c r="R12" s="7"/>
    </row>
    <row r="13" spans="1:23" ht="20.100000000000001" customHeight="1" x14ac:dyDescent="0.25">
      <c r="A13" s="17"/>
      <c r="D13" s="64" t="s">
        <v>157</v>
      </c>
      <c r="E13" s="41" t="s">
        <v>127</v>
      </c>
      <c r="F13" s="41" t="s">
        <v>144</v>
      </c>
      <c r="G13" s="41" t="s">
        <v>145</v>
      </c>
      <c r="H13" s="41" t="s">
        <v>146</v>
      </c>
      <c r="I13" s="41" t="s">
        <v>147</v>
      </c>
      <c r="R13" s="40"/>
    </row>
    <row r="14" spans="1:23" ht="20.100000000000001" customHeight="1" x14ac:dyDescent="0.25">
      <c r="A14" s="18" t="s">
        <v>2</v>
      </c>
      <c r="D14" s="1" t="s">
        <v>160</v>
      </c>
      <c r="E14" s="54">
        <f>Common_InputFunctions.Utility_LookupValueInTableNumber(X_Cell_Dairy_Breed, Table_SourceData_Dairy_WjCowsHeifers[Breed],Table_SourceData_Dairy_WjCowsHeifers[Milking cows])</f>
        <v>550</v>
      </c>
      <c r="F14" s="54">
        <v>0</v>
      </c>
      <c r="G14" s="54">
        <v>0</v>
      </c>
      <c r="H14" s="54">
        <v>0</v>
      </c>
      <c r="I14" s="54">
        <v>0</v>
      </c>
      <c r="J14" s="2" t="s">
        <v>149</v>
      </c>
      <c r="K14" s="2"/>
      <c r="L14" s="2"/>
      <c r="M14" s="2"/>
      <c r="R14" s="40"/>
    </row>
    <row r="15" spans="1:23" ht="20.100000000000001" customHeight="1" x14ac:dyDescent="0.25">
      <c r="A15" s="17" t="str">
        <f>HYPERLINK("#'Constants - Dairy'!A1", "Constants - Dairy")</f>
        <v>Constants - Dairy</v>
      </c>
      <c r="D15" s="1" t="s">
        <v>161</v>
      </c>
      <c r="E15" s="54" cm="1">
        <f t="array" ref="E15">Table_SourceData_Dairy_LWGj[Milking cows]</f>
        <v>1.6E-2</v>
      </c>
      <c r="F15" s="54">
        <v>0</v>
      </c>
      <c r="G15" s="54">
        <v>0</v>
      </c>
      <c r="H15" s="54">
        <v>0</v>
      </c>
      <c r="I15" s="54">
        <v>0</v>
      </c>
      <c r="J15" s="2" t="s">
        <v>150</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156</v>
      </c>
      <c r="E17" s="41" t="s">
        <v>127</v>
      </c>
      <c r="F17" s="41" t="s">
        <v>144</v>
      </c>
      <c r="G17" s="41" t="s">
        <v>145</v>
      </c>
      <c r="H17" s="41" t="s">
        <v>146</v>
      </c>
      <c r="I17" s="41" t="s">
        <v>147</v>
      </c>
      <c r="R17" s="7"/>
    </row>
    <row r="18" spans="1:18" ht="20.100000000000001" customHeight="1" x14ac:dyDescent="0.25">
      <c r="A18" s="17" t="str">
        <f>HYPERLINK("#'Acknowledgements'!A1", "Acknowledgements")</f>
        <v>Acknowledgements</v>
      </c>
      <c r="D18" s="1" t="s">
        <v>160</v>
      </c>
      <c r="E18" s="67">
        <f>Common_InputFunctions.Utility_LookupValueInTableNumber(X_Cell_Dairy_Breed, Table_SourceData_Dairy_WjCowsHeifers[Breed],Table_SourceData_Dairy_WjCowsHeifers[Milking cows])</f>
        <v>550</v>
      </c>
      <c r="F18" s="67">
        <v>0</v>
      </c>
      <c r="G18" s="67">
        <v>0</v>
      </c>
      <c r="H18" s="67">
        <v>0</v>
      </c>
      <c r="I18" s="67">
        <v>0</v>
      </c>
      <c r="J18" s="2" t="s">
        <v>149</v>
      </c>
      <c r="K18" s="2"/>
      <c r="L18" s="2"/>
      <c r="M18" s="2"/>
      <c r="R18" s="7"/>
    </row>
    <row r="19" spans="1:18" ht="20.100000000000001" customHeight="1" x14ac:dyDescent="0.25">
      <c r="D19" s="1" t="s">
        <v>161</v>
      </c>
      <c r="E19" s="67" cm="1">
        <f t="array" ref="E19">Table_SourceData_Dairy_LWGj[Milking cows]</f>
        <v>1.6E-2</v>
      </c>
      <c r="F19" s="67">
        <v>0</v>
      </c>
      <c r="G19" s="67">
        <v>0</v>
      </c>
      <c r="H19" s="67">
        <v>0</v>
      </c>
      <c r="I19" s="67">
        <v>0</v>
      </c>
      <c r="J19" s="2" t="s">
        <v>150</v>
      </c>
      <c r="K19" s="2"/>
      <c r="L19" s="2"/>
      <c r="M19" s="2"/>
      <c r="R19" s="7"/>
    </row>
    <row r="20" spans="1:18" ht="20.100000000000001" customHeight="1" x14ac:dyDescent="0.25">
      <c r="R20" s="7"/>
    </row>
    <row r="21" spans="1:18" ht="20.100000000000001" customHeight="1" x14ac:dyDescent="0.25">
      <c r="D21" s="50" t="s">
        <v>96</v>
      </c>
      <c r="R21" s="7"/>
    </row>
    <row r="22" spans="1:18" ht="20.100000000000001" customHeight="1" x14ac:dyDescent="0.25">
      <c r="R22" s="7"/>
    </row>
    <row r="23" spans="1:18" ht="20.100000000000001" customHeight="1" x14ac:dyDescent="0.25">
      <c r="D23" s="64" t="s">
        <v>157</v>
      </c>
      <c r="E23" s="41" t="s">
        <v>127</v>
      </c>
      <c r="F23" s="41" t="s">
        <v>144</v>
      </c>
      <c r="G23" s="41" t="s">
        <v>145</v>
      </c>
      <c r="H23" s="41" t="s">
        <v>146</v>
      </c>
      <c r="I23" s="41" t="s">
        <v>147</v>
      </c>
      <c r="R23" s="7"/>
    </row>
    <row r="24" spans="1:18" ht="20.100000000000001" customHeight="1" x14ac:dyDescent="0.25">
      <c r="D24" s="1" t="str">
        <f>"Average duration of stay between " &amp; TEXT(X_Cell_Site_StartDate, "dd mmm yy") &amp; " and " &amp; TEXT(X_Cell_Site_EndDate,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v>0</v>
      </c>
      <c r="G24" s="54">
        <v>0</v>
      </c>
      <c r="H24" s="54">
        <v>0</v>
      </c>
      <c r="I24" s="54">
        <v>0</v>
      </c>
      <c r="J24" s="2" t="s">
        <v>52</v>
      </c>
      <c r="K24" s="2"/>
      <c r="L24" s="2"/>
      <c r="M24" s="2"/>
      <c r="R24" s="7"/>
    </row>
    <row r="25" spans="1:18" ht="20.100000000000001" customHeight="1" x14ac:dyDescent="0.25">
      <c r="D25" s="1" t="str">
        <f>"Average duration of stay between " &amp; TEXT(X_Cell_Site_StartDate, "dd mmm yy") &amp; " and " &amp; TEXT(X_Cell_Site_EndDate,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v>0</v>
      </c>
      <c r="H25" s="54">
        <v>0</v>
      </c>
      <c r="I25" s="54">
        <v>0</v>
      </c>
      <c r="J25" s="2" t="s">
        <v>52</v>
      </c>
      <c r="K25" s="2"/>
      <c r="L25" s="2"/>
      <c r="M25" s="2"/>
      <c r="R25" s="7"/>
    </row>
    <row r="26" spans="1:18" ht="20.100000000000001" customHeight="1" x14ac:dyDescent="0.25">
      <c r="R26" s="7"/>
    </row>
    <row r="27" spans="1:18" ht="20.100000000000001" customHeight="1" x14ac:dyDescent="0.25">
      <c r="D27" s="64" t="s">
        <v>156</v>
      </c>
      <c r="E27" s="41" t="s">
        <v>127</v>
      </c>
      <c r="F27" s="41" t="s">
        <v>144</v>
      </c>
      <c r="G27" s="41" t="s">
        <v>145</v>
      </c>
      <c r="H27" s="41" t="s">
        <v>146</v>
      </c>
      <c r="I27" s="41" t="s">
        <v>147</v>
      </c>
      <c r="R27" s="7"/>
    </row>
    <row r="28" spans="1:18" ht="20.100000000000001" customHeight="1" x14ac:dyDescent="0.25">
      <c r="D28" s="1" t="str">
        <f>"Average duration of stay between " &amp; TEXT(X_Cell_Site_StartDate, "dd mmm yy") &amp; " and " &amp; TEXT(X_Cell_Site_EndDate,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v>0</v>
      </c>
      <c r="G28" s="67">
        <v>0</v>
      </c>
      <c r="H28" s="67">
        <v>0</v>
      </c>
      <c r="I28" s="67">
        <v>0</v>
      </c>
      <c r="J28" s="2" t="s">
        <v>52</v>
      </c>
      <c r="K28" s="2"/>
      <c r="L28" s="2"/>
      <c r="M28" s="2"/>
      <c r="R28" s="7"/>
    </row>
    <row r="29" spans="1:18" ht="20.100000000000001" customHeight="1" x14ac:dyDescent="0.25">
      <c r="D29" s="1" t="str">
        <f>"Average duration of stay between " &amp; TEXT(X_Cell_Site_StartDate, "dd mmm yy") &amp; " and " &amp; TEXT(X_Cell_Site_EndDate, "dd mmm yy") &amp; " pre-weaned livestock"</f>
        <v>Average duration of stay between 01 Jan 24 and 31 Dec 24 pre-weaned livestock</v>
      </c>
      <c r="E29" s="54">
        <f>365-E28</f>
        <v>0</v>
      </c>
      <c r="F29" s="54">
        <v>0</v>
      </c>
      <c r="G29" s="54">
        <v>0</v>
      </c>
      <c r="H29" s="54">
        <v>0</v>
      </c>
      <c r="I29" s="54">
        <v>0</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158</v>
      </c>
      <c r="R33" s="7"/>
    </row>
    <row r="34" spans="1:18" ht="20.100000000000001" customHeight="1" x14ac:dyDescent="0.25">
      <c r="D34" s="50"/>
      <c r="R34" s="7"/>
    </row>
    <row r="35" spans="1:18" ht="20.100000000000001" customHeight="1" x14ac:dyDescent="0.25">
      <c r="D35" s="64" t="s">
        <v>157</v>
      </c>
      <c r="E35" s="41" t="s">
        <v>127</v>
      </c>
      <c r="F35" s="41" t="s">
        <v>144</v>
      </c>
      <c r="G35" s="41" t="s">
        <v>145</v>
      </c>
      <c r="H35" s="41" t="s">
        <v>146</v>
      </c>
      <c r="I35" s="41" t="s">
        <v>147</v>
      </c>
      <c r="R35" s="7"/>
    </row>
    <row r="36" spans="1:18" ht="20.100000000000001" customHeight="1" x14ac:dyDescent="0.25">
      <c r="D36" s="1" t="s">
        <v>16</v>
      </c>
      <c r="E36" s="54">
        <f>SourceData_Dairy_DryMatterDigestibility_Data</f>
        <v>0.75</v>
      </c>
      <c r="F36" s="54">
        <f>SourceData_Dairy_DryMatterDigestibility_Data</f>
        <v>0.75</v>
      </c>
      <c r="G36" s="54">
        <f>SourceData_Dairy_DryMatterDigestibility_Data</f>
        <v>0.75</v>
      </c>
      <c r="H36" s="54">
        <f>SourceData_Dairy_DryMatterDigestibility_Data</f>
        <v>0.75</v>
      </c>
      <c r="I36" s="54">
        <f>SourceData_Dairy_DryMatterDigestibility_Data</f>
        <v>0.75</v>
      </c>
      <c r="J36" s="2" t="s">
        <v>93</v>
      </c>
      <c r="K36" s="2"/>
      <c r="L36" s="2"/>
      <c r="M36" s="2"/>
      <c r="R36" s="7"/>
    </row>
    <row r="37" spans="1:18" ht="20.100000000000001" customHeight="1" x14ac:dyDescent="0.25">
      <c r="D37" s="1" t="s">
        <v>100</v>
      </c>
      <c r="E37" s="54">
        <f>SourceData_Dairy_CrudeProtein_Data</f>
        <v>0.2</v>
      </c>
      <c r="F37" s="54">
        <f>SourceData_Dairy_CrudeProtein_Data</f>
        <v>0.2</v>
      </c>
      <c r="G37" s="54">
        <f>SourceData_Dairy_CrudeProtein_Data</f>
        <v>0.2</v>
      </c>
      <c r="H37" s="54">
        <f>SourceData_Dairy_CrudeProtein_Data</f>
        <v>0.2</v>
      </c>
      <c r="I37" s="54">
        <f>SourceData_Dairy_CrudeProtein_Data</f>
        <v>0.2</v>
      </c>
      <c r="J37" s="2" t="s">
        <v>93</v>
      </c>
      <c r="K37" s="2"/>
      <c r="L37" s="2"/>
      <c r="M37" s="2"/>
      <c r="R37" s="7"/>
    </row>
    <row r="38" spans="1:18" ht="20.100000000000001" customHeight="1" x14ac:dyDescent="0.25">
      <c r="K38" s="2"/>
      <c r="L38" s="2"/>
      <c r="M38" s="2"/>
      <c r="R38" s="7"/>
    </row>
    <row r="39" spans="1:18" ht="20.100000000000001" customHeight="1" x14ac:dyDescent="0.25">
      <c r="A39" s="17"/>
      <c r="D39" s="64" t="s">
        <v>156</v>
      </c>
      <c r="E39" s="41" t="s">
        <v>127</v>
      </c>
      <c r="F39" s="41" t="s">
        <v>144</v>
      </c>
      <c r="G39" s="41" t="s">
        <v>145</v>
      </c>
      <c r="H39" s="41" t="s">
        <v>146</v>
      </c>
      <c r="I39" s="41" t="s">
        <v>147</v>
      </c>
      <c r="R39" s="7"/>
    </row>
    <row r="40" spans="1:18" ht="20.100000000000001" customHeight="1" x14ac:dyDescent="0.25">
      <c r="D40" s="1" t="s">
        <v>16</v>
      </c>
      <c r="E40" s="67">
        <f>SourceData_Dairy_DryMatterDigestibility_Data</f>
        <v>0.75</v>
      </c>
      <c r="F40" s="67">
        <f>SourceData_Dairy_DryMatterDigestibility_Data</f>
        <v>0.75</v>
      </c>
      <c r="G40" s="67">
        <f>SourceData_Dairy_DryMatterDigestibility_Data</f>
        <v>0.75</v>
      </c>
      <c r="H40" s="67">
        <f>SourceData_Dairy_DryMatterDigestibility_Data</f>
        <v>0.75</v>
      </c>
      <c r="I40" s="67">
        <f>SourceData_Dairy_DryMatterDigestibility_Data</f>
        <v>0.75</v>
      </c>
      <c r="J40" s="2" t="s">
        <v>93</v>
      </c>
      <c r="K40" s="2"/>
      <c r="R40" s="7"/>
    </row>
    <row r="41" spans="1:18" ht="20.100000000000001" customHeight="1" x14ac:dyDescent="0.25">
      <c r="A41" s="47"/>
      <c r="D41" s="1" t="s">
        <v>100</v>
      </c>
      <c r="E41" s="67">
        <f>SourceData_Dairy_CrudeProtein_Data</f>
        <v>0.2</v>
      </c>
      <c r="F41" s="67">
        <f>SourceData_Dairy_CrudeProtein_Data</f>
        <v>0.2</v>
      </c>
      <c r="G41" s="67">
        <f>SourceData_Dairy_CrudeProtein_Data</f>
        <v>0.2</v>
      </c>
      <c r="H41" s="67">
        <f>SourceData_Dairy_CrudeProtein_Data</f>
        <v>0.2</v>
      </c>
      <c r="I41" s="67">
        <f>SourceData_Dairy_CrudeProtein_Data</f>
        <v>0.2</v>
      </c>
      <c r="J41" s="2" t="s">
        <v>93</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151</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236</v>
      </c>
      <c r="E49" s="42" t="s">
        <v>249</v>
      </c>
      <c r="F49" s="2" t="s">
        <v>9</v>
      </c>
      <c r="H49" s="3"/>
      <c r="I49" s="3"/>
      <c r="J49" s="3"/>
      <c r="K49" s="3"/>
      <c r="L49" s="3"/>
      <c r="M49" s="3"/>
      <c r="R49" s="7"/>
    </row>
    <row r="50" spans="4:18" ht="20.100000000000001" customHeight="1" x14ac:dyDescent="0.25">
      <c r="R50" s="7"/>
    </row>
    <row r="51" spans="4:18" ht="20.100000000000001" customHeight="1" x14ac:dyDescent="0.25">
      <c r="E51" s="41" t="s">
        <v>127</v>
      </c>
      <c r="R51" s="7"/>
    </row>
    <row r="52" spans="4:18" ht="20.100000000000001" customHeight="1" x14ac:dyDescent="0.25">
      <c r="D52" s="1" t="s">
        <v>152</v>
      </c>
      <c r="E52" s="67">
        <f>6569/365</f>
        <v>17.997260273972604</v>
      </c>
      <c r="F52" s="2" t="str">
        <f>IF(X_Cell_Dairy_MilkProductionUnit="Litres of milk", "litres/head/day", "kg milk solids/head/day")</f>
        <v>litres/head/day</v>
      </c>
      <c r="R52" s="7"/>
    </row>
    <row r="53" spans="4:18" ht="20.100000000000001" customHeight="1" x14ac:dyDescent="0.25">
      <c r="E53" s="6"/>
      <c r="F53" s="6"/>
      <c r="R53" s="7"/>
    </row>
    <row r="54" spans="4:18" ht="20.100000000000001" customHeight="1" x14ac:dyDescent="0.25">
      <c r="D54" s="55" t="s">
        <v>246</v>
      </c>
      <c r="E54" s="41" t="s">
        <v>243</v>
      </c>
      <c r="F54" s="41" t="s">
        <v>244</v>
      </c>
      <c r="R54" s="7"/>
    </row>
    <row r="55" spans="4:18" ht="20.100000000000001" customHeight="1" x14ac:dyDescent="0.25">
      <c r="D55" s="1" t="s">
        <v>241</v>
      </c>
      <c r="E55" s="124">
        <f>SourceData_Dairy_FatContentInMilk_Data/100</f>
        <v>0.04</v>
      </c>
      <c r="F55" s="132">
        <f>SourceData_Dairy_FatContentInMilk_Data/100</f>
        <v>0.04</v>
      </c>
      <c r="G55" s="2" t="s">
        <v>245</v>
      </c>
      <c r="R55" s="7"/>
    </row>
    <row r="56" spans="4:18" ht="20.100000000000001" customHeight="1" x14ac:dyDescent="0.25">
      <c r="D56" s="1" t="s">
        <v>242</v>
      </c>
      <c r="E56" s="124">
        <f>SourceData_Dairy_ProteinContentInMilk_Data/100</f>
        <v>3.3000000000000002E-2</v>
      </c>
      <c r="F56" s="132">
        <f>SourceData_Dairy_ProteinContentInMilk_Data/100</f>
        <v>3.3000000000000002E-2</v>
      </c>
      <c r="G56" s="2" t="s">
        <v>245</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E36:J37 K36:M38 E40:K41 L41:M43 K42 O43:P43 N44 J85:J90 K89:M89 K95:M95 F98 J101:J106 K105:M105 K110:M110 K114:M114 K123:M123">
    <cfRule type="cellIs" dxfId="6" priority="30" operator="lessThan">
      <formula>0</formula>
    </cfRule>
  </conditionalFormatting>
  <conditionalFormatting sqref="E14:M15">
    <cfRule type="cellIs" dxfId="5" priority="2" operator="lessThan">
      <formula>0</formula>
    </cfRule>
  </conditionalFormatting>
  <conditionalFormatting sqref="E18:M19">
    <cfRule type="cellIs" dxfId="4" priority="1"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disablePrompts="1"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topLeftCell="A162" zoomScaleNormal="100" workbookViewId="0">
      <selection activeCell="E191" sqref="E19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217</v>
      </c>
      <c r="K1"/>
    </row>
    <row r="2" spans="1:19" s="9" customFormat="1" ht="20.100000000000001" customHeight="1" x14ac:dyDescent="0.25">
      <c r="K2"/>
    </row>
    <row r="3" spans="1:19" ht="20.100000000000001" customHeight="1" x14ac:dyDescent="0.25">
      <c r="A3" s="17" t="str">
        <f>HYPERLINK("#'Home'!A1", "Home")</f>
        <v>Home</v>
      </c>
      <c r="C3" s="4"/>
      <c r="D3" s="4" t="s">
        <v>103</v>
      </c>
      <c r="E3" s="4"/>
      <c r="F3" s="4"/>
      <c r="G3" s="4"/>
      <c r="H3" s="4"/>
      <c r="I3" s="4"/>
      <c r="J3" s="4"/>
      <c r="L3" s="4"/>
      <c r="M3" s="4" t="s">
        <v>104</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105</v>
      </c>
      <c r="M16" s="101" t="s">
        <v>107</v>
      </c>
    </row>
    <row r="17" spans="1:19" ht="20.100000000000001" customHeight="1" x14ac:dyDescent="0.25">
      <c r="A17" s="17" t="str">
        <f>HYPERLINK("#'Constants - Common'!A1", "Constants - Common")</f>
        <v>Constants - Common</v>
      </c>
      <c r="D17" s="100" t="s">
        <v>106</v>
      </c>
      <c r="M17" s="100" t="s">
        <v>184</v>
      </c>
    </row>
    <row r="18" spans="1:19" ht="20.100000000000001" customHeight="1" x14ac:dyDescent="0.25">
      <c r="A18" s="17" t="str">
        <f>HYPERLINK("#'Acknowledgements'!A1", "Acknowledgements")</f>
        <v>Acknowledgements</v>
      </c>
      <c r="D18" s="41" t="s">
        <v>127</v>
      </c>
      <c r="E18" s="41" t="s">
        <v>144</v>
      </c>
      <c r="F18" s="41" t="s">
        <v>145</v>
      </c>
      <c r="G18" s="41" t="s">
        <v>146</v>
      </c>
      <c r="H18" s="41" t="s">
        <v>147</v>
      </c>
      <c r="M18" s="41" t="s">
        <v>127</v>
      </c>
      <c r="N18" s="41" t="s">
        <v>144</v>
      </c>
      <c r="O18" s="41" t="s">
        <v>145</v>
      </c>
      <c r="P18" s="41" t="s">
        <v>146</v>
      </c>
      <c r="Q18" s="41" t="s">
        <v>147</v>
      </c>
    </row>
    <row r="19" spans="1:19" ht="20.100000000000001" customHeight="1" x14ac:dyDescent="0.25">
      <c r="D19" s="54">
        <f>INDEX(X_Table_Dairy_Diet_Method1,2,2)</f>
        <v>0.75</v>
      </c>
      <c r="E19" s="54">
        <f>INDEX(X_Table_Dairy_Diet_Method1,2,3)</f>
        <v>0.75</v>
      </c>
      <c r="F19" s="54">
        <f>INDEX(X_Table_Dairy_Diet_Method1,2,4)</f>
        <v>0.75</v>
      </c>
      <c r="G19" s="54">
        <f>INDEX(X_Table_Dairy_Diet_Method1,2,5)</f>
        <v>0.75</v>
      </c>
      <c r="H19" s="54">
        <f>INDEX(X_Table_Dairy_Diet_Method1,2,6)</f>
        <v>0.75</v>
      </c>
      <c r="I19" s="2" t="s">
        <v>173</v>
      </c>
      <c r="M19" s="54">
        <f>INDEX(X_Table_Dairy_Diet_Method2,2,2)</f>
        <v>0.75</v>
      </c>
      <c r="N19" s="54">
        <f>INDEX(X_Table_Dairy_Diet_Method2,2,3)</f>
        <v>0.75</v>
      </c>
      <c r="O19" s="54">
        <f>INDEX(X_Table_Dairy_Diet_Method2,2,4)</f>
        <v>0.75</v>
      </c>
      <c r="P19" s="54">
        <f>INDEX(X_Table_Dairy_Diet_Method2,2,5)</f>
        <v>0.75</v>
      </c>
      <c r="Q19" s="54">
        <f>INDEX(X_Table_Dairy_Diet_Method2,2,6)</f>
        <v>0.75</v>
      </c>
      <c r="R19" s="2" t="s">
        <v>173</v>
      </c>
    </row>
    <row r="20" spans="1:19" ht="20.100000000000001" customHeight="1" x14ac:dyDescent="0.25"/>
    <row r="21" spans="1:19" ht="20.100000000000001" customHeight="1" x14ac:dyDescent="0.25">
      <c r="D21" s="101" t="s">
        <v>174</v>
      </c>
      <c r="M21" s="101" t="s">
        <v>176</v>
      </c>
    </row>
    <row r="22" spans="1:19" ht="20.100000000000001" customHeight="1" x14ac:dyDescent="0.25">
      <c r="D22" s="100" t="s">
        <v>175</v>
      </c>
      <c r="M22" s="100" t="s">
        <v>177</v>
      </c>
    </row>
    <row r="23" spans="1:19" ht="20.100000000000001" customHeight="1" x14ac:dyDescent="0.25">
      <c r="D23" s="53" t="s">
        <v>127</v>
      </c>
      <c r="E23" s="53" t="s">
        <v>144</v>
      </c>
      <c r="F23" s="53" t="s">
        <v>145</v>
      </c>
      <c r="G23" s="53" t="s">
        <v>146</v>
      </c>
      <c r="H23" s="53" t="s">
        <v>147</v>
      </c>
      <c r="M23" s="53" t="s">
        <v>127</v>
      </c>
      <c r="N23" s="53" t="s">
        <v>144</v>
      </c>
      <c r="O23" s="53" t="s">
        <v>145</v>
      </c>
      <c r="P23" s="53" t="s">
        <v>146</v>
      </c>
      <c r="Q23" s="53" t="s">
        <v>147</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X_Cell_Dairy_MilkProductionUnit</f>
        <v>Litres of milk</v>
      </c>
      <c r="M37" s="122" t="str" cm="1">
        <f t="array" ref="M37:N40">_xlfn.CHOOSECOLS(EntericMethane_Dairy_Equations.VEERG_3_3_1_1__5_MilkProductionFromMilkSolids_Arguments_Method2(),1,2)</f>
        <v>MPU</v>
      </c>
      <c r="N37" s="121" t="str">
        <v>milk production unit</v>
      </c>
      <c r="O37" s="123"/>
      <c r="P37" s="122" t="str" cm="1">
        <f t="array" ref="P37:Q40">_xlfn.CHOOSECOLS(EntericMethane_Dairy_Equations.VEERG_3_3_1_1__5_MilkProductionFromMilkSolids_Arguments_Method2(),3,4)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20" t="str">
        <v>Input</v>
      </c>
      <c r="I39" s="122">
        <f>INDEX(X_Table_Dairy_MilkSolidAttributes,2,2)*100</f>
        <v>4</v>
      </c>
      <c r="M39" s="122" t="str">
        <v>FC_j</v>
      </c>
      <c r="N39" s="121" t="str">
        <v>fat content in fat and protein corrected milk</v>
      </c>
      <c r="O39" s="123"/>
      <c r="P39" s="122" t="str">
        <v>per cent</v>
      </c>
      <c r="Q39" s="120" t="str">
        <v>Input</v>
      </c>
      <c r="R39" s="122">
        <f>INDEX(X_Table_Dairy_MilkSolidAttributes,2,3)*100</f>
        <v>4</v>
      </c>
    </row>
    <row r="40" spans="4:18" ht="20.100000000000001" customHeight="1" x14ac:dyDescent="0.25">
      <c r="D40" s="122" t="str">
        <v>PC_j</v>
      </c>
      <c r="E40" s="122" t="str">
        <v>protein content in fat and protein corrected milk</v>
      </c>
      <c r="F40" s="122"/>
      <c r="G40" s="122" t="str">
        <v>per cent</v>
      </c>
      <c r="H40" s="120" t="str">
        <v>Input</v>
      </c>
      <c r="I40" s="122">
        <f>INDEX(X_Table_Dairy_MilkSolidAttributes,3,2)*100</f>
        <v>3.3000000000000003</v>
      </c>
      <c r="M40" s="122" t="str">
        <v>PC_j</v>
      </c>
      <c r="N40" s="122" t="str">
        <v>protein content in fat and protein corrected milk</v>
      </c>
      <c r="O40" s="122"/>
      <c r="P40" s="122" t="str">
        <v>per cent</v>
      </c>
      <c r="Q40" s="120" t="str">
        <v>Input</v>
      </c>
      <c r="R40" s="122">
        <f>INDEX(X_Table_Dairy_MilkSolidAttributes,3,3)*100</f>
        <v>3.3000000000000003</v>
      </c>
    </row>
    <row r="41" spans="4:18" ht="20.100000000000001" customHeight="1" x14ac:dyDescent="0.25"/>
    <row r="42" spans="4:18" ht="20.100000000000001" customHeight="1" x14ac:dyDescent="0.25">
      <c r="D42" s="101" t="s">
        <v>237</v>
      </c>
    </row>
    <row r="43" spans="4:18" ht="20.100000000000001" customHeight="1" x14ac:dyDescent="0.25">
      <c r="D43" s="100" t="s">
        <v>238</v>
      </c>
    </row>
    <row r="44" spans="4:18" ht="20.100000000000001" customHeight="1" x14ac:dyDescent="0.25">
      <c r="D44" s="41" t="s">
        <v>127</v>
      </c>
      <c r="E44" s="41" t="s">
        <v>144</v>
      </c>
      <c r="F44" s="41" t="s">
        <v>145</v>
      </c>
      <c r="G44" s="41" t="s">
        <v>146</v>
      </c>
      <c r="H44" s="41" t="s">
        <v>147</v>
      </c>
    </row>
    <row r="45" spans="4:18" ht="20.100000000000001" customHeight="1" x14ac:dyDescent="0.25">
      <c r="D45" s="54">
        <f>IF($I$37="Milk solids", X_Cell_Dairy_MilkProductionAmount, 0)</f>
        <v>0</v>
      </c>
      <c r="E45" s="54">
        <v>0</v>
      </c>
      <c r="F45" s="54">
        <v>0</v>
      </c>
      <c r="G45" s="54">
        <v>0</v>
      </c>
      <c r="H45" s="54">
        <v>0</v>
      </c>
      <c r="I45" s="2" t="s">
        <v>180</v>
      </c>
    </row>
    <row r="46" spans="4:18" ht="20.100000000000001" customHeight="1" x14ac:dyDescent="0.25"/>
    <row r="47" spans="4:18" ht="20.100000000000001" customHeight="1" x14ac:dyDescent="0.25">
      <c r="D47" s="101" t="s">
        <v>239</v>
      </c>
      <c r="M47" s="101" t="s">
        <v>247</v>
      </c>
    </row>
    <row r="48" spans="4:18" ht="20.100000000000001" customHeight="1" x14ac:dyDescent="0.25">
      <c r="D48" s="100" t="s">
        <v>240</v>
      </c>
      <c r="M48" s="100" t="s">
        <v>248</v>
      </c>
    </row>
    <row r="49" spans="1:19" ht="20.100000000000001" customHeight="1" x14ac:dyDescent="0.25">
      <c r="D49" s="53" t="s">
        <v>127</v>
      </c>
      <c r="E49" s="53" t="s">
        <v>144</v>
      </c>
      <c r="F49" s="53" t="s">
        <v>145</v>
      </c>
      <c r="G49" s="53" t="s">
        <v>146</v>
      </c>
      <c r="H49" s="53" t="s">
        <v>147</v>
      </c>
      <c r="M49" s="53" t="s">
        <v>127</v>
      </c>
      <c r="N49" s="53" t="s">
        <v>144</v>
      </c>
      <c r="O49" s="53" t="s">
        <v>145</v>
      </c>
      <c r="P49" s="53" t="s">
        <v>146</v>
      </c>
      <c r="Q49" s="53" t="s">
        <v>147</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180</v>
      </c>
      <c r="M50" s="54" cm="1">
        <f t="array" ref="M50">EntericMethane_Dairy_Equations.VEERG_3_3_1_1__5_MilkProductionFromMilkSolids(D45,R39,R40)</f>
        <v>0</v>
      </c>
      <c r="N50" s="54">
        <v>0</v>
      </c>
      <c r="O50" s="54">
        <v>0</v>
      </c>
      <c r="P50" s="54">
        <v>0</v>
      </c>
      <c r="Q50" s="54">
        <v>0</v>
      </c>
      <c r="R50" s="2" t="s">
        <v>180</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X_Cell_Dairy_MilkProductionUnit</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SourceData_Dairy_NetEnergy_Data</f>
        <v>3.0539999999999998</v>
      </c>
    </row>
    <row r="68" spans="4:18" ht="20.100000000000001" customHeight="1" x14ac:dyDescent="0.25">
      <c r="D68" s="122" t="str">
        <v>GEC</v>
      </c>
      <c r="E68" s="121" t="str">
        <v>gross energy content</v>
      </c>
      <c r="F68" s="123"/>
      <c r="G68" s="122" t="str">
        <v>MJ/kgDM</v>
      </c>
      <c r="H68" s="118" t="str">
        <v>Constant</v>
      </c>
      <c r="I68" s="122">
        <f>SourceData_Dairy_GrossEnergyContent_Data</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SourceData_Dairy_EfficiencyOfUseOfMetabolizableEnergy_Data</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183</v>
      </c>
    </row>
    <row r="73" spans="4:18" ht="20.100000000000001" customHeight="1" x14ac:dyDescent="0.25">
      <c r="D73" s="100" t="s">
        <v>151</v>
      </c>
    </row>
    <row r="74" spans="4:18" ht="20.100000000000001" customHeight="1" x14ac:dyDescent="0.25">
      <c r="D74" s="41" t="s">
        <v>127</v>
      </c>
      <c r="E74" s="41" t="s">
        <v>144</v>
      </c>
      <c r="F74" s="41" t="s">
        <v>145</v>
      </c>
      <c r="G74" s="41" t="s">
        <v>146</v>
      </c>
      <c r="H74" s="41" t="s">
        <v>147</v>
      </c>
    </row>
    <row r="75" spans="4:18" ht="20.100000000000001" customHeight="1" x14ac:dyDescent="0.25">
      <c r="D75" s="54">
        <f>IF(I64="Milk solids", 0, X_Cell_Dairy_MilkProductionAmount)</f>
        <v>17.997260273972604</v>
      </c>
      <c r="E75" s="54">
        <v>0</v>
      </c>
      <c r="F75" s="54">
        <v>0</v>
      </c>
      <c r="G75" s="54">
        <v>0</v>
      </c>
      <c r="H75" s="54">
        <v>0</v>
      </c>
      <c r="I75" s="2" t="s">
        <v>180</v>
      </c>
    </row>
    <row r="76" spans="4:18" ht="20.100000000000001" customHeight="1" x14ac:dyDescent="0.25"/>
    <row r="77" spans="4:18" ht="20.100000000000001" customHeight="1" x14ac:dyDescent="0.25">
      <c r="D77" s="101" t="s">
        <v>178</v>
      </c>
      <c r="M77" s="101" t="s">
        <v>181</v>
      </c>
    </row>
    <row r="78" spans="4:18" ht="20.100000000000001" customHeight="1" x14ac:dyDescent="0.25">
      <c r="D78" s="100" t="s">
        <v>179</v>
      </c>
      <c r="M78" s="100" t="s">
        <v>182</v>
      </c>
    </row>
    <row r="79" spans="4:18" ht="20.100000000000001" customHeight="1" x14ac:dyDescent="0.25">
      <c r="D79" s="53" t="s">
        <v>127</v>
      </c>
      <c r="E79" s="53" t="s">
        <v>144</v>
      </c>
      <c r="F79" s="53" t="s">
        <v>145</v>
      </c>
      <c r="G79" s="53" t="s">
        <v>146</v>
      </c>
      <c r="H79" s="53" t="s">
        <v>147</v>
      </c>
      <c r="M79" s="53" t="s">
        <v>127</v>
      </c>
      <c r="N79" s="53" t="s">
        <v>144</v>
      </c>
      <c r="O79" s="53" t="s">
        <v>145</v>
      </c>
      <c r="P79" s="53" t="s">
        <v>146</v>
      </c>
      <c r="Q79" s="53" t="s">
        <v>147</v>
      </c>
    </row>
    <row r="80" spans="4:18" ht="20.100000000000001" customHeight="1" x14ac:dyDescent="0.25">
      <c r="D80" s="54" cm="1">
        <f t="array" ref="D80">EntericMethane_Dairy_Equations.VEERG_3_3_1_1__4_AdditionalIntakeForMilkProduction(IF(I64="Milk solids", D50, D75),$I$67,$I$68,$I$69,D24)</f>
        <v>8.6205726359911861</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8.6205726359911861</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163</v>
      </c>
      <c r="M97" s="101" t="s">
        <v>165</v>
      </c>
    </row>
    <row r="98" spans="1:18" ht="20.100000000000001" customHeight="1" x14ac:dyDescent="0.25">
      <c r="D98" s="100" t="s">
        <v>164</v>
      </c>
      <c r="M98" s="100" t="s">
        <v>166</v>
      </c>
    </row>
    <row r="99" spans="1:18" ht="20.100000000000001" customHeight="1" x14ac:dyDescent="0.25">
      <c r="D99" s="41" t="s">
        <v>127</v>
      </c>
      <c r="E99" s="41" t="s">
        <v>144</v>
      </c>
      <c r="F99" s="41" t="s">
        <v>145</v>
      </c>
      <c r="G99" s="41" t="s">
        <v>146</v>
      </c>
      <c r="H99" s="41" t="s">
        <v>147</v>
      </c>
      <c r="M99" s="41" t="s">
        <v>127</v>
      </c>
      <c r="N99" s="41" t="s">
        <v>144</v>
      </c>
      <c r="O99" s="41" t="s">
        <v>145</v>
      </c>
      <c r="P99" s="41" t="s">
        <v>146</v>
      </c>
      <c r="Q99" s="41" t="s">
        <v>147</v>
      </c>
    </row>
    <row r="100" spans="1:18" ht="20.100000000000001" customHeight="1" x14ac:dyDescent="0.25">
      <c r="D100" s="54">
        <f>'Input - Dairy'!$E$14</f>
        <v>550</v>
      </c>
      <c r="E100" s="54">
        <f>'Input - Dairy'!$F$14</f>
        <v>0</v>
      </c>
      <c r="F100" s="54">
        <f>'Input - Dairy'!$G$14</f>
        <v>0</v>
      </c>
      <c r="G100" s="54">
        <f>'Input - Dairy'!$H$14</f>
        <v>0</v>
      </c>
      <c r="H100" s="54">
        <f>'Input - Dairy'!$I$14</f>
        <v>0</v>
      </c>
      <c r="I100" s="2" t="s">
        <v>149</v>
      </c>
      <c r="M100" s="54">
        <f>'Input - Dairy'!$E$18</f>
        <v>550</v>
      </c>
      <c r="N100" s="54">
        <f>'Input - Dairy'!$F$18</f>
        <v>0</v>
      </c>
      <c r="O100" s="54">
        <f>'Input - Dairy'!$G$18</f>
        <v>0</v>
      </c>
      <c r="P100" s="54">
        <f>'Input - Dairy'!$H$18</f>
        <v>0</v>
      </c>
      <c r="Q100" s="54">
        <f>'Input - Dairy'!$I$18</f>
        <v>0</v>
      </c>
      <c r="R100" s="2" t="s">
        <v>149</v>
      </c>
    </row>
    <row r="101" spans="1:18" ht="20.100000000000001" customHeight="1" x14ac:dyDescent="0.25"/>
    <row r="102" spans="1:18" ht="20.100000000000001" customHeight="1" x14ac:dyDescent="0.25">
      <c r="D102" s="101" t="s">
        <v>167</v>
      </c>
      <c r="M102" s="101" t="s">
        <v>169</v>
      </c>
    </row>
    <row r="103" spans="1:18" ht="20.100000000000001" customHeight="1" x14ac:dyDescent="0.25">
      <c r="D103" s="100" t="s">
        <v>168</v>
      </c>
      <c r="M103" s="100" t="s">
        <v>170</v>
      </c>
    </row>
    <row r="104" spans="1:18" ht="20.100000000000001" customHeight="1" x14ac:dyDescent="0.25">
      <c r="D104" s="41" t="s">
        <v>127</v>
      </c>
      <c r="E104" s="41" t="s">
        <v>144</v>
      </c>
      <c r="F104" s="41" t="s">
        <v>145</v>
      </c>
      <c r="G104" s="41" t="s">
        <v>146</v>
      </c>
      <c r="H104" s="41" t="s">
        <v>147</v>
      </c>
      <c r="M104" s="41" t="s">
        <v>127</v>
      </c>
      <c r="N104" s="41" t="s">
        <v>144</v>
      </c>
      <c r="O104" s="41" t="s">
        <v>145</v>
      </c>
      <c r="P104" s="41" t="s">
        <v>146</v>
      </c>
      <c r="Q104" s="41" t="s">
        <v>147</v>
      </c>
    </row>
    <row r="105" spans="1:18" ht="20.100000000000001" customHeight="1" x14ac:dyDescent="0.25">
      <c r="A105" s="125" t="str">
        <f>HYPERLINK("#A1", "▲ Back to top")</f>
        <v>▲ Back to top</v>
      </c>
      <c r="D105" s="54">
        <f>'Input - Dairy'!$E$15</f>
        <v>1.6E-2</v>
      </c>
      <c r="E105" s="54">
        <f>'Input - Dairy'!$F$15</f>
        <v>0</v>
      </c>
      <c r="F105" s="54">
        <f>'Input - Dairy'!$G$15</f>
        <v>0</v>
      </c>
      <c r="G105" s="54">
        <f>'Input - Dairy'!$H$15</f>
        <v>0</v>
      </c>
      <c r="H105" s="54">
        <f>'Input - Dairy'!$I$15</f>
        <v>0</v>
      </c>
      <c r="I105" s="2" t="s">
        <v>150</v>
      </c>
      <c r="M105" s="54">
        <f>'Input - Dairy'!$E$19</f>
        <v>1.6E-2</v>
      </c>
      <c r="N105" s="54">
        <f>'Input - Dairy'!$F$19</f>
        <v>0</v>
      </c>
      <c r="O105" s="54">
        <f>'Input - Dairy'!$G$19</f>
        <v>0</v>
      </c>
      <c r="P105" s="54">
        <f>'Input - Dairy'!$H$19</f>
        <v>0</v>
      </c>
      <c r="Q105" s="54">
        <f>'Input - Dairy'!$I$19</f>
        <v>0</v>
      </c>
      <c r="R105" s="2" t="s">
        <v>150</v>
      </c>
    </row>
    <row r="106" spans="1:18" ht="20.100000000000001" customHeight="1" x14ac:dyDescent="0.25"/>
    <row r="107" spans="1:18" ht="20.100000000000001" customHeight="1" x14ac:dyDescent="0.25">
      <c r="D107" s="101" t="s">
        <v>171</v>
      </c>
    </row>
    <row r="108" spans="1:18" ht="20.100000000000001" customHeight="1" x14ac:dyDescent="0.25">
      <c r="D108" s="100" t="s">
        <v>172</v>
      </c>
    </row>
    <row r="109" spans="1:18" ht="20.100000000000001" customHeight="1" x14ac:dyDescent="0.25">
      <c r="D109" s="53" t="s">
        <v>127</v>
      </c>
      <c r="E109" s="53" t="s">
        <v>144</v>
      </c>
      <c r="F109" s="53" t="s">
        <v>145</v>
      </c>
      <c r="G109" s="53" t="s">
        <v>146</v>
      </c>
      <c r="H109" s="53" t="s">
        <v>147</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101</v>
      </c>
      <c r="M112" s="101" t="s">
        <v>102</v>
      </c>
    </row>
    <row r="113" spans="3:19" ht="20.100000000000001" customHeight="1" x14ac:dyDescent="0.25">
      <c r="D113" s="100" t="s">
        <v>186</v>
      </c>
      <c r="M113" s="100" t="s">
        <v>185</v>
      </c>
    </row>
    <row r="114" spans="3:19" ht="20.100000000000001" customHeight="1" x14ac:dyDescent="0.25">
      <c r="D114" s="53" t="s">
        <v>127</v>
      </c>
      <c r="E114" s="53" t="s">
        <v>144</v>
      </c>
      <c r="F114" s="53" t="s">
        <v>145</v>
      </c>
      <c r="G114" s="53" t="s">
        <v>146</v>
      </c>
      <c r="H114" s="53" t="s">
        <v>147</v>
      </c>
      <c r="M114" s="53" t="s">
        <v>127</v>
      </c>
      <c r="N114" s="53" t="s">
        <v>144</v>
      </c>
      <c r="O114" s="53" t="s">
        <v>145</v>
      </c>
      <c r="P114" s="53" t="s">
        <v>146</v>
      </c>
      <c r="Q114" s="53" t="s">
        <v>147</v>
      </c>
    </row>
    <row r="115" spans="3:19" ht="20.100000000000001" customHeight="1" x14ac:dyDescent="0.25">
      <c r="D115" s="54" cm="1">
        <f t="array" ref="D115">EntericMethane_Dairy_Equations.VEERG_3_3_1_1__3_DryMatterFeedIntake(D100,D105,D110,D80)</f>
        <v>17.875018156751189</v>
      </c>
      <c r="E115" s="54" cm="1">
        <f t="array" ref="E115">EntericMethane_Dairy_Equations.VEERG_3_3_1_1__3_DryMatterFeedIntake(E100,E105,E110,E80)</f>
        <v>1.4042250000000001</v>
      </c>
      <c r="F115" s="54" cm="1">
        <f t="array" ref="F115">EntericMethane_Dairy_Equations.VEERG_3_3_1_1__3_DryMatterFeedIntake(F100,F105,F110,F80)</f>
        <v>1.4042250000000001</v>
      </c>
      <c r="G115" s="54" cm="1">
        <f t="array" ref="G115">EntericMethane_Dairy_Equations.VEERG_3_3_1_1__3_DryMatterFeedIntake(G100,G105,G110,G80)</f>
        <v>1.4042250000000001</v>
      </c>
      <c r="H115" s="54" cm="1">
        <f t="array" ref="H115">EntericMethane_Dairy_Equations.VEERG_3_3_1_1__3_DryMatterFeedIntake(H100,H105,H110,H80)</f>
        <v>1.4042250000000001</v>
      </c>
      <c r="I115" s="2" t="str">
        <f>$E$90</f>
        <v>kg DM/head/day</v>
      </c>
      <c r="M115" s="54" cm="1">
        <f t="array" ref="M115">EntericMethane_Dairy_Equations.VEERG_3_3_1_1__3_DryMatterFeedIntake(M100,M105,D110,M80)</f>
        <v>17.875018156751189</v>
      </c>
      <c r="N115" s="54" cm="1">
        <f t="array" ref="N115">EntericMethane_Dairy_Equations.VEERG_3_3_1_1__3_DryMatterFeedIntake(N100,N105,E110,N80)</f>
        <v>1.4042250000000001</v>
      </c>
      <c r="O115" s="54" cm="1">
        <f t="array" ref="O115">EntericMethane_Dairy_Equations.VEERG_3_3_1_1__3_DryMatterFeedIntake(O100,O105,F110,O80)</f>
        <v>1.4042250000000001</v>
      </c>
      <c r="P115" s="54" cm="1">
        <f t="array" ref="P115">EntericMethane_Dairy_Equations.VEERG_3_3_1_1__3_DryMatterFeedIntake(P100,P105,G110,P80)</f>
        <v>1.4042250000000001</v>
      </c>
      <c r="Q115" s="54" cm="1">
        <f t="array" ref="Q115">EntericMethane_Dairy_Equations.VEERG_3_3_1_1__3_DryMatterFeedIntake(Q100,Q105,H110,Q80)</f>
        <v>1.4042250000000001</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218</v>
      </c>
      <c r="M129" s="101" t="s">
        <v>220</v>
      </c>
    </row>
    <row r="130" spans="3:19" ht="20.100000000000001" customHeight="1" x14ac:dyDescent="0.25">
      <c r="D130" s="100" t="s">
        <v>219</v>
      </c>
      <c r="M130" s="100" t="s">
        <v>221</v>
      </c>
    </row>
    <row r="131" spans="3:19" ht="20.100000000000001" customHeight="1" x14ac:dyDescent="0.25">
      <c r="D131" s="53" t="s">
        <v>127</v>
      </c>
      <c r="E131" s="53" t="s">
        <v>144</v>
      </c>
      <c r="F131" s="53" t="s">
        <v>145</v>
      </c>
      <c r="G131" s="53" t="s">
        <v>146</v>
      </c>
      <c r="H131" s="53" t="s">
        <v>147</v>
      </c>
      <c r="M131" s="53" t="s">
        <v>127</v>
      </c>
      <c r="N131" s="53" t="s">
        <v>144</v>
      </c>
      <c r="O131" s="53" t="s">
        <v>145</v>
      </c>
      <c r="P131" s="53" t="s">
        <v>146</v>
      </c>
      <c r="Q131" s="53" t="s">
        <v>147</v>
      </c>
    </row>
    <row r="132" spans="3:19" ht="20.100000000000001" customHeight="1" x14ac:dyDescent="0.25">
      <c r="D132" s="54" cm="1">
        <f t="array" ref="D132">EntericMethane_Dairy_Equations.VEERG_3_3_1_1__2_DailyEntericMethaneProduction(D115)</f>
        <v>0.37001287584474962</v>
      </c>
      <c r="E132" s="54" cm="1">
        <f t="array" ref="E132">EntericMethane_Dairy_Equations.VEERG_3_3_1_1__2_DailyEntericMethaneProduction(E115)</f>
        <v>2.9067457500000001E-2</v>
      </c>
      <c r="F132" s="54" cm="1">
        <f t="array" ref="F132">EntericMethane_Dairy_Equations.VEERG_3_3_1_1__2_DailyEntericMethaneProduction(F115)</f>
        <v>2.9067457500000001E-2</v>
      </c>
      <c r="G132" s="54" cm="1">
        <f t="array" ref="G132">EntericMethane_Dairy_Equations.VEERG_3_3_1_1__2_DailyEntericMethaneProduction(G115)</f>
        <v>2.9067457500000001E-2</v>
      </c>
      <c r="H132" s="54" cm="1">
        <f t="array" ref="H132">EntericMethane_Dairy_Equations.VEERG_3_3_1_1__2_DailyEntericMethaneProduction(H115)</f>
        <v>2.9067457500000001E-2</v>
      </c>
      <c r="I132" s="2" t="str">
        <f>$E$125</f>
        <v>kg CH4/head/day</v>
      </c>
      <c r="M132" s="54" cm="1">
        <f t="array" ref="M132">EntericMethane_Dairy_Equations.VEERG_3_3_1_1__2_DailyEntericMethaneProduction(M115)</f>
        <v>0.37001287584474962</v>
      </c>
      <c r="N132" s="54" cm="1">
        <f t="array" ref="N132">EntericMethane_Dairy_Equations.VEERG_3_3_1_1__2_DailyEntericMethaneProduction(N115)</f>
        <v>2.9067457500000001E-2</v>
      </c>
      <c r="O132" s="54" cm="1">
        <f t="array" ref="O132">EntericMethane_Dairy_Equations.VEERG_3_3_1_1__2_DailyEntericMethaneProduction(O115)</f>
        <v>2.9067457500000001E-2</v>
      </c>
      <c r="P132" s="54" cm="1">
        <f t="array" ref="P132">EntericMethane_Dairy_Equations.VEERG_3_3_1_1__2_DailyEntericMethaneProduction(P115)</f>
        <v>2.9067457500000001E-2</v>
      </c>
      <c r="Q132" s="54" cm="1">
        <f t="array" ref="Q132">EntericMethane_Dairy_Equations.VEERG_3_3_1_1__2_DailyEntericMethaneProduction(Q115)</f>
        <v>2.9067457500000001E-2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98</v>
      </c>
    </row>
    <row r="158" spans="1:9" ht="20.100000000000001" customHeight="1" x14ac:dyDescent="0.25">
      <c r="D158" s="100" t="s">
        <v>222</v>
      </c>
    </row>
    <row r="159" spans="1:9" ht="20.100000000000001" customHeight="1" x14ac:dyDescent="0.25">
      <c r="D159" s="41" t="s">
        <v>127</v>
      </c>
      <c r="E159" s="41" t="s">
        <v>144</v>
      </c>
      <c r="F159" s="41" t="s">
        <v>145</v>
      </c>
      <c r="G159" s="41" t="s">
        <v>146</v>
      </c>
      <c r="H159" s="41" t="s">
        <v>147</v>
      </c>
    </row>
    <row r="160" spans="1:9" ht="20.100000000000001" customHeight="1" x14ac:dyDescent="0.25">
      <c r="D160" s="54">
        <f>'Input - Dairy'!E10</f>
        <v>100</v>
      </c>
      <c r="E160" s="54">
        <f>'Input - Dairy'!F10</f>
        <v>0</v>
      </c>
      <c r="F160" s="54">
        <f>'Input - Dairy'!G10</f>
        <v>0</v>
      </c>
      <c r="G160" s="54">
        <f>'Input - Dairy'!H10</f>
        <v>0</v>
      </c>
      <c r="H160" s="54">
        <f>'Input - Dairy'!I10</f>
        <v>0</v>
      </c>
      <c r="I160" s="56" t="str">
        <f>$G$148</f>
        <v>head</v>
      </c>
    </row>
    <row r="161" spans="4:18" ht="20.100000000000001" customHeight="1" x14ac:dyDescent="0.25"/>
    <row r="162" spans="4:18" ht="20.100000000000001" customHeight="1" x14ac:dyDescent="0.25">
      <c r="D162" s="101" t="s">
        <v>187</v>
      </c>
      <c r="M162" s="101" t="s">
        <v>188</v>
      </c>
    </row>
    <row r="163" spans="4:18" ht="20.100000000000001" customHeight="1" x14ac:dyDescent="0.25">
      <c r="D163" s="100" t="s">
        <v>223</v>
      </c>
      <c r="M163" s="100" t="s">
        <v>225</v>
      </c>
    </row>
    <row r="164" spans="4:18" ht="20.100000000000001" customHeight="1" x14ac:dyDescent="0.25">
      <c r="D164" s="41" t="s">
        <v>127</v>
      </c>
      <c r="E164" s="41" t="s">
        <v>144</v>
      </c>
      <c r="F164" s="41" t="s">
        <v>145</v>
      </c>
      <c r="G164" s="41" t="s">
        <v>146</v>
      </c>
      <c r="H164" s="41" t="s">
        <v>147</v>
      </c>
      <c r="M164" s="41" t="s">
        <v>127</v>
      </c>
      <c r="N164" s="41" t="s">
        <v>144</v>
      </c>
      <c r="O164" s="41" t="s">
        <v>145</v>
      </c>
      <c r="P164" s="41" t="s">
        <v>146</v>
      </c>
      <c r="Q164" s="41" t="s">
        <v>147</v>
      </c>
    </row>
    <row r="165" spans="4:18" ht="20.100000000000001" customHeight="1" x14ac:dyDescent="0.25">
      <c r="D165" s="54">
        <f>'Input - Dairy'!E24</f>
        <v>365</v>
      </c>
      <c r="E165" s="54">
        <f>'Input - Dairy'!F24</f>
        <v>0</v>
      </c>
      <c r="F165" s="54">
        <f>'Input - Dairy'!G24</f>
        <v>0</v>
      </c>
      <c r="G165" s="54">
        <f>'Input - Dairy'!H24</f>
        <v>0</v>
      </c>
      <c r="H165" s="54">
        <f>'Input - Dairy'!I24</f>
        <v>0</v>
      </c>
      <c r="I165" s="56" t="str">
        <f>$G$150</f>
        <v>days</v>
      </c>
      <c r="M165" s="54">
        <f>'Input - Dairy'!E28</f>
        <v>365</v>
      </c>
      <c r="N165" s="54">
        <f>'Input - Dairy'!F28</f>
        <v>0</v>
      </c>
      <c r="O165" s="54">
        <f>'Input - Dairy'!G28</f>
        <v>0</v>
      </c>
      <c r="P165" s="54">
        <f>'Input - Dairy'!H28</f>
        <v>0</v>
      </c>
      <c r="Q165" s="54">
        <f>'Input - Dairy'!I28</f>
        <v>0</v>
      </c>
      <c r="R165" s="56" t="str">
        <f>$G$150</f>
        <v>days</v>
      </c>
    </row>
    <row r="166" spans="4:18" ht="20.100000000000001" customHeight="1" x14ac:dyDescent="0.25"/>
    <row r="167" spans="4:18" ht="20.100000000000001" customHeight="1" x14ac:dyDescent="0.25">
      <c r="D167" s="101" t="s">
        <v>228</v>
      </c>
      <c r="M167" s="101" t="s">
        <v>226</v>
      </c>
    </row>
    <row r="168" spans="4:18" ht="20.100000000000001" customHeight="1" x14ac:dyDescent="0.25">
      <c r="D168" s="100" t="s">
        <v>224</v>
      </c>
      <c r="M168" s="100" t="s">
        <v>227</v>
      </c>
    </row>
    <row r="169" spans="4:18" ht="20.100000000000001" customHeight="1" x14ac:dyDescent="0.25">
      <c r="D169" s="41" t="s">
        <v>127</v>
      </c>
      <c r="E169" s="41" t="s">
        <v>144</v>
      </c>
      <c r="F169" s="41" t="s">
        <v>145</v>
      </c>
      <c r="G169" s="41" t="s">
        <v>146</v>
      </c>
      <c r="H169" s="41" t="s">
        <v>147</v>
      </c>
      <c r="M169" s="41" t="s">
        <v>127</v>
      </c>
      <c r="N169" s="41" t="s">
        <v>144</v>
      </c>
      <c r="O169" s="41" t="s">
        <v>145</v>
      </c>
      <c r="P169" s="41" t="s">
        <v>146</v>
      </c>
      <c r="Q169" s="41" t="s">
        <v>147</v>
      </c>
    </row>
    <row r="170" spans="4:18" ht="20.100000000000001" customHeight="1" x14ac:dyDescent="0.25">
      <c r="D170" s="54">
        <f>'Input - Dairy'!E25</f>
        <v>0</v>
      </c>
      <c r="E170" s="54">
        <f>'Input - Dairy'!F29</f>
        <v>0</v>
      </c>
      <c r="F170" s="54">
        <f>'Input - Dairy'!G29</f>
        <v>0</v>
      </c>
      <c r="G170" s="54">
        <f>'Input - Dairy'!H29</f>
        <v>0</v>
      </c>
      <c r="H170" s="54">
        <f>'Input - Dairy'!I29</f>
        <v>0</v>
      </c>
      <c r="I170" s="56" t="str">
        <f>$G$150</f>
        <v>days</v>
      </c>
      <c r="M170" s="54">
        <f>'Input - Dairy'!E29</f>
        <v>0</v>
      </c>
      <c r="N170" s="54">
        <f>'Input - Dairy'!F29</f>
        <v>0</v>
      </c>
      <c r="O170" s="54">
        <f>'Input - Dairy'!G29</f>
        <v>0</v>
      </c>
      <c r="P170" s="54">
        <f>'Input - Dairy'!H29</f>
        <v>0</v>
      </c>
      <c r="Q170" s="54">
        <f>'Input - Dairy'!I29</f>
        <v>0</v>
      </c>
      <c r="R170" s="56" t="str">
        <f>$G$150</f>
        <v>days</v>
      </c>
    </row>
    <row r="171" spans="4:18" ht="20.100000000000001" customHeight="1" x14ac:dyDescent="0.25"/>
    <row r="172" spans="4:18" ht="20.100000000000001" customHeight="1" x14ac:dyDescent="0.25">
      <c r="D172" s="101" t="s">
        <v>229</v>
      </c>
    </row>
    <row r="173" spans="4:18" ht="20.100000000000001" customHeight="1" x14ac:dyDescent="0.25">
      <c r="D173" s="100" t="s">
        <v>224</v>
      </c>
    </row>
    <row r="174" spans="4:18" ht="20.100000000000001" customHeight="1" x14ac:dyDescent="0.25">
      <c r="D174" s="53" t="s">
        <v>145</v>
      </c>
      <c r="E174" s="53" t="s">
        <v>147</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230</v>
      </c>
      <c r="M177" s="101" t="s">
        <v>230</v>
      </c>
    </row>
    <row r="178" spans="1:18" ht="20.100000000000001" customHeight="1" x14ac:dyDescent="0.25">
      <c r="A178" s="125" t="str">
        <f>HYPERLINK("#A1", "▲ Back to top")</f>
        <v>▲ Back to top</v>
      </c>
      <c r="D178" s="100" t="s">
        <v>231</v>
      </c>
      <c r="M178" s="100" t="s">
        <v>231</v>
      </c>
    </row>
    <row r="179" spans="1:18" ht="20.100000000000001" customHeight="1" x14ac:dyDescent="0.25">
      <c r="D179" s="53" t="s">
        <v>127</v>
      </c>
      <c r="E179" s="53" t="s">
        <v>144</v>
      </c>
      <c r="F179" s="53" t="s">
        <v>145</v>
      </c>
      <c r="G179" s="53" t="s">
        <v>146</v>
      </c>
      <c r="H179" s="53" t="s">
        <v>147</v>
      </c>
      <c r="M179" s="53" t="s">
        <v>127</v>
      </c>
      <c r="N179" s="53" t="s">
        <v>144</v>
      </c>
      <c r="O179" s="53" t="s">
        <v>145</v>
      </c>
      <c r="P179" s="53" t="s">
        <v>146</v>
      </c>
      <c r="Q179" s="53" t="s">
        <v>147</v>
      </c>
    </row>
    <row r="180" spans="1:18" ht="20.100000000000001" customHeight="1" x14ac:dyDescent="0.25">
      <c r="D180" s="54" cm="1">
        <f t="array" ref="D180">EntericMethane_Dairy_Equations.VEERG_3_3_1_1__1_TotalAnnualMethaneFromEntericFermentationVariation(D160,D132,D165,0,0,0,0,0)</f>
        <v>13.505469968333362</v>
      </c>
      <c r="E180" s="54" cm="1">
        <f t="array" ref="E180">EntericMethane_Dairy_Equations.VEERG_3_3_1_1__1_TotalAnnualMethaneFromEntericFermentationVariation(E160,E132,E165,0,0,0,0,0)</f>
        <v>0</v>
      </c>
      <c r="F180" s="54" cm="1">
        <f t="array" ref="F180">EntericMethane_Dairy_Equations.VEERG_3_3_1_1__1_TotalAnnualMethaneFromEntericFermentationVariation(0,0,0,F160,F132,F165,F170,$D$175)</f>
        <v>0</v>
      </c>
      <c r="G180" s="54" cm="1">
        <f t="array" ref="G180">EntericMethane_Dairy_Equations.VEERG_3_3_1_1__1_TotalAnnualMethaneFromEntericFermentationVariation(G160,G132,G165,0,0,0,0,0)</f>
        <v>0</v>
      </c>
      <c r="H180" s="54" cm="1">
        <f t="array" ref="H180">EntericMethane_Dairy_Equations.VEERG_3_3_1_1__1_TotalAnnualMethaneFromEntericFermentationVariation(0,0,0,H160,H132,H165,H170,$E$175)</f>
        <v>0</v>
      </c>
      <c r="I180" s="56" t="str">
        <f>$E$146</f>
        <v>t CH4</v>
      </c>
      <c r="M180" s="54" cm="1">
        <f t="array" ref="M180">EntericMethane_Dairy_Equations.VEERG_3_3_1_1__1_TotalAnnualMethaneFromEntericFermentationVariation(D160,M132,M165,0,0,0,0,0)</f>
        <v>13.505469968333362</v>
      </c>
      <c r="N180" s="54" cm="1">
        <f t="array" ref="N180">EntericMethane_Dairy_Equations.VEERG_3_3_1_1__1_TotalAnnualMethaneFromEntericFermentationVariation(E160,N132,N165,0,0,0,0,0)</f>
        <v>0</v>
      </c>
      <c r="O180" s="54" cm="1">
        <f t="array" ref="O180">EntericMethane_Dairy_Equations.VEERG_3_3_1_1__1_TotalAnnualMethaneFromEntericFermentationVariation(0,0,0,F160,O132,O165,O170,$D$175)</f>
        <v>0</v>
      </c>
      <c r="P180" s="54" cm="1">
        <f t="array" ref="P180">EntericMethane_Dairy_Equations.VEERG_3_3_1_1__1_TotalAnnualMethaneFromEntericFermentationVariation(G160,P132,P165,0,0,0,0,0)</f>
        <v>0</v>
      </c>
      <c r="Q180" s="54" cm="1">
        <f t="array" ref="Q180">EntericMethane_Dairy_Equations.VEERG_3_3_1_1__1_TotalAnnualMethaneFromEntericFermentationVariation(0,0,0,H160,Q132,Q165,Q170,$E$175)</f>
        <v>0</v>
      </c>
      <c r="R180" s="56" t="str">
        <f>$E$146</f>
        <v>t CH4</v>
      </c>
    </row>
    <row r="181" spans="1:18" ht="20.100000000000001" customHeight="1" x14ac:dyDescent="0.25"/>
    <row r="182" spans="1:18" ht="20.100000000000001" customHeight="1" x14ac:dyDescent="0.25">
      <c r="D182" s="103" t="s">
        <v>232</v>
      </c>
      <c r="E182" s="104">
        <f>SUM(D180:H180)</f>
        <v>13.505469968333362</v>
      </c>
      <c r="F182" s="105" t="str">
        <f>$E$146</f>
        <v>t CH4</v>
      </c>
      <c r="M182" s="103" t="s">
        <v>232</v>
      </c>
      <c r="N182" s="104">
        <f>SUM(M180:Q180)</f>
        <v>13.505469968333362</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VEERG_3_3_1_1__1_TotalAnnualMethaneFromEntericFermentationVariation_Result_Method1</f>
        <v>13.505469968333362</v>
      </c>
      <c r="M184" s="59" t="str" cm="1">
        <f t="array" ref="M184:N185">Common_Equations.Common_ConvertCH4ToCO2e_Arguments()</f>
        <v>ECH4</v>
      </c>
      <c r="N184" s="60" t="str">
        <v>Methane emissions (t CH4)</v>
      </c>
      <c r="O184" s="106"/>
      <c r="P184" s="54">
        <f>VEERG_3_3_1_1__1_TotalAnnualMethaneFromEntericFermentationVariation_Result_Method2</f>
        <v>13.505469968333362</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99</v>
      </c>
      <c r="E187" s="48" cm="1">
        <f t="array" ref="E187">Common_Equations.Common_ConvertN2OToCO2e(G184,G185)</f>
        <v>378.15315911333414</v>
      </c>
      <c r="F187" s="107" t="str" cm="1">
        <f t="array" ref="F187">Common_Equations.Common_ConvertN2OToCO2e_Unit()</f>
        <v>t CO2e</v>
      </c>
      <c r="M187" s="48" t="s">
        <v>99</v>
      </c>
      <c r="N187" s="48" cm="1">
        <f t="array" ref="N187">Common_Equations.Common_ConvertN2OToCO2e(P184,P185)</f>
        <v>378.15315911333414</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124</v>
      </c>
      <c r="G5" s="6" t="s">
        <v>125</v>
      </c>
      <c r="J5" s="6" t="s">
        <v>115</v>
      </c>
      <c r="M5" s="1"/>
    </row>
    <row r="6" spans="1:21" ht="20.100000000000001" customHeight="1" x14ac:dyDescent="0.25">
      <c r="A6" s="16"/>
      <c r="M6" s="1"/>
    </row>
    <row r="7" spans="1:21" ht="20.100000000000001" customHeight="1" x14ac:dyDescent="0.25">
      <c r="A7" s="20" t="s">
        <v>1</v>
      </c>
      <c r="D7" s="99" t="s">
        <v>65</v>
      </c>
      <c r="E7" s="39" t="s">
        <v>76</v>
      </c>
      <c r="G7" s="39" t="s">
        <v>114</v>
      </c>
      <c r="J7" s="39" t="s">
        <v>112</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116</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117</v>
      </c>
      <c r="M9" s="1"/>
    </row>
    <row r="10" spans="1:21" ht="20.100000000000001" customHeight="1" x14ac:dyDescent="0.25">
      <c r="A10" s="17"/>
      <c r="D10" s="39" t="str">
        <f>'Constants - Livestock'!$E$13</f>
        <v>Drains to paddock</v>
      </c>
      <c r="E10" s="39" t="str">
        <f>'Constants - Livestock'!$F$13</f>
        <v>Drains to paddock (m=3b)</v>
      </c>
      <c r="J10" s="1" t="s">
        <v>118</v>
      </c>
      <c r="M10" s="1"/>
    </row>
    <row r="11" spans="1:21" ht="20.100000000000001" customHeight="1" x14ac:dyDescent="0.25">
      <c r="A11" s="19" t="s">
        <v>72</v>
      </c>
      <c r="D11" s="39" t="str">
        <f>'Constants - Livestock'!$E$14</f>
        <v>Solid storage</v>
      </c>
      <c r="E11" s="39" t="str">
        <f>'Constants - Livestock'!$F$14</f>
        <v>Solid storage (m=4)</v>
      </c>
      <c r="J11" s="1" t="s">
        <v>119</v>
      </c>
      <c r="M11" s="1"/>
    </row>
    <row r="12" spans="1:21" ht="20.100000000000001" customHeight="1" x14ac:dyDescent="0.25">
      <c r="A12" s="17" t="str">
        <f>HYPERLINK("#'3.3.1.1-2 Enteric Methane'!A1", "3.3.1.1-2 Enteric Methane")</f>
        <v>3.3.1.1-2 Enteric Methane</v>
      </c>
      <c r="J12" s="1" t="s">
        <v>120</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126</v>
      </c>
      <c r="E21" s="39" t="s">
        <v>127</v>
      </c>
      <c r="F21" s="39" t="s">
        <v>128</v>
      </c>
      <c r="G21" s="39" t="s">
        <v>129</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126</v>
      </c>
      <c r="E38" s="39" t="s">
        <v>131</v>
      </c>
      <c r="F38" s="39" t="s">
        <v>130</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127</v>
      </c>
      <c r="E46" s="39" t="s">
        <v>128</v>
      </c>
      <c r="F46" s="39" t="s">
        <v>129</v>
      </c>
      <c r="G46" s="39" t="s">
        <v>131</v>
      </c>
      <c r="H46" s="39" t="s">
        <v>130</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127</v>
      </c>
      <c r="E54" s="116" t="s">
        <v>128</v>
      </c>
      <c r="F54" s="116" t="s">
        <v>129</v>
      </c>
      <c r="G54" s="116" t="s">
        <v>131</v>
      </c>
      <c r="H54" s="116" t="s">
        <v>130</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132</v>
      </c>
      <c r="E62" s="39" t="s">
        <v>133</v>
      </c>
      <c r="F62" s="39" t="s">
        <v>134</v>
      </c>
      <c r="G62" s="39" t="s">
        <v>135</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143</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136</v>
      </c>
      <c r="F86" s="39" t="s">
        <v>137</v>
      </c>
      <c r="G86" s="39" t="s">
        <v>143</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132</v>
      </c>
      <c r="E98" s="39" t="s">
        <v>138</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132</v>
      </c>
      <c r="E107" s="39" t="s">
        <v>139</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140</v>
      </c>
      <c r="E116" s="39" t="s">
        <v>113</v>
      </c>
      <c r="F116" s="39" t="s">
        <v>141</v>
      </c>
      <c r="G116" s="39" t="s">
        <v>142</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136</v>
      </c>
      <c r="F128" s="39" t="s">
        <v>143</v>
      </c>
      <c r="G128" s="108" t="s">
        <v>155</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132</v>
      </c>
      <c r="E141" s="39" t="s">
        <v>153</v>
      </c>
      <c r="F141" s="39" t="s">
        <v>154</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Fraction</v>
      </c>
      <c r="M208" s="24"/>
    </row>
    <row r="209" spans="1:13" x14ac:dyDescent="0.25">
      <c r="D209" s="55"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98E4-AA99-4383-8E5C-160A6F0F5CFF}">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6" t="str" cm="1">
        <f t="array" ref="D99:D102">Common_SourceData.Common_SourceData_ClimateZones_Appendices()</f>
        <v>Note:</v>
      </c>
    </row>
    <row r="100" spans="4:20" ht="20.100000000000001" customHeight="1" x14ac:dyDescent="0.25">
      <c r="D100" s="56" t="str">
        <v>MAT = mean annual temperature</v>
      </c>
    </row>
    <row r="101" spans="4:20" ht="20.100000000000001" customHeight="1" x14ac:dyDescent="0.25">
      <c r="D101" s="56" t="str">
        <v>MAP = mean annual precipitation</v>
      </c>
    </row>
    <row r="102" spans="4:20" ht="20.100000000000001" customHeight="1" x14ac:dyDescent="0.25">
      <c r="D102" s="56" t="str">
        <v>PET = potential evapotranspiration</v>
      </c>
    </row>
    <row r="103" spans="4:20" ht="20.100000000000001" customHeight="1" x14ac:dyDescent="0.25">
      <c r="D103" s="56"/>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189</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109</v>
      </c>
      <c r="E186" s="39" t="s">
        <v>110</v>
      </c>
      <c r="F186" s="39" t="s">
        <v>111</v>
      </c>
      <c r="G186" s="39" t="s">
        <v>112</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191</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196</v>
      </c>
      <c r="E212" s="39" t="s">
        <v>197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199</v>
      </c>
      <c r="F231" s="38" t="s">
        <v>200</v>
      </c>
      <c r="G231" s="39" t="s">
        <v>201</v>
      </c>
      <c r="H231" s="39" t="s">
        <v>202</v>
      </c>
      <c r="I231" s="39" t="s">
        <v>203</v>
      </c>
      <c r="J231" s="39" t="s">
        <v>204</v>
      </c>
      <c r="K231" s="39" t="s">
        <v>205</v>
      </c>
      <c r="L231" s="39" t="s">
        <v>206</v>
      </c>
      <c r="M231" s="39" t="s">
        <v>207</v>
      </c>
      <c r="N231" s="39" t="s">
        <v>208</v>
      </c>
      <c r="O231" s="39" t="s">
        <v>209</v>
      </c>
      <c r="P231" s="39" t="s">
        <v>210</v>
      </c>
      <c r="Q231" s="39" t="s">
        <v>211</v>
      </c>
      <c r="R231" s="39" t="s">
        <v>212</v>
      </c>
      <c r="S231" s="39" t="s">
        <v>213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6" t="str" cm="1">
        <f t="array" ref="D256">Common_SourceData.Common_SourceData_EFOrganicFertiliserAndCropResidues_Unit()</f>
        <v>kg N2O - N / kg N</v>
      </c>
    </row>
    <row r="257" spans="4:5" x14ac:dyDescent="0.25">
      <c r="D257" s="39" t="s">
        <v>250</v>
      </c>
      <c r="E257" s="39" t="s">
        <v>251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70</vt:i4>
      </vt:variant>
    </vt:vector>
  </HeadingPairs>
  <TitlesOfParts>
    <vt:vector size="8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lpstr>Common_SourceData_DensityOfMethane_Data</vt:lpstr>
      <vt:lpstr>M1_Table_D_j</vt:lpstr>
      <vt:lpstr>M1_Table_DMD_j</vt:lpstr>
      <vt:lpstr>M1_Table_DPW_j35</vt:lpstr>
      <vt:lpstr>M1_Table_E_enteric</vt:lpstr>
      <vt:lpstr>M1_Table_E_enteric_Consumer_1</vt:lpstr>
      <vt:lpstr>M1_Table_I_j</vt:lpstr>
      <vt:lpstr>M1_Table_LWG_j</vt:lpstr>
      <vt:lpstr>M1_Table_M_j</vt:lpstr>
      <vt:lpstr>M1_Table_MI_j</vt:lpstr>
      <vt:lpstr>M1_Table_MP_j_from_solids</vt:lpstr>
      <vt:lpstr>M1_Table_MPW_j35</vt:lpstr>
      <vt:lpstr>M1_Table_MS_j</vt:lpstr>
      <vt:lpstr>M1_Table_qm_j</vt:lpstr>
      <vt:lpstr>M1_Table_W_j</vt:lpstr>
      <vt:lpstr>M2_Table_D_j</vt:lpstr>
      <vt:lpstr>M2_Table_DMD_j</vt:lpstr>
      <vt:lpstr>M2_Table_DPW_j</vt:lpstr>
      <vt:lpstr>M2_Table_I_j</vt:lpstr>
      <vt:lpstr>M2_Table_LWG_j</vt:lpstr>
      <vt:lpstr>M2_Table_M_j</vt:lpstr>
      <vt:lpstr>M2_Table_MI_j</vt:lpstr>
      <vt:lpstr>M2_Table_MP_j_from_solids</vt:lpstr>
      <vt:lpstr>M2_Table_qm_j</vt:lpstr>
      <vt:lpstr>M2_Table_W_j</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Table_MP_j</vt:lpstr>
      <vt:lpstr>Table_MR_j</vt:lpstr>
      <vt:lpstr>Table_N_j</vt:lpstr>
      <vt:lpstr>VEERG_3_3_1_1__1_TotalAnnualMethaneFromEntericFermentationVariation_Result_Method1</vt:lpstr>
      <vt:lpstr>VEERG_3_3_1_1__1_TotalAnnualMethaneFromEntericFermentationVariation_Result_Method2</vt:lpstr>
      <vt:lpstr>X_Cell_Dairy_Breed</vt:lpstr>
      <vt:lpstr>X_Cell_Dairy_MilkProductionAmount</vt:lpstr>
      <vt:lpstr>X_Cell_Dairy_MilkProductionUnit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