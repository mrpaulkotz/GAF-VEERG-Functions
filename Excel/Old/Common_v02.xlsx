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258CEC5-5E02-49D1-BED6-D6807833FE80}" xr6:coauthVersionLast="47" xr6:coauthVersionMax="47" xr10:uidLastSave="{00000000-0000-0000-0000-000000000000}"/>
  <bookViews>
    <workbookView xWindow="390" yWindow="390" windowWidth="36255" windowHeight="19140" activeTab="1" xr2:uid="{992023F3-CAB7-4E5B-A348-08D563A0EF40}"/>
  </bookViews>
  <sheets>
    <sheet name="Home" sheetId="3" r:id="rId1"/>
    <sheet name="Constants - Common" sheetId="2" r:id="rId2"/>
    <sheet name="Acknowledgements" sheetId="4" r:id="rId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 l="1"/>
  <c r="A7" i="4"/>
  <c r="A3" i="4"/>
  <c r="A8" i="2"/>
  <c r="A7" i="2"/>
  <c r="A3" i="2"/>
  <c r="A8" i="3"/>
  <c r="A7" i="3"/>
  <c r="A3" i="3"/>
  <c r="D259" i="2" a="1"/>
  <c r="D259" i="2" s="1"/>
  <c r="E259" i="2" a="1"/>
  <c r="E259" i="2" s="1"/>
  <c r="E258" i="2" a="1"/>
  <c r="E258" i="2" s="1"/>
  <c r="D258" i="2" a="1"/>
  <c r="D258" i="2" s="1"/>
  <c r="D256" i="2" a="1"/>
  <c r="D256" i="2" s="1"/>
  <c r="D255" i="2" a="1"/>
  <c r="D255" i="2" s="1"/>
  <c r="D254" i="2" a="1"/>
  <c r="D254" i="2" s="1"/>
  <c r="D253" i="2" a="1"/>
  <c r="D253" i="2" s="1"/>
  <c r="S250" i="2" l="1" a="1"/>
  <c r="S250" i="2" s="1"/>
  <c r="S249" i="2" a="1"/>
  <c r="S249" i="2" s="1"/>
  <c r="S248" i="2" a="1"/>
  <c r="S248" i="2" s="1"/>
  <c r="S247" i="2" a="1"/>
  <c r="S247" i="2" s="1"/>
  <c r="S246" i="2" a="1"/>
  <c r="S246" i="2" s="1"/>
  <c r="S245" i="2" a="1"/>
  <c r="S245" i="2" s="1"/>
  <c r="S244" i="2" a="1"/>
  <c r="S244" i="2" s="1"/>
  <c r="S243" i="2" a="1"/>
  <c r="S243" i="2" s="1"/>
  <c r="S242" i="2" a="1"/>
  <c r="S242" i="2" s="1"/>
  <c r="S241" i="2" a="1"/>
  <c r="S241" i="2" s="1"/>
  <c r="S240" i="2" a="1"/>
  <c r="S240" i="2" s="1"/>
  <c r="S239" i="2" a="1"/>
  <c r="S239" i="2" s="1"/>
  <c r="S238" i="2" a="1"/>
  <c r="S238" i="2" s="1"/>
  <c r="S237" i="2" a="1"/>
  <c r="S237" i="2" s="1"/>
  <c r="S236" i="2" a="1"/>
  <c r="S236" i="2" s="1"/>
  <c r="S235" i="2" a="1"/>
  <c r="S235" i="2" s="1"/>
  <c r="S234" i="2" a="1"/>
  <c r="S234" i="2" s="1"/>
  <c r="S233" i="2" a="1"/>
  <c r="S233" i="2" s="1"/>
  <c r="S232" i="2" a="1"/>
  <c r="S232" i="2" s="1"/>
  <c r="E250" i="2" a="1"/>
  <c r="E250" i="2" s="1"/>
  <c r="E232" i="2" a="1"/>
  <c r="E232" i="2" s="1"/>
  <c r="D229" i="2" a="1"/>
  <c r="D229" i="2" s="1"/>
  <c r="D250" i="2" a="1"/>
  <c r="D250" i="2" s="1"/>
  <c r="F250" i="2" a="1"/>
  <c r="F250" i="2" s="1"/>
  <c r="G250" i="2" a="1"/>
  <c r="G250" i="2" s="1"/>
  <c r="H250" i="2" a="1"/>
  <c r="H250" i="2" s="1"/>
  <c r="I250" i="2" a="1"/>
  <c r="I250" i="2" s="1"/>
  <c r="J250" i="2" a="1"/>
  <c r="J250" i="2" s="1"/>
  <c r="K250" i="2" a="1"/>
  <c r="K250" i="2" s="1"/>
  <c r="L250" i="2" a="1"/>
  <c r="L250" i="2" s="1"/>
  <c r="M250" i="2" a="1"/>
  <c r="M250" i="2" s="1"/>
  <c r="N250" i="2" a="1"/>
  <c r="N250" i="2" s="1"/>
  <c r="O250" i="2" a="1"/>
  <c r="O250" i="2" s="1"/>
  <c r="P250" i="2" a="1"/>
  <c r="P250" i="2" s="1"/>
  <c r="Q250" i="2" a="1"/>
  <c r="Q250" i="2" s="1"/>
  <c r="R250" i="2" a="1"/>
  <c r="R250" i="2" s="1"/>
  <c r="D249" i="2" a="1"/>
  <c r="D249" i="2" s="1"/>
  <c r="E249" i="2" a="1"/>
  <c r="E249" i="2" s="1"/>
  <c r="F249" i="2" a="1"/>
  <c r="F249" i="2" s="1"/>
  <c r="G249" i="2" a="1"/>
  <c r="G249" i="2" s="1"/>
  <c r="H249" i="2" a="1"/>
  <c r="H249" i="2" s="1"/>
  <c r="I249" i="2" a="1"/>
  <c r="I249" i="2" s="1"/>
  <c r="J249" i="2" a="1"/>
  <c r="J249" i="2" s="1"/>
  <c r="K249" i="2" a="1"/>
  <c r="K249" i="2" s="1"/>
  <c r="L249" i="2" a="1"/>
  <c r="L249" i="2" s="1"/>
  <c r="M249" i="2" a="1"/>
  <c r="M249" i="2" s="1"/>
  <c r="N249" i="2" a="1"/>
  <c r="N249" i="2" s="1"/>
  <c r="O249" i="2" a="1"/>
  <c r="O249" i="2" s="1"/>
  <c r="P249" i="2" a="1"/>
  <c r="P249" i="2" s="1"/>
  <c r="Q249" i="2" a="1"/>
  <c r="Q249" i="2" s="1"/>
  <c r="R249" i="2" a="1"/>
  <c r="R249" i="2" s="1"/>
  <c r="D248" i="2" a="1"/>
  <c r="D248" i="2" s="1"/>
  <c r="E248" i="2" a="1"/>
  <c r="E248" i="2" s="1"/>
  <c r="F248" i="2" a="1"/>
  <c r="F248" i="2" s="1"/>
  <c r="G248" i="2" a="1"/>
  <c r="G248" i="2" s="1"/>
  <c r="H248" i="2" a="1"/>
  <c r="H248" i="2" s="1"/>
  <c r="I248" i="2" a="1"/>
  <c r="I248" i="2" s="1"/>
  <c r="J248" i="2" a="1"/>
  <c r="J248" i="2" s="1"/>
  <c r="K248" i="2" a="1"/>
  <c r="K248" i="2" s="1"/>
  <c r="L248" i="2" a="1"/>
  <c r="L248" i="2" s="1"/>
  <c r="M248" i="2" a="1"/>
  <c r="M248" i="2" s="1"/>
  <c r="N248" i="2" a="1"/>
  <c r="N248" i="2" s="1"/>
  <c r="O248" i="2" a="1"/>
  <c r="O248" i="2" s="1"/>
  <c r="P248" i="2" a="1"/>
  <c r="P248" i="2" s="1"/>
  <c r="Q248" i="2" a="1"/>
  <c r="Q248" i="2" s="1"/>
  <c r="R248" i="2" a="1"/>
  <c r="R248" i="2" s="1"/>
  <c r="D247" i="2" a="1"/>
  <c r="D247" i="2" s="1"/>
  <c r="E247" i="2" a="1"/>
  <c r="E247" i="2" s="1"/>
  <c r="F247" i="2" a="1"/>
  <c r="F247" i="2" s="1"/>
  <c r="G247" i="2" a="1"/>
  <c r="G247" i="2" s="1"/>
  <c r="H247" i="2" a="1"/>
  <c r="H247" i="2" s="1"/>
  <c r="I247" i="2" a="1"/>
  <c r="I247" i="2" s="1"/>
  <c r="J247" i="2" a="1"/>
  <c r="J247" i="2" s="1"/>
  <c r="K247" i="2" a="1"/>
  <c r="K247" i="2" s="1"/>
  <c r="L247" i="2" a="1"/>
  <c r="L247" i="2" s="1"/>
  <c r="M247" i="2" a="1"/>
  <c r="M247" i="2" s="1"/>
  <c r="N247" i="2" a="1"/>
  <c r="N247" i="2" s="1"/>
  <c r="O247" i="2" a="1"/>
  <c r="O247" i="2" s="1"/>
  <c r="P247" i="2" a="1"/>
  <c r="P247" i="2" s="1"/>
  <c r="Q247" i="2" a="1"/>
  <c r="Q247" i="2" s="1"/>
  <c r="R247" i="2" a="1"/>
  <c r="R247" i="2" s="1"/>
  <c r="D246" i="2" a="1"/>
  <c r="D246" i="2" s="1"/>
  <c r="E246" i="2" a="1"/>
  <c r="E246" i="2" s="1"/>
  <c r="F246" i="2" a="1"/>
  <c r="F246" i="2" s="1"/>
  <c r="G246" i="2" a="1"/>
  <c r="G246" i="2" s="1"/>
  <c r="H246" i="2" a="1"/>
  <c r="H246" i="2" s="1"/>
  <c r="I246" i="2" a="1"/>
  <c r="I246" i="2" s="1"/>
  <c r="J246" i="2" a="1"/>
  <c r="J246" i="2" s="1"/>
  <c r="K246" i="2" a="1"/>
  <c r="K246" i="2" s="1"/>
  <c r="L246" i="2" a="1"/>
  <c r="L246" i="2" s="1"/>
  <c r="M246" i="2" a="1"/>
  <c r="M246" i="2" s="1"/>
  <c r="N246" i="2" a="1"/>
  <c r="N246" i="2" s="1"/>
  <c r="O246" i="2" a="1"/>
  <c r="O246" i="2" s="1"/>
  <c r="P246" i="2" a="1"/>
  <c r="P246" i="2" s="1"/>
  <c r="Q246" i="2" a="1"/>
  <c r="Q246" i="2" s="1"/>
  <c r="R246" i="2" a="1"/>
  <c r="R246" i="2" s="1"/>
  <c r="D245" i="2" a="1"/>
  <c r="D245" i="2" s="1"/>
  <c r="E245" i="2" a="1"/>
  <c r="E245" i="2" s="1"/>
  <c r="F245" i="2" a="1"/>
  <c r="F245" i="2" s="1"/>
  <c r="G245" i="2" a="1"/>
  <c r="G245" i="2" s="1"/>
  <c r="H245" i="2" a="1"/>
  <c r="H245" i="2" s="1"/>
  <c r="I245" i="2" a="1"/>
  <c r="I245" i="2" s="1"/>
  <c r="J245" i="2" a="1"/>
  <c r="J245" i="2" s="1"/>
  <c r="K245" i="2" a="1"/>
  <c r="K245" i="2" s="1"/>
  <c r="L245" i="2" a="1"/>
  <c r="L245" i="2" s="1"/>
  <c r="M245" i="2" a="1"/>
  <c r="M245" i="2" s="1"/>
  <c r="N245" i="2" a="1"/>
  <c r="N245" i="2" s="1"/>
  <c r="O245" i="2" a="1"/>
  <c r="O245" i="2" s="1"/>
  <c r="P245" i="2" a="1"/>
  <c r="P245" i="2" s="1"/>
  <c r="Q245" i="2" a="1"/>
  <c r="Q245" i="2" s="1"/>
  <c r="R245" i="2" a="1"/>
  <c r="R245" i="2" s="1"/>
  <c r="D244" i="2" a="1"/>
  <c r="D244" i="2" s="1"/>
  <c r="E244" i="2" a="1"/>
  <c r="E244" i="2" s="1"/>
  <c r="F244" i="2" a="1"/>
  <c r="F244" i="2" s="1"/>
  <c r="G244" i="2" a="1"/>
  <c r="G244" i="2" s="1"/>
  <c r="H244" i="2" a="1"/>
  <c r="H244" i="2" s="1"/>
  <c r="I244" i="2" a="1"/>
  <c r="I244" i="2" s="1"/>
  <c r="J244" i="2" a="1"/>
  <c r="J244" i="2" s="1"/>
  <c r="K244" i="2" a="1"/>
  <c r="K244" i="2" s="1"/>
  <c r="L244" i="2" a="1"/>
  <c r="L244" i="2" s="1"/>
  <c r="M244" i="2" a="1"/>
  <c r="M244" i="2" s="1"/>
  <c r="N244" i="2" a="1"/>
  <c r="N244" i="2" s="1"/>
  <c r="O244" i="2" a="1"/>
  <c r="O244" i="2" s="1"/>
  <c r="P244" i="2" a="1"/>
  <c r="P244" i="2" s="1"/>
  <c r="Q244" i="2" a="1"/>
  <c r="Q244" i="2" s="1"/>
  <c r="R244" i="2" a="1"/>
  <c r="R244" i="2" s="1"/>
  <c r="D243" i="2" a="1"/>
  <c r="D243" i="2" s="1"/>
  <c r="E243" i="2" a="1"/>
  <c r="E243" i="2" s="1"/>
  <c r="F243" i="2" a="1"/>
  <c r="F243" i="2" s="1"/>
  <c r="G243" i="2" a="1"/>
  <c r="G243" i="2" s="1"/>
  <c r="H243" i="2" a="1"/>
  <c r="H243" i="2" s="1"/>
  <c r="I243" i="2" a="1"/>
  <c r="I243" i="2" s="1"/>
  <c r="J243" i="2" a="1"/>
  <c r="J243" i="2" s="1"/>
  <c r="K243" i="2" a="1"/>
  <c r="K243" i="2" s="1"/>
  <c r="L243" i="2" a="1"/>
  <c r="L243" i="2" s="1"/>
  <c r="M243" i="2" a="1"/>
  <c r="M243" i="2" s="1"/>
  <c r="N243" i="2" a="1"/>
  <c r="N243" i="2" s="1"/>
  <c r="O243" i="2" a="1"/>
  <c r="O243" i="2" s="1"/>
  <c r="P243" i="2" a="1"/>
  <c r="P243" i="2" s="1"/>
  <c r="Q243" i="2" a="1"/>
  <c r="Q243" i="2" s="1"/>
  <c r="R243" i="2" a="1"/>
  <c r="R243" i="2" s="1"/>
  <c r="D242" i="2" a="1"/>
  <c r="D242" i="2" s="1"/>
  <c r="E242" i="2" a="1"/>
  <c r="E242" i="2" s="1"/>
  <c r="F242" i="2" a="1"/>
  <c r="F242" i="2" s="1"/>
  <c r="G242" i="2" a="1"/>
  <c r="G242" i="2" s="1"/>
  <c r="H242" i="2" a="1"/>
  <c r="H242" i="2" s="1"/>
  <c r="I242" i="2" a="1"/>
  <c r="I242" i="2" s="1"/>
  <c r="J242" i="2" a="1"/>
  <c r="J242" i="2" s="1"/>
  <c r="K242" i="2" a="1"/>
  <c r="K242" i="2" s="1"/>
  <c r="L242" i="2" a="1"/>
  <c r="L242" i="2" s="1"/>
  <c r="M242" i="2" a="1"/>
  <c r="M242" i="2" s="1"/>
  <c r="N242" i="2" a="1"/>
  <c r="N242" i="2" s="1"/>
  <c r="O242" i="2" a="1"/>
  <c r="O242" i="2" s="1"/>
  <c r="P242" i="2" a="1"/>
  <c r="P242" i="2" s="1"/>
  <c r="Q242" i="2" a="1"/>
  <c r="Q242" i="2" s="1"/>
  <c r="R242" i="2" a="1"/>
  <c r="R242" i="2" s="1"/>
  <c r="D241" i="2" a="1"/>
  <c r="D241" i="2" s="1"/>
  <c r="E241" i="2" a="1"/>
  <c r="E241" i="2" s="1"/>
  <c r="F241" i="2" a="1"/>
  <c r="F241" i="2" s="1"/>
  <c r="G241" i="2" a="1"/>
  <c r="G241" i="2" s="1"/>
  <c r="H241" i="2" a="1"/>
  <c r="H241" i="2" s="1"/>
  <c r="I241" i="2" a="1"/>
  <c r="I241" i="2" s="1"/>
  <c r="J241" i="2" a="1"/>
  <c r="J241" i="2" s="1"/>
  <c r="K241" i="2" a="1"/>
  <c r="K241" i="2" s="1"/>
  <c r="L241" i="2" a="1"/>
  <c r="L241" i="2" s="1"/>
  <c r="M241" i="2" a="1"/>
  <c r="M241" i="2" s="1"/>
  <c r="N241" i="2" a="1"/>
  <c r="N241" i="2" s="1"/>
  <c r="O241" i="2" a="1"/>
  <c r="O241" i="2" s="1"/>
  <c r="P241" i="2" a="1"/>
  <c r="P241" i="2" s="1"/>
  <c r="Q241" i="2" a="1"/>
  <c r="Q241" i="2" s="1"/>
  <c r="R241" i="2" a="1"/>
  <c r="R241" i="2" s="1"/>
  <c r="D240" i="2" a="1"/>
  <c r="D240" i="2" s="1"/>
  <c r="E240" i="2" a="1"/>
  <c r="E240" i="2" s="1"/>
  <c r="F240" i="2" a="1"/>
  <c r="F240" i="2" s="1"/>
  <c r="G240" i="2" a="1"/>
  <c r="G240" i="2" s="1"/>
  <c r="H240" i="2" a="1"/>
  <c r="H240" i="2" s="1"/>
  <c r="I240" i="2" a="1"/>
  <c r="I240" i="2" s="1"/>
  <c r="J240" i="2" a="1"/>
  <c r="J240" i="2" s="1"/>
  <c r="K240" i="2" a="1"/>
  <c r="K240" i="2" s="1"/>
  <c r="L240" i="2" a="1"/>
  <c r="L240" i="2" s="1"/>
  <c r="M240" i="2" a="1"/>
  <c r="M240" i="2" s="1"/>
  <c r="N240" i="2" a="1"/>
  <c r="N240" i="2" s="1"/>
  <c r="O240" i="2" a="1"/>
  <c r="O240" i="2" s="1"/>
  <c r="P240" i="2" a="1"/>
  <c r="P240" i="2" s="1"/>
  <c r="Q240" i="2" a="1"/>
  <c r="Q240" i="2" s="1"/>
  <c r="R240" i="2" a="1"/>
  <c r="R240" i="2" s="1"/>
  <c r="D239" i="2" a="1"/>
  <c r="D239" i="2" s="1"/>
  <c r="E239" i="2" a="1"/>
  <c r="E239" i="2" s="1"/>
  <c r="F239" i="2" a="1"/>
  <c r="F239" i="2" s="1"/>
  <c r="G239" i="2" a="1"/>
  <c r="G239" i="2" s="1"/>
  <c r="H239" i="2" a="1"/>
  <c r="H239" i="2" s="1"/>
  <c r="I239" i="2" a="1"/>
  <c r="I239" i="2" s="1"/>
  <c r="J239" i="2" a="1"/>
  <c r="J239" i="2" s="1"/>
  <c r="K239" i="2" a="1"/>
  <c r="K239" i="2" s="1"/>
  <c r="L239" i="2" a="1"/>
  <c r="L239" i="2" s="1"/>
  <c r="M239" i="2" a="1"/>
  <c r="M239" i="2" s="1"/>
  <c r="N239" i="2" a="1"/>
  <c r="N239" i="2" s="1"/>
  <c r="O239" i="2" a="1"/>
  <c r="O239" i="2" s="1"/>
  <c r="P239" i="2" a="1"/>
  <c r="P239" i="2" s="1"/>
  <c r="Q239" i="2" a="1"/>
  <c r="Q239" i="2" s="1"/>
  <c r="R239" i="2" a="1"/>
  <c r="R239" i="2" s="1"/>
  <c r="D238" i="2" a="1"/>
  <c r="D238" i="2" s="1"/>
  <c r="E238" i="2" a="1"/>
  <c r="E238" i="2" s="1"/>
  <c r="F238" i="2" a="1"/>
  <c r="F238" i="2" s="1"/>
  <c r="G238" i="2" a="1"/>
  <c r="G238" i="2" s="1"/>
  <c r="H238" i="2" a="1"/>
  <c r="H238" i="2" s="1"/>
  <c r="I238" i="2" a="1"/>
  <c r="I238" i="2" s="1"/>
  <c r="J238" i="2" a="1"/>
  <c r="J238" i="2" s="1"/>
  <c r="K238" i="2" a="1"/>
  <c r="K238" i="2" s="1"/>
  <c r="L238" i="2" a="1"/>
  <c r="L238" i="2" s="1"/>
  <c r="M238" i="2" a="1"/>
  <c r="M238" i="2" s="1"/>
  <c r="N238" i="2" a="1"/>
  <c r="N238" i="2" s="1"/>
  <c r="O238" i="2" a="1"/>
  <c r="O238" i="2" s="1"/>
  <c r="P238" i="2" a="1"/>
  <c r="P238" i="2" s="1"/>
  <c r="Q238" i="2" a="1"/>
  <c r="Q238" i="2" s="1"/>
  <c r="R238" i="2" a="1"/>
  <c r="R238" i="2" s="1"/>
  <c r="D237" i="2" a="1"/>
  <c r="D237" i="2" s="1"/>
  <c r="E237" i="2" a="1"/>
  <c r="E237" i="2" s="1"/>
  <c r="F237" i="2" a="1"/>
  <c r="F237" i="2" s="1"/>
  <c r="G237" i="2" a="1"/>
  <c r="G237" i="2" s="1"/>
  <c r="H237" i="2" a="1"/>
  <c r="H237" i="2" s="1"/>
  <c r="I237" i="2" a="1"/>
  <c r="I237" i="2" s="1"/>
  <c r="J237" i="2" a="1"/>
  <c r="J237" i="2" s="1"/>
  <c r="K237" i="2" a="1"/>
  <c r="K237" i="2" s="1"/>
  <c r="L237" i="2" a="1"/>
  <c r="L237" i="2" s="1"/>
  <c r="M237" i="2" a="1"/>
  <c r="M237" i="2" s="1"/>
  <c r="N237" i="2" a="1"/>
  <c r="N237" i="2" s="1"/>
  <c r="O237" i="2" a="1"/>
  <c r="O237" i="2" s="1"/>
  <c r="P237" i="2" a="1"/>
  <c r="P237" i="2" s="1"/>
  <c r="Q237" i="2" a="1"/>
  <c r="Q237" i="2" s="1"/>
  <c r="R237" i="2" a="1"/>
  <c r="R237" i="2" s="1"/>
  <c r="D236" i="2" a="1"/>
  <c r="D236" i="2" s="1"/>
  <c r="E236" i="2" a="1"/>
  <c r="E236" i="2" s="1"/>
  <c r="F236" i="2" a="1"/>
  <c r="F236" i="2" s="1"/>
  <c r="G236" i="2" a="1"/>
  <c r="G236" i="2" s="1"/>
  <c r="H236" i="2" a="1"/>
  <c r="H236" i="2" s="1"/>
  <c r="I236" i="2" a="1"/>
  <c r="I236" i="2" s="1"/>
  <c r="J236" i="2" a="1"/>
  <c r="J236" i="2" s="1"/>
  <c r="K236" i="2" a="1"/>
  <c r="K236" i="2" s="1"/>
  <c r="L236" i="2" a="1"/>
  <c r="L236" i="2" s="1"/>
  <c r="M236" i="2" a="1"/>
  <c r="M236" i="2" s="1"/>
  <c r="N236" i="2" a="1"/>
  <c r="N236" i="2" s="1"/>
  <c r="O236" i="2" a="1"/>
  <c r="O236" i="2" s="1"/>
  <c r="P236" i="2" a="1"/>
  <c r="P236" i="2" s="1"/>
  <c r="Q236" i="2" a="1"/>
  <c r="Q236" i="2" s="1"/>
  <c r="R236" i="2" a="1"/>
  <c r="R236" i="2" s="1"/>
  <c r="D235" i="2" a="1"/>
  <c r="D235" i="2" s="1"/>
  <c r="E235" i="2" a="1"/>
  <c r="E235" i="2" s="1"/>
  <c r="F235" i="2" a="1"/>
  <c r="F235" i="2" s="1"/>
  <c r="G235" i="2" a="1"/>
  <c r="G235" i="2" s="1"/>
  <c r="H235" i="2" a="1"/>
  <c r="H235" i="2" s="1"/>
  <c r="I235" i="2" a="1"/>
  <c r="I235" i="2" s="1"/>
  <c r="J235" i="2" a="1"/>
  <c r="J235" i="2" s="1"/>
  <c r="K235" i="2" a="1"/>
  <c r="K235" i="2" s="1"/>
  <c r="L235" i="2" a="1"/>
  <c r="L235" i="2" s="1"/>
  <c r="M235" i="2" a="1"/>
  <c r="M235" i="2" s="1"/>
  <c r="N235" i="2" a="1"/>
  <c r="N235" i="2" s="1"/>
  <c r="O235" i="2" a="1"/>
  <c r="O235" i="2" s="1"/>
  <c r="P235" i="2" a="1"/>
  <c r="P235" i="2" s="1"/>
  <c r="Q235" i="2" a="1"/>
  <c r="Q235" i="2" s="1"/>
  <c r="R235" i="2" a="1"/>
  <c r="R235" i="2" s="1"/>
  <c r="D234" i="2" a="1"/>
  <c r="D234" i="2" s="1"/>
  <c r="E234" i="2" a="1"/>
  <c r="E234" i="2" s="1"/>
  <c r="F234" i="2" a="1"/>
  <c r="F234" i="2" s="1"/>
  <c r="G234" i="2" a="1"/>
  <c r="G234" i="2" s="1"/>
  <c r="H234" i="2" a="1"/>
  <c r="H234" i="2" s="1"/>
  <c r="I234" i="2" a="1"/>
  <c r="I234" i="2" s="1"/>
  <c r="J234" i="2" a="1"/>
  <c r="J234" i="2" s="1"/>
  <c r="K234" i="2" a="1"/>
  <c r="K234" i="2" s="1"/>
  <c r="L234" i="2" a="1"/>
  <c r="L234" i="2" s="1"/>
  <c r="M234" i="2" a="1"/>
  <c r="M234" i="2" s="1"/>
  <c r="N234" i="2" a="1"/>
  <c r="N234" i="2" s="1"/>
  <c r="O234" i="2" a="1"/>
  <c r="O234" i="2" s="1"/>
  <c r="P234" i="2" a="1"/>
  <c r="P234" i="2" s="1"/>
  <c r="Q234" i="2" a="1"/>
  <c r="Q234" i="2" s="1"/>
  <c r="R234" i="2" a="1"/>
  <c r="R234" i="2" s="1"/>
  <c r="D233" i="2" a="1"/>
  <c r="D233" i="2" s="1"/>
  <c r="E233" i="2" a="1"/>
  <c r="E233" i="2" s="1"/>
  <c r="F233" i="2" a="1"/>
  <c r="F233" i="2" s="1"/>
  <c r="G233" i="2" a="1"/>
  <c r="G233" i="2" s="1"/>
  <c r="H233" i="2" a="1"/>
  <c r="H233" i="2" s="1"/>
  <c r="I233" i="2" a="1"/>
  <c r="I233" i="2" s="1"/>
  <c r="J233" i="2" a="1"/>
  <c r="J233" i="2" s="1"/>
  <c r="K233" i="2" a="1"/>
  <c r="K233" i="2" s="1"/>
  <c r="L233" i="2" a="1"/>
  <c r="L233" i="2" s="1"/>
  <c r="M233" i="2" a="1"/>
  <c r="M233" i="2" s="1"/>
  <c r="N233" i="2" a="1"/>
  <c r="N233" i="2" s="1"/>
  <c r="O233" i="2" a="1"/>
  <c r="O233" i="2" s="1"/>
  <c r="P233" i="2" a="1"/>
  <c r="P233" i="2" s="1"/>
  <c r="Q233" i="2" a="1"/>
  <c r="Q233" i="2" s="1"/>
  <c r="R233" i="2" a="1"/>
  <c r="R233" i="2" s="1"/>
  <c r="R232" i="2" a="1"/>
  <c r="R232" i="2" s="1"/>
  <c r="Q232" i="2" a="1"/>
  <c r="Q232" i="2" s="1"/>
  <c r="P232" i="2" a="1"/>
  <c r="P232" i="2" s="1"/>
  <c r="O232" i="2" a="1"/>
  <c r="O232" i="2" s="1"/>
  <c r="N232" i="2" a="1"/>
  <c r="N232" i="2" s="1"/>
  <c r="M232" i="2" a="1"/>
  <c r="M232" i="2" s="1"/>
  <c r="L232" i="2" a="1"/>
  <c r="L232" i="2" s="1"/>
  <c r="K232" i="2" a="1"/>
  <c r="K232" i="2" s="1"/>
  <c r="J232" i="2" a="1"/>
  <c r="J232" i="2" s="1"/>
  <c r="I232" i="2" a="1"/>
  <c r="I232" i="2" s="1"/>
  <c r="H232" i="2" a="1"/>
  <c r="H232" i="2" s="1"/>
  <c r="G232" i="2" a="1"/>
  <c r="G232" i="2" s="1"/>
  <c r="F232" i="2" a="1"/>
  <c r="F232" i="2" s="1"/>
  <c r="D232" i="2" a="1"/>
  <c r="D232" i="2" s="1"/>
  <c r="D228" i="2" a="1"/>
  <c r="D228" i="2" s="1"/>
  <c r="D227" i="2" a="1"/>
  <c r="D227" i="2" s="1"/>
  <c r="D224" i="2" a="1"/>
  <c r="D224" i="2" s="1"/>
  <c r="E224" i="2" a="1"/>
  <c r="E224" i="2" s="1"/>
  <c r="D223" i="2" a="1"/>
  <c r="D223" i="2" s="1"/>
  <c r="E223" i="2" a="1"/>
  <c r="E223" i="2" s="1"/>
  <c r="D222" i="2" a="1"/>
  <c r="D222" i="2" s="1"/>
  <c r="E222" i="2" a="1"/>
  <c r="E222" i="2" s="1"/>
  <c r="D221" i="2" a="1"/>
  <c r="D221" i="2" s="1"/>
  <c r="E221" i="2" a="1"/>
  <c r="E221" i="2" s="1"/>
  <c r="D220" i="2" a="1"/>
  <c r="D220" i="2" s="1"/>
  <c r="E220" i="2" a="1"/>
  <c r="E220" i="2" s="1"/>
  <c r="D219" i="2" a="1"/>
  <c r="D219" i="2" s="1"/>
  <c r="E219" i="2" a="1"/>
  <c r="E219" i="2" s="1"/>
  <c r="D218" i="2" a="1"/>
  <c r="D218" i="2" s="1"/>
  <c r="E218" i="2" a="1"/>
  <c r="E218" i="2" s="1"/>
  <c r="D217" i="2" a="1"/>
  <c r="D217" i="2" s="1"/>
  <c r="E217" i="2" a="1"/>
  <c r="E217" i="2" s="1"/>
  <c r="D216" i="2" a="1"/>
  <c r="D216" i="2" s="1"/>
  <c r="E216" i="2" a="1"/>
  <c r="E216" i="2" s="1"/>
  <c r="D215" i="2" a="1"/>
  <c r="D215" i="2" s="1"/>
  <c r="E215" i="2" a="1"/>
  <c r="E215" i="2" s="1"/>
  <c r="D214" i="2" a="1"/>
  <c r="D214" i="2" s="1"/>
  <c r="E214" i="2" a="1"/>
  <c r="E214" i="2" s="1"/>
  <c r="E213" i="2" a="1"/>
  <c r="E213" i="2" s="1"/>
  <c r="D213" i="2" a="1"/>
  <c r="D213" i="2" s="1"/>
  <c r="D211" i="2" a="1"/>
  <c r="D211" i="2" s="1"/>
  <c r="D208" i="2" a="1"/>
  <c r="D208" i="2" s="1"/>
  <c r="E208" i="2" a="1"/>
  <c r="E208" i="2" s="1"/>
  <c r="E207" i="2" a="1"/>
  <c r="E207" i="2" s="1"/>
  <c r="D207" i="2" a="1"/>
  <c r="D207" i="2" s="1"/>
  <c r="D204" i="2" a="1"/>
  <c r="D204" i="2" s="1"/>
  <c r="D205" i="2" a="1"/>
  <c r="D205" i="2" s="1"/>
  <c r="D203" i="2" a="1"/>
  <c r="D203" i="2" s="1"/>
  <c r="D202" i="2" a="1"/>
  <c r="D202" i="2" s="1"/>
  <c r="D147" i="2" a="1"/>
  <c r="D147" i="2" s="1"/>
  <c r="E147" i="2" a="1"/>
  <c r="E147" i="2" s="1"/>
  <c r="D146" i="2" a="1"/>
  <c r="D146" i="2" s="1"/>
  <c r="E146" i="2" a="1"/>
  <c r="E146" i="2" s="1"/>
  <c r="D145" i="2" a="1"/>
  <c r="D145" i="2" s="1"/>
  <c r="E145" i="2" a="1"/>
  <c r="E145" i="2" s="1"/>
  <c r="D144" i="2" a="1"/>
  <c r="D144" i="2" s="1"/>
  <c r="E144" i="2" a="1"/>
  <c r="E144" i="2" s="1"/>
  <c r="E143" i="2" a="1"/>
  <c r="E143" i="2" s="1"/>
  <c r="D143" i="2" a="1"/>
  <c r="D143" i="2" s="1"/>
  <c r="D141" i="2" a="1"/>
  <c r="D141" i="2" s="1"/>
  <c r="D150" i="2" a="1"/>
  <c r="D150" i="2" s="1"/>
  <c r="D140" i="2" a="1"/>
  <c r="D140" i="2" s="1"/>
  <c r="D139" i="2" a="1"/>
  <c r="D139" i="2" s="1"/>
  <c r="D199" i="2" a="1"/>
  <c r="D199" i="2" s="1"/>
  <c r="E199" i="2" a="1"/>
  <c r="E199" i="2" s="1"/>
  <c r="F199" i="2" a="1"/>
  <c r="F199" i="2" s="1"/>
  <c r="G199" i="2" a="1"/>
  <c r="G199" i="2" s="1"/>
  <c r="H199" i="2" a="1"/>
  <c r="H199" i="2" s="1"/>
  <c r="D181" i="2" a="1"/>
  <c r="D181" i="2" s="1"/>
  <c r="H198" i="2" a="1"/>
  <c r="H198" i="2" s="1"/>
  <c r="G198" i="2" a="1"/>
  <c r="G198" i="2" s="1"/>
  <c r="F198" i="2" a="1"/>
  <c r="F198" i="2" s="1"/>
  <c r="E198" i="2" a="1"/>
  <c r="E198" i="2" s="1"/>
  <c r="D198" i="2" a="1"/>
  <c r="D198" i="2" s="1"/>
  <c r="H197" i="2" a="1"/>
  <c r="H197" i="2" s="1"/>
  <c r="G197" i="2" a="1"/>
  <c r="G197" i="2" s="1"/>
  <c r="F197" i="2" a="1"/>
  <c r="F197" i="2" s="1"/>
  <c r="E197" i="2" a="1"/>
  <c r="E197" i="2" s="1"/>
  <c r="D197" i="2" a="1"/>
  <c r="D197" i="2" s="1"/>
  <c r="H196" i="2" a="1"/>
  <c r="H196" i="2" s="1"/>
  <c r="G196" i="2" a="1"/>
  <c r="G196" i="2" s="1"/>
  <c r="F196" i="2" a="1"/>
  <c r="F196" i="2" s="1"/>
  <c r="E196" i="2" a="1"/>
  <c r="E196" i="2" s="1"/>
  <c r="D196" i="2" a="1"/>
  <c r="D196" i="2" s="1"/>
  <c r="H195" i="2" a="1"/>
  <c r="H195" i="2" s="1"/>
  <c r="G195" i="2" a="1"/>
  <c r="G195" i="2" s="1"/>
  <c r="F195" i="2" a="1"/>
  <c r="F195" i="2" s="1"/>
  <c r="E195" i="2" a="1"/>
  <c r="E195" i="2" s="1"/>
  <c r="D195" i="2" a="1"/>
  <c r="D195" i="2" s="1"/>
  <c r="H194" i="2" a="1"/>
  <c r="H194" i="2" s="1"/>
  <c r="G194" i="2" a="1"/>
  <c r="G194" i="2" s="1"/>
  <c r="F194" i="2" a="1"/>
  <c r="F194" i="2" s="1"/>
  <c r="E194" i="2" a="1"/>
  <c r="E194" i="2" s="1"/>
  <c r="D194" i="2" a="1"/>
  <c r="D194" i="2" s="1"/>
  <c r="H193" i="2" a="1"/>
  <c r="H193" i="2" s="1"/>
  <c r="G193" i="2" a="1"/>
  <c r="G193" i="2" s="1"/>
  <c r="F193" i="2" a="1"/>
  <c r="F193" i="2" s="1"/>
  <c r="E193" i="2" a="1"/>
  <c r="E193" i="2" s="1"/>
  <c r="D193" i="2" a="1"/>
  <c r="D193" i="2" s="1"/>
  <c r="H192" i="2" a="1"/>
  <c r="H192" i="2" s="1"/>
  <c r="G192" i="2" a="1"/>
  <c r="G192" i="2" s="1"/>
  <c r="F192" i="2" a="1"/>
  <c r="F192" i="2" s="1"/>
  <c r="E192" i="2" a="1"/>
  <c r="E192" i="2" s="1"/>
  <c r="D192" i="2" a="1"/>
  <c r="D192" i="2" s="1"/>
  <c r="H191" i="2" a="1"/>
  <c r="H191" i="2" s="1"/>
  <c r="G191" i="2" a="1"/>
  <c r="G191" i="2" s="1"/>
  <c r="F191" i="2" a="1"/>
  <c r="F191" i="2" s="1"/>
  <c r="E191" i="2" a="1"/>
  <c r="E191" i="2" s="1"/>
  <c r="D191" i="2" a="1"/>
  <c r="D191" i="2" s="1"/>
  <c r="H190" i="2" a="1"/>
  <c r="H190" i="2" s="1"/>
  <c r="G190" i="2" a="1"/>
  <c r="G190" i="2" s="1"/>
  <c r="F190" i="2" a="1"/>
  <c r="F190" i="2" s="1"/>
  <c r="E190" i="2" a="1"/>
  <c r="E190" i="2" s="1"/>
  <c r="D190" i="2" a="1"/>
  <c r="D190" i="2" s="1"/>
  <c r="H189" i="2" a="1"/>
  <c r="H189" i="2" s="1"/>
  <c r="G189" i="2" a="1"/>
  <c r="G189" i="2" s="1"/>
  <c r="F189" i="2" a="1"/>
  <c r="F189" i="2" s="1"/>
  <c r="E189" i="2" a="1"/>
  <c r="E189" i="2" s="1"/>
  <c r="D189" i="2" a="1"/>
  <c r="D189" i="2" s="1"/>
  <c r="H188" i="2" a="1"/>
  <c r="H188" i="2" s="1"/>
  <c r="G188" i="2" a="1"/>
  <c r="G188" i="2" s="1"/>
  <c r="F188" i="2" a="1"/>
  <c r="F188" i="2" s="1"/>
  <c r="E188" i="2" a="1"/>
  <c r="E188" i="2" s="1"/>
  <c r="D188" i="2" a="1"/>
  <c r="D188" i="2" s="1"/>
  <c r="H187" i="2" a="1"/>
  <c r="H187" i="2" s="1"/>
  <c r="G187" i="2" a="1"/>
  <c r="G187" i="2" s="1"/>
  <c r="F187" i="2" a="1"/>
  <c r="F187" i="2" s="1"/>
  <c r="E187" i="2" a="1"/>
  <c r="E187" i="2" s="1"/>
  <c r="D187" i="2" a="1"/>
  <c r="D187" i="2" s="1"/>
  <c r="D180" i="2" a="1"/>
  <c r="D180" i="2" s="1"/>
  <c r="D179" i="2" a="1"/>
  <c r="D179" i="2" s="1"/>
  <c r="D178" i="2" a="1"/>
  <c r="D178" i="2" s="1"/>
  <c r="E175" i="2" a="1"/>
  <c r="E175" i="2" s="1"/>
  <c r="D175" i="2" a="1"/>
  <c r="D175" i="2" s="1"/>
  <c r="D174" i="2" a="1"/>
  <c r="D174" i="2" s="1"/>
  <c r="D173" i="2" a="1"/>
  <c r="D173" i="2" s="1"/>
  <c r="D170" i="2" a="1"/>
  <c r="D170" i="2" s="1"/>
  <c r="D169" i="2" a="1"/>
  <c r="D169" i="2" s="1"/>
  <c r="D168" i="2" a="1"/>
  <c r="D168" i="2" s="1"/>
  <c r="D167" i="2" a="1"/>
  <c r="D167" i="2" s="1"/>
  <c r="D164" i="2" a="1"/>
  <c r="D164" i="2" s="1"/>
  <c r="D163" i="2" a="1"/>
  <c r="D163" i="2" s="1"/>
  <c r="D162" i="2" a="1"/>
  <c r="D162" i="2" s="1"/>
  <c r="D161" i="2" a="1"/>
  <c r="D161" i="2" s="1"/>
  <c r="E158" i="2" a="1"/>
  <c r="E158" i="2" s="1"/>
  <c r="D158" i="2" a="1"/>
  <c r="D158" i="2" s="1"/>
  <c r="E157" i="2" a="1"/>
  <c r="E157" i="2" s="1"/>
  <c r="D157" i="2" a="1"/>
  <c r="D157" i="2" s="1"/>
  <c r="E156" i="2" a="1"/>
  <c r="E156" i="2" s="1"/>
  <c r="D156" i="2" a="1"/>
  <c r="D156" i="2" s="1"/>
  <c r="E155" i="2" a="1"/>
  <c r="E155" i="2" s="1"/>
  <c r="D155" i="2" a="1"/>
  <c r="D155" i="2" s="1"/>
  <c r="E154" i="2" a="1"/>
  <c r="E154" i="2" s="1"/>
  <c r="D154" i="2" a="1"/>
  <c r="D154" i="2" s="1"/>
  <c r="D151" i="2" a="1"/>
  <c r="D151" i="2" s="1"/>
  <c r="E136" i="2" a="1"/>
  <c r="E136" i="2" s="1"/>
  <c r="D136" i="2" a="1"/>
  <c r="D136" i="2" s="1"/>
  <c r="E135" i="2" a="1"/>
  <c r="E135" i="2" s="1"/>
  <c r="D135" i="2" a="1"/>
  <c r="D135" i="2" s="1"/>
  <c r="D133" i="2" a="1"/>
  <c r="D133" i="2" s="1"/>
  <c r="D132" i="2" a="1"/>
  <c r="D132" i="2" s="1"/>
  <c r="E129" i="2" a="1"/>
  <c r="E129" i="2" s="1"/>
  <c r="D129" i="2" a="1"/>
  <c r="D129" i="2" s="1"/>
  <c r="E128" i="2" a="1"/>
  <c r="E128" i="2" s="1"/>
  <c r="D128" i="2" a="1"/>
  <c r="D128" i="2" s="1"/>
  <c r="D125" i="2" a="1"/>
  <c r="D125" i="2" s="1"/>
  <c r="D124" i="2" a="1"/>
  <c r="D124" i="2" s="1"/>
  <c r="G121" i="2" a="1"/>
  <c r="G121" i="2" s="1"/>
  <c r="F121" i="2" a="1"/>
  <c r="F121" i="2" s="1"/>
  <c r="E121" i="2" a="1"/>
  <c r="E121" i="2" s="1"/>
  <c r="D121" i="2" a="1"/>
  <c r="D121" i="2" s="1"/>
  <c r="G120" i="2" a="1"/>
  <c r="G120" i="2" s="1"/>
  <c r="F120" i="2" a="1"/>
  <c r="F120" i="2" s="1"/>
  <c r="E120" i="2" a="1"/>
  <c r="E120" i="2" s="1"/>
  <c r="D120" i="2" a="1"/>
  <c r="D120" i="2" s="1"/>
  <c r="D117" i="2" a="1"/>
  <c r="D117" i="2" s="1"/>
  <c r="D116" i="2" a="1"/>
  <c r="D116" i="2" s="1"/>
  <c r="D115" i="2" a="1"/>
  <c r="D115" i="2" s="1"/>
  <c r="G112" i="2" a="1"/>
  <c r="G112" i="2" s="1"/>
  <c r="F112" i="2" a="1"/>
  <c r="F112" i="2" s="1"/>
  <c r="E112" i="2" a="1"/>
  <c r="E112" i="2" s="1"/>
  <c r="D112" i="2" a="1"/>
  <c r="D112" i="2" s="1"/>
  <c r="G111" i="2" a="1"/>
  <c r="G111" i="2" s="1"/>
  <c r="F111" i="2" a="1"/>
  <c r="F111" i="2" s="1"/>
  <c r="E111" i="2" a="1"/>
  <c r="E111" i="2" s="1"/>
  <c r="D111" i="2" a="1"/>
  <c r="D111" i="2" s="1"/>
  <c r="G110" i="2" a="1"/>
  <c r="G110" i="2" s="1"/>
  <c r="F110" i="2" a="1"/>
  <c r="F110" i="2" s="1"/>
  <c r="E110" i="2" a="1"/>
  <c r="E110" i="2" s="1"/>
  <c r="D110" i="2" a="1"/>
  <c r="D110" i="2" s="1"/>
  <c r="D107" i="2" a="1"/>
  <c r="D107" i="2" s="1"/>
  <c r="D106" i="2" a="1"/>
  <c r="D106" i="2" s="1"/>
  <c r="D105" i="2" a="1"/>
  <c r="D105" i="2" s="1"/>
  <c r="D99" i="2" a="1"/>
  <c r="D99" i="2" s="1"/>
  <c r="S97" i="2" a="1"/>
  <c r="S97" i="2" s="1"/>
  <c r="R97" i="2" a="1"/>
  <c r="R97" i="2" s="1"/>
  <c r="Q97" i="2" a="1"/>
  <c r="Q97" i="2" s="1"/>
  <c r="P97" i="2" a="1"/>
  <c r="P97" i="2" s="1"/>
  <c r="O97" i="2" a="1"/>
  <c r="O97" i="2" s="1"/>
  <c r="N97" i="2" a="1"/>
  <c r="N97" i="2" s="1"/>
  <c r="M97" i="2" a="1"/>
  <c r="M97" i="2" s="1"/>
  <c r="L97" i="2" a="1"/>
  <c r="L97" i="2" s="1"/>
  <c r="K97" i="2" a="1"/>
  <c r="K97" i="2" s="1"/>
  <c r="J97" i="2" a="1"/>
  <c r="J97" i="2" s="1"/>
  <c r="I97" i="2" a="1"/>
  <c r="I97" i="2" s="1"/>
  <c r="H97" i="2" a="1"/>
  <c r="H97" i="2" s="1"/>
  <c r="G97" i="2" a="1"/>
  <c r="G97" i="2" s="1"/>
  <c r="F97" i="2" a="1"/>
  <c r="F97" i="2" s="1"/>
  <c r="E97" i="2" a="1"/>
  <c r="E97" i="2" s="1"/>
  <c r="D97" i="2" a="1"/>
  <c r="D97" i="2" s="1"/>
  <c r="S96" i="2" a="1"/>
  <c r="S96" i="2" s="1"/>
  <c r="R96" i="2" a="1"/>
  <c r="R96" i="2" s="1"/>
  <c r="Q96" i="2" a="1"/>
  <c r="Q96" i="2" s="1"/>
  <c r="P96" i="2" a="1"/>
  <c r="P96" i="2" s="1"/>
  <c r="O96" i="2" a="1"/>
  <c r="O96" i="2" s="1"/>
  <c r="N96" i="2" a="1"/>
  <c r="N96" i="2" s="1"/>
  <c r="M96" i="2" a="1"/>
  <c r="M96" i="2" s="1"/>
  <c r="L96" i="2" a="1"/>
  <c r="L96" i="2" s="1"/>
  <c r="K96" i="2" a="1"/>
  <c r="K96" i="2" s="1"/>
  <c r="J96" i="2" a="1"/>
  <c r="J96" i="2" s="1"/>
  <c r="I96" i="2" a="1"/>
  <c r="I96" i="2" s="1"/>
  <c r="H96" i="2" a="1"/>
  <c r="H96" i="2" s="1"/>
  <c r="G96" i="2" a="1"/>
  <c r="G96" i="2" s="1"/>
  <c r="F96" i="2" a="1"/>
  <c r="F96" i="2" s="1"/>
  <c r="E96" i="2" a="1"/>
  <c r="E96" i="2" s="1"/>
  <c r="D96" i="2" a="1"/>
  <c r="D96" i="2" s="1"/>
  <c r="S95" i="2" a="1"/>
  <c r="S95" i="2" s="1"/>
  <c r="R95" i="2" a="1"/>
  <c r="R95" i="2" s="1"/>
  <c r="Q95" i="2" a="1"/>
  <c r="Q95" i="2" s="1"/>
  <c r="P95" i="2" a="1"/>
  <c r="P95" i="2" s="1"/>
  <c r="O95" i="2" a="1"/>
  <c r="O95" i="2" s="1"/>
  <c r="N95" i="2" a="1"/>
  <c r="N95" i="2" s="1"/>
  <c r="M95" i="2" a="1"/>
  <c r="M95" i="2" s="1"/>
  <c r="L95" i="2" a="1"/>
  <c r="L95" i="2" s="1"/>
  <c r="K95" i="2" a="1"/>
  <c r="K95" i="2" s="1"/>
  <c r="J95" i="2" a="1"/>
  <c r="J95" i="2" s="1"/>
  <c r="I95" i="2" a="1"/>
  <c r="I95" i="2" s="1"/>
  <c r="H95" i="2" a="1"/>
  <c r="H95" i="2" s="1"/>
  <c r="G95" i="2" a="1"/>
  <c r="G95" i="2" s="1"/>
  <c r="F95" i="2" a="1"/>
  <c r="F95" i="2" s="1"/>
  <c r="E95" i="2" a="1"/>
  <c r="E95" i="2" s="1"/>
  <c r="D95" i="2" a="1"/>
  <c r="D95" i="2" s="1"/>
  <c r="S94" i="2" a="1"/>
  <c r="S94" i="2" s="1"/>
  <c r="R94" i="2" a="1"/>
  <c r="R94" i="2" s="1"/>
  <c r="Q94" i="2" a="1"/>
  <c r="Q94" i="2" s="1"/>
  <c r="P94" i="2" a="1"/>
  <c r="P94" i="2" s="1"/>
  <c r="O94" i="2" a="1"/>
  <c r="O94" i="2" s="1"/>
  <c r="N94" i="2" a="1"/>
  <c r="N94" i="2" s="1"/>
  <c r="M94" i="2" a="1"/>
  <c r="M94" i="2" s="1"/>
  <c r="L94" i="2" a="1"/>
  <c r="L94" i="2" s="1"/>
  <c r="K94" i="2" a="1"/>
  <c r="K94" i="2" s="1"/>
  <c r="J94" i="2" a="1"/>
  <c r="J94" i="2" s="1"/>
  <c r="I94" i="2" a="1"/>
  <c r="I94" i="2" s="1"/>
  <c r="H94" i="2" a="1"/>
  <c r="H94" i="2" s="1"/>
  <c r="G94" i="2" a="1"/>
  <c r="G94" i="2" s="1"/>
  <c r="F94" i="2" a="1"/>
  <c r="F94" i="2" s="1"/>
  <c r="E94" i="2" a="1"/>
  <c r="E94" i="2" s="1"/>
  <c r="D94" i="2" a="1"/>
  <c r="D94" i="2" s="1"/>
  <c r="S93" i="2" a="1"/>
  <c r="S93" i="2" s="1"/>
  <c r="R93" i="2" a="1"/>
  <c r="R93" i="2" s="1"/>
  <c r="Q93" i="2" a="1"/>
  <c r="Q93" i="2" s="1"/>
  <c r="P93" i="2" a="1"/>
  <c r="P93" i="2" s="1"/>
  <c r="O93" i="2" a="1"/>
  <c r="O93" i="2" s="1"/>
  <c r="N93" i="2" a="1"/>
  <c r="N93" i="2" s="1"/>
  <c r="M93" i="2" a="1"/>
  <c r="M93" i="2" s="1"/>
  <c r="L93" i="2" a="1"/>
  <c r="L93" i="2" s="1"/>
  <c r="K93" i="2" a="1"/>
  <c r="K93" i="2" s="1"/>
  <c r="J93" i="2" a="1"/>
  <c r="J93" i="2" s="1"/>
  <c r="I93" i="2" a="1"/>
  <c r="I93" i="2" s="1"/>
  <c r="H93" i="2" a="1"/>
  <c r="H93" i="2" s="1"/>
  <c r="G93" i="2" a="1"/>
  <c r="G93" i="2" s="1"/>
  <c r="F93" i="2" a="1"/>
  <c r="F93" i="2" s="1"/>
  <c r="E93" i="2" a="1"/>
  <c r="E93" i="2" s="1"/>
  <c r="D93" i="2" a="1"/>
  <c r="D93" i="2" s="1"/>
  <c r="S92" i="2" a="1"/>
  <c r="S92" i="2" s="1"/>
  <c r="R92" i="2" a="1"/>
  <c r="R92" i="2" s="1"/>
  <c r="Q92" i="2" a="1"/>
  <c r="Q92" i="2" s="1"/>
  <c r="P92" i="2" a="1"/>
  <c r="P92" i="2" s="1"/>
  <c r="O92" i="2" a="1"/>
  <c r="O92" i="2" s="1"/>
  <c r="N92" i="2" a="1"/>
  <c r="N92" i="2" s="1"/>
  <c r="M92" i="2" a="1"/>
  <c r="M92" i="2" s="1"/>
  <c r="L92" i="2" a="1"/>
  <c r="L92" i="2" s="1"/>
  <c r="K92" i="2" a="1"/>
  <c r="K92" i="2" s="1"/>
  <c r="J92" i="2" a="1"/>
  <c r="J92" i="2" s="1"/>
  <c r="I92" i="2" a="1"/>
  <c r="I92" i="2" s="1"/>
  <c r="H92" i="2" a="1"/>
  <c r="H92" i="2" s="1"/>
  <c r="G92" i="2" a="1"/>
  <c r="G92" i="2" s="1"/>
  <c r="F92" i="2" a="1"/>
  <c r="F92" i="2" s="1"/>
  <c r="E92" i="2" a="1"/>
  <c r="E92" i="2" s="1"/>
  <c r="D92" i="2" a="1"/>
  <c r="D92" i="2" s="1"/>
  <c r="S91" i="2" a="1"/>
  <c r="S91" i="2" s="1"/>
  <c r="R91" i="2" a="1"/>
  <c r="R91" i="2" s="1"/>
  <c r="Q91" i="2" a="1"/>
  <c r="Q91" i="2" s="1"/>
  <c r="P91" i="2" a="1"/>
  <c r="P91" i="2" s="1"/>
  <c r="O91" i="2" a="1"/>
  <c r="O91" i="2" s="1"/>
  <c r="N91" i="2" a="1"/>
  <c r="N91" i="2" s="1"/>
  <c r="M91" i="2" a="1"/>
  <c r="M91" i="2" s="1"/>
  <c r="L91" i="2" a="1"/>
  <c r="L91" i="2" s="1"/>
  <c r="K91" i="2" a="1"/>
  <c r="K91" i="2" s="1"/>
  <c r="J91" i="2" a="1"/>
  <c r="J91" i="2" s="1"/>
  <c r="I91" i="2" a="1"/>
  <c r="I91" i="2" s="1"/>
  <c r="H91" i="2" a="1"/>
  <c r="H91" i="2" s="1"/>
  <c r="G91" i="2" a="1"/>
  <c r="G91" i="2" s="1"/>
  <c r="F91" i="2" a="1"/>
  <c r="F91" i="2" s="1"/>
  <c r="E91" i="2" a="1"/>
  <c r="E91" i="2" s="1"/>
  <c r="D91" i="2" a="1"/>
  <c r="D91" i="2" s="1"/>
  <c r="S90" i="2" a="1"/>
  <c r="S90" i="2" s="1"/>
  <c r="R90" i="2" a="1"/>
  <c r="R90" i="2" s="1"/>
  <c r="Q90" i="2" a="1"/>
  <c r="Q90" i="2" s="1"/>
  <c r="P90" i="2" a="1"/>
  <c r="P90" i="2" s="1"/>
  <c r="O90" i="2" a="1"/>
  <c r="O90" i="2" s="1"/>
  <c r="N90" i="2" a="1"/>
  <c r="N90" i="2" s="1"/>
  <c r="M90" i="2" a="1"/>
  <c r="M90" i="2" s="1"/>
  <c r="L90" i="2" a="1"/>
  <c r="L90" i="2" s="1"/>
  <c r="K90" i="2" a="1"/>
  <c r="K90" i="2" s="1"/>
  <c r="J90" i="2" a="1"/>
  <c r="J90" i="2" s="1"/>
  <c r="I90" i="2" a="1"/>
  <c r="I90" i="2" s="1"/>
  <c r="H90" i="2" a="1"/>
  <c r="H90" i="2" s="1"/>
  <c r="G90" i="2" a="1"/>
  <c r="G90" i="2" s="1"/>
  <c r="F90" i="2" a="1"/>
  <c r="F90" i="2" s="1"/>
  <c r="E90" i="2" a="1"/>
  <c r="E90" i="2" s="1"/>
  <c r="D90" i="2" a="1"/>
  <c r="D90" i="2" s="1"/>
  <c r="D83" i="2" a="1"/>
  <c r="D83" i="2" s="1"/>
  <c r="D82" i="2" a="1"/>
  <c r="D82" i="2" s="1"/>
  <c r="D81" i="2" a="1"/>
  <c r="D81" i="2" s="1"/>
  <c r="E77" i="2" a="1"/>
  <c r="E77" i="2" s="1"/>
  <c r="D77" i="2" a="1"/>
  <c r="D77" i="2" s="1"/>
  <c r="E76" i="2" a="1"/>
  <c r="E76" i="2" s="1"/>
  <c r="D76" i="2" a="1"/>
  <c r="D76" i="2" s="1"/>
  <c r="E75" i="2" a="1"/>
  <c r="E75" i="2" s="1"/>
  <c r="D75" i="2" a="1"/>
  <c r="D75" i="2" s="1"/>
  <c r="E74" i="2" a="1"/>
  <c r="E74" i="2" s="1"/>
  <c r="D74" i="2" a="1"/>
  <c r="D74" i="2" s="1"/>
  <c r="E73" i="2" a="1"/>
  <c r="E73" i="2" s="1"/>
  <c r="D73" i="2" a="1"/>
  <c r="D73" i="2" s="1"/>
  <c r="E72" i="2" a="1"/>
  <c r="E72" i="2" s="1"/>
  <c r="D72" i="2" a="1"/>
  <c r="D72" i="2" s="1"/>
  <c r="E71" i="2" a="1"/>
  <c r="E71" i="2" s="1"/>
  <c r="D71" i="2" a="1"/>
  <c r="D71" i="2" s="1"/>
  <c r="E70" i="2" a="1"/>
  <c r="E70" i="2" s="1"/>
  <c r="D70" i="2" a="1"/>
  <c r="D70" i="2" s="1"/>
  <c r="E69" i="2" a="1"/>
  <c r="E69" i="2" s="1"/>
  <c r="D69" i="2" a="1"/>
  <c r="D69" i="2" s="1"/>
  <c r="E68" i="2" a="1"/>
  <c r="E68" i="2" s="1"/>
  <c r="D68" i="2" a="1"/>
  <c r="D68" i="2" s="1"/>
  <c r="E67" i="2" a="1"/>
  <c r="E67" i="2" s="1"/>
  <c r="D67" i="2" a="1"/>
  <c r="D67" i="2" s="1"/>
  <c r="E66" i="2" a="1"/>
  <c r="E66" i="2" s="1"/>
  <c r="D66" i="2" a="1"/>
  <c r="D66" i="2" s="1"/>
  <c r="E65" i="2" a="1"/>
  <c r="E65" i="2" s="1"/>
  <c r="D65" i="2" a="1"/>
  <c r="D65" i="2" s="1"/>
  <c r="E64" i="2" a="1"/>
  <c r="E64" i="2" s="1"/>
  <c r="D64" i="2" a="1"/>
  <c r="D64" i="2" s="1"/>
  <c r="D59" i="2" a="1"/>
  <c r="D59" i="2" s="1"/>
  <c r="D58" i="2" a="1"/>
  <c r="D58" i="2" s="1"/>
  <c r="D57" i="2" a="1"/>
  <c r="D57" i="2" s="1"/>
  <c r="G54" i="2" a="1"/>
  <c r="G54" i="2" s="1"/>
  <c r="F54" i="2" a="1"/>
  <c r="F54" i="2" s="1"/>
  <c r="H54" i="2" s="1"/>
  <c r="E54" i="2" a="1"/>
  <c r="E54" i="2" s="1"/>
  <c r="D54" i="2" a="1"/>
  <c r="D54" i="2" s="1"/>
  <c r="G53" i="2" a="1"/>
  <c r="G53" i="2" s="1"/>
  <c r="F53" i="2" a="1"/>
  <c r="F53" i="2" s="1"/>
  <c r="E53" i="2" a="1"/>
  <c r="E53" i="2" s="1"/>
  <c r="D53" i="2" a="1"/>
  <c r="D53" i="2" s="1"/>
  <c r="G52" i="2" a="1"/>
  <c r="G52" i="2" s="1"/>
  <c r="F52" i="2" a="1"/>
  <c r="F52" i="2" s="1"/>
  <c r="E52" i="2" a="1"/>
  <c r="E52" i="2" s="1"/>
  <c r="D52" i="2" a="1"/>
  <c r="D52" i="2" s="1"/>
  <c r="G51" i="2" a="1"/>
  <c r="G51" i="2" s="1"/>
  <c r="F51" i="2" a="1"/>
  <c r="F51" i="2" s="1"/>
  <c r="E51" i="2" a="1"/>
  <c r="E51" i="2" s="1"/>
  <c r="D51" i="2" a="1"/>
  <c r="D51" i="2" s="1"/>
  <c r="G50" i="2" a="1"/>
  <c r="G50" i="2" s="1"/>
  <c r="F50" i="2" a="1"/>
  <c r="F50" i="2" s="1"/>
  <c r="E50" i="2" a="1"/>
  <c r="E50" i="2" s="1"/>
  <c r="D50" i="2" a="1"/>
  <c r="D50" i="2" s="1"/>
  <c r="G49" i="2" a="1"/>
  <c r="G49" i="2" s="1"/>
  <c r="F49" i="2" a="1"/>
  <c r="F49" i="2" s="1"/>
  <c r="E49" i="2" a="1"/>
  <c r="E49" i="2" s="1"/>
  <c r="D49" i="2" a="1"/>
  <c r="D49" i="2" s="1"/>
  <c r="G48" i="2" a="1"/>
  <c r="G48" i="2" s="1"/>
  <c r="F48" i="2" a="1"/>
  <c r="F48" i="2" s="1"/>
  <c r="E48" i="2" a="1"/>
  <c r="E48" i="2" s="1"/>
  <c r="D48" i="2" a="1"/>
  <c r="D48" i="2" s="1"/>
  <c r="D46" i="2" a="1"/>
  <c r="D46" i="2" s="1"/>
  <c r="D45" i="2" a="1"/>
  <c r="D45" i="2" s="1"/>
  <c r="E43" i="2" a="1"/>
  <c r="E43" i="2" s="1"/>
  <c r="D43" i="2" a="1"/>
  <c r="D43" i="2" s="1"/>
  <c r="E42" i="2" a="1"/>
  <c r="E42" i="2" s="1"/>
  <c r="D42" i="2" a="1"/>
  <c r="D42" i="2" s="1"/>
  <c r="E41" i="2" a="1"/>
  <c r="E41" i="2" s="1"/>
  <c r="D41" i="2" a="1"/>
  <c r="D41" i="2" s="1"/>
  <c r="E40" i="2" a="1"/>
  <c r="E40" i="2" s="1"/>
  <c r="D40" i="2" a="1"/>
  <c r="D40" i="2" s="1"/>
  <c r="E39" i="2" a="1"/>
  <c r="E39" i="2" s="1"/>
  <c r="D39" i="2" a="1"/>
  <c r="D39" i="2" s="1"/>
  <c r="E38" i="2" a="1"/>
  <c r="E38" i="2" s="1"/>
  <c r="D38" i="2" a="1"/>
  <c r="D38" i="2" s="1"/>
  <c r="E37" i="2" a="1"/>
  <c r="E37" i="2" s="1"/>
  <c r="D37" i="2" a="1"/>
  <c r="D37" i="2" s="1"/>
  <c r="D35" i="2" a="1"/>
  <c r="D35" i="2" s="1"/>
  <c r="D34" i="2" a="1"/>
  <c r="D34" i="2" s="1"/>
  <c r="D30" i="2" a="1"/>
  <c r="D30" i="2" s="1"/>
  <c r="D29" i="2" a="1"/>
  <c r="D29" i="2" s="1"/>
  <c r="D28" i="2" a="1"/>
  <c r="D28" i="2" s="1"/>
  <c r="D27" i="2" a="1"/>
  <c r="D27" i="2" s="1"/>
  <c r="D26" i="2" a="1"/>
  <c r="D26" i="2" s="1"/>
  <c r="D25" i="2" a="1"/>
  <c r="D25" i="2" s="1"/>
  <c r="D24" i="2" a="1"/>
  <c r="D24" i="2" s="1"/>
  <c r="D23" i="2" a="1"/>
  <c r="D23" i="2" s="1"/>
  <c r="D22" i="2" a="1"/>
  <c r="D22" i="2" s="1"/>
  <c r="D21" i="2" a="1"/>
  <c r="D21" i="2" s="1"/>
  <c r="D19" i="2" a="1"/>
  <c r="D19" i="2" s="1"/>
  <c r="D18" i="2" a="1"/>
  <c r="D18" i="2" s="1"/>
  <c r="F14" i="2" a="1"/>
  <c r="F14" i="2" s="1"/>
  <c r="E14" i="2" a="1"/>
  <c r="E14" i="2" s="1"/>
  <c r="D14" i="2" a="1"/>
  <c r="D14" i="2" s="1"/>
  <c r="F13" i="2" a="1"/>
  <c r="F13" i="2" s="1"/>
  <c r="E13" i="2" a="1"/>
  <c r="E13" i="2" s="1"/>
  <c r="D13" i="2" a="1"/>
  <c r="D13" i="2" s="1"/>
  <c r="F12" i="2" a="1"/>
  <c r="F12" i="2" s="1"/>
  <c r="E12" i="2" a="1"/>
  <c r="E12" i="2" s="1"/>
  <c r="D12" i="2" a="1"/>
  <c r="D12" i="2" s="1"/>
  <c r="F11" i="2" a="1"/>
  <c r="F11" i="2" s="1"/>
  <c r="E11" i="2" a="1"/>
  <c r="E11" i="2" s="1"/>
  <c r="D11" i="2" a="1"/>
  <c r="D11" i="2" s="1"/>
  <c r="F10" i="2" a="1"/>
  <c r="F10" i="2" s="1"/>
  <c r="E10" i="2" a="1"/>
  <c r="E10" i="2" s="1"/>
  <c r="D10" i="2" a="1"/>
  <c r="D10" i="2" s="1"/>
  <c r="F9" i="2" a="1"/>
  <c r="F9" i="2" s="1"/>
  <c r="E9" i="2" a="1"/>
  <c r="E9" i="2" s="1"/>
  <c r="D9" i="2" a="1"/>
  <c r="D9" i="2" s="1"/>
  <c r="F8" i="2" a="1"/>
  <c r="F8" i="2" s="1"/>
  <c r="E8" i="2" a="1"/>
  <c r="E8" i="2" s="1"/>
  <c r="D8" i="2" a="1"/>
  <c r="D8" i="2" s="1"/>
  <c r="F7" i="2" a="1"/>
  <c r="F7" i="2" s="1"/>
  <c r="E7" i="2" a="1"/>
  <c r="E7" i="2" s="1"/>
  <c r="D7" i="2" a="1"/>
  <c r="D7" i="2" s="1"/>
  <c r="D5" i="2" a="1"/>
  <c r="D5" i="2" s="1"/>
  <c r="H50" i="2" l="1"/>
  <c r="H51" i="2"/>
  <c r="H48" i="2"/>
  <c r="H52" i="2"/>
  <c r="H49" i="2"/>
  <c r="H5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<sst xmlns="http://schemas.openxmlformats.org/spreadsheetml/2006/main" count="78" uniqueCount="69">
  <si>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</si>
  <si>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</si>
  <si>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</si>
  <si>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</si>
  <si>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</si>
  <si>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</si>
  <si>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</si>
  <si>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</si>
  <si>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</si>
  <si>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</si>
  <si>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</si>
  <si>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</si>
  <si>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</si>
  <si>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</si>
  <si>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</si>
  <si>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</si>
  <si>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</si>
  <si>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</si>
  <si>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</si>
  <si>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</si>
  <si>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</si>
  <si>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</si>
  <si>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</si>
  <si>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</si>
  <si>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</si>
  <si>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</si>
  <si>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</si>
  <si>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</si>
  <si>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</si>
  <si>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</si>
  <si>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</si>
  <si>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</si>
  <si>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</si>
  <si>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</si>
  <si>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</si>
  <si>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</si>
  <si>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</si>
  <si>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</si>
  <si>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</si>
  <si>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</si>
  <si>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</si>
  <si>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</si>
  <si>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</si>
  <si>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</si>
  <si>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</si>
  <si>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</si>
  <si>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</si>
  <si>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</si>
  <si>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</si>
  <si>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</si>
  <si>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</si>
  <si>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</si>
  <si>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</si>
  <si>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</si>
  <si>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</si>
  <si>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</si>
  <si>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</si>
  <si>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</si>
  <si>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</si>
  <si>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</si>
  <si>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</si>
  <si>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</si>
  <si>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</si>
  <si>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</si>
  <si>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</si>
  <si>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</si>
  <si>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</si>
  <si>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</si>
  <si>
    <t>APPENDICES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</si>
</sst>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4"/>
      <color theme="5"/>
      <name val="Times New Roman"/>
      <family val="1"/>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tint="-0.499984740745262"/>
      <name val="Times New Roman"/>
      <family val="1"/>
    </font>
    <font>
      <sz val="10"/>
      <color theme="0" tint="-0.499984740745262"/>
      <name val="Times New Roman"/>
      <family val="1"/>
    </font>
    <font>
      <u/>
      <sz val="11"/>
      <color theme="10"/>
      <name val="Times New Roman"/>
      <family val="2"/>
      <scheme val="minor"/>
    </font>
    <font>
      <sz val="9"/>
      <color rgb="FF404040"/>
      <name val="Times New Roman"/>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6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xf numFmtId="0" fontId="32" fillId="0" borderId="0" applyNumberFormat="0" applyFill="0" applyBorder="0" applyAlignment="0" applyProtection="0"/>
  </cellStyleXfs>
  <cellXfs count="19">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xf numFmtId="0" fontId="32" fillId="0" borderId="0" xfId="59"/>
    <xf numFmtId="0" fontId="33" fillId="9" borderId="3" xfId="34" applyFont="1">
      <alignment horizontal="left" vertical="center" indent="1"/>
    </xf>
    <xf numFmtId="0" fontId="2" fillId="0" borderId="0" xfId="33">
      <alignment horizontal="left" vertical="center" indent="1"/>
    </xf>
    <xf numFmtId="0" fontId="18" fillId="10" borderId="0" xfId="35">
      <alignment horizontal="left" vertical="center" indent="1"/>
    </xf>
  </cellXfs>
  <cellStyles count="60">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59"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
      <tableStyleElement type="headerRow" dxfId="46"/>
      <tableStyleElement type="totalRow" dxfId="45"/>
      <tableStyleElement type="firstColumn" dxfId="44"/>
      <tableStyleElement type="firstRowStripe" dxfId="43"/>
      <tableStyleElement type="secondRowStripe" dxfId="42"/>
    </tableStyle>
    <tableStyle name="Equation table" pivot="0" count="6" xr9:uid="{B247698E-E41D-4CCD-AA0A-C14817E9DE65}">
      <tableStyleElement type="wholeTable" dxfId="41"/>
      <tableStyleElement type="headerRow" dxfId="40"/>
      <tableStyleElement type="totalRow" dxfId="39"/>
      <tableStyleElement type="firstColumn" dxfId="38"/>
      <tableStyleElement type="firstRowStripe" dxfId="37"/>
      <tableStyleElement type="secondRowStripe" dxfId="36"/>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5AFDDE-E44E-4566-9446-49D22D10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D56FF8-29E2-4DF7-85A1-55618F035A34}" name="State/Territory">
      <calculatedColumnFormula array="1">Common_InputFunctions.Utility_DisplayArrayInTable(Common_SourceData.Common_SourceData_AustralianStatesTerritories_Data(),Table_AustralianStates[[#Headers],[State/Territory]],0)</calculatedColumnFormula>
    </tableColumn>
    <tableColumn id="2" xr3:uid="{F5DA0D0E-6BC4-4950-A99F-5113C027644B}" name="Common Name">
      <calculatedColumnFormula array="1">Common_InputFunctions.Utility_DisplayArrayInTable(Common_SourceData.Common_SourceData_AustralianStatesTerritories_Data(),Table_AustralianStates[[#Headers],[State/Territory]],0)</calculatedColumnFormula>
    </tableColumn>
    <tableColumn id="3" xr3:uid="{387B7C9E-D7D9-4D36-A290-1A81ACD3515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A2510-6801-4CC4-A35D-1182F8B5B0D6}" name="Table_WASA4Areas" displayName="Table_WASA4Areas" ref="D20:D30" totalsRowShown="0">
  <autoFilter ref="D20:D30" xr:uid="{5FA81339-C6C8-4D36-BEEA-6C4AEDD9E676}">
    <filterColumn colId="0" hiddenButton="1"/>
  </autoFilter>
  <tableColumns count="1">
    <tableColumn id="1" xr3:uid="{FEC43FAA-C4DB-43B0-B971-1FF71C5C3EB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693B4F-0827-4BC0-8BFF-4E2F8802A9A6}" name="Table_GWPData" displayName="Table_GWPData" ref="D36:E43" totalsRowShown="0">
  <autoFilter ref="D36:E43" xr:uid="{B8E87A66-3E41-4AD3-925D-01EE21B43D7A}">
    <filterColumn colId="0" hiddenButton="1"/>
    <filterColumn colId="1" hiddenButton="1"/>
  </autoFilter>
  <tableColumns count="2">
    <tableColumn id="1" xr3:uid="{58198B4B-31B9-425F-A0C1-D1593EEF16FC}" name="Gas">
      <calculatedColumnFormula array="1">Common_InputFunctions.Utility_DisplayArrayInTable(Common_SourceData.Common_SourceData_GWP_Data(), Table_GWPData[[#Headers],[Gas]], 0)</calculatedColumnFormula>
    </tableColumn>
    <tableColumn id="2" xr3:uid="{B9F0B86C-9146-4976-B742-C78D7C3C114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FC099-DF5F-42B5-806A-E7A9320746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6E029C1-D4D4-46E4-9D9D-9AA604F09519}" name="Gas">
      <calculatedColumnFormula array="1">Common_InputFunctions.Utility_DisplayArrayInTable(Common_SourceData.Common_SourceData_ConvertGasElementalToMolecular_Data(),Table_GasToMolecularConversionFactor[[#Headers],[Gas]], 0)</calculatedColumnFormula>
    </tableColumn>
    <tableColumn id="5" xr3:uid="{AD8A597E-16A3-42B7-A64E-7A1DF4ED3338}" name="Conversion factor">
      <calculatedColumnFormula array="1">Common_InputFunctions.Utility_DisplayArrayInTable(Common_SourceData.Common_SourceData_ConvertGasElementalToMolecular_Data(),Table_GasToMolecularConversionFactor[[#Headers],[Gas]], 0)</calculatedColumnFormula>
    </tableColumn>
    <tableColumn id="2" xr3:uid="{FB88E96D-D31C-4C55-BB92-4DA916E3D9D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08733D-F7A9-4A74-8BE2-FF67131886D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26A421E-E754-4C8A-9D08-12DF73D61E7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F0180F-7F7D-4433-BEE0-8A0A823637B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938BBE8-7B92-48A9-872B-3320D21DB63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58207C9-89A7-4F8D-BFB1-8E32C6E5CE10}"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354F10CE-DC7A-49A5-AA19-EEB6281A641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8F4182B-B4B5-426D-98BC-0B2593A7B2AC}"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EE15735E-8ABF-428C-B015-3F1955A6D06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24D889BF-3FFC-47F8-87FE-E95F033D2601}"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8B1AA507-6E86-4E0A-8123-6045EBFC43F0}"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A64A9C-167B-48BE-9126-A0FC1AEC24A5}"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A8CA332-9832-49EA-97FB-DD23C730245E}"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B24E0786-86EC-449C-85EE-60C753B18536}"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25C5B38E-3202-4F57-A055-5B1AD8BE4CEF}"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486BEC3-9016-4BF3-8FB0-8F4450C55190}"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C9D6103-6384-43E4-AD6A-556A38AB52A4}"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F7FD137-AA7E-444B-8D18-DC8AB8FE4C1A}"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9EBF2EA-96A6-4345-93B0-3364616813EA}"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3EB0AAD6-2B47-4B1F-AB9F-DF46F10D5123}"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2A6A92-FC29-4D50-BA04-0826843E770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FCD4A06-823B-4A3F-89D0-46C27A9E1AA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05D6DF8-71A8-491A-BF4E-F6D008835D65}"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FC6E4B-1485-47B3-B981-452B30BCE51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FDD3467-EE45-473F-B48C-CD61900185F2}" name="Temperature Zone">
      <calculatedColumnFormula array="1">Common_InputFunctions.Utility_DisplayArrayInTable(Common_SourceData.Common_SourceData_TemperatureZones_Data(),Table_SourceData_TemperatureZones[[#Headers],[Temperature Zone]],0)</calculatedColumnFormula>
    </tableColumn>
    <tableColumn id="2" xr3:uid="{3152390A-DC85-4607-A3A6-0AA517B5C99A}" name="MAT">
      <calculatedColumnFormula array="1">Common_InputFunctions.Utility_DisplayArrayInTable(Common_SourceData.Common_SourceData_TemperatureZones_Data(),Table_SourceData_TemperatureZones[[#Headers],[Temperature Zone]],0)</calculatedColumnFormula>
    </tableColumn>
    <tableColumn id="3" xr3:uid="{0ADEDEE0-6AD4-4B94-BBD5-BCBB07E1B11F}" name="Min MAT">
      <calculatedColumnFormula array="1">Common_InputFunctions.Utility_DisplayArrayInTable(Common_SourceData.Common_SourceData_TemperatureZones_Data(),Table_SourceData_TemperatureZones[[#Headers],[Temperature Zone]],0)</calculatedColumnFormula>
    </tableColumn>
    <tableColumn id="4" xr3:uid="{865B2916-F18A-4E99-BE24-FAB9BFD4F68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337C26-229C-4E09-A297-90C453C060F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AEEFC53-E611-4230-AAAF-3DE6B5E5E950}" name="Rainfall Zone">
      <calculatedColumnFormula array="1">Common_InputFunctions.Utility_DisplayArrayInTable(Common_SourceData.Common_SourceData_RainfallZones_Data(),Table_SourceData_RainfallZones[[#Headers],[Rainfall Zone]],0)</calculatedColumnFormula>
    </tableColumn>
    <tableColumn id="2" xr3:uid="{C472DBB4-6A9E-4914-AA99-450142F197F5}" name="Annual rainfall">
      <calculatedColumnFormula array="1">Common_InputFunctions.Utility_DisplayArrayInTable(Common_SourceData.Common_SourceData_RainfallZones_Data(),Table_SourceData_RainfallZones[[#Headers],[Rainfall Zone]],0)</calculatedColumnFormula>
    </tableColumn>
    <tableColumn id="3" xr3:uid="{0286587B-B8A4-411F-86B6-7742963B61A7}" name="Min rainfall">
      <calculatedColumnFormula array="1">Common_InputFunctions.Utility_DisplayArrayInTable(Common_SourceData.Common_SourceData_RainfallZones_Data(),Table_SourceData_RainfallZones[[#Headers],[Rainfall Zone]],0)</calculatedColumnFormula>
    </tableColumn>
    <tableColumn id="4" xr3:uid="{9A50E08F-C1E5-4577-BFCD-3512C380DD3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B7A349-D3DD-4014-9714-0EE906A809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1D54A58-B9CE-4F4F-A6C1-9709184F0C68}" name="Leaching Zone">
      <calculatedColumnFormula array="1">Common_InputFunctions.Utility_DisplayArrayInTable(Common_SourceData.Common_SourceData_LeachingZones_Data(), Table_SourceData_LeachingZones[[#Headers],[Leaching Zone]], 0)</calculatedColumnFormula>
    </tableColumn>
    <tableColumn id="2" xr3:uid="{FA4910CF-D781-41C4-A05F-986A4A73D67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FC15E8-D67C-4277-8EF9-43844404386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9A3EF04-81A1-4788-92ED-C93EB4567386}" name="Data source">
      <calculatedColumnFormula array="1">Common_InputFunctions.Utility_DisplayArrayInTable(Common_SourceData.Common_SourceData_DataScores_Scope3_Data(), Table_SourceData_DataScores_Scope3[[#Headers],[Data source]], 0)</calculatedColumnFormula>
    </tableColumn>
    <tableColumn id="2" xr3:uid="{08331E38-C96C-45D2-ABE0-F9E96883DAB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71F994-12EC-4014-A3F3-C7F59904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CA74DB79-CAE7-4EF8-BA48-96421E9E9373}" name="Is in leaching zone">
      <calculatedColumnFormula array="1">Common_InputFunctions.Utility_DisplayArrayInTable(Common_SourceData.Common_SourceData_FracWET_Data(),Table_SourceData_FracWET[[#Headers],[Is in leaching zone]],0)</calculatedColumnFormula>
    </tableColumn>
    <tableColumn id="2" xr3:uid="{F0DDE0C3-8378-485B-A4A4-D07B38ADF801}"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FF24A4D-FB3A-4990-A60E-B22F27A2557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49A0981-50FD-4A56-9339-1D4877F4BC58}" name="Production system j">
      <calculatedColumnFormula array="1">Common_InputFunctions.Utility_DisplayArrayInTable(Common_SourceData.Common_SourceData_EFN2O_Data(), Table_SourceData_Common_EFN2O[[#Headers],[Production system j]], 0)</calculatedColumnFormula>
    </tableColumn>
    <tableColumn id="2" xr3:uid="{956974C7-4464-4357-8D9E-FC82DB381483}" name="EFN2O">
      <calculatedColumnFormula array="1">Common_InputFunctions.Utility_DisplayArrayInTable(Common_SourceData.Common_SourceData_EFN2O_Data(), Table_SourceData_Common_EFN2O[[#Headers],[Production system j]], 0)</calculatedColumnFormula>
    </tableColumn>
    <tableColumn id="3" xr3:uid="{31E180E3-1F8B-483C-A30C-1675039A95CA}" name="Production system only">
      <calculatedColumnFormula array="1">Common_InputFunctions.Utility_DisplayArrayInTable(Common_SourceData.Common_SourceData_EFN2O_Data(), Table_SourceData_Common_EFN2O[[#Headers],[Production system j]], 0)</calculatedColumnFormula>
    </tableColumn>
    <tableColumn id="4" xr3:uid="{C9763E21-E4AE-4087-BDBD-60136B5D44A0}" name="Irrigation method">
      <calculatedColumnFormula array="1">Common_InputFunctions.Utility_DisplayArrayInTable(Common_SourceData.Common_SourceData_EFN2O_Data(), Table_SourceData_Common_EFN2O[[#Headers],[Production system j]], 0)</calculatedColumnFormula>
    </tableColumn>
    <tableColumn id="5" xr3:uid="{3490D434-A455-4128-8D9F-A4C3B5BCB72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8CA34-50DE-46D5-B32A-BB3A1E818E3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8D772B-2FE9-457A-A200-8E17C55C340C}" name="Irrigation type i">
      <calculatedColumnFormula array="1">Common_InputFunctions.Utility_DisplayArrayInTable(Common_SourceData.Common_SourceData_FracWETIrrigation_Data(), Table_SourceData_FracWETIrrigation[[#Headers],[Irrigation type i]], 0)</calculatedColumnFormula>
    </tableColumn>
    <tableColumn id="2" xr3:uid="{A11A4C1D-EDEC-4818-93B7-672872C6D107}"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BE3F89-D70E-4C53-A71C-E756622DEF3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8360C9-DDF8-4B7B-B842-EE0D39ED743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76E0F1A-E7CF-4E69-9C3F-6E0E84FF4B5D}"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796C3A-D95E-4077-AA20-A8FE4145DA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CBE043C-4D22-47C3-AE18-5E55E64542E1}" name="Month">
      <calculatedColumnFormula array="1">Common_InputFunctions.Utility_DisplayArrayInTable(Common_SourceData.Common_SourceData_MonthsToSeasons_Data(), Table_SourceData_Common_MonthToSeason[[#Headers],[Month]], 0)</calculatedColumnFormula>
    </tableColumn>
    <tableColumn id="2" xr3:uid="{10DA8C9D-4358-470A-AF6C-AE27470313DE}"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72DD9B-C8FA-48F4-9A11-20231FF87B5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E03AF9F-C6DD-415E-A42C-F2360BC32F7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7B3EB32-B4EC-4553-A2E1-8AE19F5ED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245CE73-83DF-4AB6-BE51-10D787832614}"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6977D75-8628-4103-9D52-F7049CB2572B}"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64B281A-2EA4-4881-94F1-FEBD2B18C67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934BA44-DDF5-433B-A89F-5DB281BAB7B5}"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99EC0ED-651C-48B9-9F8F-73146B12DB72}"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E240578-9A8B-47C9-A356-B69BB058D44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22DD34E-8EDF-42D6-BE68-8D30A5F4A8C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30FA508-F44F-43A0-8A87-F28C2DB6D4D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BD6E90D-D2CF-4733-8286-F67C28172389}"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E74F5BC-4374-40FF-85F0-AE26E403B07E}"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53034D9-4966-41B7-BD99-44BBB861677D}"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9F06DF1-1149-43CE-9ADC-FD2C1D44B8D0}"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8CF9642-D223-420C-B387-277C82D3BB2E}"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B403FCE-8D29-4E28-99ED-B0004709790F}"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6E01C14-1BB8-4015-9158-4CEB4D3B605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C12381E-3675-4A77-B50C-CAF33F1781C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5B1FB4A-EB78-4095-8978-98D149B427B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dimension ref="A1:A8"/>
  <sheetViews>
    <sheetView zoomScaleNormal="100" workbookViewId="0">
      <selection activeCell="A8" sqref="A8"/>
    </sheetView>
  </sheetViews>
  <sheetFormatPr defaultRowHeight="15" x14ac:dyDescent="0.25"/>
  <sheetData>
    <row r="1" spans="1:1" x14ac:dyDescent="0.25">
      <c r="A1" t="s">
        <v>44</v>
      </c>
    </row>
    <row r="3" spans="1:1" x14ac:dyDescent="0.25">
      <c r="A3" s="15" t="str">
        <f>HYPERLINK("#'Home'!A1", "Home")</f>
        <v>Home</v>
      </c>
    </row>
    <row r="6" spans="1:1" x14ac:dyDescent="0.25">
      <c r="A6" s="16" t="s">
        <v>68</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8956-F921-4291-AAEE-DE11952DD430}">
  <dimension ref="A1:BY259"/>
  <sheetViews>
    <sheetView showGridLines="0" tabSelected="1" zoomScaleNormal="100" workbookViewId="0">
      <selection activeCell="A7" sqref="A7"/>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100000000000001" customHeight="1" x14ac:dyDescent="0.25">
      <c r="A2"/>
    </row>
    <row r="3" spans="1:65" ht="20.100000000000001" customHeight="1" x14ac:dyDescent="0.25">
      <c r="A3" s="17"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s="16" t="s">
        <v>68</v>
      </c>
      <c r="D6" s="11" t="s">
        <v>1</v>
      </c>
      <c r="E6" s="11" t="s">
        <v>2</v>
      </c>
      <c r="F6" s="11" t="s">
        <v>3</v>
      </c>
    </row>
    <row r="7" spans="1:65" ht="20.100000000000001" customHeight="1" x14ac:dyDescent="0.25">
      <c r="A7" s="18" t="str">
        <f>HYPERLINK("#'Constants - Common'!A1", "Constants - Common")</f>
        <v>Constants - Common</v>
      </c>
      <c r="D7" s="11" t="str" cm="1">
        <f t="array" ref="D7">Common_InputFunctions.Utility_DisplayArrayInTable(Common_SourceData.Common_SourceData_AustralianStatesTerritories_Data(),Table_AustralianStates[[#Headers],[State/Territory]],0)</f>
        <v>New South Wales</v>
      </c>
      <c r="E7" s="11" t="str" cm="1">
        <f t="array" ref="E7">Common_InputFunctions.Utility_DisplayArrayInTable(Common_SourceData.Common_SourceData_AustralianStatesTerritories_Data(),Table_AustralianStates[[#Headers],[State/Territory]],0)</f>
        <v>New South Wales</v>
      </c>
      <c r="F7" s="11"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11" t="str" cm="1">
        <f t="array" ref="D8">Common_InputFunctions.Utility_DisplayArrayInTable(Common_SourceData.Common_SourceData_AustralianStatesTerritories_Data(),Table_AustralianStates[[#Headers],[State/Territory]],0)</f>
        <v>Australian Capital Territory</v>
      </c>
      <c r="E8" s="11" t="str" cm="1">
        <f t="array" ref="E8">Common_InputFunctions.Utility_DisplayArrayInTable(Common_SourceData.Common_SourceData_AustralianStatesTerritories_Data(),Table_AustralianStates[[#Headers],[State/Territory]],0)</f>
        <v>ACT</v>
      </c>
      <c r="F8" s="11" t="str" cm="1">
        <f t="array" ref="F8">Common_InputFunctions.Utility_DisplayArrayInTable(Common_SourceData.Common_SourceData_AustralianStatesTerritories_Data(),Table_AustralianStates[[#Headers],[State/Territory]],0)</f>
        <v>ACT</v>
      </c>
    </row>
    <row r="9" spans="1:65" ht="20.100000000000001" customHeight="1" x14ac:dyDescent="0.25">
      <c r="A9"/>
      <c r="D9" s="11" t="str" cm="1">
        <f t="array" ref="D9">Common_InputFunctions.Utility_DisplayArrayInTable(Common_SourceData.Common_SourceData_AustralianStatesTerritories_Data(),Table_AustralianStates[[#Headers],[State/Territory]],0)</f>
        <v>Victoria</v>
      </c>
      <c r="E9" s="11" t="str" cm="1">
        <f t="array" ref="E9">Common_InputFunctions.Utility_DisplayArrayInTable(Common_SourceData.Common_SourceData_AustralianStatesTerritories_Data(),Table_AustralianStates[[#Headers],[State/Territory]],0)</f>
        <v>Victoria</v>
      </c>
      <c r="F9" s="1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11" t="str" cm="1">
        <f t="array" ref="D10">Common_InputFunctions.Utility_DisplayArrayInTable(Common_SourceData.Common_SourceData_AustralianStatesTerritories_Data(),Table_AustralianStates[[#Headers],[State/Territory]],0)</f>
        <v>Queensland</v>
      </c>
      <c r="E10" s="11" t="str" cm="1">
        <f t="array" ref="E10">Common_InputFunctions.Utility_DisplayArrayInTable(Common_SourceData.Common_SourceData_AustralianStatesTerritories_Data(),Table_AustralianStates[[#Headers],[State/Territory]],0)</f>
        <v>Queensland</v>
      </c>
      <c r="F10" s="1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1" t="str" cm="1">
        <f t="array" ref="D11">Common_InputFunctions.Utility_DisplayArrayInTable(Common_SourceData.Common_SourceData_AustralianStatesTerritories_Data(),Table_AustralianStates[[#Headers],[State/Territory]],0)</f>
        <v>South Australia</v>
      </c>
      <c r="E11" s="11" t="str" cm="1">
        <f t="array" ref="E11">Common_InputFunctions.Utility_DisplayArrayInTable(Common_SourceData.Common_SourceData_AustralianStatesTerritories_Data(),Table_AustralianStates[[#Headers],[State/Territory]],0)</f>
        <v>South Australia</v>
      </c>
      <c r="F11" s="11"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11" t="str" cm="1">
        <f t="array" ref="D12">Common_InputFunctions.Utility_DisplayArrayInTable(Common_SourceData.Common_SourceData_AustralianStatesTerritories_Data(),Table_AustralianStates[[#Headers],[State/Territory]],0)</f>
        <v>Western Australia</v>
      </c>
      <c r="E12" s="11" t="str" cm="1">
        <f t="array" ref="E12">Common_InputFunctions.Utility_DisplayArrayInTable(Common_SourceData.Common_SourceData_AustralianStatesTerritories_Data(),Table_AustralianStates[[#Headers],[State/Territory]],0)</f>
        <v>Western Australia</v>
      </c>
      <c r="F12" s="11"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11" t="str" cm="1">
        <f t="array" ref="D13">Common_InputFunctions.Utility_DisplayArrayInTable(Common_SourceData.Common_SourceData_AustralianStatesTerritories_Data(),Table_AustralianStates[[#Headers],[State/Territory]],0)</f>
        <v>Tasmania</v>
      </c>
      <c r="E13" s="11" t="str" cm="1">
        <f t="array" ref="E13">Common_InputFunctions.Utility_DisplayArrayInTable(Common_SourceData.Common_SourceData_AustralianStatesTerritories_Data(),Table_AustralianStates[[#Headers],[State/Territory]],0)</f>
        <v>Tasmania</v>
      </c>
      <c r="F13" s="1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11" t="str" cm="1">
        <f t="array" ref="D14">Common_InputFunctions.Utility_DisplayArrayInTable(Common_SourceData.Common_SourceData_AustralianStatesTerritories_Data(),Table_AustralianStates[[#Headers],[State/Territory]],0)</f>
        <v>Northern Territory</v>
      </c>
      <c r="E14" s="11" t="str" cm="1">
        <f t="array" ref="E14">Common_InputFunctions.Utility_DisplayArrayInTable(Common_SourceData.Common_SourceData_AustralianStatesTerritories_Data(),Table_AustralianStates[[#Headers],[State/Territory]],0)</f>
        <v>Northern Territory</v>
      </c>
      <c r="F14" s="1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11" t="s">
        <v>4</v>
      </c>
    </row>
    <row r="21" spans="1:4" ht="20.100000000000001" customHeight="1" x14ac:dyDescent="0.25">
      <c r="A21"/>
      <c r="D21" s="11" t="str" cm="1">
        <f t="array" ref="D21">Common_InputFunctions.Utility_DisplayArrayInTable(Common_SourceData.Common_SourceData_WASA4Areas_Data(), Table_WASA4Areas[[#Headers],[SA 4 Name]], 0)</f>
        <v>Bunbury</v>
      </c>
    </row>
    <row r="22" spans="1:4" ht="20.100000000000001" customHeight="1" x14ac:dyDescent="0.25">
      <c r="A22"/>
      <c r="D22" s="11" t="str" cm="1">
        <f t="array" ref="D22">Common_InputFunctions.Utility_DisplayArrayInTable(Common_SourceData.Common_SourceData_WASA4Areas_Data(), Table_WASA4Areas[[#Headers],[SA 4 Name]], 0)</f>
        <v>Mandurah</v>
      </c>
    </row>
    <row r="23" spans="1:4" ht="20.100000000000001" customHeight="1" x14ac:dyDescent="0.25">
      <c r="A23"/>
      <c r="D23" s="11" t="str" cm="1">
        <f t="array" ref="D23">Common_InputFunctions.Utility_DisplayArrayInTable(Common_SourceData.Common_SourceData_WASA4Areas_Data(), Table_WASA4Areas[[#Headers],[SA 4 Name]], 0)</f>
        <v>Perth - Inner</v>
      </c>
    </row>
    <row r="24" spans="1:4" ht="20.100000000000001" customHeight="1" x14ac:dyDescent="0.25">
      <c r="A24"/>
      <c r="D24" s="11" t="str" cm="1">
        <f t="array" ref="D24">Common_InputFunctions.Utility_DisplayArrayInTable(Common_SourceData.Common_SourceData_WASA4Areas_Data(), Table_WASA4Areas[[#Headers],[SA 4 Name]], 0)</f>
        <v>Perth - North East</v>
      </c>
    </row>
    <row r="25" spans="1:4" ht="20.100000000000001" customHeight="1" x14ac:dyDescent="0.25">
      <c r="A25"/>
      <c r="D25" s="11" t="str" cm="1">
        <f t="array" ref="D25">Common_InputFunctions.Utility_DisplayArrayInTable(Common_SourceData.Common_SourceData_WASA4Areas_Data(), Table_WASA4Areas[[#Headers],[SA 4 Name]], 0)</f>
        <v>Perth - North West</v>
      </c>
    </row>
    <row r="26" spans="1:4" ht="20.100000000000001" customHeight="1" x14ac:dyDescent="0.25">
      <c r="A26"/>
      <c r="D26" s="11" t="str" cm="1">
        <f t="array" ref="D26">Common_InputFunctions.Utility_DisplayArrayInTable(Common_SourceData.Common_SourceData_WASA4Areas_Data(), Table_WASA4Areas[[#Headers],[SA 4 Name]], 0)</f>
        <v>Perth - South East</v>
      </c>
    </row>
    <row r="27" spans="1:4" ht="20.100000000000001" customHeight="1" x14ac:dyDescent="0.25">
      <c r="A27"/>
      <c r="D27" s="11" t="str" cm="1">
        <f t="array" ref="D27">Common_InputFunctions.Utility_DisplayArrayInTable(Common_SourceData.Common_SourceData_WASA4Areas_Data(), Table_WASA4Areas[[#Headers],[SA 4 Name]], 0)</f>
        <v>Perth - South West</v>
      </c>
    </row>
    <row r="28" spans="1:4" ht="20.100000000000001" customHeight="1" x14ac:dyDescent="0.25">
      <c r="A28"/>
      <c r="D28" s="1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11" t="s">
        <v>5</v>
      </c>
      <c r="E36" s="11" t="s">
        <v>6</v>
      </c>
    </row>
    <row r="37" spans="1:8" ht="20.100000000000001" customHeight="1" x14ac:dyDescent="0.25">
      <c r="A37"/>
      <c r="D37" s="11" t="str" cm="1">
        <f t="array" ref="D37">Common_InputFunctions.Utility_DisplayArrayInTable(Common_SourceData.Common_SourceData_GWP_Data(), Table_GWPData[[#Headers],[Gas]], 0)</f>
        <v>CO2</v>
      </c>
      <c r="E37" s="11" cm="1">
        <f t="array" ref="E37">Common_InputFunctions.Utility_DisplayArrayInTable(Common_SourceData.Common_SourceData_GWP_Data(), Table_GWPData[[#Headers],[Gas]], 0)</f>
        <v>1</v>
      </c>
    </row>
    <row r="38" spans="1:8" ht="20.100000000000001" customHeight="1" x14ac:dyDescent="0.25">
      <c r="A38"/>
      <c r="D38" s="11" t="str" cm="1">
        <f t="array" ref="D38">Common_InputFunctions.Utility_DisplayArrayInTable(Common_SourceData.Common_SourceData_GWP_Data(), Table_GWPData[[#Headers],[Gas]], 0)</f>
        <v>CH4</v>
      </c>
      <c r="E38" s="11" cm="1">
        <f t="array" ref="E38">Common_InputFunctions.Utility_DisplayArrayInTable(Common_SourceData.Common_SourceData_GWP_Data(), Table_GWPData[[#Headers],[Gas]], 0)</f>
        <v>28</v>
      </c>
    </row>
    <row r="39" spans="1:8" ht="20.100000000000001" customHeight="1" x14ac:dyDescent="0.25">
      <c r="A39"/>
      <c r="D39" s="11" t="str" cm="1">
        <f t="array" ref="D39">Common_InputFunctions.Utility_DisplayArrayInTable(Common_SourceData.Common_SourceData_GWP_Data(), Table_GWPData[[#Headers],[Gas]], 0)</f>
        <v>N2O</v>
      </c>
      <c r="E39" s="11" cm="1">
        <f t="array" ref="E39">Common_InputFunctions.Utility_DisplayArrayInTable(Common_SourceData.Common_SourceData_GWP_Data(), Table_GWPData[[#Headers],[Gas]], 0)</f>
        <v>265</v>
      </c>
    </row>
    <row r="40" spans="1:8" ht="20.100000000000001" customHeight="1" x14ac:dyDescent="0.25">
      <c r="A40"/>
      <c r="D40" s="11" t="str" cm="1">
        <f t="array" ref="D40">Common_InputFunctions.Utility_DisplayArrayInTable(Common_SourceData.Common_SourceData_GWP_Data(), Table_GWPData[[#Headers],[Gas]], 0)</f>
        <v>CF4</v>
      </c>
      <c r="E40" s="11" cm="1">
        <f t="array" ref="E40">Common_InputFunctions.Utility_DisplayArrayInTable(Common_SourceData.Common_SourceData_GWP_Data(), Table_GWPData[[#Headers],[Gas]], 0)</f>
        <v>6630</v>
      </c>
    </row>
    <row r="41" spans="1:8" ht="20.100000000000001" customHeight="1" x14ac:dyDescent="0.25">
      <c r="A41"/>
      <c r="D41" s="11" t="str" cm="1">
        <f t="array" ref="D41">Common_InputFunctions.Utility_DisplayArrayInTable(Common_SourceData.Common_SourceData_GWP_Data(), Table_GWPData[[#Headers],[Gas]], 0)</f>
        <v>C2F6</v>
      </c>
      <c r="E41" s="11" cm="1">
        <f t="array" ref="E41">Common_InputFunctions.Utility_DisplayArrayInTable(Common_SourceData.Common_SourceData_GWP_Data(), Table_GWPData[[#Headers],[Gas]], 0)</f>
        <v>12200</v>
      </c>
    </row>
    <row r="42" spans="1:8" ht="20.100000000000001" customHeight="1" x14ac:dyDescent="0.25">
      <c r="A42"/>
      <c r="D42" s="11" t="str" cm="1">
        <f t="array" ref="D42">Common_InputFunctions.Utility_DisplayArrayInTable(Common_SourceData.Common_SourceData_GWP_Data(), Table_GWPData[[#Headers],[Gas]], 0)</f>
        <v>SF6</v>
      </c>
      <c r="E42" s="11" cm="1">
        <f t="array" ref="E42">Common_InputFunctions.Utility_DisplayArrayInTable(Common_SourceData.Common_SourceData_GWP_Data(), Table_GWPData[[#Headers],[Gas]], 0)</f>
        <v>22800</v>
      </c>
    </row>
    <row r="43" spans="1:8" ht="20.100000000000001" customHeight="1" x14ac:dyDescent="0.25">
      <c r="A43"/>
      <c r="D43" s="11" t="str" cm="1">
        <f t="array" ref="D43">Common_InputFunctions.Utility_DisplayArrayInTable(Common_SourceData.Common_SourceData_GWP_Data(), Table_GWPData[[#Headers],[Gas]], 0)</f>
        <v>NF3</v>
      </c>
      <c r="E43" s="1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11" t="s">
        <v>5</v>
      </c>
      <c r="E47" s="11" t="s">
        <v>7</v>
      </c>
      <c r="F47" s="11" t="s">
        <v>8</v>
      </c>
      <c r="G47" s="11" t="s">
        <v>9</v>
      </c>
      <c r="H47" s="11" t="s">
        <v>10</v>
      </c>
    </row>
    <row r="48" spans="1:8" ht="20.100000000000001" customHeight="1" x14ac:dyDescent="0.25">
      <c r="A48"/>
      <c r="D48" s="11" t="str" cm="1">
        <f t="array" ref="D48">Common_InputFunctions.Utility_DisplayArrayInTable(Common_SourceData.Common_SourceData_ConvertGasElementalToMolecular_Data(),Table_GasToMolecularConversionFactor[[#Headers],[Gas]], 0)</f>
        <v>CO2</v>
      </c>
      <c r="E48" s="11" t="str" cm="1">
        <f t="array" ref="E48">Common_InputFunctions.Utility_DisplayArrayInTable(Common_SourceData.Common_SourceData_ConvertGasElementalToMolecular_Data(),Table_GasToMolecularConversionFactor[[#Headers],[Gas]], 0)</f>
        <v>44/12</v>
      </c>
      <c r="F48" s="11" cm="1">
        <f t="array" ref="F48">Common_InputFunctions.Utility_DisplayArrayInTable(Common_SourceData.Common_SourceData_ConvertGasElementalToMolecular_Data(),Table_GasToMolecularConversionFactor[[#Headers],[Gas]], 0)</f>
        <v>44</v>
      </c>
      <c r="G48" s="11" cm="1">
        <f t="array" ref="G48">Common_InputFunctions.Utility_DisplayArrayInTable(Common_SourceData.Common_SourceData_ConvertGasElementalToMolecular_Data(),Table_GasToMolecularConversionFactor[[#Headers],[Gas]], 0)</f>
        <v>12</v>
      </c>
      <c r="H48" s="11">
        <f>Table_GasToMolecularConversionFactor[[#This Row],[Conversion factor 1]]/Table_GasToMolecularConversionFactor[[#This Row],[Conversion factor 2]]</f>
        <v>3.6666666666666665</v>
      </c>
    </row>
    <row r="49" spans="1:8" ht="20.100000000000001" customHeight="1" x14ac:dyDescent="0.25">
      <c r="A49"/>
      <c r="D49" s="11" t="str" cm="1">
        <f t="array" ref="D49">Common_InputFunctions.Utility_DisplayArrayInTable(Common_SourceData.Common_SourceData_ConvertGasElementalToMolecular_Data(),Table_GasToMolecularConversionFactor[[#Headers],[Gas]], 0)</f>
        <v>CH4</v>
      </c>
      <c r="E49" s="11" t="str" cm="1">
        <f t="array" ref="E49">Common_InputFunctions.Utility_DisplayArrayInTable(Common_SourceData.Common_SourceData_ConvertGasElementalToMolecular_Data(),Table_GasToMolecularConversionFactor[[#Headers],[Gas]], 0)</f>
        <v>16/12</v>
      </c>
      <c r="F49" s="11" cm="1">
        <f t="array" ref="F49">Common_InputFunctions.Utility_DisplayArrayInTable(Common_SourceData.Common_SourceData_ConvertGasElementalToMolecular_Data(),Table_GasToMolecularConversionFactor[[#Headers],[Gas]], 0)</f>
        <v>16</v>
      </c>
      <c r="G49" s="11" cm="1">
        <f t="array" ref="G49">Common_InputFunctions.Utility_DisplayArrayInTable(Common_SourceData.Common_SourceData_ConvertGasElementalToMolecular_Data(),Table_GasToMolecularConversionFactor[[#Headers],[Gas]], 0)</f>
        <v>12</v>
      </c>
      <c r="H49" s="11">
        <f>Table_GasToMolecularConversionFactor[[#This Row],[Conversion factor 1]]/Table_GasToMolecularConversionFactor[[#This Row],[Conversion factor 2]]</f>
        <v>1.3333333333333333</v>
      </c>
    </row>
    <row r="50" spans="1:8" ht="20.100000000000001" customHeight="1" x14ac:dyDescent="0.25">
      <c r="A50"/>
      <c r="D50" s="11" t="str" cm="1">
        <f t="array" ref="D50">Common_InputFunctions.Utility_DisplayArrayInTable(Common_SourceData.Common_SourceData_ConvertGasElementalToMolecular_Data(),Table_GasToMolecularConversionFactor[[#Headers],[Gas]], 0)</f>
        <v>N2O</v>
      </c>
      <c r="E50" s="11" t="str" cm="1">
        <f t="array" ref="E50">Common_InputFunctions.Utility_DisplayArrayInTable(Common_SourceData.Common_SourceData_ConvertGasElementalToMolecular_Data(),Table_GasToMolecularConversionFactor[[#Headers],[Gas]], 0)</f>
        <v>44/28</v>
      </c>
      <c r="F50" s="11" cm="1">
        <f t="array" ref="F50">Common_InputFunctions.Utility_DisplayArrayInTable(Common_SourceData.Common_SourceData_ConvertGasElementalToMolecular_Data(),Table_GasToMolecularConversionFactor[[#Headers],[Gas]], 0)</f>
        <v>44</v>
      </c>
      <c r="G50" s="11" cm="1">
        <f t="array" ref="G50">Common_InputFunctions.Utility_DisplayArrayInTable(Common_SourceData.Common_SourceData_ConvertGasElementalToMolecular_Data(),Table_GasToMolecularConversionFactor[[#Headers],[Gas]], 0)</f>
        <v>28</v>
      </c>
      <c r="H50" s="11">
        <f>Table_GasToMolecularConversionFactor[[#This Row],[Conversion factor 1]]/Table_GasToMolecularConversionFactor[[#This Row],[Conversion factor 2]]</f>
        <v>1.5714285714285714</v>
      </c>
    </row>
    <row r="51" spans="1:8" ht="20.100000000000001" customHeight="1" x14ac:dyDescent="0.25">
      <c r="A51"/>
      <c r="D51" s="11" t="str" cm="1">
        <f t="array" ref="D51">Common_InputFunctions.Utility_DisplayArrayInTable(Common_SourceData.Common_SourceData_ConvertGasElementalToMolecular_Data(),Table_GasToMolecularConversionFactor[[#Headers],[Gas]], 0)</f>
        <v>Nox</v>
      </c>
      <c r="E51" s="11" t="str" cm="1">
        <f t="array" ref="E51">Common_InputFunctions.Utility_DisplayArrayInTable(Common_SourceData.Common_SourceData_ConvertGasElementalToMolecular_Data(),Table_GasToMolecularConversionFactor[[#Headers],[Gas]], 0)</f>
        <v>46/14</v>
      </c>
      <c r="F51" s="11" cm="1">
        <f t="array" ref="F51">Common_InputFunctions.Utility_DisplayArrayInTable(Common_SourceData.Common_SourceData_ConvertGasElementalToMolecular_Data(),Table_GasToMolecularConversionFactor[[#Headers],[Gas]], 0)</f>
        <v>46</v>
      </c>
      <c r="G51" s="11" cm="1">
        <f t="array" ref="G51">Common_InputFunctions.Utility_DisplayArrayInTable(Common_SourceData.Common_SourceData_ConvertGasElementalToMolecular_Data(),Table_GasToMolecularConversionFactor[[#Headers],[Gas]], 0)</f>
        <v>14</v>
      </c>
      <c r="H51" s="11">
        <f>Table_GasToMolecularConversionFactor[[#This Row],[Conversion factor 1]]/Table_GasToMolecularConversionFactor[[#This Row],[Conversion factor 2]]</f>
        <v>3.2857142857142856</v>
      </c>
    </row>
    <row r="52" spans="1:8" ht="20.100000000000001" customHeight="1" x14ac:dyDescent="0.25">
      <c r="A52"/>
      <c r="D52" s="11" t="str" cm="1">
        <f t="array" ref="D52">Common_InputFunctions.Utility_DisplayArrayInTable(Common_SourceData.Common_SourceData_ConvertGasElementalToMolecular_Data(),Table_GasToMolecularConversionFactor[[#Headers],[Gas]], 0)</f>
        <v>CO</v>
      </c>
      <c r="E52" s="11" t="str" cm="1">
        <f t="array" ref="E52">Common_InputFunctions.Utility_DisplayArrayInTable(Common_SourceData.Common_SourceData_ConvertGasElementalToMolecular_Data(),Table_GasToMolecularConversionFactor[[#Headers],[Gas]], 0)</f>
        <v>28/12</v>
      </c>
      <c r="F52" s="11" cm="1">
        <f t="array" ref="F52">Common_InputFunctions.Utility_DisplayArrayInTable(Common_SourceData.Common_SourceData_ConvertGasElementalToMolecular_Data(),Table_GasToMolecularConversionFactor[[#Headers],[Gas]], 0)</f>
        <v>28</v>
      </c>
      <c r="G52" s="11" cm="1">
        <f t="array" ref="G52">Common_InputFunctions.Utility_DisplayArrayInTable(Common_SourceData.Common_SourceData_ConvertGasElementalToMolecular_Data(),Table_GasToMolecularConversionFactor[[#Headers],[Gas]], 0)</f>
        <v>12</v>
      </c>
      <c r="H52" s="11">
        <f>Table_GasToMolecularConversionFactor[[#This Row],[Conversion factor 1]]/Table_GasToMolecularConversionFactor[[#This Row],[Conversion factor 2]]</f>
        <v>2.3333333333333335</v>
      </c>
    </row>
    <row r="53" spans="1:8" ht="20.100000000000001" customHeight="1" x14ac:dyDescent="0.25">
      <c r="A53"/>
      <c r="D53" s="11" t="str" cm="1">
        <f t="array" ref="D53">Common_InputFunctions.Utility_DisplayArrayInTable(Common_SourceData.Common_SourceData_ConvertGasElementalToMolecular_Data(),Table_GasToMolecularConversionFactor[[#Headers],[Gas]], 0)</f>
        <v>CO2 Lime</v>
      </c>
      <c r="E53" s="11" t="str" cm="1">
        <f t="array" ref="E53">Common_InputFunctions.Utility_DisplayArrayInTable(Common_SourceData.Common_SourceData_ConvertGasElementalToMolecular_Data(),Table_GasToMolecularConversionFactor[[#Headers],[Gas]], 0)</f>
        <v>44/12</v>
      </c>
      <c r="F53" s="11" cm="1">
        <f t="array" ref="F53">Common_InputFunctions.Utility_DisplayArrayInTable(Common_SourceData.Common_SourceData_ConvertGasElementalToMolecular_Data(),Table_GasToMolecularConversionFactor[[#Headers],[Gas]], 0)</f>
        <v>44</v>
      </c>
      <c r="G53" s="11" cm="1">
        <f t="array" ref="G53">Common_InputFunctions.Utility_DisplayArrayInTable(Common_SourceData.Common_SourceData_ConvertGasElementalToMolecular_Data(),Table_GasToMolecularConversionFactor[[#Headers],[Gas]], 0)</f>
        <v>12</v>
      </c>
      <c r="H53" s="11">
        <f>Table_GasToMolecularConversionFactor[[#This Row],[Conversion factor 1]]/Table_GasToMolecularConversionFactor[[#This Row],[Conversion factor 2]]</f>
        <v>3.6666666666666665</v>
      </c>
    </row>
    <row r="54" spans="1:8" ht="20.100000000000001" customHeight="1" x14ac:dyDescent="0.25">
      <c r="A54"/>
      <c r="D54" s="11" t="str" cm="1">
        <f t="array" ref="D54">Common_InputFunctions.Utility_DisplayArrayInTable(Common_SourceData.Common_SourceData_ConvertGasElementalToMolecular_Data(),Table_GasToMolecularConversionFactor[[#Headers],[Gas]], 0)</f>
        <v>NMVOC</v>
      </c>
      <c r="E54" s="11" t="str" cm="1">
        <f t="array" ref="E54">Common_InputFunctions.Utility_DisplayArrayInTable(Common_SourceData.Common_SourceData_ConvertGasElementalToMolecular_Data(),Table_GasToMolecularConversionFactor[[#Headers],[Gas]], 0)</f>
        <v>14/12</v>
      </c>
      <c r="F54" s="11" cm="1">
        <f t="array" ref="F54">Common_InputFunctions.Utility_DisplayArrayInTable(Common_SourceData.Common_SourceData_ConvertGasElementalToMolecular_Data(),Table_GasToMolecularConversionFactor[[#Headers],[Gas]], 0)</f>
        <v>14</v>
      </c>
      <c r="G54" s="11" cm="1">
        <f t="array" ref="G54">Common_InputFunctions.Utility_DisplayArrayInTable(Common_SourceData.Common_SourceData_ConvertGasElementalToMolecular_Data(),Table_GasToMolecularConversionFactor[[#Headers],[Gas]], 0)</f>
        <v>12</v>
      </c>
      <c r="H54" s="1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13" t="str" cm="1">
        <f t="array" ref="D59:D61">"⚠️" &amp; Common_SourceData.Common_SourceData_WetAndDryZones_Variation()</f>
        <v>⚠️VARIATION OF SOURCE DATA:</v>
      </c>
    </row>
    <row r="60" spans="1:8" ht="20.100000000000001" customHeight="1" x14ac:dyDescent="0.25">
      <c r="A60"/>
      <c r="D60" s="13" t="str">
        <v>⚠️Added warm / cool temperate moist / dry - low frost and high temp classes to accommodate climate scenarios excluded by VEERG criteria.</v>
      </c>
    </row>
    <row r="61" spans="1:8" ht="20.100000000000001" customHeight="1" x14ac:dyDescent="0.25">
      <c r="A61"/>
      <c r="D61" s="13" t="str">
        <v>⚠️Fixed typo - Changed 'Fry' to 'Dry'.</v>
      </c>
    </row>
    <row r="62" spans="1:8" ht="20.100000000000001" customHeight="1" x14ac:dyDescent="0.25">
      <c r="A62"/>
    </row>
    <row r="63" spans="1:8" ht="20.100000000000001" customHeight="1" x14ac:dyDescent="0.25">
      <c r="A63"/>
      <c r="D63" s="11" t="s">
        <v>0</v>
      </c>
      <c r="E63" s="11" t="s">
        <v>23</v>
      </c>
    </row>
    <row r="64" spans="1:8" ht="20.100000000000001" customHeight="1" x14ac:dyDescent="0.25">
      <c r="A64"/>
      <c r="D64" s="11" t="str" cm="1">
        <f t="array" ref="D64">Common_InputFunctions.Utility_DisplayArrayInTable(Common_SourceData.Common_SourceData_WetAndDryZones_Data(), Table_SourceData_WetDryZones[[#Headers],[Climate zone]], 0)</f>
        <v>Tropical montane</v>
      </c>
      <c r="E64" s="1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1" t="str" cm="1">
        <f t="array" ref="D65">Common_InputFunctions.Utility_DisplayArrayInTable(Common_SourceData.Common_SourceData_WetAndDryZones_Data(), Table_SourceData_WetDryZones[[#Headers],[Climate zone]], 0)</f>
        <v>Tropical wet</v>
      </c>
      <c r="E65" s="1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1" t="str" cm="1">
        <f t="array" ref="D66">Common_InputFunctions.Utility_DisplayArrayInTable(Common_SourceData.Common_SourceData_WetAndDryZones_Data(), Table_SourceData_WetDryZones[[#Headers],[Climate zone]], 0)</f>
        <v>Tropical moist</v>
      </c>
      <c r="E66" s="1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1" t="str" cm="1">
        <f t="array" ref="D67">Common_InputFunctions.Utility_DisplayArrayInTable(Common_SourceData.Common_SourceData_WetAndDryZones_Data(), Table_SourceData_WetDryZones[[#Headers],[Climate zone]], 0)</f>
        <v>Tropical dry</v>
      </c>
      <c r="E67" s="1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1" t="str" cm="1">
        <f t="array" ref="D68">Common_InputFunctions.Utility_DisplayArrayInTable(Common_SourceData.Common_SourceData_WetAndDryZones_Data(), Table_SourceData_WetDryZones[[#Headers],[Climate zone]], 0)</f>
        <v>Warm temperate moist</v>
      </c>
      <c r="E68" s="1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1" t="str" cm="1">
        <f t="array" ref="D69">Common_InputFunctions.Utility_DisplayArrayInTable(Common_SourceData.Common_SourceData_WetAndDryZones_Data(), Table_SourceData_WetDryZones[[#Headers],[Climate zone]], 0)</f>
        <v>Warm temperate dry</v>
      </c>
      <c r="E69" s="1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1" t="str" cm="1">
        <f t="array" ref="D70">Common_InputFunctions.Utility_DisplayArrayInTable(Common_SourceData.Common_SourceData_WetAndDryZones_Data(), Table_SourceData_WetDryZones[[#Headers],[Climate zone]], 0)</f>
        <v>Cool temperate moist</v>
      </c>
      <c r="E70" s="1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1" t="str" cm="1">
        <f t="array" ref="D71">Common_InputFunctions.Utility_DisplayArrayInTable(Common_SourceData.Common_SourceData_WetAndDryZones_Data(), Table_SourceData_WetDryZones[[#Headers],[Climate zone]], 0)</f>
        <v>Cool temperate dry</v>
      </c>
      <c r="E71" s="1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1" t="str" cm="1">
        <f t="array" ref="D72">Common_InputFunctions.Utility_DisplayArrayInTable(Common_SourceData.Common_SourceData_WetAndDryZones_Data(), Table_SourceData_WetDryZones[[#Headers],[Climate zone]], 0)</f>
        <v>Warm temperate moist - low frost</v>
      </c>
      <c r="E72" s="1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1" t="str" cm="1">
        <f t="array" ref="D73">Common_InputFunctions.Utility_DisplayArrayInTable(Common_SourceData.Common_SourceData_WetAndDryZones_Data(), Table_SourceData_WetDryZones[[#Headers],[Climate zone]], 0)</f>
        <v>Warm temperate dry - low frost</v>
      </c>
      <c r="E73" s="1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1" t="str" cm="1">
        <f t="array" ref="D74">Common_InputFunctions.Utility_DisplayArrayInTable(Common_SourceData.Common_SourceData_WetAndDryZones_Data(), Table_SourceData_WetDryZones[[#Headers],[Climate zone]], 0)</f>
        <v>Warm temperate moist - high temp</v>
      </c>
      <c r="E74" s="1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1" t="str" cm="1">
        <f t="array" ref="D75">Common_InputFunctions.Utility_DisplayArrayInTable(Common_SourceData.Common_SourceData_WetAndDryZones_Data(), Table_SourceData_WetDryZones[[#Headers],[Climate zone]], 0)</f>
        <v>Warm temperate dry - high temp</v>
      </c>
      <c r="E75" s="1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1" t="str" cm="1">
        <f t="array" ref="D76">Common_InputFunctions.Utility_DisplayArrayInTable(Common_SourceData.Common_SourceData_WetAndDryZones_Data(), Table_SourceData_WetDryZones[[#Headers],[Climate zone]], 0)</f>
        <v>Cool temperate moist - low frost</v>
      </c>
      <c r="E76" s="1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1" t="str" cm="1">
        <f t="array" ref="D77">Common_InputFunctions.Utility_DisplayArrayInTable(Common_SourceData.Common_SourceData_WetAndDryZones_Data(), Table_SourceData_WetDryZones[[#Headers],[Climate zone]], 0)</f>
        <v>Cool temperate dry - low frost</v>
      </c>
      <c r="E77" s="1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13" t="str" cm="1">
        <f t="array" ref="D83:D87">"⚠️" &amp; Common_SourceData.Common_SourceData_ClimateZones_Variation()</f>
        <v>⚠️VARIATION OF SOURCE DATA:</v>
      </c>
    </row>
    <row r="84" spans="1:20" ht="20.100000000000001" customHeight="1" x14ac:dyDescent="0.25">
      <c r="A84"/>
      <c r="D84" s="13" t="str">
        <v>⚠️Added warm / cool temperate moist / dry - low frost and high temp classes to accommodate climate scenarios excluded by VEERG criteria.</v>
      </c>
    </row>
    <row r="85" spans="1:20" ht="20.100000000000001" customHeight="1" x14ac:dyDescent="0.25">
      <c r="A85"/>
      <c r="D85" s="13" t="str">
        <v>⚠️Fixed typo in MAT value for warm temperate dry - changed 10 to 11.</v>
      </c>
    </row>
    <row r="86" spans="1:20" ht="20.100000000000001" customHeight="1" x14ac:dyDescent="0.25">
      <c r="A86"/>
      <c r="D86" s="13" t="str">
        <v>⚠️Added min and max columns for MAT, MAP, frost days per year, elevation, MAP:PET to calculate zones from real climate data.</v>
      </c>
    </row>
    <row r="87" spans="1:20" ht="20.100000000000001" customHeight="1" x14ac:dyDescent="0.25">
      <c r="A87"/>
      <c r="D87" s="13" t="str">
        <v>⚠️GAF accepts rainfall as a proxy for precipitation.</v>
      </c>
    </row>
    <row r="88" spans="1:20" ht="20.100000000000001" customHeight="1" x14ac:dyDescent="0.25">
      <c r="A88"/>
    </row>
    <row r="89" spans="1:20" ht="20.100000000000001" customHeight="1" x14ac:dyDescent="0.25">
      <c r="A89"/>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1:20" ht="20.100000000000001" customHeight="1" x14ac:dyDescent="0.25">
      <c r="A90"/>
      <c r="D90" s="11" t="str" cm="1">
        <f t="array" ref="D90">Common_InputFunctions.Utility_DisplayArrayInTable(Common_SourceData.Common_SourceData_ClimateZones_Data(), Table_SourceData_ClimateZones[[#Headers],[Climate zone]], 0)</f>
        <v>Tropical montane</v>
      </c>
      <c r="E90" s="11" t="str" cm="1">
        <f t="array" ref="E90">Common_InputFunctions.Utility_DisplayArrayInTable(Common_SourceData.Common_SourceData_ClimateZones_Data(), Table_SourceData_ClimateZones[[#Headers],[Climate zone]], 0)</f>
        <v>&gt; 18 C</v>
      </c>
      <c r="F90" s="11" t="str" cm="1">
        <f t="array" ref="F90">Common_InputFunctions.Utility_DisplayArrayInTable(Common_SourceData.Common_SourceData_ClimateZones_Data(), Table_SourceData_ClimateZones[[#Headers],[Climate zone]], 0)</f>
        <v>Any</v>
      </c>
      <c r="G90" s="11" t="str" cm="1">
        <f t="array" ref="G90">Common_InputFunctions.Utility_DisplayArrayInTable(Common_SourceData.Common_SourceData_ClimateZones_Data(), Table_SourceData_ClimateZones[[#Headers],[Climate zone]], 0)</f>
        <v>≤ 7</v>
      </c>
      <c r="H90" s="11" t="str" cm="1">
        <f t="array" ref="H90">Common_InputFunctions.Utility_DisplayArrayInTable(Common_SourceData.Common_SourceData_ClimateZones_Data(), Table_SourceData_ClimateZones[[#Headers],[Climate zone]], 0)</f>
        <v>&gt; 1000 m</v>
      </c>
      <c r="I90" s="11" t="str" cm="1">
        <f t="array" ref="I90">Common_InputFunctions.Utility_DisplayArrayInTable(Common_SourceData.Common_SourceData_ClimateZones_Data(), Table_SourceData_ClimateZones[[#Headers],[Climate zone]], 0)</f>
        <v>Any</v>
      </c>
      <c r="J90" s="11" cm="1">
        <f t="array" ref="J90">Common_InputFunctions.Utility_DisplayArrayInTable(Common_SourceData.Common_SourceData_ClimateZones_Data(), Table_SourceData_ClimateZones[[#Headers],[Climate zone]], 0)</f>
        <v>18.001000000000001</v>
      </c>
      <c r="K90" s="11" cm="1">
        <f t="array" ref="K90">Common_InputFunctions.Utility_DisplayArrayInTable(Common_SourceData.Common_SourceData_ClimateZones_Data(), Table_SourceData_ClimateZones[[#Headers],[Climate zone]], 0)</f>
        <v>999999</v>
      </c>
      <c r="L90" s="11" cm="1">
        <f t="array" ref="L90">Common_InputFunctions.Utility_DisplayArrayInTable(Common_SourceData.Common_SourceData_ClimateZones_Data(), Table_SourceData_ClimateZones[[#Headers],[Climate zone]], 0)</f>
        <v>-999999</v>
      </c>
      <c r="M90" s="11" cm="1">
        <f t="array" ref="M90">Common_InputFunctions.Utility_DisplayArrayInTable(Common_SourceData.Common_SourceData_ClimateZones_Data(), Table_SourceData_ClimateZones[[#Headers],[Climate zone]], 0)</f>
        <v>999999</v>
      </c>
      <c r="N90" s="11" cm="1">
        <f t="array" ref="N90">Common_InputFunctions.Utility_DisplayArrayInTable(Common_SourceData.Common_SourceData_ClimateZones_Data(), Table_SourceData_ClimateZones[[#Headers],[Climate zone]], 0)</f>
        <v>-999999</v>
      </c>
      <c r="O90" s="11" cm="1">
        <f t="array" ref="O90">Common_InputFunctions.Utility_DisplayArrayInTable(Common_SourceData.Common_SourceData_ClimateZones_Data(), Table_SourceData_ClimateZones[[#Headers],[Climate zone]], 0)</f>
        <v>7</v>
      </c>
      <c r="P90" s="11" cm="1">
        <f t="array" ref="P90">Common_InputFunctions.Utility_DisplayArrayInTable(Common_SourceData.Common_SourceData_ClimateZones_Data(), Table_SourceData_ClimateZones[[#Headers],[Climate zone]], 0)</f>
        <v>1000</v>
      </c>
      <c r="Q90" s="11" cm="1">
        <f t="array" ref="Q90">Common_InputFunctions.Utility_DisplayArrayInTable(Common_SourceData.Common_SourceData_ClimateZones_Data(), Table_SourceData_ClimateZones[[#Headers],[Climate zone]], 0)</f>
        <v>999999</v>
      </c>
      <c r="R90" s="11" cm="1">
        <f t="array" ref="R90">Common_InputFunctions.Utility_DisplayArrayInTable(Common_SourceData.Common_SourceData_ClimateZones_Data(), Table_SourceData_ClimateZones[[#Headers],[Climate zone]], 0)</f>
        <v>-999999</v>
      </c>
      <c r="S90" s="11" cm="1">
        <f t="array" ref="S90">Common_InputFunctions.Utility_DisplayArrayInTable(Common_SourceData.Common_SourceData_ClimateZones_Data(), Table_SourceData_ClimateZones[[#Headers],[Climate zone]], 0)</f>
        <v>999999</v>
      </c>
      <c r="T90" s="11"/>
    </row>
    <row r="91" spans="1:20" ht="20.100000000000001" customHeight="1" x14ac:dyDescent="0.25">
      <c r="A91"/>
      <c r="D91" s="11" t="str" cm="1">
        <f t="array" ref="D91">Common_InputFunctions.Utility_DisplayArrayInTable(Common_SourceData.Common_SourceData_ClimateZones_Data(), Table_SourceData_ClimateZones[[#Headers],[Climate zone]], 0)</f>
        <v>Tropical wet</v>
      </c>
      <c r="E91" s="11" t="str" cm="1">
        <f t="array" ref="E91">Common_InputFunctions.Utility_DisplayArrayInTable(Common_SourceData.Common_SourceData_ClimateZones_Data(), Table_SourceData_ClimateZones[[#Headers],[Climate zone]], 0)</f>
        <v>&gt; 18 C</v>
      </c>
      <c r="F91" s="11" t="str" cm="1">
        <f t="array" ref="F91">Common_InputFunctions.Utility_DisplayArrayInTable(Common_SourceData.Common_SourceData_ClimateZones_Data(), Table_SourceData_ClimateZones[[#Headers],[Climate zone]], 0)</f>
        <v>&gt; 2000 mm</v>
      </c>
      <c r="G91" s="11" t="str" cm="1">
        <f t="array" ref="G91">Common_InputFunctions.Utility_DisplayArrayInTable(Common_SourceData.Common_SourceData_ClimateZones_Data(), Table_SourceData_ClimateZones[[#Headers],[Climate zone]], 0)</f>
        <v>≤ 7</v>
      </c>
      <c r="H91" s="11" t="str" cm="1">
        <f t="array" ref="H91">Common_InputFunctions.Utility_DisplayArrayInTable(Common_SourceData.Common_SourceData_ClimateZones_Data(), Table_SourceData_ClimateZones[[#Headers],[Climate zone]], 0)</f>
        <v>≤ 1000 m</v>
      </c>
      <c r="I91" s="11" t="str" cm="1">
        <f t="array" ref="I91">Common_InputFunctions.Utility_DisplayArrayInTable(Common_SourceData.Common_SourceData_ClimateZones_Data(), Table_SourceData_ClimateZones[[#Headers],[Climate zone]], 0)</f>
        <v>Any</v>
      </c>
      <c r="J91" s="11" cm="1">
        <f t="array" ref="J91">Common_InputFunctions.Utility_DisplayArrayInTable(Common_SourceData.Common_SourceData_ClimateZones_Data(), Table_SourceData_ClimateZones[[#Headers],[Climate zone]], 0)</f>
        <v>18.001000000000001</v>
      </c>
      <c r="K91" s="11" cm="1">
        <f t="array" ref="K91">Common_InputFunctions.Utility_DisplayArrayInTable(Common_SourceData.Common_SourceData_ClimateZones_Data(), Table_SourceData_ClimateZones[[#Headers],[Climate zone]], 0)</f>
        <v>999999</v>
      </c>
      <c r="L91" s="11" cm="1">
        <f t="array" ref="L91">Common_InputFunctions.Utility_DisplayArrayInTable(Common_SourceData.Common_SourceData_ClimateZones_Data(), Table_SourceData_ClimateZones[[#Headers],[Climate zone]], 0)</f>
        <v>2000.001</v>
      </c>
      <c r="M91" s="11" cm="1">
        <f t="array" ref="M91">Common_InputFunctions.Utility_DisplayArrayInTable(Common_SourceData.Common_SourceData_ClimateZones_Data(), Table_SourceData_ClimateZones[[#Headers],[Climate zone]], 0)</f>
        <v>999999</v>
      </c>
      <c r="N91" s="11" cm="1">
        <f t="array" ref="N91">Common_InputFunctions.Utility_DisplayArrayInTable(Common_SourceData.Common_SourceData_ClimateZones_Data(), Table_SourceData_ClimateZones[[#Headers],[Climate zone]], 0)</f>
        <v>-999999</v>
      </c>
      <c r="O91" s="11" cm="1">
        <f t="array" ref="O91">Common_InputFunctions.Utility_DisplayArrayInTable(Common_SourceData.Common_SourceData_ClimateZones_Data(), Table_SourceData_ClimateZones[[#Headers],[Climate zone]], 0)</f>
        <v>7</v>
      </c>
      <c r="P91" s="11" cm="1">
        <f t="array" ref="P91">Common_InputFunctions.Utility_DisplayArrayInTable(Common_SourceData.Common_SourceData_ClimateZones_Data(), Table_SourceData_ClimateZones[[#Headers],[Climate zone]], 0)</f>
        <v>-999999</v>
      </c>
      <c r="Q91" s="11" cm="1">
        <f t="array" ref="Q91">Common_InputFunctions.Utility_DisplayArrayInTable(Common_SourceData.Common_SourceData_ClimateZones_Data(), Table_SourceData_ClimateZones[[#Headers],[Climate zone]], 0)</f>
        <v>999.99900000000002</v>
      </c>
      <c r="R91" s="11" cm="1">
        <f t="array" ref="R91">Common_InputFunctions.Utility_DisplayArrayInTable(Common_SourceData.Common_SourceData_ClimateZones_Data(), Table_SourceData_ClimateZones[[#Headers],[Climate zone]], 0)</f>
        <v>-999999</v>
      </c>
      <c r="S91" s="11" cm="1">
        <f t="array" ref="S91">Common_InputFunctions.Utility_DisplayArrayInTable(Common_SourceData.Common_SourceData_ClimateZones_Data(), Table_SourceData_ClimateZones[[#Headers],[Climate zone]], 0)</f>
        <v>999999</v>
      </c>
      <c r="T91" s="11"/>
    </row>
    <row r="92" spans="1:20" ht="20.100000000000001" customHeight="1" x14ac:dyDescent="0.25">
      <c r="A92"/>
      <c r="D92" s="11" t="str" cm="1">
        <f t="array" ref="D92">Common_InputFunctions.Utility_DisplayArrayInTable(Common_SourceData.Common_SourceData_ClimateZones_Data(), Table_SourceData_ClimateZones[[#Headers],[Climate zone]], 0)</f>
        <v>Tropical moist</v>
      </c>
      <c r="E92" s="11" t="str" cm="1">
        <f t="array" ref="E92">Common_InputFunctions.Utility_DisplayArrayInTable(Common_SourceData.Common_SourceData_ClimateZones_Data(), Table_SourceData_ClimateZones[[#Headers],[Climate zone]], 0)</f>
        <v>&gt; 18 C</v>
      </c>
      <c r="F92" s="11" t="str" cm="1">
        <f t="array" ref="F92">Common_InputFunctions.Utility_DisplayArrayInTable(Common_SourceData.Common_SourceData_ClimateZones_Data(), Table_SourceData_ClimateZones[[#Headers],[Climate zone]], 0)</f>
        <v>&gt; 1000 mm - ≤ 2000 mm</v>
      </c>
      <c r="G92" s="11" t="str" cm="1">
        <f t="array" ref="G92">Common_InputFunctions.Utility_DisplayArrayInTable(Common_SourceData.Common_SourceData_ClimateZones_Data(), Table_SourceData_ClimateZones[[#Headers],[Climate zone]], 0)</f>
        <v>≤ 7</v>
      </c>
      <c r="H92" s="11" t="str" cm="1">
        <f t="array" ref="H92">Common_InputFunctions.Utility_DisplayArrayInTable(Common_SourceData.Common_SourceData_ClimateZones_Data(), Table_SourceData_ClimateZones[[#Headers],[Climate zone]], 0)</f>
        <v>≤ 1000 m</v>
      </c>
      <c r="I92" s="11" t="str" cm="1">
        <f t="array" ref="I92">Common_InputFunctions.Utility_DisplayArrayInTable(Common_SourceData.Common_SourceData_ClimateZones_Data(), Table_SourceData_ClimateZones[[#Headers],[Climate zone]], 0)</f>
        <v>Any</v>
      </c>
      <c r="J92" s="11" cm="1">
        <f t="array" ref="J92">Common_InputFunctions.Utility_DisplayArrayInTable(Common_SourceData.Common_SourceData_ClimateZones_Data(), Table_SourceData_ClimateZones[[#Headers],[Climate zone]], 0)</f>
        <v>18.001000000000001</v>
      </c>
      <c r="K92" s="11" cm="1">
        <f t="array" ref="K92">Common_InputFunctions.Utility_DisplayArrayInTable(Common_SourceData.Common_SourceData_ClimateZones_Data(), Table_SourceData_ClimateZones[[#Headers],[Climate zone]], 0)</f>
        <v>999999</v>
      </c>
      <c r="L92" s="11" cm="1">
        <f t="array" ref="L92">Common_InputFunctions.Utility_DisplayArrayInTable(Common_SourceData.Common_SourceData_ClimateZones_Data(), Table_SourceData_ClimateZones[[#Headers],[Climate zone]], 0)</f>
        <v>1000.001</v>
      </c>
      <c r="M92" s="11" cm="1">
        <f t="array" ref="M92">Common_InputFunctions.Utility_DisplayArrayInTable(Common_SourceData.Common_SourceData_ClimateZones_Data(), Table_SourceData_ClimateZones[[#Headers],[Climate zone]], 0)</f>
        <v>2000</v>
      </c>
      <c r="N92" s="11" cm="1">
        <f t="array" ref="N92">Common_InputFunctions.Utility_DisplayArrayInTable(Common_SourceData.Common_SourceData_ClimateZones_Data(), Table_SourceData_ClimateZones[[#Headers],[Climate zone]], 0)</f>
        <v>-999999</v>
      </c>
      <c r="O92" s="11" cm="1">
        <f t="array" ref="O92">Common_InputFunctions.Utility_DisplayArrayInTable(Common_SourceData.Common_SourceData_ClimateZones_Data(), Table_SourceData_ClimateZones[[#Headers],[Climate zone]], 0)</f>
        <v>7</v>
      </c>
      <c r="P92" s="11" cm="1">
        <f t="array" ref="P92">Common_InputFunctions.Utility_DisplayArrayInTable(Common_SourceData.Common_SourceData_ClimateZones_Data(), Table_SourceData_ClimateZones[[#Headers],[Climate zone]], 0)</f>
        <v>-999999</v>
      </c>
      <c r="Q92" s="11" cm="1">
        <f t="array" ref="Q92">Common_InputFunctions.Utility_DisplayArrayInTable(Common_SourceData.Common_SourceData_ClimateZones_Data(), Table_SourceData_ClimateZones[[#Headers],[Climate zone]], 0)</f>
        <v>999.99900000000002</v>
      </c>
      <c r="R92" s="11" cm="1">
        <f t="array" ref="R92">Common_InputFunctions.Utility_DisplayArrayInTable(Common_SourceData.Common_SourceData_ClimateZones_Data(), Table_SourceData_ClimateZones[[#Headers],[Climate zone]], 0)</f>
        <v>-999999</v>
      </c>
      <c r="S92" s="11" cm="1">
        <f t="array" ref="S92">Common_InputFunctions.Utility_DisplayArrayInTable(Common_SourceData.Common_SourceData_ClimateZones_Data(), Table_SourceData_ClimateZones[[#Headers],[Climate zone]], 0)</f>
        <v>999999</v>
      </c>
      <c r="T92" s="11"/>
    </row>
    <row r="93" spans="1:20" ht="20.100000000000001" customHeight="1" x14ac:dyDescent="0.25">
      <c r="A93"/>
      <c r="D93" s="11" t="str" cm="1">
        <f t="array" ref="D93">Common_InputFunctions.Utility_DisplayArrayInTable(Common_SourceData.Common_SourceData_ClimateZones_Data(), Table_SourceData_ClimateZones[[#Headers],[Climate zone]], 0)</f>
        <v>Tropical dry</v>
      </c>
      <c r="E93" s="11" t="str" cm="1">
        <f t="array" ref="E93">Common_InputFunctions.Utility_DisplayArrayInTable(Common_SourceData.Common_SourceData_ClimateZones_Data(), Table_SourceData_ClimateZones[[#Headers],[Climate zone]], 0)</f>
        <v>&gt; 18 C</v>
      </c>
      <c r="F93" s="11" t="str" cm="1">
        <f t="array" ref="F93">Common_InputFunctions.Utility_DisplayArrayInTable(Common_SourceData.Common_SourceData_ClimateZones_Data(), Table_SourceData_ClimateZones[[#Headers],[Climate zone]], 0)</f>
        <v>≤ 1000 mm</v>
      </c>
      <c r="G93" s="11" t="str" cm="1">
        <f t="array" ref="G93">Common_InputFunctions.Utility_DisplayArrayInTable(Common_SourceData.Common_SourceData_ClimateZones_Data(), Table_SourceData_ClimateZones[[#Headers],[Climate zone]], 0)</f>
        <v>≤ 7</v>
      </c>
      <c r="H93" s="11" t="str" cm="1">
        <f t="array" ref="H93">Common_InputFunctions.Utility_DisplayArrayInTable(Common_SourceData.Common_SourceData_ClimateZones_Data(), Table_SourceData_ClimateZones[[#Headers],[Climate zone]], 0)</f>
        <v>≤ 1000 m</v>
      </c>
      <c r="I93" s="11" t="str" cm="1">
        <f t="array" ref="I93">Common_InputFunctions.Utility_DisplayArrayInTable(Common_SourceData.Common_SourceData_ClimateZones_Data(), Table_SourceData_ClimateZones[[#Headers],[Climate zone]], 0)</f>
        <v>Any</v>
      </c>
      <c r="J93" s="11" cm="1">
        <f t="array" ref="J93">Common_InputFunctions.Utility_DisplayArrayInTable(Common_SourceData.Common_SourceData_ClimateZones_Data(), Table_SourceData_ClimateZones[[#Headers],[Climate zone]], 0)</f>
        <v>18.001000000000001</v>
      </c>
      <c r="K93" s="11" cm="1">
        <f t="array" ref="K93">Common_InputFunctions.Utility_DisplayArrayInTable(Common_SourceData.Common_SourceData_ClimateZones_Data(), Table_SourceData_ClimateZones[[#Headers],[Climate zone]], 0)</f>
        <v>999999</v>
      </c>
      <c r="L93" s="11" cm="1">
        <f t="array" ref="L93">Common_InputFunctions.Utility_DisplayArrayInTable(Common_SourceData.Common_SourceData_ClimateZones_Data(), Table_SourceData_ClimateZones[[#Headers],[Climate zone]], 0)</f>
        <v>-999999</v>
      </c>
      <c r="M93" s="11" cm="1">
        <f t="array" ref="M93">Common_InputFunctions.Utility_DisplayArrayInTable(Common_SourceData.Common_SourceData_ClimateZones_Data(), Table_SourceData_ClimateZones[[#Headers],[Climate zone]], 0)</f>
        <v>1000</v>
      </c>
      <c r="N93" s="11" cm="1">
        <f t="array" ref="N93">Common_InputFunctions.Utility_DisplayArrayInTable(Common_SourceData.Common_SourceData_ClimateZones_Data(), Table_SourceData_ClimateZones[[#Headers],[Climate zone]], 0)</f>
        <v>-999999</v>
      </c>
      <c r="O93" s="11" cm="1">
        <f t="array" ref="O93">Common_InputFunctions.Utility_DisplayArrayInTable(Common_SourceData.Common_SourceData_ClimateZones_Data(), Table_SourceData_ClimateZones[[#Headers],[Climate zone]], 0)</f>
        <v>7</v>
      </c>
      <c r="P93" s="11" cm="1">
        <f t="array" ref="P93">Common_InputFunctions.Utility_DisplayArrayInTable(Common_SourceData.Common_SourceData_ClimateZones_Data(), Table_SourceData_ClimateZones[[#Headers],[Climate zone]], 0)</f>
        <v>-999999</v>
      </c>
      <c r="Q93" s="11" cm="1">
        <f t="array" ref="Q93">Common_InputFunctions.Utility_DisplayArrayInTable(Common_SourceData.Common_SourceData_ClimateZones_Data(), Table_SourceData_ClimateZones[[#Headers],[Climate zone]], 0)</f>
        <v>999.99900000000002</v>
      </c>
      <c r="R93" s="11" cm="1">
        <f t="array" ref="R93">Common_InputFunctions.Utility_DisplayArrayInTable(Common_SourceData.Common_SourceData_ClimateZones_Data(), Table_SourceData_ClimateZones[[#Headers],[Climate zone]], 0)</f>
        <v>-999999</v>
      </c>
      <c r="S93" s="11" cm="1">
        <f t="array" ref="S93">Common_InputFunctions.Utility_DisplayArrayInTable(Common_SourceData.Common_SourceData_ClimateZones_Data(), Table_SourceData_ClimateZones[[#Headers],[Climate zone]], 0)</f>
        <v>999999</v>
      </c>
      <c r="T93" s="11"/>
    </row>
    <row r="94" spans="1:20" ht="20.100000000000001" customHeight="1" x14ac:dyDescent="0.25">
      <c r="A94"/>
      <c r="D94" s="11" t="str" cm="1">
        <f t="array" ref="D94">Common_InputFunctions.Utility_DisplayArrayInTable(Common_SourceData.Common_SourceData_ClimateZones_Data(), Table_SourceData_ClimateZones[[#Headers],[Climate zone]], 0)</f>
        <v>Warm temperate moist</v>
      </c>
      <c r="E94" s="11" t="str" cm="1">
        <f t="array" ref="E94">Common_InputFunctions.Utility_DisplayArrayInTable(Common_SourceData.Common_SourceData_ClimateZones_Data(), Table_SourceData_ClimateZones[[#Headers],[Climate zone]], 0)</f>
        <v>&gt; 10 C</v>
      </c>
      <c r="F94" s="11" t="str" cm="1">
        <f t="array" ref="F94">Common_InputFunctions.Utility_DisplayArrayInTable(Common_SourceData.Common_SourceData_ClimateZones_Data(), Table_SourceData_ClimateZones[[#Headers],[Climate zone]], 0)</f>
        <v>Any</v>
      </c>
      <c r="G94" s="11" t="str" cm="1">
        <f t="array" ref="G94">Common_InputFunctions.Utility_DisplayArrayInTable(Common_SourceData.Common_SourceData_ClimateZones_Data(), Table_SourceData_ClimateZones[[#Headers],[Climate zone]], 0)</f>
        <v>Any</v>
      </c>
      <c r="H94" s="11" t="str" cm="1">
        <f t="array" ref="H94">Common_InputFunctions.Utility_DisplayArrayInTable(Common_SourceData.Common_SourceData_ClimateZones_Data(), Table_SourceData_ClimateZones[[#Headers],[Climate zone]], 0)</f>
        <v>Any</v>
      </c>
      <c r="I94" s="11" t="str" cm="1">
        <f t="array" ref="I94">Common_InputFunctions.Utility_DisplayArrayInTable(Common_SourceData.Common_SourceData_ClimateZones_Data(), Table_SourceData_ClimateZones[[#Headers],[Climate zone]], 0)</f>
        <v>&gt; 1</v>
      </c>
      <c r="J94" s="11" cm="1">
        <f t="array" ref="J94">Common_InputFunctions.Utility_DisplayArrayInTable(Common_SourceData.Common_SourceData_ClimateZones_Data(), Table_SourceData_ClimateZones[[#Headers],[Climate zone]], 0)</f>
        <v>10.000999999999999</v>
      </c>
      <c r="K94" s="11" cm="1">
        <f t="array" ref="K94">Common_InputFunctions.Utility_DisplayArrayInTable(Common_SourceData.Common_SourceData_ClimateZones_Data(), Table_SourceData_ClimateZones[[#Headers],[Climate zone]], 0)</f>
        <v>999999</v>
      </c>
      <c r="L94" s="11" cm="1">
        <f t="array" ref="L94">Common_InputFunctions.Utility_DisplayArrayInTable(Common_SourceData.Common_SourceData_ClimateZones_Data(), Table_SourceData_ClimateZones[[#Headers],[Climate zone]], 0)</f>
        <v>-999999</v>
      </c>
      <c r="M94" s="11" cm="1">
        <f t="array" ref="M94">Common_InputFunctions.Utility_DisplayArrayInTable(Common_SourceData.Common_SourceData_ClimateZones_Data(), Table_SourceData_ClimateZones[[#Headers],[Climate zone]], 0)</f>
        <v>999999</v>
      </c>
      <c r="N94" s="11" cm="1">
        <f t="array" ref="N94">Common_InputFunctions.Utility_DisplayArrayInTable(Common_SourceData.Common_SourceData_ClimateZones_Data(), Table_SourceData_ClimateZones[[#Headers],[Climate zone]], 0)</f>
        <v>-999999</v>
      </c>
      <c r="O94" s="11" cm="1">
        <f t="array" ref="O94">Common_InputFunctions.Utility_DisplayArrayInTable(Common_SourceData.Common_SourceData_ClimateZones_Data(), Table_SourceData_ClimateZones[[#Headers],[Climate zone]], 0)</f>
        <v>999999</v>
      </c>
      <c r="P94" s="11" cm="1">
        <f t="array" ref="P94">Common_InputFunctions.Utility_DisplayArrayInTable(Common_SourceData.Common_SourceData_ClimateZones_Data(), Table_SourceData_ClimateZones[[#Headers],[Climate zone]], 0)</f>
        <v>-999999</v>
      </c>
      <c r="Q94" s="11" cm="1">
        <f t="array" ref="Q94">Common_InputFunctions.Utility_DisplayArrayInTable(Common_SourceData.Common_SourceData_ClimateZones_Data(), Table_SourceData_ClimateZones[[#Headers],[Climate zone]], 0)</f>
        <v>999999</v>
      </c>
      <c r="R94" s="11" cm="1">
        <f t="array" ref="R94">Common_InputFunctions.Utility_DisplayArrayInTable(Common_SourceData.Common_SourceData_ClimateZones_Data(), Table_SourceData_ClimateZones[[#Headers],[Climate zone]], 0)</f>
        <v>1.0009999999999999</v>
      </c>
      <c r="S94" s="11" cm="1">
        <f t="array" ref="S94">Common_InputFunctions.Utility_DisplayArrayInTable(Common_SourceData.Common_SourceData_ClimateZones_Data(), Table_SourceData_ClimateZones[[#Headers],[Climate zone]], 0)</f>
        <v>999999</v>
      </c>
      <c r="T94" s="11"/>
    </row>
    <row r="95" spans="1:20" ht="20.100000000000001" customHeight="1" x14ac:dyDescent="0.25">
      <c r="A95"/>
      <c r="D95" s="11" t="str" cm="1">
        <f t="array" ref="D95">Common_InputFunctions.Utility_DisplayArrayInTable(Common_SourceData.Common_SourceData_ClimateZones_Data(), Table_SourceData_ClimateZones[[#Headers],[Climate zone]], 0)</f>
        <v>Warm temperate dry</v>
      </c>
      <c r="E95" s="11" t="str" cm="1">
        <f t="array" ref="E95">Common_InputFunctions.Utility_DisplayArrayInTable(Common_SourceData.Common_SourceData_ClimateZones_Data(), Table_SourceData_ClimateZones[[#Headers],[Climate zone]], 0)</f>
        <v>&gt; 10 C</v>
      </c>
      <c r="F95" s="11" t="str" cm="1">
        <f t="array" ref="F95">Common_InputFunctions.Utility_DisplayArrayInTable(Common_SourceData.Common_SourceData_ClimateZones_Data(), Table_SourceData_ClimateZones[[#Headers],[Climate zone]], 0)</f>
        <v>Any</v>
      </c>
      <c r="G95" s="11" t="str" cm="1">
        <f t="array" ref="G95">Common_InputFunctions.Utility_DisplayArrayInTable(Common_SourceData.Common_SourceData_ClimateZones_Data(), Table_SourceData_ClimateZones[[#Headers],[Climate zone]], 0)</f>
        <v>Any</v>
      </c>
      <c r="H95" s="11" t="str" cm="1">
        <f t="array" ref="H95">Common_InputFunctions.Utility_DisplayArrayInTable(Common_SourceData.Common_SourceData_ClimateZones_Data(), Table_SourceData_ClimateZones[[#Headers],[Climate zone]], 0)</f>
        <v>Any</v>
      </c>
      <c r="I95" s="11" t="str" cm="1">
        <f t="array" ref="I95">Common_InputFunctions.Utility_DisplayArrayInTable(Common_SourceData.Common_SourceData_ClimateZones_Data(), Table_SourceData_ClimateZones[[#Headers],[Climate zone]], 0)</f>
        <v>≤ 1</v>
      </c>
      <c r="J95" s="11" cm="1">
        <f t="array" ref="J95">Common_InputFunctions.Utility_DisplayArrayInTable(Common_SourceData.Common_SourceData_ClimateZones_Data(), Table_SourceData_ClimateZones[[#Headers],[Climate zone]], 0)</f>
        <v>10.000999999999999</v>
      </c>
      <c r="K95" s="11" cm="1">
        <f t="array" ref="K95">Common_InputFunctions.Utility_DisplayArrayInTable(Common_SourceData.Common_SourceData_ClimateZones_Data(), Table_SourceData_ClimateZones[[#Headers],[Climate zone]], 0)</f>
        <v>999999</v>
      </c>
      <c r="L95" s="11" cm="1">
        <f t="array" ref="L95">Common_InputFunctions.Utility_DisplayArrayInTable(Common_SourceData.Common_SourceData_ClimateZones_Data(), Table_SourceData_ClimateZones[[#Headers],[Climate zone]], 0)</f>
        <v>-999999</v>
      </c>
      <c r="M95" s="11" cm="1">
        <f t="array" ref="M95">Common_InputFunctions.Utility_DisplayArrayInTable(Common_SourceData.Common_SourceData_ClimateZones_Data(), Table_SourceData_ClimateZones[[#Headers],[Climate zone]], 0)</f>
        <v>999999</v>
      </c>
      <c r="N95" s="11" cm="1">
        <f t="array" ref="N95">Common_InputFunctions.Utility_DisplayArrayInTable(Common_SourceData.Common_SourceData_ClimateZones_Data(), Table_SourceData_ClimateZones[[#Headers],[Climate zone]], 0)</f>
        <v>-999999</v>
      </c>
      <c r="O95" s="11" cm="1">
        <f t="array" ref="O95">Common_InputFunctions.Utility_DisplayArrayInTable(Common_SourceData.Common_SourceData_ClimateZones_Data(), Table_SourceData_ClimateZones[[#Headers],[Climate zone]], 0)</f>
        <v>999999</v>
      </c>
      <c r="P95" s="11" cm="1">
        <f t="array" ref="P95">Common_InputFunctions.Utility_DisplayArrayInTable(Common_SourceData.Common_SourceData_ClimateZones_Data(), Table_SourceData_ClimateZones[[#Headers],[Climate zone]], 0)</f>
        <v>-999999</v>
      </c>
      <c r="Q95" s="11" cm="1">
        <f t="array" ref="Q95">Common_InputFunctions.Utility_DisplayArrayInTable(Common_SourceData.Common_SourceData_ClimateZones_Data(), Table_SourceData_ClimateZones[[#Headers],[Climate zone]], 0)</f>
        <v>999999</v>
      </c>
      <c r="R95" s="11" cm="1">
        <f t="array" ref="R95">Common_InputFunctions.Utility_DisplayArrayInTable(Common_SourceData.Common_SourceData_ClimateZones_Data(), Table_SourceData_ClimateZones[[#Headers],[Climate zone]], 0)</f>
        <v>-999999</v>
      </c>
      <c r="S95" s="11" cm="1">
        <f t="array" ref="S95">Common_InputFunctions.Utility_DisplayArrayInTable(Common_SourceData.Common_SourceData_ClimateZones_Data(), Table_SourceData_ClimateZones[[#Headers],[Climate zone]], 0)</f>
        <v>1</v>
      </c>
      <c r="T95" s="11"/>
    </row>
    <row r="96" spans="1:20" ht="20.100000000000001" customHeight="1" x14ac:dyDescent="0.25">
      <c r="A96"/>
      <c r="D96" s="11" t="str" cm="1">
        <f t="array" ref="D96">Common_InputFunctions.Utility_DisplayArrayInTable(Common_SourceData.Common_SourceData_ClimateZones_Data(), Table_SourceData_ClimateZones[[#Headers],[Climate zone]], 0)</f>
        <v>Cool temperate moist</v>
      </c>
      <c r="E96" s="11" t="str" cm="1">
        <f t="array" ref="E96">Common_InputFunctions.Utility_DisplayArrayInTable(Common_SourceData.Common_SourceData_ClimateZones_Data(), Table_SourceData_ClimateZones[[#Headers],[Climate zone]], 0)</f>
        <v>&gt; 0 C - ≤ 10 C</v>
      </c>
      <c r="F96" s="11" t="str" cm="1">
        <f t="array" ref="F96">Common_InputFunctions.Utility_DisplayArrayInTable(Common_SourceData.Common_SourceData_ClimateZones_Data(), Table_SourceData_ClimateZones[[#Headers],[Climate zone]], 0)</f>
        <v>Any</v>
      </c>
      <c r="G96" s="11" t="str" cm="1">
        <f t="array" ref="G96">Common_InputFunctions.Utility_DisplayArrayInTable(Common_SourceData.Common_SourceData_ClimateZones_Data(), Table_SourceData_ClimateZones[[#Headers],[Climate zone]], 0)</f>
        <v>Any</v>
      </c>
      <c r="H96" s="11" t="str" cm="1">
        <f t="array" ref="H96">Common_InputFunctions.Utility_DisplayArrayInTable(Common_SourceData.Common_SourceData_ClimateZones_Data(), Table_SourceData_ClimateZones[[#Headers],[Climate zone]], 0)</f>
        <v>Any</v>
      </c>
      <c r="I96" s="11" t="str" cm="1">
        <f t="array" ref="I96">Common_InputFunctions.Utility_DisplayArrayInTable(Common_SourceData.Common_SourceData_ClimateZones_Data(), Table_SourceData_ClimateZones[[#Headers],[Climate zone]], 0)</f>
        <v>&gt; 1</v>
      </c>
      <c r="J96" s="11" cm="1">
        <f t="array" ref="J96">Common_InputFunctions.Utility_DisplayArrayInTable(Common_SourceData.Common_SourceData_ClimateZones_Data(), Table_SourceData_ClimateZones[[#Headers],[Climate zone]], 0)</f>
        <v>-999999</v>
      </c>
      <c r="K96" s="11" cm="1">
        <f t="array" ref="K96">Common_InputFunctions.Utility_DisplayArrayInTable(Common_SourceData.Common_SourceData_ClimateZones_Data(), Table_SourceData_ClimateZones[[#Headers],[Climate zone]], 0)</f>
        <v>10</v>
      </c>
      <c r="L96" s="11" cm="1">
        <f t="array" ref="L96">Common_InputFunctions.Utility_DisplayArrayInTable(Common_SourceData.Common_SourceData_ClimateZones_Data(), Table_SourceData_ClimateZones[[#Headers],[Climate zone]], 0)</f>
        <v>-999999</v>
      </c>
      <c r="M96" s="11" cm="1">
        <f t="array" ref="M96">Common_InputFunctions.Utility_DisplayArrayInTable(Common_SourceData.Common_SourceData_ClimateZones_Data(), Table_SourceData_ClimateZones[[#Headers],[Climate zone]], 0)</f>
        <v>999999</v>
      </c>
      <c r="N96" s="11" cm="1">
        <f t="array" ref="N96">Common_InputFunctions.Utility_DisplayArrayInTable(Common_SourceData.Common_SourceData_ClimateZones_Data(), Table_SourceData_ClimateZones[[#Headers],[Climate zone]], 0)</f>
        <v>-999999</v>
      </c>
      <c r="O96" s="11" cm="1">
        <f t="array" ref="O96">Common_InputFunctions.Utility_DisplayArrayInTable(Common_SourceData.Common_SourceData_ClimateZones_Data(), Table_SourceData_ClimateZones[[#Headers],[Climate zone]], 0)</f>
        <v>999999</v>
      </c>
      <c r="P96" s="11" cm="1">
        <f t="array" ref="P96">Common_InputFunctions.Utility_DisplayArrayInTable(Common_SourceData.Common_SourceData_ClimateZones_Data(), Table_SourceData_ClimateZones[[#Headers],[Climate zone]], 0)</f>
        <v>-999999</v>
      </c>
      <c r="Q96" s="11" cm="1">
        <f t="array" ref="Q96">Common_InputFunctions.Utility_DisplayArrayInTable(Common_SourceData.Common_SourceData_ClimateZones_Data(), Table_SourceData_ClimateZones[[#Headers],[Climate zone]], 0)</f>
        <v>999999</v>
      </c>
      <c r="R96" s="11" cm="1">
        <f t="array" ref="R96">Common_InputFunctions.Utility_DisplayArrayInTable(Common_SourceData.Common_SourceData_ClimateZones_Data(), Table_SourceData_ClimateZones[[#Headers],[Climate zone]], 0)</f>
        <v>1.0009999999999999</v>
      </c>
      <c r="S96" s="11" cm="1">
        <f t="array" ref="S96">Common_InputFunctions.Utility_DisplayArrayInTable(Common_SourceData.Common_SourceData_ClimateZones_Data(), Table_SourceData_ClimateZones[[#Headers],[Climate zone]], 0)</f>
        <v>999999</v>
      </c>
      <c r="T96" s="11"/>
    </row>
    <row r="97" spans="1:20" ht="20.100000000000001" customHeight="1" x14ac:dyDescent="0.25">
      <c r="A97"/>
      <c r="D97" s="11" t="str" cm="1">
        <f t="array" ref="D97">Common_InputFunctions.Utility_DisplayArrayInTable(Common_SourceData.Common_SourceData_ClimateZones_Data(), Table_SourceData_ClimateZones[[#Headers],[Climate zone]], 0)</f>
        <v>Cool temperate dry</v>
      </c>
      <c r="E97" s="11" t="str" cm="1">
        <f t="array" ref="E97">Common_InputFunctions.Utility_DisplayArrayInTable(Common_SourceData.Common_SourceData_ClimateZones_Data(), Table_SourceData_ClimateZones[[#Headers],[Climate zone]], 0)</f>
        <v>&gt; 0 C - ≤ 10 C</v>
      </c>
      <c r="F97" s="11" t="str" cm="1">
        <f t="array" ref="F97">Common_InputFunctions.Utility_DisplayArrayInTable(Common_SourceData.Common_SourceData_ClimateZones_Data(), Table_SourceData_ClimateZones[[#Headers],[Climate zone]], 0)</f>
        <v>Any</v>
      </c>
      <c r="G97" s="11" t="str" cm="1">
        <f t="array" ref="G97">Common_InputFunctions.Utility_DisplayArrayInTable(Common_SourceData.Common_SourceData_ClimateZones_Data(), Table_SourceData_ClimateZones[[#Headers],[Climate zone]], 0)</f>
        <v>Any</v>
      </c>
      <c r="H97" s="11" t="str" cm="1">
        <f t="array" ref="H97">Common_InputFunctions.Utility_DisplayArrayInTable(Common_SourceData.Common_SourceData_ClimateZones_Data(), Table_SourceData_ClimateZones[[#Headers],[Climate zone]], 0)</f>
        <v>Any</v>
      </c>
      <c r="I97" s="11" t="str" cm="1">
        <f t="array" ref="I97">Common_InputFunctions.Utility_DisplayArrayInTable(Common_SourceData.Common_SourceData_ClimateZones_Data(), Table_SourceData_ClimateZones[[#Headers],[Climate zone]], 0)</f>
        <v>≤ 1</v>
      </c>
      <c r="J97" s="11" cm="1">
        <f t="array" ref="J97">Common_InputFunctions.Utility_DisplayArrayInTable(Common_SourceData.Common_SourceData_ClimateZones_Data(), Table_SourceData_ClimateZones[[#Headers],[Climate zone]], 0)</f>
        <v>-999999</v>
      </c>
      <c r="K97" s="11" cm="1">
        <f t="array" ref="K97">Common_InputFunctions.Utility_DisplayArrayInTable(Common_SourceData.Common_SourceData_ClimateZones_Data(), Table_SourceData_ClimateZones[[#Headers],[Climate zone]], 0)</f>
        <v>10</v>
      </c>
      <c r="L97" s="11" cm="1">
        <f t="array" ref="L97">Common_InputFunctions.Utility_DisplayArrayInTable(Common_SourceData.Common_SourceData_ClimateZones_Data(), Table_SourceData_ClimateZones[[#Headers],[Climate zone]], 0)</f>
        <v>-999999</v>
      </c>
      <c r="M97" s="11" cm="1">
        <f t="array" ref="M97">Common_InputFunctions.Utility_DisplayArrayInTable(Common_SourceData.Common_SourceData_ClimateZones_Data(), Table_SourceData_ClimateZones[[#Headers],[Climate zone]], 0)</f>
        <v>999999</v>
      </c>
      <c r="N97" s="11" cm="1">
        <f t="array" ref="N97">Common_InputFunctions.Utility_DisplayArrayInTable(Common_SourceData.Common_SourceData_ClimateZones_Data(), Table_SourceData_ClimateZones[[#Headers],[Climate zone]], 0)</f>
        <v>-999999</v>
      </c>
      <c r="O97" s="11" cm="1">
        <f t="array" ref="O97">Common_InputFunctions.Utility_DisplayArrayInTable(Common_SourceData.Common_SourceData_ClimateZones_Data(), Table_SourceData_ClimateZones[[#Headers],[Climate zone]], 0)</f>
        <v>999999</v>
      </c>
      <c r="P97" s="11" cm="1">
        <f t="array" ref="P97">Common_InputFunctions.Utility_DisplayArrayInTable(Common_SourceData.Common_SourceData_ClimateZones_Data(), Table_SourceData_ClimateZones[[#Headers],[Climate zone]], 0)</f>
        <v>-999999</v>
      </c>
      <c r="Q97" s="11" cm="1">
        <f t="array" ref="Q97">Common_InputFunctions.Utility_DisplayArrayInTable(Common_SourceData.Common_SourceData_ClimateZones_Data(), Table_SourceData_ClimateZones[[#Headers],[Climate zone]], 0)</f>
        <v>999999</v>
      </c>
      <c r="R97" s="11" cm="1">
        <f t="array" ref="R97">Common_InputFunctions.Utility_DisplayArrayInTable(Common_SourceData.Common_SourceData_ClimateZones_Data(), Table_SourceData_ClimateZones[[#Headers],[Climate zone]], 0)</f>
        <v>-999999</v>
      </c>
      <c r="S97" s="11" cm="1">
        <f t="array" ref="S97">Common_InputFunctions.Utility_DisplayArrayInTable(Common_SourceData.Common_SourceData_ClimateZones_Data(), Table_SourceData_ClimateZones[[#Headers],[Climate zone]], 0)</f>
        <v>1</v>
      </c>
      <c r="T97" s="11"/>
    </row>
    <row r="98" spans="1:20" ht="20.100000000000001" customHeight="1" x14ac:dyDescent="0.25">
      <c r="A98"/>
    </row>
    <row r="99" spans="1:20" ht="20.100000000000001" customHeight="1" x14ac:dyDescent="0.25">
      <c r="A99"/>
      <c r="D99" s="12" t="str" cm="1">
        <f t="array" ref="D99:D102">Common_SourceData.Common_SourceData_ClimateZones_Appendices()</f>
        <v>Note:</v>
      </c>
    </row>
    <row r="100" spans="1:20" ht="20.100000000000001" customHeight="1" x14ac:dyDescent="0.25">
      <c r="A100"/>
      <c r="D100" s="12" t="str">
        <v>MAT = mean annual temperature</v>
      </c>
    </row>
    <row r="101" spans="1:20" ht="20.100000000000001" customHeight="1" x14ac:dyDescent="0.25">
      <c r="A101"/>
      <c r="D101" s="12" t="str">
        <v>MAP = mean annual precipitation</v>
      </c>
    </row>
    <row r="102" spans="1:20" ht="20.100000000000001" customHeight="1" x14ac:dyDescent="0.25">
      <c r="A102"/>
      <c r="D102" s="12" t="str">
        <v>PET = potential evapotranspiration</v>
      </c>
    </row>
    <row r="103" spans="1:20" ht="20.100000000000001" customHeight="1" x14ac:dyDescent="0.25">
      <c r="A103"/>
      <c r="D103" s="12"/>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1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1" t="s">
        <v>27</v>
      </c>
      <c r="E109" s="11" t="s">
        <v>11</v>
      </c>
      <c r="F109" s="11" t="s">
        <v>28</v>
      </c>
      <c r="G109" s="11" t="s">
        <v>29</v>
      </c>
    </row>
    <row r="110" spans="1:20" ht="20.100000000000001" customHeight="1" x14ac:dyDescent="0.25">
      <c r="A110"/>
      <c r="D110" s="11" t="str" cm="1">
        <f t="array" ref="D110">Common_InputFunctions.Utility_DisplayArrayInTable(Common_SourceData.Common_SourceData_TemperatureZones_Data(),Table_SourceData_TemperatureZones[[#Headers],[Temperature Zone]],0)</f>
        <v>Warm</v>
      </c>
      <c r="E110" s="11" t="str" cm="1">
        <f t="array" ref="E110">Common_InputFunctions.Utility_DisplayArrayInTable(Common_SourceData.Common_SourceData_TemperatureZones_Data(),Table_SourceData_TemperatureZones[[#Headers],[Temperature Zone]],0)</f>
        <v>≥ 26 C</v>
      </c>
      <c r="F110" s="11" cm="1">
        <f t="array" ref="F110">Common_InputFunctions.Utility_DisplayArrayInTable(Common_SourceData.Common_SourceData_TemperatureZones_Data(),Table_SourceData_TemperatureZones[[#Headers],[Temperature Zone]],0)</f>
        <v>26</v>
      </c>
      <c r="G110" s="1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1" t="str" cm="1">
        <f t="array" ref="D111">Common_InputFunctions.Utility_DisplayArrayInTable(Common_SourceData.Common_SourceData_TemperatureZones_Data(),Table_SourceData_TemperatureZones[[#Headers],[Temperature Zone]],0)</f>
        <v>Temperate</v>
      </c>
      <c r="E111" s="11" t="str" cm="1">
        <f t="array" ref="E111">Common_InputFunctions.Utility_DisplayArrayInTable(Common_SourceData.Common_SourceData_TemperatureZones_Data(),Table_SourceData_TemperatureZones[[#Headers],[Temperature Zone]],0)</f>
        <v>15 - 25 C</v>
      </c>
      <c r="F111" s="11" cm="1">
        <f t="array" ref="F111">Common_InputFunctions.Utility_DisplayArrayInTable(Common_SourceData.Common_SourceData_TemperatureZones_Data(),Table_SourceData_TemperatureZones[[#Headers],[Temperature Zone]],0)</f>
        <v>15</v>
      </c>
      <c r="G111" s="1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1" t="str" cm="1">
        <f t="array" ref="D112">Common_InputFunctions.Utility_DisplayArrayInTable(Common_SourceData.Common_SourceData_TemperatureZones_Data(),Table_SourceData_TemperatureZones[[#Headers],[Temperature Zone]],0)</f>
        <v>Cool</v>
      </c>
      <c r="E112" s="11" t="str" cm="1">
        <f t="array" ref="E112">Common_InputFunctions.Utility_DisplayArrayInTable(Common_SourceData.Common_SourceData_TemperatureZones_Data(),Table_SourceData_TemperatureZones[[#Headers],[Temperature Zone]],0)</f>
        <v>≤ 14 C</v>
      </c>
      <c r="F112" s="11" cm="1">
        <f t="array" ref="F112">Common_InputFunctions.Utility_DisplayArrayInTable(Common_SourceData.Common_SourceData_TemperatureZones_Data(),Table_SourceData_TemperatureZones[[#Headers],[Temperature Zone]],0)</f>
        <v>-999999</v>
      </c>
      <c r="G112" s="1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13"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11" t="s">
        <v>30</v>
      </c>
      <c r="E119" s="11" t="s">
        <v>31</v>
      </c>
      <c r="F119" s="11" t="s">
        <v>18</v>
      </c>
      <c r="G119" s="11" t="s">
        <v>19</v>
      </c>
      <c r="BN119" s="6"/>
    </row>
    <row r="120" spans="1:66" ht="20.100000000000001" customHeight="1" x14ac:dyDescent="0.25">
      <c r="A120"/>
      <c r="D120" s="11" t="str" cm="1">
        <f t="array" ref="D120">Common_InputFunctions.Utility_DisplayArrayInTable(Common_SourceData.Common_SourceData_RainfallZones_Data(),Table_SourceData_RainfallZones[[#Headers],[Rainfall Zone]],0)</f>
        <v>High rainfall</v>
      </c>
      <c r="E120" s="11" t="str" cm="1">
        <f t="array" ref="E120">Common_InputFunctions.Utility_DisplayArrayInTable(Common_SourceData.Common_SourceData_RainfallZones_Data(),Table_SourceData_RainfallZones[[#Headers],[Rainfall Zone]],0)</f>
        <v>Annual rainfall &gt; 600mm</v>
      </c>
      <c r="F120" s="11" cm="1">
        <f t="array" ref="F120">Common_InputFunctions.Utility_DisplayArrayInTable(Common_SourceData.Common_SourceData_RainfallZones_Data(),Table_SourceData_RainfallZones[[#Headers],[Rainfall Zone]],0)</f>
        <v>600.00099999999998</v>
      </c>
      <c r="G120" s="11"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11" t="str" cm="1">
        <f t="array" ref="D121">Common_InputFunctions.Utility_DisplayArrayInTable(Common_SourceData.Common_SourceData_RainfallZones_Data(),Table_SourceData_RainfallZones[[#Headers],[Rainfall Zone]],0)</f>
        <v>Low rainfall</v>
      </c>
      <c r="E121" s="11" t="str" cm="1">
        <f t="array" ref="E121">Common_InputFunctions.Utility_DisplayArrayInTable(Common_SourceData.Common_SourceData_RainfallZones_Data(),Table_SourceData_RainfallZones[[#Headers],[Rainfall Zone]],0)</f>
        <v>Annual rainfall ≤ 600mm</v>
      </c>
      <c r="F121" s="11" cm="1">
        <f t="array" ref="F121">Common_InputFunctions.Utility_DisplayArrayInTable(Common_SourceData.Common_SourceData_RainfallZones_Data(),Table_SourceData_RainfallZones[[#Headers],[Rainfall Zone]],0)</f>
        <v>-999999</v>
      </c>
      <c r="G121" s="11"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1" t="s">
        <v>32</v>
      </c>
      <c r="E127" s="11" t="s">
        <v>33</v>
      </c>
    </row>
    <row r="128" spans="1:66" ht="20.100000000000001" customHeight="1" x14ac:dyDescent="0.25">
      <c r="A128"/>
      <c r="D128" s="11" t="str" cm="1">
        <f t="array" ref="D128">Common_InputFunctions.Utility_DisplayArrayInTable(Common_SourceData.Common_SourceData_LeachingZones_Data(), Table_SourceData_LeachingZones[[#Headers],[Leaching Zone]], 0)</f>
        <v>Leaching occurs</v>
      </c>
      <c r="E128" s="1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1" t="str" cm="1">
        <f t="array" ref="D129">Common_InputFunctions.Utility_DisplayArrayInTable(Common_SourceData.Common_SourceData_LeachingZones_Data(), Table_SourceData_LeachingZones[[#Headers],[Leaching Zone]], 0)</f>
        <v>Leaching does not occur</v>
      </c>
      <c r="E129" s="1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0"/>
    </row>
    <row r="133" spans="1:77" ht="20.100000000000001" customHeight="1" x14ac:dyDescent="0.25">
      <c r="A133"/>
      <c r="D133" s="4" t="str" cm="1">
        <f t="array" ref="D133">Common_SourceData.Common_SourceData_FracWET_Source()</f>
        <v>VEERG 2026:5.5.2.3 Constant Parameters</v>
      </c>
      <c r="E133" s="10"/>
    </row>
    <row r="134" spans="1:77" ht="20.100000000000001" customHeight="1" x14ac:dyDescent="0.25">
      <c r="A134"/>
      <c r="D134" t="s">
        <v>37</v>
      </c>
      <c r="E134" t="s">
        <v>38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1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13"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11" t="s">
        <v>46</v>
      </c>
      <c r="E142" s="11" t="s">
        <v>38</v>
      </c>
      <c r="BN142" s="6"/>
    </row>
    <row r="143" spans="1:77" ht="20.100000000000001" customHeight="1" x14ac:dyDescent="0.25">
      <c r="A143"/>
      <c r="D143" s="11" t="str" cm="1">
        <f t="array" ref="D143">Common_InputFunctions.Utility_DisplayArrayInTable(Common_SourceData.Common_SourceData_FracWETIrrigation_Data(), Table_SourceData_FracWETIrrigation[[#Headers],[Irrigation type i]], 0)</f>
        <v>Not irrigated</v>
      </c>
      <c r="E143" s="11"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11"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1"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11"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11"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11" t="s">
        <v>34</v>
      </c>
      <c r="E153" s="11" t="s">
        <v>35</v>
      </c>
      <c r="BC153" s="2"/>
      <c r="BD153" s="2"/>
      <c r="BE153" s="2"/>
      <c r="BF153" s="2"/>
      <c r="BG153" s="2"/>
      <c r="BH153" s="2"/>
      <c r="BI153" s="2"/>
      <c r="BJ153" s="2"/>
      <c r="BK153" s="2"/>
      <c r="BL153" s="2"/>
      <c r="BM153" s="2"/>
    </row>
    <row r="154" spans="1:66" ht="20.100000000000001" customHeight="1" x14ac:dyDescent="0.25">
      <c r="A154"/>
      <c r="D154" s="11" t="str" cm="1">
        <f t="array" ref="D154">Common_InputFunctions.Utility_DisplayArrayInTable(Common_SourceData.Common_SourceData_DataScores_Scope3_Data(), Table_SourceData_DataScores_Scope3[[#Headers],[Data source]], 0)</f>
        <v>International scope 3 database</v>
      </c>
      <c r="E154" s="11"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11" t="str" cm="1">
        <f t="array" ref="D155">Common_InputFunctions.Utility_DisplayArrayInTable(Common_SourceData.Common_SourceData_DataScores_Scope3_Data(), Table_SourceData_DataScores_Scope3[[#Headers],[Data source]], 0)</f>
        <v>Australian scope 3 database</v>
      </c>
      <c r="E155" s="11"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11" t="str" cm="1">
        <f t="array" ref="D156">Common_InputFunctions.Utility_DisplayArrayInTable(Common_SourceData.Common_SourceData_DataScores_Scope3_Data(), Table_SourceData_DataScores_Scope3[[#Headers],[Data source]], 0)</f>
        <v>State or regional scope 3 database</v>
      </c>
      <c r="E156" s="1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1" t="str" cm="1">
        <f t="array" ref="D157">Common_InputFunctions.Utility_DisplayArrayInTable(Common_SourceData.Common_SourceData_DataScores_Scope3_Data(), Table_SourceData_DataScores_Scope3[[#Headers],[Data source]], 0)</f>
        <v>Emissions intensity calculated from approved method</v>
      </c>
      <c r="E157" s="1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1" t="str" cm="1">
        <f t="array" ref="D158">Common_InputFunctions.Utility_DisplayArrayInTable(Common_SourceData.Common_SourceData_DataScores_Scope3_Data(), Table_SourceData_DataScores_Scope3[[#Headers],[Data source]], 0)</f>
        <v>Verified credential matching ISO14067</v>
      </c>
      <c r="E158" s="1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0"/>
    </row>
    <row r="162" spans="4:68" ht="20.100000000000001" customHeight="1" x14ac:dyDescent="0.25">
      <c r="D162" s="4" t="str" cm="1">
        <f t="array" ref="D162">Common_SourceData.Common_SourceData_FracLEACH_Source()</f>
        <v>VEERG 2026:5.5.2.3 Constant Parameters</v>
      </c>
      <c r="E162" s="10"/>
    </row>
    <row r="163" spans="4:68" ht="20.100000000000001" customHeight="1" x14ac:dyDescent="0.25">
      <c r="D163" s="4" t="str" cm="1">
        <f t="array" ref="D163">Common_SourceData.Common_SourceData_FracLEACH_NIRReference()</f>
        <v>National Inventory Report Volume 1: Leaching and runoff (3.D.b.2)</v>
      </c>
      <c r="E163" s="10"/>
    </row>
    <row r="164" spans="4:68" ht="20.100000000000001" customHeight="1" x14ac:dyDescent="0.25">
      <c r="D164" s="10" t="str" cm="1">
        <f t="array" ref="D164:E164">Common_SourceData.Common_SourceData_FracLEACH_Data()</f>
        <v>FracLEACH</v>
      </c>
      <c r="E164" s="10">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12"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12" t="str" cm="1">
        <f t="array" ref="D180">Common_SourceData.Common_SourceData_EFN2O_Unit()</f>
        <v>(kg N2O-N / kg N</v>
      </c>
    </row>
    <row r="181" spans="4:68" ht="20.100000000000001" customHeight="1" x14ac:dyDescent="0.25">
      <c r="D181" s="13" t="str" cm="1">
        <f t="array" ref="D181:D185">Common_SourceData.Common_SourceData_EFN2O_Variation()</f>
        <v>VARIATION OF SOURCE DATA:</v>
      </c>
    </row>
    <row r="182" spans="4:68" ht="20.100000000000001" customHeight="1" x14ac:dyDescent="0.25">
      <c r="D182" s="13" t="str">
        <v>Removed duplicate 'Aquaculture' row.</v>
      </c>
    </row>
    <row r="183" spans="4:68" ht="20.100000000000001" customHeight="1" x14ac:dyDescent="0.25">
      <c r="D183" s="13" t="str">
        <v>Removed asterisks to aid lookup.</v>
      </c>
    </row>
    <row r="184" spans="4:68" ht="20.100000000000001" customHeight="1" x14ac:dyDescent="0.25">
      <c r="D184" s="13" t="str">
        <v>Added 'production system only', 'rainfall zone' and 'irrigation method' columns to aid lookup.</v>
      </c>
    </row>
    <row r="185" spans="4:68" ht="20.100000000000001" customHeight="1" x14ac:dyDescent="0.25">
      <c r="D185" s="13" t="str">
        <v>Duplicated 'non-irrigated pasture' row with same EF for low and high rainfall zones to aid lookup.</v>
      </c>
    </row>
    <row r="186" spans="4:68" ht="20.100000000000001" customHeight="1" x14ac:dyDescent="0.25">
      <c r="D186" s="11" t="s">
        <v>39</v>
      </c>
      <c r="E186" s="11" t="s">
        <v>40</v>
      </c>
      <c r="F186" s="11" t="s">
        <v>41</v>
      </c>
      <c r="G186" s="11" t="s">
        <v>42</v>
      </c>
      <c r="H186" s="11" t="s">
        <v>43</v>
      </c>
    </row>
    <row r="187" spans="4:68" ht="20.100000000000001" customHeight="1" x14ac:dyDescent="0.25">
      <c r="D187" s="11" t="str" cm="1">
        <f t="array" ref="D187">Common_InputFunctions.Utility_DisplayArrayInTable(Common_SourceData.Common_SourceData_EFN2O_Data(), Table_SourceData_Common_EFN2O[[#Headers],[Production system j]], 0)</f>
        <v>Irrigated pasture</v>
      </c>
      <c r="E187" s="11" cm="1">
        <f t="array" ref="E187">Common_InputFunctions.Utility_DisplayArrayInTable(Common_SourceData.Common_SourceData_EFN2O_Data(), Table_SourceData_Common_EFN2O[[#Headers],[Production system j]], 0)</f>
        <v>5.8999999999999999E-3</v>
      </c>
      <c r="F187" s="11" t="str" cm="1">
        <f t="array" ref="F187">Common_InputFunctions.Utility_DisplayArrayInTable(Common_SourceData.Common_SourceData_EFN2O_Data(), Table_SourceData_Common_EFN2O[[#Headers],[Production system j]], 0)</f>
        <v>Pasture</v>
      </c>
      <c r="G187" s="11" t="str" cm="1">
        <f t="array" ref="G187">Common_InputFunctions.Utility_DisplayArrayInTable(Common_SourceData.Common_SourceData_EFN2O_Data(), Table_SourceData_Common_EFN2O[[#Headers],[Production system j]], 0)</f>
        <v>Any</v>
      </c>
      <c r="H187" s="11" t="str" cm="1">
        <f t="array" ref="H187">Common_InputFunctions.Utility_DisplayArrayInTable(Common_SourceData.Common_SourceData_EFN2O_Data(), Table_SourceData_Common_EFN2O[[#Headers],[Production system j]], 0)</f>
        <v>Any</v>
      </c>
    </row>
    <row r="188" spans="4:68" ht="20.100000000000001" customHeight="1" x14ac:dyDescent="0.25">
      <c r="D188" s="11" t="str" cm="1">
        <f t="array" ref="D188">Common_InputFunctions.Utility_DisplayArrayInTable(Common_SourceData.Common_SourceData_EFN2O_Data(), Table_SourceData_Common_EFN2O[[#Headers],[Production system j]], 0)</f>
        <v>Irrigated crop</v>
      </c>
      <c r="E188" s="11" cm="1">
        <f t="array" ref="E188">Common_InputFunctions.Utility_DisplayArrayInTable(Common_SourceData.Common_SourceData_EFN2O_Data(), Table_SourceData_Common_EFN2O[[#Headers],[Production system j]], 0)</f>
        <v>7.0000000000000001E-3</v>
      </c>
      <c r="F188" s="11" t="str" cm="1">
        <f t="array" ref="F188">Common_InputFunctions.Utility_DisplayArrayInTable(Common_SourceData.Common_SourceData_EFN2O_Data(), Table_SourceData_Common_EFN2O[[#Headers],[Production system j]], 0)</f>
        <v>Crop</v>
      </c>
      <c r="G188" s="11" t="str" cm="1">
        <f t="array" ref="G188">Common_InputFunctions.Utility_DisplayArrayInTable(Common_SourceData.Common_SourceData_EFN2O_Data(), Table_SourceData_Common_EFN2O[[#Headers],[Production system j]], 0)</f>
        <v>Any</v>
      </c>
      <c r="H188" s="11" t="str" cm="1">
        <f t="array" ref="H188">Common_InputFunctions.Utility_DisplayArrayInTable(Common_SourceData.Common_SourceData_EFN2O_Data(), Table_SourceData_Common_EFN2O[[#Headers],[Production system j]], 0)</f>
        <v>Any</v>
      </c>
    </row>
    <row r="189" spans="4:68" ht="20.100000000000001" customHeight="1" x14ac:dyDescent="0.25">
      <c r="D189" s="11" t="str" cm="1">
        <f t="array" ref="D189">Common_InputFunctions.Utility_DisplayArrayInTable(Common_SourceData.Common_SourceData_EFN2O_Data(), Table_SourceData_Common_EFN2O[[#Headers],[Production system j]], 0)</f>
        <v>Non-irrigated pasture</v>
      </c>
      <c r="E189" s="11" cm="1">
        <f t="array" ref="E189">Common_InputFunctions.Utility_DisplayArrayInTable(Common_SourceData.Common_SourceData_EFN2O_Data(), Table_SourceData_Common_EFN2O[[#Headers],[Production system j]], 0)</f>
        <v>1.8E-3</v>
      </c>
      <c r="F189" s="11" t="str" cm="1">
        <f t="array" ref="F189">Common_InputFunctions.Utility_DisplayArrayInTable(Common_SourceData.Common_SourceData_EFN2O_Data(), Table_SourceData_Common_EFN2O[[#Headers],[Production system j]], 0)</f>
        <v>Pasture</v>
      </c>
      <c r="G189" s="11" t="str" cm="1">
        <f t="array" ref="G189">Common_InputFunctions.Utility_DisplayArrayInTable(Common_SourceData.Common_SourceData_EFN2O_Data(), Table_SourceData_Common_EFN2O[[#Headers],[Production system j]], 0)</f>
        <v>Not irrigated</v>
      </c>
      <c r="H189" s="1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1" t="str" cm="1">
        <f t="array" ref="D190">Common_InputFunctions.Utility_DisplayArrayInTable(Common_SourceData.Common_SourceData_EFN2O_Data(), Table_SourceData_Common_EFN2O[[#Headers],[Production system j]], 0)</f>
        <v>Non-irrigated pasture</v>
      </c>
      <c r="E190" s="11" cm="1">
        <f t="array" ref="E190">Common_InputFunctions.Utility_DisplayArrayInTable(Common_SourceData.Common_SourceData_EFN2O_Data(), Table_SourceData_Common_EFN2O[[#Headers],[Production system j]], 0)</f>
        <v>1.8E-3</v>
      </c>
      <c r="F190" s="11" t="str" cm="1">
        <f t="array" ref="F190">Common_InputFunctions.Utility_DisplayArrayInTable(Common_SourceData.Common_SourceData_EFN2O_Data(), Table_SourceData_Common_EFN2O[[#Headers],[Production system j]], 0)</f>
        <v>Pasture</v>
      </c>
      <c r="G190" s="11" t="str" cm="1">
        <f t="array" ref="G190">Common_InputFunctions.Utility_DisplayArrayInTable(Common_SourceData.Common_SourceData_EFN2O_Data(), Table_SourceData_Common_EFN2O[[#Headers],[Production system j]], 0)</f>
        <v>Not irrigated</v>
      </c>
      <c r="H190" s="1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1" t="str" cm="1">
        <f t="array" ref="D191">Common_InputFunctions.Utility_DisplayArrayInTable(Common_SourceData.Common_SourceData_EFN2O_Data(), Table_SourceData_Common_EFN2O[[#Headers],[Production system j]], 0)</f>
        <v>Non-irrigated crop (low rainfall)</v>
      </c>
      <c r="E191" s="11" cm="1">
        <f t="array" ref="E191">Common_InputFunctions.Utility_DisplayArrayInTable(Common_SourceData.Common_SourceData_EFN2O_Data(), Table_SourceData_Common_EFN2O[[#Headers],[Production system j]], 0)</f>
        <v>2.8999999999999998E-3</v>
      </c>
      <c r="F191" s="11" t="str" cm="1">
        <f t="array" ref="F191">Common_InputFunctions.Utility_DisplayArrayInTable(Common_SourceData.Common_SourceData_EFN2O_Data(), Table_SourceData_Common_EFN2O[[#Headers],[Production system j]], 0)</f>
        <v>Crop</v>
      </c>
      <c r="G191" s="11" t="str" cm="1">
        <f t="array" ref="G191">Common_InputFunctions.Utility_DisplayArrayInTable(Common_SourceData.Common_SourceData_EFN2O_Data(), Table_SourceData_Common_EFN2O[[#Headers],[Production system j]], 0)</f>
        <v>Not irrigated</v>
      </c>
      <c r="H191" s="1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1" t="str" cm="1">
        <f t="array" ref="D192">Common_InputFunctions.Utility_DisplayArrayInTable(Common_SourceData.Common_SourceData_EFN2O_Data(), Table_SourceData_Common_EFN2O[[#Headers],[Production system j]], 0)</f>
        <v>Non-irrigated crop (high rainfall)</v>
      </c>
      <c r="E192" s="11" cm="1">
        <f t="array" ref="E192">Common_InputFunctions.Utility_DisplayArrayInTable(Common_SourceData.Common_SourceData_EFN2O_Data(), Table_SourceData_Common_EFN2O[[#Headers],[Production system j]], 0)</f>
        <v>8.0000000000000002E-3</v>
      </c>
      <c r="F192" s="11" t="str" cm="1">
        <f t="array" ref="F192">Common_InputFunctions.Utility_DisplayArrayInTable(Common_SourceData.Common_SourceData_EFN2O_Data(), Table_SourceData_Common_EFN2O[[#Headers],[Production system j]], 0)</f>
        <v>Crop</v>
      </c>
      <c r="G192" s="11" t="str" cm="1">
        <f t="array" ref="G192">Common_InputFunctions.Utility_DisplayArrayInTable(Common_SourceData.Common_SourceData_EFN2O_Data(), Table_SourceData_Common_EFN2O[[#Headers],[Production system j]], 0)</f>
        <v>Not irrigated</v>
      </c>
      <c r="H192" s="1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1" t="str" cm="1">
        <f t="array" ref="D193">Common_InputFunctions.Utility_DisplayArrayInTable(Common_SourceData.Common_SourceData_EFN2O_Data(), Table_SourceData_Common_EFN2O[[#Headers],[Production system j]], 0)</f>
        <v>Sugar</v>
      </c>
      <c r="E193" s="11" cm="1">
        <f t="array" ref="E193">Common_InputFunctions.Utility_DisplayArrayInTable(Common_SourceData.Common_SourceData_EFN2O_Data(), Table_SourceData_Common_EFN2O[[#Headers],[Production system j]], 0)</f>
        <v>1.9900000000000001E-2</v>
      </c>
      <c r="F193" s="11" t="str" cm="1">
        <f t="array" ref="F193">Common_InputFunctions.Utility_DisplayArrayInTable(Common_SourceData.Common_SourceData_EFN2O_Data(), Table_SourceData_Common_EFN2O[[#Headers],[Production system j]], 0)</f>
        <v>Sugar</v>
      </c>
      <c r="G193" s="11" t="str" cm="1">
        <f t="array" ref="G193">Common_InputFunctions.Utility_DisplayArrayInTable(Common_SourceData.Common_SourceData_EFN2O_Data(), Table_SourceData_Common_EFN2O[[#Headers],[Production system j]], 0)</f>
        <v>Any</v>
      </c>
      <c r="H193" s="11" t="str" cm="1">
        <f t="array" ref="H193">Common_InputFunctions.Utility_DisplayArrayInTable(Common_SourceData.Common_SourceData_EFN2O_Data(), Table_SourceData_Common_EFN2O[[#Headers],[Production system j]], 0)</f>
        <v>Any</v>
      </c>
    </row>
    <row r="194" spans="4:8" ht="20.100000000000001" customHeight="1" x14ac:dyDescent="0.25">
      <c r="D194" s="11" t="str" cm="1">
        <f t="array" ref="D194">Common_InputFunctions.Utility_DisplayArrayInTable(Common_SourceData.Common_SourceData_EFN2O_Data(), Table_SourceData_Common_EFN2O[[#Headers],[Production system j]], 0)</f>
        <v>Cotton</v>
      </c>
      <c r="E194" s="11" cm="1">
        <f t="array" ref="E194">Common_InputFunctions.Utility_DisplayArrayInTable(Common_SourceData.Common_SourceData_EFN2O_Data(), Table_SourceData_Common_EFN2O[[#Headers],[Production system j]], 0)</f>
        <v>5.3E-3</v>
      </c>
      <c r="F194" s="11" t="str" cm="1">
        <f t="array" ref="F194">Common_InputFunctions.Utility_DisplayArrayInTable(Common_SourceData.Common_SourceData_EFN2O_Data(), Table_SourceData_Common_EFN2O[[#Headers],[Production system j]], 0)</f>
        <v>Cotton</v>
      </c>
      <c r="G194" s="11" t="str" cm="1">
        <f t="array" ref="G194">Common_InputFunctions.Utility_DisplayArrayInTable(Common_SourceData.Common_SourceData_EFN2O_Data(), Table_SourceData_Common_EFN2O[[#Headers],[Production system j]], 0)</f>
        <v>Any</v>
      </c>
      <c r="H194" s="11" t="str" cm="1">
        <f t="array" ref="H194">Common_InputFunctions.Utility_DisplayArrayInTable(Common_SourceData.Common_SourceData_EFN2O_Data(), Table_SourceData_Common_EFN2O[[#Headers],[Production system j]], 0)</f>
        <v>Any</v>
      </c>
    </row>
    <row r="195" spans="4:8" ht="20.100000000000001" customHeight="1" x14ac:dyDescent="0.25">
      <c r="D195" s="11" t="str" cm="1">
        <f t="array" ref="D195">Common_InputFunctions.Utility_DisplayArrayInTable(Common_SourceData.Common_SourceData_EFN2O_Data(), Table_SourceData_Common_EFN2O[[#Headers],[Production system j]], 0)</f>
        <v>Horticultural crops</v>
      </c>
      <c r="E195" s="11" cm="1">
        <f t="array" ref="E195">Common_InputFunctions.Utility_DisplayArrayInTable(Common_SourceData.Common_SourceData_EFN2O_Data(), Table_SourceData_Common_EFN2O[[#Headers],[Production system j]], 0)</f>
        <v>6.4000000000000003E-3</v>
      </c>
      <c r="F195" s="11" t="str" cm="1">
        <f t="array" ref="F195">Common_InputFunctions.Utility_DisplayArrayInTable(Common_SourceData.Common_SourceData_EFN2O_Data(), Table_SourceData_Common_EFN2O[[#Headers],[Production system j]], 0)</f>
        <v>Horticultural crops</v>
      </c>
      <c r="G195" s="11" t="str" cm="1">
        <f t="array" ref="G195">Common_InputFunctions.Utility_DisplayArrayInTable(Common_SourceData.Common_SourceData_EFN2O_Data(), Table_SourceData_Common_EFN2O[[#Headers],[Production system j]], 0)</f>
        <v>Any</v>
      </c>
      <c r="H195" s="11" t="str" cm="1">
        <f t="array" ref="H195">Common_InputFunctions.Utility_DisplayArrayInTable(Common_SourceData.Common_SourceData_EFN2O_Data(), Table_SourceData_Common_EFN2O[[#Headers],[Production system j]], 0)</f>
        <v>Any</v>
      </c>
    </row>
    <row r="196" spans="4:8" ht="20.100000000000001" customHeight="1" x14ac:dyDescent="0.25">
      <c r="D196" s="11" t="str" cm="1">
        <f t="array" ref="D196">Common_InputFunctions.Utility_DisplayArrayInTable(Common_SourceData.Common_SourceData_EFN2O_Data(), Table_SourceData_Common_EFN2O[[#Headers],[Production system j]], 0)</f>
        <v>Rice (continuous flooding)</v>
      </c>
      <c r="E196" s="11" cm="1">
        <f t="array" ref="E196">Common_InputFunctions.Utility_DisplayArrayInTable(Common_SourceData.Common_SourceData_EFN2O_Data(), Table_SourceData_Common_EFN2O[[#Headers],[Production system j]], 0)</f>
        <v>3.0000000000000001E-3</v>
      </c>
      <c r="F196" s="11" t="str" cm="1">
        <f t="array" ref="F196">Common_InputFunctions.Utility_DisplayArrayInTable(Common_SourceData.Common_SourceData_EFN2O_Data(), Table_SourceData_Common_EFN2O[[#Headers],[Production system j]], 0)</f>
        <v>Rice</v>
      </c>
      <c r="G196" s="11" t="str" cm="1">
        <f t="array" ref="G196">Common_InputFunctions.Utility_DisplayArrayInTable(Common_SourceData.Common_SourceData_EFN2O_Data(), Table_SourceData_Common_EFN2O[[#Headers],[Production system j]], 0)</f>
        <v>Continuous flooding</v>
      </c>
      <c r="H196" s="11" t="str" cm="1">
        <f t="array" ref="H196">Common_InputFunctions.Utility_DisplayArrayInTable(Common_SourceData.Common_SourceData_EFN2O_Data(), Table_SourceData_Common_EFN2O[[#Headers],[Production system j]], 0)</f>
        <v>Any</v>
      </c>
    </row>
    <row r="197" spans="4:8" x14ac:dyDescent="0.25">
      <c r="D197" s="11" t="str" cm="1">
        <f t="array" ref="D197">Common_InputFunctions.Utility_DisplayArrayInTable(Common_SourceData.Common_SourceData_EFN2O_Data(), Table_SourceData_Common_EFN2O[[#Headers],[Production system j]], 0)</f>
        <v>Rice (single and multiple drainage, or alternate wetting and drying)</v>
      </c>
      <c r="E197" s="11" cm="1">
        <f t="array" ref="E197">Common_InputFunctions.Utility_DisplayArrayInTable(Common_SourceData.Common_SourceData_EFN2O_Data(), Table_SourceData_Common_EFN2O[[#Headers],[Production system j]], 0)</f>
        <v>5.0000000000000001E-3</v>
      </c>
      <c r="F197" s="11" t="str" cm="1">
        <f t="array" ref="F197">Common_InputFunctions.Utility_DisplayArrayInTable(Common_SourceData.Common_SourceData_EFN2O_Data(), Table_SourceData_Common_EFN2O[[#Headers],[Production system j]], 0)</f>
        <v>Rice</v>
      </c>
      <c r="G197" s="11" t="str" cm="1">
        <f t="array" ref="G197">Common_InputFunctions.Utility_DisplayArrayInTable(Common_SourceData.Common_SourceData_EFN2O_Data(), Table_SourceData_Common_EFN2O[[#Headers],[Production system j]], 0)</f>
        <v>Single and multiple drainage, or alternate wetting and drying</v>
      </c>
      <c r="H197" s="11" t="str" cm="1">
        <f t="array" ref="H197">Common_InputFunctions.Utility_DisplayArrayInTable(Common_SourceData.Common_SourceData_EFN2O_Data(), Table_SourceData_Common_EFN2O[[#Headers],[Production system j]], 0)</f>
        <v>Any</v>
      </c>
    </row>
    <row r="198" spans="4:8" x14ac:dyDescent="0.25">
      <c r="D198" s="11" t="str" cm="1">
        <f t="array" ref="D198">Common_InputFunctions.Utility_DisplayArrayInTable(Common_SourceData.Common_SourceData_EFN2O_Data(), Table_SourceData_Common_EFN2O[[#Headers],[Production system j]], 0)</f>
        <v>Aquaculture</v>
      </c>
      <c r="E198" s="11" cm="1">
        <f t="array" ref="E198">Common_InputFunctions.Utility_DisplayArrayInTable(Common_SourceData.Common_SourceData_EFN2O_Data(), Table_SourceData_Common_EFN2O[[#Headers],[Production system j]], 0)</f>
        <v>2.5999999999999999E-3</v>
      </c>
      <c r="F198" s="11" t="str" cm="1">
        <f t="array" ref="F198">Common_InputFunctions.Utility_DisplayArrayInTable(Common_SourceData.Common_SourceData_EFN2O_Data(), Table_SourceData_Common_EFN2O[[#Headers],[Production system j]], 0)</f>
        <v>Aquaculture</v>
      </c>
      <c r="G198" s="11" t="str" cm="1">
        <f t="array" ref="G198">Common_InputFunctions.Utility_DisplayArrayInTable(Common_SourceData.Common_SourceData_EFN2O_Data(), Table_SourceData_Common_EFN2O[[#Headers],[Production system j]], 0)</f>
        <v>Any</v>
      </c>
      <c r="H198" s="11" t="str" cm="1">
        <f t="array" ref="H198">Common_InputFunctions.Utility_DisplayArrayInTable(Common_SourceData.Common_SourceData_EFN2O_Data(), Table_SourceData_Common_EFN2O[[#Headers],[Production system j]], 0)</f>
        <v>Any</v>
      </c>
    </row>
    <row r="199" spans="4:8" x14ac:dyDescent="0.25">
      <c r="D199" s="11" t="str" cm="1">
        <f t="array" ref="D199">Common_InputFunctions.Utility_DisplayArrayInTable(Common_SourceData.Common_SourceData_EFN2O_Data(), Table_SourceData_Common_EFN2O[[#Headers],[Production system j]], 0)</f>
        <v>Forestry</v>
      </c>
      <c r="E199" s="11" cm="1">
        <f t="array" ref="E199">Common_InputFunctions.Utility_DisplayArrayInTable(Common_SourceData.Common_SourceData_EFN2O_Data(), Table_SourceData_Common_EFN2O[[#Headers],[Production system j]], 0)</f>
        <v>1.8E-3</v>
      </c>
      <c r="F199" s="11" t="str" cm="1">
        <f t="array" ref="F199">Common_InputFunctions.Utility_DisplayArrayInTable(Common_SourceData.Common_SourceData_EFN2O_Data(), Table_SourceData_Common_EFN2O[[#Headers],[Production system j]], 0)</f>
        <v>Forestry</v>
      </c>
      <c r="G199" s="11" t="str" cm="1">
        <f t="array" ref="G199">Common_InputFunctions.Utility_DisplayArrayInTable(Common_SourceData.Common_SourceData_EFN2O_Data(), Table_SourceData_Common_EFN2O[[#Headers],[Production system j]], 0)</f>
        <v>Any</v>
      </c>
      <c r="H199" s="11"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13" t="str" cm="1">
        <f t="array" ref="D204">Common_SourceData.Common_SourceData_EFPastureRangeAndPaddock_Variation()</f>
        <v>VARIATION FROM SOURCE DATA: Changed 'Dry climate zones' to singular 'Dry climate zone' to aid lookup.</v>
      </c>
    </row>
    <row r="205" spans="4:8" x14ac:dyDescent="0.25">
      <c r="D205" s="12" t="str" cm="1">
        <f t="array" ref="D205">Common_SourceData.Common_SourceData_EFPastureRangeAndPaddock_Unit()</f>
        <v>kg N2O - N / kg N</v>
      </c>
    </row>
    <row r="206" spans="4:8" x14ac:dyDescent="0.25">
      <c r="D206" s="11" t="s">
        <v>0</v>
      </c>
      <c r="E206" s="11" t="s">
        <v>47</v>
      </c>
    </row>
    <row r="207" spans="4:8" x14ac:dyDescent="0.25">
      <c r="D207" s="11" t="str" cm="1">
        <f t="array" ref="D207">Common_InputFunctions.Utility_DisplayArrayInTable(Common_SourceData.Common_SourceData_EFPastureRangeAndPaddock_Data(), Table_SourceData_EFPastureRangeAndPaddock[[#Headers],[Climate zone]], 0)</f>
        <v>Wet climate zone</v>
      </c>
      <c r="E207" s="1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1" t="s">
        <v>48</v>
      </c>
      <c r="E212" s="11" t="s">
        <v>49</v>
      </c>
    </row>
    <row r="213" spans="4:5" x14ac:dyDescent="0.25">
      <c r="D213" s="11" t="str" cm="1">
        <f t="array" ref="D213">Common_InputFunctions.Utility_DisplayArrayInTable(Common_SourceData.Common_SourceData_MonthsToSeasons_Data(), Table_SourceData_Common_MonthToSeason[[#Headers],[Month]], 0)</f>
        <v>January</v>
      </c>
      <c r="E213" s="1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1"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1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c r="D232" s="11" t="str" cm="1">
        <f t="array" ref="D232">Common_InputFunctions.Utility_DisplayArrayInTable(Common_SourceData.Common_SourceData_MCFTemperatureZone_Data(),Table_SourceData_Common_MCFTemperatureZone[[#Headers],[Temperature zone]],0)</f>
        <v>Cool</v>
      </c>
      <c r="E232" s="11" t="str" cm="1">
        <f t="array" ref="E232">Common_InputFunctions.Utility_DisplayArrayInTable(Common_SourceData.Common_SourceData_MCFTemperatureZone_Data(),Table_SourceData_Common_MCFTemperatureZone[[#Headers],[Temperature zone]],0)</f>
        <v>≤10</v>
      </c>
      <c r="F232" s="11" cm="1">
        <f t="array" ref="F232">Common_InputFunctions.Utility_DisplayArrayInTable(Common_SourceData.Common_SourceData_MCFTemperatureZone_Data(),Table_SourceData_Common_MCFTemperatureZone[[#Headers],[Temperature zone]],0)</f>
        <v>0.66</v>
      </c>
      <c r="G232" s="11" cm="1">
        <f t="array" ref="G232">Common_InputFunctions.Utility_DisplayArrayInTable(Common_SourceData.Common_SourceData_MCFTemperatureZone_Data(),Table_SourceData_Common_MCFTemperatureZone[[#Headers],[Temperature zone]],0)</f>
        <v>0.1</v>
      </c>
      <c r="H232" s="11" cm="1">
        <f t="array" ref="H232">Common_InputFunctions.Utility_DisplayArrayInTable(Common_SourceData.Common_SourceData_MCFTemperatureZone_Data(),Table_SourceData_Common_MCFTemperatureZone[[#Headers],[Temperature zone]],0)</f>
        <v>0.1</v>
      </c>
      <c r="I232" s="11" cm="1">
        <f t="array" ref="I232">Common_InputFunctions.Utility_DisplayArrayInTable(Common_SourceData.Common_SourceData_MCFTemperatureZone_Data(),Table_SourceData_Common_MCFTemperatureZone[[#Headers],[Temperature zone]],0)</f>
        <v>1E-3</v>
      </c>
      <c r="J232" s="11" cm="1">
        <f t="array" ref="J232">Common_InputFunctions.Utility_DisplayArrayInTable(Common_SourceData.Common_SourceData_MCFTemperatureZone_Data(),Table_SourceData_Common_MCFTemperatureZone[[#Headers],[Temperature zone]],0)</f>
        <v>5.0000000000000001E-3</v>
      </c>
      <c r="K232" s="11" cm="1">
        <f t="array" ref="K232">Common_InputFunctions.Utility_DisplayArrayInTable(Common_SourceData.Common_SourceData_MCFTemperatureZone_Data(),Table_SourceData_Common_MCFTemperatureZone[[#Headers],[Temperature zone]],0)</f>
        <v>0.02</v>
      </c>
      <c r="L232" s="11" cm="1">
        <f t="array" ref="L232">Common_InputFunctions.Utility_DisplayArrayInTable(Common_SourceData.Common_SourceData_MCFTemperatureZone_Data(),Table_SourceData_Common_MCFTemperatureZone[[#Headers],[Temperature zone]],0)</f>
        <v>0.03</v>
      </c>
      <c r="M232" s="11" cm="1">
        <f t="array" ref="M232">Common_InputFunctions.Utility_DisplayArrayInTable(Common_SourceData.Common_SourceData_MCFTemperatureZone_Data(),Table_SourceData_Common_MCFTemperatureZone[[#Headers],[Temperature zone]],0)</f>
        <v>0.04</v>
      </c>
      <c r="N232" s="11" cm="1">
        <f t="array" ref="N232">Common_InputFunctions.Utility_DisplayArrayInTable(Common_SourceData.Common_SourceData_MCFTemperatureZone_Data(),Table_SourceData_Common_MCFTemperatureZone[[#Headers],[Temperature zone]],0)</f>
        <v>1.4999999999999999E-2</v>
      </c>
      <c r="O232" s="11" cm="1">
        <f t="array" ref="O232">Common_InputFunctions.Utility_DisplayArrayInTable(Common_SourceData.Common_SourceData_MCFTemperatureZone_Data(),Table_SourceData_Common_MCFTemperatureZone[[#Headers],[Temperature zone]],0)</f>
        <v>1.4999999999999999E-2</v>
      </c>
      <c r="P232" s="11" cm="1">
        <f t="array" ref="P232">Common_InputFunctions.Utility_DisplayArrayInTable(Common_SourceData.Common_SourceData_MCFTemperatureZone_Data(),Table_SourceData_Common_MCFTemperatureZone[[#Headers],[Temperature zone]],0)</f>
        <v>0</v>
      </c>
      <c r="Q232" s="11" cm="1">
        <f t="array" ref="Q232">Common_InputFunctions.Utility_DisplayArrayInTable(Common_SourceData.Common_SourceData_MCFTemperatureZone_Data(),Table_SourceData_Common_MCFTemperatureZone[[#Headers],[Temperature zone]],0)</f>
        <v>0</v>
      </c>
      <c r="R232" s="11" cm="1">
        <f t="array" ref="R232">Common_InputFunctions.Utility_DisplayArrayInTable(Common_SourceData.Common_SourceData_MCFTemperatureZone_Data(),Table_SourceData_Common_MCFTemperatureZone[[#Headers],[Temperature zone]],0)</f>
        <v>4.7000000000000002E-3</v>
      </c>
      <c r="S232" s="1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1" cm="1">
        <f t="array" ref="E233">Common_InputFunctions.Utility_DisplayArrayInTable(Common_SourceData.Common_SourceData_MCFTemperatureZone_Data(),Table_SourceData_Common_MCFTemperatureZone[[#Headers],[Temperature zone]],0)</f>
        <v>11</v>
      </c>
      <c r="F233" s="11" cm="1">
        <f t="array" ref="F233">Common_InputFunctions.Utility_DisplayArrayInTable(Common_SourceData.Common_SourceData_MCFTemperatureZone_Data(),Table_SourceData_Common_MCFTemperatureZone[[#Headers],[Temperature zone]],0)</f>
        <v>0.68</v>
      </c>
      <c r="G233" s="11" cm="1">
        <f t="array" ref="G233">Common_InputFunctions.Utility_DisplayArrayInTable(Common_SourceData.Common_SourceData_MCFTemperatureZone_Data(),Table_SourceData_Common_MCFTemperatureZone[[#Headers],[Temperature zone]],0)</f>
        <v>0.1</v>
      </c>
      <c r="H233" s="11" cm="1">
        <f t="array" ref="H233">Common_InputFunctions.Utility_DisplayArrayInTable(Common_SourceData.Common_SourceData_MCFTemperatureZone_Data(),Table_SourceData_Common_MCFTemperatureZone[[#Headers],[Temperature zone]],0)</f>
        <v>0.11</v>
      </c>
      <c r="I233" s="11" cm="1">
        <f t="array" ref="I233">Common_InputFunctions.Utility_DisplayArrayInTable(Common_SourceData.Common_SourceData_MCFTemperatureZone_Data(),Table_SourceData_Common_MCFTemperatureZone[[#Headers],[Temperature zone]],0)</f>
        <v>1E-3</v>
      </c>
      <c r="J233" s="11" cm="1">
        <f t="array" ref="J233">Common_InputFunctions.Utility_DisplayArrayInTable(Common_SourceData.Common_SourceData_MCFTemperatureZone_Data(),Table_SourceData_Common_MCFTemperatureZone[[#Headers],[Temperature zone]],0)</f>
        <v>5.0000000000000001E-3</v>
      </c>
      <c r="K233" s="11" cm="1">
        <f t="array" ref="K233">Common_InputFunctions.Utility_DisplayArrayInTable(Common_SourceData.Common_SourceData_MCFTemperatureZone_Data(),Table_SourceData_Common_MCFTemperatureZone[[#Headers],[Temperature zone]],0)</f>
        <v>0.02</v>
      </c>
      <c r="L233" s="11" cm="1">
        <f t="array" ref="L233">Common_InputFunctions.Utility_DisplayArrayInTable(Common_SourceData.Common_SourceData_MCFTemperatureZone_Data(),Table_SourceData_Common_MCFTemperatureZone[[#Headers],[Temperature zone]],0)</f>
        <v>0.03</v>
      </c>
      <c r="M233" s="11" cm="1">
        <f t="array" ref="M233">Common_InputFunctions.Utility_DisplayArrayInTable(Common_SourceData.Common_SourceData_MCFTemperatureZone_Data(),Table_SourceData_Common_MCFTemperatureZone[[#Headers],[Temperature zone]],0)</f>
        <v>0.04</v>
      </c>
      <c r="N233" s="11" cm="1">
        <f t="array" ref="N233">Common_InputFunctions.Utility_DisplayArrayInTable(Common_SourceData.Common_SourceData_MCFTemperatureZone_Data(),Table_SourceData_Common_MCFTemperatureZone[[#Headers],[Temperature zone]],0)</f>
        <v>1.4999999999999999E-2</v>
      </c>
      <c r="O233" s="11" cm="1">
        <f t="array" ref="O233">Common_InputFunctions.Utility_DisplayArrayInTable(Common_SourceData.Common_SourceData_MCFTemperatureZone_Data(),Table_SourceData_Common_MCFTemperatureZone[[#Headers],[Temperature zone]],0)</f>
        <v>1.4999999999999999E-2</v>
      </c>
      <c r="P233" s="11" cm="1">
        <f t="array" ref="P233">Common_InputFunctions.Utility_DisplayArrayInTable(Common_SourceData.Common_SourceData_MCFTemperatureZone_Data(),Table_SourceData_Common_MCFTemperatureZone[[#Headers],[Temperature zone]],0)</f>
        <v>0</v>
      </c>
      <c r="Q233" s="11" cm="1">
        <f t="array" ref="Q233">Common_InputFunctions.Utility_DisplayArrayInTable(Common_SourceData.Common_SourceData_MCFTemperatureZone_Data(),Table_SourceData_Common_MCFTemperatureZone[[#Headers],[Temperature zone]],0)</f>
        <v>0</v>
      </c>
      <c r="R233" s="11" cm="1">
        <f t="array" ref="R233">Common_InputFunctions.Utility_DisplayArrayInTable(Common_SourceData.Common_SourceData_MCFTemperatureZone_Data(),Table_SourceData_Common_MCFTemperatureZone[[#Headers],[Temperature zone]],0)</f>
        <v>4.7000000000000002E-3</v>
      </c>
      <c r="S233" s="1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1" cm="1">
        <f t="array" ref="E234">Common_InputFunctions.Utility_DisplayArrayInTable(Common_SourceData.Common_SourceData_MCFTemperatureZone_Data(),Table_SourceData_Common_MCFTemperatureZone[[#Headers],[Temperature zone]],0)</f>
        <v>12</v>
      </c>
      <c r="F234" s="11" cm="1">
        <f t="array" ref="F234">Common_InputFunctions.Utility_DisplayArrayInTable(Common_SourceData.Common_SourceData_MCFTemperatureZone_Data(),Table_SourceData_Common_MCFTemperatureZone[[#Headers],[Temperature zone]],0)</f>
        <v>0.7</v>
      </c>
      <c r="G234" s="11" cm="1">
        <f t="array" ref="G234">Common_InputFunctions.Utility_DisplayArrayInTable(Common_SourceData.Common_SourceData_MCFTemperatureZone_Data(),Table_SourceData_Common_MCFTemperatureZone[[#Headers],[Temperature zone]],0)</f>
        <v>0.1</v>
      </c>
      <c r="H234" s="11" cm="1">
        <f t="array" ref="H234">Common_InputFunctions.Utility_DisplayArrayInTable(Common_SourceData.Common_SourceData_MCFTemperatureZone_Data(),Table_SourceData_Common_MCFTemperatureZone[[#Headers],[Temperature zone]],0)</f>
        <v>0.13</v>
      </c>
      <c r="I234" s="11" cm="1">
        <f t="array" ref="I234">Common_InputFunctions.Utility_DisplayArrayInTable(Common_SourceData.Common_SourceData_MCFTemperatureZone_Data(),Table_SourceData_Common_MCFTemperatureZone[[#Headers],[Temperature zone]],0)</f>
        <v>1E-3</v>
      </c>
      <c r="J234" s="11" cm="1">
        <f t="array" ref="J234">Common_InputFunctions.Utility_DisplayArrayInTable(Common_SourceData.Common_SourceData_MCFTemperatureZone_Data(),Table_SourceData_Common_MCFTemperatureZone[[#Headers],[Temperature zone]],0)</f>
        <v>5.0000000000000001E-3</v>
      </c>
      <c r="K234" s="11" cm="1">
        <f t="array" ref="K234">Common_InputFunctions.Utility_DisplayArrayInTable(Common_SourceData.Common_SourceData_MCFTemperatureZone_Data(),Table_SourceData_Common_MCFTemperatureZone[[#Headers],[Temperature zone]],0)</f>
        <v>0.02</v>
      </c>
      <c r="L234" s="11" cm="1">
        <f t="array" ref="L234">Common_InputFunctions.Utility_DisplayArrayInTable(Common_SourceData.Common_SourceData_MCFTemperatureZone_Data(),Table_SourceData_Common_MCFTemperatureZone[[#Headers],[Temperature zone]],0)</f>
        <v>0.03</v>
      </c>
      <c r="M234" s="11" cm="1">
        <f t="array" ref="M234">Common_InputFunctions.Utility_DisplayArrayInTable(Common_SourceData.Common_SourceData_MCFTemperatureZone_Data(),Table_SourceData_Common_MCFTemperatureZone[[#Headers],[Temperature zone]],0)</f>
        <v>0.04</v>
      </c>
      <c r="N234" s="11" cm="1">
        <f t="array" ref="N234">Common_InputFunctions.Utility_DisplayArrayInTable(Common_SourceData.Common_SourceData_MCFTemperatureZone_Data(),Table_SourceData_Common_MCFTemperatureZone[[#Headers],[Temperature zone]],0)</f>
        <v>1.4999999999999999E-2</v>
      </c>
      <c r="O234" s="11" cm="1">
        <f t="array" ref="O234">Common_InputFunctions.Utility_DisplayArrayInTable(Common_SourceData.Common_SourceData_MCFTemperatureZone_Data(),Table_SourceData_Common_MCFTemperatureZone[[#Headers],[Temperature zone]],0)</f>
        <v>1.4999999999999999E-2</v>
      </c>
      <c r="P234" s="11" cm="1">
        <f t="array" ref="P234">Common_InputFunctions.Utility_DisplayArrayInTable(Common_SourceData.Common_SourceData_MCFTemperatureZone_Data(),Table_SourceData_Common_MCFTemperatureZone[[#Headers],[Temperature zone]],0)</f>
        <v>0</v>
      </c>
      <c r="Q234" s="11" cm="1">
        <f t="array" ref="Q234">Common_InputFunctions.Utility_DisplayArrayInTable(Common_SourceData.Common_SourceData_MCFTemperatureZone_Data(),Table_SourceData_Common_MCFTemperatureZone[[#Headers],[Temperature zone]],0)</f>
        <v>0</v>
      </c>
      <c r="R234" s="11" cm="1">
        <f t="array" ref="R234">Common_InputFunctions.Utility_DisplayArrayInTable(Common_SourceData.Common_SourceData_MCFTemperatureZone_Data(),Table_SourceData_Common_MCFTemperatureZone[[#Headers],[Temperature zone]],0)</f>
        <v>4.7000000000000002E-3</v>
      </c>
      <c r="S234" s="1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1" cm="1">
        <f t="array" ref="E235">Common_InputFunctions.Utility_DisplayArrayInTable(Common_SourceData.Common_SourceData_MCFTemperatureZone_Data(),Table_SourceData_Common_MCFTemperatureZone[[#Headers],[Temperature zone]],0)</f>
        <v>13</v>
      </c>
      <c r="F235" s="11" cm="1">
        <f t="array" ref="F235">Common_InputFunctions.Utility_DisplayArrayInTable(Common_SourceData.Common_SourceData_MCFTemperatureZone_Data(),Table_SourceData_Common_MCFTemperatureZone[[#Headers],[Temperature zone]],0)</f>
        <v>0.71</v>
      </c>
      <c r="G235" s="11" cm="1">
        <f t="array" ref="G235">Common_InputFunctions.Utility_DisplayArrayInTable(Common_SourceData.Common_SourceData_MCFTemperatureZone_Data(),Table_SourceData_Common_MCFTemperatureZone[[#Headers],[Temperature zone]],0)</f>
        <v>0.1</v>
      </c>
      <c r="H235" s="11" cm="1">
        <f t="array" ref="H235">Common_InputFunctions.Utility_DisplayArrayInTable(Common_SourceData.Common_SourceData_MCFTemperatureZone_Data(),Table_SourceData_Common_MCFTemperatureZone[[#Headers],[Temperature zone]],0)</f>
        <v>0.14000000000000001</v>
      </c>
      <c r="I235" s="11" cm="1">
        <f t="array" ref="I235">Common_InputFunctions.Utility_DisplayArrayInTable(Common_SourceData.Common_SourceData_MCFTemperatureZone_Data(),Table_SourceData_Common_MCFTemperatureZone[[#Headers],[Temperature zone]],0)</f>
        <v>1E-3</v>
      </c>
      <c r="J235" s="11" cm="1">
        <f t="array" ref="J235">Common_InputFunctions.Utility_DisplayArrayInTable(Common_SourceData.Common_SourceData_MCFTemperatureZone_Data(),Table_SourceData_Common_MCFTemperatureZone[[#Headers],[Temperature zone]],0)</f>
        <v>5.0000000000000001E-3</v>
      </c>
      <c r="K235" s="11" cm="1">
        <f t="array" ref="K235">Common_InputFunctions.Utility_DisplayArrayInTable(Common_SourceData.Common_SourceData_MCFTemperatureZone_Data(),Table_SourceData_Common_MCFTemperatureZone[[#Headers],[Temperature zone]],0)</f>
        <v>0.02</v>
      </c>
      <c r="L235" s="11" cm="1">
        <f t="array" ref="L235">Common_InputFunctions.Utility_DisplayArrayInTable(Common_SourceData.Common_SourceData_MCFTemperatureZone_Data(),Table_SourceData_Common_MCFTemperatureZone[[#Headers],[Temperature zone]],0)</f>
        <v>0.03</v>
      </c>
      <c r="M235" s="11" cm="1">
        <f t="array" ref="M235">Common_InputFunctions.Utility_DisplayArrayInTable(Common_SourceData.Common_SourceData_MCFTemperatureZone_Data(),Table_SourceData_Common_MCFTemperatureZone[[#Headers],[Temperature zone]],0)</f>
        <v>0.04</v>
      </c>
      <c r="N235" s="11" cm="1">
        <f t="array" ref="N235">Common_InputFunctions.Utility_DisplayArrayInTable(Common_SourceData.Common_SourceData_MCFTemperatureZone_Data(),Table_SourceData_Common_MCFTemperatureZone[[#Headers],[Temperature zone]],0)</f>
        <v>1.4999999999999999E-2</v>
      </c>
      <c r="O235" s="11" cm="1">
        <f t="array" ref="O235">Common_InputFunctions.Utility_DisplayArrayInTable(Common_SourceData.Common_SourceData_MCFTemperatureZone_Data(),Table_SourceData_Common_MCFTemperatureZone[[#Headers],[Temperature zone]],0)</f>
        <v>1.4999999999999999E-2</v>
      </c>
      <c r="P235" s="11" cm="1">
        <f t="array" ref="P235">Common_InputFunctions.Utility_DisplayArrayInTable(Common_SourceData.Common_SourceData_MCFTemperatureZone_Data(),Table_SourceData_Common_MCFTemperatureZone[[#Headers],[Temperature zone]],0)</f>
        <v>0</v>
      </c>
      <c r="Q235" s="11" cm="1">
        <f t="array" ref="Q235">Common_InputFunctions.Utility_DisplayArrayInTable(Common_SourceData.Common_SourceData_MCFTemperatureZone_Data(),Table_SourceData_Common_MCFTemperatureZone[[#Headers],[Temperature zone]],0)</f>
        <v>0</v>
      </c>
      <c r="R235" s="11" cm="1">
        <f t="array" ref="R235">Common_InputFunctions.Utility_DisplayArrayInTable(Common_SourceData.Common_SourceData_MCFTemperatureZone_Data(),Table_SourceData_Common_MCFTemperatureZone[[#Headers],[Temperature zone]],0)</f>
        <v>4.7000000000000002E-3</v>
      </c>
      <c r="S235" s="1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1" cm="1">
        <f t="array" ref="E236">Common_InputFunctions.Utility_DisplayArrayInTable(Common_SourceData.Common_SourceData_MCFTemperatureZone_Data(),Table_SourceData_Common_MCFTemperatureZone[[#Headers],[Temperature zone]],0)</f>
        <v>14</v>
      </c>
      <c r="F236" s="11" cm="1">
        <f t="array" ref="F236">Common_InputFunctions.Utility_DisplayArrayInTable(Common_SourceData.Common_SourceData_MCFTemperatureZone_Data(),Table_SourceData_Common_MCFTemperatureZone[[#Headers],[Temperature zone]],0)</f>
        <v>0.73</v>
      </c>
      <c r="G236" s="11" cm="1">
        <f t="array" ref="G236">Common_InputFunctions.Utility_DisplayArrayInTable(Common_SourceData.Common_SourceData_MCFTemperatureZone_Data(),Table_SourceData_Common_MCFTemperatureZone[[#Headers],[Temperature zone]],0)</f>
        <v>0.1</v>
      </c>
      <c r="H236" s="11" cm="1">
        <f t="array" ref="H236">Common_InputFunctions.Utility_DisplayArrayInTable(Common_SourceData.Common_SourceData_MCFTemperatureZone_Data(),Table_SourceData_Common_MCFTemperatureZone[[#Headers],[Temperature zone]],0)</f>
        <v>0.15</v>
      </c>
      <c r="I236" s="11" cm="1">
        <f t="array" ref="I236">Common_InputFunctions.Utility_DisplayArrayInTable(Common_SourceData.Common_SourceData_MCFTemperatureZone_Data(),Table_SourceData_Common_MCFTemperatureZone[[#Headers],[Temperature zone]],0)</f>
        <v>1E-3</v>
      </c>
      <c r="J236" s="11" cm="1">
        <f t="array" ref="J236">Common_InputFunctions.Utility_DisplayArrayInTable(Common_SourceData.Common_SourceData_MCFTemperatureZone_Data(),Table_SourceData_Common_MCFTemperatureZone[[#Headers],[Temperature zone]],0)</f>
        <v>5.0000000000000001E-3</v>
      </c>
      <c r="K236" s="11" cm="1">
        <f t="array" ref="K236">Common_InputFunctions.Utility_DisplayArrayInTable(Common_SourceData.Common_SourceData_MCFTemperatureZone_Data(),Table_SourceData_Common_MCFTemperatureZone[[#Headers],[Temperature zone]],0)</f>
        <v>0.02</v>
      </c>
      <c r="L236" s="11" cm="1">
        <f t="array" ref="L236">Common_InputFunctions.Utility_DisplayArrayInTable(Common_SourceData.Common_SourceData_MCFTemperatureZone_Data(),Table_SourceData_Common_MCFTemperatureZone[[#Headers],[Temperature zone]],0)</f>
        <v>0.03</v>
      </c>
      <c r="M236" s="11" cm="1">
        <f t="array" ref="M236">Common_InputFunctions.Utility_DisplayArrayInTable(Common_SourceData.Common_SourceData_MCFTemperatureZone_Data(),Table_SourceData_Common_MCFTemperatureZone[[#Headers],[Temperature zone]],0)</f>
        <v>0.04</v>
      </c>
      <c r="N236" s="11" cm="1">
        <f t="array" ref="N236">Common_InputFunctions.Utility_DisplayArrayInTable(Common_SourceData.Common_SourceData_MCFTemperatureZone_Data(),Table_SourceData_Common_MCFTemperatureZone[[#Headers],[Temperature zone]],0)</f>
        <v>1.4999999999999999E-2</v>
      </c>
      <c r="O236" s="11" cm="1">
        <f t="array" ref="O236">Common_InputFunctions.Utility_DisplayArrayInTable(Common_SourceData.Common_SourceData_MCFTemperatureZone_Data(),Table_SourceData_Common_MCFTemperatureZone[[#Headers],[Temperature zone]],0)</f>
        <v>1.4999999999999999E-2</v>
      </c>
      <c r="P236" s="11" cm="1">
        <f t="array" ref="P236">Common_InputFunctions.Utility_DisplayArrayInTable(Common_SourceData.Common_SourceData_MCFTemperatureZone_Data(),Table_SourceData_Common_MCFTemperatureZone[[#Headers],[Temperature zone]],0)</f>
        <v>0</v>
      </c>
      <c r="Q236" s="11" cm="1">
        <f t="array" ref="Q236">Common_InputFunctions.Utility_DisplayArrayInTable(Common_SourceData.Common_SourceData_MCFTemperatureZone_Data(),Table_SourceData_Common_MCFTemperatureZone[[#Headers],[Temperature zone]],0)</f>
        <v>0</v>
      </c>
      <c r="R236" s="11" cm="1">
        <f t="array" ref="R236">Common_InputFunctions.Utility_DisplayArrayInTable(Common_SourceData.Common_SourceData_MCFTemperatureZone_Data(),Table_SourceData_Common_MCFTemperatureZone[[#Headers],[Temperature zone]],0)</f>
        <v>4.7000000000000002E-3</v>
      </c>
      <c r="S236" s="1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1" cm="1">
        <f t="array" ref="E237">Common_InputFunctions.Utility_DisplayArrayInTable(Common_SourceData.Common_SourceData_MCFTemperatureZone_Data(),Table_SourceData_Common_MCFTemperatureZone[[#Headers],[Temperature zone]],0)</f>
        <v>15</v>
      </c>
      <c r="F237" s="11" cm="1">
        <f t="array" ref="F237">Common_InputFunctions.Utility_DisplayArrayInTable(Common_SourceData.Common_SourceData_MCFTemperatureZone_Data(),Table_SourceData_Common_MCFTemperatureZone[[#Headers],[Temperature zone]],0)</f>
        <v>0.74</v>
      </c>
      <c r="G237" s="11" cm="1">
        <f t="array" ref="G237">Common_InputFunctions.Utility_DisplayArrayInTable(Common_SourceData.Common_SourceData_MCFTemperatureZone_Data(),Table_SourceData_Common_MCFTemperatureZone[[#Headers],[Temperature zone]],0)</f>
        <v>0.1</v>
      </c>
      <c r="H237" s="11" cm="1">
        <f t="array" ref="H237">Common_InputFunctions.Utility_DisplayArrayInTable(Common_SourceData.Common_SourceData_MCFTemperatureZone_Data(),Table_SourceData_Common_MCFTemperatureZone[[#Headers],[Temperature zone]],0)</f>
        <v>0.17</v>
      </c>
      <c r="I237" s="11" cm="1">
        <f t="array" ref="I237">Common_InputFunctions.Utility_DisplayArrayInTable(Common_SourceData.Common_SourceData_MCFTemperatureZone_Data(),Table_SourceData_Common_MCFTemperatureZone[[#Headers],[Temperature zone]],0)</f>
        <v>5.0000000000000001E-3</v>
      </c>
      <c r="J237" s="11" cm="1">
        <f t="array" ref="J237">Common_InputFunctions.Utility_DisplayArrayInTable(Common_SourceData.Common_SourceData_MCFTemperatureZone_Data(),Table_SourceData_Common_MCFTemperatureZone[[#Headers],[Temperature zone]],0)</f>
        <v>0.01</v>
      </c>
      <c r="K237" s="11" cm="1">
        <f t="array" ref="K237">Common_InputFunctions.Utility_DisplayArrayInTable(Common_SourceData.Common_SourceData_MCFTemperatureZone_Data(),Table_SourceData_Common_MCFTemperatureZone[[#Headers],[Temperature zone]],0)</f>
        <v>0.02</v>
      </c>
      <c r="L237" s="11" cm="1">
        <f t="array" ref="L237">Common_InputFunctions.Utility_DisplayArrayInTable(Common_SourceData.Common_SourceData_MCFTemperatureZone_Data(),Table_SourceData_Common_MCFTemperatureZone[[#Headers],[Temperature zone]],0)</f>
        <v>0.03</v>
      </c>
      <c r="M237" s="11" cm="1">
        <f t="array" ref="M237">Common_InputFunctions.Utility_DisplayArrayInTable(Common_SourceData.Common_SourceData_MCFTemperatureZone_Data(),Table_SourceData_Common_MCFTemperatureZone[[#Headers],[Temperature zone]],0)</f>
        <v>0.04</v>
      </c>
      <c r="N237" s="11" cm="1">
        <f t="array" ref="N237">Common_InputFunctions.Utility_DisplayArrayInTable(Common_SourceData.Common_SourceData_MCFTemperatureZone_Data(),Table_SourceData_Common_MCFTemperatureZone[[#Headers],[Temperature zone]],0)</f>
        <v>1.4999999999999999E-2</v>
      </c>
      <c r="O237" s="11" cm="1">
        <f t="array" ref="O237">Common_InputFunctions.Utility_DisplayArrayInTable(Common_SourceData.Common_SourceData_MCFTemperatureZone_Data(),Table_SourceData_Common_MCFTemperatureZone[[#Headers],[Temperature zone]],0)</f>
        <v>1.4999999999999999E-2</v>
      </c>
      <c r="P237" s="11" cm="1">
        <f t="array" ref="P237">Common_InputFunctions.Utility_DisplayArrayInTable(Common_SourceData.Common_SourceData_MCFTemperatureZone_Data(),Table_SourceData_Common_MCFTemperatureZone[[#Headers],[Temperature zone]],0)</f>
        <v>0</v>
      </c>
      <c r="Q237" s="11" cm="1">
        <f t="array" ref="Q237">Common_InputFunctions.Utility_DisplayArrayInTable(Common_SourceData.Common_SourceData_MCFTemperatureZone_Data(),Table_SourceData_Common_MCFTemperatureZone[[#Headers],[Temperature zone]],0)</f>
        <v>0</v>
      </c>
      <c r="R237" s="11" cm="1">
        <f t="array" ref="R237">Common_InputFunctions.Utility_DisplayArrayInTable(Common_SourceData.Common_SourceData_MCFTemperatureZone_Data(),Table_SourceData_Common_MCFTemperatureZone[[#Headers],[Temperature zone]],0)</f>
        <v>4.7000000000000002E-3</v>
      </c>
      <c r="S237" s="1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1" cm="1">
        <f t="array" ref="E238">Common_InputFunctions.Utility_DisplayArrayInTable(Common_SourceData.Common_SourceData_MCFTemperatureZone_Data(),Table_SourceData_Common_MCFTemperatureZone[[#Headers],[Temperature zone]],0)</f>
        <v>16</v>
      </c>
      <c r="F238" s="11" cm="1">
        <f t="array" ref="F238">Common_InputFunctions.Utility_DisplayArrayInTable(Common_SourceData.Common_SourceData_MCFTemperatureZone_Data(),Table_SourceData_Common_MCFTemperatureZone[[#Headers],[Temperature zone]],0)</f>
        <v>0.75</v>
      </c>
      <c r="G238" s="11" cm="1">
        <f t="array" ref="G238">Common_InputFunctions.Utility_DisplayArrayInTable(Common_SourceData.Common_SourceData_MCFTemperatureZone_Data(),Table_SourceData_Common_MCFTemperatureZone[[#Headers],[Temperature zone]],0)</f>
        <v>0.1</v>
      </c>
      <c r="H238" s="11" cm="1">
        <f t="array" ref="H238">Common_InputFunctions.Utility_DisplayArrayInTable(Common_SourceData.Common_SourceData_MCFTemperatureZone_Data(),Table_SourceData_Common_MCFTemperatureZone[[#Headers],[Temperature zone]],0)</f>
        <v>0.18</v>
      </c>
      <c r="I238" s="11" cm="1">
        <f t="array" ref="I238">Common_InputFunctions.Utility_DisplayArrayInTable(Common_SourceData.Common_SourceData_MCFTemperatureZone_Data(),Table_SourceData_Common_MCFTemperatureZone[[#Headers],[Temperature zone]],0)</f>
        <v>5.0000000000000001E-3</v>
      </c>
      <c r="J238" s="11" cm="1">
        <f t="array" ref="J238">Common_InputFunctions.Utility_DisplayArrayInTable(Common_SourceData.Common_SourceData_MCFTemperatureZone_Data(),Table_SourceData_Common_MCFTemperatureZone[[#Headers],[Temperature zone]],0)</f>
        <v>0.01</v>
      </c>
      <c r="K238" s="11" cm="1">
        <f t="array" ref="K238">Common_InputFunctions.Utility_DisplayArrayInTable(Common_SourceData.Common_SourceData_MCFTemperatureZone_Data(),Table_SourceData_Common_MCFTemperatureZone[[#Headers],[Temperature zone]],0)</f>
        <v>0.02</v>
      </c>
      <c r="L238" s="11" cm="1">
        <f t="array" ref="L238">Common_InputFunctions.Utility_DisplayArrayInTable(Common_SourceData.Common_SourceData_MCFTemperatureZone_Data(),Table_SourceData_Common_MCFTemperatureZone[[#Headers],[Temperature zone]],0)</f>
        <v>0.03</v>
      </c>
      <c r="M238" s="11" cm="1">
        <f t="array" ref="M238">Common_InputFunctions.Utility_DisplayArrayInTable(Common_SourceData.Common_SourceData_MCFTemperatureZone_Data(),Table_SourceData_Common_MCFTemperatureZone[[#Headers],[Temperature zone]],0)</f>
        <v>0.04</v>
      </c>
      <c r="N238" s="11" cm="1">
        <f t="array" ref="N238">Common_InputFunctions.Utility_DisplayArrayInTable(Common_SourceData.Common_SourceData_MCFTemperatureZone_Data(),Table_SourceData_Common_MCFTemperatureZone[[#Headers],[Temperature zone]],0)</f>
        <v>1.4999999999999999E-2</v>
      </c>
      <c r="O238" s="11" cm="1">
        <f t="array" ref="O238">Common_InputFunctions.Utility_DisplayArrayInTable(Common_SourceData.Common_SourceData_MCFTemperatureZone_Data(),Table_SourceData_Common_MCFTemperatureZone[[#Headers],[Temperature zone]],0)</f>
        <v>1.4999999999999999E-2</v>
      </c>
      <c r="P238" s="11" cm="1">
        <f t="array" ref="P238">Common_InputFunctions.Utility_DisplayArrayInTable(Common_SourceData.Common_SourceData_MCFTemperatureZone_Data(),Table_SourceData_Common_MCFTemperatureZone[[#Headers],[Temperature zone]],0)</f>
        <v>0</v>
      </c>
      <c r="Q238" s="11" cm="1">
        <f t="array" ref="Q238">Common_InputFunctions.Utility_DisplayArrayInTable(Common_SourceData.Common_SourceData_MCFTemperatureZone_Data(),Table_SourceData_Common_MCFTemperatureZone[[#Headers],[Temperature zone]],0)</f>
        <v>0</v>
      </c>
      <c r="R238" s="11" cm="1">
        <f t="array" ref="R238">Common_InputFunctions.Utility_DisplayArrayInTable(Common_SourceData.Common_SourceData_MCFTemperatureZone_Data(),Table_SourceData_Common_MCFTemperatureZone[[#Headers],[Temperature zone]],0)</f>
        <v>4.7000000000000002E-3</v>
      </c>
      <c r="S238" s="1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1" cm="1">
        <f t="array" ref="E239">Common_InputFunctions.Utility_DisplayArrayInTable(Common_SourceData.Common_SourceData_MCFTemperatureZone_Data(),Table_SourceData_Common_MCFTemperatureZone[[#Headers],[Temperature zone]],0)</f>
        <v>17</v>
      </c>
      <c r="F239" s="11" cm="1">
        <f t="array" ref="F239">Common_InputFunctions.Utility_DisplayArrayInTable(Common_SourceData.Common_SourceData_MCFTemperatureZone_Data(),Table_SourceData_Common_MCFTemperatureZone[[#Headers],[Temperature zone]],0)</f>
        <v>0.76</v>
      </c>
      <c r="G239" s="11" cm="1">
        <f t="array" ref="G239">Common_InputFunctions.Utility_DisplayArrayInTable(Common_SourceData.Common_SourceData_MCFTemperatureZone_Data(),Table_SourceData_Common_MCFTemperatureZone[[#Headers],[Temperature zone]],0)</f>
        <v>0.1</v>
      </c>
      <c r="H239" s="11" cm="1">
        <f t="array" ref="H239">Common_InputFunctions.Utility_DisplayArrayInTable(Common_SourceData.Common_SourceData_MCFTemperatureZone_Data(),Table_SourceData_Common_MCFTemperatureZone[[#Headers],[Temperature zone]],0)</f>
        <v>0.2</v>
      </c>
      <c r="I239" s="11" cm="1">
        <f t="array" ref="I239">Common_InputFunctions.Utility_DisplayArrayInTable(Common_SourceData.Common_SourceData_MCFTemperatureZone_Data(),Table_SourceData_Common_MCFTemperatureZone[[#Headers],[Temperature zone]],0)</f>
        <v>5.0000000000000001E-3</v>
      </c>
      <c r="J239" s="11" cm="1">
        <f t="array" ref="J239">Common_InputFunctions.Utility_DisplayArrayInTable(Common_SourceData.Common_SourceData_MCFTemperatureZone_Data(),Table_SourceData_Common_MCFTemperatureZone[[#Headers],[Temperature zone]],0)</f>
        <v>0.01</v>
      </c>
      <c r="K239" s="11" cm="1">
        <f t="array" ref="K239">Common_InputFunctions.Utility_DisplayArrayInTable(Common_SourceData.Common_SourceData_MCFTemperatureZone_Data(),Table_SourceData_Common_MCFTemperatureZone[[#Headers],[Temperature zone]],0)</f>
        <v>0.02</v>
      </c>
      <c r="L239" s="11" cm="1">
        <f t="array" ref="L239">Common_InputFunctions.Utility_DisplayArrayInTable(Common_SourceData.Common_SourceData_MCFTemperatureZone_Data(),Table_SourceData_Common_MCFTemperatureZone[[#Headers],[Temperature zone]],0)</f>
        <v>0.03</v>
      </c>
      <c r="M239" s="11" cm="1">
        <f t="array" ref="M239">Common_InputFunctions.Utility_DisplayArrayInTable(Common_SourceData.Common_SourceData_MCFTemperatureZone_Data(),Table_SourceData_Common_MCFTemperatureZone[[#Headers],[Temperature zone]],0)</f>
        <v>0.04</v>
      </c>
      <c r="N239" s="11" cm="1">
        <f t="array" ref="N239">Common_InputFunctions.Utility_DisplayArrayInTable(Common_SourceData.Common_SourceData_MCFTemperatureZone_Data(),Table_SourceData_Common_MCFTemperatureZone[[#Headers],[Temperature zone]],0)</f>
        <v>1.4999999999999999E-2</v>
      </c>
      <c r="O239" s="11" cm="1">
        <f t="array" ref="O239">Common_InputFunctions.Utility_DisplayArrayInTable(Common_SourceData.Common_SourceData_MCFTemperatureZone_Data(),Table_SourceData_Common_MCFTemperatureZone[[#Headers],[Temperature zone]],0)</f>
        <v>1.4999999999999999E-2</v>
      </c>
      <c r="P239" s="11" cm="1">
        <f t="array" ref="P239">Common_InputFunctions.Utility_DisplayArrayInTable(Common_SourceData.Common_SourceData_MCFTemperatureZone_Data(),Table_SourceData_Common_MCFTemperatureZone[[#Headers],[Temperature zone]],0)</f>
        <v>0</v>
      </c>
      <c r="Q239" s="11" cm="1">
        <f t="array" ref="Q239">Common_InputFunctions.Utility_DisplayArrayInTable(Common_SourceData.Common_SourceData_MCFTemperatureZone_Data(),Table_SourceData_Common_MCFTemperatureZone[[#Headers],[Temperature zone]],0)</f>
        <v>0</v>
      </c>
      <c r="R239" s="11" cm="1">
        <f t="array" ref="R239">Common_InputFunctions.Utility_DisplayArrayInTable(Common_SourceData.Common_SourceData_MCFTemperatureZone_Data(),Table_SourceData_Common_MCFTemperatureZone[[#Headers],[Temperature zone]],0)</f>
        <v>4.7000000000000002E-3</v>
      </c>
      <c r="S239" s="1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1" cm="1">
        <f t="array" ref="E240">Common_InputFunctions.Utility_DisplayArrayInTable(Common_SourceData.Common_SourceData_MCFTemperatureZone_Data(),Table_SourceData_Common_MCFTemperatureZone[[#Headers],[Temperature zone]],0)</f>
        <v>18</v>
      </c>
      <c r="F240" s="11" cm="1">
        <f t="array" ref="F240">Common_InputFunctions.Utility_DisplayArrayInTable(Common_SourceData.Common_SourceData_MCFTemperatureZone_Data(),Table_SourceData_Common_MCFTemperatureZone[[#Headers],[Temperature zone]],0)</f>
        <v>0.77</v>
      </c>
      <c r="G240" s="11" cm="1">
        <f t="array" ref="G240">Common_InputFunctions.Utility_DisplayArrayInTable(Common_SourceData.Common_SourceData_MCFTemperatureZone_Data(),Table_SourceData_Common_MCFTemperatureZone[[#Headers],[Temperature zone]],0)</f>
        <v>0.1</v>
      </c>
      <c r="H240" s="11" cm="1">
        <f t="array" ref="H240">Common_InputFunctions.Utility_DisplayArrayInTable(Common_SourceData.Common_SourceData_MCFTemperatureZone_Data(),Table_SourceData_Common_MCFTemperatureZone[[#Headers],[Temperature zone]],0)</f>
        <v>0.22</v>
      </c>
      <c r="I240" s="11" cm="1">
        <f t="array" ref="I240">Common_InputFunctions.Utility_DisplayArrayInTable(Common_SourceData.Common_SourceData_MCFTemperatureZone_Data(),Table_SourceData_Common_MCFTemperatureZone[[#Headers],[Temperature zone]],0)</f>
        <v>5.0000000000000001E-3</v>
      </c>
      <c r="J240" s="11" cm="1">
        <f t="array" ref="J240">Common_InputFunctions.Utility_DisplayArrayInTable(Common_SourceData.Common_SourceData_MCFTemperatureZone_Data(),Table_SourceData_Common_MCFTemperatureZone[[#Headers],[Temperature zone]],0)</f>
        <v>0.01</v>
      </c>
      <c r="K240" s="11" cm="1">
        <f t="array" ref="K240">Common_InputFunctions.Utility_DisplayArrayInTable(Common_SourceData.Common_SourceData_MCFTemperatureZone_Data(),Table_SourceData_Common_MCFTemperatureZone[[#Headers],[Temperature zone]],0)</f>
        <v>0.02</v>
      </c>
      <c r="L240" s="11" cm="1">
        <f t="array" ref="L240">Common_InputFunctions.Utility_DisplayArrayInTable(Common_SourceData.Common_SourceData_MCFTemperatureZone_Data(),Table_SourceData_Common_MCFTemperatureZone[[#Headers],[Temperature zone]],0)</f>
        <v>0.03</v>
      </c>
      <c r="M240" s="11" cm="1">
        <f t="array" ref="M240">Common_InputFunctions.Utility_DisplayArrayInTable(Common_SourceData.Common_SourceData_MCFTemperatureZone_Data(),Table_SourceData_Common_MCFTemperatureZone[[#Headers],[Temperature zone]],0)</f>
        <v>0.04</v>
      </c>
      <c r="N240" s="11" cm="1">
        <f t="array" ref="N240">Common_InputFunctions.Utility_DisplayArrayInTable(Common_SourceData.Common_SourceData_MCFTemperatureZone_Data(),Table_SourceData_Common_MCFTemperatureZone[[#Headers],[Temperature zone]],0)</f>
        <v>1.4999999999999999E-2</v>
      </c>
      <c r="O240" s="11" cm="1">
        <f t="array" ref="O240">Common_InputFunctions.Utility_DisplayArrayInTable(Common_SourceData.Common_SourceData_MCFTemperatureZone_Data(),Table_SourceData_Common_MCFTemperatureZone[[#Headers],[Temperature zone]],0)</f>
        <v>1.4999999999999999E-2</v>
      </c>
      <c r="P240" s="11" cm="1">
        <f t="array" ref="P240">Common_InputFunctions.Utility_DisplayArrayInTable(Common_SourceData.Common_SourceData_MCFTemperatureZone_Data(),Table_SourceData_Common_MCFTemperatureZone[[#Headers],[Temperature zone]],0)</f>
        <v>0</v>
      </c>
      <c r="Q240" s="11" cm="1">
        <f t="array" ref="Q240">Common_InputFunctions.Utility_DisplayArrayInTable(Common_SourceData.Common_SourceData_MCFTemperatureZone_Data(),Table_SourceData_Common_MCFTemperatureZone[[#Headers],[Temperature zone]],0)</f>
        <v>0</v>
      </c>
      <c r="R240" s="11" cm="1">
        <f t="array" ref="R240">Common_InputFunctions.Utility_DisplayArrayInTable(Common_SourceData.Common_SourceData_MCFTemperatureZone_Data(),Table_SourceData_Common_MCFTemperatureZone[[#Headers],[Temperature zone]],0)</f>
        <v>4.7000000000000002E-3</v>
      </c>
      <c r="S240" s="1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1" cm="1">
        <f t="array" ref="E241">Common_InputFunctions.Utility_DisplayArrayInTable(Common_SourceData.Common_SourceData_MCFTemperatureZone_Data(),Table_SourceData_Common_MCFTemperatureZone[[#Headers],[Temperature zone]],0)</f>
        <v>19</v>
      </c>
      <c r="F241" s="11" cm="1">
        <f t="array" ref="F241">Common_InputFunctions.Utility_DisplayArrayInTable(Common_SourceData.Common_SourceData_MCFTemperatureZone_Data(),Table_SourceData_Common_MCFTemperatureZone[[#Headers],[Temperature zone]],0)</f>
        <v>0.77</v>
      </c>
      <c r="G241" s="11" cm="1">
        <f t="array" ref="G241">Common_InputFunctions.Utility_DisplayArrayInTable(Common_SourceData.Common_SourceData_MCFTemperatureZone_Data(),Table_SourceData_Common_MCFTemperatureZone[[#Headers],[Temperature zone]],0)</f>
        <v>0.1</v>
      </c>
      <c r="H241" s="11" cm="1">
        <f t="array" ref="H241">Common_InputFunctions.Utility_DisplayArrayInTable(Common_SourceData.Common_SourceData_MCFTemperatureZone_Data(),Table_SourceData_Common_MCFTemperatureZone[[#Headers],[Temperature zone]],0)</f>
        <v>0.24</v>
      </c>
      <c r="I241" s="11" cm="1">
        <f t="array" ref="I241">Common_InputFunctions.Utility_DisplayArrayInTable(Common_SourceData.Common_SourceData_MCFTemperatureZone_Data(),Table_SourceData_Common_MCFTemperatureZone[[#Headers],[Temperature zone]],0)</f>
        <v>5.0000000000000001E-3</v>
      </c>
      <c r="J241" s="11" cm="1">
        <f t="array" ref="J241">Common_InputFunctions.Utility_DisplayArrayInTable(Common_SourceData.Common_SourceData_MCFTemperatureZone_Data(),Table_SourceData_Common_MCFTemperatureZone[[#Headers],[Temperature zone]],0)</f>
        <v>0.01</v>
      </c>
      <c r="K241" s="11" cm="1">
        <f t="array" ref="K241">Common_InputFunctions.Utility_DisplayArrayInTable(Common_SourceData.Common_SourceData_MCFTemperatureZone_Data(),Table_SourceData_Common_MCFTemperatureZone[[#Headers],[Temperature zone]],0)</f>
        <v>0.02</v>
      </c>
      <c r="L241" s="11" cm="1">
        <f t="array" ref="L241">Common_InputFunctions.Utility_DisplayArrayInTable(Common_SourceData.Common_SourceData_MCFTemperatureZone_Data(),Table_SourceData_Common_MCFTemperatureZone[[#Headers],[Temperature zone]],0)</f>
        <v>0.03</v>
      </c>
      <c r="M241" s="11" cm="1">
        <f t="array" ref="M241">Common_InputFunctions.Utility_DisplayArrayInTable(Common_SourceData.Common_SourceData_MCFTemperatureZone_Data(),Table_SourceData_Common_MCFTemperatureZone[[#Headers],[Temperature zone]],0)</f>
        <v>0.04</v>
      </c>
      <c r="N241" s="11" cm="1">
        <f t="array" ref="N241">Common_InputFunctions.Utility_DisplayArrayInTable(Common_SourceData.Common_SourceData_MCFTemperatureZone_Data(),Table_SourceData_Common_MCFTemperatureZone[[#Headers],[Temperature zone]],0)</f>
        <v>1.4999999999999999E-2</v>
      </c>
      <c r="O241" s="11" cm="1">
        <f t="array" ref="O241">Common_InputFunctions.Utility_DisplayArrayInTable(Common_SourceData.Common_SourceData_MCFTemperatureZone_Data(),Table_SourceData_Common_MCFTemperatureZone[[#Headers],[Temperature zone]],0)</f>
        <v>1.4999999999999999E-2</v>
      </c>
      <c r="P241" s="11" cm="1">
        <f t="array" ref="P241">Common_InputFunctions.Utility_DisplayArrayInTable(Common_SourceData.Common_SourceData_MCFTemperatureZone_Data(),Table_SourceData_Common_MCFTemperatureZone[[#Headers],[Temperature zone]],0)</f>
        <v>0</v>
      </c>
      <c r="Q241" s="11" cm="1">
        <f t="array" ref="Q241">Common_InputFunctions.Utility_DisplayArrayInTable(Common_SourceData.Common_SourceData_MCFTemperatureZone_Data(),Table_SourceData_Common_MCFTemperatureZone[[#Headers],[Temperature zone]],0)</f>
        <v>0</v>
      </c>
      <c r="R241" s="11" cm="1">
        <f t="array" ref="R241">Common_InputFunctions.Utility_DisplayArrayInTable(Common_SourceData.Common_SourceData_MCFTemperatureZone_Data(),Table_SourceData_Common_MCFTemperatureZone[[#Headers],[Temperature zone]],0)</f>
        <v>4.7000000000000002E-3</v>
      </c>
      <c r="S241" s="1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1" cm="1">
        <f t="array" ref="E242">Common_InputFunctions.Utility_DisplayArrayInTable(Common_SourceData.Common_SourceData_MCFTemperatureZone_Data(),Table_SourceData_Common_MCFTemperatureZone[[#Headers],[Temperature zone]],0)</f>
        <v>20</v>
      </c>
      <c r="F242" s="11" cm="1">
        <f t="array" ref="F242">Common_InputFunctions.Utility_DisplayArrayInTable(Common_SourceData.Common_SourceData_MCFTemperatureZone_Data(),Table_SourceData_Common_MCFTemperatureZone[[#Headers],[Temperature zone]],0)</f>
        <v>0.78</v>
      </c>
      <c r="G242" s="11" cm="1">
        <f t="array" ref="G242">Common_InputFunctions.Utility_DisplayArrayInTable(Common_SourceData.Common_SourceData_MCFTemperatureZone_Data(),Table_SourceData_Common_MCFTemperatureZone[[#Headers],[Temperature zone]],0)</f>
        <v>0.1</v>
      </c>
      <c r="H242" s="11" cm="1">
        <f t="array" ref="H242">Common_InputFunctions.Utility_DisplayArrayInTable(Common_SourceData.Common_SourceData_MCFTemperatureZone_Data(),Table_SourceData_Common_MCFTemperatureZone[[#Headers],[Temperature zone]],0)</f>
        <v>0.26</v>
      </c>
      <c r="I242" s="11" cm="1">
        <f t="array" ref="I242">Common_InputFunctions.Utility_DisplayArrayInTable(Common_SourceData.Common_SourceData_MCFTemperatureZone_Data(),Table_SourceData_Common_MCFTemperatureZone[[#Headers],[Temperature zone]],0)</f>
        <v>5.0000000000000001E-3</v>
      </c>
      <c r="J242" s="11" cm="1">
        <f t="array" ref="J242">Common_InputFunctions.Utility_DisplayArrayInTable(Common_SourceData.Common_SourceData_MCFTemperatureZone_Data(),Table_SourceData_Common_MCFTemperatureZone[[#Headers],[Temperature zone]],0)</f>
        <v>0.01</v>
      </c>
      <c r="K242" s="11" cm="1">
        <f t="array" ref="K242">Common_InputFunctions.Utility_DisplayArrayInTable(Common_SourceData.Common_SourceData_MCFTemperatureZone_Data(),Table_SourceData_Common_MCFTemperatureZone[[#Headers],[Temperature zone]],0)</f>
        <v>0.02</v>
      </c>
      <c r="L242" s="11" cm="1">
        <f t="array" ref="L242">Common_InputFunctions.Utility_DisplayArrayInTable(Common_SourceData.Common_SourceData_MCFTemperatureZone_Data(),Table_SourceData_Common_MCFTemperatureZone[[#Headers],[Temperature zone]],0)</f>
        <v>0.03</v>
      </c>
      <c r="M242" s="11" cm="1">
        <f t="array" ref="M242">Common_InputFunctions.Utility_DisplayArrayInTable(Common_SourceData.Common_SourceData_MCFTemperatureZone_Data(),Table_SourceData_Common_MCFTemperatureZone[[#Headers],[Temperature zone]],0)</f>
        <v>0.04</v>
      </c>
      <c r="N242" s="11" cm="1">
        <f t="array" ref="N242">Common_InputFunctions.Utility_DisplayArrayInTable(Common_SourceData.Common_SourceData_MCFTemperatureZone_Data(),Table_SourceData_Common_MCFTemperatureZone[[#Headers],[Temperature zone]],0)</f>
        <v>1.4999999999999999E-2</v>
      </c>
      <c r="O242" s="11" cm="1">
        <f t="array" ref="O242">Common_InputFunctions.Utility_DisplayArrayInTable(Common_SourceData.Common_SourceData_MCFTemperatureZone_Data(),Table_SourceData_Common_MCFTemperatureZone[[#Headers],[Temperature zone]],0)</f>
        <v>1.4999999999999999E-2</v>
      </c>
      <c r="P242" s="11" cm="1">
        <f t="array" ref="P242">Common_InputFunctions.Utility_DisplayArrayInTable(Common_SourceData.Common_SourceData_MCFTemperatureZone_Data(),Table_SourceData_Common_MCFTemperatureZone[[#Headers],[Temperature zone]],0)</f>
        <v>0</v>
      </c>
      <c r="Q242" s="11" cm="1">
        <f t="array" ref="Q242">Common_InputFunctions.Utility_DisplayArrayInTable(Common_SourceData.Common_SourceData_MCFTemperatureZone_Data(),Table_SourceData_Common_MCFTemperatureZone[[#Headers],[Temperature zone]],0)</f>
        <v>0</v>
      </c>
      <c r="R242" s="11" cm="1">
        <f t="array" ref="R242">Common_InputFunctions.Utility_DisplayArrayInTable(Common_SourceData.Common_SourceData_MCFTemperatureZone_Data(),Table_SourceData_Common_MCFTemperatureZone[[#Headers],[Temperature zone]],0)</f>
        <v>4.7000000000000002E-3</v>
      </c>
      <c r="S242" s="1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1" cm="1">
        <f t="array" ref="E243">Common_InputFunctions.Utility_DisplayArrayInTable(Common_SourceData.Common_SourceData_MCFTemperatureZone_Data(),Table_SourceData_Common_MCFTemperatureZone[[#Headers],[Temperature zone]],0)</f>
        <v>21</v>
      </c>
      <c r="F243" s="11" cm="1">
        <f t="array" ref="F243">Common_InputFunctions.Utility_DisplayArrayInTable(Common_SourceData.Common_SourceData_MCFTemperatureZone_Data(),Table_SourceData_Common_MCFTemperatureZone[[#Headers],[Temperature zone]],0)</f>
        <v>0.78</v>
      </c>
      <c r="G243" s="11" cm="1">
        <f t="array" ref="G243">Common_InputFunctions.Utility_DisplayArrayInTable(Common_SourceData.Common_SourceData_MCFTemperatureZone_Data(),Table_SourceData_Common_MCFTemperatureZone[[#Headers],[Temperature zone]],0)</f>
        <v>0.1</v>
      </c>
      <c r="H243" s="11" cm="1">
        <f t="array" ref="H243">Common_InputFunctions.Utility_DisplayArrayInTable(Common_SourceData.Common_SourceData_MCFTemperatureZone_Data(),Table_SourceData_Common_MCFTemperatureZone[[#Headers],[Temperature zone]],0)</f>
        <v>0.28999999999999998</v>
      </c>
      <c r="I243" s="11" cm="1">
        <f t="array" ref="I243">Common_InputFunctions.Utility_DisplayArrayInTable(Common_SourceData.Common_SourceData_MCFTemperatureZone_Data(),Table_SourceData_Common_MCFTemperatureZone[[#Headers],[Temperature zone]],0)</f>
        <v>5.0000000000000001E-3</v>
      </c>
      <c r="J243" s="11" cm="1">
        <f t="array" ref="J243">Common_InputFunctions.Utility_DisplayArrayInTable(Common_SourceData.Common_SourceData_MCFTemperatureZone_Data(),Table_SourceData_Common_MCFTemperatureZone[[#Headers],[Temperature zone]],0)</f>
        <v>0.01</v>
      </c>
      <c r="K243" s="11" cm="1">
        <f t="array" ref="K243">Common_InputFunctions.Utility_DisplayArrayInTable(Common_SourceData.Common_SourceData_MCFTemperatureZone_Data(),Table_SourceData_Common_MCFTemperatureZone[[#Headers],[Temperature zone]],0)</f>
        <v>0.02</v>
      </c>
      <c r="L243" s="11" cm="1">
        <f t="array" ref="L243">Common_InputFunctions.Utility_DisplayArrayInTable(Common_SourceData.Common_SourceData_MCFTemperatureZone_Data(),Table_SourceData_Common_MCFTemperatureZone[[#Headers],[Temperature zone]],0)</f>
        <v>0.03</v>
      </c>
      <c r="M243" s="11" cm="1">
        <f t="array" ref="M243">Common_InputFunctions.Utility_DisplayArrayInTable(Common_SourceData.Common_SourceData_MCFTemperatureZone_Data(),Table_SourceData_Common_MCFTemperatureZone[[#Headers],[Temperature zone]],0)</f>
        <v>0.04</v>
      </c>
      <c r="N243" s="11" cm="1">
        <f t="array" ref="N243">Common_InputFunctions.Utility_DisplayArrayInTable(Common_SourceData.Common_SourceData_MCFTemperatureZone_Data(),Table_SourceData_Common_MCFTemperatureZone[[#Headers],[Temperature zone]],0)</f>
        <v>1.4999999999999999E-2</v>
      </c>
      <c r="O243" s="11" cm="1">
        <f t="array" ref="O243">Common_InputFunctions.Utility_DisplayArrayInTable(Common_SourceData.Common_SourceData_MCFTemperatureZone_Data(),Table_SourceData_Common_MCFTemperatureZone[[#Headers],[Temperature zone]],0)</f>
        <v>1.4999999999999999E-2</v>
      </c>
      <c r="P243" s="11" cm="1">
        <f t="array" ref="P243">Common_InputFunctions.Utility_DisplayArrayInTable(Common_SourceData.Common_SourceData_MCFTemperatureZone_Data(),Table_SourceData_Common_MCFTemperatureZone[[#Headers],[Temperature zone]],0)</f>
        <v>0</v>
      </c>
      <c r="Q243" s="11" cm="1">
        <f t="array" ref="Q243">Common_InputFunctions.Utility_DisplayArrayInTable(Common_SourceData.Common_SourceData_MCFTemperatureZone_Data(),Table_SourceData_Common_MCFTemperatureZone[[#Headers],[Temperature zone]],0)</f>
        <v>0</v>
      </c>
      <c r="R243" s="11" cm="1">
        <f t="array" ref="R243">Common_InputFunctions.Utility_DisplayArrayInTable(Common_SourceData.Common_SourceData_MCFTemperatureZone_Data(),Table_SourceData_Common_MCFTemperatureZone[[#Headers],[Temperature zone]],0)</f>
        <v>4.7000000000000002E-3</v>
      </c>
      <c r="S243" s="1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1" cm="1">
        <f t="array" ref="E244">Common_InputFunctions.Utility_DisplayArrayInTable(Common_SourceData.Common_SourceData_MCFTemperatureZone_Data(),Table_SourceData_Common_MCFTemperatureZone[[#Headers],[Temperature zone]],0)</f>
        <v>22</v>
      </c>
      <c r="F244" s="11" cm="1">
        <f t="array" ref="F244">Common_InputFunctions.Utility_DisplayArrayInTable(Common_SourceData.Common_SourceData_MCFTemperatureZone_Data(),Table_SourceData_Common_MCFTemperatureZone[[#Headers],[Temperature zone]],0)</f>
        <v>0.78</v>
      </c>
      <c r="G244" s="11" cm="1">
        <f t="array" ref="G244">Common_InputFunctions.Utility_DisplayArrayInTable(Common_SourceData.Common_SourceData_MCFTemperatureZone_Data(),Table_SourceData_Common_MCFTemperatureZone[[#Headers],[Temperature zone]],0)</f>
        <v>0.1</v>
      </c>
      <c r="H244" s="11" cm="1">
        <f t="array" ref="H244">Common_InputFunctions.Utility_DisplayArrayInTable(Common_SourceData.Common_SourceData_MCFTemperatureZone_Data(),Table_SourceData_Common_MCFTemperatureZone[[#Headers],[Temperature zone]],0)</f>
        <v>0.31</v>
      </c>
      <c r="I244" s="11" cm="1">
        <f t="array" ref="I244">Common_InputFunctions.Utility_DisplayArrayInTable(Common_SourceData.Common_SourceData_MCFTemperatureZone_Data(),Table_SourceData_Common_MCFTemperatureZone[[#Headers],[Temperature zone]],0)</f>
        <v>5.0000000000000001E-3</v>
      </c>
      <c r="J244" s="11" cm="1">
        <f t="array" ref="J244">Common_InputFunctions.Utility_DisplayArrayInTable(Common_SourceData.Common_SourceData_MCFTemperatureZone_Data(),Table_SourceData_Common_MCFTemperatureZone[[#Headers],[Temperature zone]],0)</f>
        <v>0.01</v>
      </c>
      <c r="K244" s="11" cm="1">
        <f t="array" ref="K244">Common_InputFunctions.Utility_DisplayArrayInTable(Common_SourceData.Common_SourceData_MCFTemperatureZone_Data(),Table_SourceData_Common_MCFTemperatureZone[[#Headers],[Temperature zone]],0)</f>
        <v>0.02</v>
      </c>
      <c r="L244" s="11" cm="1">
        <f t="array" ref="L244">Common_InputFunctions.Utility_DisplayArrayInTable(Common_SourceData.Common_SourceData_MCFTemperatureZone_Data(),Table_SourceData_Common_MCFTemperatureZone[[#Headers],[Temperature zone]],0)</f>
        <v>0.03</v>
      </c>
      <c r="M244" s="11" cm="1">
        <f t="array" ref="M244">Common_InputFunctions.Utility_DisplayArrayInTable(Common_SourceData.Common_SourceData_MCFTemperatureZone_Data(),Table_SourceData_Common_MCFTemperatureZone[[#Headers],[Temperature zone]],0)</f>
        <v>0.04</v>
      </c>
      <c r="N244" s="11" cm="1">
        <f t="array" ref="N244">Common_InputFunctions.Utility_DisplayArrayInTable(Common_SourceData.Common_SourceData_MCFTemperatureZone_Data(),Table_SourceData_Common_MCFTemperatureZone[[#Headers],[Temperature zone]],0)</f>
        <v>1.4999999999999999E-2</v>
      </c>
      <c r="O244" s="11" cm="1">
        <f t="array" ref="O244">Common_InputFunctions.Utility_DisplayArrayInTable(Common_SourceData.Common_SourceData_MCFTemperatureZone_Data(),Table_SourceData_Common_MCFTemperatureZone[[#Headers],[Temperature zone]],0)</f>
        <v>1.4999999999999999E-2</v>
      </c>
      <c r="P244" s="11" cm="1">
        <f t="array" ref="P244">Common_InputFunctions.Utility_DisplayArrayInTable(Common_SourceData.Common_SourceData_MCFTemperatureZone_Data(),Table_SourceData_Common_MCFTemperatureZone[[#Headers],[Temperature zone]],0)</f>
        <v>0</v>
      </c>
      <c r="Q244" s="11" cm="1">
        <f t="array" ref="Q244">Common_InputFunctions.Utility_DisplayArrayInTable(Common_SourceData.Common_SourceData_MCFTemperatureZone_Data(),Table_SourceData_Common_MCFTemperatureZone[[#Headers],[Temperature zone]],0)</f>
        <v>0</v>
      </c>
      <c r="R244" s="11" cm="1">
        <f t="array" ref="R244">Common_InputFunctions.Utility_DisplayArrayInTable(Common_SourceData.Common_SourceData_MCFTemperatureZone_Data(),Table_SourceData_Common_MCFTemperatureZone[[#Headers],[Temperature zone]],0)</f>
        <v>4.7000000000000002E-3</v>
      </c>
      <c r="S244" s="1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1" cm="1">
        <f t="array" ref="E245">Common_InputFunctions.Utility_DisplayArrayInTable(Common_SourceData.Common_SourceData_MCFTemperatureZone_Data(),Table_SourceData_Common_MCFTemperatureZone[[#Headers],[Temperature zone]],0)</f>
        <v>23</v>
      </c>
      <c r="F245" s="11" cm="1">
        <f t="array" ref="F245">Common_InputFunctions.Utility_DisplayArrayInTable(Common_SourceData.Common_SourceData_MCFTemperatureZone_Data(),Table_SourceData_Common_MCFTemperatureZone[[#Headers],[Temperature zone]],0)</f>
        <v>0.79</v>
      </c>
      <c r="G245" s="11" cm="1">
        <f t="array" ref="G245">Common_InputFunctions.Utility_DisplayArrayInTable(Common_SourceData.Common_SourceData_MCFTemperatureZone_Data(),Table_SourceData_Common_MCFTemperatureZone[[#Headers],[Temperature zone]],0)</f>
        <v>0.1</v>
      </c>
      <c r="H245" s="11" cm="1">
        <f t="array" ref="H245">Common_InputFunctions.Utility_DisplayArrayInTable(Common_SourceData.Common_SourceData_MCFTemperatureZone_Data(),Table_SourceData_Common_MCFTemperatureZone[[#Headers],[Temperature zone]],0)</f>
        <v>0.34</v>
      </c>
      <c r="I245" s="11" cm="1">
        <f t="array" ref="I245">Common_InputFunctions.Utility_DisplayArrayInTable(Common_SourceData.Common_SourceData_MCFTemperatureZone_Data(),Table_SourceData_Common_MCFTemperatureZone[[#Headers],[Temperature zone]],0)</f>
        <v>5.0000000000000001E-3</v>
      </c>
      <c r="J245" s="11" cm="1">
        <f t="array" ref="J245">Common_InputFunctions.Utility_DisplayArrayInTable(Common_SourceData.Common_SourceData_MCFTemperatureZone_Data(),Table_SourceData_Common_MCFTemperatureZone[[#Headers],[Temperature zone]],0)</f>
        <v>0.01</v>
      </c>
      <c r="K245" s="11" cm="1">
        <f t="array" ref="K245">Common_InputFunctions.Utility_DisplayArrayInTable(Common_SourceData.Common_SourceData_MCFTemperatureZone_Data(),Table_SourceData_Common_MCFTemperatureZone[[#Headers],[Temperature zone]],0)</f>
        <v>0.02</v>
      </c>
      <c r="L245" s="11" cm="1">
        <f t="array" ref="L245">Common_InputFunctions.Utility_DisplayArrayInTable(Common_SourceData.Common_SourceData_MCFTemperatureZone_Data(),Table_SourceData_Common_MCFTemperatureZone[[#Headers],[Temperature zone]],0)</f>
        <v>0.03</v>
      </c>
      <c r="M245" s="11" cm="1">
        <f t="array" ref="M245">Common_InputFunctions.Utility_DisplayArrayInTable(Common_SourceData.Common_SourceData_MCFTemperatureZone_Data(),Table_SourceData_Common_MCFTemperatureZone[[#Headers],[Temperature zone]],0)</f>
        <v>0.04</v>
      </c>
      <c r="N245" s="11" cm="1">
        <f t="array" ref="N245">Common_InputFunctions.Utility_DisplayArrayInTable(Common_SourceData.Common_SourceData_MCFTemperatureZone_Data(),Table_SourceData_Common_MCFTemperatureZone[[#Headers],[Temperature zone]],0)</f>
        <v>1.4999999999999999E-2</v>
      </c>
      <c r="O245" s="11" cm="1">
        <f t="array" ref="O245">Common_InputFunctions.Utility_DisplayArrayInTable(Common_SourceData.Common_SourceData_MCFTemperatureZone_Data(),Table_SourceData_Common_MCFTemperatureZone[[#Headers],[Temperature zone]],0)</f>
        <v>1.4999999999999999E-2</v>
      </c>
      <c r="P245" s="11" cm="1">
        <f t="array" ref="P245">Common_InputFunctions.Utility_DisplayArrayInTable(Common_SourceData.Common_SourceData_MCFTemperatureZone_Data(),Table_SourceData_Common_MCFTemperatureZone[[#Headers],[Temperature zone]],0)</f>
        <v>0</v>
      </c>
      <c r="Q245" s="11" cm="1">
        <f t="array" ref="Q245">Common_InputFunctions.Utility_DisplayArrayInTable(Common_SourceData.Common_SourceData_MCFTemperatureZone_Data(),Table_SourceData_Common_MCFTemperatureZone[[#Headers],[Temperature zone]],0)</f>
        <v>0</v>
      </c>
      <c r="R245" s="11" cm="1">
        <f t="array" ref="R245">Common_InputFunctions.Utility_DisplayArrayInTable(Common_SourceData.Common_SourceData_MCFTemperatureZone_Data(),Table_SourceData_Common_MCFTemperatureZone[[#Headers],[Temperature zone]],0)</f>
        <v>4.7000000000000002E-3</v>
      </c>
      <c r="S245" s="1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1" cm="1">
        <f t="array" ref="E246">Common_InputFunctions.Utility_DisplayArrayInTable(Common_SourceData.Common_SourceData_MCFTemperatureZone_Data(),Table_SourceData_Common_MCFTemperatureZone[[#Headers],[Temperature zone]],0)</f>
        <v>24</v>
      </c>
      <c r="F246" s="11" cm="1">
        <f t="array" ref="F246">Common_InputFunctions.Utility_DisplayArrayInTable(Common_SourceData.Common_SourceData_MCFTemperatureZone_Data(),Table_SourceData_Common_MCFTemperatureZone[[#Headers],[Temperature zone]],0)</f>
        <v>0.79</v>
      </c>
      <c r="G246" s="11" cm="1">
        <f t="array" ref="G246">Common_InputFunctions.Utility_DisplayArrayInTable(Common_SourceData.Common_SourceData_MCFTemperatureZone_Data(),Table_SourceData_Common_MCFTemperatureZone[[#Headers],[Temperature zone]],0)</f>
        <v>0.1</v>
      </c>
      <c r="H246" s="11" cm="1">
        <f t="array" ref="H246">Common_InputFunctions.Utility_DisplayArrayInTable(Common_SourceData.Common_SourceData_MCFTemperatureZone_Data(),Table_SourceData_Common_MCFTemperatureZone[[#Headers],[Temperature zone]],0)</f>
        <v>0.37</v>
      </c>
      <c r="I246" s="11" cm="1">
        <f t="array" ref="I246">Common_InputFunctions.Utility_DisplayArrayInTable(Common_SourceData.Common_SourceData_MCFTemperatureZone_Data(),Table_SourceData_Common_MCFTemperatureZone[[#Headers],[Temperature zone]],0)</f>
        <v>5.0000000000000001E-3</v>
      </c>
      <c r="J246" s="11" cm="1">
        <f t="array" ref="J246">Common_InputFunctions.Utility_DisplayArrayInTable(Common_SourceData.Common_SourceData_MCFTemperatureZone_Data(),Table_SourceData_Common_MCFTemperatureZone[[#Headers],[Temperature zone]],0)</f>
        <v>0.01</v>
      </c>
      <c r="K246" s="11" cm="1">
        <f t="array" ref="K246">Common_InputFunctions.Utility_DisplayArrayInTable(Common_SourceData.Common_SourceData_MCFTemperatureZone_Data(),Table_SourceData_Common_MCFTemperatureZone[[#Headers],[Temperature zone]],0)</f>
        <v>0.02</v>
      </c>
      <c r="L246" s="11" cm="1">
        <f t="array" ref="L246">Common_InputFunctions.Utility_DisplayArrayInTable(Common_SourceData.Common_SourceData_MCFTemperatureZone_Data(),Table_SourceData_Common_MCFTemperatureZone[[#Headers],[Temperature zone]],0)</f>
        <v>0.03</v>
      </c>
      <c r="M246" s="11" cm="1">
        <f t="array" ref="M246">Common_InputFunctions.Utility_DisplayArrayInTable(Common_SourceData.Common_SourceData_MCFTemperatureZone_Data(),Table_SourceData_Common_MCFTemperatureZone[[#Headers],[Temperature zone]],0)</f>
        <v>0.04</v>
      </c>
      <c r="N246" s="11" cm="1">
        <f t="array" ref="N246">Common_InputFunctions.Utility_DisplayArrayInTable(Common_SourceData.Common_SourceData_MCFTemperatureZone_Data(),Table_SourceData_Common_MCFTemperatureZone[[#Headers],[Temperature zone]],0)</f>
        <v>1.4999999999999999E-2</v>
      </c>
      <c r="O246" s="11" cm="1">
        <f t="array" ref="O246">Common_InputFunctions.Utility_DisplayArrayInTable(Common_SourceData.Common_SourceData_MCFTemperatureZone_Data(),Table_SourceData_Common_MCFTemperatureZone[[#Headers],[Temperature zone]],0)</f>
        <v>1.4999999999999999E-2</v>
      </c>
      <c r="P246" s="11" cm="1">
        <f t="array" ref="P246">Common_InputFunctions.Utility_DisplayArrayInTable(Common_SourceData.Common_SourceData_MCFTemperatureZone_Data(),Table_SourceData_Common_MCFTemperatureZone[[#Headers],[Temperature zone]],0)</f>
        <v>0</v>
      </c>
      <c r="Q246" s="11" cm="1">
        <f t="array" ref="Q246">Common_InputFunctions.Utility_DisplayArrayInTable(Common_SourceData.Common_SourceData_MCFTemperatureZone_Data(),Table_SourceData_Common_MCFTemperatureZone[[#Headers],[Temperature zone]],0)</f>
        <v>0</v>
      </c>
      <c r="R246" s="11" cm="1">
        <f t="array" ref="R246">Common_InputFunctions.Utility_DisplayArrayInTable(Common_SourceData.Common_SourceData_MCFTemperatureZone_Data(),Table_SourceData_Common_MCFTemperatureZone[[#Headers],[Temperature zone]],0)</f>
        <v>4.7000000000000002E-3</v>
      </c>
      <c r="S246" s="1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1" cm="1">
        <f t="array" ref="E247">Common_InputFunctions.Utility_DisplayArrayInTable(Common_SourceData.Common_SourceData_MCFTemperatureZone_Data(),Table_SourceData_Common_MCFTemperatureZone[[#Headers],[Temperature zone]],0)</f>
        <v>25</v>
      </c>
      <c r="F247" s="11" cm="1">
        <f t="array" ref="F247">Common_InputFunctions.Utility_DisplayArrayInTable(Common_SourceData.Common_SourceData_MCFTemperatureZone_Data(),Table_SourceData_Common_MCFTemperatureZone[[#Headers],[Temperature zone]],0)</f>
        <v>0.79</v>
      </c>
      <c r="G247" s="11" cm="1">
        <f t="array" ref="G247">Common_InputFunctions.Utility_DisplayArrayInTable(Common_SourceData.Common_SourceData_MCFTemperatureZone_Data(),Table_SourceData_Common_MCFTemperatureZone[[#Headers],[Temperature zone]],0)</f>
        <v>0.1</v>
      </c>
      <c r="H247" s="11" cm="1">
        <f t="array" ref="H247">Common_InputFunctions.Utility_DisplayArrayInTable(Common_SourceData.Common_SourceData_MCFTemperatureZone_Data(),Table_SourceData_Common_MCFTemperatureZone[[#Headers],[Temperature zone]],0)</f>
        <v>0.41</v>
      </c>
      <c r="I247" s="11" cm="1">
        <f t="array" ref="I247">Common_InputFunctions.Utility_DisplayArrayInTable(Common_SourceData.Common_SourceData_MCFTemperatureZone_Data(),Table_SourceData_Common_MCFTemperatureZone[[#Headers],[Temperature zone]],0)</f>
        <v>5.0000000000000001E-3</v>
      </c>
      <c r="J247" s="11" cm="1">
        <f t="array" ref="J247">Common_InputFunctions.Utility_DisplayArrayInTable(Common_SourceData.Common_SourceData_MCFTemperatureZone_Data(),Table_SourceData_Common_MCFTemperatureZone[[#Headers],[Temperature zone]],0)</f>
        <v>0.01</v>
      </c>
      <c r="K247" s="11" cm="1">
        <f t="array" ref="K247">Common_InputFunctions.Utility_DisplayArrayInTable(Common_SourceData.Common_SourceData_MCFTemperatureZone_Data(),Table_SourceData_Common_MCFTemperatureZone[[#Headers],[Temperature zone]],0)</f>
        <v>0.02</v>
      </c>
      <c r="L247" s="11" cm="1">
        <f t="array" ref="L247">Common_InputFunctions.Utility_DisplayArrayInTable(Common_SourceData.Common_SourceData_MCFTemperatureZone_Data(),Table_SourceData_Common_MCFTemperatureZone[[#Headers],[Temperature zone]],0)</f>
        <v>0.03</v>
      </c>
      <c r="M247" s="11" cm="1">
        <f t="array" ref="M247">Common_InputFunctions.Utility_DisplayArrayInTable(Common_SourceData.Common_SourceData_MCFTemperatureZone_Data(),Table_SourceData_Common_MCFTemperatureZone[[#Headers],[Temperature zone]],0)</f>
        <v>0.04</v>
      </c>
      <c r="N247" s="11" cm="1">
        <f t="array" ref="N247">Common_InputFunctions.Utility_DisplayArrayInTable(Common_SourceData.Common_SourceData_MCFTemperatureZone_Data(),Table_SourceData_Common_MCFTemperatureZone[[#Headers],[Temperature zone]],0)</f>
        <v>1.4999999999999999E-2</v>
      </c>
      <c r="O247" s="11" cm="1">
        <f t="array" ref="O247">Common_InputFunctions.Utility_DisplayArrayInTable(Common_SourceData.Common_SourceData_MCFTemperatureZone_Data(),Table_SourceData_Common_MCFTemperatureZone[[#Headers],[Temperature zone]],0)</f>
        <v>1.4999999999999999E-2</v>
      </c>
      <c r="P247" s="11" cm="1">
        <f t="array" ref="P247">Common_InputFunctions.Utility_DisplayArrayInTable(Common_SourceData.Common_SourceData_MCFTemperatureZone_Data(),Table_SourceData_Common_MCFTemperatureZone[[#Headers],[Temperature zone]],0)</f>
        <v>0</v>
      </c>
      <c r="Q247" s="11" cm="1">
        <f t="array" ref="Q247">Common_InputFunctions.Utility_DisplayArrayInTable(Common_SourceData.Common_SourceData_MCFTemperatureZone_Data(),Table_SourceData_Common_MCFTemperatureZone[[#Headers],[Temperature zone]],0)</f>
        <v>0</v>
      </c>
      <c r="R247" s="11" cm="1">
        <f t="array" ref="R247">Common_InputFunctions.Utility_DisplayArrayInTable(Common_SourceData.Common_SourceData_MCFTemperatureZone_Data(),Table_SourceData_Common_MCFTemperatureZone[[#Headers],[Temperature zone]],0)</f>
        <v>4.7000000000000002E-3</v>
      </c>
      <c r="S247" s="1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1" cm="1">
        <f t="array" ref="E248">Common_InputFunctions.Utility_DisplayArrayInTable(Common_SourceData.Common_SourceData_MCFTemperatureZone_Data(),Table_SourceData_Common_MCFTemperatureZone[[#Headers],[Temperature zone]],0)</f>
        <v>26</v>
      </c>
      <c r="F248" s="11" cm="1">
        <f t="array" ref="F248">Common_InputFunctions.Utility_DisplayArrayInTable(Common_SourceData.Common_SourceData_MCFTemperatureZone_Data(),Table_SourceData_Common_MCFTemperatureZone[[#Headers],[Temperature zone]],0)</f>
        <v>0.79</v>
      </c>
      <c r="G248" s="11" cm="1">
        <f t="array" ref="G248">Common_InputFunctions.Utility_DisplayArrayInTable(Common_SourceData.Common_SourceData_MCFTemperatureZone_Data(),Table_SourceData_Common_MCFTemperatureZone[[#Headers],[Temperature zone]],0)</f>
        <v>0.1</v>
      </c>
      <c r="H248" s="11" cm="1">
        <f t="array" ref="H248">Common_InputFunctions.Utility_DisplayArrayInTable(Common_SourceData.Common_SourceData_MCFTemperatureZone_Data(),Table_SourceData_Common_MCFTemperatureZone[[#Headers],[Temperature zone]],0)</f>
        <v>0.44</v>
      </c>
      <c r="I248" s="11" cm="1">
        <f t="array" ref="I248">Common_InputFunctions.Utility_DisplayArrayInTable(Common_SourceData.Common_SourceData_MCFTemperatureZone_Data(),Table_SourceData_Common_MCFTemperatureZone[[#Headers],[Temperature zone]],0)</f>
        <v>0.01</v>
      </c>
      <c r="J248" s="11" cm="1">
        <f t="array" ref="J248">Common_InputFunctions.Utility_DisplayArrayInTable(Common_SourceData.Common_SourceData_MCFTemperatureZone_Data(),Table_SourceData_Common_MCFTemperatureZone[[#Headers],[Temperature zone]],0)</f>
        <v>1.4999999999999999E-2</v>
      </c>
      <c r="K248" s="11" cm="1">
        <f t="array" ref="K248">Common_InputFunctions.Utility_DisplayArrayInTable(Common_SourceData.Common_SourceData_MCFTemperatureZone_Data(),Table_SourceData_Common_MCFTemperatureZone[[#Headers],[Temperature zone]],0)</f>
        <v>0.02</v>
      </c>
      <c r="L248" s="11" cm="1">
        <f t="array" ref="L248">Common_InputFunctions.Utility_DisplayArrayInTable(Common_SourceData.Common_SourceData_MCFTemperatureZone_Data(),Table_SourceData_Common_MCFTemperatureZone[[#Headers],[Temperature zone]],0)</f>
        <v>0.03</v>
      </c>
      <c r="M248" s="11" cm="1">
        <f t="array" ref="M248">Common_InputFunctions.Utility_DisplayArrayInTable(Common_SourceData.Common_SourceData_MCFTemperatureZone_Data(),Table_SourceData_Common_MCFTemperatureZone[[#Headers],[Temperature zone]],0)</f>
        <v>0.04</v>
      </c>
      <c r="N248" s="11" cm="1">
        <f t="array" ref="N248">Common_InputFunctions.Utility_DisplayArrayInTable(Common_SourceData.Common_SourceData_MCFTemperatureZone_Data(),Table_SourceData_Common_MCFTemperatureZone[[#Headers],[Temperature zone]],0)</f>
        <v>1.4999999999999999E-2</v>
      </c>
      <c r="O248" s="11" cm="1">
        <f t="array" ref="O248">Common_InputFunctions.Utility_DisplayArrayInTable(Common_SourceData.Common_SourceData_MCFTemperatureZone_Data(),Table_SourceData_Common_MCFTemperatureZone[[#Headers],[Temperature zone]],0)</f>
        <v>1.4999999999999999E-2</v>
      </c>
      <c r="P248" s="11" cm="1">
        <f t="array" ref="P248">Common_InputFunctions.Utility_DisplayArrayInTable(Common_SourceData.Common_SourceData_MCFTemperatureZone_Data(),Table_SourceData_Common_MCFTemperatureZone[[#Headers],[Temperature zone]],0)</f>
        <v>0</v>
      </c>
      <c r="Q248" s="11" cm="1">
        <f t="array" ref="Q248">Common_InputFunctions.Utility_DisplayArrayInTable(Common_SourceData.Common_SourceData_MCFTemperatureZone_Data(),Table_SourceData_Common_MCFTemperatureZone[[#Headers],[Temperature zone]],0)</f>
        <v>0</v>
      </c>
      <c r="R248" s="11" cm="1">
        <f t="array" ref="R248">Common_InputFunctions.Utility_DisplayArrayInTable(Common_SourceData.Common_SourceData_MCFTemperatureZone_Data(),Table_SourceData_Common_MCFTemperatureZone[[#Headers],[Temperature zone]],0)</f>
        <v>4.7000000000000002E-3</v>
      </c>
      <c r="S248" s="1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1" cm="1">
        <f t="array" ref="E249">Common_InputFunctions.Utility_DisplayArrayInTable(Common_SourceData.Common_SourceData_MCFTemperatureZone_Data(),Table_SourceData_Common_MCFTemperatureZone[[#Headers],[Temperature zone]],0)</f>
        <v>27</v>
      </c>
      <c r="F249" s="11" cm="1">
        <f t="array" ref="F249">Common_InputFunctions.Utility_DisplayArrayInTable(Common_SourceData.Common_SourceData_MCFTemperatureZone_Data(),Table_SourceData_Common_MCFTemperatureZone[[#Headers],[Temperature zone]],0)</f>
        <v>0.8</v>
      </c>
      <c r="G249" s="11" cm="1">
        <f t="array" ref="G249">Common_InputFunctions.Utility_DisplayArrayInTable(Common_SourceData.Common_SourceData_MCFTemperatureZone_Data(),Table_SourceData_Common_MCFTemperatureZone[[#Headers],[Temperature zone]],0)</f>
        <v>0.1</v>
      </c>
      <c r="H249" s="11" cm="1">
        <f t="array" ref="H249">Common_InputFunctions.Utility_DisplayArrayInTable(Common_SourceData.Common_SourceData_MCFTemperatureZone_Data(),Table_SourceData_Common_MCFTemperatureZone[[#Headers],[Temperature zone]],0)</f>
        <v>0.48</v>
      </c>
      <c r="I249" s="11" cm="1">
        <f t="array" ref="I249">Common_InputFunctions.Utility_DisplayArrayInTable(Common_SourceData.Common_SourceData_MCFTemperatureZone_Data(),Table_SourceData_Common_MCFTemperatureZone[[#Headers],[Temperature zone]],0)</f>
        <v>0.01</v>
      </c>
      <c r="J249" s="11" cm="1">
        <f t="array" ref="J249">Common_InputFunctions.Utility_DisplayArrayInTable(Common_SourceData.Common_SourceData_MCFTemperatureZone_Data(),Table_SourceData_Common_MCFTemperatureZone[[#Headers],[Temperature zone]],0)</f>
        <v>1.4999999999999999E-2</v>
      </c>
      <c r="K249" s="11" cm="1">
        <f t="array" ref="K249">Common_InputFunctions.Utility_DisplayArrayInTable(Common_SourceData.Common_SourceData_MCFTemperatureZone_Data(),Table_SourceData_Common_MCFTemperatureZone[[#Headers],[Temperature zone]],0)</f>
        <v>0.02</v>
      </c>
      <c r="L249" s="11" cm="1">
        <f t="array" ref="L249">Common_InputFunctions.Utility_DisplayArrayInTable(Common_SourceData.Common_SourceData_MCFTemperatureZone_Data(),Table_SourceData_Common_MCFTemperatureZone[[#Headers],[Temperature zone]],0)</f>
        <v>0.03</v>
      </c>
      <c r="M249" s="11" cm="1">
        <f t="array" ref="M249">Common_InputFunctions.Utility_DisplayArrayInTable(Common_SourceData.Common_SourceData_MCFTemperatureZone_Data(),Table_SourceData_Common_MCFTemperatureZone[[#Headers],[Temperature zone]],0)</f>
        <v>0.04</v>
      </c>
      <c r="N249" s="11" cm="1">
        <f t="array" ref="N249">Common_InputFunctions.Utility_DisplayArrayInTable(Common_SourceData.Common_SourceData_MCFTemperatureZone_Data(),Table_SourceData_Common_MCFTemperatureZone[[#Headers],[Temperature zone]],0)</f>
        <v>1.4999999999999999E-2</v>
      </c>
      <c r="O249" s="11" cm="1">
        <f t="array" ref="O249">Common_InputFunctions.Utility_DisplayArrayInTable(Common_SourceData.Common_SourceData_MCFTemperatureZone_Data(),Table_SourceData_Common_MCFTemperatureZone[[#Headers],[Temperature zone]],0)</f>
        <v>1.4999999999999999E-2</v>
      </c>
      <c r="P249" s="11" cm="1">
        <f t="array" ref="P249">Common_InputFunctions.Utility_DisplayArrayInTable(Common_SourceData.Common_SourceData_MCFTemperatureZone_Data(),Table_SourceData_Common_MCFTemperatureZone[[#Headers],[Temperature zone]],0)</f>
        <v>0</v>
      </c>
      <c r="Q249" s="11" cm="1">
        <f t="array" ref="Q249">Common_InputFunctions.Utility_DisplayArrayInTable(Common_SourceData.Common_SourceData_MCFTemperatureZone_Data(),Table_SourceData_Common_MCFTemperatureZone[[#Headers],[Temperature zone]],0)</f>
        <v>0</v>
      </c>
      <c r="R249" s="11" cm="1">
        <f t="array" ref="R249">Common_InputFunctions.Utility_DisplayArrayInTable(Common_SourceData.Common_SourceData_MCFTemperatureZone_Data(),Table_SourceData_Common_MCFTemperatureZone[[#Headers],[Temperature zone]],0)</f>
        <v>4.7000000000000002E-3</v>
      </c>
      <c r="S249" s="1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1" t="str" cm="1">
        <f t="array" ref="E250">Common_InputFunctions.Utility_DisplayArrayInTable(Common_SourceData.Common_SourceData_MCFTemperatureZone_Data(),Table_SourceData_Common_MCFTemperatureZone[[#Headers],[Temperature zone]],0)</f>
        <v>≥28</v>
      </c>
      <c r="F250" s="11" cm="1">
        <f t="array" ref="F250">Common_InputFunctions.Utility_DisplayArrayInTable(Common_SourceData.Common_SourceData_MCFTemperatureZone_Data(),Table_SourceData_Common_MCFTemperatureZone[[#Headers],[Temperature zone]],0)</f>
        <v>0.8</v>
      </c>
      <c r="G250" s="11" cm="1">
        <f t="array" ref="G250">Common_InputFunctions.Utility_DisplayArrayInTable(Common_SourceData.Common_SourceData_MCFTemperatureZone_Data(),Table_SourceData_Common_MCFTemperatureZone[[#Headers],[Temperature zone]],0)</f>
        <v>0.1</v>
      </c>
      <c r="H250" s="11" cm="1">
        <f t="array" ref="H250">Common_InputFunctions.Utility_DisplayArrayInTable(Common_SourceData.Common_SourceData_MCFTemperatureZone_Data(),Table_SourceData_Common_MCFTemperatureZone[[#Headers],[Temperature zone]],0)</f>
        <v>0.5</v>
      </c>
      <c r="I250" s="11" cm="1">
        <f t="array" ref="I250">Common_InputFunctions.Utility_DisplayArrayInTable(Common_SourceData.Common_SourceData_MCFTemperatureZone_Data(),Table_SourceData_Common_MCFTemperatureZone[[#Headers],[Temperature zone]],0)</f>
        <v>0.01</v>
      </c>
      <c r="J250" s="11" cm="1">
        <f t="array" ref="J250">Common_InputFunctions.Utility_DisplayArrayInTable(Common_SourceData.Common_SourceData_MCFTemperatureZone_Data(),Table_SourceData_Common_MCFTemperatureZone[[#Headers],[Temperature zone]],0)</f>
        <v>1.4999999999999999E-2</v>
      </c>
      <c r="K250" s="11" cm="1">
        <f t="array" ref="K250">Common_InputFunctions.Utility_DisplayArrayInTable(Common_SourceData.Common_SourceData_MCFTemperatureZone_Data(),Table_SourceData_Common_MCFTemperatureZone[[#Headers],[Temperature zone]],0)</f>
        <v>0.02</v>
      </c>
      <c r="L250" s="11" cm="1">
        <f t="array" ref="L250">Common_InputFunctions.Utility_DisplayArrayInTable(Common_SourceData.Common_SourceData_MCFTemperatureZone_Data(),Table_SourceData_Common_MCFTemperatureZone[[#Headers],[Temperature zone]],0)</f>
        <v>0.03</v>
      </c>
      <c r="M250" s="11" cm="1">
        <f t="array" ref="M250">Common_InputFunctions.Utility_DisplayArrayInTable(Common_SourceData.Common_SourceData_MCFTemperatureZone_Data(),Table_SourceData_Common_MCFTemperatureZone[[#Headers],[Temperature zone]],0)</f>
        <v>0.04</v>
      </c>
      <c r="N250" s="11" cm="1">
        <f t="array" ref="N250">Common_InputFunctions.Utility_DisplayArrayInTable(Common_SourceData.Common_SourceData_MCFTemperatureZone_Data(),Table_SourceData_Common_MCFTemperatureZone[[#Headers],[Temperature zone]],0)</f>
        <v>1.4999999999999999E-2</v>
      </c>
      <c r="O250" s="11" cm="1">
        <f t="array" ref="O250">Common_InputFunctions.Utility_DisplayArrayInTable(Common_SourceData.Common_SourceData_MCFTemperatureZone_Data(),Table_SourceData_Common_MCFTemperatureZone[[#Headers],[Temperature zone]],0)</f>
        <v>1.4999999999999999E-2</v>
      </c>
      <c r="P250" s="11" cm="1">
        <f t="array" ref="P250">Common_InputFunctions.Utility_DisplayArrayInTable(Common_SourceData.Common_SourceData_MCFTemperatureZone_Data(),Table_SourceData_Common_MCFTemperatureZone[[#Headers],[Temperature zone]],0)</f>
        <v>0</v>
      </c>
      <c r="Q250" s="11" cm="1">
        <f t="array" ref="Q250">Common_InputFunctions.Utility_DisplayArrayInTable(Common_SourceData.Common_SourceData_MCFTemperatureZone_Data(),Table_SourceData_Common_MCFTemperatureZone[[#Headers],[Temperature zone]],0)</f>
        <v>0</v>
      </c>
      <c r="R250" s="11" cm="1">
        <f t="array" ref="R250">Common_InputFunctions.Utility_DisplayArrayInTable(Common_SourceData.Common_SourceData_MCFTemperatureZone_Data(),Table_SourceData_Common_MCFTemperatureZone[[#Headers],[Temperature zone]],0)</f>
        <v>4.7000000000000002E-3</v>
      </c>
      <c r="S250" s="11"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2" t="str" cm="1">
        <f t="array" ref="D256">Common_SourceData.Common_SourceData_EFOrganicFertiliserAndCropResidues_Unit()</f>
        <v>kg N2O - N / kg N</v>
      </c>
    </row>
    <row r="257" spans="4:5" x14ac:dyDescent="0.25">
      <c r="D257" s="11" t="s">
        <v>66</v>
      </c>
      <c r="E257" s="11" t="s">
        <v>67</v>
      </c>
    </row>
    <row r="258" spans="4:5" x14ac:dyDescent="0.25">
      <c r="D258" s="11" t="str" cm="1">
        <f t="array" ref="D258">Common_InputFunctions.Utility_DisplayArrayInTable(Common_SourceData.Common_SourceData_EFOrganicFertiliserAndCropResidues_Data(), Table_SourceData_Common_EFOrganicFertCropResidues[[#Headers],[Climate Zone]], 0)</f>
        <v>Wet climate zone</v>
      </c>
      <c r="E258" s="11"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1"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dimension ref="A1:A8"/>
  <sheetViews>
    <sheetView zoomScaleNormal="100" workbookViewId="0">
      <selection activeCell="A8" sqref="A8"/>
    </sheetView>
  </sheetViews>
  <sheetFormatPr defaultRowHeight="15" x14ac:dyDescent="0.25"/>
  <sheetData>
    <row r="1" spans="1:1" x14ac:dyDescent="0.25">
      <c r="A1" t="s">
        <v>45</v>
      </c>
    </row>
    <row r="3" spans="1:1" ht="15.75" x14ac:dyDescent="0.25">
      <c r="A3" s="17" t="str">
        <f>HYPERLINK("#'Home'!A1", "Home")</f>
        <v>Home</v>
      </c>
    </row>
    <row r="6" spans="1:1" x14ac:dyDescent="0.25">
      <c r="A6" s="16" t="s">
        <v>68</v>
      </c>
    </row>
    <row r="7" spans="1:1" ht="15.75" x14ac:dyDescent="0.25">
      <c r="A7" s="17" t="str">
        <f>HYPERLINK("#'Constants - Common'!A1", "Constants - Common")</f>
        <v>Constants - Common</v>
      </c>
    </row>
    <row r="8" spans="1:1" ht="15.75" x14ac:dyDescent="0.25">
      <c r="A8" s="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Home</vt:lpstr>
      <vt:lpstr>Constants - Common</vt:lpstr>
      <vt:lpstr>Acknowledgements</vt:lpstr>
      <vt:lpstr>Common_SourceData_DensityOfMethane_Data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2026-08-03T06:59:56Z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