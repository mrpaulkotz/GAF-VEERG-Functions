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drawings/drawing1.xml" ContentType="application/vnd.openxmlformats-officedocument.drawing+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7C0AD1E-86FE-4715-AD51-9B4CDCE1DDF5}" xr6:coauthVersionLast="47" xr6:coauthVersionMax="47" xr10:uidLastSave="{00000000-0000-0000-0000-000000000000}"/>
  <bookViews>
    <workbookView xWindow="60" yWindow="135" windowWidth="28545" windowHeight="16965" firstSheet="5" activeTab="10" xr2:uid="{D37248E2-1193-4B5E-BE4F-D7532AB14CA0}"/>
  </bookViews>
  <sheets>
    <sheet name="Constants - Poultry" sheetId="26" r:id="rId1"/>
    <sheet name="Constants - Swine" sheetId="25" r:id="rId2"/>
    <sheet name="Constants - Dairy" sheetId="23" r:id="rId3"/>
    <sheet name="Constants - Pasture Beef" sheetId="22" r:id="rId4"/>
    <sheet name="Input - Site" sheetId="10" r:id="rId5"/>
    <sheet name="Input - Fertiliser" sheetId="7" r:id="rId6"/>
    <sheet name="Input - Feed" sheetId="15" r:id="rId7"/>
    <sheet name="Input - Farm Inputs" sheetId="13" r:id="rId8"/>
    <sheet name="Input - Fuel" sheetId="5" r:id="rId9"/>
    <sheet name="Input - Electricity" sheetId="9" r:id="rId10"/>
    <sheet name="Calcs scope 3" sheetId="19" r:id="rId11"/>
    <sheet name="Constants - Scope 3" sheetId="20" r:id="rId12"/>
    <sheet name="Constants - Common Livestock" sheetId="18" r:id="rId13"/>
    <sheet name="Sheet1" sheetId="1" r:id="rId14"/>
    <sheet name="Constants - Fertiliser" sheetId="6" r:id="rId15"/>
    <sheet name="Constants - Fuel" sheetId="4" r:id="rId16"/>
    <sheet name="Constants - Electricity" sheetId="8" r:id="rId17"/>
    <sheet name="Constants - Common" sheetId="3" r:id="rId18"/>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AtmosphericDepositionInorganicFertiliser">_xlfn.LAMBDA(_xlpm.Mvolinorganicjf,_xlpm.EFadj,_xlpm.CgN2O, CommonAgSoils_Equations.AgSoils_AtmosphericDeposition(_xlpm.Mvolinorganicjf, _xlpm.EFadj, _xlpm.CgN2O))</definedName>
    <definedName name="Fertiliser_Equations_AtmosphericDeposition.VEERG_5_4_1_1__1_AtmosphericDepositionInorganicFertiliser_Arguments">_xlfn.LAMBDA(_xlfn.MAKEARRAY(6, 2, _xlfn.LAMBDA(_xlpm.r,_xlpm.c, INDEX({"Mvolinorganicjf","Mass of nitrogen volatised from inorganic fertiliser applied to soils: kg N";"EFadj","Emission factor for atmospheric deposition : kg N2O-N/kg N";"CgN2O","Factor to convert elemental mass of nitrous oxide to molecular mass : dimensionless";"j","Production system";"f","Inorganic fertiliser type";"GWPN2O","Global warming potential for nitrous oxide : t CO2-e / t N2O"}, _xlpm.r, _xlpm.c))))</definedName>
    <definedName name="Fertiliser_Equations_AtmosphericDeposition.VEERG_5_4_1_1__1_AtmosphericDepositionInorganicFertiliser_GWP">_xlfn.LAMBDA(_xlpm.EN2Oad,_xlpm.GWPN2O, CommonAgSoils_Equations.AgSoils_AtmosphericDeposition_GWP(_xlpm.EN2Oad, _xlpm.GWPN2O))</definedName>
    <definedName name="Fertiliser_Equations_AtmosphericDeposition.VEERG_5_4_1_1__1_AtmosphericDepositionInorganicFertiliser_NIRReference">_xlfn.LAMBDA(CommonAgSoils_Equations.AgSoils_AtmosphericDeposition_NIRReference())</definedName>
    <definedName name="Fertiliser_Equations_AtmosphericDeposition.VEERG_5_4_1_1__1_AtmosphericDepositionInorganicFertiliser_ReadableEquation">_xlfn.LAMBDA("Eadinorganic = Mvolinorganicjf * EFadj * CgN2O * 10 ^ - 3")</definedName>
    <definedName name="Fertiliser_Equations_AtmosphericDeposition.VEERG_5_4_1_1__1_AtmosphericDepositionInorganicFertiliser_Source">_xlfn.LAMBDA("VEERG 2026: 5.4.1.1, Equation (1)")</definedName>
    <definedName name="Fertiliser_Equations_AtmosphericDeposition.VEERG_5_4_1_1__1_AtmosphericDepositionInorganicFertiliser_Title">_xlfn.LAMBDA("Nitrous oxide emissions from atmospheric deposition from all inorganic fertiliser types f and all production systems j")</definedName>
    <definedName name="Fertiliser_Equations_AtmosphericDeposition.VEERG_5_4_1_1__1_AtmosphericDepositionInorganicFertiliser_Unit">_xlfn.LAMBDA("t N2O")</definedName>
    <definedName name="Fertiliser_Equations_AtmosphericDeposition.VEERG_5_4_1_1__1_AtmosphericDepositionInorganicFertiliser_Variable">_xlfn.LAMBDA("Eadinorganic")</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1__2_MassVolatilisedInorganicFertiliser">_xlfn.LAMBDA(_xlpm.MNjf,_xlpm.FracGASFf, CommonAgSoils_Equations.Agsoils_MassVolatilisedInorganicFertiliser(_xlpm.MNjf, _xlpm.FracGASFf))</definedName>
    <definedName name="Fertiliser_Equations_AtmosphericDeposition.VEERG_5_4_1_1__2_MassVolatilisedInorganicFertiliser_Arguments">_xlfn.LAMBDA(_xlfn.MAKEARRAY(2, 2, _xlfn.LAMBDA(_xlpm.r,_xlpm.c, INDEX({"MNjf","Mass of nitrogen in inorganic fertiliser applied : kg N";"FracGASFf","Fraction of inorganic fertiliser that volatilises : (kg NH3-N + NOx-N)/kg N"}, _xlpm.r, _xlpm.c))))</definedName>
    <definedName name="Fertiliser_Equations_AtmosphericDeposition.VEERG_5_4_1_1__2_MassVolatilisedInorganicFertiliser_NIRReference">_xlfn.LAMBDA(CommonAgSoils_Equations.Agsoils_MassVolatilisedInorganicFertiliser_NIRReference())</definedName>
    <definedName name="Fertiliser_Equations_AtmosphericDeposition.VEERG_5_4_1_1__2_MassVolatilisedInorganicFertiliser_ReadableEquation">_xlfn.LAMBDA("Mvolinorganicjf = MNjf * FracGASFf")</definedName>
    <definedName name="Fertiliser_Equations_AtmosphericDeposition.VEERG_5_4_1_1__2_MassVolatilisedInorganicFertiliser_Source">_xlfn.LAMBDA("VEERG 2026: 5.4.1.1, Equation (2)")</definedName>
    <definedName name="Fertiliser_Equations_AtmosphericDeposition.VEERG_5_4_1_1__2_MassVolatilisedInorganicFertiliser_Title">_xlfn.LAMBDA("Mass of nitrogen volatilised from inorganic fertiliser")</definedName>
    <definedName name="Fertiliser_Equations_AtmosphericDeposition.VEERG_5_4_1_1__2_MassVolatilisedInorganicFertiliser_Unit">_xlfn.LAMBDA("kg N")</definedName>
    <definedName name="Fertiliser_Equations_AtmosphericDeposition.VEERG_5_4_1_1__2_MassVolatilisedInorganicFertiliser_Variable">_xlfn.LAMBDA("Mvolinorganicjf")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VEERG_5_1_1_1__1_InorganicFertiliserApplication">_xlfn.LAMBDA(_xlpm.MNjf,_xlpm.EFjN2O,_xlpm.CgN2O, _xlpm.MNjf * _xlpm.EFjN2O * _xlpm.CgN2O * 10 ^ -3)</definedName>
    <definedName name="Fertiliser_Equations_Inorganic.VEERG_5_1_1_1__1_InorganicFertiliserApplication_Arguments">_xlfn.LAMBDA(_xlfn.MAKEARRAY(6, 2, _xlfn.LAMBDA(_xlpm.r,_xlpm.c, INDEX({"MNjf","Mass of nitrogen in inorganic fertiliser type f applied to soils in production system j : kg N";"EFjN2O","Emission factor for nitrous oxide for inorganic fertilisers : kg N2O-N/kg N applied";"CgN2O","Factor to convert elemental mass of nitrous oxide to molecular mass : dimensionless";"j","Production system";"f","Inorganic fertiliser type";"GWPN2O","Global warming potential for nitrous oxide : t CO2-e / t N2O"}, _xlpm.r, _xlpm.c))))</definedName>
    <definedName name="Fertiliser_Equations_Inorganic.VEERG_5_1_1_1__1_InorganicFertiliserApplication_GWP">_xlfn.LAMBDA(_xlpm.EN2O,_xlpm.GWPN2O, (_xlpm.EN2O * _xlpm.GWPN2O))</definedName>
    <definedName name="Fertiliser_Equations_Inorganic.VEERG_5_1_1_1__1_InorganicFertiliserApplication_NIRReference">_xlfn.LAMBDA("National Inventory Report Volume 1, 2023: Equation 3.D.A_2")</definedName>
    <definedName name="Fertiliser_Equations_Inorganic.VEERG_5_1_1_1__1_InorganicFertiliserApplication_ReadableEquation">_xlfn.LAMBDA("EN2O = MNjf * EFjN2O * CgN2O * 10 ^ - 3")</definedName>
    <definedName name="Fertiliser_Equations_Inorganic.VEERG_5_1_1_1__1_InorganicFertiliserApplication_Source">_xlfn.LAMBDA("VEERG 2026: 5.1.1.1, Equation (1)")</definedName>
    <definedName name="Fertiliser_Equations_Inorganic.VEERG_5_1_1_1__1_InorganicFertiliserApplication_Title">_xlfn.LAMBDA("Nitrous oxide emissions from the application of all inorganic fertiliser types f to all production systems")</definedName>
    <definedName name="Fertiliser_Equations_Inorganic.VEERG_5_1_1_1__1_InorganicFertiliserApplication_Unit">_xlfn.LAMBDA("t CO2-e")</definedName>
    <definedName name="Fertiliser_Equations_Inorganic.VEERG_5_1_1_1__1_InorganicFertiliserApplication_Variable">_xlfn.LAMBDA("EN2O")</definedName>
    <definedName name="Fertiliser_Equations_Inorganic.VEERG_5_1_1_1__2_MassOfNitrogenInInorganicFertiliser">_xlfn.LAMBDA(_xlpm.TMjf,_xlpm.FNinorganicf, _xlpm.TMjf * _xlpm.FNinorganicf)</definedName>
    <definedName name="Fertiliser_Equations_Inorganic.VEERG_5_1_1_1__2_MassOfNitrogenInInorganicFertiliser_Arguments">_xlfn.LAMBDA(_xlfn.MAKEARRAY(5, 2, _xlfn.LAMBDA(_xlpm.r,_xlpm.c, INDEX({"TMjf","Total mass of inorganic fertiliser type f applied to production system j : kg";"FNinorganicf","Fraction of nitrogen in inorganic fertiliser type f : kg N/kg";"j","Production system";"inorganic","Inorganic fertiliser";"f","Fertiliser type"}, _xlpm.r, _xlpm.c))))</definedName>
    <definedName name="Fertiliser_Equations_Inorganic.VEERG_5_1_1_1__2_MassOfNitrogenInInorganicFertiliser_NIRReference">_xlfn.LAMBDA("National Inventory Report Volume 1, 2023: Equation 3.D.A_1")</definedName>
    <definedName name="Fertiliser_Equations_Inorganic.VEERG_5_1_1_1__2_MassOfNitrogenInInorganicFertiliser_ReadableEquation">_xlfn.LAMBDA("MNjf = TMjf * FNinorganicf")</definedName>
    <definedName name="Fertiliser_Equations_Inorganic.VEERG_5_1_1_1__2_MassOfNitrogenInInorganicFertiliser_Source">_xlfn.LAMBDA("VEERG 2026: 5.1.1.1, Equation (2)")</definedName>
    <definedName name="Fertiliser_Equations_Inorganic.VEERG_5_1_1_1__2_MassOfNitrogenInInorganicFertiliser_Title">_xlfn.LAMBDA("Mass of nitrogen in inorganic fertiliser applied to soil")</definedName>
    <definedName name="Fertiliser_Equations_Inorganic.VEERG_5_1_1_1__2_MassOfNitrogenInInorganicFertiliser_Unit">_xlfn.LAMBDA("kg N")</definedName>
    <definedName name="Fertiliser_Equations_Inorganic.VEERG_5_1_1_1__2_MassOfNitrogenInInorganicFertiliser_Variable">_xlfn.LAMBDA("MNjf")</definedName>
    <definedName name="Fertiliser_Equations_Inorganic.VEERG_5_1_1_3__1_UreaFertiliserApplication">_xlfn.LAMBDA(_xlpm.MUjf,_xlpm.EFureaCO2,_xlpm.CgCO2, _xlpm.MUjf * _xlpm.EFureaCO2 * _xlpm.CgCO2 * 10 ^ -3)</definedName>
    <definedName name="Fertiliser_Equations_Inorganic.VEERG_5_1_1_3__1_UreaFertiliserApplication_Arguments">_xlfn.LAMBDA(_xlfn.MAKEARRAY(5, 2, _xlfn.LAMBDA(_xlpm.r,_xlpm.c, INDEX({"MUjf","Mass of urea of inorganic fertiliser type f applied to production system j : kg urea";"EFureaCO2","Emission factor for carbon emissions from urea-based fertilisers : kg C/kg urea";"CgCO2","Factor to convert elemental mass of carbon dioxide to molecular mass : dimensionless";"j","Production system";"f","Fertiliser type"}, _xlpm.r, _xlpm.c))))</definedName>
    <definedName name="Fertiliser_Equations_Inorganic.VEERG_5_1_1_3__1_UreaFertiliserApplication_LatexEquation">_xlfn.LAMBDA("E_{jf,CO2}={MU}_{jf}\times EF_{urea,CO2}\ \times\ C_{g,CO2}\times{10}^{-3}")</definedName>
    <definedName name="Fertiliser_Equations_Inorganic.VEERG_5_1_1_3__1_UreaFertiliserApplication_NIRReference">_xlfn.LAMBDA("National Inventory Report Volume 1, 2023: Equation 3.H_1")</definedName>
    <definedName name="Fertiliser_Equations_Inorganic.VEERG_5_1_1_3__1_UreaFertiliserApplication_ReadableEquation">_xlfn.LAMBDA("EjfCO2 = MUjf x EFureaCO2 x CgCO2 x 10^-3")</definedName>
    <definedName name="Fertiliser_Equations_Inorganic.VEERG_5_1_1_3__1_UreaFertiliserApplication_Source">_xlfn.LAMBDA("VEERG 2026: 5.1.1.3, Equation (1)")</definedName>
    <definedName name="Fertiliser_Equations_Inorganic.VEERG_5_1_1_3__1_UreaFertiliserApplication_Title">_xlfn.LAMBDA("Carbon dioxide emissions resulting from the use of inorganic, urea-based fertilisers")</definedName>
    <definedName name="Fertiliser_Equations_Inorganic.VEERG_5_1_1_3__1_UreaFertiliserApplication_Unit">_xlfn.LAMBDA("t CO2")</definedName>
    <definedName name="Fertiliser_Equations_Inorganic.VEERG_5_1_1_3__1_UreaFertiliserApplication_Variable">_xlfn.LAMBDA("EjfCO2")</definedName>
    <definedName name="Fertiliser_Equations_Inorganic.VEERG_5_1_1_3__2_MassOfUreaAppliedToSoils">_xlfn.LAMBDA(_xlpm.TMjf,_xlpm.FUf, _xlpm.TMjf * _xlpm.FUf)</definedName>
    <definedName name="Fertiliser_Equations_Inorganic.VEERG_5_1_1_3__2_MassOfUreaAppliedToSoils_Arguments">_xlfn.LAMBDA(_xlfn.MAKEARRAY(4, 2, _xlfn.LAMBDA(_xlpm.r,_xlpm.c, INDEX({"TMjf","the total mass of inorganic fertiliser type f applied to production system j : kg";"FUf","the fraction of urea in fertiliser type f : kg urea/kg";"j","Production system";"f","Fertiliser type"}, _xlpm.r, _xlpm.c))))</definedName>
    <definedName name="Fertiliser_Equations_Inorganic.VEERG_5_1_1_3__2_MassOfUreaAppliedToSoils_NIRReference">_xlfn.LAMBDA("")</definedName>
    <definedName name="Fertiliser_Equations_Inorganic.VEERG_5_1_1_3__2_MassOfUreaAppliedToSoils_ReadableEquation">_xlfn.LAMBDA("MUjf = TMjf × FUf")</definedName>
    <definedName name="Fertiliser_Equations_Inorganic.VEERG_5_1_1_3__2_MassOfUreaAppliedToSoils_Source">_xlfn.LAMBDA("VEERG 2026: 5.1.1.3, Equation (2)")</definedName>
    <definedName name="Fertiliser_Equations_Inorganic.VEERG_5_1_1_3__2_MassOfUreaAppliedToSoils_Title">_xlfn.LAMBDA("Mass of urea applied to soils")</definedName>
    <definedName name="Fertiliser_Equations_Inorganic.VEERG_5_1_1_3__2_MassOfUreaAppliedToSoils_Unit">_xlfn.LAMBDA("kg urea")</definedName>
    <definedName name="Fertiliser_Equations_Inorganic.VEERG_5_1_1_3__2_MassOfUreaAppliedToSoils_Variable">_xlfn.LAMBDA("MUjf")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_Arguments">_xlfn.LAMBDA(_xlfn.MAKEARRAY(8, 2, _xlfn.LAMBDA(_xlpm.r,_xlpm.c, INDEX({"Mlime","The total mass of lime applied to soils : kg";"FracLime","The fraction of lime as limestone (CaCO3) : dimensionless";"Plime","Fractional purity of limestone : dimensionless";"EFlime","Emission factor for limestone fraction of lime : kg C/kg";"FracDol","The fraction of lime as dolomite : dimensionless";"PPdol","Fractional purity of dolomite : dimensionless";"EFdol","Emission factor for dolomite fraction of lime : kg C/kg";"CgCO2","Factor to convert elemental mass of carbon dioxide to molecular mass : dimensionless"}, _xlpm.r, _xlpm.c))))</definedName>
    <definedName name="Fertiliser_Equations_Lime.VEERG_5_3_1_1__1_LimeApplication_NIRReference">_xlfn.LAMBDA("National Inventory Report Volume 1, 2023: Equation 3G_1")</definedName>
    <definedName name="Fertiliser_Equations_Lime.VEERG_5_3_1_1__1_LimeApplication_ReadableEquation">_xlfn.LAMBDA("Elime = ((Mlime *  FracLime * Plime * EFlime) + (Mlime * FracDol * Pdol * EFdol)) * CgCO2 * 10^-3")</definedName>
    <definedName name="Fertiliser_Equations_Lime.VEERG_5_3_1_1__1_LimeApplication_Source">_xlfn.LAMBDA("VEERG 2026: 5.3.1.1, Equation (1)")</definedName>
    <definedName name="Fertiliser_Equations_Lime.VEERG_5_3_1_1__1_LimeApplication_Title">_xlfn.LAMBDA("The emissions from the application of lime and dolomite to soils")</definedName>
    <definedName name="Fertiliser_Equations_Lime.VEERG_5_3_1_1__1_LimeApplication_Unit">_xlfn.LAMBDA("t CO2")</definedName>
    <definedName name="Fertiliser_Equations_Lime.VEERG_5_3_1_1__1_LimeApplication_Variable">_xlfn.LAMBDA("Elime")</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1_OrganicFertiliserApplication">_xlfn.LAMBDA(_xlpm.MNSoiljf,_xlpm.EFiN2O,_xlpm.CgN2O, _xlpm.MNSoiljf * _xlpm.EFiN2O * _xlpm.CgN2O * 10 ^ -3)</definedName>
    <definedName name="Fertiliser_Equations_Organic.VEERG_5_2_1_1__1_OrganicFertiliserApplication_Arguments">_xlfn.LAMBDA(_xlfn.MAKEARRAY(7, 2, _xlfn.LAMBDA(_xlpm.r,_xlpm.c, INDEX({"MNSoiljf","mass of nitrogen in organic fertiliser type f applied to soils in production system j : kg N";"EFiN2O","emission factor for direct nitrous oxide emissions from organic fertiliser applied to soils : kg N2O-N/kg N";"CgN2O","Factor to convert elemental mass of nitrous oxide to molecular mass : dimensionless";"j","Production system";"f","Organic fertiliser type";"i","Climate zone";"GWPN2O","Global warming potential for nitrous oxide : t CO2-e / t N2O"}, _xlpm.r, _xlpm.c))))</definedName>
    <definedName name="Fertiliser_Equations_Organic.VEERG_5_2_1_1__1_OrganicFertiliserApplication_GWP">_xlfn.LAMBDA(_xlpm.EN2O,_xlpm.GWPN2O, (_xlpm.EN2O * _xlpm.GWPN2O))</definedName>
    <definedName name="Fertiliser_Equations_Organic.VEERG_5_2_1_1__1_OrganicFertiliserApplication_NIRReference">_xlfn.LAMBDA("National Inventory Report Volume 1, 2023: Equation 3.D.A_4")</definedName>
    <definedName name="Fertiliser_Equations_Organic.VEERG_5_2_1_1__1_OrganicFertiliserApplication_ReadableEquation">_xlfn.LAMBDA("EN2O = MNSoiljf * EFiN2O * CgN2O * 10 ^ - 3")</definedName>
    <definedName name="Fertiliser_Equations_Organic.VEERG_5_2_1_1__1_OrganicFertiliserApplication_Source">_xlfn.LAMBDA("VEERG 2026: 5.2.1.1, Equation (1)")</definedName>
    <definedName name="Fertiliser_Equations_Organic.VEERG_5_2_1_1__1_OrganicFertiliserApplication_Title">_xlfn.LAMBDA("Nitrous oxide emissions from organic fertilisers applied to soils for all organic fertiliser types f and all production systems j")</definedName>
    <definedName name="Fertiliser_Equations_Organic.VEERG_5_2_1_1__1_OrganicFertiliserApplication_Unit">_xlfn.LAMBDA("t CO2-e")</definedName>
    <definedName name="Fertiliser_Equations_Organic.VEERG_5_2_1_1__1_OrganicFertiliserApplication_Variable">_xlfn.LAMBDA("EN2O")</definedName>
    <definedName name="Fertiliser_Equations_Organic.VEERG_5_2_1_1__2_MassOfNitrogenInOrganicFertiliser">_xlfn.LAMBDA(_xlpm.Morganicjf,_xlpm.FNorganicf, _xlpm.Morganicjf * _xlpm.FNorganicf)</definedName>
    <definedName name="Fertiliser_Equations_Organic.VEERG_5_2_1_1__2_MassOfNitrogenInOrganicFertiliser_Arguments">_xlfn.LAMBDA(_xlfn.MAKEARRAY(2, 2, _xlfn.LAMBDA(_xlpm.r,_xlpm.c, INDEX({"Morganicjf","mass of organic fertiliser type f applied to soils in production system j : kg";"FNorganicf","nitrogen fraction of organic fertiliser type f : kg N/kg"}, _xlpm.r, _xlpm.c))))</definedName>
    <definedName name="Fertiliser_Equations_Organic.VEERG_5_2_1_1__2_MassOfNitrogenInOrganicFertiliser_NIRReference">_xlfn.LAMBDA("")</definedName>
    <definedName name="Fertiliser_Equations_Organic.VEERG_5_2_1_1__2_MassOfNitrogenInOrganicFertiliser_ReadableEquation">_xlfn.LAMBDA("MNSoiljf = Morganicjf * FNorganicf")</definedName>
    <definedName name="Fertiliser_Equations_Organic.VEERG_5_2_1_1__2_MassOfNitrogenInOrganicFertiliser_Source">_xlfn.LAMBDA("VEERG 2026: 5.2.1.1, Equation (2)")</definedName>
    <definedName name="Fertiliser_Equations_Organic.VEERG_5_2_1_1__2_MassOfNitrogenInOrganicFertiliser_Title">_xlfn.LAMBDA("Mass of nitrogen in purchased organic fertilisers applied to soils")</definedName>
    <definedName name="Fertiliser_Equations_Organic.VEERG_5_2_1_1__2_MassOfNitrogenInOrganicFertiliser_Unit">_xlfn.LAMBDA("kg")</definedName>
    <definedName name="Fertiliser_Equations_Organic.VEERG_5_2_1_1__2_MassOfNitrogenInOrganicFertiliser_Variable">_xlfn.LAMBDA("MNSoiljf")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ReadableEquation">_xlfn.LAMBDA("E = Q * EC * EF * 10 ^ - 3")</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ReadableEquation">_xlfn.LAMBDA("E = Q * EC * EF * 10 ^ - 3")</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ReadableEquation">_xlfn.LAMBDA("E = Q * EC * EF * 10 ^ - 3")</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_xlfn.LAMBDA(_xlfn.MAKEARRAY(4, 4, _xlfn.LAMBDA(_xlpm.r,_xlpm.c, INDEX({"E_WTTtransq","upstream emissions from scope 1 transport fuel use","t CO2e","Calculated by 15.11.1.1 (2)";"E_WTTSCq","upstream emissions from scope 1 stationary combustion fuel use","t CO2e","Calculated by 15.11.1.1 (3)";"WTT","well to tank","","Constant";"q","fuel type","","Input"},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_xlfn.LAMBDA(_xlfn.MAKEARRAY(3, 4, _xlfn.LAMBDA(_xlpm.r,_xlpm.c, INDEX({"Q_SCq","amount of fuel q used for stationary combustion operations","kL","Input";"EC_SCq","energy content factor for stationary combustion operations","GJ/kL","Constant";"EF_SC3q","scope 3 emission factor for stationary combustion operations","kg CO2e/GJ","Constant"},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LatexEquation">_xlfn.LAMBDA("E_{3,elec}=\left[Q_{elec}\times\left(1-(RPP+JRPP)\right)-\left(REC_{surrendered}-REC_{onsite}\right)\times 10^{-3}\right]\times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j","kg","Calculated by 5.1.1";"EF_f","emission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j","kg","Calculated by 5.1.1";"EF_c","emission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ValidLivestockClass">_xlfn.UNIQUE(_xlfn._xlws.FILTER(#REF!,#REF! =#REF!))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K353" i="19" l="1" a="1"/>
  <c r="K353" i="19" s="1"/>
  <c r="K352" i="19" a="1"/>
  <c r="K352" i="19" s="1"/>
  <c r="K351" i="19" a="1"/>
  <c r="K351" i="19" s="1"/>
  <c r="K350" i="19" a="1"/>
  <c r="K350" i="19" s="1"/>
  <c r="K349" i="19" a="1"/>
  <c r="K349" i="19" s="1"/>
  <c r="K348" i="19" a="1"/>
  <c r="K348" i="19" s="1"/>
  <c r="K347" i="19" a="1"/>
  <c r="K347" i="19" s="1"/>
  <c r="K346" i="19" a="1"/>
  <c r="K346" i="19" s="1"/>
  <c r="K345" i="19" a="1"/>
  <c r="K345" i="19" s="1"/>
  <c r="K344" i="19" a="1"/>
  <c r="K344" i="19" s="1"/>
  <c r="K343" i="19" a="1"/>
  <c r="K343" i="19" s="1"/>
  <c r="K342" i="19" a="1"/>
  <c r="K342" i="19" s="1"/>
  <c r="K341" i="19" a="1"/>
  <c r="K341" i="19" s="1"/>
  <c r="K340" i="19" a="1"/>
  <c r="K340" i="19" s="1"/>
  <c r="K339" i="19" a="1"/>
  <c r="K339" i="19" s="1"/>
  <c r="K338" i="19" a="1"/>
  <c r="K338" i="19" s="1"/>
  <c r="K337" i="19" a="1"/>
  <c r="K337" i="19" s="1"/>
  <c r="K336" i="19" a="1"/>
  <c r="K336" i="19" s="1"/>
  <c r="K335" i="19" a="1"/>
  <c r="K335" i="19" s="1"/>
  <c r="K334" i="19" a="1"/>
  <c r="K334" i="19" s="1"/>
  <c r="H353" i="19"/>
  <c r="H353" i="19" a="1"/>
  <c r="H352" i="19" a="1"/>
  <c r="H352" i="19" s="1"/>
  <c r="H351" i="19" a="1"/>
  <c r="H351" i="19" s="1"/>
  <c r="H350" i="19" a="1"/>
  <c r="H350" i="19" s="1"/>
  <c r="H349" i="19" a="1"/>
  <c r="H349" i="19" s="1"/>
  <c r="H348" i="19" a="1"/>
  <c r="H348" i="19" s="1"/>
  <c r="H347" i="19" a="1"/>
  <c r="H347" i="19" s="1"/>
  <c r="H346" i="19"/>
  <c r="H346" i="19" a="1"/>
  <c r="H345" i="19" a="1"/>
  <c r="H345" i="19" s="1"/>
  <c r="H344" i="19" a="1"/>
  <c r="H344" i="19" s="1"/>
  <c r="H343" i="19" a="1"/>
  <c r="H343" i="19" s="1"/>
  <c r="H342" i="19" a="1"/>
  <c r="H342" i="19" s="1"/>
  <c r="H341" i="19" a="1"/>
  <c r="H341" i="19" s="1"/>
  <c r="H340" i="19" a="1"/>
  <c r="H340" i="19" s="1"/>
  <c r="H339" i="19"/>
  <c r="H339" i="19" a="1"/>
  <c r="H338" i="19" a="1"/>
  <c r="H338" i="19" s="1"/>
  <c r="H337" i="19" a="1"/>
  <c r="H337" i="19" s="1"/>
  <c r="H336" i="19" a="1"/>
  <c r="H336" i="19" s="1"/>
  <c r="H335" i="19" a="1"/>
  <c r="H335" i="19" s="1"/>
  <c r="H334" i="19" a="1"/>
  <c r="H334" i="19" s="1"/>
  <c r="F353" i="19"/>
  <c r="F352" i="19"/>
  <c r="F351" i="19"/>
  <c r="F350" i="19"/>
  <c r="F349" i="19"/>
  <c r="F348" i="19"/>
  <c r="F347" i="19"/>
  <c r="F346" i="19"/>
  <c r="F345" i="19"/>
  <c r="F344" i="19"/>
  <c r="F343" i="19"/>
  <c r="F342" i="19"/>
  <c r="F341" i="19"/>
  <c r="F340" i="19"/>
  <c r="F339" i="19"/>
  <c r="F338" i="19"/>
  <c r="F337" i="19"/>
  <c r="F336" i="19"/>
  <c r="F335" i="19"/>
  <c r="F334" i="19"/>
  <c r="AD334" i="19" a="1"/>
  <c r="AD334" i="19" s="1"/>
  <c r="AC334" i="19" a="1"/>
  <c r="AC334" i="19" s="1"/>
  <c r="Z334" i="19" a="1"/>
  <c r="Z334" i="19" s="1"/>
  <c r="Y334" i="19" a="1"/>
  <c r="Y334" i="19" s="1"/>
  <c r="V334" i="19" a="1"/>
  <c r="V334" i="19" s="1"/>
  <c r="U334" i="19" a="1"/>
  <c r="U334" i="19" s="1"/>
  <c r="R334" i="19" a="1"/>
  <c r="R334" i="19" s="1"/>
  <c r="Q334" i="19" a="1"/>
  <c r="Q334" i="19" s="1"/>
  <c r="P334" i="19" a="1"/>
  <c r="P334" i="19" s="1"/>
  <c r="O334" i="19" a="1"/>
  <c r="O334" i="19" s="1"/>
  <c r="E334" i="19" a="1"/>
  <c r="E334" i="19" s="1"/>
  <c r="D334" i="19" a="1"/>
  <c r="D334" i="19" s="1"/>
  <c r="AE353" i="19" a="1"/>
  <c r="AE353" i="19" s="1"/>
  <c r="AA352" i="19" a="1"/>
  <c r="AA352" i="19" s="1"/>
  <c r="W352" i="19" a="1"/>
  <c r="W352" i="19" s="1"/>
  <c r="S352" i="19" a="1"/>
  <c r="S352" i="19" s="1"/>
  <c r="J353" i="19" a="1"/>
  <c r="J353" i="19" s="1"/>
  <c r="J300" i="19" a="1"/>
  <c r="J300" i="19" s="1"/>
  <c r="J299" i="19" a="1"/>
  <c r="J299" i="19" s="1"/>
  <c r="J298" i="19" a="1"/>
  <c r="J298" i="19" s="1"/>
  <c r="J297" i="19" a="1"/>
  <c r="J297" i="19" s="1"/>
  <c r="J296" i="19" a="1"/>
  <c r="J296" i="19" s="1"/>
  <c r="J295" i="19" a="1"/>
  <c r="J295" i="19" s="1"/>
  <c r="J294" i="19" a="1"/>
  <c r="J294" i="19" s="1"/>
  <c r="J293" i="19" a="1"/>
  <c r="J293" i="19" s="1"/>
  <c r="J292" i="19" a="1"/>
  <c r="J292" i="19" s="1"/>
  <c r="J291" i="19" a="1"/>
  <c r="J291" i="19" s="1"/>
  <c r="J290" i="19" a="1"/>
  <c r="J290" i="19" s="1"/>
  <c r="J289" i="19" a="1"/>
  <c r="J289" i="19" s="1"/>
  <c r="J288" i="19" a="1"/>
  <c r="J288" i="19" s="1"/>
  <c r="J287" i="19" a="1"/>
  <c r="J287" i="19" s="1"/>
  <c r="J286" i="19" a="1"/>
  <c r="J286" i="19" s="1"/>
  <c r="J285" i="19" a="1"/>
  <c r="J285" i="19" s="1"/>
  <c r="J284" i="19" a="1"/>
  <c r="J284" i="19" s="1"/>
  <c r="J283" i="19" a="1"/>
  <c r="J283" i="19" s="1"/>
  <c r="J282" i="19" a="1"/>
  <c r="J282" i="19" s="1"/>
  <c r="J281" i="19" a="1"/>
  <c r="J281" i="19" s="1"/>
  <c r="E281" i="19" a="1"/>
  <c r="E281" i="19" s="1"/>
  <c r="AL281" i="19" a="1"/>
  <c r="AL281" i="19" s="1"/>
  <c r="AH281" i="19" a="1"/>
  <c r="AH281" i="19" s="1"/>
  <c r="AD281" i="19" a="1"/>
  <c r="AD281" i="19" s="1"/>
  <c r="Z281" i="19" a="1"/>
  <c r="Z281" i="19" s="1"/>
  <c r="R281" i="19" a="1"/>
  <c r="R281" i="19" s="1"/>
  <c r="V281" i="19" a="1"/>
  <c r="V281" i="19" s="1"/>
  <c r="D269" i="19" a="1"/>
  <c r="D269" i="19" s="1"/>
  <c r="E274" i="19" a="1"/>
  <c r="E274" i="19" s="1"/>
  <c r="E273" i="19" a="1"/>
  <c r="E273" i="19" s="1"/>
  <c r="D268" i="19" a="1"/>
  <c r="D268" i="19" s="1"/>
  <c r="D267" i="19" a="1"/>
  <c r="D267" i="19" s="1"/>
  <c r="D450" i="19" a="1"/>
  <c r="D450" i="19" s="1"/>
  <c r="E450" i="19" a="1"/>
  <c r="G453" i="19" s="1" a="1"/>
  <c r="G453" i="19" s="1"/>
  <c r="H453" i="19" s="1"/>
  <c r="F450" i="19" a="1"/>
  <c r="J452" i="19" s="1"/>
  <c r="E261" i="19" a="1"/>
  <c r="E270" i="19" a="1"/>
  <c r="E100" i="19" a="1"/>
  <c r="S334" i="19" l="1" a="1"/>
  <c r="S334" i="19" s="1"/>
  <c r="AE352" i="19" a="1"/>
  <c r="AE352" i="19" s="1"/>
  <c r="AE336" i="19" a="1"/>
  <c r="AE336" i="19" s="1"/>
  <c r="AE338" i="19" a="1"/>
  <c r="AE338" i="19" s="1"/>
  <c r="AE340" i="19" a="1"/>
  <c r="AE340" i="19" s="1"/>
  <c r="AE342" i="19" a="1"/>
  <c r="AE342" i="19" s="1"/>
  <c r="AE344" i="19" a="1"/>
  <c r="AE344" i="19" s="1"/>
  <c r="AE346" i="19" a="1"/>
  <c r="AE346" i="19" s="1"/>
  <c r="AE348" i="19" a="1"/>
  <c r="AE348" i="19" s="1"/>
  <c r="AE350" i="19" a="1"/>
  <c r="AE350" i="19" s="1"/>
  <c r="S335" i="19" a="1"/>
  <c r="S335" i="19" s="1"/>
  <c r="S337" i="19" a="1"/>
  <c r="S337" i="19" s="1"/>
  <c r="S339" i="19" a="1"/>
  <c r="S339" i="19" s="1"/>
  <c r="S341" i="19" a="1"/>
  <c r="S341" i="19" s="1"/>
  <c r="S343" i="19" a="1"/>
  <c r="S343" i="19" s="1"/>
  <c r="S345" i="19" a="1"/>
  <c r="S345" i="19" s="1"/>
  <c r="S347" i="19" a="1"/>
  <c r="S347" i="19" s="1"/>
  <c r="S349" i="19" a="1"/>
  <c r="S349" i="19" s="1"/>
  <c r="S351" i="19" a="1"/>
  <c r="S351" i="19" s="1"/>
  <c r="S353" i="19" a="1"/>
  <c r="S353" i="19" s="1"/>
  <c r="AE334" i="19" a="1"/>
  <c r="AE334" i="19" s="1"/>
  <c r="W335" i="19" a="1"/>
  <c r="W335" i="19" s="1"/>
  <c r="W337" i="19" a="1"/>
  <c r="W337" i="19" s="1"/>
  <c r="W339" i="19" a="1"/>
  <c r="W339" i="19" s="1"/>
  <c r="W341" i="19" a="1"/>
  <c r="W341" i="19" s="1"/>
  <c r="W343" i="19" a="1"/>
  <c r="W343" i="19" s="1"/>
  <c r="W345" i="19" a="1"/>
  <c r="W345" i="19" s="1"/>
  <c r="W347" i="19" a="1"/>
  <c r="W347" i="19" s="1"/>
  <c r="W349" i="19" a="1"/>
  <c r="W349" i="19" s="1"/>
  <c r="W351" i="19" a="1"/>
  <c r="W351" i="19" s="1"/>
  <c r="W353" i="19" a="1"/>
  <c r="W353" i="19" s="1"/>
  <c r="J338" i="19" a="1"/>
  <c r="J338" i="19" s="1"/>
  <c r="J344" i="19" a="1"/>
  <c r="J344" i="19" s="1"/>
  <c r="J352" i="19" a="1"/>
  <c r="J352" i="19" s="1"/>
  <c r="J336" i="19" a="1"/>
  <c r="J336" i="19" s="1"/>
  <c r="J340" i="19" a="1"/>
  <c r="J340" i="19" s="1"/>
  <c r="J342" i="19" a="1"/>
  <c r="J342" i="19" s="1"/>
  <c r="J346" i="19" a="1"/>
  <c r="J346" i="19" s="1"/>
  <c r="J348" i="19" a="1"/>
  <c r="J348" i="19" s="1"/>
  <c r="J350" i="19" a="1"/>
  <c r="J350" i="19" s="1"/>
  <c r="W334" i="19" a="1"/>
  <c r="W334" i="19" s="1"/>
  <c r="AA335" i="19" a="1"/>
  <c r="AA335" i="19" s="1"/>
  <c r="AA337" i="19" a="1"/>
  <c r="AA337" i="19" s="1"/>
  <c r="AA339" i="19" a="1"/>
  <c r="AA339" i="19" s="1"/>
  <c r="AA341" i="19" a="1"/>
  <c r="AA341" i="19" s="1"/>
  <c r="AA343" i="19" a="1"/>
  <c r="AA343" i="19" s="1"/>
  <c r="AA345" i="19" a="1"/>
  <c r="AA345" i="19" s="1"/>
  <c r="AA347" i="19" a="1"/>
  <c r="AA347" i="19" s="1"/>
  <c r="AA349" i="19" a="1"/>
  <c r="AA349" i="19" s="1"/>
  <c r="AA351" i="19" a="1"/>
  <c r="AA351" i="19" s="1"/>
  <c r="AA353" i="19" a="1"/>
  <c r="AA353" i="19" s="1"/>
  <c r="AE335" i="19" a="1"/>
  <c r="AE335" i="19" s="1"/>
  <c r="AE337" i="19" a="1"/>
  <c r="AE337" i="19" s="1"/>
  <c r="AE339" i="19" a="1"/>
  <c r="AE339" i="19" s="1"/>
  <c r="AE341" i="19" a="1"/>
  <c r="AE341" i="19" s="1"/>
  <c r="AE343" i="19" a="1"/>
  <c r="AE343" i="19" s="1"/>
  <c r="AE345" i="19" a="1"/>
  <c r="AE345" i="19" s="1"/>
  <c r="AE347" i="19" a="1"/>
  <c r="AE347" i="19" s="1"/>
  <c r="AE349" i="19" a="1"/>
  <c r="AE349" i="19" s="1"/>
  <c r="AE351" i="19" a="1"/>
  <c r="AE351" i="19" s="1"/>
  <c r="S336" i="19" a="1"/>
  <c r="S336" i="19" s="1"/>
  <c r="S338" i="19" a="1"/>
  <c r="S338" i="19" s="1"/>
  <c r="G338" i="19" s="1" a="1"/>
  <c r="G338" i="19" s="1"/>
  <c r="S340" i="19" a="1"/>
  <c r="S340" i="19" s="1"/>
  <c r="S342" i="19" a="1"/>
  <c r="S342" i="19" s="1"/>
  <c r="S344" i="19" a="1"/>
  <c r="S344" i="19" s="1"/>
  <c r="S346" i="19" a="1"/>
  <c r="S346" i="19" s="1"/>
  <c r="S348" i="19" a="1"/>
  <c r="S348" i="19" s="1"/>
  <c r="S350" i="19" a="1"/>
  <c r="S350" i="19" s="1"/>
  <c r="W336" i="19" a="1"/>
  <c r="W336" i="19" s="1"/>
  <c r="W338" i="19" a="1"/>
  <c r="W338" i="19" s="1"/>
  <c r="W340" i="19" a="1"/>
  <c r="W340" i="19" s="1"/>
  <c r="W342" i="19" a="1"/>
  <c r="W342" i="19" s="1"/>
  <c r="W344" i="19" a="1"/>
  <c r="W344" i="19" s="1"/>
  <c r="W346" i="19" a="1"/>
  <c r="W346" i="19" s="1"/>
  <c r="W348" i="19" a="1"/>
  <c r="W348" i="19" s="1"/>
  <c r="W350" i="19" a="1"/>
  <c r="W350" i="19" s="1"/>
  <c r="AA334" i="19" a="1"/>
  <c r="AA334" i="19" s="1"/>
  <c r="J335" i="19" a="1"/>
  <c r="J335" i="19" s="1"/>
  <c r="J337" i="19" a="1"/>
  <c r="J337" i="19" s="1"/>
  <c r="J339" i="19" a="1"/>
  <c r="J339" i="19" s="1"/>
  <c r="J341" i="19" a="1"/>
  <c r="J341" i="19" s="1"/>
  <c r="J343" i="19" a="1"/>
  <c r="J343" i="19" s="1"/>
  <c r="J345" i="19" a="1"/>
  <c r="J345" i="19" s="1"/>
  <c r="J347" i="19" a="1"/>
  <c r="J347" i="19" s="1"/>
  <c r="J349" i="19" a="1"/>
  <c r="J349" i="19" s="1"/>
  <c r="J351" i="19" a="1"/>
  <c r="J351" i="19" s="1"/>
  <c r="AA336" i="19" a="1"/>
  <c r="AA336" i="19" s="1"/>
  <c r="AA338" i="19" a="1"/>
  <c r="AA338" i="19" s="1"/>
  <c r="AA340" i="19" a="1"/>
  <c r="AA340" i="19" s="1"/>
  <c r="AA342" i="19" a="1"/>
  <c r="AA342" i="19" s="1"/>
  <c r="AA344" i="19" a="1"/>
  <c r="AA344" i="19" s="1"/>
  <c r="AA346" i="19" a="1"/>
  <c r="AA346" i="19" s="1"/>
  <c r="AA348" i="19" a="1"/>
  <c r="AA348" i="19" s="1"/>
  <c r="AA350" i="19" a="1"/>
  <c r="AA350" i="19" s="1"/>
  <c r="E261" i="19"/>
  <c r="E270" i="19"/>
  <c r="G451" i="19" a="1"/>
  <c r="G451" i="19" s="1"/>
  <c r="H451" i="19" s="1"/>
  <c r="J451" i="19"/>
  <c r="J453" i="19"/>
  <c r="F450" i="19"/>
  <c r="J450" i="19" s="1"/>
  <c r="E450" i="19"/>
  <c r="G450" i="19" s="1" a="1"/>
  <c r="G450" i="19" s="1"/>
  <c r="H450" i="19" s="1"/>
  <c r="G452" i="19" a="1"/>
  <c r="G452" i="19" s="1"/>
  <c r="H452" i="19" s="1"/>
  <c r="E100" i="19"/>
  <c r="E103" i="19" a="1"/>
  <c r="E103" i="19" s="1"/>
  <c r="E104" i="19" a="1"/>
  <c r="E104" i="19" s="1"/>
  <c r="G106" i="19" a="1"/>
  <c r="G106" i="19" s="1"/>
  <c r="V119" i="19"/>
  <c r="W119" i="19"/>
  <c r="E119" i="19" a="1"/>
  <c r="M119" i="19" a="1"/>
  <c r="N119" i="19" a="1"/>
  <c r="N119" i="19" s="1"/>
  <c r="O119" i="19" a="1"/>
  <c r="P128" i="19" a="1"/>
  <c r="P128" i="19" s="1"/>
  <c r="Q119" i="19" a="1"/>
  <c r="T125" i="19" s="1" a="1"/>
  <c r="T125" i="19" s="1"/>
  <c r="R119" i="19" a="1"/>
  <c r="R119" i="19" s="1"/>
  <c r="S119" i="19" a="1"/>
  <c r="S119" i="19" s="1"/>
  <c r="U119" i="19" a="1"/>
  <c r="X120" i="19" s="1" a="1"/>
  <c r="X120" i="19" s="1"/>
  <c r="V119" i="19" a="1"/>
  <c r="W119" i="19" a="1"/>
  <c r="Y119" i="19" a="1"/>
  <c r="Y119" i="19" s="1"/>
  <c r="AB119" i="19" s="1" a="1"/>
  <c r="AB119" i="19" s="1"/>
  <c r="Z119" i="19" a="1"/>
  <c r="Z119" i="19" s="1"/>
  <c r="AA119" i="19" a="1"/>
  <c r="AA119" i="19" s="1"/>
  <c r="E136" i="19"/>
  <c r="I136" i="19" a="1"/>
  <c r="I136" i="19" s="1"/>
  <c r="E137" i="19"/>
  <c r="I137" i="19" s="1" a="1"/>
  <c r="I137" i="19" s="1"/>
  <c r="E138" i="19"/>
  <c r="E139" i="19"/>
  <c r="E151" i="19" a="1"/>
  <c r="G353" i="19" l="1" a="1"/>
  <c r="G353" i="19" s="1"/>
  <c r="G339" i="19" a="1"/>
  <c r="G339" i="19" s="1"/>
  <c r="G342" i="19" a="1"/>
  <c r="G342" i="19" s="1"/>
  <c r="G351" i="19" a="1"/>
  <c r="G351" i="19" s="1"/>
  <c r="G336" i="19" a="1"/>
  <c r="G336" i="19" s="1"/>
  <c r="G345" i="19" a="1"/>
  <c r="G345" i="19" s="1"/>
  <c r="G343" i="19" a="1"/>
  <c r="G343" i="19" s="1"/>
  <c r="G348" i="19" a="1"/>
  <c r="G348" i="19" s="1"/>
  <c r="G350" i="19" a="1"/>
  <c r="G350" i="19" s="1"/>
  <c r="G346" i="19" a="1"/>
  <c r="G346" i="19" s="1"/>
  <c r="G334" i="19" a="1"/>
  <c r="G334" i="19" s="1"/>
  <c r="G344" i="19" a="1"/>
  <c r="G344" i="19" s="1"/>
  <c r="G341" i="19" a="1"/>
  <c r="G341" i="19" s="1"/>
  <c r="G337" i="19" a="1"/>
  <c r="G337" i="19" s="1"/>
  <c r="G340" i="19" a="1"/>
  <c r="G340" i="19" s="1"/>
  <c r="G349" i="19" a="1"/>
  <c r="G349" i="19" s="1"/>
  <c r="G335" i="19" a="1"/>
  <c r="G335" i="19" s="1"/>
  <c r="G352" i="19" a="1"/>
  <c r="G352" i="19" s="1"/>
  <c r="J334" i="19" a="1"/>
  <c r="J334" i="19" s="1"/>
  <c r="G347" i="19" a="1"/>
  <c r="G347" i="19" s="1"/>
  <c r="P126" i="19" a="1"/>
  <c r="P126" i="19" s="1"/>
  <c r="X127" i="19" a="1"/>
  <c r="X127" i="19" s="1"/>
  <c r="X126" i="19" a="1"/>
  <c r="X126" i="19" s="1"/>
  <c r="AB125" i="19" a="1"/>
  <c r="AB125" i="19" s="1"/>
  <c r="X125" i="19" a="1"/>
  <c r="X125" i="19" s="1"/>
  <c r="U119" i="19"/>
  <c r="X119" i="19" s="1" a="1"/>
  <c r="X119" i="19" s="1"/>
  <c r="P120" i="19" a="1"/>
  <c r="P120" i="19" s="1"/>
  <c r="AB124" i="19" a="1"/>
  <c r="AB124" i="19" s="1"/>
  <c r="T128" i="19" a="1"/>
  <c r="T128" i="19" s="1"/>
  <c r="X124" i="19" a="1"/>
  <c r="X124" i="19" s="1"/>
  <c r="P124" i="19" a="1"/>
  <c r="P124" i="19" s="1"/>
  <c r="T120" i="19" a="1"/>
  <c r="T120" i="19" s="1"/>
  <c r="AB128" i="19" a="1"/>
  <c r="AB128" i="19" s="1"/>
  <c r="X123" i="19" a="1"/>
  <c r="X123" i="19" s="1"/>
  <c r="P123" i="19" a="1"/>
  <c r="P123" i="19" s="1"/>
  <c r="X122" i="19" a="1"/>
  <c r="X122" i="19" s="1"/>
  <c r="AB127" i="19" a="1"/>
  <c r="AB127" i="19" s="1"/>
  <c r="T122" i="19" a="1"/>
  <c r="T122" i="19" s="1"/>
  <c r="P122" i="19" a="1"/>
  <c r="P122" i="19" s="1"/>
  <c r="P127" i="19" a="1"/>
  <c r="P127" i="19" s="1"/>
  <c r="T121" i="19" a="1"/>
  <c r="T121" i="19" s="1"/>
  <c r="AB126" i="19" a="1"/>
  <c r="AB126" i="19" s="1"/>
  <c r="P121" i="19" a="1"/>
  <c r="P121" i="19" s="1"/>
  <c r="F141" i="19"/>
  <c r="F130" i="19"/>
  <c r="F142" i="19"/>
  <c r="F144" i="19"/>
  <c r="F145" i="19"/>
  <c r="F131" i="19"/>
  <c r="AB123" i="19" a="1"/>
  <c r="AB123" i="19" s="1"/>
  <c r="X121" i="19" a="1"/>
  <c r="X121" i="19" s="1"/>
  <c r="M119" i="19"/>
  <c r="P119" i="19" s="1" a="1"/>
  <c r="P119" i="19" s="1"/>
  <c r="T127" i="19" a="1"/>
  <c r="T127" i="19" s="1"/>
  <c r="P125" i="19" a="1"/>
  <c r="P125" i="19" s="1"/>
  <c r="E119" i="19"/>
  <c r="Q119" i="19"/>
  <c r="T119" i="19" s="1" a="1"/>
  <c r="T119" i="19" s="1"/>
  <c r="T123" i="19" a="1"/>
  <c r="T123" i="19" s="1"/>
  <c r="T126" i="19" a="1"/>
  <c r="T126" i="19" s="1"/>
  <c r="X128" i="19" a="1"/>
  <c r="X128" i="19" s="1"/>
  <c r="AB120" i="19" a="1"/>
  <c r="AB120" i="19" s="1"/>
  <c r="F120" i="19" s="1"/>
  <c r="G120" i="19" s="1" a="1"/>
  <c r="G120" i="19" s="1"/>
  <c r="AB121" i="19" a="1"/>
  <c r="AB121" i="19" s="1"/>
  <c r="O119" i="19"/>
  <c r="T124" i="19" a="1"/>
  <c r="T124" i="19" s="1"/>
  <c r="I120" i="19" a="1"/>
  <c r="I120" i="19" s="1"/>
  <c r="I121" i="19" a="1"/>
  <c r="I121" i="19" s="1"/>
  <c r="AB122" i="19" a="1"/>
  <c r="AB122" i="19" s="1"/>
  <c r="E151" i="19"/>
  <c r="E154" i="19" a="1"/>
  <c r="E154" i="19" s="1"/>
  <c r="E155" i="19" a="1"/>
  <c r="E155" i="19" s="1"/>
  <c r="F166" i="19" s="1"/>
  <c r="G157" i="19" a="1"/>
  <c r="G157" i="19" s="1"/>
  <c r="E162" i="19"/>
  <c r="I162" i="19" a="1"/>
  <c r="I162" i="19" s="1"/>
  <c r="E163" i="19"/>
  <c r="I163" i="19" s="1" a="1"/>
  <c r="I163" i="19" s="1"/>
  <c r="E164" i="19"/>
  <c r="I164" i="19" s="1" a="1"/>
  <c r="I164" i="19" s="1"/>
  <c r="E265" i="19" a="1"/>
  <c r="E265" i="19" s="1"/>
  <c r="E264" i="19" a="1"/>
  <c r="E264" i="19" s="1"/>
  <c r="D260" i="19" a="1"/>
  <c r="D260" i="19" s="1"/>
  <c r="D259" i="19" a="1"/>
  <c r="D259" i="19" s="1"/>
  <c r="D157" i="19" a="1"/>
  <c r="D157" i="19" s="1"/>
  <c r="D150" i="19" a="1"/>
  <c r="D150" i="19" s="1"/>
  <c r="D149" i="19" a="1"/>
  <c r="D149" i="19" s="1"/>
  <c r="D162" i="19"/>
  <c r="F162" i="19" s="1" a="1"/>
  <c r="F162" i="19" s="1"/>
  <c r="D106" i="19" a="1"/>
  <c r="D106" i="19" s="1"/>
  <c r="D99" i="19" a="1"/>
  <c r="D99" i="19" s="1"/>
  <c r="D98" i="19" a="1"/>
  <c r="D98" i="19" s="1"/>
  <c r="J80" i="13" a="1"/>
  <c r="J80" i="13" s="1"/>
  <c r="J78" i="13" a="1"/>
  <c r="J78" i="13" s="1"/>
  <c r="G126" i="13" a="1"/>
  <c r="G126" i="13" s="1"/>
  <c r="G125" i="13" a="1"/>
  <c r="G125" i="13" s="1"/>
  <c r="G124" i="13" a="1"/>
  <c r="G124" i="13" s="1"/>
  <c r="G123" i="13" a="1"/>
  <c r="G123" i="13" s="1"/>
  <c r="G122" i="13" a="1"/>
  <c r="G122" i="13" s="1"/>
  <c r="G121" i="13" a="1"/>
  <c r="G121" i="13" s="1"/>
  <c r="G120" i="13" a="1"/>
  <c r="G120" i="13" s="1"/>
  <c r="G119" i="13" a="1"/>
  <c r="G119" i="13" s="1"/>
  <c r="G118" i="13" a="1"/>
  <c r="G118" i="13" s="1"/>
  <c r="G117" i="13" a="1"/>
  <c r="G117" i="13" s="1"/>
  <c r="G113" i="13" a="1"/>
  <c r="G113" i="13" s="1"/>
  <c r="G112" i="13"/>
  <c r="G112" i="13" a="1"/>
  <c r="G111" i="13" a="1"/>
  <c r="G111" i="13" s="1"/>
  <c r="G110" i="13" a="1"/>
  <c r="G110" i="13" s="1"/>
  <c r="G109" i="13" a="1"/>
  <c r="G109" i="13" s="1"/>
  <c r="G108" i="13" a="1"/>
  <c r="G108" i="13" s="1"/>
  <c r="G107" i="13" a="1"/>
  <c r="G107" i="13" s="1"/>
  <c r="G106" i="13" a="1"/>
  <c r="G106" i="13" s="1"/>
  <c r="G105" i="13"/>
  <c r="G105" i="13" a="1"/>
  <c r="H100" i="13" a="1"/>
  <c r="H100" i="13" s="1"/>
  <c r="H99" i="13" a="1"/>
  <c r="H99" i="13" s="1"/>
  <c r="H98" i="13" a="1"/>
  <c r="H98" i="13" s="1"/>
  <c r="H97" i="13" a="1"/>
  <c r="H97" i="13" s="1"/>
  <c r="H96" i="13" a="1"/>
  <c r="H96" i="13" s="1"/>
  <c r="H95" i="13" a="1"/>
  <c r="H95" i="13" s="1"/>
  <c r="H94" i="13" a="1"/>
  <c r="H94" i="13"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G162" i="19" l="1" a="1"/>
  <c r="G162" i="19" s="1"/>
  <c r="F125" i="19"/>
  <c r="I125" i="19" s="1" a="1"/>
  <c r="I125" i="19" s="1"/>
  <c r="F127" i="19"/>
  <c r="F123" i="19"/>
  <c r="G123" i="19" s="1" a="1"/>
  <c r="G123" i="19" s="1"/>
  <c r="F124" i="19"/>
  <c r="F122" i="19"/>
  <c r="F128" i="19"/>
  <c r="I128" i="19" s="1" a="1"/>
  <c r="I128" i="19" s="1"/>
  <c r="G127" i="19" a="1"/>
  <c r="G127" i="19" s="1"/>
  <c r="I127" i="19" a="1"/>
  <c r="I127" i="19" s="1"/>
  <c r="F121" i="19"/>
  <c r="G121" i="19" s="1" a="1"/>
  <c r="G121" i="19" s="1"/>
  <c r="F126" i="19"/>
  <c r="G126" i="19" s="1" a="1"/>
  <c r="G126" i="19" s="1"/>
  <c r="G125" i="19" a="1"/>
  <c r="G125" i="19" s="1"/>
  <c r="G124" i="19" a="1"/>
  <c r="G124" i="19" s="1"/>
  <c r="I124" i="19" a="1"/>
  <c r="I124" i="19" s="1"/>
  <c r="G122" i="19" a="1"/>
  <c r="G122" i="19" s="1"/>
  <c r="I122" i="19" a="1"/>
  <c r="I122" i="19" s="1"/>
  <c r="E167" i="19"/>
  <c r="F167" i="19"/>
  <c r="I123" i="19" a="1"/>
  <c r="I123" i="19" s="1"/>
  <c r="I119" i="19" a="1"/>
  <c r="I119" i="19" s="1"/>
  <c r="F119" i="19"/>
  <c r="G119" i="19" s="1" a="1"/>
  <c r="G119" i="19" s="1"/>
  <c r="F35" i="19"/>
  <c r="F34" i="19"/>
  <c r="F93" i="19"/>
  <c r="F94" i="19"/>
  <c r="J61" i="19" a="1"/>
  <c r="J61" i="19" s="1"/>
  <c r="F72" i="19"/>
  <c r="F73" i="19"/>
  <c r="F53" i="19"/>
  <c r="F54" i="19"/>
  <c r="F90" i="19"/>
  <c r="J62" i="19" a="1"/>
  <c r="J62" i="19" s="1"/>
  <c r="E7" i="19"/>
  <c r="I126" i="19" l="1" a="1"/>
  <c r="I126" i="19" s="1"/>
  <c r="E131" i="19" s="1"/>
  <c r="G128" i="19" a="1"/>
  <c r="G128" i="19" s="1"/>
  <c r="E130" i="19" s="1"/>
  <c r="J87" i="13" l="1" a="1"/>
  <c r="J87" i="13" s="1"/>
  <c r="J86" i="13" a="1"/>
  <c r="J86" i="13" s="1"/>
  <c r="J85" i="13" a="1"/>
  <c r="J85" i="13" s="1"/>
  <c r="J84" i="13" a="1"/>
  <c r="J84" i="13" s="1"/>
  <c r="J83" i="13" a="1"/>
  <c r="J83" i="13" s="1"/>
  <c r="J82" i="13" a="1"/>
  <c r="J82" i="13" s="1"/>
  <c r="J81" i="13" a="1"/>
  <c r="J81" i="13" s="1"/>
  <c r="G153" i="13"/>
  <c r="I153" i="13" s="1"/>
  <c r="G152" i="13"/>
  <c r="I152" i="13" s="1"/>
  <c r="G151" i="13"/>
  <c r="I151" i="13" s="1"/>
  <c r="G150" i="13"/>
  <c r="I150" i="13" s="1"/>
  <c r="G149" i="13"/>
  <c r="I149" i="13" s="1"/>
  <c r="G148" i="13"/>
  <c r="I148" i="13" s="1"/>
  <c r="G147" i="13"/>
  <c r="I147" i="13" s="1"/>
  <c r="G146" i="13"/>
  <c r="I146" i="13" s="1"/>
  <c r="G145" i="13"/>
  <c r="I145" i="13" s="1"/>
  <c r="H20" i="13"/>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416" i="19" a="1"/>
  <c r="G416" i="19" s="1"/>
  <c r="L416" i="19" s="1"/>
  <c r="F416" i="19" a="1"/>
  <c r="F416" i="19" s="1"/>
  <c r="K416" i="19" s="1"/>
  <c r="E416" i="19" a="1"/>
  <c r="E416" i="19" s="1"/>
  <c r="D416" i="19" a="1"/>
  <c r="D416" i="19" s="1"/>
  <c r="F430" i="19" a="1"/>
  <c r="F430" i="19" s="1"/>
  <c r="E430" i="19" a="1"/>
  <c r="J439" i="19" s="1"/>
  <c r="D430" i="19" a="1"/>
  <c r="D430" i="19" s="1"/>
  <c r="E79" i="19" l="1"/>
  <c r="G23" i="19"/>
  <c r="M23" i="19" s="1" a="1"/>
  <c r="M23" i="19" s="1"/>
  <c r="M24" i="19" a="1"/>
  <c r="M24" i="19" s="1"/>
  <c r="R16" i="13"/>
  <c r="R19" i="13"/>
  <c r="R20" i="13"/>
  <c r="O20" i="13"/>
  <c r="R18" i="13"/>
  <c r="O18" i="13"/>
  <c r="O19" i="13"/>
  <c r="R17" i="13"/>
  <c r="O17" i="13"/>
  <c r="O15" i="13"/>
  <c r="O16" i="13"/>
  <c r="R14" i="13"/>
  <c r="R15" i="13"/>
  <c r="O14" i="13"/>
  <c r="L421" i="19"/>
  <c r="L417" i="19"/>
  <c r="L419" i="19"/>
  <c r="L418" i="19"/>
  <c r="L420" i="19"/>
  <c r="L422" i="19"/>
  <c r="L423" i="19"/>
  <c r="L424" i="19"/>
  <c r="L425" i="19"/>
  <c r="K419" i="19"/>
  <c r="K420" i="19"/>
  <c r="K421" i="19"/>
  <c r="K422" i="19"/>
  <c r="K423" i="19"/>
  <c r="K424" i="19"/>
  <c r="K425" i="19"/>
  <c r="K417" i="19"/>
  <c r="K418" i="19"/>
  <c r="E430" i="19"/>
  <c r="J430" i="19" s="1"/>
  <c r="J431" i="19"/>
  <c r="J432" i="19"/>
  <c r="J433" i="19"/>
  <c r="J434" i="19"/>
  <c r="J435" i="19"/>
  <c r="J437" i="19"/>
  <c r="J436" i="19"/>
  <c r="J438" i="19"/>
  <c r="J79" i="19" l="1" a="1"/>
  <c r="J79" i="19" s="1"/>
  <c r="G144" i="13" l="1"/>
  <c r="I144" i="13" s="1"/>
  <c r="D79" i="19" a="1"/>
  <c r="D79" i="19" s="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A24" i="26"/>
  <c r="A23" i="26"/>
  <c r="A22" i="26"/>
  <c r="E21" i="26" a="1"/>
  <c r="E21" i="26" s="1"/>
  <c r="D21" i="26" a="1"/>
  <c r="D21" i="26" s="1"/>
  <c r="E20" i="26" a="1"/>
  <c r="E20" i="26" s="1"/>
  <c r="D20" i="26" a="1"/>
  <c r="D20" i="26" s="1"/>
  <c r="A19" i="26"/>
  <c r="D18" i="26" a="1"/>
  <c r="D18" i="26" s="1"/>
  <c r="A18" i="26"/>
  <c r="D17" i="26"/>
  <c r="D17" i="26" a="1"/>
  <c r="A17" i="26"/>
  <c r="A16" i="26"/>
  <c r="A15" i="26"/>
  <c r="A14" i="26"/>
  <c r="H13" i="26" a="1"/>
  <c r="H13" i="26" s="1"/>
  <c r="G13" i="26" a="1"/>
  <c r="G13" i="26" s="1"/>
  <c r="F13" i="26" a="1"/>
  <c r="F13" i="26" s="1"/>
  <c r="E13" i="26" a="1"/>
  <c r="E13" i="26" s="1"/>
  <c r="D13" i="26" a="1"/>
  <c r="D13" i="26" s="1"/>
  <c r="A13" i="26"/>
  <c r="H12" i="26" a="1"/>
  <c r="H12" i="26" s="1"/>
  <c r="G12" i="26" a="1"/>
  <c r="G12" i="26" s="1"/>
  <c r="F12" i="26" a="1"/>
  <c r="F12" i="26" s="1"/>
  <c r="E12" i="26" a="1"/>
  <c r="E12" i="26" s="1"/>
  <c r="D12" i="26" a="1"/>
  <c r="D12" i="26" s="1"/>
  <c r="A12" i="26"/>
  <c r="H11" i="26" a="1"/>
  <c r="H11" i="26" s="1"/>
  <c r="G11" i="26" a="1"/>
  <c r="G11" i="26" s="1"/>
  <c r="F11" i="26" a="1"/>
  <c r="F11" i="26" s="1"/>
  <c r="E11" i="26" a="1"/>
  <c r="E11" i="26" s="1"/>
  <c r="D11" i="26" a="1"/>
  <c r="D11" i="26" s="1"/>
  <c r="H10" i="26" a="1"/>
  <c r="H10" i="26" s="1"/>
  <c r="G10" i="26" a="1"/>
  <c r="G10" i="26" s="1"/>
  <c r="F10" i="26" a="1"/>
  <c r="F10" i="26" s="1"/>
  <c r="E10" i="26" a="1"/>
  <c r="E10" i="26" s="1"/>
  <c r="D10" i="26" a="1"/>
  <c r="D10" i="26" s="1"/>
  <c r="H9" i="26" a="1"/>
  <c r="H9" i="26" s="1"/>
  <c r="G9" i="26" a="1"/>
  <c r="G9" i="26" s="1"/>
  <c r="F9" i="26" a="1"/>
  <c r="F9" i="26" s="1"/>
  <c r="E9" i="26" a="1"/>
  <c r="E9" i="26" s="1"/>
  <c r="D9" i="26" a="1"/>
  <c r="D9" i="26" s="1"/>
  <c r="A9" i="26"/>
  <c r="A8" i="26"/>
  <c r="D6" i="26"/>
  <c r="D6" i="26" a="1"/>
  <c r="D5" i="26" a="1"/>
  <c r="D5" i="26" s="1"/>
  <c r="A5" i="26"/>
  <c r="A4" i="26"/>
  <c r="A3" i="26"/>
  <c r="D61" i="19" l="1" a="1"/>
  <c r="D61"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G104" i="13" s="1" a="1"/>
  <c r="G104" i="13"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A117" i="25"/>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A63" i="25"/>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A18" i="25"/>
  <c r="F17" i="25" a="1"/>
  <c r="F17" i="25" s="1"/>
  <c r="E17" i="25" a="1"/>
  <c r="E17" i="25" s="1"/>
  <c r="D17" i="25" a="1"/>
  <c r="D17" i="25" s="1"/>
  <c r="A17" i="25"/>
  <c r="D16" i="25" a="1"/>
  <c r="D16" i="25" s="1"/>
  <c r="A16" i="25"/>
  <c r="D15" i="25" a="1"/>
  <c r="D15" i="25" s="1"/>
  <c r="A15" i="25"/>
  <c r="D14" i="25" a="1"/>
  <c r="D14" i="25" s="1"/>
  <c r="A12" i="25"/>
  <c r="A9" i="25"/>
  <c r="A8" i="25"/>
  <c r="A5" i="25"/>
  <c r="A4" i="25"/>
  <c r="A3" i="25"/>
  <c r="F79" i="19" l="1" a="1"/>
  <c r="D42" i="19" a="1"/>
  <c r="D42"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A137" i="23"/>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A104" i="23"/>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c r="D82" i="23" a="1"/>
  <c r="D81" i="23" a="1"/>
  <c r="D81" i="23" s="1"/>
  <c r="A79" i="23"/>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A55" i="23"/>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F79" i="19" l="1"/>
  <c r="H93" i="13" a="1"/>
  <c r="H93" i="13" s="1"/>
  <c r="H92" i="13" a="1"/>
  <c r="H92" i="13" s="1"/>
  <c r="H91" i="13" a="1"/>
  <c r="H91" i="13" s="1"/>
  <c r="F61" i="19" a="1"/>
  <c r="K62" i="20"/>
  <c r="K61" i="20"/>
  <c r="K60" i="20"/>
  <c r="K59" i="20"/>
  <c r="K58" i="20"/>
  <c r="K57" i="20"/>
  <c r="K56" i="20"/>
  <c r="K55" i="20"/>
  <c r="K54" i="20"/>
  <c r="K53" i="20"/>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a="1"/>
  <c r="E292" i="22" s="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A17" i="22"/>
  <c r="D16" i="22" a="1"/>
  <c r="D16" i="22" s="1"/>
  <c r="A16" i="22"/>
  <c r="D15" i="22" a="1"/>
  <c r="D15" i="22" s="1"/>
  <c r="A15" i="22"/>
  <c r="D14" i="22" a="1"/>
  <c r="D14" i="22" s="1"/>
  <c r="A14" i="22"/>
  <c r="A11" i="22"/>
  <c r="A8" i="22"/>
  <c r="A7" i="22"/>
  <c r="A4" i="22"/>
  <c r="A3" i="22"/>
  <c r="F42" i="19" l="1"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I149" i="22" s="1"/>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J148" i="22" s="1"/>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J79" i="13" s="1" a="1"/>
  <c r="J79" i="13" s="1"/>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F42" i="19" l="1"/>
  <c r="E23" i="19"/>
  <c r="H23" i="19" a="1"/>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Q9" i="13" a="1"/>
  <c r="Q9" i="13" s="1"/>
  <c r="K9" i="13" a="1"/>
  <c r="K9" i="13" s="1"/>
  <c r="N9" i="13" a="1"/>
  <c r="N9" i="13" s="1"/>
  <c r="H13" i="13" l="1"/>
  <c r="L13" i="13" s="1"/>
  <c r="H12" i="13"/>
  <c r="L12" i="13" s="1"/>
  <c r="H11" i="13"/>
  <c r="R11" i="13" s="1"/>
  <c r="S402" i="19" a="1"/>
  <c r="S402" i="19" s="1"/>
  <c r="P402" i="19" a="1"/>
  <c r="P402" i="19" s="1"/>
  <c r="M402" i="19" a="1"/>
  <c r="M402" i="19" s="1"/>
  <c r="D402" i="19" a="1"/>
  <c r="D402" i="19" s="1"/>
  <c r="H387" i="19" a="1"/>
  <c r="H387" i="19" s="1"/>
  <c r="G387" i="19" a="1"/>
  <c r="G387" i="19" s="1"/>
  <c r="F387" i="19" a="1"/>
  <c r="F387" i="19" s="1"/>
  <c r="E387" i="19" a="1"/>
  <c r="E387" i="19" s="1"/>
  <c r="D387" i="19" a="1"/>
  <c r="D387" i="19" s="1"/>
  <c r="F35" i="7"/>
  <c r="G35" i="7"/>
  <c r="K35" i="7"/>
  <c r="K34" i="7"/>
  <c r="G34" i="7"/>
  <c r="F34" i="7"/>
  <c r="E368" i="19" a="1"/>
  <c r="E368" i="19" s="1"/>
  <c r="D368" i="19" a="1"/>
  <c r="D368"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56" i="13" l="1" a="1"/>
  <c r="D56" i="13" s="1"/>
  <c r="D51" i="13" a="1"/>
  <c r="D51" i="13" s="1"/>
  <c r="J387" i="19"/>
  <c r="J391" i="19"/>
  <c r="J392" i="19"/>
  <c r="J393" i="19"/>
  <c r="J394" i="19"/>
  <c r="J395" i="19"/>
  <c r="J396" i="19"/>
  <c r="J388" i="19"/>
  <c r="J389" i="19"/>
  <c r="J390" i="19"/>
  <c r="R13" i="13"/>
  <c r="O13" i="13"/>
  <c r="R12" i="13"/>
  <c r="L11" i="13"/>
  <c r="O11" i="13"/>
  <c r="O12" i="13"/>
  <c r="F368" i="19" a="1"/>
  <c r="F368" i="19" s="1"/>
  <c r="J368" i="19" s="1"/>
  <c r="D163" i="19" l="1"/>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I138" i="19" l="1" a="1"/>
  <c r="I138" i="19" s="1"/>
  <c r="G138" i="19" a="1"/>
  <c r="G138" i="19" s="1"/>
  <c r="G139" i="19" a="1"/>
  <c r="G139" i="19" s="1"/>
  <c r="I139" i="19" a="1"/>
  <c r="I139" i="19" s="1"/>
  <c r="E142" i="19" s="1"/>
  <c r="E145" i="19" s="1"/>
  <c r="E166" i="19"/>
  <c r="E465" i="19" a="1"/>
  <c r="E465" i="19" s="1"/>
  <c r="D465" i="19" a="1"/>
  <c r="D465" i="19" s="1"/>
  <c r="F465" i="19" a="1"/>
  <c r="J468" i="19" s="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194" i="13" s="1"/>
  <c r="F202" i="20" a="1"/>
  <c r="F202" i="20" s="1"/>
  <c r="G202" i="20" a="1"/>
  <c r="G202" i="20" s="1"/>
  <c r="H202" i="20" a="1"/>
  <c r="H202" i="20" s="1"/>
  <c r="I202" i="20" a="1"/>
  <c r="I202" i="20" s="1"/>
  <c r="D203" i="20" a="1"/>
  <c r="D203" i="20" s="1"/>
  <c r="E203" i="20" a="1"/>
  <c r="E203" i="20" s="1"/>
  <c r="D195" i="13" s="1"/>
  <c r="F203" i="20" a="1"/>
  <c r="F203" i="20" s="1"/>
  <c r="G203" i="20" a="1"/>
  <c r="G203" i="20" s="1"/>
  <c r="H203" i="20" a="1"/>
  <c r="H203" i="20" s="1"/>
  <c r="I203" i="20" a="1"/>
  <c r="I203" i="20" s="1"/>
  <c r="D204" i="20" a="1"/>
  <c r="D204" i="20" s="1"/>
  <c r="E204" i="20" a="1"/>
  <c r="E204" i="20" s="1"/>
  <c r="D187" i="13" s="1"/>
  <c r="F204" i="20" a="1"/>
  <c r="F204" i="20" s="1"/>
  <c r="G204" i="20" a="1"/>
  <c r="G204" i="20" s="1"/>
  <c r="H204" i="20" a="1"/>
  <c r="H204" i="20" s="1"/>
  <c r="I204" i="20" a="1"/>
  <c r="I204" i="20" s="1"/>
  <c r="D205" i="20" a="1"/>
  <c r="D205" i="20" s="1"/>
  <c r="E205" i="20" a="1"/>
  <c r="E205" i="20" s="1"/>
  <c r="D188" i="13" s="1"/>
  <c r="F205" i="20" a="1"/>
  <c r="F205" i="20" s="1"/>
  <c r="G205" i="20" a="1"/>
  <c r="G205" i="20" s="1"/>
  <c r="H205" i="20" a="1"/>
  <c r="H205" i="20" s="1"/>
  <c r="I205" i="20" a="1"/>
  <c r="I205" i="20" s="1"/>
  <c r="D206" i="20" a="1"/>
  <c r="D206" i="20" s="1"/>
  <c r="E206" i="20" a="1"/>
  <c r="E206" i="20" s="1"/>
  <c r="D196" i="13" s="1"/>
  <c r="F206" i="20" a="1"/>
  <c r="F206" i="20" s="1"/>
  <c r="G206" i="20" a="1"/>
  <c r="G206" i="20" s="1"/>
  <c r="H206" i="20" a="1"/>
  <c r="H206" i="20" s="1"/>
  <c r="I206" i="20" a="1"/>
  <c r="I206" i="20" s="1"/>
  <c r="D207" i="20" a="1"/>
  <c r="D207" i="20" s="1"/>
  <c r="E207" i="20" a="1"/>
  <c r="E207" i="20" s="1"/>
  <c r="D189" i="13" s="1"/>
  <c r="F207" i="20" a="1"/>
  <c r="F207" i="20" s="1"/>
  <c r="G207" i="20" a="1"/>
  <c r="G207" i="20" s="1"/>
  <c r="H207" i="20" a="1"/>
  <c r="H207" i="20" s="1"/>
  <c r="I207" i="20" a="1"/>
  <c r="I207" i="20" s="1"/>
  <c r="D208" i="20" a="1"/>
  <c r="D208" i="20" s="1"/>
  <c r="E208" i="20" a="1"/>
  <c r="E208" i="20" s="1"/>
  <c r="D190" i="13" s="1"/>
  <c r="F208" i="20" a="1"/>
  <c r="F208" i="20" s="1"/>
  <c r="G208" i="20" a="1"/>
  <c r="G208" i="20" s="1"/>
  <c r="H208" i="20" a="1"/>
  <c r="H208" i="20" s="1"/>
  <c r="I208" i="20" a="1"/>
  <c r="I208" i="20" s="1"/>
  <c r="D209" i="20" a="1"/>
  <c r="D209" i="20" s="1"/>
  <c r="E209" i="20" a="1"/>
  <c r="E209" i="20" s="1"/>
  <c r="D191" i="13"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H19" i="7"/>
  <c r="H20" i="7"/>
  <c r="D281" i="19" a="1"/>
  <c r="D281" i="19" s="1"/>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E141" i="19" l="1"/>
  <c r="E144" i="19" s="1"/>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E384" i="19" a="1"/>
  <c r="E384" i="19" s="1"/>
  <c r="E383" i="19" a="1"/>
  <c r="E383" i="19" s="1"/>
  <c r="E382" i="19" a="1"/>
  <c r="E382" i="19" s="1"/>
  <c r="O402" i="19" a="1"/>
  <c r="O402" i="19" s="1"/>
  <c r="U407" i="19" a="1"/>
  <c r="U407" i="19" s="1"/>
  <c r="U410" i="19" a="1"/>
  <c r="U410" i="19" s="1"/>
  <c r="R402" i="19" a="1"/>
  <c r="R402" i="19" s="1"/>
  <c r="U404" i="19" a="1"/>
  <c r="U404" i="19" s="1"/>
  <c r="R407" i="19" a="1"/>
  <c r="R407" i="19" s="1"/>
  <c r="R409" i="19" a="1"/>
  <c r="R409" i="19" s="1"/>
  <c r="U411" i="19" a="1"/>
  <c r="U411" i="19" s="1"/>
  <c r="R405" i="19" a="1"/>
  <c r="R405" i="19" s="1"/>
  <c r="U402" i="19" a="1"/>
  <c r="U402" i="19" s="1"/>
  <c r="R410" i="19" a="1"/>
  <c r="R410" i="19" s="1"/>
  <c r="O410" i="19" a="1"/>
  <c r="O410" i="19" s="1"/>
  <c r="R408" i="19" a="1"/>
  <c r="R408" i="19" s="1"/>
  <c r="O411" i="19" a="1"/>
  <c r="O411" i="19" s="1"/>
  <c r="R411" i="19" a="1"/>
  <c r="R411" i="19" s="1"/>
  <c r="O403" i="19" a="1"/>
  <c r="O403" i="19" s="1"/>
  <c r="U405" i="19" a="1"/>
  <c r="U405" i="19" s="1"/>
  <c r="O405" i="19" a="1"/>
  <c r="O405" i="19" s="1"/>
  <c r="U408" i="19" a="1"/>
  <c r="U408" i="19" s="1"/>
  <c r="U406" i="19" a="1"/>
  <c r="U406" i="19" s="1"/>
  <c r="O409" i="19" a="1"/>
  <c r="O409" i="19" s="1"/>
  <c r="O407" i="19" a="1"/>
  <c r="O407" i="19" s="1"/>
  <c r="R404" i="19" a="1"/>
  <c r="R404" i="19" s="1"/>
  <c r="O406" i="19" a="1"/>
  <c r="O406" i="19" s="1"/>
  <c r="O404" i="19" a="1"/>
  <c r="O404" i="19" s="1"/>
  <c r="U409" i="19" a="1"/>
  <c r="U409" i="19" s="1"/>
  <c r="O408" i="19" a="1"/>
  <c r="O408" i="19" s="1"/>
  <c r="R403" i="19" a="1"/>
  <c r="R403" i="19" s="1"/>
  <c r="U403" i="19" a="1"/>
  <c r="U403" i="19" s="1"/>
  <c r="R406" i="19" a="1"/>
  <c r="R406" i="19" s="1"/>
  <c r="K90" i="20"/>
  <c r="M89" i="20" s="1"/>
  <c r="G376" i="19" a="1"/>
  <c r="G376" i="19" s="1"/>
  <c r="G377" i="19" a="1"/>
  <c r="G377" i="19" s="1"/>
  <c r="G369" i="19" a="1"/>
  <c r="G369" i="19" s="1"/>
  <c r="G375" i="19" a="1"/>
  <c r="G375" i="19" s="1"/>
  <c r="G371" i="19" a="1"/>
  <c r="G371" i="19" s="1"/>
  <c r="G370" i="19" a="1"/>
  <c r="G370" i="19" s="1"/>
  <c r="G372" i="19" a="1"/>
  <c r="G372" i="19" s="1"/>
  <c r="G368" i="19" a="1"/>
  <c r="G368" i="19" s="1"/>
  <c r="H368" i="19" s="1"/>
  <c r="G373" i="19" a="1"/>
  <c r="G373" i="19" s="1"/>
  <c r="G374" i="19" a="1"/>
  <c r="G374" i="19" s="1"/>
  <c r="J454" i="19"/>
  <c r="G466" i="19" a="1"/>
  <c r="G466" i="19" s="1"/>
  <c r="H466" i="19" s="1"/>
  <c r="G454" i="19" a="1"/>
  <c r="G454" i="19" s="1"/>
  <c r="H454" i="19" s="1"/>
  <c r="G467" i="19" a="1"/>
  <c r="G467" i="19" s="1"/>
  <c r="H467" i="19" s="1"/>
  <c r="G455" i="19" a="1"/>
  <c r="G455" i="19" s="1"/>
  <c r="H455" i="19" s="1"/>
  <c r="G468" i="19" a="1"/>
  <c r="G468" i="19" s="1"/>
  <c r="H468" i="19" s="1"/>
  <c r="G456" i="19" a="1"/>
  <c r="G456" i="19" s="1"/>
  <c r="H456" i="19" s="1"/>
  <c r="G469" i="19" a="1"/>
  <c r="G469" i="19" s="1"/>
  <c r="H469" i="19" s="1"/>
  <c r="G457" i="19" a="1"/>
  <c r="G457" i="19" s="1"/>
  <c r="H457" i="19" s="1"/>
  <c r="G470" i="19" a="1"/>
  <c r="G470" i="19" s="1"/>
  <c r="H470" i="19" s="1"/>
  <c r="G471" i="19" a="1"/>
  <c r="G471" i="19" s="1"/>
  <c r="H471" i="19" s="1"/>
  <c r="G458" i="19" a="1"/>
  <c r="G458" i="19" s="1"/>
  <c r="H458" i="19" s="1"/>
  <c r="G472" i="19" a="1"/>
  <c r="G472" i="19" s="1"/>
  <c r="H472" i="19" s="1"/>
  <c r="G473" i="19" a="1"/>
  <c r="G473" i="19" s="1"/>
  <c r="H473" i="19" s="1"/>
  <c r="G459" i="19" a="1"/>
  <c r="G459" i="19" s="1"/>
  <c r="G474" i="19" a="1"/>
  <c r="G474" i="19" s="1"/>
  <c r="H474" i="19" s="1"/>
  <c r="G465" i="19" a="1"/>
  <c r="G465" i="19" s="1"/>
  <c r="F465" i="19"/>
  <c r="J465" i="19" s="1"/>
  <c r="J469" i="19"/>
  <c r="J470" i="19"/>
  <c r="J466" i="19"/>
  <c r="J467" i="19"/>
  <c r="J455" i="19"/>
  <c r="J26" i="19" l="1" a="1"/>
  <c r="J26" i="19" s="1"/>
  <c r="E35" i="19"/>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H371" i="19"/>
  <c r="J371" i="19"/>
  <c r="H369" i="19"/>
  <c r="J369" i="19"/>
  <c r="H370" i="19"/>
  <c r="J370" i="19"/>
  <c r="J374" i="19"/>
  <c r="H374" i="19"/>
  <c r="H372" i="19"/>
  <c r="J372" i="19"/>
  <c r="J375" i="19"/>
  <c r="H375" i="19"/>
  <c r="H377" i="19"/>
  <c r="J377" i="19"/>
  <c r="J373" i="19"/>
  <c r="H373" i="19"/>
  <c r="I396" i="19"/>
  <c r="I395" i="19"/>
  <c r="I394" i="19"/>
  <c r="I393" i="19"/>
  <c r="I392" i="19"/>
  <c r="I391" i="19"/>
  <c r="I390" i="19"/>
  <c r="I389" i="19"/>
  <c r="I388" i="19"/>
  <c r="I387" i="19"/>
  <c r="H376" i="19"/>
  <c r="J376" i="19"/>
  <c r="H465" i="19"/>
  <c r="J473" i="19"/>
  <c r="J472" i="19"/>
  <c r="J471" i="19"/>
  <c r="J474" i="19"/>
  <c r="J457" i="19"/>
  <c r="J458" i="19"/>
  <c r="J456" i="19"/>
  <c r="H459" i="19"/>
  <c r="J459" i="19"/>
  <c r="E34" i="19" l="1"/>
  <c r="E53" i="19"/>
  <c r="E54" i="19"/>
  <c r="E73" i="19"/>
  <c r="E72" i="19"/>
  <c r="E90" i="19"/>
  <c r="E91" i="19"/>
  <c r="D38" i="6" a="1"/>
  <c r="D38" i="6" s="1"/>
  <c r="E38" i="6" a="1"/>
  <c r="E38" i="6" s="1"/>
  <c r="F38" i="6" a="1"/>
  <c r="F38" i="6" s="1"/>
  <c r="G38" i="6" a="1"/>
  <c r="G38" i="6" s="1"/>
  <c r="H38" i="6" a="1"/>
  <c r="H38" i="6" s="1"/>
  <c r="I38" i="6" a="1"/>
  <c r="I38" i="6" s="1"/>
  <c r="F25" i="7"/>
  <c r="G25" i="7" s="1"/>
  <c r="E93" i="19" l="1"/>
  <c r="E94" i="19"/>
  <c r="G180" i="20"/>
  <c r="D311" i="19"/>
  <c r="V23" i="6" l="1" a="1"/>
  <c r="V23" i="6" s="1"/>
  <c r="V22" i="6" a="1"/>
  <c r="V22" i="6" s="1"/>
  <c r="V21" i="6" a="1"/>
  <c r="V21" i="6" s="1"/>
  <c r="V20" i="6" a="1"/>
  <c r="V20" i="6" s="1"/>
  <c r="V18" i="6" a="1"/>
  <c r="V18" i="6" s="1"/>
  <c r="V17" i="6" a="1"/>
  <c r="V17" i="6" s="1"/>
  <c r="H18" i="7"/>
  <c r="H194" i="20" l="1"/>
  <c r="E325" i="19"/>
  <c r="F305" i="19"/>
  <c r="I174" i="20"/>
  <c r="E326" i="19"/>
  <c r="I175" i="20"/>
  <c r="H195" i="20"/>
  <c r="F306" i="19"/>
  <c r="H196" i="20"/>
  <c r="F307" i="19"/>
  <c r="E327" i="19"/>
  <c r="I176" i="20"/>
  <c r="F308" i="19"/>
  <c r="I177" i="20"/>
  <c r="E328" i="19"/>
  <c r="H197" i="20"/>
  <c r="E402" i="19" a="1"/>
  <c r="N402" i="19" a="1"/>
  <c r="Q402" i="19" a="1"/>
  <c r="Q402" i="19" s="1"/>
  <c r="T402" i="19" a="1"/>
  <c r="T402" i="19" s="1"/>
  <c r="N402" i="19" l="1"/>
  <c r="F408" i="19"/>
  <c r="G408" i="19" s="1"/>
  <c r="F407" i="19"/>
  <c r="G407" i="19" s="1"/>
  <c r="F406" i="19"/>
  <c r="G406" i="19" s="1"/>
  <c r="F405" i="19"/>
  <c r="G405" i="19" s="1"/>
  <c r="F404" i="19"/>
  <c r="G404" i="19" s="1"/>
  <c r="F403" i="19"/>
  <c r="G403" i="19" s="1"/>
  <c r="F411" i="19"/>
  <c r="G411" i="19" s="1"/>
  <c r="F409" i="19"/>
  <c r="G409" i="19" s="1"/>
  <c r="F410" i="19"/>
  <c r="G410" i="19" s="1"/>
  <c r="E402" i="19"/>
  <c r="I411" i="19"/>
  <c r="I410" i="19"/>
  <c r="I404" i="19"/>
  <c r="I409" i="19"/>
  <c r="I408" i="19"/>
  <c r="I407" i="19"/>
  <c r="I406" i="19"/>
  <c r="I405" i="19"/>
  <c r="I403" i="19"/>
  <c r="I402" i="19" l="1"/>
  <c r="F402" i="19"/>
  <c r="G402" i="19" s="1"/>
  <c r="A39" i="15"/>
  <c r="A38" i="15"/>
  <c r="A37" i="15"/>
  <c r="A36" i="15"/>
  <c r="A33" i="15"/>
  <c r="A30" i="15"/>
  <c r="A29" i="15"/>
  <c r="A28" i="15"/>
  <c r="A27" i="15"/>
  <c r="A26" i="15"/>
  <c r="A25" i="15"/>
  <c r="A24" i="15"/>
  <c r="A19" i="15"/>
  <c r="A18" i="15"/>
  <c r="A15" i="15"/>
  <c r="A14" i="15"/>
  <c r="A13" i="15"/>
  <c r="A12" i="15"/>
  <c r="A11" i="15"/>
  <c r="A10" i="15"/>
  <c r="A9" i="15"/>
  <c r="A8" i="15"/>
  <c r="A7" i="15"/>
  <c r="A4" i="15"/>
  <c r="E46" i="1" l="1"/>
  <c r="E45" i="1"/>
  <c r="E26" i="9"/>
  <c r="I33" i="9" s="1"/>
  <c r="E25" i="9"/>
  <c r="I44" i="9" s="1"/>
  <c r="E12" i="9"/>
  <c r="E18" i="9" s="1"/>
  <c r="A15" i="10"/>
  <c r="A14" i="10"/>
  <c r="E13" i="10"/>
  <c r="A11" i="10"/>
  <c r="A8" i="10"/>
  <c r="A5" i="10"/>
  <c r="A4" i="10"/>
  <c r="A3" i="10"/>
  <c r="H44" i="9"/>
  <c r="E44" i="9"/>
  <c r="H43" i="9"/>
  <c r="E43" i="9"/>
  <c r="H42" i="9"/>
  <c r="E42" i="9"/>
  <c r="H35" i="9"/>
  <c r="H34" i="9"/>
  <c r="H33" i="9"/>
  <c r="A15" i="9"/>
  <c r="A14" i="9"/>
  <c r="A11" i="9"/>
  <c r="A8" i="9"/>
  <c r="A5" i="9"/>
  <c r="A4" i="9"/>
  <c r="A3" i="9"/>
  <c r="H25" i="8" a="1"/>
  <c r="H25" i="8" s="1"/>
  <c r="G25" i="8" a="1"/>
  <c r="G25" i="8"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A15" i="8"/>
  <c r="F14" i="8" a="1"/>
  <c r="F14" i="8" s="1"/>
  <c r="E14" i="8" a="1"/>
  <c r="E14" i="8" s="1"/>
  <c r="D14" i="8" a="1"/>
  <c r="D14" i="8" s="1"/>
  <c r="A14" i="8"/>
  <c r="F13" i="8" a="1"/>
  <c r="F13" i="8" s="1"/>
  <c r="E13" i="8" a="1"/>
  <c r="E13" i="8" s="1"/>
  <c r="D13" i="8" a="1"/>
  <c r="D13" i="8" s="1"/>
  <c r="F12" i="8" a="1"/>
  <c r="F12" i="8" s="1"/>
  <c r="E12" i="8" a="1"/>
  <c r="E12" i="8" s="1"/>
  <c r="D12" i="8" a="1"/>
  <c r="D12" i="8" s="1"/>
  <c r="F11" i="8" a="1"/>
  <c r="F11" i="8" s="1"/>
  <c r="E11" i="8" a="1"/>
  <c r="E11" i="8" s="1"/>
  <c r="D11" i="8" a="1"/>
  <c r="D11" i="8" s="1"/>
  <c r="A11" i="8"/>
  <c r="F10" i="8" a="1"/>
  <c r="F10" i="8" s="1"/>
  <c r="E10" i="8" a="1"/>
  <c r="E10" i="8" s="1"/>
  <c r="D10" i="8" a="1"/>
  <c r="D10" i="8" s="1"/>
  <c r="A8" i="8"/>
  <c r="D7" i="8" a="1"/>
  <c r="D7" i="8" s="1"/>
  <c r="D6" i="8" a="1"/>
  <c r="D6" i="8" s="1"/>
  <c r="D5" i="8" a="1"/>
  <c r="D5" i="8" s="1"/>
  <c r="A5" i="8"/>
  <c r="A4" i="8"/>
  <c r="A3" i="8"/>
  <c r="I42" i="9" l="1"/>
  <c r="E46" i="9" s="1"/>
  <c r="I34" i="9"/>
  <c r="E37" i="9" s="1"/>
  <c r="I35" i="9"/>
  <c r="I43" i="9"/>
  <c r="H45" i="7" l="1"/>
  <c r="I45" i="7" s="1"/>
  <c r="G45" i="7"/>
  <c r="H44" i="7"/>
  <c r="I44" i="7" s="1"/>
  <c r="G44" i="7"/>
  <c r="A44" i="7"/>
  <c r="F24" i="7"/>
  <c r="G24" i="7" s="1"/>
  <c r="A21" i="7"/>
  <c r="A20" i="7"/>
  <c r="A17" i="7"/>
  <c r="A16" i="7"/>
  <c r="A15" i="7"/>
  <c r="A14" i="7"/>
  <c r="A13" i="7"/>
  <c r="A12" i="7"/>
  <c r="A9" i="7"/>
  <c r="A8" i="7"/>
  <c r="A5" i="7"/>
  <c r="A4" i="7"/>
  <c r="A3" i="7"/>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D83" i="6" a="1"/>
  <c r="D83" i="6" s="1"/>
  <c r="D82" i="6" a="1"/>
  <c r="D82" i="6" s="1"/>
  <c r="D81" i="6" a="1"/>
  <c r="D81" i="6" s="1"/>
  <c r="F78" i="6" a="1"/>
  <c r="F78" i="6" s="1"/>
  <c r="E78" i="6" a="1"/>
  <c r="E78" i="6" s="1"/>
  <c r="D78" i="6" a="1"/>
  <c r="D78" i="6" s="1"/>
  <c r="D77" i="6" a="1"/>
  <c r="D77" i="6" s="1"/>
  <c r="D76" i="6" a="1"/>
  <c r="D76" i="6" s="1"/>
  <c r="F73" i="6" a="1"/>
  <c r="F73" i="6" s="1"/>
  <c r="E73" i="6" a="1"/>
  <c r="E73" i="6"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A21" i="6"/>
  <c r="R20" i="6" a="1"/>
  <c r="R20" i="6" s="1"/>
  <c r="Q20" i="6" a="1"/>
  <c r="Q20" i="6" s="1"/>
  <c r="L20" i="6" a="1"/>
  <c r="L20" i="6" s="1"/>
  <c r="K20" i="6" a="1"/>
  <c r="K20" i="6" s="1"/>
  <c r="I20" i="6" a="1"/>
  <c r="I20" i="6" s="1"/>
  <c r="H20" i="6" a="1"/>
  <c r="H20" i="6" s="1"/>
  <c r="G20" i="6" a="1"/>
  <c r="G20" i="6" s="1"/>
  <c r="F20" i="6" a="1"/>
  <c r="F20" i="6" s="1"/>
  <c r="E20" i="6" a="1"/>
  <c r="E20" i="6" s="1"/>
  <c r="D20" i="6" a="1"/>
  <c r="D20" i="6" s="1"/>
  <c r="A20" i="6"/>
  <c r="Q18" i="6" a="1"/>
  <c r="Q18" i="6" s="1"/>
  <c r="K18" i="6" a="1"/>
  <c r="K18" i="6" s="1"/>
  <c r="Q17" i="6" a="1"/>
  <c r="Q17" i="6" s="1"/>
  <c r="K17" i="6" a="1"/>
  <c r="K17" i="6" s="1"/>
  <c r="A17" i="6"/>
  <c r="A16" i="6"/>
  <c r="A15" i="6"/>
  <c r="A14" i="6"/>
  <c r="A13" i="6"/>
  <c r="A12" i="6"/>
  <c r="A9" i="6"/>
  <c r="A8" i="6"/>
  <c r="D7" i="6" a="1"/>
  <c r="D7" i="6" s="1"/>
  <c r="D6" i="6" a="1"/>
  <c r="D6" i="6" s="1"/>
  <c r="D5" i="6" a="1"/>
  <c r="D5" i="6" s="1"/>
  <c r="A5" i="6"/>
  <c r="A4" i="6"/>
  <c r="A3" i="6"/>
  <c r="F20" i="7" l="1"/>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D309" i="19"/>
  <c r="D314" i="19"/>
  <c r="G183" i="20"/>
  <c r="G185" i="20"/>
  <c r="D316" i="19"/>
  <c r="G316" i="19" s="1" a="1"/>
  <c r="G316" i="19" s="1"/>
  <c r="G182" i="20"/>
  <c r="D313" i="19"/>
  <c r="G313" i="19" s="1" a="1"/>
  <c r="G313" i="19" s="1"/>
  <c r="G184" i="20"/>
  <c r="D315" i="19"/>
  <c r="G315" i="19" s="1" a="1"/>
  <c r="G315" i="19" s="1"/>
  <c r="D322" i="19"/>
  <c r="G322" i="19" s="1" a="1"/>
  <c r="G322" i="19" s="1"/>
  <c r="G191" i="20"/>
  <c r="G187" i="20"/>
  <c r="D318" i="19"/>
  <c r="G192" i="20"/>
  <c r="D323" i="19"/>
  <c r="G323" i="19" s="1" a="1"/>
  <c r="G323" i="19" s="1"/>
  <c r="G198" i="20"/>
  <c r="D329" i="19"/>
  <c r="D312" i="19"/>
  <c r="G181" i="20"/>
  <c r="G175" i="20"/>
  <c r="G177" i="20"/>
  <c r="D308" i="19"/>
  <c r="G308" i="19" s="1" a="1"/>
  <c r="G308" i="19" s="1"/>
  <c r="D306" i="19"/>
  <c r="G306" i="19" s="1" a="1"/>
  <c r="G306" i="19" s="1"/>
  <c r="D307" i="19"/>
  <c r="G307" i="19" s="1" a="1"/>
  <c r="G307" i="19" s="1"/>
  <c r="D305" i="19"/>
  <c r="G305" i="19" s="1" a="1"/>
  <c r="G305" i="19" s="1"/>
  <c r="K305" i="19" s="1"/>
  <c r="G174" i="20"/>
  <c r="G176" i="20"/>
  <c r="D310" i="19"/>
  <c r="G310" i="19" s="1" a="1"/>
  <c r="G310" i="19" s="1"/>
  <c r="G179" i="20"/>
  <c r="G189" i="20"/>
  <c r="D320" i="19"/>
  <c r="G188" i="20"/>
  <c r="D319" i="19"/>
  <c r="G319" i="19" s="1" a="1"/>
  <c r="G319" i="19" s="1"/>
  <c r="D324" i="19"/>
  <c r="G193" i="20"/>
  <c r="G194" i="20"/>
  <c r="D327" i="19"/>
  <c r="G327" i="19" s="1" a="1"/>
  <c r="G327" i="19" s="1"/>
  <c r="G196" i="20"/>
  <c r="D326" i="19"/>
  <c r="G326" i="19" s="1" a="1"/>
  <c r="G326" i="19" s="1"/>
  <c r="D325" i="19"/>
  <c r="G325" i="19" s="1" a="1"/>
  <c r="G325" i="19" s="1"/>
  <c r="G195" i="20"/>
  <c r="D328" i="19"/>
  <c r="G328" i="19" s="1" a="1"/>
  <c r="G328" i="19" s="1"/>
  <c r="G197" i="20"/>
  <c r="G186" i="20"/>
  <c r="D317" i="19"/>
  <c r="G190" i="20"/>
  <c r="D321" i="19"/>
  <c r="G321" i="19" s="1" a="1"/>
  <c r="G321" i="19" s="1"/>
  <c r="G311" i="19" a="1"/>
  <c r="G311" i="19" s="1"/>
  <c r="G309" i="19" a="1"/>
  <c r="G309" i="19" s="1"/>
  <c r="G317" i="19" a="1"/>
  <c r="G317" i="19" s="1"/>
  <c r="G314" i="19" a="1"/>
  <c r="G314" i="19" s="1"/>
  <c r="G320" i="19" a="1"/>
  <c r="G320" i="19" s="1"/>
  <c r="G318" i="19" a="1"/>
  <c r="G318" i="19" s="1"/>
  <c r="P25"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J45" i="7"/>
  <c r="D32" i="7"/>
  <c r="J44" i="7"/>
  <c r="D25" i="1" a="1"/>
  <c r="D25" i="1" s="1"/>
  <c r="P24" i="7"/>
  <c r="O281" i="19" l="1" a="1"/>
  <c r="O281" i="19" s="1"/>
  <c r="H324" i="19" a="1"/>
  <c r="H324" i="19" s="1"/>
  <c r="AG281" i="19" a="1"/>
  <c r="AG281" i="19" s="1"/>
  <c r="P281" i="19" a="1"/>
  <c r="P281" i="19" s="1"/>
  <c r="H315" i="19" a="1"/>
  <c r="H315" i="19" s="1"/>
  <c r="K315" i="19" s="1"/>
  <c r="H313" i="19" a="1"/>
  <c r="H313" i="19" s="1"/>
  <c r="I313" i="19" s="1"/>
  <c r="H321" i="19" a="1"/>
  <c r="H321" i="19" s="1"/>
  <c r="I321" i="19" s="1"/>
  <c r="H319" i="19" a="1"/>
  <c r="H319" i="19" s="1"/>
  <c r="K319" i="19" s="1"/>
  <c r="H316" i="19" a="1"/>
  <c r="H316" i="19" s="1"/>
  <c r="I316" i="19" s="1"/>
  <c r="H312" i="19" a="1"/>
  <c r="H312" i="19" s="1"/>
  <c r="H320" i="19" a="1"/>
  <c r="H320" i="19" s="1"/>
  <c r="I320" i="19" s="1"/>
  <c r="U281" i="19" a="1"/>
  <c r="G312" i="19" a="1"/>
  <c r="G312" i="19" s="1"/>
  <c r="G324" i="19" a="1"/>
  <c r="G324" i="19" s="1"/>
  <c r="I324" i="19" s="1"/>
  <c r="H314" i="19" a="1"/>
  <c r="H314" i="19" s="1"/>
  <c r="I314" i="19" s="1"/>
  <c r="H317" i="19" a="1"/>
  <c r="H317" i="19" s="1"/>
  <c r="I317" i="19" s="1"/>
  <c r="H329" i="19" a="1"/>
  <c r="H329" i="19" s="1"/>
  <c r="I19" i="7"/>
  <c r="V19" i="7"/>
  <c r="Y281" i="19" a="1"/>
  <c r="H323" i="19" a="1"/>
  <c r="H323" i="19" s="1"/>
  <c r="I323" i="19" s="1"/>
  <c r="H309" i="19" a="1"/>
  <c r="H309" i="19" s="1"/>
  <c r="I309" i="19" s="1"/>
  <c r="G329" i="19" a="1"/>
  <c r="G329" i="19" s="1"/>
  <c r="H310" i="19" a="1"/>
  <c r="H310" i="19" s="1"/>
  <c r="K310" i="19" s="1"/>
  <c r="H318" i="19" a="1"/>
  <c r="H318" i="19" s="1"/>
  <c r="I318" i="19" s="1"/>
  <c r="H308" i="19" a="1"/>
  <c r="H308" i="19" s="1"/>
  <c r="K308" i="19" s="1"/>
  <c r="H326" i="19" a="1"/>
  <c r="H326" i="19" s="1"/>
  <c r="K326" i="19" s="1"/>
  <c r="H327" i="19" a="1"/>
  <c r="H327" i="19" s="1"/>
  <c r="I327" i="19" s="1"/>
  <c r="H325" i="19" a="1"/>
  <c r="H325" i="19" s="1"/>
  <c r="K325" i="19" s="1"/>
  <c r="H328" i="19" a="1"/>
  <c r="H328" i="19" s="1"/>
  <c r="K328" i="19" s="1"/>
  <c r="H306" i="19" a="1"/>
  <c r="H306" i="19" s="1"/>
  <c r="I306" i="19" s="1"/>
  <c r="H307" i="19" a="1"/>
  <c r="H307" i="19" s="1"/>
  <c r="K307" i="19" s="1"/>
  <c r="H305" i="19" a="1"/>
  <c r="H305" i="19" s="1"/>
  <c r="I305" i="19" s="1"/>
  <c r="H311" i="19" a="1"/>
  <c r="H311" i="19" s="1"/>
  <c r="I311" i="19" s="1"/>
  <c r="I20" i="7"/>
  <c r="V20" i="7"/>
  <c r="H322" i="19" a="1"/>
  <c r="H322" i="19" s="1"/>
  <c r="K322" i="19" s="1"/>
  <c r="K311" i="19"/>
  <c r="AC281" i="19" a="1"/>
  <c r="AK281" i="19" a="1"/>
  <c r="Q281" i="19" a="1"/>
  <c r="I18" i="7"/>
  <c r="V18" i="7"/>
  <c r="G12" i="5" a="1"/>
  <c r="G12" i="5" s="1"/>
  <c r="H12" i="5"/>
  <c r="I12" i="5"/>
  <c r="H20" i="1" a="1"/>
  <c r="H20" i="1" s="1"/>
  <c r="H19" i="1" a="1"/>
  <c r="H19" i="1" s="1"/>
  <c r="H18" i="1" a="1"/>
  <c r="H18" i="1" s="1"/>
  <c r="H17" i="1" a="1"/>
  <c r="H17" i="1" s="1"/>
  <c r="H16" i="1" a="1"/>
  <c r="H16" i="1" s="1"/>
  <c r="H15" i="1" a="1"/>
  <c r="H15" i="1" s="1"/>
  <c r="H14" i="1" a="1"/>
  <c r="H14" i="1" s="1"/>
  <c r="H13" i="1" a="1"/>
  <c r="H13" i="1" s="1"/>
  <c r="H12" i="1" a="1"/>
  <c r="H12" i="1" s="1"/>
  <c r="H11" i="1" a="1"/>
  <c r="H11" i="1" s="1"/>
  <c r="H10" i="1" a="1"/>
  <c r="H10" i="1" s="1"/>
  <c r="H9" i="1" a="1"/>
  <c r="H9" i="1" s="1"/>
  <c r="H8" i="1" a="1"/>
  <c r="H8" i="1" s="1"/>
  <c r="H7" i="1" a="1"/>
  <c r="H7" i="1" s="1"/>
  <c r="F14" i="1"/>
  <c r="F13" i="1"/>
  <c r="F12" i="1"/>
  <c r="F11" i="1"/>
  <c r="F10" i="1"/>
  <c r="F9" i="1"/>
  <c r="F8" i="1"/>
  <c r="F7" i="1"/>
  <c r="F6" i="1"/>
  <c r="K317" i="19" l="1"/>
  <c r="I329" i="19"/>
  <c r="AI293" i="19" a="1"/>
  <c r="AI293" i="19" s="1"/>
  <c r="AI292" i="19" a="1"/>
  <c r="AI292" i="19" s="1"/>
  <c r="AI287" i="19" a="1"/>
  <c r="AI287" i="19" s="1"/>
  <c r="AI295" i="19" a="1"/>
  <c r="AI295" i="19" s="1"/>
  <c r="AI288" i="19" a="1"/>
  <c r="AI288" i="19" s="1"/>
  <c r="AI300" i="19" a="1"/>
  <c r="AI300" i="19" s="1"/>
  <c r="AI298" i="19" a="1"/>
  <c r="AI298" i="19" s="1"/>
  <c r="AA298" i="19" a="1"/>
  <c r="AA298" i="19" s="1"/>
  <c r="AI286" i="19" a="1"/>
  <c r="AI286" i="19" s="1"/>
  <c r="AI282" i="19" a="1"/>
  <c r="AI282" i="19" s="1"/>
  <c r="AA300" i="19" a="1"/>
  <c r="AA300" i="19" s="1"/>
  <c r="AI299" i="19" a="1"/>
  <c r="AI299" i="19" s="1"/>
  <c r="AI289" i="19" a="1"/>
  <c r="AI289" i="19" s="1"/>
  <c r="AI294" i="19" a="1"/>
  <c r="AI294" i="19" s="1"/>
  <c r="AI290" i="19" a="1"/>
  <c r="AI290" i="19" s="1"/>
  <c r="AI291" i="19" a="1"/>
  <c r="AI291" i="19" s="1"/>
  <c r="AI296" i="19" a="1"/>
  <c r="AI296" i="19" s="1"/>
  <c r="AI281" i="19" a="1"/>
  <c r="AI281" i="19" s="1"/>
  <c r="AI283" i="19" a="1"/>
  <c r="AI283" i="19" s="1"/>
  <c r="AI297" i="19" a="1"/>
  <c r="AI297" i="19" s="1"/>
  <c r="AI284" i="19" a="1"/>
  <c r="AI284" i="19" s="1"/>
  <c r="W299" i="19" a="1"/>
  <c r="W299" i="19" s="1"/>
  <c r="AI285" i="19" a="1"/>
  <c r="AI285" i="19" s="1"/>
  <c r="AA286" i="19" a="1"/>
  <c r="AA286" i="19" s="1"/>
  <c r="Y281" i="19"/>
  <c r="AA281" i="19" s="1" a="1"/>
  <c r="AA281" i="19" s="1"/>
  <c r="I328" i="19"/>
  <c r="AA293" i="19" a="1"/>
  <c r="AA293" i="19" s="1"/>
  <c r="AA295" i="19" a="1"/>
  <c r="AA295" i="19" s="1"/>
  <c r="K313" i="19"/>
  <c r="AA290" i="19" a="1"/>
  <c r="AA290" i="19" s="1"/>
  <c r="AA283" i="19" a="1"/>
  <c r="AA283" i="19" s="1"/>
  <c r="AA296" i="19" a="1"/>
  <c r="AA296" i="19" s="1"/>
  <c r="AA297" i="19" a="1"/>
  <c r="AA297" i="19" s="1"/>
  <c r="AA294" i="19" a="1"/>
  <c r="AA294" i="19" s="1"/>
  <c r="AA285" i="19" a="1"/>
  <c r="AA285" i="19" s="1"/>
  <c r="AA299" i="19" a="1"/>
  <c r="AA299" i="19" s="1"/>
  <c r="AA287" i="19" a="1"/>
  <c r="AA287" i="19" s="1"/>
  <c r="AA291" i="19" a="1"/>
  <c r="AA291" i="19" s="1"/>
  <c r="AA288" i="19" a="1"/>
  <c r="AA288" i="19" s="1"/>
  <c r="K323" i="19"/>
  <c r="AA292" i="19" a="1"/>
  <c r="AA292" i="19" s="1"/>
  <c r="AA289" i="19" a="1"/>
  <c r="AA289" i="19" s="1"/>
  <c r="K309" i="19"/>
  <c r="K327" i="19"/>
  <c r="K321" i="19"/>
  <c r="I315" i="19"/>
  <c r="W288" i="19" a="1"/>
  <c r="W288" i="19" s="1"/>
  <c r="W290" i="19" a="1"/>
  <c r="W290" i="19" s="1"/>
  <c r="W285" i="19" a="1"/>
  <c r="W285" i="19" s="1"/>
  <c r="W293" i="19" a="1"/>
  <c r="W293" i="19" s="1"/>
  <c r="W291" i="19" a="1"/>
  <c r="W291" i="19" s="1"/>
  <c r="W283" i="19" a="1"/>
  <c r="W283" i="19" s="1"/>
  <c r="W292" i="19" a="1"/>
  <c r="W292" i="19" s="1"/>
  <c r="W286" i="19" a="1"/>
  <c r="W286" i="19" s="1"/>
  <c r="W284" i="19" a="1"/>
  <c r="W284" i="19" s="1"/>
  <c r="W294" i="19" a="1"/>
  <c r="W294" i="19" s="1"/>
  <c r="W287" i="19" a="1"/>
  <c r="W287" i="19" s="1"/>
  <c r="W297" i="19" a="1"/>
  <c r="W297" i="19" s="1"/>
  <c r="W296" i="19" a="1"/>
  <c r="W296" i="19" s="1"/>
  <c r="W295" i="19" a="1"/>
  <c r="W295" i="19" s="1"/>
  <c r="W289" i="19" a="1"/>
  <c r="W289" i="19" s="1"/>
  <c r="W300" i="19" a="1"/>
  <c r="W300" i="19" s="1"/>
  <c r="I322" i="19"/>
  <c r="I312" i="19"/>
  <c r="I310" i="19"/>
  <c r="I319" i="19"/>
  <c r="K320" i="19"/>
  <c r="K318" i="19"/>
  <c r="K314" i="19"/>
  <c r="I326" i="19"/>
  <c r="I325" i="19"/>
  <c r="E28" i="1" a="1"/>
  <c r="E28" i="1" s="1"/>
  <c r="I307" i="19"/>
  <c r="AA282" i="19" a="1"/>
  <c r="AA282" i="19" s="1"/>
  <c r="AA284" i="19" a="1"/>
  <c r="AA284" i="19" s="1"/>
  <c r="W298" i="19" a="1"/>
  <c r="W298" i="19" s="1"/>
  <c r="U281" i="19"/>
  <c r="W281" i="19" s="1" a="1"/>
  <c r="W281" i="19" s="1"/>
  <c r="W282" i="19" a="1"/>
  <c r="W282" i="19" s="1"/>
  <c r="K316" i="19"/>
  <c r="K329" i="19"/>
  <c r="I308" i="19"/>
  <c r="K324" i="19"/>
  <c r="K306" i="19"/>
  <c r="K312" i="19"/>
  <c r="E25" i="1" a="1"/>
  <c r="E25" i="1" s="1"/>
  <c r="E41" i="1" a="1"/>
  <c r="E41" i="1" s="1"/>
  <c r="E40" i="1" a="1"/>
  <c r="E40" i="1" s="1"/>
  <c r="E36" i="1" a="1"/>
  <c r="E36" i="1" s="1"/>
  <c r="E38" i="1" a="1"/>
  <c r="E38" i="1" s="1"/>
  <c r="E29" i="1" a="1"/>
  <c r="E29" i="1" s="1"/>
  <c r="E34" i="1" a="1"/>
  <c r="E34" i="1" s="1"/>
  <c r="E39" i="1" a="1"/>
  <c r="E39" i="1" s="1"/>
  <c r="AK281" i="19"/>
  <c r="AM281" i="19" s="1" a="1"/>
  <c r="AM281" i="19" s="1"/>
  <c r="AM297" i="19" a="1"/>
  <c r="AM297" i="19" s="1"/>
  <c r="AM285" i="19" a="1"/>
  <c r="AM285" i="19" s="1"/>
  <c r="AM298" i="19" a="1"/>
  <c r="AM298" i="19" s="1"/>
  <c r="AM296" i="19" a="1"/>
  <c r="AM296" i="19" s="1"/>
  <c r="AM284" i="19" a="1"/>
  <c r="AM284" i="19" s="1"/>
  <c r="AM289" i="19" a="1"/>
  <c r="AM289" i="19" s="1"/>
  <c r="AM286" i="19" a="1"/>
  <c r="AM286" i="19" s="1"/>
  <c r="AM283" i="19" a="1"/>
  <c r="AM283" i="19" s="1"/>
  <c r="AM295" i="19" a="1"/>
  <c r="AM295" i="19" s="1"/>
  <c r="AM294" i="19" a="1"/>
  <c r="AM294" i="19" s="1"/>
  <c r="AM293" i="19" a="1"/>
  <c r="AM293" i="19" s="1"/>
  <c r="AM292" i="19" a="1"/>
  <c r="AM292" i="19" s="1"/>
  <c r="AM291" i="19" a="1"/>
  <c r="AM291" i="19" s="1"/>
  <c r="AM290" i="19" a="1"/>
  <c r="AM290" i="19" s="1"/>
  <c r="AM287" i="19" a="1"/>
  <c r="AM287" i="19" s="1"/>
  <c r="AM300" i="19" a="1"/>
  <c r="AM300" i="19" s="1"/>
  <c r="AM288" i="19" a="1"/>
  <c r="AM288" i="19" s="1"/>
  <c r="AM299" i="19" a="1"/>
  <c r="AM299" i="19" s="1"/>
  <c r="Q281" i="19"/>
  <c r="S281" i="19" s="1" a="1"/>
  <c r="S281" i="19" s="1"/>
  <c r="S288" i="19" a="1"/>
  <c r="S288" i="19" s="1"/>
  <c r="S287" i="19" a="1"/>
  <c r="S287" i="19" s="1"/>
  <c r="S300" i="19" a="1"/>
  <c r="S300" i="19" s="1"/>
  <c r="S286" i="19" a="1"/>
  <c r="S286" i="19" s="1"/>
  <c r="S299" i="19" a="1"/>
  <c r="S299" i="19" s="1"/>
  <c r="S285" i="19" a="1"/>
  <c r="S285" i="19" s="1"/>
  <c r="S298" i="19" a="1"/>
  <c r="S298" i="19" s="1"/>
  <c r="S284" i="19" a="1"/>
  <c r="S284" i="19" s="1"/>
  <c r="S297" i="19" a="1"/>
  <c r="S297" i="19" s="1"/>
  <c r="S283" i="19" a="1"/>
  <c r="S283" i="19" s="1"/>
  <c r="S293" i="19" a="1"/>
  <c r="S293" i="19" s="1"/>
  <c r="S296" i="19" a="1"/>
  <c r="S296" i="19" s="1"/>
  <c r="S295" i="19" a="1"/>
  <c r="S295" i="19" s="1"/>
  <c r="S294" i="19" a="1"/>
  <c r="S294" i="19" s="1"/>
  <c r="S289" i="19" a="1"/>
  <c r="S289" i="19" s="1"/>
  <c r="S292" i="19" a="1"/>
  <c r="S292" i="19" s="1"/>
  <c r="S290" i="19" a="1"/>
  <c r="S290" i="19" s="1"/>
  <c r="S291" i="19" a="1"/>
  <c r="S291" i="19" s="1"/>
  <c r="AC281" i="19"/>
  <c r="AE281" i="19" s="1" a="1"/>
  <c r="AE281" i="19" s="1"/>
  <c r="AE299" i="19" a="1"/>
  <c r="AE299" i="19" s="1"/>
  <c r="AE295" i="19" a="1"/>
  <c r="AE295" i="19" s="1"/>
  <c r="AE284" i="19" a="1"/>
  <c r="AE284" i="19" s="1"/>
  <c r="AE294" i="19" a="1"/>
  <c r="AE294" i="19" s="1"/>
  <c r="AE283" i="19" a="1"/>
  <c r="AE283" i="19" s="1"/>
  <c r="AE293" i="19" a="1"/>
  <c r="AE293" i="19" s="1"/>
  <c r="AE292" i="19" a="1"/>
  <c r="AE292" i="19" s="1"/>
  <c r="AE286" i="19" a="1"/>
  <c r="AE286" i="19" s="1"/>
  <c r="AE291" i="19" a="1"/>
  <c r="AE291" i="19" s="1"/>
  <c r="AE285" i="19" a="1"/>
  <c r="AE285" i="19" s="1"/>
  <c r="AE290" i="19" a="1"/>
  <c r="AE290" i="19" s="1"/>
  <c r="AE300" i="19" a="1"/>
  <c r="AE300" i="19" s="1"/>
  <c r="AE289" i="19" a="1"/>
  <c r="AE289" i="19" s="1"/>
  <c r="AE296" i="19" a="1"/>
  <c r="AE296" i="19" s="1"/>
  <c r="AE288" i="19" a="1"/>
  <c r="AE288" i="19" s="1"/>
  <c r="AE297" i="19" a="1"/>
  <c r="AE297" i="19" s="1"/>
  <c r="AE298" i="19" a="1"/>
  <c r="AE298" i="19" s="1"/>
  <c r="AE287" i="19" a="1"/>
  <c r="AE287" i="19" s="1"/>
  <c r="S282" i="19" a="1"/>
  <c r="S282" i="19" s="1"/>
  <c r="AM282" i="19" a="1"/>
  <c r="AM282" i="19" s="1"/>
  <c r="AE282" i="19" a="1"/>
  <c r="AE282" i="19" s="1"/>
  <c r="E26" i="1" a="1"/>
  <c r="E26" i="1" s="1"/>
  <c r="E33" i="1" a="1"/>
  <c r="E33" i="1" s="1"/>
  <c r="E30" i="1" a="1"/>
  <c r="E30" i="1" s="1"/>
  <c r="E31" i="1" a="1"/>
  <c r="E31" i="1" s="1"/>
  <c r="E32" i="1" a="1"/>
  <c r="E32" i="1" s="1"/>
  <c r="E35" i="1" a="1"/>
  <c r="E35" i="1" s="1"/>
  <c r="E37" i="1" a="1"/>
  <c r="E37" i="1" s="1"/>
  <c r="E27" i="1" a="1"/>
  <c r="E27" i="1" s="1"/>
  <c r="E42" i="1" a="1"/>
  <c r="E42" i="1" s="1"/>
  <c r="F20" i="1"/>
  <c r="F19" i="1"/>
  <c r="F18" i="1"/>
  <c r="F17" i="1"/>
  <c r="F16" i="1"/>
  <c r="F15" i="1"/>
  <c r="D20" i="1"/>
  <c r="D19" i="1"/>
  <c r="D18" i="1"/>
  <c r="D17" i="1"/>
  <c r="D16" i="1"/>
  <c r="D15" i="1"/>
  <c r="D14" i="1"/>
  <c r="D13" i="1"/>
  <c r="D12" i="1"/>
  <c r="D11" i="1"/>
  <c r="D10" i="1"/>
  <c r="D9" i="1"/>
  <c r="D8" i="1"/>
  <c r="D7" i="1"/>
  <c r="D6" i="1"/>
  <c r="K299" i="19" l="1" a="1"/>
  <c r="K299" i="19" s="1"/>
  <c r="H299" i="19" a="1"/>
  <c r="H299" i="19" s="1"/>
  <c r="K287" i="19" a="1"/>
  <c r="K287" i="19" s="1"/>
  <c r="H287" i="19" a="1"/>
  <c r="H287" i="19" s="1"/>
  <c r="K293" i="19" a="1"/>
  <c r="K293" i="19" s="1"/>
  <c r="H293" i="19" a="1"/>
  <c r="H293" i="19" s="1"/>
  <c r="K298" i="19" a="1"/>
  <c r="K298" i="19" s="1"/>
  <c r="H298" i="19" a="1"/>
  <c r="H298" i="19" s="1"/>
  <c r="K285" i="19" a="1"/>
  <c r="K285" i="19" s="1"/>
  <c r="H285" i="19" a="1"/>
  <c r="H285" i="19" s="1"/>
  <c r="K294" i="19" a="1"/>
  <c r="K294" i="19" s="1"/>
  <c r="H294" i="19" a="1"/>
  <c r="H294" i="19" s="1"/>
  <c r="K300" i="19" a="1"/>
  <c r="K300" i="19" s="1"/>
  <c r="H300" i="19" a="1"/>
  <c r="H300" i="19" s="1"/>
  <c r="K281" i="19" a="1"/>
  <c r="K281" i="19" s="1"/>
  <c r="H281" i="19" a="1"/>
  <c r="H281" i="19" s="1"/>
  <c r="K295" i="19" a="1"/>
  <c r="K295" i="19" s="1"/>
  <c r="H295" i="19" a="1"/>
  <c r="H295" i="19" s="1"/>
  <c r="H282" i="19" a="1"/>
  <c r="H282" i="19" s="1"/>
  <c r="K282" i="19" a="1"/>
  <c r="K282" i="19" s="1"/>
  <c r="H292" i="19" a="1"/>
  <c r="H292" i="19" s="1"/>
  <c r="K292" i="19" a="1"/>
  <c r="K292" i="19" s="1"/>
  <c r="K283" i="19" a="1"/>
  <c r="K283" i="19" s="1"/>
  <c r="H283" i="19" a="1"/>
  <c r="H283" i="19" s="1"/>
  <c r="H291" i="19" a="1"/>
  <c r="H291" i="19" s="1"/>
  <c r="K291" i="19" a="1"/>
  <c r="K291" i="19" s="1"/>
  <c r="K286" i="19" a="1"/>
  <c r="K286" i="19" s="1"/>
  <c r="H286" i="19" a="1"/>
  <c r="H286" i="19" s="1"/>
  <c r="H288" i="19" a="1"/>
  <c r="H288" i="19" s="1"/>
  <c r="K288" i="19" a="1"/>
  <c r="K288" i="19" s="1"/>
  <c r="K297" i="19" a="1"/>
  <c r="K297" i="19" s="1"/>
  <c r="H297" i="19" a="1"/>
  <c r="H297" i="19" s="1"/>
  <c r="H289" i="19" a="1"/>
  <c r="H289" i="19" s="1"/>
  <c r="K289" i="19" a="1"/>
  <c r="K289" i="19" s="1"/>
  <c r="H290" i="19" a="1"/>
  <c r="H290" i="19" s="1"/>
  <c r="K290" i="19" a="1"/>
  <c r="K290" i="19" s="1"/>
  <c r="K284" i="19" a="1"/>
  <c r="K284" i="19" s="1"/>
  <c r="H284" i="19" a="1"/>
  <c r="H284" i="19" s="1"/>
  <c r="K296" i="19" a="1"/>
  <c r="K296" i="19" s="1"/>
  <c r="H296" i="19" a="1"/>
  <c r="H296" i="19" s="1"/>
  <c r="F281" i="19"/>
  <c r="G281" i="19" s="1" a="1"/>
  <c r="G281" i="19" s="1"/>
  <c r="F284" i="19"/>
  <c r="G284" i="19" s="1" a="1"/>
  <c r="G284" i="19" s="1"/>
  <c r="F285" i="19"/>
  <c r="G285" i="19" s="1" a="1"/>
  <c r="G285" i="19" s="1"/>
  <c r="F294" i="19"/>
  <c r="G294" i="19" s="1" a="1"/>
  <c r="G294" i="19" s="1"/>
  <c r="F282" i="19"/>
  <c r="G282" i="19" s="1" a="1"/>
  <c r="G282" i="19" s="1"/>
  <c r="F299" i="19"/>
  <c r="G299" i="19" s="1" a="1"/>
  <c r="G299" i="19" s="1"/>
  <c r="F291" i="19"/>
  <c r="G291" i="19" s="1" a="1"/>
  <c r="G291" i="19" s="1"/>
  <c r="F286" i="19"/>
  <c r="G286" i="19" s="1" a="1"/>
  <c r="G286" i="19" s="1"/>
  <c r="F290" i="19"/>
  <c r="G290" i="19" s="1" a="1"/>
  <c r="G290" i="19" s="1"/>
  <c r="F300" i="19"/>
  <c r="G300" i="19" s="1" a="1"/>
  <c r="G300" i="19" s="1"/>
  <c r="F292" i="19"/>
  <c r="G292" i="19" s="1" a="1"/>
  <c r="G292" i="19" s="1"/>
  <c r="F287" i="19"/>
  <c r="G287" i="19" s="1" a="1"/>
  <c r="G287" i="19" s="1"/>
  <c r="F289" i="19"/>
  <c r="G289" i="19" s="1" a="1"/>
  <c r="G289" i="19" s="1"/>
  <c r="F288" i="19"/>
  <c r="G288" i="19" s="1" a="1"/>
  <c r="G288" i="19" s="1"/>
  <c r="F295" i="19"/>
  <c r="G295" i="19" s="1" a="1"/>
  <c r="G295" i="19" s="1"/>
  <c r="F296" i="19"/>
  <c r="G296" i="19" s="1" a="1"/>
  <c r="G296" i="19" s="1"/>
  <c r="F293" i="19"/>
  <c r="G293" i="19" s="1" a="1"/>
  <c r="G293" i="19" s="1"/>
  <c r="F283" i="19"/>
  <c r="G283" i="19" s="1" a="1"/>
  <c r="G283" i="19" s="1"/>
  <c r="F298" i="19"/>
  <c r="G298" i="19" s="1" a="1"/>
  <c r="G298" i="19" s="1"/>
  <c r="F297" i="19"/>
  <c r="G297" i="19" s="1" a="1"/>
  <c r="G297" i="19" s="1"/>
  <c r="I11" i="5"/>
  <c r="H6" i="1" s="1" a="1"/>
  <c r="H6" i="1" s="1"/>
  <c r="H11" i="5"/>
  <c r="G11" i="5" a="1"/>
  <c r="G11" i="5" s="1"/>
  <c r="A17" i="5"/>
  <c r="A16" i="5"/>
  <c r="A13" i="5"/>
  <c r="A12" i="5"/>
  <c r="A11" i="5"/>
  <c r="A8" i="5"/>
  <c r="A5" i="5"/>
  <c r="A4" i="5"/>
  <c r="A3" i="5"/>
  <c r="J139" i="4"/>
  <c r="E139" i="4"/>
  <c r="J138" i="4"/>
  <c r="G138" i="4"/>
  <c r="E138" i="4"/>
  <c r="J137" i="4"/>
  <c r="G137" i="4"/>
  <c r="E137" i="4"/>
  <c r="D137" i="4"/>
  <c r="J136" i="4"/>
  <c r="G136" i="4"/>
  <c r="E136" i="4"/>
  <c r="D136" i="4"/>
  <c r="J135" i="4"/>
  <c r="G135" i="4"/>
  <c r="E135" i="4"/>
  <c r="D135" i="4"/>
  <c r="J134" i="4"/>
  <c r="G134" i="4"/>
  <c r="E134" i="4"/>
  <c r="D134" i="4"/>
  <c r="J133" i="4"/>
  <c r="G133" i="4"/>
  <c r="F133" i="4"/>
  <c r="E133" i="4"/>
  <c r="D133" i="4"/>
  <c r="J132" i="4"/>
  <c r="I132" i="4"/>
  <c r="G132" i="4"/>
  <c r="F132" i="4"/>
  <c r="E132" i="4"/>
  <c r="D132" i="4"/>
  <c r="J131" i="4"/>
  <c r="I131" i="4"/>
  <c r="H131" i="4"/>
  <c r="G131" i="4"/>
  <c r="F131" i="4"/>
  <c r="E131" i="4"/>
  <c r="D131" i="4"/>
  <c r="F120" i="4" a="1"/>
  <c r="F120" i="4" s="1"/>
  <c r="E120" i="4" a="1"/>
  <c r="E120" i="4" s="1"/>
  <c r="D120" i="4" a="1"/>
  <c r="D120" i="4" s="1"/>
  <c r="F119" i="4" a="1"/>
  <c r="F119" i="4" s="1"/>
  <c r="E119" i="4" a="1"/>
  <c r="E119" i="4" s="1"/>
  <c r="D119" i="4" a="1"/>
  <c r="D119" i="4" s="1"/>
  <c r="F118" i="4" a="1"/>
  <c r="F118" i="4" s="1"/>
  <c r="E118" i="4" a="1"/>
  <c r="E118" i="4" s="1"/>
  <c r="D118" i="4" a="1"/>
  <c r="D118" i="4" s="1"/>
  <c r="F117" i="4" a="1"/>
  <c r="F117" i="4" s="1"/>
  <c r="E117" i="4" a="1"/>
  <c r="E117" i="4" s="1"/>
  <c r="D117" i="4" a="1"/>
  <c r="D117" i="4" s="1"/>
  <c r="F116" i="4" a="1"/>
  <c r="F116" i="4" s="1"/>
  <c r="E116" i="4" a="1"/>
  <c r="E116" i="4" s="1"/>
  <c r="D116" i="4" a="1"/>
  <c r="D116" i="4" s="1"/>
  <c r="F115" i="4" a="1"/>
  <c r="F115" i="4" s="1"/>
  <c r="E115" i="4" a="1"/>
  <c r="E115" i="4" s="1"/>
  <c r="D115" i="4" a="1"/>
  <c r="D115" i="4" s="1"/>
  <c r="F114" i="4" a="1"/>
  <c r="F114" i="4" s="1"/>
  <c r="E114" i="4" a="1"/>
  <c r="E114" i="4" s="1"/>
  <c r="D114" i="4" a="1"/>
  <c r="D114" i="4" s="1"/>
  <c r="G113" i="4" a="1"/>
  <c r="G113" i="4" s="1"/>
  <c r="F113" i="4" a="1"/>
  <c r="F113" i="4" s="1"/>
  <c r="E113" i="4" a="1"/>
  <c r="E113" i="4" s="1"/>
  <c r="D113" i="4" a="1"/>
  <c r="D113" i="4" s="1"/>
  <c r="D110" i="4" a="1"/>
  <c r="D110" i="4" s="1"/>
  <c r="D109" i="4" a="1"/>
  <c r="D109" i="4" s="1"/>
  <c r="D108" i="4" a="1"/>
  <c r="D108" i="4" s="1"/>
  <c r="D107" i="4" a="1"/>
  <c r="D107" i="4" s="1"/>
  <c r="J104" i="4" a="1"/>
  <c r="J104" i="4" s="1"/>
  <c r="I104" i="4" a="1"/>
  <c r="I104" i="4" s="1"/>
  <c r="H104" i="4" a="1"/>
  <c r="H104" i="4" s="1"/>
  <c r="G104" i="4" a="1"/>
  <c r="G104" i="4" s="1"/>
  <c r="F104" i="4" a="1"/>
  <c r="F104" i="4" s="1"/>
  <c r="E104" i="4" a="1"/>
  <c r="E104" i="4" s="1"/>
  <c r="D104" i="4" a="1"/>
  <c r="D104" i="4" s="1"/>
  <c r="J103" i="4" a="1"/>
  <c r="J103" i="4" s="1"/>
  <c r="I103" i="4" a="1"/>
  <c r="I103" i="4" s="1"/>
  <c r="H103" i="4" a="1"/>
  <c r="H103" i="4" s="1"/>
  <c r="G103" i="4" a="1"/>
  <c r="G103" i="4" s="1"/>
  <c r="F103" i="4" a="1"/>
  <c r="F103" i="4" s="1"/>
  <c r="E103" i="4" a="1"/>
  <c r="E103" i="4" s="1"/>
  <c r="D103" i="4" a="1"/>
  <c r="D103" i="4" s="1"/>
  <c r="J102" i="4" a="1"/>
  <c r="J102" i="4" s="1"/>
  <c r="I102" i="4" a="1"/>
  <c r="I102" i="4" s="1"/>
  <c r="H102" i="4" a="1"/>
  <c r="H102" i="4" s="1"/>
  <c r="G102" i="4" a="1"/>
  <c r="G102" i="4" s="1"/>
  <c r="F102" i="4" a="1"/>
  <c r="F102" i="4" s="1"/>
  <c r="E102" i="4" a="1"/>
  <c r="E102" i="4" s="1"/>
  <c r="D102" i="4" a="1"/>
  <c r="D102" i="4" s="1"/>
  <c r="J101" i="4" a="1"/>
  <c r="J101" i="4" s="1"/>
  <c r="I101" i="4" a="1"/>
  <c r="I101" i="4" s="1"/>
  <c r="H101" i="4" a="1"/>
  <c r="H101" i="4" s="1"/>
  <c r="G101" i="4" a="1"/>
  <c r="G101" i="4" s="1"/>
  <c r="F101" i="4" a="1"/>
  <c r="F101" i="4" s="1"/>
  <c r="E101" i="4" a="1"/>
  <c r="E101" i="4" s="1"/>
  <c r="D101" i="4" a="1"/>
  <c r="D101" i="4" s="1"/>
  <c r="J100" i="4" a="1"/>
  <c r="J100" i="4" s="1"/>
  <c r="I100" i="4" a="1"/>
  <c r="I100" i="4" s="1"/>
  <c r="H100" i="4" a="1"/>
  <c r="H100" i="4" s="1"/>
  <c r="G100" i="4" a="1"/>
  <c r="G100" i="4" s="1"/>
  <c r="F100" i="4" a="1"/>
  <c r="F100" i="4" s="1"/>
  <c r="E100" i="4" a="1"/>
  <c r="E100" i="4" s="1"/>
  <c r="D100" i="4" a="1"/>
  <c r="D100" i="4" s="1"/>
  <c r="J99" i="4" a="1"/>
  <c r="J99" i="4" s="1"/>
  <c r="I99" i="4" a="1"/>
  <c r="I99" i="4" s="1"/>
  <c r="H99" i="4" a="1"/>
  <c r="H99" i="4" s="1"/>
  <c r="G99" i="4" a="1"/>
  <c r="G99" i="4" s="1"/>
  <c r="F99" i="4" a="1"/>
  <c r="F99" i="4" s="1"/>
  <c r="E99" i="4" a="1"/>
  <c r="E99" i="4" s="1"/>
  <c r="D99" i="4" a="1"/>
  <c r="D99" i="4" s="1"/>
  <c r="J98" i="4" a="1"/>
  <c r="J98" i="4" s="1"/>
  <c r="I98" i="4" a="1"/>
  <c r="I98" i="4" s="1"/>
  <c r="H98" i="4" a="1"/>
  <c r="H98" i="4" s="1"/>
  <c r="G98" i="4" a="1"/>
  <c r="G98" i="4" s="1"/>
  <c r="F98" i="4" a="1"/>
  <c r="F98" i="4" s="1"/>
  <c r="E98" i="4" a="1"/>
  <c r="E98" i="4" s="1"/>
  <c r="D98" i="4" a="1"/>
  <c r="D98" i="4" s="1"/>
  <c r="J97" i="4" a="1"/>
  <c r="J97" i="4" s="1"/>
  <c r="I97" i="4" a="1"/>
  <c r="I97" i="4" s="1"/>
  <c r="H97" i="4" a="1"/>
  <c r="H97" i="4" s="1"/>
  <c r="G97" i="4" a="1"/>
  <c r="G97" i="4" s="1"/>
  <c r="F97" i="4" a="1"/>
  <c r="F97" i="4" s="1"/>
  <c r="E97" i="4" a="1"/>
  <c r="E97" i="4" s="1"/>
  <c r="D97" i="4" a="1"/>
  <c r="D97" i="4" s="1"/>
  <c r="J96" i="4" a="1"/>
  <c r="J96" i="4" s="1"/>
  <c r="I96" i="4" a="1"/>
  <c r="I96" i="4" s="1"/>
  <c r="H96" i="4" a="1"/>
  <c r="H96" i="4" s="1"/>
  <c r="G96" i="4" a="1"/>
  <c r="G96" i="4" s="1"/>
  <c r="F96" i="4" a="1"/>
  <c r="F96" i="4" s="1"/>
  <c r="E96" i="4" a="1"/>
  <c r="E96" i="4" s="1"/>
  <c r="D96" i="4" a="1"/>
  <c r="D96" i="4" s="1"/>
  <c r="J95" i="4" a="1"/>
  <c r="J95" i="4" s="1"/>
  <c r="I95" i="4" a="1"/>
  <c r="I95" i="4" s="1"/>
  <c r="H95" i="4" a="1"/>
  <c r="H95" i="4" s="1"/>
  <c r="G95" i="4" a="1"/>
  <c r="G95" i="4" s="1"/>
  <c r="F95" i="4" a="1"/>
  <c r="F95" i="4" s="1"/>
  <c r="E95" i="4" a="1"/>
  <c r="E95" i="4" s="1"/>
  <c r="D95" i="4" a="1"/>
  <c r="D95" i="4" s="1"/>
  <c r="J94" i="4" a="1"/>
  <c r="J94" i="4" s="1"/>
  <c r="I94" i="4" a="1"/>
  <c r="I94" i="4" s="1"/>
  <c r="H94" i="4" a="1"/>
  <c r="H94" i="4" s="1"/>
  <c r="G94" i="4" a="1"/>
  <c r="G94" i="4" s="1"/>
  <c r="F94" i="4" a="1"/>
  <c r="F94" i="4" s="1"/>
  <c r="E94" i="4" a="1"/>
  <c r="E94" i="4" s="1"/>
  <c r="D94" i="4" a="1"/>
  <c r="D94" i="4" s="1"/>
  <c r="J93" i="4" a="1"/>
  <c r="J93" i="4" s="1"/>
  <c r="I93" i="4" a="1"/>
  <c r="I93" i="4" s="1"/>
  <c r="H93" i="4" a="1"/>
  <c r="H93" i="4" s="1"/>
  <c r="G93" i="4" a="1"/>
  <c r="G93" i="4" s="1"/>
  <c r="F93" i="4" a="1"/>
  <c r="F93" i="4" s="1"/>
  <c r="E93" i="4" a="1"/>
  <c r="E93" i="4" s="1"/>
  <c r="D93" i="4" a="1"/>
  <c r="D93" i="4" s="1"/>
  <c r="J92" i="4" a="1"/>
  <c r="J92" i="4" s="1"/>
  <c r="I92" i="4" a="1"/>
  <c r="I92" i="4" s="1"/>
  <c r="H92" i="4" a="1"/>
  <c r="H92" i="4" s="1"/>
  <c r="G92" i="4" a="1"/>
  <c r="G92" i="4" s="1"/>
  <c r="F92" i="4" a="1"/>
  <c r="F92" i="4" s="1"/>
  <c r="E92" i="4" a="1"/>
  <c r="E92" i="4" s="1"/>
  <c r="D92" i="4" a="1"/>
  <c r="D92" i="4" s="1"/>
  <c r="J91" i="4" a="1"/>
  <c r="J91" i="4" s="1"/>
  <c r="I91" i="4" a="1"/>
  <c r="I91" i="4" s="1"/>
  <c r="H91" i="4" a="1"/>
  <c r="H91" i="4" s="1"/>
  <c r="G91" i="4" a="1"/>
  <c r="G91" i="4" s="1"/>
  <c r="F91" i="4" a="1"/>
  <c r="F91" i="4" s="1"/>
  <c r="E91" i="4" a="1"/>
  <c r="E91" i="4" s="1"/>
  <c r="D91" i="4" a="1"/>
  <c r="D91" i="4" s="1"/>
  <c r="J90" i="4" a="1"/>
  <c r="J90" i="4" s="1"/>
  <c r="I90" i="4" a="1"/>
  <c r="I90" i="4" s="1"/>
  <c r="H90" i="4" a="1"/>
  <c r="H90" i="4" s="1"/>
  <c r="G90" i="4" a="1"/>
  <c r="G90" i="4" s="1"/>
  <c r="F90" i="4" a="1"/>
  <c r="F90" i="4" s="1"/>
  <c r="E90" i="4" a="1"/>
  <c r="E90" i="4" s="1"/>
  <c r="D90" i="4" a="1"/>
  <c r="D90" i="4" s="1"/>
  <c r="J89" i="4" a="1"/>
  <c r="J89" i="4" s="1"/>
  <c r="I89" i="4" a="1"/>
  <c r="I89" i="4" s="1"/>
  <c r="H89" i="4" a="1"/>
  <c r="H89" i="4" s="1"/>
  <c r="G89" i="4" a="1"/>
  <c r="G89" i="4" s="1"/>
  <c r="F89" i="4" a="1"/>
  <c r="F89" i="4" s="1"/>
  <c r="E89" i="4" a="1"/>
  <c r="E89" i="4" s="1"/>
  <c r="D89" i="4" a="1"/>
  <c r="D89" i="4" s="1"/>
  <c r="J88" i="4" a="1"/>
  <c r="J88" i="4" s="1"/>
  <c r="I88" i="4" a="1"/>
  <c r="I88" i="4" s="1"/>
  <c r="H88" i="4" a="1"/>
  <c r="H88" i="4" s="1"/>
  <c r="G88" i="4" a="1"/>
  <c r="G88" i="4" s="1"/>
  <c r="F88" i="4" a="1"/>
  <c r="F88" i="4" s="1"/>
  <c r="E88" i="4" a="1"/>
  <c r="E88" i="4" s="1"/>
  <c r="D88" i="4" a="1"/>
  <c r="D88" i="4" s="1"/>
  <c r="J87" i="4" a="1"/>
  <c r="J87" i="4" s="1"/>
  <c r="I87" i="4" a="1"/>
  <c r="I87" i="4" s="1"/>
  <c r="H87" i="4" a="1"/>
  <c r="H87" i="4" s="1"/>
  <c r="G87" i="4" a="1"/>
  <c r="G87" i="4" s="1"/>
  <c r="F87" i="4" a="1"/>
  <c r="F87" i="4" s="1"/>
  <c r="E87" i="4" a="1"/>
  <c r="E87" i="4" s="1"/>
  <c r="D87" i="4" a="1"/>
  <c r="D87" i="4" s="1"/>
  <c r="D84" i="4" a="1"/>
  <c r="D84" i="4" s="1"/>
  <c r="D83" i="4" a="1"/>
  <c r="D83" i="4" s="1"/>
  <c r="D82" i="4" a="1"/>
  <c r="D82" i="4" s="1"/>
  <c r="D81" i="4" a="1"/>
  <c r="D81" i="4" s="1"/>
  <c r="K77" i="4" a="1"/>
  <c r="K77" i="4" s="1"/>
  <c r="J77" i="4" a="1"/>
  <c r="J77" i="4" s="1"/>
  <c r="I77" i="4" a="1"/>
  <c r="I77" i="4" s="1"/>
  <c r="H77" i="4" a="1"/>
  <c r="H77" i="4" s="1"/>
  <c r="G77" i="4" a="1"/>
  <c r="G77" i="4" s="1"/>
  <c r="F77" i="4" a="1"/>
  <c r="F77" i="4" s="1"/>
  <c r="E77" i="4" a="1"/>
  <c r="E77" i="4" s="1"/>
  <c r="D77" i="4" a="1"/>
  <c r="D77" i="4" s="1"/>
  <c r="K76" i="4" a="1"/>
  <c r="K76" i="4" s="1"/>
  <c r="J76" i="4" a="1"/>
  <c r="J76" i="4" s="1"/>
  <c r="I76" i="4" a="1"/>
  <c r="I76" i="4" s="1"/>
  <c r="H76" i="4" a="1"/>
  <c r="H76" i="4" s="1"/>
  <c r="G76" i="4" a="1"/>
  <c r="G76" i="4" s="1"/>
  <c r="F76" i="4" a="1"/>
  <c r="F76" i="4" s="1"/>
  <c r="E76" i="4" a="1"/>
  <c r="E76" i="4" s="1"/>
  <c r="D76" i="4" a="1"/>
  <c r="D76" i="4" s="1"/>
  <c r="K75" i="4" a="1"/>
  <c r="K75" i="4" s="1"/>
  <c r="J75" i="4" a="1"/>
  <c r="J75" i="4" s="1"/>
  <c r="I75" i="4" a="1"/>
  <c r="I75" i="4" s="1"/>
  <c r="H75" i="4" a="1"/>
  <c r="H75" i="4" s="1"/>
  <c r="G75" i="4" a="1"/>
  <c r="G75" i="4" s="1"/>
  <c r="F75" i="4" a="1"/>
  <c r="F75" i="4" s="1"/>
  <c r="E75" i="4" a="1"/>
  <c r="E75" i="4" s="1"/>
  <c r="D75" i="4" a="1"/>
  <c r="D75" i="4" s="1"/>
  <c r="K74" i="4" a="1"/>
  <c r="K74" i="4" s="1"/>
  <c r="J74" i="4" a="1"/>
  <c r="J74" i="4" s="1"/>
  <c r="I74" i="4" a="1"/>
  <c r="I74" i="4" s="1"/>
  <c r="H74" i="4" a="1"/>
  <c r="H74" i="4" s="1"/>
  <c r="G74" i="4" a="1"/>
  <c r="G74" i="4" s="1"/>
  <c r="F74" i="4" a="1"/>
  <c r="F74" i="4" s="1"/>
  <c r="E74" i="4" a="1"/>
  <c r="E74" i="4" s="1"/>
  <c r="D74" i="4" a="1"/>
  <c r="D74" i="4" s="1"/>
  <c r="K73" i="4" a="1"/>
  <c r="K73" i="4" s="1"/>
  <c r="J73" i="4" a="1"/>
  <c r="J73" i="4" s="1"/>
  <c r="I73" i="4" a="1"/>
  <c r="I73" i="4" s="1"/>
  <c r="H73" i="4" a="1"/>
  <c r="H73" i="4" s="1"/>
  <c r="G73" i="4" a="1"/>
  <c r="G73" i="4" s="1"/>
  <c r="F73" i="4" a="1"/>
  <c r="F73" i="4" s="1"/>
  <c r="E73" i="4" a="1"/>
  <c r="E73" i="4" s="1"/>
  <c r="D73" i="4" a="1"/>
  <c r="D73" i="4" s="1"/>
  <c r="K72" i="4" a="1"/>
  <c r="K72" i="4" s="1"/>
  <c r="J72" i="4" a="1"/>
  <c r="J72" i="4" s="1"/>
  <c r="I72" i="4" a="1"/>
  <c r="I72" i="4" s="1"/>
  <c r="H72" i="4" a="1"/>
  <c r="H72" i="4" s="1"/>
  <c r="G72" i="4" a="1"/>
  <c r="G72" i="4" s="1"/>
  <c r="F72" i="4" a="1"/>
  <c r="F72" i="4" s="1"/>
  <c r="E72" i="4" a="1"/>
  <c r="E72" i="4" s="1"/>
  <c r="D72" i="4" a="1"/>
  <c r="D72" i="4" s="1"/>
  <c r="K71" i="4" a="1"/>
  <c r="K71" i="4" s="1"/>
  <c r="J71" i="4" a="1"/>
  <c r="J71" i="4" s="1"/>
  <c r="I71" i="4" a="1"/>
  <c r="I71" i="4" s="1"/>
  <c r="H71" i="4" a="1"/>
  <c r="H71" i="4" s="1"/>
  <c r="G71" i="4" a="1"/>
  <c r="G71" i="4" s="1"/>
  <c r="F71" i="4" a="1"/>
  <c r="F71" i="4" s="1"/>
  <c r="E71" i="4" a="1"/>
  <c r="E71" i="4" s="1"/>
  <c r="D71" i="4" a="1"/>
  <c r="D71" i="4" s="1"/>
  <c r="K70" i="4" a="1"/>
  <c r="K70" i="4" s="1"/>
  <c r="J70" i="4" a="1"/>
  <c r="J70" i="4" s="1"/>
  <c r="I70" i="4" a="1"/>
  <c r="I70" i="4" s="1"/>
  <c r="H70" i="4" a="1"/>
  <c r="H70" i="4" s="1"/>
  <c r="G70" i="4" a="1"/>
  <c r="G70" i="4" s="1"/>
  <c r="F70" i="4" a="1"/>
  <c r="F70" i="4" s="1"/>
  <c r="E70" i="4" a="1"/>
  <c r="E70" i="4" s="1"/>
  <c r="D70" i="4" a="1"/>
  <c r="D70" i="4" s="1"/>
  <c r="K69" i="4" a="1"/>
  <c r="K69" i="4" s="1"/>
  <c r="J69" i="4" a="1"/>
  <c r="J69" i="4" s="1"/>
  <c r="I69" i="4" a="1"/>
  <c r="I69" i="4" s="1"/>
  <c r="H69" i="4" a="1"/>
  <c r="H69" i="4" s="1"/>
  <c r="G69" i="4" a="1"/>
  <c r="G69" i="4" s="1"/>
  <c r="F69" i="4" a="1"/>
  <c r="F69" i="4" s="1"/>
  <c r="E69" i="4" a="1"/>
  <c r="E69" i="4" s="1"/>
  <c r="D69" i="4" a="1"/>
  <c r="D69" i="4" s="1"/>
  <c r="K68" i="4" a="1"/>
  <c r="K68" i="4" s="1"/>
  <c r="J68" i="4" a="1"/>
  <c r="J68" i="4" s="1"/>
  <c r="I68" i="4" a="1"/>
  <c r="I68" i="4" s="1"/>
  <c r="H68" i="4" a="1"/>
  <c r="H68" i="4" s="1"/>
  <c r="G68" i="4" a="1"/>
  <c r="G68" i="4" s="1"/>
  <c r="F68" i="4" a="1"/>
  <c r="F68" i="4" s="1"/>
  <c r="E68" i="4" a="1"/>
  <c r="E68" i="4" s="1"/>
  <c r="D68" i="4" a="1"/>
  <c r="D68" i="4" s="1"/>
  <c r="K67" i="4" a="1"/>
  <c r="K67" i="4" s="1"/>
  <c r="J67" i="4" a="1"/>
  <c r="J67" i="4" s="1"/>
  <c r="I67" i="4" a="1"/>
  <c r="I67" i="4" s="1"/>
  <c r="H67" i="4" a="1"/>
  <c r="H67" i="4" s="1"/>
  <c r="G67" i="4" a="1"/>
  <c r="G67" i="4" s="1"/>
  <c r="F67" i="4" a="1"/>
  <c r="F67" i="4" s="1"/>
  <c r="E67" i="4" a="1"/>
  <c r="E67" i="4" s="1"/>
  <c r="D67" i="4" a="1"/>
  <c r="D67" i="4" s="1"/>
  <c r="K66" i="4" a="1"/>
  <c r="K66" i="4" s="1"/>
  <c r="J66" i="4" a="1"/>
  <c r="J66" i="4" s="1"/>
  <c r="I66" i="4" a="1"/>
  <c r="I66" i="4" s="1"/>
  <c r="H66" i="4" a="1"/>
  <c r="H66" i="4" s="1"/>
  <c r="G66" i="4" a="1"/>
  <c r="G66" i="4" s="1"/>
  <c r="F66" i="4" a="1"/>
  <c r="F66" i="4" s="1"/>
  <c r="E66" i="4" a="1"/>
  <c r="E66" i="4" s="1"/>
  <c r="D66" i="4" a="1"/>
  <c r="D66" i="4" s="1"/>
  <c r="K65" i="4" a="1"/>
  <c r="K65" i="4" s="1"/>
  <c r="J65" i="4" a="1"/>
  <c r="J65" i="4" s="1"/>
  <c r="I65" i="4" a="1"/>
  <c r="I65" i="4" s="1"/>
  <c r="H65" i="4" a="1"/>
  <c r="H65" i="4" s="1"/>
  <c r="G65" i="4" a="1"/>
  <c r="G65" i="4" s="1"/>
  <c r="F65" i="4" a="1"/>
  <c r="F65" i="4" s="1"/>
  <c r="E65" i="4" a="1"/>
  <c r="E65" i="4" s="1"/>
  <c r="D65" i="4" a="1"/>
  <c r="D65" i="4" s="1"/>
  <c r="K64" i="4" a="1"/>
  <c r="K64" i="4" s="1"/>
  <c r="J64" i="4" a="1"/>
  <c r="J64" i="4" s="1"/>
  <c r="I64" i="4" a="1"/>
  <c r="I64" i="4" s="1"/>
  <c r="H64" i="4" a="1"/>
  <c r="H64" i="4" s="1"/>
  <c r="G64" i="4" a="1"/>
  <c r="G64" i="4" s="1"/>
  <c r="F64" i="4" a="1"/>
  <c r="F64" i="4" s="1"/>
  <c r="E64" i="4" a="1"/>
  <c r="E64" i="4" s="1"/>
  <c r="D64" i="4" a="1"/>
  <c r="D64" i="4" s="1"/>
  <c r="K63" i="4" a="1"/>
  <c r="K63" i="4" s="1"/>
  <c r="J63" i="4" a="1"/>
  <c r="J63" i="4" s="1"/>
  <c r="I63" i="4" a="1"/>
  <c r="I63" i="4" s="1"/>
  <c r="H63" i="4" a="1"/>
  <c r="H63" i="4" s="1"/>
  <c r="G63" i="4" a="1"/>
  <c r="G63" i="4" s="1"/>
  <c r="F63" i="4" a="1"/>
  <c r="F63" i="4" s="1"/>
  <c r="E63" i="4" a="1"/>
  <c r="E63" i="4" s="1"/>
  <c r="D63" i="4" a="1"/>
  <c r="D63" i="4" s="1"/>
  <c r="K62" i="4" a="1"/>
  <c r="K62" i="4" s="1"/>
  <c r="J62" i="4" a="1"/>
  <c r="J62" i="4" s="1"/>
  <c r="I62" i="4" a="1"/>
  <c r="I62" i="4" s="1"/>
  <c r="H62" i="4" a="1"/>
  <c r="H62" i="4" s="1"/>
  <c r="G62" i="4" a="1"/>
  <c r="G62" i="4" s="1"/>
  <c r="F62" i="4" a="1"/>
  <c r="F62" i="4" s="1"/>
  <c r="E62" i="4" a="1"/>
  <c r="E62" i="4" s="1"/>
  <c r="D62" i="4" a="1"/>
  <c r="D62" i="4" s="1"/>
  <c r="K61" i="4" a="1"/>
  <c r="K61" i="4" s="1"/>
  <c r="J61" i="4" a="1"/>
  <c r="J61" i="4" s="1"/>
  <c r="I61" i="4" a="1"/>
  <c r="I61" i="4" s="1"/>
  <c r="H61" i="4" a="1"/>
  <c r="H61" i="4" s="1"/>
  <c r="G61" i="4" a="1"/>
  <c r="G61" i="4" s="1"/>
  <c r="F61" i="4" a="1"/>
  <c r="F61" i="4" s="1"/>
  <c r="E61" i="4" a="1"/>
  <c r="E61" i="4" s="1"/>
  <c r="D61" i="4" a="1"/>
  <c r="D61" i="4" s="1"/>
  <c r="K60" i="4" a="1"/>
  <c r="K60" i="4" s="1"/>
  <c r="J60" i="4" a="1"/>
  <c r="J60" i="4" s="1"/>
  <c r="I60" i="4" a="1"/>
  <c r="I60" i="4" s="1"/>
  <c r="H60" i="4" a="1"/>
  <c r="H60" i="4" s="1"/>
  <c r="G60" i="4" a="1"/>
  <c r="G60" i="4" s="1"/>
  <c r="F60" i="4" a="1"/>
  <c r="F60" i="4" s="1"/>
  <c r="E60" i="4" a="1"/>
  <c r="E60" i="4" s="1"/>
  <c r="D60" i="4" a="1"/>
  <c r="D60" i="4" s="1"/>
  <c r="K59" i="4" a="1"/>
  <c r="K59" i="4" s="1"/>
  <c r="J59" i="4" a="1"/>
  <c r="J59" i="4" s="1"/>
  <c r="I59" i="4" a="1"/>
  <c r="I59" i="4" s="1"/>
  <c r="H59" i="4" a="1"/>
  <c r="H59" i="4" s="1"/>
  <c r="G59" i="4" a="1"/>
  <c r="G59" i="4" s="1"/>
  <c r="F59" i="4" a="1"/>
  <c r="F59" i="4" s="1"/>
  <c r="E59" i="4" a="1"/>
  <c r="E59" i="4" s="1"/>
  <c r="D59" i="4" a="1"/>
  <c r="D59" i="4" s="1"/>
  <c r="K58" i="4" a="1"/>
  <c r="K58" i="4" s="1"/>
  <c r="J58" i="4" a="1"/>
  <c r="J58" i="4" s="1"/>
  <c r="I58" i="4" a="1"/>
  <c r="I58" i="4" s="1"/>
  <c r="H58" i="4" a="1"/>
  <c r="H58" i="4" s="1"/>
  <c r="G58" i="4" a="1"/>
  <c r="G58" i="4" s="1"/>
  <c r="F58" i="4" a="1"/>
  <c r="F58" i="4" s="1"/>
  <c r="E58" i="4" a="1"/>
  <c r="E58" i="4" s="1"/>
  <c r="D58" i="4" a="1"/>
  <c r="D58" i="4" s="1"/>
  <c r="K57" i="4" a="1"/>
  <c r="K57" i="4" s="1"/>
  <c r="J57" i="4" a="1"/>
  <c r="J57" i="4" s="1"/>
  <c r="I57" i="4" a="1"/>
  <c r="I57" i="4" s="1"/>
  <c r="H57" i="4" a="1"/>
  <c r="H57" i="4" s="1"/>
  <c r="G57" i="4" a="1"/>
  <c r="G57" i="4" s="1"/>
  <c r="F57" i="4" a="1"/>
  <c r="F57" i="4" s="1"/>
  <c r="E57" i="4" a="1"/>
  <c r="E57" i="4" s="1"/>
  <c r="D57" i="4" a="1"/>
  <c r="D57" i="4" s="1"/>
  <c r="K56" i="4" a="1"/>
  <c r="K56" i="4" s="1"/>
  <c r="J56" i="4" a="1"/>
  <c r="J56" i="4" s="1"/>
  <c r="I56" i="4" a="1"/>
  <c r="I56" i="4" s="1"/>
  <c r="H56" i="4" a="1"/>
  <c r="H56" i="4" s="1"/>
  <c r="G56" i="4" a="1"/>
  <c r="G56" i="4" s="1"/>
  <c r="F56" i="4" a="1"/>
  <c r="F56" i="4" s="1"/>
  <c r="E56" i="4" a="1"/>
  <c r="E56" i="4" s="1"/>
  <c r="D56" i="4" a="1"/>
  <c r="D56" i="4" s="1"/>
  <c r="K55" i="4" a="1"/>
  <c r="K55" i="4" s="1"/>
  <c r="J55" i="4" a="1"/>
  <c r="J55" i="4" s="1"/>
  <c r="I55" i="4" a="1"/>
  <c r="I55" i="4" s="1"/>
  <c r="H55" i="4" a="1"/>
  <c r="H55" i="4" s="1"/>
  <c r="G55" i="4" a="1"/>
  <c r="G55" i="4" s="1"/>
  <c r="F55" i="4" a="1"/>
  <c r="F55" i="4" s="1"/>
  <c r="E55" i="4" a="1"/>
  <c r="E55" i="4" s="1"/>
  <c r="D55" i="4" a="1"/>
  <c r="D55" i="4" s="1"/>
  <c r="K54" i="4" a="1"/>
  <c r="K54" i="4" s="1"/>
  <c r="J54" i="4" a="1"/>
  <c r="J54" i="4" s="1"/>
  <c r="I54" i="4" a="1"/>
  <c r="I54" i="4" s="1"/>
  <c r="H54" i="4" a="1"/>
  <c r="H54" i="4" s="1"/>
  <c r="G54" i="4" a="1"/>
  <c r="G54" i="4" s="1"/>
  <c r="F54" i="4" a="1"/>
  <c r="F54" i="4" s="1"/>
  <c r="E54" i="4" a="1"/>
  <c r="E54" i="4" s="1"/>
  <c r="D54" i="4" a="1"/>
  <c r="D54" i="4" s="1"/>
  <c r="D52" i="4" a="1"/>
  <c r="D52" i="4" s="1"/>
  <c r="D51" i="4" a="1"/>
  <c r="D51" i="4" s="1"/>
  <c r="D50" i="4" a="1"/>
  <c r="D50" i="4" s="1"/>
  <c r="D49" i="4" a="1"/>
  <c r="D49" i="4" s="1"/>
  <c r="J43" i="4" a="1"/>
  <c r="J43" i="4" s="1"/>
  <c r="I43" i="4" a="1"/>
  <c r="I43" i="4" s="1"/>
  <c r="H43" i="4" a="1"/>
  <c r="H43" i="4" s="1"/>
  <c r="G43" i="4" a="1"/>
  <c r="G43" i="4" s="1"/>
  <c r="F43" i="4" a="1"/>
  <c r="F43" i="4" s="1"/>
  <c r="E43" i="4" a="1"/>
  <c r="E43" i="4" s="1"/>
  <c r="D43" i="4" a="1"/>
  <c r="D43" i="4" s="1"/>
  <c r="J42" i="4" a="1"/>
  <c r="J42" i="4" s="1"/>
  <c r="I42" i="4" a="1"/>
  <c r="I42" i="4" s="1"/>
  <c r="H42" i="4" a="1"/>
  <c r="H42" i="4" s="1"/>
  <c r="G42" i="4" a="1"/>
  <c r="G42" i="4" s="1"/>
  <c r="F42" i="4" a="1"/>
  <c r="F42" i="4" s="1"/>
  <c r="E42" i="4" a="1"/>
  <c r="E42" i="4" s="1"/>
  <c r="D42" i="4" a="1"/>
  <c r="D42" i="4" s="1"/>
  <c r="J41" i="4" a="1"/>
  <c r="J41" i="4" s="1"/>
  <c r="I41" i="4" a="1"/>
  <c r="I41" i="4" s="1"/>
  <c r="H41" i="4" a="1"/>
  <c r="H41" i="4" s="1"/>
  <c r="G41" i="4" a="1"/>
  <c r="G41" i="4" s="1"/>
  <c r="F41" i="4" a="1"/>
  <c r="F41" i="4" s="1"/>
  <c r="E41" i="4" a="1"/>
  <c r="E41" i="4" s="1"/>
  <c r="D41" i="4" a="1"/>
  <c r="D41" i="4" s="1"/>
  <c r="J40" i="4" a="1"/>
  <c r="J40" i="4" s="1"/>
  <c r="I40" i="4" a="1"/>
  <c r="I40" i="4" s="1"/>
  <c r="H40" i="4" a="1"/>
  <c r="H40" i="4" s="1"/>
  <c r="G40" i="4" a="1"/>
  <c r="G40" i="4" s="1"/>
  <c r="F40" i="4" a="1"/>
  <c r="F40" i="4" s="1"/>
  <c r="E40" i="4" a="1"/>
  <c r="E40" i="4" s="1"/>
  <c r="D40" i="4" a="1"/>
  <c r="D40" i="4" s="1"/>
  <c r="D38" i="4" a="1"/>
  <c r="D38" i="4" s="1"/>
  <c r="D37" i="4" a="1"/>
  <c r="D37" i="4" s="1"/>
  <c r="L34" i="4" a="1"/>
  <c r="L34" i="4" s="1"/>
  <c r="K34" i="4" a="1"/>
  <c r="K34" i="4" s="1"/>
  <c r="J34" i="4" a="1"/>
  <c r="J34" i="4" s="1"/>
  <c r="I34" i="4" a="1"/>
  <c r="I34" i="4" s="1"/>
  <c r="H34" i="4" a="1"/>
  <c r="H34" i="4" s="1"/>
  <c r="G34" i="4" a="1"/>
  <c r="G34" i="4" s="1"/>
  <c r="F34" i="4" a="1"/>
  <c r="F34" i="4" s="1"/>
  <c r="E34" i="4" a="1"/>
  <c r="E34" i="4" s="1"/>
  <c r="D34" i="4" a="1"/>
  <c r="D34" i="4" s="1"/>
  <c r="L33" i="4" a="1"/>
  <c r="L33" i="4" s="1"/>
  <c r="K33" i="4" a="1"/>
  <c r="K33" i="4" s="1"/>
  <c r="J33" i="4" a="1"/>
  <c r="J33" i="4" s="1"/>
  <c r="I33" i="4" a="1"/>
  <c r="I33" i="4" s="1"/>
  <c r="H33" i="4" a="1"/>
  <c r="H33" i="4" s="1"/>
  <c r="G33" i="4" a="1"/>
  <c r="G33" i="4" s="1"/>
  <c r="F33" i="4" a="1"/>
  <c r="F33" i="4" s="1"/>
  <c r="E33" i="4" a="1"/>
  <c r="E33" i="4" s="1"/>
  <c r="E20" i="1" s="1"/>
  <c r="D33" i="4" a="1"/>
  <c r="D33" i="4" s="1"/>
  <c r="L32" i="4" a="1"/>
  <c r="L32" i="4" s="1"/>
  <c r="K32" i="4" a="1"/>
  <c r="K32" i="4" s="1"/>
  <c r="J32" i="4" a="1"/>
  <c r="J32" i="4" s="1"/>
  <c r="I32" i="4" a="1"/>
  <c r="I32" i="4" s="1"/>
  <c r="H32" i="4" a="1"/>
  <c r="H32" i="4" s="1"/>
  <c r="G32" i="4" a="1"/>
  <c r="G32" i="4" s="1"/>
  <c r="F32" i="4" a="1"/>
  <c r="F32" i="4" s="1"/>
  <c r="E32" i="4" a="1"/>
  <c r="E32" i="4" s="1"/>
  <c r="D32" i="4" a="1"/>
  <c r="D32" i="4" s="1"/>
  <c r="L31" i="4" a="1"/>
  <c r="L31" i="4" s="1"/>
  <c r="K31" i="4" a="1"/>
  <c r="K31" i="4" s="1"/>
  <c r="J31" i="4" a="1"/>
  <c r="J31" i="4" s="1"/>
  <c r="I31" i="4" a="1"/>
  <c r="I31" i="4" s="1"/>
  <c r="H31" i="4" a="1"/>
  <c r="H31" i="4" s="1"/>
  <c r="G31" i="4" a="1"/>
  <c r="G31" i="4" s="1"/>
  <c r="F31" i="4" a="1"/>
  <c r="F31" i="4" s="1"/>
  <c r="E31" i="4" a="1"/>
  <c r="E31" i="4" s="1"/>
  <c r="D31" i="4" a="1"/>
  <c r="D31" i="4" s="1"/>
  <c r="L30" i="4" a="1"/>
  <c r="L30" i="4" s="1"/>
  <c r="K30" i="4" a="1"/>
  <c r="K30" i="4" s="1"/>
  <c r="J30" i="4" a="1"/>
  <c r="J30" i="4" s="1"/>
  <c r="I30" i="4" a="1"/>
  <c r="I30" i="4" s="1"/>
  <c r="H30" i="4" a="1"/>
  <c r="H30" i="4" s="1"/>
  <c r="G30" i="4" a="1"/>
  <c r="G30" i="4" s="1"/>
  <c r="F30" i="4" a="1"/>
  <c r="F30" i="4" s="1"/>
  <c r="E30" i="4" a="1"/>
  <c r="E30" i="4" s="1"/>
  <c r="E17" i="1" s="1"/>
  <c r="D30" i="4" a="1"/>
  <c r="D30" i="4" s="1"/>
  <c r="L29" i="4" a="1"/>
  <c r="L29" i="4" s="1"/>
  <c r="K29" i="4" a="1"/>
  <c r="K29" i="4" s="1"/>
  <c r="J29" i="4" a="1"/>
  <c r="J29" i="4" s="1"/>
  <c r="I29" i="4" a="1"/>
  <c r="I29" i="4" s="1"/>
  <c r="H29" i="4" a="1"/>
  <c r="H29" i="4" s="1"/>
  <c r="G29" i="4" a="1"/>
  <c r="G29" i="4" s="1"/>
  <c r="F29" i="4" a="1"/>
  <c r="F29" i="4" s="1"/>
  <c r="E29" i="4" a="1"/>
  <c r="E29" i="4" s="1"/>
  <c r="E16" i="1" s="1"/>
  <c r="D29" i="4" a="1"/>
  <c r="D29" i="4" s="1"/>
  <c r="L28" i="4" a="1"/>
  <c r="L28" i="4" s="1"/>
  <c r="K28" i="4" a="1"/>
  <c r="K28" i="4" s="1"/>
  <c r="J28" i="4" a="1"/>
  <c r="J28" i="4" s="1"/>
  <c r="I28" i="4" a="1"/>
  <c r="I28" i="4" s="1"/>
  <c r="H28" i="4" a="1"/>
  <c r="H28" i="4" s="1"/>
  <c r="G28" i="4" a="1"/>
  <c r="G28" i="4" s="1"/>
  <c r="F28" i="4" a="1"/>
  <c r="F28" i="4" s="1"/>
  <c r="E28" i="4" a="1"/>
  <c r="E28" i="4" s="1"/>
  <c r="E15" i="1" s="1"/>
  <c r="D28" i="4" a="1"/>
  <c r="D28" i="4" s="1"/>
  <c r="L27" i="4" a="1"/>
  <c r="L27" i="4" s="1"/>
  <c r="K27" i="4" a="1"/>
  <c r="K27" i="4" s="1"/>
  <c r="J27" i="4" a="1"/>
  <c r="J27" i="4" s="1"/>
  <c r="I27" i="4" a="1"/>
  <c r="I27" i="4" s="1"/>
  <c r="H27" i="4" a="1"/>
  <c r="H27" i="4" s="1"/>
  <c r="G27" i="4" a="1"/>
  <c r="G27" i="4" s="1"/>
  <c r="F27" i="4" a="1"/>
  <c r="F27" i="4" s="1"/>
  <c r="E27" i="4" a="1"/>
  <c r="E27" i="4" s="1"/>
  <c r="D27" i="4" a="1"/>
  <c r="D27" i="4" s="1"/>
  <c r="L26" i="4" a="1"/>
  <c r="L26" i="4" s="1"/>
  <c r="K26" i="4" a="1"/>
  <c r="K26" i="4" s="1"/>
  <c r="J26" i="4" a="1"/>
  <c r="J26" i="4" s="1"/>
  <c r="I26" i="4" a="1"/>
  <c r="I26" i="4" s="1"/>
  <c r="H26" i="4" a="1"/>
  <c r="H26" i="4" s="1"/>
  <c r="G26" i="4" a="1"/>
  <c r="G26" i="4" s="1"/>
  <c r="F26" i="4" a="1"/>
  <c r="F26" i="4" s="1"/>
  <c r="E26" i="4" a="1"/>
  <c r="E26" i="4" s="1"/>
  <c r="D26" i="4" a="1"/>
  <c r="D26" i="4" s="1"/>
  <c r="L25" i="4" a="1"/>
  <c r="L25" i="4" s="1"/>
  <c r="K25" i="4" a="1"/>
  <c r="K25" i="4" s="1"/>
  <c r="J25" i="4" a="1"/>
  <c r="J25" i="4" s="1"/>
  <c r="I25" i="4" a="1"/>
  <c r="I25" i="4" s="1"/>
  <c r="H25" i="4" a="1"/>
  <c r="H25" i="4" s="1"/>
  <c r="G25" i="4" a="1"/>
  <c r="G25" i="4" s="1"/>
  <c r="F25" i="4" a="1"/>
  <c r="F25" i="4" s="1"/>
  <c r="E25" i="4" a="1"/>
  <c r="E25" i="4" s="1"/>
  <c r="D25" i="4" a="1"/>
  <c r="D25" i="4" s="1"/>
  <c r="L24" i="4" a="1"/>
  <c r="L24" i="4" s="1"/>
  <c r="K24" i="4" a="1"/>
  <c r="K24" i="4" s="1"/>
  <c r="J24" i="4" a="1"/>
  <c r="J24" i="4" s="1"/>
  <c r="I24" i="4" a="1"/>
  <c r="I24" i="4" s="1"/>
  <c r="H24" i="4" a="1"/>
  <c r="H24" i="4" s="1"/>
  <c r="G24" i="4" a="1"/>
  <c r="G24" i="4" s="1"/>
  <c r="F24" i="4" a="1"/>
  <c r="F24" i="4" s="1"/>
  <c r="E24" i="4" a="1"/>
  <c r="E24" i="4" s="1"/>
  <c r="D24" i="4" a="1"/>
  <c r="D24" i="4" s="1"/>
  <c r="L23" i="4" a="1"/>
  <c r="L23" i="4" s="1"/>
  <c r="K23" i="4" a="1"/>
  <c r="K23" i="4" s="1"/>
  <c r="J23" i="4" a="1"/>
  <c r="J23" i="4" s="1"/>
  <c r="I23" i="4" a="1"/>
  <c r="I23" i="4" s="1"/>
  <c r="H23" i="4" a="1"/>
  <c r="H23" i="4" s="1"/>
  <c r="G23" i="4" a="1"/>
  <c r="G23" i="4" s="1"/>
  <c r="F23" i="4" a="1"/>
  <c r="F23" i="4" s="1"/>
  <c r="E23" i="4" a="1"/>
  <c r="E23" i="4" s="1"/>
  <c r="D23" i="4" a="1"/>
  <c r="D23" i="4" s="1"/>
  <c r="L22" i="4" a="1"/>
  <c r="L22" i="4" s="1"/>
  <c r="K22" i="4" a="1"/>
  <c r="K22" i="4" s="1"/>
  <c r="J22" i="4" a="1"/>
  <c r="J22" i="4" s="1"/>
  <c r="I22" i="4" a="1"/>
  <c r="I22" i="4" s="1"/>
  <c r="H22" i="4" a="1"/>
  <c r="H22" i="4" s="1"/>
  <c r="G22" i="4" a="1"/>
  <c r="G22" i="4" s="1"/>
  <c r="F22" i="4" a="1"/>
  <c r="F22" i="4" s="1"/>
  <c r="E22" i="4" a="1"/>
  <c r="E22" i="4" s="1"/>
  <c r="D22" i="4" a="1"/>
  <c r="D22" i="4" s="1"/>
  <c r="L21" i="4" a="1"/>
  <c r="L21" i="4" s="1"/>
  <c r="K21" i="4" a="1"/>
  <c r="K21" i="4" s="1"/>
  <c r="J21" i="4" a="1"/>
  <c r="J21" i="4" s="1"/>
  <c r="I21" i="4" a="1"/>
  <c r="I21" i="4" s="1"/>
  <c r="H21" i="4" a="1"/>
  <c r="H21" i="4" s="1"/>
  <c r="G21" i="4" a="1"/>
  <c r="G21" i="4" s="1"/>
  <c r="F21" i="4" a="1"/>
  <c r="F21" i="4" s="1"/>
  <c r="E21" i="4" a="1"/>
  <c r="E21" i="4" s="1"/>
  <c r="D21" i="4" a="1"/>
  <c r="D21" i="4" s="1"/>
  <c r="L20" i="4" a="1"/>
  <c r="L20" i="4" s="1"/>
  <c r="K20" i="4" a="1"/>
  <c r="K20" i="4" s="1"/>
  <c r="J20" i="4" a="1"/>
  <c r="J20" i="4" s="1"/>
  <c r="I20" i="4" a="1"/>
  <c r="I20" i="4" s="1"/>
  <c r="H20" i="4" a="1"/>
  <c r="H20" i="4" s="1"/>
  <c r="G20" i="4" a="1"/>
  <c r="G20" i="4" s="1"/>
  <c r="F20" i="4" a="1"/>
  <c r="F20" i="4" s="1"/>
  <c r="E20" i="4" a="1"/>
  <c r="E20" i="4" s="1"/>
  <c r="D20" i="4" a="1"/>
  <c r="D20" i="4" s="1"/>
  <c r="L19" i="4" a="1"/>
  <c r="L19" i="4" s="1"/>
  <c r="K19" i="4" a="1"/>
  <c r="K19" i="4" s="1"/>
  <c r="J19" i="4" a="1"/>
  <c r="J19" i="4" s="1"/>
  <c r="I19" i="4" a="1"/>
  <c r="I19" i="4" s="1"/>
  <c r="H19" i="4" a="1"/>
  <c r="H19" i="4" s="1"/>
  <c r="G19" i="4" a="1"/>
  <c r="G19" i="4" s="1"/>
  <c r="F19" i="4" a="1"/>
  <c r="F19" i="4" s="1"/>
  <c r="E19" i="4" a="1"/>
  <c r="E19" i="4" s="1"/>
  <c r="D19" i="4" a="1"/>
  <c r="D19" i="4" s="1"/>
  <c r="L18" i="4" a="1"/>
  <c r="L18" i="4" s="1"/>
  <c r="K18" i="4" a="1"/>
  <c r="K18" i="4" s="1"/>
  <c r="J18" i="4" a="1"/>
  <c r="J18" i="4" s="1"/>
  <c r="I18" i="4" a="1"/>
  <c r="I18" i="4" s="1"/>
  <c r="H18" i="4" a="1"/>
  <c r="H18" i="4" s="1"/>
  <c r="G18" i="4" a="1"/>
  <c r="G18" i="4" s="1"/>
  <c r="F18" i="4" a="1"/>
  <c r="F18" i="4" s="1"/>
  <c r="E18" i="4" a="1"/>
  <c r="E18" i="4" s="1"/>
  <c r="D18" i="4" a="1"/>
  <c r="D18" i="4" s="1"/>
  <c r="L17" i="4" a="1"/>
  <c r="L17" i="4" s="1"/>
  <c r="K17" i="4" a="1"/>
  <c r="K17" i="4" s="1"/>
  <c r="J17" i="4" a="1"/>
  <c r="J17" i="4" s="1"/>
  <c r="I17" i="4" a="1"/>
  <c r="I17" i="4" s="1"/>
  <c r="H17" i="4" a="1"/>
  <c r="H17" i="4" s="1"/>
  <c r="G17" i="4" a="1"/>
  <c r="G17" i="4" s="1"/>
  <c r="F17" i="4" a="1"/>
  <c r="F17" i="4" s="1"/>
  <c r="E17" i="4" a="1"/>
  <c r="E17" i="4" s="1"/>
  <c r="E13" i="1" s="1"/>
  <c r="D17" i="4" a="1"/>
  <c r="D17" i="4" s="1"/>
  <c r="A17" i="4"/>
  <c r="L16" i="4" a="1"/>
  <c r="L16" i="4" s="1"/>
  <c r="K16" i="4" a="1"/>
  <c r="K16" i="4" s="1"/>
  <c r="J16" i="4" a="1"/>
  <c r="J16" i="4" s="1"/>
  <c r="I16" i="4" a="1"/>
  <c r="I16" i="4" s="1"/>
  <c r="H16" i="4" a="1"/>
  <c r="H16" i="4" s="1"/>
  <c r="G16" i="4" a="1"/>
  <c r="G16" i="4" s="1"/>
  <c r="F16" i="4" a="1"/>
  <c r="F16" i="4" s="1"/>
  <c r="E16" i="4" a="1"/>
  <c r="E16" i="4" s="1"/>
  <c r="E12" i="1" s="1"/>
  <c r="D16" i="4" a="1"/>
  <c r="D16" i="4" s="1"/>
  <c r="A16" i="4"/>
  <c r="L15" i="4" a="1"/>
  <c r="L15" i="4" s="1"/>
  <c r="K15" i="4" a="1"/>
  <c r="K15" i="4" s="1"/>
  <c r="J15" i="4" a="1"/>
  <c r="J15" i="4" s="1"/>
  <c r="I15" i="4" a="1"/>
  <c r="I15" i="4" s="1"/>
  <c r="H15" i="4" a="1"/>
  <c r="H15" i="4" s="1"/>
  <c r="G15" i="4" a="1"/>
  <c r="G15" i="4" s="1"/>
  <c r="F15" i="4" a="1"/>
  <c r="F15" i="4" s="1"/>
  <c r="E15" i="4" a="1"/>
  <c r="E15" i="4" s="1"/>
  <c r="E11" i="1" s="1"/>
  <c r="D15" i="4" a="1"/>
  <c r="D15" i="4" s="1"/>
  <c r="L14" i="4" a="1"/>
  <c r="L14" i="4" s="1"/>
  <c r="K14" i="4" a="1"/>
  <c r="K14" i="4" s="1"/>
  <c r="J14" i="4" a="1"/>
  <c r="J14" i="4" s="1"/>
  <c r="I14" i="4" a="1"/>
  <c r="I14" i="4" s="1"/>
  <c r="H14" i="4" a="1"/>
  <c r="H14" i="4" s="1"/>
  <c r="G14" i="4" a="1"/>
  <c r="G14" i="4" s="1"/>
  <c r="F14" i="4" a="1"/>
  <c r="F14" i="4" s="1"/>
  <c r="E14" i="4" a="1"/>
  <c r="E14" i="4" s="1"/>
  <c r="E10" i="1" s="1"/>
  <c r="D14" i="4" a="1"/>
  <c r="D14" i="4" s="1"/>
  <c r="L13" i="4" a="1"/>
  <c r="L13" i="4" s="1"/>
  <c r="K13" i="4" a="1"/>
  <c r="K13" i="4" s="1"/>
  <c r="J13" i="4" a="1"/>
  <c r="J13" i="4" s="1"/>
  <c r="I13" i="4" a="1"/>
  <c r="I13" i="4" s="1"/>
  <c r="H13" i="4" a="1"/>
  <c r="H13" i="4" s="1"/>
  <c r="G13" i="4" a="1"/>
  <c r="G13" i="4" s="1"/>
  <c r="F13" i="4" a="1"/>
  <c r="F13" i="4" s="1"/>
  <c r="E13" i="4" a="1"/>
  <c r="E13" i="4" s="1"/>
  <c r="E9" i="1" s="1"/>
  <c r="D13" i="4" a="1"/>
  <c r="D13" i="4" s="1"/>
  <c r="A13" i="4"/>
  <c r="L12" i="4" a="1"/>
  <c r="L12" i="4" s="1"/>
  <c r="K12" i="4" a="1"/>
  <c r="K12" i="4" s="1"/>
  <c r="J12" i="4" a="1"/>
  <c r="J12" i="4" s="1"/>
  <c r="I12" i="4" a="1"/>
  <c r="I12" i="4" s="1"/>
  <c r="H12" i="4" a="1"/>
  <c r="H12" i="4" s="1"/>
  <c r="G12" i="4" a="1"/>
  <c r="G12" i="4" s="1"/>
  <c r="F12" i="4" a="1"/>
  <c r="F12" i="4" s="1"/>
  <c r="E12" i="4" a="1"/>
  <c r="E12" i="4" s="1"/>
  <c r="E8" i="1" s="1"/>
  <c r="D12" i="4" a="1"/>
  <c r="D12" i="4" s="1"/>
  <c r="A12" i="4"/>
  <c r="L11" i="4" a="1"/>
  <c r="L11" i="4" s="1"/>
  <c r="K11" i="4" a="1"/>
  <c r="K11" i="4" s="1"/>
  <c r="J11" i="4" a="1"/>
  <c r="J11" i="4" s="1"/>
  <c r="I11" i="4" a="1"/>
  <c r="I11" i="4" s="1"/>
  <c r="H11" i="4" a="1"/>
  <c r="H11" i="4" s="1"/>
  <c r="G11" i="4" a="1"/>
  <c r="G11" i="4" s="1"/>
  <c r="F11" i="4" a="1"/>
  <c r="F11" i="4" s="1"/>
  <c r="E11" i="4" a="1"/>
  <c r="E11" i="4" s="1"/>
  <c r="D11" i="4" a="1"/>
  <c r="D11" i="4" s="1"/>
  <c r="A11" i="4"/>
  <c r="L10" i="4" a="1"/>
  <c r="L10" i="4" s="1"/>
  <c r="K10" i="4" a="1"/>
  <c r="K10" i="4" s="1"/>
  <c r="J10" i="4" a="1"/>
  <c r="J10" i="4" s="1"/>
  <c r="I10" i="4" a="1"/>
  <c r="I10" i="4" s="1"/>
  <c r="H10" i="4" a="1"/>
  <c r="H10" i="4" s="1"/>
  <c r="G10" i="4" a="1"/>
  <c r="G10" i="4" s="1"/>
  <c r="F10" i="4" a="1"/>
  <c r="F10" i="4" s="1"/>
  <c r="E10" i="4" a="1"/>
  <c r="E10" i="4" s="1"/>
  <c r="D10" i="4" a="1"/>
  <c r="D10" i="4" s="1"/>
  <c r="D8" i="4" a="1"/>
  <c r="D8" i="4" s="1"/>
  <c r="A8" i="4"/>
  <c r="D7" i="4" a="1"/>
  <c r="D7" i="4" s="1"/>
  <c r="D6" i="4" a="1"/>
  <c r="D6" i="4" s="1"/>
  <c r="D5" i="4" a="1"/>
  <c r="D5" i="4" s="1"/>
  <c r="A5" i="4"/>
  <c r="A4" i="4"/>
  <c r="A3" i="4"/>
  <c r="E259" i="3" a="1"/>
  <c r="E259" i="3" s="1"/>
  <c r="D259" i="3" a="1"/>
  <c r="D259" i="3" s="1"/>
  <c r="E258" i="3" a="1"/>
  <c r="E258" i="3" s="1"/>
  <c r="D258" i="3" a="1"/>
  <c r="D258" i="3" s="1"/>
  <c r="D256" i="3" a="1"/>
  <c r="D256" i="3" s="1"/>
  <c r="D255" i="3" a="1"/>
  <c r="D255" i="3" s="1"/>
  <c r="D254" i="3" a="1"/>
  <c r="D254" i="3" s="1"/>
  <c r="D253" i="3" a="1"/>
  <c r="D253" i="3" s="1"/>
  <c r="S250" i="3" a="1"/>
  <c r="S250" i="3" s="1"/>
  <c r="R250" i="3" a="1"/>
  <c r="R250" i="3" s="1"/>
  <c r="Q250" i="3" a="1"/>
  <c r="Q250" i="3" s="1"/>
  <c r="P250" i="3" a="1"/>
  <c r="P250" i="3" s="1"/>
  <c r="O250" i="3" a="1"/>
  <c r="O250" i="3" s="1"/>
  <c r="N250" i="3" a="1"/>
  <c r="N250" i="3" s="1"/>
  <c r="M250" i="3" a="1"/>
  <c r="M250" i="3" s="1"/>
  <c r="L250" i="3" a="1"/>
  <c r="L250" i="3" s="1"/>
  <c r="K250" i="3" a="1"/>
  <c r="K250" i="3" s="1"/>
  <c r="J250" i="3" a="1"/>
  <c r="J250" i="3" s="1"/>
  <c r="I250" i="3" a="1"/>
  <c r="I250" i="3" s="1"/>
  <c r="H250" i="3" a="1"/>
  <c r="H250" i="3" s="1"/>
  <c r="G250" i="3" a="1"/>
  <c r="G250" i="3" s="1"/>
  <c r="F250" i="3" a="1"/>
  <c r="F250" i="3" s="1"/>
  <c r="E250" i="3" a="1"/>
  <c r="E250" i="3" s="1"/>
  <c r="D250" i="3" a="1"/>
  <c r="D250" i="3" s="1"/>
  <c r="S249" i="3" a="1"/>
  <c r="S249" i="3" s="1"/>
  <c r="R249" i="3" a="1"/>
  <c r="R249" i="3" s="1"/>
  <c r="Q249" i="3" a="1"/>
  <c r="Q249" i="3" s="1"/>
  <c r="P249" i="3" a="1"/>
  <c r="P249" i="3" s="1"/>
  <c r="O249" i="3" a="1"/>
  <c r="O249" i="3" s="1"/>
  <c r="N249" i="3" a="1"/>
  <c r="N249" i="3" s="1"/>
  <c r="M249" i="3" a="1"/>
  <c r="M249" i="3" s="1"/>
  <c r="L249" i="3" a="1"/>
  <c r="L249" i="3" s="1"/>
  <c r="K249" i="3" a="1"/>
  <c r="K249" i="3" s="1"/>
  <c r="J249" i="3" a="1"/>
  <c r="J249" i="3" s="1"/>
  <c r="I249" i="3" a="1"/>
  <c r="I249" i="3" s="1"/>
  <c r="H249" i="3" a="1"/>
  <c r="H249" i="3" s="1"/>
  <c r="G249" i="3" a="1"/>
  <c r="G249" i="3" s="1"/>
  <c r="F249" i="3" a="1"/>
  <c r="F249" i="3" s="1"/>
  <c r="E249" i="3" a="1"/>
  <c r="E249" i="3" s="1"/>
  <c r="D249" i="3" a="1"/>
  <c r="D249" i="3" s="1"/>
  <c r="S248" i="3" a="1"/>
  <c r="S248" i="3" s="1"/>
  <c r="R248" i="3" a="1"/>
  <c r="R248" i="3" s="1"/>
  <c r="Q248" i="3" a="1"/>
  <c r="Q248" i="3" s="1"/>
  <c r="P248" i="3" a="1"/>
  <c r="P248" i="3" s="1"/>
  <c r="O248" i="3" a="1"/>
  <c r="O248" i="3" s="1"/>
  <c r="N248" i="3" a="1"/>
  <c r="N248" i="3" s="1"/>
  <c r="M248" i="3" a="1"/>
  <c r="M248" i="3" s="1"/>
  <c r="L248" i="3" a="1"/>
  <c r="L248" i="3" s="1"/>
  <c r="K248" i="3" a="1"/>
  <c r="K248" i="3" s="1"/>
  <c r="J248" i="3" a="1"/>
  <c r="J248" i="3" s="1"/>
  <c r="I248" i="3" a="1"/>
  <c r="I248" i="3" s="1"/>
  <c r="H248" i="3" a="1"/>
  <c r="H248" i="3" s="1"/>
  <c r="G248" i="3" a="1"/>
  <c r="G248" i="3" s="1"/>
  <c r="F248" i="3" a="1"/>
  <c r="F248" i="3" s="1"/>
  <c r="E248" i="3" a="1"/>
  <c r="E248" i="3" s="1"/>
  <c r="D248" i="3" a="1"/>
  <c r="D248" i="3" s="1"/>
  <c r="S247" i="3" a="1"/>
  <c r="S247" i="3" s="1"/>
  <c r="R247" i="3" a="1"/>
  <c r="R247" i="3" s="1"/>
  <c r="Q247" i="3" a="1"/>
  <c r="Q247" i="3" s="1"/>
  <c r="P247" i="3" a="1"/>
  <c r="P247" i="3" s="1"/>
  <c r="O247" i="3" a="1"/>
  <c r="O247" i="3" s="1"/>
  <c r="N247" i="3" a="1"/>
  <c r="N247" i="3" s="1"/>
  <c r="M247" i="3" a="1"/>
  <c r="M247" i="3" s="1"/>
  <c r="L247" i="3" a="1"/>
  <c r="L247" i="3" s="1"/>
  <c r="K247" i="3" a="1"/>
  <c r="K247" i="3" s="1"/>
  <c r="J247" i="3" a="1"/>
  <c r="J247" i="3" s="1"/>
  <c r="I247" i="3" a="1"/>
  <c r="I247" i="3" s="1"/>
  <c r="H247" i="3" a="1"/>
  <c r="H247" i="3" s="1"/>
  <c r="G247" i="3" a="1"/>
  <c r="G247" i="3" s="1"/>
  <c r="F247" i="3" a="1"/>
  <c r="F247" i="3" s="1"/>
  <c r="E247" i="3" a="1"/>
  <c r="E247" i="3" s="1"/>
  <c r="D247" i="3" a="1"/>
  <c r="D247" i="3" s="1"/>
  <c r="S246" i="3" a="1"/>
  <c r="S246" i="3" s="1"/>
  <c r="R246" i="3" a="1"/>
  <c r="R246" i="3" s="1"/>
  <c r="Q246" i="3" a="1"/>
  <c r="Q246" i="3" s="1"/>
  <c r="P246" i="3" a="1"/>
  <c r="P246" i="3" s="1"/>
  <c r="O246" i="3" a="1"/>
  <c r="O246" i="3" s="1"/>
  <c r="N246" i="3" a="1"/>
  <c r="N246" i="3" s="1"/>
  <c r="M246" i="3" a="1"/>
  <c r="M246" i="3" s="1"/>
  <c r="L246" i="3" a="1"/>
  <c r="L246" i="3" s="1"/>
  <c r="K246" i="3" a="1"/>
  <c r="K246" i="3" s="1"/>
  <c r="J246" i="3" a="1"/>
  <c r="J246" i="3" s="1"/>
  <c r="I246" i="3" a="1"/>
  <c r="I246" i="3" s="1"/>
  <c r="H246" i="3" a="1"/>
  <c r="H246" i="3" s="1"/>
  <c r="G246" i="3" a="1"/>
  <c r="G246" i="3" s="1"/>
  <c r="F246" i="3" a="1"/>
  <c r="F246" i="3" s="1"/>
  <c r="E246" i="3" a="1"/>
  <c r="E246" i="3" s="1"/>
  <c r="D246" i="3" a="1"/>
  <c r="D246" i="3" s="1"/>
  <c r="S245" i="3" a="1"/>
  <c r="S245" i="3" s="1"/>
  <c r="R245" i="3" a="1"/>
  <c r="R245" i="3" s="1"/>
  <c r="Q245" i="3" a="1"/>
  <c r="Q245" i="3" s="1"/>
  <c r="P245" i="3" a="1"/>
  <c r="P245" i="3" s="1"/>
  <c r="O245" i="3" a="1"/>
  <c r="O245" i="3" s="1"/>
  <c r="N245" i="3" a="1"/>
  <c r="N245" i="3" s="1"/>
  <c r="M245" i="3" a="1"/>
  <c r="M245" i="3" s="1"/>
  <c r="L245" i="3" a="1"/>
  <c r="L245" i="3" s="1"/>
  <c r="K245" i="3" a="1"/>
  <c r="K245" i="3" s="1"/>
  <c r="J245" i="3" a="1"/>
  <c r="J245" i="3" s="1"/>
  <c r="I245" i="3" a="1"/>
  <c r="I245" i="3" s="1"/>
  <c r="H245" i="3" a="1"/>
  <c r="H245" i="3" s="1"/>
  <c r="G245" i="3" a="1"/>
  <c r="G245" i="3" s="1"/>
  <c r="F245" i="3" a="1"/>
  <c r="F245" i="3" s="1"/>
  <c r="E245" i="3" a="1"/>
  <c r="E245" i="3" s="1"/>
  <c r="D245" i="3" a="1"/>
  <c r="D245" i="3" s="1"/>
  <c r="S244" i="3" a="1"/>
  <c r="S244" i="3" s="1"/>
  <c r="R244" i="3" a="1"/>
  <c r="R244" i="3" s="1"/>
  <c r="Q244" i="3" a="1"/>
  <c r="Q244" i="3" s="1"/>
  <c r="P244" i="3" a="1"/>
  <c r="P244" i="3" s="1"/>
  <c r="O244" i="3" a="1"/>
  <c r="O244" i="3" s="1"/>
  <c r="N244" i="3" a="1"/>
  <c r="N244" i="3" s="1"/>
  <c r="M244" i="3" a="1"/>
  <c r="M244" i="3" s="1"/>
  <c r="L244" i="3" a="1"/>
  <c r="L244" i="3" s="1"/>
  <c r="K244" i="3" a="1"/>
  <c r="K244" i="3" s="1"/>
  <c r="J244" i="3" a="1"/>
  <c r="J244" i="3" s="1"/>
  <c r="I244" i="3" a="1"/>
  <c r="I244" i="3" s="1"/>
  <c r="H244" i="3" a="1"/>
  <c r="H244" i="3" s="1"/>
  <c r="G244" i="3" a="1"/>
  <c r="G244" i="3" s="1"/>
  <c r="F244" i="3" a="1"/>
  <c r="F244" i="3" s="1"/>
  <c r="E244" i="3" a="1"/>
  <c r="E244" i="3" s="1"/>
  <c r="D244" i="3" a="1"/>
  <c r="D244" i="3" s="1"/>
  <c r="S243" i="3" a="1"/>
  <c r="S243" i="3" s="1"/>
  <c r="R243" i="3" a="1"/>
  <c r="R243" i="3" s="1"/>
  <c r="Q243" i="3" a="1"/>
  <c r="Q243" i="3" s="1"/>
  <c r="P243" i="3" a="1"/>
  <c r="P243" i="3" s="1"/>
  <c r="O243" i="3" a="1"/>
  <c r="O243" i="3" s="1"/>
  <c r="N243" i="3" a="1"/>
  <c r="N243" i="3" s="1"/>
  <c r="M243" i="3" a="1"/>
  <c r="M243" i="3" s="1"/>
  <c r="L243" i="3" a="1"/>
  <c r="L243" i="3" s="1"/>
  <c r="K243" i="3" a="1"/>
  <c r="K243" i="3" s="1"/>
  <c r="J243" i="3" a="1"/>
  <c r="J243" i="3" s="1"/>
  <c r="I243" i="3" a="1"/>
  <c r="I243" i="3" s="1"/>
  <c r="H243" i="3" a="1"/>
  <c r="H243" i="3" s="1"/>
  <c r="G243" i="3" a="1"/>
  <c r="G243" i="3" s="1"/>
  <c r="F243" i="3" a="1"/>
  <c r="F243" i="3" s="1"/>
  <c r="E243" i="3" a="1"/>
  <c r="E243" i="3" s="1"/>
  <c r="D243" i="3" a="1"/>
  <c r="D243" i="3" s="1"/>
  <c r="S242" i="3" a="1"/>
  <c r="S242" i="3" s="1"/>
  <c r="R242" i="3" a="1"/>
  <c r="R242" i="3" s="1"/>
  <c r="Q242" i="3" a="1"/>
  <c r="Q242" i="3" s="1"/>
  <c r="P242" i="3" a="1"/>
  <c r="P242" i="3" s="1"/>
  <c r="O242" i="3" a="1"/>
  <c r="O242" i="3" s="1"/>
  <c r="N242" i="3" a="1"/>
  <c r="N242" i="3" s="1"/>
  <c r="M242" i="3" a="1"/>
  <c r="M242" i="3" s="1"/>
  <c r="L242" i="3" a="1"/>
  <c r="L242" i="3" s="1"/>
  <c r="K242" i="3" a="1"/>
  <c r="K242" i="3" s="1"/>
  <c r="J242" i="3" a="1"/>
  <c r="J242" i="3" s="1"/>
  <c r="I242" i="3" a="1"/>
  <c r="I242" i="3" s="1"/>
  <c r="H242" i="3" a="1"/>
  <c r="H242" i="3" s="1"/>
  <c r="G242" i="3" a="1"/>
  <c r="G242" i="3" s="1"/>
  <c r="F242" i="3" a="1"/>
  <c r="F242" i="3" s="1"/>
  <c r="E242" i="3" a="1"/>
  <c r="E242" i="3" s="1"/>
  <c r="D242" i="3" a="1"/>
  <c r="D242" i="3" s="1"/>
  <c r="S241" i="3" a="1"/>
  <c r="S241" i="3" s="1"/>
  <c r="R241" i="3" a="1"/>
  <c r="R241" i="3" s="1"/>
  <c r="Q241" i="3" a="1"/>
  <c r="Q241" i="3" s="1"/>
  <c r="P241" i="3" a="1"/>
  <c r="P241" i="3" s="1"/>
  <c r="O241" i="3" a="1"/>
  <c r="O241" i="3" s="1"/>
  <c r="N241" i="3" a="1"/>
  <c r="N241" i="3" s="1"/>
  <c r="M241" i="3" a="1"/>
  <c r="M241" i="3" s="1"/>
  <c r="L241" i="3" a="1"/>
  <c r="L241" i="3" s="1"/>
  <c r="K241" i="3" a="1"/>
  <c r="K241" i="3" s="1"/>
  <c r="J241" i="3" a="1"/>
  <c r="J241" i="3" s="1"/>
  <c r="I241" i="3" a="1"/>
  <c r="I241" i="3" s="1"/>
  <c r="H241" i="3" a="1"/>
  <c r="H241" i="3" s="1"/>
  <c r="G241" i="3" a="1"/>
  <c r="G241" i="3" s="1"/>
  <c r="F241" i="3" a="1"/>
  <c r="F241" i="3" s="1"/>
  <c r="E241" i="3" a="1"/>
  <c r="E241" i="3" s="1"/>
  <c r="D241" i="3" a="1"/>
  <c r="D241" i="3" s="1"/>
  <c r="S240" i="3" a="1"/>
  <c r="S240" i="3" s="1"/>
  <c r="R240" i="3" a="1"/>
  <c r="R240" i="3" s="1"/>
  <c r="Q240" i="3" a="1"/>
  <c r="Q240" i="3" s="1"/>
  <c r="P240" i="3" a="1"/>
  <c r="P240" i="3" s="1"/>
  <c r="O240" i="3" a="1"/>
  <c r="O240" i="3" s="1"/>
  <c r="N240" i="3" a="1"/>
  <c r="N240" i="3" s="1"/>
  <c r="M240" i="3" a="1"/>
  <c r="M240" i="3" s="1"/>
  <c r="L240" i="3" a="1"/>
  <c r="L240" i="3" s="1"/>
  <c r="K240" i="3" a="1"/>
  <c r="K240" i="3" s="1"/>
  <c r="J240" i="3" a="1"/>
  <c r="J240" i="3" s="1"/>
  <c r="I240" i="3" a="1"/>
  <c r="I240" i="3" s="1"/>
  <c r="H240" i="3" a="1"/>
  <c r="H240" i="3" s="1"/>
  <c r="G240" i="3" a="1"/>
  <c r="G240" i="3" s="1"/>
  <c r="F240" i="3" a="1"/>
  <c r="F240" i="3" s="1"/>
  <c r="E240" i="3" a="1"/>
  <c r="E240" i="3" s="1"/>
  <c r="D240" i="3" a="1"/>
  <c r="D240" i="3" s="1"/>
  <c r="S239" i="3" a="1"/>
  <c r="S239" i="3" s="1"/>
  <c r="R239" i="3" a="1"/>
  <c r="R239" i="3" s="1"/>
  <c r="Q239" i="3" a="1"/>
  <c r="Q239" i="3" s="1"/>
  <c r="P239" i="3" a="1"/>
  <c r="P239" i="3" s="1"/>
  <c r="O239" i="3" a="1"/>
  <c r="O239" i="3" s="1"/>
  <c r="N239" i="3" a="1"/>
  <c r="N239" i="3" s="1"/>
  <c r="M239" i="3" a="1"/>
  <c r="M239" i="3" s="1"/>
  <c r="L239" i="3" a="1"/>
  <c r="L239" i="3" s="1"/>
  <c r="K239" i="3" a="1"/>
  <c r="K239" i="3" s="1"/>
  <c r="J239" i="3" a="1"/>
  <c r="J239" i="3" s="1"/>
  <c r="I239" i="3" a="1"/>
  <c r="I239" i="3" s="1"/>
  <c r="H239" i="3" a="1"/>
  <c r="H239" i="3" s="1"/>
  <c r="G239" i="3" a="1"/>
  <c r="G239" i="3" s="1"/>
  <c r="F239" i="3" a="1"/>
  <c r="F239" i="3" s="1"/>
  <c r="E239" i="3" a="1"/>
  <c r="E239" i="3" s="1"/>
  <c r="D239" i="3" a="1"/>
  <c r="D239" i="3" s="1"/>
  <c r="S238" i="3" a="1"/>
  <c r="S238" i="3" s="1"/>
  <c r="R238" i="3" a="1"/>
  <c r="R238" i="3" s="1"/>
  <c r="Q238" i="3" a="1"/>
  <c r="Q238" i="3" s="1"/>
  <c r="P238" i="3" a="1"/>
  <c r="P238" i="3" s="1"/>
  <c r="O238" i="3" a="1"/>
  <c r="O238" i="3" s="1"/>
  <c r="N238" i="3" a="1"/>
  <c r="N238" i="3" s="1"/>
  <c r="M238" i="3" a="1"/>
  <c r="M238" i="3" s="1"/>
  <c r="L238" i="3" a="1"/>
  <c r="L238" i="3" s="1"/>
  <c r="K238" i="3" a="1"/>
  <c r="K238" i="3" s="1"/>
  <c r="J238" i="3" a="1"/>
  <c r="J238" i="3" s="1"/>
  <c r="I238" i="3" a="1"/>
  <c r="I238" i="3" s="1"/>
  <c r="H238" i="3" a="1"/>
  <c r="H238" i="3" s="1"/>
  <c r="G238" i="3" a="1"/>
  <c r="G238" i="3" s="1"/>
  <c r="F238" i="3" a="1"/>
  <c r="F238" i="3" s="1"/>
  <c r="E238" i="3" a="1"/>
  <c r="E238" i="3" s="1"/>
  <c r="D238" i="3" a="1"/>
  <c r="D238" i="3" s="1"/>
  <c r="S237" i="3" a="1"/>
  <c r="S237" i="3" s="1"/>
  <c r="R237" i="3" a="1"/>
  <c r="R237" i="3" s="1"/>
  <c r="Q237" i="3" a="1"/>
  <c r="Q237" i="3" s="1"/>
  <c r="P237" i="3" a="1"/>
  <c r="P237" i="3" s="1"/>
  <c r="O237" i="3" a="1"/>
  <c r="O237" i="3" s="1"/>
  <c r="N237" i="3" a="1"/>
  <c r="N237" i="3" s="1"/>
  <c r="M237" i="3" a="1"/>
  <c r="M237" i="3" s="1"/>
  <c r="L237" i="3" a="1"/>
  <c r="L237" i="3" s="1"/>
  <c r="K237" i="3" a="1"/>
  <c r="K237" i="3" s="1"/>
  <c r="J237" i="3" a="1"/>
  <c r="J237" i="3" s="1"/>
  <c r="I237" i="3" a="1"/>
  <c r="I237" i="3" s="1"/>
  <c r="H237" i="3" a="1"/>
  <c r="H237" i="3" s="1"/>
  <c r="G237" i="3" a="1"/>
  <c r="G237" i="3" s="1"/>
  <c r="F237" i="3" a="1"/>
  <c r="F237" i="3" s="1"/>
  <c r="E237" i="3" a="1"/>
  <c r="E237" i="3" s="1"/>
  <c r="D237" i="3" a="1"/>
  <c r="D237" i="3" s="1"/>
  <c r="S236" i="3" a="1"/>
  <c r="S236" i="3" s="1"/>
  <c r="R236" i="3" a="1"/>
  <c r="R236" i="3" s="1"/>
  <c r="Q236" i="3" a="1"/>
  <c r="Q236" i="3" s="1"/>
  <c r="P236" i="3" a="1"/>
  <c r="P236" i="3" s="1"/>
  <c r="O236" i="3" a="1"/>
  <c r="O236" i="3" s="1"/>
  <c r="N236" i="3" a="1"/>
  <c r="N236" i="3" s="1"/>
  <c r="M236" i="3" a="1"/>
  <c r="M236" i="3" s="1"/>
  <c r="L236" i="3" a="1"/>
  <c r="L236" i="3" s="1"/>
  <c r="K236" i="3" a="1"/>
  <c r="K236" i="3" s="1"/>
  <c r="J236" i="3" a="1"/>
  <c r="J236" i="3" s="1"/>
  <c r="I236" i="3" a="1"/>
  <c r="I236" i="3" s="1"/>
  <c r="H236" i="3" a="1"/>
  <c r="H236" i="3" s="1"/>
  <c r="G236" i="3" a="1"/>
  <c r="G236" i="3" s="1"/>
  <c r="F236" i="3" a="1"/>
  <c r="F236" i="3" s="1"/>
  <c r="E236" i="3" a="1"/>
  <c r="E236" i="3" s="1"/>
  <c r="D236" i="3" a="1"/>
  <c r="D236" i="3" s="1"/>
  <c r="S235" i="3" a="1"/>
  <c r="S235" i="3" s="1"/>
  <c r="R235" i="3" a="1"/>
  <c r="R235" i="3" s="1"/>
  <c r="Q235" i="3" a="1"/>
  <c r="Q235" i="3" s="1"/>
  <c r="P235" i="3" a="1"/>
  <c r="P235" i="3" s="1"/>
  <c r="O235" i="3" a="1"/>
  <c r="O235" i="3" s="1"/>
  <c r="N235" i="3" a="1"/>
  <c r="N235" i="3" s="1"/>
  <c r="M235" i="3" a="1"/>
  <c r="M235" i="3" s="1"/>
  <c r="L235" i="3" a="1"/>
  <c r="L235" i="3" s="1"/>
  <c r="K235" i="3" a="1"/>
  <c r="K235" i="3" s="1"/>
  <c r="J235" i="3" a="1"/>
  <c r="J235" i="3" s="1"/>
  <c r="I235" i="3" a="1"/>
  <c r="I235" i="3" s="1"/>
  <c r="H235" i="3" a="1"/>
  <c r="H235" i="3" s="1"/>
  <c r="G235" i="3" a="1"/>
  <c r="G235" i="3" s="1"/>
  <c r="F235" i="3" a="1"/>
  <c r="F235" i="3" s="1"/>
  <c r="E235" i="3" a="1"/>
  <c r="E235" i="3" s="1"/>
  <c r="D235" i="3" a="1"/>
  <c r="D235" i="3" s="1"/>
  <c r="S234" i="3" a="1"/>
  <c r="S234" i="3" s="1"/>
  <c r="R234" i="3" a="1"/>
  <c r="R234" i="3" s="1"/>
  <c r="Q234" i="3" a="1"/>
  <c r="Q234" i="3" s="1"/>
  <c r="P234" i="3" a="1"/>
  <c r="P234" i="3" s="1"/>
  <c r="O234" i="3" a="1"/>
  <c r="O234" i="3" s="1"/>
  <c r="N234" i="3" a="1"/>
  <c r="N234" i="3" s="1"/>
  <c r="M234" i="3" a="1"/>
  <c r="M234" i="3" s="1"/>
  <c r="L234" i="3" a="1"/>
  <c r="L234" i="3" s="1"/>
  <c r="K234" i="3" a="1"/>
  <c r="K234" i="3" s="1"/>
  <c r="J234" i="3" a="1"/>
  <c r="J234" i="3" s="1"/>
  <c r="I234" i="3" a="1"/>
  <c r="I234" i="3" s="1"/>
  <c r="H234" i="3" a="1"/>
  <c r="H234" i="3" s="1"/>
  <c r="G234" i="3" a="1"/>
  <c r="G234" i="3" s="1"/>
  <c r="F234" i="3" a="1"/>
  <c r="F234" i="3" s="1"/>
  <c r="E234" i="3" a="1"/>
  <c r="E234" i="3" s="1"/>
  <c r="D234" i="3" a="1"/>
  <c r="D234" i="3" s="1"/>
  <c r="S233" i="3" a="1"/>
  <c r="S233" i="3" s="1"/>
  <c r="R233" i="3" a="1"/>
  <c r="R233" i="3" s="1"/>
  <c r="Q233" i="3" a="1"/>
  <c r="Q233" i="3" s="1"/>
  <c r="P233" i="3" a="1"/>
  <c r="P233" i="3" s="1"/>
  <c r="O233" i="3" a="1"/>
  <c r="O233" i="3" s="1"/>
  <c r="N233" i="3" a="1"/>
  <c r="N233" i="3" s="1"/>
  <c r="M233" i="3" a="1"/>
  <c r="M233" i="3" s="1"/>
  <c r="L233" i="3" a="1"/>
  <c r="L233" i="3" s="1"/>
  <c r="K233" i="3" a="1"/>
  <c r="K233" i="3" s="1"/>
  <c r="J233" i="3" a="1"/>
  <c r="J233" i="3" s="1"/>
  <c r="I233" i="3" a="1"/>
  <c r="I233" i="3" s="1"/>
  <c r="H233" i="3" a="1"/>
  <c r="H233" i="3" s="1"/>
  <c r="G233" i="3" a="1"/>
  <c r="G233" i="3" s="1"/>
  <c r="F233" i="3" a="1"/>
  <c r="F233" i="3" s="1"/>
  <c r="E233" i="3" a="1"/>
  <c r="E233" i="3" s="1"/>
  <c r="D233" i="3" a="1"/>
  <c r="D233" i="3" s="1"/>
  <c r="S232" i="3" a="1"/>
  <c r="S232" i="3" s="1"/>
  <c r="R232" i="3" a="1"/>
  <c r="R232" i="3" s="1"/>
  <c r="Q232" i="3" a="1"/>
  <c r="Q232" i="3" s="1"/>
  <c r="P232" i="3" a="1"/>
  <c r="P232" i="3" s="1"/>
  <c r="O232" i="3" a="1"/>
  <c r="O232" i="3" s="1"/>
  <c r="N232" i="3" a="1"/>
  <c r="N232" i="3" s="1"/>
  <c r="M232" i="3" a="1"/>
  <c r="M232" i="3" s="1"/>
  <c r="L232" i="3" a="1"/>
  <c r="L232" i="3" s="1"/>
  <c r="K232" i="3" a="1"/>
  <c r="K232" i="3" s="1"/>
  <c r="J232" i="3" a="1"/>
  <c r="J232" i="3" s="1"/>
  <c r="I232" i="3" a="1"/>
  <c r="I232" i="3" s="1"/>
  <c r="H232" i="3" a="1"/>
  <c r="H232" i="3" s="1"/>
  <c r="G232" i="3" a="1"/>
  <c r="G232" i="3" s="1"/>
  <c r="F232" i="3" a="1"/>
  <c r="F232" i="3" s="1"/>
  <c r="E232" i="3" a="1"/>
  <c r="E232" i="3" s="1"/>
  <c r="D232" i="3" a="1"/>
  <c r="D232" i="3" s="1"/>
  <c r="D229" i="3" a="1"/>
  <c r="D229" i="3" s="1"/>
  <c r="D228" i="3" a="1"/>
  <c r="D228" i="3" s="1"/>
  <c r="D227" i="3" a="1"/>
  <c r="D227" i="3" s="1"/>
  <c r="E224" i="3" a="1"/>
  <c r="E224" i="3" s="1"/>
  <c r="D224" i="3" a="1"/>
  <c r="D224" i="3" s="1"/>
  <c r="E223" i="3" a="1"/>
  <c r="E223" i="3" s="1"/>
  <c r="D223" i="3" a="1"/>
  <c r="D223" i="3" s="1"/>
  <c r="E222" i="3" a="1"/>
  <c r="E222" i="3" s="1"/>
  <c r="D222" i="3" a="1"/>
  <c r="D222" i="3" s="1"/>
  <c r="E221" i="3" a="1"/>
  <c r="E221" i="3" s="1"/>
  <c r="D221" i="3" a="1"/>
  <c r="D221" i="3" s="1"/>
  <c r="E220" i="3" a="1"/>
  <c r="E220" i="3" s="1"/>
  <c r="D220" i="3" a="1"/>
  <c r="D220" i="3" s="1"/>
  <c r="E219" i="3" a="1"/>
  <c r="E219" i="3" s="1"/>
  <c r="D219" i="3" a="1"/>
  <c r="D219" i="3" s="1"/>
  <c r="E218" i="3" a="1"/>
  <c r="E218" i="3" s="1"/>
  <c r="D218" i="3" a="1"/>
  <c r="D218" i="3" s="1"/>
  <c r="E217" i="3" a="1"/>
  <c r="E217" i="3" s="1"/>
  <c r="D217" i="3" a="1"/>
  <c r="D217" i="3" s="1"/>
  <c r="E216" i="3" a="1"/>
  <c r="E216" i="3" s="1"/>
  <c r="D216" i="3" a="1"/>
  <c r="D216" i="3" s="1"/>
  <c r="E215" i="3" a="1"/>
  <c r="E215" i="3" s="1"/>
  <c r="D215" i="3" a="1"/>
  <c r="D215" i="3" s="1"/>
  <c r="E214" i="3" a="1"/>
  <c r="E214" i="3" s="1"/>
  <c r="D214" i="3" a="1"/>
  <c r="D214" i="3" s="1"/>
  <c r="E213" i="3" a="1"/>
  <c r="E213" i="3" s="1"/>
  <c r="D213" i="3" a="1"/>
  <c r="D213" i="3" s="1"/>
  <c r="D211" i="3" a="1"/>
  <c r="D211" i="3" s="1"/>
  <c r="E208" i="3" a="1"/>
  <c r="E208" i="3" s="1"/>
  <c r="D208" i="3" a="1"/>
  <c r="D208" i="3" s="1"/>
  <c r="E207" i="3" a="1"/>
  <c r="E207" i="3" s="1"/>
  <c r="D207" i="3" a="1"/>
  <c r="D207" i="3" s="1"/>
  <c r="D205" i="3" a="1"/>
  <c r="D205" i="3" s="1"/>
  <c r="D204" i="3" a="1"/>
  <c r="D204" i="3" s="1"/>
  <c r="D203" i="3" a="1"/>
  <c r="D203" i="3" s="1"/>
  <c r="D202" i="3" a="1"/>
  <c r="D202" i="3" s="1"/>
  <c r="H199" i="3" a="1"/>
  <c r="H199" i="3" s="1"/>
  <c r="G199" i="3" a="1"/>
  <c r="G199" i="3" s="1"/>
  <c r="F199" i="3" a="1"/>
  <c r="F199" i="3" s="1"/>
  <c r="E199" i="3" a="1"/>
  <c r="E199" i="3" s="1"/>
  <c r="D199" i="3" a="1"/>
  <c r="D199" i="3" s="1"/>
  <c r="H198" i="3" a="1"/>
  <c r="H198" i="3" s="1"/>
  <c r="G198" i="3" a="1"/>
  <c r="G198" i="3" s="1"/>
  <c r="F198" i="3" a="1"/>
  <c r="F198" i="3" s="1"/>
  <c r="E198" i="3" a="1"/>
  <c r="E198" i="3" s="1"/>
  <c r="D198" i="3" a="1"/>
  <c r="D198" i="3" s="1"/>
  <c r="H197" i="3" a="1"/>
  <c r="H197" i="3" s="1"/>
  <c r="G197" i="3" a="1"/>
  <c r="G197" i="3" s="1"/>
  <c r="F197" i="3" a="1"/>
  <c r="F197" i="3" s="1"/>
  <c r="E197" i="3" a="1"/>
  <c r="E197" i="3" s="1"/>
  <c r="D197" i="3" a="1"/>
  <c r="D197" i="3" s="1"/>
  <c r="H196" i="3" a="1"/>
  <c r="H196" i="3" s="1"/>
  <c r="G196" i="3" a="1"/>
  <c r="G196" i="3" s="1"/>
  <c r="F196" i="3" a="1"/>
  <c r="F196" i="3" s="1"/>
  <c r="E196" i="3" a="1"/>
  <c r="E196" i="3" s="1"/>
  <c r="D196" i="3" a="1"/>
  <c r="D196" i="3" s="1"/>
  <c r="H195" i="3" a="1"/>
  <c r="H195" i="3" s="1"/>
  <c r="G195" i="3" a="1"/>
  <c r="G195" i="3" s="1"/>
  <c r="F195" i="3" a="1"/>
  <c r="F195" i="3" s="1"/>
  <c r="E195" i="3" a="1"/>
  <c r="E195" i="3" s="1"/>
  <c r="D195" i="3" a="1"/>
  <c r="D195" i="3" s="1"/>
  <c r="H194" i="3" a="1"/>
  <c r="H194" i="3" s="1"/>
  <c r="G194" i="3" a="1"/>
  <c r="G194" i="3" s="1"/>
  <c r="F194" i="3" a="1"/>
  <c r="F194" i="3" s="1"/>
  <c r="E194" i="3" a="1"/>
  <c r="E194" i="3" s="1"/>
  <c r="D194" i="3" a="1"/>
  <c r="D194" i="3" s="1"/>
  <c r="H193" i="3" a="1"/>
  <c r="H193" i="3" s="1"/>
  <c r="G193" i="3" a="1"/>
  <c r="G193" i="3" s="1"/>
  <c r="F193" i="3" a="1"/>
  <c r="F193" i="3" s="1"/>
  <c r="E193" i="3" a="1"/>
  <c r="E193" i="3" s="1"/>
  <c r="D193" i="3" a="1"/>
  <c r="D193" i="3" s="1"/>
  <c r="H192" i="3" a="1"/>
  <c r="H192" i="3" s="1"/>
  <c r="G192" i="3" a="1"/>
  <c r="G192" i="3" s="1"/>
  <c r="F192" i="3" a="1"/>
  <c r="F192" i="3" s="1"/>
  <c r="E192" i="3" a="1"/>
  <c r="E192" i="3" s="1"/>
  <c r="D192" i="3" a="1"/>
  <c r="D192" i="3" s="1"/>
  <c r="H191" i="3" a="1"/>
  <c r="H191" i="3" s="1"/>
  <c r="G191" i="3" a="1"/>
  <c r="G191" i="3" s="1"/>
  <c r="F191" i="3" a="1"/>
  <c r="F191" i="3" s="1"/>
  <c r="E191" i="3" a="1"/>
  <c r="E191" i="3" s="1"/>
  <c r="D191" i="3" a="1"/>
  <c r="D191" i="3" s="1"/>
  <c r="H190" i="3" a="1"/>
  <c r="H190" i="3" s="1"/>
  <c r="G190" i="3" a="1"/>
  <c r="G190" i="3" s="1"/>
  <c r="F190" i="3" a="1"/>
  <c r="F190" i="3" s="1"/>
  <c r="E190" i="3" a="1"/>
  <c r="E190" i="3" s="1"/>
  <c r="D190" i="3" a="1"/>
  <c r="D190" i="3" s="1"/>
  <c r="H189" i="3" a="1"/>
  <c r="H189" i="3" s="1"/>
  <c r="G189" i="3" a="1"/>
  <c r="G189" i="3" s="1"/>
  <c r="F189" i="3" a="1"/>
  <c r="F189" i="3" s="1"/>
  <c r="E189" i="3" a="1"/>
  <c r="E189" i="3" s="1"/>
  <c r="D189" i="3" a="1"/>
  <c r="D189" i="3" s="1"/>
  <c r="H188" i="3" a="1"/>
  <c r="H188" i="3" s="1"/>
  <c r="G188" i="3" a="1"/>
  <c r="G188" i="3" s="1"/>
  <c r="F188" i="3" a="1"/>
  <c r="F188" i="3" s="1"/>
  <c r="E188" i="3" a="1"/>
  <c r="E188" i="3" s="1"/>
  <c r="D188" i="3" a="1"/>
  <c r="D188" i="3" s="1"/>
  <c r="H187" i="3" a="1"/>
  <c r="H187" i="3" s="1"/>
  <c r="G187" i="3" a="1"/>
  <c r="G187" i="3" s="1"/>
  <c r="F187" i="3" a="1"/>
  <c r="F187" i="3" s="1"/>
  <c r="E187" i="3" a="1"/>
  <c r="E187" i="3" s="1"/>
  <c r="D187" i="3" a="1"/>
  <c r="D187" i="3" s="1"/>
  <c r="D181" i="3" a="1"/>
  <c r="D181" i="3" s="1"/>
  <c r="D180" i="3" a="1"/>
  <c r="D180" i="3" s="1"/>
  <c r="D179" i="3" a="1"/>
  <c r="D179" i="3" s="1"/>
  <c r="D178" i="3" a="1"/>
  <c r="D178" i="3" s="1"/>
  <c r="E175" i="3" a="1"/>
  <c r="E175" i="3" s="1"/>
  <c r="D175" i="3" a="1"/>
  <c r="D175" i="3" s="1"/>
  <c r="D174" i="3" a="1"/>
  <c r="D174" i="3" s="1"/>
  <c r="D173" i="3" a="1"/>
  <c r="D173" i="3" s="1"/>
  <c r="D170" i="3" a="1"/>
  <c r="D170" i="3" s="1"/>
  <c r="D169" i="3" a="1"/>
  <c r="D169" i="3" s="1"/>
  <c r="D168" i="3" a="1"/>
  <c r="D168" i="3" s="1"/>
  <c r="D167" i="3" a="1"/>
  <c r="D167" i="3" s="1"/>
  <c r="D164" i="3" a="1"/>
  <c r="D164" i="3" s="1"/>
  <c r="D163" i="3" a="1"/>
  <c r="D163" i="3" s="1"/>
  <c r="D162" i="3" a="1"/>
  <c r="D162" i="3" s="1"/>
  <c r="D161" i="3" a="1"/>
  <c r="D161" i="3" s="1"/>
  <c r="E158" i="3" a="1"/>
  <c r="E158" i="3" s="1"/>
  <c r="D158" i="3" a="1"/>
  <c r="D158" i="3" s="1"/>
  <c r="E157" i="3" a="1"/>
  <c r="E157" i="3" s="1"/>
  <c r="D157" i="3" a="1"/>
  <c r="D157" i="3" s="1"/>
  <c r="E156" i="3" a="1"/>
  <c r="E156" i="3" s="1"/>
  <c r="D156" i="3" a="1"/>
  <c r="D156" i="3" s="1"/>
  <c r="E155" i="3" a="1"/>
  <c r="E155" i="3" s="1"/>
  <c r="D155" i="3" a="1"/>
  <c r="D155" i="3" s="1"/>
  <c r="E154" i="3" a="1"/>
  <c r="E154" i="3" s="1"/>
  <c r="D154" i="3" a="1"/>
  <c r="D154" i="3" s="1"/>
  <c r="D151" i="3" a="1"/>
  <c r="D151" i="3" s="1"/>
  <c r="D150" i="3" a="1"/>
  <c r="D150" i="3" s="1"/>
  <c r="E147" i="3" a="1"/>
  <c r="E147" i="3" s="1"/>
  <c r="D147" i="3" a="1"/>
  <c r="D147" i="3" s="1"/>
  <c r="E146" i="3" a="1"/>
  <c r="E146" i="3" s="1"/>
  <c r="D146" i="3" a="1"/>
  <c r="D146" i="3" s="1"/>
  <c r="E145" i="3" a="1"/>
  <c r="E145" i="3" s="1"/>
  <c r="D145" i="3" a="1"/>
  <c r="D145" i="3" s="1"/>
  <c r="E144" i="3" a="1"/>
  <c r="E144" i="3" s="1"/>
  <c r="D144" i="3" a="1"/>
  <c r="D144" i="3" s="1"/>
  <c r="E143" i="3" a="1"/>
  <c r="E143" i="3" s="1"/>
  <c r="D143" i="3" a="1"/>
  <c r="D143" i="3" s="1"/>
  <c r="D141" i="3" a="1"/>
  <c r="D141" i="3" s="1"/>
  <c r="D140" i="3" a="1"/>
  <c r="D140" i="3" s="1"/>
  <c r="D139" i="3" a="1"/>
  <c r="D139" i="3" s="1"/>
  <c r="E136" i="3" a="1"/>
  <c r="E136" i="3" s="1"/>
  <c r="D136" i="3" a="1"/>
  <c r="D136" i="3" s="1"/>
  <c r="E135" i="3" a="1"/>
  <c r="E135" i="3" s="1"/>
  <c r="D135" i="3" a="1"/>
  <c r="D135" i="3" s="1"/>
  <c r="D133" i="3" a="1"/>
  <c r="D133" i="3" s="1"/>
  <c r="D132" i="3" a="1"/>
  <c r="D132" i="3" s="1"/>
  <c r="E129" i="3" a="1"/>
  <c r="E129" i="3" s="1"/>
  <c r="D129" i="3" a="1"/>
  <c r="D129" i="3" s="1"/>
  <c r="E128" i="3" a="1"/>
  <c r="E128" i="3" s="1"/>
  <c r="D128" i="3" a="1"/>
  <c r="D128" i="3" s="1"/>
  <c r="D125" i="3" a="1"/>
  <c r="D125" i="3" s="1"/>
  <c r="D124" i="3" a="1"/>
  <c r="D124" i="3" s="1"/>
  <c r="G121" i="3" a="1"/>
  <c r="G121" i="3" s="1"/>
  <c r="F121" i="3" a="1"/>
  <c r="F121" i="3" s="1"/>
  <c r="E121" i="3" a="1"/>
  <c r="E121" i="3" s="1"/>
  <c r="D121" i="3" a="1"/>
  <c r="D121" i="3" s="1"/>
  <c r="G120" i="3" a="1"/>
  <c r="G120" i="3" s="1"/>
  <c r="F120" i="3" a="1"/>
  <c r="F120" i="3" s="1"/>
  <c r="E120" i="3" a="1"/>
  <c r="E120" i="3" s="1"/>
  <c r="D120" i="3" a="1"/>
  <c r="D120" i="3" s="1"/>
  <c r="D117" i="3" a="1"/>
  <c r="D117" i="3" s="1"/>
  <c r="D116" i="3" a="1"/>
  <c r="D116" i="3" s="1"/>
  <c r="D115" i="3" a="1"/>
  <c r="D115" i="3" s="1"/>
  <c r="G112" i="3" a="1"/>
  <c r="G112" i="3" s="1"/>
  <c r="F112" i="3" a="1"/>
  <c r="F112" i="3" s="1"/>
  <c r="E112" i="3" a="1"/>
  <c r="E112" i="3" s="1"/>
  <c r="D112" i="3" a="1"/>
  <c r="D112" i="3" s="1"/>
  <c r="G111" i="3" a="1"/>
  <c r="G111" i="3" s="1"/>
  <c r="F111" i="3" a="1"/>
  <c r="F111" i="3" s="1"/>
  <c r="E111" i="3" a="1"/>
  <c r="E111" i="3" s="1"/>
  <c r="D111" i="3" a="1"/>
  <c r="D111" i="3" s="1"/>
  <c r="G110" i="3" a="1"/>
  <c r="G110" i="3" s="1"/>
  <c r="F110" i="3" a="1"/>
  <c r="F110" i="3" s="1"/>
  <c r="E110" i="3" a="1"/>
  <c r="E110" i="3" s="1"/>
  <c r="D110" i="3" a="1"/>
  <c r="D110" i="3" s="1"/>
  <c r="D107" i="3" a="1"/>
  <c r="D107" i="3" s="1"/>
  <c r="D106" i="3" a="1"/>
  <c r="D106" i="3" s="1"/>
  <c r="D105" i="3" a="1"/>
  <c r="D105" i="3" s="1"/>
  <c r="D98" i="3" a="1"/>
  <c r="D98" i="3" s="1"/>
  <c r="S97" i="3" a="1"/>
  <c r="S97" i="3" s="1"/>
  <c r="R97" i="3" a="1"/>
  <c r="R97" i="3" s="1"/>
  <c r="Q97" i="3" a="1"/>
  <c r="Q97" i="3" s="1"/>
  <c r="P97" i="3" a="1"/>
  <c r="P97" i="3" s="1"/>
  <c r="O97" i="3" a="1"/>
  <c r="O97" i="3" s="1"/>
  <c r="N97" i="3" a="1"/>
  <c r="N97" i="3" s="1"/>
  <c r="M97" i="3" a="1"/>
  <c r="M97" i="3" s="1"/>
  <c r="L97" i="3" a="1"/>
  <c r="L97" i="3" s="1"/>
  <c r="K97" i="3" a="1"/>
  <c r="K97" i="3" s="1"/>
  <c r="J97" i="3" a="1"/>
  <c r="J97" i="3" s="1"/>
  <c r="I97" i="3" a="1"/>
  <c r="I97" i="3" s="1"/>
  <c r="H97" i="3" a="1"/>
  <c r="H97" i="3" s="1"/>
  <c r="G97" i="3" a="1"/>
  <c r="G97" i="3" s="1"/>
  <c r="F97" i="3" a="1"/>
  <c r="F97" i="3" s="1"/>
  <c r="E97" i="3" a="1"/>
  <c r="E97" i="3" s="1"/>
  <c r="D97" i="3" a="1"/>
  <c r="D97" i="3" s="1"/>
  <c r="S96" i="3" a="1"/>
  <c r="S96" i="3" s="1"/>
  <c r="R96" i="3" a="1"/>
  <c r="R96" i="3" s="1"/>
  <c r="Q96" i="3" a="1"/>
  <c r="Q96" i="3" s="1"/>
  <c r="P96" i="3" a="1"/>
  <c r="P96" i="3" s="1"/>
  <c r="O96" i="3" a="1"/>
  <c r="O96" i="3" s="1"/>
  <c r="N96" i="3" a="1"/>
  <c r="N96" i="3" s="1"/>
  <c r="M96" i="3" a="1"/>
  <c r="M96" i="3" s="1"/>
  <c r="L96" i="3" a="1"/>
  <c r="L96" i="3" s="1"/>
  <c r="K96" i="3" a="1"/>
  <c r="K96" i="3" s="1"/>
  <c r="J96" i="3" a="1"/>
  <c r="J96" i="3" s="1"/>
  <c r="I96" i="3" a="1"/>
  <c r="I96" i="3" s="1"/>
  <c r="H96" i="3" a="1"/>
  <c r="H96" i="3" s="1"/>
  <c r="G96" i="3" a="1"/>
  <c r="G96" i="3" s="1"/>
  <c r="F96" i="3" a="1"/>
  <c r="F96" i="3" s="1"/>
  <c r="E96" i="3" a="1"/>
  <c r="E96" i="3" s="1"/>
  <c r="D96" i="3" a="1"/>
  <c r="D96" i="3" s="1"/>
  <c r="S95" i="3" a="1"/>
  <c r="S95" i="3" s="1"/>
  <c r="R95" i="3" a="1"/>
  <c r="R95" i="3" s="1"/>
  <c r="Q95" i="3" a="1"/>
  <c r="Q95" i="3" s="1"/>
  <c r="P95" i="3" a="1"/>
  <c r="P95" i="3" s="1"/>
  <c r="O95" i="3" a="1"/>
  <c r="O95" i="3" s="1"/>
  <c r="N95" i="3" a="1"/>
  <c r="N95" i="3" s="1"/>
  <c r="M95" i="3" a="1"/>
  <c r="M95" i="3" s="1"/>
  <c r="L95" i="3" a="1"/>
  <c r="L95" i="3" s="1"/>
  <c r="K95" i="3" a="1"/>
  <c r="K95" i="3" s="1"/>
  <c r="J95" i="3" a="1"/>
  <c r="J95" i="3" s="1"/>
  <c r="I95" i="3" a="1"/>
  <c r="I95" i="3" s="1"/>
  <c r="H95" i="3" a="1"/>
  <c r="H95" i="3" s="1"/>
  <c r="G95" i="3" a="1"/>
  <c r="G95" i="3" s="1"/>
  <c r="F95" i="3" a="1"/>
  <c r="F95" i="3" s="1"/>
  <c r="E95" i="3" a="1"/>
  <c r="E95" i="3" s="1"/>
  <c r="D95" i="3" a="1"/>
  <c r="D95" i="3" s="1"/>
  <c r="S94" i="3" a="1"/>
  <c r="S94" i="3" s="1"/>
  <c r="R94" i="3" a="1"/>
  <c r="R94" i="3" s="1"/>
  <c r="Q94" i="3" a="1"/>
  <c r="Q94" i="3" s="1"/>
  <c r="P94" i="3" a="1"/>
  <c r="P94" i="3" s="1"/>
  <c r="O94" i="3" a="1"/>
  <c r="O94" i="3" s="1"/>
  <c r="N94" i="3" a="1"/>
  <c r="N94" i="3" s="1"/>
  <c r="M94" i="3" a="1"/>
  <c r="M94" i="3" s="1"/>
  <c r="L94" i="3" a="1"/>
  <c r="L94" i="3" s="1"/>
  <c r="K94" i="3" a="1"/>
  <c r="K94" i="3" s="1"/>
  <c r="J94" i="3" a="1"/>
  <c r="J94" i="3" s="1"/>
  <c r="I94" i="3" a="1"/>
  <c r="I94" i="3" s="1"/>
  <c r="H94" i="3" a="1"/>
  <c r="H94" i="3" s="1"/>
  <c r="G94" i="3" a="1"/>
  <c r="G94" i="3" s="1"/>
  <c r="F94" i="3" a="1"/>
  <c r="F94" i="3" s="1"/>
  <c r="E94" i="3" a="1"/>
  <c r="E94" i="3" s="1"/>
  <c r="D94" i="3" a="1"/>
  <c r="D94" i="3" s="1"/>
  <c r="S93" i="3" a="1"/>
  <c r="S93" i="3" s="1"/>
  <c r="R93" i="3" a="1"/>
  <c r="R93" i="3" s="1"/>
  <c r="Q93" i="3" a="1"/>
  <c r="Q93" i="3" s="1"/>
  <c r="P93" i="3" a="1"/>
  <c r="P93" i="3" s="1"/>
  <c r="O93" i="3" a="1"/>
  <c r="O93" i="3" s="1"/>
  <c r="N93" i="3" a="1"/>
  <c r="N93" i="3" s="1"/>
  <c r="M93" i="3" a="1"/>
  <c r="M93" i="3" s="1"/>
  <c r="L93" i="3" a="1"/>
  <c r="L93" i="3" s="1"/>
  <c r="K93" i="3" a="1"/>
  <c r="K93" i="3" s="1"/>
  <c r="J93" i="3" a="1"/>
  <c r="J93" i="3" s="1"/>
  <c r="I93" i="3" a="1"/>
  <c r="I93" i="3" s="1"/>
  <c r="H93" i="3" a="1"/>
  <c r="H93" i="3" s="1"/>
  <c r="G93" i="3" a="1"/>
  <c r="G93" i="3" s="1"/>
  <c r="F93" i="3" a="1"/>
  <c r="F93" i="3" s="1"/>
  <c r="E93" i="3" a="1"/>
  <c r="E93" i="3" s="1"/>
  <c r="D93" i="3" a="1"/>
  <c r="D93" i="3" s="1"/>
  <c r="S92" i="3" a="1"/>
  <c r="S92" i="3" s="1"/>
  <c r="R92" i="3" a="1"/>
  <c r="R92" i="3" s="1"/>
  <c r="Q92" i="3" a="1"/>
  <c r="Q92" i="3" s="1"/>
  <c r="P92" i="3" a="1"/>
  <c r="P92" i="3" s="1"/>
  <c r="O92" i="3" a="1"/>
  <c r="O92" i="3" s="1"/>
  <c r="N92" i="3" a="1"/>
  <c r="N92" i="3" s="1"/>
  <c r="M92" i="3" a="1"/>
  <c r="M92" i="3" s="1"/>
  <c r="L92" i="3" a="1"/>
  <c r="L92" i="3" s="1"/>
  <c r="K92" i="3" a="1"/>
  <c r="K92" i="3" s="1"/>
  <c r="J92" i="3" a="1"/>
  <c r="J92" i="3" s="1"/>
  <c r="I92" i="3" a="1"/>
  <c r="I92" i="3" s="1"/>
  <c r="H92" i="3" a="1"/>
  <c r="H92" i="3" s="1"/>
  <c r="G92" i="3" a="1"/>
  <c r="G92" i="3" s="1"/>
  <c r="F92" i="3" a="1"/>
  <c r="F92" i="3" s="1"/>
  <c r="E92" i="3" a="1"/>
  <c r="E92" i="3" s="1"/>
  <c r="D92" i="3" a="1"/>
  <c r="D92" i="3" s="1"/>
  <c r="S91" i="3" a="1"/>
  <c r="S91" i="3" s="1"/>
  <c r="R91" i="3" a="1"/>
  <c r="R91" i="3" s="1"/>
  <c r="Q91" i="3" a="1"/>
  <c r="Q91" i="3" s="1"/>
  <c r="P91" i="3" a="1"/>
  <c r="P91" i="3" s="1"/>
  <c r="O91" i="3" a="1"/>
  <c r="O91" i="3" s="1"/>
  <c r="N91" i="3" a="1"/>
  <c r="N91" i="3" s="1"/>
  <c r="M91" i="3" a="1"/>
  <c r="M91" i="3" s="1"/>
  <c r="L91" i="3" a="1"/>
  <c r="L91" i="3" s="1"/>
  <c r="K91" i="3" a="1"/>
  <c r="K91" i="3" s="1"/>
  <c r="J91" i="3" a="1"/>
  <c r="J91" i="3" s="1"/>
  <c r="I91" i="3" a="1"/>
  <c r="I91" i="3" s="1"/>
  <c r="H91" i="3" a="1"/>
  <c r="H91" i="3" s="1"/>
  <c r="G91" i="3" a="1"/>
  <c r="G91" i="3" s="1"/>
  <c r="F91" i="3" a="1"/>
  <c r="F91" i="3" s="1"/>
  <c r="E91" i="3" a="1"/>
  <c r="E91" i="3" s="1"/>
  <c r="D91" i="3" a="1"/>
  <c r="D91" i="3" s="1"/>
  <c r="S90" i="3" a="1"/>
  <c r="S90" i="3" s="1"/>
  <c r="R90" i="3" a="1"/>
  <c r="R90" i="3" s="1"/>
  <c r="Q90" i="3" a="1"/>
  <c r="Q90" i="3" s="1"/>
  <c r="P90" i="3" a="1"/>
  <c r="P90" i="3" s="1"/>
  <c r="O90" i="3" a="1"/>
  <c r="O90" i="3" s="1"/>
  <c r="N90" i="3" a="1"/>
  <c r="N90" i="3" s="1"/>
  <c r="M90" i="3" a="1"/>
  <c r="M90" i="3" s="1"/>
  <c r="L90" i="3" a="1"/>
  <c r="L90" i="3" s="1"/>
  <c r="K90" i="3" a="1"/>
  <c r="K90" i="3" s="1"/>
  <c r="J90" i="3" a="1"/>
  <c r="J90" i="3" s="1"/>
  <c r="I90" i="3" a="1"/>
  <c r="I90" i="3" s="1"/>
  <c r="H90" i="3" a="1"/>
  <c r="H90" i="3" s="1"/>
  <c r="G90" i="3" a="1"/>
  <c r="G90" i="3" s="1"/>
  <c r="F90" i="3" a="1"/>
  <c r="F90" i="3" s="1"/>
  <c r="E90" i="3" a="1"/>
  <c r="E90" i="3" s="1"/>
  <c r="D90" i="3" a="1"/>
  <c r="D90" i="3" s="1"/>
  <c r="D83" i="3" a="1"/>
  <c r="D83" i="3" s="1"/>
  <c r="D82" i="3" a="1"/>
  <c r="D82" i="3" s="1"/>
  <c r="D81" i="3" a="1"/>
  <c r="D81" i="3" s="1"/>
  <c r="E77" i="3" a="1"/>
  <c r="E77" i="3" s="1"/>
  <c r="D77" i="3" a="1"/>
  <c r="D77" i="3" s="1"/>
  <c r="E76" i="3" a="1"/>
  <c r="E76" i="3" s="1"/>
  <c r="D76" i="3" a="1"/>
  <c r="D76" i="3" s="1"/>
  <c r="E75" i="3" a="1"/>
  <c r="E75" i="3" s="1"/>
  <c r="D75" i="3" a="1"/>
  <c r="D75" i="3" s="1"/>
  <c r="E74" i="3" a="1"/>
  <c r="E74" i="3" s="1"/>
  <c r="D74" i="3" a="1"/>
  <c r="D74" i="3" s="1"/>
  <c r="E73" i="3" a="1"/>
  <c r="E73" i="3" s="1"/>
  <c r="D73" i="3" a="1"/>
  <c r="D73" i="3" s="1"/>
  <c r="E72" i="3" a="1"/>
  <c r="E72" i="3" s="1"/>
  <c r="D72" i="3" a="1"/>
  <c r="D72" i="3" s="1"/>
  <c r="E71" i="3" a="1"/>
  <c r="E71" i="3" s="1"/>
  <c r="D71" i="3" a="1"/>
  <c r="D71" i="3" s="1"/>
  <c r="E70" i="3" a="1"/>
  <c r="E70" i="3" s="1"/>
  <c r="D70" i="3" a="1"/>
  <c r="D70" i="3" s="1"/>
  <c r="E69" i="3" a="1"/>
  <c r="E69" i="3" s="1"/>
  <c r="D69" i="3" a="1"/>
  <c r="D69" i="3" s="1"/>
  <c r="E68" i="3" a="1"/>
  <c r="E68" i="3" s="1"/>
  <c r="D68" i="3" a="1"/>
  <c r="D68" i="3" s="1"/>
  <c r="E67" i="3" a="1"/>
  <c r="E67" i="3" s="1"/>
  <c r="D67" i="3" a="1"/>
  <c r="D67" i="3" s="1"/>
  <c r="E66" i="3" a="1"/>
  <c r="E66" i="3" s="1"/>
  <c r="D66" i="3" a="1"/>
  <c r="D66" i="3" s="1"/>
  <c r="E65" i="3" a="1"/>
  <c r="E65" i="3" s="1"/>
  <c r="D65" i="3" a="1"/>
  <c r="D65" i="3" s="1"/>
  <c r="E64" i="3" a="1"/>
  <c r="E64" i="3" s="1"/>
  <c r="D64" i="3" a="1"/>
  <c r="D64" i="3" s="1"/>
  <c r="D59" i="3" a="1"/>
  <c r="D59" i="3" s="1"/>
  <c r="D58" i="3" a="1"/>
  <c r="D58" i="3" s="1"/>
  <c r="D57" i="3" a="1"/>
  <c r="D57" i="3" s="1"/>
  <c r="G54" i="3" a="1"/>
  <c r="G54" i="3" s="1"/>
  <c r="F54" i="3" a="1"/>
  <c r="F54" i="3" s="1"/>
  <c r="E54" i="3" a="1"/>
  <c r="E54" i="3" s="1"/>
  <c r="D54" i="3" a="1"/>
  <c r="D54" i="3" s="1"/>
  <c r="G53" i="3" a="1"/>
  <c r="G53" i="3" s="1"/>
  <c r="F53" i="3" a="1"/>
  <c r="F53" i="3" s="1"/>
  <c r="E53" i="3" a="1"/>
  <c r="E53" i="3" s="1"/>
  <c r="D53" i="3" a="1"/>
  <c r="D53" i="3" s="1"/>
  <c r="G52" i="3" a="1"/>
  <c r="G52" i="3" s="1"/>
  <c r="F52" i="3" a="1"/>
  <c r="F52" i="3" s="1"/>
  <c r="E52" i="3" a="1"/>
  <c r="E52" i="3" s="1"/>
  <c r="D52" i="3" a="1"/>
  <c r="D52" i="3" s="1"/>
  <c r="G51" i="3" a="1"/>
  <c r="G51" i="3" s="1"/>
  <c r="F51" i="3" a="1"/>
  <c r="F51" i="3" s="1"/>
  <c r="E51" i="3" a="1"/>
  <c r="E51" i="3" s="1"/>
  <c r="D51" i="3" a="1"/>
  <c r="D51" i="3" s="1"/>
  <c r="G50" i="3" a="1"/>
  <c r="G50" i="3" s="1"/>
  <c r="F50" i="3" a="1"/>
  <c r="F50" i="3" s="1"/>
  <c r="E50" i="3" a="1"/>
  <c r="E50" i="3" s="1"/>
  <c r="D50" i="3" a="1"/>
  <c r="D50" i="3" s="1"/>
  <c r="G49" i="3" a="1"/>
  <c r="G49" i="3" s="1"/>
  <c r="F49" i="3" a="1"/>
  <c r="F49" i="3" s="1"/>
  <c r="E49" i="3" a="1"/>
  <c r="E49" i="3" s="1"/>
  <c r="D49" i="3" a="1"/>
  <c r="D49" i="3" s="1"/>
  <c r="G48" i="3" a="1"/>
  <c r="G48" i="3" s="1"/>
  <c r="F48" i="3" a="1"/>
  <c r="F48" i="3" s="1"/>
  <c r="E48" i="3" a="1"/>
  <c r="E48" i="3" s="1"/>
  <c r="D48" i="3" a="1"/>
  <c r="D48" i="3" s="1"/>
  <c r="D46" i="3" a="1"/>
  <c r="D46" i="3" s="1"/>
  <c r="D45" i="3" a="1"/>
  <c r="D45" i="3" s="1"/>
  <c r="E43" i="3" a="1"/>
  <c r="E43" i="3" s="1"/>
  <c r="D43" i="3" a="1"/>
  <c r="D43" i="3" s="1"/>
  <c r="E42" i="3" a="1"/>
  <c r="E42" i="3" s="1"/>
  <c r="D42" i="3" a="1"/>
  <c r="D42" i="3" s="1"/>
  <c r="E41" i="3" a="1"/>
  <c r="E41" i="3" s="1"/>
  <c r="D41" i="3" a="1"/>
  <c r="D41" i="3" s="1"/>
  <c r="E40" i="3" a="1"/>
  <c r="E40" i="3" s="1"/>
  <c r="D40" i="3" a="1"/>
  <c r="D40" i="3" s="1"/>
  <c r="E39" i="3" a="1"/>
  <c r="E39" i="3" s="1"/>
  <c r="D39" i="3" a="1"/>
  <c r="D39" i="3" s="1"/>
  <c r="E38" i="3" a="1"/>
  <c r="E38" i="3" s="1"/>
  <c r="D38" i="3" a="1"/>
  <c r="D38" i="3" s="1"/>
  <c r="E37" i="3" a="1"/>
  <c r="E37" i="3" s="1"/>
  <c r="D37" i="3" a="1"/>
  <c r="D37" i="3" s="1"/>
  <c r="D35" i="3" a="1"/>
  <c r="D35" i="3" s="1"/>
  <c r="D34" i="3" a="1"/>
  <c r="D34" i="3" s="1"/>
  <c r="D30" i="3" a="1"/>
  <c r="D30" i="3" s="1"/>
  <c r="D29" i="3" a="1"/>
  <c r="D29" i="3" s="1"/>
  <c r="D28" i="3" a="1"/>
  <c r="D28" i="3" s="1"/>
  <c r="D27" i="3" a="1"/>
  <c r="D27" i="3" s="1"/>
  <c r="D26" i="3" a="1"/>
  <c r="D26" i="3" s="1"/>
  <c r="D25" i="3" a="1"/>
  <c r="D25" i="3" s="1"/>
  <c r="D24" i="3" a="1"/>
  <c r="D24" i="3" s="1"/>
  <c r="D23" i="3" a="1"/>
  <c r="D23" i="3" s="1"/>
  <c r="D22" i="3" a="1"/>
  <c r="D22" i="3" s="1"/>
  <c r="D21" i="3" a="1"/>
  <c r="D21" i="3" s="1"/>
  <c r="D19" i="3" a="1"/>
  <c r="D19" i="3" s="1"/>
  <c r="D18" i="3" a="1"/>
  <c r="D18" i="3" s="1"/>
  <c r="F14" i="3" a="1"/>
  <c r="F14" i="3" s="1"/>
  <c r="E14" i="3" a="1"/>
  <c r="E14" i="3" s="1"/>
  <c r="D14" i="3" a="1"/>
  <c r="D14" i="3" s="1"/>
  <c r="F13" i="3" a="1"/>
  <c r="F13" i="3" s="1"/>
  <c r="E13" i="3" a="1"/>
  <c r="E13" i="3" s="1"/>
  <c r="D13" i="3" a="1"/>
  <c r="D13" i="3" s="1"/>
  <c r="F12" i="3" a="1"/>
  <c r="F12" i="3" s="1"/>
  <c r="E12" i="3" a="1"/>
  <c r="E12" i="3" s="1"/>
  <c r="D12" i="3" a="1"/>
  <c r="D12" i="3" s="1"/>
  <c r="F11" i="3" a="1"/>
  <c r="F11" i="3" s="1"/>
  <c r="E11" i="3" a="1"/>
  <c r="E11" i="3" s="1"/>
  <c r="D11" i="3" a="1"/>
  <c r="D11" i="3" s="1"/>
  <c r="F10" i="3" a="1"/>
  <c r="F10" i="3" s="1"/>
  <c r="E10" i="3" a="1"/>
  <c r="E10" i="3" s="1"/>
  <c r="D10" i="3" a="1"/>
  <c r="D10" i="3" s="1"/>
  <c r="F9" i="3" a="1"/>
  <c r="F9" i="3" s="1"/>
  <c r="E9" i="3" a="1"/>
  <c r="E9" i="3" s="1"/>
  <c r="D9" i="3" a="1"/>
  <c r="D9" i="3" s="1"/>
  <c r="F8" i="3" a="1"/>
  <c r="F8" i="3" s="1"/>
  <c r="E8" i="3" a="1"/>
  <c r="E8" i="3" s="1"/>
  <c r="D8" i="3" a="1"/>
  <c r="D8" i="3" s="1"/>
  <c r="F7" i="3" a="1"/>
  <c r="F7" i="3" s="1"/>
  <c r="E7" i="3" a="1"/>
  <c r="E7" i="3" s="1"/>
  <c r="D7" i="3" a="1"/>
  <c r="D7" i="3" s="1"/>
  <c r="D5" i="3" a="1"/>
  <c r="D5" i="3" s="1"/>
  <c r="D8" i="22" l="1"/>
  <c r="G8" i="23"/>
  <c r="D9" i="22"/>
  <c r="G9" i="23"/>
  <c r="E19" i="1"/>
  <c r="E14" i="1"/>
  <c r="E7" i="1"/>
  <c r="E18" i="1"/>
  <c r="E6" i="1"/>
  <c r="H54" i="3"/>
  <c r="H52" i="3"/>
  <c r="H48" i="3"/>
  <c r="H50" i="3"/>
  <c r="H53" i="3"/>
  <c r="H51" i="3"/>
  <c r="H49"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<sst xmlns="http://schemas.openxmlformats.org/spreadsheetml/2006/main" count="1749" uniqueCount="736">
  <si>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</si>
  <si>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</si>
  <si>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</si>
  <si>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</si>
  <si>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</si>
  <si>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</si>
  <si>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</si>
  <si>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</si>
  <si>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</si>
  <si>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</si>
  <si>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</si>
  <si>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</si>
  <si>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</si>
  <si>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</si>
  <si>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</si>
  <si>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</si>
  <si>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</si>
  <si>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</si>
  <si>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</si>
  <si>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</si>
  <si>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</si>
  <si>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</si>
  <si>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</si>
  <si>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</si>
  <si>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</si>
  <si>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</si>
  <si>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</si>
  <si>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</si>
  <si>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</si>
  <si>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</si>
  <si>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</si>
  <si>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</si>
  <si>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</si>
  <si>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</si>
  <si>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</si>
  <si>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</si>
  <si>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</si>
  <si>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</si>
  <si>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</si>
  <si>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</si>
  <si>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</si>
  <si>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</si>
  <si>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</si>
  <si>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</si>
  <si>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</si>
  <si>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</si>
  <si>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</si>
  <si>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</si>
  <si>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</si>
  <si>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</si>
  <si>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</si>
  <si>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</si>
  <si>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</si>
  <si>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</si>
  <si>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</si>
  <si>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</si>
  <si>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</si>
  <si>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</si>
  <si>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</si>
  <si>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</si>
  <si>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</si>
  <si>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</si>
  <si>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</si>
  <si>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</si>
  <si>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</si>
  <si>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</si>
  <si>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</si>
  <si>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</si>
  <si>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</si>
  <si>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</si>
  <si>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</si>
  <si>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</si>
  <si>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</si>
  <si>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</si>
  <si>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</si>
  <si>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</si>
  <si>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</si>
  <si>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</si>
  <si>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</si>
  <si>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</si>
  <si>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</si>
  <si>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</si>
  <si>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</si>
  <si>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</si>
  <si>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</si>
  <si>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</si>
  <si>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</si>
  <si>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Scope 3 Emission Factors for Natural Gas (kg CO2 - e / GJ) Metro</t>
  </si>
  <si>
    <t>Scope 3 Emission Factors for Natural Gas (kg CO2 - e / GJ) Non - Metro</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</si>
  <si>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</si>
  <si>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</si>
  <si>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</si>
  <si>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</si>
  <si>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</si>
  <si>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</si>
  <si>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</si>
  <si>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</si>
  <si>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</si>
  <si>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</si>
  <si>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</si>
  <si>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</si>
  <si>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</si>
  <si>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</si>
  <si>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</si>
  <si>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</si>
  <si>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</si>
  <si>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</si>
  <si>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</si>
  <si>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</si>
  <si>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</si>
  <si>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</si>
  <si>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</si>
  <si>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</si>
  <si>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</si>
  <si>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</si>
  <si>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</si>
  <si>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</si>
  <si>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</si>
  <si>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</si>
  <si>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</si>
  <si>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</si>
  <si>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</si>
  <si>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</si>
  <si>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</si>
  <si>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</si>
  <si>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</si>
  <si>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</si>
  <si>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</si>
  <si>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</si>
  <si>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</si>
  <si>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</si>
  <si>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</si>
  <si>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</si>
  <si>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</si>
  <si>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</si>
  <si>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</si>
  <si>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</si>
  <si>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</si>
  <si>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</si>
  <si>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</si>
  <si>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</si>
  <si>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</si>
  <si>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</si>
  <si>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</si>
  <si>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</si>
  <si>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</si>
  <si>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</si>
  <si>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</si>
  <si>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</si>
  <si>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</si>
  <si>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</si>
  <si>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</si>
  <si>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</si>
  <si>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</si>
  <si>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</si>
  <si>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</si>
  <si>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</si>
  <si>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</si>
  <si>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</si>
  <si>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</si>
  <si>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</si>
  <si>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</si>
  <si>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</si>
  <si>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</si>
  <si>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</si>
  <si>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</si>
  <si>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</si>
  <si>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</si>
  <si>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</si>
  <si>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</si>
  <si>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</si>
  <si>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</si>
  <si>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</si>
  <si>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</si>
  <si>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</si>
  <si>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</si>
  <si>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</si>
  <si>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</si>
  <si>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</si>
  <si>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</si>
  <si>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</si>
  <si>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</si>
  <si>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</si>
  <si>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</si>
  <si>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</si>
  <si>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</si>
  <si>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</si>
  <si>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</si>
  <si>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</si>
  <si>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</si>
  <si>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</si>
  <si>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</si>
  <si>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</si>
  <si>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</si>
  <si>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</si>
  <si>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</si>
  <si>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</si>
  <si>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</si>
  <si>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</si>
  <si>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</si>
  <si>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</si>
  <si>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</si>
  <si>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</si>
  <si>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</si>
  <si>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</si>
  <si>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</si>
  <si>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</si>
  <si>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(kg / ha)</t>
    </r>
  </si>
  <si>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</si>
  <si>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</si>
  <si>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</si>
  <si>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</si>
  <si>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</si>
  <si>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</si>
  <si>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</si>
  <si>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</si>
  <si>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</si>
  <si>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</si>
  <si>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</si>
  <si>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</si>
  <si>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</si>
  <si>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</si>
  <si>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</si>
  <si>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</si>
  <si>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</si>
  <si>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</si>
  <si>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</si>
  <si>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</si>
  <si>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</si>
  <si>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</si>
  <si>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Organic fertiliser applied</t>
  </si>
  <si>
    <t>Organic fertiliser type (select)</t>
  </si>
  <si>
    <t>Percentage of N in fertiliser</t>
  </si>
  <si>
    <t>Amount applied (kg/hectare)</t>
  </si>
  <si>
    <t>Amount N applied (kg/hectare)</t>
  </si>
  <si>
    <t>Total organic fertliser applied</t>
  </si>
  <si>
    <t>Total nitrogen applied (kg)</t>
  </si>
  <si>
    <r>
      <t>TM</t>
    </r>
    <r>
      <rPr>
        <b/>
        <vertAlign val="subscript"/>
        <sz val="11"/>
        <color rgb="FF533001"/>
        <rFont val="Times New Roman"/>
        <family val="1"/>
      </rPr>
      <t>jf</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</si>
  <si>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</si>
  <si>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</si>
  <si>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</si>
  <si>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</si>
  <si>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</si>
  <si>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</si>
  <si>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</si>
  <si>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</si>
  <si>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</si>
  <si>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</si>
  <si>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</si>
  <si>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</si>
  <si>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</si>
  <si>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</si>
  <si>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</si>
  <si>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</si>
  <si>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</si>
  <si>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</si>
  <si>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</si>
  <si>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</si>
  <si>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</si>
  <si>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</si>
  <si>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</si>
  <si>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</si>
  <si>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</si>
  <si>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</si>
  <si>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</si>
  <si>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</si>
  <si>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</si>
  <si>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</si>
  <si>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</si>
  <si>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</si>
  <si>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</si>
  <si>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</si>
  <si>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</si>
  <si>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</si>
  <si>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</si>
  <si>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</si>
  <si>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</si>
  <si>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</si>
  <si>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</si>
  <si>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</si>
  <si>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</si>
  <si>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</si>
  <si>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</si>
  <si>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</si>
  <si>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</si>
  <si>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</si>
  <si>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</si>
  <si>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</si>
  <si>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</si>
  <si>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</si>
  <si>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</si>
  <si>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</si>
  <si>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</si>
  <si>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</si>
  <si>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Fuel</t>
  </si>
  <si>
    <t>Fertiliser</t>
  </si>
  <si>
    <t>Electricity</t>
  </si>
  <si>
    <t>Amount purchased from grid</t>
  </si>
  <si>
    <t>Grid</t>
  </si>
  <si>
    <t>Home</t>
  </si>
  <si>
    <t>Chemical compound</t>
  </si>
  <si>
    <t>Quantity</t>
  </si>
  <si>
    <t>Quantity Unit</t>
  </si>
  <si>
    <t>AusLCI Emissions intensity</t>
  </si>
  <si>
    <t>Waste</t>
  </si>
  <si>
    <t>Freight and transport</t>
  </si>
  <si>
    <t>N2O MMS</t>
  </si>
  <si>
    <t>Enteric methane</t>
  </si>
  <si>
    <t>Sources &amp; acknowledgements</t>
  </si>
  <si>
    <t>Livestock class</t>
  </si>
  <si>
    <t>Type</t>
  </si>
  <si>
    <t>Input - Other farm inputs</t>
  </si>
  <si>
    <t>Packaging name</t>
  </si>
  <si>
    <t>Quantity purchased</t>
  </si>
  <si>
    <t>Cleaning chemicals</t>
  </si>
  <si>
    <t>White king</t>
  </si>
  <si>
    <t>Bleach</t>
  </si>
  <si>
    <t>Input - Purchased feed - Livestock</t>
  </si>
  <si>
    <t>Supplemental feed</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</si>
  <si>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</si>
  <si>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</si>
  <si>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</si>
  <si>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</si>
  <si>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</si>
  <si>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</si>
  <si>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</si>
  <si>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</si>
  <si>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</si>
  <si>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</si>
  <si>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</si>
  <si>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</si>
  <si>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</si>
  <si>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</si>
  <si>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</si>
  <si>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</si>
  <si>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</si>
  <si>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</si>
  <si>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</si>
  <si>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</si>
  <si>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</si>
  <si>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</si>
  <si>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</si>
  <si>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</si>
  <si>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</si>
  <si>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</si>
  <si>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</si>
  <si>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</si>
  <si>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</si>
  <si>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</si>
  <si>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</si>
  <si>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</si>
  <si>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</si>
  <si>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</si>
  <si>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</si>
  <si>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</si>
  <si>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</si>
  <si>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</si>
  <si>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</si>
  <si>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</si>
  <si>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</si>
  <si>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</si>
  <si>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</si>
  <si>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</si>
  <si>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</si>
  <si>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</si>
  <si>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</si>
  <si>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</si>
  <si>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</si>
  <si>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</si>
  <si>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</si>
  <si>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</si>
  <si>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</si>
  <si>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</si>
  <si>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</si>
  <si>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</si>
  <si>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</si>
  <si>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</si>
  <si>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</si>
  <si>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</si>
  <si>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</si>
  <si>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</si>
  <si>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</si>
  <si>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</si>
  <si>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Scope 3 (Method 1)</t>
  </si>
  <si>
    <t>Scope 3 (Method 2)</t>
  </si>
  <si>
    <t>Boost-It</t>
  </si>
  <si>
    <t>Emissions intensity (Method 1)</t>
  </si>
  <si>
    <t>Total amount (kg)</t>
  </si>
  <si>
    <t>Transaction name</t>
  </si>
  <si>
    <t>Emissions intensity (Method 2)</t>
  </si>
  <si>
    <t>Fertiliser custom blends - chemical compounds</t>
  </si>
  <si>
    <t>Method 2 EF</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</si>
  <si>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</si>
  <si>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</si>
  <si>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</si>
  <si>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</si>
  <si>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</si>
  <si>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</si>
  <si>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</si>
  <si>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</si>
  <si>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</si>
  <si>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</si>
  <si>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</si>
  <si>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Scope 3 emissions are calculated on a maximum of 10 chemical purchases</t>
  </si>
  <si>
    <t>Pharmacy chemicals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</si>
  <si>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</si>
  <si>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</si>
  <si>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</si>
  <si>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</si>
  <si>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</si>
  <si>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</si>
  <si>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</si>
  <si>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</si>
  <si>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</si>
  <si>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</si>
  <si>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</si>
  <si>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</si>
  <si>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</si>
  <si>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</si>
  <si>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</si>
  <si>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</si>
  <si>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</si>
  <si>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</si>
  <si>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Maize grain</t>
  </si>
  <si>
    <t>TAS</t>
  </si>
  <si>
    <t>Oaten hay</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</si>
  <si>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</si>
  <si>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</si>
  <si>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</si>
  <si>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</si>
  <si>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</si>
  <si>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</si>
  <si>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</si>
  <si>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</si>
  <si>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</si>
  <si>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</si>
  <si>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</si>
  <si>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</si>
  <si>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</si>
  <si>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</si>
  <si>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</si>
  <si>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</si>
  <si>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</si>
  <si>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</si>
  <si>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</si>
  <si>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</si>
  <si>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</si>
  <si>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Packaging materials</t>
  </si>
  <si>
    <t>Scope 3 emissions are calculated on a maximum of 10 packaging purchases</t>
  </si>
  <si>
    <t>Scope 3 emissions are calculated on a maximum of 10 soil ameliorant purchases</t>
  </si>
  <si>
    <t>Percent lime</t>
  </si>
  <si>
    <t>Percent dolomite</t>
  </si>
  <si>
    <t>Percent gypsum</t>
  </si>
  <si>
    <t>Gypsum emissions intensity</t>
  </si>
  <si>
    <t>Dolomite emissions intensity</t>
  </si>
  <si>
    <t>Lime emissions intensity</t>
  </si>
  <si>
    <t>Method 1</t>
  </si>
  <si>
    <t>Method 2</t>
  </si>
  <si>
    <t>Seed</t>
  </si>
  <si>
    <t>Pesticides (generic)</t>
  </si>
  <si>
    <t>grams/litre or grams/kg</t>
  </si>
  <si>
    <t>kg / hectare</t>
  </si>
  <si>
    <t>Ingredient 1 EF (Method 1)</t>
  </si>
  <si>
    <t>Product EF (Method 1)</t>
  </si>
  <si>
    <t>Product EF (Method 2)</t>
  </si>
  <si>
    <t>Ingredient 1 amount (kg)</t>
  </si>
  <si>
    <t>Ingredient 2 EF (Method 1)</t>
  </si>
  <si>
    <t>Ingredient 3 EF (Method 1)</t>
  </si>
  <si>
    <t>Scope 3 emissions are calculated on a maximum of 10 pesticide purchases</t>
  </si>
  <si>
    <t>Ingredient 2 amount (kg)</t>
  </si>
  <si>
    <t>Ingredient 3 amount (kg)</t>
  </si>
  <si>
    <t>The method 1 product EF is calculated by multiplying the EF of each ingredient by the amount of  ingredient applied, adding all ingredients together then dividing the result by the total amount of product applied. This is to allow for comparison with a method 2 product EF that might be provided by the supplier.</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</si>
  <si>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</si>
  <si>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</si>
  <si>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</si>
  <si>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</si>
  <si>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</si>
  <si>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</si>
  <si>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</si>
  <si>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</si>
  <si>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</si>
  <si>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</si>
  <si>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</si>
  <si>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</si>
  <si>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</si>
  <si>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</si>
  <si>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</si>
  <si>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</si>
  <si>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</si>
  <si>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</si>
  <si>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</si>
  <si>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</si>
  <si>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</si>
  <si>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</si>
  <si>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</si>
  <si>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</si>
  <si>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</si>
  <si>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</si>
  <si>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</si>
  <si>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</si>
  <si>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</si>
  <si>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</si>
  <si>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</si>
  <si>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</si>
  <si>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</si>
  <si>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</si>
  <si>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</si>
  <si>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</si>
  <si>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</si>
  <si>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</si>
  <si>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</si>
  <si>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</si>
  <si>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</si>
  <si>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</si>
  <si>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</si>
  <si>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</si>
  <si>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</si>
  <si>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</si>
  <si>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</si>
  <si>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</si>
  <si>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</si>
  <si>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</si>
  <si>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</si>
  <si>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</si>
  <si>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</si>
  <si>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</si>
  <si>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</si>
  <si>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</si>
  <si>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</si>
  <si>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</si>
  <si>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</si>
  <si>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</si>
  <si>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</si>
  <si>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</si>
  <si>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</si>
  <si>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</si>
  <si>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</si>
  <si>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</si>
  <si>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</si>
  <si>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</si>
  <si>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</si>
  <si>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</si>
  <si>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</si>
  <si>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</si>
  <si>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</si>
  <si>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</si>
  <si>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</si>
  <si>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</si>
  <si>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</si>
  <si>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</si>
  <si>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</si>
  <si>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</si>
  <si>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</si>
  <si>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</si>
  <si>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</si>
  <si>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</si>
  <si>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</si>
  <si>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</si>
  <si>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</si>
  <si>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</si>
  <si>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</si>
  <si>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</si>
  <si>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</si>
  <si>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</si>
  <si>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</si>
  <si>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</si>
  <si>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</si>
  <si>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</si>
  <si>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</si>
  <si>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Friesian crossbred</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</si>
  <si>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</si>
  <si>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</si>
  <si>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</si>
  <si>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</si>
  <si>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</si>
  <si>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</si>
  <si>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</si>
  <si>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</si>
  <si>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</si>
  <si>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</si>
  <si>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</si>
  <si>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</si>
  <si>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</si>
  <si>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</si>
  <si>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</si>
  <si>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</si>
  <si>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</si>
  <si>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</si>
  <si>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</si>
  <si>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</si>
  <si>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</si>
  <si>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</si>
  <si>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</si>
  <si>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</si>
  <si>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</si>
  <si>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</si>
  <si>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</si>
  <si>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</si>
  <si>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</si>
  <si>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Holstein-Friesian</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</si>
  <si>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</si>
  <si>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</si>
  <si>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</si>
  <si>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</si>
  <si>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</si>
  <si>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</si>
  <si>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</si>
  <si>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</si>
  <si>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</si>
  <si>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</si>
  <si>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</si>
  <si>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</si>
  <si>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</si>
  <si>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</si>
  <si>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</si>
  <si>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</si>
  <si>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</si>
  <si>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</si>
  <si>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</si>
  <si>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</si>
  <si>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</si>
  <si>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</si>
  <si>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</si>
  <si>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Slaughter pigs</t>
  </si>
  <si>
    <t>Swine from Samantha</t>
  </si>
  <si>
    <r>
      <t xml:space="preserve">If using an EI value from the manufacturer, make sure theirs is derived from the active ingredients </t>
    </r>
    <r>
      <rPr>
        <b/>
        <sz val="12"/>
        <color theme="1" tint="0.24994659260841701"/>
        <rFont val="Times New Roman"/>
        <family val="1"/>
      </rPr>
      <t>only</t>
    </r>
    <r>
      <rPr>
        <sz val="12"/>
        <color theme="1" tint="0.24994659260841701"/>
        <rFont val="Times New Roman"/>
        <family val="1"/>
      </rPr>
      <t xml:space="preserve"> to ensure a valid comparison with method 1 EI</t>
    </r>
  </si>
  <si>
    <t>The method 1 product EF is calculated by multiplying the EI of each ingredient by the fraction of that ingredient in the product, then adding them all together. This is to allow for comparison with a method 2 product EI that might be provided by the supplier.</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</si>
  <si>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</si>
  <si>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</si>
  <si>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</si>
  <si>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</si>
  <si>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</si>
  <si>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</si>
  <si>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</si>
  <si>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</si>
  <si>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</si>
  <si>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</si>
  <si>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</si>
  <si>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</si>
  <si>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</si>
  <si>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</si>
  <si>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</si>
  <si>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</si>
  <si>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</si>
  <si>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</si>
  <si>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</si>
  <si>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</si>
  <si>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</si>
  <si>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</si>
  <si>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</si>
  <si>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</si>
  <si>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</si>
  <si>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</si>
  <si>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</si>
  <si>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</si>
  <si>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</si>
  <si>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</si>
  <si>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</si>
  <si>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</si>
  <si>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Percent of packaging that is primary material</t>
  </si>
  <si>
    <t>Amount</t>
  </si>
  <si>
    <t>Product / service name</t>
  </si>
  <si>
    <t>Total weight purchased (kg)</t>
  </si>
  <si>
    <t>Verified credential matching ISO14067</t>
  </si>
  <si>
    <t>Denise did a full LCA</t>
  </si>
  <si>
    <t>http://denisesdairy.com/LCA2024.pdf</t>
  </si>
  <si>
    <t>N/A</t>
  </si>
  <si>
    <t>Variation: Packaging materials are calculated by weight due to EI unit being kg CO2e/kg material</t>
  </si>
  <si>
    <t>Uncategorised products</t>
  </si>
  <si>
    <t>Services and contractors</t>
  </si>
  <si>
    <t>Service provider / contractor</t>
  </si>
  <si>
    <t>Pete's Pickers</t>
  </si>
  <si>
    <t>Fruit picking</t>
  </si>
  <si>
    <t>Harini's Harvesting Services Pty Ltd</t>
  </si>
  <si>
    <t>Grow media</t>
  </si>
  <si>
    <t>Sheep</t>
  </si>
  <si>
    <t>Total amount</t>
  </si>
  <si>
    <t>Scope 3 unit</t>
  </si>
  <si>
    <t>Hour</t>
  </si>
  <si>
    <t>Hectare</t>
  </si>
  <si>
    <t>Wheat harvesting</t>
  </si>
  <si>
    <t>Soil ameliorants (Lime)</t>
  </si>
  <si>
    <t>Ingredient 6 EF (Method 1)</t>
  </si>
  <si>
    <t>Ingredient 5 EF (Method 1)</t>
  </si>
  <si>
    <t>Ingredient 4 EF (Method 1)</t>
  </si>
  <si>
    <t>Ingredient 1 EI (Method 2)</t>
  </si>
  <si>
    <t>Ingredient 2 EI (Method 2)</t>
  </si>
  <si>
    <t>Ingredient 6 EI (Method 2)</t>
  </si>
  <si>
    <t>Ingredient 5 EI (Method 2)</t>
  </si>
  <si>
    <t>Ingredient 4 EI (Method 2)</t>
  </si>
  <si>
    <t>Ingredient 3 EI (Method 2)</t>
  </si>
  <si>
    <t>EI - Product (Method 1)</t>
  </si>
  <si>
    <t>Activity</t>
  </si>
  <si>
    <t>Purchased feed blends</t>
  </si>
  <si>
    <t>ALERT: There is currently no scope 3 emissions intensity (EI) data for services and contractors IN AUSLCIXXXXX. You will need to scope 3 data from an alternative source.</t>
  </si>
  <si>
    <t>Large Friesian</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</si>
  <si>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</si>
  <si>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</si>
  <si>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</si>
  <si>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</si>
  <si>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</si>
  <si>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</si>
  <si>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</si>
  <si>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</si>
  <si>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</si>
  <si>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</si>
  <si>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</si>
  <si>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</si>
  <si>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</si>
  <si>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</si>
  <si>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</si>
  <si>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</si>
  <si>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</si>
  <si>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</si>
  <si>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</si>
  <si>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</si>
  <si>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</si>
  <si>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</si>
  <si>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</si>
  <si>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</si>
  <si>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</si>
  <si>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</si>
  <si>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</si>
  <si>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</si>
  <si>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</si>
  <si>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</si>
  <si>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</si>
  <si>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</si>
  <si>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EI - Product (Method 2)</t>
  </si>
  <si>
    <t>E - Fertiliser components (Method 1)</t>
  </si>
  <si>
    <t>E- Product (Method 1)</t>
  </si>
  <si>
    <t>E- Product (Method 2)</t>
  </si>
  <si>
    <t>E - Fertiliser components (Method 2)</t>
  </si>
  <si>
    <t>Fertiliser custom blends</t>
  </si>
  <si>
    <t>EF - Product (Method 1)</t>
  </si>
  <si>
    <t>EF - Product (Method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</si>
</sst>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d/mm/yyyy;@"/>
    <numFmt numFmtId="165" formatCode="[$-C09]d\ mmmm\ yyyy;@"/>
    <numFmt numFmtId="166" formatCode="[$-C09]dd\-mmmm\-yyyy;@"/>
    <numFmt numFmtId="167" formatCode="0.000"/>
    <numFmt numFmtId="168" formatCode="_-* #,##0_-;\-* #,##0_-;_-* &quot;-&quot;??_-;_-@_-"/>
  </numFmts>
  <fonts count="68"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b/>
      <sz val="11"/>
      <color rgb="FF183C1B"/>
      <name val="Aptos Narrow"/>
      <family val="1"/>
      <scheme val="minor"/>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s>
  <fills count="16">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rgb="FFDCECD0"/>
        <bgColor indexed="64"/>
      </patternFill>
    </fill>
    <fill>
      <patternFill patternType="solid">
        <fgColor rgb="FFFFEBC1"/>
        <bgColor indexed="64"/>
      </patternFill>
    </fill>
  </fills>
  <borders count="2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s>
  <cellStyleXfs count="53">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3" fillId="2" borderId="0">
      <alignment horizontal="left" vertical="center"/>
    </xf>
    <xf numFmtId="0" fontId="23" fillId="10" borderId="0">
      <alignment horizontal="left" vertical="center" indent="1"/>
    </xf>
    <xf numFmtId="0" fontId="24" fillId="2" borderId="1">
      <alignment horizontal="left" vertical="center"/>
    </xf>
    <xf numFmtId="0" fontId="58" fillId="15" borderId="1">
      <alignment horizontal="center" vertical="center"/>
    </xf>
    <xf numFmtId="0" fontId="59" fillId="14" borderId="1">
      <alignment horizontal="center" vertical="center"/>
    </xf>
    <xf numFmtId="0" fontId="60" fillId="2" borderId="1">
      <alignment horizontal="left" vertical="center"/>
    </xf>
    <xf numFmtId="0" fontId="63" fillId="2" borderId="0">
      <alignment horizontal="left" vertical="center"/>
    </xf>
  </cellStyleXfs>
  <cellXfs count="195">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3" fillId="0" borderId="0" xfId="3" applyAlignment="1" applyProtection="1">
      <alignment horizontal="center" vertical="center" wrapText="1"/>
      <protection locked="0"/>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0" fillId="0" borderId="0" xfId="21"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0" fontId="31" fillId="2" borderId="0" xfId="27">
      <alignment horizontal="center"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4" fontId="0" fillId="0" borderId="0" xfId="0" applyNumberFormat="1"/>
    <xf numFmtId="0" fontId="11" fillId="0" borderId="0" xfId="4" applyFont="1" applyFill="1" applyAlignment="1">
      <alignment horizontal="left" vertical="center" indent="1"/>
    </xf>
    <xf numFmtId="0" fontId="12" fillId="0" borderId="0" xfId="3" applyFont="1"/>
    <xf numFmtId="0" fontId="0" fillId="0" borderId="0" xfId="35" applyFont="1" applyBorder="1">
      <alignment horizontal="center" vertical="center"/>
    </xf>
    <xf numFmtId="0" fontId="5" fillId="0" borderId="0" xfId="15" applyFill="1">
      <alignment vertical="center"/>
    </xf>
    <xf numFmtId="0" fontId="53" fillId="2" borderId="0" xfId="46">
      <alignment horizontal="left" vertical="center"/>
    </xf>
    <xf numFmtId="0" fontId="34" fillId="2" borderId="0" xfId="3" applyFont="1" applyFill="1" applyAlignment="1" applyProtection="1">
      <alignment horizontal="center"/>
      <protection locked="0"/>
    </xf>
    <xf numFmtId="0" fontId="5" fillId="2" borderId="0" xfId="15" applyFill="1">
      <alignment vertical="center"/>
    </xf>
    <xf numFmtId="0" fontId="0" fillId="0" borderId="0" xfId="32" applyNumberFormat="1" applyFont="1" applyBorder="1">
      <alignment horizontal="center" vertical="center"/>
    </xf>
    <xf numFmtId="0" fontId="47" fillId="2" borderId="0" xfId="4" applyFont="1">
      <alignment horizontal="left" vertical="center"/>
    </xf>
    <xf numFmtId="0" fontId="0" fillId="2" borderId="0" xfId="0" applyFill="1"/>
    <xf numFmtId="4" fontId="39" fillId="0" borderId="1" xfId="32" applyFont="1" applyAlignment="1">
      <alignment horizontal="center" vertical="center" wrapText="1"/>
    </xf>
    <xf numFmtId="0" fontId="52" fillId="4" borderId="0" xfId="44" applyFont="1" applyProtection="1">
      <alignment horizontal="left" vertical="center" indent="1"/>
    </xf>
    <xf numFmtId="0" fontId="4" fillId="11" borderId="21" xfId="19" applyBorder="1">
      <alignment horizontal="center" vertical="center"/>
    </xf>
    <xf numFmtId="0" fontId="11" fillId="0" borderId="21" xfId="30" applyBorder="1">
      <alignment horizontal="center" vertical="center"/>
    </xf>
    <xf numFmtId="0" fontId="56" fillId="2" borderId="1" xfId="20" applyFont="1">
      <alignment horizontal="center" vertical="center"/>
    </xf>
    <xf numFmtId="0" fontId="54" fillId="10" borderId="0" xfId="6" applyFont="1" applyFill="1">
      <alignment horizontal="left" vertical="center"/>
    </xf>
    <xf numFmtId="0" fontId="54"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7" fillId="4" borderId="0" xfId="6" applyFont="1" applyFill="1">
      <alignment horizontal="left" vertical="center"/>
    </xf>
    <xf numFmtId="0" fontId="11" fillId="0" borderId="1" xfId="35" applyFill="1">
      <alignment horizontal="center" vertical="center"/>
    </xf>
    <xf numFmtId="0" fontId="11" fillId="0" borderId="1" xfId="30" applyFill="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NumberFormat="1" applyFont="1" applyFill="1" applyBorder="1" applyAlignment="1" applyProtection="1">
      <alignment horizontal="center" vertical="center"/>
    </xf>
    <xf numFmtId="0" fontId="0" fillId="0" borderId="0" xfId="0" applyFill="1"/>
    <xf numFmtId="0" fontId="11" fillId="0" borderId="1" xfId="30" applyFill="1" applyBorder="1">
      <alignment horizontal="center" vertical="center"/>
    </xf>
    <xf numFmtId="0" fontId="0" fillId="0" borderId="1" xfId="30" applyFont="1" applyFill="1">
      <alignment horizontal="center" vertical="center"/>
    </xf>
    <xf numFmtId="9" fontId="11" fillId="0" borderId="1" xfId="21" applyFill="1">
      <alignment horizontal="center" vertical="center"/>
    </xf>
    <xf numFmtId="0" fontId="4" fillId="11" borderId="1" xfId="19" applyBorder="1">
      <alignment horizontal="center" vertical="center"/>
    </xf>
    <xf numFmtId="0" fontId="24" fillId="2" borderId="22" xfId="48" applyBorder="1">
      <alignment horizontal="left" vertical="center"/>
    </xf>
    <xf numFmtId="0" fontId="24" fillId="2" borderId="1" xfId="48">
      <alignment horizontal="left" vertical="center"/>
    </xf>
    <xf numFmtId="0" fontId="58" fillId="15" borderId="1" xfId="49">
      <alignment horizontal="center" vertical="center"/>
    </xf>
    <xf numFmtId="0" fontId="59" fillId="14" borderId="1" xfId="50">
      <alignment horizontal="center" vertical="center"/>
    </xf>
    <xf numFmtId="0" fontId="24" fillId="2" borderId="23" xfId="48" applyBorder="1">
      <alignment horizontal="left" vertical="center"/>
    </xf>
    <xf numFmtId="0" fontId="63" fillId="2" borderId="0" xfId="52">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5" fillId="2" borderId="10" xfId="6" applyFont="1" applyBorder="1">
      <alignment horizontal="left" vertical="center"/>
    </xf>
    <xf numFmtId="0" fontId="66" fillId="2" borderId="10" xfId="6" applyFont="1" applyBorder="1">
      <alignment horizontal="left" vertical="center"/>
    </xf>
    <xf numFmtId="0" fontId="67" fillId="2" borderId="10" xfId="10" applyFont="1" applyBorder="1">
      <alignment horizontal="left" vertical="center"/>
    </xf>
  </cellXfs>
  <cellStyles count="53">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other" xfId="50" xr:uid="{9FB6C20B-1F98-4C86-8B64-373BD10A7B73}"/>
  </cellStyles>
  <dxfs count="54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alignment vertical="center" textRotation="0" wrapText="1" indent="0" justifyLastLine="0" shrinkToFit="0" readingOrder="0"/>
    </dxf>
    <dxf>
      <alignment horizontal="center"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border outline="0">
        <left style="thin">
          <color theme="0" tint="-0.34998626667073579"/>
        </left>
      </border>
    </dxf>
    <dxf>
      <border diagonalUp="0" diagonalDown="0" outline="0">
        <left style="thin">
          <color theme="0" tint="-0.34998626667073579"/>
        </left>
        <right style="thin">
          <color theme="0" tint="-0.34998626667073579"/>
        </right>
        <top style="thin">
          <color theme="0" tint="-0.34998626667073579"/>
        </top>
        <bottom/>
      </border>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font>
        <b val="0"/>
        <i val="0"/>
        <strike val="0"/>
        <condense val="0"/>
        <extend val="0"/>
        <outline val="0"/>
        <shadow val="0"/>
        <u val="none"/>
        <vertAlign val="baseline"/>
        <sz val="12"/>
        <color theme="1"/>
        <name val="Times New Roman"/>
        <family val="2"/>
        <scheme val="none"/>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40"/>
      <tableStyleElement type="headerRow" dxfId="539"/>
      <tableStyleElement type="totalRow" dxfId="538"/>
      <tableStyleElement type="firstColumn" dxfId="537"/>
      <tableStyleElement type="firstRowStripe" dxfId="536"/>
      <tableStyleElement type="secondRowStripe" dxfId="535"/>
    </tableStyle>
    <tableStyle name="Equation table" pivot="0" count="6" xr9:uid="{0B4491E8-4F2C-4EE8-9336-DC99561B4B77}">
      <tableStyleElement type="wholeTable" dxfId="534"/>
      <tableStyleElement type="headerRow" dxfId="533"/>
      <tableStyleElement type="totalRow" dxfId="532"/>
      <tableStyleElement type="firstColumn" dxfId="531"/>
      <tableStyleElement type="firstRowStripe" dxfId="530"/>
      <tableStyleElement type="secondRowStripe" dxfId="529"/>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mc:Choice xmlns:a14="http://schemas.microsoft.com/office/drawing/2010/main"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mc:Choice xmlns:a14="http://schemas.microsoft.com/office/drawing/2010/main"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mc:Choice xmlns:a14="http://schemas.microsoft.com/office/drawing/2010/main"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261</xdr:row>
      <xdr:rowOff>61924</xdr:rowOff>
    </xdr:from>
    <xdr:ext cx="2099229" cy="332079"/>
    <mc:AlternateContent xmlns:mc="http://schemas.openxmlformats.org/markup-compatibility/2006">
      <mc:Choice xmlns:a14="http://schemas.microsoft.com/office/drawing/2010/main"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270</xdr:row>
      <xdr:rowOff>51204</xdr:rowOff>
    </xdr:from>
    <xdr:ext cx="2458430" cy="256032"/>
    <mc:AlternateContent xmlns:mc="http://schemas.openxmlformats.org/markup-compatibility/2006">
      <mc:Choice xmlns:a14="http://schemas.microsoft.com/office/drawing/2010/main"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270</xdr:row>
      <xdr:rowOff>60464</xdr:rowOff>
    </xdr:from>
    <xdr:ext cx="2708818" cy="332079"/>
    <mc:AlternateContent xmlns:mc="http://schemas.openxmlformats.org/markup-compatibility/2006">
      <mc:Choice xmlns:a14="http://schemas.microsoft.com/office/drawing/2010/main"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9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98"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97"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96"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95"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94"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93"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92"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91"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90"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89"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88"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87"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86"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85"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84"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83"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82"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81"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80"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79"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78"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77"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76"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75"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124"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123"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122"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121"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120"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119"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118"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117"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116"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115"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101" dataCellStyle="Content normal"/>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100" dataCellStyle="Content normal"/>
    <tableColumn id="2" xr3:uid="{3C9E3AB6-C1FA-4D37-B176-5BB0B449AAD7}" name="VSL"/>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114"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113"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112"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111"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110"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109" dataCellStyle="Content normal">
  <autoFilter ref="D78:E82" xr:uid="{E34928EB-73E5-43B2-830B-089F30DA4EF0}">
    <filterColumn colId="0" hiddenButton="1"/>
    <filterColumn colId="1" hiddenButton="1"/>
  </autoFilter>
  <tableColumns count="2">
    <tableColumn id="1" xr3:uid="{CAD0F086-96AD-478F-9F97-BB910BCF2E2C}" name="Class" dataDxfId="108"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107"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106"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105"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104"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103"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102"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528" dataCellStyle="Content normal"/>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527"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526"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52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524"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52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522"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521"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520"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51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51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517"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516"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515"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514"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513"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512"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511"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510"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509"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508"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507"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506"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505"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50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503"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502"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50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50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49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49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49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49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495"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49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493"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49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491"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490"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489"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488"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487"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486"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485"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484"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483"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48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48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48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47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47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47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47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47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47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47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47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471"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O22</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470"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469"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468"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467"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466"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465"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464"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463"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462"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46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46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45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45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45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45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45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45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45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45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45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45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44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44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44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44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44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444"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44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44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44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44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43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43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437"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436"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43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43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43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43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43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43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42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42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42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426" dataCellStyle="Content normal">
      <calculatedColumnFormula>D351</calculatedColumnFormula>
    </tableColumn>
    <tableColumn id="2" xr3:uid="{3A500914-DEBE-4A5B-9EFF-C566204ADAFE}" name="Bulls &lt; 1 year" dataDxfId="425" dataCellStyle="Content normal">
      <calculatedColumnFormula>E351</calculatedColumnFormula>
    </tableColumn>
    <tableColumn id="3" xr3:uid="{B874FEE3-562E-454F-BDBC-45043393C99C}" name="Bulls &gt; 1 year" dataDxfId="424" dataCellStyle="Content normal">
      <calculatedColumnFormula>F351</calculatedColumnFormula>
    </tableColumn>
    <tableColumn id="4" xr3:uid="{B5355347-A1F0-4973-A512-0D2CAACA96EE}" name="Cows &lt; 1 year" dataDxfId="423" dataCellStyle="Content normal">
      <calculatedColumnFormula>G351</calculatedColumnFormula>
    </tableColumn>
    <tableColumn id="5" xr3:uid="{77A191F8-38C3-4F24-9EFF-980D069BC04A}" name="Cows 1-2 years" dataDxfId="422" dataCellStyle="Content normal">
      <calculatedColumnFormula>H351</calculatedColumnFormula>
    </tableColumn>
    <tableColumn id="6" xr3:uid="{C27A0FE8-EB36-45AD-85CC-54422EECF9D4}" name="Cows 2-3 years" dataDxfId="421" dataCellStyle="Content normal">
      <calculatedColumnFormula>I351</calculatedColumnFormula>
    </tableColumn>
    <tableColumn id="7" xr3:uid="{E45A02BC-2BD9-40C3-AA1C-086EE1B3CF4E}" name="Cows &gt; 3 years" dataDxfId="420" dataCellStyle="Content normal">
      <calculatedColumnFormula>I351</calculatedColumnFormula>
    </tableColumn>
    <tableColumn id="8" xr3:uid="{64BCADE5-A30C-422D-95A6-F7AB897FB775}" name="Steers &lt; 1 year" dataDxfId="419" dataCellStyle="Content normal">
      <calculatedColumnFormula>J351</calculatedColumnFormula>
    </tableColumn>
    <tableColumn id="9" xr3:uid="{A3AA722E-C9A8-476C-9FE8-DC46C3A6D9FA}" name="Steers 1-2 years" dataDxfId="418" dataCellStyle="Content normal">
      <calculatedColumnFormula>K351</calculatedColumnFormula>
    </tableColumn>
    <tableColumn id="10" xr3:uid="{CC7AE6BD-32DE-43F2-B3D8-F334FC0BA640}" name="Steers 2-3 years" dataDxfId="417" dataCellStyle="Content normal">
      <calculatedColumnFormula>K351</calculatedColumnFormula>
    </tableColumn>
    <tableColumn id="11" xr3:uid="{B364C281-70AB-4253-BEE3-56EAB88390C8}" name="Steers &gt;3 years" dataDxfId="416" dataCellStyle="Content normal">
      <calculatedColumnFormula>K351</calculatedColumnFormula>
    </tableColumn>
    <tableColumn id="12" xr3:uid="{1B567087-DFFB-45A9-97B9-5D55DA59D657}" name="State abbreviation" dataDxfId="415" dataCellStyle="Content normal">
      <calculatedColumnFormula>L351</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414"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413"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41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411"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41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409"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40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40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406"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405"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40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403" dataDxfId="402" totalsRowDxfId="401">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400" totalsRowDxfId="399" dataCellStyle="Input select"/>
    <tableColumn id="23" xr3:uid="{F727E370-72E8-46CC-9F10-18494CAC017E}" name="Amount applied per hectare" totalsRowFunction="custom" dataDxfId="398" totalsRowDxfId="397">
      <totalsRowFormula>SUM(Table_Input_InorganicFertiliser_Brands[[#Headers],[#Data],[Amount applied per hectare]])</totalsRowFormula>
    </tableColumn>
    <tableColumn id="18" xr3:uid="{2253738D-C34B-45FC-A347-3594DD12A0FD}" name="Application unit" totalsRowDxfId="396"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395"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394" totalsRowDxfId="393">
      <calculatedColumnFormula>$E$9</calculatedColumnFormula>
    </tableColumn>
    <tableColumn id="1" xr3:uid="{DE25213C-DDD2-412A-85A4-29987D633B72}" name="Total applied (kg)" dataDxfId="392" totalsRowDxfId="391"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390" totalsRowDxfId="389"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388" totalsRowDxfId="387"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386"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385" totalsRowDxfId="384"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383" totalsRowDxfId="382"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381" totalsRowDxfId="380"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379" totalsRowDxfId="378"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377"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376"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375"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374"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373"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372" totalsRowDxfId="371"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370" totalsRowDxfId="369"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368" totalsRowDxfId="367"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366" dataDxfId="365">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364"/>
    <tableColumn id="3" xr3:uid="{9EAF254B-17DE-4675-8AF9-F68B80BF582C}" name="Application area (ha)" dataDxfId="363" dataCellStyle="Input number 2 decimal places">
      <calculatedColumnFormula>$E$9</calculatedColumnFormula>
    </tableColumn>
    <tableColumn id="4" xr3:uid="{CFA5CCED-3BC5-4DD2-AC3F-E4DC58D9B605}" name="Total applied (kg)" dataDxfId="362"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361" dataCellStyle="Input select"/>
    <tableColumn id="6" xr3:uid="{3F30B499-2152-42DE-8F13-8F97800C0F82}" name="Ingredient 1 percent" dataDxfId="360"/>
    <tableColumn id="8" xr3:uid="{81DBD2AF-CE79-4DFA-ABE1-18247069D1B2}" name="Ingredient 2" dataDxfId="359" dataCellStyle="Input select"/>
    <tableColumn id="9" xr3:uid="{1CF7EE6F-57DF-414D-AEE5-FBCA6348094D}" name="Ingredient 2 percent" dataDxfId="358"/>
    <tableColumn id="11" xr3:uid="{A18D28AA-C181-4552-8786-2ECF509C16C8}" name="Ingredient 3" dataDxfId="357" dataCellStyle="Input select"/>
    <tableColumn id="12" xr3:uid="{B6A6831A-C9EE-4F80-B87F-A0C4C20DFCFD}" name="Ingredient 3 percent" dataDxfId="356"/>
    <tableColumn id="14" xr3:uid="{4467B432-BBEC-488F-912D-5D7123AE260A}" name="Ingredient 4" dataDxfId="355" dataCellStyle="Input select"/>
    <tableColumn id="15" xr3:uid="{0FA01265-32D2-4FC6-BCD7-17164873ADC9}" name="Ingredient 4 percent" dataCellStyle="Input percent"/>
    <tableColumn id="7" xr3:uid="{BF8B607F-8C2E-4E2B-B89D-E699723F771C}" name="N application rate (kg/ha)" dataDxfId="354"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353"/>
    <tableColumn id="13" xr3:uid="{CA785B69-1D00-4D4E-954C-77FAF8F67EDB}" name="Ammonia source" dataDxfId="352"/>
  </tableColumns>
  <tableStyleInfo name="Editable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SoilAmeliorants" displayName="Table_Input_SoilAmeliorants" ref="D33:K35" totalsRowShown="0" headerRowDxfId="351" dataDxfId="350"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349"/>
    <tableColumn id="2" xr3:uid="{BBD9A28E-9144-4A75-B4E2-101A86320BD7}" name="Amount applied (t/hectare)" dataDxfId="348"/>
    <tableColumn id="4" xr3:uid="{28D6DB55-F183-4018-A8CF-F5EECD3B6F14}" name="Application area (ha)" dataDxfId="347">
      <calculatedColumnFormula>$E$9</calculatedColumnFormula>
    </tableColumn>
    <tableColumn id="3" xr3:uid="{A873C277-F431-4770-984D-50E37F5B322A}" name="Total amount applied (t)" dataDxfId="346" dataCellStyle="Input number general calculated">
      <calculatedColumnFormula>IFERROR(Table_Input_SoilAmeliorants[[#This Row],[Amount applied (t/hectare)]]*Table_Input_SoilAmeliorants[[#This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345">
      <calculatedColumnFormula>SUM(Table_Input_SoilAmeliorants[[#This Row],[Percent Lime CaCO3]:[Percent Gypsum]])</calculatedColumnFormula>
    </tableColumn>
  </tableColumns>
  <tableStyleInfo name="Editable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805B9B9-D4A7-40D9-97DF-7EB3223F48A7}" name="Table_Input_OrganicFertiliser" displayName="Table_Input_OrganicFertiliser" ref="D43:J45" totalsRowShown="0" headerRowDxfId="344" dataDxfId="343" headerRowCellStyle="Input table column header">
  <autoFilter ref="D43:J45"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CD2D85D-8F13-4E36-95FC-BDFFE879E75E}" name="Organic fertiliser type (select)" dataDxfId="342" dataCellStyle="Input select"/>
    <tableColumn id="5" xr3:uid="{90211506-45BB-448E-9141-3C3CE3626033}" name="Percentage of N in fertiliser" dataDxfId="341"/>
    <tableColumn id="2" xr3:uid="{FBF064EA-8FB5-43A6-A6A6-369C36395228}" name="Amount applied (kg/hectare)" dataDxfId="340"/>
    <tableColumn id="11" xr3:uid="{C66580F9-10D5-43D2-89CD-7DC865B9F8D9}" name="Amount N applied (kg/hectare)" dataDxfId="339" dataCellStyle="Input number general calculated">
      <calculatedColumnFormula>Table_Input_OrganicFertiliser[[#This Row],[Amount applied (kg/hectare)]]*Table_Input_OrganicFertiliser[[#This Row],[Percentage of N in fertiliser]]</calculatedColumnFormula>
    </tableColumn>
    <tableColumn id="4" xr3:uid="{446ACDC4-9A1A-43A3-A3FF-9116ED45FD6D}" name="Application area (ha)" dataDxfId="338">
      <calculatedColumnFormula>$E$9</calculatedColumnFormula>
    </tableColumn>
    <tableColumn id="7" xr3:uid="{C9641984-3538-4424-A9FC-1F56669263A3}" name="Total organic fertliser applied" dataDxfId="337" dataCellStyle="Input number general calculated">
      <calculatedColumnFormula>Table_Input_OrganicFertiliser[[#This Row],[Amount applied (kg/hectare)]]*Table_Input_OrganicFertiliser[[#This Row],[Application area (ha)]]</calculatedColumnFormula>
    </tableColumn>
    <tableColumn id="3" xr3:uid="{485BE4F1-40BB-41CE-94E7-8D4A9E8D5E85}" name="Total nitrogen applied (kg)" dataDxfId="336"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143:I153" totalsRowShown="0" headerRowDxfId="65" headerRowCellStyle="Input table column header">
  <autoFilter ref="D143:I153" xr:uid="{3E433F59-4BF1-4341-8498-3E5DACCDF2D3}">
    <filterColumn colId="0" hiddenButton="1"/>
    <filterColumn colId="1" hiddenButton="1"/>
    <filterColumn colId="2" hiddenButton="1"/>
    <filterColumn colId="3" hiddenButton="1"/>
    <filterColumn colId="4" hiddenButton="1"/>
    <filterColumn colId="5" hiddenButton="1"/>
  </autoFilter>
  <tableColumns count="6">
    <tableColumn id="1" xr3:uid="{8E849261-8F35-48DE-BE22-FE2C6971C01F}" name="Packaging name"/>
    <tableColumn id="3" xr3:uid="{14ED4487-F547-485F-9AFB-212F5584207F}" name="Quantity purchased" dataDxfId="74" dataCellStyle="Input number general"/>
    <tableColumn id="2" xr3:uid="{360D1B02-386E-49B9-8B92-E9676AD4A378}" name="Primary material" dataCellStyle="Input select"/>
    <tableColumn id="5" xr3:uid="{AC8AF35D-3FA8-45F5-B073-74FC83F56B91}" name="Percent of packaging that is primary material" dataCellStyle="Input percent">
      <calculatedColumnFormula>100%</calculatedColumnFormula>
    </tableColumn>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Row],[Percent of packaging that is primary material]]*Table_Input_Packaging[[#This Row],[Weight per unit (kg)]]</calculatedColumnFormula>
    </tableColumn>
  </tableColumns>
  <tableStyleInfo name="Editable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62">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63" dataCellStyle="Input select"/>
    <tableColumn id="2" xr3:uid="{5B0AEBA4-AB33-4382-8634-3F4C8D3B2A9B}" name="Number of head treated" dataDxfId="64" dataCellStyle="Input number general"/>
  </tableColumns>
  <tableStyleInfo name="Editable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7:K87" totalsRowShown="0">
  <autoFilter ref="D77:K8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71" dataCellStyle="Input select"/>
    <tableColumn id="2" xr3:uid="{FA43F52A-7609-4014-A6D3-CAC2C970F57C}" name="Purchase class (select)" dataDxfId="69" dataCellStyle="Input select"/>
    <tableColumn id="6" xr3:uid="{41EDEC1E-1793-4BBD-B0C8-66DE9A0925D5}" name="Source region (Select)" dataDxfId="70"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90:I100" totalsRowShown="0" headerRowDxfId="68">
  <autoFilter ref="D90:I10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73"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103:H113" totalsRowShown="0" headerRowDxfId="67">
  <autoFilter ref="D103:H11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72"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116:H126" totalsRowShown="0">
  <autoFilter ref="D116:H12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66"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173:F183" totalsRowShown="0">
  <autoFilter ref="D173:F183"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158:G168" totalsRowShown="0">
  <autoFilter ref="D158:G168"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267A0FD-D6FB-4207-BD45-9DE0BB33BDE3}" name="Table_Input_Fuel" displayName="Table_Input_Fuel" ref="D10:I12" totalsRowDxfId="335" headerRowCellStyle="Input table column header">
  <autoFilter ref="D10:I12"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781CF403-6676-4EC1-8C44-392D67F614F9}" name="Fuel use (select)" totalsRowFunction="average" totalsRowDxfId="334" dataCellStyle="Input select" totalsRowCellStyle="Input select"/>
    <tableColumn id="3" xr3:uid="{2F4926CE-6EFC-4996-91EA-985E04C68CA4}" name="Fuel type (select)" totalsRowDxfId="333" dataCellStyle="Input select" totalsRowCellStyle="Input select"/>
    <tableColumn id="4" xr3:uid="{1FFC5489-922D-4440-BFF8-1C82F89D7C13}" name="Amount purchased" totalsRowDxfId="332" totalsRowCellStyle="Content bold"/>
    <tableColumn id="6" xr3:uid="{8FECDE7F-72E1-4F9F-9717-51DFCFC8B7FA}" name="Amount unit" totalsRowDxfId="331" dataCellStyle="Input number general calculated">
      <calculatedColumnFormula array="1">Common_InputFunctions.Utility_LookupValueInTable(Table_Input_Fuel[[#This Row],[Fuel type (select)]],Table_FuelTypes_Units[Fuel type], Table_FuelTypes_Units[Unit])</calculatedColumnFormula>
    </tableColumn>
    <tableColumn id="5" xr3:uid="{133387A9-248F-45F1-96F1-4D2728C0EBB8}" name="Percent consumed" totalsRowDxfId="330" totalsRowCellStyle="Input percent">
      <calculatedColumnFormula>1</calculatedColumnFormula>
    </tableColumn>
    <tableColumn id="1" xr3:uid="{0B1E778F-5088-434C-9ED2-6721724D18B8}" name="Amount consumed" totalsRowFunction="custom" totalsRowDxfId="329"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328"/>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text calculated">
      <calculatedColumnFormula>"Issued for generated electricity"</calculatedColumnFormula>
    </tableColumn>
    <tableColumn id="2" xr3:uid="{89A8CE48-DCCB-4E01-8021-9F8D64DA67F4}" name="Generation date" dataDxfId="327"/>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326"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325"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324"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323"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322"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321"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320"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319"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318"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317"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316"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315"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314"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313"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312"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311"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310"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309"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308"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307"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306"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305"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304"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303"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302"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301"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300"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299"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298"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297"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296"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295"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294"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293"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292"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291"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290"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289"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288"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287"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286"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285"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284"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283"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282"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281"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280"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279"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278"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277"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276"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275"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274"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273"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272"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271"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270"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269"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268"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267"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266"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265"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264"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263"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262"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261"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260"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259"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258"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257"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256"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255"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254"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K52:K62" totalsRowShown="0">
  <autoFilter ref="K52:K62"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253"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252" dataCellStyle="Content normal">
  <autoFilter ref="D40:E47" xr:uid="{879A0650-599F-46E3-BDCA-CF804D191F3B}">
    <filterColumn colId="0" hiddenButton="1"/>
    <filterColumn colId="1" hiddenButton="1"/>
  </autoFilter>
  <tableColumns count="2">
    <tableColumn id="1" xr3:uid="{F237F8B2-5CE9-4094-A201-E708B82BA8BF}" name="Product" dataDxfId="251"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250"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249" dataCellStyle="Content normal">
  <autoFilter ref="D51:E52" xr:uid="{5D161BB1-95E1-405D-861A-B4883D49A51C}">
    <filterColumn colId="0" hiddenButton="1"/>
    <filterColumn colId="1" hiddenButton="1"/>
  </autoFilter>
  <tableColumns count="2">
    <tableColumn id="1" xr3:uid="{44557688-3D5A-45A6-818D-F1328BB9ECC9}" name="Product" dataDxfId="248"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247"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246" dataCellStyle="Content normal">
  <autoFilter ref="D56:E57" xr:uid="{91542D18-4304-4E66-85EA-4F5A2B9391FE}">
    <filterColumn colId="0" hiddenButton="1"/>
    <filterColumn colId="1" hiddenButton="1"/>
  </autoFilter>
  <tableColumns count="2">
    <tableColumn id="1" xr3:uid="{B414FDE1-8B5E-4532-8C69-A9C006972E91}" name="Product" dataDxfId="24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244"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243" dataCellStyle="Content normal">
  <autoFilter ref="D61:E62" xr:uid="{4B96D517-47DA-49C8-8030-0D501D458198}">
    <filterColumn colId="0" hiddenButton="1"/>
    <filterColumn colId="1" hiddenButton="1"/>
  </autoFilter>
  <tableColumns count="2">
    <tableColumn id="1" xr3:uid="{20B25AB9-804F-4D21-9C93-F44C0DAF008F}" name="Product" dataDxfId="242"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241"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240"/>
    <tableColumn id="2" xr3:uid="{B4717C55-1B95-4E74-B4A0-5CE7A609A36B}" name="Notes" totalsRowDxfId="239"/>
    <tableColumn id="3" xr3:uid="{D976AB1A-52FF-4FBD-9860-B9717ABA5514}" name="Company" totalsRowDxfId="238"/>
    <tableColumn id="4" xr3:uid="{D8F5EA32-4865-44AD-B9C7-F91CA2638E8B}" name="Product name" totalsRowDxfId="237"/>
    <tableColumn id="5" xr3:uid="{D241BEEC-C636-4A92-9BDB-FA8FAA1CAFB2}" name="Unit" totalsRowDxfId="236"/>
    <tableColumn id="6" xr3:uid="{78DBDBE9-27C7-4A0D-B9DA-9F57440C9DE9}" name="Density / gravity" totalsRowDxfId="235"/>
    <tableColumn id="7" xr3:uid="{A50CBE27-EC38-4A34-A2CE-1002E6BA3DD3}" name="Urea source" totalsRowDxfId="234"/>
    <tableColumn id="8" xr3:uid="{16B5D74A-9810-4E92-A540-3E051DC2151D}" name="Ammonia source" totalsRowDxfId="233"/>
    <tableColumn id="9" xr3:uid="{DA7A3BF5-8B40-4495-AD97-6B95B429B465}" name="Ingredient 1" totalsRowDxfId="232"/>
    <tableColumn id="10" xr3:uid="{2A0B8472-D8FF-4086-BE70-2E8BCA80080B}" name="Ingredient 1 percent" totalsRowDxfId="231"/>
    <tableColumn id="11" xr3:uid="{F12415FE-ED65-47A4-AFBE-CEA738CED011}" name="Ingredient 2" totalsRowDxfId="230"/>
    <tableColumn id="12" xr3:uid="{26500CB3-2A36-4020-8DCD-96905995028A}" name="Ingredient 2 percent" totalsRowDxfId="229"/>
    <tableColumn id="13" xr3:uid="{8F8E6FFC-24C1-4EC1-A491-92E852D1C21B}" name="Ingredient 3" totalsRowDxfId="228"/>
    <tableColumn id="14" xr3:uid="{0D08C50E-A1D4-4D59-8D20-E9C72FE59C88}" name="Ingredient 3 percent" totalsRowDxfId="227"/>
    <tableColumn id="15" xr3:uid="{E71FD370-71A1-4861-8573-8E095564A6C6}" name="Ingredient 4" totalsRowDxfId="226"/>
    <tableColumn id="16" xr3:uid="{05524065-59E0-4732-9D5C-80182402ACED}" name="Ingredient 4 percent" totalsRowDxfId="225"/>
    <tableColumn id="17" xr3:uid="{E73E9DAE-88FE-451C-83BB-46CE2CD11EAC}" name="Ingredient 5" totalsRowDxfId="224"/>
    <tableColumn id="18" xr3:uid="{E43B92CC-872A-4D81-AE03-F2A3A1AA9B65}" name="Ingredient 5 percent" totalsRowDxfId="223"/>
    <tableColumn id="19" xr3:uid="{877362A6-7696-4C2B-9AC9-A50CEF0951B6}" name="Ingredient 6" totalsRowDxfId="222"/>
    <tableColumn id="37" xr3:uid="{22756E59-4033-405C-B6C2-0A2E122D072F}" name="Ingredient 6 percent" totalsRowDxfId="221"/>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220"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219"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218"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217" dataCellStyle="Content normal">
  <autoFilter ref="K19:L28" xr:uid="{27B93029-EB1F-4C4A-A946-CD673A8A6C46}">
    <filterColumn colId="0" hiddenButton="1"/>
    <filterColumn colId="1" hiddenButton="1"/>
  </autoFilter>
  <tableColumns count="2">
    <tableColumn id="1" xr3:uid="{D0F0FE53-48EF-4C1D-923D-46B182A1D219}" name="Fertiliser type f" dataDxfId="216"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215"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214" dataCellStyle="Content normal">
  <autoFilter ref="Q19:R28" xr:uid="{791CEA59-796C-47AB-86BC-41E8F699030C}">
    <filterColumn colId="0" hiddenButton="1"/>
    <filterColumn colId="1" hiddenButton="1"/>
  </autoFilter>
  <tableColumns count="2">
    <tableColumn id="1" xr3:uid="{8D461AD8-9C85-4218-9322-36C1AD6A4022}" name="Fertiliser type f" dataDxfId="213"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212"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CFAD1F9-357B-4E9A-9BF7-568A5FEE58F8}" name="Table_Fuel_EFs_StationaryLiquid" displayName="Table_Fuel_EFs_StationaryLiquid" ref="D53:K77" totalsRowShown="0" headerRowDxfId="211" dataDxfId="210">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1EAD390-A165-4CF5-811D-02DF3CC6122A}" name="Fuel combusted" dataDxfId="209">
      <calculatedColumnFormula array="1">Common_InputFunctions.Utility_DisplayArrayInTable(Fuel_SourceData.Fuel_Scope1Scope3EmissionFactorsStationaryLiquid_Data(), Table_Fuel_EFs_StationaryLiquid[[#Headers],[Fuel combusted]],0)</calculatedColumnFormula>
    </tableColumn>
    <tableColumn id="2" xr3:uid="{827023F7-3028-4D85-9495-5B748B5EE973}" name="Energy Content Factor (GJ per unit of fuel)" dataDxfId="208">
      <calculatedColumnFormula array="1">Common_InputFunctions.Utility_DisplayArrayInTable(Fuel_SourceData.Fuel_Scope1Scope3EmissionFactorsStationaryLiquid_Data(), Table_Fuel_EFs_StationaryLiquid[[#Headers],[Fuel combusted]],0)</calculatedColumnFormula>
    </tableColumn>
    <tableColumn id="3" xr3:uid="{95CD1A90-FB03-4C44-B88E-42062FBE8150}" name="Fuel unit" dataDxfId="207">
      <calculatedColumnFormula array="1">Common_InputFunctions.Utility_DisplayArrayInTable(Fuel_SourceData.Fuel_Scope1Scope3EmissionFactorsStationaryLiquid_Data(), Table_Fuel_EFs_StationaryLiquid[[#Headers],[Fuel combusted]],0)</calculatedColumnFormula>
    </tableColumn>
    <tableColumn id="4" xr3:uid="{70FA4D07-8C73-4D10-8D26-15EFA5949D79}" name="Scope 1 Emission Factor (kg CO2 - e / GJ) CO2" dataDxfId="206">
      <calculatedColumnFormula array="1">Common_InputFunctions.Utility_DisplayArrayInTable(Fuel_SourceData.Fuel_Scope1Scope3EmissionFactorsStationaryLiquid_Data(), Table_Fuel_EFs_StationaryLiquid[[#Headers],[Fuel combusted]],0)</calculatedColumnFormula>
    </tableColumn>
    <tableColumn id="5" xr3:uid="{68FF4932-1A0B-4AAE-B0F7-032438A6B3EF}" name="Scope 1 Emission Factor (kg CO2 - e / GJ) CH4" dataDxfId="205">
      <calculatedColumnFormula array="1">Common_InputFunctions.Utility_DisplayArrayInTable(Fuel_SourceData.Fuel_Scope1Scope3EmissionFactorsStationaryLiquid_Data(), Table_Fuel_EFs_StationaryLiquid[[#Headers],[Fuel combusted]],0)</calculatedColumnFormula>
    </tableColumn>
    <tableColumn id="6" xr3:uid="{74AB285E-9F41-42F4-9480-8B6E20F00170}" name="Scope 1 Emission Factor (kg CO2 - e / GJ) N2O" dataDxfId="204">
      <calculatedColumnFormula array="1">Common_InputFunctions.Utility_DisplayArrayInTable(Fuel_SourceData.Fuel_Scope1Scope3EmissionFactorsStationaryLiquid_Data(), Table_Fuel_EFs_StationaryLiquid[[#Headers],[Fuel combusted]],0)</calculatedColumnFormula>
    </tableColumn>
    <tableColumn id="7" xr3:uid="{919F6E26-F47B-44D4-8F8A-F77852562840}" name="Scope 1 Emission Factor (kg CO2 - e / GJ) Combined gases" dataDxfId="203">
      <calculatedColumnFormula array="1">Common_InputFunctions.Utility_DisplayArrayInTable(Fuel_SourceData.Fuel_Scope1Scope3EmissionFactorsStationaryLiquid_Data(), Table_Fuel_EFs_StationaryLiquid[[#Headers],[Fuel combusted]],0)</calculatedColumnFormula>
    </tableColumn>
    <tableColumn id="8" xr3:uid="{8E75003A-B04A-4F86-ABC3-FA8871623358}" name="Scope 3 Emission Factor (kg CO2 - e / GJ)" dataDxfId="202">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AA5F61A-4262-4F3A-95EB-A93E25339244}" name="Table_Fuel_EFs_Transport" displayName="Table_Fuel_EFs_Transport" ref="D9:L34" totalsRowShown="0" headerRowDxfId="201" dataDxfId="200">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A45EFC1-BBA2-4419-A8C5-29C74BC547EA}" name="Transport type" dataDxfId="199">
      <calculatedColumnFormula array="1">Common_InputFunctions.Utility_DisplayArrayInTable(Fuel_SourceData.Fuel_Scope1Scope3EmissionFactorsTransport_Data(), Table_Fuel_EFs_Transport[[#Headers],[Transport type]], 0)</calculatedColumnFormula>
    </tableColumn>
    <tableColumn id="2" xr3:uid="{224A088D-05DA-40A3-A15F-06398D522FEE}" name="Fuel combusted" dataDxfId="198">
      <calculatedColumnFormula array="1">Common_InputFunctions.Utility_DisplayArrayInTable(Fuel_SourceData.Fuel_Scope1Scope3EmissionFactorsTransport_Data(), Table_Fuel_EFs_Transport[[#Headers],[Transport type]], 0)</calculatedColumnFormula>
    </tableColumn>
    <tableColumn id="3" xr3:uid="{75DE7DF1-2BB5-4CDD-B9D7-7F717AC0CD85}" name="Energy Content Factor (GJ per unit of fuel)" dataDxfId="197">
      <calculatedColumnFormula array="1">Common_InputFunctions.Utility_DisplayArrayInTable(Fuel_SourceData.Fuel_Scope1Scope3EmissionFactorsTransport_Data(), Table_Fuel_EFs_Transport[[#Headers],[Transport type]], 0)</calculatedColumnFormula>
    </tableColumn>
    <tableColumn id="4" xr3:uid="{E500D0BD-60DD-4567-8451-39BE27936894}" name="Fuel unit" dataDxfId="196">
      <calculatedColumnFormula array="1">Common_InputFunctions.Utility_DisplayArrayInTable(Fuel_SourceData.Fuel_Scope1Scope3EmissionFactorsTransport_Data(), Table_Fuel_EFs_Transport[[#Headers],[Transport type]], 0)</calculatedColumnFormula>
    </tableColumn>
    <tableColumn id="8" xr3:uid="{FC2F71DF-38A6-4790-A301-A7332A75253D}" name="Scope 1 Emission Factor (kg CO2 - e / GJ) CO2" dataDxfId="195">
      <calculatedColumnFormula array="1">Common_InputFunctions.Utility_DisplayArrayInTable(Fuel_SourceData.Fuel_Scope1Scope3EmissionFactorsTransport_Data(), Table_Fuel_EFs_Transport[[#Headers],[Transport type]], 0)</calculatedColumnFormula>
    </tableColumn>
    <tableColumn id="9" xr3:uid="{D4543D4D-0092-4EC5-AA44-71A479222245}" name="Scope 1 Emission Factor (kg CO2 - e / GJ) CH4" dataDxfId="194">
      <calculatedColumnFormula array="1">Common_InputFunctions.Utility_DisplayArrayInTable(Fuel_SourceData.Fuel_Scope1Scope3EmissionFactorsTransport_Data(), Table_Fuel_EFs_Transport[[#Headers],[Transport type]], 0)</calculatedColumnFormula>
    </tableColumn>
    <tableColumn id="10" xr3:uid="{B5607479-2150-4D0C-B63E-40339A07E18B}" name="Scope 1 Emission Factor (kg CO2 - e / GJ) N2O" dataDxfId="193">
      <calculatedColumnFormula array="1">Common_InputFunctions.Utility_DisplayArrayInTable(Fuel_SourceData.Fuel_Scope1Scope3EmissionFactorsTransport_Data(), Table_Fuel_EFs_Transport[[#Headers],[Transport type]], 0)</calculatedColumnFormula>
    </tableColumn>
    <tableColumn id="11" xr3:uid="{43747F08-7A31-41DE-ACFD-063A0F79AB6E}" name="Scope 1 Emission Factor (kg CO2 - e / GJ) Combined gases" dataDxfId="192">
      <calculatedColumnFormula array="1">Common_InputFunctions.Utility_DisplayArrayInTable(Fuel_SourceData.Fuel_Scope1Scope3EmissionFactorsTransport_Data(), Table_Fuel_EFs_Transport[[#Headers],[Transport type]], 0)</calculatedColumnFormula>
    </tableColumn>
    <tableColumn id="12" xr3:uid="{F6090CD5-BDCC-4411-986A-078847F6B0C6}" name="Scope 3 Emission Factor (kg CO2 - e / GJ)" dataDxfId="191">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7AFDC5D-06D3-447D-8A41-03EFC9A42CCC}" name="Table_FuelTypesPerUse" displayName="Table_FuelTypesPerUse" ref="D130:J139" totalsRowShown="0" headerRowDxfId="190" dataDxfId="189">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2C84CAF-1D4E-4BFD-B6D4-BC01CDEA185B}" name="Generators" dataDxfId="188"/>
    <tableColumn id="2" xr3:uid="{13C467F2-26C0-4F6F-B92F-24A4B990E442}" name="Power standalone machinery or heating" dataDxfId="187"/>
    <tableColumn id="3" xr3:uid="{15E7EDC3-8A83-409D-86B7-926996BE8FBC}" name="Aviation" dataDxfId="186"/>
    <tableColumn id="5" xr3:uid="{F31E6FAB-A518-436D-BFB8-D7426676641C}" name="Cars and light commercial vehicles" dataDxfId="185"/>
    <tableColumn id="7" xr3:uid="{6CC11CFE-89B6-44EE-8AED-42AC5C27DB07}" name="Off-road Agriculture and forestry equipment" dataDxfId="184" dataCellStyle="Content bold"/>
    <tableColumn id="8" xr3:uid="{30476670-3728-4B3D-9436-B58D01B767DE}" name="Vessels" dataDxfId="183" dataCellStyle="Content bold"/>
    <tableColumn id="6" xr3:uid="{701F62A8-8600-449C-8513-D7CA0BE9C5D9}" name="General use" dataDxfId="182"/>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7DAB406-894F-41F4-906E-113BFCEE85CC}" name="Table_Fuel_EFs_StationaryGaseous" displayName="Table_Fuel_EFs_StationaryGaseous" ref="D86:J104" totalsRowShown="0" headerRowDxfId="181" dataDxfId="180">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BDA893E-1333-4322-A590-891306E9E387}" name="Fuel combusted" dataDxfId="179">
      <calculatedColumnFormula array="1">Common_InputFunctions.Utility_DisplayArrayInTable(Fuel_SourceData.Fuel_Scope1EmissionFactorsStationaryGaseous_Data(), Table_Fuel_EFs_StationaryGaseous[[#Headers],[Fuel combusted]],0)</calculatedColumnFormula>
    </tableColumn>
    <tableColumn id="2" xr3:uid="{38367592-76AE-45D2-B6D4-5929A49972EE}" name="Energy Content Factor (GJ per unit of fuel)" dataDxfId="178">
      <calculatedColumnFormula array="1">Common_InputFunctions.Utility_DisplayArrayInTable(Fuel_SourceData.Fuel_Scope1EmissionFactorsStationaryGaseous_Data(), Table_Fuel_EFs_StationaryGaseous[[#Headers],[Fuel combusted]],0)</calculatedColumnFormula>
    </tableColumn>
    <tableColumn id="3" xr3:uid="{00870644-2E36-4B78-9D02-8F6CF2F72A99}" name="Fuel unit" dataDxfId="177">
      <calculatedColumnFormula array="1">Common_InputFunctions.Utility_DisplayArrayInTable(Fuel_SourceData.Fuel_Scope1EmissionFactorsStationaryGaseous_Data(), Table_Fuel_EFs_StationaryGaseous[[#Headers],[Fuel combusted]],0)</calculatedColumnFormula>
    </tableColumn>
    <tableColumn id="4" xr3:uid="{A6B1DC50-B678-4D8C-84F6-2D23F3C1CAE0}" name="Scope 1 Emission Factor (kg CO2 - e / GJ) CO2" dataDxfId="176">
      <calculatedColumnFormula array="1">Common_InputFunctions.Utility_DisplayArrayInTable(Fuel_SourceData.Fuel_Scope1EmissionFactorsStationaryGaseous_Data(), Table_Fuel_EFs_StationaryGaseous[[#Headers],[Fuel combusted]],0)</calculatedColumnFormula>
    </tableColumn>
    <tableColumn id="5" xr3:uid="{E52DF7F4-7719-4DF3-9AFB-399F8B29E674}" name="Scope 1 Emission Factor (kg CO2 - e / GJ) CH4" dataDxfId="175">
      <calculatedColumnFormula array="1">Common_InputFunctions.Utility_DisplayArrayInTable(Fuel_SourceData.Fuel_Scope1EmissionFactorsStationaryGaseous_Data(), Table_Fuel_EFs_StationaryGaseous[[#Headers],[Fuel combusted]],0)</calculatedColumnFormula>
    </tableColumn>
    <tableColumn id="6" xr3:uid="{FDBC52B6-A9F5-4E7B-89F3-3D0A826BE58B}" name="Scope 1 Emission Factor (kg CO2 - e / GJ) N2O" dataDxfId="174">
      <calculatedColumnFormula array="1">Common_InputFunctions.Utility_DisplayArrayInTable(Fuel_SourceData.Fuel_Scope1EmissionFactorsStationaryGaseous_Data(), Table_Fuel_EFs_StationaryGaseous[[#Headers],[Fuel combusted]],0)</calculatedColumnFormula>
    </tableColumn>
    <tableColumn id="7" xr3:uid="{8A5F1E8A-C5A0-47A2-9D51-73E35B1CA896}" name="Scope 1 Emission Factor (kg CO2 - e / GJ) Combined gases" dataDxfId="173">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FCE6CEF-80AF-40E1-8702-6CD9388D18D3}" name="Table_Fuel_EFs_StationaryGaseous34" displayName="Table_Fuel_EFs_StationaryGaseous34" ref="D112:F120" headerRowDxfId="172" totalsRowDxfId="171">
  <autoFilter ref="D112:F120" xr:uid="{7D6CE29D-2354-4FAC-9965-9A66FFA42416}">
    <filterColumn colId="0" hiddenButton="1"/>
    <filterColumn colId="1" hiddenButton="1"/>
    <filterColumn colId="2" hiddenButton="1"/>
  </autoFilter>
  <tableColumns count="3">
    <tableColumn id="1" xr3:uid="{8D6A4518-28FB-4E57-835D-24D2CCAEED45}" name="State or territory" totalsRowDxfId="170">
      <calculatedColumnFormula array="1">Common_InputFunctions.Utility_DisplayArrayInTable(Fuel_SourceData.Fuel_Scope3EmissionFactorsStationaryGaseous_Data(), Table_Fuel_EFs_StationaryGaseous34[[#Headers],[State or territory]],0)</calculatedColumnFormula>
    </tableColumn>
    <tableColumn id="2" xr3:uid="{9DBF4953-2B5B-42B3-B3FC-2DF4BB8C15C2}" name="Scope 3 Emission Factors for Natural Gas (kg CO2 - e / GJ) Metro" totalsRowDxfId="169">
      <calculatedColumnFormula array="1">Common_InputFunctions.Utility_DisplayArrayInTable(Fuel_SourceData.Fuel_Scope3EmissionFactorsStationaryGaseous_Data(), Table_Fuel_EFs_StationaryGaseous34[[#Headers],[State or territory]],0)</calculatedColumnFormula>
    </tableColumn>
    <tableColumn id="3" xr3:uid="{5695C453-A4EF-4D74-BA70-DA5E5353CD05}" name="Scope 3 Emission Factors for Natural Gas (kg CO2 - e / GJ) Non - Metro" totalsRowDxfId="168">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9BDC4CA-6D46-463E-BADD-D4EA8B2F0EBF}" name="Table_FuelTypes_Units" displayName="Table_FuelTypes_Units" ref="D142:E162" totalsRowShown="0">
  <autoFilter ref="D142:E162" xr:uid="{74386805-E5CF-44F9-982C-CBCADB323E30}">
    <filterColumn colId="0" hiddenButton="1"/>
    <filterColumn colId="1" hiddenButton="1"/>
  </autoFilter>
  <tableColumns count="2">
    <tableColumn id="1" xr3:uid="{6CBC9B5C-6726-4DC1-9600-721A28731D64}" name="Fuel type"/>
    <tableColumn id="2" xr3:uid="{6FFA818F-5BB0-4361-8331-ED9FA25606D7}" name="Unit"/>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A8EA256-ED3E-4D0F-8436-37C5D8985B9C}"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1DB722-5AF6-4454-AEBA-D35FA4DAF799}"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E6AC57B1-5510-4EBC-B43D-B0DDCC08CB21}" name="Fuel type q" dataDxfId="16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88DBA76E-76AC-4486-B247-982B05E10400}" name="ECTrans,q (GJ/kL)" dataDxfId="16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1959CC89-F95D-48FE-87A3-0627BE1BE6F9}" name="Scope 1 CO2 EFTran,1,tqg (kg CO2-e/GJ)" dataDxfId="16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CB254646-856A-4B00-8EBE-A4A31332D43C}" name="Scope 1 CH4 EFTran,1,tgg (kg CO2-e/GJ)" dataDxfId="16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56297AA0-E4D0-4108-8B54-13BF95E1F926}" name="Scope 1 N2O EFTran,1,tgg (kg CO2-e/GJ)" dataDxfId="16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DA06FFF1-B19C-4E1F-AB30-860AD3C9F309}" name="Scope 3 EFTrans,3,q (kg CO2-e/GJ)" dataDxfId="16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161">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7A892-76D9-4FF5-8ABA-2F6CD6D9A8B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9EC0254-AE44-46EF-AB62-962F2DA92CF8}" name="State/Territory">
      <calculatedColumnFormula array="1">Common_InputFunctions.Utility_DisplayArrayInTable(Common_SourceData.Common_SourceData_AustralianStatesTerritories_Data(),Table_AustralianStates[[#Headers],[State/Territory]],0)</calculatedColumnFormula>
    </tableColumn>
    <tableColumn id="2" xr3:uid="{9F39799F-8CAB-4E46-B72A-746CF765B678}" name="Common Name">
      <calculatedColumnFormula array="1">Common_InputFunctions.Utility_DisplayArrayInTable(Common_SourceData.Common_SourceData_AustralianStatesTerritories_Data(),Table_AustralianStates[[#Headers],[State/Territory]],0)</calculatedColumnFormula>
    </tableColumn>
    <tableColumn id="3" xr3:uid="{7E1866D1-FF5F-4918-A832-3B78B5B2AE8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38D8B0-3EE0-47C8-86DC-72F6646656FA}" name="Table_WASA4Areas" displayName="Table_WASA4Areas" ref="D20:D30" totalsRowShown="0">
  <autoFilter ref="D20:D30" xr:uid="{5FA81339-C6C8-4D36-BEEA-6C4AEDD9E676}">
    <filterColumn colId="0" hiddenButton="1"/>
  </autoFilter>
  <tableColumns count="1">
    <tableColumn id="1" xr3:uid="{3BA89BE8-8E41-4B7C-A584-33B71707722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08DFD7-4C9F-4BCE-B0C2-D2FC84F2F043}" name="Table_GWPData" displayName="Table_GWPData" ref="D36:E43" totalsRowShown="0">
  <autoFilter ref="D36:E43" xr:uid="{B8E87A66-3E41-4AD3-925D-01EE21B43D7A}">
    <filterColumn colId="0" hiddenButton="1"/>
    <filterColumn colId="1" hiddenButton="1"/>
  </autoFilter>
  <tableColumns count="2">
    <tableColumn id="1" xr3:uid="{888A1533-119E-4C94-9619-3D55E4703AF1}" name="Gas">
      <calculatedColumnFormula array="1">Common_InputFunctions.Utility_DisplayArrayInTable(Common_SourceData.Common_SourceData_GWP_Data(), Table_GWPData[[#Headers],[Gas]], 0)</calculatedColumnFormula>
    </tableColumn>
    <tableColumn id="2" xr3:uid="{ED3B0B3E-2E14-438F-987C-B348589529F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8E4C51-2085-43DA-8EFE-E5E01394321E}"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3B3F5C-1235-4393-B133-4240B1C3B384}" name="Gas">
      <calculatedColumnFormula array="1">Common_InputFunctions.Utility_DisplayArrayInTable(Common_SourceData.Common_SourceData_ConvertGasElementalToMolecular_Data(),Table_GasToMolecularConversionFactor[[#Headers],[Gas]], 0)</calculatedColumnFormula>
    </tableColumn>
    <tableColumn id="5" xr3:uid="{E4D22D23-03D4-4BF3-9B9D-A9BEFBA8B012}" name="Conversion factor">
      <calculatedColumnFormula array="1">Common_InputFunctions.Utility_DisplayArrayInTable(Common_SourceData.Common_SourceData_ConvertGasElementalToMolecular_Data(),Table_GasToMolecularConversionFactor[[#Headers],[Gas]], 0)</calculatedColumnFormula>
    </tableColumn>
    <tableColumn id="2" xr3:uid="{6C0239C4-69EA-4440-B62B-A8C51324283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066FE24-EADB-493E-8743-0C8131F7D4D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3D0EE8E-5934-4338-B910-D2F33A230FF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A26F12-6AF9-4548-B1EE-21B1534565D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C6B3486-49D7-4538-ACF2-DEE719FEE0C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430E360-7307-4C08-9F92-83E29583AB90}" name="MAT" totalsRowDxfId="160" totalsRowCellStyle="Content bold">
      <calculatedColumnFormula array="1">Common_InputFunctions.Utility_DisplayArrayInTable(Common_SourceData.Common_SourceData_ClimateZones_Data(), Table_SourceData_ClimateZones[[#Headers],[Climate zone]], 0)</calculatedColumnFormula>
    </tableColumn>
    <tableColumn id="3" xr3:uid="{F4467F45-5530-4233-942C-4ACB969564E5}" name="MAP" totalsRowDxfId="159" totalsRowCellStyle="Content bold">
      <calculatedColumnFormula array="1">Common_InputFunctions.Utility_DisplayArrayInTable(Common_SourceData.Common_SourceData_ClimateZones_Data(), Table_SourceData_ClimateZones[[#Headers],[Climate zone]], 0)</calculatedColumnFormula>
    </tableColumn>
    <tableColumn id="4" xr3:uid="{9EEF2903-2BF6-4F6B-B136-3FEDE2DB9CEB}" name="Frost days per year" totalsRowDxfId="158" totalsRowCellStyle="Content bold">
      <calculatedColumnFormula array="1">Common_InputFunctions.Utility_DisplayArrayInTable(Common_SourceData.Common_SourceData_ClimateZones_Data(), Table_SourceData_ClimateZones[[#Headers],[Climate zone]], 0)</calculatedColumnFormula>
    </tableColumn>
    <tableColumn id="5" xr3:uid="{B6FD8938-ECDC-4294-AB6B-E04EEB72C5A2}" name="Elevation" totalsRowDxfId="157" totalsRowCellStyle="Content bold">
      <calculatedColumnFormula array="1">Common_InputFunctions.Utility_DisplayArrayInTable(Common_SourceData.Common_SourceData_ClimateZones_Data(), Table_SourceData_ClimateZones[[#Headers],[Climate zone]], 0)</calculatedColumnFormula>
    </tableColumn>
    <tableColumn id="6" xr3:uid="{3F552D4D-BF16-40BD-AA41-C77F74C670B2}" name="MAP:PET" totalsRowDxfId="156" totalsRowCellStyle="Content bold">
      <calculatedColumnFormula array="1">Common_InputFunctions.Utility_DisplayArrayInTable(Common_SourceData.Common_SourceData_ClimateZones_Data(), Table_SourceData_ClimateZones[[#Headers],[Climate zone]], 0)</calculatedColumnFormula>
    </tableColumn>
    <tableColumn id="7" xr3:uid="{E5C65E8B-AADF-40BE-9BD2-C1476F37E957}" name="Min temp" totalsRowDxfId="155" totalsRowCellStyle="Content bold">
      <calculatedColumnFormula array="1">Common_InputFunctions.Utility_DisplayArrayInTable(Common_SourceData.Common_SourceData_ClimateZones_Data(), Table_SourceData_ClimateZones[[#Headers],[Climate zone]], 0)</calculatedColumnFormula>
    </tableColumn>
    <tableColumn id="8" xr3:uid="{08E958E2-4C27-404B-A875-F3C770581676}" name="Max temp" totalsRowDxfId="154" totalsRowCellStyle="Content bold">
      <calculatedColumnFormula array="1">Common_InputFunctions.Utility_DisplayArrayInTable(Common_SourceData.Common_SourceData_ClimateZones_Data(), Table_SourceData_ClimateZones[[#Headers],[Climate zone]], 0)</calculatedColumnFormula>
    </tableColumn>
    <tableColumn id="9" xr3:uid="{7D7A970E-B351-4D71-A612-842802BB985D}" name="Min rainfall" totalsRowDxfId="153" totalsRowCellStyle="Content bold">
      <calculatedColumnFormula array="1">Common_InputFunctions.Utility_DisplayArrayInTable(Common_SourceData.Common_SourceData_ClimateZones_Data(), Table_SourceData_ClimateZones[[#Headers],[Climate zone]], 0)</calculatedColumnFormula>
    </tableColumn>
    <tableColumn id="10" xr3:uid="{49C809EA-E0A9-41C4-868D-793286E36F2B}" name="Max rainfall" totalsRowDxfId="152" totalsRowCellStyle="Content bold">
      <calculatedColumnFormula array="1">Common_InputFunctions.Utility_DisplayArrayInTable(Common_SourceData.Common_SourceData_ClimateZones_Data(), Table_SourceData_ClimateZones[[#Headers],[Climate zone]], 0)</calculatedColumnFormula>
    </tableColumn>
    <tableColumn id="11" xr3:uid="{B1FF0B1F-5E45-4110-9A72-2A319490A453}" name="Min frost days"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15" xr3:uid="{6AB643FE-61A3-423D-BB53-5DE0D20514B5}" name="Max frost days" totalsRowDxfId="150" totalsRowCellStyle="Content bold">
      <calculatedColumnFormula array="1">Common_InputFunctions.Utility_DisplayArrayInTable(Common_SourceData.Common_SourceData_ClimateZones_Data(), Table_SourceData_ClimateZones[[#Headers],[Climate zone]], 0)</calculatedColumnFormula>
    </tableColumn>
    <tableColumn id="12" xr3:uid="{6144588B-386A-4107-96C6-5F981B7BA217}" name="Min elevation" totalsRowDxfId="149" totalsRowCellStyle="Content bold">
      <calculatedColumnFormula array="1">Common_InputFunctions.Utility_DisplayArrayInTable(Common_SourceData.Common_SourceData_ClimateZones_Data(), Table_SourceData_ClimateZones[[#Headers],[Climate zone]], 0)</calculatedColumnFormula>
    </tableColumn>
    <tableColumn id="16" xr3:uid="{614B562B-0105-47AA-9220-C9EA1B579AED}" name="Max elevation"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13" xr3:uid="{239FA065-F63F-4C9F-AD9B-CFE1272003C9}" name="Min MAP:PET"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17" xr3:uid="{FD12F5C9-165F-40ED-A122-378232714430}" name="Max MAP:PET" totalsRowDxfId="14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5AD2D5-D5D7-4345-BA34-DF9B62800DA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DD06219-259D-4CFE-B6D5-0EC6DE16CEE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26BA3E3-F7E9-48B8-A53D-2530CE7C233B}" name="Wet or Dry Zone" totalsRowDxfId="14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1EC85A-B24D-4F82-BB56-1C8B863429D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3149608-0FA0-44DE-B096-C85ED4EB84FB}" name="Temperature Zone">
      <calculatedColumnFormula array="1">Common_InputFunctions.Utility_DisplayArrayInTable(Common_SourceData.Common_SourceData_TemperatureZones_Data(),Table_SourceData_TemperatureZones[[#Headers],[Temperature Zone]],0)</calculatedColumnFormula>
    </tableColumn>
    <tableColumn id="2" xr3:uid="{4D7CB2C6-C4FE-4A22-9AA6-F3B0C577CFED}" name="MAT">
      <calculatedColumnFormula array="1">Common_InputFunctions.Utility_DisplayArrayInTable(Common_SourceData.Common_SourceData_TemperatureZones_Data(),Table_SourceData_TemperatureZones[[#Headers],[Temperature Zone]],0)</calculatedColumnFormula>
    </tableColumn>
    <tableColumn id="3" xr3:uid="{1B7D0921-C182-431E-B7DA-E23F39A86F35}" name="Min MAT">
      <calculatedColumnFormula array="1">Common_InputFunctions.Utility_DisplayArrayInTable(Common_SourceData.Common_SourceData_TemperatureZones_Data(),Table_SourceData_TemperatureZones[[#Headers],[Temperature Zone]],0)</calculatedColumnFormula>
    </tableColumn>
    <tableColumn id="4" xr3:uid="{6DD72040-0F6C-40C7-BDEC-426AE52FA8E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E351D7-1C00-4896-BD43-F225E5B19B4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79589F9-D9B1-4633-8382-9C1EA29CD847}" name="Rainfall Zone">
      <calculatedColumnFormula array="1">Common_InputFunctions.Utility_DisplayArrayInTable(Common_SourceData.Common_SourceData_RainfallZones_Data(),Table_SourceData_RainfallZones[[#Headers],[Rainfall Zone]],0)</calculatedColumnFormula>
    </tableColumn>
    <tableColumn id="2" xr3:uid="{2D65A4B6-3313-47B3-BFDD-4CC3D626CE11}" name="Annual rainfall">
      <calculatedColumnFormula array="1">Common_InputFunctions.Utility_DisplayArrayInTable(Common_SourceData.Common_SourceData_RainfallZones_Data(),Table_SourceData_RainfallZones[[#Headers],[Rainfall Zone]],0)</calculatedColumnFormula>
    </tableColumn>
    <tableColumn id="3" xr3:uid="{9257B0DC-3602-4FF0-AA83-2B48CA1B7007}" name="Min rainfall">
      <calculatedColumnFormula array="1">Common_InputFunctions.Utility_DisplayArrayInTable(Common_SourceData.Common_SourceData_RainfallZones_Data(),Table_SourceData_RainfallZones[[#Headers],[Rainfall Zone]],0)</calculatedColumnFormula>
    </tableColumn>
    <tableColumn id="4" xr3:uid="{D0D6BC98-36F4-42A0-BE05-35ECBE3D542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012760-1630-497E-A797-08D1E1F6B69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B14FE04-CFAD-4DBB-86A2-F792A6517A93}" name="Leaching Zone">
      <calculatedColumnFormula array="1">Common_InputFunctions.Utility_DisplayArrayInTable(Common_SourceData.Common_SourceData_LeachingZones_Data(), Table_SourceData_LeachingZones[[#Headers],[Leaching Zone]], 0)</calculatedColumnFormula>
    </tableColumn>
    <tableColumn id="2" xr3:uid="{0B59772A-D315-4592-AD70-575906A2AD5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731BC8A-327D-4507-BA96-62EB47E5FFC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1CD2D-6040-447E-9FC3-3ED89467ED97}" name="Data source">
      <calculatedColumnFormula array="1">Common_InputFunctions.Utility_DisplayArrayInTable(Common_SourceData.Common_SourceData_DataScores_Scope3_Data(), Table_SourceData_DataScores_Scope3[[#Headers],[Data source]], 0)</calculatedColumnFormula>
    </tableColumn>
    <tableColumn id="2" xr3:uid="{8D0BAF55-142E-4DA3-8079-A94EBBC5F1D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90D7458-5A20-4A54-AFF2-AAF23DDF0485}" name="Table_SourceData_FracWET" displayName="Table_SourceData_FracWET" ref="D134:E136" totalsRowShown="0">
  <autoFilter ref="D134:E136" xr:uid="{308E99BE-FE1F-47A4-B2CA-97217277C4E9}">
    <filterColumn colId="0" hiddenButton="1"/>
    <filterColumn colId="1" hiddenButton="1"/>
  </autoFilter>
  <tableColumns count="2">
    <tableColumn id="1" xr3:uid="{9830E341-7ABB-42DB-9F7D-01E9767F30DE}" name="Is in leaching zone">
      <calculatedColumnFormula array="1">Common_InputFunctions.Utility_DisplayArrayInTable(Common_SourceData.Common_SourceData_FracWET_Data(),Table_SourceData_FracWET[[#Headers],[Is in leaching zone]],0)</calculatedColumnFormula>
    </tableColumn>
    <tableColumn id="2" xr3:uid="{AEA5E891-232A-4D87-AF46-421D254B183B}" name="FracWET" dataDxfId="14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78AB1AD-887A-4C39-B46C-CE2FA11EAAE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71CE791-A500-468F-A2B7-A51CB7B2EC57}" name="Production system j">
      <calculatedColumnFormula array="1">Common_InputFunctions.Utility_DisplayArrayInTable(Common_SourceData.Common_SourceData_EFN2O_Data(), Table_SourceData_Common_EFN2O[[#Headers],[Production system j]], 0)</calculatedColumnFormula>
    </tableColumn>
    <tableColumn id="2" xr3:uid="{C1449596-5881-40B4-8E7D-3782FE658918}" name="EFN2O">
      <calculatedColumnFormula array="1">Common_InputFunctions.Utility_DisplayArrayInTable(Common_SourceData.Common_SourceData_EFN2O_Data(), Table_SourceData_Common_EFN2O[[#Headers],[Production system j]], 0)</calculatedColumnFormula>
    </tableColumn>
    <tableColumn id="3" xr3:uid="{09CF8BE8-441C-47CB-958F-EB4D559E0582}" name="Production system only">
      <calculatedColumnFormula array="1">Common_InputFunctions.Utility_DisplayArrayInTable(Common_SourceData.Common_SourceData_EFN2O_Data(), Table_SourceData_Common_EFN2O[[#Headers],[Production system j]], 0)</calculatedColumnFormula>
    </tableColumn>
    <tableColumn id="4" xr3:uid="{F610A84C-EEAD-4EF9-BEC4-73562831B4C9}" name="Irrigation method">
      <calculatedColumnFormula array="1">Common_InputFunctions.Utility_DisplayArrayInTable(Common_SourceData.Common_SourceData_EFN2O_Data(), Table_SourceData_Common_EFN2O[[#Headers],[Production system j]], 0)</calculatedColumnFormula>
    </tableColumn>
    <tableColumn id="5" xr3:uid="{8C99980D-FA84-4B4B-A21E-AE78441F894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F546B94-3041-42AC-A3DE-C153DA5CD7C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CD226A8-B698-4C42-A7CD-F757B6B0E0BF}" name="Irrigation type i">
      <calculatedColumnFormula array="1">Common_InputFunctions.Utility_DisplayArrayInTable(Common_SourceData.Common_SourceData_FracWETIrrigation_Data(), Table_SourceData_FracWETIrrigation[[#Headers],[Irrigation type i]], 0)</calculatedColumnFormula>
    </tableColumn>
    <tableColumn id="2" xr3:uid="{5F4A00C4-55F4-4C5F-B02B-FF66E4DBD293}" name="FracWET" dataDxfId="14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693DCC4-E8A3-4F07-B5B7-2DD7C349035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23F9FDA-B45A-45B3-9189-BD16F6263B7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595344E-F94E-49F3-9A3E-AEC8D9B69BBC}" name="EFPRP" dataDxfId="14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54E974-0497-4DEB-8210-2BD81D9DDED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5335444-978F-4AF5-90F5-809006CA1C0F}" name="Month">
      <calculatedColumnFormula array="1">Common_InputFunctions.Utility_DisplayArrayInTable(Common_SourceData.Common_SourceData_MonthsToSeasons_Data(), Table_SourceData_Common_MonthToSeason[[#Headers],[Month]], 0)</calculatedColumnFormula>
    </tableColumn>
    <tableColumn id="2" xr3:uid="{A3F83C56-2F86-483B-AA53-4498BC39FEB6}" name="Season" dataDxfId="14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ACC7827-32FF-4EF5-8948-52682677756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AB0CD4B-8596-4060-9017-D90C5AB650C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F6AF057-9971-47B8-A7DE-220CE18D2C82}" name="MAT (ºC)" dataDxfId="1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100968B-8D63-415B-A1D7-ABEB4B69C2EC}" name="Anaerobic lagoon" dataDxfId="1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F7A15BE-1B99-480F-8128-9C1781BDBA44}" name="Digester / covered lagoons" dataDxfId="1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3DB7FFD-0A74-4173-B1C9-F9A5F0A00E99}" name="Liquid systems" dataDxfId="1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8B15994-F771-4BD1-A5B6-EC2A99CA716E}" name="Daily spread" dataDxfId="1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1395400-9E2B-47C1-B03C-AB48B132CE24}" name="Composting (passive windrow)" dataDxfId="1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CA23A57-45DA-4637-AA51-FD38549A8045}" name="Solid storage" dataDxfId="1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C1F003E-8B57-42D6-A03B-5FABF38E036A}" name="Pit storage" dataDxfId="1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B0B1BFE-5361-470C-9A54-913C4C49730C}" name="Deep litter" dataDxfId="1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60A0BAE-A75A-4614-93FB-DC2C6CEBC07B}" name="Poultry manure with bedding"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7784A77C-30EB-4DC3-A1AA-14AE8F29F0A2}" name="Poultry manure without bedding"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5F91501-7BCD-4C00-9060-2366A71A9B79}" name="Direct processing" dataDxfId="1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5A9481E-1366-496D-B4BA-CBA4DC5F7CEE}" name="Direct application"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121A7C7-42E7-48EF-A228-1A9FD9AA9DEC}" name="Pasture range and paddock"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5F3FAD9-C84F-4B42-92BB-CC29687449D4}" name="MAT raw"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1020675-BC7E-4541-A79A-24F9FD14E51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306B2CF-F8C8-4A9C-B07B-06E54C6CB61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A954597-C859-4826-8A9C-3E05A2870F80}" name="EFNi &amp; EFN2Oi" dataDxfId="12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2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9.xml"/><Relationship Id="rId13" Type="http://schemas.openxmlformats.org/officeDocument/2006/relationships/table" Target="../tables/table24.xml"/><Relationship Id="rId3" Type="http://schemas.openxmlformats.org/officeDocument/2006/relationships/table" Target="../tables/table14.xml"/><Relationship Id="rId7" Type="http://schemas.openxmlformats.org/officeDocument/2006/relationships/table" Target="../tables/table18.xml"/><Relationship Id="rId12" Type="http://schemas.openxmlformats.org/officeDocument/2006/relationships/table" Target="../tables/table23.xml"/><Relationship Id="rId2" Type="http://schemas.openxmlformats.org/officeDocument/2006/relationships/table" Target="../tables/table13.xml"/><Relationship Id="rId1" Type="http://schemas.openxmlformats.org/officeDocument/2006/relationships/table" Target="../tables/table12.xml"/><Relationship Id="rId6" Type="http://schemas.openxmlformats.org/officeDocument/2006/relationships/table" Target="../tables/table17.xml"/><Relationship Id="rId11" Type="http://schemas.openxmlformats.org/officeDocument/2006/relationships/table" Target="../tables/table22.xml"/><Relationship Id="rId5" Type="http://schemas.openxmlformats.org/officeDocument/2006/relationships/table" Target="../tables/table16.xml"/><Relationship Id="rId10" Type="http://schemas.openxmlformats.org/officeDocument/2006/relationships/table" Target="../tables/table21.xml"/><Relationship Id="rId4" Type="http://schemas.openxmlformats.org/officeDocument/2006/relationships/table" Target="../tables/table15.xml"/><Relationship Id="rId9" Type="http://schemas.openxmlformats.org/officeDocument/2006/relationships/table" Target="../tables/table20.xml"/><Relationship Id="rId14" Type="http://schemas.openxmlformats.org/officeDocument/2006/relationships/table" Target="../tables/table25.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3.xml"/><Relationship Id="rId13" Type="http://schemas.openxmlformats.org/officeDocument/2006/relationships/table" Target="../tables/table38.xml"/><Relationship Id="rId3" Type="http://schemas.openxmlformats.org/officeDocument/2006/relationships/table" Target="../tables/table28.xml"/><Relationship Id="rId7" Type="http://schemas.openxmlformats.org/officeDocument/2006/relationships/table" Target="../tables/table32.xml"/><Relationship Id="rId12" Type="http://schemas.openxmlformats.org/officeDocument/2006/relationships/table" Target="../tables/table37.xml"/><Relationship Id="rId2" Type="http://schemas.openxmlformats.org/officeDocument/2006/relationships/table" Target="../tables/table27.xml"/><Relationship Id="rId1" Type="http://schemas.openxmlformats.org/officeDocument/2006/relationships/table" Target="../tables/table26.xml"/><Relationship Id="rId6" Type="http://schemas.openxmlformats.org/officeDocument/2006/relationships/table" Target="../tables/table31.xml"/><Relationship Id="rId11" Type="http://schemas.openxmlformats.org/officeDocument/2006/relationships/table" Target="../tables/table36.xml"/><Relationship Id="rId5" Type="http://schemas.openxmlformats.org/officeDocument/2006/relationships/table" Target="../tables/table30.xml"/><Relationship Id="rId15" Type="http://schemas.openxmlformats.org/officeDocument/2006/relationships/table" Target="../tables/table40.xml"/><Relationship Id="rId10" Type="http://schemas.openxmlformats.org/officeDocument/2006/relationships/table" Target="../tables/table35.xml"/><Relationship Id="rId4" Type="http://schemas.openxmlformats.org/officeDocument/2006/relationships/table" Target="../tables/table29.xml"/><Relationship Id="rId9" Type="http://schemas.openxmlformats.org/officeDocument/2006/relationships/table" Target="../tables/table34.xml"/><Relationship Id="rId14" Type="http://schemas.openxmlformats.org/officeDocument/2006/relationships/table" Target="../tables/table39.xml"/></Relationships>
</file>

<file path=xl/worksheets/_rels/sheet4.xml.rels><?xml version="1.0" encoding="UTF-8" standalone="yes"?>
<Relationships xmlns="http://schemas.openxmlformats.org/package/2006/relationships"><Relationship Id="rId8" Type="http://schemas.openxmlformats.org/officeDocument/2006/relationships/table" Target="../tables/table48.xml"/><Relationship Id="rId13" Type="http://schemas.openxmlformats.org/officeDocument/2006/relationships/table" Target="../tables/table53.xml"/><Relationship Id="rId18" Type="http://schemas.openxmlformats.org/officeDocument/2006/relationships/table" Target="../tables/table58.xml"/><Relationship Id="rId3" Type="http://schemas.openxmlformats.org/officeDocument/2006/relationships/table" Target="../tables/table43.xml"/><Relationship Id="rId21" Type="http://schemas.openxmlformats.org/officeDocument/2006/relationships/table" Target="../tables/table61.xml"/><Relationship Id="rId7" Type="http://schemas.openxmlformats.org/officeDocument/2006/relationships/table" Target="../tables/table47.xml"/><Relationship Id="rId12" Type="http://schemas.openxmlformats.org/officeDocument/2006/relationships/table" Target="../tables/table52.xml"/><Relationship Id="rId17" Type="http://schemas.openxmlformats.org/officeDocument/2006/relationships/table" Target="../tables/table57.xml"/><Relationship Id="rId2" Type="http://schemas.openxmlformats.org/officeDocument/2006/relationships/table" Target="../tables/table42.xml"/><Relationship Id="rId16" Type="http://schemas.openxmlformats.org/officeDocument/2006/relationships/table" Target="../tables/table56.xml"/><Relationship Id="rId20" Type="http://schemas.openxmlformats.org/officeDocument/2006/relationships/table" Target="../tables/table60.xml"/><Relationship Id="rId1" Type="http://schemas.openxmlformats.org/officeDocument/2006/relationships/table" Target="../tables/table41.xml"/><Relationship Id="rId6" Type="http://schemas.openxmlformats.org/officeDocument/2006/relationships/table" Target="../tables/table46.xml"/><Relationship Id="rId11" Type="http://schemas.openxmlformats.org/officeDocument/2006/relationships/table" Target="../tables/table51.xml"/><Relationship Id="rId24" Type="http://schemas.openxmlformats.org/officeDocument/2006/relationships/table" Target="../tables/table64.xml"/><Relationship Id="rId5" Type="http://schemas.openxmlformats.org/officeDocument/2006/relationships/table" Target="../tables/table45.xml"/><Relationship Id="rId15" Type="http://schemas.openxmlformats.org/officeDocument/2006/relationships/table" Target="../tables/table55.xml"/><Relationship Id="rId23" Type="http://schemas.openxmlformats.org/officeDocument/2006/relationships/table" Target="../tables/table63.xml"/><Relationship Id="rId10" Type="http://schemas.openxmlformats.org/officeDocument/2006/relationships/table" Target="../tables/table50.xml"/><Relationship Id="rId19" Type="http://schemas.openxmlformats.org/officeDocument/2006/relationships/table" Target="../tables/table59.xml"/><Relationship Id="rId4" Type="http://schemas.openxmlformats.org/officeDocument/2006/relationships/table" Target="../tables/table44.xml"/><Relationship Id="rId9" Type="http://schemas.openxmlformats.org/officeDocument/2006/relationships/table" Target="../tables/table49.xml"/><Relationship Id="rId14" Type="http://schemas.openxmlformats.org/officeDocument/2006/relationships/table" Target="../tables/table54.xml"/><Relationship Id="rId22" Type="http://schemas.openxmlformats.org/officeDocument/2006/relationships/table" Target="../tables/table6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6.xml"/><Relationship Id="rId2" Type="http://schemas.openxmlformats.org/officeDocument/2006/relationships/table" Target="../tables/table65.xml"/><Relationship Id="rId1" Type="http://schemas.openxmlformats.org/officeDocument/2006/relationships/printerSettings" Target="../printerSettings/printerSettings2.bin"/><Relationship Id="rId5" Type="http://schemas.openxmlformats.org/officeDocument/2006/relationships/table" Target="../tables/table68.xml"/><Relationship Id="rId4" Type="http://schemas.openxmlformats.org/officeDocument/2006/relationships/table" Target="../tables/table67.xml"/></Relationships>
</file>

<file path=xl/worksheets/_rels/sheet8.xml.rels><?xml version="1.0" encoding="UTF-8" standalone="yes"?>
<Relationships xmlns="http://schemas.openxmlformats.org/package/2006/relationships"><Relationship Id="rId8" Type="http://schemas.openxmlformats.org/officeDocument/2006/relationships/table" Target="../tables/table75.xml"/><Relationship Id="rId3" Type="http://schemas.openxmlformats.org/officeDocument/2006/relationships/table" Target="../tables/table70.xml"/><Relationship Id="rId7" Type="http://schemas.openxmlformats.org/officeDocument/2006/relationships/table" Target="../tables/table74.xml"/><Relationship Id="rId12" Type="http://schemas.openxmlformats.org/officeDocument/2006/relationships/table" Target="../tables/table79.xml"/><Relationship Id="rId2" Type="http://schemas.openxmlformats.org/officeDocument/2006/relationships/table" Target="../tables/table69.xml"/><Relationship Id="rId1" Type="http://schemas.openxmlformats.org/officeDocument/2006/relationships/printerSettings" Target="../printerSettings/printerSettings3.bin"/><Relationship Id="rId6" Type="http://schemas.openxmlformats.org/officeDocument/2006/relationships/table" Target="../tables/table73.xml"/><Relationship Id="rId11" Type="http://schemas.openxmlformats.org/officeDocument/2006/relationships/table" Target="../tables/table78.xml"/><Relationship Id="rId5" Type="http://schemas.openxmlformats.org/officeDocument/2006/relationships/table" Target="../tables/table72.xml"/><Relationship Id="rId10" Type="http://schemas.openxmlformats.org/officeDocument/2006/relationships/table" Target="../tables/table77.xml"/><Relationship Id="rId4" Type="http://schemas.openxmlformats.org/officeDocument/2006/relationships/table" Target="../tables/table71.xml"/><Relationship Id="rId9" Type="http://schemas.openxmlformats.org/officeDocument/2006/relationships/table" Target="../tables/table7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0.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2.xml"/><Relationship Id="rId2" Type="http://schemas.openxmlformats.org/officeDocument/2006/relationships/table" Target="../tables/table81.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90.xml"/><Relationship Id="rId13" Type="http://schemas.openxmlformats.org/officeDocument/2006/relationships/table" Target="../tables/table95.xml"/><Relationship Id="rId18" Type="http://schemas.openxmlformats.org/officeDocument/2006/relationships/table" Target="../tables/table100.xml"/><Relationship Id="rId26" Type="http://schemas.openxmlformats.org/officeDocument/2006/relationships/table" Target="../tables/table108.xml"/><Relationship Id="rId3" Type="http://schemas.openxmlformats.org/officeDocument/2006/relationships/table" Target="../tables/table85.xml"/><Relationship Id="rId21" Type="http://schemas.openxmlformats.org/officeDocument/2006/relationships/table" Target="../tables/table103.xml"/><Relationship Id="rId7" Type="http://schemas.openxmlformats.org/officeDocument/2006/relationships/table" Target="../tables/table89.xml"/><Relationship Id="rId12" Type="http://schemas.openxmlformats.org/officeDocument/2006/relationships/table" Target="../tables/table94.xml"/><Relationship Id="rId17" Type="http://schemas.openxmlformats.org/officeDocument/2006/relationships/table" Target="../tables/table99.xml"/><Relationship Id="rId25" Type="http://schemas.openxmlformats.org/officeDocument/2006/relationships/table" Target="../tables/table107.xml"/><Relationship Id="rId2" Type="http://schemas.openxmlformats.org/officeDocument/2006/relationships/table" Target="../tables/table84.xml"/><Relationship Id="rId16" Type="http://schemas.openxmlformats.org/officeDocument/2006/relationships/table" Target="../tables/table98.xml"/><Relationship Id="rId20" Type="http://schemas.openxmlformats.org/officeDocument/2006/relationships/table" Target="../tables/table102.xml"/><Relationship Id="rId29" Type="http://schemas.openxmlformats.org/officeDocument/2006/relationships/table" Target="../tables/table111.xml"/><Relationship Id="rId1" Type="http://schemas.openxmlformats.org/officeDocument/2006/relationships/table" Target="../tables/table83.xml"/><Relationship Id="rId6" Type="http://schemas.openxmlformats.org/officeDocument/2006/relationships/table" Target="../tables/table88.xml"/><Relationship Id="rId11" Type="http://schemas.openxmlformats.org/officeDocument/2006/relationships/table" Target="../tables/table93.xml"/><Relationship Id="rId24" Type="http://schemas.openxmlformats.org/officeDocument/2006/relationships/table" Target="../tables/table106.xml"/><Relationship Id="rId5" Type="http://schemas.openxmlformats.org/officeDocument/2006/relationships/table" Target="../tables/table87.xml"/><Relationship Id="rId15" Type="http://schemas.openxmlformats.org/officeDocument/2006/relationships/table" Target="../tables/table97.xml"/><Relationship Id="rId23" Type="http://schemas.openxmlformats.org/officeDocument/2006/relationships/table" Target="../tables/table105.xml"/><Relationship Id="rId28" Type="http://schemas.openxmlformats.org/officeDocument/2006/relationships/table" Target="../tables/table110.xml"/><Relationship Id="rId10" Type="http://schemas.openxmlformats.org/officeDocument/2006/relationships/table" Target="../tables/table92.xml"/><Relationship Id="rId19" Type="http://schemas.openxmlformats.org/officeDocument/2006/relationships/table" Target="../tables/table101.xml"/><Relationship Id="rId31" Type="http://schemas.openxmlformats.org/officeDocument/2006/relationships/table" Target="../tables/table113.xml"/><Relationship Id="rId4" Type="http://schemas.openxmlformats.org/officeDocument/2006/relationships/table" Target="../tables/table86.xml"/><Relationship Id="rId9" Type="http://schemas.openxmlformats.org/officeDocument/2006/relationships/table" Target="../tables/table91.xml"/><Relationship Id="rId14" Type="http://schemas.openxmlformats.org/officeDocument/2006/relationships/table" Target="../tables/table96.xml"/><Relationship Id="rId22" Type="http://schemas.openxmlformats.org/officeDocument/2006/relationships/table" Target="../tables/table104.xml"/><Relationship Id="rId27" Type="http://schemas.openxmlformats.org/officeDocument/2006/relationships/table" Target="../tables/table109.xml"/><Relationship Id="rId30" Type="http://schemas.openxmlformats.org/officeDocument/2006/relationships/table" Target="../tables/table1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6.xml"/><Relationship Id="rId2" Type="http://schemas.openxmlformats.org/officeDocument/2006/relationships/table" Target="../tables/table115.xml"/><Relationship Id="rId1" Type="http://schemas.openxmlformats.org/officeDocument/2006/relationships/table" Target="../tables/table114.xml"/><Relationship Id="rId6" Type="http://schemas.openxmlformats.org/officeDocument/2006/relationships/table" Target="../tables/table119.xml"/><Relationship Id="rId5" Type="http://schemas.openxmlformats.org/officeDocument/2006/relationships/table" Target="../tables/table118.xml"/><Relationship Id="rId4" Type="http://schemas.openxmlformats.org/officeDocument/2006/relationships/table" Target="../tables/table117.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27.xml"/><Relationship Id="rId3" Type="http://schemas.openxmlformats.org/officeDocument/2006/relationships/table" Target="../tables/table122.xml"/><Relationship Id="rId7" Type="http://schemas.openxmlformats.org/officeDocument/2006/relationships/table" Target="../tables/table126.xml"/><Relationship Id="rId2" Type="http://schemas.openxmlformats.org/officeDocument/2006/relationships/table" Target="../tables/table121.xml"/><Relationship Id="rId1" Type="http://schemas.openxmlformats.org/officeDocument/2006/relationships/table" Target="../tables/table120.xml"/><Relationship Id="rId6" Type="http://schemas.openxmlformats.org/officeDocument/2006/relationships/table" Target="../tables/table125.xml"/><Relationship Id="rId11" Type="http://schemas.openxmlformats.org/officeDocument/2006/relationships/table" Target="../tables/table130.xml"/><Relationship Id="rId5" Type="http://schemas.openxmlformats.org/officeDocument/2006/relationships/table" Target="../tables/table124.xml"/><Relationship Id="rId10" Type="http://schemas.openxmlformats.org/officeDocument/2006/relationships/table" Target="../tables/table129.xml"/><Relationship Id="rId4" Type="http://schemas.openxmlformats.org/officeDocument/2006/relationships/table" Target="../tables/table123.xml"/><Relationship Id="rId9" Type="http://schemas.openxmlformats.org/officeDocument/2006/relationships/table" Target="../tables/table128.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3.xml"/><Relationship Id="rId7" Type="http://schemas.openxmlformats.org/officeDocument/2006/relationships/table" Target="../tables/table137.xml"/><Relationship Id="rId2" Type="http://schemas.openxmlformats.org/officeDocument/2006/relationships/table" Target="../tables/table132.xml"/><Relationship Id="rId1" Type="http://schemas.openxmlformats.org/officeDocument/2006/relationships/table" Target="../tables/table131.xml"/><Relationship Id="rId6" Type="http://schemas.openxmlformats.org/officeDocument/2006/relationships/table" Target="../tables/table136.xml"/><Relationship Id="rId5" Type="http://schemas.openxmlformats.org/officeDocument/2006/relationships/table" Target="../tables/table135.xml"/><Relationship Id="rId4" Type="http://schemas.openxmlformats.org/officeDocument/2006/relationships/table" Target="../tables/table134.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39.xml"/><Relationship Id="rId1" Type="http://schemas.openxmlformats.org/officeDocument/2006/relationships/table" Target="../tables/table138.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146.xml"/><Relationship Id="rId13" Type="http://schemas.openxmlformats.org/officeDocument/2006/relationships/table" Target="../tables/table151.xml"/><Relationship Id="rId18" Type="http://schemas.openxmlformats.org/officeDocument/2006/relationships/table" Target="../tables/table156.xml"/><Relationship Id="rId3" Type="http://schemas.openxmlformats.org/officeDocument/2006/relationships/table" Target="../tables/table141.xml"/><Relationship Id="rId7" Type="http://schemas.openxmlformats.org/officeDocument/2006/relationships/table" Target="../tables/table145.xml"/><Relationship Id="rId12" Type="http://schemas.openxmlformats.org/officeDocument/2006/relationships/table" Target="../tables/table150.xml"/><Relationship Id="rId17" Type="http://schemas.openxmlformats.org/officeDocument/2006/relationships/table" Target="../tables/table155.xml"/><Relationship Id="rId2" Type="http://schemas.openxmlformats.org/officeDocument/2006/relationships/table" Target="../tables/table140.xml"/><Relationship Id="rId16" Type="http://schemas.openxmlformats.org/officeDocument/2006/relationships/table" Target="../tables/table154.xml"/><Relationship Id="rId1" Type="http://schemas.openxmlformats.org/officeDocument/2006/relationships/printerSettings" Target="../printerSettings/printerSettings7.bin"/><Relationship Id="rId6" Type="http://schemas.openxmlformats.org/officeDocument/2006/relationships/table" Target="../tables/table144.xml"/><Relationship Id="rId11" Type="http://schemas.openxmlformats.org/officeDocument/2006/relationships/table" Target="../tables/table149.xml"/><Relationship Id="rId5" Type="http://schemas.openxmlformats.org/officeDocument/2006/relationships/table" Target="../tables/table143.xml"/><Relationship Id="rId15" Type="http://schemas.openxmlformats.org/officeDocument/2006/relationships/table" Target="../tables/table153.xml"/><Relationship Id="rId10" Type="http://schemas.openxmlformats.org/officeDocument/2006/relationships/table" Target="../tables/table148.xml"/><Relationship Id="rId4" Type="http://schemas.openxmlformats.org/officeDocument/2006/relationships/table" Target="../tables/table142.xml"/><Relationship Id="rId9" Type="http://schemas.openxmlformats.org/officeDocument/2006/relationships/table" Target="../tables/table147.xml"/><Relationship Id="rId14" Type="http://schemas.openxmlformats.org/officeDocument/2006/relationships/table" Target="../tables/table15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dimension ref="A1:W452"/>
  <sheetViews>
    <sheetView showGridLines="0" topLeftCell="A102" zoomScaleNormal="100" workbookViewId="0">
      <selection activeCell="D121" sqref="D12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631</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tr" cm="1">
        <f t="array" ref="D5">SourceData_Poultry.SourceData_Poultry_DietProperties_Title()</f>
        <v>Poultry - Diet properties</v>
      </c>
      <c r="M5" s="8"/>
    </row>
    <row r="6" spans="1:21" ht="20.100000000000001" customHeight="1" x14ac:dyDescent="0.25">
      <c r="A6" s="18"/>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632</v>
      </c>
      <c r="E8" s="10" t="s">
        <v>633</v>
      </c>
      <c r="F8" s="10" t="s">
        <v>634</v>
      </c>
      <c r="G8" s="10" t="s">
        <v>635</v>
      </c>
      <c r="H8" s="10" t="s">
        <v>636</v>
      </c>
      <c r="M8" s="8"/>
    </row>
    <row r="9" spans="1:21" ht="20.100000000000001" customHeight="1" x14ac:dyDescent="0.25">
      <c r="A9" s="16" t="str">
        <f>HYPERLINK("#'Input - Poultry'!A1", "Poultry")</f>
        <v>Poultry</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21" t="s">
        <v>77</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HYPERLINK("#'4.6.1.1-2 Methane'!A1", "4.6.1.1-2 Methane")</f>
        <v>4.6.1.1-2 Methane</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HYPERLINK("#'4.6.1.3-4 Direct N20'!A1", "4.6.1.3-4 Direct N2O")</f>
        <v>4.6.1.3-4 Direct N2O</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HYPERLINK("#'4.6.1.5-6 Atmos Dep'!A1", "4.6.1.5-6 Atmospheric deposition")</f>
        <v>4.6.1.5-6 Atmospheric deposition</v>
      </c>
      <c r="M14" s="8"/>
    </row>
    <row r="15" spans="1:21" ht="20.100000000000001" customHeight="1" x14ac:dyDescent="0.25">
      <c r="A15" s="16" t="str">
        <f>HYPERLINK("#'4.6.1.7-8 Leaching and runoff'!A1", "4.6.1.7-8 Leaching &amp; runoff")</f>
        <v>4.6.1.7-8 Leaching &amp; runoff</v>
      </c>
      <c r="M15" s="8"/>
    </row>
    <row r="16" spans="1:21" ht="20.100000000000001" customHeight="1" x14ac:dyDescent="0.25">
      <c r="A16" s="16" t="str">
        <f>HYPERLINK("#'4.6.1.9 Manure applied to soils'!A1", "4.6.1.9 Manure applied to soils")</f>
        <v>4.6.1.9 Manure applied to soils</v>
      </c>
      <c r="M16" s="8"/>
    </row>
    <row r="17" spans="1:13" ht="20.100000000000001" customHeight="1" x14ac:dyDescent="0.25">
      <c r="A17" s="16" t="str">
        <f>HYPERLINK("#'4.6.1.10-11 Soil direct N2O'!A1", "4.6.1.10-11 Soil direct N2O")</f>
        <v>4.6.1.10-11 Soil direct N2O</v>
      </c>
      <c r="D17" s="9" t="str" cm="1">
        <f t="array" ref="D17">SourceData_Poultry.SourceData_Poultry_MethaneEmissionsPotential_Title()</f>
        <v>Poultry - Methane emissions potential per class</v>
      </c>
      <c r="M17" s="8"/>
    </row>
    <row r="18" spans="1:13" ht="20.100000000000001" customHeight="1" x14ac:dyDescent="0.25">
      <c r="A18" s="16" t="str">
        <f>HYPERLINK("#'4.6.1.12-13 Soil atmos dep'!A1", "4.6.1.12-13 Soil Atm. deposition")</f>
        <v>4.6.1.12-13 Soil Atm. deposition</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HYPERLINK("#'4.6.1.14-15 Soil leach runoff'!A1", "4.6.1.14-15 Soil leach &amp; runoff")</f>
        <v>4.6.1.14-15 Soil leach &amp; runoff</v>
      </c>
      <c r="D19" s="10" t="s">
        <v>637</v>
      </c>
      <c r="E19" s="10" t="s">
        <v>638</v>
      </c>
      <c r="M19" s="8"/>
    </row>
    <row r="20" spans="1:13" ht="20.100000000000001" customHeight="1" x14ac:dyDescent="0.25">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23" t="s">
        <v>78</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4" t="str">
        <f>HYPERLINK("#'Constants - Poultry'!A1", "Constants - Poultry")</f>
        <v>Constants - Poultry</v>
      </c>
      <c r="M22" s="8"/>
    </row>
    <row r="23" spans="1:13" ht="20.100000000000001" customHeight="1" x14ac:dyDescent="0.25">
      <c r="A23" s="16" t="str">
        <f>HYPERLINK("#'Constants - Livestock'!A1", "Constants - Livestock")</f>
        <v>Constants - Livestock</v>
      </c>
      <c r="M23" s="8"/>
    </row>
    <row r="24" spans="1:13" ht="20.100000000000001" customHeight="1" x14ac:dyDescent="0.25">
      <c r="A24" s="16" t="str">
        <f>HYPERLINK("#'Constants - Common'!A1", "Constants - Common")</f>
        <v>Constants - Common</v>
      </c>
      <c r="M24" s="8"/>
    </row>
    <row r="25" spans="1:13" ht="20.100000000000001" customHeight="1" x14ac:dyDescent="0.25">
      <c r="A25" s="16"/>
      <c r="M25" s="8"/>
    </row>
    <row r="26" spans="1:13" ht="20.100000000000001" customHeight="1" x14ac:dyDescent="0.25">
      <c r="D26" s="9" t="s">
        <v>639</v>
      </c>
      <c r="G26" s="9" t="s">
        <v>640</v>
      </c>
      <c r="J26" s="9" t="s">
        <v>641</v>
      </c>
      <c r="M26" s="8"/>
    </row>
    <row r="27" spans="1:13" ht="20.100000000000001" customHeight="1" x14ac:dyDescent="0.25">
      <c r="M27" s="8"/>
    </row>
    <row r="28" spans="1:13" ht="20.100000000000001" customHeight="1" x14ac:dyDescent="0.25">
      <c r="D28" s="172" t="s">
        <v>578</v>
      </c>
      <c r="E28" s="10" t="s">
        <v>357</v>
      </c>
      <c r="G28" s="172" t="s">
        <v>578</v>
      </c>
      <c r="H28" s="10" t="s">
        <v>357</v>
      </c>
      <c r="J28" s="172" t="s">
        <v>578</v>
      </c>
      <c r="K28" s="10" t="s">
        <v>357</v>
      </c>
      <c r="M28" s="8"/>
    </row>
    <row r="29" spans="1:13" ht="20.100000000000001" customHeight="1" x14ac:dyDescent="0.25">
      <c r="D29" s="10" t="s">
        <v>58</v>
      </c>
      <c r="E29" s="10" t="s">
        <v>642</v>
      </c>
      <c r="G29" s="10" t="s">
        <v>58</v>
      </c>
      <c r="H29" s="10" t="s">
        <v>642</v>
      </c>
      <c r="J29" s="10" t="s">
        <v>55</v>
      </c>
      <c r="K29" s="10" t="s">
        <v>643</v>
      </c>
      <c r="M29" s="8"/>
    </row>
    <row r="30" spans="1:13" ht="20.100000000000001" customHeight="1" x14ac:dyDescent="0.25">
      <c r="D30" s="10" t="s">
        <v>644</v>
      </c>
      <c r="E30" s="10" t="s">
        <v>645</v>
      </c>
      <c r="G30" s="10" t="s">
        <v>644</v>
      </c>
      <c r="H30" s="10" t="s">
        <v>645</v>
      </c>
      <c r="J30" s="10" t="s">
        <v>54</v>
      </c>
      <c r="K30" s="10" t="s">
        <v>646</v>
      </c>
      <c r="M30" s="8"/>
    </row>
    <row r="31" spans="1:13" ht="20.100000000000001" customHeight="1" x14ac:dyDescent="0.25">
      <c r="D31" s="10" t="s">
        <v>647</v>
      </c>
      <c r="E31" s="10" t="s">
        <v>648</v>
      </c>
      <c r="G31" s="10" t="s">
        <v>647</v>
      </c>
      <c r="H31" s="10" t="s">
        <v>648</v>
      </c>
      <c r="J31" s="8" t="s">
        <v>51</v>
      </c>
      <c r="K31" s="8" t="s">
        <v>649</v>
      </c>
      <c r="M31" s="8"/>
    </row>
    <row r="32" spans="1:13" ht="20.100000000000001" customHeight="1" x14ac:dyDescent="0.25">
      <c r="D32" s="10" t="s">
        <v>62</v>
      </c>
      <c r="E32" s="10" t="s">
        <v>650</v>
      </c>
      <c r="G32" s="10" t="s">
        <v>62</v>
      </c>
      <c r="H32" s="10" t="s">
        <v>650</v>
      </c>
      <c r="J32" s="10" t="s">
        <v>60</v>
      </c>
      <c r="K32" s="10" t="s">
        <v>651</v>
      </c>
      <c r="M32" s="8"/>
    </row>
    <row r="33" spans="4:13" ht="20.100000000000001" customHeight="1" x14ac:dyDescent="0.25">
      <c r="D33" s="10" t="s">
        <v>55</v>
      </c>
      <c r="E33" s="10" t="s">
        <v>643</v>
      </c>
      <c r="G33" s="8" t="s">
        <v>652</v>
      </c>
      <c r="H33" s="10" t="s">
        <v>652</v>
      </c>
      <c r="J33" s="10" t="s">
        <v>61</v>
      </c>
      <c r="K33" s="10" t="s">
        <v>653</v>
      </c>
      <c r="M33" s="8"/>
    </row>
    <row r="34" spans="4:13" ht="20.100000000000001" customHeight="1" x14ac:dyDescent="0.25">
      <c r="D34" s="10" t="s">
        <v>54</v>
      </c>
      <c r="E34" s="10" t="s">
        <v>646</v>
      </c>
      <c r="J34" s="8" t="s">
        <v>652</v>
      </c>
      <c r="K34" s="10" t="s">
        <v>652</v>
      </c>
      <c r="M34" s="8"/>
    </row>
    <row r="35" spans="4:13" ht="20.100000000000001" customHeight="1" x14ac:dyDescent="0.25">
      <c r="D35" s="8" t="s">
        <v>51</v>
      </c>
      <c r="E35" s="8" t="s">
        <v>649</v>
      </c>
      <c r="M35" s="8"/>
    </row>
    <row r="36" spans="4:13" ht="20.100000000000001" customHeight="1" x14ac:dyDescent="0.25">
      <c r="D36" s="10" t="s">
        <v>60</v>
      </c>
      <c r="E36" s="10" t="s">
        <v>651</v>
      </c>
      <c r="M36" s="8"/>
    </row>
    <row r="37" spans="4:13" ht="20.100000000000001" customHeight="1" x14ac:dyDescent="0.25">
      <c r="D37" s="10" t="s">
        <v>61</v>
      </c>
      <c r="E37" s="10" t="s">
        <v>653</v>
      </c>
      <c r="M37" s="8"/>
    </row>
    <row r="38" spans="4:13" ht="20.100000000000001" customHeight="1" x14ac:dyDescent="0.25">
      <c r="D38" s="8" t="s">
        <v>652</v>
      </c>
      <c r="E38" s="10" t="s">
        <v>652</v>
      </c>
      <c r="M38" s="8"/>
    </row>
    <row r="39" spans="4:13" ht="20.100000000000001" customHeight="1" x14ac:dyDescent="0.25">
      <c r="M39" s="8"/>
    </row>
    <row r="40" spans="4:13" ht="20.100000000000001" customHeight="1" x14ac:dyDescent="0.25">
      <c r="M40" s="8"/>
    </row>
    <row r="41" spans="4:13" ht="20.100000000000001" customHeight="1" x14ac:dyDescent="0.25">
      <c r="M41" s="8"/>
    </row>
    <row r="42" spans="4:13" ht="20.100000000000001" customHeight="1" x14ac:dyDescent="0.25">
      <c r="D42" s="9" t="s">
        <v>654</v>
      </c>
      <c r="M42" s="8"/>
    </row>
    <row r="43" spans="4:13" ht="20.100000000000001" customHeight="1" x14ac:dyDescent="0.25">
      <c r="M43" s="8"/>
    </row>
    <row r="44" spans="4:13" ht="20.100000000000001" customHeight="1" x14ac:dyDescent="0.25">
      <c r="D44" s="10" t="s">
        <v>148</v>
      </c>
      <c r="M44" s="8"/>
    </row>
    <row r="45" spans="4:13" ht="20.100000000000001" customHeight="1" x14ac:dyDescent="0.25">
      <c r="D45" s="10" t="str" cm="1">
        <f t="array" ref="D45">Common_InputFunctions.Utility_DisplayArrayInTable(SourceData_Poultry.SourceData_Poultry_ProductionSystems_Data(), Table_SourceData_Poultry_ProductionSystems[[#Headers],[Production system]], 0)</f>
        <v>Free range</v>
      </c>
      <c r="M45" s="8"/>
    </row>
    <row r="46" spans="4:13" ht="20.100000000000001" customHeight="1" x14ac:dyDescent="0.25">
      <c r="D46" s="8" t="str" cm="1">
        <f t="array" ref="D46">Common_InputFunctions.Utility_DisplayArrayInTable(SourceData_Poultry.SourceData_Poultry_ProductionSystems_Data(), Table_SourceData_Poultry_ProductionSystems[[#Headers],[Production system]], 0)</f>
        <v>Barn</v>
      </c>
      <c r="M46" s="8"/>
    </row>
    <row r="47" spans="4:13" ht="20.100000000000001" customHeight="1" x14ac:dyDescent="0.25">
      <c r="D47" s="8" t="str" cm="1">
        <f t="array" ref="D47">Common_InputFunctions.Utility_DisplayArrayInTable(SourceData_Poultry.SourceData_Poultry_ProductionSystems_Data(), Table_SourceData_Poultry_ProductionSystems[[#Headers],[Production system]], 0)</f>
        <v>Cage</v>
      </c>
      <c r="M47" s="8"/>
    </row>
    <row r="48" spans="4:13" ht="20.100000000000001" customHeight="1" x14ac:dyDescent="0.25">
      <c r="M48" s="8"/>
    </row>
    <row r="49" spans="4:14" ht="20.100000000000001" customHeight="1" x14ac:dyDescent="0.25">
      <c r="M49" s="8"/>
    </row>
    <row r="50" spans="4:14" ht="20.100000000000001" customHeight="1" x14ac:dyDescent="0.25">
      <c r="M50" s="8"/>
    </row>
    <row r="51" spans="4:14" ht="20.100000000000001" customHeight="1" x14ac:dyDescent="0.25">
      <c r="D51" s="9" t="str" cm="1">
        <f t="array" ref="D51">SourceData_Poultry.SourceData_Poultry_MCF_Title()</f>
        <v>Poultry - MCFs</v>
      </c>
      <c r="M51" s="8"/>
    </row>
    <row r="52" spans="4:14" ht="20.100000000000001" customHeight="1" x14ac:dyDescent="0.25">
      <c r="D52" s="11" t="str" cm="1">
        <f t="array" ref="D52">SourceData_Poultry.SourceData_Poultry_MCF_Source()</f>
        <v>VEERG 2026: Table A.1.7.4: Poultry - MCFs</v>
      </c>
      <c r="M52" s="8"/>
    </row>
    <row r="53" spans="4:14" ht="20.100000000000001" customHeight="1" x14ac:dyDescent="0.25">
      <c r="D53" s="12" t="str" cm="1">
        <f t="array" ref="D53:D57">SourceData_Poultry.SourceData_Poultry_MCF_Variation()</f>
        <v>VARIATION ON SOURCE:</v>
      </c>
      <c r="M53" s="8"/>
    </row>
    <row r="54" spans="4:14" ht="20.100000000000001" customHeight="1" x14ac:dyDescent="0.25">
      <c r="D54" s="12" t="str">
        <v>Split NSW and ACT into separate states. Split QLD and NT into separate states.</v>
      </c>
      <c r="M54" s="8"/>
    </row>
    <row r="55" spans="4:14" ht="20.100000000000001" customHeight="1" x14ac:dyDescent="0.25">
      <c r="D55" s="12" t="str">
        <v>Included values for each state when 'All states' value is given.</v>
      </c>
      <c r="M55" s="8"/>
    </row>
    <row r="56" spans="4:14" ht="20.100000000000001" customHeight="1" x14ac:dyDescent="0.25">
      <c r="D56" s="12" t="str">
        <v>Added 'NIR definition' column with MMS names that match NIR definitions.</v>
      </c>
      <c r="M56" s="8"/>
    </row>
    <row r="57" spans="4:14" ht="20.100000000000001" customHeight="1" x14ac:dyDescent="0.25">
      <c r="D57" s="12" t="str">
        <v>Duplicated 'Poultry manure without litter' row for NIR MMS 'Belt manure removal' and 'Manure stored in house'</v>
      </c>
      <c r="M57" s="8"/>
    </row>
    <row r="58" spans="4:14" ht="20.100000000000001" customHeight="1" x14ac:dyDescent="0.25">
      <c r="M58" s="8"/>
    </row>
    <row r="59" spans="4:14" ht="20.100000000000001" customHeight="1" x14ac:dyDescent="0.25">
      <c r="D59" s="10" t="s">
        <v>586</v>
      </c>
      <c r="E59" s="10" t="s">
        <v>655</v>
      </c>
      <c r="F59" s="10" t="s">
        <v>364</v>
      </c>
      <c r="G59" s="10" t="s">
        <v>340</v>
      </c>
      <c r="H59" s="10" t="s">
        <v>365</v>
      </c>
      <c r="I59" s="10" t="s">
        <v>487</v>
      </c>
      <c r="J59" s="10" t="s">
        <v>370</v>
      </c>
      <c r="K59" s="10" t="s">
        <v>428</v>
      </c>
      <c r="L59" s="10" t="s">
        <v>371</v>
      </c>
      <c r="M59" s="10" t="s">
        <v>424</v>
      </c>
      <c r="N59" s="10" t="s">
        <v>604</v>
      </c>
    </row>
    <row r="60" spans="4:14" ht="20.100000000000001" customHeight="1" x14ac:dyDescent="0.25">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4:14" ht="20.100000000000001" customHeight="1" x14ac:dyDescent="0.25">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4:14" ht="20.100000000000001" customHeight="1" x14ac:dyDescent="0.25">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4:14" ht="20.100000000000001" customHeight="1" x14ac:dyDescent="0.25">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4:14" ht="20.100000000000001" customHeight="1" x14ac:dyDescent="0.25">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4:22" ht="20.100000000000001" customHeight="1" x14ac:dyDescent="0.2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4:22" ht="20.100000000000001" customHeight="1" x14ac:dyDescent="0.25">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4:22" ht="20.100000000000001" customHeight="1" x14ac:dyDescent="0.25">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4:22" ht="20.100000000000001" customHeight="1" x14ac:dyDescent="0.25">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4:22" ht="20.100000000000001" customHeight="1" x14ac:dyDescent="0.25">
      <c r="M69" s="8"/>
    </row>
    <row r="70" spans="4:22" ht="20.100000000000001" customHeight="1" x14ac:dyDescent="0.25">
      <c r="M70" s="8"/>
    </row>
    <row r="71" spans="4:22" ht="20.100000000000001" customHeight="1" x14ac:dyDescent="0.25">
      <c r="M71" s="8"/>
      <c r="V71" s="8"/>
    </row>
    <row r="72" spans="4:22" ht="20.100000000000001" customHeight="1" x14ac:dyDescent="0.25">
      <c r="D72" s="9" t="str" cm="1">
        <f t="array" ref="D72">SourceData_Poultry.SourceData_Poultry_VSL_Title()</f>
        <v>Poultry - Fraction of volatile solids lost in the primary MMS</v>
      </c>
      <c r="M72" s="8"/>
      <c r="V72" s="8"/>
    </row>
    <row r="73" spans="4:22" ht="20.100000000000001" customHeight="1" x14ac:dyDescent="0.25">
      <c r="D73" s="11" t="str" cm="1">
        <f t="array" ref="D73">SourceData_Poultry.SourceData_Poultry_VSL_Source()</f>
        <v>VEERG 2026: 4.6.2.3 CONSTANT</v>
      </c>
      <c r="M73" s="8"/>
      <c r="V73" s="8"/>
    </row>
    <row r="74" spans="4:22" ht="20.100000000000001" customHeight="1" x14ac:dyDescent="0.25">
      <c r="D74" s="12" t="str" cm="1">
        <f t="array" ref="D74">SourceData_Poultry.SourceData_Poultry_VSL_Variation()</f>
        <v>VARIATION ON SOURCE: Table generated from line items. Added 'NIR definition column'.</v>
      </c>
      <c r="M74" s="8"/>
      <c r="V74" s="8"/>
    </row>
    <row r="75" spans="4:22" ht="20.100000000000001" customHeight="1" x14ac:dyDescent="0.25">
      <c r="D75" s="10" t="s">
        <v>578</v>
      </c>
      <c r="E75" s="10" t="s">
        <v>610</v>
      </c>
      <c r="F75" s="10" t="s">
        <v>604</v>
      </c>
      <c r="M75" s="8"/>
      <c r="V75" s="8"/>
    </row>
    <row r="76" spans="4:22" ht="20.100000000000001" customHeight="1" x14ac:dyDescent="0.25">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4:22" ht="20.100000000000001" customHeight="1" x14ac:dyDescent="0.25">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4:22" ht="20.100000000000001" customHeight="1" x14ac:dyDescent="0.25">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4:22" ht="20.100000000000001" customHeight="1" x14ac:dyDescent="0.25">
      <c r="M79" s="8"/>
      <c r="V79" s="8"/>
    </row>
    <row r="80" spans="4:22" ht="20.100000000000001" customHeight="1" x14ac:dyDescent="0.25">
      <c r="M80" s="8"/>
      <c r="V80" s="8"/>
    </row>
    <row r="81" spans="4:23" ht="20.100000000000001" customHeight="1" x14ac:dyDescent="0.25">
      <c r="D81" s="9" t="str" cm="1">
        <f t="array" ref="D81">SourceData_Poultry.SourceData_Poultry_FracGASMmT_Title()</f>
        <v>Poultry - Fraction of N volatilised by MMS ((kg NH3-N + NOx-N)/kgN) (FracGASMmT)</v>
      </c>
      <c r="M81" s="8"/>
      <c r="V81" s="8"/>
    </row>
    <row r="82" spans="4:23" ht="20.100000000000001" customHeight="1" x14ac:dyDescent="0.25">
      <c r="D82" s="11" t="str" cm="1">
        <f t="array" ref="D82">SourceData_Poultry.SourceData_Poultry_FracGASMmT_Source()</f>
        <v>VEERG 2026: Table A.1.7.2</v>
      </c>
      <c r="M82" s="8"/>
      <c r="V82" s="8"/>
    </row>
    <row r="83" spans="4:23" ht="20.100000000000001" customHeight="1" x14ac:dyDescent="0.25">
      <c r="D83" s="12" t="str" cm="1">
        <f t="array" ref="D83">SourceData_Poultry.SourceData_Poultry_FracGASMmT_Variation()</f>
        <v>VARIATION ON SOURCE: Added 'NIR definition column'.</v>
      </c>
      <c r="M83" s="8"/>
    </row>
    <row r="84" spans="4:23" ht="20.100000000000001" customHeight="1" x14ac:dyDescent="0.25">
      <c r="D84" s="10" t="s">
        <v>616</v>
      </c>
      <c r="E84" s="10" t="s">
        <v>617</v>
      </c>
      <c r="F84" s="10" t="s">
        <v>587</v>
      </c>
      <c r="M84" s="8"/>
    </row>
    <row r="85" spans="4:23" ht="20.100000000000001" customHeight="1" x14ac:dyDescent="0.2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4:23" ht="20.100000000000001" customHeight="1" x14ac:dyDescent="0.25">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4:23" ht="20.100000000000001" customHeight="1" x14ac:dyDescent="0.25">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4:23" ht="20.100000000000001" customHeight="1" x14ac:dyDescent="0.25">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4:23" ht="20.100000000000001" customHeight="1" x14ac:dyDescent="0.25">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4:23" ht="20.100000000000001" customHeight="1" x14ac:dyDescent="0.25">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4:23" ht="20.100000000000001" customHeight="1" x14ac:dyDescent="0.25">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4:23" ht="20.100000000000001" customHeight="1" x14ac:dyDescent="0.25">
      <c r="M92" s="8"/>
      <c r="V92" s="8"/>
    </row>
    <row r="93" spans="4:23" ht="20.100000000000001" customHeight="1" x14ac:dyDescent="0.25">
      <c r="M93" s="8"/>
      <c r="V93" s="8"/>
    </row>
    <row r="94" spans="4:23" ht="20.100000000000001" customHeight="1" x14ac:dyDescent="0.25">
      <c r="D94" s="9" t="str" cm="1">
        <f t="array" ref="D94">SourceData_Poultry.SourceData_Poultry_EFmT_Title()</f>
        <v>Poultry - Nitrous oxide EFs by MMS (kgN2O-N/kgN) (EFmT)</v>
      </c>
      <c r="M94" s="8"/>
    </row>
    <row r="95" spans="4:23" ht="20.100000000000001" customHeight="1" x14ac:dyDescent="0.25">
      <c r="D95" s="11" t="str" cm="1">
        <f t="array" ref="D95">SourceData_Poultry.SourceData_Poultry_EFmT_Source()</f>
        <v>VEERG 2026: Table A.1.7.3</v>
      </c>
      <c r="M95" s="8"/>
    </row>
    <row r="96" spans="4:23" ht="20.100000000000001" customHeight="1" x14ac:dyDescent="0.25">
      <c r="D96" s="12" t="str" cm="1">
        <f t="array" ref="D96">SourceData_Poultry.SourceData_Poultry_EFmT_Variation()</f>
        <v>VARIATION ON SOURCE: Added 'NIR definition column'. Duplicated 'Poultry manure without litter' row for NIR MMS 'Belt manure removal' and 'Manure stored in house'.</v>
      </c>
      <c r="M96" s="8"/>
    </row>
    <row r="97" spans="4:13" ht="20.100000000000001" customHeight="1" x14ac:dyDescent="0.25">
      <c r="D97" s="10" t="s">
        <v>616</v>
      </c>
      <c r="E97" s="10" t="s">
        <v>618</v>
      </c>
      <c r="F97" s="10" t="s">
        <v>587</v>
      </c>
      <c r="M97" s="8"/>
    </row>
    <row r="98" spans="4:13" ht="20.100000000000001" customHeight="1" x14ac:dyDescent="0.25">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4:13" ht="20.100000000000001" customHeight="1" x14ac:dyDescent="0.25">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4:13" ht="20.100000000000001" customHeight="1" x14ac:dyDescent="0.25">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4:13" ht="20.100000000000001" customHeight="1" x14ac:dyDescent="0.25">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4:13" ht="20.100000000000001" customHeight="1" x14ac:dyDescent="0.25">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4:13" ht="20.100000000000001" customHeight="1" x14ac:dyDescent="0.25">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4:13" ht="20.100000000000001" customHeight="1" x14ac:dyDescent="0.25">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4:13" ht="20.100000000000001" customHeight="1" x14ac:dyDescent="0.2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SourceData_Poultry.SourceData_Poultry_FractionOfNitrogenLostThroughLeachingAndRunoff_Title()</f>
        <v>Fraction of N that is lost through leaching and runoff</v>
      </c>
      <c r="M108" s="8"/>
    </row>
    <row r="109" spans="4:13" ht="20.100000000000001" customHeight="1" x14ac:dyDescent="0.25">
      <c r="D109" s="11" t="str" cm="1">
        <f t="array" ref="D109">SourceData_Poultry.SourceData_Poultry_FractionOfNitrogenLostThroughLeachingAndRunoff_Source()</f>
        <v>VEERG 2026: 4.6.2.3 CONSTANTS</v>
      </c>
      <c r="M109" s="8"/>
    </row>
    <row r="110" spans="4:13" ht="20.100000000000001" customHeight="1" x14ac:dyDescent="0.25">
      <c r="D110" s="28"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4:13" ht="20.100000000000001" customHeight="1" x14ac:dyDescent="0.25">
      <c r="M111" s="8"/>
    </row>
    <row r="112" spans="4:13" ht="20.100000000000001" customHeight="1" x14ac:dyDescent="0.25">
      <c r="D112" s="9" t="str" cm="1">
        <f t="array" ref="D112">SourceData_Poultry.SourceData_Poultry_FracGAMSSoil_Title()</f>
        <v>Fraction of nitrogen volatilised from urine and faeces deposited on pasture</v>
      </c>
      <c r="M112" s="8"/>
    </row>
    <row r="113" spans="4:22" ht="20.100000000000001" customHeight="1" x14ac:dyDescent="0.25">
      <c r="D113" s="11" t="str" cm="1">
        <f t="array" ref="D113">SourceData_Poultry.SourceData_Poultry_FracGAMSSoil_Source()</f>
        <v>VEERG 2026: 4.6.2.3 CONSTANTS</v>
      </c>
      <c r="M113" s="8"/>
    </row>
    <row r="114" spans="4:22" ht="20.100000000000001" customHeight="1" x14ac:dyDescent="0.25">
      <c r="D114" s="12" t="str" cm="1">
        <f t="array" ref="D114">SourceData_Poultry.SourceData_Poultry_FracGAMSSoil_Variation()</f>
        <v>VARIATION ON SOURCE: This constant is not documented in the draft, used the same value of 0.21 as all other livestock.</v>
      </c>
      <c r="M114" s="8"/>
    </row>
    <row r="115" spans="4:22" ht="20.100000000000001" customHeight="1" x14ac:dyDescent="0.25">
      <c r="D115" s="28"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4:22" ht="20.100000000000001" customHeight="1" x14ac:dyDescent="0.25">
      <c r="M116" s="8"/>
      <c r="V116" s="8"/>
    </row>
    <row r="117" spans="4:22" ht="20.100000000000001" customHeight="1" x14ac:dyDescent="0.25">
      <c r="D117" s="9" t="str" cm="1">
        <f t="array" ref="D117">SourceData_Poultry.SourceData_Poultry_Liveweights_Title()</f>
        <v>Poultry - Liveweights (Wco) (kg)</v>
      </c>
      <c r="M117" s="8"/>
      <c r="V117" s="8"/>
    </row>
    <row r="118" spans="4:22" ht="20.100000000000001" customHeight="1" x14ac:dyDescent="0.25">
      <c r="D118" s="11" t="str" cm="1">
        <f t="array" ref="D118">SourceData_Poultry.SourceData_Poultry_Liveweights_Source()</f>
        <v>VEERG 2026: Table A.1.7.5</v>
      </c>
      <c r="M118" s="8"/>
    </row>
    <row r="119" spans="4:22" ht="20.100000000000001" customHeight="1" x14ac:dyDescent="0.25">
      <c r="D119" s="10" t="s">
        <v>656</v>
      </c>
      <c r="E119" s="10" t="s">
        <v>620</v>
      </c>
      <c r="M119" s="8"/>
    </row>
    <row r="120" spans="4:22" ht="20.100000000000001" customHeight="1" x14ac:dyDescent="0.25">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4:22" ht="20.100000000000001" customHeight="1" x14ac:dyDescent="0.25">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4:22" ht="20.100000000000001" customHeight="1" x14ac:dyDescent="0.25">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4:22" ht="20.100000000000001" customHeight="1" x14ac:dyDescent="0.25">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4:22" ht="20.100000000000001" customHeight="1" x14ac:dyDescent="0.25">
      <c r="M124" s="8"/>
    </row>
    <row r="125" spans="4:22" ht="20.100000000000001" customHeight="1" x14ac:dyDescent="0.25">
      <c r="M125" s="8"/>
      <c r="V125" s="8"/>
    </row>
    <row r="126" spans="4:22" ht="20.100000000000001" customHeight="1" x14ac:dyDescent="0.25">
      <c r="M126" s="8"/>
      <c r="V126" s="8"/>
    </row>
    <row r="127" spans="4:22" ht="20.100000000000001" customHeight="1" x14ac:dyDescent="0.25">
      <c r="M127" s="8"/>
      <c r="V127" s="8"/>
    </row>
    <row r="128" spans="4: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dimension ref="A1:W452"/>
  <sheetViews>
    <sheetView showGridLines="0" topLeftCell="A116"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600</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M5" s="8"/>
    </row>
    <row r="6" spans="1:21" ht="20.100000000000001" customHeight="1" x14ac:dyDescent="0.25">
      <c r="A6" s="18"/>
      <c r="D6" s="9" t="s">
        <v>601</v>
      </c>
      <c r="G6" s="9" t="s">
        <v>146</v>
      </c>
      <c r="M6" s="8"/>
    </row>
    <row r="7" spans="1:21" ht="20.100000000000001" customHeight="1" x14ac:dyDescent="0.25">
      <c r="A7" s="19" t="s">
        <v>67</v>
      </c>
      <c r="M7" s="8"/>
    </row>
    <row r="8" spans="1:21" ht="20.100000000000001" customHeight="1" x14ac:dyDescent="0.25">
      <c r="A8" s="16" t="str">
        <f>HYPERLINK("#'Input - Site'!A1", "Site")</f>
        <v>Site</v>
      </c>
      <c r="D8" s="10" t="s">
        <v>148</v>
      </c>
      <c r="G8" s="10" t="s">
        <v>43</v>
      </c>
      <c r="M8" s="8"/>
    </row>
    <row r="9" spans="1:21" ht="20.100000000000001" customHeight="1" x14ac:dyDescent="0.25">
      <c r="A9" s="16" t="str">
        <f>HYPERLINK("#'Input - Swine'!A1", "Swine")</f>
        <v>Swine</v>
      </c>
      <c r="D9" s="10" t="s">
        <v>150</v>
      </c>
      <c r="G9" s="10" t="s">
        <v>151</v>
      </c>
      <c r="M9" s="8"/>
    </row>
    <row r="10" spans="1:21" ht="20.100000000000001" customHeight="1" x14ac:dyDescent="0.25">
      <c r="A10" s="16"/>
      <c r="D10" s="8" t="s">
        <v>153</v>
      </c>
      <c r="G10" s="10" t="s">
        <v>155</v>
      </c>
      <c r="M10" s="8"/>
    </row>
    <row r="11" spans="1:21" ht="20.100000000000001" customHeight="1" x14ac:dyDescent="0.25">
      <c r="A11" s="21" t="s">
        <v>77</v>
      </c>
      <c r="G11" s="8" t="s">
        <v>158</v>
      </c>
      <c r="M11" s="8"/>
    </row>
    <row r="12" spans="1:21" ht="20.100000000000001" customHeight="1" x14ac:dyDescent="0.25">
      <c r="A12" s="16" t="str">
        <f>HYPERLINK("#'3.5.1.1-2 Enteric Methane'!A1", "3.5.1.1-2 Enteric Methane")</f>
        <v>3.5.1.1-2 Enteric Methane</v>
      </c>
      <c r="G12" s="8" t="s">
        <v>161</v>
      </c>
      <c r="M12" s="8"/>
    </row>
    <row r="13" spans="1:21" ht="20.100000000000001" customHeight="1" x14ac:dyDescent="0.25">
      <c r="G13" s="8" t="s">
        <v>163</v>
      </c>
      <c r="M13" s="8"/>
    </row>
    <row r="14" spans="1:21" ht="20.100000000000001" customHeight="1" x14ac:dyDescent="0.25">
      <c r="A14" s="23" t="s">
        <v>78</v>
      </c>
      <c r="D14" s="9" t="str" cm="1">
        <f t="array" ref="D14">SourceData_Swine.SourceData_Swine_FracLEACH_DrylotMMS_Title()</f>
        <v>Fraction of nitrogen lost through leaching and runoff for drylot MMS</v>
      </c>
      <c r="M14" s="8"/>
    </row>
    <row r="15" spans="1:21" ht="20.100000000000001" customHeight="1" x14ac:dyDescent="0.25">
      <c r="A15" s="24" t="str">
        <f>HYPERLINK("#'Constants - Swine'!A1", "Constants - Swine")</f>
        <v>Constants - Swine</v>
      </c>
      <c r="D15" s="11" t="str" cm="1">
        <f t="array" ref="D15">SourceData_Swine.SourceData_Swine_FracLEACH_DrylotMMS_Source()</f>
        <v>VEERG 2026: 4.5.2.3 CONSTANT</v>
      </c>
      <c r="M15" s="8"/>
    </row>
    <row r="16" spans="1:21" ht="20.100000000000001" customHeight="1" x14ac:dyDescent="0.25">
      <c r="A16" s="16" t="str">
        <f>HYPERLINK("#'Constants - Livestock'!A1", "Constants - Livestock")</f>
        <v>Constants - Livestock</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s="16" t="str">
        <f>HYPERLINK("#'Constants - Common'!A1", "Constants - Common")</f>
        <v>Constants - Common</v>
      </c>
      <c r="D17" s="28"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16" t="str">
        <f>HYPERLINK("#'Acknowledgements'!A1", "Acknowledgements")</f>
        <v>Acknowledgements</v>
      </c>
      <c r="M18" s="8"/>
    </row>
    <row r="19" spans="1:13" ht="20.100000000000001" customHeight="1" x14ac:dyDescent="0.25">
      <c r="D19" s="9" t="str" cm="1">
        <f t="array" ref="D19">SourceData_Swine.SourceData_Swine_MethaneVolatileSolidsEmissionsPotential_Title()</f>
        <v>Emissions potential of methane per kilogram of volatile solids</v>
      </c>
      <c r="M19" s="8"/>
    </row>
    <row r="20" spans="1:13" ht="20.100000000000001" customHeight="1" x14ac:dyDescent="0.25">
      <c r="A20" s="16"/>
      <c r="D20" s="11" t="str" cm="1">
        <f t="array" ref="D20">SourceData_Swine.SourceData_Swine_MethaneVolatileSolidsEmissionsPotential_Source()</f>
        <v>IPCC (2019), Chapter 10 [4]</v>
      </c>
      <c r="M20" s="8"/>
    </row>
    <row r="21" spans="1:13" ht="20.100000000000001" customHeight="1" x14ac:dyDescent="0.25">
      <c r="D21" s="28"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M22" s="8"/>
    </row>
    <row r="23" spans="1:13" ht="20.100000000000001" customHeight="1" x14ac:dyDescent="0.25">
      <c r="M23" s="8"/>
    </row>
    <row r="24" spans="1:13" ht="20.100000000000001" customHeight="1" x14ac:dyDescent="0.25">
      <c r="D24" s="9" t="str" cm="1">
        <f t="array" ref="D24">SourceData_Swine.SourceData_Swine_MMS_MCFs_Title()</f>
        <v>Methane conversion factor for temperature zone and manure management system.</v>
      </c>
      <c r="H24" s="170" t="s">
        <v>602</v>
      </c>
      <c r="M24" s="8"/>
    </row>
    <row r="25" spans="1:13" ht="20.100000000000001" customHeight="1" x14ac:dyDescent="0.25">
      <c r="D25" s="11" t="str" cm="1">
        <f t="array" ref="D25">SourceData_Swine.SourceData_Swine_MMS_MCFs_Source()</f>
        <v>VEERG 2026: Table A.1.6.4: Swine - MCFs (MCFim)</v>
      </c>
      <c r="H25" s="170" t="s">
        <v>603</v>
      </c>
      <c r="M25" s="8"/>
    </row>
    <row r="26" spans="1:13" ht="20.100000000000001" customHeight="1" x14ac:dyDescent="0.25">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M27" s="8"/>
    </row>
    <row r="28" spans="1:13" ht="20.100000000000001" customHeight="1" x14ac:dyDescent="0.25">
      <c r="D28" s="10" t="s">
        <v>578</v>
      </c>
      <c r="E28" s="10" t="s">
        <v>364</v>
      </c>
      <c r="F28" s="10" t="s">
        <v>340</v>
      </c>
      <c r="G28" s="10" t="s">
        <v>365</v>
      </c>
      <c r="H28" s="10" t="s">
        <v>487</v>
      </c>
      <c r="I28" s="10" t="s">
        <v>428</v>
      </c>
      <c r="J28" s="10" t="s">
        <v>424</v>
      </c>
      <c r="K28" s="10" t="s">
        <v>370</v>
      </c>
      <c r="L28" s="10" t="s">
        <v>371</v>
      </c>
      <c r="M28" s="10" t="s">
        <v>604</v>
      </c>
    </row>
    <row r="29" spans="1:13" ht="20.100000000000001" customHeight="1" x14ac:dyDescent="0.25">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4:13" ht="20.100000000000001" customHeight="1" x14ac:dyDescent="0.25">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4:13" ht="20.100000000000001" customHeight="1" x14ac:dyDescent="0.25">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4:13" ht="20.100000000000001" customHeight="1" x14ac:dyDescent="0.2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4:13" ht="20.100000000000001" customHeight="1" x14ac:dyDescent="0.25">
      <c r="M36" s="8"/>
    </row>
    <row r="37" spans="4:13" ht="20.100000000000001" customHeight="1" x14ac:dyDescent="0.25">
      <c r="M37" s="8"/>
    </row>
    <row r="38" spans="4:13" ht="20.100000000000001" customHeight="1" x14ac:dyDescent="0.25">
      <c r="D38" s="9" t="s">
        <v>605</v>
      </c>
      <c r="G38" s="9" t="s">
        <v>606</v>
      </c>
      <c r="K38" s="9" t="s">
        <v>607</v>
      </c>
      <c r="M38" s="8"/>
    </row>
    <row r="39" spans="4:13" ht="20.100000000000001" customHeight="1" x14ac:dyDescent="0.25">
      <c r="M39" s="8"/>
    </row>
    <row r="40" spans="4:13" ht="20.100000000000001" customHeight="1" x14ac:dyDescent="0.25">
      <c r="D40" s="172" t="s">
        <v>578</v>
      </c>
      <c r="E40" s="10" t="s">
        <v>357</v>
      </c>
      <c r="G40" s="172" t="s">
        <v>578</v>
      </c>
      <c r="H40" s="10" t="s">
        <v>357</v>
      </c>
      <c r="K40" s="172" t="s">
        <v>578</v>
      </c>
      <c r="L40" s="10" t="s">
        <v>357</v>
      </c>
      <c r="M40" s="8"/>
    </row>
    <row r="41" spans="4:13" ht="20.100000000000001" customHeight="1" x14ac:dyDescent="0.25">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4:13" ht="20.100000000000001" customHeight="1" x14ac:dyDescent="0.25">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4:13" ht="20.100000000000001" customHeight="1" x14ac:dyDescent="0.25">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4:13" ht="20.100000000000001" customHeight="1" x14ac:dyDescent="0.25">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4:13" ht="20.100000000000001" customHeight="1" x14ac:dyDescent="0.2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4:13" ht="20.100000000000001" customHeight="1" x14ac:dyDescent="0.25">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4:13" ht="20.100000000000001" customHeight="1" x14ac:dyDescent="0.25">
      <c r="D47" s="10" t="str">
        <f>'Constants - Common Livestock'!$E$23</f>
        <v>Direct application</v>
      </c>
      <c r="E47" s="10" t="str">
        <f>'Constants - Common Livestock'!$F$23</f>
        <v>Direct application (m=13)</v>
      </c>
      <c r="M47" s="8"/>
    </row>
    <row r="48" spans="4:13" ht="20.100000000000001" customHeight="1" x14ac:dyDescent="0.25">
      <c r="M48" s="8"/>
    </row>
    <row r="49" spans="1:13" ht="20.100000000000001" customHeight="1" x14ac:dyDescent="0.25">
      <c r="M49" s="8"/>
    </row>
    <row r="50" spans="1:13" ht="20.100000000000001" customHeight="1" x14ac:dyDescent="0.25">
      <c r="M50" s="8"/>
    </row>
    <row r="51" spans="1:13" ht="20.100000000000001" customHeight="1" x14ac:dyDescent="0.25">
      <c r="D51" s="9" t="s">
        <v>608</v>
      </c>
      <c r="G51" s="9" t="s">
        <v>609</v>
      </c>
      <c r="M51" s="8"/>
    </row>
    <row r="52" spans="1:13" ht="20.100000000000001" customHeight="1" x14ac:dyDescent="0.25">
      <c r="M52" s="8"/>
    </row>
    <row r="53" spans="1:13" ht="20.100000000000001" customHeight="1" x14ac:dyDescent="0.25">
      <c r="D53" s="172" t="s">
        <v>578</v>
      </c>
      <c r="E53" s="10" t="s">
        <v>610</v>
      </c>
      <c r="G53" s="10" t="s">
        <v>148</v>
      </c>
      <c r="M53" s="8"/>
    </row>
    <row r="54" spans="1:13" ht="20.100000000000001" customHeight="1" x14ac:dyDescent="0.25">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D57" s="10" t="str">
        <f>'Constants - Common Livestock'!$E$15</f>
        <v>Digester / covered lagoons</v>
      </c>
      <c r="E57" s="10">
        <v>0.75</v>
      </c>
      <c r="M57" s="8"/>
    </row>
    <row r="58" spans="1:13" ht="20.100000000000001" customHeight="1" x14ac:dyDescent="0.25">
      <c r="D58" s="10" t="str">
        <f>'Constants - Common Livestock'!$E$16</f>
        <v>Deep litter</v>
      </c>
      <c r="E58" s="10">
        <v>0.05</v>
      </c>
      <c r="M58" s="8"/>
    </row>
    <row r="59" spans="1:13" ht="20.100000000000001" customHeight="1" x14ac:dyDescent="0.25">
      <c r="D59" s="10" t="str">
        <f>'Constants - Common Livestock'!$E$17</f>
        <v>Pit storage</v>
      </c>
      <c r="E59" s="10">
        <v>0</v>
      </c>
      <c r="M59" s="8"/>
    </row>
    <row r="60" spans="1:13" ht="20.100000000000001" customHeight="1" x14ac:dyDescent="0.25">
      <c r="D60" s="10" t="str">
        <f>'Constants - Common Livestock'!$E$23</f>
        <v>Direct application</v>
      </c>
      <c r="E60" s="10">
        <v>0</v>
      </c>
      <c r="M60" s="8"/>
    </row>
    <row r="61" spans="1:13" ht="20.100000000000001" customHeight="1" x14ac:dyDescent="0.25">
      <c r="M61" s="8"/>
    </row>
    <row r="62" spans="1:13" ht="20.100000000000001" customHeight="1" x14ac:dyDescent="0.25">
      <c r="M62" s="8"/>
    </row>
    <row r="63" spans="1:13" ht="20.100000000000001" customHeight="1" x14ac:dyDescent="0.25">
      <c r="A63" s="56" t="str">
        <f>HYPERLINK("#A1", "▲ Back to top")</f>
        <v>▲ Back to top</v>
      </c>
      <c r="D63" s="9" t="str" cm="1">
        <f t="array" ref="D63">SourceData_Swine.SourceData_Swine_VolatileSolids_Title()</f>
        <v>Swine - Volatile solids (VSj) - 2020 to 2024</v>
      </c>
      <c r="M63" s="8"/>
    </row>
    <row r="64" spans="1:13" ht="20.100000000000001" customHeight="1" x14ac:dyDescent="0.25">
      <c r="D64" s="11" t="str" cm="1">
        <f t="array" ref="D64">SourceData_Swine.SourceData_Swine_VolatileSolids_Source()</f>
        <v>VEERG 2026: Table A.1.6.1: Swine - Intake and manure characteristics derived from PigBal</v>
      </c>
      <c r="M64" s="8"/>
    </row>
    <row r="65" spans="4:22" ht="20.100000000000001" customHeight="1" x14ac:dyDescent="0.25">
      <c r="D65" s="12" t="str" cm="1">
        <f t="array" ref="D65">SourceData_Swine.SourceData_Swine_VolatileSolids_Variation()</f>
        <v>VARIATION ON SOURCE DATA: Only uses data for 2020-2024. Use 'Slaughter pigs' data for 'Other j=4' class.</v>
      </c>
      <c r="M65" s="8"/>
    </row>
    <row r="66" spans="4:22" ht="20.100000000000001" customHeight="1" x14ac:dyDescent="0.25">
      <c r="M66" s="8"/>
    </row>
    <row r="67" spans="4:22" ht="20.100000000000001" customHeight="1" x14ac:dyDescent="0.25">
      <c r="D67" s="10" t="s">
        <v>350</v>
      </c>
      <c r="E67" s="10" t="s">
        <v>611</v>
      </c>
      <c r="M67" s="8"/>
    </row>
    <row r="68" spans="4:22" ht="20.100000000000001" customHeight="1" x14ac:dyDescent="0.25">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4:22" ht="20.100000000000001" customHeight="1" x14ac:dyDescent="0.25">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4:22" ht="20.100000000000001" customHeight="1" x14ac:dyDescent="0.25">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4:22" ht="20.100000000000001" customHeight="1" x14ac:dyDescent="0.25">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4:22" ht="20.100000000000001" customHeight="1" x14ac:dyDescent="0.25">
      <c r="M72" s="8"/>
      <c r="V72" s="8"/>
    </row>
    <row r="73" spans="4:22" ht="20.100000000000001" customHeight="1" x14ac:dyDescent="0.25">
      <c r="M73" s="8"/>
      <c r="V73" s="8"/>
    </row>
    <row r="74" spans="4:22" ht="20.100000000000001" customHeight="1" x14ac:dyDescent="0.25">
      <c r="D74" s="9" t="str" cm="1">
        <f t="array" ref="D74">SourceData_Swine.SourceData_Swine_FeedIntake_Title()</f>
        <v>Swine - Feed intake - ingested as fed  (Ij) - 2020 to 2024</v>
      </c>
      <c r="M74" s="8"/>
      <c r="V74" s="8"/>
    </row>
    <row r="75" spans="4:22" ht="20.100000000000001" customHeight="1" x14ac:dyDescent="0.25">
      <c r="D75" s="11" t="str" cm="1">
        <f t="array" ref="D75">SourceData_Swine.SourceData_Swine_FeedIntake_Source()</f>
        <v>VEERG 2026: Table A.1.6.1: Swine - Intake and manure characteristics derived from PigBal</v>
      </c>
      <c r="M75" s="8"/>
      <c r="V75" s="8"/>
    </row>
    <row r="76" spans="4:22" ht="20.100000000000001" customHeight="1" x14ac:dyDescent="0.25">
      <c r="D76" s="12" t="str" cm="1">
        <f t="array" ref="D76">SourceData_Swine.SourceData_Swine_FeedIntake_Variation()</f>
        <v>VARIATION ON SOURCE DATA: Only uses data for 2020-2024. Use 'Slaughter pigs' data for 'Other j=4' class.</v>
      </c>
      <c r="M76" s="8"/>
      <c r="V76" s="8"/>
    </row>
    <row r="77" spans="4:22" ht="20.100000000000001" customHeight="1" x14ac:dyDescent="0.25">
      <c r="M77" s="8"/>
      <c r="V77" s="8"/>
    </row>
    <row r="78" spans="4:22" ht="20.100000000000001" customHeight="1" x14ac:dyDescent="0.25">
      <c r="D78" s="10" t="s">
        <v>350</v>
      </c>
      <c r="E78" s="10" t="s">
        <v>612</v>
      </c>
      <c r="M78" s="8"/>
      <c r="V78" s="8"/>
    </row>
    <row r="79" spans="4:22" ht="20.100000000000001" customHeight="1" x14ac:dyDescent="0.25">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4:22" ht="20.100000000000001" customHeight="1" x14ac:dyDescent="0.25">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4:23" ht="20.100000000000001" customHeight="1" x14ac:dyDescent="0.25">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4:23" ht="20.100000000000001" customHeight="1" x14ac:dyDescent="0.25">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4:23" ht="20.100000000000001" customHeight="1" x14ac:dyDescent="0.25">
      <c r="M83" s="8"/>
    </row>
    <row r="84" spans="4:23" ht="20.100000000000001" customHeight="1" x14ac:dyDescent="0.25">
      <c r="M84" s="8"/>
    </row>
    <row r="85" spans="4:23" ht="20.100000000000001" customHeight="1" x14ac:dyDescent="0.25">
      <c r="D85" s="9" t="str" cm="1">
        <f t="array" ref="D85">SourceData_Swine.SourceData_Swine_NitrogenInWaste_Title()</f>
        <v>Swine - Nitrogen in waste (NWj) - 2020 to 2024</v>
      </c>
      <c r="M85" s="8"/>
      <c r="V85" s="8"/>
    </row>
    <row r="86" spans="4:23" ht="20.100000000000001" customHeight="1" x14ac:dyDescent="0.25">
      <c r="D86" s="11" t="str" cm="1">
        <f t="array" ref="D86">SourceData_Swine.SourceData_Swine_NitrogenInWaste_Source()</f>
        <v>VEERG 2026: Table A.1.6.1: Swine - Intake and manure characteristics derived from PigBal</v>
      </c>
      <c r="M86" s="8"/>
      <c r="V86" s="8"/>
    </row>
    <row r="87" spans="4:23" ht="20.100000000000001" customHeight="1" x14ac:dyDescent="0.25">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4:23" ht="20.100000000000001" customHeight="1" x14ac:dyDescent="0.25">
      <c r="M88" s="8"/>
      <c r="V88" s="8"/>
    </row>
    <row r="89" spans="4:23" ht="20.100000000000001" customHeight="1" x14ac:dyDescent="0.25">
      <c r="D89" s="10" t="s">
        <v>350</v>
      </c>
      <c r="E89" s="10" t="s">
        <v>613</v>
      </c>
      <c r="F89" s="10" t="s">
        <v>614</v>
      </c>
      <c r="G89" s="10" t="s">
        <v>615</v>
      </c>
      <c r="M89" s="8"/>
      <c r="V89" s="8"/>
      <c r="W89" s="8"/>
    </row>
    <row r="90" spans="4:23" ht="20.100000000000001" customHeight="1" x14ac:dyDescent="0.25">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4:23" ht="20.100000000000001" customHeight="1" x14ac:dyDescent="0.25">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4:23" ht="20.100000000000001" customHeight="1" x14ac:dyDescent="0.25">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4:23" ht="20.100000000000001" customHeight="1" x14ac:dyDescent="0.25">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4:23" ht="20.100000000000001" customHeight="1" x14ac:dyDescent="0.25">
      <c r="M94" s="8"/>
    </row>
    <row r="95" spans="4:23" ht="20.100000000000001" customHeight="1" x14ac:dyDescent="0.25">
      <c r="M95" s="8"/>
    </row>
    <row r="96" spans="4:23" ht="20.100000000000001" customHeight="1" x14ac:dyDescent="0.25">
      <c r="D96" s="9" t="str" cm="1">
        <f t="array" ref="D96">SourceData_Swine.SourceData_Swine_FractionNVolatilised_Title()</f>
        <v>Swine - Fraction of nitrogen volatilised (FracGASMmT)</v>
      </c>
      <c r="M96" s="8"/>
    </row>
    <row r="97" spans="4:13" ht="20.100000000000001" customHeight="1" x14ac:dyDescent="0.25">
      <c r="D97" s="11" t="str" cm="1">
        <f t="array" ref="D97">SourceData_Swine.SourceData_Swine_FractionNVolatilised_Source()</f>
        <v>VEERG 2026: Table A.1.6.2: Swine - Fraction of N volatilised by MMS ((kg NH3-N + NOx-N)/kgN) (FracGASMmT)</v>
      </c>
      <c r="M97" s="8"/>
    </row>
    <row r="98" spans="4:13" ht="20.100000000000001" customHeight="1" x14ac:dyDescent="0.25">
      <c r="D98" s="12" t="str" cm="1">
        <f t="array" ref="D98">SourceData_Swine.SourceData_Swine_FractionNVolatilised_Variation()</f>
        <v>VARIATION ON SOURCE DATA: Added 'NIR reference column to aid lookup.</v>
      </c>
      <c r="M98" s="8"/>
    </row>
    <row r="99" spans="4:13" ht="20.100000000000001" customHeight="1" x14ac:dyDescent="0.25">
      <c r="D99" s="10" t="s">
        <v>616</v>
      </c>
      <c r="E99" s="10" t="s">
        <v>617</v>
      </c>
      <c r="F99" s="10" t="s">
        <v>587</v>
      </c>
      <c r="M99" s="8"/>
    </row>
    <row r="100" spans="4:13" ht="20.100000000000001" customHeight="1" x14ac:dyDescent="0.25">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4:13" ht="20.100000000000001" customHeight="1" x14ac:dyDescent="0.25">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4:13" ht="20.100000000000001" customHeight="1" x14ac:dyDescent="0.25">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4:13" ht="20.100000000000001" customHeight="1" x14ac:dyDescent="0.25">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4:13" ht="20.100000000000001" customHeight="1" x14ac:dyDescent="0.25">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4:13" ht="20.100000000000001" customHeight="1" x14ac:dyDescent="0.2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SourceData_Swine.SourceData_Swine_NitrousOxideEFs_Title()</f>
        <v>Swine - Nitrous oxide EFs by MMS (EFmT)</v>
      </c>
      <c r="M108" s="8"/>
    </row>
    <row r="109" spans="4:13" ht="20.100000000000001" customHeight="1" x14ac:dyDescent="0.25">
      <c r="D109" s="11" t="str" cm="1">
        <f t="array" ref="D109">SourceData_Swine.SourceData_Swine_NitrousOxideEFs_Source()</f>
        <v>VEERG 2026: Table A.1.6.3: Swine - Nitrous oxide EFs by MMS (kgN2O-N/kgN) (EFmT)</v>
      </c>
      <c r="M109" s="8"/>
    </row>
    <row r="110" spans="4:13" ht="20.100000000000001" customHeight="1" x14ac:dyDescent="0.25">
      <c r="D110" s="12" t="str" cm="1">
        <f t="array" ref="D110">SourceData_Swine.SourceData_Swine_NitrousOxideEFs_Variation()</f>
        <v>VARIATION ON SOURCE DATA: Added 'NIR reference column to aid lookup.</v>
      </c>
      <c r="M110" s="8"/>
    </row>
    <row r="111" spans="4:13" ht="20.100000000000001" customHeight="1" x14ac:dyDescent="0.25">
      <c r="D111" s="10" t="s">
        <v>616</v>
      </c>
      <c r="E111" s="10" t="s">
        <v>618</v>
      </c>
      <c r="F111" s="10" t="s">
        <v>587</v>
      </c>
      <c r="M111" s="8"/>
    </row>
    <row r="112" spans="4:13" ht="20.100000000000001" customHeight="1" x14ac:dyDescent="0.25">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s="56" t="str">
        <f>HYPERLINK("#A1", "▲ Back to top")</f>
        <v>▲ Back to top</v>
      </c>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M118" s="8"/>
    </row>
    <row r="119" spans="1:22" ht="20.100000000000001" customHeight="1" x14ac:dyDescent="0.25">
      <c r="M119" s="8"/>
    </row>
    <row r="120" spans="1:22" ht="20.100000000000001" customHeight="1" x14ac:dyDescent="0.25">
      <c r="D120" s="9" t="str" cm="1">
        <f t="array" ref="D120">SourceData_Swine.SourceData_Swine_MegajoulesPerKilogramMethane_Title()</f>
        <v>Megajoules per kilogram of methane</v>
      </c>
      <c r="M120" s="8"/>
    </row>
    <row r="121" spans="1:22" ht="20.100000000000001" customHeight="1" x14ac:dyDescent="0.25">
      <c r="D121" s="11" t="str" cm="1">
        <f t="array" ref="D121">SourceData_Swine.SourceData_Swine_MegajoulesPerKilogramMethane_Source()</f>
        <v>VEERG 2026: 3.5.2.3 CONSTANT</v>
      </c>
      <c r="M121" s="8"/>
    </row>
    <row r="122" spans="1:22" ht="20.100000000000001" customHeight="1" x14ac:dyDescent="0.25">
      <c r="D122" s="28"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M123" s="8"/>
    </row>
    <row r="124" spans="1:22" ht="20.100000000000001" customHeight="1" x14ac:dyDescent="0.25">
      <c r="M124" s="8"/>
    </row>
    <row r="125" spans="1:22" ht="20.100000000000001" customHeight="1" x14ac:dyDescent="0.25">
      <c r="D125" s="9" t="str" cm="1">
        <f t="array" ref="D125">SourceData_Swine.SourceData_Swine_AverageLiveweight_Title()</f>
        <v>Swine - Average liveweight (inventory defaults) (kg) (Wco)</v>
      </c>
      <c r="M125" s="8"/>
      <c r="V125" s="8"/>
    </row>
    <row r="126" spans="1:22" ht="20.100000000000001" customHeight="1" x14ac:dyDescent="0.25">
      <c r="D126" s="11" t="str" cm="1">
        <f t="array" ref="D126">SourceData_Swine.SourceData_Swine_AverageLiveweight_Source()</f>
        <v>VEERG 2026: Table A.1.6.5: Swine - Average liveweight (inventory defaults) (kg) (Wco)</v>
      </c>
      <c r="M126" s="8"/>
      <c r="V126" s="8"/>
    </row>
    <row r="127" spans="1:22" ht="20.100000000000001" customHeight="1" x14ac:dyDescent="0.25">
      <c r="D127" s="10" t="s">
        <v>619</v>
      </c>
      <c r="E127" s="10" t="s">
        <v>620</v>
      </c>
      <c r="M127" s="8"/>
      <c r="V127" s="8"/>
    </row>
    <row r="128" spans="1:22" ht="20.100000000000001" customHeight="1" x14ac:dyDescent="0.25">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4:22" ht="20.100000000000001" customHeight="1" x14ac:dyDescent="0.25">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4:22" ht="20.100000000000001" customHeight="1" x14ac:dyDescent="0.25">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4:22" ht="20.100000000000001" customHeight="1" x14ac:dyDescent="0.25">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4:22" ht="20.100000000000001" customHeight="1" x14ac:dyDescent="0.25">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4:22" ht="20.100000000000001" customHeight="1" x14ac:dyDescent="0.25">
      <c r="M133" s="8"/>
    </row>
    <row r="134" spans="4:22" ht="20.100000000000001" customHeight="1" x14ac:dyDescent="0.25">
      <c r="M134" s="8"/>
    </row>
    <row r="135" spans="4:22" ht="20.100000000000001" customHeight="1" x14ac:dyDescent="0.25">
      <c r="M135" s="8"/>
    </row>
    <row r="136" spans="4:22" ht="20.100000000000001" customHeight="1" x14ac:dyDescent="0.25">
      <c r="M136" s="8"/>
    </row>
    <row r="137" spans="4:22" ht="20.100000000000001" customHeight="1" x14ac:dyDescent="0.25">
      <c r="M137" s="8"/>
    </row>
    <row r="138" spans="4:22" ht="20.100000000000001" customHeight="1" x14ac:dyDescent="0.25">
      <c r="M138" s="8"/>
    </row>
    <row r="139" spans="4:22" ht="20.100000000000001" customHeight="1" x14ac:dyDescent="0.25">
      <c r="M139" s="8"/>
    </row>
    <row r="140" spans="4:22" ht="20.100000000000001" customHeight="1" x14ac:dyDescent="0.25">
      <c r="M140" s="8"/>
    </row>
    <row r="141" spans="4:22" ht="20.100000000000001" customHeight="1" x14ac:dyDescent="0.25">
      <c r="M141" s="8"/>
    </row>
    <row r="142" spans="4:22" ht="20.100000000000001" customHeight="1" x14ac:dyDescent="0.25">
      <c r="M142" s="8"/>
    </row>
    <row r="143" spans="4:22" ht="20.100000000000001" customHeight="1" x14ac:dyDescent="0.25">
      <c r="M143" s="8"/>
    </row>
    <row r="144" spans="4: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dimension ref="A1:V288"/>
  <sheetViews>
    <sheetView showGridLines="0" topLeftCell="A13" zoomScale="85" zoomScaleNormal="85" workbookViewId="0">
      <selection activeCell="H31" sqref="H31"/>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575</v>
      </c>
    </row>
    <row r="2" spans="1:21" s="2" customFormat="1" ht="20.100000000000001" customHeight="1" x14ac:dyDescent="0.25">
      <c r="A2" s="3"/>
    </row>
    <row r="3" spans="1:21" ht="20.100000000000001" customHeight="1" x14ac:dyDescent="0.25">
      <c r="A3" s="16"/>
      <c r="C3" s="5"/>
      <c r="D3" s="5"/>
      <c r="E3" s="5"/>
      <c r="F3" s="5"/>
      <c r="G3" s="5"/>
      <c r="H3" s="5"/>
      <c r="I3" s="5"/>
      <c r="J3" s="5"/>
      <c r="K3" s="5"/>
      <c r="L3" s="5"/>
      <c r="M3" s="5"/>
      <c r="N3" s="5"/>
      <c r="O3" s="5"/>
      <c r="P3" s="5"/>
      <c r="Q3" s="5"/>
      <c r="R3" s="5"/>
      <c r="S3" s="5"/>
      <c r="T3" s="5"/>
      <c r="U3" s="5"/>
    </row>
    <row r="4" spans="1:21" ht="20.100000000000001" customHeight="1" x14ac:dyDescent="0.25">
      <c r="A4" s="16"/>
      <c r="M4" s="14"/>
    </row>
    <row r="5" spans="1:21" ht="20.100000000000001" customHeight="1" x14ac:dyDescent="0.25">
      <c r="A5" s="16"/>
      <c r="D5" s="9" t="s">
        <v>576</v>
      </c>
      <c r="G5" s="9" t="s">
        <v>577</v>
      </c>
      <c r="J5" s="9" t="s">
        <v>146</v>
      </c>
      <c r="M5" s="8"/>
    </row>
    <row r="6" spans="1:21" ht="20.100000000000001" customHeight="1" x14ac:dyDescent="0.25">
      <c r="A6" s="18"/>
      <c r="M6" s="8"/>
    </row>
    <row r="7" spans="1:21" ht="20.100000000000001" customHeight="1" x14ac:dyDescent="0.25">
      <c r="A7" s="19"/>
      <c r="D7" s="172" t="s">
        <v>578</v>
      </c>
      <c r="E7" s="10" t="s">
        <v>357</v>
      </c>
      <c r="G7" s="10" t="s">
        <v>148</v>
      </c>
      <c r="J7" s="10" t="s">
        <v>43</v>
      </c>
      <c r="M7" s="8"/>
    </row>
    <row r="8" spans="1:21" ht="20.100000000000001" customHeight="1" x14ac:dyDescent="0.25">
      <c r="A8" s="16"/>
      <c r="D8" s="10" t="str">
        <f>'Constants - Common Livestock'!E7</f>
        <v>Anaerobic lagoon</v>
      </c>
      <c r="E8" s="10" t="str">
        <f>'Constants - Common Livestock'!F7</f>
        <v>Anaerobic lagoon (m=1)</v>
      </c>
      <c r="G8" s="10" t="str">
        <f>'Constants - Common'!$F$187</f>
        <v>Pasture</v>
      </c>
      <c r="J8" s="10" t="s">
        <v>151</v>
      </c>
      <c r="M8" s="8"/>
    </row>
    <row r="9" spans="1:21" ht="20.100000000000001" customHeight="1" x14ac:dyDescent="0.25">
      <c r="A9" s="16"/>
      <c r="D9" s="10" t="str">
        <f>'Constants - Common Livestock'!E10</f>
        <v>Sump and dispersal system</v>
      </c>
      <c r="E9" s="10" t="str">
        <f>'Constants - Common Livestock'!F10</f>
        <v>Sump and dispersal system (m=3a)</v>
      </c>
      <c r="G9" s="8" t="str">
        <f>'Constants - Common'!$F$188</f>
        <v>Crop</v>
      </c>
      <c r="J9" s="10" t="s">
        <v>155</v>
      </c>
      <c r="M9" s="8"/>
    </row>
    <row r="10" spans="1:21" ht="20.100000000000001" customHeight="1" x14ac:dyDescent="0.25">
      <c r="A10" s="16"/>
      <c r="D10" s="10" t="str">
        <f>'Constants - Common Livestock'!E11</f>
        <v>Drains to paddock</v>
      </c>
      <c r="E10" s="10" t="str">
        <f>'Constants - Common Livestock'!F11</f>
        <v>Drains to paddock (m=3b)</v>
      </c>
      <c r="J10" s="8" t="s">
        <v>158</v>
      </c>
      <c r="M10" s="8"/>
    </row>
    <row r="11" spans="1:21" ht="20.100000000000001" customHeight="1" x14ac:dyDescent="0.25">
      <c r="A11" s="21"/>
      <c r="D11" s="10" t="str">
        <f>'Constants - Common Livestock'!E12</f>
        <v>Solid storage</v>
      </c>
      <c r="E11" s="10" t="str">
        <f>'Constants - Common Livestock'!F12</f>
        <v>Solid storage (m=4)</v>
      </c>
      <c r="J11" s="8" t="s">
        <v>161</v>
      </c>
      <c r="M11" s="8"/>
    </row>
    <row r="12" spans="1:21" ht="20.100000000000001" customHeight="1" x14ac:dyDescent="0.25">
      <c r="A12" s="16"/>
      <c r="J12" s="8" t="s">
        <v>163</v>
      </c>
      <c r="M12" s="8"/>
    </row>
    <row r="13" spans="1:21" ht="20.100000000000001" customHeight="1" x14ac:dyDescent="0.25">
      <c r="A13" s="16"/>
      <c r="M13" s="8"/>
    </row>
    <row r="14" spans="1:21" ht="20.100000000000001" customHeight="1" x14ac:dyDescent="0.25">
      <c r="A14" s="23"/>
      <c r="M14" s="8"/>
    </row>
    <row r="15" spans="1:21" ht="20.100000000000001" customHeight="1" x14ac:dyDescent="0.25">
      <c r="A15" s="24"/>
      <c r="M15" s="8"/>
    </row>
    <row r="16" spans="1:21" ht="20.100000000000001" customHeight="1" x14ac:dyDescent="0.25">
      <c r="A16" s="16"/>
      <c r="D16" s="9" t="str" cm="1">
        <f t="array" ref="D16">SourceData_Dairy.SourceData_Dairy_LiveweightCowsAndHeifers_Title()</f>
        <v>Table A.1.3.1: Dairy cattle - Liveweight (kg) - Cows and Heifers (Wj)</v>
      </c>
      <c r="M16" s="8"/>
    </row>
    <row r="17" spans="1:13" ht="20.100000000000001" customHeight="1" x14ac:dyDescent="0.25">
      <c r="A17" s="16"/>
      <c r="D17" s="11" t="str" cm="1">
        <f t="array" ref="D17">SourceData_Dairy.SourceData_Dairy_LiveweightCowsAndHeifers_Source()</f>
        <v>VEERG 2026: Table A.1.3.1</v>
      </c>
      <c r="M17" s="8"/>
    </row>
    <row r="18" spans="1:13" ht="20.100000000000001" customHeight="1" x14ac:dyDescent="0.25">
      <c r="A18" s="16"/>
      <c r="D18" s="8" t="str" cm="1">
        <f t="array" ref="D18">SourceData_Dairy.SourceData_Dairy_LiveweightCowsAndHeifers_Variable()</f>
        <v>Wj</v>
      </c>
      <c r="M18" s="8"/>
    </row>
    <row r="19" spans="1:13" ht="20.100000000000001" customHeight="1" x14ac:dyDescent="0.25">
      <c r="D19" s="13" t="str" cm="1">
        <f t="array" ref="D19">SourceData_Dairy.SourceData_Dairy_LiveweightCowsAndHeifers_Unit()</f>
        <v>kg</v>
      </c>
      <c r="M19" s="8"/>
    </row>
    <row r="20" spans="1:13" ht="20.100000000000001" customHeight="1" x14ac:dyDescent="0.25">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D21" s="10" t="s">
        <v>556</v>
      </c>
      <c r="E21" s="10" t="s">
        <v>570</v>
      </c>
      <c r="F21" s="10" t="s">
        <v>579</v>
      </c>
      <c r="G21" s="10" t="s">
        <v>571</v>
      </c>
      <c r="M21" s="8"/>
    </row>
    <row r="22" spans="1:13" ht="20.100000000000001" customHeight="1" x14ac:dyDescent="0.25">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M32" s="8"/>
    </row>
    <row r="33" spans="4:13" ht="20.100000000000001" customHeight="1" x14ac:dyDescent="0.25">
      <c r="M33" s="8"/>
    </row>
    <row r="34" spans="4:13" ht="20.100000000000001" customHeight="1" x14ac:dyDescent="0.25">
      <c r="D34" s="9" t="str" cm="1">
        <f t="array" ref="D34">SourceData_Dairy.SourceData_Dairy_LiveweightBulls_Title()</f>
        <v>Table A.1.3.2: Dairy cattle - Liveweight (kg) - Bulls (Wj)</v>
      </c>
      <c r="M34" s="8"/>
    </row>
    <row r="35" spans="4:13" ht="20.100000000000001" customHeight="1" x14ac:dyDescent="0.25">
      <c r="D35" s="11" t="str" cm="1">
        <f t="array" ref="D35">SourceData_Dairy.SourceData_Dairy_LiveweightBulls_Source()</f>
        <v>VEERG 2026: Table A.1.3.2</v>
      </c>
      <c r="M35" s="8"/>
    </row>
    <row r="36" spans="4:13" ht="20.100000000000001" customHeight="1" x14ac:dyDescent="0.25">
      <c r="D36" s="8" t="str" cm="1">
        <f t="array" ref="D36">SourceData_Dairy.SourceData_Dairy_LiveweightBulls_Variable()</f>
        <v>Wj</v>
      </c>
      <c r="M36" s="8"/>
    </row>
    <row r="37" spans="4:13" ht="20.100000000000001" customHeight="1" x14ac:dyDescent="0.25">
      <c r="D37" s="13" t="str" cm="1">
        <f t="array" ref="D37">SourceData_Dairy.SourceData_Dairy_LiveweightBulls_Unit()</f>
        <v>kg</v>
      </c>
      <c r="M37" s="8"/>
    </row>
    <row r="38" spans="4:13" ht="20.100000000000001" customHeight="1" x14ac:dyDescent="0.25">
      <c r="D38" s="10" t="s">
        <v>556</v>
      </c>
      <c r="E38" s="10" t="s">
        <v>580</v>
      </c>
      <c r="F38" s="10" t="s">
        <v>581</v>
      </c>
      <c r="M38" s="8"/>
    </row>
    <row r="39" spans="4:13" ht="20.100000000000001" customHeight="1" x14ac:dyDescent="0.25">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4:13" ht="20.100000000000001" customHeight="1" x14ac:dyDescent="0.25">
      <c r="M40" s="8"/>
    </row>
    <row r="41" spans="4:13" ht="20.100000000000001" customHeight="1" x14ac:dyDescent="0.25">
      <c r="M41" s="8"/>
    </row>
    <row r="42" spans="4:13" ht="20.100000000000001" customHeight="1" x14ac:dyDescent="0.25">
      <c r="D42" s="9" t="str" cm="1">
        <f t="array" ref="D42">SourceData_Dairy.SourceData_Dairy_LiveweightGain_Title()</f>
        <v>Table A.1.3.3: Dairy cattle - Liveweight gain (kg) (LWGj)</v>
      </c>
      <c r="M42" s="8"/>
    </row>
    <row r="43" spans="4:13" ht="20.100000000000001" customHeight="1" x14ac:dyDescent="0.25">
      <c r="D43" s="11" t="str" cm="1">
        <f t="array" ref="D43">SourceData_Dairy.SourceData_Dairy_LiveweightGain_Source()</f>
        <v>VEERG 2026: Table A.1.3.3</v>
      </c>
      <c r="M43" s="8"/>
    </row>
    <row r="44" spans="4:13" ht="20.100000000000001" customHeight="1" x14ac:dyDescent="0.25">
      <c r="D44" s="8" t="str" cm="1">
        <f t="array" ref="D44">SourceData_Dairy.SourceData_Dairy_LiveweightGain_Variable()</f>
        <v>LWGj</v>
      </c>
      <c r="M44" s="8"/>
    </row>
    <row r="45" spans="4:13" ht="20.100000000000001" customHeight="1" x14ac:dyDescent="0.25">
      <c r="D45" s="13" t="str" cm="1">
        <f t="array" ref="D45">SourceData_Dairy.SourceData_Dairy_LiveweightGain_Unit()</f>
        <v>kg</v>
      </c>
      <c r="M45" s="8"/>
    </row>
    <row r="46" spans="4:13" ht="20.100000000000001" customHeight="1" x14ac:dyDescent="0.25">
      <c r="D46" s="10" t="s">
        <v>570</v>
      </c>
      <c r="E46" s="10" t="s">
        <v>579</v>
      </c>
      <c r="F46" s="10" t="s">
        <v>571</v>
      </c>
      <c r="G46" s="10" t="s">
        <v>580</v>
      </c>
      <c r="H46" s="10" t="s">
        <v>581</v>
      </c>
      <c r="M46" s="8"/>
    </row>
    <row r="47" spans="4:13" ht="20.100000000000001" customHeight="1" x14ac:dyDescent="0.25">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4:13" ht="20.100000000000001" customHeight="1" x14ac:dyDescent="0.25">
      <c r="M48" s="8"/>
    </row>
    <row r="49" spans="1:13" ht="20.100000000000001" customHeight="1" x14ac:dyDescent="0.25">
      <c r="M49" s="8"/>
    </row>
    <row r="50" spans="1:13" ht="20.100000000000001" customHeight="1" x14ac:dyDescent="0.25">
      <c r="D50" s="9" t="str" cm="1">
        <f t="array" ref="D50">SourceData_Dairy.SourceData_Dairy_ReferenceWeights_Title()</f>
        <v>Table A.1.3.4: Dairy cattle - Reference weights (kg) (WRj)</v>
      </c>
      <c r="M50" s="8"/>
    </row>
    <row r="51" spans="1:13" ht="20.100000000000001" customHeight="1" x14ac:dyDescent="0.25">
      <c r="D51" s="11" t="str" cm="1">
        <f t="array" ref="D51">SourceData_Dairy.SourceData_Dairy_ReferenceWeights_Source()</f>
        <v>VEERG 2026: Table A.1.3.4</v>
      </c>
      <c r="M51" s="8"/>
    </row>
    <row r="52" spans="1:13" ht="20.100000000000001" customHeight="1" x14ac:dyDescent="0.25">
      <c r="D52" s="8" t="str" cm="1">
        <f t="array" ref="D52">SourceData_Dairy.SourceData_Dairy_ReferenceWeights_Variable()</f>
        <v>WRj</v>
      </c>
      <c r="M52" s="8"/>
    </row>
    <row r="53" spans="1:13" ht="20.100000000000001" customHeight="1" x14ac:dyDescent="0.25">
      <c r="D53" s="13" t="str" cm="1">
        <f t="array" ref="D53">SourceData_Dairy.SourceData_Dairy_ReferenceWeights_Unit()</f>
        <v>kg</v>
      </c>
      <c r="M53" s="8"/>
    </row>
    <row r="54" spans="1:13" ht="20.100000000000001" customHeight="1" x14ac:dyDescent="0.25">
      <c r="D54" s="173" t="s">
        <v>570</v>
      </c>
      <c r="E54" s="173" t="s">
        <v>579</v>
      </c>
      <c r="F54" s="173" t="s">
        <v>571</v>
      </c>
      <c r="G54" s="173" t="s">
        <v>580</v>
      </c>
      <c r="H54" s="173" t="s">
        <v>581</v>
      </c>
      <c r="M54" s="8"/>
    </row>
    <row r="55" spans="1:13" ht="20.100000000000001" customHeight="1" x14ac:dyDescent="0.25">
      <c r="A55" s="56" t="str">
        <f>HYPERLINK("#A1", "▲ Back to top")</f>
        <v>▲ Back to top</v>
      </c>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M56" s="8"/>
    </row>
    <row r="57" spans="1:13" ht="20.100000000000001" customHeight="1" x14ac:dyDescent="0.25">
      <c r="M57" s="8"/>
    </row>
    <row r="58" spans="1:13" ht="20.100000000000001" customHeight="1" x14ac:dyDescent="0.25">
      <c r="D58" s="9" t="str" cm="1">
        <f t="array" ref="D58">SourceData_Dairy.SourceData_Dairy_PreWeanedCalves_Title()</f>
        <v>Table A.1.3.5: Dairy cattle - Data for pre - weaned calves</v>
      </c>
      <c r="M58" s="8"/>
    </row>
    <row r="59" spans="1:13" ht="20.100000000000001" customHeight="1" x14ac:dyDescent="0.25">
      <c r="D59" s="11" t="str" cm="1">
        <f t="array" ref="D59">SourceData_Dairy.SourceData_Dairy_PreWeanedCalves_Source()</f>
        <v>VEERG 2026: Table A.1.3.5</v>
      </c>
      <c r="M59" s="8"/>
    </row>
    <row r="60" spans="1:13" ht="20.100000000000001" customHeight="1" x14ac:dyDescent="0.25">
      <c r="D60" s="8" t="str" cm="1">
        <f t="array" ref="D60">SourceData_Dairy.SourceData_Dairy_PreWeanedCalves_Variable()</f>
        <v>VSj=3,5; NPWj=3,5</v>
      </c>
      <c r="M60" s="8"/>
    </row>
    <row r="61" spans="1:13" ht="20.100000000000001" customHeight="1" x14ac:dyDescent="0.25">
      <c r="D61" s="13" t="str" cm="1">
        <f t="array" ref="D61">SourceData_Dairy.SourceData_Dairy_PreWeanedCalves_Unit()</f>
        <v>kg/day</v>
      </c>
      <c r="M61" s="8"/>
    </row>
    <row r="62" spans="1:13" ht="20.100000000000001" customHeight="1" x14ac:dyDescent="0.25">
      <c r="D62" s="10" t="s">
        <v>582</v>
      </c>
      <c r="E62" s="10" t="s">
        <v>583</v>
      </c>
      <c r="F62" s="10" t="s">
        <v>584</v>
      </c>
      <c r="G62" s="10" t="s">
        <v>585</v>
      </c>
      <c r="M62" s="8"/>
    </row>
    <row r="63" spans="1:13" ht="20.100000000000001" customHeight="1" x14ac:dyDescent="0.25">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tr" cm="1">
        <f t="array" ref="D67">SourceData_Dairy.SourceData_Dairy_MCF_Title()</f>
        <v>Table A.1.3.6: Dairy cattle - Dairy cattle - MCFs (fraction) (MCFjm)</v>
      </c>
      <c r="M67" s="8"/>
    </row>
    <row r="68" spans="1:22" ht="20.100000000000001" customHeight="1" x14ac:dyDescent="0.25">
      <c r="D68" s="11" t="str" cm="1">
        <f t="array" ref="D68">SourceData_Dairy.SourceData_Dairy_MCF_Source()</f>
        <v>VEERG 2026: Table A.1.3.6</v>
      </c>
      <c r="M68" s="8"/>
    </row>
    <row r="69" spans="1:22" ht="20.100000000000001" customHeight="1" x14ac:dyDescent="0.25">
      <c r="D69" s="8" t="str" cm="1">
        <f t="array" ref="D69">SourceData_Dairy.SourceData_Dairy_MCF_Variable()</f>
        <v>MCFjm</v>
      </c>
      <c r="M69" s="8"/>
    </row>
    <row r="70" spans="1:22" ht="20.100000000000001" customHeight="1" x14ac:dyDescent="0.25">
      <c r="D70" s="13" t="str" cm="1">
        <f t="array" ref="D70">SourceData_Dairy.SourceData_Dairy_MCF_Unit()</f>
        <v>fraction</v>
      </c>
      <c r="M70" s="8"/>
    </row>
    <row r="71" spans="1:22" ht="20.100000000000001" customHeight="1" x14ac:dyDescent="0.25">
      <c r="D71" s="12" t="str" cm="1">
        <f t="array" ref="D71">SourceData_Dairy.SourceData_Dairy_MCF_Variation()</f>
        <v>VARIATION OF SOURCE: Added 'NIR reference' column to aid lookup</v>
      </c>
      <c r="M71" s="8"/>
      <c r="V71" s="8"/>
    </row>
    <row r="72" spans="1:22" ht="20.100000000000001" customHeight="1" x14ac:dyDescent="0.25">
      <c r="D72" s="10" t="s">
        <v>586</v>
      </c>
      <c r="E72" s="10" t="s">
        <v>340</v>
      </c>
      <c r="F72" s="10" t="s">
        <v>364</v>
      </c>
      <c r="G72" s="10" t="s">
        <v>487</v>
      </c>
      <c r="H72" s="10" t="s">
        <v>365</v>
      </c>
      <c r="I72" s="10" t="s">
        <v>428</v>
      </c>
      <c r="J72" s="10" t="s">
        <v>424</v>
      </c>
      <c r="K72" s="10" t="s">
        <v>370</v>
      </c>
      <c r="L72" s="10" t="s">
        <v>371</v>
      </c>
      <c r="M72" s="10" t="s">
        <v>587</v>
      </c>
      <c r="V72" s="8"/>
    </row>
    <row r="73" spans="1:22" ht="20.100000000000001" customHeight="1" x14ac:dyDescent="0.25">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s="56" t="str">
        <f>HYPERLINK("#A1", "▲ Back to top")</f>
        <v>▲ Back to top</v>
      </c>
      <c r="M79" s="8"/>
    </row>
    <row r="80" spans="1:22" ht="20.100000000000001" customHeight="1" x14ac:dyDescent="0.25">
      <c r="M80" s="8"/>
    </row>
    <row r="81" spans="4:22" ht="20.100000000000001" customHeight="1" x14ac:dyDescent="0.25">
      <c r="D81" s="9" t="str" cm="1">
        <f t="array" ref="D81">SourceData_Dairy.SourceData_Dairy_NitrousOxideEFsAndFracGASM_Title()</f>
        <v>Table A.1.3.7: Dairy cattle - Nitrous oxide EFs and fraction of N volatilised by MMS</v>
      </c>
      <c r="M81" s="8"/>
    </row>
    <row r="82" spans="4:22" ht="20.100000000000001" customHeight="1" x14ac:dyDescent="0.25">
      <c r="D82" s="11" t="str" cm="1">
        <f t="array" ref="D82">SourceData_Dairy.SourceData_Dairy_NitrousOxideEFsAndFracGASM_Source()</f>
        <v>VEERG 2026: Table A.1.3.7</v>
      </c>
      <c r="M82" s="8"/>
    </row>
    <row r="83" spans="4:22" ht="20.100000000000001" customHeight="1" x14ac:dyDescent="0.25">
      <c r="D83" s="8" t="str" cm="1">
        <f t="array" ref="D83">SourceData_Dairy.SourceData_Dairy_NitrousOxideEFsAndFracGASM_Variable()</f>
        <v>EFm; FracGASMm</v>
      </c>
      <c r="M83" s="8"/>
    </row>
    <row r="84" spans="4:22" ht="20.100000000000001" customHeight="1" x14ac:dyDescent="0.25">
      <c r="D84" s="13" t="str" cm="1">
        <f t="array" ref="D84">SourceData_Dairy.SourceData_Dairy_NitrousOxideEFsAndFracGASM_Unit()</f>
        <v>kg N2O-N/kg N excreted</v>
      </c>
      <c r="M84" s="8"/>
    </row>
    <row r="85" spans="4:22" ht="20.100000000000001" customHeight="1" x14ac:dyDescent="0.25">
      <c r="D85" s="12" t="str" cm="1">
        <f t="array" ref="D85">SourceData_Dairy.SourceData_Dairy_NitrousOxideEFsAndFracGASM_Variation()</f>
        <v>VARIATION OF SOURCE: Added 'NIR reference' column to aid lookup</v>
      </c>
      <c r="M85" s="8"/>
      <c r="V85" s="8"/>
    </row>
    <row r="86" spans="4:22" ht="20.100000000000001" customHeight="1" x14ac:dyDescent="0.25">
      <c r="D86" s="10" t="s">
        <v>586</v>
      </c>
      <c r="E86" s="10" t="s">
        <v>588</v>
      </c>
      <c r="F86" s="10" t="s">
        <v>589</v>
      </c>
      <c r="G86" s="10" t="s">
        <v>587</v>
      </c>
      <c r="M86" s="8"/>
      <c r="V86" s="8"/>
    </row>
    <row r="87" spans="4:22" ht="20.100000000000001" customHeight="1" x14ac:dyDescent="0.25">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4:22" ht="20.100000000000001" customHeight="1" x14ac:dyDescent="0.25">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4:22" ht="20.100000000000001" customHeight="1" x14ac:dyDescent="0.25">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4:22" ht="20.100000000000001" customHeight="1" x14ac:dyDescent="0.25">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4:22" ht="20.100000000000001" customHeight="1" x14ac:dyDescent="0.25">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4:22" ht="20.100000000000001" customHeight="1" x14ac:dyDescent="0.25">
      <c r="M92" s="8"/>
    </row>
    <row r="93" spans="4:22" ht="20.100000000000001" customHeight="1" x14ac:dyDescent="0.25">
      <c r="M93" s="8"/>
    </row>
    <row r="94" spans="4:22" ht="20.100000000000001" customHeight="1" x14ac:dyDescent="0.25">
      <c r="D94" s="9" t="str" cm="1">
        <f t="array" ref="D94">SourceData_Dairy.SourceData_Dairy_MethaneProductionPreWeanedCalves_Title()</f>
        <v>Table A.1.3.8: Dairy cattle - Methane production for pre-weaned heifer and bull calves (kg CH4/head/day) (MPWENTERIC,j=3,5)</v>
      </c>
      <c r="M94" s="8"/>
    </row>
    <row r="95" spans="4:22" ht="20.100000000000001" customHeight="1" x14ac:dyDescent="0.25">
      <c r="D95" s="11" t="str" cm="1">
        <f t="array" ref="D95">SourceData_Dairy.SourceData_Dairy_MethaneProductionPreWeanedCalves_Source()</f>
        <v>VEERG 2026: Table A.1.3.8</v>
      </c>
      <c r="M95" s="8"/>
    </row>
    <row r="96" spans="4:22" ht="20.100000000000001" customHeight="1" x14ac:dyDescent="0.25">
      <c r="D96" s="8" t="str" cm="1">
        <f t="array" ref="D96">SourceData_Dairy.SourceData_Dairy_MethaneProductionPreWeanedCalves_Variable()</f>
        <v>MPWENTERIC,j=3,5</v>
      </c>
      <c r="M96" s="8"/>
    </row>
    <row r="97" spans="1:13" ht="20.100000000000001" customHeight="1" x14ac:dyDescent="0.25">
      <c r="D97" s="13" t="str" cm="1">
        <f t="array" ref="D97">SourceData_Dairy.SourceData_Dairy_MethaneProductionPreWeanedCalves_Unit()</f>
        <v>kg CH4/head/day</v>
      </c>
      <c r="M97" s="8"/>
    </row>
    <row r="98" spans="1:13" ht="20.100000000000001" customHeight="1" x14ac:dyDescent="0.25">
      <c r="D98" s="10" t="s">
        <v>582</v>
      </c>
      <c r="E98" s="10" t="s">
        <v>590</v>
      </c>
      <c r="M98" s="8"/>
    </row>
    <row r="99" spans="1:13" ht="20.100000000000001" customHeight="1" x14ac:dyDescent="0.25">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tr" cm="1">
        <f t="array" ref="D103">SourceData_Dairy.SourceData_Dairy_IncreasedMetabolicRateMilk_Title()</f>
        <v>Table A.1.3.9: Dairy cattle - Increased metabolic rate when producing milk (MRj)</v>
      </c>
      <c r="M103" s="8"/>
    </row>
    <row r="104" spans="1:13" ht="20.100000000000001" customHeight="1" x14ac:dyDescent="0.25">
      <c r="A104" s="56" t="str">
        <f>HYPERLINK("#A1", "▲ Back to top")</f>
        <v>▲ Back to top</v>
      </c>
      <c r="D104" s="11" t="str" cm="1">
        <f t="array" ref="D104">SourceData_Dairy.SourceData_Dairy_IncreasedMetabolicRateMilk_Source()</f>
        <v>VEERG 2026: Table A.1.3.9</v>
      </c>
      <c r="M104" s="8"/>
    </row>
    <row r="105" spans="1:13" ht="20.100000000000001" customHeight="1" x14ac:dyDescent="0.25">
      <c r="D105" s="8" t="str" cm="1">
        <f t="array" ref="D105">SourceData_Dairy.SourceData_Dairy_IncreasedMetabolicRateMilk_Variable()</f>
        <v>MRj</v>
      </c>
      <c r="M105" s="8"/>
    </row>
    <row r="106" spans="1:13" ht="20.100000000000001" customHeight="1" x14ac:dyDescent="0.25">
      <c r="D106" s="13" t="str" cm="1">
        <f t="array" ref="D106">SourceData_Dairy.SourceData_Dairy_IncreasedMetabolicRateMilk_Unit()</f>
        <v/>
      </c>
      <c r="M106" s="8"/>
    </row>
    <row r="107" spans="1:13" ht="20.100000000000001" customHeight="1" x14ac:dyDescent="0.25">
      <c r="D107" s="10" t="s">
        <v>582</v>
      </c>
      <c r="E107" s="10" t="s">
        <v>591</v>
      </c>
      <c r="M107" s="8"/>
    </row>
    <row r="108" spans="1:13" ht="20.100000000000001" customHeight="1" x14ac:dyDescent="0.25">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M110" s="8"/>
    </row>
    <row r="111" spans="1:13" ht="20.100000000000001" customHeight="1" x14ac:dyDescent="0.25">
      <c r="M111" s="8"/>
    </row>
    <row r="112" spans="1:13" ht="20.100000000000001" customHeight="1" x14ac:dyDescent="0.25">
      <c r="D112" s="9" t="str" cm="1">
        <f t="array" ref="D112">SourceData_Dairy.SourceData_Dairy_FractionVolatileSolidsVoidedMMS_Title()</f>
        <v>Table A.1.3.10: Dairy cattle - Fraction of volatile solids voided to each manure management system (fraction) (MMSjm)</v>
      </c>
      <c r="M112" s="8"/>
    </row>
    <row r="113" spans="4:22" ht="20.100000000000001" customHeight="1" x14ac:dyDescent="0.25">
      <c r="D113" s="11" t="str" cm="1">
        <f t="array" ref="D113">SourceData_Dairy.SourceData_Dairy_FractionVolatileSolidsVoidedMMS_Source()</f>
        <v>VEERG 2026: Table A.1.3.10</v>
      </c>
      <c r="M113" s="8"/>
    </row>
    <row r="114" spans="4:22" ht="20.100000000000001" customHeight="1" x14ac:dyDescent="0.25">
      <c r="D114" s="8" t="str" cm="1">
        <f t="array" ref="D114">SourceData_Dairy.SourceData_Dairy_FractionVolatileSolidsVoidedMMS_Variable()</f>
        <v>MMSjm</v>
      </c>
      <c r="M114" s="8"/>
    </row>
    <row r="115" spans="4:22" ht="20.100000000000001" customHeight="1" x14ac:dyDescent="0.25">
      <c r="D115" s="13" t="str" cm="1">
        <f t="array" ref="D115">SourceData_Dairy.SourceData_Dairy_FractionVolatileSolidsVoidedMMS_Unit()</f>
        <v>fraction</v>
      </c>
      <c r="M115" s="8"/>
      <c r="V115" s="8"/>
    </row>
    <row r="116" spans="4:22" ht="20.100000000000001" customHeight="1" x14ac:dyDescent="0.25">
      <c r="D116" s="10" t="s">
        <v>592</v>
      </c>
      <c r="E116" s="10" t="s">
        <v>150</v>
      </c>
      <c r="F116" s="10" t="s">
        <v>593</v>
      </c>
      <c r="G116" s="10" t="s">
        <v>594</v>
      </c>
      <c r="M116" s="8"/>
      <c r="V116" s="8"/>
    </row>
    <row r="117" spans="4:22" ht="20.100000000000001" customHeight="1" x14ac:dyDescent="0.25">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4:22" ht="20.100000000000001" customHeight="1" x14ac:dyDescent="0.25">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4:22" ht="20.100000000000001" customHeight="1" x14ac:dyDescent="0.25">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4:22" ht="20.100000000000001" customHeight="1" x14ac:dyDescent="0.25">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4:22" ht="20.100000000000001" customHeight="1" x14ac:dyDescent="0.25">
      <c r="M121" s="8"/>
    </row>
    <row r="122" spans="4:22" ht="20.100000000000001" customHeight="1" x14ac:dyDescent="0.25">
      <c r="M122" s="8"/>
    </row>
    <row r="123" spans="4:22" ht="20.100000000000001" customHeight="1" x14ac:dyDescent="0.25">
      <c r="D123" s="9" t="str" cm="1">
        <f t="array" ref="D123">SourceData_Dairy.SourceData_Dairy_EFNitrousOxidePerMMS_Title()</f>
        <v>Table A.1.3.11: Dairy cattle - EF for nitrous oxide per MMS (kg N2O-N/kg N) (EFm)</v>
      </c>
      <c r="M123" s="8"/>
    </row>
    <row r="124" spans="4:22" ht="20.100000000000001" customHeight="1" x14ac:dyDescent="0.25">
      <c r="D124" s="11" t="str" cm="1">
        <f t="array" ref="D124">SourceData_Dairy.SourceData_Dairy_EFNitrousOxidePerMMS_Source()</f>
        <v>VEERG 2026: Table A.1.3.11</v>
      </c>
      <c r="M124" s="8"/>
    </row>
    <row r="125" spans="4:22" ht="20.100000000000001" customHeight="1" x14ac:dyDescent="0.25">
      <c r="D125" s="8" t="str" cm="1">
        <f t="array" ref="D125">SourceData_Dairy.SourceData_Dairy_EFNitrousOxidePerMMS_Variable()</f>
        <v>EFm</v>
      </c>
      <c r="M125" s="8"/>
      <c r="V125" s="8"/>
    </row>
    <row r="126" spans="4:22" ht="20.100000000000001" customHeight="1" x14ac:dyDescent="0.25">
      <c r="D126" s="13" t="str" cm="1">
        <f t="array" ref="D126">SourceData_Dairy.SourceData_Dairy_EFNitrousOxidePerMMS_Unit()</f>
        <v>kg N2O-N/kg N</v>
      </c>
      <c r="M126" s="8"/>
      <c r="V126" s="8"/>
    </row>
    <row r="127" spans="4:22" ht="20.100000000000001" customHeight="1" x14ac:dyDescent="0.25">
      <c r="D127" s="12" t="str" cm="1">
        <f t="array" ref="D127">SourceData_Dairy.SourceData_Dairy_EFNitrousOxidePerMMS_Variation()</f>
        <v>VARIATION OF SOURCE: Added 'NIR reference' column to aid lookup</v>
      </c>
      <c r="M127" s="8"/>
      <c r="V127" s="8"/>
    </row>
    <row r="128" spans="4:22" ht="20.100000000000001" customHeight="1" x14ac:dyDescent="0.25">
      <c r="D128" s="10" t="s">
        <v>586</v>
      </c>
      <c r="E128" s="10" t="s">
        <v>588</v>
      </c>
      <c r="F128" s="10" t="s">
        <v>587</v>
      </c>
      <c r="G128" s="170" t="s">
        <v>595</v>
      </c>
      <c r="M128" s="8"/>
      <c r="N128" s="14"/>
      <c r="V128" s="8"/>
    </row>
    <row r="129" spans="1:22" ht="20.100000000000001" customHeight="1" x14ac:dyDescent="0.25">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M134" s="14"/>
    </row>
    <row r="135" spans="1:22" ht="20.100000000000001" customHeight="1" x14ac:dyDescent="0.25">
      <c r="M135" s="14"/>
    </row>
    <row r="136" spans="1:22" ht="20.100000000000001" customHeight="1" x14ac:dyDescent="0.25">
      <c r="D136" s="9" t="str" cm="1">
        <f t="array" ref="D136">SourceData_Dairy.SourceData_Dairy_DurationOfStay_Title()</f>
        <v>Duration of stay for each dairy cattle input class</v>
      </c>
      <c r="M136" s="14"/>
    </row>
    <row r="137" spans="1:22" ht="20.100000000000001" customHeight="1" x14ac:dyDescent="0.25">
      <c r="A137" s="56" t="str">
        <f>HYPERLINK("#A1", "▲ Back to top")</f>
        <v>▲ Back to top</v>
      </c>
      <c r="D137" s="11" t="str" cm="1">
        <f t="array" ref="D137">SourceData_Dairy.SourceData_Dairy_DurationOfStay_Source()</f>
        <v>VEERG 2026: 4.3.2.2	DATA (METHOD 1 AND 2 OPTIONS)</v>
      </c>
      <c r="M137" s="14"/>
    </row>
    <row r="138" spans="1:22" ht="20.100000000000001" customHeight="1" x14ac:dyDescent="0.25">
      <c r="D138" s="8" t="str" cm="1">
        <f t="array" ref="D138">SourceData_Dairy.SourceData_Dairy_DurationOfStay_Variable()</f>
        <v>D</v>
      </c>
      <c r="M138" s="14"/>
    </row>
    <row r="139" spans="1:22" ht="20.100000000000001" customHeight="1" x14ac:dyDescent="0.25">
      <c r="D139" s="13" t="str" cm="1">
        <f t="array" ref="D139">SourceData_Dairy.SourceData_Dairy_DurationOfStay_Unit()</f>
        <v>days</v>
      </c>
      <c r="M139" s="14"/>
    </row>
    <row r="140" spans="1:22" ht="20.100000000000001" customHeight="1" x14ac:dyDescent="0.25">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D141" s="10" t="s">
        <v>582</v>
      </c>
      <c r="E141" s="10" t="s">
        <v>596</v>
      </c>
      <c r="F141" s="10" t="s">
        <v>597</v>
      </c>
      <c r="M141" s="14"/>
    </row>
    <row r="142" spans="1:22" ht="20.100000000000001" customHeight="1" x14ac:dyDescent="0.25">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4:13" ht="20.100000000000001" customHeight="1" x14ac:dyDescent="0.2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4:13" ht="20.100000000000001" customHeight="1" x14ac:dyDescent="0.25">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4:13" ht="20.100000000000001" customHeight="1" x14ac:dyDescent="0.25">
      <c r="M147" s="14"/>
    </row>
    <row r="148" spans="4:13" ht="20.100000000000001" customHeight="1" x14ac:dyDescent="0.25">
      <c r="M148" s="14"/>
    </row>
    <row r="149" spans="4:13" ht="20.100000000000001" customHeight="1" x14ac:dyDescent="0.25">
      <c r="D149" s="9" t="str" cm="1">
        <f t="array" ref="D149">SourceData_Dairy.SourceData_Dairy_CrudeProtein_Title()</f>
        <v>Crude protein content of feed intake</v>
      </c>
      <c r="M149" s="14"/>
    </row>
    <row r="150" spans="4:13" ht="20.100000000000001" customHeight="1" x14ac:dyDescent="0.25">
      <c r="D150" s="11" t="str" cm="1">
        <f t="array" ref="D150">SourceData_Dairy.SourceData_Dairy_CrudeProtein_Source()</f>
        <v>VEERG 2026: 4.3.2.2	DATA (METHOD 1 AND 2 OPTIONS)</v>
      </c>
      <c r="M150" s="14"/>
    </row>
    <row r="151" spans="4:13" ht="20.100000000000001" customHeight="1" x14ac:dyDescent="0.25">
      <c r="D151" s="8" t="str" cm="1">
        <f t="array" ref="D151">SourceData_Dairy.SourceData_Dairy_CrudeProtein_Variable()</f>
        <v>CP</v>
      </c>
      <c r="M151" s="14"/>
    </row>
    <row r="152" spans="4:13" ht="20.100000000000001" customHeight="1" x14ac:dyDescent="0.25">
      <c r="D152" s="13" t="str" cm="1">
        <f t="array" ref="D152">SourceData_Dairy.SourceData_Dairy_CrudeProtein_Unit()</f>
        <v>fraction</v>
      </c>
      <c r="M152" s="14"/>
    </row>
    <row r="153" spans="4:13" ht="20.100000000000001" customHeight="1" x14ac:dyDescent="0.25">
      <c r="D153" s="28" cm="1">
        <f t="array" ref="D153">SourceData_Dairy.SourceData_Dairy_CrudeProtein_Data()</f>
        <v>0.2</v>
      </c>
      <c r="M153" s="14"/>
    </row>
    <row r="154" spans="4:13" ht="20.100000000000001" customHeight="1" x14ac:dyDescent="0.25">
      <c r="M154" s="14"/>
    </row>
    <row r="155" spans="4:13" ht="20.100000000000001" customHeight="1" x14ac:dyDescent="0.25">
      <c r="M155" s="14"/>
    </row>
    <row r="156" spans="4:13" ht="20.100000000000001" customHeight="1" x14ac:dyDescent="0.25">
      <c r="D156" s="9" t="str" cm="1">
        <f t="array" ref="D156">SourceData_Dairy.SourceData_Dairy_DryMatterDigestibility_Title()</f>
        <v>Dry matter digestibility</v>
      </c>
      <c r="M156" s="14"/>
    </row>
    <row r="157" spans="4:13" ht="20.100000000000001" customHeight="1" x14ac:dyDescent="0.25">
      <c r="D157" s="11" t="str" cm="1">
        <f t="array" ref="D157">SourceData_Dairy.SourceData_Dairy_DryMatterDigestibility_Source()</f>
        <v>VEERG 2026: 3.3.2.2	DATA (METHOD 1 AND 2 OPTIONS)</v>
      </c>
      <c r="M157" s="14"/>
    </row>
    <row r="158" spans="4:13" ht="20.100000000000001" customHeight="1" x14ac:dyDescent="0.25">
      <c r="D158" s="8" t="str" cm="1">
        <f t="array" ref="D158">SourceData_Dairy.SourceData_Dairy_DryMatterDigestibility_Variable()</f>
        <v>DMD</v>
      </c>
      <c r="M158" s="14"/>
    </row>
    <row r="159" spans="4:13" ht="20.100000000000001" customHeight="1" x14ac:dyDescent="0.25">
      <c r="D159" s="13" t="str" cm="1">
        <f t="array" ref="D159">SourceData_Dairy.SourceData_Dairy_DryMatterDigestibility_Unit()</f>
        <v>fraction</v>
      </c>
      <c r="M159" s="14"/>
    </row>
    <row r="160" spans="4:13" ht="20.100000000000001" customHeight="1" x14ac:dyDescent="0.25">
      <c r="D160" s="28"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8"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6" t="str">
        <f>HYPERLINK("#A1", "▲ Back to top")</f>
        <v>▲ Back to top</v>
      </c>
      <c r="D174" s="28"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8"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8"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8"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8"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Fraction of N that is lost through leaching and runoff</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Dimensionless</v>
      </c>
      <c r="M208" s="14"/>
    </row>
    <row r="209" spans="1:13" x14ac:dyDescent="0.25">
      <c r="D209" s="28" cm="1">
        <f t="array" ref="D209">SourceData_Dairy.SourceData_Dairy_FractionOfNitrogenLostThroughLeachingAndRunoff_Data()</f>
        <v>0.02</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56" t="str">
        <f>HYPERLINK("#A1", "▲ Back to top")</f>
        <v>▲ Back to top</v>
      </c>
      <c r="D215" s="28"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8"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8"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dimension ref="A1:V454"/>
  <sheetViews>
    <sheetView showGridLines="0" topLeftCell="A71" zoomScale="85" zoomScaleNormal="85" workbookViewId="0">
      <selection activeCell="N158" sqref="N15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498</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499</v>
      </c>
      <c r="G5" s="9" t="s">
        <v>146</v>
      </c>
      <c r="M5" s="8" t="s">
        <v>500</v>
      </c>
      <c r="O5" s="8" t="s">
        <v>501</v>
      </c>
      <c r="Q5" s="8" t="s">
        <v>502</v>
      </c>
      <c r="S5" s="8" t="s">
        <v>503</v>
      </c>
    </row>
    <row r="6" spans="1:21" ht="20.100000000000001" customHeight="1" x14ac:dyDescent="0.25">
      <c r="A6" s="19" t="s">
        <v>67</v>
      </c>
      <c r="M6" s="8"/>
    </row>
    <row r="7" spans="1:21" ht="20.100000000000001" customHeight="1" x14ac:dyDescent="0.25">
      <c r="A7" s="16" t="str">
        <f>HYPERLINK("#'Input - Site'!A1", "Site")</f>
        <v>Site</v>
      </c>
      <c r="D7" s="10" t="s">
        <v>148</v>
      </c>
      <c r="G7" s="10" t="s">
        <v>43</v>
      </c>
      <c r="M7" s="3" t="s">
        <v>419</v>
      </c>
      <c r="O7" s="10" t="s">
        <v>419</v>
      </c>
      <c r="Q7" s="10" t="s">
        <v>419</v>
      </c>
      <c r="S7" s="10" t="s">
        <v>419</v>
      </c>
    </row>
    <row r="8" spans="1:21" ht="20.100000000000001" customHeight="1" x14ac:dyDescent="0.25">
      <c r="A8" s="16" t="str">
        <f>HYPERLINK("#'Input - Pasture Beef'!A1", "Pasture Beef")</f>
        <v>Pasture Beef</v>
      </c>
      <c r="D8" s="10" t="str">
        <f>'Constants - Common'!$F$187</f>
        <v>Pasture</v>
      </c>
      <c r="G8" s="10" t="s">
        <v>151</v>
      </c>
      <c r="M8" s="10" t="s">
        <v>504</v>
      </c>
      <c r="O8" s="10" t="s">
        <v>505</v>
      </c>
      <c r="Q8" s="10" t="s">
        <v>506</v>
      </c>
      <c r="S8" s="10" t="s">
        <v>486</v>
      </c>
    </row>
    <row r="9" spans="1:21" ht="20.100000000000001" customHeight="1" x14ac:dyDescent="0.25">
      <c r="A9" s="16"/>
      <c r="D9" s="8" t="str">
        <f>'Constants - Common'!$F$188</f>
        <v>Crop</v>
      </c>
      <c r="G9" s="10" t="s">
        <v>155</v>
      </c>
      <c r="M9" s="10" t="s">
        <v>507</v>
      </c>
      <c r="O9" s="10" t="s">
        <v>508</v>
      </c>
      <c r="Q9" s="10" t="s">
        <v>509</v>
      </c>
    </row>
    <row r="10" spans="1:21" ht="20.100000000000001" customHeight="1" x14ac:dyDescent="0.25">
      <c r="A10" s="21" t="s">
        <v>77</v>
      </c>
      <c r="G10" s="8" t="s">
        <v>158</v>
      </c>
      <c r="M10" s="10" t="s">
        <v>510</v>
      </c>
      <c r="O10" s="10" t="s">
        <v>511</v>
      </c>
      <c r="Q10" s="10" t="s">
        <v>512</v>
      </c>
      <c r="S10" s="8" t="s">
        <v>513</v>
      </c>
    </row>
    <row r="11" spans="1:21" ht="20.100000000000001" customHeight="1" x14ac:dyDescent="0.25">
      <c r="A11" s="16" t="str">
        <f>HYPERLINK("#'3.2.1.1-2 Enteric Methane'!A1", "3.2.1.1-2 Enteric Methane")</f>
        <v>3.2.1.1-2 Enteric Methane</v>
      </c>
      <c r="G11" s="8" t="s">
        <v>161</v>
      </c>
      <c r="M11" s="8"/>
      <c r="Q11" s="10" t="s">
        <v>514</v>
      </c>
    </row>
    <row r="12" spans="1:21" ht="20.100000000000001" customHeight="1" x14ac:dyDescent="0.25">
      <c r="A12" s="16"/>
      <c r="G12" s="8" t="s">
        <v>163</v>
      </c>
      <c r="M12" s="8"/>
      <c r="S12" s="10" t="s">
        <v>419</v>
      </c>
    </row>
    <row r="13" spans="1:21" ht="20.100000000000001" customHeight="1" x14ac:dyDescent="0.25">
      <c r="A13" s="23" t="s">
        <v>78</v>
      </c>
      <c r="M13" s="8"/>
      <c r="S13" s="10" t="s">
        <v>486</v>
      </c>
    </row>
    <row r="14" spans="1:21" ht="20.100000000000001" customHeight="1" x14ac:dyDescent="0.25">
      <c r="A14" s="24" t="str">
        <f>HYPERLINK("#'Constants - Pasture Beef'!A1", "Constants - Pasture Beef")</f>
        <v>Constants - Pasture Beef</v>
      </c>
      <c r="D14" s="9" t="str" cm="1">
        <f t="array" ref="D14">SourceData_PastureBeef.SourceData_PastureBeef_Liveweight_Title()</f>
        <v>Beef pasture cattle - Liveweight (kg) (Wjkl)</v>
      </c>
      <c r="M14" s="8"/>
    </row>
    <row r="15" spans="1:21" ht="20.100000000000001" customHeight="1" x14ac:dyDescent="0.25">
      <c r="A15" s="16" t="str">
        <f>HYPERLINK("#'Constants - Livestock'!A1", "Constants - Livestock")</f>
        <v>Constants - Livestock</v>
      </c>
      <c r="D15" s="11" t="str" cm="1">
        <f t="array" ref="D15">SourceData_PastureBeef.SourceData_PastureBeef_Liveweight_Source()</f>
        <v>VEERG 2026: Table A.1.2.1</v>
      </c>
      <c r="M15" s="8"/>
      <c r="S15" s="8" t="s">
        <v>515</v>
      </c>
    </row>
    <row r="16" spans="1:21" ht="20.100000000000001" customHeight="1" x14ac:dyDescent="0.25">
      <c r="A16" s="16" t="str">
        <f>HYPERLINK("#'Constants - Common'!A1", "Constants - Common")</f>
        <v>Constants - Common</v>
      </c>
      <c r="D16" s="8" t="str" cm="1">
        <f t="array" ref="D16">SourceData_PastureBeef.SourceData_PastureBeef_Liveweight_Variable()</f>
        <v>Wjkl</v>
      </c>
      <c r="M16" s="8"/>
    </row>
    <row r="17" spans="1:19" ht="20.100000000000001" customHeight="1" x14ac:dyDescent="0.25">
      <c r="A17" s="16" t="str">
        <f>HYPERLINK("#'Acknowledgements'!A1", "Acknowledgements")</f>
        <v>Acknowledgements</v>
      </c>
      <c r="D17" s="13" t="str" cm="1">
        <f t="array" ref="D17">SourceData_PastureBeef.SourceData_PastureBeef_Liveweight_Unit()</f>
        <v>kg</v>
      </c>
      <c r="M17" s="8"/>
      <c r="S17" s="10" t="s">
        <v>419</v>
      </c>
    </row>
    <row r="18" spans="1:19" ht="20.100000000000001" customHeight="1" x14ac:dyDescent="0.25">
      <c r="D18" s="10" t="s">
        <v>291</v>
      </c>
      <c r="E18" s="10" t="s">
        <v>419</v>
      </c>
      <c r="F18" s="10" t="s">
        <v>47</v>
      </c>
      <c r="G18" s="10" t="s">
        <v>516</v>
      </c>
      <c r="H18" s="10" t="s">
        <v>517</v>
      </c>
      <c r="I18" s="10" t="s">
        <v>518</v>
      </c>
      <c r="J18" s="10" t="s">
        <v>519</v>
      </c>
      <c r="K18" s="10" t="s">
        <v>520</v>
      </c>
      <c r="L18" s="10" t="s">
        <v>521</v>
      </c>
      <c r="M18" s="10" t="s">
        <v>522</v>
      </c>
      <c r="S18" s="10" t="s">
        <v>486</v>
      </c>
    </row>
    <row r="19" spans="1:19" ht="20.100000000000001" customHeight="1" x14ac:dyDescent="0.25">
      <c r="A19" s="16"/>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row>
    <row r="20" spans="1:19" ht="20.100000000000001" customHeight="1" x14ac:dyDescent="0.25">
      <c r="A20" s="16"/>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S20" s="8" t="s">
        <v>523</v>
      </c>
    </row>
    <row r="21" spans="1:19" ht="20.100000000000001" customHeight="1" x14ac:dyDescent="0.25">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row>
    <row r="22" spans="1:19" ht="20.100000000000001" customHeight="1" x14ac:dyDescent="0.25">
      <c r="A22" s="16"/>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S22" s="10" t="s">
        <v>419</v>
      </c>
    </row>
    <row r="23" spans="1:19" ht="20.100000000000001" customHeight="1" x14ac:dyDescent="0.25">
      <c r="A23" s="16"/>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S23" s="10" t="s">
        <v>486</v>
      </c>
    </row>
    <row r="24" spans="1:19" ht="20.100000000000001" customHeight="1" x14ac:dyDescent="0.25">
      <c r="A24" s="16"/>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row>
    <row r="25" spans="1:19" ht="20.100000000000001" customHeight="1" x14ac:dyDescent="0.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S25" s="8" t="s">
        <v>524</v>
      </c>
    </row>
    <row r="26" spans="1:19" ht="20.100000000000001" customHeight="1" x14ac:dyDescent="0.25">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row>
    <row r="27" spans="1:19" ht="20.100000000000001" customHeight="1" x14ac:dyDescent="0.25">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S27" s="10" t="s">
        <v>419</v>
      </c>
    </row>
    <row r="28" spans="1:19" ht="20.100000000000001" customHeight="1" x14ac:dyDescent="0.25">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S28" s="10" t="s">
        <v>486</v>
      </c>
    </row>
    <row r="29" spans="1:19" ht="20.100000000000001" customHeight="1" x14ac:dyDescent="0.25">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4:13" ht="20.100000000000001" customHeight="1" x14ac:dyDescent="0.25">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4:13" ht="20.100000000000001" customHeight="1" x14ac:dyDescent="0.25">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4:13" ht="20.100000000000001" customHeight="1" x14ac:dyDescent="0.2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4:13" ht="20.100000000000001" customHeight="1" x14ac:dyDescent="0.25">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4:13" ht="20.100000000000001" customHeight="1" x14ac:dyDescent="0.25">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4:13" ht="20.100000000000001" customHeight="1" x14ac:dyDescent="0.25">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4:13" ht="20.100000000000001" customHeight="1" x14ac:dyDescent="0.25">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4:13" ht="20.100000000000001" customHeight="1" x14ac:dyDescent="0.25">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4:13" ht="20.100000000000001" customHeight="1" x14ac:dyDescent="0.25">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4:13" ht="20.100000000000001" customHeight="1" x14ac:dyDescent="0.25">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4:13" ht="20.100000000000001" customHeight="1" x14ac:dyDescent="0.25">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4:13" ht="20.100000000000001" customHeight="1" x14ac:dyDescent="0.25">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4:13" ht="20.100000000000001" customHeight="1" x14ac:dyDescent="0.2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4:13" ht="20.100000000000001" customHeight="1" x14ac:dyDescent="0.25">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4:13" ht="20.100000000000001" customHeight="1" x14ac:dyDescent="0.25">
      <c r="M47" s="8"/>
    </row>
    <row r="48" spans="4:13" ht="20.100000000000001" customHeight="1" x14ac:dyDescent="0.25">
      <c r="M48" s="8"/>
    </row>
    <row r="49" spans="4:16" ht="20.100000000000001" customHeight="1" x14ac:dyDescent="0.25">
      <c r="D49" s="9" t="str" cm="1">
        <f t="array" ref="D49">SourceData_PastureBeef.SourceData_PastureBeef_LiveweightNTQLD_Title()</f>
        <v>Beef pasture cattle - Liveweight (kg) (Wjkl) for NT and QLD</v>
      </c>
      <c r="M49" s="8"/>
    </row>
    <row r="50" spans="4:16" ht="20.100000000000001" customHeight="1" x14ac:dyDescent="0.25">
      <c r="D50" s="11" t="str" cm="1">
        <f t="array" ref="D50">SourceData_PastureBeef.SourceData_PastureBeef_LiveweightNTQLD_Source()</f>
        <v>VEERG 2026: Table A.1.2.2</v>
      </c>
      <c r="M50" s="8"/>
    </row>
    <row r="51" spans="4:16" ht="20.100000000000001" customHeight="1" x14ac:dyDescent="0.25">
      <c r="D51" s="8" t="str" cm="1">
        <f t="array" ref="D51">SourceData_PastureBeef.SourceData_PastureBeef_LiveweightNTQLD_Variable()</f>
        <v>Wjkl</v>
      </c>
      <c r="M51" s="8"/>
    </row>
    <row r="52" spans="4:16" ht="20.100000000000001" customHeight="1" x14ac:dyDescent="0.25">
      <c r="D52" s="13" t="str" cm="1">
        <f t="array" ref="D52">SourceData_PastureBeef.SourceData_PastureBeef_LiveweightNTQLD_Unit()</f>
        <v>kg</v>
      </c>
      <c r="M52" s="8"/>
    </row>
    <row r="53" spans="4:16" ht="20.100000000000001" customHeight="1" x14ac:dyDescent="0.25">
      <c r="D53" s="10" t="s">
        <v>291</v>
      </c>
      <c r="E53" s="10" t="s">
        <v>419</v>
      </c>
      <c r="F53" s="10" t="s">
        <v>47</v>
      </c>
      <c r="G53" s="10" t="s">
        <v>525</v>
      </c>
      <c r="H53" s="10" t="s">
        <v>526</v>
      </c>
      <c r="I53" s="10" t="s">
        <v>527</v>
      </c>
      <c r="J53" s="10" t="s">
        <v>528</v>
      </c>
      <c r="K53" s="10" t="s">
        <v>529</v>
      </c>
      <c r="L53" s="10" t="s">
        <v>530</v>
      </c>
      <c r="M53" s="10" t="s">
        <v>531</v>
      </c>
      <c r="N53" s="10" t="s">
        <v>532</v>
      </c>
      <c r="O53" s="10" t="s">
        <v>533</v>
      </c>
      <c r="P53" s="10" t="s">
        <v>534</v>
      </c>
    </row>
    <row r="54" spans="4:16" ht="20.100000000000001" customHeight="1" x14ac:dyDescent="0.25">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4:22" ht="20.100000000000001" customHeight="1" x14ac:dyDescent="0.25">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4:22" ht="20.100000000000001" customHeight="1" x14ac:dyDescent="0.25">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4:22" ht="20.100000000000001" customHeight="1" x14ac:dyDescent="0.25">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4:22" ht="20.100000000000001" customHeight="1" x14ac:dyDescent="0.2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4:22" ht="20.100000000000001" customHeight="1" x14ac:dyDescent="0.25">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4:22" ht="20.100000000000001" customHeight="1" x14ac:dyDescent="0.25">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4:22" ht="20.100000000000001" customHeight="1" x14ac:dyDescent="0.25">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8"/>
    </row>
    <row r="83" spans="4:22" ht="20.100000000000001" customHeight="1" x14ac:dyDescent="0.25">
      <c r="M83" s="8"/>
    </row>
    <row r="84" spans="4:22" ht="20.100000000000001" customHeight="1" x14ac:dyDescent="0.25">
      <c r="D84" s="9" t="s">
        <v>535</v>
      </c>
      <c r="M84" s="8"/>
    </row>
    <row r="85" spans="4:22" ht="20.100000000000001" customHeight="1" x14ac:dyDescent="0.25">
      <c r="D85" s="10" t="s">
        <v>291</v>
      </c>
      <c r="E85" s="10" t="s">
        <v>419</v>
      </c>
      <c r="F85" s="10" t="s">
        <v>47</v>
      </c>
      <c r="G85" s="169" t="s">
        <v>536</v>
      </c>
      <c r="H85" s="169" t="s">
        <v>537</v>
      </c>
      <c r="I85" s="169" t="s">
        <v>538</v>
      </c>
      <c r="J85" s="169" t="s">
        <v>539</v>
      </c>
      <c r="K85" s="169" t="s">
        <v>540</v>
      </c>
      <c r="L85" s="169" t="s">
        <v>541</v>
      </c>
      <c r="M85" s="169" t="s">
        <v>542</v>
      </c>
      <c r="N85" s="169" t="s">
        <v>543</v>
      </c>
      <c r="O85" s="169" t="s">
        <v>544</v>
      </c>
      <c r="P85" s="169" t="s">
        <v>545</v>
      </c>
      <c r="V85" s="8"/>
    </row>
    <row r="86" spans="4:22" ht="20.100000000000001" customHeight="1" x14ac:dyDescent="0.25">
      <c r="D86" s="10" t="s">
        <v>340</v>
      </c>
      <c r="E86" s="10" t="s">
        <v>486</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340</v>
      </c>
      <c r="E87" s="10" t="s">
        <v>486</v>
      </c>
      <c r="F87" s="10" t="s">
        <v>546</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340</v>
      </c>
      <c r="E88" s="10" t="s">
        <v>486</v>
      </c>
      <c r="F88" s="10" t="s">
        <v>547</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340</v>
      </c>
      <c r="E89" s="10" t="s">
        <v>486</v>
      </c>
      <c r="F89" s="10" t="s">
        <v>548</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364</v>
      </c>
      <c r="E90" s="10" t="s">
        <v>486</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364</v>
      </c>
      <c r="E91" s="10" t="s">
        <v>486</v>
      </c>
      <c r="F91" s="10" t="s">
        <v>546</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364</v>
      </c>
      <c r="E92" s="10" t="s">
        <v>486</v>
      </c>
      <c r="F92" s="10" t="s">
        <v>547</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364</v>
      </c>
      <c r="E93" s="10" t="s">
        <v>486</v>
      </c>
      <c r="F93" s="10" t="s">
        <v>548</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428</v>
      </c>
      <c r="E94" s="10" t="s">
        <v>486</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428</v>
      </c>
      <c r="E95" s="10" t="s">
        <v>486</v>
      </c>
      <c r="F95" s="10" t="s">
        <v>546</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428</v>
      </c>
      <c r="E96" s="10" t="s">
        <v>486</v>
      </c>
      <c r="F96" s="10" t="s">
        <v>547</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428</v>
      </c>
      <c r="E97" s="10" t="s">
        <v>486</v>
      </c>
      <c r="F97" s="10" t="s">
        <v>548</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424</v>
      </c>
      <c r="E98" s="10" t="s">
        <v>486</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424</v>
      </c>
      <c r="E99" s="10" t="s">
        <v>486</v>
      </c>
      <c r="F99" s="10" t="s">
        <v>546</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424</v>
      </c>
      <c r="E100" s="10" t="s">
        <v>486</v>
      </c>
      <c r="F100" s="10" t="s">
        <v>547</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424</v>
      </c>
      <c r="E101" s="10" t="s">
        <v>486</v>
      </c>
      <c r="F101" s="10" t="s">
        <v>548</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370</v>
      </c>
      <c r="E102" s="10" t="s">
        <v>486</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370</v>
      </c>
      <c r="E103" s="10" t="s">
        <v>486</v>
      </c>
      <c r="F103" s="10" t="s">
        <v>546</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370</v>
      </c>
      <c r="E104" s="10" t="s">
        <v>486</v>
      </c>
      <c r="F104" s="10" t="s">
        <v>547</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370</v>
      </c>
      <c r="E105" s="10" t="s">
        <v>486</v>
      </c>
      <c r="F105" s="10" t="s">
        <v>548</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371</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371</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371</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371</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371</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371</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371</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371</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371</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371</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371</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371</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487</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487</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487</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487</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487</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487</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487</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487</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487</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487</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487</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487</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365</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365</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365</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365</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365</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365</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365</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365</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365</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365</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365</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365</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365</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365</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365</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365</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363</v>
      </c>
      <c r="E146" s="8" t="s">
        <v>486</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363</v>
      </c>
      <c r="E147" s="8" t="s">
        <v>486</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4:16" ht="20.100000000000001" customHeight="1" x14ac:dyDescent="0.25">
      <c r="D148" s="8" t="s">
        <v>363</v>
      </c>
      <c r="E148" s="8" t="s">
        <v>486</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4:16" ht="20.100000000000001" customHeight="1" x14ac:dyDescent="0.25">
      <c r="D149" s="8" t="s">
        <v>363</v>
      </c>
      <c r="E149" s="8" t="s">
        <v>486</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4:16" ht="20.100000000000001" customHeight="1" x14ac:dyDescent="0.25">
      <c r="D150" s="9" t="str" cm="1">
        <f t="array" ref="D150">SourceData_PastureBeef.SourceData_PastureBeef_LiveweightGain_Title()</f>
        <v>Beef pasture cattle - Liveweight gain (kg) (LWGjkl)</v>
      </c>
      <c r="M150" s="8"/>
    </row>
    <row r="151" spans="4:16" ht="20.100000000000001" customHeight="1" x14ac:dyDescent="0.25">
      <c r="D151" s="11" t="str" cm="1">
        <f t="array" ref="D151">SourceData_PastureBeef.SourceData_PastureBeef_LiveweightGain_Source()</f>
        <v>VEERG 2026: Table A.1.2.3</v>
      </c>
      <c r="M151" s="8"/>
    </row>
    <row r="152" spans="4:16" ht="20.100000000000001" customHeight="1" x14ac:dyDescent="0.25">
      <c r="D152" s="8" t="str" cm="1">
        <f t="array" ref="D152">SourceData_PastureBeef.SourceData_PastureBeef_LiveweightGain_Variable()</f>
        <v>LWGjkl</v>
      </c>
      <c r="M152" s="8"/>
    </row>
    <row r="153" spans="4:16" ht="20.100000000000001" customHeight="1" x14ac:dyDescent="0.25">
      <c r="D153" s="13" t="str" cm="1">
        <f t="array" ref="D153">SourceData_PastureBeef.SourceData_PastureBeef_LiveweightGain_Unit()</f>
        <v>kg</v>
      </c>
      <c r="M153" s="8"/>
    </row>
    <row r="154" spans="4:16" ht="20.100000000000001" customHeight="1" x14ac:dyDescent="0.25">
      <c r="D154" s="10" t="s">
        <v>291</v>
      </c>
      <c r="E154" s="10" t="s">
        <v>419</v>
      </c>
      <c r="F154" s="10" t="s">
        <v>47</v>
      </c>
      <c r="G154" s="10" t="s">
        <v>525</v>
      </c>
      <c r="H154" s="10" t="s">
        <v>526</v>
      </c>
      <c r="I154" s="10" t="s">
        <v>549</v>
      </c>
      <c r="J154" s="10" t="s">
        <v>519</v>
      </c>
      <c r="K154" s="10" t="s">
        <v>550</v>
      </c>
      <c r="L154" s="10" t="s">
        <v>531</v>
      </c>
      <c r="M154" s="10" t="s">
        <v>551</v>
      </c>
    </row>
    <row r="155" spans="4:16" ht="20.100000000000001" customHeight="1" x14ac:dyDescent="0.2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291</v>
      </c>
      <c r="E189" s="10" t="s">
        <v>419</v>
      </c>
      <c r="F189" s="10" t="s">
        <v>47</v>
      </c>
      <c r="G189" s="10" t="s">
        <v>525</v>
      </c>
      <c r="H189" s="10" t="s">
        <v>526</v>
      </c>
      <c r="I189" s="10" t="s">
        <v>549</v>
      </c>
      <c r="J189" s="10" t="s">
        <v>519</v>
      </c>
      <c r="K189" s="10" t="s">
        <v>552</v>
      </c>
      <c r="L189" s="10" t="s">
        <v>553</v>
      </c>
      <c r="M189" s="10" t="s">
        <v>531</v>
      </c>
      <c r="N189" s="10" t="s">
        <v>532</v>
      </c>
      <c r="O189" s="10" t="s">
        <v>533</v>
      </c>
      <c r="P189" s="10" t="s">
        <v>534</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535</v>
      </c>
      <c r="M220" s="8"/>
    </row>
    <row r="221" spans="4:16" x14ac:dyDescent="0.25">
      <c r="M221" s="8"/>
    </row>
    <row r="222" spans="4:16" x14ac:dyDescent="0.25">
      <c r="D222" s="10" t="s">
        <v>291</v>
      </c>
      <c r="E222" s="10" t="s">
        <v>419</v>
      </c>
      <c r="F222" s="10" t="s">
        <v>47</v>
      </c>
      <c r="G222" s="169" t="s">
        <v>536</v>
      </c>
      <c r="H222" s="169" t="s">
        <v>537</v>
      </c>
      <c r="I222" s="169" t="s">
        <v>538</v>
      </c>
      <c r="J222" s="169" t="s">
        <v>539</v>
      </c>
      <c r="K222" s="169" t="s">
        <v>540</v>
      </c>
      <c r="L222" s="169" t="s">
        <v>541</v>
      </c>
      <c r="M222" s="169" t="s">
        <v>542</v>
      </c>
      <c r="N222" s="169" t="s">
        <v>543</v>
      </c>
      <c r="O222" s="169" t="s">
        <v>544</v>
      </c>
      <c r="P222" s="169" t="s">
        <v>545</v>
      </c>
    </row>
    <row r="223" spans="4:16" x14ac:dyDescent="0.25">
      <c r="D223" s="10" t="s">
        <v>340</v>
      </c>
      <c r="E223" s="10" t="s">
        <v>486</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340</v>
      </c>
      <c r="E224" s="10" t="s">
        <v>486</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340</v>
      </c>
      <c r="E225" s="10" t="s">
        <v>486</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340</v>
      </c>
      <c r="E226" s="10" t="s">
        <v>486</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364</v>
      </c>
      <c r="E227" s="10" t="s">
        <v>486</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364</v>
      </c>
      <c r="E228" s="10" t="s">
        <v>486</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364</v>
      </c>
      <c r="E229" s="10" t="s">
        <v>486</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364</v>
      </c>
      <c r="E230" s="10" t="s">
        <v>486</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428</v>
      </c>
      <c r="E231" s="10" t="s">
        <v>486</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428</v>
      </c>
      <c r="E232" s="10" t="s">
        <v>486</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428</v>
      </c>
      <c r="E233" s="10" t="s">
        <v>486</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428</v>
      </c>
      <c r="E234" s="10" t="s">
        <v>486</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424</v>
      </c>
      <c r="E235" s="10" t="s">
        <v>486</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424</v>
      </c>
      <c r="E236" s="10" t="s">
        <v>486</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424</v>
      </c>
      <c r="E237" s="10" t="s">
        <v>486</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424</v>
      </c>
      <c r="E238" s="10" t="s">
        <v>486</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370</v>
      </c>
      <c r="E239" s="10" t="s">
        <v>486</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370</v>
      </c>
      <c r="E240" s="10" t="s">
        <v>486</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370</v>
      </c>
      <c r="E241" s="10" t="s">
        <v>486</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370</v>
      </c>
      <c r="E242" s="10" t="s">
        <v>486</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371</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371</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371</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371</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371</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371</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371</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371</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371</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371</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371</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371</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487</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487</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487</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487</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487</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487</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487</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487</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487</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487</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487</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487</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365</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365</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365</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365</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365</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365</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365</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365</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365</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365</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365</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365</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365</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365</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365</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365</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291</v>
      </c>
      <c r="E290" s="10" t="s">
        <v>419</v>
      </c>
      <c r="F290" s="10" t="s">
        <v>554</v>
      </c>
      <c r="G290" s="10" t="s">
        <v>546</v>
      </c>
      <c r="H290" s="10" t="s">
        <v>547</v>
      </c>
      <c r="I290" s="10" t="s">
        <v>548</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291</v>
      </c>
      <c r="E313" s="10" t="s">
        <v>419</v>
      </c>
      <c r="F313" s="10" t="s">
        <v>554</v>
      </c>
      <c r="G313" s="10" t="s">
        <v>546</v>
      </c>
      <c r="H313" s="10" t="s">
        <v>547</v>
      </c>
      <c r="I313" s="10" t="s">
        <v>548</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555</v>
      </c>
      <c r="M333" s="8"/>
    </row>
    <row r="334" spans="4:13" x14ac:dyDescent="0.25">
      <c r="D334" s="10" t="s">
        <v>556</v>
      </c>
      <c r="E334" s="10" t="s">
        <v>47</v>
      </c>
      <c r="F334" s="10" t="s">
        <v>557</v>
      </c>
      <c r="G334" s="10" t="s">
        <v>558</v>
      </c>
      <c r="I334" s="10" t="s">
        <v>556</v>
      </c>
      <c r="J334" s="10" t="s">
        <v>47</v>
      </c>
      <c r="K334" s="10" t="s">
        <v>557</v>
      </c>
      <c r="L334" s="10" t="s">
        <v>558</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559</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560</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559</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560</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291</v>
      </c>
      <c r="E350" s="10" t="s">
        <v>561</v>
      </c>
      <c r="F350" s="10" t="s">
        <v>562</v>
      </c>
      <c r="G350" s="10" t="s">
        <v>527</v>
      </c>
      <c r="H350" s="10" t="s">
        <v>528</v>
      </c>
      <c r="I350" s="10" t="s">
        <v>563</v>
      </c>
      <c r="J350" s="10" t="s">
        <v>531</v>
      </c>
      <c r="K350" s="10" t="s">
        <v>551</v>
      </c>
      <c r="L350" s="10" t="s">
        <v>564</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291</v>
      </c>
      <c r="E361" s="169" t="s">
        <v>536</v>
      </c>
      <c r="F361" s="169" t="s">
        <v>537</v>
      </c>
      <c r="G361" s="169" t="s">
        <v>538</v>
      </c>
      <c r="H361" s="169" t="s">
        <v>539</v>
      </c>
      <c r="I361" s="169" t="s">
        <v>540</v>
      </c>
      <c r="J361" s="169" t="s">
        <v>541</v>
      </c>
      <c r="K361" s="169" t="s">
        <v>542</v>
      </c>
      <c r="L361" s="169" t="s">
        <v>543</v>
      </c>
      <c r="M361" s="169" t="s">
        <v>544</v>
      </c>
      <c r="N361" s="169" t="s">
        <v>545</v>
      </c>
      <c r="O361" s="10" t="s">
        <v>564</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70" t="s">
        <v>565</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291</v>
      </c>
      <c r="E377" s="10" t="s">
        <v>419</v>
      </c>
      <c r="F377" s="10" t="s">
        <v>62</v>
      </c>
      <c r="G377" s="10" t="s">
        <v>566</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291</v>
      </c>
      <c r="E400" s="10" t="s">
        <v>419</v>
      </c>
      <c r="F400" s="10" t="s">
        <v>62</v>
      </c>
      <c r="G400" s="10" t="s">
        <v>566</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8"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8"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8"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8"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dimension ref="A1:AA115"/>
  <sheetViews>
    <sheetView showGridLines="0" workbookViewId="0">
      <selection activeCell="E21" sqref="E21"/>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8" t="s">
        <v>277</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9"/>
      <c r="D4" s="109"/>
      <c r="E4" s="109"/>
      <c r="F4" s="109"/>
      <c r="G4" s="109"/>
      <c r="H4" s="109"/>
      <c r="I4" s="109"/>
      <c r="J4" s="109"/>
      <c r="K4" s="109"/>
    </row>
    <row r="5" spans="1:24" ht="20.100000000000001" customHeight="1" x14ac:dyDescent="0.25">
      <c r="A5" s="16" t="str">
        <f>HYPERLINK("#'Results'!A1", "Results")</f>
        <v>Results</v>
      </c>
      <c r="D5" s="9" t="s">
        <v>278</v>
      </c>
      <c r="N5" s="110"/>
    </row>
    <row r="6" spans="1:24" ht="20.100000000000001" customHeight="1" x14ac:dyDescent="0.25">
      <c r="D6" s="111"/>
      <c r="N6" s="112"/>
    </row>
    <row r="7" spans="1:24" ht="20.100000000000001" customHeight="1" x14ac:dyDescent="0.25">
      <c r="A7" s="19" t="s">
        <v>67</v>
      </c>
      <c r="D7" s="8" t="s">
        <v>279</v>
      </c>
      <c r="E7" s="86" t="s">
        <v>280</v>
      </c>
      <c r="F7" s="68"/>
    </row>
    <row r="8" spans="1:24" ht="20.100000000000001" customHeight="1" x14ac:dyDescent="0.25">
      <c r="A8" s="16" t="str">
        <f>HYPERLINK("#'Input - Electricity'!A1", "Electricity")</f>
        <v>Electricity</v>
      </c>
      <c r="D8" s="113" t="s">
        <v>281</v>
      </c>
      <c r="E8" s="86" t="s">
        <v>282</v>
      </c>
    </row>
    <row r="9" spans="1:24" ht="20.100000000000001" customHeight="1" x14ac:dyDescent="0.25">
      <c r="A9" s="16"/>
      <c r="N9" s="114"/>
    </row>
    <row r="10" spans="1:24" ht="20.100000000000001" customHeight="1" x14ac:dyDescent="0.25">
      <c r="A10" s="21" t="s">
        <v>77</v>
      </c>
      <c r="D10" s="100" t="s">
        <v>283</v>
      </c>
      <c r="E10" s="115"/>
      <c r="F10" s="116"/>
      <c r="G10" s="101"/>
      <c r="N10" s="114"/>
    </row>
    <row r="11" spans="1:24" ht="20.100000000000001" customHeight="1" x14ac:dyDescent="0.25">
      <c r="A11" s="16" t="str">
        <f>HYPERLINK("#'14.1.1-2 Purchased electricity'!A1", "14.1.1-2 Purchased electricity")</f>
        <v>14.1.1-2 Purchased electricity</v>
      </c>
      <c r="N11" s="117"/>
    </row>
    <row r="12" spans="1:24" ht="20.100000000000001" customHeight="1" x14ac:dyDescent="0.25">
      <c r="A12" s="16"/>
      <c r="D12" s="113" t="s">
        <v>284</v>
      </c>
      <c r="E12" s="118">
        <v>45292</v>
      </c>
      <c r="F12" s="68" t="s">
        <v>285</v>
      </c>
    </row>
    <row r="13" spans="1:24" ht="20.100000000000001" customHeight="1" x14ac:dyDescent="0.25">
      <c r="A13" s="23" t="s">
        <v>78</v>
      </c>
      <c r="D13" s="113" t="s">
        <v>286</v>
      </c>
      <c r="E13" s="119">
        <f>DATE(YEAR(E12)+1,MONTH(E12),DAY(E12))-1</f>
        <v>45657</v>
      </c>
      <c r="F13" s="68" t="s">
        <v>287</v>
      </c>
      <c r="N13" s="120"/>
      <c r="O13" s="120"/>
    </row>
    <row r="14" spans="1:24" ht="20.100000000000001" customHeight="1" x14ac:dyDescent="0.25">
      <c r="A14" s="16" t="str">
        <f>HYPERLINK("#'Constants - Electricity'!A1", "Constants - Electricity")</f>
        <v>Constants - Electricity</v>
      </c>
      <c r="N14" s="120"/>
      <c r="O14" s="120"/>
    </row>
    <row r="15" spans="1:24" ht="20.100000000000001" customHeight="1" x14ac:dyDescent="0.25">
      <c r="A15" s="16" t="str">
        <f>HYPERLINK("#'Constants - Common'!A1", "Constants - Common")</f>
        <v>Constants - Common</v>
      </c>
      <c r="N15" s="120"/>
      <c r="O15" s="120"/>
    </row>
    <row r="16" spans="1:24" ht="20.100000000000001" customHeight="1" x14ac:dyDescent="0.25">
      <c r="A16" s="3"/>
      <c r="D16" s="9" t="s">
        <v>288</v>
      </c>
      <c r="N16" s="120"/>
      <c r="O16" s="120"/>
    </row>
    <row r="17" spans="1:25" ht="20.100000000000001" customHeight="1" x14ac:dyDescent="0.25">
      <c r="A17" s="3"/>
    </row>
    <row r="18" spans="1:25" ht="20.100000000000001" customHeight="1" x14ac:dyDescent="0.25">
      <c r="A18" s="3"/>
      <c r="D18" s="121" t="s">
        <v>289</v>
      </c>
      <c r="E18" s="41"/>
      <c r="F18" s="41"/>
      <c r="G18" s="42"/>
    </row>
    <row r="19" spans="1:25" ht="20.100000000000001" customHeight="1" x14ac:dyDescent="0.25">
      <c r="A19" s="3"/>
      <c r="D19" s="44" t="s">
        <v>290</v>
      </c>
      <c r="E19" s="45"/>
      <c r="F19" s="45"/>
      <c r="G19" s="46"/>
      <c r="N19" s="110"/>
    </row>
    <row r="20" spans="1:25" ht="20.100000000000001" customHeight="1" x14ac:dyDescent="0.25">
      <c r="A20" s="3"/>
      <c r="D20" s="8"/>
      <c r="E20" s="122"/>
      <c r="F20" s="68"/>
      <c r="N20" s="112"/>
    </row>
    <row r="21" spans="1:25" ht="20.100000000000001" customHeight="1" x14ac:dyDescent="0.25">
      <c r="A21" s="3"/>
      <c r="D21" s="8" t="s">
        <v>291</v>
      </c>
      <c r="E21" s="48" t="s">
        <v>340</v>
      </c>
      <c r="F21" s="68" t="s">
        <v>198</v>
      </c>
    </row>
    <row r="22" spans="1:25" ht="20.100000000000001" customHeight="1" x14ac:dyDescent="0.25">
      <c r="A22" s="3"/>
      <c r="D22" s="8" t="s">
        <v>292</v>
      </c>
      <c r="E22" s="48" t="s">
        <v>293</v>
      </c>
      <c r="F22" s="68" t="s">
        <v>198</v>
      </c>
      <c r="G22" s="8"/>
    </row>
    <row r="23" spans="1:25" ht="20.100000000000001" customHeight="1" x14ac:dyDescent="0.25">
      <c r="A23" s="3"/>
    </row>
    <row r="24" spans="1:25" ht="20.100000000000001" customHeight="1" x14ac:dyDescent="0.25">
      <c r="A24" s="3"/>
    </row>
    <row r="25" spans="1:25" ht="20.100000000000001" customHeight="1" x14ac:dyDescent="0.25">
      <c r="A25" s="3"/>
      <c r="N25" s="112"/>
    </row>
    <row r="26" spans="1:25" ht="20.100000000000001" customHeight="1" x14ac:dyDescent="0.25">
      <c r="A26" s="3"/>
    </row>
    <row r="27" spans="1:25" ht="20.100000000000001" customHeight="1" x14ac:dyDescent="0.25">
      <c r="A27" s="3"/>
    </row>
    <row r="28" spans="1:25" ht="20.100000000000001" customHeight="1" x14ac:dyDescent="0.25">
      <c r="A28" s="3"/>
    </row>
    <row r="29" spans="1:25" ht="20.100000000000001" customHeight="1" x14ac:dyDescent="0.25">
      <c r="A29" s="3"/>
    </row>
    <row r="30" spans="1:25" ht="20.100000000000001" customHeight="1" x14ac:dyDescent="0.25">
      <c r="A30" s="3"/>
      <c r="G30" s="123"/>
      <c r="L30" s="124"/>
      <c r="M30" s="124"/>
      <c r="N30" s="124"/>
      <c r="O30" s="124"/>
      <c r="P30" s="124"/>
      <c r="Q30" s="124"/>
      <c r="R30" s="124"/>
      <c r="S30" s="124"/>
      <c r="T30" s="124"/>
      <c r="U30" s="124"/>
      <c r="V30" s="124"/>
      <c r="W30" s="124"/>
      <c r="X30" s="124"/>
      <c r="Y30" s="124"/>
    </row>
    <row r="31" spans="1:25" ht="20.100000000000001" customHeight="1" x14ac:dyDescent="0.25">
      <c r="A31" s="3"/>
      <c r="G31" s="122"/>
      <c r="L31" s="125"/>
      <c r="M31" s="125"/>
      <c r="N31" s="125"/>
      <c r="O31" s="125"/>
      <c r="P31" s="125"/>
      <c r="Q31" s="125"/>
      <c r="R31" s="125"/>
      <c r="S31" s="125"/>
      <c r="T31" s="125"/>
      <c r="U31" s="125"/>
      <c r="V31" s="125"/>
      <c r="W31" s="125"/>
      <c r="X31" s="125"/>
      <c r="Y31" s="125"/>
    </row>
    <row r="32" spans="1:25" ht="20.100000000000001" customHeight="1" x14ac:dyDescent="0.25">
      <c r="A32" s="3"/>
      <c r="G32" s="122"/>
      <c r="L32" s="125"/>
      <c r="M32" s="125"/>
      <c r="N32" s="125"/>
      <c r="O32" s="125"/>
      <c r="P32" s="125"/>
      <c r="Q32" s="125"/>
      <c r="R32" s="125"/>
      <c r="S32" s="125"/>
      <c r="T32" s="125"/>
      <c r="U32" s="125"/>
      <c r="V32" s="125"/>
      <c r="W32" s="125"/>
      <c r="X32" s="125"/>
      <c r="Y32" s="125"/>
    </row>
    <row r="33" spans="1:25" ht="20.100000000000001" customHeight="1" x14ac:dyDescent="0.25">
      <c r="A33" s="3"/>
      <c r="G33" s="126"/>
      <c r="L33" s="125"/>
      <c r="M33" s="125"/>
      <c r="N33" s="125"/>
      <c r="O33" s="125"/>
      <c r="P33" s="125"/>
      <c r="Q33" s="125"/>
      <c r="R33" s="125"/>
      <c r="S33" s="125"/>
      <c r="T33" s="125"/>
      <c r="U33" s="125"/>
      <c r="V33" s="125"/>
      <c r="W33" s="125"/>
      <c r="X33" s="125"/>
      <c r="Y33" s="125"/>
    </row>
    <row r="34" spans="1:25" ht="20.100000000000001" customHeight="1" x14ac:dyDescent="0.25">
      <c r="A34" s="3"/>
      <c r="J34" s="127"/>
      <c r="K34" s="128"/>
      <c r="L34" s="125"/>
      <c r="M34" s="125"/>
      <c r="N34" s="125"/>
      <c r="O34" s="125"/>
      <c r="P34" s="125"/>
      <c r="Q34" s="125"/>
      <c r="R34" s="125"/>
      <c r="S34" s="125"/>
      <c r="T34" s="125"/>
      <c r="U34" s="125"/>
      <c r="V34" s="125"/>
      <c r="W34" s="125"/>
      <c r="X34" s="125"/>
      <c r="Y34" s="125"/>
    </row>
    <row r="35" spans="1:25" ht="20.100000000000001" customHeight="1" x14ac:dyDescent="0.25">
      <c r="A35" s="3"/>
      <c r="J35" s="127"/>
      <c r="K35" s="128"/>
      <c r="L35" s="125"/>
      <c r="M35" s="125"/>
      <c r="N35" s="125"/>
      <c r="O35" s="125"/>
      <c r="P35" s="125"/>
      <c r="Q35" s="125"/>
      <c r="R35" s="125"/>
      <c r="S35" s="125"/>
      <c r="T35" s="125"/>
      <c r="U35" s="125"/>
      <c r="V35" s="125"/>
      <c r="W35" s="125"/>
      <c r="X35" s="125"/>
      <c r="Y35" s="125"/>
    </row>
    <row r="36" spans="1:25" ht="20.100000000000001" customHeight="1" x14ac:dyDescent="0.25">
      <c r="A36" s="3"/>
      <c r="D36" s="129"/>
      <c r="E36" s="129"/>
      <c r="F36" s="130"/>
      <c r="G36" s="127"/>
      <c r="H36" s="127"/>
      <c r="I36" s="131"/>
      <c r="J36" s="127"/>
      <c r="K36" s="128"/>
      <c r="L36" s="125"/>
      <c r="M36" s="125"/>
      <c r="N36" s="125"/>
      <c r="O36" s="125"/>
      <c r="P36" s="125"/>
      <c r="Q36" s="125"/>
      <c r="R36" s="125"/>
      <c r="S36" s="125"/>
      <c r="T36" s="125"/>
      <c r="U36" s="125"/>
      <c r="V36" s="125"/>
      <c r="W36" s="125"/>
      <c r="X36" s="125"/>
      <c r="Y36" s="125"/>
    </row>
    <row r="37" spans="1:25" ht="20.100000000000001" customHeight="1" x14ac:dyDescent="0.25">
      <c r="A37" s="3"/>
      <c r="D37" s="129"/>
      <c r="E37" s="129"/>
      <c r="F37" s="130"/>
      <c r="G37" s="127"/>
      <c r="H37" s="127"/>
      <c r="I37" s="131"/>
      <c r="J37" s="127"/>
      <c r="K37" s="128"/>
      <c r="L37" s="125"/>
      <c r="M37" s="125"/>
      <c r="N37" s="125"/>
      <c r="O37" s="125"/>
      <c r="P37" s="125"/>
      <c r="Q37" s="125"/>
      <c r="R37" s="125"/>
      <c r="S37" s="125"/>
      <c r="T37" s="125"/>
      <c r="U37" s="125"/>
      <c r="V37" s="125"/>
      <c r="W37" s="125"/>
      <c r="X37" s="125"/>
      <c r="Y37" s="125"/>
    </row>
    <row r="38" spans="1:25" ht="20.100000000000001" customHeight="1" x14ac:dyDescent="0.25">
      <c r="A38" s="3"/>
      <c r="D38" s="129"/>
      <c r="E38" s="129"/>
      <c r="F38" s="130"/>
      <c r="G38" s="127"/>
      <c r="H38" s="127"/>
      <c r="I38" s="131"/>
      <c r="J38" s="127"/>
      <c r="K38" s="128"/>
      <c r="L38" s="125"/>
      <c r="M38" s="125"/>
      <c r="N38" s="125"/>
      <c r="O38" s="125"/>
      <c r="P38" s="125"/>
      <c r="Q38" s="125"/>
      <c r="R38" s="125"/>
      <c r="S38" s="125"/>
      <c r="T38" s="125"/>
      <c r="U38" s="125"/>
      <c r="V38" s="125"/>
      <c r="W38" s="125"/>
      <c r="X38" s="125"/>
      <c r="Y38" s="125"/>
    </row>
    <row r="39" spans="1:25" ht="20.100000000000001" customHeight="1" x14ac:dyDescent="0.25">
      <c r="A39" s="3"/>
      <c r="D39" s="129"/>
      <c r="E39" s="129"/>
      <c r="F39" s="130"/>
      <c r="G39" s="127"/>
      <c r="H39" s="127"/>
      <c r="I39" s="131"/>
      <c r="J39" s="127"/>
      <c r="K39" s="128"/>
      <c r="L39" s="125"/>
      <c r="M39" s="125"/>
      <c r="N39" s="125"/>
      <c r="O39" s="125"/>
      <c r="P39" s="125"/>
      <c r="Q39" s="125"/>
      <c r="R39" s="125"/>
      <c r="S39" s="125"/>
      <c r="T39" s="125"/>
      <c r="U39" s="125"/>
      <c r="V39" s="125"/>
      <c r="W39" s="125"/>
      <c r="X39" s="125"/>
      <c r="Y39" s="125"/>
    </row>
    <row r="40" spans="1:25" ht="20.100000000000001" customHeight="1" x14ac:dyDescent="0.25">
      <c r="A40" s="3"/>
      <c r="D40" s="132"/>
      <c r="E40" s="132"/>
      <c r="F40" s="132"/>
      <c r="G40" s="133"/>
      <c r="H40" s="134"/>
      <c r="I40" s="134"/>
      <c r="J40" s="134"/>
      <c r="K40" s="134"/>
      <c r="L40" s="135"/>
      <c r="M40" s="135"/>
      <c r="N40" s="135"/>
      <c r="O40" s="135"/>
      <c r="P40" s="135"/>
      <c r="Q40" s="135"/>
      <c r="R40" s="135"/>
      <c r="S40" s="135"/>
      <c r="T40" s="135"/>
      <c r="U40" s="135"/>
      <c r="V40" s="135"/>
      <c r="W40" s="135"/>
      <c r="X40" s="135"/>
      <c r="Y40" s="135"/>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6"/>
      <c r="E47" s="136"/>
      <c r="F47" s="136"/>
      <c r="G47" s="136"/>
      <c r="H47" s="136"/>
    </row>
    <row r="48" spans="1:25" ht="20.100000000000001" customHeight="1" x14ac:dyDescent="0.25">
      <c r="D48" s="137"/>
      <c r="E48" s="137"/>
      <c r="F48" s="138"/>
      <c r="G48" s="138"/>
      <c r="H48" s="137"/>
    </row>
    <row r="49" spans="4:8" ht="20.100000000000001" customHeight="1" x14ac:dyDescent="0.25">
      <c r="D49" s="137"/>
      <c r="E49" s="137"/>
      <c r="F49" s="138"/>
      <c r="G49" s="138"/>
      <c r="H49" s="137"/>
    </row>
    <row r="50" spans="4:8" ht="20.100000000000001" customHeight="1" x14ac:dyDescent="0.25">
      <c r="D50" s="137"/>
      <c r="E50" s="137"/>
      <c r="F50" s="138"/>
      <c r="G50" s="138"/>
      <c r="H50" s="137"/>
    </row>
    <row r="51" spans="4:8" ht="20.100000000000001" customHeight="1" x14ac:dyDescent="0.25">
      <c r="D51" s="139"/>
      <c r="E51" s="140"/>
      <c r="F51" s="140"/>
      <c r="G51" s="140"/>
      <c r="H51" s="141"/>
    </row>
    <row r="52" spans="4:8" ht="20.100000000000001" customHeight="1" x14ac:dyDescent="0.25"/>
    <row r="53" spans="4:8" ht="20.100000000000001" customHeight="1" x14ac:dyDescent="0.25"/>
    <row r="54" spans="4:8" ht="20.100000000000001" customHeight="1" x14ac:dyDescent="0.25">
      <c r="G54" s="142"/>
    </row>
    <row r="55" spans="4:8" ht="20.100000000000001" customHeight="1" x14ac:dyDescent="0.25">
      <c r="D55" s="9"/>
    </row>
    <row r="56" spans="4:8" ht="20.100000000000001" customHeight="1" x14ac:dyDescent="0.25"/>
    <row r="57" spans="4:8" ht="20.100000000000001" customHeight="1" x14ac:dyDescent="0.25">
      <c r="D57" s="143"/>
      <c r="F57" s="144"/>
    </row>
    <row r="58" spans="4:8" ht="20.100000000000001" customHeight="1" x14ac:dyDescent="0.25">
      <c r="D58" s="8"/>
      <c r="E58" s="145"/>
    </row>
    <row r="59" spans="4:8" ht="20.100000000000001" customHeight="1" x14ac:dyDescent="0.25">
      <c r="D59" s="8"/>
      <c r="E59" s="145"/>
    </row>
    <row r="60" spans="4:8" ht="20.100000000000001" customHeight="1" x14ac:dyDescent="0.25">
      <c r="D60" s="8"/>
      <c r="E60" s="146"/>
    </row>
    <row r="61" spans="4:8" ht="20.100000000000001" customHeight="1" x14ac:dyDescent="0.25">
      <c r="D61" s="8"/>
    </row>
    <row r="62" spans="4:8" ht="20.100000000000001" customHeight="1" x14ac:dyDescent="0.25"/>
    <row r="63" spans="4:8" ht="20.100000000000001" customHeight="1" x14ac:dyDescent="0.25">
      <c r="D63" s="143"/>
    </row>
    <row r="64" spans="4:8" ht="20.100000000000001" customHeight="1" x14ac:dyDescent="0.25">
      <c r="D64" s="8"/>
      <c r="E64" s="145"/>
    </row>
    <row r="65" spans="4:9" ht="20.100000000000001" customHeight="1" x14ac:dyDescent="0.25">
      <c r="D65" s="8"/>
      <c r="E65" s="145"/>
    </row>
    <row r="66" spans="4:9" ht="20.100000000000001" customHeight="1" x14ac:dyDescent="0.25">
      <c r="D66" s="8"/>
      <c r="E66" s="146"/>
    </row>
    <row r="67" spans="4:9" ht="20.100000000000001" customHeight="1" x14ac:dyDescent="0.25"/>
    <row r="68" spans="4:9" ht="20.100000000000001" customHeight="1" x14ac:dyDescent="0.25"/>
    <row r="69" spans="4:9" ht="20.100000000000001" customHeight="1" x14ac:dyDescent="0.25">
      <c r="D69" s="147"/>
      <c r="E69" s="147"/>
      <c r="F69" s="147"/>
      <c r="G69" s="147"/>
      <c r="H69" s="147"/>
      <c r="I69" s="147"/>
    </row>
    <row r="70" spans="4:9" ht="20.100000000000001" customHeight="1" x14ac:dyDescent="0.25">
      <c r="D70" s="147"/>
      <c r="E70" s="147"/>
      <c r="F70" s="147"/>
      <c r="G70" s="147"/>
      <c r="H70" s="147"/>
      <c r="I70" s="147"/>
    </row>
    <row r="71" spans="4:9" ht="20.100000000000001" customHeight="1" x14ac:dyDescent="0.25">
      <c r="D71" s="147"/>
      <c r="E71" s="147"/>
      <c r="F71" s="147"/>
      <c r="G71" s="147"/>
      <c r="H71" s="147"/>
      <c r="I71" s="147"/>
    </row>
    <row r="72" spans="4:9" ht="20.100000000000001" customHeight="1" x14ac:dyDescent="0.25">
      <c r="D72" s="147"/>
      <c r="E72" s="147"/>
      <c r="F72" s="147"/>
      <c r="G72" s="147"/>
      <c r="H72" s="147"/>
      <c r="I72" s="14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8"/>
    </row>
    <row r="79" spans="4:9" ht="20.100000000000001" customHeight="1" x14ac:dyDescent="0.25">
      <c r="D79" s="148"/>
    </row>
    <row r="80" spans="4:9" ht="20.100000000000001" customHeight="1" x14ac:dyDescent="0.25">
      <c r="D80" s="148"/>
    </row>
    <row r="81" spans="4:4" ht="20.100000000000001" customHeight="1" x14ac:dyDescent="0.25">
      <c r="D81" s="148"/>
    </row>
    <row r="82" spans="4:4" ht="20.100000000000001" customHeight="1" x14ac:dyDescent="0.25">
      <c r="D82" s="14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dimension ref="A1:Y361"/>
  <sheetViews>
    <sheetView showGridLines="0" topLeftCell="D15" zoomScale="85" zoomScaleNormal="85" workbookViewId="0">
      <selection activeCell="K21" sqref="K21"/>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197</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148</v>
      </c>
      <c r="E6" s="48" t="s">
        <v>153</v>
      </c>
      <c r="F6" s="68" t="s">
        <v>198</v>
      </c>
    </row>
    <row r="7" spans="1:25" ht="20.100000000000001" customHeight="1" x14ac:dyDescent="0.25">
      <c r="A7" s="19" t="s">
        <v>67</v>
      </c>
      <c r="D7" s="8" t="s">
        <v>199</v>
      </c>
      <c r="E7" s="48" t="s">
        <v>154</v>
      </c>
      <c r="F7" s="68" t="s">
        <v>198</v>
      </c>
    </row>
    <row r="8" spans="1:25" ht="20.100000000000001" customHeight="1" x14ac:dyDescent="0.25">
      <c r="A8" s="16" t="str">
        <f>HYPERLINK("#'Input - Site'!A1", "Site")</f>
        <v>Site</v>
      </c>
      <c r="D8" s="8" t="s">
        <v>43</v>
      </c>
      <c r="E8" s="48" t="s">
        <v>155</v>
      </c>
      <c r="F8" s="68" t="s">
        <v>198</v>
      </c>
    </row>
    <row r="9" spans="1:25" ht="20.100000000000001" customHeight="1" x14ac:dyDescent="0.25">
      <c r="A9" s="43" t="str">
        <f>HYPERLINK("#'Input - Fertiliser'!A1", "Fertiliser")</f>
        <v>Fertiliser</v>
      </c>
      <c r="D9" s="8" t="s">
        <v>200</v>
      </c>
      <c r="E9" s="69">
        <v>100</v>
      </c>
      <c r="F9" s="68" t="s">
        <v>201</v>
      </c>
    </row>
    <row r="10" spans="1:25" ht="20.100000000000001" customHeight="1" x14ac:dyDescent="0.25">
      <c r="A10" s="16"/>
    </row>
    <row r="11" spans="1:25" ht="20.100000000000001" customHeight="1" x14ac:dyDescent="0.25">
      <c r="A11" s="21" t="s">
        <v>77</v>
      </c>
      <c r="D11" s="9" t="s">
        <v>202</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203</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204</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205</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75" t="s">
        <v>206</v>
      </c>
      <c r="E17" s="67" t="s">
        <v>349</v>
      </c>
      <c r="F17" s="67" t="s">
        <v>342</v>
      </c>
      <c r="G17" s="67" t="s">
        <v>343</v>
      </c>
      <c r="H17" s="67" t="s">
        <v>208</v>
      </c>
      <c r="I17" s="67" t="s">
        <v>209</v>
      </c>
      <c r="J17" s="75" t="s">
        <v>177</v>
      </c>
      <c r="K17" s="75" t="s">
        <v>178</v>
      </c>
      <c r="L17" s="75" t="s">
        <v>179</v>
      </c>
      <c r="M17" s="75" t="s">
        <v>180</v>
      </c>
      <c r="N17" s="75" t="s">
        <v>181</v>
      </c>
      <c r="O17" s="75" t="s">
        <v>182</v>
      </c>
      <c r="P17" s="75" t="s">
        <v>183</v>
      </c>
      <c r="Q17" s="75" t="s">
        <v>184</v>
      </c>
      <c r="R17" s="75" t="s">
        <v>185</v>
      </c>
      <c r="S17" s="75" t="s">
        <v>186</v>
      </c>
      <c r="T17" s="75" t="s">
        <v>187</v>
      </c>
      <c r="U17" s="75" t="s">
        <v>188</v>
      </c>
      <c r="V17" s="75" t="s">
        <v>210</v>
      </c>
      <c r="W17" s="75" t="s">
        <v>175</v>
      </c>
      <c r="X17" s="75" t="s">
        <v>176</v>
      </c>
    </row>
    <row r="18" spans="1:24" ht="36" customHeight="1" x14ac:dyDescent="0.25">
      <c r="D18" s="76" t="s">
        <v>211</v>
      </c>
      <c r="E18" s="77">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1.2150000000000001</v>
      </c>
      <c r="H18" s="77">
        <f>$E$9</f>
        <v>100</v>
      </c>
      <c r="I18" s="78">
        <f>(Table_Input_InorganicFertiliser_Brands[[#This Row],[Amount applied per hectare]]*Table_Input_InorganicFertiliser_Brands[[#This Row],[Density]])*Table_Input_InorganicFertiliser_Brands[[#This Row],[Application area (ha)]]</f>
        <v>12150.000000000002</v>
      </c>
      <c r="J18" s="78"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Urea</v>
      </c>
      <c r="K18" s="78"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8" s="78"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8" s="78"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0.1</v>
      </c>
      <c r="N18" s="78"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8"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8" s="78"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Boron</v>
      </c>
      <c r="Q18" s="78"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8" s="78"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8"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8"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8"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18" s="78" t="str">
        <f>_xlfn.XLOOKUP(Table_Input_InorganicFertiliser_Brands[[#This Row],[Product (select)]],FertiliserProducts[Product name],FertiliserProducts[Urea source])</f>
        <v/>
      </c>
      <c r="X18" s="78" t="str">
        <f>_xlfn.XLOOKUP(Table_Input_InorganicFertiliser_Brands[[#This Row],[Product (select)]],FertiliserProducts[Product name],FertiliserProducts[Ammonia source])</f>
        <v/>
      </c>
    </row>
    <row r="19" spans="1:24" ht="36" customHeight="1" x14ac:dyDescent="0.25">
      <c r="A19" s="23" t="s">
        <v>78</v>
      </c>
      <c r="D19" s="76" t="s">
        <v>385</v>
      </c>
      <c r="E19" s="77">
        <v>200</v>
      </c>
      <c r="F19" s="50" t="str">
        <f>_xlfn.XLOOKUP(Table_Input_InorganicFertiliser_Brands[[#This Row],[Product (select)]],FertiliserProducts[Product name],FertiliserProducts[Unit])</f>
        <v>kg</v>
      </c>
      <c r="G19" s="50">
        <f>_xlfn.XLOOKUP(Table_Input_InorganicFertiliser_Brands[[#This Row],[Product (select)]],FertiliserProducts[Product name],FertiliserProducts[Density / gravity])</f>
        <v>1</v>
      </c>
      <c r="H19" s="77">
        <f>$E$9</f>
        <v>100</v>
      </c>
      <c r="I19" s="78">
        <f>(Table_Input_InorganicFertiliser_Brands[[#This Row],[Amount applied per hectare]]*Table_Input_InorganicFertiliser_Brands[[#This Row],[Density]])*Table_Input_InorganicFertiliser_Brands[[#This Row],[Application area (ha)]]</f>
        <v>20000</v>
      </c>
      <c r="J19" s="78"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78"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L19" s="78"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78"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N19" s="78"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O19" s="78"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P19" s="78"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Q19" s="78"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R19" s="78"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Magnesium</v>
      </c>
      <c r="S19" s="78"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T19" s="78"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Zinc</v>
      </c>
      <c r="U19" s="78"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V19"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47.999999960000004</v>
      </c>
      <c r="W19" s="78" t="str">
        <f>_xlfn.XLOOKUP(Table_Input_InorganicFertiliser_Brands[[#This Row],[Product (select)]],FertiliserProducts[Product name],FertiliserProducts[Urea source])</f>
        <v/>
      </c>
      <c r="X19" s="78"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76" t="s">
        <v>211</v>
      </c>
      <c r="E20" s="77">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1.2150000000000001</v>
      </c>
      <c r="H20" s="77">
        <f>$E$9</f>
        <v>100</v>
      </c>
      <c r="I20" s="78">
        <f>(Table_Input_InorganicFertiliser_Brands[[#This Row],[Amount applied per hectare]]*Table_Input_InorganicFertiliser_Brands[[#This Row],[Density]])*Table_Input_InorganicFertiliser_Brands[[#This Row],[Application area (ha)]]</f>
        <v>12150.000000000002</v>
      </c>
      <c r="J20" s="78"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Urea</v>
      </c>
      <c r="K20" s="78"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20" s="78"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20" s="78"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0.1</v>
      </c>
      <c r="N20" s="78"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20" s="78"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P20" s="78"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Boron</v>
      </c>
      <c r="Q20" s="78"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20" s="78"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8"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8"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8"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20" s="78" t="str">
        <f>_xlfn.XLOOKUP(Table_Input_InorganicFertiliser_Brands[[#This Row],[Product (select)]],FertiliserProducts[Product name],FertiliserProducts[Urea source])</f>
        <v/>
      </c>
      <c r="X20" s="78" t="str">
        <f>_xlfn.XLOOKUP(Table_Input_InorganicFertiliser_Brands[[#This Row],[Product (select)]],FertiliserProducts[Product name],FertiliserProducts[Ammonia source])</f>
        <v/>
      </c>
    </row>
    <row r="21" spans="1:24" ht="36" customHeight="1" x14ac:dyDescent="0.25">
      <c r="A21" s="16" t="str">
        <f>HYPERLINK("#'Constants - Common'!A1", "Constants - Common")</f>
        <v>Constants - Common</v>
      </c>
      <c r="D21" s="79"/>
      <c r="E21" s="80"/>
      <c r="F21" s="81"/>
      <c r="G21" s="81"/>
      <c r="H21" s="81"/>
      <c r="I21" s="81"/>
      <c r="J21" s="82"/>
      <c r="K21" s="82"/>
      <c r="L21" s="83"/>
      <c r="M21" s="83"/>
      <c r="N21" s="53"/>
      <c r="O21" s="53"/>
      <c r="P21" s="53"/>
      <c r="Q21" s="53"/>
      <c r="R21" s="53"/>
      <c r="S21" s="53"/>
      <c r="T21" s="53"/>
      <c r="U21" s="53"/>
      <c r="V21" s="53"/>
      <c r="W21" s="53"/>
      <c r="X21" s="53"/>
    </row>
    <row r="22" spans="1:24" ht="36" customHeight="1" x14ac:dyDescent="0.25">
      <c r="D22" s="84" t="s">
        <v>212</v>
      </c>
      <c r="E22" s="85"/>
      <c r="F22" s="85"/>
      <c r="G22" s="85"/>
      <c r="H22" s="85"/>
      <c r="I22" s="85"/>
      <c r="J22" s="85"/>
      <c r="K22" s="85"/>
      <c r="L22" s="85"/>
      <c r="M22" s="85"/>
      <c r="N22" s="53"/>
      <c r="O22" s="53"/>
      <c r="P22" s="53"/>
      <c r="Q22" s="53"/>
      <c r="R22" s="53"/>
      <c r="S22" s="53"/>
      <c r="T22" s="53"/>
      <c r="U22" s="53"/>
      <c r="V22" s="53"/>
      <c r="W22" s="53"/>
      <c r="X22" s="53"/>
    </row>
    <row r="23" spans="1:24" ht="36" customHeight="1" x14ac:dyDescent="0.25">
      <c r="A23" s="16"/>
      <c r="D23" s="67" t="s">
        <v>213</v>
      </c>
      <c r="E23" s="67" t="s">
        <v>207</v>
      </c>
      <c r="F23" s="67" t="s">
        <v>208</v>
      </c>
      <c r="G23" s="67" t="s">
        <v>209</v>
      </c>
      <c r="H23" s="67" t="s">
        <v>214</v>
      </c>
      <c r="I23" s="67" t="s">
        <v>178</v>
      </c>
      <c r="J23" s="67" t="s">
        <v>179</v>
      </c>
      <c r="K23" s="67" t="s">
        <v>180</v>
      </c>
      <c r="L23" s="67" t="s">
        <v>181</v>
      </c>
      <c r="M23" s="67" t="s">
        <v>182</v>
      </c>
      <c r="N23" s="67" t="s">
        <v>183</v>
      </c>
      <c r="O23" s="67" t="s">
        <v>184</v>
      </c>
      <c r="P23" s="67" t="s">
        <v>210</v>
      </c>
      <c r="Q23" s="75" t="s">
        <v>175</v>
      </c>
      <c r="R23" s="75" t="s">
        <v>176</v>
      </c>
      <c r="S23" s="53"/>
      <c r="T23" s="53"/>
      <c r="U23" s="53"/>
      <c r="V23" s="53"/>
      <c r="W23" s="53"/>
      <c r="X23" s="53"/>
    </row>
    <row r="24" spans="1:24" ht="36" customHeight="1" x14ac:dyDescent="0.25">
      <c r="D24" s="86" t="s">
        <v>215</v>
      </c>
      <c r="E24" s="67">
        <v>100</v>
      </c>
      <c r="F24" s="77">
        <f>$E$9</f>
        <v>100</v>
      </c>
      <c r="G24" s="78">
        <f>Table_Input_InorganicFertiliser_Custom[[#This Row],[Amount applied (kg / ha)]]*Table_Input_InorganicFertiliser_Custom[[#This Row],[Application area (ha)]]</f>
        <v>10000</v>
      </c>
      <c r="H24" s="87" t="s">
        <v>348</v>
      </c>
      <c r="I24" s="88">
        <v>0.45</v>
      </c>
      <c r="J24" s="87" t="s">
        <v>347</v>
      </c>
      <c r="K24" s="88">
        <v>0.3</v>
      </c>
      <c r="L24" s="87" t="s">
        <v>217</v>
      </c>
      <c r="M24" s="88">
        <v>0.1</v>
      </c>
      <c r="N24" s="89" t="s">
        <v>218</v>
      </c>
      <c r="O24" s="90">
        <v>0.1</v>
      </c>
      <c r="P24"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8" t="s">
        <v>344</v>
      </c>
      <c r="R24" s="48" t="s">
        <v>378</v>
      </c>
    </row>
    <row r="25" spans="1:24" ht="36" customHeight="1" x14ac:dyDescent="0.25">
      <c r="D25" s="86"/>
      <c r="E25" s="67">
        <v>100</v>
      </c>
      <c r="F25" s="160">
        <f>$E$9</f>
        <v>100</v>
      </c>
      <c r="G25" s="78">
        <f>Table_Input_InorganicFertiliser_Custom[[#This Row],[Amount applied (kg / ha)]]*Table_Input_InorganicFertiliser_Custom[[#This Row],[Application area (ha)]]</f>
        <v>10000</v>
      </c>
      <c r="H25" s="87" t="s">
        <v>216</v>
      </c>
      <c r="I25" s="91">
        <v>0.9</v>
      </c>
      <c r="J25" s="87" t="s">
        <v>348</v>
      </c>
      <c r="K25" s="91">
        <v>0.1</v>
      </c>
      <c r="L25" s="87"/>
      <c r="M25" s="91"/>
      <c r="N25" s="89"/>
      <c r="O25" s="90"/>
      <c r="P25"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6" t="s">
        <v>344</v>
      </c>
      <c r="R25" s="76" t="s">
        <v>344</v>
      </c>
    </row>
    <row r="26" spans="1:24" ht="36" customHeight="1" x14ac:dyDescent="0.25"/>
    <row r="27" spans="1:24" ht="20.100000000000001" customHeight="1" x14ac:dyDescent="0.25">
      <c r="D27" s="9" t="s">
        <v>400</v>
      </c>
      <c r="E27" s="7"/>
      <c r="F27" s="7"/>
      <c r="G27" s="7"/>
      <c r="H27" s="7"/>
      <c r="I27" s="7"/>
      <c r="J27" s="7"/>
      <c r="K27" s="14"/>
      <c r="L27" s="14"/>
      <c r="M27" s="14"/>
    </row>
    <row r="28" spans="1:24" ht="20.100000000000001" customHeight="1" x14ac:dyDescent="0.25">
      <c r="D28" s="14"/>
      <c r="E28" s="14"/>
      <c r="F28" s="14"/>
      <c r="G28" s="14"/>
      <c r="H28" s="14"/>
      <c r="I28" s="14"/>
      <c r="J28" s="14"/>
      <c r="K28" s="14"/>
      <c r="L28" s="14"/>
      <c r="M28" s="7"/>
    </row>
    <row r="29" spans="1:24" ht="20.100000000000001" customHeight="1" x14ac:dyDescent="0.25">
      <c r="A29" s="16"/>
      <c r="D29" s="40" t="s">
        <v>219</v>
      </c>
      <c r="E29" s="41"/>
      <c r="F29" s="42"/>
      <c r="G29" s="40"/>
      <c r="H29" s="42"/>
      <c r="I29" s="7"/>
      <c r="J29" s="7"/>
      <c r="K29" s="14"/>
      <c r="L29" s="14"/>
      <c r="M29" s="14"/>
    </row>
    <row r="30" spans="1:24" ht="20.100000000000001" customHeight="1" x14ac:dyDescent="0.25">
      <c r="A30" s="16"/>
      <c r="D30" s="92" t="s">
        <v>220</v>
      </c>
      <c r="E30" s="93"/>
      <c r="F30" s="94"/>
      <c r="G30" s="92"/>
      <c r="H30" s="94"/>
      <c r="I30" s="14"/>
      <c r="J30" s="14"/>
      <c r="K30" s="14"/>
      <c r="L30" s="14"/>
      <c r="M30" s="7"/>
    </row>
    <row r="31" spans="1:24" ht="20.100000000000001" customHeight="1" x14ac:dyDescent="0.25">
      <c r="A31" s="52"/>
      <c r="D31" s="44" t="s">
        <v>204</v>
      </c>
      <c r="E31" s="45"/>
      <c r="F31" s="45"/>
      <c r="G31" s="45"/>
      <c r="H31" s="46"/>
      <c r="I31" s="14"/>
      <c r="J31" s="14"/>
      <c r="K31" s="14"/>
      <c r="L31" s="14"/>
      <c r="M31" s="7"/>
    </row>
    <row r="32" spans="1:24" ht="20.100000000000001" customHeight="1" x14ac:dyDescent="0.25">
      <c r="A32" s="52"/>
      <c r="D32" s="57" t="str">
        <f>IF(MAX(Table_Input_SoilAmeliorants[Total]) &gt; 1, "There can not be more than 100% ingredients in a product. Check the table below.", "")</f>
        <v/>
      </c>
    </row>
    <row r="33" spans="1:25" ht="36" customHeight="1" x14ac:dyDescent="0.25">
      <c r="A33" s="16"/>
      <c r="D33" s="95" t="s">
        <v>221</v>
      </c>
      <c r="E33" s="95" t="s">
        <v>222</v>
      </c>
      <c r="F33" s="95" t="s">
        <v>208</v>
      </c>
      <c r="G33" s="95" t="s">
        <v>223</v>
      </c>
      <c r="H33" s="95" t="s">
        <v>224</v>
      </c>
      <c r="I33" s="95" t="s">
        <v>225</v>
      </c>
      <c r="J33" s="95" t="s">
        <v>226</v>
      </c>
      <c r="K33" s="95" t="s">
        <v>227</v>
      </c>
      <c r="Y33" s="3"/>
    </row>
    <row r="34" spans="1:25" ht="36" customHeight="1" x14ac:dyDescent="0.25">
      <c r="D34" s="96" t="s">
        <v>228</v>
      </c>
      <c r="E34" s="77">
        <v>100</v>
      </c>
      <c r="F34" s="77">
        <f>$E$9</f>
        <v>100</v>
      </c>
      <c r="G34" s="78">
        <f>IFERROR(Table_Input_SoilAmeliorants[[#This Row],[Amount applied (t/hectare)]]*Table_Input_SoilAmeliorants[[#This Row],[Application area (ha)]], 0)</f>
        <v>10000</v>
      </c>
      <c r="H34" s="90">
        <v>0.4</v>
      </c>
      <c r="I34" s="90">
        <v>0.3</v>
      </c>
      <c r="J34" s="90">
        <v>0.25</v>
      </c>
      <c r="K34" s="98">
        <f>SUM(Table_Input_SoilAmeliorants[[#This Row],[Percent Lime CaCO3]:[Percent Gypsum]])</f>
        <v>0.95</v>
      </c>
      <c r="Y34" s="3"/>
    </row>
    <row r="35" spans="1:25" ht="36" customHeight="1" x14ac:dyDescent="0.25">
      <c r="D35" s="96" t="s">
        <v>229</v>
      </c>
      <c r="E35" s="77">
        <v>100</v>
      </c>
      <c r="F35" s="77">
        <f>$E$9</f>
        <v>100</v>
      </c>
      <c r="G35" s="78">
        <f>IFERROR(Table_Input_SoilAmeliorants[[#This Row],[Amount applied (t/hectare)]]*Table_Input_SoilAmeliorants[[#This Row],[Application area (ha)]], 0)</f>
        <v>10000</v>
      </c>
      <c r="H35" s="90">
        <v>1</v>
      </c>
      <c r="I35" s="90"/>
      <c r="J35" s="90"/>
      <c r="K35" s="98">
        <f>SUM(Table_Input_SoilAmeliorants[[#This Row],[Percent Lime CaCO3]:[Percent Gypsum]])</f>
        <v>1</v>
      </c>
      <c r="Y35" s="3"/>
    </row>
    <row r="36" spans="1:25" ht="36" customHeight="1" x14ac:dyDescent="0.25">
      <c r="D36" s="14"/>
      <c r="E36" s="14"/>
      <c r="F36" s="14"/>
      <c r="G36" s="14"/>
      <c r="H36" s="14"/>
      <c r="I36" s="14"/>
      <c r="J36" s="14"/>
      <c r="L36" s="7"/>
      <c r="M36" s="7"/>
    </row>
    <row r="37" spans="1:25" ht="20.100000000000001" customHeight="1" x14ac:dyDescent="0.25">
      <c r="D37" s="14"/>
      <c r="E37" s="14"/>
      <c r="F37" s="14"/>
      <c r="G37" s="14"/>
      <c r="H37" s="14"/>
      <c r="I37" s="14"/>
      <c r="J37" s="99"/>
      <c r="K37" s="7"/>
      <c r="L37" s="7"/>
      <c r="M37" s="7"/>
    </row>
    <row r="38" spans="1:25" ht="20.100000000000001" customHeight="1" x14ac:dyDescent="0.25">
      <c r="C38" s="53"/>
      <c r="D38" s="9" t="s">
        <v>230</v>
      </c>
      <c r="E38" s="7"/>
      <c r="F38" s="7"/>
      <c r="G38" s="7"/>
      <c r="H38" s="14"/>
      <c r="I38" s="14"/>
      <c r="J38" s="14"/>
      <c r="K38" s="14"/>
      <c r="L38" s="14"/>
      <c r="M38" s="14"/>
    </row>
    <row r="39" spans="1:25" ht="20.100000000000001" customHeight="1" x14ac:dyDescent="0.25">
      <c r="A39" s="16"/>
      <c r="C39" s="53"/>
      <c r="D39" s="14"/>
      <c r="E39" s="14"/>
      <c r="F39" s="14"/>
      <c r="G39" s="14"/>
      <c r="H39" s="14"/>
      <c r="I39" s="14"/>
      <c r="J39" s="14"/>
      <c r="K39" s="14"/>
      <c r="L39" s="14"/>
      <c r="M39" s="14"/>
    </row>
    <row r="40" spans="1:25" s="54" customFormat="1" ht="20.100000000000001" customHeight="1" x14ac:dyDescent="0.25">
      <c r="C40" s="8"/>
      <c r="D40" s="40" t="s">
        <v>219</v>
      </c>
      <c r="E40" s="41"/>
      <c r="F40" s="41"/>
      <c r="G40" s="41"/>
      <c r="H40" s="42"/>
      <c r="I40" s="14"/>
      <c r="J40" s="14"/>
      <c r="K40" s="14"/>
      <c r="L40" s="14"/>
      <c r="M40" s="14"/>
      <c r="N40" s="8"/>
      <c r="O40" s="8"/>
      <c r="P40" s="8"/>
      <c r="Q40" s="53"/>
      <c r="R40" s="53"/>
      <c r="S40" s="53"/>
      <c r="T40" s="8"/>
      <c r="U40" s="8"/>
      <c r="V40" s="8"/>
      <c r="W40" s="8"/>
      <c r="X40" s="8"/>
      <c r="Y40" s="8"/>
    </row>
    <row r="41" spans="1:25" s="54" customFormat="1" ht="20.100000000000001" customHeight="1" x14ac:dyDescent="0.25">
      <c r="A41" s="55"/>
      <c r="C41" s="8"/>
      <c r="D41" s="44" t="s">
        <v>204</v>
      </c>
      <c r="E41" s="45"/>
      <c r="F41" s="45"/>
      <c r="G41" s="45"/>
      <c r="H41" s="46"/>
      <c r="I41" s="14"/>
      <c r="J41" s="14"/>
      <c r="K41" s="14"/>
      <c r="L41" s="14"/>
      <c r="M41" s="14"/>
      <c r="N41" s="8"/>
      <c r="O41" s="53"/>
      <c r="P41" s="53"/>
      <c r="Q41" s="53"/>
      <c r="R41" s="53"/>
      <c r="S41" s="53"/>
      <c r="T41" s="8"/>
      <c r="U41" s="8"/>
      <c r="V41" s="8"/>
      <c r="W41" s="8"/>
      <c r="X41" s="8"/>
      <c r="Y41" s="8"/>
    </row>
    <row r="42" spans="1:25" ht="20.100000000000001" customHeight="1" x14ac:dyDescent="0.25">
      <c r="D42" s="14"/>
      <c r="E42" s="14"/>
      <c r="F42" s="14"/>
      <c r="G42" s="14"/>
      <c r="H42" s="14"/>
      <c r="I42" s="14"/>
      <c r="J42" s="14"/>
      <c r="K42" s="14"/>
      <c r="L42" s="14"/>
      <c r="M42" s="53"/>
      <c r="N42" s="53"/>
      <c r="O42" s="53"/>
      <c r="P42" s="53"/>
    </row>
    <row r="43" spans="1:25" ht="36" customHeight="1" x14ac:dyDescent="0.25">
      <c r="D43" s="95" t="s">
        <v>231</v>
      </c>
      <c r="E43" s="95" t="s">
        <v>232</v>
      </c>
      <c r="F43" s="95" t="s">
        <v>233</v>
      </c>
      <c r="G43" s="95" t="s">
        <v>234</v>
      </c>
      <c r="H43" s="95" t="s">
        <v>208</v>
      </c>
      <c r="I43" s="95" t="s">
        <v>235</v>
      </c>
      <c r="J43" s="95" t="s">
        <v>236</v>
      </c>
      <c r="K43" s="85"/>
      <c r="L43" s="85"/>
      <c r="M43" s="53"/>
      <c r="N43" s="53"/>
    </row>
    <row r="44" spans="1:25" ht="36" customHeight="1" x14ac:dyDescent="0.25">
      <c r="A44" s="56" t="str">
        <f>HYPERLINK("#A1", "▲ Back to top")</f>
        <v>▲ Back to top</v>
      </c>
      <c r="D44" s="76" t="s">
        <v>162</v>
      </c>
      <c r="E44" s="97">
        <v>0.3</v>
      </c>
      <c r="F44" s="77">
        <v>10</v>
      </c>
      <c r="G44" s="78">
        <f>Table_Input_OrganicFertiliser[[#This Row],[Amount applied (kg/hectare)]]*Table_Input_OrganicFertiliser[[#This Row],[Percentage of N in fertiliser]]</f>
        <v>3</v>
      </c>
      <c r="H44" s="77">
        <f>$E$9</f>
        <v>100</v>
      </c>
      <c r="I44" s="78">
        <f>Table_Input_OrganicFertiliser[[#This Row],[Amount applied (kg/hectare)]]*Table_Input_OrganicFertiliser[[#This Row],[Application area (ha)]]</f>
        <v>1000</v>
      </c>
      <c r="J44" s="78">
        <f>IFERROR(Table_Input_OrganicFertiliser[[#This Row],[Amount N applied (kg/hectare)]]*Table_Input_OrganicFertiliser[[#This Row],[Application area (ha)]], 0)</f>
        <v>300</v>
      </c>
      <c r="K44" s="85"/>
      <c r="L44" s="85"/>
    </row>
    <row r="45" spans="1:25" ht="36" customHeight="1" x14ac:dyDescent="0.25">
      <c r="D45" s="76" t="s">
        <v>156</v>
      </c>
      <c r="E45" s="97">
        <v>0.25</v>
      </c>
      <c r="F45" s="77">
        <v>10</v>
      </c>
      <c r="G45" s="78">
        <f>Table_Input_OrganicFertiliser[[#This Row],[Amount applied (kg/hectare)]]*Table_Input_OrganicFertiliser[[#This Row],[Percentage of N in fertiliser]]</f>
        <v>2.5</v>
      </c>
      <c r="H45" s="77">
        <f>$E$9</f>
        <v>100</v>
      </c>
      <c r="I45" s="78">
        <f>Table_Input_OrganicFertiliser[[#This Row],[Amount applied (kg/hectare)]]*Table_Input_OrganicFertiliser[[#This Row],[Application area (ha)]]</f>
        <v>1000</v>
      </c>
      <c r="J45" s="78">
        <f>IFERROR(Table_Input_OrganicFertiliser[[#This Row],[Amount N applied (kg/hectare)]]*Table_Input_OrganicFertiliser[[#This Row],[Application area (ha)]], 0)</f>
        <v>250</v>
      </c>
    </row>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7"/>
    </row>
    <row r="112" spans="13:13" ht="20.100000000000001" customHeight="1" x14ac:dyDescent="0.25">
      <c r="M112" s="7"/>
    </row>
    <row r="113" spans="13:13" ht="20.100000000000001" customHeight="1" x14ac:dyDescent="0.25">
      <c r="M113" s="7"/>
    </row>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8"/>
    </row>
    <row r="211" spans="12:12" x14ac:dyDescent="0.25">
      <c r="L211" s="68"/>
    </row>
    <row r="212" spans="12:12" x14ac:dyDescent="0.25">
      <c r="L212" s="68"/>
    </row>
    <row r="213" spans="12:12" x14ac:dyDescent="0.25">
      <c r="L213" s="68"/>
    </row>
    <row r="214" spans="12:12" x14ac:dyDescent="0.25">
      <c r="L214" s="68"/>
    </row>
    <row r="216" spans="12:12" x14ac:dyDescent="0.25">
      <c r="L216" s="68"/>
    </row>
    <row r="218" spans="12:12" x14ac:dyDescent="0.25">
      <c r="L218" s="68"/>
    </row>
    <row r="219" spans="12:12" x14ac:dyDescent="0.25">
      <c r="L219" s="68"/>
    </row>
    <row r="220" spans="12:12" x14ac:dyDescent="0.25">
      <c r="L220" s="68"/>
    </row>
    <row r="221" spans="12:12" x14ac:dyDescent="0.25">
      <c r="L221" s="68"/>
    </row>
    <row r="223" spans="12:12" x14ac:dyDescent="0.25">
      <c r="L223" s="68"/>
    </row>
    <row r="231" spans="12:12" x14ac:dyDescent="0.25">
      <c r="L231" s="68"/>
    </row>
    <row r="232" spans="12:12" x14ac:dyDescent="0.25">
      <c r="L232" s="68"/>
    </row>
    <row r="233" spans="12:12" x14ac:dyDescent="0.25">
      <c r="L233" s="68"/>
    </row>
    <row r="236" spans="12:12" x14ac:dyDescent="0.25">
      <c r="L236" s="68"/>
    </row>
    <row r="237" spans="12:12" x14ac:dyDescent="0.25">
      <c r="L237" s="68"/>
    </row>
    <row r="238" spans="12:12" x14ac:dyDescent="0.25">
      <c r="L238" s="68"/>
    </row>
    <row r="241" spans="11:12" x14ac:dyDescent="0.25">
      <c r="L241" s="68"/>
    </row>
    <row r="242" spans="11:12" x14ac:dyDescent="0.25">
      <c r="L242" s="68"/>
    </row>
    <row r="243" spans="11:12" x14ac:dyDescent="0.25">
      <c r="L243" s="68"/>
    </row>
    <row r="246" spans="11:12" x14ac:dyDescent="0.25">
      <c r="L246" s="68"/>
    </row>
    <row r="247" spans="11:12" x14ac:dyDescent="0.25">
      <c r="K247" s="68"/>
      <c r="L247" s="68"/>
    </row>
    <row r="248" spans="11:12" x14ac:dyDescent="0.25">
      <c r="L248" s="68"/>
    </row>
    <row r="252" spans="11:12" x14ac:dyDescent="0.25">
      <c r="K252" s="68"/>
    </row>
    <row r="255" spans="11:12" x14ac:dyDescent="0.25">
      <c r="L255" s="68"/>
    </row>
    <row r="256" spans="11:12" x14ac:dyDescent="0.25">
      <c r="L256" s="68"/>
    </row>
    <row r="257" spans="11:12" x14ac:dyDescent="0.25">
      <c r="K257" s="68"/>
      <c r="L257" s="68"/>
    </row>
    <row r="260" spans="11:12" x14ac:dyDescent="0.25">
      <c r="L260" s="68"/>
    </row>
    <row r="261" spans="11:12" x14ac:dyDescent="0.25">
      <c r="L261" s="68"/>
    </row>
    <row r="262" spans="11:12" x14ac:dyDescent="0.25">
      <c r="K262" s="68"/>
      <c r="L262" s="68"/>
    </row>
    <row r="263" spans="11:12" x14ac:dyDescent="0.25">
      <c r="K263" s="68"/>
    </row>
    <row r="264" spans="11:12" x14ac:dyDescent="0.25">
      <c r="K264" s="68"/>
    </row>
    <row r="265" spans="11:12" x14ac:dyDescent="0.25">
      <c r="K265" s="68"/>
      <c r="L265" s="68"/>
    </row>
    <row r="266" spans="11:12" x14ac:dyDescent="0.25">
      <c r="K266" s="68"/>
      <c r="L266" s="68"/>
    </row>
    <row r="267" spans="11:12" x14ac:dyDescent="0.25">
      <c r="L267" s="68"/>
    </row>
    <row r="268" spans="11:12" x14ac:dyDescent="0.25">
      <c r="K268" s="68"/>
    </row>
    <row r="270" spans="11:12" x14ac:dyDescent="0.25">
      <c r="K270" s="68"/>
      <c r="L270" s="68"/>
    </row>
    <row r="271" spans="11:12" x14ac:dyDescent="0.25">
      <c r="K271" s="68"/>
      <c r="L271" s="68"/>
    </row>
    <row r="272" spans="11:12" x14ac:dyDescent="0.25">
      <c r="K272" s="68"/>
      <c r="L272" s="68"/>
    </row>
    <row r="273" spans="11:11" x14ac:dyDescent="0.25">
      <c r="K273" s="68"/>
    </row>
    <row r="275" spans="11:11" x14ac:dyDescent="0.25">
      <c r="K275" s="68"/>
    </row>
    <row r="281" spans="11:11" x14ac:dyDescent="0.25">
      <c r="K281" s="68"/>
    </row>
    <row r="286" spans="11:11" x14ac:dyDescent="0.25">
      <c r="K286" s="68"/>
    </row>
    <row r="291" spans="11:11" x14ac:dyDescent="0.25">
      <c r="K291" s="68"/>
    </row>
    <row r="296" spans="11:11" x14ac:dyDescent="0.25">
      <c r="K296" s="68"/>
    </row>
    <row r="297" spans="11:11" x14ac:dyDescent="0.25">
      <c r="K297" s="68"/>
    </row>
    <row r="298" spans="11:11" x14ac:dyDescent="0.25">
      <c r="K298" s="68"/>
    </row>
    <row r="299" spans="11:11" x14ac:dyDescent="0.25">
      <c r="K299" s="68"/>
    </row>
    <row r="300" spans="11:11" x14ac:dyDescent="0.25">
      <c r="K300" s="68"/>
    </row>
    <row r="302" spans="11:11" x14ac:dyDescent="0.25">
      <c r="K302" s="68"/>
    </row>
    <row r="304" spans="11:11" x14ac:dyDescent="0.25">
      <c r="K304" s="68"/>
    </row>
    <row r="305" spans="11:11" x14ac:dyDescent="0.25">
      <c r="K305" s="68"/>
    </row>
    <row r="306" spans="11:11" x14ac:dyDescent="0.25">
      <c r="K306" s="68"/>
    </row>
    <row r="307" spans="11:11" x14ac:dyDescent="0.25">
      <c r="K307" s="68"/>
    </row>
    <row r="309" spans="11:11" x14ac:dyDescent="0.25">
      <c r="K309" s="68"/>
    </row>
    <row r="317" spans="11:11" x14ac:dyDescent="0.25">
      <c r="K317" s="68"/>
    </row>
    <row r="318" spans="11:11" x14ac:dyDescent="0.25">
      <c r="K318" s="68"/>
    </row>
    <row r="319" spans="11:11" x14ac:dyDescent="0.25">
      <c r="K319" s="68"/>
    </row>
    <row r="322" spans="11:11" x14ac:dyDescent="0.25">
      <c r="K322" s="68"/>
    </row>
    <row r="323" spans="11:11" x14ac:dyDescent="0.25">
      <c r="K323" s="68"/>
    </row>
    <row r="324" spans="11:11" x14ac:dyDescent="0.25">
      <c r="K324" s="68"/>
    </row>
    <row r="327" spans="11:11" x14ac:dyDescent="0.25">
      <c r="K327" s="68"/>
    </row>
    <row r="328" spans="11:11" x14ac:dyDescent="0.25">
      <c r="K328" s="68"/>
    </row>
    <row r="329" spans="11:11" x14ac:dyDescent="0.25">
      <c r="K329" s="68"/>
    </row>
    <row r="332" spans="11:11" x14ac:dyDescent="0.25">
      <c r="K332" s="68"/>
    </row>
    <row r="333" spans="11:11" x14ac:dyDescent="0.25">
      <c r="K333" s="68"/>
    </row>
    <row r="334" spans="11:11" x14ac:dyDescent="0.25">
      <c r="K334" s="68"/>
    </row>
    <row r="341" spans="11:11" x14ac:dyDescent="0.25">
      <c r="K341" s="68"/>
    </row>
    <row r="342" spans="11:11" x14ac:dyDescent="0.25">
      <c r="K342" s="68"/>
    </row>
    <row r="343" spans="11:11" x14ac:dyDescent="0.25">
      <c r="K343" s="68"/>
    </row>
    <row r="346" spans="11:11" x14ac:dyDescent="0.25">
      <c r="K346" s="68"/>
    </row>
    <row r="347" spans="11:11" x14ac:dyDescent="0.25">
      <c r="K347" s="68"/>
    </row>
    <row r="348" spans="11:11" x14ac:dyDescent="0.25">
      <c r="K348" s="68"/>
    </row>
    <row r="351" spans="11:11" x14ac:dyDescent="0.25">
      <c r="K351" s="68"/>
    </row>
    <row r="352" spans="11:11" x14ac:dyDescent="0.25">
      <c r="K352" s="68"/>
    </row>
    <row r="353" spans="4:11" x14ac:dyDescent="0.25">
      <c r="K353" s="68"/>
    </row>
    <row r="356" spans="4:11" x14ac:dyDescent="0.25">
      <c r="K356" s="68"/>
    </row>
    <row r="357" spans="4:11" x14ac:dyDescent="0.25">
      <c r="K357" s="68"/>
    </row>
    <row r="358" spans="4:11" x14ac:dyDescent="0.25">
      <c r="K358" s="68"/>
    </row>
    <row r="361" spans="4:11" x14ac:dyDescent="0.25">
      <c r="D361" s="57"/>
    </row>
  </sheetData>
  <phoneticPr fontId="55" type="noConversion"/>
  <conditionalFormatting sqref="F126:F127">
    <cfRule type="cellIs" dxfId="61" priority="17" operator="lessThan">
      <formula>0</formula>
    </cfRule>
  </conditionalFormatting>
  <conditionalFormatting sqref="F138:F139">
    <cfRule type="cellIs" dxfId="60" priority="16" operator="lessThan">
      <formula>0</formula>
    </cfRule>
  </conditionalFormatting>
  <conditionalFormatting sqref="F150:F151">
    <cfRule type="cellIs" dxfId="59" priority="15" operator="lessThan">
      <formula>0</formula>
    </cfRule>
  </conditionalFormatting>
  <conditionalFormatting sqref="F162:F163">
    <cfRule type="cellIs" dxfId="58" priority="14" operator="lessThan">
      <formula>0</formula>
    </cfRule>
  </conditionalFormatting>
  <conditionalFormatting sqref="F250:F251">
    <cfRule type="cellIs" dxfId="57" priority="27" operator="lessThan">
      <formula>0</formula>
    </cfRule>
  </conditionalFormatting>
  <conditionalFormatting sqref="F255:F256">
    <cfRule type="cellIs" dxfId="56" priority="26" operator="lessThan">
      <formula>0</formula>
    </cfRule>
  </conditionalFormatting>
  <conditionalFormatting sqref="F260:F261">
    <cfRule type="cellIs" dxfId="55" priority="25" operator="lessThan">
      <formula>0</formula>
    </cfRule>
  </conditionalFormatting>
  <conditionalFormatting sqref="F284:F285">
    <cfRule type="cellIs" dxfId="54" priority="24" operator="lessThan">
      <formula>0</formula>
    </cfRule>
  </conditionalFormatting>
  <conditionalFormatting sqref="F289:F290">
    <cfRule type="cellIs" dxfId="53" priority="23" operator="lessThan">
      <formula>0</formula>
    </cfRule>
  </conditionalFormatting>
  <conditionalFormatting sqref="F294:F295">
    <cfRule type="cellIs" dxfId="52"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51" priority="21" operator="lessThan">
      <formula>0</formula>
    </cfRule>
  </conditionalFormatting>
  <conditionalFormatting sqref="I33:I37 F47 K184:L184 K188:L189 K192:L193 K198:L199 K202:L203 K209:L209">
    <cfRule type="cellIs" dxfId="50" priority="19" operator="lessThan">
      <formula>0</formula>
    </cfRule>
  </conditionalFormatting>
  <conditionalFormatting sqref="I57:I61">
    <cfRule type="cellIs" dxfId="49" priority="4" operator="lessThan">
      <formula>0</formula>
    </cfRule>
  </conditionalFormatting>
  <conditionalFormatting sqref="I65 M104 I124:J124">
    <cfRule type="cellIs" dxfId="48" priority="20" operator="lessThan">
      <formula>0</formula>
    </cfRule>
  </conditionalFormatting>
  <conditionalFormatting sqref="I76:I78">
    <cfRule type="cellIs" dxfId="47" priority="3" operator="lessThan">
      <formula>0</formula>
    </cfRule>
  </conditionalFormatting>
  <conditionalFormatting sqref="I82:I85">
    <cfRule type="cellIs" dxfId="46" priority="2" operator="lessThan">
      <formula>0</formula>
    </cfRule>
  </conditionalFormatting>
  <conditionalFormatting sqref="I89:I93">
    <cfRule type="cellIs" dxfId="45" priority="1" operator="lessThan">
      <formula>0</formula>
    </cfRule>
  </conditionalFormatting>
  <conditionalFormatting sqref="J152">
    <cfRule type="cellIs" dxfId="44" priority="18" operator="lessThan">
      <formula>0</formula>
    </cfRule>
  </conditionalFormatting>
  <conditionalFormatting sqref="L117:L120">
    <cfRule type="cellIs" dxfId="43" priority="8" operator="lessThan">
      <formula>0</formula>
    </cfRule>
  </conditionalFormatting>
  <conditionalFormatting sqref="L123">
    <cfRule type="cellIs" dxfId="42" priority="13" operator="lessThan">
      <formula>0</formula>
    </cfRule>
  </conditionalFormatting>
  <conditionalFormatting sqref="L129:L132">
    <cfRule type="cellIs" dxfId="41" priority="7" operator="lessThan">
      <formula>0</formula>
    </cfRule>
  </conditionalFormatting>
  <conditionalFormatting sqref="L135">
    <cfRule type="cellIs" dxfId="40" priority="12" operator="lessThan">
      <formula>0</formula>
    </cfRule>
  </conditionalFormatting>
  <conditionalFormatting sqref="L141:L144">
    <cfRule type="cellIs" dxfId="39" priority="6" operator="lessThan">
      <formula>0</formula>
    </cfRule>
  </conditionalFormatting>
  <conditionalFormatting sqref="L147">
    <cfRule type="cellIs" dxfId="38" priority="11" operator="lessThan">
      <formula>0</formula>
    </cfRule>
  </conditionalFormatting>
  <conditionalFormatting sqref="L153:L156">
    <cfRule type="cellIs" dxfId="37" priority="5" operator="lessThan">
      <formula>0</formula>
    </cfRule>
  </conditionalFormatting>
  <conditionalFormatting sqref="L159">
    <cfRule type="cellIs" dxfId="36" priority="10" operator="lessThan">
      <formula>0</formula>
    </cfRule>
  </conditionalFormatting>
  <conditionalFormatting sqref="L163:L164">
    <cfRule type="cellIs" dxfId="35" priority="9" operator="lessThan">
      <formula>0</formula>
    </cfRule>
  </conditionalFormatting>
  <conditionalFormatting sqref="L210:L214 L216 L218:L221 L223 J228:J230 J233:J235">
    <cfRule type="cellIs" dxfId="34"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CD486-B501-4B7E-8D74-9BADE1C3766D}">
  <dimension ref="A1:FC133"/>
  <sheetViews>
    <sheetView showGridLines="0" topLeftCell="A4" zoomScaleNormal="100" workbookViewId="0">
      <selection activeCell="D7" sqref="D7:Q25"/>
    </sheetView>
  </sheetViews>
  <sheetFormatPr defaultColWidth="8" defaultRowHeight="15.75" x14ac:dyDescent="0.25"/>
  <cols>
    <col min="1" max="1" width="26.875" style="18" customWidth="1"/>
    <col min="2" max="2" width="4.125" style="4" customWidth="1"/>
    <col min="3" max="3" width="4.125" style="7" customWidth="1"/>
    <col min="4" max="4" width="44.375" style="7" customWidth="1"/>
    <col min="5" max="15" width="26.875" style="7" customWidth="1"/>
    <col min="16" max="16" width="30.625" style="7" customWidth="1"/>
    <col min="17" max="24" width="26.875" style="4" customWidth="1"/>
    <col min="25" max="25" width="25.125" style="4" customWidth="1"/>
    <col min="26" max="27" width="8" style="4"/>
    <col min="28" max="16384" width="8" style="7"/>
  </cols>
  <sheetData>
    <row r="1" spans="1:151" s="4" customFormat="1" ht="30" customHeight="1" x14ac:dyDescent="0.35">
      <c r="A1" s="150" t="e" vm="1">
        <v>#VALUE!</v>
      </c>
      <c r="C1" s="108" t="s">
        <v>317</v>
      </c>
    </row>
    <row r="2" spans="1:151" s="4" customFormat="1" ht="20.100000000000001" customHeight="1" x14ac:dyDescent="0.25">
      <c r="C2" s="2"/>
      <c r="D2" s="2"/>
      <c r="E2" s="2"/>
      <c r="F2" s="2"/>
      <c r="G2" s="2"/>
      <c r="H2" s="2"/>
      <c r="I2" s="2"/>
      <c r="J2" s="2"/>
    </row>
    <row r="3" spans="1:151" ht="20.100000000000001" customHeight="1" x14ac:dyDescent="0.25">
      <c r="A3" s="16" t="s">
        <v>299</v>
      </c>
      <c r="C3" s="39"/>
      <c r="D3" s="39"/>
      <c r="E3" s="39"/>
      <c r="F3" s="39"/>
      <c r="G3" s="39"/>
      <c r="H3" s="39"/>
      <c r="I3" s="39"/>
      <c r="J3" s="39"/>
      <c r="K3" s="39"/>
      <c r="L3" s="39"/>
      <c r="M3" s="39"/>
      <c r="N3" s="39"/>
      <c r="O3" s="39"/>
      <c r="P3" s="39"/>
      <c r="Q3" s="39"/>
      <c r="R3" s="39"/>
      <c r="S3" s="153"/>
      <c r="T3" s="153"/>
      <c r="U3" s="153"/>
      <c r="V3" s="153"/>
      <c r="W3" s="153"/>
      <c r="X3" s="153"/>
      <c r="Y3" s="153"/>
      <c r="Z3" s="153"/>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row>
    <row r="4" spans="1:151" ht="20.100000000000001" customHeight="1" x14ac:dyDescent="0.25">
      <c r="A4" s="16" t="str">
        <f>HYPERLINK("#'Results'!A1", "Results")</f>
        <v>Results</v>
      </c>
      <c r="Q4" s="7"/>
      <c r="R4" s="7"/>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row>
    <row r="5" spans="1:151" ht="20.100000000000001" customHeight="1" x14ac:dyDescent="0.25">
      <c r="D5" s="9" t="s">
        <v>318</v>
      </c>
      <c r="Q5" s="7"/>
      <c r="R5" s="7"/>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row>
    <row r="6" spans="1:151" ht="20.100000000000001" customHeight="1" x14ac:dyDescent="0.25">
      <c r="A6" s="19" t="s">
        <v>67</v>
      </c>
      <c r="Q6" s="7"/>
      <c r="R6" s="7"/>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row>
    <row r="7" spans="1:151" ht="20.100000000000001" customHeight="1" x14ac:dyDescent="0.25">
      <c r="A7" s="16" t="str">
        <f>HYPERLINK("#'Input - Site'!A1", "Site")</f>
        <v>Site</v>
      </c>
      <c r="R7" s="7"/>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row>
    <row r="8" spans="1:151" ht="20.100000000000001" customHeight="1" x14ac:dyDescent="0.25">
      <c r="A8" s="16" t="str">
        <f>HYPERLINK("#'Input - Production'!A1", "Production and outputs")</f>
        <v>Production and outputs</v>
      </c>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row>
    <row r="9" spans="1:151" ht="20.100000000000001" customHeight="1" x14ac:dyDescent="0.25">
      <c r="A9" s="16" t="str">
        <f>HYPERLINK("#'Input - Herd - Dairy'!A1", "Herd - Dairy")</f>
        <v>Herd - Dairy</v>
      </c>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row>
    <row r="10" spans="1:151" ht="20.100000000000001" customHeight="1" x14ac:dyDescent="0.25">
      <c r="A10" s="43" t="str">
        <f>HYPERLINK("#'Input - Feed - Dairy'!A1", "Purchased feed - Livestock")</f>
        <v>Purchased feed - Livestock</v>
      </c>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row>
    <row r="11" spans="1:151" ht="20.100000000000001" customHeight="1" x14ac:dyDescent="0.25">
      <c r="A11" s="16" t="str">
        <f>HYPERLINK("#'Input - Herd - Feedlot'!A1", "Herd - Feedlot")</f>
        <v>Herd - Feedlot</v>
      </c>
      <c r="C11" s="156"/>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row>
    <row r="12" spans="1:151" ht="20.100000000000001" customHeight="1" x14ac:dyDescent="0.25">
      <c r="A12" s="16" t="str">
        <f>HYPERLINK("#'Input - Pasture'!A1", "Pasture")</f>
        <v>Pasture</v>
      </c>
      <c r="R12" s="7"/>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row>
    <row r="13" spans="1:151" ht="20.100000000000001" customHeight="1" x14ac:dyDescent="0.25">
      <c r="A13" s="16" t="str">
        <f>HYPERLINK("#'Input - Grains'!A1", "Crop - Grains")</f>
        <v>Crop - Grains</v>
      </c>
      <c r="R13" s="7"/>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row>
    <row r="14" spans="1:151" ht="20.100000000000001" customHeight="1" x14ac:dyDescent="0.25">
      <c r="A14" s="16" t="str">
        <f>HYPERLINK("#'Input - Fert Lime Chem'!A1", "Fertiliser, Lime &amp; Chemicals")</f>
        <v>Fertiliser, Lime &amp; Chemicals</v>
      </c>
      <c r="R14" s="7"/>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row>
    <row r="15" spans="1:151" ht="20.100000000000001" customHeight="1" x14ac:dyDescent="0.25">
      <c r="A15" s="16" t="str">
        <f>HYPERLINK("#'Input - Fuel &amp; Energy'!A1", "Electricity and fuel")</f>
        <v>Electricity and fuel</v>
      </c>
      <c r="R15" s="7"/>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row>
    <row r="16" spans="1:151" ht="20.100000000000001" customHeight="1" x14ac:dyDescent="0.25">
      <c r="A16" s="52" t="s">
        <v>304</v>
      </c>
      <c r="R16" s="7"/>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row>
    <row r="17" spans="1:152" ht="20.100000000000001" customHeight="1" x14ac:dyDescent="0.25">
      <c r="A17" s="52" t="s">
        <v>305</v>
      </c>
      <c r="R17" s="7"/>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row>
    <row r="18" spans="1:152" ht="20.100000000000001" customHeight="1" x14ac:dyDescent="0.25">
      <c r="A18" s="16" t="str">
        <f>HYPERLINK("#'Input - Other Farm Inputs'!A1", "Other farm inputs")</f>
        <v>Other farm inputs</v>
      </c>
      <c r="R18" s="7"/>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row>
    <row r="19" spans="1:152" ht="20.100000000000001" customHeight="1" x14ac:dyDescent="0.25">
      <c r="A19" s="16" t="str">
        <f>HYPERLINK("#'Input - Data quality'!A1", "Data quality")</f>
        <v>Data quality</v>
      </c>
      <c r="R19" s="7"/>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row>
    <row r="20" spans="1:152" ht="20.100000000000001" customHeight="1" x14ac:dyDescent="0.25">
      <c r="A20" s="3"/>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row>
    <row r="21" spans="1:152" ht="20.100000000000001" customHeight="1" x14ac:dyDescent="0.25">
      <c r="A21" s="21" t="s">
        <v>77</v>
      </c>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row>
    <row r="22" spans="1:152" ht="20.100000000000001" customHeight="1" x14ac:dyDescent="0.25">
      <c r="A22" s="52" t="s">
        <v>306</v>
      </c>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row>
    <row r="23" spans="1:152" ht="20.100000000000001" customHeight="1" x14ac:dyDescent="0.25">
      <c r="A23" s="52" t="s">
        <v>307</v>
      </c>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row>
    <row r="24" spans="1:152" ht="20.100000000000001" customHeight="1" x14ac:dyDescent="0.25">
      <c r="A24" s="16" t="str">
        <f>HYPERLINK("#'Calcs - Fert Lime'!A1", "Fertiliser &amp; soil amendments")</f>
        <v>Fertiliser &amp; soil amendments</v>
      </c>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row>
    <row r="25" spans="1:152" ht="20.100000000000001" customHeight="1" x14ac:dyDescent="0.25">
      <c r="A25" s="16" t="str">
        <f>HYPERLINK("#'Calcs - Residue mgmt - Crop'!A1", "Residue management - Crop")</f>
        <v>Residue management - Crop</v>
      </c>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row>
    <row r="26" spans="1:152" ht="20.100000000000001" customHeight="1" x14ac:dyDescent="0.25">
      <c r="A26" s="16" t="str">
        <f>HYPERLINK("#'Calcs - Residue mgmt - Pasture'!A1", "Residue management - Pasture")</f>
        <v>Residue management - Pasture</v>
      </c>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row>
    <row r="27" spans="1:152" ht="20.100000000000001" customHeight="1" x14ac:dyDescent="0.25">
      <c r="A27" s="16" t="str">
        <f>HYPERLINK("#'Calcs - Field burning'!A1", "Field burning - Crop")</f>
        <v>Field burning - Crop</v>
      </c>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row>
    <row r="28" spans="1:152" ht="20.100000000000001" customHeight="1" x14ac:dyDescent="0.25">
      <c r="A28" s="16" t="str">
        <f>HYPERLINK("#'Calcs - Fuel'!A1", "Fuel")</f>
        <v>Fuel</v>
      </c>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row>
    <row r="29" spans="1:152" ht="20.100000000000001" customHeight="1" x14ac:dyDescent="0.25">
      <c r="A29" s="16" t="str">
        <f>HYPERLINK("#'Calcs - Electricity'!A1", "Electricity")</f>
        <v>Electricity</v>
      </c>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row>
    <row r="30" spans="1:152" ht="20.100000000000001" customHeight="1" x14ac:dyDescent="0.25">
      <c r="A30" s="16" t="str">
        <f>HYPERLINK("#'Calcs - Refrigerants'!A1", "Refrigerants")</f>
        <v>Refrigerants</v>
      </c>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row>
    <row r="31" spans="1:152" ht="20.100000000000001" customHeight="1" x14ac:dyDescent="0.25">
      <c r="A31" s="52" t="s">
        <v>304</v>
      </c>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row>
    <row r="32" spans="1:152" ht="20.100000000000001" customHeight="1" x14ac:dyDescent="0.25">
      <c r="A32" s="52" t="s">
        <v>305</v>
      </c>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row>
    <row r="33" spans="1:150" ht="20.100000000000001" customHeight="1" x14ac:dyDescent="0.25">
      <c r="A33" s="16" t="str">
        <f>HYPERLINK("#'Calcs - Scope 3'!A1", "Purchased goods scope 3")</f>
        <v>Purchased goods scope 3</v>
      </c>
      <c r="C33" s="156"/>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row>
    <row r="34" spans="1:150" ht="20.100000000000001" customHeight="1" x14ac:dyDescent="0.25">
      <c r="A34" s="3"/>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row>
    <row r="35" spans="1:150" ht="20.100000000000001" customHeight="1" x14ac:dyDescent="0.25">
      <c r="A35" s="23" t="s">
        <v>78</v>
      </c>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row>
    <row r="36" spans="1:150" ht="20.100000000000001" customHeight="1" x14ac:dyDescent="0.25">
      <c r="A36" s="16" t="str">
        <f>HYPERLINK("#'Constants - Common'!A1", "Constants - Common")</f>
        <v>Constants - Common</v>
      </c>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row>
    <row r="37" spans="1:150" ht="20.100000000000001" customHeight="1" x14ac:dyDescent="0.25">
      <c r="A37" s="16" t="str">
        <f>HYPERLINK("#'Constants - Cropping'!A1", "Constants - Cropping")</f>
        <v>Constants - Cropping</v>
      </c>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row>
    <row r="38" spans="1:150" ht="20.100000000000001" customHeight="1" x14ac:dyDescent="0.25">
      <c r="A38" s="16" t="str">
        <f>HYPERLINK("#'Constants - Livestock'!A1", "Constants - Livestock")</f>
        <v>Constants - Livestock</v>
      </c>
      <c r="R38" s="153"/>
      <c r="S38" s="153"/>
      <c r="T38" s="153"/>
      <c r="U38" s="153"/>
      <c r="V38" s="153"/>
      <c r="W38" s="153"/>
      <c r="X38" s="153"/>
      <c r="Y38" s="153"/>
      <c r="Z38" s="153"/>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row>
    <row r="39" spans="1:150" ht="20.100000000000001" customHeight="1" x14ac:dyDescent="0.25">
      <c r="A39" s="16" t="str">
        <f>HYPERLINK("#'Constants - Dairy'!A1", "Constants - Dairy")</f>
        <v>Constants - Dairy</v>
      </c>
      <c r="Q39" s="153"/>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row>
    <row r="40" spans="1:150" ht="20.100000000000001" customHeight="1" x14ac:dyDescent="0.25">
      <c r="A40" s="52" t="s">
        <v>308</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row>
    <row r="41" spans="1:150" ht="20.100000000000001" customHeight="1" x14ac:dyDescent="0.2">
      <c r="A41" s="151"/>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row>
    <row r="42" spans="1:150" ht="20.100000000000001" customHeight="1" x14ac:dyDescent="0.25">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row>
    <row r="43" spans="1:150" ht="20.100000000000001" customHeight="1" x14ac:dyDescent="0.25">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row>
    <row r="44" spans="1:150" ht="20.100000000000001" customHeight="1" x14ac:dyDescent="0.25">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row>
    <row r="45" spans="1:150" ht="20.100000000000001" customHeight="1" x14ac:dyDescent="0.25">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row>
    <row r="46" spans="1:150" ht="20.100000000000001" customHeight="1" x14ac:dyDescent="0.25">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row>
    <row r="47" spans="1:150" ht="20.100000000000001" customHeight="1" x14ac:dyDescent="0.25">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row>
    <row r="48" spans="1:150" ht="20.100000000000001" customHeight="1" x14ac:dyDescent="0.25">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row>
    <row r="49" spans="13:150" ht="20.100000000000001" customHeight="1" x14ac:dyDescent="0.25">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row>
    <row r="50" spans="13:150" ht="20.100000000000001" customHeight="1" x14ac:dyDescent="0.25">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row>
    <row r="51" spans="13:150" ht="20.100000000000001" customHeight="1" x14ac:dyDescent="0.25">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row>
    <row r="52" spans="13:150" ht="20.100000000000001" customHeight="1" x14ac:dyDescent="0.25">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row>
    <row r="53" spans="13:150" ht="20.100000000000001" customHeight="1" x14ac:dyDescent="0.25">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row>
    <row r="54" spans="13:150" ht="20.100000000000001" customHeight="1" x14ac:dyDescent="0.25">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row>
    <row r="55" spans="13:150" ht="20.100000000000001" customHeight="1" x14ac:dyDescent="0.25">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56" spans="13:150" ht="20.100000000000001" customHeight="1" x14ac:dyDescent="0.25">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row>
    <row r="57" spans="13:150" ht="20.100000000000001" customHeight="1" x14ac:dyDescent="0.25">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row>
    <row r="58" spans="13:150" ht="20.100000000000001" customHeight="1" x14ac:dyDescent="0.25">
      <c r="M58" s="158"/>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row>
    <row r="59" spans="13:150" ht="20.100000000000001" customHeight="1" x14ac:dyDescent="0.25">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row>
    <row r="60" spans="13:150" ht="20.100000000000001" customHeight="1" x14ac:dyDescent="0.25">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row>
    <row r="61" spans="13:150" ht="20.100000000000001" customHeight="1" x14ac:dyDescent="0.25">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row>
    <row r="62" spans="13:150" ht="20.100000000000001" customHeight="1" x14ac:dyDescent="0.25">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row>
    <row r="63" spans="13:150" ht="20.100000000000001" customHeight="1" x14ac:dyDescent="0.25">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row>
    <row r="64" spans="13:150" ht="20.100000000000001" customHeight="1" x14ac:dyDescent="0.25">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row>
    <row r="65" spans="18:159" ht="20.100000000000001" customHeight="1" x14ac:dyDescent="0.25">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row>
    <row r="66" spans="18:159" ht="20.100000000000001" customHeight="1" x14ac:dyDescent="0.25">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row>
    <row r="67" spans="18:159" ht="20.100000000000001" customHeight="1" x14ac:dyDescent="0.25">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row>
    <row r="68" spans="18:159" ht="20.100000000000001" customHeight="1" x14ac:dyDescent="0.25">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row>
    <row r="69" spans="18:159" ht="20.100000000000001" customHeight="1" x14ac:dyDescent="0.25">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row>
    <row r="70" spans="18:159" ht="20.100000000000001" customHeight="1" x14ac:dyDescent="0.25">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row>
    <row r="71" spans="18:159" ht="20.100000000000001" customHeight="1" x14ac:dyDescent="0.25">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row>
    <row r="72" spans="18:159" ht="20.100000000000001" customHeight="1" x14ac:dyDescent="0.25">
      <c r="AA72" s="153"/>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row>
    <row r="73" spans="18:159" ht="20.100000000000001" customHeight="1" x14ac:dyDescent="0.25">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row>
    <row r="74" spans="18:159" ht="20.100000000000001" customHeight="1" x14ac:dyDescent="0.25">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row>
    <row r="75" spans="18:159" ht="20.100000000000001" customHeight="1" x14ac:dyDescent="0.25">
      <c r="R75" s="153"/>
      <c r="S75" s="153"/>
      <c r="T75" s="153"/>
      <c r="U75" s="153"/>
      <c r="V75" s="153"/>
      <c r="W75" s="153"/>
      <c r="X75" s="153"/>
      <c r="Y75" s="153"/>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row>
    <row r="76" spans="18:159" ht="20.100000000000001" customHeight="1" x14ac:dyDescent="0.25">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row>
    <row r="77" spans="18:159" ht="20.100000000000001" customHeight="1" x14ac:dyDescent="0.25">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row>
    <row r="78" spans="18:159" ht="20.100000000000001" customHeight="1" x14ac:dyDescent="0.25">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row>
    <row r="79" spans="18:159" ht="20.100000000000001" customHeight="1" x14ac:dyDescent="0.25">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row>
    <row r="80" spans="18:159" ht="20.100000000000001" customHeight="1" x14ac:dyDescent="0.25">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row>
    <row r="81" spans="28:149" ht="20.100000000000001" customHeight="1" x14ac:dyDescent="0.25">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row>
    <row r="82" spans="28:149" ht="20.100000000000001" customHeight="1" x14ac:dyDescent="0.25">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row>
    <row r="83" spans="28:149" ht="20.100000000000001" customHeight="1" x14ac:dyDescent="0.25">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row>
    <row r="84" spans="28:149" ht="20.100000000000001" customHeight="1" x14ac:dyDescent="0.25">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row>
    <row r="85" spans="28:149" ht="20.100000000000001" customHeight="1" x14ac:dyDescent="0.25">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row>
    <row r="86" spans="28:149" ht="20.100000000000001" customHeight="1" x14ac:dyDescent="0.25">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row>
    <row r="87" spans="28:149" ht="20.100000000000001" customHeight="1" x14ac:dyDescent="0.25">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row>
    <row r="88" spans="28:149" ht="20.100000000000001" customHeight="1" x14ac:dyDescent="0.25">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row>
    <row r="89" spans="28:149" ht="20.100000000000001" customHeight="1" x14ac:dyDescent="0.25">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row>
    <row r="90" spans="28:149" ht="20.100000000000001" customHeight="1" x14ac:dyDescent="0.25">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row>
    <row r="91" spans="28:149" ht="20.100000000000001" customHeight="1" x14ac:dyDescent="0.25">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row>
    <row r="92" spans="28:149" ht="20.100000000000001" customHeight="1" x14ac:dyDescent="0.25">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row>
    <row r="93" spans="28:149" ht="20.100000000000001" customHeight="1" x14ac:dyDescent="0.25">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row>
    <row r="94" spans="28:149" ht="20.100000000000001" customHeight="1" x14ac:dyDescent="0.25">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row>
    <row r="95" spans="28:149" ht="20.100000000000001" customHeight="1" x14ac:dyDescent="0.25">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row>
    <row r="96" spans="28:149" ht="20.100000000000001" customHeight="1" x14ac:dyDescent="0.25">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row>
    <row r="97" spans="28:149" ht="20.100000000000001" customHeight="1" x14ac:dyDescent="0.25">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row>
    <row r="98" spans="28:149" ht="20.100000000000001" customHeight="1" x14ac:dyDescent="0.25">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row>
    <row r="99" spans="28:149" ht="20.100000000000001" customHeight="1" x14ac:dyDescent="0.25">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row>
    <row r="100" spans="28:149" ht="20.100000000000001" customHeight="1" x14ac:dyDescent="0.25">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row>
    <row r="101" spans="28:149" ht="20.100000000000001" customHeight="1" x14ac:dyDescent="0.25">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row>
    <row r="102" spans="28:149" ht="20.100000000000001" customHeight="1" x14ac:dyDescent="0.25">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row>
    <row r="103" spans="28:149" ht="20.100000000000001" customHeight="1" x14ac:dyDescent="0.25">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row>
    <row r="104" spans="28:149" ht="20.100000000000001" customHeight="1" x14ac:dyDescent="0.25">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row>
    <row r="105" spans="28:149" ht="20.100000000000001" customHeight="1" x14ac:dyDescent="0.25">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row>
    <row r="106" spans="28:149" ht="20.100000000000001" customHeight="1" x14ac:dyDescent="0.25">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row>
    <row r="107" spans="28:149" ht="20.100000000000001" customHeight="1" x14ac:dyDescent="0.25">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row>
    <row r="108" spans="28:149" ht="20.100000000000001" customHeight="1" x14ac:dyDescent="0.25">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row>
    <row r="109" spans="28:149" ht="20.100000000000001" customHeight="1" x14ac:dyDescent="0.25">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row>
    <row r="110" spans="28:149" ht="20.100000000000001" customHeight="1" x14ac:dyDescent="0.25">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row>
    <row r="111" spans="28:149" ht="20.100000000000001" customHeight="1" x14ac:dyDescent="0.25">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row>
    <row r="112" spans="28:149" ht="20.100000000000001" customHeight="1" x14ac:dyDescent="0.25">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row>
    <row r="113" spans="28:149" ht="20.100000000000001" customHeight="1" x14ac:dyDescent="0.25">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row>
    <row r="114" spans="28:149" ht="20.100000000000001" customHeight="1" x14ac:dyDescent="0.25">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row>
    <row r="115" spans="28:149" ht="20.100000000000001" customHeight="1" x14ac:dyDescent="0.25">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row>
    <row r="116" spans="28:149" ht="20.100000000000001" customHeight="1" x14ac:dyDescent="0.25">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row>
    <row r="117" spans="28:149" x14ac:dyDescent="0.25">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row>
    <row r="118" spans="28:149" x14ac:dyDescent="0.25">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row>
    <row r="119" spans="28:149" x14ac:dyDescent="0.25">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row>
    <row r="120" spans="28:149" x14ac:dyDescent="0.25">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row>
    <row r="121" spans="28:149" x14ac:dyDescent="0.25">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row>
    <row r="122" spans="28:149" x14ac:dyDescent="0.25">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row>
    <row r="123" spans="28:149" x14ac:dyDescent="0.25">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row>
    <row r="124" spans="28:149" x14ac:dyDescent="0.25">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row>
    <row r="125" spans="28:149" x14ac:dyDescent="0.25">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row>
    <row r="126" spans="28:149" x14ac:dyDescent="0.25">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row>
    <row r="127" spans="28:149" x14ac:dyDescent="0.25">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row>
    <row r="128" spans="28:149" x14ac:dyDescent="0.25">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row>
    <row r="129" spans="28:149" x14ac:dyDescent="0.25">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row>
    <row r="130" spans="28:149" x14ac:dyDescent="0.25">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row>
    <row r="131" spans="28:149" x14ac:dyDescent="0.25">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row>
    <row r="132" spans="28:149" x14ac:dyDescent="0.25">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row>
    <row r="133" spans="28:149" x14ac:dyDescent="0.25">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dimension ref="A1:S196"/>
  <sheetViews>
    <sheetView showGridLines="0" topLeftCell="A105" zoomScale="85" zoomScaleNormal="85" workbookViewId="0">
      <selection activeCell="J121" sqref="J121"/>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50" t="e" vm="1">
        <v>#VALUE!</v>
      </c>
      <c r="C1" s="108" t="s">
        <v>311</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30" customHeight="1" x14ac:dyDescent="0.25">
      <c r="C3" s="39"/>
      <c r="D3" s="39"/>
      <c r="E3" s="39"/>
      <c r="F3" s="39"/>
      <c r="G3" s="39"/>
      <c r="H3" s="39"/>
      <c r="I3" s="39"/>
      <c r="J3" s="39"/>
      <c r="K3" s="39"/>
      <c r="L3" s="39"/>
      <c r="M3" s="39"/>
      <c r="N3" s="39"/>
      <c r="O3" s="39"/>
      <c r="P3" s="39"/>
      <c r="Q3" s="39"/>
      <c r="R3" s="39"/>
      <c r="S3" s="39"/>
    </row>
    <row r="4" spans="1:19" ht="30" customHeight="1" x14ac:dyDescent="0.25">
      <c r="C4" s="7"/>
      <c r="D4" s="7"/>
      <c r="E4" s="7"/>
      <c r="F4" s="7"/>
      <c r="G4" s="7"/>
      <c r="H4" s="7"/>
      <c r="I4" s="7"/>
      <c r="J4" s="7"/>
    </row>
    <row r="5" spans="1:19" ht="30" customHeight="1" x14ac:dyDescent="0.25">
      <c r="C5" s="8"/>
      <c r="D5" s="9" t="s">
        <v>395</v>
      </c>
      <c r="E5" s="7"/>
      <c r="F5" s="7"/>
      <c r="G5" s="7"/>
      <c r="H5" s="7"/>
      <c r="I5" s="7"/>
      <c r="J5" s="7"/>
    </row>
    <row r="6" spans="1:19" ht="30" customHeight="1" x14ac:dyDescent="0.25">
      <c r="C6" s="8"/>
      <c r="D6" s="154" t="s">
        <v>399</v>
      </c>
      <c r="E6" s="159"/>
      <c r="F6" s="159"/>
      <c r="G6" s="159"/>
      <c r="H6" s="159"/>
      <c r="I6" s="159"/>
      <c r="J6" s="159"/>
    </row>
    <row r="7" spans="1:19" ht="30" customHeight="1" x14ac:dyDescent="0.25">
      <c r="C7" s="8"/>
      <c r="D7" s="92" t="s">
        <v>328</v>
      </c>
      <c r="E7" s="93"/>
      <c r="F7" s="93"/>
      <c r="G7" s="94"/>
      <c r="H7" s="7"/>
      <c r="I7" s="7"/>
      <c r="J7" s="7"/>
    </row>
    <row r="8" spans="1:19" ht="30" customHeight="1" x14ac:dyDescent="0.25">
      <c r="C8" s="8"/>
      <c r="D8" s="44" t="s">
        <v>329</v>
      </c>
      <c r="E8" s="45"/>
      <c r="F8" s="45"/>
      <c r="G8" s="46"/>
      <c r="H8" s="7"/>
      <c r="I8" s="7"/>
      <c r="J8" s="7"/>
    </row>
    <row r="9" spans="1:19" ht="30" customHeight="1" x14ac:dyDescent="0.25">
      <c r="C9" s="8"/>
      <c r="D9" s="159"/>
      <c r="E9" s="159"/>
      <c r="F9" s="159"/>
      <c r="G9" s="159"/>
      <c r="H9" s="159"/>
      <c r="I9" s="159"/>
      <c r="J9" s="159"/>
      <c r="K9" s="57"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7"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7"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30" customHeight="1" x14ac:dyDescent="0.25">
      <c r="D10" s="167" t="s">
        <v>173</v>
      </c>
      <c r="E10" s="167" t="s">
        <v>330</v>
      </c>
      <c r="F10" s="167" t="s">
        <v>331</v>
      </c>
      <c r="G10" s="167" t="s">
        <v>208</v>
      </c>
      <c r="H10" s="167" t="s">
        <v>332</v>
      </c>
      <c r="I10" s="167" t="s">
        <v>477</v>
      </c>
      <c r="J10" s="167" t="s">
        <v>333</v>
      </c>
      <c r="K10" s="176" t="s">
        <v>334</v>
      </c>
      <c r="L10" s="176" t="s">
        <v>473</v>
      </c>
      <c r="M10" s="176" t="s">
        <v>335</v>
      </c>
      <c r="N10" s="176" t="s">
        <v>336</v>
      </c>
      <c r="O10" s="176" t="s">
        <v>474</v>
      </c>
      <c r="P10" s="176" t="s">
        <v>337</v>
      </c>
      <c r="Q10" s="176" t="s">
        <v>338</v>
      </c>
      <c r="R10" s="176" t="s">
        <v>475</v>
      </c>
    </row>
    <row r="11" spans="1:19" ht="30" customHeight="1" x14ac:dyDescent="0.25">
      <c r="D11" s="152" t="s">
        <v>479</v>
      </c>
      <c r="E11" s="168">
        <v>10</v>
      </c>
      <c r="F11" s="48" t="s">
        <v>461</v>
      </c>
      <c r="G11" s="69">
        <v>100</v>
      </c>
      <c r="H11" s="50">
        <f>Table_Input_Pesticides[[#This Row],[Amount applied per ha]]*Table_Input_Pesticides[[#This Row],[Application area (ha)]]</f>
        <v>1000</v>
      </c>
      <c r="I11" s="48" t="s">
        <v>460</v>
      </c>
      <c r="J11" s="48" t="s">
        <v>459</v>
      </c>
      <c r="K11" s="69">
        <v>26</v>
      </c>
      <c r="L11" s="50">
        <f>Table_Input_Pesticides[[#This Row],[Total applied]]*Table_Input_Pesticides[[#This Row],[Active ingredient 1 amount]]*IF(Table_Input_Pesticides[[#This Row],[Constituent unit (select)]]="fraction of product", 1, 10^-3)</f>
        <v>26</v>
      </c>
      <c r="M11" s="48" t="s">
        <v>459</v>
      </c>
      <c r="N11" s="69">
        <v>420</v>
      </c>
      <c r="O11" s="50">
        <f>Table_Input_Pesticides[[#This Row],[Total applied]]*Table_Input_Pesticides[[#This Row],[Active ingredient 2 amount]]*IF(Table_Input_Pesticides[[#This Row],[Constituent unit (select)]]="fraction of product", 1, 10^-3)</f>
        <v>420</v>
      </c>
      <c r="P11" s="48"/>
      <c r="Q11" s="69"/>
      <c r="R11" s="50">
        <f>Table_Input_Pesticides[[#This Row],[Total applied]]*Table_Input_Pesticides[[#This Row],[Active ingredient 3 amount]]*IF(Table_Input_Pesticides[[#This Row],[Constituent unit (select)]]="fraction of product", 1, 10^-3)</f>
        <v>0</v>
      </c>
    </row>
    <row r="12" spans="1:19" ht="30" customHeight="1" x14ac:dyDescent="0.25">
      <c r="C12" s="8"/>
      <c r="D12" s="152" t="s">
        <v>478</v>
      </c>
      <c r="E12" s="168">
        <v>10</v>
      </c>
      <c r="F12" s="48" t="s">
        <v>339</v>
      </c>
      <c r="G12" s="69">
        <v>100</v>
      </c>
      <c r="H12" s="50">
        <f>Table_Input_Pesticides[[#This Row],[Amount applied per ha]]*Table_Input_Pesticides[[#This Row],[Application area (ha)]]</f>
        <v>1000</v>
      </c>
      <c r="I12" s="48" t="s">
        <v>460</v>
      </c>
      <c r="J12" s="48" t="s">
        <v>459</v>
      </c>
      <c r="K12" s="69">
        <v>550</v>
      </c>
      <c r="L12" s="50">
        <f>Table_Input_Pesticides[[#This Row],[Total applied]]*Table_Input_Pesticides[[#This Row],[Active ingredient 1 amount]]*IF(Table_Input_Pesticides[[#This Row],[Constituent unit (select)]]="fraction of product", 1, 10^-3)</f>
        <v>550</v>
      </c>
      <c r="M12" s="48"/>
      <c r="N12" s="69"/>
      <c r="O12" s="50">
        <f>Table_Input_Pesticides[[#This Row],[Total applied]]*Table_Input_Pesticides[[#This Row],[Active ingredient 2 amount]]*IF(Table_Input_Pesticides[[#This Row],[Constituent unit (select)]]="fraction of product", 1, 10^-3)</f>
        <v>0</v>
      </c>
      <c r="P12" s="48"/>
      <c r="Q12" s="69"/>
      <c r="R12" s="50">
        <f>Table_Input_Pesticides[[#This Row],[Total applied]]*Table_Input_Pesticides[[#This Row],[Active ingredient 3 amount]]*IF(Table_Input_Pesticides[[#This Row],[Constituent unit (select)]]="fraction of product", 1, 10^-3)</f>
        <v>0</v>
      </c>
    </row>
    <row r="13" spans="1:19" ht="30" customHeight="1" x14ac:dyDescent="0.25">
      <c r="C13" s="8"/>
      <c r="D13" s="152" t="s">
        <v>476</v>
      </c>
      <c r="E13" s="168">
        <v>10</v>
      </c>
      <c r="F13" s="48" t="s">
        <v>461</v>
      </c>
      <c r="G13" s="69">
        <v>100</v>
      </c>
      <c r="H13" s="50">
        <f>Table_Input_Pesticides[[#This Row],[Amount applied per ha]]*Table_Input_Pesticides[[#This Row],[Application area (ha)]]</f>
        <v>1000</v>
      </c>
      <c r="I13" s="48" t="s">
        <v>460</v>
      </c>
      <c r="J13" s="48" t="s">
        <v>459</v>
      </c>
      <c r="K13" s="69">
        <v>500</v>
      </c>
      <c r="L13" s="50">
        <f>Table_Input_Pesticides[[#This Row],[Total applied]]*Table_Input_Pesticides[[#This Row],[Active ingredient 1 amount]]*IF(Table_Input_Pesticides[[#This Row],[Constituent unit (select)]]="fraction of product", 1, 10^-3)</f>
        <v>500</v>
      </c>
      <c r="M13" s="48"/>
      <c r="N13" s="69"/>
      <c r="O13" s="50">
        <f>Table_Input_Pesticides[[#This Row],[Total applied]]*Table_Input_Pesticides[[#This Row],[Active ingredient 2 amount]]*IF(Table_Input_Pesticides[[#This Row],[Constituent unit (select)]]="fraction of product", 1, 10^-3)</f>
        <v>0</v>
      </c>
      <c r="P13" s="48"/>
      <c r="Q13" s="69"/>
      <c r="R13" s="50">
        <f>Table_Input_Pesticides[[#This Row],[Total applied]]*Table_Input_Pesticides[[#This Row],[Active ingredient 3 amount]]*IF(Table_Input_Pesticides[[#This Row],[Constituent unit (select)]]="fraction of product", 1, 10^-3)</f>
        <v>0</v>
      </c>
    </row>
    <row r="14" spans="1:19" ht="30" customHeight="1" x14ac:dyDescent="0.25">
      <c r="D14" s="152"/>
      <c r="E14" s="168"/>
      <c r="F14" s="48"/>
      <c r="G14" s="175"/>
      <c r="H14" s="50">
        <f>Table_Input_Pesticides[[#This Row],[Amount applied per ha]]*Table_Input_Pesticides[[#This Row],[Application area (ha)]]</f>
        <v>0</v>
      </c>
      <c r="I14" s="48"/>
      <c r="J14" s="48"/>
      <c r="K14" s="175"/>
      <c r="L14" s="50">
        <f>Table_Input_Pesticides[[#This Row],[Total applied]]*Table_Input_Pesticides[[#This Row],[Active ingredient 1 amount]]*IF(Table_Input_Pesticides[[#This Row],[Constituent unit (select)]]="fraction of product", 1, 10^-3)</f>
        <v>0</v>
      </c>
      <c r="M14" s="48"/>
      <c r="N14" s="175"/>
      <c r="O14" s="50">
        <f>Table_Input_Pesticides[[#This Row],[Total applied]]*Table_Input_Pesticides[[#This Row],[Active ingredient 2 amount]]*IF(Table_Input_Pesticides[[#This Row],[Constituent unit (select)]]="fraction of product", 1, 10^-3)</f>
        <v>0</v>
      </c>
      <c r="P14" s="48"/>
      <c r="Q14" s="175"/>
      <c r="R14" s="50">
        <f>Table_Input_Pesticides[[#This Row],[Total applied]]*Table_Input_Pesticides[[#This Row],[Active ingredient 3 amount]]*IF(Table_Input_Pesticides[[#This Row],[Constituent unit (select)]]="fraction of product", 1, 10^-3)</f>
        <v>0</v>
      </c>
    </row>
    <row r="15" spans="1:19" ht="30" customHeight="1" x14ac:dyDescent="0.25">
      <c r="D15" s="152"/>
      <c r="E15" s="168"/>
      <c r="F15" s="48"/>
      <c r="G15" s="175"/>
      <c r="H15" s="50">
        <f>Table_Input_Pesticides[[#This Row],[Amount applied per ha]]*Table_Input_Pesticides[[#This Row],[Application area (ha)]]</f>
        <v>0</v>
      </c>
      <c r="I15" s="48"/>
      <c r="J15" s="48"/>
      <c r="K15" s="175"/>
      <c r="L15" s="50">
        <f>Table_Input_Pesticides[[#This Row],[Total applied]]*Table_Input_Pesticides[[#This Row],[Active ingredient 1 amount]]*IF(Table_Input_Pesticides[[#This Row],[Constituent unit (select)]]="fraction of product", 1, 10^-3)</f>
        <v>0</v>
      </c>
      <c r="M15" s="48"/>
      <c r="N15" s="175"/>
      <c r="O15" s="50">
        <f>Table_Input_Pesticides[[#This Row],[Total applied]]*Table_Input_Pesticides[[#This Row],[Active ingredient 2 amount]]*IF(Table_Input_Pesticides[[#This Row],[Constituent unit (select)]]="fraction of product", 1, 10^-3)</f>
        <v>0</v>
      </c>
      <c r="P15" s="48"/>
      <c r="Q15" s="175"/>
      <c r="R15" s="50">
        <f>Table_Input_Pesticides[[#This Row],[Total applied]]*Table_Input_Pesticides[[#This Row],[Active ingredient 3 amount]]*IF(Table_Input_Pesticides[[#This Row],[Constituent unit (select)]]="fraction of product", 1, 10^-3)</f>
        <v>0</v>
      </c>
    </row>
    <row r="16" spans="1:19" ht="30" customHeight="1" x14ac:dyDescent="0.25">
      <c r="D16" s="152"/>
      <c r="E16" s="168"/>
      <c r="F16" s="48"/>
      <c r="G16" s="175"/>
      <c r="H16" s="50">
        <f>Table_Input_Pesticides[[#This Row],[Amount applied per ha]]*Table_Input_Pesticides[[#This Row],[Application area (ha)]]</f>
        <v>0</v>
      </c>
      <c r="I16" s="48"/>
      <c r="J16" s="48"/>
      <c r="K16" s="175"/>
      <c r="L16" s="50">
        <f>Table_Input_Pesticides[[#This Row],[Total applied]]*Table_Input_Pesticides[[#This Row],[Active ingredient 1 amount]]*IF(Table_Input_Pesticides[[#This Row],[Constituent unit (select)]]="fraction of product", 1, 10^-3)</f>
        <v>0</v>
      </c>
      <c r="M16" s="48"/>
      <c r="N16" s="175"/>
      <c r="O16" s="50">
        <f>Table_Input_Pesticides[[#This Row],[Total applied]]*Table_Input_Pesticides[[#This Row],[Active ingredient 2 amount]]*IF(Table_Input_Pesticides[[#This Row],[Constituent unit (select)]]="fraction of product", 1, 10^-3)</f>
        <v>0</v>
      </c>
      <c r="P16" s="48"/>
      <c r="Q16" s="175"/>
      <c r="R16" s="50">
        <f>Table_Input_Pesticides[[#This Row],[Total applied]]*Table_Input_Pesticides[[#This Row],[Active ingredient 3 amount]]*IF(Table_Input_Pesticides[[#This Row],[Constituent unit (select)]]="fraction of product", 1, 10^-3)</f>
        <v>0</v>
      </c>
    </row>
    <row r="17" spans="3:18" ht="30" customHeight="1" x14ac:dyDescent="0.25">
      <c r="C17" s="8"/>
      <c r="D17" s="152"/>
      <c r="E17" s="168"/>
      <c r="F17" s="48"/>
      <c r="G17" s="175"/>
      <c r="H17" s="50">
        <f>Table_Input_Pesticides[[#This Row],[Amount applied per ha]]*Table_Input_Pesticides[[#This Row],[Application area (ha)]]</f>
        <v>0</v>
      </c>
      <c r="I17" s="48"/>
      <c r="J17" s="48"/>
      <c r="K17" s="175"/>
      <c r="L17" s="50">
        <f>Table_Input_Pesticides[[#This Row],[Total applied]]*Table_Input_Pesticides[[#This Row],[Active ingredient 1 amount]]*IF(Table_Input_Pesticides[[#This Row],[Constituent unit (select)]]="fraction of product", 1, 10^-3)</f>
        <v>0</v>
      </c>
      <c r="M17" s="48"/>
      <c r="N17" s="175"/>
      <c r="O17" s="50">
        <f>Table_Input_Pesticides[[#This Row],[Total applied]]*Table_Input_Pesticides[[#This Row],[Active ingredient 2 amount]]*IF(Table_Input_Pesticides[[#This Row],[Constituent unit (select)]]="fraction of product", 1, 10^-3)</f>
        <v>0</v>
      </c>
      <c r="P17" s="48"/>
      <c r="Q17" s="175"/>
      <c r="R17" s="50">
        <f>Table_Input_Pesticides[[#This Row],[Total applied]]*Table_Input_Pesticides[[#This Row],[Active ingredient 3 amount]]*IF(Table_Input_Pesticides[[#This Row],[Constituent unit (select)]]="fraction of product", 1, 10^-3)</f>
        <v>0</v>
      </c>
    </row>
    <row r="18" spans="3:18" ht="30" customHeight="1" x14ac:dyDescent="0.25">
      <c r="C18" s="8"/>
      <c r="D18" s="152"/>
      <c r="E18" s="168"/>
      <c r="F18" s="48"/>
      <c r="G18" s="175"/>
      <c r="H18" s="50">
        <f>Table_Input_Pesticides[[#This Row],[Amount applied per ha]]*Table_Input_Pesticides[[#This Row],[Application area (ha)]]</f>
        <v>0</v>
      </c>
      <c r="I18" s="48"/>
      <c r="J18" s="48"/>
      <c r="K18" s="175"/>
      <c r="L18" s="50">
        <f>Table_Input_Pesticides[[#This Row],[Total applied]]*Table_Input_Pesticides[[#This Row],[Active ingredient 1 amount]]*IF(Table_Input_Pesticides[[#This Row],[Constituent unit (select)]]="fraction of product", 1, 10^-3)</f>
        <v>0</v>
      </c>
      <c r="M18" s="48"/>
      <c r="N18" s="175"/>
      <c r="O18" s="50">
        <f>Table_Input_Pesticides[[#This Row],[Total applied]]*Table_Input_Pesticides[[#This Row],[Active ingredient 2 amount]]*IF(Table_Input_Pesticides[[#This Row],[Constituent unit (select)]]="fraction of product", 1, 10^-3)</f>
        <v>0</v>
      </c>
      <c r="P18" s="48"/>
      <c r="Q18" s="175"/>
      <c r="R18" s="50">
        <f>Table_Input_Pesticides[[#This Row],[Total applied]]*Table_Input_Pesticides[[#This Row],[Active ingredient 3 amount]]*IF(Table_Input_Pesticides[[#This Row],[Constituent unit (select)]]="fraction of product", 1, 10^-3)</f>
        <v>0</v>
      </c>
    </row>
    <row r="19" spans="3:18" ht="30" customHeight="1" x14ac:dyDescent="0.25">
      <c r="D19" s="152"/>
      <c r="E19" s="168"/>
      <c r="F19" s="48"/>
      <c r="G19" s="175"/>
      <c r="H19" s="50">
        <f>Table_Input_Pesticides[[#This Row],[Amount applied per ha]]*Table_Input_Pesticides[[#This Row],[Application area (ha)]]</f>
        <v>0</v>
      </c>
      <c r="I19" s="48"/>
      <c r="J19" s="48"/>
      <c r="K19" s="175"/>
      <c r="L19" s="50">
        <f>Table_Input_Pesticides[[#This Row],[Total applied]]*Table_Input_Pesticides[[#This Row],[Active ingredient 1 amount]]*IF(Table_Input_Pesticides[[#This Row],[Constituent unit (select)]]="fraction of product", 1, 10^-3)</f>
        <v>0</v>
      </c>
      <c r="M19" s="48"/>
      <c r="N19" s="175"/>
      <c r="O19" s="50">
        <f>Table_Input_Pesticides[[#This Row],[Total applied]]*Table_Input_Pesticides[[#This Row],[Active ingredient 2 amount]]*IF(Table_Input_Pesticides[[#This Row],[Constituent unit (select)]]="fraction of product", 1, 10^-3)</f>
        <v>0</v>
      </c>
      <c r="P19" s="48"/>
      <c r="Q19" s="175"/>
      <c r="R19" s="50">
        <f>Table_Input_Pesticides[[#This Row],[Total applied]]*Table_Input_Pesticides[[#This Row],[Active ingredient 3 amount]]*IF(Table_Input_Pesticides[[#This Row],[Constituent unit (select)]]="fraction of product", 1, 10^-3)</f>
        <v>0</v>
      </c>
    </row>
    <row r="20" spans="3:18" ht="30" customHeight="1" x14ac:dyDescent="0.25">
      <c r="D20" s="152"/>
      <c r="E20" s="168"/>
      <c r="F20" s="48"/>
      <c r="G20" s="175"/>
      <c r="H20" s="50">
        <f>Table_Input_Pesticides[[#This Row],[Amount applied per ha]]*Table_Input_Pesticides[[#This Row],[Application area (ha)]]</f>
        <v>0</v>
      </c>
      <c r="I20" s="48"/>
      <c r="J20" s="48"/>
      <c r="K20" s="175"/>
      <c r="L20" s="50">
        <f>Table_Input_Pesticides[[#This Row],[Total applied]]*Table_Input_Pesticides[[#This Row],[Active ingredient 1 amount]]*IF(Table_Input_Pesticides[[#This Row],[Constituent unit (select)]]="fraction of product", 1, 10^-3)</f>
        <v>0</v>
      </c>
      <c r="M20" s="48"/>
      <c r="N20" s="175"/>
      <c r="O20" s="50">
        <f>Table_Input_Pesticides[[#This Row],[Total applied]]*Table_Input_Pesticides[[#This Row],[Active ingredient 2 amount]]*IF(Table_Input_Pesticides[[#This Row],[Constituent unit (select)]]="fraction of product", 1, 10^-3)</f>
        <v>0</v>
      </c>
      <c r="P20" s="48"/>
      <c r="Q20" s="175"/>
      <c r="R20" s="50">
        <f>Table_Input_Pesticides[[#This Row],[Total applied]]*Table_Input_Pesticides[[#This Row],[Active ingredient 3 amount]]*IF(Table_Input_Pesticides[[#This Row],[Constituent unit (select)]]="fraction of product", 1, 10^-3)</f>
        <v>0</v>
      </c>
    </row>
    <row r="21" spans="3:18" ht="30" customHeight="1" x14ac:dyDescent="0.25">
      <c r="D21" s="7"/>
      <c r="E21" s="7"/>
      <c r="F21" s="7"/>
      <c r="G21" s="7"/>
      <c r="H21" s="7"/>
      <c r="I21" s="7"/>
      <c r="J21" s="7"/>
    </row>
    <row r="22" spans="3:18" ht="30" customHeight="1" x14ac:dyDescent="0.25">
      <c r="D22" s="154" t="s">
        <v>314</v>
      </c>
      <c r="E22" s="8"/>
      <c r="F22" s="8"/>
    </row>
    <row r="23" spans="3:18" ht="30" customHeight="1" x14ac:dyDescent="0.25">
      <c r="D23" s="47" t="s">
        <v>173</v>
      </c>
      <c r="E23" s="47" t="s">
        <v>372</v>
      </c>
      <c r="F23" s="47" t="s">
        <v>375</v>
      </c>
    </row>
    <row r="24" spans="3:18" ht="30" customHeight="1" x14ac:dyDescent="0.25">
      <c r="D24" s="86" t="s">
        <v>418</v>
      </c>
      <c r="E24" s="48" t="s">
        <v>374</v>
      </c>
      <c r="F24" s="69">
        <v>100</v>
      </c>
    </row>
    <row r="25" spans="3:18" ht="30" customHeight="1" x14ac:dyDescent="0.25">
      <c r="C25" s="8"/>
      <c r="D25" s="86" t="s">
        <v>417</v>
      </c>
      <c r="E25" s="162" t="s">
        <v>373</v>
      </c>
      <c r="F25" s="163">
        <v>100</v>
      </c>
    </row>
    <row r="26" spans="3:18" ht="30" customHeight="1" x14ac:dyDescent="0.25">
      <c r="C26" s="8"/>
      <c r="D26" s="86" t="s">
        <v>315</v>
      </c>
      <c r="E26" s="162" t="s">
        <v>316</v>
      </c>
      <c r="F26" s="163">
        <v>100</v>
      </c>
    </row>
    <row r="27" spans="3:18" ht="30" customHeight="1" x14ac:dyDescent="0.25">
      <c r="C27" s="8"/>
      <c r="D27" s="86" t="s">
        <v>315</v>
      </c>
      <c r="E27" s="162" t="s">
        <v>316</v>
      </c>
      <c r="F27" s="163">
        <v>100</v>
      </c>
    </row>
    <row r="28" spans="3:18" ht="30" customHeight="1" x14ac:dyDescent="0.25">
      <c r="D28" s="86" t="s">
        <v>418</v>
      </c>
      <c r="E28" s="162" t="s">
        <v>374</v>
      </c>
      <c r="F28" s="163">
        <v>100</v>
      </c>
    </row>
    <row r="29" spans="3:18" ht="30" customHeight="1" x14ac:dyDescent="0.25">
      <c r="D29" s="86" t="s">
        <v>418</v>
      </c>
      <c r="E29" s="162" t="s">
        <v>374</v>
      </c>
      <c r="F29" s="163">
        <v>100</v>
      </c>
    </row>
    <row r="30" spans="3:18" ht="30" customHeight="1" x14ac:dyDescent="0.25">
      <c r="D30" s="174"/>
      <c r="E30" s="48"/>
      <c r="F30" s="175"/>
    </row>
    <row r="31" spans="3:18" ht="30" customHeight="1" x14ac:dyDescent="0.25">
      <c r="D31" s="174"/>
      <c r="E31" s="48"/>
      <c r="F31" s="175"/>
    </row>
    <row r="32" spans="3:18" ht="30" customHeight="1" x14ac:dyDescent="0.25">
      <c r="D32" s="174"/>
      <c r="E32" s="48"/>
      <c r="F32" s="175"/>
    </row>
    <row r="33" spans="3:6" ht="30" customHeight="1" x14ac:dyDescent="0.25">
      <c r="D33" s="174"/>
      <c r="E33" s="48"/>
      <c r="F33" s="175"/>
    </row>
    <row r="34" spans="3:6" ht="30" customHeight="1" x14ac:dyDescent="0.25"/>
    <row r="35" spans="3:6" ht="30" customHeight="1" x14ac:dyDescent="0.25">
      <c r="D35" s="154" t="s">
        <v>404</v>
      </c>
      <c r="E35" s="8"/>
      <c r="F35" s="8"/>
    </row>
    <row r="36" spans="3:6" ht="30" customHeight="1" x14ac:dyDescent="0.25">
      <c r="D36" s="47" t="s">
        <v>173</v>
      </c>
      <c r="E36" s="47" t="s">
        <v>372</v>
      </c>
      <c r="F36" s="47" t="s">
        <v>409</v>
      </c>
    </row>
    <row r="37" spans="3:6" ht="30" customHeight="1" x14ac:dyDescent="0.25">
      <c r="D37" s="86" t="s">
        <v>413</v>
      </c>
      <c r="E37" s="76" t="s">
        <v>405</v>
      </c>
      <c r="F37" s="69">
        <v>100</v>
      </c>
    </row>
    <row r="38" spans="3:6" ht="30" customHeight="1" x14ac:dyDescent="0.25">
      <c r="D38" s="86" t="s">
        <v>414</v>
      </c>
      <c r="E38" s="177" t="s">
        <v>406</v>
      </c>
      <c r="F38" s="163">
        <v>100</v>
      </c>
    </row>
    <row r="39" spans="3:6" ht="30" customHeight="1" x14ac:dyDescent="0.25">
      <c r="D39" s="86" t="s">
        <v>415</v>
      </c>
      <c r="E39" s="177" t="s">
        <v>407</v>
      </c>
      <c r="F39" s="163">
        <v>100</v>
      </c>
    </row>
    <row r="40" spans="3:6" ht="30" customHeight="1" x14ac:dyDescent="0.25">
      <c r="D40" s="86" t="s">
        <v>416</v>
      </c>
      <c r="E40" s="177" t="s">
        <v>408</v>
      </c>
      <c r="F40" s="163">
        <v>100</v>
      </c>
    </row>
    <row r="41" spans="3:6" ht="30" customHeight="1" x14ac:dyDescent="0.25">
      <c r="D41" s="86" t="s">
        <v>413</v>
      </c>
      <c r="E41" s="177" t="s">
        <v>405</v>
      </c>
      <c r="F41" s="163">
        <v>100</v>
      </c>
    </row>
    <row r="42" spans="3:6" ht="30" customHeight="1" x14ac:dyDescent="0.25">
      <c r="D42" s="86" t="s">
        <v>414</v>
      </c>
      <c r="E42" s="177" t="s">
        <v>406</v>
      </c>
      <c r="F42" s="163">
        <v>100</v>
      </c>
    </row>
    <row r="43" spans="3:6" ht="30" customHeight="1" x14ac:dyDescent="0.25">
      <c r="D43" s="174"/>
      <c r="E43" s="76"/>
      <c r="F43" s="180"/>
    </row>
    <row r="44" spans="3:6" ht="30" customHeight="1" x14ac:dyDescent="0.25">
      <c r="C44" s="8"/>
      <c r="D44" s="174"/>
      <c r="E44" s="76"/>
      <c r="F44" s="180"/>
    </row>
    <row r="45" spans="3:6" ht="30" customHeight="1" x14ac:dyDescent="0.25">
      <c r="C45" s="8"/>
      <c r="D45" s="174"/>
      <c r="E45" s="76"/>
      <c r="F45" s="180"/>
    </row>
    <row r="46" spans="3:6" ht="30" customHeight="1" x14ac:dyDescent="0.25">
      <c r="C46" s="8"/>
      <c r="D46" s="174"/>
      <c r="E46" s="76"/>
      <c r="F46" s="180"/>
    </row>
    <row r="47" spans="3:6" ht="30" customHeight="1" x14ac:dyDescent="0.25">
      <c r="C47" s="8"/>
    </row>
    <row r="48" spans="3:6" ht="30" customHeight="1" x14ac:dyDescent="0.25">
      <c r="C48" s="8"/>
    </row>
    <row r="49" spans="3:17" ht="30" customHeight="1" x14ac:dyDescent="0.25">
      <c r="C49" s="8"/>
      <c r="D49" s="9" t="s">
        <v>396</v>
      </c>
    </row>
    <row r="50" spans="3:17" ht="30" customHeight="1" x14ac:dyDescent="0.25">
      <c r="D50" s="154" t="s">
        <v>319</v>
      </c>
      <c r="E50" s="155"/>
      <c r="F50" s="70"/>
    </row>
    <row r="51" spans="3:17" ht="30" customHeight="1" x14ac:dyDescent="0.25">
      <c r="D51" s="8" t="str" cm="1">
        <f t="array" ref="D51:D53">Table_SourceData_Scope3_LickBlocks[Product]</f>
        <v>Lick block, dry season mix</v>
      </c>
      <c r="E51" s="69">
        <v>100</v>
      </c>
      <c r="F51" s="68" t="s">
        <v>379</v>
      </c>
    </row>
    <row r="52" spans="3:17" ht="30" customHeight="1" x14ac:dyDescent="0.25">
      <c r="D52" s="8" t="str">
        <v>Lick block, mineral</v>
      </c>
      <c r="E52" s="69">
        <v>100</v>
      </c>
      <c r="F52" s="68" t="s">
        <v>379</v>
      </c>
    </row>
    <row r="53" spans="3:17" ht="30" customHeight="1" x14ac:dyDescent="0.25">
      <c r="D53" s="8" t="str">
        <v>Lick block, weaner</v>
      </c>
      <c r="E53" s="69">
        <v>100</v>
      </c>
      <c r="F53" s="68" t="s">
        <v>379</v>
      </c>
    </row>
    <row r="54" spans="3:17" ht="30" customHeight="1" x14ac:dyDescent="0.25">
      <c r="D54" s="8"/>
      <c r="E54" s="8"/>
      <c r="F54" s="8"/>
    </row>
    <row r="55" spans="3:17" ht="30" customHeight="1" x14ac:dyDescent="0.25">
      <c r="D55" s="154" t="s">
        <v>435</v>
      </c>
      <c r="E55" s="7"/>
      <c r="F55" s="7"/>
    </row>
    <row r="56" spans="3:17" ht="30" customHeight="1" x14ac:dyDescent="0.25">
      <c r="D56" s="8" t="str" cm="1">
        <f t="array" ref="D56:D59">Table_SourceData_Scope3_MixedRations[Product]</f>
        <v>Feed for chickens</v>
      </c>
      <c r="E56" s="69">
        <v>100</v>
      </c>
      <c r="F56" s="68" t="s">
        <v>379</v>
      </c>
    </row>
    <row r="57" spans="3:17" ht="30" customHeight="1" x14ac:dyDescent="0.25">
      <c r="D57" s="8" t="str">
        <v>Feed for dairy calves</v>
      </c>
      <c r="E57" s="69">
        <v>100</v>
      </c>
      <c r="F57" s="68" t="s">
        <v>379</v>
      </c>
    </row>
    <row r="58" spans="3:17" ht="30" customHeight="1" x14ac:dyDescent="0.25">
      <c r="D58" s="8" t="str">
        <v>Feed for dairy cows</v>
      </c>
      <c r="E58" s="69">
        <v>100</v>
      </c>
      <c r="F58" s="68" t="s">
        <v>379</v>
      </c>
    </row>
    <row r="59" spans="3:17" ht="30" customHeight="1" x14ac:dyDescent="0.25">
      <c r="D59" s="8" t="str">
        <v>Feed for pigs</v>
      </c>
      <c r="E59" s="69">
        <v>100</v>
      </c>
      <c r="F59" s="68" t="s">
        <v>379</v>
      </c>
    </row>
    <row r="60" spans="3:17" ht="30" customHeight="1" x14ac:dyDescent="0.25">
      <c r="D60" s="7"/>
      <c r="E60" s="7"/>
      <c r="F60" s="7"/>
    </row>
    <row r="61" spans="3:17" ht="30" customHeight="1" x14ac:dyDescent="0.25">
      <c r="D61" s="154" t="s">
        <v>693</v>
      </c>
      <c r="E61" s="7"/>
      <c r="F61" s="7"/>
    </row>
    <row r="62" spans="3:17" ht="30" customHeight="1" x14ac:dyDescent="0.25">
      <c r="D62" s="49" t="s">
        <v>321</v>
      </c>
      <c r="E62" s="49" t="s">
        <v>322</v>
      </c>
      <c r="F62" s="49" t="s">
        <v>214</v>
      </c>
      <c r="G62" s="49" t="s">
        <v>426</v>
      </c>
      <c r="H62" s="49" t="s">
        <v>178</v>
      </c>
      <c r="I62" s="49" t="s">
        <v>323</v>
      </c>
      <c r="J62" s="49" t="s">
        <v>431</v>
      </c>
      <c r="K62" s="49" t="s">
        <v>180</v>
      </c>
      <c r="L62" s="49" t="s">
        <v>324</v>
      </c>
      <c r="M62" s="49" t="s">
        <v>432</v>
      </c>
      <c r="N62" s="49" t="s">
        <v>182</v>
      </c>
      <c r="O62" s="49" t="s">
        <v>325</v>
      </c>
      <c r="P62" s="49" t="s">
        <v>433</v>
      </c>
      <c r="Q62" s="49" t="s">
        <v>184</v>
      </c>
    </row>
    <row r="63" spans="3:17" ht="30" customHeight="1" x14ac:dyDescent="0.25">
      <c r="D63" s="15"/>
      <c r="E63" s="157">
        <v>1200</v>
      </c>
      <c r="F63" s="48" t="s">
        <v>425</v>
      </c>
      <c r="G63" s="48" t="s">
        <v>371</v>
      </c>
      <c r="H63" s="51">
        <v>0.35</v>
      </c>
      <c r="I63" s="48" t="s">
        <v>427</v>
      </c>
      <c r="J63" s="48" t="s">
        <v>428</v>
      </c>
      <c r="K63" s="51">
        <v>0.22</v>
      </c>
      <c r="L63" s="48" t="s">
        <v>326</v>
      </c>
      <c r="M63" s="48" t="s">
        <v>363</v>
      </c>
      <c r="N63" s="51">
        <v>0.12</v>
      </c>
      <c r="O63" s="48" t="s">
        <v>434</v>
      </c>
      <c r="P63" s="48" t="s">
        <v>365</v>
      </c>
      <c r="Q63" s="51">
        <v>0.05</v>
      </c>
    </row>
    <row r="64" spans="3:17" ht="30" customHeight="1" x14ac:dyDescent="0.25">
      <c r="D64" s="15"/>
      <c r="E64" s="157">
        <v>3456</v>
      </c>
      <c r="F64" s="48" t="s">
        <v>421</v>
      </c>
      <c r="G64" s="48" t="s">
        <v>424</v>
      </c>
      <c r="H64" s="51">
        <v>0.2</v>
      </c>
      <c r="I64" s="48" t="s">
        <v>429</v>
      </c>
      <c r="J64" s="48" t="s">
        <v>364</v>
      </c>
      <c r="K64" s="51">
        <v>0.2</v>
      </c>
      <c r="L64" s="48"/>
      <c r="M64" s="48"/>
      <c r="N64" s="51"/>
      <c r="O64" s="48"/>
      <c r="P64" s="48"/>
      <c r="Q64" s="51"/>
    </row>
    <row r="65" spans="4:17" ht="30" customHeight="1" x14ac:dyDescent="0.25">
      <c r="D65" s="15" t="s">
        <v>327</v>
      </c>
      <c r="E65" s="157">
        <v>300</v>
      </c>
      <c r="F65" s="48" t="s">
        <v>423</v>
      </c>
      <c r="G65" s="48" t="s">
        <v>365</v>
      </c>
      <c r="H65" s="51">
        <v>0.8</v>
      </c>
      <c r="I65" s="48" t="s">
        <v>422</v>
      </c>
      <c r="J65" s="48" t="s">
        <v>430</v>
      </c>
      <c r="K65" s="51">
        <v>0.2</v>
      </c>
      <c r="L65" s="48"/>
      <c r="M65" s="48"/>
      <c r="N65" s="51"/>
      <c r="O65" s="48"/>
      <c r="P65" s="48"/>
      <c r="Q65" s="51"/>
    </row>
    <row r="66" spans="4:17" ht="30" customHeight="1" x14ac:dyDescent="0.25">
      <c r="D66" s="15"/>
      <c r="E66" s="157">
        <v>500</v>
      </c>
      <c r="F66" s="48" t="s">
        <v>436</v>
      </c>
      <c r="G66" s="48" t="s">
        <v>364</v>
      </c>
      <c r="H66" s="51">
        <v>1</v>
      </c>
      <c r="I66" s="48"/>
      <c r="J66" s="48"/>
      <c r="K66" s="51"/>
      <c r="L66" s="48"/>
      <c r="M66" s="48"/>
      <c r="N66" s="51"/>
      <c r="O66" s="48"/>
      <c r="P66" s="48"/>
      <c r="Q66" s="51"/>
    </row>
    <row r="67" spans="4:17" ht="30" customHeight="1" x14ac:dyDescent="0.25">
      <c r="D67" s="15"/>
      <c r="E67" s="157"/>
      <c r="F67" s="48"/>
      <c r="G67" s="48"/>
      <c r="H67" s="51"/>
      <c r="I67" s="48"/>
      <c r="J67" s="48"/>
      <c r="K67" s="51"/>
      <c r="L67" s="48"/>
      <c r="M67" s="48"/>
      <c r="N67" s="51"/>
      <c r="O67" s="48"/>
      <c r="P67" s="48"/>
      <c r="Q67" s="51"/>
    </row>
    <row r="68" spans="4:17" ht="30" customHeight="1" x14ac:dyDescent="0.25">
      <c r="D68" s="15"/>
      <c r="E68" s="157"/>
      <c r="F68" s="48"/>
      <c r="G68" s="48"/>
      <c r="H68" s="51"/>
      <c r="I68" s="48"/>
      <c r="J68" s="48"/>
      <c r="K68" s="51"/>
      <c r="L68" s="48"/>
      <c r="M68" s="48"/>
      <c r="N68" s="51"/>
      <c r="O68" s="48"/>
      <c r="P68" s="48"/>
      <c r="Q68" s="51"/>
    </row>
    <row r="69" spans="4:17" ht="30" customHeight="1" x14ac:dyDescent="0.25">
      <c r="D69" s="15"/>
      <c r="E69" s="157"/>
      <c r="F69" s="48"/>
      <c r="G69" s="48"/>
      <c r="H69" s="51"/>
      <c r="I69" s="48"/>
      <c r="J69" s="48"/>
      <c r="K69" s="51"/>
      <c r="L69" s="48"/>
      <c r="M69" s="48"/>
      <c r="N69" s="51"/>
      <c r="O69" s="48"/>
      <c r="P69" s="48"/>
      <c r="Q69" s="51"/>
    </row>
    <row r="70" spans="4:17" ht="30" customHeight="1" x14ac:dyDescent="0.25">
      <c r="D70" s="15"/>
      <c r="E70" s="157"/>
      <c r="F70" s="48"/>
      <c r="G70" s="48"/>
      <c r="H70" s="51"/>
      <c r="I70" s="48"/>
      <c r="J70" s="48"/>
      <c r="K70" s="51"/>
      <c r="L70" s="48"/>
      <c r="M70" s="48"/>
      <c r="N70" s="51"/>
      <c r="O70" s="48"/>
      <c r="P70" s="48"/>
      <c r="Q70" s="51"/>
    </row>
    <row r="71" spans="4:17" ht="30" customHeight="1" x14ac:dyDescent="0.25">
      <c r="D71" s="15"/>
      <c r="E71" s="157"/>
      <c r="F71" s="48"/>
      <c r="G71" s="48"/>
      <c r="H71" s="51"/>
      <c r="I71" s="48"/>
      <c r="J71" s="48"/>
      <c r="K71" s="51"/>
      <c r="L71" s="48"/>
      <c r="M71" s="48"/>
      <c r="N71" s="51"/>
      <c r="O71" s="48"/>
      <c r="P71" s="48"/>
      <c r="Q71" s="51"/>
    </row>
    <row r="72" spans="4:17" ht="30" customHeight="1" x14ac:dyDescent="0.25">
      <c r="D72" s="15"/>
      <c r="E72" s="157"/>
      <c r="F72" s="48"/>
      <c r="G72" s="48"/>
      <c r="H72" s="51"/>
      <c r="I72" s="48"/>
      <c r="J72" s="48"/>
      <c r="K72" s="51"/>
      <c r="L72" s="48"/>
      <c r="M72" s="48"/>
      <c r="N72" s="51"/>
      <c r="O72" s="48"/>
      <c r="P72" s="48"/>
      <c r="Q72" s="51"/>
    </row>
    <row r="73" spans="4:17" ht="30" customHeight="1" x14ac:dyDescent="0.25"/>
    <row r="74" spans="4:17" ht="30" customHeight="1" x14ac:dyDescent="0.25">
      <c r="K74" s="14"/>
    </row>
    <row r="75" spans="4:17" ht="30" customHeight="1" x14ac:dyDescent="0.25">
      <c r="D75" s="9" t="s">
        <v>480</v>
      </c>
    </row>
    <row r="76" spans="4:17" ht="30" customHeight="1" x14ac:dyDescent="0.25">
      <c r="D76" s="154" t="s">
        <v>353</v>
      </c>
    </row>
    <row r="77" spans="4:17" ht="30" customHeight="1" x14ac:dyDescent="0.25">
      <c r="D77" s="10" t="s">
        <v>388</v>
      </c>
      <c r="E77" s="10" t="s">
        <v>484</v>
      </c>
      <c r="F77" s="10" t="s">
        <v>351</v>
      </c>
      <c r="G77" s="10" t="s">
        <v>481</v>
      </c>
      <c r="H77" s="10" t="s">
        <v>354</v>
      </c>
      <c r="I77" s="10" t="s">
        <v>352</v>
      </c>
      <c r="J77" s="176" t="s">
        <v>482</v>
      </c>
      <c r="K77" s="176" t="s">
        <v>483</v>
      </c>
    </row>
    <row r="78" spans="4:17" ht="30" customHeight="1" x14ac:dyDescent="0.25">
      <c r="D78" s="86" t="s">
        <v>572</v>
      </c>
      <c r="E78" s="171">
        <v>45547</v>
      </c>
      <c r="F78" s="48" t="s">
        <v>542</v>
      </c>
      <c r="G78" s="76" t="s">
        <v>362</v>
      </c>
      <c r="H78" s="48" t="s">
        <v>490</v>
      </c>
      <c r="I78" s="69">
        <v>100</v>
      </c>
      <c r="J78" s="50" cm="1">
        <f t="array" ref="J7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8" s="69">
        <v>205</v>
      </c>
    </row>
    <row r="79" spans="4:17" ht="30" customHeight="1" x14ac:dyDescent="0.25">
      <c r="D79" s="86"/>
      <c r="E79" s="171">
        <v>45292</v>
      </c>
      <c r="F79" s="162" t="s">
        <v>543</v>
      </c>
      <c r="G79" s="76" t="s">
        <v>361</v>
      </c>
      <c r="H79" s="48" t="s">
        <v>489</v>
      </c>
      <c r="I79" s="69">
        <v>100</v>
      </c>
      <c r="J79" s="50" cm="1">
        <f t="array" ref="J7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79" s="69">
        <v>465</v>
      </c>
    </row>
    <row r="80" spans="4:17" ht="30" customHeight="1" x14ac:dyDescent="0.25">
      <c r="D80" s="174"/>
      <c r="E80" s="174"/>
      <c r="F80" s="162"/>
      <c r="G80" s="76"/>
      <c r="H80" s="183"/>
      <c r="I80" s="175"/>
      <c r="J80" s="50" cm="1">
        <f t="array" ref="J8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0" s="175"/>
    </row>
    <row r="81" spans="4:11" ht="30" customHeight="1" x14ac:dyDescent="0.25">
      <c r="D81" s="174"/>
      <c r="E81" s="174"/>
      <c r="F81" s="162"/>
      <c r="G81" s="76"/>
      <c r="H81" s="183"/>
      <c r="I81" s="175"/>
      <c r="J81" s="50" cm="1">
        <f t="array" ref="J8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1" s="175"/>
    </row>
    <row r="82" spans="4:11" ht="30" customHeight="1" x14ac:dyDescent="0.25">
      <c r="D82" s="174"/>
      <c r="E82" s="174"/>
      <c r="F82" s="162"/>
      <c r="G82" s="76"/>
      <c r="H82" s="183"/>
      <c r="I82" s="175"/>
      <c r="J82" s="50" cm="1">
        <f t="array" ref="J8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2" s="175"/>
    </row>
    <row r="83" spans="4:11" ht="30" customHeight="1" x14ac:dyDescent="0.25">
      <c r="D83" s="174"/>
      <c r="E83" s="174"/>
      <c r="F83" s="162"/>
      <c r="G83" s="76"/>
      <c r="H83" s="183"/>
      <c r="I83" s="175"/>
      <c r="J83" s="50" cm="1">
        <f t="array" ref="J8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3" s="175"/>
    </row>
    <row r="84" spans="4:11" ht="30" customHeight="1" x14ac:dyDescent="0.25">
      <c r="D84" s="174"/>
      <c r="E84" s="174"/>
      <c r="F84" s="162"/>
      <c r="G84" s="76"/>
      <c r="H84" s="183"/>
      <c r="I84" s="175"/>
      <c r="J84" s="50" cm="1">
        <f t="array" ref="J8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4" s="175"/>
    </row>
    <row r="85" spans="4:11" ht="30" customHeight="1" x14ac:dyDescent="0.25">
      <c r="D85" s="174"/>
      <c r="E85" s="174"/>
      <c r="F85" s="162"/>
      <c r="G85" s="76"/>
      <c r="H85" s="183"/>
      <c r="I85" s="175"/>
      <c r="J85" s="50" cm="1">
        <f t="array" ref="J8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5" s="175"/>
    </row>
    <row r="86" spans="4:11" ht="30" customHeight="1" x14ac:dyDescent="0.25">
      <c r="D86" s="174"/>
      <c r="E86" s="174"/>
      <c r="F86" s="162"/>
      <c r="G86" s="76"/>
      <c r="H86" s="183"/>
      <c r="I86" s="175"/>
      <c r="J86" s="50" cm="1">
        <f t="array" ref="J8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6" s="175"/>
    </row>
    <row r="87" spans="4:11" ht="30" customHeight="1" x14ac:dyDescent="0.25">
      <c r="D87" s="174"/>
      <c r="E87" s="174"/>
      <c r="F87" s="162"/>
      <c r="G87" s="76"/>
      <c r="H87" s="183"/>
      <c r="I87" s="175"/>
      <c r="J87" s="50" cm="1">
        <f t="array" ref="J8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7" s="175"/>
    </row>
    <row r="88" spans="4:11" ht="30" customHeight="1" x14ac:dyDescent="0.25"/>
    <row r="89" spans="4:11" ht="30" customHeight="1" x14ac:dyDescent="0.25">
      <c r="D89" s="154" t="s">
        <v>369</v>
      </c>
    </row>
    <row r="90" spans="4:11" ht="30" customHeight="1" x14ac:dyDescent="0.25">
      <c r="D90" s="176" t="s">
        <v>388</v>
      </c>
      <c r="E90" s="176" t="s">
        <v>351</v>
      </c>
      <c r="F90" s="176" t="s">
        <v>574</v>
      </c>
      <c r="G90" s="176" t="s">
        <v>352</v>
      </c>
      <c r="H90" s="176" t="s">
        <v>482</v>
      </c>
      <c r="I90" s="176" t="s">
        <v>483</v>
      </c>
    </row>
    <row r="91" spans="4:11" ht="30" customHeight="1" x14ac:dyDescent="0.25">
      <c r="D91" s="86" t="s">
        <v>573</v>
      </c>
      <c r="E91" s="48" t="s">
        <v>579</v>
      </c>
      <c r="F91" s="48" t="s">
        <v>569</v>
      </c>
      <c r="G91" s="69">
        <v>100</v>
      </c>
      <c r="H91" s="50" cm="1">
        <f t="array" ref="H9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350</v>
      </c>
      <c r="I91" s="69">
        <v>350</v>
      </c>
    </row>
    <row r="92" spans="4:11" ht="30" customHeight="1" x14ac:dyDescent="0.25">
      <c r="D92" s="174"/>
      <c r="E92" s="162" t="s">
        <v>570</v>
      </c>
      <c r="F92" s="48" t="s">
        <v>599</v>
      </c>
      <c r="G92" s="175">
        <v>100</v>
      </c>
      <c r="H92" s="50" cm="1">
        <f t="array" ref="H9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650</v>
      </c>
      <c r="I92" s="175">
        <v>625</v>
      </c>
    </row>
    <row r="93" spans="4:11" ht="30" customHeight="1" x14ac:dyDescent="0.25">
      <c r="D93" s="174"/>
      <c r="E93" s="162" t="s">
        <v>570</v>
      </c>
      <c r="F93" s="48" t="s">
        <v>695</v>
      </c>
      <c r="G93" s="175"/>
      <c r="H93" s="50" cm="1">
        <f t="array" ref="H9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600</v>
      </c>
      <c r="I93" s="175"/>
    </row>
    <row r="94" spans="4:11" ht="30" customHeight="1" x14ac:dyDescent="0.25">
      <c r="D94" s="174"/>
      <c r="E94" s="162"/>
      <c r="F94" s="48"/>
      <c r="G94" s="175"/>
      <c r="H94" s="50" cm="1">
        <f t="array" ref="H9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4" s="175"/>
    </row>
    <row r="95" spans="4:11" ht="30" customHeight="1" x14ac:dyDescent="0.25">
      <c r="D95" s="174"/>
      <c r="E95" s="162"/>
      <c r="F95" s="48"/>
      <c r="G95" s="175"/>
      <c r="H95" s="50" cm="1">
        <f t="array" ref="H9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5" s="175"/>
    </row>
    <row r="96" spans="4:11" ht="30" customHeight="1" x14ac:dyDescent="0.25">
      <c r="D96" s="174"/>
      <c r="E96" s="162"/>
      <c r="F96" s="48"/>
      <c r="G96" s="175"/>
      <c r="H96" s="50" cm="1">
        <f t="array" ref="H9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6" s="175"/>
    </row>
    <row r="97" spans="4:9" ht="30" customHeight="1" x14ac:dyDescent="0.25">
      <c r="D97" s="174"/>
      <c r="E97" s="162"/>
      <c r="F97" s="48"/>
      <c r="G97" s="175"/>
      <c r="H97" s="50" cm="1">
        <f t="array" ref="H9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7" s="175"/>
    </row>
    <row r="98" spans="4:9" ht="30" customHeight="1" x14ac:dyDescent="0.25">
      <c r="D98" s="174"/>
      <c r="E98" s="162"/>
      <c r="F98" s="48"/>
      <c r="G98" s="175"/>
      <c r="H98" s="50" cm="1">
        <f t="array" ref="H9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8" s="175"/>
    </row>
    <row r="99" spans="4:9" ht="30" customHeight="1" x14ac:dyDescent="0.25">
      <c r="D99" s="174"/>
      <c r="E99" s="162"/>
      <c r="F99" s="48"/>
      <c r="G99" s="175"/>
      <c r="H99" s="50" cm="1">
        <f t="array" ref="H9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9" s="175"/>
    </row>
    <row r="100" spans="4:9" ht="30" customHeight="1" x14ac:dyDescent="0.25">
      <c r="D100" s="174"/>
      <c r="E100" s="162"/>
      <c r="F100" s="48"/>
      <c r="G100" s="175"/>
      <c r="H100" s="50" cm="1">
        <f t="array" ref="H10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0" s="175"/>
    </row>
    <row r="101" spans="4:9" ht="30" customHeight="1" x14ac:dyDescent="0.25"/>
    <row r="102" spans="4:9" ht="30" customHeight="1" x14ac:dyDescent="0.25">
      <c r="D102" s="154" t="s">
        <v>598</v>
      </c>
    </row>
    <row r="103" spans="4:9" ht="30" customHeight="1" x14ac:dyDescent="0.25">
      <c r="D103" s="176" t="s">
        <v>388</v>
      </c>
      <c r="E103" s="176" t="s">
        <v>351</v>
      </c>
      <c r="F103" s="176" t="s">
        <v>352</v>
      </c>
      <c r="G103" s="176" t="s">
        <v>482</v>
      </c>
      <c r="H103" s="176" t="s">
        <v>483</v>
      </c>
    </row>
    <row r="104" spans="4:9" ht="30" customHeight="1" x14ac:dyDescent="0.25">
      <c r="D104" s="86" t="s">
        <v>621</v>
      </c>
      <c r="E104" s="48" t="s">
        <v>622</v>
      </c>
      <c r="F104" s="69">
        <v>100</v>
      </c>
      <c r="G104" s="50" cm="1">
        <f t="array" ref="G104">Common_InputFunctions.Utility_LookupValueInTableNumber(Table_Input_LivestockPurchases_Pigs[[#This Row],[Class (select)]], Table_SourceData_Swine_Liveweight[Livestock type j],Table_SourceData_Swine_Liveweight[Average liveweight (kg)])</f>
        <v>188</v>
      </c>
      <c r="H104" s="69">
        <v>180</v>
      </c>
    </row>
    <row r="105" spans="4:9" ht="30" customHeight="1" x14ac:dyDescent="0.25">
      <c r="D105" s="174" t="s">
        <v>624</v>
      </c>
      <c r="E105" s="162" t="s">
        <v>623</v>
      </c>
      <c r="F105" s="175">
        <v>100</v>
      </c>
      <c r="G105" s="50" cm="1">
        <f t="array" ref="G105">Common_InputFunctions.Utility_LookupValueInTableNumber(Table_Input_LivestockPurchases_Pigs[[#This Row],[Class (select)]], Table_SourceData_Swine_Liveweight[Livestock type j],Table_SourceData_Swine_Liveweight[Average liveweight (kg)])</f>
        <v>39</v>
      </c>
      <c r="H105" s="175">
        <v>38</v>
      </c>
    </row>
    <row r="106" spans="4:9" ht="30" customHeight="1" x14ac:dyDescent="0.25">
      <c r="D106" s="174"/>
      <c r="E106" s="162"/>
      <c r="F106" s="175"/>
      <c r="G106" s="50" cm="1">
        <f t="array" ref="G106">Common_InputFunctions.Utility_LookupValueInTableNumber(Table_Input_LivestockPurchases_Pigs[[#This Row],[Class (select)]], Table_SourceData_Swine_Liveweight[Livestock type j],Table_SourceData_Swine_Liveweight[Average liveweight (kg)])</f>
        <v>0</v>
      </c>
      <c r="H106" s="175"/>
    </row>
    <row r="107" spans="4:9" ht="30" customHeight="1" x14ac:dyDescent="0.25">
      <c r="D107" s="174"/>
      <c r="E107" s="162"/>
      <c r="F107" s="175"/>
      <c r="G107" s="50" cm="1">
        <f t="array" ref="G107">Common_InputFunctions.Utility_LookupValueInTableNumber(Table_Input_LivestockPurchases_Pigs[[#This Row],[Class (select)]], Table_SourceData_Swine_Liveweight[Livestock type j],Table_SourceData_Swine_Liveweight[Average liveweight (kg)])</f>
        <v>0</v>
      </c>
      <c r="H107" s="175"/>
    </row>
    <row r="108" spans="4:9" ht="30" customHeight="1" x14ac:dyDescent="0.25">
      <c r="D108" s="174"/>
      <c r="E108" s="162"/>
      <c r="F108" s="175"/>
      <c r="G108" s="50" cm="1">
        <f t="array" ref="G108">Common_InputFunctions.Utility_LookupValueInTableNumber(Table_Input_LivestockPurchases_Pigs[[#This Row],[Class (select)]], Table_SourceData_Swine_Liveweight[Livestock type j],Table_SourceData_Swine_Liveweight[Average liveweight (kg)])</f>
        <v>0</v>
      </c>
      <c r="H108" s="175"/>
    </row>
    <row r="109" spans="4:9" ht="30" customHeight="1" x14ac:dyDescent="0.25">
      <c r="D109" s="174"/>
      <c r="E109" s="162"/>
      <c r="F109" s="175"/>
      <c r="G109" s="50" cm="1">
        <f t="array" ref="G109">Common_InputFunctions.Utility_LookupValueInTableNumber(Table_Input_LivestockPurchases_Pigs[[#This Row],[Class (select)]], Table_SourceData_Swine_Liveweight[Livestock type j],Table_SourceData_Swine_Liveweight[Average liveweight (kg)])</f>
        <v>0</v>
      </c>
      <c r="H109" s="175"/>
    </row>
    <row r="110" spans="4:9" ht="30" customHeight="1" x14ac:dyDescent="0.25">
      <c r="D110" s="174"/>
      <c r="E110" s="162"/>
      <c r="F110" s="175"/>
      <c r="G110" s="50" cm="1">
        <f t="array" ref="G110">Common_InputFunctions.Utility_LookupValueInTableNumber(Table_Input_LivestockPurchases_Pigs[[#This Row],[Class (select)]], Table_SourceData_Swine_Liveweight[Livestock type j],Table_SourceData_Swine_Liveweight[Average liveweight (kg)])</f>
        <v>0</v>
      </c>
      <c r="H110" s="175"/>
    </row>
    <row r="111" spans="4:9" ht="30" customHeight="1" x14ac:dyDescent="0.25">
      <c r="D111" s="174"/>
      <c r="E111" s="162"/>
      <c r="F111" s="175"/>
      <c r="G111" s="50" cm="1">
        <f t="array" ref="G111">Common_InputFunctions.Utility_LookupValueInTableNumber(Table_Input_LivestockPurchases_Pigs[[#This Row],[Class (select)]], Table_SourceData_Swine_Liveweight[Livestock type j],Table_SourceData_Swine_Liveweight[Average liveweight (kg)])</f>
        <v>0</v>
      </c>
      <c r="H111" s="175"/>
    </row>
    <row r="112" spans="4:9" ht="30" customHeight="1" x14ac:dyDescent="0.25">
      <c r="D112" s="174"/>
      <c r="E112" s="162"/>
      <c r="F112" s="175"/>
      <c r="G112" s="50" cm="1">
        <f t="array" ref="G112">Common_InputFunctions.Utility_LookupValueInTableNumber(Table_Input_LivestockPurchases_Pigs[[#This Row],[Class (select)]], Table_SourceData_Swine_Liveweight[Livestock type j],Table_SourceData_Swine_Liveweight[Average liveweight (kg)])</f>
        <v>0</v>
      </c>
      <c r="H112" s="175"/>
    </row>
    <row r="113" spans="4:16" ht="30" customHeight="1" x14ac:dyDescent="0.25">
      <c r="D113" s="174"/>
      <c r="E113" s="162"/>
      <c r="F113" s="175"/>
      <c r="G113" s="50" cm="1">
        <f t="array" ref="G113">Common_InputFunctions.Utility_LookupValueInTableNumber(Table_Input_LivestockPurchases_Pigs[[#This Row],[Class (select)]], Table_SourceData_Swine_Liveweight[Livestock type j],Table_SourceData_Swine_Liveweight[Average liveweight (kg)])</f>
        <v>0</v>
      </c>
      <c r="H113" s="175"/>
      <c r="L113" s="7"/>
      <c r="M113" s="7"/>
      <c r="N113" s="7"/>
      <c r="O113" s="7"/>
      <c r="P113" s="7"/>
    </row>
    <row r="114" spans="4:16" ht="30" customHeight="1" x14ac:dyDescent="0.25">
      <c r="L114" s="7"/>
      <c r="M114" s="7"/>
      <c r="N114" s="7"/>
      <c r="O114" s="7"/>
      <c r="P114" s="7"/>
    </row>
    <row r="115" spans="4:16" ht="30" customHeight="1" x14ac:dyDescent="0.25">
      <c r="D115" s="154" t="s">
        <v>628</v>
      </c>
      <c r="L115" s="7"/>
      <c r="M115" s="7"/>
      <c r="N115" s="7"/>
      <c r="O115" s="7"/>
      <c r="P115" s="7"/>
    </row>
    <row r="116" spans="4:16" ht="30" customHeight="1" x14ac:dyDescent="0.25">
      <c r="D116" s="176" t="s">
        <v>388</v>
      </c>
      <c r="E116" s="176" t="s">
        <v>351</v>
      </c>
      <c r="F116" s="176" t="s">
        <v>352</v>
      </c>
      <c r="G116" s="176" t="s">
        <v>482</v>
      </c>
      <c r="H116" s="176" t="s">
        <v>483</v>
      </c>
      <c r="N116" s="7"/>
      <c r="O116" s="7"/>
      <c r="P116" s="7"/>
    </row>
    <row r="117" spans="4:16" ht="30" customHeight="1" x14ac:dyDescent="0.25">
      <c r="D117" s="86" t="s">
        <v>629</v>
      </c>
      <c r="E117" s="48" t="s">
        <v>657</v>
      </c>
      <c r="F117" s="69">
        <v>100</v>
      </c>
      <c r="G117" s="50" cm="1">
        <f t="array" ref="G117">Common_InputFunctions.Utility_LookupValueInTableNumber(Table_Input_LivestockPurchases_Poultry[[#This Row],[Class (select)]], Table_SourceData_Poultry_Liveweights[Livestock class j],Table_SourceData_Poultry_Liveweights[Average liveweight (kg)])</f>
        <v>1.3</v>
      </c>
      <c r="H117" s="69">
        <v>1.3</v>
      </c>
      <c r="N117" s="7"/>
      <c r="O117" s="7"/>
      <c r="P117" s="7"/>
    </row>
    <row r="118" spans="4:16" ht="30" customHeight="1" x14ac:dyDescent="0.25">
      <c r="D118" s="174" t="s">
        <v>630</v>
      </c>
      <c r="E118" s="162" t="s">
        <v>658</v>
      </c>
      <c r="F118" s="175">
        <v>100</v>
      </c>
      <c r="G118" s="50" cm="1">
        <f t="array" ref="G118">Common_InputFunctions.Utility_LookupValueInTableNumber(Table_Input_LivestockPurchases_Poultry[[#This Row],[Class (select)]], Table_SourceData_Poultry_Liveweights[Livestock class j],Table_SourceData_Poultry_Liveweights[Average liveweight (kg)])</f>
        <v>1.4</v>
      </c>
      <c r="H118" s="175">
        <v>1.4</v>
      </c>
      <c r="N118" s="9"/>
      <c r="O118" s="9"/>
      <c r="P118" s="7"/>
    </row>
    <row r="119" spans="4:16" ht="30" customHeight="1" x14ac:dyDescent="0.25">
      <c r="D119" s="174"/>
      <c r="E119" s="162"/>
      <c r="F119" s="175"/>
      <c r="G119" s="50" cm="1">
        <f t="array" ref="G119">Common_InputFunctions.Utility_LookupValueInTableNumber(Table_Input_LivestockPurchases_Poultry[[#This Row],[Class (select)]], Table_SourceData_Poultry_Liveweights[Livestock class j],Table_SourceData_Poultry_Liveweights[Average liveweight (kg)])</f>
        <v>0</v>
      </c>
      <c r="H119" s="175"/>
      <c r="P119" s="159"/>
    </row>
    <row r="120" spans="4:16" ht="30" customHeight="1" x14ac:dyDescent="0.25">
      <c r="D120" s="174"/>
      <c r="E120" s="162"/>
      <c r="F120" s="175"/>
      <c r="G120" s="50" cm="1">
        <f t="array" ref="G120">Common_InputFunctions.Utility_LookupValueInTableNumber(Table_Input_LivestockPurchases_Poultry[[#This Row],[Class (select)]], Table_SourceData_Poultry_Liveweights[Livestock class j],Table_SourceData_Poultry_Liveweights[Average liveweight (kg)])</f>
        <v>0</v>
      </c>
      <c r="H120" s="175"/>
      <c r="P120" s="159"/>
    </row>
    <row r="121" spans="4:16" ht="30" customHeight="1" x14ac:dyDescent="0.25">
      <c r="D121" s="174"/>
      <c r="E121" s="162"/>
      <c r="F121" s="175"/>
      <c r="G121" s="50" cm="1">
        <f t="array" ref="G121">Common_InputFunctions.Utility_LookupValueInTableNumber(Table_Input_LivestockPurchases_Poultry[[#This Row],[Class (select)]], Table_SourceData_Poultry_Liveweights[Livestock class j],Table_SourceData_Poultry_Liveweights[Average liveweight (kg)])</f>
        <v>0</v>
      </c>
      <c r="H121" s="175"/>
      <c r="P121" s="159"/>
    </row>
    <row r="122" spans="4:16" ht="30" customHeight="1" x14ac:dyDescent="0.25">
      <c r="D122" s="174"/>
      <c r="E122" s="162"/>
      <c r="F122" s="175"/>
      <c r="G122" s="50" cm="1">
        <f t="array" ref="G122">Common_InputFunctions.Utility_LookupValueInTableNumber(Table_Input_LivestockPurchases_Poultry[[#This Row],[Class (select)]], Table_SourceData_Poultry_Liveweights[Livestock class j],Table_SourceData_Poultry_Liveweights[Average liveweight (kg)])</f>
        <v>0</v>
      </c>
      <c r="H122" s="175"/>
      <c r="P122" s="159"/>
    </row>
    <row r="123" spans="4:16" ht="30" customHeight="1" x14ac:dyDescent="0.25">
      <c r="D123" s="174"/>
      <c r="E123" s="162"/>
      <c r="F123" s="175"/>
      <c r="G123" s="50" cm="1">
        <f t="array" ref="G123">Common_InputFunctions.Utility_LookupValueInTableNumber(Table_Input_LivestockPurchases_Poultry[[#This Row],[Class (select)]], Table_SourceData_Poultry_Liveweights[Livestock class j],Table_SourceData_Poultry_Liveweights[Average liveweight (kg)])</f>
        <v>0</v>
      </c>
      <c r="H123" s="175"/>
      <c r="P123" s="159"/>
    </row>
    <row r="124" spans="4:16" ht="30" customHeight="1" x14ac:dyDescent="0.25">
      <c r="D124" s="174"/>
      <c r="E124" s="162"/>
      <c r="F124" s="175"/>
      <c r="G124" s="50" cm="1">
        <f t="array" ref="G124">Common_InputFunctions.Utility_LookupValueInTableNumber(Table_Input_LivestockPurchases_Poultry[[#This Row],[Class (select)]], Table_SourceData_Poultry_Liveweights[Livestock class j],Table_SourceData_Poultry_Liveweights[Average liveweight (kg)])</f>
        <v>0</v>
      </c>
      <c r="H124" s="175"/>
      <c r="N124" s="7"/>
      <c r="O124" s="7"/>
      <c r="P124" s="7"/>
    </row>
    <row r="125" spans="4:16" ht="30" customHeight="1" x14ac:dyDescent="0.25">
      <c r="D125" s="174"/>
      <c r="E125" s="162"/>
      <c r="F125" s="175"/>
      <c r="G125" s="50" cm="1">
        <f t="array" ref="G125">Common_InputFunctions.Utility_LookupValueInTableNumber(Table_Input_LivestockPurchases_Poultry[[#This Row],[Class (select)]], Table_SourceData_Poultry_Liveweights[Livestock class j],Table_SourceData_Poultry_Liveweights[Average liveweight (kg)])</f>
        <v>0</v>
      </c>
      <c r="H125" s="175"/>
      <c r="N125" s="7"/>
      <c r="O125" s="7"/>
      <c r="P125" s="7"/>
    </row>
    <row r="126" spans="4:16" ht="30" customHeight="1" x14ac:dyDescent="0.25">
      <c r="D126" s="174"/>
      <c r="E126" s="162"/>
      <c r="F126" s="175"/>
      <c r="G126" s="50" cm="1">
        <f t="array" ref="G126">Common_InputFunctions.Utility_LookupValueInTableNumber(Table_Input_LivestockPurchases_Poultry[[#This Row],[Class (select)]], Table_SourceData_Poultry_Liveweights[Livestock class j],Table_SourceData_Poultry_Liveweights[Average liveweight (kg)])</f>
        <v>0</v>
      </c>
      <c r="H126" s="175"/>
    </row>
    <row r="127" spans="4:16" ht="30" customHeight="1" x14ac:dyDescent="0.25"/>
    <row r="128" spans="4:16" ht="30" customHeight="1" x14ac:dyDescent="0.25">
      <c r="D128" s="154" t="s">
        <v>675</v>
      </c>
    </row>
    <row r="129" spans="4:13" ht="30" customHeight="1" x14ac:dyDescent="0.25">
      <c r="L129" s="7"/>
      <c r="M129" s="7"/>
    </row>
    <row r="130" spans="4:13" ht="30" customHeight="1" x14ac:dyDescent="0.25">
      <c r="L130" s="7"/>
      <c r="M130" s="7"/>
    </row>
    <row r="131" spans="4:13" ht="30" customHeight="1" x14ac:dyDescent="0.25">
      <c r="L131" s="9"/>
      <c r="M131" s="9"/>
    </row>
    <row r="132" spans="4:13" ht="30" customHeight="1" x14ac:dyDescent="0.25"/>
    <row r="133" spans="4:13" ht="30" customHeight="1" x14ac:dyDescent="0.25"/>
    <row r="134" spans="4:13" ht="30" customHeight="1" x14ac:dyDescent="0.25"/>
    <row r="135" spans="4:13" ht="30" customHeight="1" x14ac:dyDescent="0.25"/>
    <row r="136" spans="4:13" ht="30" customHeight="1" x14ac:dyDescent="0.25"/>
    <row r="137" spans="4:13" ht="30" customHeight="1" x14ac:dyDescent="0.25">
      <c r="L137" s="7"/>
      <c r="M137" s="7"/>
    </row>
    <row r="138" spans="4:13" ht="30" customHeight="1" x14ac:dyDescent="0.25">
      <c r="L138" s="7"/>
      <c r="M138" s="7"/>
    </row>
    <row r="142" spans="4:13" ht="23.25" x14ac:dyDescent="0.25">
      <c r="D142" s="9" t="s">
        <v>398</v>
      </c>
    </row>
    <row r="143" spans="4:13" ht="28.5" x14ac:dyDescent="0.25">
      <c r="D143" s="95" t="s">
        <v>312</v>
      </c>
      <c r="E143" s="95" t="s">
        <v>313</v>
      </c>
      <c r="F143" s="95" t="s">
        <v>443</v>
      </c>
      <c r="G143" s="95" t="s">
        <v>659</v>
      </c>
      <c r="H143" s="95" t="s">
        <v>444</v>
      </c>
      <c r="I143" s="95" t="s">
        <v>662</v>
      </c>
    </row>
    <row r="144" spans="4:13" x14ac:dyDescent="0.25">
      <c r="D144" s="152" t="s">
        <v>445</v>
      </c>
      <c r="E144" s="69">
        <v>100</v>
      </c>
      <c r="F144" s="48" t="s">
        <v>446</v>
      </c>
      <c r="G144" s="90">
        <f>100%</f>
        <v>1</v>
      </c>
      <c r="H144" s="69">
        <v>0.02</v>
      </c>
      <c r="I144" s="50">
        <f>Table_Input_Packaging[[#This Row],[Quantity purchased]]*Table_Input_Packaging[[#This Row],[Percent of packaging that is primary material]]*Table_Input_Packaging[[#This Row],[Weight per unit (kg)]]</f>
        <v>2</v>
      </c>
    </row>
    <row r="145" spans="4:9" x14ac:dyDescent="0.25">
      <c r="D145" s="152"/>
      <c r="E145" s="181"/>
      <c r="F145" s="48"/>
      <c r="G145" s="182">
        <f>100%</f>
        <v>1</v>
      </c>
      <c r="H145" s="175"/>
      <c r="I145" s="50">
        <f>Table_Input_Packaging[[#This Row],[Quantity purchased]]*Table_Input_Packaging[[#This Row],[Percent of packaging that is primary material]]*Table_Input_Packaging[[#This Row],[Weight per unit (kg)]]</f>
        <v>0</v>
      </c>
    </row>
    <row r="146" spans="4:9" x14ac:dyDescent="0.25">
      <c r="D146" s="152"/>
      <c r="E146" s="181"/>
      <c r="F146" s="48"/>
      <c r="G146" s="182">
        <f>100%</f>
        <v>1</v>
      </c>
      <c r="H146" s="175"/>
      <c r="I146" s="50">
        <f>Table_Input_Packaging[[#This Row],[Quantity purchased]]*Table_Input_Packaging[[#This Row],[Percent of packaging that is primary material]]*Table_Input_Packaging[[#This Row],[Weight per unit (kg)]]</f>
        <v>0</v>
      </c>
    </row>
    <row r="147" spans="4:9" x14ac:dyDescent="0.25">
      <c r="D147" s="152"/>
      <c r="E147" s="181"/>
      <c r="F147" s="48"/>
      <c r="G147" s="182">
        <f>100%</f>
        <v>1</v>
      </c>
      <c r="H147" s="175"/>
      <c r="I147" s="50">
        <f>Table_Input_Packaging[[#This Row],[Quantity purchased]]*Table_Input_Packaging[[#This Row],[Percent of packaging that is primary material]]*Table_Input_Packaging[[#This Row],[Weight per unit (kg)]]</f>
        <v>0</v>
      </c>
    </row>
    <row r="148" spans="4:9" x14ac:dyDescent="0.25">
      <c r="D148" s="152"/>
      <c r="E148" s="181"/>
      <c r="F148" s="48"/>
      <c r="G148" s="182">
        <f>100%</f>
        <v>1</v>
      </c>
      <c r="H148" s="175"/>
      <c r="I148" s="50">
        <f>Table_Input_Packaging[[#This Row],[Quantity purchased]]*Table_Input_Packaging[[#This Row],[Percent of packaging that is primary material]]*Table_Input_Packaging[[#This Row],[Weight per unit (kg)]]</f>
        <v>0</v>
      </c>
    </row>
    <row r="149" spans="4:9" x14ac:dyDescent="0.25">
      <c r="D149" s="152"/>
      <c r="E149" s="181"/>
      <c r="F149" s="48"/>
      <c r="G149" s="182">
        <f>100%</f>
        <v>1</v>
      </c>
      <c r="H149" s="175"/>
      <c r="I149" s="50">
        <f>Table_Input_Packaging[[#This Row],[Quantity purchased]]*Table_Input_Packaging[[#This Row],[Percent of packaging that is primary material]]*Table_Input_Packaging[[#This Row],[Weight per unit (kg)]]</f>
        <v>0</v>
      </c>
    </row>
    <row r="150" spans="4:9" x14ac:dyDescent="0.25">
      <c r="D150" s="152"/>
      <c r="E150" s="181"/>
      <c r="F150" s="48"/>
      <c r="G150" s="182">
        <f>100%</f>
        <v>1</v>
      </c>
      <c r="H150" s="175"/>
      <c r="I150" s="50">
        <f>Table_Input_Packaging[[#This Row],[Quantity purchased]]*Table_Input_Packaging[[#This Row],[Percent of packaging that is primary material]]*Table_Input_Packaging[[#This Row],[Weight per unit (kg)]]</f>
        <v>0</v>
      </c>
    </row>
    <row r="151" spans="4:9" x14ac:dyDescent="0.25">
      <c r="D151" s="152"/>
      <c r="E151" s="181"/>
      <c r="F151" s="48"/>
      <c r="G151" s="182">
        <f>100%</f>
        <v>1</v>
      </c>
      <c r="H151" s="175"/>
      <c r="I151" s="50">
        <f>Table_Input_Packaging[[#This Row],[Quantity purchased]]*Table_Input_Packaging[[#This Row],[Percent of packaging that is primary material]]*Table_Input_Packaging[[#This Row],[Weight per unit (kg)]]</f>
        <v>0</v>
      </c>
    </row>
    <row r="152" spans="4:9" x14ac:dyDescent="0.25">
      <c r="D152" s="152"/>
      <c r="E152" s="181"/>
      <c r="F152" s="48"/>
      <c r="G152" s="182">
        <f>100%</f>
        <v>1</v>
      </c>
      <c r="H152" s="175"/>
      <c r="I152" s="50">
        <f>Table_Input_Packaging[[#This Row],[Quantity purchased]]*Table_Input_Packaging[[#This Row],[Percent of packaging that is primary material]]*Table_Input_Packaging[[#This Row],[Weight per unit (kg)]]</f>
        <v>0</v>
      </c>
    </row>
    <row r="153" spans="4:9" x14ac:dyDescent="0.25">
      <c r="D153" s="152"/>
      <c r="E153" s="181"/>
      <c r="F153" s="48"/>
      <c r="G153" s="182">
        <f>100%</f>
        <v>1</v>
      </c>
      <c r="H153" s="175"/>
      <c r="I153" s="50">
        <f>Table_Input_Packaging[[#This Row],[Quantity purchased]]*Table_Input_Packaging[[#This Row],[Percent of packaging that is primary material]]*Table_Input_Packaging[[#This Row],[Weight per unit (kg)]]</f>
        <v>0</v>
      </c>
    </row>
    <row r="156" spans="4:9" ht="23.25" x14ac:dyDescent="0.25">
      <c r="D156" s="9" t="s">
        <v>669</v>
      </c>
    </row>
    <row r="157" spans="4:9" x14ac:dyDescent="0.25">
      <c r="D157" s="12" t="s">
        <v>694</v>
      </c>
    </row>
    <row r="158" spans="4:9" x14ac:dyDescent="0.25">
      <c r="D158" s="178" t="s">
        <v>670</v>
      </c>
      <c r="E158" s="178" t="s">
        <v>692</v>
      </c>
      <c r="F158" s="178" t="s">
        <v>676</v>
      </c>
      <c r="G158" s="178" t="s">
        <v>128</v>
      </c>
    </row>
    <row r="159" spans="4:9" x14ac:dyDescent="0.25">
      <c r="D159" s="86" t="s">
        <v>671</v>
      </c>
      <c r="E159" s="86" t="s">
        <v>672</v>
      </c>
      <c r="F159" s="69">
        <v>10000</v>
      </c>
      <c r="G159" s="48" t="s">
        <v>678</v>
      </c>
    </row>
    <row r="160" spans="4:9" x14ac:dyDescent="0.25">
      <c r="D160" s="174" t="s">
        <v>673</v>
      </c>
      <c r="E160" s="174" t="s">
        <v>680</v>
      </c>
      <c r="F160" s="175">
        <v>1000</v>
      </c>
      <c r="G160" s="48" t="s">
        <v>679</v>
      </c>
    </row>
    <row r="161" spans="4:11" x14ac:dyDescent="0.25">
      <c r="D161" s="174"/>
      <c r="E161" s="174"/>
      <c r="F161" s="175"/>
      <c r="G161" s="48"/>
    </row>
    <row r="162" spans="4:11" x14ac:dyDescent="0.25">
      <c r="D162" s="174"/>
      <c r="E162" s="174"/>
      <c r="F162" s="175"/>
      <c r="G162" s="48"/>
    </row>
    <row r="163" spans="4:11" x14ac:dyDescent="0.25">
      <c r="D163" s="174"/>
      <c r="E163" s="174"/>
      <c r="F163" s="175"/>
      <c r="G163" s="48"/>
    </row>
    <row r="164" spans="4:11" x14ac:dyDescent="0.25">
      <c r="D164" s="174"/>
      <c r="E164" s="174"/>
      <c r="F164" s="175"/>
      <c r="G164" s="48"/>
    </row>
    <row r="165" spans="4:11" x14ac:dyDescent="0.25">
      <c r="D165" s="174"/>
      <c r="E165" s="174"/>
      <c r="F165" s="175"/>
      <c r="G165" s="48"/>
      <c r="J165" s="7"/>
      <c r="K165" s="7"/>
    </row>
    <row r="166" spans="4:11" x14ac:dyDescent="0.25">
      <c r="D166" s="174"/>
      <c r="E166" s="174"/>
      <c r="F166" s="175"/>
      <c r="G166" s="48"/>
      <c r="J166" s="7"/>
      <c r="K166" s="7"/>
    </row>
    <row r="167" spans="4:11" x14ac:dyDescent="0.25">
      <c r="D167" s="174"/>
      <c r="E167" s="174"/>
      <c r="F167" s="175"/>
      <c r="G167" s="48"/>
      <c r="J167" s="7"/>
      <c r="K167" s="7"/>
    </row>
    <row r="168" spans="4:11" x14ac:dyDescent="0.25">
      <c r="D168" s="174"/>
      <c r="E168" s="174"/>
      <c r="F168" s="175"/>
      <c r="G168" s="48"/>
      <c r="J168" s="7"/>
      <c r="K168" s="7"/>
    </row>
    <row r="169" spans="4:11" x14ac:dyDescent="0.25">
      <c r="J169" s="7"/>
      <c r="K169" s="7"/>
    </row>
    <row r="170" spans="4:11" ht="23.25" x14ac:dyDescent="0.25">
      <c r="J170" s="9"/>
      <c r="K170" s="9"/>
    </row>
    <row r="171" spans="4:11" ht="23.25" x14ac:dyDescent="0.25">
      <c r="D171" s="9" t="s">
        <v>668</v>
      </c>
      <c r="G171" s="7"/>
      <c r="H171" s="8"/>
      <c r="J171" s="8"/>
    </row>
    <row r="172" spans="4:11" x14ac:dyDescent="0.25">
      <c r="D172" s="12" t="s">
        <v>694</v>
      </c>
      <c r="G172" s="7"/>
      <c r="H172" s="8"/>
      <c r="J172" s="8"/>
    </row>
    <row r="173" spans="4:11" x14ac:dyDescent="0.25">
      <c r="D173" s="178" t="s">
        <v>661</v>
      </c>
      <c r="E173" s="178" t="s">
        <v>660</v>
      </c>
      <c r="F173" s="178" t="s">
        <v>128</v>
      </c>
      <c r="G173" s="7"/>
      <c r="H173" s="7"/>
      <c r="J173" s="8"/>
    </row>
    <row r="174" spans="4:11" x14ac:dyDescent="0.25">
      <c r="D174" s="86" t="s">
        <v>674</v>
      </c>
      <c r="E174" s="69">
        <v>1000</v>
      </c>
      <c r="F174" s="86" t="s">
        <v>379</v>
      </c>
      <c r="G174" s="7"/>
      <c r="H174" s="7"/>
      <c r="I174" s="7"/>
      <c r="J174" s="8"/>
    </row>
    <row r="175" spans="4:11" x14ac:dyDescent="0.25">
      <c r="D175" s="174"/>
      <c r="E175" s="175"/>
      <c r="F175" s="174"/>
      <c r="G175" s="7"/>
      <c r="I175" s="7"/>
      <c r="J175" s="8"/>
    </row>
    <row r="176" spans="4:11" x14ac:dyDescent="0.25">
      <c r="D176" s="174"/>
      <c r="E176" s="175"/>
      <c r="F176" s="174"/>
      <c r="G176" s="8"/>
      <c r="I176" s="7"/>
      <c r="J176" s="7"/>
      <c r="K176" s="7"/>
    </row>
    <row r="177" spans="4:11" x14ac:dyDescent="0.25">
      <c r="D177" s="174"/>
      <c r="E177" s="175"/>
      <c r="F177" s="174"/>
      <c r="G177" s="8"/>
      <c r="I177" s="7"/>
      <c r="J177" s="7"/>
      <c r="K177" s="7"/>
    </row>
    <row r="178" spans="4:11" x14ac:dyDescent="0.25">
      <c r="D178" s="174"/>
      <c r="E178" s="175"/>
      <c r="F178" s="174"/>
      <c r="G178" s="8"/>
      <c r="I178" s="7"/>
    </row>
    <row r="179" spans="4:11" x14ac:dyDescent="0.25">
      <c r="D179" s="174"/>
      <c r="E179" s="175"/>
      <c r="F179" s="174"/>
      <c r="G179" s="8"/>
      <c r="I179" s="7"/>
    </row>
    <row r="180" spans="4:11" x14ac:dyDescent="0.25">
      <c r="D180" s="174"/>
      <c r="E180" s="175"/>
      <c r="F180" s="174"/>
      <c r="G180" s="8"/>
      <c r="I180" s="8"/>
    </row>
    <row r="181" spans="4:11" x14ac:dyDescent="0.25">
      <c r="D181" s="174"/>
      <c r="E181" s="175"/>
      <c r="F181" s="174"/>
      <c r="G181" s="7"/>
      <c r="I181" s="8"/>
    </row>
    <row r="182" spans="4:11" x14ac:dyDescent="0.25">
      <c r="D182" s="174"/>
      <c r="E182" s="175"/>
      <c r="F182" s="174"/>
      <c r="G182" s="7"/>
      <c r="I182" s="8"/>
    </row>
    <row r="183" spans="4:11" x14ac:dyDescent="0.25">
      <c r="D183" s="174"/>
      <c r="E183" s="175"/>
      <c r="F183" s="174"/>
      <c r="I183" s="8"/>
    </row>
    <row r="184" spans="4:11" x14ac:dyDescent="0.25">
      <c r="I184" s="8"/>
    </row>
    <row r="185" spans="4:11" x14ac:dyDescent="0.25">
      <c r="I185" s="7"/>
    </row>
    <row r="186" spans="4:11" ht="23.25" x14ac:dyDescent="0.25">
      <c r="D186" s="9" t="s">
        <v>458</v>
      </c>
      <c r="I186" s="7"/>
    </row>
    <row r="187" spans="4:11" x14ac:dyDescent="0.25">
      <c r="D187" s="8" t="str">
        <f>'Constants - Scope 3'!E204</f>
        <v>Barley grain (for seed)</v>
      </c>
      <c r="E187" s="69">
        <v>500</v>
      </c>
      <c r="F187" s="68" t="s">
        <v>379</v>
      </c>
    </row>
    <row r="188" spans="4:11" x14ac:dyDescent="0.25">
      <c r="D188" s="8" t="str">
        <f>'Constants - Scope 3'!E205</f>
        <v>Maize grain (for seed)</v>
      </c>
      <c r="E188" s="69">
        <v>600</v>
      </c>
      <c r="F188" s="68" t="s">
        <v>379</v>
      </c>
    </row>
    <row r="189" spans="4:11" x14ac:dyDescent="0.25">
      <c r="D189" s="8" t="str">
        <f>'Constants - Scope 3'!E207</f>
        <v>Oat grain (for seed)</v>
      </c>
      <c r="E189" s="69">
        <v>700</v>
      </c>
      <c r="F189" s="68" t="s">
        <v>379</v>
      </c>
    </row>
    <row r="190" spans="4:11" x14ac:dyDescent="0.25">
      <c r="D190" s="8" t="str">
        <f>'Constants - Scope 3'!E208</f>
        <v>Sorghum grain (for seed)</v>
      </c>
      <c r="E190" s="69">
        <v>800</v>
      </c>
      <c r="F190" s="68" t="s">
        <v>379</v>
      </c>
    </row>
    <row r="191" spans="4:11" x14ac:dyDescent="0.25">
      <c r="D191" s="8" t="str">
        <f>'Constants - Scope 3'!E209</f>
        <v>Wheat grain (for seed)</v>
      </c>
      <c r="E191" s="69">
        <v>900</v>
      </c>
      <c r="F191" s="68" t="s">
        <v>379</v>
      </c>
    </row>
    <row r="193" spans="4:6" ht="23.25" x14ac:dyDescent="0.25">
      <c r="D193" s="9" t="s">
        <v>472</v>
      </c>
    </row>
    <row r="194" spans="4:6" x14ac:dyDescent="0.25">
      <c r="D194" s="8" t="str">
        <f>'Constants - Scope 3'!E202</f>
        <v>Animal ear tags (large)</v>
      </c>
      <c r="E194" s="69">
        <v>100</v>
      </c>
      <c r="F194" s="68" t="s">
        <v>442</v>
      </c>
    </row>
    <row r="195" spans="4:6" x14ac:dyDescent="0.25">
      <c r="D195" s="8" t="str">
        <f>'Constants - Scope 3'!E203</f>
        <v>Animal ear tags (small)</v>
      </c>
      <c r="E195" s="69">
        <v>200</v>
      </c>
      <c r="F195" s="68" t="s">
        <v>442</v>
      </c>
    </row>
    <row r="196" spans="4:6" x14ac:dyDescent="0.25">
      <c r="D196" s="8" t="str">
        <f>'Constants - Scope 3'!E206</f>
        <v>Nylon netting</v>
      </c>
      <c r="E196" s="69">
        <v>300</v>
      </c>
      <c r="F196" s="68" t="s">
        <v>379</v>
      </c>
    </row>
  </sheetData>
  <dataValidations count="17">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144:F153"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H78:H87" xr:uid="{579B6E80-B21D-49A6-A5CC-E0740A79C06C}">
      <formula1>INDIRECT("Table_ProductRegions_Beefcattle[Region]")</formula1>
    </dataValidation>
    <dataValidation type="list" allowBlank="1" showInputMessage="1" showErrorMessage="1" sqref="G78:G87" xr:uid="{D038D161-4CB4-4F66-9EA9-1B3DFD795E64}">
      <formula1>INDIRECT(TRIM("Table_SourceData_LivestockProduct_Beefcattle[Product]"))</formula1>
    </dataValidation>
    <dataValidation type="list" allowBlank="1" showInputMessage="1" showErrorMessage="1" sqref="F78:F87" xr:uid="{E820CFC8-651A-4AAE-8CFC-0434A22A2CFE}">
      <formula1>INDIRECT("Table_LivestockClasses_Beefcattle[Livestock class]")</formula1>
    </dataValidation>
    <dataValidation type="list" allowBlank="1" showInputMessage="1" showErrorMessage="1" sqref="F91:F100" xr:uid="{6C01C856-27C6-4CD3-9F44-CB174DFAC047}">
      <formula1>INDIRECT("Table_SourceData_Dairy_WjCowsHeifers[Breed]")</formula1>
    </dataValidation>
    <dataValidation type="list" allowBlank="1" showInputMessage="1" showErrorMessage="1" sqref="E91:E100" xr:uid="{5781C060-ED70-4962-97D0-9C205A1D4D9A}">
      <formula1>INDIRECT("Table_SourceData_Dairy_WjCowsHeifers[[#Headers],[Milking cows]:[Heifers &lt; 1 (weaned)]]")</formula1>
    </dataValidation>
    <dataValidation type="list" allowBlank="1" showInputMessage="1" showErrorMessage="1" sqref="E104:E113" xr:uid="{4ACF2D94-C615-4145-8F1B-25113D24F04E}">
      <formula1>INDIRECT("Table_SourceData_Swine_Liveweight[Livestock type j]")</formula1>
    </dataValidation>
    <dataValidation type="list" allowBlank="1" showInputMessage="1" showErrorMessage="1" sqref="E117:E126" xr:uid="{EF3323C3-C624-43FE-8DC3-2DC12C1B5DDD}">
      <formula1>INDIRECT("Table_SourceData_Poultry_Liveweights[Livestock class j]")</formula1>
    </dataValidation>
    <dataValidation type="list" allowBlank="1" showInputMessage="1" showErrorMessage="1" sqref="G159:G168" xr:uid="{92F419C3-BB6B-4ED0-BE3F-195DAC4808A6}">
      <formula1>"Hour, Hectare"</formula1>
    </dataValidation>
    <dataValidation type="list" allowBlank="1" showInputMessage="1" showErrorMessage="1" sqref="G63:G72 J63:J72 M63:M72 P63:P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71:H172 J174:J175 L135:L136" xr:uid="{0AD8851A-09E8-483B-9827-926349C05F01}">
      <formula1>INDIRECT("Table_Scope3_AquacultureFeedBait[Feed / Bait ingredient]")</formula1>
    </dataValidation>
  </dataValidations>
  <pageMargins left="0.7" right="0.7" top="0.75" bottom="0.75" header="0.3" footer="0.3"/>
  <pageSetup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BCF7-DDD5-4171-BB69-0003446FB5EC}">
  <dimension ref="A1:J350"/>
  <sheetViews>
    <sheetView showGridLines="0" zoomScale="85" zoomScaleNormal="85" workbookViewId="0">
      <selection activeCell="G12" sqref="G12"/>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8" customFormat="1" ht="30" customHeight="1" x14ac:dyDescent="0.35">
      <c r="A1" s="38" t="e" vm="1">
        <v>#VALUE!</v>
      </c>
      <c r="C1" s="38" t="s">
        <v>121</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122</v>
      </c>
      <c r="E5" s="7"/>
      <c r="F5" s="7"/>
      <c r="G5" s="7"/>
      <c r="H5" s="7"/>
    </row>
    <row r="6" spans="1:10" ht="20.100000000000001" customHeight="1" x14ac:dyDescent="0.25">
      <c r="A6" s="18"/>
      <c r="D6" s="14"/>
      <c r="E6" s="14"/>
      <c r="F6" s="14"/>
      <c r="G6" s="14"/>
      <c r="H6" s="14"/>
      <c r="I6" s="14"/>
    </row>
    <row r="7" spans="1:10" ht="20.100000000000001" customHeight="1" x14ac:dyDescent="0.25">
      <c r="A7" s="19" t="s">
        <v>67</v>
      </c>
      <c r="D7" s="40" t="s">
        <v>123</v>
      </c>
      <c r="E7" s="41"/>
      <c r="F7" s="41"/>
      <c r="G7" s="41"/>
      <c r="H7" s="42"/>
    </row>
    <row r="8" spans="1:10" ht="20.100000000000001" customHeight="1" x14ac:dyDescent="0.25">
      <c r="A8" s="43" t="str">
        <f>HYPERLINK("#'Input - Fuel'!A1", "Fuel")</f>
        <v>Fuel</v>
      </c>
      <c r="D8" s="44" t="s">
        <v>124</v>
      </c>
      <c r="E8" s="45"/>
      <c r="F8" s="45"/>
      <c r="G8" s="45"/>
      <c r="H8" s="46"/>
    </row>
    <row r="9" spans="1:10" ht="20.100000000000001" customHeight="1" x14ac:dyDescent="0.25">
      <c r="A9" s="16"/>
      <c r="D9" s="14"/>
      <c r="E9" s="14"/>
      <c r="F9" s="14"/>
      <c r="G9" s="14"/>
      <c r="H9" s="14"/>
      <c r="I9" s="14"/>
    </row>
    <row r="10" spans="1:10" ht="20.100000000000001" customHeight="1" x14ac:dyDescent="0.25">
      <c r="A10" s="21" t="s">
        <v>77</v>
      </c>
      <c r="D10" s="47" t="s">
        <v>125</v>
      </c>
      <c r="E10" s="47" t="s">
        <v>126</v>
      </c>
      <c r="F10" s="47" t="s">
        <v>127</v>
      </c>
      <c r="G10" s="47" t="s">
        <v>128</v>
      </c>
      <c r="H10" s="47" t="s">
        <v>129</v>
      </c>
      <c r="I10" s="47" t="s">
        <v>130</v>
      </c>
    </row>
    <row r="11" spans="1:10" ht="20.100000000000001" customHeight="1" x14ac:dyDescent="0.25">
      <c r="A11" s="16" t="str">
        <f>HYPERLINK("#'8.1.1.1-2 Transport fuel'!A1", "8.1.1.1-2 Transport fuel")</f>
        <v>8.1.1.1-2 Transport fuel</v>
      </c>
      <c r="D11" s="48" t="s">
        <v>93</v>
      </c>
      <c r="E11" s="48" t="s">
        <v>100</v>
      </c>
      <c r="F11" s="49">
        <v>1000</v>
      </c>
      <c r="G11" s="50" t="str" cm="1">
        <f t="array" ref="G11">Common_InputFunctions.Utility_LookupValueInTable(Table_Input_Fuel[[#This Row],[Fuel type (select)]],Table_FuelTypes_Units[Fuel type], Table_FuelTypes_Units[Unit])</f>
        <v>kL</v>
      </c>
      <c r="H11" s="51">
        <f>1</f>
        <v>1</v>
      </c>
      <c r="I11" s="50">
        <f>Table_Input_Fuel[[#This Row],[Amount purchased]]*Table_Input_Fuel[[#This Row],[Percent consumed]]*10^-3</f>
        <v>1</v>
      </c>
    </row>
    <row r="12" spans="1:10" ht="20.100000000000001" customHeight="1" x14ac:dyDescent="0.25">
      <c r="A12" s="16" t="str">
        <f>HYPERLINK("#'8.2.1.1-2 Stationary fuel'!A1", "8.2.1.1-2 Stationary fuel")</f>
        <v>8.2.1.1-2 Stationary fuel</v>
      </c>
      <c r="D12" s="48" t="s">
        <v>93</v>
      </c>
      <c r="E12" s="48" t="s">
        <v>100</v>
      </c>
      <c r="F12" s="49">
        <v>1000</v>
      </c>
      <c r="G12" s="50" t="str" cm="1">
        <f t="array" ref="G12">Common_InputFunctions.Utility_LookupValueInTable(Table_Input_Fuel[[#This Row],[Fuel type (select)]],Table_FuelTypes_Units[Fuel type], Table_FuelTypes_Units[Unit])</f>
        <v>kL</v>
      </c>
      <c r="H12" s="51">
        <f>1</f>
        <v>1</v>
      </c>
      <c r="I12" s="50">
        <f>Table_Input_Fuel[[#This Row],[Amount purchased]]*Table_Input_Fuel[[#This Row],[Percent consumed]]*10^-3</f>
        <v>1</v>
      </c>
    </row>
    <row r="13" spans="1:10" ht="20.100000000000001" customHeight="1" x14ac:dyDescent="0.25">
      <c r="A13" s="16" t="str">
        <f>HYPERLINK("#'8.X.1.1-2 General use fuel'!A1", "8.X.1.1-2 General use fuel")</f>
        <v>8.X.1.1-2 General use fuel</v>
      </c>
    </row>
    <row r="14" spans="1:10" ht="20.100000000000001" customHeight="1" x14ac:dyDescent="0.25">
      <c r="A14" s="16"/>
    </row>
    <row r="15" spans="1:10" ht="20.100000000000001" customHeight="1" x14ac:dyDescent="0.25">
      <c r="A15" s="23" t="s">
        <v>78</v>
      </c>
    </row>
    <row r="16" spans="1:10" ht="20.100000000000001" customHeight="1" x14ac:dyDescent="0.25">
      <c r="A16" s="16" t="str">
        <f>HYPERLINK("#'Constants - Fuel'!A1", "Constants - Fuel")</f>
        <v>Constants - Fuel</v>
      </c>
    </row>
    <row r="17" spans="1:1" ht="20.100000000000001" customHeight="1" x14ac:dyDescent="0.25">
      <c r="A17" s="16"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c r="A20" s="16"/>
    </row>
    <row r="21" spans="1:1" ht="20.100000000000001" customHeight="1" x14ac:dyDescent="0.25">
      <c r="A21" s="16"/>
    </row>
    <row r="22" spans="1:1" ht="20.100000000000001" customHeight="1" x14ac:dyDescent="0.25"/>
    <row r="23" spans="1:1" ht="20.100000000000001" customHeight="1" x14ac:dyDescent="0.25">
      <c r="A23" s="16"/>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6"/>
    </row>
    <row r="30" spans="1:1" ht="20.100000000000001" customHeight="1" x14ac:dyDescent="0.25">
      <c r="A30" s="16"/>
    </row>
    <row r="31" spans="1:1" ht="20.100000000000001" customHeight="1" x14ac:dyDescent="0.25">
      <c r="A31" s="52"/>
    </row>
    <row r="32" spans="1:1" ht="20.100000000000001" customHeight="1" x14ac:dyDescent="0.25">
      <c r="A32" s="52"/>
    </row>
    <row r="33" spans="1:10" ht="20.100000000000001" customHeight="1" x14ac:dyDescent="0.25">
      <c r="A33" s="16"/>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3"/>
      <c r="J38" s="53"/>
    </row>
    <row r="39" spans="1:10" ht="20.100000000000001" customHeight="1" x14ac:dyDescent="0.25">
      <c r="A39" s="16"/>
      <c r="C39" s="53"/>
      <c r="J39" s="53"/>
    </row>
    <row r="40" spans="1:10" s="54" customFormat="1" ht="20.100000000000001" customHeight="1" x14ac:dyDescent="0.25">
      <c r="C40" s="8"/>
      <c r="D40" s="8"/>
      <c r="E40" s="8"/>
      <c r="F40" s="8"/>
      <c r="G40" s="8"/>
      <c r="H40" s="8"/>
      <c r="I40" s="8"/>
      <c r="J40" s="8"/>
    </row>
    <row r="41" spans="1:10" s="54" customFormat="1" ht="20.100000000000001" customHeight="1" x14ac:dyDescent="0.25">
      <c r="A41" s="55"/>
      <c r="C41" s="8"/>
      <c r="D41" s="8"/>
      <c r="E41" s="8"/>
      <c r="F41" s="8"/>
      <c r="G41" s="8"/>
      <c r="H41" s="8"/>
      <c r="I41" s="8"/>
      <c r="J41" s="8"/>
    </row>
    <row r="42" spans="1:10" ht="20.100000000000001" customHeight="1" x14ac:dyDescent="0.25"/>
    <row r="43" spans="1:10" ht="20.100000000000001" customHeight="1" x14ac:dyDescent="0.25"/>
    <row r="44" spans="1:10" ht="20.100000000000001" customHeight="1" x14ac:dyDescent="0.25">
      <c r="A44" s="56"/>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0" spans="4:4" x14ac:dyDescent="0.25">
      <c r="D350" s="57"/>
    </row>
  </sheetData>
  <conditionalFormatting sqref="F36">
    <cfRule type="cellIs" dxfId="33" priority="9" operator="lessThan">
      <formula>0</formula>
    </cfRule>
  </conditionalFormatting>
  <conditionalFormatting sqref="F115:F116">
    <cfRule type="cellIs" dxfId="32" priority="8" operator="lessThan">
      <formula>0</formula>
    </cfRule>
  </conditionalFormatting>
  <conditionalFormatting sqref="F127:F128">
    <cfRule type="cellIs" dxfId="31" priority="7" operator="lessThan">
      <formula>0</formula>
    </cfRule>
  </conditionalFormatting>
  <conditionalFormatting sqref="F139:F140">
    <cfRule type="cellIs" dxfId="30" priority="6" operator="lessThan">
      <formula>0</formula>
    </cfRule>
  </conditionalFormatting>
  <conditionalFormatting sqref="F151:F152">
    <cfRule type="cellIs" dxfId="29" priority="5" operator="lessThan">
      <formula>0</formula>
    </cfRule>
  </conditionalFormatting>
  <conditionalFormatting sqref="F239:F240">
    <cfRule type="cellIs" dxfId="28" priority="17" operator="lessThan">
      <formula>0</formula>
    </cfRule>
  </conditionalFormatting>
  <conditionalFormatting sqref="F244:F245">
    <cfRule type="cellIs" dxfId="27" priority="16" operator="lessThan">
      <formula>0</formula>
    </cfRule>
  </conditionalFormatting>
  <conditionalFormatting sqref="F249:F250">
    <cfRule type="cellIs" dxfId="26" priority="15" operator="lessThan">
      <formula>0</formula>
    </cfRule>
  </conditionalFormatting>
  <conditionalFormatting sqref="F273:F274">
    <cfRule type="cellIs" dxfId="25" priority="14" operator="lessThan">
      <formula>0</formula>
    </cfRule>
  </conditionalFormatting>
  <conditionalFormatting sqref="F278:F279">
    <cfRule type="cellIs" dxfId="24" priority="13" operator="lessThan">
      <formula>0</formula>
    </cfRule>
  </conditionalFormatting>
  <conditionalFormatting sqref="F283:F284">
    <cfRule type="cellIs" dxfId="23" priority="12" operator="lessThan">
      <formula>0</formula>
    </cfRule>
  </conditionalFormatting>
  <conditionalFormatting sqref="I20 I22:I26 I30:I31 H32:H34 I35 I37:I39 I41:I42 I193 E199:G199 I199">
    <cfRule type="cellIs" dxfId="22" priority="11" operator="lessThan">
      <formula>0</formula>
    </cfRule>
  </conditionalFormatting>
  <conditionalFormatting sqref="I46:I50">
    <cfRule type="cellIs" dxfId="21" priority="4" operator="lessThan">
      <formula>0</formula>
    </cfRule>
  </conditionalFormatting>
  <conditionalFormatting sqref="I54 I113">
    <cfRule type="cellIs" dxfId="20" priority="10" operator="lessThan">
      <formula>0</formula>
    </cfRule>
  </conditionalFormatting>
  <conditionalFormatting sqref="I65:I67">
    <cfRule type="cellIs" dxfId="19" priority="3" operator="lessThan">
      <formula>0</formula>
    </cfRule>
  </conditionalFormatting>
  <conditionalFormatting sqref="I71:I74">
    <cfRule type="cellIs" dxfId="18" priority="2" operator="lessThan">
      <formula>0</formula>
    </cfRule>
  </conditionalFormatting>
  <conditionalFormatting sqref="I78:I82">
    <cfRule type="cellIs" dxfId="17" priority="1" operator="lessThan">
      <formula>0</formula>
    </cfRule>
  </conditionalFormatting>
  <dataValidations count="9">
    <dataValidation type="list" allowBlank="1" showInputMessage="1" showErrorMessage="1" sqref="D11:D12" xr:uid="{AB05C837-AE8B-4535-9828-0C4A841DBABE}">
      <formula1>INDIRECT("Table_FuelTypesPerUse[#Headers]")</formula1>
    </dataValidation>
    <dataValidation type="list" allowBlank="1" showInputMessage="1" showErrorMessage="1" sqref="D33:D34" xr:uid="{E61046C4-2597-462B-8601-A71BA10ADC4B}">
      <formula1>INDIRECT("Table_SourceData_OrganicFertiliserTypes[Organic fertiliser type]")</formula1>
    </dataValidation>
    <dataValidation type="list" allowBlank="1" showInputMessage="1" showErrorMessage="1" sqref="H13:H14" xr:uid="{CB064B41-B1CB-47F8-811A-5923DE4D14B4}">
      <formula1>INDIRECT("Table_Fertiliser_ChemicalCompounds[Fertiliser type f]")</formula1>
    </dataValidation>
    <dataValidation type="list" allowBlank="1" showInputMessage="1" showErrorMessage="1" sqref="E53" xr:uid="{0EF9A726-27B5-435D-9717-19BF8055C1BD}">
      <formula1>INDIRECT("Table_SourceData_Swine_CropProdSystems[Production system]")</formula1>
    </dataValidation>
    <dataValidation type="list" allowBlank="1" showInputMessage="1" showErrorMessage="1" sqref="E54" xr:uid="{98AF71EF-A6CF-4E35-BE64-B07AAB53937E}">
      <formula1>INDIRECT("Table_SourceData_Swine_IrrigationMethods[Irrigation method]")</formula1>
    </dataValidation>
    <dataValidation type="list" allowBlank="1" showInputMessage="1" showErrorMessage="1" sqref="E238 E243 E248 E282 E277 E272 E150 E138 E114 E126" xr:uid="{300F7878-07F3-4F04-BED9-4696EEC1A88D}">
      <formula1>"Yes, No"</formula1>
    </dataValidation>
    <dataValidation type="list" allowBlank="1" showInputMessage="1" showErrorMessage="1" sqref="E214" xr:uid="{B6A52EB3-2524-4DF6-B092-A157B0196195}">
      <formula1>INDIRECT("Table_SourceData_Dairy_ProductionSystemTemplates[Area]")</formula1>
    </dataValidation>
    <dataValidation type="list" allowBlank="1" showInputMessage="1" showErrorMessage="1" sqref="D266" xr:uid="{7B99DD2A-31EE-40A0-B38A-69AC69E22FD9}">
      <formula1>INDIRECT("Table_SourceData_PoultryMMSStage1[MMS]")</formula1>
    </dataValidation>
    <dataValidation type="list" allowBlank="1" showInputMessage="1" showErrorMessage="1" sqref="E11:E12" xr:uid="{0445C2B7-1C90-4304-96FE-3C15DC2D16F4}">
      <formula1>_xlfn.TRIMRANGE(INDIRECT("Table_FuelTypesPerUse["&amp;D11&amp;"]"))</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dimension ref="A1:L365"/>
  <sheetViews>
    <sheetView showGridLines="0" topLeftCell="A19" zoomScaleNormal="100" workbookViewId="0">
      <selection activeCell="G27" sqref="G27"/>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246</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247</v>
      </c>
    </row>
    <row r="6" spans="1:10" ht="20.100000000000001" customHeight="1" x14ac:dyDescent="0.25">
      <c r="A6" s="18"/>
    </row>
    <row r="7" spans="1:10" ht="20.100000000000001" customHeight="1" x14ac:dyDescent="0.25">
      <c r="A7" s="19" t="s">
        <v>67</v>
      </c>
      <c r="D7" s="74" t="s">
        <v>248</v>
      </c>
    </row>
    <row r="8" spans="1:10" ht="20.100000000000001" customHeight="1" x14ac:dyDescent="0.25">
      <c r="A8" s="43" t="str">
        <f>HYPERLINK("#'Input - Electricity'!A1", "Electricity")</f>
        <v>Electricity</v>
      </c>
    </row>
    <row r="9" spans="1:10" ht="20.100000000000001" customHeight="1" x14ac:dyDescent="0.25">
      <c r="A9" s="16"/>
      <c r="D9" s="100" t="s">
        <v>249</v>
      </c>
      <c r="E9" s="101"/>
      <c r="F9" s="14"/>
    </row>
    <row r="10" spans="1:10" ht="20.100000000000001" customHeight="1" x14ac:dyDescent="0.25">
      <c r="A10" s="21" t="s">
        <v>77</v>
      </c>
      <c r="D10" s="14"/>
      <c r="E10" s="14"/>
      <c r="F10" s="14"/>
    </row>
    <row r="11" spans="1:10" ht="20.100000000000001" customHeight="1" x14ac:dyDescent="0.25">
      <c r="A11" s="16" t="str">
        <f>HYPERLINK("#'14.1.1-2 Purchased electricity'!A1", "14.1.1-2 Purchased electricity")</f>
        <v>14.1.1-2 Purchased electricity</v>
      </c>
      <c r="D11" s="8" t="s">
        <v>250</v>
      </c>
      <c r="E11" s="102">
        <v>500</v>
      </c>
      <c r="F11" s="68" t="s">
        <v>251</v>
      </c>
    </row>
    <row r="12" spans="1:10" ht="20.100000000000001" customHeight="1" x14ac:dyDescent="0.25">
      <c r="A12" s="16"/>
      <c r="D12" s="8" t="s">
        <v>252</v>
      </c>
      <c r="E12" s="50" t="str">
        <f>IF('Input - Site'!E21="Western Australia", 'Input - Site'!E22, 'Input - Site'!E21)</f>
        <v>ACT</v>
      </c>
      <c r="F12" s="14"/>
    </row>
    <row r="13" spans="1:10" ht="20.100000000000001" customHeight="1" x14ac:dyDescent="0.25">
      <c r="A13" s="23" t="s">
        <v>78</v>
      </c>
      <c r="D13" s="8" t="s">
        <v>253</v>
      </c>
      <c r="E13" s="48" t="s">
        <v>341</v>
      </c>
      <c r="F13" s="68" t="s">
        <v>198</v>
      </c>
    </row>
    <row r="14" spans="1:10" ht="20.100000000000001" customHeight="1" x14ac:dyDescent="0.25">
      <c r="A14" s="16" t="str">
        <f>HYPERLINK("#'Constants - Electricity'!A1", "Constants - Electricity")</f>
        <v>Constants - Electricity</v>
      </c>
    </row>
    <row r="15" spans="1:10" ht="20.100000000000001" customHeight="1" x14ac:dyDescent="0.25">
      <c r="A15" s="16" t="str">
        <f>HYPERLINK("#'Constants - Common'!A1", "Constants - Common")</f>
        <v>Constants - Common</v>
      </c>
    </row>
    <row r="16" spans="1:10" ht="20.100000000000001" customHeight="1" x14ac:dyDescent="0.25">
      <c r="C16" s="103"/>
      <c r="D16" s="103"/>
      <c r="E16" s="103"/>
      <c r="F16" s="103"/>
      <c r="G16" s="103"/>
      <c r="H16" s="103"/>
      <c r="I16" s="103"/>
      <c r="J16" s="103"/>
    </row>
    <row r="17" spans="1:11" ht="20.100000000000001" customHeight="1" x14ac:dyDescent="0.25">
      <c r="D17" s="9" t="s">
        <v>254</v>
      </c>
    </row>
    <row r="18" spans="1:11" ht="20.100000000000001" customHeight="1" x14ac:dyDescent="0.25">
      <c r="E18" s="57" t="str">
        <f>IF(E12="ACT", "", "ALERT: Your farm is not in the ACT, so the JRPP is not applicable")</f>
        <v/>
      </c>
    </row>
    <row r="19" spans="1:11" ht="20.100000000000001" customHeight="1" x14ac:dyDescent="0.25">
      <c r="D19" s="8" t="s">
        <v>255</v>
      </c>
      <c r="E19" s="102">
        <v>30000</v>
      </c>
      <c r="F19" s="68" t="s">
        <v>251</v>
      </c>
    </row>
    <row r="20" spans="1:11" ht="20.100000000000001" customHeight="1" x14ac:dyDescent="0.25">
      <c r="A20" s="16"/>
      <c r="D20" s="8" t="s">
        <v>256</v>
      </c>
      <c r="E20" s="90">
        <v>0.1</v>
      </c>
      <c r="F20" s="68" t="s">
        <v>257</v>
      </c>
    </row>
    <row r="21" spans="1:11" ht="20.100000000000001" customHeight="1" x14ac:dyDescent="0.25">
      <c r="A21" s="16"/>
      <c r="D21" s="8" t="s">
        <v>258</v>
      </c>
      <c r="E21" s="90">
        <v>0.1</v>
      </c>
      <c r="F21" s="68" t="s">
        <v>257</v>
      </c>
    </row>
    <row r="22" spans="1:11" ht="20.100000000000001" customHeight="1" x14ac:dyDescent="0.25"/>
    <row r="23" spans="1:11" ht="20.100000000000001" customHeight="1" x14ac:dyDescent="0.25">
      <c r="A23" s="16"/>
      <c r="D23" s="8" t="s">
        <v>259</v>
      </c>
      <c r="E23" s="102">
        <v>10000</v>
      </c>
      <c r="F23" s="68" t="s">
        <v>251</v>
      </c>
    </row>
    <row r="24" spans="1:11" ht="20.100000000000001" customHeight="1" x14ac:dyDescent="0.25"/>
    <row r="25" spans="1:11" ht="20.100000000000001" customHeight="1" x14ac:dyDescent="0.25">
      <c r="D25" s="8" t="s">
        <v>260</v>
      </c>
      <c r="E25" s="104" t="str">
        <f>TEXT('Input - Site'!$E$12, "dd mmm yyyy")</f>
        <v>01 Jan 2024</v>
      </c>
    </row>
    <row r="26" spans="1:11" ht="20.100000000000001" customHeight="1" x14ac:dyDescent="0.25">
      <c r="D26" s="8" t="s">
        <v>261</v>
      </c>
      <c r="E26" s="104" t="str">
        <f>TEXT('Input - Site'!$E$13, "dd mmm yyyy")</f>
        <v>31 Dec 2024</v>
      </c>
    </row>
    <row r="27" spans="1:11" ht="20.100000000000001" customHeight="1" x14ac:dyDescent="0.25"/>
    <row r="28" spans="1:11" ht="20.100000000000001" customHeight="1" x14ac:dyDescent="0.25">
      <c r="D28" s="74" t="s">
        <v>262</v>
      </c>
    </row>
    <row r="29" spans="1:11" ht="20.100000000000001" customHeight="1" x14ac:dyDescent="0.25">
      <c r="A29" s="16"/>
      <c r="K29" s="54"/>
    </row>
    <row r="30" spans="1:11" ht="20.100000000000001" customHeight="1" x14ac:dyDescent="0.25">
      <c r="A30" s="16"/>
      <c r="D30" s="100" t="s">
        <v>123</v>
      </c>
      <c r="E30" s="101"/>
      <c r="K30" s="54"/>
    </row>
    <row r="31" spans="1:11" ht="20.100000000000001" customHeight="1" x14ac:dyDescent="0.25">
      <c r="A31" s="52"/>
      <c r="K31" s="54"/>
    </row>
    <row r="32" spans="1:11" ht="20.100000000000001" customHeight="1" x14ac:dyDescent="0.25">
      <c r="A32" s="52"/>
      <c r="D32" s="47" t="s">
        <v>263</v>
      </c>
      <c r="E32" s="47" t="s">
        <v>264</v>
      </c>
      <c r="F32" s="47" t="s">
        <v>265</v>
      </c>
      <c r="G32" s="47" t="s">
        <v>266</v>
      </c>
      <c r="H32" s="47" t="s">
        <v>267</v>
      </c>
      <c r="I32" s="47" t="s">
        <v>268</v>
      </c>
      <c r="K32" s="54"/>
    </row>
    <row r="33" spans="1:12" ht="20.100000000000001" customHeight="1" x14ac:dyDescent="0.25">
      <c r="A33" s="16"/>
      <c r="D33" s="10" t="s">
        <v>269</v>
      </c>
      <c r="E33" s="48" t="s">
        <v>270</v>
      </c>
      <c r="F33" s="105">
        <v>44185</v>
      </c>
      <c r="G33" s="10">
        <v>12</v>
      </c>
      <c r="H33" s="50">
        <f>Table_Input_RECSurrendered[[#This Row],[Number of certificates]]</f>
        <v>12</v>
      </c>
      <c r="I33" s="50" t="str">
        <f>IF(DATEDIF(Table_Input_RECSurrendered[[#This Row],[Generation date]],DATEVALUE($E$26),"M")&gt;36,"Ineligible - older than 36 months","Elegible")</f>
        <v>Ineligible - older than 36 months</v>
      </c>
      <c r="K33" s="54"/>
    </row>
    <row r="34" spans="1:12" ht="20.100000000000001" customHeight="1" x14ac:dyDescent="0.25">
      <c r="D34" s="10"/>
      <c r="E34" s="48" t="s">
        <v>271</v>
      </c>
      <c r="F34" s="105">
        <v>44575</v>
      </c>
      <c r="G34" s="10">
        <v>5</v>
      </c>
      <c r="H34" s="50">
        <f>Table_Input_RECSurrendered[[#This Row],[Number of certificates]]</f>
        <v>5</v>
      </c>
      <c r="I34" s="50" t="str">
        <f>IF(DATEDIF(Table_Input_RECSurrendered[[#This Row],[Generation date]],DATEVALUE($E$26),"M")&gt;36,"Ineligible - older than 36 months","Elegible")</f>
        <v>Elegible</v>
      </c>
      <c r="K34" s="54"/>
    </row>
    <row r="35" spans="1:12" ht="20.100000000000001" customHeight="1" x14ac:dyDescent="0.25">
      <c r="D35" s="10"/>
      <c r="E35" s="48" t="s">
        <v>270</v>
      </c>
      <c r="F35" s="105">
        <v>45438</v>
      </c>
      <c r="G35" s="10">
        <v>5</v>
      </c>
      <c r="H35" s="50">
        <f>Table_Input_RECSurrendered[[#This Row],[Number of certificates]]</f>
        <v>5</v>
      </c>
      <c r="I35" s="50" t="str">
        <f>IF(DATEDIF(Table_Input_RECSurrendered[[#This Row],[Generation date]],DATEVALUE($E$26),"M")&gt;36,"Ineligible - older than 36 months","Elegible")</f>
        <v>Elegible</v>
      </c>
    </row>
    <row r="36" spans="1:12" ht="20.100000000000001" customHeight="1" x14ac:dyDescent="0.25">
      <c r="L36" s="54"/>
    </row>
    <row r="37" spans="1:12" ht="20.100000000000001" customHeight="1" x14ac:dyDescent="0.25">
      <c r="D37" s="8" t="s">
        <v>272</v>
      </c>
      <c r="E37" s="50">
        <f>SUMIF(Table_Input_RECSurrendered[Elegibility], "Elegible", Table_Input_RECSurrendered[MWh])</f>
        <v>10</v>
      </c>
      <c r="F37" s="68" t="s">
        <v>267</v>
      </c>
      <c r="L37" s="54"/>
    </row>
    <row r="38" spans="1:12" ht="20.100000000000001" customHeight="1" x14ac:dyDescent="0.25">
      <c r="C38" s="53"/>
    </row>
    <row r="39" spans="1:12" ht="20.100000000000001" customHeight="1" x14ac:dyDescent="0.25">
      <c r="A39" s="16"/>
      <c r="C39" s="53"/>
      <c r="D39" s="74" t="s">
        <v>273</v>
      </c>
      <c r="J39" s="53"/>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47" t="s">
        <v>263</v>
      </c>
      <c r="E41" s="47" t="s">
        <v>143</v>
      </c>
      <c r="F41" s="47" t="s">
        <v>265</v>
      </c>
      <c r="G41" s="47" t="s">
        <v>266</v>
      </c>
      <c r="H41" s="47" t="s">
        <v>267</v>
      </c>
      <c r="I41" s="47" t="s">
        <v>268</v>
      </c>
      <c r="J41" s="8"/>
      <c r="L41" s="54" t="s">
        <v>274</v>
      </c>
    </row>
    <row r="42" spans="1:12" ht="20.100000000000001" customHeight="1" x14ac:dyDescent="0.25">
      <c r="D42" s="10" t="s">
        <v>275</v>
      </c>
      <c r="E42" s="106" t="str">
        <f>"Issued for generated electricity"</f>
        <v>Issued for generated electricity</v>
      </c>
      <c r="F42" s="105">
        <v>44697</v>
      </c>
      <c r="G42" s="10">
        <v>10</v>
      </c>
      <c r="H42" s="50">
        <f>Table_Input_RECConsumedByEntity[[#This Row],[Number of certificates]]</f>
        <v>10</v>
      </c>
      <c r="I42" s="50"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10"/>
      <c r="E43" s="106" t="str">
        <f>"Issued for generated electricity"</f>
        <v>Issued for generated electricity</v>
      </c>
      <c r="F43" s="105">
        <v>45483</v>
      </c>
      <c r="G43" s="10">
        <v>4</v>
      </c>
      <c r="H43" s="50">
        <f>Table_Input_RECConsumedByEntity[[#This Row],[Number of certificates]]</f>
        <v>4</v>
      </c>
      <c r="I43" s="50" t="str">
        <f>IF(AND(Table_Input_RECConsumedByEntity[[#This Row],[Generation date]]&gt;=DATEVALUE($E$25), Table_Input_RECConsumedByEntity[[#This Row],[Generation date]]&lt;= DATEVALUE($E$26)), "Elegible", "Ineligible - outside reporting year")</f>
        <v>Elegible</v>
      </c>
    </row>
    <row r="44" spans="1:12" ht="20.100000000000001" customHeight="1" x14ac:dyDescent="0.25">
      <c r="A44" s="56"/>
      <c r="D44" s="10"/>
      <c r="E44" s="106" t="str">
        <f>"Issued for generated electricity"</f>
        <v>Issued for generated electricity</v>
      </c>
      <c r="F44" s="105">
        <v>45607</v>
      </c>
      <c r="G44" s="10">
        <v>7</v>
      </c>
      <c r="H44" s="50">
        <f>Table_Input_RECConsumedByEntity[[#This Row],[Number of certificates]]</f>
        <v>7</v>
      </c>
      <c r="I44" s="50" t="str">
        <f>IF(AND(Table_Input_RECConsumedByEntity[[#This Row],[Generation date]]&gt;=DATEVALUE($E$25), Table_Input_RECConsumedByEntity[[#This Row],[Generation date]]&lt;= DATEVALUE($E$26)), "Elegible", "Ineligible - outside reporting year")</f>
        <v>Elegible</v>
      </c>
    </row>
    <row r="45" spans="1:12" ht="20.100000000000001" customHeight="1" x14ac:dyDescent="0.25"/>
    <row r="46" spans="1:12" ht="20.100000000000001" customHeight="1" x14ac:dyDescent="0.25">
      <c r="D46" s="8" t="s">
        <v>276</v>
      </c>
      <c r="E46" s="50">
        <f>SUMIF(Table_Input_RECConsumedByEntity[Elegibility], "Elegible", Table_Input_RECConsumedByEntity[Number of certificates])</f>
        <v>11</v>
      </c>
      <c r="F46" s="68" t="s">
        <v>267</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107"/>
    </row>
    <row r="54" spans="4:4" ht="20.100000000000001" customHeight="1" x14ac:dyDescent="0.25"/>
    <row r="55" spans="4:4" ht="20.100000000000001" customHeight="1" x14ac:dyDescent="0.25">
      <c r="D55" s="107"/>
    </row>
    <row r="56" spans="4:4" ht="20.100000000000001" customHeight="1" x14ac:dyDescent="0.25">
      <c r="D56" s="107"/>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1 I45:I46 H47:H49 I48 I50:I52 I54:I55 I206 I212 E214:G214">
    <cfRule type="cellIs" dxfId="1" priority="11" operator="lessThan">
      <formula>0</formula>
    </cfRule>
  </conditionalFormatting>
  <conditionalFormatting sqref="J35 I36 J37 I39 F51">
    <cfRule type="cellIs" dxfId="0" priority="9" operator="lessThan">
      <formula>0</formula>
    </cfRule>
  </conditionalFormatting>
  <dataValidations count="6">
    <dataValidation type="list" allowBlank="1" showInputMessage="1" showErrorMessage="1" sqref="E33:E35" xr:uid="{FBACCABC-AF99-44FB-9146-6F32E67A5303}">
      <formula1>"Purchased certificate, Issued for generated electricity"</formula1>
    </dataValidation>
    <dataValidation type="list" allowBlank="1" showInputMessage="1" showErrorMessage="1" sqref="E13"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dimension ref="C1:AP474"/>
  <sheetViews>
    <sheetView showGridLines="0" tabSelected="1" topLeftCell="A300" zoomScaleNormal="100" workbookViewId="0">
      <selection activeCell="I281" sqref="I281"/>
    </sheetView>
  </sheetViews>
  <sheetFormatPr defaultRowHeight="15.75" x14ac:dyDescent="0.25"/>
  <cols>
    <col min="1" max="1" width="30.625" customWidth="1"/>
    <col min="2" max="2" width="4.625" customWidth="1"/>
    <col min="3" max="3" width="4.625" style="8" customWidth="1"/>
    <col min="4" max="41" width="30.625" style="8" customWidth="1"/>
    <col min="42" max="42" width="4.625" style="8" customWidth="1"/>
  </cols>
  <sheetData>
    <row r="1" spans="4:8" ht="30" customHeight="1" x14ac:dyDescent="0.25"/>
    <row r="2" spans="4:8" ht="20.100000000000001" customHeight="1" x14ac:dyDescent="0.25"/>
    <row r="3" spans="4:8" ht="20.100000000000001" customHeight="1" x14ac:dyDescent="0.25"/>
    <row r="4" spans="4:8" ht="20.100000000000001" customHeight="1" x14ac:dyDescent="0.25"/>
    <row r="5" spans="4:8" ht="20.100000000000001" customHeight="1" x14ac:dyDescent="0.25">
      <c r="D5" s="9" t="str" cm="1">
        <f t="array" ref="D5">Scope3_Equations.VEERG_15_1_1_1__1_EmissionsFromPurchasedLivestock_Title()</f>
        <v>Total emissions from purchased livestock</v>
      </c>
    </row>
    <row r="6" spans="4:8" ht="20.100000000000001" customHeight="1" x14ac:dyDescent="0.25">
      <c r="D6" s="11" t="str" cm="1">
        <f t="array" ref="D6">Scope3_Equations.VEERG_15_1_1_1__1_EmissionsFromPurchasedLivestock_Source()</f>
        <v>VEERG 2026: 15.1.1.1, Equation (1)</v>
      </c>
    </row>
    <row r="7" spans="4:8" ht="20.100000000000001" customHeight="1" x14ac:dyDescent="0.25">
      <c r="D7" s="189" t="s">
        <v>703</v>
      </c>
      <c r="E7" s="189" t="str" cm="1">
        <f t="array" aca="1" ref="E7" ca="1">Common_InputFunctions.Utility_DisplayFunctionName(J23)</f>
        <v>=Scope3_Equations.VEERG_15_1_1_1__1_EmissionsFromPurchasedLivestock</v>
      </c>
    </row>
    <row r="8" spans="4:8" ht="20.100000000000001" customHeight="1" x14ac:dyDescent="0.25"/>
    <row r="9" spans="4:8" ht="20.100000000000001" customHeight="1" x14ac:dyDescent="0.25">
      <c r="H9" s="189"/>
    </row>
    <row r="10" spans="4:8" ht="20.100000000000001" customHeight="1" x14ac:dyDescent="0.25">
      <c r="D10" s="28" t="s">
        <v>704</v>
      </c>
      <c r="E10" s="8" t="str" cm="1">
        <f t="array" ref="E10">Scope3_Equations.VEERG_15_1_1_1__1_EmissionsFromPurchasedLivestock_Variable()</f>
        <v>E</v>
      </c>
    </row>
    <row r="11" spans="4:8" ht="20.100000000000001" customHeight="1" x14ac:dyDescent="0.25">
      <c r="D11" s="28" t="s">
        <v>99</v>
      </c>
      <c r="E11" s="13" t="str" cm="1">
        <f t="array" ref="E11">Scope3_Equations.VEERG_15_1_1_1__1_EmissionsFromPurchasedLivestock_Unit()</f>
        <v>t CO2e</v>
      </c>
    </row>
    <row r="12" spans="4:8" ht="20.100000000000001" customHeight="1" x14ac:dyDescent="0.25"/>
    <row r="13" spans="4:8" ht="20.100000000000001" customHeight="1" x14ac:dyDescent="0.25">
      <c r="D13" s="185" t="str" cm="1">
        <f t="array" ref="D13:E17">_xlfn.CHOOSECOLS(Scope3_Equations.VEERG_15_1_1_1__1_EmissionsFromPurchasedLivestock_Arguments(),1,2)</f>
        <v>N_co</v>
      </c>
      <c r="E13" s="188" t="str">
        <v>number of animals purchased in livestock type c from origin o</v>
      </c>
      <c r="F13" s="184"/>
      <c r="G13" s="185" t="str" cm="1">
        <f t="array" ref="G13:H17">_xlfn.CHOOSECOLS(Scope3_Equations.VEERG_15_1_1_1__1_EmissionsFromPurchasedLivestock_Arguments(),3,4)</f>
        <v>head</v>
      </c>
      <c r="H13" s="186" t="str">
        <v>Input</v>
      </c>
    </row>
    <row r="14" spans="4:8" ht="20.100000000000001" customHeight="1" x14ac:dyDescent="0.25">
      <c r="D14" s="185" t="str">
        <v>W_co</v>
      </c>
      <c r="E14" s="188" t="str">
        <v>average liveweight of purchased livestock at point of purchase</v>
      </c>
      <c r="F14" s="184"/>
      <c r="G14" s="185" t="str">
        <v>kg/head</v>
      </c>
      <c r="H14" s="186" t="str">
        <v>Input</v>
      </c>
    </row>
    <row r="15" spans="4:8" ht="20.100000000000001" customHeight="1" x14ac:dyDescent="0.25">
      <c r="D15" s="185" t="str">
        <v>EF_co</v>
      </c>
      <c r="E15" s="188" t="str">
        <v>emission factor per livestock type and origin</v>
      </c>
      <c r="F15" s="184"/>
      <c r="G15" s="185" t="str">
        <v>kg CO2e/kg</v>
      </c>
      <c r="H15" s="187" t="str">
        <v>Constant</v>
      </c>
    </row>
    <row r="16" spans="4:8" ht="20.100000000000001" customHeight="1" x14ac:dyDescent="0.25">
      <c r="D16" s="185" t="str">
        <v>c</v>
      </c>
      <c r="E16" s="188" t="str">
        <v>livestock type</v>
      </c>
      <c r="F16" s="184"/>
      <c r="G16" s="185" t="str">
        <v/>
      </c>
      <c r="H16" s="186" t="str">
        <v>Input</v>
      </c>
    </row>
    <row r="17" spans="4:16" ht="20.100000000000001" customHeight="1" x14ac:dyDescent="0.25">
      <c r="D17" s="185" t="str">
        <v>o</v>
      </c>
      <c r="E17" s="188" t="str">
        <v>origin</v>
      </c>
      <c r="F17" s="184"/>
      <c r="G17" s="185" t="str">
        <v/>
      </c>
      <c r="H17" s="186" t="str">
        <v>Input</v>
      </c>
    </row>
    <row r="18" spans="4:16" ht="20.100000000000001" customHeight="1" x14ac:dyDescent="0.25"/>
    <row r="19" spans="4:16" ht="20.100000000000001" customHeight="1" x14ac:dyDescent="0.25">
      <c r="D19" s="100" t="s">
        <v>627</v>
      </c>
      <c r="E19" s="116"/>
      <c r="F19" s="101"/>
    </row>
    <row r="20" spans="4:16" ht="20.100000000000001" customHeight="1" x14ac:dyDescent="0.25"/>
    <row r="21" spans="4:16" ht="20.100000000000001" customHeight="1" x14ac:dyDescent="0.25">
      <c r="D21" s="154" t="s">
        <v>353</v>
      </c>
    </row>
    <row r="22" spans="4:16" ht="20.100000000000001" customHeight="1" x14ac:dyDescent="0.25">
      <c r="D22" s="47" t="s">
        <v>394</v>
      </c>
      <c r="E22" s="165" t="s">
        <v>697</v>
      </c>
      <c r="F22" s="165" t="s">
        <v>696</v>
      </c>
      <c r="G22" s="165" t="s">
        <v>698</v>
      </c>
      <c r="H22" s="165" t="s">
        <v>699</v>
      </c>
      <c r="I22" s="60" t="s">
        <v>701</v>
      </c>
      <c r="J22" s="60" t="s">
        <v>710</v>
      </c>
      <c r="K22" s="165" t="s">
        <v>700</v>
      </c>
      <c r="L22" s="47" t="s">
        <v>702</v>
      </c>
      <c r="M22" s="60" t="s">
        <v>712</v>
      </c>
      <c r="N22" s="47" t="s">
        <v>706</v>
      </c>
      <c r="O22" s="47" t="s">
        <v>707</v>
      </c>
      <c r="P22" s="47" t="s">
        <v>708</v>
      </c>
    </row>
    <row r="23" spans="4:16" ht="20.100000000000001" customHeight="1" x14ac:dyDescent="0.25">
      <c r="D23" s="50" t="str" cm="1">
        <f t="array" ref="D23:D32">IFERROR(INDEX(Table_Input_LivestockPurchases_Beefcattle[Transaction name], _xlfn.SEQUENCE(10)), "")</f>
        <v>Cows from Barry</v>
      </c>
      <c r="E23" s="50" t="str" cm="1">
        <f t="array" ref="E23:E32">IFERROR(INDEX(Table_Input_LivestockPurchases_Beefcattle[Purchase class (select)], _xlfn.SEQUENCE(10)), "")</f>
        <v>Cattle, for prime beef</v>
      </c>
      <c r="F23" s="50" t="str" cm="1">
        <f t="array" ref="F23:F32">IFERROR(_xlfn.XLOOKUP(INDEX(Table_Input_LivestockPurchases_Beefcattle[Source region (Select)], _xlfn.SEQUENCE(10)), Table_ProductRegions_Beefcattle[Region],Table_ProductRegions_Beefcattle[Scope3 region]), "")</f>
        <v>WA</v>
      </c>
      <c r="G23" s="50" cm="1">
        <f t="array" ref="G23:G32">IFERROR(INDEX(Table_Input_LivestockPurchases_Beefcattle[Quantity (head)], _xlfn.SEQUENCE(10)), "")</f>
        <v>100</v>
      </c>
      <c r="H23" s="50" cm="1">
        <f t="array" ref="H23:H32">IFERROR(INDEX(Table_Input_LivestockPurchases_Beefcattle[Liveweight (kg/head) Method 1], _xlfn.SEQUENCE(10)), 0)</f>
        <v>210</v>
      </c>
      <c r="I23" s="50" cm="1">
        <f t="array" ref="I23">Common_InputFunctions.Utility_LookupValueInTableTwoColumns(E23,F23,Table_SourceData_Scope3_Animals[Product],Table_SourceData_Scope3_Animals[Region of origin],Table_SourceData_Scope3_Animals[AusLCI Emissions intensity], 0)</f>
        <v>20.8</v>
      </c>
      <c r="J23" s="164" cm="1">
        <f t="array" ref="J23">Scope3_Equations.VEERG_15_1_1_1__1_EmissionsFromPurchasedLivestock(G23,H23,I23)</f>
        <v>436.8</v>
      </c>
      <c r="K23" s="50" cm="1">
        <f t="array" ref="K23:K32">IFERROR(INDEX(Table_Input_LivestockPurchases_Beefcattle[Liveweight (kg/head) Method 2], _xlfn.SEQUENCE(10)), "")</f>
        <v>205</v>
      </c>
      <c r="L23" s="69">
        <v>20</v>
      </c>
      <c r="M23" s="164" cm="1">
        <f t="array" ref="M23">Scope3_Equations.VEERG_15_1_1_1__1_EmissionsFromPurchasedLivestock(G23,K23,IF(L23, L23, I23))</f>
        <v>410</v>
      </c>
      <c r="N23" s="86" t="s">
        <v>664</v>
      </c>
      <c r="O23" s="48" t="s">
        <v>663</v>
      </c>
      <c r="P23" s="179" t="s">
        <v>665</v>
      </c>
    </row>
    <row r="24" spans="4:16" ht="20.100000000000001" customHeight="1" x14ac:dyDescent="0.25">
      <c r="D24" s="50">
        <v>0</v>
      </c>
      <c r="E24" s="50" t="str">
        <v>Cattle, for manufacturing beef</v>
      </c>
      <c r="F24" s="50" t="str">
        <v>WA</v>
      </c>
      <c r="G24" s="50">
        <v>100</v>
      </c>
      <c r="H24" s="50">
        <v>470</v>
      </c>
      <c r="I24" s="50" cm="1">
        <f t="array" ref="I24">Common_InputFunctions.Utility_LookupValueInTableTwoColumns(E24,F24,Table_SourceData_Scope3_Animals[Product],Table_SourceData_Scope3_Animals[Region of origin],Table_SourceData_Scope3_Animals[AusLCI Emissions intensity], 0)</f>
        <v>13.1</v>
      </c>
      <c r="J24" s="164" cm="1">
        <f t="array" ref="J24">Scope3_Equations.VEERG_15_1_1_1__1_EmissionsFromPurchasedLivestock(G24,H24,I24)</f>
        <v>615.70000000000005</v>
      </c>
      <c r="K24" s="50">
        <v>465</v>
      </c>
      <c r="L24" s="69">
        <v>13</v>
      </c>
      <c r="M24" s="164" cm="1">
        <f t="array" ref="M24">Scope3_Equations.VEERG_15_1_1_1__1_EmissionsFromPurchasedLivestock(G24,K24,IF(L24, L24, I24))</f>
        <v>604.5</v>
      </c>
      <c r="N24" s="86"/>
      <c r="O24" s="48"/>
      <c r="P24" s="86"/>
    </row>
    <row r="25" spans="4:16" ht="20.100000000000001" customHeight="1" x14ac:dyDescent="0.25">
      <c r="D25" s="50">
        <v>0</v>
      </c>
      <c r="E25" s="50">
        <v>0</v>
      </c>
      <c r="F25" s="50" t="str">
        <v/>
      </c>
      <c r="G25" s="50">
        <v>0</v>
      </c>
      <c r="H25" s="50">
        <v>0</v>
      </c>
      <c r="I25" s="50" cm="1">
        <f t="array" ref="I25">Common_InputFunctions.Utility_LookupValueInTableTwoColumns(E25,F25,Table_SourceData_Scope3_Animals[Product],Table_SourceData_Scope3_Animals[Region of origin],Table_SourceData_Scope3_Animals[AusLCI Emissions intensity], 0)</f>
        <v>0</v>
      </c>
      <c r="J25" s="164" cm="1">
        <f t="array" ref="J25">Scope3_Equations.VEERG_15_1_1_1__1_EmissionsFromPurchasedLivestock(G25,H25,I25)</f>
        <v>0</v>
      </c>
      <c r="K25" s="50">
        <v>0</v>
      </c>
      <c r="L25" s="69"/>
      <c r="M25" s="164" cm="1">
        <f t="array" ref="M25">Scope3_Equations.VEERG_15_1_1_1__1_EmissionsFromPurchasedLivestock(G25,K25,IF(L25, L25, I25))</f>
        <v>0</v>
      </c>
      <c r="N25" s="86"/>
      <c r="O25" s="48"/>
      <c r="P25" s="86"/>
    </row>
    <row r="26" spans="4:16" ht="20.100000000000001" customHeight="1" x14ac:dyDescent="0.25">
      <c r="D26" s="50">
        <v>0</v>
      </c>
      <c r="E26" s="50">
        <v>0</v>
      </c>
      <c r="F26" s="50" t="str">
        <v/>
      </c>
      <c r="G26" s="50">
        <v>0</v>
      </c>
      <c r="H26" s="50">
        <v>0</v>
      </c>
      <c r="I26" s="50" cm="1">
        <f t="array" ref="I26">Common_InputFunctions.Utility_LookupValueInTableTwoColumns(E26,F26,Table_SourceData_Scope3_Animals[Product],Table_SourceData_Scope3_Animals[Region of origin],Table_SourceData_Scope3_Animals[AusLCI Emissions intensity], 0)</f>
        <v>0</v>
      </c>
      <c r="J26" s="164" cm="1">
        <f t="array" ref="J26">Scope3_Equations.VEERG_15_1_1_1__1_EmissionsFromPurchasedLivestock(G26,H26,I26)</f>
        <v>0</v>
      </c>
      <c r="K26" s="50">
        <v>0</v>
      </c>
      <c r="L26" s="69"/>
      <c r="M26" s="164" cm="1">
        <f t="array" ref="M26">Scope3_Equations.VEERG_15_1_1_1__1_EmissionsFromPurchasedLivestock(G26,K26,IF(L26, L26, I26))</f>
        <v>0</v>
      </c>
      <c r="N26" s="86"/>
      <c r="O26" s="48"/>
      <c r="P26" s="86"/>
    </row>
    <row r="27" spans="4:16" ht="20.100000000000001" customHeight="1" x14ac:dyDescent="0.25">
      <c r="D27" s="50">
        <v>0</v>
      </c>
      <c r="E27" s="50">
        <v>0</v>
      </c>
      <c r="F27" s="50" t="str">
        <v/>
      </c>
      <c r="G27" s="50">
        <v>0</v>
      </c>
      <c r="H27" s="50">
        <v>0</v>
      </c>
      <c r="I27" s="50" cm="1">
        <f t="array" ref="I27">Common_InputFunctions.Utility_LookupValueInTableTwoColumns(E27,F27,Table_SourceData_Scope3_Animals[Product],Table_SourceData_Scope3_Animals[Region of origin],Table_SourceData_Scope3_Animals[AusLCI Emissions intensity], 0)</f>
        <v>0</v>
      </c>
      <c r="J27" s="164" cm="1">
        <f t="array" ref="J27">Scope3_Equations.VEERG_15_1_1_1__1_EmissionsFromPurchasedLivestock(G27,H27,I27)</f>
        <v>0</v>
      </c>
      <c r="K27" s="50">
        <v>0</v>
      </c>
      <c r="L27" s="69"/>
      <c r="M27" s="164" cm="1">
        <f t="array" ref="M27">Scope3_Equations.VEERG_15_1_1_1__1_EmissionsFromPurchasedLivestock(G27,K27,IF(L27, L27, I27))</f>
        <v>0</v>
      </c>
      <c r="N27" s="86"/>
      <c r="O27" s="48"/>
      <c r="P27" s="86"/>
    </row>
    <row r="28" spans="4:16" ht="20.100000000000001" customHeight="1" x14ac:dyDescent="0.25">
      <c r="D28" s="50">
        <v>0</v>
      </c>
      <c r="E28" s="50">
        <v>0</v>
      </c>
      <c r="F28" s="50" t="str">
        <v/>
      </c>
      <c r="G28" s="50">
        <v>0</v>
      </c>
      <c r="H28" s="50">
        <v>0</v>
      </c>
      <c r="I28" s="50" cm="1">
        <f t="array" ref="I28">Common_InputFunctions.Utility_LookupValueInTableTwoColumns(E28,F28,Table_SourceData_Scope3_Animals[Product],Table_SourceData_Scope3_Animals[Region of origin],Table_SourceData_Scope3_Animals[AusLCI Emissions intensity], 0)</f>
        <v>0</v>
      </c>
      <c r="J28" s="164" cm="1">
        <f t="array" ref="J28">Scope3_Equations.VEERG_15_1_1_1__1_EmissionsFromPurchasedLivestock(G28,H28,I28)</f>
        <v>0</v>
      </c>
      <c r="K28" s="50">
        <v>0</v>
      </c>
      <c r="L28" s="69"/>
      <c r="M28" s="164" cm="1">
        <f t="array" ref="M28">Scope3_Equations.VEERG_15_1_1_1__1_EmissionsFromPurchasedLivestock(G28,K28,IF(L28, L28, I28))</f>
        <v>0</v>
      </c>
      <c r="N28" s="86"/>
      <c r="O28" s="48"/>
      <c r="P28" s="86"/>
    </row>
    <row r="29" spans="4:16" ht="20.100000000000001" customHeight="1" x14ac:dyDescent="0.25">
      <c r="D29" s="50">
        <v>0</v>
      </c>
      <c r="E29" s="50">
        <v>0</v>
      </c>
      <c r="F29" s="50" t="str">
        <v/>
      </c>
      <c r="G29" s="50">
        <v>0</v>
      </c>
      <c r="H29" s="50">
        <v>0</v>
      </c>
      <c r="I29" s="50" cm="1">
        <f t="array" ref="I29">Common_InputFunctions.Utility_LookupValueInTableTwoColumns(E29,F29,Table_SourceData_Scope3_Animals[Product],Table_SourceData_Scope3_Animals[Region of origin],Table_SourceData_Scope3_Animals[AusLCI Emissions intensity], 0)</f>
        <v>0</v>
      </c>
      <c r="J29" s="164" cm="1">
        <f t="array" ref="J29">Scope3_Equations.VEERG_15_1_1_1__1_EmissionsFromPurchasedLivestock(G29,H29,I29)</f>
        <v>0</v>
      </c>
      <c r="K29" s="50">
        <v>0</v>
      </c>
      <c r="L29" s="69"/>
      <c r="M29" s="164" cm="1">
        <f t="array" ref="M29">Scope3_Equations.VEERG_15_1_1_1__1_EmissionsFromPurchasedLivestock(G29,K29,IF(L29, L29, I29))</f>
        <v>0</v>
      </c>
      <c r="N29" s="86"/>
      <c r="O29" s="48"/>
      <c r="P29" s="86"/>
    </row>
    <row r="30" spans="4:16" ht="20.100000000000001" customHeight="1" x14ac:dyDescent="0.25">
      <c r="D30" s="50">
        <v>0</v>
      </c>
      <c r="E30" s="50">
        <v>0</v>
      </c>
      <c r="F30" s="50" t="str">
        <v/>
      </c>
      <c r="G30" s="50">
        <v>0</v>
      </c>
      <c r="H30" s="50">
        <v>0</v>
      </c>
      <c r="I30" s="50" cm="1">
        <f t="array" ref="I30">Common_InputFunctions.Utility_LookupValueInTableTwoColumns(E30,F30,Table_SourceData_Scope3_Animals[Product],Table_SourceData_Scope3_Animals[Region of origin],Table_SourceData_Scope3_Animals[AusLCI Emissions intensity], 0)</f>
        <v>0</v>
      </c>
      <c r="J30" s="164" cm="1">
        <f t="array" ref="J30">Scope3_Equations.VEERG_15_1_1_1__1_EmissionsFromPurchasedLivestock(G30,H30,I30)</f>
        <v>0</v>
      </c>
      <c r="K30" s="50">
        <v>0</v>
      </c>
      <c r="L30" s="69"/>
      <c r="M30" s="164" cm="1">
        <f t="array" ref="M30">Scope3_Equations.VEERG_15_1_1_1__1_EmissionsFromPurchasedLivestock(G30,K30,IF(L30, L30, I30))</f>
        <v>0</v>
      </c>
      <c r="N30" s="86"/>
      <c r="O30" s="48"/>
      <c r="P30" s="86"/>
    </row>
    <row r="31" spans="4:16" ht="20.100000000000001" customHeight="1" x14ac:dyDescent="0.25">
      <c r="D31" s="50">
        <v>0</v>
      </c>
      <c r="E31" s="50">
        <v>0</v>
      </c>
      <c r="F31" s="50" t="str">
        <v/>
      </c>
      <c r="G31" s="50">
        <v>0</v>
      </c>
      <c r="H31" s="50">
        <v>0</v>
      </c>
      <c r="I31" s="50" cm="1">
        <f t="array" ref="I31">Common_InputFunctions.Utility_LookupValueInTableTwoColumns(E31,F31,Table_SourceData_Scope3_Animals[Product],Table_SourceData_Scope3_Animals[Region of origin],Table_SourceData_Scope3_Animals[AusLCI Emissions intensity], 0)</f>
        <v>0</v>
      </c>
      <c r="J31" s="164" cm="1">
        <f t="array" ref="J31">Scope3_Equations.VEERG_15_1_1_1__1_EmissionsFromPurchasedLivestock(G31,H31,I31)</f>
        <v>0</v>
      </c>
      <c r="K31" s="50">
        <v>0</v>
      </c>
      <c r="L31" s="69"/>
      <c r="M31" s="164" cm="1">
        <f t="array" ref="M31">Scope3_Equations.VEERG_15_1_1_1__1_EmissionsFromPurchasedLivestock(G31,K31,IF(L31, L31, I31))</f>
        <v>0</v>
      </c>
      <c r="N31" s="86"/>
      <c r="O31" s="48"/>
      <c r="P31" s="86"/>
    </row>
    <row r="32" spans="4:16" ht="20.100000000000001" customHeight="1" x14ac:dyDescent="0.25">
      <c r="D32" s="50">
        <v>0</v>
      </c>
      <c r="E32" s="50">
        <v>0</v>
      </c>
      <c r="F32" s="50" t="str">
        <v/>
      </c>
      <c r="G32" s="50">
        <v>0</v>
      </c>
      <c r="H32" s="50">
        <v>0</v>
      </c>
      <c r="I32" s="50" cm="1">
        <f t="array" ref="I32">Common_InputFunctions.Utility_LookupValueInTableTwoColumns(E32,F32,Table_SourceData_Scope3_Animals[Product],Table_SourceData_Scope3_Animals[Region of origin],Table_SourceData_Scope3_Animals[AusLCI Emissions intensity], 0)</f>
        <v>0</v>
      </c>
      <c r="J32" s="164" cm="1">
        <f t="array" ref="J32">Scope3_Equations.VEERG_15_1_1_1__1_EmissionsFromPurchasedLivestock(G32,H32,I32)</f>
        <v>0</v>
      </c>
      <c r="K32" s="50">
        <v>0</v>
      </c>
      <c r="L32" s="69"/>
      <c r="M32" s="164" cm="1">
        <f t="array" ref="M32">Scope3_Equations.VEERG_15_1_1_1__1_EmissionsFromPurchasedLivestock(G32,K32,IF(L32, L32, I32))</f>
        <v>0</v>
      </c>
      <c r="N32" s="86"/>
      <c r="O32" s="48"/>
      <c r="P32" s="86"/>
    </row>
    <row r="33" spans="4:13" ht="20.100000000000001" customHeight="1" x14ac:dyDescent="0.25"/>
    <row r="34" spans="4:13" ht="20.100000000000001" customHeight="1" x14ac:dyDescent="0.25">
      <c r="D34" s="190" t="s">
        <v>726</v>
      </c>
      <c r="E34" s="103">
        <f>SUM(J23:J32)</f>
        <v>1052.5</v>
      </c>
      <c r="F34" s="191" t="str">
        <f>$E$11</f>
        <v>t CO2e</v>
      </c>
    </row>
    <row r="35" spans="4:13" ht="20.100000000000001" customHeight="1" x14ac:dyDescent="0.25">
      <c r="D35" s="190" t="s">
        <v>727</v>
      </c>
      <c r="E35" s="103">
        <f>SUM(M23:M32)</f>
        <v>1014.5</v>
      </c>
      <c r="F35" s="191" t="str">
        <f>$E$11</f>
        <v>t CO2e</v>
      </c>
    </row>
    <row r="36" spans="4:13" ht="20.100000000000001" customHeight="1" x14ac:dyDescent="0.25"/>
    <row r="37" spans="4:13" ht="20.100000000000001" customHeight="1" x14ac:dyDescent="0.25"/>
    <row r="38" spans="4:13" ht="20.100000000000001" customHeight="1" x14ac:dyDescent="0.25">
      <c r="D38" s="154" t="s">
        <v>369</v>
      </c>
    </row>
    <row r="39" spans="4:13" ht="20.100000000000001" customHeight="1" x14ac:dyDescent="0.25">
      <c r="D39" s="185" t="s">
        <v>705</v>
      </c>
      <c r="E39" s="50" cm="1">
        <f t="array" ref="E39">Common_InputFunctions.Utility_LookupValueInTableNumber("Dairy cows", Table_SourceData_Scope3_Animals[Product],Table_SourceData_Scope3_Animals[AusLCI Emissions intensity])</f>
        <v>4.41</v>
      </c>
    </row>
    <row r="40" spans="4:13" ht="20.100000000000001" customHeight="1" x14ac:dyDescent="0.25"/>
    <row r="41" spans="4:13" ht="20.100000000000001" customHeight="1" x14ac:dyDescent="0.25">
      <c r="D41" s="47" t="s">
        <v>394</v>
      </c>
      <c r="E41" s="165" t="s">
        <v>698</v>
      </c>
      <c r="F41" s="165" t="s">
        <v>699</v>
      </c>
      <c r="G41" s="60" t="s">
        <v>710</v>
      </c>
      <c r="H41" s="165" t="s">
        <v>700</v>
      </c>
      <c r="I41" s="47" t="s">
        <v>702</v>
      </c>
      <c r="J41" s="60" t="s">
        <v>712</v>
      </c>
      <c r="K41" s="47" t="s">
        <v>706</v>
      </c>
      <c r="L41" s="47" t="s">
        <v>707</v>
      </c>
      <c r="M41" s="47" t="s">
        <v>708</v>
      </c>
    </row>
    <row r="42" spans="4:13" ht="20.100000000000001" customHeight="1" x14ac:dyDescent="0.25">
      <c r="D42" s="50" t="str" cm="1">
        <f t="array" ref="D42:D51">IFERROR(INDEX(Table_Input_LivestockPurchases_Dairy[Transaction name], _xlfn.SEQUENCE(10)), "")</f>
        <v>Dairy cows from Denise</v>
      </c>
      <c r="E42" s="50" cm="1">
        <f t="array" ref="E42:E51">IFERROR(INDEX(Table_Input_LivestockPurchases_Dairy[Quantity (head)], _xlfn.SEQUENCE(10)), 0)</f>
        <v>100</v>
      </c>
      <c r="F42" s="50" cm="1">
        <f t="array" ref="F42:F51">IFERROR(INDEX(Table_Input_LivestockPurchases_Dairy[Liveweight (kg/head) Method 1], _xlfn.SEQUENCE(10)), 0)</f>
        <v>350</v>
      </c>
      <c r="G42" s="164" cm="1">
        <f t="array" ref="G42">Scope3_Equations.VEERG_15_1_1_1__1_EmissionsFromPurchasedLivestock(E42,F42,$E$39)</f>
        <v>154.35</v>
      </c>
      <c r="H42" s="50" cm="1">
        <f t="array" ref="H42:H51">IFERROR(INDEX(Table_Input_LivestockPurchases_Dairy[Liveweight (kg/head) Method 2], _xlfn.SEQUENCE(10)), "")</f>
        <v>350</v>
      </c>
      <c r="I42" s="69">
        <v>4</v>
      </c>
      <c r="J42" s="164" cm="1">
        <f t="array" ref="J42">Scope3_Equations.VEERG_15_1_1_1__1_EmissionsFromPurchasedLivestock(E42,H42,IF(I42,I42,$E$39))</f>
        <v>140</v>
      </c>
      <c r="K42" s="86" t="s">
        <v>664</v>
      </c>
      <c r="L42" s="48" t="s">
        <v>663</v>
      </c>
      <c r="M42" s="179" t="s">
        <v>665</v>
      </c>
    </row>
    <row r="43" spans="4:13" ht="20.100000000000001" customHeight="1" x14ac:dyDescent="0.25">
      <c r="D43" s="50">
        <v>0</v>
      </c>
      <c r="E43" s="50">
        <v>100</v>
      </c>
      <c r="F43" s="50">
        <v>650</v>
      </c>
      <c r="G43" s="164" cm="1">
        <f t="array" ref="G43">Scope3_Equations.VEERG_15_1_1_1__1_EmissionsFromPurchasedLivestock(E43,F43,$E$39)</f>
        <v>286.65000000000003</v>
      </c>
      <c r="H43" s="50">
        <v>625</v>
      </c>
      <c r="I43" s="69"/>
      <c r="J43" s="164" cm="1">
        <f t="array" ref="J43">Scope3_Equations.VEERG_15_1_1_1__1_EmissionsFromPurchasedLivestock(E43,H43,IF(I43,I43,$E$39))</f>
        <v>275.625</v>
      </c>
      <c r="K43" s="86"/>
      <c r="L43" s="48"/>
      <c r="M43" s="86"/>
    </row>
    <row r="44" spans="4:13" ht="20.100000000000001" customHeight="1" x14ac:dyDescent="0.25">
      <c r="D44" s="50">
        <v>0</v>
      </c>
      <c r="E44" s="50">
        <v>0</v>
      </c>
      <c r="F44" s="50">
        <v>600</v>
      </c>
      <c r="G44" s="164" cm="1">
        <f t="array" ref="G44">Scope3_Equations.VEERG_15_1_1_1__1_EmissionsFromPurchasedLivestock(E44,F44,$E$39)</f>
        <v>0</v>
      </c>
      <c r="H44" s="50">
        <v>0</v>
      </c>
      <c r="I44" s="69"/>
      <c r="J44" s="164" cm="1">
        <f t="array" ref="J44">Scope3_Equations.VEERG_15_1_1_1__1_EmissionsFromPurchasedLivestock(E44,H44,IF(I44,I44,$E$39))</f>
        <v>0</v>
      </c>
      <c r="K44" s="86"/>
      <c r="L44" s="48"/>
      <c r="M44" s="86"/>
    </row>
    <row r="45" spans="4:13" ht="20.100000000000001" customHeight="1" x14ac:dyDescent="0.25">
      <c r="D45" s="50">
        <v>0</v>
      </c>
      <c r="E45" s="50">
        <v>0</v>
      </c>
      <c r="F45" s="50">
        <v>0</v>
      </c>
      <c r="G45" s="164" cm="1">
        <f t="array" ref="G45">Scope3_Equations.VEERG_15_1_1_1__1_EmissionsFromPurchasedLivestock(E45,F45,$E$39)</f>
        <v>0</v>
      </c>
      <c r="H45" s="50">
        <v>0</v>
      </c>
      <c r="I45" s="69"/>
      <c r="J45" s="164" cm="1">
        <f t="array" ref="J45">Scope3_Equations.VEERG_15_1_1_1__1_EmissionsFromPurchasedLivestock(E45,H45,IF(I45,I45,$E$39))</f>
        <v>0</v>
      </c>
      <c r="K45" s="86"/>
      <c r="L45" s="48"/>
      <c r="M45" s="86"/>
    </row>
    <row r="46" spans="4:13" ht="20.100000000000001" customHeight="1" x14ac:dyDescent="0.25">
      <c r="D46" s="50">
        <v>0</v>
      </c>
      <c r="E46" s="50">
        <v>0</v>
      </c>
      <c r="F46" s="50">
        <v>0</v>
      </c>
      <c r="G46" s="164" cm="1">
        <f t="array" ref="G46">Scope3_Equations.VEERG_15_1_1_1__1_EmissionsFromPurchasedLivestock(E46,F46,$E$39)</f>
        <v>0</v>
      </c>
      <c r="H46" s="50">
        <v>0</v>
      </c>
      <c r="I46" s="69"/>
      <c r="J46" s="164" cm="1">
        <f t="array" ref="J46">Scope3_Equations.VEERG_15_1_1_1__1_EmissionsFromPurchasedLivestock(E46,H46,IF(I46,I46,$E$39))</f>
        <v>0</v>
      </c>
      <c r="K46" s="86"/>
      <c r="L46" s="48"/>
      <c r="M46" s="86"/>
    </row>
    <row r="47" spans="4:13" ht="20.100000000000001" customHeight="1" x14ac:dyDescent="0.25">
      <c r="D47" s="50">
        <v>0</v>
      </c>
      <c r="E47" s="50">
        <v>0</v>
      </c>
      <c r="F47" s="50">
        <v>0</v>
      </c>
      <c r="G47" s="164" cm="1">
        <f t="array" ref="G47">Scope3_Equations.VEERG_15_1_1_1__1_EmissionsFromPurchasedLivestock(E47,F47,$E$39)</f>
        <v>0</v>
      </c>
      <c r="H47" s="50">
        <v>0</v>
      </c>
      <c r="I47" s="69"/>
      <c r="J47" s="164" cm="1">
        <f t="array" ref="J47">Scope3_Equations.VEERG_15_1_1_1__1_EmissionsFromPurchasedLivestock(E47,H47,IF(I47,I47,$E$39))</f>
        <v>0</v>
      </c>
      <c r="K47" s="86"/>
      <c r="L47" s="48"/>
      <c r="M47" s="86"/>
    </row>
    <row r="48" spans="4:13" ht="20.100000000000001" customHeight="1" x14ac:dyDescent="0.25">
      <c r="D48" s="50">
        <v>0</v>
      </c>
      <c r="E48" s="50">
        <v>0</v>
      </c>
      <c r="F48" s="50">
        <v>0</v>
      </c>
      <c r="G48" s="164" cm="1">
        <f t="array" ref="G48">Scope3_Equations.VEERG_15_1_1_1__1_EmissionsFromPurchasedLivestock(E48,F48,$E$39)</f>
        <v>0</v>
      </c>
      <c r="H48" s="50">
        <v>0</v>
      </c>
      <c r="I48" s="69"/>
      <c r="J48" s="164" cm="1">
        <f t="array" ref="J48">Scope3_Equations.VEERG_15_1_1_1__1_EmissionsFromPurchasedLivestock(E48,H48,IF(I48,I48,$E$39))</f>
        <v>0</v>
      </c>
      <c r="K48" s="86"/>
      <c r="L48" s="48"/>
      <c r="M48" s="86"/>
    </row>
    <row r="49" spans="4:13" ht="20.100000000000001" customHeight="1" x14ac:dyDescent="0.25">
      <c r="D49" s="50">
        <v>0</v>
      </c>
      <c r="E49" s="50">
        <v>0</v>
      </c>
      <c r="F49" s="50">
        <v>0</v>
      </c>
      <c r="G49" s="164" cm="1">
        <f t="array" ref="G49">Scope3_Equations.VEERG_15_1_1_1__1_EmissionsFromPurchasedLivestock(E49,F49,$E$39)</f>
        <v>0</v>
      </c>
      <c r="H49" s="50">
        <v>0</v>
      </c>
      <c r="I49" s="69"/>
      <c r="J49" s="164" cm="1">
        <f t="array" ref="J49">Scope3_Equations.VEERG_15_1_1_1__1_EmissionsFromPurchasedLivestock(E49,H49,IF(I49,I49,$E$39))</f>
        <v>0</v>
      </c>
      <c r="K49" s="86"/>
      <c r="L49" s="48"/>
      <c r="M49" s="86"/>
    </row>
    <row r="50" spans="4:13" ht="20.100000000000001" customHeight="1" x14ac:dyDescent="0.25">
      <c r="D50" s="50">
        <v>0</v>
      </c>
      <c r="E50" s="50">
        <v>0</v>
      </c>
      <c r="F50" s="50">
        <v>0</v>
      </c>
      <c r="G50" s="164" cm="1">
        <f t="array" ref="G50">Scope3_Equations.VEERG_15_1_1_1__1_EmissionsFromPurchasedLivestock(E50,F50,$E$39)</f>
        <v>0</v>
      </c>
      <c r="H50" s="50">
        <v>0</v>
      </c>
      <c r="I50" s="69"/>
      <c r="J50" s="164" cm="1">
        <f t="array" ref="J50">Scope3_Equations.VEERG_15_1_1_1__1_EmissionsFromPurchasedLivestock(E50,H50,IF(I50,I50,$E$39))</f>
        <v>0</v>
      </c>
      <c r="K50" s="86"/>
      <c r="L50" s="48"/>
      <c r="M50" s="86"/>
    </row>
    <row r="51" spans="4:13" ht="20.100000000000001" customHeight="1" x14ac:dyDescent="0.25">
      <c r="D51" s="50">
        <v>0</v>
      </c>
      <c r="E51" s="50">
        <v>0</v>
      </c>
      <c r="F51" s="50">
        <v>0</v>
      </c>
      <c r="G51" s="164" cm="1">
        <f t="array" ref="G51">Scope3_Equations.VEERG_15_1_1_1__1_EmissionsFromPurchasedLivestock(E51,F51,$E$39)</f>
        <v>0</v>
      </c>
      <c r="H51" s="50">
        <v>0</v>
      </c>
      <c r="I51" s="69"/>
      <c r="J51" s="164" cm="1">
        <f t="array" ref="J51">Scope3_Equations.VEERG_15_1_1_1__1_EmissionsFromPurchasedLivestock(E51,H51,IF(I51,I51,$E$39))</f>
        <v>0</v>
      </c>
      <c r="K51" s="86"/>
      <c r="L51" s="48"/>
      <c r="M51" s="86"/>
    </row>
    <row r="52" spans="4:13" ht="20.100000000000001" customHeight="1" x14ac:dyDescent="0.25"/>
    <row r="53" spans="4:13" ht="20.100000000000001" customHeight="1" x14ac:dyDescent="0.25">
      <c r="D53" s="190" t="s">
        <v>724</v>
      </c>
      <c r="E53" s="103">
        <f>SUM(G42:G51)</f>
        <v>441</v>
      </c>
      <c r="F53" s="191" t="str">
        <f>$E$11</f>
        <v>t CO2e</v>
      </c>
    </row>
    <row r="54" spans="4:13" ht="20.100000000000001" customHeight="1" x14ac:dyDescent="0.25">
      <c r="D54" s="190" t="s">
        <v>725</v>
      </c>
      <c r="E54" s="103">
        <f>SUM(J42:J51)</f>
        <v>415.625</v>
      </c>
      <c r="F54" s="191" t="str">
        <f>$E$11</f>
        <v>t CO2e</v>
      </c>
    </row>
    <row r="55" spans="4:13" ht="20.100000000000001" customHeight="1" x14ac:dyDescent="0.25"/>
    <row r="56" spans="4:13" ht="20.100000000000001" customHeight="1" x14ac:dyDescent="0.25"/>
    <row r="57" spans="4:13" ht="20.100000000000001" customHeight="1" x14ac:dyDescent="0.25">
      <c r="D57" s="154" t="s">
        <v>598</v>
      </c>
    </row>
    <row r="58" spans="4:13" ht="20.100000000000001" customHeight="1" x14ac:dyDescent="0.25">
      <c r="D58" s="185" t="s">
        <v>705</v>
      </c>
      <c r="E58" s="50"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7" t="s">
        <v>394</v>
      </c>
      <c r="E60" s="165" t="s">
        <v>698</v>
      </c>
      <c r="F60" s="165" t="s">
        <v>699</v>
      </c>
      <c r="G60" s="60" t="s">
        <v>710</v>
      </c>
      <c r="H60" s="165" t="s">
        <v>700</v>
      </c>
      <c r="I60" s="47" t="s">
        <v>702</v>
      </c>
      <c r="J60" s="60" t="s">
        <v>712</v>
      </c>
      <c r="K60" s="47" t="s">
        <v>706</v>
      </c>
      <c r="L60" s="47" t="s">
        <v>707</v>
      </c>
      <c r="M60" s="47" t="s">
        <v>708</v>
      </c>
    </row>
    <row r="61" spans="4:13" ht="20.100000000000001" customHeight="1" x14ac:dyDescent="0.25">
      <c r="D61" s="50" t="str" cm="1">
        <f t="array" ref="D61:D70">IFERROR(INDEX(Table_Input_LivestockPurchases_Pigs[Transaction name], _xlfn.SEQUENCE(10)), "")</f>
        <v>Pigs from Pam</v>
      </c>
      <c r="E61" s="50" cm="1">
        <f t="array" ref="E61:E70">IFERROR(INDEX(Table_Input_LivestockPurchases_Pigs[Quantity (head)], _xlfn.SEQUENCE(10)), 0)</f>
        <v>100</v>
      </c>
      <c r="F61" s="50" cm="1">
        <f t="array" ref="F61:F70">IFERROR(INDEX(Table_Input_LivestockPurchases_Pigs[Liveweight (kg/head) Method 1], _xlfn.SEQUENCE(10)), 0)</f>
        <v>188</v>
      </c>
      <c r="G61" s="164" cm="1">
        <f t="array" ref="G61">Scope3_Equations.VEERG_15_1_1_1__1_EmissionsFromPurchasedLivestock(E61,F61,$E$58)</f>
        <v>63.544000000000004</v>
      </c>
      <c r="H61" s="50" cm="1">
        <f t="array" ref="H61:H70">IFERROR(INDEX(Table_Input_LivestockPurchases_Pigs[Liveweight (kg/head) Method 2], _xlfn.SEQUENCE(10)), 0)</f>
        <v>180</v>
      </c>
      <c r="I61" s="69">
        <v>3.38</v>
      </c>
      <c r="J61" s="164" cm="1">
        <f t="array" ref="J61">Scope3_Equations.VEERG_15_1_1_1__1_EmissionsFromPurchasedLivestock(E61,H61,IF(I61, I61,$E$58))</f>
        <v>60.84</v>
      </c>
      <c r="K61" s="86"/>
      <c r="L61" s="48"/>
      <c r="M61" s="179"/>
    </row>
    <row r="62" spans="4:13" ht="20.100000000000001" customHeight="1" x14ac:dyDescent="0.25">
      <c r="D62" s="50" t="str">
        <v>Swine from Samantha</v>
      </c>
      <c r="E62" s="50">
        <v>100</v>
      </c>
      <c r="F62" s="50">
        <v>39</v>
      </c>
      <c r="G62" s="164" cm="1">
        <f t="array" ref="G62">Scope3_Equations.VEERG_15_1_1_1__1_EmissionsFromPurchasedLivestock(E62,F62,$E$58)</f>
        <v>13.182</v>
      </c>
      <c r="H62" s="50">
        <v>38</v>
      </c>
      <c r="I62" s="69">
        <v>3.3</v>
      </c>
      <c r="J62" s="164" cm="1">
        <f t="array" ref="J62">Scope3_Equations.VEERG_15_1_1_1__1_EmissionsFromPurchasedLivestock(E62,H62,IF(I62, I62,$E$58))</f>
        <v>12.540000000000001</v>
      </c>
      <c r="K62" s="86"/>
      <c r="L62" s="48"/>
      <c r="M62" s="86"/>
    </row>
    <row r="63" spans="4:13" ht="20.100000000000001" customHeight="1" x14ac:dyDescent="0.25">
      <c r="D63" s="50">
        <v>0</v>
      </c>
      <c r="E63" s="50">
        <v>0</v>
      </c>
      <c r="F63" s="50">
        <v>0</v>
      </c>
      <c r="G63" s="164" cm="1">
        <f t="array" ref="G63">Scope3_Equations.VEERG_15_1_1_1__1_EmissionsFromPurchasedLivestock(E63,F63,$E$58)</f>
        <v>0</v>
      </c>
      <c r="H63" s="50">
        <v>0</v>
      </c>
      <c r="I63" s="69"/>
      <c r="J63" s="164" cm="1">
        <f t="array" ref="J63">Scope3_Equations.VEERG_15_1_1_1__1_EmissionsFromPurchasedLivestock(E63,H63,IF(I63, I63,$E$58))</f>
        <v>0</v>
      </c>
      <c r="K63" s="86"/>
      <c r="L63" s="48"/>
      <c r="M63" s="86"/>
    </row>
    <row r="64" spans="4:13" ht="20.100000000000001" customHeight="1" x14ac:dyDescent="0.25">
      <c r="D64" s="50">
        <v>0</v>
      </c>
      <c r="E64" s="50">
        <v>0</v>
      </c>
      <c r="F64" s="50">
        <v>0</v>
      </c>
      <c r="G64" s="164" cm="1">
        <f t="array" ref="G64">Scope3_Equations.VEERG_15_1_1_1__1_EmissionsFromPurchasedLivestock(E64,F64,$E$58)</f>
        <v>0</v>
      </c>
      <c r="H64" s="50">
        <v>0</v>
      </c>
      <c r="I64" s="69"/>
      <c r="J64" s="164" cm="1">
        <f t="array" ref="J64">Scope3_Equations.VEERG_15_1_1_1__1_EmissionsFromPurchasedLivestock(E64,H64,IF(I64, I64,$E$58))</f>
        <v>0</v>
      </c>
      <c r="K64" s="86"/>
      <c r="L64" s="48"/>
      <c r="M64" s="86"/>
    </row>
    <row r="65" spans="4:13" ht="20.100000000000001" customHeight="1" x14ac:dyDescent="0.25">
      <c r="D65" s="50">
        <v>0</v>
      </c>
      <c r="E65" s="50">
        <v>0</v>
      </c>
      <c r="F65" s="50">
        <v>0</v>
      </c>
      <c r="G65" s="164" cm="1">
        <f t="array" ref="G65">Scope3_Equations.VEERG_15_1_1_1__1_EmissionsFromPurchasedLivestock(E65,F65,$E$58)</f>
        <v>0</v>
      </c>
      <c r="H65" s="50">
        <v>0</v>
      </c>
      <c r="I65" s="69"/>
      <c r="J65" s="164" cm="1">
        <f t="array" ref="J65">Scope3_Equations.VEERG_15_1_1_1__1_EmissionsFromPurchasedLivestock(E65,H65,IF(I65, I65,$E$58))</f>
        <v>0</v>
      </c>
      <c r="K65" s="86"/>
      <c r="L65" s="48"/>
      <c r="M65" s="86"/>
    </row>
    <row r="66" spans="4:13" ht="20.100000000000001" customHeight="1" x14ac:dyDescent="0.25">
      <c r="D66" s="50">
        <v>0</v>
      </c>
      <c r="E66" s="50">
        <v>0</v>
      </c>
      <c r="F66" s="50">
        <v>0</v>
      </c>
      <c r="G66" s="164" cm="1">
        <f t="array" ref="G66">Scope3_Equations.VEERG_15_1_1_1__1_EmissionsFromPurchasedLivestock(E66,F66,$E$58)</f>
        <v>0</v>
      </c>
      <c r="H66" s="50">
        <v>0</v>
      </c>
      <c r="I66" s="69"/>
      <c r="J66" s="164" cm="1">
        <f t="array" ref="J66">Scope3_Equations.VEERG_15_1_1_1__1_EmissionsFromPurchasedLivestock(E66,H66,IF(I66, I66,$E$58))</f>
        <v>0</v>
      </c>
      <c r="K66" s="86"/>
      <c r="L66" s="48"/>
      <c r="M66" s="86"/>
    </row>
    <row r="67" spans="4:13" ht="20.100000000000001" customHeight="1" x14ac:dyDescent="0.25">
      <c r="D67" s="50">
        <v>0</v>
      </c>
      <c r="E67" s="50">
        <v>0</v>
      </c>
      <c r="F67" s="50">
        <v>0</v>
      </c>
      <c r="G67" s="164" cm="1">
        <f t="array" ref="G67">Scope3_Equations.VEERG_15_1_1_1__1_EmissionsFromPurchasedLivestock(E67,F67,$E$58)</f>
        <v>0</v>
      </c>
      <c r="H67" s="50">
        <v>0</v>
      </c>
      <c r="I67" s="69"/>
      <c r="J67" s="164" cm="1">
        <f t="array" ref="J67">Scope3_Equations.VEERG_15_1_1_1__1_EmissionsFromPurchasedLivestock(E67,H67,IF(I67, I67,$E$58))</f>
        <v>0</v>
      </c>
      <c r="K67" s="86"/>
      <c r="L67" s="48"/>
      <c r="M67" s="86"/>
    </row>
    <row r="68" spans="4:13" ht="20.100000000000001" customHeight="1" x14ac:dyDescent="0.25">
      <c r="D68" s="50">
        <v>0</v>
      </c>
      <c r="E68" s="50">
        <v>0</v>
      </c>
      <c r="F68" s="50">
        <v>0</v>
      </c>
      <c r="G68" s="164" cm="1">
        <f t="array" ref="G68">Scope3_Equations.VEERG_15_1_1_1__1_EmissionsFromPurchasedLivestock(E68,F68,$E$58)</f>
        <v>0</v>
      </c>
      <c r="H68" s="50">
        <v>0</v>
      </c>
      <c r="I68" s="69"/>
      <c r="J68" s="164" cm="1">
        <f t="array" ref="J68">Scope3_Equations.VEERG_15_1_1_1__1_EmissionsFromPurchasedLivestock(E68,H68,IF(I68, I68,$E$58))</f>
        <v>0</v>
      </c>
      <c r="K68" s="86"/>
      <c r="L68" s="48"/>
      <c r="M68" s="86"/>
    </row>
    <row r="69" spans="4:13" ht="20.100000000000001" customHeight="1" x14ac:dyDescent="0.25">
      <c r="D69" s="50">
        <v>0</v>
      </c>
      <c r="E69" s="50">
        <v>0</v>
      </c>
      <c r="F69" s="50">
        <v>0</v>
      </c>
      <c r="G69" s="164" cm="1">
        <f t="array" ref="G69">Scope3_Equations.VEERG_15_1_1_1__1_EmissionsFromPurchasedLivestock(E69,F69,$E$58)</f>
        <v>0</v>
      </c>
      <c r="H69" s="50">
        <v>0</v>
      </c>
      <c r="I69" s="69"/>
      <c r="J69" s="164" cm="1">
        <f t="array" ref="J69">Scope3_Equations.VEERG_15_1_1_1__1_EmissionsFromPurchasedLivestock(E69,H69,IF(I69, I69,$E$58))</f>
        <v>0</v>
      </c>
      <c r="K69" s="86"/>
      <c r="L69" s="48"/>
      <c r="M69" s="86"/>
    </row>
    <row r="70" spans="4:13" ht="20.100000000000001" customHeight="1" x14ac:dyDescent="0.25">
      <c r="D70" s="50">
        <v>0</v>
      </c>
      <c r="E70" s="50">
        <v>0</v>
      </c>
      <c r="F70" s="50">
        <v>0</v>
      </c>
      <c r="G70" s="164" cm="1">
        <f t="array" ref="G70">Scope3_Equations.VEERG_15_1_1_1__1_EmissionsFromPurchasedLivestock(E70,F70,$E$58)</f>
        <v>0</v>
      </c>
      <c r="H70" s="50">
        <v>0</v>
      </c>
      <c r="I70" s="69"/>
      <c r="J70" s="164" cm="1">
        <f t="array" ref="J70">Scope3_Equations.VEERG_15_1_1_1__1_EmissionsFromPurchasedLivestock(E70,H70,IF(I70, I70,$E$58))</f>
        <v>0</v>
      </c>
      <c r="K70" s="86"/>
      <c r="L70" s="48"/>
      <c r="M70" s="86"/>
    </row>
    <row r="71" spans="4:13" ht="20.100000000000001" customHeight="1" x14ac:dyDescent="0.25"/>
    <row r="72" spans="4:13" ht="20.100000000000001" customHeight="1" x14ac:dyDescent="0.25">
      <c r="D72" s="190" t="s">
        <v>722</v>
      </c>
      <c r="E72" s="103">
        <f>SUM(G61:G70)</f>
        <v>76.725999999999999</v>
      </c>
      <c r="F72" s="191" t="str">
        <f>$E$11</f>
        <v>t CO2e</v>
      </c>
    </row>
    <row r="73" spans="4:13" ht="20.100000000000001" customHeight="1" x14ac:dyDescent="0.25">
      <c r="D73" s="190" t="s">
        <v>723</v>
      </c>
      <c r="E73" s="103">
        <f>SUM(J61:J70)</f>
        <v>73.38000000000001</v>
      </c>
      <c r="F73" s="191" t="str">
        <f>$E$11</f>
        <v>t CO2e</v>
      </c>
    </row>
    <row r="74" spans="4:13" ht="20.100000000000001" customHeight="1" x14ac:dyDescent="0.25"/>
    <row r="75" spans="4:13" ht="20.100000000000001" customHeight="1" x14ac:dyDescent="0.25">
      <c r="D75" s="154" t="s">
        <v>628</v>
      </c>
    </row>
    <row r="76" spans="4:13" ht="20.100000000000001" customHeight="1" x14ac:dyDescent="0.25">
      <c r="D76" s="185" t="s">
        <v>705</v>
      </c>
      <c r="E76" s="50"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7" t="s">
        <v>394</v>
      </c>
      <c r="E78" s="165" t="s">
        <v>698</v>
      </c>
      <c r="F78" s="165" t="s">
        <v>699</v>
      </c>
      <c r="G78" s="60" t="s">
        <v>710</v>
      </c>
      <c r="H78" s="165" t="s">
        <v>700</v>
      </c>
      <c r="I78" s="47" t="s">
        <v>702</v>
      </c>
      <c r="J78" s="60" t="s">
        <v>712</v>
      </c>
      <c r="K78" s="47" t="s">
        <v>706</v>
      </c>
      <c r="L78" s="47" t="s">
        <v>707</v>
      </c>
      <c r="M78" s="47" t="s">
        <v>708</v>
      </c>
    </row>
    <row r="79" spans="4:13" ht="20.100000000000001" customHeight="1" x14ac:dyDescent="0.25">
      <c r="D79" s="50" t="str" cm="1">
        <f t="array" ref="D79:D88">IFERROR(INDEX(Table_Input_LivestockPurchases_Poultry[Transaction name], _xlfn.SEQUENCE(10)), "")</f>
        <v>Chooks from Carolyn</v>
      </c>
      <c r="E79" s="50" cm="1">
        <f t="array" ref="E79:E88">IFERROR(INDEX(Table_Input_LivestockPurchases_Poultry[Quantity (head)], _xlfn.SEQUENCE(10)), "")</f>
        <v>100</v>
      </c>
      <c r="F79" s="50" cm="1">
        <f t="array" ref="F79:F88">IFERROR(INDEX(Table_Input_LivestockPurchases_Poultry[Liveweight (kg/head) Method 1], _xlfn.SEQUENCE(10)), "")</f>
        <v>1.3</v>
      </c>
      <c r="G79" s="164" cm="1">
        <f t="array" ref="G79">Scope3_Equations.VEERG_15_1_1_1__1_EmissionsFromPurchasedLivestock(E79,F79,$E$76)</f>
        <v>0.17680000000000001</v>
      </c>
      <c r="H79" s="50" cm="1">
        <f t="array" ref="H79:H88">IFERROR(INDEX(Table_Input_LivestockPurchases_Poultry[Liveweight (kg/head) Method 2], _xlfn.SEQUENCE(10)), "")</f>
        <v>1.3</v>
      </c>
      <c r="I79" s="69">
        <v>1.3</v>
      </c>
      <c r="J79" s="164" cm="1">
        <f t="array" ref="J79">Scope3_Equations.VEERG_15_1_1_1__1_EmissionsFromPurchasedLivestock(E79,H79,IF(I79, I79,$E$76))</f>
        <v>0.16900000000000001</v>
      </c>
      <c r="K79" s="86"/>
      <c r="L79" s="48"/>
      <c r="M79" s="179"/>
    </row>
    <row r="80" spans="4:13" ht="20.100000000000001" customHeight="1" x14ac:dyDescent="0.25">
      <c r="D80" s="50" t="str">
        <v>Roosters from Raj</v>
      </c>
      <c r="E80" s="50">
        <v>100</v>
      </c>
      <c r="F80" s="50">
        <v>1.4</v>
      </c>
      <c r="G80" s="164" cm="1">
        <f t="array" ref="G80">Scope3_Equations.VEERG_15_1_1_1__1_EmissionsFromPurchasedLivestock(E80,F80,$E$76)</f>
        <v>0.19040000000000001</v>
      </c>
      <c r="H80" s="50">
        <v>1.4</v>
      </c>
      <c r="I80" s="69"/>
      <c r="J80" s="164" cm="1">
        <f t="array" ref="J80">Scope3_Equations.VEERG_15_1_1_1__1_EmissionsFromPurchasedLivestock(E80,H80,IF(I80, I80,$E$76))</f>
        <v>0.19040000000000001</v>
      </c>
      <c r="K80" s="86"/>
      <c r="L80" s="48"/>
      <c r="M80" s="86"/>
    </row>
    <row r="81" spans="4:13" ht="20.100000000000001" customHeight="1" x14ac:dyDescent="0.25">
      <c r="D81" s="50">
        <v>0</v>
      </c>
      <c r="E81" s="50">
        <v>0</v>
      </c>
      <c r="F81" s="50">
        <v>0</v>
      </c>
      <c r="G81" s="164" cm="1">
        <f t="array" ref="G81">Scope3_Equations.VEERG_15_1_1_1__1_EmissionsFromPurchasedLivestock(E81,F81,$E$76)</f>
        <v>0</v>
      </c>
      <c r="H81" s="50">
        <v>0</v>
      </c>
      <c r="I81" s="69"/>
      <c r="J81" s="164" cm="1">
        <f t="array" ref="J81">Scope3_Equations.VEERG_15_1_1_1__1_EmissionsFromPurchasedLivestock(E81,H81,IF(I81, I81,$E$76))</f>
        <v>0</v>
      </c>
      <c r="K81" s="86"/>
      <c r="L81" s="48"/>
      <c r="M81" s="86"/>
    </row>
    <row r="82" spans="4:13" ht="20.100000000000001" customHeight="1" x14ac:dyDescent="0.25">
      <c r="D82" s="50">
        <v>0</v>
      </c>
      <c r="E82" s="50">
        <v>0</v>
      </c>
      <c r="F82" s="50">
        <v>0</v>
      </c>
      <c r="G82" s="164" cm="1">
        <f t="array" ref="G82">Scope3_Equations.VEERG_15_1_1_1__1_EmissionsFromPurchasedLivestock(E82,F82,$E$76)</f>
        <v>0</v>
      </c>
      <c r="H82" s="50">
        <v>0</v>
      </c>
      <c r="I82" s="69"/>
      <c r="J82" s="164" cm="1">
        <f t="array" ref="J82">Scope3_Equations.VEERG_15_1_1_1__1_EmissionsFromPurchasedLivestock(E82,H82,IF(I82, I82,$E$76))</f>
        <v>0</v>
      </c>
      <c r="K82" s="86"/>
      <c r="L82" s="48"/>
      <c r="M82" s="86"/>
    </row>
    <row r="83" spans="4:13" ht="20.100000000000001" customHeight="1" x14ac:dyDescent="0.25">
      <c r="D83" s="50">
        <v>0</v>
      </c>
      <c r="E83" s="50">
        <v>0</v>
      </c>
      <c r="F83" s="50">
        <v>0</v>
      </c>
      <c r="G83" s="164" cm="1">
        <f t="array" ref="G83">Scope3_Equations.VEERG_15_1_1_1__1_EmissionsFromPurchasedLivestock(E83,F83,$E$76)</f>
        <v>0</v>
      </c>
      <c r="H83" s="50">
        <v>0</v>
      </c>
      <c r="I83" s="69"/>
      <c r="J83" s="164" cm="1">
        <f t="array" ref="J83">Scope3_Equations.VEERG_15_1_1_1__1_EmissionsFromPurchasedLivestock(E83,H83,IF(I83, I83,$E$76))</f>
        <v>0</v>
      </c>
      <c r="K83" s="86"/>
      <c r="L83" s="48"/>
      <c r="M83" s="86"/>
    </row>
    <row r="84" spans="4:13" ht="20.100000000000001" customHeight="1" x14ac:dyDescent="0.25">
      <c r="D84" s="50">
        <v>0</v>
      </c>
      <c r="E84" s="50">
        <v>0</v>
      </c>
      <c r="F84" s="50">
        <v>0</v>
      </c>
      <c r="G84" s="164" cm="1">
        <f t="array" ref="G84">Scope3_Equations.VEERG_15_1_1_1__1_EmissionsFromPurchasedLivestock(E84,F84,$E$76)</f>
        <v>0</v>
      </c>
      <c r="H84" s="50">
        <v>0</v>
      </c>
      <c r="I84" s="69"/>
      <c r="J84" s="164" cm="1">
        <f t="array" ref="J84">Scope3_Equations.VEERG_15_1_1_1__1_EmissionsFromPurchasedLivestock(E84,H84,IF(I84, I84,$E$76))</f>
        <v>0</v>
      </c>
      <c r="K84" s="86"/>
      <c r="L84" s="48"/>
      <c r="M84" s="86"/>
    </row>
    <row r="85" spans="4:13" ht="20.100000000000001" customHeight="1" x14ac:dyDescent="0.25">
      <c r="D85" s="50">
        <v>0</v>
      </c>
      <c r="E85" s="50">
        <v>0</v>
      </c>
      <c r="F85" s="50">
        <v>0</v>
      </c>
      <c r="G85" s="164" cm="1">
        <f t="array" ref="G85">Scope3_Equations.VEERG_15_1_1_1__1_EmissionsFromPurchasedLivestock(E85,F85,$E$76)</f>
        <v>0</v>
      </c>
      <c r="H85" s="50">
        <v>0</v>
      </c>
      <c r="I85" s="69"/>
      <c r="J85" s="164" cm="1">
        <f t="array" ref="J85">Scope3_Equations.VEERG_15_1_1_1__1_EmissionsFromPurchasedLivestock(E85,H85,IF(I85, I85,$E$76))</f>
        <v>0</v>
      </c>
      <c r="K85" s="86"/>
      <c r="L85" s="48"/>
      <c r="M85" s="86"/>
    </row>
    <row r="86" spans="4:13" ht="20.100000000000001" customHeight="1" x14ac:dyDescent="0.25">
      <c r="D86" s="50">
        <v>0</v>
      </c>
      <c r="E86" s="50">
        <v>0</v>
      </c>
      <c r="F86" s="50">
        <v>0</v>
      </c>
      <c r="G86" s="164" cm="1">
        <f t="array" ref="G86">Scope3_Equations.VEERG_15_1_1_1__1_EmissionsFromPurchasedLivestock(E86,F86,$E$76)</f>
        <v>0</v>
      </c>
      <c r="H86" s="50">
        <v>0</v>
      </c>
      <c r="I86" s="69"/>
      <c r="J86" s="164" cm="1">
        <f t="array" ref="J86">Scope3_Equations.VEERG_15_1_1_1__1_EmissionsFromPurchasedLivestock(E86,H86,IF(I86, I86,$E$76))</f>
        <v>0</v>
      </c>
      <c r="K86" s="86"/>
      <c r="L86" s="48"/>
      <c r="M86" s="86"/>
    </row>
    <row r="87" spans="4:13" ht="20.100000000000001" customHeight="1" x14ac:dyDescent="0.25">
      <c r="D87" s="50">
        <v>0</v>
      </c>
      <c r="E87" s="50">
        <v>0</v>
      </c>
      <c r="F87" s="50">
        <v>0</v>
      </c>
      <c r="G87" s="164" cm="1">
        <f t="array" ref="G87">Scope3_Equations.VEERG_15_1_1_1__1_EmissionsFromPurchasedLivestock(E87,F87,$E$76)</f>
        <v>0</v>
      </c>
      <c r="H87" s="50">
        <v>0</v>
      </c>
      <c r="I87" s="69"/>
      <c r="J87" s="164" cm="1">
        <f t="array" ref="J87">Scope3_Equations.VEERG_15_1_1_1__1_EmissionsFromPurchasedLivestock(E87,H87,IF(I87, I87,$E$76))</f>
        <v>0</v>
      </c>
      <c r="K87" s="86"/>
      <c r="L87" s="48"/>
      <c r="M87" s="86"/>
    </row>
    <row r="88" spans="4:13" ht="20.100000000000001" customHeight="1" x14ac:dyDescent="0.25">
      <c r="D88" s="50">
        <v>0</v>
      </c>
      <c r="E88" s="50">
        <v>0</v>
      </c>
      <c r="F88" s="50">
        <v>0</v>
      </c>
      <c r="G88" s="164" cm="1">
        <f t="array" ref="G88">Scope3_Equations.VEERG_15_1_1_1__1_EmissionsFromPurchasedLivestock(E88,F88,$E$76)</f>
        <v>0</v>
      </c>
      <c r="H88" s="50">
        <v>0</v>
      </c>
      <c r="I88" s="69"/>
      <c r="J88" s="164" cm="1">
        <f t="array" ref="J88">Scope3_Equations.VEERG_15_1_1_1__1_EmissionsFromPurchasedLivestock(E88,H88,IF(I88, I88,$E$76))</f>
        <v>0</v>
      </c>
      <c r="K88" s="86"/>
      <c r="L88" s="48"/>
      <c r="M88" s="86"/>
    </row>
    <row r="89" spans="4:13" ht="20.100000000000001" customHeight="1" x14ac:dyDescent="0.25"/>
    <row r="90" spans="4:13" ht="20.100000000000001" customHeight="1" x14ac:dyDescent="0.25">
      <c r="D90" s="190" t="s">
        <v>720</v>
      </c>
      <c r="E90" s="103">
        <f>SUM(G79:G88)</f>
        <v>0.36720000000000003</v>
      </c>
      <c r="F90" s="191" t="str">
        <f>$E$11</f>
        <v>t CO2e</v>
      </c>
    </row>
    <row r="91" spans="4:13" ht="20.100000000000001" customHeight="1" x14ac:dyDescent="0.25">
      <c r="D91" s="190" t="s">
        <v>721</v>
      </c>
      <c r="E91" s="103">
        <f>SUM(J79:J88)</f>
        <v>0.35940000000000005</v>
      </c>
      <c r="F91" s="191" t="str">
        <f>$E$11</f>
        <v>t CO2e</v>
      </c>
    </row>
    <row r="92" spans="4:13" ht="20.100000000000001" customHeight="1" x14ac:dyDescent="0.25"/>
    <row r="93" spans="4:13" ht="20.100000000000001" customHeight="1" x14ac:dyDescent="0.25">
      <c r="D93" s="192" t="s">
        <v>710</v>
      </c>
      <c r="E93" s="193">
        <f>E34+E53+E72+E90</f>
        <v>1570.5932</v>
      </c>
      <c r="F93" s="194" t="str">
        <f>$E$11</f>
        <v>t CO2e</v>
      </c>
    </row>
    <row r="94" spans="4:13" ht="20.100000000000001" customHeight="1" x14ac:dyDescent="0.25">
      <c r="D94" s="192" t="s">
        <v>712</v>
      </c>
      <c r="E94" s="193">
        <f>E35+E54+E73+E91</f>
        <v>1503.8644000000002</v>
      </c>
      <c r="F94" s="194" t="str">
        <f>$E$11</f>
        <v>t CO2e</v>
      </c>
    </row>
    <row r="95" spans="4:13" ht="20.100000000000001" customHeight="1" x14ac:dyDescent="0.25"/>
    <row r="96" spans="4:13" ht="20.100000000000001" customHeight="1" x14ac:dyDescent="0.25"/>
    <row r="97" spans="4:8" ht="20.100000000000001" customHeight="1" x14ac:dyDescent="0.25"/>
    <row r="98" spans="4:8" ht="20.100000000000001" customHeight="1" x14ac:dyDescent="0.25">
      <c r="D98" s="9" t="str" cm="1">
        <f t="array" ref="D98">Scope3_Equations.VEERG_15_2_1_1__1_EmissionsFromPurchasedFeed_Title()</f>
        <v>Emissions from purchased feed</v>
      </c>
    </row>
    <row r="99" spans="4:8" ht="20.100000000000001" customHeight="1" x14ac:dyDescent="0.25">
      <c r="D99" s="11" t="str" cm="1">
        <f t="array" ref="D99">Scope3_Equations.VEERG_15_2_1_1__1_EmissionsFromPurchasedFeed_Source()</f>
        <v>VEERG 2026: 15.2.1.1, Equation (1)</v>
      </c>
    </row>
    <row r="100" spans="4:8" ht="20.100000000000001" customHeight="1" x14ac:dyDescent="0.25">
      <c r="D100" s="189" t="s">
        <v>703</v>
      </c>
      <c r="E100" s="189" t="str" cm="1">
        <f t="array" aca="1" ref="E100" ca="1">Common_InputFunctions.Utility_DisplayFunctionName(G119)</f>
        <v>=Scope3_Equations.VEERG_15_2_1_1__1_EmissionsFromPurchasedFeed</v>
      </c>
    </row>
    <row r="101" spans="4:8" ht="20.100000000000001" customHeight="1" x14ac:dyDescent="0.25"/>
    <row r="102" spans="4:8" ht="20.100000000000001" customHeight="1" x14ac:dyDescent="0.25">
      <c r="H102" s="189"/>
    </row>
    <row r="103" spans="4:8" ht="20.100000000000001" customHeight="1" x14ac:dyDescent="0.25">
      <c r="D103" s="28" t="s">
        <v>704</v>
      </c>
      <c r="E103" s="8" t="str" cm="1">
        <f t="array" ref="E103">Scope3_Equations.VEERG_15_2_1_1__1_EmissionsFromPurchasedFeed_Variable()</f>
        <v>E</v>
      </c>
    </row>
    <row r="104" spans="4:8" ht="20.100000000000001" customHeight="1" x14ac:dyDescent="0.25">
      <c r="D104" s="28" t="s">
        <v>99</v>
      </c>
      <c r="E104" s="13" t="str" cm="1">
        <f t="array" ref="E104">Scope3_Equations.VEERG_15_2_1_1__1_EmissionsFromPurchasedFeed_Unit()</f>
        <v>t CO2e</v>
      </c>
    </row>
    <row r="105" spans="4:8" ht="20.100000000000001" customHeight="1" x14ac:dyDescent="0.25"/>
    <row r="106" spans="4:8" ht="20.100000000000001" customHeight="1" x14ac:dyDescent="0.25">
      <c r="D106" s="185" t="str" cm="1">
        <f t="array" ref="D106:E108">_xlfn.CHOOSECOLS(Scope3_Equations.VEERG_15_2_1_1__1_EmissionsFromPurchasedFeed_Arguments(),1,2)</f>
        <v>Q_j</v>
      </c>
      <c r="E106" s="188" t="str">
        <v>quantity of feed type j purchased</v>
      </c>
      <c r="F106" s="184"/>
      <c r="G106" s="185" t="str" cm="1">
        <f t="array" ref="G106:H108">_xlfn.CHOOSECOLS(Scope3_Equations.VEERG_15_2_1_1__1_EmissionsFromPurchasedFeed_Arguments(),3,4)</f>
        <v>t</v>
      </c>
      <c r="H106" s="186" t="str">
        <v>Input</v>
      </c>
    </row>
    <row r="107" spans="4:8" ht="20.100000000000001" customHeight="1" x14ac:dyDescent="0.25">
      <c r="D107" s="185" t="str">
        <v>EF_j</v>
      </c>
      <c r="E107" s="188" t="str">
        <v>emission factor of purchased feed</v>
      </c>
      <c r="F107" s="184"/>
      <c r="G107" s="185" t="str">
        <v>kg CO2e/kg</v>
      </c>
      <c r="H107" s="186" t="str">
        <v>Constant</v>
      </c>
    </row>
    <row r="108" spans="4:8" ht="20.100000000000001" customHeight="1" x14ac:dyDescent="0.25">
      <c r="D108" s="185" t="str">
        <v>j</v>
      </c>
      <c r="E108" s="188" t="str">
        <v>feed type</v>
      </c>
      <c r="F108" s="184"/>
      <c r="G108" s="185" t="str">
        <v/>
      </c>
      <c r="H108" s="187" t="str">
        <v>Input</v>
      </c>
    </row>
    <row r="109" spans="4:8" ht="20.100000000000001" customHeight="1" x14ac:dyDescent="0.25"/>
    <row r="110" spans="4:8" ht="20.100000000000001" customHeight="1" x14ac:dyDescent="0.25">
      <c r="D110" s="154" t="s">
        <v>320</v>
      </c>
    </row>
    <row r="111" spans="4:8" ht="20.100000000000001" customHeight="1" x14ac:dyDescent="0.25"/>
    <row r="112" spans="4:8" ht="20.100000000000001" customHeight="1" x14ac:dyDescent="0.25">
      <c r="D112" s="40" t="s">
        <v>714</v>
      </c>
      <c r="E112" s="42"/>
      <c r="F112" s="40"/>
      <c r="G112" s="41"/>
      <c r="H112" s="42"/>
    </row>
    <row r="113" spans="4:28" ht="20.100000000000001" customHeight="1" x14ac:dyDescent="0.25">
      <c r="D113" s="92" t="s">
        <v>715</v>
      </c>
      <c r="E113" s="94"/>
      <c r="F113" s="92"/>
      <c r="G113" s="93"/>
      <c r="H113" s="94"/>
    </row>
    <row r="114" spans="4:28" ht="20.100000000000001" customHeight="1" x14ac:dyDescent="0.25">
      <c r="D114" s="44" t="s">
        <v>716</v>
      </c>
      <c r="E114" s="46"/>
      <c r="F114" s="44"/>
      <c r="G114" s="45"/>
      <c r="H114" s="46"/>
    </row>
    <row r="115" spans="4:28" ht="20.100000000000001" customHeight="1" x14ac:dyDescent="0.25"/>
    <row r="116" spans="4:28" ht="20.100000000000001" customHeight="1" x14ac:dyDescent="0.25">
      <c r="D116" s="100" t="s">
        <v>437</v>
      </c>
      <c r="E116" s="116"/>
      <c r="F116" s="101"/>
    </row>
    <row r="117" spans="4:28" ht="20.100000000000001" customHeight="1" x14ac:dyDescent="0.25"/>
    <row r="118" spans="4:28" ht="20.100000000000001" customHeight="1" x14ac:dyDescent="0.25">
      <c r="D118" s="47" t="s">
        <v>441</v>
      </c>
      <c r="E118" s="47" t="s">
        <v>709</v>
      </c>
      <c r="F118" s="60" t="s">
        <v>713</v>
      </c>
      <c r="G118" s="60" t="s">
        <v>710</v>
      </c>
      <c r="H118" s="47" t="s">
        <v>711</v>
      </c>
      <c r="I118" s="60" t="s">
        <v>712</v>
      </c>
      <c r="J118" s="47" t="s">
        <v>706</v>
      </c>
      <c r="K118" s="47" t="s">
        <v>707</v>
      </c>
      <c r="L118" s="47" t="s">
        <v>708</v>
      </c>
      <c r="M118" s="60" t="s">
        <v>177</v>
      </c>
      <c r="N118" s="60" t="s">
        <v>420</v>
      </c>
      <c r="O118" s="60" t="s">
        <v>178</v>
      </c>
      <c r="P118" s="60" t="s">
        <v>376</v>
      </c>
      <c r="Q118" s="60" t="s">
        <v>179</v>
      </c>
      <c r="R118" s="60" t="s">
        <v>438</v>
      </c>
      <c r="S118" s="60" t="s">
        <v>180</v>
      </c>
      <c r="T118" s="60" t="s">
        <v>380</v>
      </c>
      <c r="U118" s="60" t="s">
        <v>181</v>
      </c>
      <c r="V118" s="60" t="s">
        <v>439</v>
      </c>
      <c r="W118" s="60" t="s">
        <v>182</v>
      </c>
      <c r="X118" s="60" t="s">
        <v>381</v>
      </c>
      <c r="Y118" s="60" t="s">
        <v>183</v>
      </c>
      <c r="Z118" s="60" t="s">
        <v>440</v>
      </c>
      <c r="AA118" s="60" t="s">
        <v>184</v>
      </c>
      <c r="AB118" s="60" t="s">
        <v>382</v>
      </c>
    </row>
    <row r="119" spans="4:28" ht="20.100000000000001" customHeight="1" x14ac:dyDescent="0.25">
      <c r="D119" s="50" cm="1">
        <f t="array" ref="D119:D128">IFERROR(INDEX(Table_Input_FeedBlends[Feed blend name], _xlfn.SEQUENCE(10)), "")</f>
        <v>0</v>
      </c>
      <c r="E119" s="50" cm="1">
        <f t="array" ref="E119:E128">IFERROR(INDEX(Table_Input_FeedBlends[Amount fed (kg)], _xlfn.SEQUENCE(10)), "")</f>
        <v>1200</v>
      </c>
      <c r="F119" s="50">
        <f>IFERROR((O119*P119)+(S119*T119)+(W119*X119)+(AA119*AB119), 0)</f>
        <v>4.3399999999999994E-2</v>
      </c>
      <c r="G119" s="164" cm="1">
        <f t="array" ref="G119">Scope3_Equations.VEERG_15_2_1_1__1_EmissionsFromPurchasedFeed(E119,F119)</f>
        <v>52.079999999999991</v>
      </c>
      <c r="H119" s="69">
        <v>0.04</v>
      </c>
      <c r="I119" s="164" cm="1">
        <f t="array" ref="I119">Scope3_Equations.VEERG_15_2_1_1__1_EmissionsFromPurchasedFeed(E119,IF(H119,H119, F119))</f>
        <v>48</v>
      </c>
      <c r="J119" s="86"/>
      <c r="K119" s="48"/>
      <c r="L119" s="179"/>
      <c r="M119" s="50" t="str" cm="1">
        <f t="array" ref="M119:M128">IFERROR(INDEX(Table_Input_FeedBlends[Ingredient 1 (select)], _xlfn.SEQUENCE(10)), "")</f>
        <v>Oaten hay</v>
      </c>
      <c r="N119" s="50" t="str" cm="1">
        <f t="array" ref="N119:N128">IFERROR(INDEX(Table_Input_FeedBlends[Ingredient 1 source region], _xlfn.SEQUENCE(10)), "")</f>
        <v>WA</v>
      </c>
      <c r="O119" s="50" cm="1">
        <f t="array" ref="O119:O128">IFERROR(INDEX(Table_Input_FeedBlends[Ingredient 1 percent], _xlfn.SEQUENCE(10)), "")</f>
        <v>0.35</v>
      </c>
      <c r="P119" s="50" cm="1">
        <f t="array" ref="P119">_xlfn.LET(_xlpm.result, Common_InputFunctions.Utility_LookupValueInTableTwoColumns(M119, N119, Table_SourceData_Scope3_Feed[Product], Table_SourceData_Scope3_Feed[Region of origin], Table_SourceData_Scope3_Feed[AusLCI Emissions intensity]), IF(_xlpm.result="", 0, _xlpm.result))</f>
        <v>0.124</v>
      </c>
      <c r="Q119" s="50" t="str" cm="1">
        <f t="array" ref="Q119:Q128">IFERROR(INDEX(Table_Input_FeedBlends[Ingredient 2 (select)], _xlfn.SEQUENCE(10)), "")</f>
        <v>Sardines (whole)</v>
      </c>
      <c r="R119" s="50" t="str" cm="1">
        <f t="array" ref="R119:R128">IFERROR(INDEX(Table_Input_FeedBlends[Ingredient 2 source region], _xlfn.SEQUENCE(10)), "")</f>
        <v>SA</v>
      </c>
      <c r="S119" s="50" cm="1">
        <f t="array" ref="S119:S128">IFERROR(INDEX(Table_Input_FeedBlends[Ingredient 2 percent], _xlfn.SEQUENCE(10)), "")</f>
        <v>0.22</v>
      </c>
      <c r="T119" s="50"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50" t="str" cm="1">
        <f t="array" ref="U119:U128">IFERROR(INDEX(Table_Input_FeedBlends[Ingredient 3 (select)], _xlfn.SEQUENCE(10)), "")</f>
        <v>Canola oil</v>
      </c>
      <c r="V119" s="50" t="str" cm="1">
        <f t="array" ref="V119:V128">IFERROR(INDEX(Table_Input_FeedBlends[Ingredient 3 source region], _xlfn.SEQUENCE(10)), "")</f>
        <v>Australia</v>
      </c>
      <c r="W119" s="50" cm="1">
        <f t="array" ref="W119:W128">IFERROR(INDEX(Table_Input_FeedBlends[Ingredient 3 percent], _xlfn.SEQUENCE(10)), "")</f>
        <v>0.12</v>
      </c>
      <c r="X119" s="50"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50" t="str" cm="1">
        <f t="array" ref="Y119:Y128">IFERROR(INDEX(Table_Input_FeedBlends[Ingredient 4 (select)], _xlfn.SEQUENCE(10)), "")</f>
        <v>Molasses</v>
      </c>
      <c r="Z119" s="50" t="str" cm="1">
        <f t="array" ref="Z119:Z128">IFERROR(INDEX(Table_Input_FeedBlends[Ingredient 4 source region], _xlfn.SEQUENCE(10)), "")</f>
        <v>QLD</v>
      </c>
      <c r="AA119" s="50" cm="1">
        <f t="array" ref="AA119:AA128">IFERROR(INDEX(Table_Input_FeedBlends[Ingredient 4 percent], _xlfn.SEQUENCE(10)), "")</f>
        <v>0.05</v>
      </c>
      <c r="AB119" s="50"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50">
        <v>0</v>
      </c>
      <c r="E120" s="50">
        <v>3456</v>
      </c>
      <c r="F120" s="50">
        <f>IFERROR((O120*P120)+(S120*T120)+(W120*X120)+(AA120*AB120), 0)</f>
        <v>2.7800000000000005E-2</v>
      </c>
      <c r="G120" s="164" cm="1">
        <f t="array" ref="G120">Scope3_Equations.VEERG_15_2_1_1__1_EmissionsFromPurchasedFeed(E120,F120)</f>
        <v>96.07680000000002</v>
      </c>
      <c r="H120" s="69">
        <v>0.03</v>
      </c>
      <c r="I120" s="164" cm="1">
        <f t="array" ref="I120">Scope3_Equations.VEERG_15_2_1_1__1_EmissionsFromPurchasedFeed(E120,IF(H120,H120, F120))</f>
        <v>103.67999999999999</v>
      </c>
      <c r="J120" s="86"/>
      <c r="K120" s="48"/>
      <c r="L120" s="86"/>
      <c r="M120" s="50" t="str">
        <v>Cereal hay</v>
      </c>
      <c r="N120" s="50" t="str">
        <v>TAS</v>
      </c>
      <c r="O120" s="50">
        <v>0.2</v>
      </c>
      <c r="P120" s="50" cm="1">
        <f t="array" ref="P120">_xlfn.LET(_xlpm.result, Common_InputFunctions.Utility_LookupValueInTableTwoColumns(M120, N120, Table_SourceData_Scope3_Feed[Product], Table_SourceData_Scope3_Feed[Region of origin], Table_SourceData_Scope3_Feed[AusLCI Emissions intensity]), IF(_xlpm.result="", 0, _xlpm.result))</f>
        <v>0.13900000000000001</v>
      </c>
      <c r="Q120" s="50" t="str">
        <v>Lucerne hay</v>
      </c>
      <c r="R120" s="50" t="str">
        <v>NSW</v>
      </c>
      <c r="S120" s="50">
        <v>0.2</v>
      </c>
      <c r="T120" s="50"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50">
        <v>0</v>
      </c>
      <c r="V120" s="50">
        <v>0</v>
      </c>
      <c r="W120" s="50">
        <v>0</v>
      </c>
      <c r="X120" s="50"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50">
        <v>0</v>
      </c>
      <c r="Z120" s="50">
        <v>0</v>
      </c>
      <c r="AA120" s="50">
        <v>0</v>
      </c>
      <c r="AB120" s="50"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50" t="str">
        <v>Hay bales in paddock</v>
      </c>
      <c r="E121" s="50">
        <v>300</v>
      </c>
      <c r="F121" s="50">
        <f>IFERROR((O121*P121)+(S121*T121)+(W121*X121)+(AA121*AB121), 0)</f>
        <v>0.14880000000000002</v>
      </c>
      <c r="G121" s="164" cm="1">
        <f t="array" ref="G121">Scope3_Equations.VEERG_15_2_1_1__1_EmissionsFromPurchasedFeed(E121,F121)</f>
        <v>44.640000000000008</v>
      </c>
      <c r="H121" s="69">
        <v>0.14000000000000001</v>
      </c>
      <c r="I121" s="164" cm="1">
        <f t="array" ref="I121">Scope3_Equations.VEERG_15_2_1_1__1_EmissionsFromPurchasedFeed(E121,IF(H121,H121, F121))</f>
        <v>42.000000000000007</v>
      </c>
      <c r="J121" s="86"/>
      <c r="K121" s="48"/>
      <c r="L121" s="86"/>
      <c r="M121" s="50" t="str">
        <v>Maize grain</v>
      </c>
      <c r="N121" s="50" t="str">
        <v>QLD</v>
      </c>
      <c r="O121" s="50">
        <v>0.8</v>
      </c>
      <c r="P121" s="50" cm="1">
        <f t="array" ref="P121">_xlfn.LET(_xlpm.result, Common_InputFunctions.Utility_LookupValueInTableTwoColumns(M121, N121, Table_SourceData_Scope3_Feed[Product], Table_SourceData_Scope3_Feed[Region of origin], Table_SourceData_Scope3_Feed[AusLCI Emissions intensity]), IF(_xlpm.result="", 0, _xlpm.result))</f>
        <v>0.186</v>
      </c>
      <c r="Q121" s="50" t="str">
        <v>Soybean meal</v>
      </c>
      <c r="R121" s="50" t="str">
        <v>Brazil</v>
      </c>
      <c r="S121" s="50">
        <v>0.2</v>
      </c>
      <c r="T121" s="50"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50">
        <v>0</v>
      </c>
      <c r="V121" s="50">
        <v>0</v>
      </c>
      <c r="W121" s="50">
        <v>0</v>
      </c>
      <c r="X121" s="50"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50">
        <v>0</v>
      </c>
      <c r="Z121" s="50">
        <v>0</v>
      </c>
      <c r="AA121" s="50">
        <v>0</v>
      </c>
      <c r="AB121" s="50"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50">
        <v>0</v>
      </c>
      <c r="E122" s="50">
        <v>500</v>
      </c>
      <c r="F122" s="50">
        <f>IFERROR((O122*P122)+(S122*T122)+(W122*X122)+(AA122*AB122), 0)</f>
        <v>0.311</v>
      </c>
      <c r="G122" s="164" cm="1">
        <f t="array" ref="G122">Scope3_Equations.VEERG_15_2_1_1__1_EmissionsFromPurchasedFeed(E122,F122)</f>
        <v>155.5</v>
      </c>
      <c r="H122" s="69"/>
      <c r="I122" s="164" cm="1">
        <f t="array" ref="I122">Scope3_Equations.VEERG_15_2_1_1__1_EmissionsFromPurchasedFeed(E122,IF(H122,H122, F122))</f>
        <v>155.5</v>
      </c>
      <c r="J122" s="86"/>
      <c r="K122" s="48"/>
      <c r="L122" s="86"/>
      <c r="M122" s="50" t="str">
        <v>Pasture hay</v>
      </c>
      <c r="N122" s="50" t="str">
        <v>NSW</v>
      </c>
      <c r="O122" s="50">
        <v>1</v>
      </c>
      <c r="P122" s="50" cm="1">
        <f t="array" ref="P122">_xlfn.LET(_xlpm.result, Common_InputFunctions.Utility_LookupValueInTableTwoColumns(M122, N122, Table_SourceData_Scope3_Feed[Product], Table_SourceData_Scope3_Feed[Region of origin], Table_SourceData_Scope3_Feed[AusLCI Emissions intensity]), IF(_xlpm.result="", 0, _xlpm.result))</f>
        <v>0.311</v>
      </c>
      <c r="Q122" s="50">
        <v>0</v>
      </c>
      <c r="R122" s="50">
        <v>0</v>
      </c>
      <c r="S122" s="50">
        <v>0</v>
      </c>
      <c r="T122" s="50"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50">
        <v>0</v>
      </c>
      <c r="V122" s="50">
        <v>0</v>
      </c>
      <c r="W122" s="50">
        <v>0</v>
      </c>
      <c r="X122" s="50"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50">
        <v>0</v>
      </c>
      <c r="Z122" s="50">
        <v>0</v>
      </c>
      <c r="AA122" s="50">
        <v>0</v>
      </c>
      <c r="AB122" s="50"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50">
        <v>0</v>
      </c>
      <c r="E123" s="50">
        <v>0</v>
      </c>
      <c r="F123" s="50">
        <f>IFERROR((O123*P123)+(S123*T123)+(W123*X123)+(AA123*AB123), 0)</f>
        <v>0</v>
      </c>
      <c r="G123" s="164" cm="1">
        <f t="array" ref="G123">Scope3_Equations.VEERG_15_2_1_1__1_EmissionsFromPurchasedFeed(E123,F123)</f>
        <v>0</v>
      </c>
      <c r="H123" s="69"/>
      <c r="I123" s="164" cm="1">
        <f t="array" ref="I123">Scope3_Equations.VEERG_15_2_1_1__1_EmissionsFromPurchasedFeed(E123,IF(H123,H123, F123))</f>
        <v>0</v>
      </c>
      <c r="J123" s="86"/>
      <c r="K123" s="48"/>
      <c r="L123" s="86"/>
      <c r="M123" s="50">
        <v>0</v>
      </c>
      <c r="N123" s="50">
        <v>0</v>
      </c>
      <c r="O123" s="50">
        <v>0</v>
      </c>
      <c r="P123" s="50"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50">
        <v>0</v>
      </c>
      <c r="R123" s="50">
        <v>0</v>
      </c>
      <c r="S123" s="50">
        <v>0</v>
      </c>
      <c r="T123" s="50"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50">
        <v>0</v>
      </c>
      <c r="V123" s="50">
        <v>0</v>
      </c>
      <c r="W123" s="50">
        <v>0</v>
      </c>
      <c r="X123" s="50"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50">
        <v>0</v>
      </c>
      <c r="Z123" s="50">
        <v>0</v>
      </c>
      <c r="AA123" s="50">
        <v>0</v>
      </c>
      <c r="AB123" s="50"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50">
        <v>0</v>
      </c>
      <c r="E124" s="50">
        <v>0</v>
      </c>
      <c r="F124" s="50">
        <f>IFERROR((O124*P124)+(S124*T124)+(W124*X124)+(AA124*AB124), 0)</f>
        <v>0</v>
      </c>
      <c r="G124" s="164" cm="1">
        <f t="array" ref="G124">Scope3_Equations.VEERG_15_2_1_1__1_EmissionsFromPurchasedFeed(E124,F124)</f>
        <v>0</v>
      </c>
      <c r="H124" s="69"/>
      <c r="I124" s="164" cm="1">
        <f t="array" ref="I124">Scope3_Equations.VEERG_15_2_1_1__1_EmissionsFromPurchasedFeed(E124,IF(H124,H124, F124))</f>
        <v>0</v>
      </c>
      <c r="J124" s="86"/>
      <c r="K124" s="48"/>
      <c r="L124" s="86"/>
      <c r="M124" s="50">
        <v>0</v>
      </c>
      <c r="N124" s="50">
        <v>0</v>
      </c>
      <c r="O124" s="50">
        <v>0</v>
      </c>
      <c r="P124" s="50"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50">
        <v>0</v>
      </c>
      <c r="R124" s="50">
        <v>0</v>
      </c>
      <c r="S124" s="50">
        <v>0</v>
      </c>
      <c r="T124" s="50"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50">
        <v>0</v>
      </c>
      <c r="V124" s="50">
        <v>0</v>
      </c>
      <c r="W124" s="50">
        <v>0</v>
      </c>
      <c r="X124" s="50"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50">
        <v>0</v>
      </c>
      <c r="Z124" s="50">
        <v>0</v>
      </c>
      <c r="AA124" s="50">
        <v>0</v>
      </c>
      <c r="AB124" s="50"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50">
        <v>0</v>
      </c>
      <c r="E125" s="50">
        <v>0</v>
      </c>
      <c r="F125" s="50">
        <f>IFERROR((O125*P125)+(S125*T125)+(W125*X125)+(AA125*AB125), 0)</f>
        <v>0</v>
      </c>
      <c r="G125" s="164" cm="1">
        <f t="array" ref="G125">Scope3_Equations.VEERG_15_2_1_1__1_EmissionsFromPurchasedFeed(E125,F125)</f>
        <v>0</v>
      </c>
      <c r="H125" s="69"/>
      <c r="I125" s="164" cm="1">
        <f t="array" ref="I125">Scope3_Equations.VEERG_15_2_1_1__1_EmissionsFromPurchasedFeed(E125,IF(H125,H125, F125))</f>
        <v>0</v>
      </c>
      <c r="J125" s="86"/>
      <c r="K125" s="48"/>
      <c r="L125" s="86"/>
      <c r="M125" s="50">
        <v>0</v>
      </c>
      <c r="N125" s="50">
        <v>0</v>
      </c>
      <c r="O125" s="50">
        <v>0</v>
      </c>
      <c r="P125" s="50"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50">
        <v>0</v>
      </c>
      <c r="R125" s="50">
        <v>0</v>
      </c>
      <c r="S125" s="50">
        <v>0</v>
      </c>
      <c r="T125" s="50"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50">
        <v>0</v>
      </c>
      <c r="V125" s="50">
        <v>0</v>
      </c>
      <c r="W125" s="50">
        <v>0</v>
      </c>
      <c r="X125" s="50"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50">
        <v>0</v>
      </c>
      <c r="Z125" s="50">
        <v>0</v>
      </c>
      <c r="AA125" s="50">
        <v>0</v>
      </c>
      <c r="AB125" s="50"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50">
        <v>0</v>
      </c>
      <c r="E126" s="50">
        <v>0</v>
      </c>
      <c r="F126" s="50">
        <f>IFERROR((O126*P126)+(S126*T126)+(W126*X126)+(AA126*AB126), 0)</f>
        <v>0</v>
      </c>
      <c r="G126" s="164" cm="1">
        <f t="array" ref="G126">Scope3_Equations.VEERG_15_2_1_1__1_EmissionsFromPurchasedFeed(E126,F126)</f>
        <v>0</v>
      </c>
      <c r="H126" s="69"/>
      <c r="I126" s="164" cm="1">
        <f t="array" ref="I126">Scope3_Equations.VEERG_15_2_1_1__1_EmissionsFromPurchasedFeed(E126,IF(H126,H126, F126))</f>
        <v>0</v>
      </c>
      <c r="J126" s="86"/>
      <c r="K126" s="48"/>
      <c r="L126" s="86"/>
      <c r="M126" s="50">
        <v>0</v>
      </c>
      <c r="N126" s="50">
        <v>0</v>
      </c>
      <c r="O126" s="50">
        <v>0</v>
      </c>
      <c r="P126" s="50"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50">
        <v>0</v>
      </c>
      <c r="R126" s="50">
        <v>0</v>
      </c>
      <c r="S126" s="50">
        <v>0</v>
      </c>
      <c r="T126" s="50"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50">
        <v>0</v>
      </c>
      <c r="V126" s="50">
        <v>0</v>
      </c>
      <c r="W126" s="50">
        <v>0</v>
      </c>
      <c r="X126" s="50"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50">
        <v>0</v>
      </c>
      <c r="Z126" s="50">
        <v>0</v>
      </c>
      <c r="AA126" s="50">
        <v>0</v>
      </c>
      <c r="AB126" s="50"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50">
        <v>0</v>
      </c>
      <c r="E127" s="50">
        <v>0</v>
      </c>
      <c r="F127" s="50">
        <f>IFERROR((O127*P127)+(S127*T127)+(W127*X127)+(AA127*AB127), 0)</f>
        <v>0</v>
      </c>
      <c r="G127" s="164" cm="1">
        <f t="array" ref="G127">Scope3_Equations.VEERG_15_2_1_1__1_EmissionsFromPurchasedFeed(E127,F127)</f>
        <v>0</v>
      </c>
      <c r="H127" s="69"/>
      <c r="I127" s="164" cm="1">
        <f t="array" ref="I127">Scope3_Equations.VEERG_15_2_1_1__1_EmissionsFromPurchasedFeed(E127,IF(H127,H127, F127))</f>
        <v>0</v>
      </c>
      <c r="J127" s="86"/>
      <c r="K127" s="48"/>
      <c r="L127" s="86"/>
      <c r="M127" s="50">
        <v>0</v>
      </c>
      <c r="N127" s="50">
        <v>0</v>
      </c>
      <c r="O127" s="50">
        <v>0</v>
      </c>
      <c r="P127" s="50"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50">
        <v>0</v>
      </c>
      <c r="R127" s="50">
        <v>0</v>
      </c>
      <c r="S127" s="50">
        <v>0</v>
      </c>
      <c r="T127" s="50"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50">
        <v>0</v>
      </c>
      <c r="V127" s="50">
        <v>0</v>
      </c>
      <c r="W127" s="50">
        <v>0</v>
      </c>
      <c r="X127" s="50"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50">
        <v>0</v>
      </c>
      <c r="Z127" s="50">
        <v>0</v>
      </c>
      <c r="AA127" s="50">
        <v>0</v>
      </c>
      <c r="AB127" s="50"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50">
        <v>0</v>
      </c>
      <c r="E128" s="50">
        <v>0</v>
      </c>
      <c r="F128" s="50">
        <f>IFERROR((O128*P128)+(S128*T128)+(W128*X128)+(AA128*AB128), 0)</f>
        <v>0</v>
      </c>
      <c r="G128" s="164" cm="1">
        <f t="array" ref="G128">Scope3_Equations.VEERG_15_2_1_1__1_EmissionsFromPurchasedFeed(E128,F128)</f>
        <v>0</v>
      </c>
      <c r="H128" s="69"/>
      <c r="I128" s="164" cm="1">
        <f t="array" ref="I128">Scope3_Equations.VEERG_15_2_1_1__1_EmissionsFromPurchasedFeed(E128,IF(H128,H128, F128))</f>
        <v>0</v>
      </c>
      <c r="J128" s="86"/>
      <c r="K128" s="48"/>
      <c r="L128" s="86"/>
      <c r="M128" s="50">
        <v>0</v>
      </c>
      <c r="N128" s="50">
        <v>0</v>
      </c>
      <c r="O128" s="50">
        <v>0</v>
      </c>
      <c r="P128" s="50"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50">
        <v>0</v>
      </c>
      <c r="R128" s="50">
        <v>0</v>
      </c>
      <c r="S128" s="50">
        <v>0</v>
      </c>
      <c r="T128" s="50"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50">
        <v>0</v>
      </c>
      <c r="V128" s="50">
        <v>0</v>
      </c>
      <c r="W128" s="50">
        <v>0</v>
      </c>
      <c r="X128" s="50"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50">
        <v>0</v>
      </c>
      <c r="Z128" s="50">
        <v>0</v>
      </c>
      <c r="AA128" s="50">
        <v>0</v>
      </c>
      <c r="AB128" s="50"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90" t="s">
        <v>720</v>
      </c>
      <c r="E130" s="103">
        <f>SUM(G119:G128)</f>
        <v>348.29680000000002</v>
      </c>
      <c r="F130" s="191" t="str">
        <f>$E$104</f>
        <v>t CO2e</v>
      </c>
    </row>
    <row r="131" spans="4:12" ht="20.100000000000001" customHeight="1" x14ac:dyDescent="0.25">
      <c r="D131" s="190" t="s">
        <v>721</v>
      </c>
      <c r="E131" s="103">
        <f>SUM(I119:I128)</f>
        <v>349.18</v>
      </c>
      <c r="F131" s="191" t="str">
        <f>$E$104</f>
        <v>t CO2e</v>
      </c>
    </row>
    <row r="132" spans="4:12" ht="20.100000000000001" customHeight="1" x14ac:dyDescent="0.25"/>
    <row r="133" spans="4:12" ht="20.100000000000001" customHeight="1" x14ac:dyDescent="0.25"/>
    <row r="134" spans="4:12" ht="20.100000000000001" customHeight="1" x14ac:dyDescent="0.25">
      <c r="D134" s="154" t="s">
        <v>435</v>
      </c>
    </row>
    <row r="135" spans="4:12" ht="20.100000000000001" customHeight="1" x14ac:dyDescent="0.25">
      <c r="D135" s="47" t="s">
        <v>221</v>
      </c>
      <c r="E135" s="47" t="s">
        <v>709</v>
      </c>
      <c r="F135" s="60" t="s">
        <v>713</v>
      </c>
      <c r="G135" s="60" t="s">
        <v>710</v>
      </c>
      <c r="H135" s="47" t="s">
        <v>711</v>
      </c>
      <c r="I135" s="60" t="s">
        <v>712</v>
      </c>
      <c r="J135" s="47" t="s">
        <v>706</v>
      </c>
      <c r="K135" s="47" t="s">
        <v>707</v>
      </c>
      <c r="L135" s="47" t="s">
        <v>708</v>
      </c>
    </row>
    <row r="136" spans="4:12" ht="20.100000000000001" customHeight="1" x14ac:dyDescent="0.25">
      <c r="D136" s="50" t="str">
        <f>'Input - Farm Inputs'!D56</f>
        <v>Feed for chickens</v>
      </c>
      <c r="E136" s="50">
        <f>'Input - Farm Inputs'!E56</f>
        <v>100</v>
      </c>
      <c r="F136" s="50" cm="1">
        <f t="array" ref="F136">Common_InputFunctions.Utility_LookupValueInTableNumber(D136,Table_SourceData_Scope3_MixedRations[Product],Table_SourceData_Scope3_MixedRations[AusLCI Emissions intensity])</f>
        <v>0.59399999999999997</v>
      </c>
      <c r="G136" s="164" cm="1">
        <f t="array" ref="G136">Scope3_Equations.VEERG_15_2_1_1__1_EmissionsFromPurchasedFeed(E136,F136)</f>
        <v>59.4</v>
      </c>
      <c r="H136" s="69">
        <v>0.5</v>
      </c>
      <c r="I136" s="164" cm="1">
        <f t="array" ref="I136">Scope3_Equations.VEERG_15_2_1_1__1_EmissionsFromPurchasedFeed(E136,IF(H136,H136, F136))</f>
        <v>50</v>
      </c>
      <c r="J136" s="86"/>
      <c r="K136" s="48"/>
      <c r="L136" s="179"/>
    </row>
    <row r="137" spans="4:12" ht="20.100000000000001" customHeight="1" x14ac:dyDescent="0.25">
      <c r="D137" s="50" t="str">
        <f>'Input - Farm Inputs'!D57</f>
        <v>Feed for dairy calves</v>
      </c>
      <c r="E137" s="50">
        <f>'Input - Farm Inputs'!E57</f>
        <v>100</v>
      </c>
      <c r="F137" s="50" cm="1">
        <f t="array" ref="F137">Common_InputFunctions.Utility_LookupValueInTableNumber(D137,Table_SourceData_Scope3_MixedRations[Product],Table_SourceData_Scope3_MixedRations[AusLCI Emissions intensity])</f>
        <v>0.41899999999999998</v>
      </c>
      <c r="G137" s="164" cm="1">
        <f t="array" ref="G137">Scope3_Equations.VEERG_15_2_1_1__1_EmissionsFromPurchasedFeed(E137,F137)</f>
        <v>41.9</v>
      </c>
      <c r="H137" s="69">
        <v>0.4</v>
      </c>
      <c r="I137" s="164" cm="1">
        <f t="array" ref="I137">Scope3_Equations.VEERG_15_2_1_1__1_EmissionsFromPurchasedFeed(E137,IF(H137,H137, F137))</f>
        <v>40</v>
      </c>
      <c r="J137" s="86"/>
      <c r="K137" s="48"/>
      <c r="L137" s="86"/>
    </row>
    <row r="138" spans="4:12" ht="20.100000000000001" customHeight="1" x14ac:dyDescent="0.25">
      <c r="D138" s="50" t="str">
        <f>'Input - Farm Inputs'!D58</f>
        <v>Feed for dairy cows</v>
      </c>
      <c r="E138" s="50">
        <f>'Input - Farm Inputs'!E58</f>
        <v>100</v>
      </c>
      <c r="F138" s="50" cm="1">
        <f t="array" ref="F138">Common_InputFunctions.Utility_LookupValueInTableNumber(D138,Table_SourceData_Scope3_MixedRations[Product],Table_SourceData_Scope3_MixedRations[AusLCI Emissions intensity])</f>
        <v>0.33300000000000002</v>
      </c>
      <c r="G138" s="164" cm="1">
        <f t="array" ref="G138">Scope3_Equations.VEERG_15_2_1_1__1_EmissionsFromPurchasedFeed(E138,F138)</f>
        <v>33.300000000000004</v>
      </c>
      <c r="H138" s="69">
        <v>0</v>
      </c>
      <c r="I138" s="164" cm="1">
        <f t="array" ref="I138">Scope3_Equations.VEERG_15_2_1_1__1_EmissionsFromPurchasedFeed(E138,IF(H138,H138, F138))</f>
        <v>33.300000000000004</v>
      </c>
      <c r="J138" s="86"/>
      <c r="K138" s="48"/>
      <c r="L138" s="86"/>
    </row>
    <row r="139" spans="4:12" ht="20.100000000000001" customHeight="1" x14ac:dyDescent="0.25">
      <c r="D139" s="50" t="str">
        <f>'Input - Farm Inputs'!D59</f>
        <v>Feed for pigs</v>
      </c>
      <c r="E139" s="50">
        <f>'Input - Farm Inputs'!E59</f>
        <v>100</v>
      </c>
      <c r="F139" s="50" cm="1">
        <f t="array" ref="F139">Common_InputFunctions.Utility_LookupValueInTableNumber(D139,Table_SourceData_Scope3_MixedRations[Product],Table_SourceData_Scope3_MixedRations[AusLCI Emissions intensity])</f>
        <v>0.40300000000000002</v>
      </c>
      <c r="G139" s="164" cm="1">
        <f t="array" ref="G139">Scope3_Equations.VEERG_15_2_1_1__1_EmissionsFromPurchasedFeed(E139,F139)</f>
        <v>40.300000000000004</v>
      </c>
      <c r="H139" s="69">
        <v>0</v>
      </c>
      <c r="I139" s="164" cm="1">
        <f t="array" ref="I139">Scope3_Equations.VEERG_15_2_1_1__1_EmissionsFromPurchasedFeed(E139,IF(H139,H139, F139))</f>
        <v>40.300000000000004</v>
      </c>
      <c r="J139" s="86"/>
      <c r="K139" s="48"/>
      <c r="L139" s="86"/>
    </row>
    <row r="140" spans="4:12" ht="20.100000000000001" customHeight="1" x14ac:dyDescent="0.25"/>
    <row r="141" spans="4:12" ht="20.100000000000001" customHeight="1" x14ac:dyDescent="0.25">
      <c r="D141" s="190" t="s">
        <v>720</v>
      </c>
      <c r="E141" s="103">
        <f>SUM(G136:G139)</f>
        <v>174.9</v>
      </c>
      <c r="F141" s="191" t="str">
        <f>$E$104</f>
        <v>t CO2e</v>
      </c>
    </row>
    <row r="142" spans="4:12" ht="20.100000000000001" customHeight="1" x14ac:dyDescent="0.25">
      <c r="D142" s="190" t="s">
        <v>721</v>
      </c>
      <c r="E142" s="103">
        <f>SUM(I136:I139)</f>
        <v>163.60000000000002</v>
      </c>
      <c r="F142" s="191" t="str">
        <f>$E$104</f>
        <v>t CO2e</v>
      </c>
    </row>
    <row r="143" spans="4:12" ht="20.100000000000001" customHeight="1" x14ac:dyDescent="0.25"/>
    <row r="144" spans="4:12" ht="20.100000000000001" customHeight="1" x14ac:dyDescent="0.25">
      <c r="D144" s="192" t="s">
        <v>710</v>
      </c>
      <c r="E144" s="193">
        <f>E130+E141</f>
        <v>523.19680000000005</v>
      </c>
      <c r="F144" s="194" t="str">
        <f>$E$104</f>
        <v>t CO2e</v>
      </c>
    </row>
    <row r="145" spans="4:8" ht="20.100000000000001" customHeight="1" x14ac:dyDescent="0.25">
      <c r="D145" s="192" t="s">
        <v>712</v>
      </c>
      <c r="E145" s="193">
        <f>E131+E142</f>
        <v>512.78</v>
      </c>
      <c r="F145" s="194" t="str">
        <f>$E$104</f>
        <v>t CO2e</v>
      </c>
    </row>
    <row r="146" spans="4:8" ht="20.100000000000001" customHeight="1" x14ac:dyDescent="0.25"/>
    <row r="147" spans="4:8" ht="20.100000000000001" customHeight="1" x14ac:dyDescent="0.25"/>
    <row r="148" spans="4:8" ht="20.100000000000001" customHeight="1" x14ac:dyDescent="0.25"/>
    <row r="149" spans="4:8" ht="20.100000000000001" customHeight="1" x14ac:dyDescent="0.25">
      <c r="D149" s="9" t="str" cm="1">
        <f t="array" ref="D149">Scope3_Equations.VEERG_15_3_1_1__1_EmissionsFromPurchasedMineralSupplements_Title()</f>
        <v>Total emissions from purchased mineral supplements</v>
      </c>
    </row>
    <row r="150" spans="4:8" ht="20.100000000000001" customHeight="1" x14ac:dyDescent="0.25">
      <c r="D150" s="11" t="str" cm="1">
        <f t="array" ref="D150">Scope3_Equations.VEERG_15_3_1_1__1_EmissionsFromPurchasedMineralSupplements_Source()</f>
        <v>VEERG 2026: 15.3.1.1, Equation (1)</v>
      </c>
    </row>
    <row r="151" spans="4:8" ht="20.100000000000001" customHeight="1" x14ac:dyDescent="0.25">
      <c r="D151" s="189" t="s">
        <v>703</v>
      </c>
      <c r="E151" s="189" t="str" cm="1">
        <f t="array" aca="1" ref="E151" ca="1">Common_InputFunctions.Utility_DisplayFunctionName(G162)</f>
        <v>=Scope3_Equations.VEERG_15_3_1_1__1_EmissionsFromPurchasedMineralSupplements</v>
      </c>
    </row>
    <row r="152" spans="4:8" ht="20.100000000000001" customHeight="1" x14ac:dyDescent="0.25"/>
    <row r="153" spans="4:8" ht="20.100000000000001" customHeight="1" x14ac:dyDescent="0.25">
      <c r="H153" s="189"/>
    </row>
    <row r="154" spans="4:8" ht="20.100000000000001" customHeight="1" x14ac:dyDescent="0.25">
      <c r="D154" s="28" t="s">
        <v>704</v>
      </c>
      <c r="E154" s="8" t="str" cm="1">
        <f t="array" ref="E154">Scope3_Equations.VEERG_15_3_1_1__1_EmissionsFromPurchasedMineralSupplements_Variable()</f>
        <v>E</v>
      </c>
    </row>
    <row r="155" spans="4:8" ht="20.100000000000001" customHeight="1" x14ac:dyDescent="0.25">
      <c r="D155" s="28" t="s">
        <v>99</v>
      </c>
      <c r="E155" s="13" t="str" cm="1">
        <f t="array" ref="E155">Scope3_Equations.VEERG_15_3_1_1__1_EmissionsFromPurchasedMineralSupplements_Unit()</f>
        <v>t CO2e</v>
      </c>
    </row>
    <row r="156" spans="4:8" ht="20.100000000000001" customHeight="1" x14ac:dyDescent="0.25"/>
    <row r="157" spans="4:8" ht="20.100000000000001" customHeight="1" x14ac:dyDescent="0.25">
      <c r="D157" s="185" t="str" cm="1">
        <f t="array" ref="D157:E159">_xlfn.CHOOSECOLS(Scope3_Equations.VEERG_15_3_1_1__1_EmissionsFromPurchasedMineralSupplements_Arguments(),1,2)</f>
        <v>Q_m</v>
      </c>
      <c r="E157" s="188" t="str">
        <v>total quantity of mineral supplement type m used</v>
      </c>
      <c r="F157" s="184"/>
      <c r="G157" s="185" t="str" cm="1">
        <f t="array" ref="G157:H159">_xlfn.CHOOSECOLS(Scope3_Equations.VEERG_15_3_1_1__1_EmissionsFromPurchasedMineralSupplements_Arguments(),3,4)</f>
        <v>t</v>
      </c>
      <c r="H157" s="186" t="str">
        <v>Input</v>
      </c>
    </row>
    <row r="158" spans="4:8" ht="20.100000000000001" customHeight="1" x14ac:dyDescent="0.25">
      <c r="D158" s="185" t="str">
        <v>EF_m</v>
      </c>
      <c r="E158" s="188" t="str">
        <v>emission factor of purchased mineral supplement</v>
      </c>
      <c r="F158" s="184"/>
      <c r="G158" s="185" t="str">
        <v>kg CO2e/kg</v>
      </c>
      <c r="H158" s="186" t="str">
        <v>Constant</v>
      </c>
    </row>
    <row r="159" spans="4:8" ht="20.100000000000001" customHeight="1" x14ac:dyDescent="0.25">
      <c r="D159" s="185" t="str">
        <v>m</v>
      </c>
      <c r="E159" s="188" t="str">
        <v>mineral supplement type</v>
      </c>
      <c r="F159" s="184"/>
      <c r="G159" s="185" t="str">
        <v/>
      </c>
      <c r="H159" s="187" t="str">
        <v>Input</v>
      </c>
    </row>
    <row r="160" spans="4:8" ht="20.100000000000001" customHeight="1" x14ac:dyDescent="0.25"/>
    <row r="161" spans="4:12" ht="20.100000000000001" customHeight="1" x14ac:dyDescent="0.25">
      <c r="D161" s="47" t="s">
        <v>221</v>
      </c>
      <c r="E161" s="47" t="s">
        <v>717</v>
      </c>
      <c r="F161" s="60" t="s">
        <v>718</v>
      </c>
      <c r="G161" s="60" t="s">
        <v>710</v>
      </c>
      <c r="H161" s="47" t="s">
        <v>719</v>
      </c>
      <c r="I161" s="60" t="s">
        <v>712</v>
      </c>
      <c r="J161" s="47" t="s">
        <v>706</v>
      </c>
      <c r="K161" s="47" t="s">
        <v>707</v>
      </c>
      <c r="L161" s="47" t="s">
        <v>708</v>
      </c>
    </row>
    <row r="162" spans="4:12" ht="20.100000000000001" customHeight="1" x14ac:dyDescent="0.25">
      <c r="D162" s="50" t="str">
        <f>'Input - Farm Inputs'!D51</f>
        <v>Lick block, dry season mix</v>
      </c>
      <c r="E162" s="50">
        <f>'Input - Farm Inputs'!E51</f>
        <v>100</v>
      </c>
      <c r="F162" s="50" cm="1">
        <f t="array" ref="F162">Common_InputFunctions.Utility_LookupValueInTableNumber(D162,Table_SourceData_Scope3_LickBlocks[Product],Table_SourceData_Scope3_LickBlocks[AusLCI Emissions intensity])</f>
        <v>0.88100000000000001</v>
      </c>
      <c r="G162" s="164" cm="1">
        <f t="array" ref="G162">Scope3_Equations.VEERG_15_3_1_1__1_EmissionsFromPurchasedMineralSupplements(E162,F162)</f>
        <v>88.1</v>
      </c>
      <c r="H162" s="69">
        <v>0.8</v>
      </c>
      <c r="I162" s="164" cm="1">
        <f t="array" ref="I162">Scope3_Equations.VEERG_15_3_1_1__1_EmissionsFromPurchasedMineralSupplements(E162,IF(H162, H162, F162))</f>
        <v>80</v>
      </c>
      <c r="J162" s="86"/>
      <c r="K162" s="48"/>
      <c r="L162" s="179"/>
    </row>
    <row r="163" spans="4:12" ht="20.100000000000001" customHeight="1" x14ac:dyDescent="0.25">
      <c r="D163" s="50" t="str">
        <f>'Input - Farm Inputs'!D52</f>
        <v>Lick block, mineral</v>
      </c>
      <c r="E163" s="50">
        <f>'Input - Farm Inputs'!E52</f>
        <v>100</v>
      </c>
      <c r="F163" s="50" cm="1">
        <f t="array" ref="F163">Common_InputFunctions.Utility_LookupValueInTableNumber(D163,Table_SourceData_Scope3_LickBlocks[Product],Table_SourceData_Scope3_LickBlocks[AusLCI Emissions intensity])</f>
        <v>0.67700000000000005</v>
      </c>
      <c r="G163" s="164" cm="1">
        <f t="array" ref="G163">Scope3_Equations.VEERG_15_3_1_1__1_EmissionsFromPurchasedMineralSupplements(E163,F163)</f>
        <v>67.7</v>
      </c>
      <c r="H163" s="69">
        <v>0.6</v>
      </c>
      <c r="I163" s="164" cm="1">
        <f t="array" ref="I163">Scope3_Equations.VEERG_15_3_1_1__1_EmissionsFromPurchasedMineralSupplements(E163,IF(H163, H163, F163))</f>
        <v>60</v>
      </c>
      <c r="J163" s="86"/>
      <c r="K163" s="48"/>
      <c r="L163" s="86"/>
    </row>
    <row r="164" spans="4:12" ht="20.100000000000001" customHeight="1" x14ac:dyDescent="0.25">
      <c r="D164" s="50" t="str">
        <f>'Input - Farm Inputs'!D53</f>
        <v>Lick block, weaner</v>
      </c>
      <c r="E164" s="50">
        <f>'Input - Farm Inputs'!E53</f>
        <v>100</v>
      </c>
      <c r="F164" s="50" cm="1">
        <f t="array" ref="F164">Common_InputFunctions.Utility_LookupValueInTableNumber(D164,Table_SourceData_Scope3_LickBlocks[Product],Table_SourceData_Scope3_LickBlocks[AusLCI Emissions intensity])</f>
        <v>0.23100000000000001</v>
      </c>
      <c r="G164" s="164" cm="1">
        <f t="array" ref="G164">Scope3_Equations.VEERG_15_3_1_1__1_EmissionsFromPurchasedMineralSupplements(E164,F164)</f>
        <v>23.1</v>
      </c>
      <c r="H164" s="69">
        <v>0.2</v>
      </c>
      <c r="I164" s="164" cm="1">
        <f t="array" ref="I164">Scope3_Equations.VEERG_15_3_1_1__1_EmissionsFromPurchasedMineralSupplements(E164,IF(H164, H164, F164))</f>
        <v>20</v>
      </c>
      <c r="J164" s="86"/>
      <c r="K164" s="48"/>
      <c r="L164" s="86"/>
    </row>
    <row r="165" spans="4:12" ht="20.100000000000001" customHeight="1" x14ac:dyDescent="0.25"/>
    <row r="166" spans="4:12" ht="20.100000000000001" customHeight="1" x14ac:dyDescent="0.25">
      <c r="D166" s="192" t="s">
        <v>710</v>
      </c>
      <c r="E166" s="193">
        <f>SUM(G162:G164)</f>
        <v>178.9</v>
      </c>
      <c r="F166" s="194" t="str">
        <f>$E$155</f>
        <v>t CO2e</v>
      </c>
    </row>
    <row r="167" spans="4:12" ht="20.100000000000001" customHeight="1" x14ac:dyDescent="0.25">
      <c r="D167" s="192" t="s">
        <v>712</v>
      </c>
      <c r="E167" s="193">
        <f>SUM(I162:I164)</f>
        <v>160</v>
      </c>
      <c r="F167" s="194" t="str">
        <f>$E$155</f>
        <v>t CO2e</v>
      </c>
    </row>
    <row r="168" spans="4:12" ht="20.100000000000001" customHeight="1" x14ac:dyDescent="0.25"/>
    <row r="169" spans="4:12" ht="20.100000000000001" customHeight="1" x14ac:dyDescent="0.25"/>
    <row r="170" spans="4:12" ht="20.100000000000001" customHeight="1" x14ac:dyDescent="0.25"/>
    <row r="171" spans="4:12" ht="20.100000000000001" customHeight="1" x14ac:dyDescent="0.25"/>
    <row r="172" spans="4:12" ht="20.100000000000001" customHeight="1" x14ac:dyDescent="0.25"/>
    <row r="173" spans="4:12" ht="20.100000000000001" customHeight="1" x14ac:dyDescent="0.25"/>
    <row r="174" spans="4:12" ht="20.100000000000001" customHeight="1" x14ac:dyDescent="0.25"/>
    <row r="175" spans="4:12" ht="20.100000000000001" customHeight="1" x14ac:dyDescent="0.25"/>
    <row r="176" spans="4:12"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spans="4:5" ht="20.100000000000001" customHeight="1" x14ac:dyDescent="0.25"/>
    <row r="258" spans="4:5" ht="20.100000000000001" customHeight="1" x14ac:dyDescent="0.25"/>
    <row r="259" spans="4:5" ht="20.100000000000001" customHeight="1" x14ac:dyDescent="0.25">
      <c r="D259" s="9" t="str" cm="1">
        <f t="array" ref="D259">Scope3_Equations.VEERG_15_4_1_1__1_EmissionsFromPurchasedFertiliser_Title()</f>
        <v>Emissions from purchased fertiliser</v>
      </c>
    </row>
    <row r="260" spans="4:5" ht="20.100000000000001" customHeight="1" x14ac:dyDescent="0.25">
      <c r="D260" s="11" t="str" cm="1">
        <f t="array" ref="D260">Scope3_Equations.VEERG_15_4_1_1__1_EmissionsFromPurchasedFertiliser_Source()</f>
        <v>VEERG 2026: 15.4.1.1, Equation (1)</v>
      </c>
    </row>
    <row r="261" spans="4:5" ht="20.100000000000001" customHeight="1" x14ac:dyDescent="0.25">
      <c r="D261" s="189" t="s">
        <v>703</v>
      </c>
      <c r="E261" s="189" t="str" cm="1">
        <f t="array" aca="1" ref="E261" ca="1">Common_InputFunctions.Utility_DisplayFunctionName(G281)</f>
        <v>=Scope3_Equations.VEERG_15_4_1_1__1_EmissionsFromPurchasedFertiliser</v>
      </c>
    </row>
    <row r="262" spans="4:5" ht="20.100000000000001" customHeight="1" x14ac:dyDescent="0.25"/>
    <row r="263" spans="4:5" ht="20.100000000000001" customHeight="1" x14ac:dyDescent="0.25"/>
    <row r="264" spans="4:5" ht="20.100000000000001" customHeight="1" x14ac:dyDescent="0.25">
      <c r="D264" s="28" t="s">
        <v>704</v>
      </c>
      <c r="E264" s="8" t="str" cm="1">
        <f t="array" ref="E264">Scope3_Equations.VEERG_15_4_1_1__1_EmissionsFromPurchasedFertiliser_Variable()</f>
        <v>E</v>
      </c>
    </row>
    <row r="265" spans="4:5" x14ac:dyDescent="0.25">
      <c r="D265" s="28" t="s">
        <v>99</v>
      </c>
      <c r="E265" s="13" t="str" cm="1">
        <f t="array" ref="E265">Scope3_Equations.VEERG_15_4_1_1__1_EmissionsFromPurchasedFertiliser_Unit()</f>
        <v>t CO2e</v>
      </c>
    </row>
    <row r="267" spans="4:5" ht="23.25" x14ac:dyDescent="0.25">
      <c r="D267" s="9" t="str" cm="1">
        <f t="array" ref="D267">Scope3_Equations.VEERG_15_4_1_1__2_EmissionsFromPurchasedFertiliserComponents_Title()</f>
        <v>Emissions from purchased fertiliser components</v>
      </c>
    </row>
    <row r="268" spans="4:5" x14ac:dyDescent="0.25">
      <c r="D268" s="11" t="str" cm="1">
        <f t="array" ref="D268">Scope3_Equations.VEERG_15_4_1_1__2_EmissionsFromPurchasedFertiliserComponents_Source()</f>
        <v>VEERG 2026: 15.4.1.1, Equation (2)</v>
      </c>
    </row>
    <row r="269" spans="4:5" x14ac:dyDescent="0.25">
      <c r="D269" s="12" t="str" cm="1">
        <f t="array" ref="D269">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70" spans="4:5" x14ac:dyDescent="0.25">
      <c r="D270" s="189" t="s">
        <v>703</v>
      </c>
      <c r="E270" s="189" t="str" cm="1">
        <f t="array" aca="1" ref="E270" ca="1">Common_InputFunctions.Utility_DisplayFunctionName(H281)</f>
        <v>=Scope3_Equations.VEERG_15_4_1_1__2_EmissionsFromPurchasedFertiliserComponentsVariation</v>
      </c>
    </row>
    <row r="273" spans="4:40" x14ac:dyDescent="0.25">
      <c r="D273" s="28" t="s">
        <v>704</v>
      </c>
      <c r="E273" s="8" t="str" cm="1">
        <f t="array" ref="E273">Scope3_Equations.VEERG_15_4_1_1__2_EmissionsFromPurchasedFertiliserComponents_Variable()</f>
        <v>E</v>
      </c>
    </row>
    <row r="274" spans="4:40" x14ac:dyDescent="0.25">
      <c r="D274" s="28" t="s">
        <v>99</v>
      </c>
      <c r="E274" s="13" t="str" cm="1">
        <f t="array" ref="E274">Scope3_Equations.VEERG_15_4_1_1__2_EmissionsFromPurchasedFertiliserComponents_Unit()</f>
        <v>t CO2e</v>
      </c>
    </row>
    <row r="276" spans="4:40" x14ac:dyDescent="0.25">
      <c r="F276" s="8" t="s">
        <v>626</v>
      </c>
    </row>
    <row r="278" spans="4:40" ht="18.75" x14ac:dyDescent="0.25">
      <c r="D278" s="154" t="s">
        <v>402</v>
      </c>
      <c r="F278" s="100" t="s">
        <v>401</v>
      </c>
      <c r="G278" s="116"/>
      <c r="H278" s="101"/>
    </row>
    <row r="280" spans="4:40" x14ac:dyDescent="0.25">
      <c r="D280" s="47" t="s">
        <v>221</v>
      </c>
      <c r="E280" s="47" t="s">
        <v>387</v>
      </c>
      <c r="F280" s="60" t="s">
        <v>734</v>
      </c>
      <c r="G280" s="60" t="s">
        <v>730</v>
      </c>
      <c r="H280" s="60" t="s">
        <v>729</v>
      </c>
      <c r="I280" s="47" t="s">
        <v>735</v>
      </c>
      <c r="J280" s="60" t="s">
        <v>731</v>
      </c>
      <c r="K280" s="60" t="s">
        <v>732</v>
      </c>
      <c r="L280" s="47" t="s">
        <v>706</v>
      </c>
      <c r="M280" s="47" t="s">
        <v>707</v>
      </c>
      <c r="N280" s="47" t="s">
        <v>708</v>
      </c>
      <c r="O280" s="60" t="s">
        <v>175</v>
      </c>
      <c r="P280" s="60" t="s">
        <v>176</v>
      </c>
      <c r="Q280" s="60" t="s">
        <v>177</v>
      </c>
      <c r="R280" s="60" t="s">
        <v>178</v>
      </c>
      <c r="S280" s="60" t="s">
        <v>462</v>
      </c>
      <c r="T280" s="47" t="s">
        <v>685</v>
      </c>
      <c r="U280" s="60" t="s">
        <v>179</v>
      </c>
      <c r="V280" s="60" t="s">
        <v>180</v>
      </c>
      <c r="W280" s="60" t="s">
        <v>466</v>
      </c>
      <c r="X280" s="47" t="s">
        <v>686</v>
      </c>
      <c r="Y280" s="60" t="s">
        <v>181</v>
      </c>
      <c r="Z280" s="60" t="s">
        <v>182</v>
      </c>
      <c r="AA280" s="60" t="s">
        <v>467</v>
      </c>
      <c r="AB280" s="47" t="s">
        <v>690</v>
      </c>
      <c r="AC280" s="60" t="s">
        <v>183</v>
      </c>
      <c r="AD280" s="60" t="s">
        <v>184</v>
      </c>
      <c r="AE280" s="60" t="s">
        <v>684</v>
      </c>
      <c r="AF280" s="47" t="s">
        <v>689</v>
      </c>
      <c r="AG280" s="60" t="s">
        <v>185</v>
      </c>
      <c r="AH280" s="60" t="s">
        <v>186</v>
      </c>
      <c r="AI280" s="60" t="s">
        <v>683</v>
      </c>
      <c r="AJ280" s="47" t="s">
        <v>688</v>
      </c>
      <c r="AK280" s="60" t="s">
        <v>187</v>
      </c>
      <c r="AL280" s="60" t="s">
        <v>188</v>
      </c>
      <c r="AM280" s="60" t="s">
        <v>682</v>
      </c>
      <c r="AN280" s="47" t="s">
        <v>687</v>
      </c>
    </row>
    <row r="281" spans="4:40" x14ac:dyDescent="0.25">
      <c r="D281" s="50" t="str" cm="1">
        <f t="array" ref="D281:D300">IFERROR(INDEX(Table_Input_InorganicFertiliser_Brands[Product (select)], _xlfn.SEQUENCE(20)), "")</f>
        <v>CoRoN 12-0-10</v>
      </c>
      <c r="E281" s="50" cm="1">
        <f t="array" ref="E281:E300">IFERROR(INDEX(Table_Input_InorganicFertiliser_Brands[Total applied (kg)], _xlfn.SEQUENCE(20)), 0)</f>
        <v>12150.000000000002</v>
      </c>
      <c r="F281" s="50">
        <f>IFERROR((R281*S281)+(V281*W281)+(Z281*AA281)+(AD281*AE281)+(AH281*AI281)+(AL281*AM281), 0)</f>
        <v>0.40629130443200001</v>
      </c>
      <c r="G281" s="164" cm="1">
        <f t="array" ref="G281">Scope3_Equations.VEERG_15_4_1_1__1_EmissionsFromPurchasedFertiliser(E281,F281)</f>
        <v>4.9364393488488014</v>
      </c>
      <c r="H281" s="50" cm="1">
        <f t="array" ref="H281">Scope3_Equations.VEERG_15_4_1_1__2_EmissionsFromPurchasedFertiliserComponentsVariation(R281, $E281,S281)+
Scope3_Equations.VEERG_15_4_1_1__2_EmissionsFromPurchasedFertiliserComponentsVariation(V281, $E281,W281)+
Scope3_Equations.VEERG_15_4_1_1__2_EmissionsFromPurchasedFertiliserComponentsVariation(Z281, $E281,AA281)+
Scope3_Equations.VEERG_15_4_1_1__2_EmissionsFromPurchasedFertiliserComponentsVariation(AD281, $E281,AE281)+
Scope3_Equations.VEERG_15_4_1_1__2_EmissionsFromPurchasedFertiliserComponentsVariation(AH281, $E281,AI281)+
Scope3_Equations.VEERG_15_4_1_1__2_EmissionsFromPurchasedFertiliserComponentsVariation(AL281, $E281,AM281)</f>
        <v>4.9364393488488023</v>
      </c>
      <c r="I281" s="69">
        <v>0.4</v>
      </c>
      <c r="J281" s="164" cm="1">
        <f t="array" ref="J281">Scope3_Equations.VEERG_15_4_1_1__1_EmissionsFromPurchasedFertiliser(E281,I281)</f>
        <v>4.8600000000000012</v>
      </c>
      <c r="K281" s="164" cm="1">
        <f t="array" ref="K281">Scope3_Equations.VEERG_15_4_1_1__2_EmissionsFromPurchasedFertiliserComponentsVariation(R281, $E281,IF(T281,T281,S281))+
Scope3_Equations.VEERG_15_4_1_1__2_EmissionsFromPurchasedFertiliserComponentsVariation(V281, $E281,IF(X281,X281,W281))+
Scope3_Equations.VEERG_15_4_1_1__2_EmissionsFromPurchasedFertiliserComponentsVariation(Z281, $E281,IF(AB281,AB281,AA281))+
Scope3_Equations.VEERG_15_4_1_1__2_EmissionsFromPurchasedFertiliserComponentsVariation(AD281, $E281,IF(AF281,AF281,AE281))+
Scope3_Equations.VEERG_15_4_1_1__2_EmissionsFromPurchasedFertiliserComponentsVariation(AH281, $E281,IF(AJ281,AJ281,AI281))+
Scope3_Equations.VEERG_15_4_1_1__2_EmissionsFromPurchasedFertiliserComponentsVariation(AL281, $E281,IF(AN281,AN281,AM281))</f>
        <v>4.6909565226900014</v>
      </c>
      <c r="L281" s="86"/>
      <c r="M281" s="48"/>
      <c r="N281" s="179"/>
      <c r="O281" s="50" t="str" cm="1">
        <f t="array" ref="O281:O300">IFERROR(INDEX(Table_Input_InorganicFertiliser_Brands[Urea source], _xlfn.SEQUENCE(20)), "")</f>
        <v/>
      </c>
      <c r="P281" s="50" t="str" cm="1">
        <f t="array" ref="P281:P300">IFERROR(INDEX(Table_Input_InorganicFertiliser_Brands[Ammonia source], _xlfn.SEQUENCE(20)), "")</f>
        <v/>
      </c>
      <c r="Q281" s="50" t="str" cm="1">
        <f t="array" ref="Q281:Q300">IFERROR(INDEX(Table_Input_InorganicFertiliser_Brands[Ingredient 1], _xlfn.SEQUENCE(20)), "")</f>
        <v>Urea</v>
      </c>
      <c r="R281" s="50" cm="1">
        <f t="array" ref="R281:R300">IFERROR(INDEX(_xlfn.LET(_xlpm.result, Table_Input_InorganicFertiliser_Brands[Ingredient 1 percent], IF(_xlpm.result="", 0, _xlpm.result)), _xlfn.SEQUENCE(20)), 0)</f>
        <v>0.19565217400000001</v>
      </c>
      <c r="S281" s="50" cm="1">
        <f t="array" ref="S281">_xlfn.LET(_xlpm.result, Common_InputFunctions.Utility_LookupValueInTableTwoColumns(Q281, _xlfn.IFS(Q281="Urea",IF($O281="", "Global", $O281), Q281="Ammonia", IF($P281="", "Global", $P281), TRUE, "Global"), Table_SourceData_Scope3_InorganicFertiliser[Chemical compound],Table_SourceData_Scope3_InorganicFertiliser[Region of origin],Table_SourceData_Scope3_InorganicFertiliser[AusLCI Emissions intensity]), IF(_xlpm.result="", 0, _xlpm.result))</f>
        <v>0.96799999999999997</v>
      </c>
      <c r="T281" s="69">
        <v>0.9</v>
      </c>
      <c r="U281" s="50" t="str" cm="1">
        <f t="array" ref="U281:U300">IFERROR(INDEX(Table_Input_InorganicFertiliser_Brands[Ingredient 2], _xlfn.SEQUENCE(20)), "")</f>
        <v>Potassium - Generic</v>
      </c>
      <c r="V281" s="50" cm="1">
        <f t="array" ref="V281:V300">IFERROR(INDEX(_xlfn.LET(_xlpm.result, Table_Input_InorganicFertiliser_Brands[Ingredient 2 percent], IF(_xlpm.result="", 0, _xlpm.result)), _xlfn.SEQUENCE(20)), 0)</f>
        <v>0.1</v>
      </c>
      <c r="W281" s="50" cm="1">
        <f t="array" ref="W281">_xlfn.LET(_xlpm.result, Common_InputFunctions.Utility_LookupValueInTableTwoColumns(U281, _xlfn.IFS(U281="Urea",IF($O281="", "Global", $O281), U281="Ammonia", IF($P281="", "Global", $P281), TRUE, "Global"), Table_SourceData_Scope3_InorganicFertiliser[Chemical compound],Table_SourceData_Scope3_InorganicFertiliser[Region of origin],Table_SourceData_Scope3_InorganicFertiliser[AusLCI Emissions intensity]), IF(_xlpm.result="", 0, _xlpm.result))</f>
        <v>0.90900000000000003</v>
      </c>
      <c r="X281" s="69">
        <v>0.9</v>
      </c>
      <c r="Y281" s="50" t="str" cm="1">
        <f t="array" ref="Y281:Y300">IFERROR(INDEX(Table_Input_InorganicFertiliser_Brands[Ingredient 3], _xlfn.SEQUENCE(20)), "")</f>
        <v>Nitrogen - Generic</v>
      </c>
      <c r="Z281" s="50" cm="1">
        <f t="array" ref="Z281:Z300">IFERROR(INDEX(_xlfn.LET(_xlpm.result, Table_Input_InorganicFertiliser_Brands[Ingredient 3 percent], IF(_xlpm.result="", 0, _xlpm.result)), _xlfn.SEQUENCE(20)), 0)</f>
        <v>0.03</v>
      </c>
      <c r="AA281" s="50" cm="1">
        <f t="array" ref="AA281">_xlfn.LET(_xlpm.result, Common_InputFunctions.Utility_LookupValueInTableTwoColumns(Y281, _xlfn.IFS(Y281="Urea",IF($O281="", "Global", $O281), Y281="Ammonia", IF($P281="", "Global", $P281), TRUE, "Global"), Table_SourceData_Scope3_InorganicFertiliser[Chemical compound],Table_SourceData_Scope3_InorganicFertiliser[Region of origin],Table_SourceData_Scope3_InorganicFertiliser[AusLCI Emissions intensity]), IF(_xlpm.result="", 0, _xlpm.result))</f>
        <v>4.2</v>
      </c>
      <c r="AB281" s="69">
        <v>4</v>
      </c>
      <c r="AC281" s="50" t="str" cm="1">
        <f t="array" ref="AC281:AC300">IFERROR(INDEX(Table_Input_InorganicFertiliser_Brands[Ingredient 4], _xlfn.SEQUENCE(20)), "")</f>
        <v>Boron</v>
      </c>
      <c r="AD281" s="50" cm="1">
        <f t="array" ref="AD281:AD300">IFERROR(INDEX(_xlfn.LET(_xlpm.result, Table_Input_InorganicFertiliser_Brands[Ingredient 4 percent], IF(_xlpm.result="", 0, _xlpm.result)), _xlfn.SEQUENCE(20)), 0)</f>
        <v>5.0000000000000001E-3</v>
      </c>
      <c r="AE281" s="50" cm="1">
        <f t="array" ref="AE281">_xlfn.LET(_xlpm.result, Common_InputFunctions.Utility_LookupValueInTableTwoColumns(AC281, _xlfn.IFS(AC281="Urea",IF($O281="", "Global", $O281), AC281="Ammonia", IF($P281="", "Global", $P281), TRUE, "Global"), Table_SourceData_Scope3_InorganicFertiliser[Chemical compound],Table_SourceData_Scope3_InorganicFertiliser[Region of origin],Table_SourceData_Scope3_InorganicFertiliser[AusLCI Emissions intensity]), IF(_xlpm.result="", 0, _xlpm.result))</f>
        <v>0</v>
      </c>
      <c r="AF281" s="69">
        <v>0</v>
      </c>
      <c r="AG281" s="50" t="str" cm="1">
        <f t="array" ref="AG281:AG300">IFERROR(INDEX(Table_Input_InorganicFertiliser_Brands[Ingredient 5], _xlfn.SEQUENCE(20)), "")</f>
        <v/>
      </c>
      <c r="AH281" s="50" cm="1">
        <f t="array" ref="AH281:AH300">IFERROR(INDEX(_xlfn.LET(_xlpm.result, Table_Input_InorganicFertiliser_Brands[Ingredient 5 percent], IF(_xlpm.result="", 0, _xlpm.result)), _xlfn.SEQUENCE(20)), 0)</f>
        <v>0</v>
      </c>
      <c r="AI281" s="50" cm="1">
        <f t="array" ref="AI281">_xlfn.LET(_xlpm.result, Common_InputFunctions.Utility_LookupValueInTableTwoColumns(AG281, _xlfn.IFS(AG281="Urea",IF($O281="", "Global", $O281), AG281="Ammonia", IF($P281="", "Global", $P281), TRUE, "Global"), Table_SourceData_Scope3_InorganicFertiliser[Chemical compound],Table_SourceData_Scope3_InorganicFertiliser[Region of origin],Table_SourceData_Scope3_InorganicFertiliser[AusLCI Emissions intensity]), IF(_xlpm.result="", 0, _xlpm.result))</f>
        <v>0</v>
      </c>
      <c r="AJ281" s="69">
        <v>0</v>
      </c>
      <c r="AK281" s="50" t="str" cm="1">
        <f t="array" ref="AK281:AK300">IFERROR(INDEX(Table_Input_InorganicFertiliser_Brands[Ingredient 6], _xlfn.SEQUENCE(20)), "")</f>
        <v/>
      </c>
      <c r="AL281" s="50" cm="1">
        <f t="array" ref="AL281:AL300">IFERROR(INDEX(_xlfn.LET(_xlpm.result, Table_Input_InorganicFertiliser_Brands[Ingredient 6 percent], IF(_xlpm.result="", 0, _xlpm.result)), _xlfn.SEQUENCE(20)), 0)</f>
        <v>0</v>
      </c>
      <c r="AM281" s="50" cm="1">
        <f t="array" ref="AM281">_xlfn.LET(_xlpm.result, Common_InputFunctions.Utility_LookupValueInTableTwoColumns(AK281, _xlfn.IFS(AK281="Urea",IF($O281="", "Global", $O281), AK281="Ammonia", IF($P281="", "Global", $P281), TRUE, "Global"), Table_SourceData_Scope3_InorganicFertiliser[Chemical compound],Table_SourceData_Scope3_InorganicFertiliser[Region of origin],Table_SourceData_Scope3_InorganicFertiliser[AusLCI Emissions intensity]), IF(_xlpm.result="", 0, _xlpm.result))</f>
        <v>0</v>
      </c>
      <c r="AN281" s="69"/>
    </row>
    <row r="282" spans="4:40" x14ac:dyDescent="0.25">
      <c r="D282" s="50" t="str">
        <v>Boost-It</v>
      </c>
      <c r="E282" s="50">
        <v>20000</v>
      </c>
      <c r="F282" s="50">
        <f>IFERROR((R282*S282)+(V282*W282)+(Z282*AA282)+(AD282*AE282)+(AH282*AI282)+(AL282*AM282), 0)</f>
        <v>0.91618347784000009</v>
      </c>
      <c r="G282" s="164" cm="1">
        <f t="array" ref="G282">Scope3_Equations.VEERG_15_4_1_1__1_EmissionsFromPurchasedFertiliser(E282,F282)</f>
        <v>18.323669556800002</v>
      </c>
      <c r="H282" s="50" cm="1">
        <f t="array" ref="H282">Scope3_Equations.VEERG_15_4_1_1__2_EmissionsFromPurchasedFertiliserComponentsVariation(R282, $E282,S282)+
Scope3_Equations.VEERG_15_4_1_1__2_EmissionsFromPurchasedFertiliserComponentsVariation(V282, $E282,W282)+
Scope3_Equations.VEERG_15_4_1_1__2_EmissionsFromPurchasedFertiliserComponentsVariation(Z282, $E282,AA282)+
Scope3_Equations.VEERG_15_4_1_1__2_EmissionsFromPurchasedFertiliserComponentsVariation(AD282, $E282,AE282)+
Scope3_Equations.VEERG_15_4_1_1__2_EmissionsFromPurchasedFertiliserComponentsVariation(AH282, $E282,AI282)+
Scope3_Equations.VEERG_15_4_1_1__2_EmissionsFromPurchasedFertiliserComponentsVariation(AL282, $E282,AM282)</f>
        <v>18.323669556799999</v>
      </c>
      <c r="I282" s="69">
        <v>0.9</v>
      </c>
      <c r="J282" s="164" cm="1">
        <f t="array" ref="J282">Scope3_Equations.VEERG_15_4_1_1__1_EmissionsFromPurchasedFertiliser(E282,I282)</f>
        <v>18</v>
      </c>
      <c r="K282" s="164" cm="1">
        <f t="array" ref="K282">Scope3_Equations.VEERG_15_4_1_1__2_EmissionsFromPurchasedFertiliserComponentsVariation(R282, $E282,IF(T282,T282,S282))+
Scope3_Equations.VEERG_15_4_1_1__2_EmissionsFromPurchasedFertiliserComponentsVariation(V282, $E282,IF(X282,X282,W282))+
Scope3_Equations.VEERG_15_4_1_1__2_EmissionsFromPurchasedFertiliserComponentsVariation(Z282, $E282,IF(AB282,AB282,AA282))+
Scope3_Equations.VEERG_15_4_1_1__2_EmissionsFromPurchasedFertiliserComponentsVariation(AD282, $E282,IF(AF282,AF282,AE282))+
Scope3_Equations.VEERG_15_4_1_1__2_EmissionsFromPurchasedFertiliserComponentsVariation(AH282, $E282,IF(AJ282,AJ282,AI282))+
Scope3_Equations.VEERG_15_4_1_1__2_EmissionsFromPurchasedFertiliserComponentsVariation(AL282, $E282,IF(AN282,AN282,AM282))</f>
        <v>18.323669556799999</v>
      </c>
      <c r="L282" s="86"/>
      <c r="M282" s="48"/>
      <c r="N282" s="86"/>
      <c r="O282" s="50" t="str">
        <v/>
      </c>
      <c r="P282" s="50" t="str">
        <v/>
      </c>
      <c r="Q282" s="50" t="str">
        <v>Urea</v>
      </c>
      <c r="R282" s="50">
        <v>0.52173913000000005</v>
      </c>
      <c r="S282" s="50" cm="1">
        <f t="array" ref="S282">_xlfn.LET(_xlpm.result, Common_InputFunctions.Utility_LookupValueInTableTwoColumns(Q282, _xlfn.IFS(Q282="Urea",IF($O282="", "Global", $O282), Q282="Ammonia", IF($P282="", "Global", $P282), TRUE, "Global"), Table_SourceData_Scope3_InorganicFertiliser[Chemical compound],Table_SourceData_Scope3_InorganicFertiliser[Region of origin],Table_SourceData_Scope3_InorganicFertiliser[AusLCI Emissions intensity]), IF(_xlpm.result="", 0, _xlpm.result))</f>
        <v>0.96799999999999997</v>
      </c>
      <c r="T282" s="69"/>
      <c r="U282" s="50" t="str">
        <v>Potassium - Generic</v>
      </c>
      <c r="V282" s="50">
        <v>0.08</v>
      </c>
      <c r="W282" s="50" cm="1">
        <f t="array" ref="W282">_xlfn.LET(_xlpm.result, Common_InputFunctions.Utility_LookupValueInTableTwoColumns(U282, _xlfn.IFS(U282="Urea",IF($O282="", "Global", $O282), U282="Ammonia", IF($P282="", "Global", $P282), TRUE, "Global"), Table_SourceData_Scope3_InorganicFertiliser[Chemical compound],Table_SourceData_Scope3_InorganicFertiliser[Region of origin],Table_SourceData_Scope3_InorganicFertiliser[AusLCI Emissions intensity]), IF(_xlpm.result="", 0, _xlpm.result))</f>
        <v>0.90900000000000003</v>
      </c>
      <c r="X282" s="69"/>
      <c r="Y282" s="50" t="str">
        <v>Sulfur - Generic</v>
      </c>
      <c r="Z282" s="50">
        <v>5.2999999999999999E-2</v>
      </c>
      <c r="AA282" s="50" cm="1">
        <f t="array" ref="AA282">_xlfn.LET(_xlpm.result, Common_InputFunctions.Utility_LookupValueInTableTwoColumns(Y282, _xlfn.IFS(Y282="Urea",IF($O282="", "Global", $O282), Y282="Ammonia", IF($P282="", "Global", $P282), TRUE, "Global"), Table_SourceData_Scope3_InorganicFertiliser[Chemical compound],Table_SourceData_Scope3_InorganicFertiliser[Region of origin],Table_SourceData_Scope3_InorganicFertiliser[AusLCI Emissions intensity]), IF(_xlpm.result="", 0, _xlpm.result))</f>
        <v>2.5</v>
      </c>
      <c r="AB282" s="69"/>
      <c r="AC282" s="50" t="str">
        <v>Phosphorus - Generic</v>
      </c>
      <c r="AD282" s="50">
        <v>5.1999999999999998E-2</v>
      </c>
      <c r="AE282" s="50" cm="1">
        <f t="array" ref="AE282">_xlfn.LET(_xlpm.result, Common_InputFunctions.Utility_LookupValueInTableTwoColumns(AC282, _xlfn.IFS(AC282="Urea",IF($O282="", "Global", $O282), AC282="Ammonia", IF($P282="", "Global", $P282), TRUE, "Global"), Table_SourceData_Scope3_InorganicFertiliser[Chemical compound],Table_SourceData_Scope3_InorganicFertiliser[Region of origin],Table_SourceData_Scope3_InorganicFertiliser[AusLCI Emissions intensity]), IF(_xlpm.result="", 0, _xlpm.result))</f>
        <v>3.96</v>
      </c>
      <c r="AF282" s="69"/>
      <c r="AG282" s="50" t="str">
        <v>Magnesium</v>
      </c>
      <c r="AH282" s="50">
        <v>1.2999999999999999E-2</v>
      </c>
      <c r="AI282" s="50" cm="1">
        <f t="array" ref="AI282">_xlfn.LET(_xlpm.result, Common_InputFunctions.Utility_LookupValueInTableTwoColumns(AG282, _xlfn.IFS(AG282="Urea",IF($O282="", "Global", $O282), AG282="Ammonia", IF($P282="", "Global", $P282), TRUE, "Global"), Table_SourceData_Scope3_InorganicFertiliser[Chemical compound],Table_SourceData_Scope3_InorganicFertiliser[Region of origin],Table_SourceData_Scope3_InorganicFertiliser[AusLCI Emissions intensity]), IF(_xlpm.result="", 0, _xlpm.result))</f>
        <v>0</v>
      </c>
      <c r="AJ282" s="69"/>
      <c r="AK282" s="50" t="str">
        <v>Zinc</v>
      </c>
      <c r="AL282" s="50">
        <v>2E-3</v>
      </c>
      <c r="AM282" s="50" cm="1">
        <f t="array" ref="AM282">_xlfn.LET(_xlpm.result, Common_InputFunctions.Utility_LookupValueInTableTwoColumns(AK282, _xlfn.IFS(AK282="Urea",IF($O282="", "Global", $O282), AK282="Ammonia", IF($P282="", "Global", $P282), TRUE, "Global"), Table_SourceData_Scope3_InorganicFertiliser[Chemical compound],Table_SourceData_Scope3_InorganicFertiliser[Region of origin],Table_SourceData_Scope3_InorganicFertiliser[AusLCI Emissions intensity]), IF(_xlpm.result="", 0, _xlpm.result))</f>
        <v>0</v>
      </c>
      <c r="AN282" s="69"/>
    </row>
    <row r="283" spans="4:40" x14ac:dyDescent="0.25">
      <c r="D283" s="50" t="str">
        <v>CoRoN 12-0-10</v>
      </c>
      <c r="E283" s="50">
        <v>12150.000000000002</v>
      </c>
      <c r="F283" s="50">
        <f>IFERROR((R283*S283)+(V283*W283)+(Z283*AA283)+(AD283*AE283)+(AH283*AI283)+(AL283*AM283), 0)</f>
        <v>0.40629130443200001</v>
      </c>
      <c r="G283" s="164" cm="1">
        <f t="array" ref="G283">Scope3_Equations.VEERG_15_4_1_1__1_EmissionsFromPurchasedFertiliser(E283,F283)</f>
        <v>4.9364393488488014</v>
      </c>
      <c r="H283" s="50" cm="1">
        <f t="array" ref="H283">Scope3_Equations.VEERG_15_4_1_1__2_EmissionsFromPurchasedFertiliserComponentsVariation(R283, $E283,S283)+
Scope3_Equations.VEERG_15_4_1_1__2_EmissionsFromPurchasedFertiliserComponentsVariation(V283, $E283,W283)+
Scope3_Equations.VEERG_15_4_1_1__2_EmissionsFromPurchasedFertiliserComponentsVariation(Z283, $E283,AA283)+
Scope3_Equations.VEERG_15_4_1_1__2_EmissionsFromPurchasedFertiliserComponentsVariation(AD283, $E283,AE283)+
Scope3_Equations.VEERG_15_4_1_1__2_EmissionsFromPurchasedFertiliserComponentsVariation(AH283, $E283,AI283)+
Scope3_Equations.VEERG_15_4_1_1__2_EmissionsFromPurchasedFertiliserComponentsVariation(AL283, $E283,AM283)</f>
        <v>4.9364393488488023</v>
      </c>
      <c r="I283" s="69">
        <v>0.4</v>
      </c>
      <c r="J283" s="164" cm="1">
        <f t="array" ref="J283">Scope3_Equations.VEERG_15_4_1_1__1_EmissionsFromPurchasedFertiliser(E283,I283)</f>
        <v>4.8600000000000012</v>
      </c>
      <c r="K283" s="164" cm="1">
        <f t="array" ref="K283">Scope3_Equations.VEERG_15_4_1_1__2_EmissionsFromPurchasedFertiliserComponentsVariation(R283, $E283,IF(T283,T283,S283))+
Scope3_Equations.VEERG_15_4_1_1__2_EmissionsFromPurchasedFertiliserComponentsVariation(V283, $E283,IF(X283,X283,W283))+
Scope3_Equations.VEERG_15_4_1_1__2_EmissionsFromPurchasedFertiliserComponentsVariation(Z283, $E283,IF(AB283,AB283,AA283))+
Scope3_Equations.VEERG_15_4_1_1__2_EmissionsFromPurchasedFertiliserComponentsVariation(AD283, $E283,IF(AF283,AF283,AE283))+
Scope3_Equations.VEERG_15_4_1_1__2_EmissionsFromPurchasedFertiliserComponentsVariation(AH283, $E283,IF(AJ283,AJ283,AI283))+
Scope3_Equations.VEERG_15_4_1_1__2_EmissionsFromPurchasedFertiliserComponentsVariation(AL283, $E283,IF(AN283,AN283,AM283))</f>
        <v>4.9364393488488023</v>
      </c>
      <c r="L283" s="86"/>
      <c r="M283" s="48"/>
      <c r="N283" s="86"/>
      <c r="O283" s="50" t="str">
        <v/>
      </c>
      <c r="P283" s="50" t="str">
        <v/>
      </c>
      <c r="Q283" s="50" t="str">
        <v>Urea</v>
      </c>
      <c r="R283" s="50">
        <v>0.19565217400000001</v>
      </c>
      <c r="S283" s="50" cm="1">
        <f t="array" ref="S283">_xlfn.LET(_xlpm.result, Common_InputFunctions.Utility_LookupValueInTableTwoColumns(Q283, _xlfn.IFS(Q283="Urea",IF($O283="", "Global", $O283), Q283="Ammonia", IF($P283="", "Global", $P283), TRUE, "Global"), Table_SourceData_Scope3_InorganicFertiliser[Chemical compound],Table_SourceData_Scope3_InorganicFertiliser[Region of origin],Table_SourceData_Scope3_InorganicFertiliser[AusLCI Emissions intensity]), IF(_xlpm.result="", 0, _xlpm.result))</f>
        <v>0.96799999999999997</v>
      </c>
      <c r="T283" s="69"/>
      <c r="U283" s="50" t="str">
        <v>Potassium - Generic</v>
      </c>
      <c r="V283" s="50">
        <v>0.1</v>
      </c>
      <c r="W283" s="50" cm="1">
        <f t="array" ref="W283">_xlfn.LET(_xlpm.result, Common_InputFunctions.Utility_LookupValueInTableTwoColumns(U283, _xlfn.IFS(U283="Urea",IF($O283="", "Global", $O283), U283="Ammonia", IF($P283="", "Global", $P283), TRUE, "Global"), Table_SourceData_Scope3_InorganicFertiliser[Chemical compound],Table_SourceData_Scope3_InorganicFertiliser[Region of origin],Table_SourceData_Scope3_InorganicFertiliser[AusLCI Emissions intensity]), IF(_xlpm.result="", 0, _xlpm.result))</f>
        <v>0.90900000000000003</v>
      </c>
      <c r="X283" s="69"/>
      <c r="Y283" s="50" t="str">
        <v>Nitrogen - Generic</v>
      </c>
      <c r="Z283" s="50">
        <v>0.03</v>
      </c>
      <c r="AA283" s="50" cm="1">
        <f t="array" ref="AA283">_xlfn.LET(_xlpm.result, Common_InputFunctions.Utility_LookupValueInTableTwoColumns(Y283, _xlfn.IFS(Y283="Urea",IF($O283="", "Global", $O283), Y283="Ammonia", IF($P283="", "Global", $P283), TRUE, "Global"), Table_SourceData_Scope3_InorganicFertiliser[Chemical compound],Table_SourceData_Scope3_InorganicFertiliser[Region of origin],Table_SourceData_Scope3_InorganicFertiliser[AusLCI Emissions intensity]), IF(_xlpm.result="", 0, _xlpm.result))</f>
        <v>4.2</v>
      </c>
      <c r="AB283" s="69"/>
      <c r="AC283" s="50" t="str">
        <v>Boron</v>
      </c>
      <c r="AD283" s="50">
        <v>5.0000000000000001E-3</v>
      </c>
      <c r="AE283" s="50" cm="1">
        <f t="array" ref="AE283">_xlfn.LET(_xlpm.result, Common_InputFunctions.Utility_LookupValueInTableTwoColumns(AC283, _xlfn.IFS(AC283="Urea",IF($O283="", "Global", $O283), AC283="Ammonia", IF($P283="", "Global", $P283), TRUE, "Global"), Table_SourceData_Scope3_InorganicFertiliser[Chemical compound],Table_SourceData_Scope3_InorganicFertiliser[Region of origin],Table_SourceData_Scope3_InorganicFertiliser[AusLCI Emissions intensity]), IF(_xlpm.result="", 0, _xlpm.result))</f>
        <v>0</v>
      </c>
      <c r="AF283" s="69"/>
      <c r="AG283" s="50" t="str">
        <v/>
      </c>
      <c r="AH283" s="50">
        <v>0</v>
      </c>
      <c r="AI283" s="50" cm="1">
        <f t="array" ref="AI283">_xlfn.LET(_xlpm.result, Common_InputFunctions.Utility_LookupValueInTableTwoColumns(AG283, _xlfn.IFS(AG283="Urea",IF($O283="", "Global", $O283), AG283="Ammonia", IF($P283="", "Global", $P283), TRUE, "Global"), Table_SourceData_Scope3_InorganicFertiliser[Chemical compound],Table_SourceData_Scope3_InorganicFertiliser[Region of origin],Table_SourceData_Scope3_InorganicFertiliser[AusLCI Emissions intensity]), IF(_xlpm.result="", 0, _xlpm.result))</f>
        <v>0</v>
      </c>
      <c r="AJ283" s="69"/>
      <c r="AK283" s="50" t="str">
        <v/>
      </c>
      <c r="AL283" s="50">
        <v>0</v>
      </c>
      <c r="AM283" s="50" cm="1">
        <f t="array" ref="AM283">_xlfn.LET(_xlpm.result, Common_InputFunctions.Utility_LookupValueInTableTwoColumns(AK283, _xlfn.IFS(AK283="Urea",IF($O283="", "Global", $O283), AK283="Ammonia", IF($P283="", "Global", $P283), TRUE, "Global"), Table_SourceData_Scope3_InorganicFertiliser[Chemical compound],Table_SourceData_Scope3_InorganicFertiliser[Region of origin],Table_SourceData_Scope3_InorganicFertiliser[AusLCI Emissions intensity]), IF(_xlpm.result="", 0, _xlpm.result))</f>
        <v>0</v>
      </c>
      <c r="AN283" s="69"/>
    </row>
    <row r="284" spans="4:40" x14ac:dyDescent="0.25">
      <c r="D284" s="50" t="str">
        <v/>
      </c>
      <c r="E284" s="50">
        <v>0</v>
      </c>
      <c r="F284" s="50">
        <f>IFERROR((R284*S284)+(V284*W284)+(Z284*AA284)+(AD284*AE284)+(AH284*AI284)+(AL284*AM284), 0)</f>
        <v>0</v>
      </c>
      <c r="G284" s="164" cm="1">
        <f t="array" ref="G284">Scope3_Equations.VEERG_15_4_1_1__1_EmissionsFromPurchasedFertiliser(E284,F284)</f>
        <v>0</v>
      </c>
      <c r="H284" s="50" cm="1">
        <f t="array" ref="H284">Scope3_Equations.VEERG_15_4_1_1__2_EmissionsFromPurchasedFertiliserComponentsVariation(R284, $E284,S284)+
Scope3_Equations.VEERG_15_4_1_1__2_EmissionsFromPurchasedFertiliserComponentsVariation(V284, $E284,W284)+
Scope3_Equations.VEERG_15_4_1_1__2_EmissionsFromPurchasedFertiliserComponentsVariation(Z284, $E284,AA284)+
Scope3_Equations.VEERG_15_4_1_1__2_EmissionsFromPurchasedFertiliserComponentsVariation(AD284, $E284,AE284)+
Scope3_Equations.VEERG_15_4_1_1__2_EmissionsFromPurchasedFertiliserComponentsVariation(AH284, $E284,AI284)+
Scope3_Equations.VEERG_15_4_1_1__2_EmissionsFromPurchasedFertiliserComponentsVariation(AL284, $E284,AM284)</f>
        <v>0</v>
      </c>
      <c r="I284" s="69"/>
      <c r="J284" s="164" cm="1">
        <f t="array" ref="J284">Scope3_Equations.VEERG_15_4_1_1__1_EmissionsFromPurchasedFertiliser(E284,I284)</f>
        <v>0</v>
      </c>
      <c r="K284" s="164" cm="1">
        <f t="array" ref="K284">Scope3_Equations.VEERG_15_4_1_1__2_EmissionsFromPurchasedFertiliserComponentsVariation(R284, $E284,IF(T284,T284,S284))+
Scope3_Equations.VEERG_15_4_1_1__2_EmissionsFromPurchasedFertiliserComponentsVariation(V284, $E284,IF(X284,X284,W284))+
Scope3_Equations.VEERG_15_4_1_1__2_EmissionsFromPurchasedFertiliserComponentsVariation(Z284, $E284,IF(AB284,AB284,AA284))+
Scope3_Equations.VEERG_15_4_1_1__2_EmissionsFromPurchasedFertiliserComponentsVariation(AD284, $E284,IF(AF284,AF284,AE284))+
Scope3_Equations.VEERG_15_4_1_1__2_EmissionsFromPurchasedFertiliserComponentsVariation(AH284, $E284,IF(AJ284,AJ284,AI284))+
Scope3_Equations.VEERG_15_4_1_1__2_EmissionsFromPurchasedFertiliserComponentsVariation(AL284, $E284,IF(AN284,AN284,AM284))</f>
        <v>0</v>
      </c>
      <c r="L284" s="86"/>
      <c r="M284" s="48"/>
      <c r="N284" s="86"/>
      <c r="O284" s="50" t="str">
        <v/>
      </c>
      <c r="P284" s="50" t="str">
        <v/>
      </c>
      <c r="Q284" s="50" t="str">
        <v/>
      </c>
      <c r="R284" s="50">
        <v>0</v>
      </c>
      <c r="S284" s="50" cm="1">
        <f t="array" ref="S284">_xlfn.LET(_xlpm.result, Common_InputFunctions.Utility_LookupValueInTableTwoColumns(Q284, _xlfn.IFS(Q284="Urea",IF($O284="", "Global", $O284), Q284="Ammonia", IF($P284="", "Global", $P284), TRUE, "Global"), Table_SourceData_Scope3_InorganicFertiliser[Chemical compound],Table_SourceData_Scope3_InorganicFertiliser[Region of origin],Table_SourceData_Scope3_InorganicFertiliser[AusLCI Emissions intensity]), IF(_xlpm.result="", 0, _xlpm.result))</f>
        <v>0</v>
      </c>
      <c r="T284" s="69"/>
      <c r="U284" s="50" t="str">
        <v/>
      </c>
      <c r="V284" s="50">
        <v>0</v>
      </c>
      <c r="W284" s="50" cm="1">
        <f t="array" ref="W284">_xlfn.LET(_xlpm.result, Common_InputFunctions.Utility_LookupValueInTableTwoColumns(U284, _xlfn.IFS(U284="Urea",IF($O284="", "Global", $O284), U284="Ammonia", IF($P284="", "Global", $P284), TRUE, "Global"), Table_SourceData_Scope3_InorganicFertiliser[Chemical compound],Table_SourceData_Scope3_InorganicFertiliser[Region of origin],Table_SourceData_Scope3_InorganicFertiliser[AusLCI Emissions intensity]), IF(_xlpm.result="", 0, _xlpm.result))</f>
        <v>0</v>
      </c>
      <c r="X284" s="69"/>
      <c r="Y284" s="50" t="str">
        <v/>
      </c>
      <c r="Z284" s="50">
        <v>0</v>
      </c>
      <c r="AA284" s="50" cm="1">
        <f t="array" ref="AA284">_xlfn.LET(_xlpm.result, Common_InputFunctions.Utility_LookupValueInTableTwoColumns(Y284, _xlfn.IFS(Y284="Urea",IF($O284="", "Global", $O284), Y284="Ammonia", IF($P284="", "Global", $P284), TRUE, "Global"), Table_SourceData_Scope3_InorganicFertiliser[Chemical compound],Table_SourceData_Scope3_InorganicFertiliser[Region of origin],Table_SourceData_Scope3_InorganicFertiliser[AusLCI Emissions intensity]), IF(_xlpm.result="", 0, _xlpm.result))</f>
        <v>0</v>
      </c>
      <c r="AB284" s="69"/>
      <c r="AC284" s="50" t="str">
        <v/>
      </c>
      <c r="AD284" s="50">
        <v>0</v>
      </c>
      <c r="AE284" s="50" cm="1">
        <f t="array" ref="AE284">_xlfn.LET(_xlpm.result, Common_InputFunctions.Utility_LookupValueInTableTwoColumns(AC284, _xlfn.IFS(AC284="Urea",IF($O284="", "Global", $O284), AC284="Ammonia", IF($P284="", "Global", $P284), TRUE, "Global"), Table_SourceData_Scope3_InorganicFertiliser[Chemical compound],Table_SourceData_Scope3_InorganicFertiliser[Region of origin],Table_SourceData_Scope3_InorganicFertiliser[AusLCI Emissions intensity]), IF(_xlpm.result="", 0, _xlpm.result))</f>
        <v>0</v>
      </c>
      <c r="AF284" s="69"/>
      <c r="AG284" s="50" t="str">
        <v/>
      </c>
      <c r="AH284" s="50">
        <v>0</v>
      </c>
      <c r="AI284" s="50" cm="1">
        <f t="array" ref="AI284">_xlfn.LET(_xlpm.result, Common_InputFunctions.Utility_LookupValueInTableTwoColumns(AG284, _xlfn.IFS(AG284="Urea",IF($O284="", "Global", $O284), AG284="Ammonia", IF($P284="", "Global", $P284), TRUE, "Global"), Table_SourceData_Scope3_InorganicFertiliser[Chemical compound],Table_SourceData_Scope3_InorganicFertiliser[Region of origin],Table_SourceData_Scope3_InorganicFertiliser[AusLCI Emissions intensity]), IF(_xlpm.result="", 0, _xlpm.result))</f>
        <v>0</v>
      </c>
      <c r="AJ284" s="69"/>
      <c r="AK284" s="50" t="str">
        <v/>
      </c>
      <c r="AL284" s="50">
        <v>0</v>
      </c>
      <c r="AM284" s="50" cm="1">
        <f t="array" ref="AM284">_xlfn.LET(_xlpm.result, Common_InputFunctions.Utility_LookupValueInTableTwoColumns(AK284, _xlfn.IFS(AK284="Urea",IF($O284="", "Global", $O284), AK284="Ammonia", IF($P284="", "Global", $P284), TRUE, "Global"), Table_SourceData_Scope3_InorganicFertiliser[Chemical compound],Table_SourceData_Scope3_InorganicFertiliser[Region of origin],Table_SourceData_Scope3_InorganicFertiliser[AusLCI Emissions intensity]), IF(_xlpm.result="", 0, _xlpm.result))</f>
        <v>0</v>
      </c>
      <c r="AN284" s="69"/>
    </row>
    <row r="285" spans="4:40" x14ac:dyDescent="0.25">
      <c r="D285" s="50" t="str">
        <v/>
      </c>
      <c r="E285" s="50">
        <v>0</v>
      </c>
      <c r="F285" s="50">
        <f>IFERROR((R285*S285)+(V285*W285)+(Z285*AA285)+(AD285*AE285)+(AH285*AI285)+(AL285*AM285), 0)</f>
        <v>0</v>
      </c>
      <c r="G285" s="164" cm="1">
        <f t="array" ref="G285">Scope3_Equations.VEERG_15_4_1_1__1_EmissionsFromPurchasedFertiliser(E285,F285)</f>
        <v>0</v>
      </c>
      <c r="H285" s="50" cm="1">
        <f t="array" ref="H285">Scope3_Equations.VEERG_15_4_1_1__2_EmissionsFromPurchasedFertiliserComponentsVariation(R285, $E285,S285)+
Scope3_Equations.VEERG_15_4_1_1__2_EmissionsFromPurchasedFertiliserComponentsVariation(V285, $E285,W285)+
Scope3_Equations.VEERG_15_4_1_1__2_EmissionsFromPurchasedFertiliserComponentsVariation(Z285, $E285,AA285)+
Scope3_Equations.VEERG_15_4_1_1__2_EmissionsFromPurchasedFertiliserComponentsVariation(AD285, $E285,AE285)+
Scope3_Equations.VEERG_15_4_1_1__2_EmissionsFromPurchasedFertiliserComponentsVariation(AH285, $E285,AI285)+
Scope3_Equations.VEERG_15_4_1_1__2_EmissionsFromPurchasedFertiliserComponentsVariation(AL285, $E285,AM285)</f>
        <v>0</v>
      </c>
      <c r="I285" s="69"/>
      <c r="J285" s="164" cm="1">
        <f t="array" ref="J285">Scope3_Equations.VEERG_15_4_1_1__1_EmissionsFromPurchasedFertiliser(E285,I285)</f>
        <v>0</v>
      </c>
      <c r="K285" s="164" cm="1">
        <f t="array" ref="K285">Scope3_Equations.VEERG_15_4_1_1__2_EmissionsFromPurchasedFertiliserComponentsVariation(R285, $E285,IF(T285,T285,S285))+
Scope3_Equations.VEERG_15_4_1_1__2_EmissionsFromPurchasedFertiliserComponentsVariation(V285, $E285,IF(X285,X285,W285))+
Scope3_Equations.VEERG_15_4_1_1__2_EmissionsFromPurchasedFertiliserComponentsVariation(Z285, $E285,IF(AB285,AB285,AA285))+
Scope3_Equations.VEERG_15_4_1_1__2_EmissionsFromPurchasedFertiliserComponentsVariation(AD285, $E285,IF(AF285,AF285,AE285))+
Scope3_Equations.VEERG_15_4_1_1__2_EmissionsFromPurchasedFertiliserComponentsVariation(AH285, $E285,IF(AJ285,AJ285,AI285))+
Scope3_Equations.VEERG_15_4_1_1__2_EmissionsFromPurchasedFertiliserComponentsVariation(AL285, $E285,IF(AN285,AN285,AM285))</f>
        <v>0</v>
      </c>
      <c r="L285" s="86"/>
      <c r="M285" s="48"/>
      <c r="N285" s="86"/>
      <c r="O285" s="50" t="str">
        <v/>
      </c>
      <c r="P285" s="50" t="str">
        <v/>
      </c>
      <c r="Q285" s="50" t="str">
        <v/>
      </c>
      <c r="R285" s="50">
        <v>0</v>
      </c>
      <c r="S285" s="50" cm="1">
        <f t="array" ref="S285">_xlfn.LET(_xlpm.result, Common_InputFunctions.Utility_LookupValueInTableTwoColumns(Q285, _xlfn.IFS(Q285="Urea",IF($O285="", "Global", $O285), Q285="Ammonia", IF($P285="", "Global", $P285), TRUE, "Global"), Table_SourceData_Scope3_InorganicFertiliser[Chemical compound],Table_SourceData_Scope3_InorganicFertiliser[Region of origin],Table_SourceData_Scope3_InorganicFertiliser[AusLCI Emissions intensity]), IF(_xlpm.result="", 0, _xlpm.result))</f>
        <v>0</v>
      </c>
      <c r="T285" s="69"/>
      <c r="U285" s="50" t="str">
        <v/>
      </c>
      <c r="V285" s="50">
        <v>0</v>
      </c>
      <c r="W285" s="50" cm="1">
        <f t="array" ref="W285">_xlfn.LET(_xlpm.result, Common_InputFunctions.Utility_LookupValueInTableTwoColumns(U285, _xlfn.IFS(U285="Urea",IF($O285="", "Global", $O285), U285="Ammonia", IF($P285="", "Global", $P285), TRUE, "Global"), Table_SourceData_Scope3_InorganicFertiliser[Chemical compound],Table_SourceData_Scope3_InorganicFertiliser[Region of origin],Table_SourceData_Scope3_InorganicFertiliser[AusLCI Emissions intensity]), IF(_xlpm.result="", 0, _xlpm.result))</f>
        <v>0</v>
      </c>
      <c r="X285" s="69"/>
      <c r="Y285" s="50" t="str">
        <v/>
      </c>
      <c r="Z285" s="50">
        <v>0</v>
      </c>
      <c r="AA285" s="50" cm="1">
        <f t="array" ref="AA285">_xlfn.LET(_xlpm.result, Common_InputFunctions.Utility_LookupValueInTableTwoColumns(Y285, _xlfn.IFS(Y285="Urea",IF($O285="", "Global", $O285), Y285="Ammonia", IF($P285="", "Global", $P285), TRUE, "Global"), Table_SourceData_Scope3_InorganicFertiliser[Chemical compound],Table_SourceData_Scope3_InorganicFertiliser[Region of origin],Table_SourceData_Scope3_InorganicFertiliser[AusLCI Emissions intensity]), IF(_xlpm.result="", 0, _xlpm.result))</f>
        <v>0</v>
      </c>
      <c r="AB285" s="69"/>
      <c r="AC285" s="50" t="str">
        <v/>
      </c>
      <c r="AD285" s="50">
        <v>0</v>
      </c>
      <c r="AE285" s="50" cm="1">
        <f t="array" ref="AE285">_xlfn.LET(_xlpm.result, Common_InputFunctions.Utility_LookupValueInTableTwoColumns(AC285, _xlfn.IFS(AC285="Urea",IF($O285="", "Global", $O285), AC285="Ammonia", IF($P285="", "Global", $P285), TRUE, "Global"), Table_SourceData_Scope3_InorganicFertiliser[Chemical compound],Table_SourceData_Scope3_InorganicFertiliser[Region of origin],Table_SourceData_Scope3_InorganicFertiliser[AusLCI Emissions intensity]), IF(_xlpm.result="", 0, _xlpm.result))</f>
        <v>0</v>
      </c>
      <c r="AF285" s="69"/>
      <c r="AG285" s="50" t="str">
        <v/>
      </c>
      <c r="AH285" s="50">
        <v>0</v>
      </c>
      <c r="AI285" s="50" cm="1">
        <f t="array" ref="AI285">_xlfn.LET(_xlpm.result, Common_InputFunctions.Utility_LookupValueInTableTwoColumns(AG285, _xlfn.IFS(AG285="Urea",IF($O285="", "Global", $O285), AG285="Ammonia", IF($P285="", "Global", $P285), TRUE, "Global"), Table_SourceData_Scope3_InorganicFertiliser[Chemical compound],Table_SourceData_Scope3_InorganicFertiliser[Region of origin],Table_SourceData_Scope3_InorganicFertiliser[AusLCI Emissions intensity]), IF(_xlpm.result="", 0, _xlpm.result))</f>
        <v>0</v>
      </c>
      <c r="AJ285" s="69"/>
      <c r="AK285" s="50" t="str">
        <v/>
      </c>
      <c r="AL285" s="50">
        <v>0</v>
      </c>
      <c r="AM285" s="50" cm="1">
        <f t="array" ref="AM285">_xlfn.LET(_xlpm.result, Common_InputFunctions.Utility_LookupValueInTableTwoColumns(AK285, _xlfn.IFS(AK285="Urea",IF($O285="", "Global", $O285), AK285="Ammonia", IF($P285="", "Global", $P285), TRUE, "Global"), Table_SourceData_Scope3_InorganicFertiliser[Chemical compound],Table_SourceData_Scope3_InorganicFertiliser[Region of origin],Table_SourceData_Scope3_InorganicFertiliser[AusLCI Emissions intensity]), IF(_xlpm.result="", 0, _xlpm.result))</f>
        <v>0</v>
      </c>
      <c r="AN285" s="69"/>
    </row>
    <row r="286" spans="4:40" x14ac:dyDescent="0.25">
      <c r="D286" s="50" t="str">
        <v/>
      </c>
      <c r="E286" s="50">
        <v>0</v>
      </c>
      <c r="F286" s="50">
        <f>IFERROR((R286*S286)+(V286*W286)+(Z286*AA286)+(AD286*AE286)+(AH286*AI286)+(AL286*AM286), 0)</f>
        <v>0</v>
      </c>
      <c r="G286" s="164" cm="1">
        <f t="array" ref="G286">Scope3_Equations.VEERG_15_4_1_1__1_EmissionsFromPurchasedFertiliser(E286,F286)</f>
        <v>0</v>
      </c>
      <c r="H286" s="50" cm="1">
        <f t="array" ref="H286">Scope3_Equations.VEERG_15_4_1_1__2_EmissionsFromPurchasedFertiliserComponentsVariation(R286, $E286,S286)+
Scope3_Equations.VEERG_15_4_1_1__2_EmissionsFromPurchasedFertiliserComponentsVariation(V286, $E286,W286)+
Scope3_Equations.VEERG_15_4_1_1__2_EmissionsFromPurchasedFertiliserComponentsVariation(Z286, $E286,AA286)+
Scope3_Equations.VEERG_15_4_1_1__2_EmissionsFromPurchasedFertiliserComponentsVariation(AD286, $E286,AE286)+
Scope3_Equations.VEERG_15_4_1_1__2_EmissionsFromPurchasedFertiliserComponentsVariation(AH286, $E286,AI286)+
Scope3_Equations.VEERG_15_4_1_1__2_EmissionsFromPurchasedFertiliserComponentsVariation(AL286, $E286,AM286)</f>
        <v>0</v>
      </c>
      <c r="I286" s="69"/>
      <c r="J286" s="164" cm="1">
        <f t="array" ref="J286">Scope3_Equations.VEERG_15_4_1_1__1_EmissionsFromPurchasedFertiliser(E286,I286)</f>
        <v>0</v>
      </c>
      <c r="K286" s="164" cm="1">
        <f t="array" ref="K286">Scope3_Equations.VEERG_15_4_1_1__2_EmissionsFromPurchasedFertiliserComponentsVariation(R286, $E286,IF(T286,T286,S286))+
Scope3_Equations.VEERG_15_4_1_1__2_EmissionsFromPurchasedFertiliserComponentsVariation(V286, $E286,IF(X286,X286,W286))+
Scope3_Equations.VEERG_15_4_1_1__2_EmissionsFromPurchasedFertiliserComponentsVariation(Z286, $E286,IF(AB286,AB286,AA286))+
Scope3_Equations.VEERG_15_4_1_1__2_EmissionsFromPurchasedFertiliserComponentsVariation(AD286, $E286,IF(AF286,AF286,AE286))+
Scope3_Equations.VEERG_15_4_1_1__2_EmissionsFromPurchasedFertiliserComponentsVariation(AH286, $E286,IF(AJ286,AJ286,AI286))+
Scope3_Equations.VEERG_15_4_1_1__2_EmissionsFromPurchasedFertiliserComponentsVariation(AL286, $E286,IF(AN286,AN286,AM286))</f>
        <v>0</v>
      </c>
      <c r="L286" s="86"/>
      <c r="M286" s="48"/>
      <c r="N286" s="86"/>
      <c r="O286" s="50" t="str">
        <v/>
      </c>
      <c r="P286" s="50" t="str">
        <v/>
      </c>
      <c r="Q286" s="50" t="str">
        <v/>
      </c>
      <c r="R286" s="50">
        <v>0</v>
      </c>
      <c r="S286" s="50" cm="1">
        <f t="array" ref="S286">_xlfn.LET(_xlpm.result, Common_InputFunctions.Utility_LookupValueInTableTwoColumns(Q286, _xlfn.IFS(Q286="Urea",IF($O286="", "Global", $O286), Q286="Ammonia", IF($P286="", "Global", $P286), TRUE, "Global"), Table_SourceData_Scope3_InorganicFertiliser[Chemical compound],Table_SourceData_Scope3_InorganicFertiliser[Region of origin],Table_SourceData_Scope3_InorganicFertiliser[AusLCI Emissions intensity]), IF(_xlpm.result="", 0, _xlpm.result))</f>
        <v>0</v>
      </c>
      <c r="T286" s="69"/>
      <c r="U286" s="50" t="str">
        <v/>
      </c>
      <c r="V286" s="50">
        <v>0</v>
      </c>
      <c r="W286" s="50" cm="1">
        <f t="array" ref="W286">_xlfn.LET(_xlpm.result, Common_InputFunctions.Utility_LookupValueInTableTwoColumns(U286, _xlfn.IFS(U286="Urea",IF($O286="", "Global", $O286), U286="Ammonia", IF($P286="", "Global", $P286), TRUE, "Global"), Table_SourceData_Scope3_InorganicFertiliser[Chemical compound],Table_SourceData_Scope3_InorganicFertiliser[Region of origin],Table_SourceData_Scope3_InorganicFertiliser[AusLCI Emissions intensity]), IF(_xlpm.result="", 0, _xlpm.result))</f>
        <v>0</v>
      </c>
      <c r="X286" s="69"/>
      <c r="Y286" s="50" t="str">
        <v/>
      </c>
      <c r="Z286" s="50">
        <v>0</v>
      </c>
      <c r="AA286" s="50" cm="1">
        <f t="array" ref="AA286">_xlfn.LET(_xlpm.result, Common_InputFunctions.Utility_LookupValueInTableTwoColumns(Y286, _xlfn.IFS(Y286="Urea",IF($O286="", "Global", $O286), Y286="Ammonia", IF($P286="", "Global", $P286), TRUE, "Global"), Table_SourceData_Scope3_InorganicFertiliser[Chemical compound],Table_SourceData_Scope3_InorganicFertiliser[Region of origin],Table_SourceData_Scope3_InorganicFertiliser[AusLCI Emissions intensity]), IF(_xlpm.result="", 0, _xlpm.result))</f>
        <v>0</v>
      </c>
      <c r="AB286" s="69"/>
      <c r="AC286" s="50" t="str">
        <v/>
      </c>
      <c r="AD286" s="50">
        <v>0</v>
      </c>
      <c r="AE286" s="50" cm="1">
        <f t="array" ref="AE286">_xlfn.LET(_xlpm.result, Common_InputFunctions.Utility_LookupValueInTableTwoColumns(AC286, _xlfn.IFS(AC286="Urea",IF($O286="", "Global", $O286), AC286="Ammonia", IF($P286="", "Global", $P286), TRUE, "Global"), Table_SourceData_Scope3_InorganicFertiliser[Chemical compound],Table_SourceData_Scope3_InorganicFertiliser[Region of origin],Table_SourceData_Scope3_InorganicFertiliser[AusLCI Emissions intensity]), IF(_xlpm.result="", 0, _xlpm.result))</f>
        <v>0</v>
      </c>
      <c r="AF286" s="69"/>
      <c r="AG286" s="50" t="str">
        <v/>
      </c>
      <c r="AH286" s="50">
        <v>0</v>
      </c>
      <c r="AI286" s="50" cm="1">
        <f t="array" ref="AI286">_xlfn.LET(_xlpm.result, Common_InputFunctions.Utility_LookupValueInTableTwoColumns(AG286, _xlfn.IFS(AG286="Urea",IF($O286="", "Global", $O286), AG286="Ammonia", IF($P286="", "Global", $P286), TRUE, "Global"), Table_SourceData_Scope3_InorganicFertiliser[Chemical compound],Table_SourceData_Scope3_InorganicFertiliser[Region of origin],Table_SourceData_Scope3_InorganicFertiliser[AusLCI Emissions intensity]), IF(_xlpm.result="", 0, _xlpm.result))</f>
        <v>0</v>
      </c>
      <c r="AJ286" s="69"/>
      <c r="AK286" s="50" t="str">
        <v/>
      </c>
      <c r="AL286" s="50">
        <v>0</v>
      </c>
      <c r="AM286" s="50" cm="1">
        <f t="array" ref="AM286">_xlfn.LET(_xlpm.result, Common_InputFunctions.Utility_LookupValueInTableTwoColumns(AK286, _xlfn.IFS(AK286="Urea",IF($O286="", "Global", $O286), AK286="Ammonia", IF($P286="", "Global", $P286), TRUE, "Global"), Table_SourceData_Scope3_InorganicFertiliser[Chemical compound],Table_SourceData_Scope3_InorganicFertiliser[Region of origin],Table_SourceData_Scope3_InorganicFertiliser[AusLCI Emissions intensity]), IF(_xlpm.result="", 0, _xlpm.result))</f>
        <v>0</v>
      </c>
      <c r="AN286" s="69"/>
    </row>
    <row r="287" spans="4:40" x14ac:dyDescent="0.25">
      <c r="D287" s="50" t="str">
        <v/>
      </c>
      <c r="E287" s="50">
        <v>0</v>
      </c>
      <c r="F287" s="50">
        <f>IFERROR((R287*S287)+(V287*W287)+(Z287*AA287)+(AD287*AE287)+(AH287*AI287)+(AL287*AM287), 0)</f>
        <v>0</v>
      </c>
      <c r="G287" s="164" cm="1">
        <f t="array" ref="G287">Scope3_Equations.VEERG_15_4_1_1__1_EmissionsFromPurchasedFertiliser(E287,F287)</f>
        <v>0</v>
      </c>
      <c r="H287" s="50" cm="1">
        <f t="array" ref="H287">Scope3_Equations.VEERG_15_4_1_1__2_EmissionsFromPurchasedFertiliserComponentsVariation(R287, $E287,S287)+
Scope3_Equations.VEERG_15_4_1_1__2_EmissionsFromPurchasedFertiliserComponentsVariation(V287, $E287,W287)+
Scope3_Equations.VEERG_15_4_1_1__2_EmissionsFromPurchasedFertiliserComponentsVariation(Z287, $E287,AA287)+
Scope3_Equations.VEERG_15_4_1_1__2_EmissionsFromPurchasedFertiliserComponentsVariation(AD287, $E287,AE287)+
Scope3_Equations.VEERG_15_4_1_1__2_EmissionsFromPurchasedFertiliserComponentsVariation(AH287, $E287,AI287)+
Scope3_Equations.VEERG_15_4_1_1__2_EmissionsFromPurchasedFertiliserComponentsVariation(AL287, $E287,AM287)</f>
        <v>0</v>
      </c>
      <c r="I287" s="69"/>
      <c r="J287" s="164" cm="1">
        <f t="array" ref="J287">Scope3_Equations.VEERG_15_4_1_1__1_EmissionsFromPurchasedFertiliser(E287,I287)</f>
        <v>0</v>
      </c>
      <c r="K287" s="164" cm="1">
        <f t="array" ref="K287">Scope3_Equations.VEERG_15_4_1_1__2_EmissionsFromPurchasedFertiliserComponentsVariation(R287, $E287,IF(T287,T287,S287))+
Scope3_Equations.VEERG_15_4_1_1__2_EmissionsFromPurchasedFertiliserComponentsVariation(V287, $E287,IF(X287,X287,W287))+
Scope3_Equations.VEERG_15_4_1_1__2_EmissionsFromPurchasedFertiliserComponentsVariation(Z287, $E287,IF(AB287,AB287,AA287))+
Scope3_Equations.VEERG_15_4_1_1__2_EmissionsFromPurchasedFertiliserComponentsVariation(AD287, $E287,IF(AF287,AF287,AE287))+
Scope3_Equations.VEERG_15_4_1_1__2_EmissionsFromPurchasedFertiliserComponentsVariation(AH287, $E287,IF(AJ287,AJ287,AI287))+
Scope3_Equations.VEERG_15_4_1_1__2_EmissionsFromPurchasedFertiliserComponentsVariation(AL287, $E287,IF(AN287,AN287,AM287))</f>
        <v>0</v>
      </c>
      <c r="L287" s="86"/>
      <c r="M287" s="48"/>
      <c r="N287" s="86"/>
      <c r="O287" s="50" t="str">
        <v/>
      </c>
      <c r="P287" s="50" t="str">
        <v/>
      </c>
      <c r="Q287" s="50" t="str">
        <v/>
      </c>
      <c r="R287" s="50">
        <v>0</v>
      </c>
      <c r="S287" s="50" cm="1">
        <f t="array" ref="S287">_xlfn.LET(_xlpm.result, Common_InputFunctions.Utility_LookupValueInTableTwoColumns(Q287, _xlfn.IFS(Q287="Urea",IF($O287="", "Global", $O287), Q287="Ammonia", IF($P287="", "Global", $P287), TRUE, "Global"), Table_SourceData_Scope3_InorganicFertiliser[Chemical compound],Table_SourceData_Scope3_InorganicFertiliser[Region of origin],Table_SourceData_Scope3_InorganicFertiliser[AusLCI Emissions intensity]), IF(_xlpm.result="", 0, _xlpm.result))</f>
        <v>0</v>
      </c>
      <c r="T287" s="69"/>
      <c r="U287" s="50" t="str">
        <v/>
      </c>
      <c r="V287" s="50">
        <v>0</v>
      </c>
      <c r="W287" s="50" cm="1">
        <f t="array" ref="W287">_xlfn.LET(_xlpm.result, Common_InputFunctions.Utility_LookupValueInTableTwoColumns(U287, _xlfn.IFS(U287="Urea",IF($O287="", "Global", $O287), U287="Ammonia", IF($P287="", "Global", $P287), TRUE, "Global"), Table_SourceData_Scope3_InorganicFertiliser[Chemical compound],Table_SourceData_Scope3_InorganicFertiliser[Region of origin],Table_SourceData_Scope3_InorganicFertiliser[AusLCI Emissions intensity]), IF(_xlpm.result="", 0, _xlpm.result))</f>
        <v>0</v>
      </c>
      <c r="X287" s="69"/>
      <c r="Y287" s="50" t="str">
        <v/>
      </c>
      <c r="Z287" s="50">
        <v>0</v>
      </c>
      <c r="AA287" s="50" cm="1">
        <f t="array" ref="AA287">_xlfn.LET(_xlpm.result, Common_InputFunctions.Utility_LookupValueInTableTwoColumns(Y287, _xlfn.IFS(Y287="Urea",IF($O287="", "Global", $O287), Y287="Ammonia", IF($P287="", "Global", $P287), TRUE, "Global"), Table_SourceData_Scope3_InorganicFertiliser[Chemical compound],Table_SourceData_Scope3_InorganicFertiliser[Region of origin],Table_SourceData_Scope3_InorganicFertiliser[AusLCI Emissions intensity]), IF(_xlpm.result="", 0, _xlpm.result))</f>
        <v>0</v>
      </c>
      <c r="AB287" s="69"/>
      <c r="AC287" s="50" t="str">
        <v/>
      </c>
      <c r="AD287" s="50">
        <v>0</v>
      </c>
      <c r="AE287" s="50" cm="1">
        <f t="array" ref="AE287">_xlfn.LET(_xlpm.result, Common_InputFunctions.Utility_LookupValueInTableTwoColumns(AC287, _xlfn.IFS(AC287="Urea",IF($O287="", "Global", $O287), AC287="Ammonia", IF($P287="", "Global", $P287), TRUE, "Global"), Table_SourceData_Scope3_InorganicFertiliser[Chemical compound],Table_SourceData_Scope3_InorganicFertiliser[Region of origin],Table_SourceData_Scope3_InorganicFertiliser[AusLCI Emissions intensity]), IF(_xlpm.result="", 0, _xlpm.result))</f>
        <v>0</v>
      </c>
      <c r="AF287" s="69"/>
      <c r="AG287" s="50" t="str">
        <v/>
      </c>
      <c r="AH287" s="50">
        <v>0</v>
      </c>
      <c r="AI287" s="50" cm="1">
        <f t="array" ref="AI287">_xlfn.LET(_xlpm.result, Common_InputFunctions.Utility_LookupValueInTableTwoColumns(AG287, _xlfn.IFS(AG287="Urea",IF($O287="", "Global", $O287), AG287="Ammonia", IF($P287="", "Global", $P287), TRUE, "Global"), Table_SourceData_Scope3_InorganicFertiliser[Chemical compound],Table_SourceData_Scope3_InorganicFertiliser[Region of origin],Table_SourceData_Scope3_InorganicFertiliser[AusLCI Emissions intensity]), IF(_xlpm.result="", 0, _xlpm.result))</f>
        <v>0</v>
      </c>
      <c r="AJ287" s="69"/>
      <c r="AK287" s="50" t="str">
        <v/>
      </c>
      <c r="AL287" s="50">
        <v>0</v>
      </c>
      <c r="AM287" s="50" cm="1">
        <f t="array" ref="AM287">_xlfn.LET(_xlpm.result, Common_InputFunctions.Utility_LookupValueInTableTwoColumns(AK287, _xlfn.IFS(AK287="Urea",IF($O287="", "Global", $O287), AK287="Ammonia", IF($P287="", "Global", $P287), TRUE, "Global"), Table_SourceData_Scope3_InorganicFertiliser[Chemical compound],Table_SourceData_Scope3_InorganicFertiliser[Region of origin],Table_SourceData_Scope3_InorganicFertiliser[AusLCI Emissions intensity]), IF(_xlpm.result="", 0, _xlpm.result))</f>
        <v>0</v>
      </c>
      <c r="AN287" s="69"/>
    </row>
    <row r="288" spans="4:40" x14ac:dyDescent="0.25">
      <c r="D288" s="50" t="str">
        <v/>
      </c>
      <c r="E288" s="50">
        <v>0</v>
      </c>
      <c r="F288" s="50">
        <f>IFERROR((R288*S288)+(V288*W288)+(Z288*AA288)+(AD288*AE288)+(AH288*AI288)+(AL288*AM288), 0)</f>
        <v>0</v>
      </c>
      <c r="G288" s="164" cm="1">
        <f t="array" ref="G288">Scope3_Equations.VEERG_15_4_1_1__1_EmissionsFromPurchasedFertiliser(E288,F288)</f>
        <v>0</v>
      </c>
      <c r="H288" s="50" cm="1">
        <f t="array" ref="H288">Scope3_Equations.VEERG_15_4_1_1__2_EmissionsFromPurchasedFertiliserComponentsVariation(R288, $E288,S288)+
Scope3_Equations.VEERG_15_4_1_1__2_EmissionsFromPurchasedFertiliserComponentsVariation(V288, $E288,W288)+
Scope3_Equations.VEERG_15_4_1_1__2_EmissionsFromPurchasedFertiliserComponentsVariation(Z288, $E288,AA288)+
Scope3_Equations.VEERG_15_4_1_1__2_EmissionsFromPurchasedFertiliserComponentsVariation(AD288, $E288,AE288)+
Scope3_Equations.VEERG_15_4_1_1__2_EmissionsFromPurchasedFertiliserComponentsVariation(AH288, $E288,AI288)+
Scope3_Equations.VEERG_15_4_1_1__2_EmissionsFromPurchasedFertiliserComponentsVariation(AL288, $E288,AM288)</f>
        <v>0</v>
      </c>
      <c r="I288" s="69"/>
      <c r="J288" s="164" cm="1">
        <f t="array" ref="J288">Scope3_Equations.VEERG_15_4_1_1__1_EmissionsFromPurchasedFertiliser(E288,I288)</f>
        <v>0</v>
      </c>
      <c r="K288" s="164" cm="1">
        <f t="array" ref="K288">Scope3_Equations.VEERG_15_4_1_1__2_EmissionsFromPurchasedFertiliserComponentsVariation(R288, $E288,IF(T288,T288,S288))+
Scope3_Equations.VEERG_15_4_1_1__2_EmissionsFromPurchasedFertiliserComponentsVariation(V288, $E288,IF(X288,X288,W288))+
Scope3_Equations.VEERG_15_4_1_1__2_EmissionsFromPurchasedFertiliserComponentsVariation(Z288, $E288,IF(AB288,AB288,AA288))+
Scope3_Equations.VEERG_15_4_1_1__2_EmissionsFromPurchasedFertiliserComponentsVariation(AD288, $E288,IF(AF288,AF288,AE288))+
Scope3_Equations.VEERG_15_4_1_1__2_EmissionsFromPurchasedFertiliserComponentsVariation(AH288, $E288,IF(AJ288,AJ288,AI288))+
Scope3_Equations.VEERG_15_4_1_1__2_EmissionsFromPurchasedFertiliserComponentsVariation(AL288, $E288,IF(AN288,AN288,AM288))</f>
        <v>0</v>
      </c>
      <c r="L288" s="86"/>
      <c r="M288" s="48"/>
      <c r="N288" s="86"/>
      <c r="O288" s="50" t="str">
        <v/>
      </c>
      <c r="P288" s="50" t="str">
        <v/>
      </c>
      <c r="Q288" s="50" t="str">
        <v/>
      </c>
      <c r="R288" s="50">
        <v>0</v>
      </c>
      <c r="S288" s="50" cm="1">
        <f t="array" ref="S288">_xlfn.LET(_xlpm.result, Common_InputFunctions.Utility_LookupValueInTableTwoColumns(Q288, _xlfn.IFS(Q288="Urea",IF($O288="", "Global", $O288), Q288="Ammonia", IF($P288="", "Global", $P288), TRUE, "Global"), Table_SourceData_Scope3_InorganicFertiliser[Chemical compound],Table_SourceData_Scope3_InorganicFertiliser[Region of origin],Table_SourceData_Scope3_InorganicFertiliser[AusLCI Emissions intensity]), IF(_xlpm.result="", 0, _xlpm.result))</f>
        <v>0</v>
      </c>
      <c r="T288" s="69"/>
      <c r="U288" s="50" t="str">
        <v/>
      </c>
      <c r="V288" s="50">
        <v>0</v>
      </c>
      <c r="W288" s="50" cm="1">
        <f t="array" ref="W288">_xlfn.LET(_xlpm.result, Common_InputFunctions.Utility_LookupValueInTableTwoColumns(U288, _xlfn.IFS(U288="Urea",IF($O288="", "Global", $O288), U288="Ammonia", IF($P288="", "Global", $P288), TRUE, "Global"), Table_SourceData_Scope3_InorganicFertiliser[Chemical compound],Table_SourceData_Scope3_InorganicFertiliser[Region of origin],Table_SourceData_Scope3_InorganicFertiliser[AusLCI Emissions intensity]), IF(_xlpm.result="", 0, _xlpm.result))</f>
        <v>0</v>
      </c>
      <c r="X288" s="69"/>
      <c r="Y288" s="50" t="str">
        <v/>
      </c>
      <c r="Z288" s="50">
        <v>0</v>
      </c>
      <c r="AA288" s="50" cm="1">
        <f t="array" ref="AA288">_xlfn.LET(_xlpm.result, Common_InputFunctions.Utility_LookupValueInTableTwoColumns(Y288, _xlfn.IFS(Y288="Urea",IF($O288="", "Global", $O288), Y288="Ammonia", IF($P288="", "Global", $P288), TRUE, "Global"), Table_SourceData_Scope3_InorganicFertiliser[Chemical compound],Table_SourceData_Scope3_InorganicFertiliser[Region of origin],Table_SourceData_Scope3_InorganicFertiliser[AusLCI Emissions intensity]), IF(_xlpm.result="", 0, _xlpm.result))</f>
        <v>0</v>
      </c>
      <c r="AB288" s="69"/>
      <c r="AC288" s="50" t="str">
        <v/>
      </c>
      <c r="AD288" s="50">
        <v>0</v>
      </c>
      <c r="AE288" s="50" cm="1">
        <f t="array" ref="AE288">_xlfn.LET(_xlpm.result, Common_InputFunctions.Utility_LookupValueInTableTwoColumns(AC288, _xlfn.IFS(AC288="Urea",IF($O288="", "Global", $O288), AC288="Ammonia", IF($P288="", "Global", $P288), TRUE, "Global"), Table_SourceData_Scope3_InorganicFertiliser[Chemical compound],Table_SourceData_Scope3_InorganicFertiliser[Region of origin],Table_SourceData_Scope3_InorganicFertiliser[AusLCI Emissions intensity]), IF(_xlpm.result="", 0, _xlpm.result))</f>
        <v>0</v>
      </c>
      <c r="AF288" s="69"/>
      <c r="AG288" s="50" t="str">
        <v/>
      </c>
      <c r="AH288" s="50">
        <v>0</v>
      </c>
      <c r="AI288" s="50" cm="1">
        <f t="array" ref="AI288">_xlfn.LET(_xlpm.result, Common_InputFunctions.Utility_LookupValueInTableTwoColumns(AG288, _xlfn.IFS(AG288="Urea",IF($O288="", "Global", $O288), AG288="Ammonia", IF($P288="", "Global", $P288), TRUE, "Global"), Table_SourceData_Scope3_InorganicFertiliser[Chemical compound],Table_SourceData_Scope3_InorganicFertiliser[Region of origin],Table_SourceData_Scope3_InorganicFertiliser[AusLCI Emissions intensity]), IF(_xlpm.result="", 0, _xlpm.result))</f>
        <v>0</v>
      </c>
      <c r="AJ288" s="69"/>
      <c r="AK288" s="50" t="str">
        <v/>
      </c>
      <c r="AL288" s="50">
        <v>0</v>
      </c>
      <c r="AM288" s="50" cm="1">
        <f t="array" ref="AM288">_xlfn.LET(_xlpm.result, Common_InputFunctions.Utility_LookupValueInTableTwoColumns(AK288, _xlfn.IFS(AK288="Urea",IF($O288="", "Global", $O288), AK288="Ammonia", IF($P288="", "Global", $P288), TRUE, "Global"), Table_SourceData_Scope3_InorganicFertiliser[Chemical compound],Table_SourceData_Scope3_InorganicFertiliser[Region of origin],Table_SourceData_Scope3_InorganicFertiliser[AusLCI Emissions intensity]), IF(_xlpm.result="", 0, _xlpm.result))</f>
        <v>0</v>
      </c>
      <c r="AN288" s="69"/>
    </row>
    <row r="289" spans="4:40" x14ac:dyDescent="0.25">
      <c r="D289" s="50" t="str">
        <v/>
      </c>
      <c r="E289" s="50">
        <v>0</v>
      </c>
      <c r="F289" s="50">
        <f>IFERROR((R289*S289)+(V289*W289)+(Z289*AA289)+(AD289*AE289)+(AH289*AI289)+(AL289*AM289), 0)</f>
        <v>0</v>
      </c>
      <c r="G289" s="164" cm="1">
        <f t="array" ref="G289">Scope3_Equations.VEERG_15_4_1_1__1_EmissionsFromPurchasedFertiliser(E289,F289)</f>
        <v>0</v>
      </c>
      <c r="H289" s="50" cm="1">
        <f t="array" ref="H289">Scope3_Equations.VEERG_15_4_1_1__2_EmissionsFromPurchasedFertiliserComponentsVariation(R289, $E289,S289)+
Scope3_Equations.VEERG_15_4_1_1__2_EmissionsFromPurchasedFertiliserComponentsVariation(V289, $E289,W289)+
Scope3_Equations.VEERG_15_4_1_1__2_EmissionsFromPurchasedFertiliserComponentsVariation(Z289, $E289,AA289)+
Scope3_Equations.VEERG_15_4_1_1__2_EmissionsFromPurchasedFertiliserComponentsVariation(AD289, $E289,AE289)+
Scope3_Equations.VEERG_15_4_1_1__2_EmissionsFromPurchasedFertiliserComponentsVariation(AH289, $E289,AI289)+
Scope3_Equations.VEERG_15_4_1_1__2_EmissionsFromPurchasedFertiliserComponentsVariation(AL289, $E289,AM289)</f>
        <v>0</v>
      </c>
      <c r="I289" s="69"/>
      <c r="J289" s="164" cm="1">
        <f t="array" ref="J289">Scope3_Equations.VEERG_15_4_1_1__1_EmissionsFromPurchasedFertiliser(E289,I289)</f>
        <v>0</v>
      </c>
      <c r="K289" s="164" cm="1">
        <f t="array" ref="K289">Scope3_Equations.VEERG_15_4_1_1__2_EmissionsFromPurchasedFertiliserComponentsVariation(R289, $E289,IF(T289,T289,S289))+
Scope3_Equations.VEERG_15_4_1_1__2_EmissionsFromPurchasedFertiliserComponentsVariation(V289, $E289,IF(X289,X289,W289))+
Scope3_Equations.VEERG_15_4_1_1__2_EmissionsFromPurchasedFertiliserComponentsVariation(Z289, $E289,IF(AB289,AB289,AA289))+
Scope3_Equations.VEERG_15_4_1_1__2_EmissionsFromPurchasedFertiliserComponentsVariation(AD289, $E289,IF(AF289,AF289,AE289))+
Scope3_Equations.VEERG_15_4_1_1__2_EmissionsFromPurchasedFertiliserComponentsVariation(AH289, $E289,IF(AJ289,AJ289,AI289))+
Scope3_Equations.VEERG_15_4_1_1__2_EmissionsFromPurchasedFertiliserComponentsVariation(AL289, $E289,IF(AN289,AN289,AM289))</f>
        <v>0</v>
      </c>
      <c r="L289" s="86"/>
      <c r="M289" s="48"/>
      <c r="N289" s="86"/>
      <c r="O289" s="50" t="str">
        <v/>
      </c>
      <c r="P289" s="50" t="str">
        <v/>
      </c>
      <c r="Q289" s="50" t="str">
        <v/>
      </c>
      <c r="R289" s="50">
        <v>0</v>
      </c>
      <c r="S289" s="50" cm="1">
        <f t="array" ref="S289">_xlfn.LET(_xlpm.result, Common_InputFunctions.Utility_LookupValueInTableTwoColumns(Q289, _xlfn.IFS(Q289="Urea",IF($O289="", "Global", $O289), Q289="Ammonia", IF($P289="", "Global", $P289), TRUE, "Global"), Table_SourceData_Scope3_InorganicFertiliser[Chemical compound],Table_SourceData_Scope3_InorganicFertiliser[Region of origin],Table_SourceData_Scope3_InorganicFertiliser[AusLCI Emissions intensity]), IF(_xlpm.result="", 0, _xlpm.result))</f>
        <v>0</v>
      </c>
      <c r="T289" s="69"/>
      <c r="U289" s="50" t="str">
        <v/>
      </c>
      <c r="V289" s="50">
        <v>0</v>
      </c>
      <c r="W289" s="50" cm="1">
        <f t="array" ref="W289">_xlfn.LET(_xlpm.result, Common_InputFunctions.Utility_LookupValueInTableTwoColumns(U289, _xlfn.IFS(U289="Urea",IF($O289="", "Global", $O289), U289="Ammonia", IF($P289="", "Global", $P289), TRUE, "Global"), Table_SourceData_Scope3_InorganicFertiliser[Chemical compound],Table_SourceData_Scope3_InorganicFertiliser[Region of origin],Table_SourceData_Scope3_InorganicFertiliser[AusLCI Emissions intensity]), IF(_xlpm.result="", 0, _xlpm.result))</f>
        <v>0</v>
      </c>
      <c r="X289" s="69"/>
      <c r="Y289" s="50" t="str">
        <v/>
      </c>
      <c r="Z289" s="50">
        <v>0</v>
      </c>
      <c r="AA289" s="50" cm="1">
        <f t="array" ref="AA289">_xlfn.LET(_xlpm.result, Common_InputFunctions.Utility_LookupValueInTableTwoColumns(Y289, _xlfn.IFS(Y289="Urea",IF($O289="", "Global", $O289), Y289="Ammonia", IF($P289="", "Global", $P289), TRUE, "Global"), Table_SourceData_Scope3_InorganicFertiliser[Chemical compound],Table_SourceData_Scope3_InorganicFertiliser[Region of origin],Table_SourceData_Scope3_InorganicFertiliser[AusLCI Emissions intensity]), IF(_xlpm.result="", 0, _xlpm.result))</f>
        <v>0</v>
      </c>
      <c r="AB289" s="69"/>
      <c r="AC289" s="50" t="str">
        <v/>
      </c>
      <c r="AD289" s="50">
        <v>0</v>
      </c>
      <c r="AE289" s="50" cm="1">
        <f t="array" ref="AE289">_xlfn.LET(_xlpm.result, Common_InputFunctions.Utility_LookupValueInTableTwoColumns(AC289, _xlfn.IFS(AC289="Urea",IF($O289="", "Global", $O289), AC289="Ammonia", IF($P289="", "Global", $P289), TRUE, "Global"), Table_SourceData_Scope3_InorganicFertiliser[Chemical compound],Table_SourceData_Scope3_InorganicFertiliser[Region of origin],Table_SourceData_Scope3_InorganicFertiliser[AusLCI Emissions intensity]), IF(_xlpm.result="", 0, _xlpm.result))</f>
        <v>0</v>
      </c>
      <c r="AF289" s="69"/>
      <c r="AG289" s="50" t="str">
        <v/>
      </c>
      <c r="AH289" s="50">
        <v>0</v>
      </c>
      <c r="AI289" s="50" cm="1">
        <f t="array" ref="AI289">_xlfn.LET(_xlpm.result, Common_InputFunctions.Utility_LookupValueInTableTwoColumns(AG289, _xlfn.IFS(AG289="Urea",IF($O289="", "Global", $O289), AG289="Ammonia", IF($P289="", "Global", $P289), TRUE, "Global"), Table_SourceData_Scope3_InorganicFertiliser[Chemical compound],Table_SourceData_Scope3_InorganicFertiliser[Region of origin],Table_SourceData_Scope3_InorganicFertiliser[AusLCI Emissions intensity]), IF(_xlpm.result="", 0, _xlpm.result))</f>
        <v>0</v>
      </c>
      <c r="AJ289" s="69"/>
      <c r="AK289" s="50" t="str">
        <v/>
      </c>
      <c r="AL289" s="50">
        <v>0</v>
      </c>
      <c r="AM289" s="50" cm="1">
        <f t="array" ref="AM289">_xlfn.LET(_xlpm.result, Common_InputFunctions.Utility_LookupValueInTableTwoColumns(AK289, _xlfn.IFS(AK289="Urea",IF($O289="", "Global", $O289), AK289="Ammonia", IF($P289="", "Global", $P289), TRUE, "Global"), Table_SourceData_Scope3_InorganicFertiliser[Chemical compound],Table_SourceData_Scope3_InorganicFertiliser[Region of origin],Table_SourceData_Scope3_InorganicFertiliser[AusLCI Emissions intensity]), IF(_xlpm.result="", 0, _xlpm.result))</f>
        <v>0</v>
      </c>
      <c r="AN289" s="69"/>
    </row>
    <row r="290" spans="4:40" x14ac:dyDescent="0.25">
      <c r="D290" s="50" t="str">
        <v/>
      </c>
      <c r="E290" s="50">
        <v>0</v>
      </c>
      <c r="F290" s="50">
        <f>IFERROR((R290*S290)+(V290*W290)+(Z290*AA290)+(AD290*AE290)+(AH290*AI290)+(AL290*AM290), 0)</f>
        <v>0</v>
      </c>
      <c r="G290" s="164" cm="1">
        <f t="array" ref="G290">Scope3_Equations.VEERG_15_4_1_1__1_EmissionsFromPurchasedFertiliser(E290,F290)</f>
        <v>0</v>
      </c>
      <c r="H290" s="50" cm="1">
        <f t="array" ref="H290">Scope3_Equations.VEERG_15_4_1_1__2_EmissionsFromPurchasedFertiliserComponentsVariation(R290, $E290,S290)+
Scope3_Equations.VEERG_15_4_1_1__2_EmissionsFromPurchasedFertiliserComponentsVariation(V290, $E290,W290)+
Scope3_Equations.VEERG_15_4_1_1__2_EmissionsFromPurchasedFertiliserComponentsVariation(Z290, $E290,AA290)+
Scope3_Equations.VEERG_15_4_1_1__2_EmissionsFromPurchasedFertiliserComponentsVariation(AD290, $E290,AE290)+
Scope3_Equations.VEERG_15_4_1_1__2_EmissionsFromPurchasedFertiliserComponentsVariation(AH290, $E290,AI290)+
Scope3_Equations.VEERG_15_4_1_1__2_EmissionsFromPurchasedFertiliserComponentsVariation(AL290, $E290,AM290)</f>
        <v>0</v>
      </c>
      <c r="I290" s="69"/>
      <c r="J290" s="164" cm="1">
        <f t="array" ref="J290">Scope3_Equations.VEERG_15_4_1_1__1_EmissionsFromPurchasedFertiliser(E290,I290)</f>
        <v>0</v>
      </c>
      <c r="K290" s="164" cm="1">
        <f t="array" ref="K290">Scope3_Equations.VEERG_15_4_1_1__2_EmissionsFromPurchasedFertiliserComponentsVariation(R290, $E290,IF(T290,T290,S290))+
Scope3_Equations.VEERG_15_4_1_1__2_EmissionsFromPurchasedFertiliserComponentsVariation(V290, $E290,IF(X290,X290,W290))+
Scope3_Equations.VEERG_15_4_1_1__2_EmissionsFromPurchasedFertiliserComponentsVariation(Z290, $E290,IF(AB290,AB290,AA290))+
Scope3_Equations.VEERG_15_4_1_1__2_EmissionsFromPurchasedFertiliserComponentsVariation(AD290, $E290,IF(AF290,AF290,AE290))+
Scope3_Equations.VEERG_15_4_1_1__2_EmissionsFromPurchasedFertiliserComponentsVariation(AH290, $E290,IF(AJ290,AJ290,AI290))+
Scope3_Equations.VEERG_15_4_1_1__2_EmissionsFromPurchasedFertiliserComponentsVariation(AL290, $E290,IF(AN290,AN290,AM290))</f>
        <v>0</v>
      </c>
      <c r="L290" s="86"/>
      <c r="M290" s="48"/>
      <c r="N290" s="86"/>
      <c r="O290" s="50" t="str">
        <v/>
      </c>
      <c r="P290" s="50" t="str">
        <v/>
      </c>
      <c r="Q290" s="50" t="str">
        <v/>
      </c>
      <c r="R290" s="50">
        <v>0</v>
      </c>
      <c r="S290" s="50" cm="1">
        <f t="array" ref="S290">_xlfn.LET(_xlpm.result, Common_InputFunctions.Utility_LookupValueInTableTwoColumns(Q290, _xlfn.IFS(Q290="Urea",IF($O290="", "Global", $O290), Q290="Ammonia", IF($P290="", "Global", $P290), TRUE, "Global"), Table_SourceData_Scope3_InorganicFertiliser[Chemical compound],Table_SourceData_Scope3_InorganicFertiliser[Region of origin],Table_SourceData_Scope3_InorganicFertiliser[AusLCI Emissions intensity]), IF(_xlpm.result="", 0, _xlpm.result))</f>
        <v>0</v>
      </c>
      <c r="T290" s="69"/>
      <c r="U290" s="50" t="str">
        <v/>
      </c>
      <c r="V290" s="50">
        <v>0</v>
      </c>
      <c r="W290" s="50" cm="1">
        <f t="array" ref="W290">_xlfn.LET(_xlpm.result, Common_InputFunctions.Utility_LookupValueInTableTwoColumns(U290, _xlfn.IFS(U290="Urea",IF($O290="", "Global", $O290), U290="Ammonia", IF($P290="", "Global", $P290), TRUE, "Global"), Table_SourceData_Scope3_InorganicFertiliser[Chemical compound],Table_SourceData_Scope3_InorganicFertiliser[Region of origin],Table_SourceData_Scope3_InorganicFertiliser[AusLCI Emissions intensity]), IF(_xlpm.result="", 0, _xlpm.result))</f>
        <v>0</v>
      </c>
      <c r="X290" s="69"/>
      <c r="Y290" s="50" t="str">
        <v/>
      </c>
      <c r="Z290" s="50">
        <v>0</v>
      </c>
      <c r="AA290" s="50" cm="1">
        <f t="array" ref="AA290">_xlfn.LET(_xlpm.result, Common_InputFunctions.Utility_LookupValueInTableTwoColumns(Y290, _xlfn.IFS(Y290="Urea",IF($O290="", "Global", $O290), Y290="Ammonia", IF($P290="", "Global", $P290), TRUE, "Global"), Table_SourceData_Scope3_InorganicFertiliser[Chemical compound],Table_SourceData_Scope3_InorganicFertiliser[Region of origin],Table_SourceData_Scope3_InorganicFertiliser[AusLCI Emissions intensity]), IF(_xlpm.result="", 0, _xlpm.result))</f>
        <v>0</v>
      </c>
      <c r="AB290" s="69"/>
      <c r="AC290" s="50" t="str">
        <v/>
      </c>
      <c r="AD290" s="50">
        <v>0</v>
      </c>
      <c r="AE290" s="50" cm="1">
        <f t="array" ref="AE290">_xlfn.LET(_xlpm.result, Common_InputFunctions.Utility_LookupValueInTableTwoColumns(AC290, _xlfn.IFS(AC290="Urea",IF($O290="", "Global", $O290), AC290="Ammonia", IF($P290="", "Global", $P290), TRUE, "Global"), Table_SourceData_Scope3_InorganicFertiliser[Chemical compound],Table_SourceData_Scope3_InorganicFertiliser[Region of origin],Table_SourceData_Scope3_InorganicFertiliser[AusLCI Emissions intensity]), IF(_xlpm.result="", 0, _xlpm.result))</f>
        <v>0</v>
      </c>
      <c r="AF290" s="69"/>
      <c r="AG290" s="50" t="str">
        <v/>
      </c>
      <c r="AH290" s="50">
        <v>0</v>
      </c>
      <c r="AI290" s="50" cm="1">
        <f t="array" ref="AI290">_xlfn.LET(_xlpm.result, Common_InputFunctions.Utility_LookupValueInTableTwoColumns(AG290, _xlfn.IFS(AG290="Urea",IF($O290="", "Global", $O290), AG290="Ammonia", IF($P290="", "Global", $P290), TRUE, "Global"), Table_SourceData_Scope3_InorganicFertiliser[Chemical compound],Table_SourceData_Scope3_InorganicFertiliser[Region of origin],Table_SourceData_Scope3_InorganicFertiliser[AusLCI Emissions intensity]), IF(_xlpm.result="", 0, _xlpm.result))</f>
        <v>0</v>
      </c>
      <c r="AJ290" s="69"/>
      <c r="AK290" s="50" t="str">
        <v/>
      </c>
      <c r="AL290" s="50">
        <v>0</v>
      </c>
      <c r="AM290" s="50" cm="1">
        <f t="array" ref="AM290">_xlfn.LET(_xlpm.result, Common_InputFunctions.Utility_LookupValueInTableTwoColumns(AK290, _xlfn.IFS(AK290="Urea",IF($O290="", "Global", $O290), AK290="Ammonia", IF($P290="", "Global", $P290), TRUE, "Global"), Table_SourceData_Scope3_InorganicFertiliser[Chemical compound],Table_SourceData_Scope3_InorganicFertiliser[Region of origin],Table_SourceData_Scope3_InorganicFertiliser[AusLCI Emissions intensity]), IF(_xlpm.result="", 0, _xlpm.result))</f>
        <v>0</v>
      </c>
      <c r="AN290" s="69"/>
    </row>
    <row r="291" spans="4:40" x14ac:dyDescent="0.25">
      <c r="D291" s="50" t="str">
        <v/>
      </c>
      <c r="E291" s="50">
        <v>0</v>
      </c>
      <c r="F291" s="50">
        <f>IFERROR((R291*S291)+(V291*W291)+(Z291*AA291)+(AD291*AE291)+(AH291*AI291)+(AL291*AM291), 0)</f>
        <v>0</v>
      </c>
      <c r="G291" s="164" cm="1">
        <f t="array" ref="G291">Scope3_Equations.VEERG_15_4_1_1__1_EmissionsFromPurchasedFertiliser(E291,F291)</f>
        <v>0</v>
      </c>
      <c r="H291" s="50" cm="1">
        <f t="array" ref="H291">Scope3_Equations.VEERG_15_4_1_1__2_EmissionsFromPurchasedFertiliserComponentsVariation(R291, $E291,S291)+
Scope3_Equations.VEERG_15_4_1_1__2_EmissionsFromPurchasedFertiliserComponentsVariation(V291, $E291,W291)+
Scope3_Equations.VEERG_15_4_1_1__2_EmissionsFromPurchasedFertiliserComponentsVariation(Z291, $E291,AA291)+
Scope3_Equations.VEERG_15_4_1_1__2_EmissionsFromPurchasedFertiliserComponentsVariation(AD291, $E291,AE291)+
Scope3_Equations.VEERG_15_4_1_1__2_EmissionsFromPurchasedFertiliserComponentsVariation(AH291, $E291,AI291)+
Scope3_Equations.VEERG_15_4_1_1__2_EmissionsFromPurchasedFertiliserComponentsVariation(AL291, $E291,AM291)</f>
        <v>0</v>
      </c>
      <c r="I291" s="69"/>
      <c r="J291" s="164" cm="1">
        <f t="array" ref="J291">Scope3_Equations.VEERG_15_4_1_1__1_EmissionsFromPurchasedFertiliser(E291,I291)</f>
        <v>0</v>
      </c>
      <c r="K291" s="164" cm="1">
        <f t="array" ref="K291">Scope3_Equations.VEERG_15_4_1_1__2_EmissionsFromPurchasedFertiliserComponentsVariation(R291, $E291,IF(T291,T291,S291))+
Scope3_Equations.VEERG_15_4_1_1__2_EmissionsFromPurchasedFertiliserComponentsVariation(V291, $E291,IF(X291,X291,W291))+
Scope3_Equations.VEERG_15_4_1_1__2_EmissionsFromPurchasedFertiliserComponentsVariation(Z291, $E291,IF(AB291,AB291,AA291))+
Scope3_Equations.VEERG_15_4_1_1__2_EmissionsFromPurchasedFertiliserComponentsVariation(AD291, $E291,IF(AF291,AF291,AE291))+
Scope3_Equations.VEERG_15_4_1_1__2_EmissionsFromPurchasedFertiliserComponentsVariation(AH291, $E291,IF(AJ291,AJ291,AI291))+
Scope3_Equations.VEERG_15_4_1_1__2_EmissionsFromPurchasedFertiliserComponentsVariation(AL291, $E291,IF(AN291,AN291,AM291))</f>
        <v>0</v>
      </c>
      <c r="L291" s="86"/>
      <c r="M291" s="48"/>
      <c r="N291" s="179"/>
      <c r="O291" s="50" t="str">
        <v/>
      </c>
      <c r="P291" s="50" t="str">
        <v/>
      </c>
      <c r="Q291" s="50" t="str">
        <v/>
      </c>
      <c r="R291" s="50">
        <v>0</v>
      </c>
      <c r="S291" s="50" cm="1">
        <f t="array" ref="S291">_xlfn.LET(_xlpm.result, Common_InputFunctions.Utility_LookupValueInTableTwoColumns(Q291, _xlfn.IFS(Q291="Urea",IF($O291="", "Global", $O291), Q291="Ammonia", IF($P291="", "Global", $P291), TRUE, "Global"), Table_SourceData_Scope3_InorganicFertiliser[Chemical compound],Table_SourceData_Scope3_InorganicFertiliser[Region of origin],Table_SourceData_Scope3_InorganicFertiliser[AusLCI Emissions intensity]), IF(_xlpm.result="", 0, _xlpm.result))</f>
        <v>0</v>
      </c>
      <c r="T291" s="69"/>
      <c r="U291" s="50" t="str">
        <v/>
      </c>
      <c r="V291" s="50">
        <v>0</v>
      </c>
      <c r="W291" s="50" cm="1">
        <f t="array" ref="W291">_xlfn.LET(_xlpm.result, Common_InputFunctions.Utility_LookupValueInTableTwoColumns(U291, _xlfn.IFS(U291="Urea",IF($O291="", "Global", $O291), U291="Ammonia", IF($P291="", "Global", $P291), TRUE, "Global"), Table_SourceData_Scope3_InorganicFertiliser[Chemical compound],Table_SourceData_Scope3_InorganicFertiliser[Region of origin],Table_SourceData_Scope3_InorganicFertiliser[AusLCI Emissions intensity]), IF(_xlpm.result="", 0, _xlpm.result))</f>
        <v>0</v>
      </c>
      <c r="X291" s="69"/>
      <c r="Y291" s="50" t="str">
        <v/>
      </c>
      <c r="Z291" s="50">
        <v>0</v>
      </c>
      <c r="AA291" s="50" cm="1">
        <f t="array" ref="AA291">_xlfn.LET(_xlpm.result, Common_InputFunctions.Utility_LookupValueInTableTwoColumns(Y291, _xlfn.IFS(Y291="Urea",IF($O291="", "Global", $O291), Y291="Ammonia", IF($P291="", "Global", $P291), TRUE, "Global"), Table_SourceData_Scope3_InorganicFertiliser[Chemical compound],Table_SourceData_Scope3_InorganicFertiliser[Region of origin],Table_SourceData_Scope3_InorganicFertiliser[AusLCI Emissions intensity]), IF(_xlpm.result="", 0, _xlpm.result))</f>
        <v>0</v>
      </c>
      <c r="AB291" s="69"/>
      <c r="AC291" s="50" t="str">
        <v/>
      </c>
      <c r="AD291" s="50">
        <v>0</v>
      </c>
      <c r="AE291" s="50" cm="1">
        <f t="array" ref="AE291">_xlfn.LET(_xlpm.result, Common_InputFunctions.Utility_LookupValueInTableTwoColumns(AC291, _xlfn.IFS(AC291="Urea",IF($O291="", "Global", $O291), AC291="Ammonia", IF($P291="", "Global", $P291), TRUE, "Global"), Table_SourceData_Scope3_InorganicFertiliser[Chemical compound],Table_SourceData_Scope3_InorganicFertiliser[Region of origin],Table_SourceData_Scope3_InorganicFertiliser[AusLCI Emissions intensity]), IF(_xlpm.result="", 0, _xlpm.result))</f>
        <v>0</v>
      </c>
      <c r="AF291" s="69"/>
      <c r="AG291" s="50" t="str">
        <v/>
      </c>
      <c r="AH291" s="50">
        <v>0</v>
      </c>
      <c r="AI291" s="50" cm="1">
        <f t="array" ref="AI291">_xlfn.LET(_xlpm.result, Common_InputFunctions.Utility_LookupValueInTableTwoColumns(AG291, _xlfn.IFS(AG291="Urea",IF($O291="", "Global", $O291), AG291="Ammonia", IF($P291="", "Global", $P291), TRUE, "Global"), Table_SourceData_Scope3_InorganicFertiliser[Chemical compound],Table_SourceData_Scope3_InorganicFertiliser[Region of origin],Table_SourceData_Scope3_InorganicFertiliser[AusLCI Emissions intensity]), IF(_xlpm.result="", 0, _xlpm.result))</f>
        <v>0</v>
      </c>
      <c r="AJ291" s="69"/>
      <c r="AK291" s="50" t="str">
        <v/>
      </c>
      <c r="AL291" s="50">
        <v>0</v>
      </c>
      <c r="AM291" s="50" cm="1">
        <f t="array" ref="AM291">_xlfn.LET(_xlpm.result, Common_InputFunctions.Utility_LookupValueInTableTwoColumns(AK291, _xlfn.IFS(AK291="Urea",IF($O291="", "Global", $O291), AK291="Ammonia", IF($P291="", "Global", $P291), TRUE, "Global"), Table_SourceData_Scope3_InorganicFertiliser[Chemical compound],Table_SourceData_Scope3_InorganicFertiliser[Region of origin],Table_SourceData_Scope3_InorganicFertiliser[AusLCI Emissions intensity]), IF(_xlpm.result="", 0, _xlpm.result))</f>
        <v>0</v>
      </c>
      <c r="AN291" s="69"/>
    </row>
    <row r="292" spans="4:40" x14ac:dyDescent="0.25">
      <c r="D292" s="50" t="str">
        <v/>
      </c>
      <c r="E292" s="50">
        <v>0</v>
      </c>
      <c r="F292" s="50">
        <f>IFERROR((R292*S292)+(V292*W292)+(Z292*AA292)+(AD292*AE292)+(AH292*AI292)+(AL292*AM292), 0)</f>
        <v>0</v>
      </c>
      <c r="G292" s="164" cm="1">
        <f t="array" ref="G292">Scope3_Equations.VEERG_15_4_1_1__1_EmissionsFromPurchasedFertiliser(E292,F292)</f>
        <v>0</v>
      </c>
      <c r="H292" s="50" cm="1">
        <f t="array" ref="H292">Scope3_Equations.VEERG_15_4_1_1__2_EmissionsFromPurchasedFertiliserComponentsVariation(R292, $E292,S292)+
Scope3_Equations.VEERG_15_4_1_1__2_EmissionsFromPurchasedFertiliserComponentsVariation(V292, $E292,W292)+
Scope3_Equations.VEERG_15_4_1_1__2_EmissionsFromPurchasedFertiliserComponentsVariation(Z292, $E292,AA292)+
Scope3_Equations.VEERG_15_4_1_1__2_EmissionsFromPurchasedFertiliserComponentsVariation(AD292, $E292,AE292)+
Scope3_Equations.VEERG_15_4_1_1__2_EmissionsFromPurchasedFertiliserComponentsVariation(AH292, $E292,AI292)+
Scope3_Equations.VEERG_15_4_1_1__2_EmissionsFromPurchasedFertiliserComponentsVariation(AL292, $E292,AM292)</f>
        <v>0</v>
      </c>
      <c r="I292" s="69"/>
      <c r="J292" s="164" cm="1">
        <f t="array" ref="J292">Scope3_Equations.VEERG_15_4_1_1__1_EmissionsFromPurchasedFertiliser(E292,I292)</f>
        <v>0</v>
      </c>
      <c r="K292" s="164" cm="1">
        <f t="array" ref="K292">Scope3_Equations.VEERG_15_4_1_1__2_EmissionsFromPurchasedFertiliserComponentsVariation(R292, $E292,IF(T292,T292,S292))+
Scope3_Equations.VEERG_15_4_1_1__2_EmissionsFromPurchasedFertiliserComponentsVariation(V292, $E292,IF(X292,X292,W292))+
Scope3_Equations.VEERG_15_4_1_1__2_EmissionsFromPurchasedFertiliserComponentsVariation(Z292, $E292,IF(AB292,AB292,AA292))+
Scope3_Equations.VEERG_15_4_1_1__2_EmissionsFromPurchasedFertiliserComponentsVariation(AD292, $E292,IF(AF292,AF292,AE292))+
Scope3_Equations.VEERG_15_4_1_1__2_EmissionsFromPurchasedFertiliserComponentsVariation(AH292, $E292,IF(AJ292,AJ292,AI292))+
Scope3_Equations.VEERG_15_4_1_1__2_EmissionsFromPurchasedFertiliserComponentsVariation(AL292, $E292,IF(AN292,AN292,AM292))</f>
        <v>0</v>
      </c>
      <c r="L292" s="86"/>
      <c r="M292" s="48"/>
      <c r="N292" s="86"/>
      <c r="O292" s="50" t="str">
        <v/>
      </c>
      <c r="P292" s="50" t="str">
        <v/>
      </c>
      <c r="Q292" s="50" t="str">
        <v/>
      </c>
      <c r="R292" s="50">
        <v>0</v>
      </c>
      <c r="S292" s="50" cm="1">
        <f t="array" ref="S292">_xlfn.LET(_xlpm.result, Common_InputFunctions.Utility_LookupValueInTableTwoColumns(Q292, _xlfn.IFS(Q292="Urea",IF($O292="", "Global", $O292), Q292="Ammonia", IF($P292="", "Global", $P292), TRUE, "Global"), Table_SourceData_Scope3_InorganicFertiliser[Chemical compound],Table_SourceData_Scope3_InorganicFertiliser[Region of origin],Table_SourceData_Scope3_InorganicFertiliser[AusLCI Emissions intensity]), IF(_xlpm.result="", 0, _xlpm.result))</f>
        <v>0</v>
      </c>
      <c r="T292" s="69"/>
      <c r="U292" s="50" t="str">
        <v/>
      </c>
      <c r="V292" s="50">
        <v>0</v>
      </c>
      <c r="W292" s="50" cm="1">
        <f t="array" ref="W292">_xlfn.LET(_xlpm.result, Common_InputFunctions.Utility_LookupValueInTableTwoColumns(U292, _xlfn.IFS(U292="Urea",IF($O292="", "Global", $O292), U292="Ammonia", IF($P292="", "Global", $P292), TRUE, "Global"), Table_SourceData_Scope3_InorganicFertiliser[Chemical compound],Table_SourceData_Scope3_InorganicFertiliser[Region of origin],Table_SourceData_Scope3_InorganicFertiliser[AusLCI Emissions intensity]), IF(_xlpm.result="", 0, _xlpm.result))</f>
        <v>0</v>
      </c>
      <c r="X292" s="69"/>
      <c r="Y292" s="50" t="str">
        <v/>
      </c>
      <c r="Z292" s="50">
        <v>0</v>
      </c>
      <c r="AA292" s="50" cm="1">
        <f t="array" ref="AA292">_xlfn.LET(_xlpm.result, Common_InputFunctions.Utility_LookupValueInTableTwoColumns(Y292, _xlfn.IFS(Y292="Urea",IF($O292="", "Global", $O292), Y292="Ammonia", IF($P292="", "Global", $P292), TRUE, "Global"), Table_SourceData_Scope3_InorganicFertiliser[Chemical compound],Table_SourceData_Scope3_InorganicFertiliser[Region of origin],Table_SourceData_Scope3_InorganicFertiliser[AusLCI Emissions intensity]), IF(_xlpm.result="", 0, _xlpm.result))</f>
        <v>0</v>
      </c>
      <c r="AB292" s="69"/>
      <c r="AC292" s="50" t="str">
        <v/>
      </c>
      <c r="AD292" s="50">
        <v>0</v>
      </c>
      <c r="AE292" s="50" cm="1">
        <f t="array" ref="AE292">_xlfn.LET(_xlpm.result, Common_InputFunctions.Utility_LookupValueInTableTwoColumns(AC292, _xlfn.IFS(AC292="Urea",IF($O292="", "Global", $O292), AC292="Ammonia", IF($P292="", "Global", $P292), TRUE, "Global"), Table_SourceData_Scope3_InorganicFertiliser[Chemical compound],Table_SourceData_Scope3_InorganicFertiliser[Region of origin],Table_SourceData_Scope3_InorganicFertiliser[AusLCI Emissions intensity]), IF(_xlpm.result="", 0, _xlpm.result))</f>
        <v>0</v>
      </c>
      <c r="AF292" s="69"/>
      <c r="AG292" s="50" t="str">
        <v/>
      </c>
      <c r="AH292" s="50">
        <v>0</v>
      </c>
      <c r="AI292" s="50" cm="1">
        <f t="array" ref="AI292">_xlfn.LET(_xlpm.result, Common_InputFunctions.Utility_LookupValueInTableTwoColumns(AG292, _xlfn.IFS(AG292="Urea",IF($O292="", "Global", $O292), AG292="Ammonia", IF($P292="", "Global", $P292), TRUE, "Global"), Table_SourceData_Scope3_InorganicFertiliser[Chemical compound],Table_SourceData_Scope3_InorganicFertiliser[Region of origin],Table_SourceData_Scope3_InorganicFertiliser[AusLCI Emissions intensity]), IF(_xlpm.result="", 0, _xlpm.result))</f>
        <v>0</v>
      </c>
      <c r="AJ292" s="69"/>
      <c r="AK292" s="50" t="str">
        <v/>
      </c>
      <c r="AL292" s="50">
        <v>0</v>
      </c>
      <c r="AM292" s="50" cm="1">
        <f t="array" ref="AM292">_xlfn.LET(_xlpm.result, Common_InputFunctions.Utility_LookupValueInTableTwoColumns(AK292, _xlfn.IFS(AK292="Urea",IF($O292="", "Global", $O292), AK292="Ammonia", IF($P292="", "Global", $P292), TRUE, "Global"), Table_SourceData_Scope3_InorganicFertiliser[Chemical compound],Table_SourceData_Scope3_InorganicFertiliser[Region of origin],Table_SourceData_Scope3_InorganicFertiliser[AusLCI Emissions intensity]), IF(_xlpm.result="", 0, _xlpm.result))</f>
        <v>0</v>
      </c>
      <c r="AN292" s="69"/>
    </row>
    <row r="293" spans="4:40" x14ac:dyDescent="0.25">
      <c r="D293" s="50" t="str">
        <v/>
      </c>
      <c r="E293" s="50">
        <v>0</v>
      </c>
      <c r="F293" s="50">
        <f>IFERROR((R293*S293)+(V293*W293)+(Z293*AA293)+(AD293*AE293)+(AH293*AI293)+(AL293*AM293), 0)</f>
        <v>0</v>
      </c>
      <c r="G293" s="164" cm="1">
        <f t="array" ref="G293">Scope3_Equations.VEERG_15_4_1_1__1_EmissionsFromPurchasedFertiliser(E293,F293)</f>
        <v>0</v>
      </c>
      <c r="H293" s="50" cm="1">
        <f t="array" ref="H293">Scope3_Equations.VEERG_15_4_1_1__2_EmissionsFromPurchasedFertiliserComponentsVariation(R293, $E293,S293)+
Scope3_Equations.VEERG_15_4_1_1__2_EmissionsFromPurchasedFertiliserComponentsVariation(V293, $E293,W293)+
Scope3_Equations.VEERG_15_4_1_1__2_EmissionsFromPurchasedFertiliserComponentsVariation(Z293, $E293,AA293)+
Scope3_Equations.VEERG_15_4_1_1__2_EmissionsFromPurchasedFertiliserComponentsVariation(AD293, $E293,AE293)+
Scope3_Equations.VEERG_15_4_1_1__2_EmissionsFromPurchasedFertiliserComponentsVariation(AH293, $E293,AI293)+
Scope3_Equations.VEERG_15_4_1_1__2_EmissionsFromPurchasedFertiliserComponentsVariation(AL293, $E293,AM293)</f>
        <v>0</v>
      </c>
      <c r="I293" s="69"/>
      <c r="J293" s="164" cm="1">
        <f t="array" ref="J293">Scope3_Equations.VEERG_15_4_1_1__1_EmissionsFromPurchasedFertiliser(E293,I293)</f>
        <v>0</v>
      </c>
      <c r="K293" s="164" cm="1">
        <f t="array" ref="K293">Scope3_Equations.VEERG_15_4_1_1__2_EmissionsFromPurchasedFertiliserComponentsVariation(R293, $E293,IF(T293,T293,S293))+
Scope3_Equations.VEERG_15_4_1_1__2_EmissionsFromPurchasedFertiliserComponentsVariation(V293, $E293,IF(X293,X293,W293))+
Scope3_Equations.VEERG_15_4_1_1__2_EmissionsFromPurchasedFertiliserComponentsVariation(Z293, $E293,IF(AB293,AB293,AA293))+
Scope3_Equations.VEERG_15_4_1_1__2_EmissionsFromPurchasedFertiliserComponentsVariation(AD293, $E293,IF(AF293,AF293,AE293))+
Scope3_Equations.VEERG_15_4_1_1__2_EmissionsFromPurchasedFertiliserComponentsVariation(AH293, $E293,IF(AJ293,AJ293,AI293))+
Scope3_Equations.VEERG_15_4_1_1__2_EmissionsFromPurchasedFertiliserComponentsVariation(AL293, $E293,IF(AN293,AN293,AM293))</f>
        <v>0</v>
      </c>
      <c r="L293" s="86"/>
      <c r="M293" s="48"/>
      <c r="N293" s="86"/>
      <c r="O293" s="50" t="str">
        <v/>
      </c>
      <c r="P293" s="50" t="str">
        <v/>
      </c>
      <c r="Q293" s="50" t="str">
        <v/>
      </c>
      <c r="R293" s="50">
        <v>0</v>
      </c>
      <c r="S293" s="50" cm="1">
        <f t="array" ref="S293">_xlfn.LET(_xlpm.result, Common_InputFunctions.Utility_LookupValueInTableTwoColumns(Q293, _xlfn.IFS(Q293="Urea",IF($O293="", "Global", $O293), Q293="Ammonia", IF($P293="", "Global", $P293), TRUE, "Global"), Table_SourceData_Scope3_InorganicFertiliser[Chemical compound],Table_SourceData_Scope3_InorganicFertiliser[Region of origin],Table_SourceData_Scope3_InorganicFertiliser[AusLCI Emissions intensity]), IF(_xlpm.result="", 0, _xlpm.result))</f>
        <v>0</v>
      </c>
      <c r="T293" s="69"/>
      <c r="U293" s="50" t="str">
        <v/>
      </c>
      <c r="V293" s="50">
        <v>0</v>
      </c>
      <c r="W293" s="50" cm="1">
        <f t="array" ref="W293">_xlfn.LET(_xlpm.result, Common_InputFunctions.Utility_LookupValueInTableTwoColumns(U293, _xlfn.IFS(U293="Urea",IF($O293="", "Global", $O293), U293="Ammonia", IF($P293="", "Global", $P293), TRUE, "Global"), Table_SourceData_Scope3_InorganicFertiliser[Chemical compound],Table_SourceData_Scope3_InorganicFertiliser[Region of origin],Table_SourceData_Scope3_InorganicFertiliser[AusLCI Emissions intensity]), IF(_xlpm.result="", 0, _xlpm.result))</f>
        <v>0</v>
      </c>
      <c r="X293" s="69"/>
      <c r="Y293" s="50" t="str">
        <v/>
      </c>
      <c r="Z293" s="50">
        <v>0</v>
      </c>
      <c r="AA293" s="50" cm="1">
        <f t="array" ref="AA293">_xlfn.LET(_xlpm.result, Common_InputFunctions.Utility_LookupValueInTableTwoColumns(Y293, _xlfn.IFS(Y293="Urea",IF($O293="", "Global", $O293), Y293="Ammonia", IF($P293="", "Global", $P293), TRUE, "Global"), Table_SourceData_Scope3_InorganicFertiliser[Chemical compound],Table_SourceData_Scope3_InorganicFertiliser[Region of origin],Table_SourceData_Scope3_InorganicFertiliser[AusLCI Emissions intensity]), IF(_xlpm.result="", 0, _xlpm.result))</f>
        <v>0</v>
      </c>
      <c r="AB293" s="69"/>
      <c r="AC293" s="50" t="str">
        <v/>
      </c>
      <c r="AD293" s="50">
        <v>0</v>
      </c>
      <c r="AE293" s="50" cm="1">
        <f t="array" ref="AE293">_xlfn.LET(_xlpm.result, Common_InputFunctions.Utility_LookupValueInTableTwoColumns(AC293, _xlfn.IFS(AC293="Urea",IF($O293="", "Global", $O293), AC293="Ammonia", IF($P293="", "Global", $P293), TRUE, "Global"), Table_SourceData_Scope3_InorganicFertiliser[Chemical compound],Table_SourceData_Scope3_InorganicFertiliser[Region of origin],Table_SourceData_Scope3_InorganicFertiliser[AusLCI Emissions intensity]), IF(_xlpm.result="", 0, _xlpm.result))</f>
        <v>0</v>
      </c>
      <c r="AF293" s="69"/>
      <c r="AG293" s="50" t="str">
        <v/>
      </c>
      <c r="AH293" s="50">
        <v>0</v>
      </c>
      <c r="AI293" s="50" cm="1">
        <f t="array" ref="AI293">_xlfn.LET(_xlpm.result, Common_InputFunctions.Utility_LookupValueInTableTwoColumns(AG293, _xlfn.IFS(AG293="Urea",IF($O293="", "Global", $O293), AG293="Ammonia", IF($P293="", "Global", $P293), TRUE, "Global"), Table_SourceData_Scope3_InorganicFertiliser[Chemical compound],Table_SourceData_Scope3_InorganicFertiliser[Region of origin],Table_SourceData_Scope3_InorganicFertiliser[AusLCI Emissions intensity]), IF(_xlpm.result="", 0, _xlpm.result))</f>
        <v>0</v>
      </c>
      <c r="AJ293" s="69"/>
      <c r="AK293" s="50" t="str">
        <v/>
      </c>
      <c r="AL293" s="50">
        <v>0</v>
      </c>
      <c r="AM293" s="50" cm="1">
        <f t="array" ref="AM293">_xlfn.LET(_xlpm.result, Common_InputFunctions.Utility_LookupValueInTableTwoColumns(AK293, _xlfn.IFS(AK293="Urea",IF($O293="", "Global", $O293), AK293="Ammonia", IF($P293="", "Global", $P293), TRUE, "Global"), Table_SourceData_Scope3_InorganicFertiliser[Chemical compound],Table_SourceData_Scope3_InorganicFertiliser[Region of origin],Table_SourceData_Scope3_InorganicFertiliser[AusLCI Emissions intensity]), IF(_xlpm.result="", 0, _xlpm.result))</f>
        <v>0</v>
      </c>
      <c r="AN293" s="69"/>
    </row>
    <row r="294" spans="4:40" x14ac:dyDescent="0.25">
      <c r="D294" s="50" t="str">
        <v/>
      </c>
      <c r="E294" s="50">
        <v>0</v>
      </c>
      <c r="F294" s="50">
        <f>IFERROR((R294*S294)+(V294*W294)+(Z294*AA294)+(AD294*AE294)+(AH294*AI294)+(AL294*AM294), 0)</f>
        <v>0</v>
      </c>
      <c r="G294" s="164" cm="1">
        <f t="array" ref="G294">Scope3_Equations.VEERG_15_4_1_1__1_EmissionsFromPurchasedFertiliser(E294,F294)</f>
        <v>0</v>
      </c>
      <c r="H294" s="50" cm="1">
        <f t="array" ref="H294">Scope3_Equations.VEERG_15_4_1_1__2_EmissionsFromPurchasedFertiliserComponentsVariation(R294, $E294,S294)+
Scope3_Equations.VEERG_15_4_1_1__2_EmissionsFromPurchasedFertiliserComponentsVariation(V294, $E294,W294)+
Scope3_Equations.VEERG_15_4_1_1__2_EmissionsFromPurchasedFertiliserComponentsVariation(Z294, $E294,AA294)+
Scope3_Equations.VEERG_15_4_1_1__2_EmissionsFromPurchasedFertiliserComponentsVariation(AD294, $E294,AE294)+
Scope3_Equations.VEERG_15_4_1_1__2_EmissionsFromPurchasedFertiliserComponentsVariation(AH294, $E294,AI294)+
Scope3_Equations.VEERG_15_4_1_1__2_EmissionsFromPurchasedFertiliserComponentsVariation(AL294, $E294,AM294)</f>
        <v>0</v>
      </c>
      <c r="I294" s="69"/>
      <c r="J294" s="164" cm="1">
        <f t="array" ref="J294">Scope3_Equations.VEERG_15_4_1_1__1_EmissionsFromPurchasedFertiliser(E294,I294)</f>
        <v>0</v>
      </c>
      <c r="K294" s="164" cm="1">
        <f t="array" ref="K294">Scope3_Equations.VEERG_15_4_1_1__2_EmissionsFromPurchasedFertiliserComponentsVariation(R294, $E294,IF(T294,T294,S294))+
Scope3_Equations.VEERG_15_4_1_1__2_EmissionsFromPurchasedFertiliserComponentsVariation(V294, $E294,IF(X294,X294,W294))+
Scope3_Equations.VEERG_15_4_1_1__2_EmissionsFromPurchasedFertiliserComponentsVariation(Z294, $E294,IF(AB294,AB294,AA294))+
Scope3_Equations.VEERG_15_4_1_1__2_EmissionsFromPurchasedFertiliserComponentsVariation(AD294, $E294,IF(AF294,AF294,AE294))+
Scope3_Equations.VEERG_15_4_1_1__2_EmissionsFromPurchasedFertiliserComponentsVariation(AH294, $E294,IF(AJ294,AJ294,AI294))+
Scope3_Equations.VEERG_15_4_1_1__2_EmissionsFromPurchasedFertiliserComponentsVariation(AL294, $E294,IF(AN294,AN294,AM294))</f>
        <v>0</v>
      </c>
      <c r="L294" s="86"/>
      <c r="M294" s="48"/>
      <c r="N294" s="86"/>
      <c r="O294" s="50" t="str">
        <v/>
      </c>
      <c r="P294" s="50" t="str">
        <v/>
      </c>
      <c r="Q294" s="50" t="str">
        <v/>
      </c>
      <c r="R294" s="50">
        <v>0</v>
      </c>
      <c r="S294" s="50" cm="1">
        <f t="array" ref="S294">_xlfn.LET(_xlpm.result, Common_InputFunctions.Utility_LookupValueInTableTwoColumns(Q294, _xlfn.IFS(Q294="Urea",IF($O294="", "Global", $O294), Q294="Ammonia", IF($P294="", "Global", $P294), TRUE, "Global"), Table_SourceData_Scope3_InorganicFertiliser[Chemical compound],Table_SourceData_Scope3_InorganicFertiliser[Region of origin],Table_SourceData_Scope3_InorganicFertiliser[AusLCI Emissions intensity]), IF(_xlpm.result="", 0, _xlpm.result))</f>
        <v>0</v>
      </c>
      <c r="T294" s="69"/>
      <c r="U294" s="50" t="str">
        <v/>
      </c>
      <c r="V294" s="50">
        <v>0</v>
      </c>
      <c r="W294" s="50" cm="1">
        <f t="array" ref="W294">_xlfn.LET(_xlpm.result, Common_InputFunctions.Utility_LookupValueInTableTwoColumns(U294, _xlfn.IFS(U294="Urea",IF($O294="", "Global", $O294), U294="Ammonia", IF($P294="", "Global", $P294), TRUE, "Global"), Table_SourceData_Scope3_InorganicFertiliser[Chemical compound],Table_SourceData_Scope3_InorganicFertiliser[Region of origin],Table_SourceData_Scope3_InorganicFertiliser[AusLCI Emissions intensity]), IF(_xlpm.result="", 0, _xlpm.result))</f>
        <v>0</v>
      </c>
      <c r="X294" s="69"/>
      <c r="Y294" s="50" t="str">
        <v/>
      </c>
      <c r="Z294" s="50">
        <v>0</v>
      </c>
      <c r="AA294" s="50" cm="1">
        <f t="array" ref="AA294">_xlfn.LET(_xlpm.result, Common_InputFunctions.Utility_LookupValueInTableTwoColumns(Y294, _xlfn.IFS(Y294="Urea",IF($O294="", "Global", $O294), Y294="Ammonia", IF($P294="", "Global", $P294), TRUE, "Global"), Table_SourceData_Scope3_InorganicFertiliser[Chemical compound],Table_SourceData_Scope3_InorganicFertiliser[Region of origin],Table_SourceData_Scope3_InorganicFertiliser[AusLCI Emissions intensity]), IF(_xlpm.result="", 0, _xlpm.result))</f>
        <v>0</v>
      </c>
      <c r="AB294" s="69"/>
      <c r="AC294" s="50" t="str">
        <v/>
      </c>
      <c r="AD294" s="50">
        <v>0</v>
      </c>
      <c r="AE294" s="50" cm="1">
        <f t="array" ref="AE294">_xlfn.LET(_xlpm.result, Common_InputFunctions.Utility_LookupValueInTableTwoColumns(AC294, _xlfn.IFS(AC294="Urea",IF($O294="", "Global", $O294), AC294="Ammonia", IF($P294="", "Global", $P294), TRUE, "Global"), Table_SourceData_Scope3_InorganicFertiliser[Chemical compound],Table_SourceData_Scope3_InorganicFertiliser[Region of origin],Table_SourceData_Scope3_InorganicFertiliser[AusLCI Emissions intensity]), IF(_xlpm.result="", 0, _xlpm.result))</f>
        <v>0</v>
      </c>
      <c r="AF294" s="69"/>
      <c r="AG294" s="50" t="str">
        <v/>
      </c>
      <c r="AH294" s="50">
        <v>0</v>
      </c>
      <c r="AI294" s="50" cm="1">
        <f t="array" ref="AI294">_xlfn.LET(_xlpm.result, Common_InputFunctions.Utility_LookupValueInTableTwoColumns(AG294, _xlfn.IFS(AG294="Urea",IF($O294="", "Global", $O294), AG294="Ammonia", IF($P294="", "Global", $P294), TRUE, "Global"), Table_SourceData_Scope3_InorganicFertiliser[Chemical compound],Table_SourceData_Scope3_InorganicFertiliser[Region of origin],Table_SourceData_Scope3_InorganicFertiliser[AusLCI Emissions intensity]), IF(_xlpm.result="", 0, _xlpm.result))</f>
        <v>0</v>
      </c>
      <c r="AJ294" s="69"/>
      <c r="AK294" s="50" t="str">
        <v/>
      </c>
      <c r="AL294" s="50">
        <v>0</v>
      </c>
      <c r="AM294" s="50" cm="1">
        <f t="array" ref="AM294">_xlfn.LET(_xlpm.result, Common_InputFunctions.Utility_LookupValueInTableTwoColumns(AK294, _xlfn.IFS(AK294="Urea",IF($O294="", "Global", $O294), AK294="Ammonia", IF($P294="", "Global", $P294), TRUE, "Global"), Table_SourceData_Scope3_InorganicFertiliser[Chemical compound],Table_SourceData_Scope3_InorganicFertiliser[Region of origin],Table_SourceData_Scope3_InorganicFertiliser[AusLCI Emissions intensity]), IF(_xlpm.result="", 0, _xlpm.result))</f>
        <v>0</v>
      </c>
      <c r="AN294" s="69"/>
    </row>
    <row r="295" spans="4:40" x14ac:dyDescent="0.25">
      <c r="D295" s="50" t="str">
        <v/>
      </c>
      <c r="E295" s="50">
        <v>0</v>
      </c>
      <c r="F295" s="50">
        <f>IFERROR((R295*S295)+(V295*W295)+(Z295*AA295)+(AD295*AE295)+(AH295*AI295)+(AL295*AM295), 0)</f>
        <v>0</v>
      </c>
      <c r="G295" s="164" cm="1">
        <f t="array" ref="G295">Scope3_Equations.VEERG_15_4_1_1__1_EmissionsFromPurchasedFertiliser(E295,F295)</f>
        <v>0</v>
      </c>
      <c r="H295" s="50" cm="1">
        <f t="array" ref="H295">Scope3_Equations.VEERG_15_4_1_1__2_EmissionsFromPurchasedFertiliserComponentsVariation(R295, $E295,S295)+
Scope3_Equations.VEERG_15_4_1_1__2_EmissionsFromPurchasedFertiliserComponentsVariation(V295, $E295,W295)+
Scope3_Equations.VEERG_15_4_1_1__2_EmissionsFromPurchasedFertiliserComponentsVariation(Z295, $E295,AA295)+
Scope3_Equations.VEERG_15_4_1_1__2_EmissionsFromPurchasedFertiliserComponentsVariation(AD295, $E295,AE295)+
Scope3_Equations.VEERG_15_4_1_1__2_EmissionsFromPurchasedFertiliserComponentsVariation(AH295, $E295,AI295)+
Scope3_Equations.VEERG_15_4_1_1__2_EmissionsFromPurchasedFertiliserComponentsVariation(AL295, $E295,AM295)</f>
        <v>0</v>
      </c>
      <c r="I295" s="69"/>
      <c r="J295" s="164" cm="1">
        <f t="array" ref="J295">Scope3_Equations.VEERG_15_4_1_1__1_EmissionsFromPurchasedFertiliser(E295,I295)</f>
        <v>0</v>
      </c>
      <c r="K295" s="164" cm="1">
        <f t="array" ref="K295">Scope3_Equations.VEERG_15_4_1_1__2_EmissionsFromPurchasedFertiliserComponentsVariation(R295, $E295,IF(T295,T295,S295))+
Scope3_Equations.VEERG_15_4_1_1__2_EmissionsFromPurchasedFertiliserComponentsVariation(V295, $E295,IF(X295,X295,W295))+
Scope3_Equations.VEERG_15_4_1_1__2_EmissionsFromPurchasedFertiliserComponentsVariation(Z295, $E295,IF(AB295,AB295,AA295))+
Scope3_Equations.VEERG_15_4_1_1__2_EmissionsFromPurchasedFertiliserComponentsVariation(AD295, $E295,IF(AF295,AF295,AE295))+
Scope3_Equations.VEERG_15_4_1_1__2_EmissionsFromPurchasedFertiliserComponentsVariation(AH295, $E295,IF(AJ295,AJ295,AI295))+
Scope3_Equations.VEERG_15_4_1_1__2_EmissionsFromPurchasedFertiliserComponentsVariation(AL295, $E295,IF(AN295,AN295,AM295))</f>
        <v>0</v>
      </c>
      <c r="L295" s="86"/>
      <c r="M295" s="48"/>
      <c r="N295" s="86"/>
      <c r="O295" s="50" t="str">
        <v/>
      </c>
      <c r="P295" s="50" t="str">
        <v/>
      </c>
      <c r="Q295" s="50" t="str">
        <v/>
      </c>
      <c r="R295" s="50">
        <v>0</v>
      </c>
      <c r="S295" s="50" cm="1">
        <f t="array" ref="S295">_xlfn.LET(_xlpm.result, Common_InputFunctions.Utility_LookupValueInTableTwoColumns(Q295, _xlfn.IFS(Q295="Urea",IF($O295="", "Global", $O295), Q295="Ammonia", IF($P295="", "Global", $P295), TRUE, "Global"), Table_SourceData_Scope3_InorganicFertiliser[Chemical compound],Table_SourceData_Scope3_InorganicFertiliser[Region of origin],Table_SourceData_Scope3_InorganicFertiliser[AusLCI Emissions intensity]), IF(_xlpm.result="", 0, _xlpm.result))</f>
        <v>0</v>
      </c>
      <c r="T295" s="69"/>
      <c r="U295" s="50" t="str">
        <v/>
      </c>
      <c r="V295" s="50">
        <v>0</v>
      </c>
      <c r="W295" s="50" cm="1">
        <f t="array" ref="W295">_xlfn.LET(_xlpm.result, Common_InputFunctions.Utility_LookupValueInTableTwoColumns(U295, _xlfn.IFS(U295="Urea",IF($O295="", "Global", $O295), U295="Ammonia", IF($P295="", "Global", $P295), TRUE, "Global"), Table_SourceData_Scope3_InorganicFertiliser[Chemical compound],Table_SourceData_Scope3_InorganicFertiliser[Region of origin],Table_SourceData_Scope3_InorganicFertiliser[AusLCI Emissions intensity]), IF(_xlpm.result="", 0, _xlpm.result))</f>
        <v>0</v>
      </c>
      <c r="X295" s="69"/>
      <c r="Y295" s="50" t="str">
        <v/>
      </c>
      <c r="Z295" s="50">
        <v>0</v>
      </c>
      <c r="AA295" s="50" cm="1">
        <f t="array" ref="AA295">_xlfn.LET(_xlpm.result, Common_InputFunctions.Utility_LookupValueInTableTwoColumns(Y295, _xlfn.IFS(Y295="Urea",IF($O295="", "Global", $O295), Y295="Ammonia", IF($P295="", "Global", $P295), TRUE, "Global"), Table_SourceData_Scope3_InorganicFertiliser[Chemical compound],Table_SourceData_Scope3_InorganicFertiliser[Region of origin],Table_SourceData_Scope3_InorganicFertiliser[AusLCI Emissions intensity]), IF(_xlpm.result="", 0, _xlpm.result))</f>
        <v>0</v>
      </c>
      <c r="AB295" s="69"/>
      <c r="AC295" s="50" t="str">
        <v/>
      </c>
      <c r="AD295" s="50">
        <v>0</v>
      </c>
      <c r="AE295" s="50" cm="1">
        <f t="array" ref="AE295">_xlfn.LET(_xlpm.result, Common_InputFunctions.Utility_LookupValueInTableTwoColumns(AC295, _xlfn.IFS(AC295="Urea",IF($O295="", "Global", $O295), AC295="Ammonia", IF($P295="", "Global", $P295), TRUE, "Global"), Table_SourceData_Scope3_InorganicFertiliser[Chemical compound],Table_SourceData_Scope3_InorganicFertiliser[Region of origin],Table_SourceData_Scope3_InorganicFertiliser[AusLCI Emissions intensity]), IF(_xlpm.result="", 0, _xlpm.result))</f>
        <v>0</v>
      </c>
      <c r="AF295" s="69"/>
      <c r="AG295" s="50" t="str">
        <v/>
      </c>
      <c r="AH295" s="50">
        <v>0</v>
      </c>
      <c r="AI295" s="50" cm="1">
        <f t="array" ref="AI295">_xlfn.LET(_xlpm.result, Common_InputFunctions.Utility_LookupValueInTableTwoColumns(AG295, _xlfn.IFS(AG295="Urea",IF($O295="", "Global", $O295), AG295="Ammonia", IF($P295="", "Global", $P295), TRUE, "Global"), Table_SourceData_Scope3_InorganicFertiliser[Chemical compound],Table_SourceData_Scope3_InorganicFertiliser[Region of origin],Table_SourceData_Scope3_InorganicFertiliser[AusLCI Emissions intensity]), IF(_xlpm.result="", 0, _xlpm.result))</f>
        <v>0</v>
      </c>
      <c r="AJ295" s="69"/>
      <c r="AK295" s="50" t="str">
        <v/>
      </c>
      <c r="AL295" s="50">
        <v>0</v>
      </c>
      <c r="AM295" s="50" cm="1">
        <f t="array" ref="AM295">_xlfn.LET(_xlpm.result, Common_InputFunctions.Utility_LookupValueInTableTwoColumns(AK295, _xlfn.IFS(AK295="Urea",IF($O295="", "Global", $O295), AK295="Ammonia", IF($P295="", "Global", $P295), TRUE, "Global"), Table_SourceData_Scope3_InorganicFertiliser[Chemical compound],Table_SourceData_Scope3_InorganicFertiliser[Region of origin],Table_SourceData_Scope3_InorganicFertiliser[AusLCI Emissions intensity]), IF(_xlpm.result="", 0, _xlpm.result))</f>
        <v>0</v>
      </c>
      <c r="AN295" s="69"/>
    </row>
    <row r="296" spans="4:40" x14ac:dyDescent="0.25">
      <c r="D296" s="50" t="str">
        <v/>
      </c>
      <c r="E296" s="50">
        <v>0</v>
      </c>
      <c r="F296" s="50">
        <f>IFERROR((R296*S296)+(V296*W296)+(Z296*AA296)+(AD296*AE296)+(AH296*AI296)+(AL296*AM296), 0)</f>
        <v>0</v>
      </c>
      <c r="G296" s="164" cm="1">
        <f t="array" ref="G296">Scope3_Equations.VEERG_15_4_1_1__1_EmissionsFromPurchasedFertiliser(E296,F296)</f>
        <v>0</v>
      </c>
      <c r="H296" s="50" cm="1">
        <f t="array" ref="H296">Scope3_Equations.VEERG_15_4_1_1__2_EmissionsFromPurchasedFertiliserComponentsVariation(R296, $E296,S296)+
Scope3_Equations.VEERG_15_4_1_1__2_EmissionsFromPurchasedFertiliserComponentsVariation(V296, $E296,W296)+
Scope3_Equations.VEERG_15_4_1_1__2_EmissionsFromPurchasedFertiliserComponentsVariation(Z296, $E296,AA296)+
Scope3_Equations.VEERG_15_4_1_1__2_EmissionsFromPurchasedFertiliserComponentsVariation(AD296, $E296,AE296)+
Scope3_Equations.VEERG_15_4_1_1__2_EmissionsFromPurchasedFertiliserComponentsVariation(AH296, $E296,AI296)+
Scope3_Equations.VEERG_15_4_1_1__2_EmissionsFromPurchasedFertiliserComponentsVariation(AL296, $E296,AM296)</f>
        <v>0</v>
      </c>
      <c r="I296" s="69"/>
      <c r="J296" s="164" cm="1">
        <f t="array" ref="J296">Scope3_Equations.VEERG_15_4_1_1__1_EmissionsFromPurchasedFertiliser(E296,I296)</f>
        <v>0</v>
      </c>
      <c r="K296" s="164" cm="1">
        <f t="array" ref="K296">Scope3_Equations.VEERG_15_4_1_1__2_EmissionsFromPurchasedFertiliserComponentsVariation(R296, $E296,IF(T296,T296,S296))+
Scope3_Equations.VEERG_15_4_1_1__2_EmissionsFromPurchasedFertiliserComponentsVariation(V296, $E296,IF(X296,X296,W296))+
Scope3_Equations.VEERG_15_4_1_1__2_EmissionsFromPurchasedFertiliserComponentsVariation(Z296, $E296,IF(AB296,AB296,AA296))+
Scope3_Equations.VEERG_15_4_1_1__2_EmissionsFromPurchasedFertiliserComponentsVariation(AD296, $E296,IF(AF296,AF296,AE296))+
Scope3_Equations.VEERG_15_4_1_1__2_EmissionsFromPurchasedFertiliserComponentsVariation(AH296, $E296,IF(AJ296,AJ296,AI296))+
Scope3_Equations.VEERG_15_4_1_1__2_EmissionsFromPurchasedFertiliserComponentsVariation(AL296, $E296,IF(AN296,AN296,AM296))</f>
        <v>0</v>
      </c>
      <c r="L296" s="86"/>
      <c r="M296" s="48"/>
      <c r="N296" s="86"/>
      <c r="O296" s="50" t="str">
        <v/>
      </c>
      <c r="P296" s="50" t="str">
        <v/>
      </c>
      <c r="Q296" s="50" t="str">
        <v/>
      </c>
      <c r="R296" s="50">
        <v>0</v>
      </c>
      <c r="S296" s="50" cm="1">
        <f t="array" ref="S296">_xlfn.LET(_xlpm.result, Common_InputFunctions.Utility_LookupValueInTableTwoColumns(Q296, _xlfn.IFS(Q296="Urea",IF($O296="", "Global", $O296), Q296="Ammonia", IF($P296="", "Global", $P296), TRUE, "Global"), Table_SourceData_Scope3_InorganicFertiliser[Chemical compound],Table_SourceData_Scope3_InorganicFertiliser[Region of origin],Table_SourceData_Scope3_InorganicFertiliser[AusLCI Emissions intensity]), IF(_xlpm.result="", 0, _xlpm.result))</f>
        <v>0</v>
      </c>
      <c r="T296" s="69"/>
      <c r="U296" s="50" t="str">
        <v/>
      </c>
      <c r="V296" s="50">
        <v>0</v>
      </c>
      <c r="W296" s="50" cm="1">
        <f t="array" ref="W296">_xlfn.LET(_xlpm.result, Common_InputFunctions.Utility_LookupValueInTableTwoColumns(U296, _xlfn.IFS(U296="Urea",IF($O296="", "Global", $O296), U296="Ammonia", IF($P296="", "Global", $P296), TRUE, "Global"), Table_SourceData_Scope3_InorganicFertiliser[Chemical compound],Table_SourceData_Scope3_InorganicFertiliser[Region of origin],Table_SourceData_Scope3_InorganicFertiliser[AusLCI Emissions intensity]), IF(_xlpm.result="", 0, _xlpm.result))</f>
        <v>0</v>
      </c>
      <c r="X296" s="69"/>
      <c r="Y296" s="50" t="str">
        <v/>
      </c>
      <c r="Z296" s="50">
        <v>0</v>
      </c>
      <c r="AA296" s="50" cm="1">
        <f t="array" ref="AA296">_xlfn.LET(_xlpm.result, Common_InputFunctions.Utility_LookupValueInTableTwoColumns(Y296, _xlfn.IFS(Y296="Urea",IF($O296="", "Global", $O296), Y296="Ammonia", IF($P296="", "Global", $P296), TRUE, "Global"), Table_SourceData_Scope3_InorganicFertiliser[Chemical compound],Table_SourceData_Scope3_InorganicFertiliser[Region of origin],Table_SourceData_Scope3_InorganicFertiliser[AusLCI Emissions intensity]), IF(_xlpm.result="", 0, _xlpm.result))</f>
        <v>0</v>
      </c>
      <c r="AB296" s="69"/>
      <c r="AC296" s="50" t="str">
        <v/>
      </c>
      <c r="AD296" s="50">
        <v>0</v>
      </c>
      <c r="AE296" s="50" cm="1">
        <f t="array" ref="AE296">_xlfn.LET(_xlpm.result, Common_InputFunctions.Utility_LookupValueInTableTwoColumns(AC296, _xlfn.IFS(AC296="Urea",IF($O296="", "Global", $O296), AC296="Ammonia", IF($P296="", "Global", $P296), TRUE, "Global"), Table_SourceData_Scope3_InorganicFertiliser[Chemical compound],Table_SourceData_Scope3_InorganicFertiliser[Region of origin],Table_SourceData_Scope3_InorganicFertiliser[AusLCI Emissions intensity]), IF(_xlpm.result="", 0, _xlpm.result))</f>
        <v>0</v>
      </c>
      <c r="AF296" s="69"/>
      <c r="AG296" s="50" t="str">
        <v/>
      </c>
      <c r="AH296" s="50">
        <v>0</v>
      </c>
      <c r="AI296" s="50" cm="1">
        <f t="array" ref="AI296">_xlfn.LET(_xlpm.result, Common_InputFunctions.Utility_LookupValueInTableTwoColumns(AG296, _xlfn.IFS(AG296="Urea",IF($O296="", "Global", $O296), AG296="Ammonia", IF($P296="", "Global", $P296), TRUE, "Global"), Table_SourceData_Scope3_InorganicFertiliser[Chemical compound],Table_SourceData_Scope3_InorganicFertiliser[Region of origin],Table_SourceData_Scope3_InorganicFertiliser[AusLCI Emissions intensity]), IF(_xlpm.result="", 0, _xlpm.result))</f>
        <v>0</v>
      </c>
      <c r="AJ296" s="69"/>
      <c r="AK296" s="50" t="str">
        <v/>
      </c>
      <c r="AL296" s="50">
        <v>0</v>
      </c>
      <c r="AM296" s="50" cm="1">
        <f t="array" ref="AM296">_xlfn.LET(_xlpm.result, Common_InputFunctions.Utility_LookupValueInTableTwoColumns(AK296, _xlfn.IFS(AK296="Urea",IF($O296="", "Global", $O296), AK296="Ammonia", IF($P296="", "Global", $P296), TRUE, "Global"), Table_SourceData_Scope3_InorganicFertiliser[Chemical compound],Table_SourceData_Scope3_InorganicFertiliser[Region of origin],Table_SourceData_Scope3_InorganicFertiliser[AusLCI Emissions intensity]), IF(_xlpm.result="", 0, _xlpm.result))</f>
        <v>0</v>
      </c>
      <c r="AN296" s="69"/>
    </row>
    <row r="297" spans="4:40" x14ac:dyDescent="0.25">
      <c r="D297" s="50" t="str">
        <v/>
      </c>
      <c r="E297" s="50">
        <v>0</v>
      </c>
      <c r="F297" s="50">
        <f>IFERROR((R297*S297)+(V297*W297)+(Z297*AA297)+(AD297*AE297)+(AH297*AI297)+(AL297*AM297), 0)</f>
        <v>0</v>
      </c>
      <c r="G297" s="164" cm="1">
        <f t="array" ref="G297">Scope3_Equations.VEERG_15_4_1_1__1_EmissionsFromPurchasedFertiliser(E297,F297)</f>
        <v>0</v>
      </c>
      <c r="H297" s="50" cm="1">
        <f t="array" ref="H297">Scope3_Equations.VEERG_15_4_1_1__2_EmissionsFromPurchasedFertiliserComponentsVariation(R297, $E297,S297)+
Scope3_Equations.VEERG_15_4_1_1__2_EmissionsFromPurchasedFertiliserComponentsVariation(V297, $E297,W297)+
Scope3_Equations.VEERG_15_4_1_1__2_EmissionsFromPurchasedFertiliserComponentsVariation(Z297, $E297,AA297)+
Scope3_Equations.VEERG_15_4_1_1__2_EmissionsFromPurchasedFertiliserComponentsVariation(AD297, $E297,AE297)+
Scope3_Equations.VEERG_15_4_1_1__2_EmissionsFromPurchasedFertiliserComponentsVariation(AH297, $E297,AI297)+
Scope3_Equations.VEERG_15_4_1_1__2_EmissionsFromPurchasedFertiliserComponentsVariation(AL297, $E297,AM297)</f>
        <v>0</v>
      </c>
      <c r="I297" s="69"/>
      <c r="J297" s="164" cm="1">
        <f t="array" ref="J297">Scope3_Equations.VEERG_15_4_1_1__1_EmissionsFromPurchasedFertiliser(E297,I297)</f>
        <v>0</v>
      </c>
      <c r="K297" s="164" cm="1">
        <f t="array" ref="K297">Scope3_Equations.VEERG_15_4_1_1__2_EmissionsFromPurchasedFertiliserComponentsVariation(R297, $E297,IF(T297,T297,S297))+
Scope3_Equations.VEERG_15_4_1_1__2_EmissionsFromPurchasedFertiliserComponentsVariation(V297, $E297,IF(X297,X297,W297))+
Scope3_Equations.VEERG_15_4_1_1__2_EmissionsFromPurchasedFertiliserComponentsVariation(Z297, $E297,IF(AB297,AB297,AA297))+
Scope3_Equations.VEERG_15_4_1_1__2_EmissionsFromPurchasedFertiliserComponentsVariation(AD297, $E297,IF(AF297,AF297,AE297))+
Scope3_Equations.VEERG_15_4_1_1__2_EmissionsFromPurchasedFertiliserComponentsVariation(AH297, $E297,IF(AJ297,AJ297,AI297))+
Scope3_Equations.VEERG_15_4_1_1__2_EmissionsFromPurchasedFertiliserComponentsVariation(AL297, $E297,IF(AN297,AN297,AM297))</f>
        <v>0</v>
      </c>
      <c r="L297" s="86"/>
      <c r="M297" s="48"/>
      <c r="N297" s="86"/>
      <c r="O297" s="50" t="str">
        <v/>
      </c>
      <c r="P297" s="50" t="str">
        <v/>
      </c>
      <c r="Q297" s="50" t="str">
        <v/>
      </c>
      <c r="R297" s="50">
        <v>0</v>
      </c>
      <c r="S297" s="50" cm="1">
        <f t="array" ref="S297">_xlfn.LET(_xlpm.result, Common_InputFunctions.Utility_LookupValueInTableTwoColumns(Q297, _xlfn.IFS(Q297="Urea",IF($O297="", "Global", $O297), Q297="Ammonia", IF($P297="", "Global", $P297), TRUE, "Global"), Table_SourceData_Scope3_InorganicFertiliser[Chemical compound],Table_SourceData_Scope3_InorganicFertiliser[Region of origin],Table_SourceData_Scope3_InorganicFertiliser[AusLCI Emissions intensity]), IF(_xlpm.result="", 0, _xlpm.result))</f>
        <v>0</v>
      </c>
      <c r="T297" s="69"/>
      <c r="U297" s="50" t="str">
        <v/>
      </c>
      <c r="V297" s="50">
        <v>0</v>
      </c>
      <c r="W297" s="50" cm="1">
        <f t="array" ref="W297">_xlfn.LET(_xlpm.result, Common_InputFunctions.Utility_LookupValueInTableTwoColumns(U297, _xlfn.IFS(U297="Urea",IF($O297="", "Global", $O297), U297="Ammonia", IF($P297="", "Global", $P297), TRUE, "Global"), Table_SourceData_Scope3_InorganicFertiliser[Chemical compound],Table_SourceData_Scope3_InorganicFertiliser[Region of origin],Table_SourceData_Scope3_InorganicFertiliser[AusLCI Emissions intensity]), IF(_xlpm.result="", 0, _xlpm.result))</f>
        <v>0</v>
      </c>
      <c r="X297" s="69"/>
      <c r="Y297" s="50" t="str">
        <v/>
      </c>
      <c r="Z297" s="50">
        <v>0</v>
      </c>
      <c r="AA297" s="50" cm="1">
        <f t="array" ref="AA297">_xlfn.LET(_xlpm.result, Common_InputFunctions.Utility_LookupValueInTableTwoColumns(Y297, _xlfn.IFS(Y297="Urea",IF($O297="", "Global", $O297), Y297="Ammonia", IF($P297="", "Global", $P297), TRUE, "Global"), Table_SourceData_Scope3_InorganicFertiliser[Chemical compound],Table_SourceData_Scope3_InorganicFertiliser[Region of origin],Table_SourceData_Scope3_InorganicFertiliser[AusLCI Emissions intensity]), IF(_xlpm.result="", 0, _xlpm.result))</f>
        <v>0</v>
      </c>
      <c r="AB297" s="69"/>
      <c r="AC297" s="50" t="str">
        <v/>
      </c>
      <c r="AD297" s="50">
        <v>0</v>
      </c>
      <c r="AE297" s="50" cm="1">
        <f t="array" ref="AE297">_xlfn.LET(_xlpm.result, Common_InputFunctions.Utility_LookupValueInTableTwoColumns(AC297, _xlfn.IFS(AC297="Urea",IF($O297="", "Global", $O297), AC297="Ammonia", IF($P297="", "Global", $P297), TRUE, "Global"), Table_SourceData_Scope3_InorganicFertiliser[Chemical compound],Table_SourceData_Scope3_InorganicFertiliser[Region of origin],Table_SourceData_Scope3_InorganicFertiliser[AusLCI Emissions intensity]), IF(_xlpm.result="", 0, _xlpm.result))</f>
        <v>0</v>
      </c>
      <c r="AF297" s="69"/>
      <c r="AG297" s="50" t="str">
        <v/>
      </c>
      <c r="AH297" s="50">
        <v>0</v>
      </c>
      <c r="AI297" s="50" cm="1">
        <f t="array" ref="AI297">_xlfn.LET(_xlpm.result, Common_InputFunctions.Utility_LookupValueInTableTwoColumns(AG297, _xlfn.IFS(AG297="Urea",IF($O297="", "Global", $O297), AG297="Ammonia", IF($P297="", "Global", $P297), TRUE, "Global"), Table_SourceData_Scope3_InorganicFertiliser[Chemical compound],Table_SourceData_Scope3_InorganicFertiliser[Region of origin],Table_SourceData_Scope3_InorganicFertiliser[AusLCI Emissions intensity]), IF(_xlpm.result="", 0, _xlpm.result))</f>
        <v>0</v>
      </c>
      <c r="AJ297" s="69"/>
      <c r="AK297" s="50" t="str">
        <v/>
      </c>
      <c r="AL297" s="50">
        <v>0</v>
      </c>
      <c r="AM297" s="50" cm="1">
        <f t="array" ref="AM297">_xlfn.LET(_xlpm.result, Common_InputFunctions.Utility_LookupValueInTableTwoColumns(AK297, _xlfn.IFS(AK297="Urea",IF($O297="", "Global", $O297), AK297="Ammonia", IF($P297="", "Global", $P297), TRUE, "Global"), Table_SourceData_Scope3_InorganicFertiliser[Chemical compound],Table_SourceData_Scope3_InorganicFertiliser[Region of origin],Table_SourceData_Scope3_InorganicFertiliser[AusLCI Emissions intensity]), IF(_xlpm.result="", 0, _xlpm.result))</f>
        <v>0</v>
      </c>
      <c r="AN297" s="69"/>
    </row>
    <row r="298" spans="4:40" x14ac:dyDescent="0.25">
      <c r="D298" s="50" t="str">
        <v/>
      </c>
      <c r="E298" s="50">
        <v>0</v>
      </c>
      <c r="F298" s="50">
        <f>IFERROR((R298*S298)+(V298*W298)+(Z298*AA298)+(AD298*AE298)+(AH298*AI298)+(AL298*AM298), 0)</f>
        <v>0</v>
      </c>
      <c r="G298" s="164" cm="1">
        <f t="array" ref="G298">Scope3_Equations.VEERG_15_4_1_1__1_EmissionsFromPurchasedFertiliser(E298,F298)</f>
        <v>0</v>
      </c>
      <c r="H298" s="50" cm="1">
        <f t="array" ref="H298">Scope3_Equations.VEERG_15_4_1_1__2_EmissionsFromPurchasedFertiliserComponentsVariation(R298, $E298,S298)+
Scope3_Equations.VEERG_15_4_1_1__2_EmissionsFromPurchasedFertiliserComponentsVariation(V298, $E298,W298)+
Scope3_Equations.VEERG_15_4_1_1__2_EmissionsFromPurchasedFertiliserComponentsVariation(Z298, $E298,AA298)+
Scope3_Equations.VEERG_15_4_1_1__2_EmissionsFromPurchasedFertiliserComponentsVariation(AD298, $E298,AE298)+
Scope3_Equations.VEERG_15_4_1_1__2_EmissionsFromPurchasedFertiliserComponentsVariation(AH298, $E298,AI298)+
Scope3_Equations.VEERG_15_4_1_1__2_EmissionsFromPurchasedFertiliserComponentsVariation(AL298, $E298,AM298)</f>
        <v>0</v>
      </c>
      <c r="I298" s="69"/>
      <c r="J298" s="164" cm="1">
        <f t="array" ref="J298">Scope3_Equations.VEERG_15_4_1_1__1_EmissionsFromPurchasedFertiliser(E298,I298)</f>
        <v>0</v>
      </c>
      <c r="K298" s="164" cm="1">
        <f t="array" ref="K298">Scope3_Equations.VEERG_15_4_1_1__2_EmissionsFromPurchasedFertiliserComponentsVariation(R298, $E298,IF(T298,T298,S298))+
Scope3_Equations.VEERG_15_4_1_1__2_EmissionsFromPurchasedFertiliserComponentsVariation(V298, $E298,IF(X298,X298,W298))+
Scope3_Equations.VEERG_15_4_1_1__2_EmissionsFromPurchasedFertiliserComponentsVariation(Z298, $E298,IF(AB298,AB298,AA298))+
Scope3_Equations.VEERG_15_4_1_1__2_EmissionsFromPurchasedFertiliserComponentsVariation(AD298, $E298,IF(AF298,AF298,AE298))+
Scope3_Equations.VEERG_15_4_1_1__2_EmissionsFromPurchasedFertiliserComponentsVariation(AH298, $E298,IF(AJ298,AJ298,AI298))+
Scope3_Equations.VEERG_15_4_1_1__2_EmissionsFromPurchasedFertiliserComponentsVariation(AL298, $E298,IF(AN298,AN298,AM298))</f>
        <v>0</v>
      </c>
      <c r="L298" s="86"/>
      <c r="M298" s="48"/>
      <c r="N298" s="86"/>
      <c r="O298" s="50" t="str">
        <v/>
      </c>
      <c r="P298" s="50" t="str">
        <v/>
      </c>
      <c r="Q298" s="50" t="str">
        <v/>
      </c>
      <c r="R298" s="50">
        <v>0</v>
      </c>
      <c r="S298" s="50" cm="1">
        <f t="array" ref="S298">_xlfn.LET(_xlpm.result, Common_InputFunctions.Utility_LookupValueInTableTwoColumns(Q298, _xlfn.IFS(Q298="Urea",IF($O298="", "Global", $O298), Q298="Ammonia", IF($P298="", "Global", $P298), TRUE, "Global"), Table_SourceData_Scope3_InorganicFertiliser[Chemical compound],Table_SourceData_Scope3_InorganicFertiliser[Region of origin],Table_SourceData_Scope3_InorganicFertiliser[AusLCI Emissions intensity]), IF(_xlpm.result="", 0, _xlpm.result))</f>
        <v>0</v>
      </c>
      <c r="T298" s="69"/>
      <c r="U298" s="50" t="str">
        <v/>
      </c>
      <c r="V298" s="50">
        <v>0</v>
      </c>
      <c r="W298" s="50" cm="1">
        <f t="array" ref="W298">_xlfn.LET(_xlpm.result, Common_InputFunctions.Utility_LookupValueInTableTwoColumns(U298, _xlfn.IFS(U298="Urea",IF($O298="", "Global", $O298), U298="Ammonia", IF($P298="", "Global", $P298), TRUE, "Global"), Table_SourceData_Scope3_InorganicFertiliser[Chemical compound],Table_SourceData_Scope3_InorganicFertiliser[Region of origin],Table_SourceData_Scope3_InorganicFertiliser[AusLCI Emissions intensity]), IF(_xlpm.result="", 0, _xlpm.result))</f>
        <v>0</v>
      </c>
      <c r="X298" s="69"/>
      <c r="Y298" s="50" t="str">
        <v/>
      </c>
      <c r="Z298" s="50">
        <v>0</v>
      </c>
      <c r="AA298" s="50" cm="1">
        <f t="array" ref="AA298">_xlfn.LET(_xlpm.result, Common_InputFunctions.Utility_LookupValueInTableTwoColumns(Y298, _xlfn.IFS(Y298="Urea",IF($O298="", "Global", $O298), Y298="Ammonia", IF($P298="", "Global", $P298), TRUE, "Global"), Table_SourceData_Scope3_InorganicFertiliser[Chemical compound],Table_SourceData_Scope3_InorganicFertiliser[Region of origin],Table_SourceData_Scope3_InorganicFertiliser[AusLCI Emissions intensity]), IF(_xlpm.result="", 0, _xlpm.result))</f>
        <v>0</v>
      </c>
      <c r="AB298" s="69"/>
      <c r="AC298" s="50" t="str">
        <v/>
      </c>
      <c r="AD298" s="50">
        <v>0</v>
      </c>
      <c r="AE298" s="50" cm="1">
        <f t="array" ref="AE298">_xlfn.LET(_xlpm.result, Common_InputFunctions.Utility_LookupValueInTableTwoColumns(AC298, _xlfn.IFS(AC298="Urea",IF($O298="", "Global", $O298), AC298="Ammonia", IF($P298="", "Global", $P298), TRUE, "Global"), Table_SourceData_Scope3_InorganicFertiliser[Chemical compound],Table_SourceData_Scope3_InorganicFertiliser[Region of origin],Table_SourceData_Scope3_InorganicFertiliser[AusLCI Emissions intensity]), IF(_xlpm.result="", 0, _xlpm.result))</f>
        <v>0</v>
      </c>
      <c r="AF298" s="69"/>
      <c r="AG298" s="50" t="str">
        <v/>
      </c>
      <c r="AH298" s="50">
        <v>0</v>
      </c>
      <c r="AI298" s="50" cm="1">
        <f t="array" ref="AI298">_xlfn.LET(_xlpm.result, Common_InputFunctions.Utility_LookupValueInTableTwoColumns(AG298, _xlfn.IFS(AG298="Urea",IF($O298="", "Global", $O298), AG298="Ammonia", IF($P298="", "Global", $P298), TRUE, "Global"), Table_SourceData_Scope3_InorganicFertiliser[Chemical compound],Table_SourceData_Scope3_InorganicFertiliser[Region of origin],Table_SourceData_Scope3_InorganicFertiliser[AusLCI Emissions intensity]), IF(_xlpm.result="", 0, _xlpm.result))</f>
        <v>0</v>
      </c>
      <c r="AJ298" s="69"/>
      <c r="AK298" s="50" t="str">
        <v/>
      </c>
      <c r="AL298" s="50">
        <v>0</v>
      </c>
      <c r="AM298" s="50" cm="1">
        <f t="array" ref="AM298">_xlfn.LET(_xlpm.result, Common_InputFunctions.Utility_LookupValueInTableTwoColumns(AK298, _xlfn.IFS(AK298="Urea",IF($O298="", "Global", $O298), AK298="Ammonia", IF($P298="", "Global", $P298), TRUE, "Global"), Table_SourceData_Scope3_InorganicFertiliser[Chemical compound],Table_SourceData_Scope3_InorganicFertiliser[Region of origin],Table_SourceData_Scope3_InorganicFertiliser[AusLCI Emissions intensity]), IF(_xlpm.result="", 0, _xlpm.result))</f>
        <v>0</v>
      </c>
      <c r="AN298" s="69"/>
    </row>
    <row r="299" spans="4:40" x14ac:dyDescent="0.25">
      <c r="D299" s="50" t="str">
        <v/>
      </c>
      <c r="E299" s="50">
        <v>0</v>
      </c>
      <c r="F299" s="50">
        <f>IFERROR((R299*S299)+(V299*W299)+(Z299*AA299)+(AD299*AE299)+(AH299*AI299)+(AL299*AM299), 0)</f>
        <v>0</v>
      </c>
      <c r="G299" s="164" cm="1">
        <f t="array" ref="G299">Scope3_Equations.VEERG_15_4_1_1__1_EmissionsFromPurchasedFertiliser(E299,F299)</f>
        <v>0</v>
      </c>
      <c r="H299" s="50" cm="1">
        <f t="array" ref="H299">Scope3_Equations.VEERG_15_4_1_1__2_EmissionsFromPurchasedFertiliserComponentsVariation(R299, $E299,S299)+
Scope3_Equations.VEERG_15_4_1_1__2_EmissionsFromPurchasedFertiliserComponentsVariation(V299, $E299,W299)+
Scope3_Equations.VEERG_15_4_1_1__2_EmissionsFromPurchasedFertiliserComponentsVariation(Z299, $E299,AA299)+
Scope3_Equations.VEERG_15_4_1_1__2_EmissionsFromPurchasedFertiliserComponentsVariation(AD299, $E299,AE299)+
Scope3_Equations.VEERG_15_4_1_1__2_EmissionsFromPurchasedFertiliserComponentsVariation(AH299, $E299,AI299)+
Scope3_Equations.VEERG_15_4_1_1__2_EmissionsFromPurchasedFertiliserComponentsVariation(AL299, $E299,AM299)</f>
        <v>0</v>
      </c>
      <c r="I299" s="69"/>
      <c r="J299" s="164" cm="1">
        <f t="array" ref="J299">Scope3_Equations.VEERG_15_4_1_1__1_EmissionsFromPurchasedFertiliser(E299,I299)</f>
        <v>0</v>
      </c>
      <c r="K299" s="164" cm="1">
        <f t="array" ref="K299">Scope3_Equations.VEERG_15_4_1_1__2_EmissionsFromPurchasedFertiliserComponentsVariation(R299, $E299,IF(T299,T299,S299))+
Scope3_Equations.VEERG_15_4_1_1__2_EmissionsFromPurchasedFertiliserComponentsVariation(V299, $E299,IF(X299,X299,W299))+
Scope3_Equations.VEERG_15_4_1_1__2_EmissionsFromPurchasedFertiliserComponentsVariation(Z299, $E299,IF(AB299,AB299,AA299))+
Scope3_Equations.VEERG_15_4_1_1__2_EmissionsFromPurchasedFertiliserComponentsVariation(AD299, $E299,IF(AF299,AF299,AE299))+
Scope3_Equations.VEERG_15_4_1_1__2_EmissionsFromPurchasedFertiliserComponentsVariation(AH299, $E299,IF(AJ299,AJ299,AI299))+
Scope3_Equations.VEERG_15_4_1_1__2_EmissionsFromPurchasedFertiliserComponentsVariation(AL299, $E299,IF(AN299,AN299,AM299))</f>
        <v>0</v>
      </c>
      <c r="L299" s="86"/>
      <c r="M299" s="48"/>
      <c r="N299" s="86"/>
      <c r="O299" s="50" t="str">
        <v/>
      </c>
      <c r="P299" s="50" t="str">
        <v/>
      </c>
      <c r="Q299" s="50" t="str">
        <v/>
      </c>
      <c r="R299" s="50">
        <v>0</v>
      </c>
      <c r="S299" s="50" cm="1">
        <f t="array" ref="S299">_xlfn.LET(_xlpm.result, Common_InputFunctions.Utility_LookupValueInTableTwoColumns(Q299, _xlfn.IFS(Q299="Urea",IF($O299="", "Global", $O299), Q299="Ammonia", IF($P299="", "Global", $P299), TRUE, "Global"), Table_SourceData_Scope3_InorganicFertiliser[Chemical compound],Table_SourceData_Scope3_InorganicFertiliser[Region of origin],Table_SourceData_Scope3_InorganicFertiliser[AusLCI Emissions intensity]), IF(_xlpm.result="", 0, _xlpm.result))</f>
        <v>0</v>
      </c>
      <c r="T299" s="69"/>
      <c r="U299" s="50" t="str">
        <v/>
      </c>
      <c r="V299" s="50">
        <v>0</v>
      </c>
      <c r="W299" s="50" cm="1">
        <f t="array" ref="W299">_xlfn.LET(_xlpm.result, Common_InputFunctions.Utility_LookupValueInTableTwoColumns(U299, _xlfn.IFS(U299="Urea",IF($O299="", "Global", $O299), U299="Ammonia", IF($P299="", "Global", $P299), TRUE, "Global"), Table_SourceData_Scope3_InorganicFertiliser[Chemical compound],Table_SourceData_Scope3_InorganicFertiliser[Region of origin],Table_SourceData_Scope3_InorganicFertiliser[AusLCI Emissions intensity]), IF(_xlpm.result="", 0, _xlpm.result))</f>
        <v>0</v>
      </c>
      <c r="X299" s="69"/>
      <c r="Y299" s="50" t="str">
        <v/>
      </c>
      <c r="Z299" s="50">
        <v>0</v>
      </c>
      <c r="AA299" s="50" cm="1">
        <f t="array" ref="AA299">_xlfn.LET(_xlpm.result, Common_InputFunctions.Utility_LookupValueInTableTwoColumns(Y299, _xlfn.IFS(Y299="Urea",IF($O299="", "Global", $O299), Y299="Ammonia", IF($P299="", "Global", $P299), TRUE, "Global"), Table_SourceData_Scope3_InorganicFertiliser[Chemical compound],Table_SourceData_Scope3_InorganicFertiliser[Region of origin],Table_SourceData_Scope3_InorganicFertiliser[AusLCI Emissions intensity]), IF(_xlpm.result="", 0, _xlpm.result))</f>
        <v>0</v>
      </c>
      <c r="AB299" s="69"/>
      <c r="AC299" s="50" t="str">
        <v/>
      </c>
      <c r="AD299" s="50">
        <v>0</v>
      </c>
      <c r="AE299" s="50" cm="1">
        <f t="array" ref="AE299">_xlfn.LET(_xlpm.result, Common_InputFunctions.Utility_LookupValueInTableTwoColumns(AC299, _xlfn.IFS(AC299="Urea",IF($O299="", "Global", $O299), AC299="Ammonia", IF($P299="", "Global", $P299), TRUE, "Global"), Table_SourceData_Scope3_InorganicFertiliser[Chemical compound],Table_SourceData_Scope3_InorganicFertiliser[Region of origin],Table_SourceData_Scope3_InorganicFertiliser[AusLCI Emissions intensity]), IF(_xlpm.result="", 0, _xlpm.result))</f>
        <v>0</v>
      </c>
      <c r="AF299" s="69"/>
      <c r="AG299" s="50" t="str">
        <v/>
      </c>
      <c r="AH299" s="50">
        <v>0</v>
      </c>
      <c r="AI299" s="50" cm="1">
        <f t="array" ref="AI299">_xlfn.LET(_xlpm.result, Common_InputFunctions.Utility_LookupValueInTableTwoColumns(AG299, _xlfn.IFS(AG299="Urea",IF($O299="", "Global", $O299), AG299="Ammonia", IF($P299="", "Global", $P299), TRUE, "Global"), Table_SourceData_Scope3_InorganicFertiliser[Chemical compound],Table_SourceData_Scope3_InorganicFertiliser[Region of origin],Table_SourceData_Scope3_InorganicFertiliser[AusLCI Emissions intensity]), IF(_xlpm.result="", 0, _xlpm.result))</f>
        <v>0</v>
      </c>
      <c r="AJ299" s="69"/>
      <c r="AK299" s="50" t="str">
        <v/>
      </c>
      <c r="AL299" s="50">
        <v>0</v>
      </c>
      <c r="AM299" s="50" cm="1">
        <f t="array" ref="AM299">_xlfn.LET(_xlpm.result, Common_InputFunctions.Utility_LookupValueInTableTwoColumns(AK299, _xlfn.IFS(AK299="Urea",IF($O299="", "Global", $O299), AK299="Ammonia", IF($P299="", "Global", $P299), TRUE, "Global"), Table_SourceData_Scope3_InorganicFertiliser[Chemical compound],Table_SourceData_Scope3_InorganicFertiliser[Region of origin],Table_SourceData_Scope3_InorganicFertiliser[AusLCI Emissions intensity]), IF(_xlpm.result="", 0, _xlpm.result))</f>
        <v>0</v>
      </c>
      <c r="AN299" s="69"/>
    </row>
    <row r="300" spans="4:40" x14ac:dyDescent="0.25">
      <c r="D300" s="50" t="str">
        <v/>
      </c>
      <c r="E300" s="50">
        <v>0</v>
      </c>
      <c r="F300" s="50">
        <f>IFERROR((R300*S300)+(V300*W300)+(Z300*AA300)+(AD300*AE300)+(AH300*AI300)+(AL300*AM300), 0)</f>
        <v>0</v>
      </c>
      <c r="G300" s="164" cm="1">
        <f t="array" ref="G300">Scope3_Equations.VEERG_15_4_1_1__1_EmissionsFromPurchasedFertiliser(E300,F300)</f>
        <v>0</v>
      </c>
      <c r="H300" s="50" cm="1">
        <f t="array" ref="H300">Scope3_Equations.VEERG_15_4_1_1__2_EmissionsFromPurchasedFertiliserComponentsVariation(R300, $E300,S300)+
Scope3_Equations.VEERG_15_4_1_1__2_EmissionsFromPurchasedFertiliserComponentsVariation(V300, $E300,W300)+
Scope3_Equations.VEERG_15_4_1_1__2_EmissionsFromPurchasedFertiliserComponentsVariation(Z300, $E300,AA300)+
Scope3_Equations.VEERG_15_4_1_1__2_EmissionsFromPurchasedFertiliserComponentsVariation(AD300, $E300,AE300)+
Scope3_Equations.VEERG_15_4_1_1__2_EmissionsFromPurchasedFertiliserComponentsVariation(AH300, $E300,AI300)+
Scope3_Equations.VEERG_15_4_1_1__2_EmissionsFromPurchasedFertiliserComponentsVariation(AL300, $E300,AM300)</f>
        <v>0</v>
      </c>
      <c r="I300" s="69"/>
      <c r="J300" s="164" cm="1">
        <f t="array" ref="J300">Scope3_Equations.VEERG_15_4_1_1__1_EmissionsFromPurchasedFertiliser(E300,I300)</f>
        <v>0</v>
      </c>
      <c r="K300" s="164" cm="1">
        <f t="array" ref="K300">Scope3_Equations.VEERG_15_4_1_1__2_EmissionsFromPurchasedFertiliserComponentsVariation(R300, $E300,IF(T300,T300,S300))+
Scope3_Equations.VEERG_15_4_1_1__2_EmissionsFromPurchasedFertiliserComponentsVariation(V300, $E300,IF(X300,X300,W300))+
Scope3_Equations.VEERG_15_4_1_1__2_EmissionsFromPurchasedFertiliserComponentsVariation(Z300, $E300,IF(AB300,AB300,AA300))+
Scope3_Equations.VEERG_15_4_1_1__2_EmissionsFromPurchasedFertiliserComponentsVariation(AD300, $E300,IF(AF300,AF300,AE300))+
Scope3_Equations.VEERG_15_4_1_1__2_EmissionsFromPurchasedFertiliserComponentsVariation(AH300, $E300,IF(AJ300,AJ300,AI300))+
Scope3_Equations.VEERG_15_4_1_1__2_EmissionsFromPurchasedFertiliserComponentsVariation(AL300, $E300,IF(AN300,AN300,AM300))</f>
        <v>0</v>
      </c>
      <c r="L300" s="86"/>
      <c r="M300" s="48"/>
      <c r="N300" s="86"/>
      <c r="O300" s="50" t="str">
        <v/>
      </c>
      <c r="P300" s="50" t="str">
        <v/>
      </c>
      <c r="Q300" s="50" t="str">
        <v/>
      </c>
      <c r="R300" s="50">
        <v>0</v>
      </c>
      <c r="S300" s="50" cm="1">
        <f t="array" ref="S300">_xlfn.LET(_xlpm.result, Common_InputFunctions.Utility_LookupValueInTableTwoColumns(Q300, _xlfn.IFS(Q300="Urea",IF($O300="", "Global", $O300), Q300="Ammonia", IF($P300="", "Global", $P300), TRUE, "Global"), Table_SourceData_Scope3_InorganicFertiliser[Chemical compound],Table_SourceData_Scope3_InorganicFertiliser[Region of origin],Table_SourceData_Scope3_InorganicFertiliser[AusLCI Emissions intensity]), IF(_xlpm.result="", 0, _xlpm.result))</f>
        <v>0</v>
      </c>
      <c r="T300" s="69"/>
      <c r="U300" s="50" t="str">
        <v/>
      </c>
      <c r="V300" s="50">
        <v>0</v>
      </c>
      <c r="W300" s="50" cm="1">
        <f t="array" ref="W300">_xlfn.LET(_xlpm.result, Common_InputFunctions.Utility_LookupValueInTableTwoColumns(U300, _xlfn.IFS(U300="Urea",IF($O300="", "Global", $O300), U300="Ammonia", IF($P300="", "Global", $P300), TRUE, "Global"), Table_SourceData_Scope3_InorganicFertiliser[Chemical compound],Table_SourceData_Scope3_InorganicFertiliser[Region of origin],Table_SourceData_Scope3_InorganicFertiliser[AusLCI Emissions intensity]), IF(_xlpm.result="", 0, _xlpm.result))</f>
        <v>0</v>
      </c>
      <c r="X300" s="69"/>
      <c r="Y300" s="50" t="str">
        <v/>
      </c>
      <c r="Z300" s="50">
        <v>0</v>
      </c>
      <c r="AA300" s="50" cm="1">
        <f t="array" ref="AA300">_xlfn.LET(_xlpm.result, Common_InputFunctions.Utility_LookupValueInTableTwoColumns(Y300, _xlfn.IFS(Y300="Urea",IF($O300="", "Global", $O300), Y300="Ammonia", IF($P300="", "Global", $P300), TRUE, "Global"), Table_SourceData_Scope3_InorganicFertiliser[Chemical compound],Table_SourceData_Scope3_InorganicFertiliser[Region of origin],Table_SourceData_Scope3_InorganicFertiliser[AusLCI Emissions intensity]), IF(_xlpm.result="", 0, _xlpm.result))</f>
        <v>0</v>
      </c>
      <c r="AB300" s="69"/>
      <c r="AC300" s="50" t="str">
        <v/>
      </c>
      <c r="AD300" s="50">
        <v>0</v>
      </c>
      <c r="AE300" s="50" cm="1">
        <f t="array" ref="AE300">_xlfn.LET(_xlpm.result, Common_InputFunctions.Utility_LookupValueInTableTwoColumns(AC300, _xlfn.IFS(AC300="Urea",IF($O300="", "Global", $O300), AC300="Ammonia", IF($P300="", "Global", $P300), TRUE, "Global"), Table_SourceData_Scope3_InorganicFertiliser[Chemical compound],Table_SourceData_Scope3_InorganicFertiliser[Region of origin],Table_SourceData_Scope3_InorganicFertiliser[AusLCI Emissions intensity]), IF(_xlpm.result="", 0, _xlpm.result))</f>
        <v>0</v>
      </c>
      <c r="AF300" s="69"/>
      <c r="AG300" s="50" t="str">
        <v/>
      </c>
      <c r="AH300" s="50">
        <v>0</v>
      </c>
      <c r="AI300" s="50" cm="1">
        <f t="array" ref="AI300">_xlfn.LET(_xlpm.result, Common_InputFunctions.Utility_LookupValueInTableTwoColumns(AG300, _xlfn.IFS(AG300="Urea",IF($O300="", "Global", $O300), AG300="Ammonia", IF($P300="", "Global", $P300), TRUE, "Global"), Table_SourceData_Scope3_InorganicFertiliser[Chemical compound],Table_SourceData_Scope3_InorganicFertiliser[Region of origin],Table_SourceData_Scope3_InorganicFertiliser[AusLCI Emissions intensity]), IF(_xlpm.result="", 0, _xlpm.result))</f>
        <v>0</v>
      </c>
      <c r="AJ300" s="69"/>
      <c r="AK300" s="50" t="str">
        <v/>
      </c>
      <c r="AL300" s="50">
        <v>0</v>
      </c>
      <c r="AM300" s="50" cm="1">
        <f t="array" ref="AM300">_xlfn.LET(_xlpm.result, Common_InputFunctions.Utility_LookupValueInTableTwoColumns(AK300, _xlfn.IFS(AK300="Urea",IF($O300="", "Global", $O300), AK300="Ammonia", IF($P300="", "Global", $P300), TRUE, "Global"), Table_SourceData_Scope3_InorganicFertiliser[Chemical compound],Table_SourceData_Scope3_InorganicFertiliser[Region of origin],Table_SourceData_Scope3_InorganicFertiliser[AusLCI Emissions intensity]), IF(_xlpm.result="", 0, _xlpm.result))</f>
        <v>0</v>
      </c>
      <c r="AN300" s="69"/>
    </row>
    <row r="303" spans="4:40" ht="23.25" x14ac:dyDescent="0.25">
      <c r="D303" s="9" t="s">
        <v>390</v>
      </c>
    </row>
    <row r="304" spans="4:40" x14ac:dyDescent="0.25">
      <c r="D304" s="161" t="s">
        <v>300</v>
      </c>
      <c r="E304" s="161" t="s">
        <v>175</v>
      </c>
      <c r="F304" s="161" t="s">
        <v>176</v>
      </c>
      <c r="G304" s="161" t="s">
        <v>301</v>
      </c>
      <c r="H304" s="60" t="s">
        <v>386</v>
      </c>
      <c r="I304" s="60" t="s">
        <v>383</v>
      </c>
      <c r="J304" s="47" t="s">
        <v>391</v>
      </c>
      <c r="K304" s="60" t="s">
        <v>384</v>
      </c>
      <c r="L304" s="47" t="s">
        <v>706</v>
      </c>
      <c r="M304" s="47" t="s">
        <v>707</v>
      </c>
      <c r="N304" s="47" t="s">
        <v>708</v>
      </c>
    </row>
    <row r="305" spans="4:14" x14ac:dyDescent="0.25">
      <c r="D305" s="50" t="str">
        <f>'Constants - Fertiliser'!$D$37</f>
        <v>Ammonia</v>
      </c>
      <c r="E305" s="50"/>
      <c r="F305" s="50" t="str">
        <f>'Constants - Fertiliser'!$V$20</f>
        <v>Global</v>
      </c>
      <c r="G305" s="50" cm="1">
        <f t="array" ref="G305">Fertiliser_InputFunctions.Fertiliser_TotalChemicalCompoundtAppliedBySourceAllIngredients(D305,F305,Table_Input_InorganicFertiliser_Custom[Total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4500</v>
      </c>
      <c r="H305" s="50" cm="1">
        <f t="array" ref="H305">Common_InputFunctions.Utility_LookupValueInTableTwoColumns(D305,F305,Table_SourceData_Scope3_InorganicFertiliser[Chemical compound],Table_SourceData_Scope3_InorganicFertiliser[Ammonia source],Table_SourceData_Scope3_InorganicFertiliser[AusLCI Emissions intensity])</f>
        <v>2.3199999999999998</v>
      </c>
      <c r="I305" s="50">
        <f>G305*H305</f>
        <v>10440</v>
      </c>
      <c r="J305" s="69">
        <v>2</v>
      </c>
      <c r="K305" s="164">
        <f>IFERROR(IF(J305, G305*J305, G305*H305),0)</f>
        <v>9000</v>
      </c>
      <c r="L305" s="86"/>
      <c r="M305" s="48"/>
      <c r="N305" s="179"/>
    </row>
    <row r="306" spans="4:14" x14ac:dyDescent="0.25">
      <c r="D306" s="50" t="str">
        <f>'Constants - Fertiliser'!$D$37</f>
        <v>Ammonia</v>
      </c>
      <c r="E306" s="50"/>
      <c r="F306" s="50" t="str">
        <f>'Constants - Fertiliser'!$V$21</f>
        <v>Canada</v>
      </c>
      <c r="G306" s="50" cm="1">
        <f t="array" ref="G306">Fertiliser_InputFunctions.Fertiliser_TotalChemicalCompoundtAppliedBySourceAllIngredients(D306,F306,Table_Input_InorganicFertiliser_Custom[Total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H306" s="50" cm="1">
        <f t="array" ref="H306">Common_InputFunctions.Utility_LookupValueInTableTwoColumns(D306,F306,Table_SourceData_Scope3_InorganicFertiliser[Chemical compound],Table_SourceData_Scope3_InorganicFertiliser[Ammonia source],Table_SourceData_Scope3_InorganicFertiliser[AusLCI Emissions intensity])</f>
        <v>2.12</v>
      </c>
      <c r="I306" s="50">
        <f>G306*H306</f>
        <v>2120</v>
      </c>
      <c r="J306" s="69"/>
      <c r="K306" s="164">
        <f>IFERROR(IF(J306, G306*J306, G306*H306),0)</f>
        <v>2120</v>
      </c>
      <c r="L306" s="86"/>
      <c r="M306" s="48"/>
      <c r="N306" s="86"/>
    </row>
    <row r="307" spans="4:14" x14ac:dyDescent="0.25">
      <c r="D307" s="50" t="str">
        <f>'Constants - Fertiliser'!$D$37</f>
        <v>Ammonia</v>
      </c>
      <c r="E307" s="50"/>
      <c r="F307" s="50" t="str">
        <f>'Constants - Fertiliser'!$V$22</f>
        <v>China</v>
      </c>
      <c r="G307" s="50" cm="1">
        <f t="array" ref="G307">Fertiliser_InputFunctions.Fertiliser_TotalChemicalCompoundtAppliedBySourceAllIngredients(D307,F307,Table_Input_InorganicFertiliser_Custom[Total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07" s="50" cm="1">
        <f t="array" ref="H307">Common_InputFunctions.Utility_LookupValueInTableTwoColumns(D307,F307,Table_SourceData_Scope3_InorganicFertiliser[Chemical compound],Table_SourceData_Scope3_InorganicFertiliser[Ammonia source],Table_SourceData_Scope3_InorganicFertiliser[AusLCI Emissions intensity])</f>
        <v>4.17</v>
      </c>
      <c r="I307" s="50">
        <f>G307*H307</f>
        <v>0</v>
      </c>
      <c r="J307" s="69"/>
      <c r="K307" s="164">
        <f>IFERROR(IF(J307, G307*J307, G307*H307),0)</f>
        <v>0</v>
      </c>
      <c r="L307" s="86"/>
      <c r="M307" s="48"/>
      <c r="N307" s="86"/>
    </row>
    <row r="308" spans="4:14" x14ac:dyDescent="0.25">
      <c r="D308" s="50" t="str">
        <f>'Constants - Fertiliser'!$D$37</f>
        <v>Ammonia</v>
      </c>
      <c r="E308" s="50"/>
      <c r="F308" s="50" t="str">
        <f>'Constants - Fertiliser'!$V$23</f>
        <v>Yemen</v>
      </c>
      <c r="G308" s="50" cm="1">
        <f t="array" ref="G308">Fertiliser_InputFunctions.Fertiliser_TotalChemicalCompoundtAppliedBySourceAllIngredients(D308,F308,Table_Input_InorganicFertiliser_Custom[Total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08" s="50" cm="1">
        <f t="array" ref="H308">Common_InputFunctions.Utility_LookupValueInTableTwoColumns(D308,F308,Table_SourceData_Scope3_InorganicFertiliser[Chemical compound],Table_SourceData_Scope3_InorganicFertiliser[Ammonia source],Table_SourceData_Scope3_InorganicFertiliser[AusLCI Emissions intensity])</f>
        <v>2.2599999999999998</v>
      </c>
      <c r="I308" s="50">
        <f>G308*H308</f>
        <v>0</v>
      </c>
      <c r="J308" s="69"/>
      <c r="K308" s="164">
        <f>IFERROR(IF(J308, G308*J308, G308*H308),0)</f>
        <v>0</v>
      </c>
      <c r="L308" s="86"/>
      <c r="M308" s="48"/>
      <c r="N308" s="86"/>
    </row>
    <row r="309" spans="4:14" x14ac:dyDescent="0.25">
      <c r="D309" s="50" t="str">
        <f>'Constants - Fertiliser'!$D$25</f>
        <v>Ammonium nitrate (AN)</v>
      </c>
      <c r="E309" s="50"/>
      <c r="F309" s="50"/>
      <c r="G309" s="50" cm="1">
        <f t="array" ref="G309">Fertiliser_InputFunctions.Fertiliser_TotalChemicalCompoundAppliedAllIngredients(D309,Table_Input_InorganicFertiliser_Custom[Total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09" s="50" cm="1">
        <f t="array" ref="H309">Common_InputFunctions.Utility_LookupValueInTableNumber(D309,Table_SourceData_Scope3_InorganicFertiliser[Chemical compound],Table_SourceData_Scope3_InorganicFertiliser[AusLCI Emissions intensity])</f>
        <v>2.21</v>
      </c>
      <c r="I309" s="50">
        <f>G309*H309</f>
        <v>0</v>
      </c>
      <c r="J309" s="69"/>
      <c r="K309" s="164">
        <f>IFERROR(IF(J309, G309*J309, G309*H309),0)</f>
        <v>0</v>
      </c>
      <c r="L309" s="86"/>
      <c r="M309" s="48"/>
      <c r="N309" s="86"/>
    </row>
    <row r="310" spans="4:14" x14ac:dyDescent="0.25">
      <c r="D310" s="50" t="str">
        <f>'Constants - Fertiliser'!$D$26</f>
        <v>Calcium ammonium nitrate (CAN)</v>
      </c>
      <c r="E310" s="50"/>
      <c r="F310" s="50"/>
      <c r="G310" s="50" cm="1">
        <f t="array" ref="G310">Fertiliser_InputFunctions.Fertiliser_TotalChemicalCompoundAppliedAllIngredients(D310,Table_Input_InorganicFertiliser_Custom[Total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10" s="50" cm="1">
        <f t="array" ref="H310">Common_InputFunctions.Utility_LookupValueInTableNumber(D310,Table_SourceData_Scope3_InorganicFertiliser[Chemical compound],Table_SourceData_Scope3_InorganicFertiliser[AusLCI Emissions intensity])</f>
        <v>1.1499999999999999</v>
      </c>
      <c r="I310" s="50">
        <f>G310*H310</f>
        <v>0</v>
      </c>
      <c r="J310" s="69"/>
      <c r="K310" s="164">
        <f>IFERROR(IF(J310, G310*J310, G310*H310),0)</f>
        <v>0</v>
      </c>
      <c r="L310" s="86"/>
      <c r="M310" s="48"/>
      <c r="N310" s="86"/>
    </row>
    <row r="311" spans="4:14" x14ac:dyDescent="0.25">
      <c r="D311" s="50" t="str">
        <f>'Constants - Fertiliser'!$D$38</f>
        <v>Calcium nitrate</v>
      </c>
      <c r="E311" s="50"/>
      <c r="F311" s="50"/>
      <c r="G311" s="50" cm="1">
        <f t="array" ref="G311">Fertiliser_InputFunctions.Fertiliser_TotalChemicalCompoundAppliedAllIngredients(D311,Table_Input_InorganicFertiliser_Custom[Total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3000</v>
      </c>
      <c r="H311" s="50" cm="1">
        <f t="array" ref="H311">Common_InputFunctions.Utility_LookupValueInTableNumber(D311,Table_SourceData_Scope3_InorganicFertiliser[Chemical compound],Table_SourceData_Scope3_InorganicFertiliser[AusLCI Emissions intensity])</f>
        <v>0.75</v>
      </c>
      <c r="I311" s="50">
        <f>G311*H311</f>
        <v>2250</v>
      </c>
      <c r="J311" s="69">
        <v>0.7</v>
      </c>
      <c r="K311" s="164">
        <f>IFERROR(IF(J311, G311*J311, G311*H311),0)</f>
        <v>2100</v>
      </c>
      <c r="L311" s="86"/>
      <c r="M311" s="48"/>
      <c r="N311" s="86"/>
    </row>
    <row r="312" spans="4:14" x14ac:dyDescent="0.25">
      <c r="D312" s="50" t="str">
        <f>'Constants - Fertiliser'!$D$21</f>
        <v>Diammonium phosphate (DAP)</v>
      </c>
      <c r="E312" s="50"/>
      <c r="F312" s="50"/>
      <c r="G312" s="50" cm="1">
        <f t="array" ref="G312">Fertiliser_InputFunctions.Fertiliser_TotalChemicalCompoundAppliedAllIngredients(D312,Table_Input_InorganicFertiliser_Custom[Total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12" s="50" cm="1">
        <f t="array" ref="H312">Common_InputFunctions.Utility_LookupValueInTableNumber(D312,Table_SourceData_Scope3_InorganicFertiliser[Chemical compound],Table_SourceData_Scope3_InorganicFertiliser[AusLCI Emissions intensity])</f>
        <v>1.34</v>
      </c>
      <c r="I312" s="50">
        <f>G312*H312</f>
        <v>0</v>
      </c>
      <c r="J312" s="69"/>
      <c r="K312" s="164">
        <f>IFERROR(IF(J312, G312*J312, G312*H312),0)</f>
        <v>0</v>
      </c>
      <c r="L312" s="86"/>
      <c r="M312" s="48"/>
      <c r="N312" s="86"/>
    </row>
    <row r="313" spans="4:14" x14ac:dyDescent="0.25">
      <c r="D313" s="50" t="str">
        <f>'Constants - Fertiliser'!$D$35</f>
        <v>Double superphosphate</v>
      </c>
      <c r="E313" s="50"/>
      <c r="F313" s="50"/>
      <c r="G313" s="50" cm="1">
        <f t="array" ref="G313">Fertiliser_InputFunctions.Fertiliser_TotalChemicalCompoundAppliedAllIngredients(D313,Table_Input_InorganicFertiliser_Custom[Total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13" s="50" cm="1">
        <f t="array" ref="H313">Common_InputFunctions.Utility_LookupValueInTableNumber(D313,Table_SourceData_Scope3_InorganicFertiliser[Chemical compound],Table_SourceData_Scope3_InorganicFertiliser[AusLCI Emissions intensity])</f>
        <v>0.39200000000000002</v>
      </c>
      <c r="I313" s="50">
        <f>G313*H313</f>
        <v>0</v>
      </c>
      <c r="J313" s="69"/>
      <c r="K313" s="164">
        <f>IFERROR(IF(J313, G313*J313, G313*H313),0)</f>
        <v>0</v>
      </c>
      <c r="L313" s="86"/>
      <c r="M313" s="48"/>
      <c r="N313" s="86"/>
    </row>
    <row r="314" spans="4:14" x14ac:dyDescent="0.25">
      <c r="D314" s="50" t="str">
        <f>'Constants - Fertiliser'!$D$20</f>
        <v>Monoammonium phosphate (MAP)</v>
      </c>
      <c r="E314" s="50"/>
      <c r="F314" s="50"/>
      <c r="G314" s="50" cm="1">
        <f t="array" ref="G314">Fertiliser_InputFunctions.Fertiliser_TotalChemicalCompoundAppliedAllIngredients(D314,Table_Input_InorganicFertiliser_Custom[Total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14" s="50" cm="1">
        <f t="array" ref="H314">Common_InputFunctions.Utility_LookupValueInTableNumber(D314,Table_SourceData_Scope3_InorganicFertiliser[Chemical compound],Table_SourceData_Scope3_InorganicFertiliser[AusLCI Emissions intensity])</f>
        <v>0.82699999999999996</v>
      </c>
      <c r="I314" s="50">
        <f>G314*H314</f>
        <v>0</v>
      </c>
      <c r="J314" s="69"/>
      <c r="K314" s="164">
        <f>IFERROR(IF(J314, G314*J314, G314*H314),0)</f>
        <v>0</v>
      </c>
      <c r="L314" s="86"/>
      <c r="M314" s="48"/>
      <c r="N314" s="86"/>
    </row>
    <row r="315" spans="4:14" x14ac:dyDescent="0.25">
      <c r="D315" s="50" t="str">
        <f>'Constants - Fertiliser'!$D$34</f>
        <v>Muriate of potash (MOP)</v>
      </c>
      <c r="E315" s="50"/>
      <c r="F315" s="50"/>
      <c r="G315" s="50" cm="1">
        <f t="array" ref="G315">Fertiliser_InputFunctions.Fertiliser_TotalChemicalCompoundAppliedAllIngredients(D315,Table_Input_InorganicFertiliser_Custom[Total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15" s="50" cm="1">
        <f t="array" ref="H315">Common_InputFunctions.Utility_LookupValueInTableNumber(D315,Table_SourceData_Scope3_InorganicFertiliser[Chemical compound],Table_SourceData_Scope3_InorganicFertiliser[AusLCI Emissions intensity])</f>
        <v>0.54900000000000004</v>
      </c>
      <c r="I315" s="50">
        <f>G315*H315</f>
        <v>0</v>
      </c>
      <c r="J315" s="69"/>
      <c r="K315" s="164">
        <f>IFERROR(IF(J315, G315*J315, G315*H315),0)</f>
        <v>0</v>
      </c>
      <c r="L315" s="86"/>
      <c r="M315" s="48"/>
      <c r="N315" s="179"/>
    </row>
    <row r="316" spans="4:14" x14ac:dyDescent="0.25">
      <c r="D316" s="50" t="str">
        <f>'Constants - Fertiliser'!$D$27</f>
        <v>Nitrogen - Ammoniacal</v>
      </c>
      <c r="E316" s="50"/>
      <c r="F316" s="50"/>
      <c r="G316" s="50" cm="1">
        <f t="array" ref="G316">Fertiliser_InputFunctions.Fertiliser_TotalChemicalCompoundAppliedAllIngredients(D316,Table_Input_InorganicFertiliser_Custom[Total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16" s="50" cm="1">
        <f t="array" ref="H316">Common_InputFunctions.Utility_LookupValueInTableNumber(D316,Table_SourceData_Scope3_InorganicFertiliser[Chemical compound],Table_SourceData_Scope3_InorganicFertiliser[AusLCI Emissions intensity])</f>
        <v>2.83</v>
      </c>
      <c r="I316" s="50">
        <f>G316*H316</f>
        <v>0</v>
      </c>
      <c r="J316" s="69"/>
      <c r="K316" s="164">
        <f>IFERROR(IF(J316, G316*J316, G316*H316),0)</f>
        <v>0</v>
      </c>
      <c r="L316" s="86"/>
      <c r="M316" s="48"/>
      <c r="N316" s="86"/>
    </row>
    <row r="317" spans="4:14" x14ac:dyDescent="0.25">
      <c r="D317" s="50" t="str">
        <f>'Constants - Fertiliser'!$D$29</f>
        <v>Nitrogen - Generic</v>
      </c>
      <c r="E317" s="50"/>
      <c r="F317" s="50"/>
      <c r="G317" s="50" cm="1">
        <f t="array" ref="G317">Fertiliser_InputFunctions.Fertiliser_TotalChemicalCompoundAppliedAllIngredients(D317,Table_Input_InorganicFertiliser_Custom[Total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17" s="50" cm="1">
        <f t="array" ref="H317">Common_InputFunctions.Utility_LookupValueInTableNumber(D317,Table_SourceData_Scope3_InorganicFertiliser[Chemical compound],Table_SourceData_Scope3_InorganicFertiliser[AusLCI Emissions intensity])</f>
        <v>4.2</v>
      </c>
      <c r="I317" s="50">
        <f>G317*H317</f>
        <v>0</v>
      </c>
      <c r="J317" s="69"/>
      <c r="K317" s="164">
        <f>IFERROR(IF(J317, G317*J317, G317*H317),0)</f>
        <v>0</v>
      </c>
      <c r="L317" s="86"/>
      <c r="M317" s="48"/>
      <c r="N317" s="86"/>
    </row>
    <row r="318" spans="4:14" x14ac:dyDescent="0.25">
      <c r="D318" s="50" t="str">
        <f>'Constants - Fertiliser'!$D$28</f>
        <v>Nitrogen - Nitrate</v>
      </c>
      <c r="E318" s="50"/>
      <c r="F318" s="50"/>
      <c r="G318" s="50" cm="1">
        <f t="array" ref="G318">Fertiliser_InputFunctions.Fertiliser_TotalChemicalCompoundAppliedAllIngredients(D318,Table_Input_InorganicFertiliser_Custom[Total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18" s="50" cm="1">
        <f t="array" ref="H318">Common_InputFunctions.Utility_LookupValueInTableNumber(D318,Table_SourceData_Scope3_InorganicFertiliser[Chemical compound],Table_SourceData_Scope3_InorganicFertiliser[AusLCI Emissions intensity])</f>
        <v>5.47</v>
      </c>
      <c r="I318" s="50">
        <f>G318*H318</f>
        <v>0</v>
      </c>
      <c r="J318" s="69"/>
      <c r="K318" s="164">
        <f>IFERROR(IF(J318, G318*J318, G318*H318),0)</f>
        <v>0</v>
      </c>
      <c r="L318" s="86"/>
      <c r="M318" s="48"/>
      <c r="N318" s="179"/>
    </row>
    <row r="319" spans="4:14" x14ac:dyDescent="0.25">
      <c r="D319" s="50" t="str">
        <f>'Constants - Fertiliser'!$D$30</f>
        <v>Phosphorus - Generic</v>
      </c>
      <c r="E319" s="50"/>
      <c r="F319" s="50"/>
      <c r="G319" s="50" cm="1">
        <f t="array" ref="G319">Fertiliser_InputFunctions.Fertiliser_TotalChemicalCompoundAppliedAllIngredients(D319,Table_Input_InorganicFertiliser_Custom[Total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19" s="50" cm="1">
        <f t="array" ref="H319">Common_InputFunctions.Utility_LookupValueInTableNumber(D319,Table_SourceData_Scope3_InorganicFertiliser[Chemical compound],Table_SourceData_Scope3_InorganicFertiliser[AusLCI Emissions intensity])</f>
        <v>3.96</v>
      </c>
      <c r="I319" s="50">
        <f>G319*H319</f>
        <v>0</v>
      </c>
      <c r="J319" s="69"/>
      <c r="K319" s="164">
        <f>IFERROR(IF(J319, G319*J319, G319*H319),0)</f>
        <v>0</v>
      </c>
      <c r="L319" s="86"/>
      <c r="M319" s="48"/>
      <c r="N319" s="86"/>
    </row>
    <row r="320" spans="4:14" x14ac:dyDescent="0.25">
      <c r="D320" s="50" t="str">
        <f>'Constants - Fertiliser'!$D$31</f>
        <v>Potassium - Generic</v>
      </c>
      <c r="E320" s="50"/>
      <c r="F320" s="50"/>
      <c r="G320" s="50" cm="1">
        <f t="array" ref="G320">Fertiliser_InputFunctions.Fertiliser_TotalChemicalCompoundAppliedAllIngredients(D320,Table_Input_InorganicFertiliser_Custom[Total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H320" s="50" cm="1">
        <f t="array" ref="H320">Common_InputFunctions.Utility_LookupValueInTableNumber(D320,Table_SourceData_Scope3_InorganicFertiliser[Chemical compound],Table_SourceData_Scope3_InorganicFertiliser[AusLCI Emissions intensity])</f>
        <v>0.90900000000000003</v>
      </c>
      <c r="I320" s="50">
        <f>G320*H320</f>
        <v>909</v>
      </c>
      <c r="J320" s="69"/>
      <c r="K320" s="164">
        <f>IFERROR(IF(J320, G320*J320, G320*H320),0)</f>
        <v>909</v>
      </c>
      <c r="L320" s="86"/>
      <c r="M320" s="48"/>
      <c r="N320" s="86"/>
    </row>
    <row r="321" spans="4:32" x14ac:dyDescent="0.25">
      <c r="D321" s="50" t="str">
        <f>'Constants - Fertiliser'!$D$36</f>
        <v>Single superphosphate (SSP)</v>
      </c>
      <c r="E321" s="50"/>
      <c r="F321" s="50"/>
      <c r="G321" s="50" cm="1">
        <f t="array" ref="G321">Fertiliser_InputFunctions.Fertiliser_TotalChemicalCompoundAppliedAllIngredients(D321,Table_Input_InorganicFertiliser_Custom[Total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21" s="50" cm="1">
        <f t="array" ref="H321">Common_InputFunctions.Utility_LookupValueInTableNumber(D321,Table_SourceData_Scope3_InorganicFertiliser[Chemical compound],Table_SourceData_Scope3_InorganicFertiliser[AusLCI Emissions intensity])</f>
        <v>0.22700000000000001</v>
      </c>
      <c r="I321" s="50">
        <f>G321*H321</f>
        <v>0</v>
      </c>
      <c r="J321" s="69"/>
      <c r="K321" s="164">
        <f>IFERROR(IF(J321, G321*J321, G321*H321),0)</f>
        <v>0</v>
      </c>
      <c r="L321" s="86"/>
      <c r="M321" s="48"/>
      <c r="N321" s="179"/>
    </row>
    <row r="322" spans="4:32" x14ac:dyDescent="0.25">
      <c r="D322" s="50" t="str">
        <f>'Constants - Fertiliser'!$D$32</f>
        <v>Sulfur - Generic</v>
      </c>
      <c r="E322" s="50"/>
      <c r="F322" s="50"/>
      <c r="G322" s="50" cm="1">
        <f t="array" ref="G322">Fertiliser_InputFunctions.Fertiliser_TotalChemicalCompoundAppliedAllIngredients(D322,Table_Input_InorganicFertiliser_Custom[Total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H322" s="50" cm="1">
        <f t="array" ref="H322">Common_InputFunctions.Utility_LookupValueInTableNumber(D322,Table_SourceData_Scope3_InorganicFertiliser[Chemical compound],Table_SourceData_Scope3_InorganicFertiliser[AusLCI Emissions intensity])</f>
        <v>2.5</v>
      </c>
      <c r="I322" s="50">
        <f>G322*H322</f>
        <v>2500</v>
      </c>
      <c r="J322" s="69"/>
      <c r="K322" s="164">
        <f>IFERROR(IF(J322, G322*J322, G322*H322),0)</f>
        <v>2500</v>
      </c>
      <c r="L322" s="86"/>
      <c r="M322" s="48"/>
      <c r="N322" s="86"/>
    </row>
    <row r="323" spans="4:32" x14ac:dyDescent="0.25">
      <c r="D323" s="50" t="str">
        <f>'Constants - Fertiliser'!$D$23</f>
        <v>Sulphate of ammonia (SOA)</v>
      </c>
      <c r="E323" s="50"/>
      <c r="F323" s="50"/>
      <c r="G323" s="50" cm="1">
        <f t="array" ref="G323">Fertiliser_InputFunctions.Fertiliser_TotalChemicalCompoundAppliedAllIngredients(D323,Table_Input_InorganicFertiliser_Custom[Total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23" s="50" cm="1">
        <f t="array" ref="H323">Common_InputFunctions.Utility_LookupValueInTableNumber(D323,Table_SourceData_Scope3_InorganicFertiliser[Chemical compound],Table_SourceData_Scope3_InorganicFertiliser[AusLCI Emissions intensity])</f>
        <v>0.86499999999999999</v>
      </c>
      <c r="I323" s="50">
        <f>G323*H323</f>
        <v>0</v>
      </c>
      <c r="J323" s="69"/>
      <c r="K323" s="164">
        <f>IFERROR(IF(J323, G323*J323, G323*H323),0)</f>
        <v>0</v>
      </c>
      <c r="L323" s="86"/>
      <c r="M323" s="48"/>
      <c r="N323" s="86"/>
    </row>
    <row r="324" spans="4:32" x14ac:dyDescent="0.25">
      <c r="D324" s="50" t="str">
        <f>'Constants - Fertiliser'!$D$24</f>
        <v>Urea-ammonium nitrate (UAN)</v>
      </c>
      <c r="E324" s="50"/>
      <c r="F324" s="50"/>
      <c r="G324" s="50" cm="1">
        <f t="array" ref="G324">Fertiliser_InputFunctions.Fertiliser_TotalChemicalCompoundAppliedAllIngredients(D324,Table_Input_InorganicFertiliser_Custom[Total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24" s="50" cm="1">
        <f t="array" ref="H324">Common_InputFunctions.Utility_LookupValueInTableNumber(D324,Table_SourceData_Scope3_InorganicFertiliser[Chemical compound],Table_SourceData_Scope3_InorganicFertiliser[AusLCI Emissions intensity])</f>
        <v>1.75</v>
      </c>
      <c r="I324" s="50">
        <f>G324*H324</f>
        <v>0</v>
      </c>
      <c r="J324" s="69"/>
      <c r="K324" s="164">
        <f>IFERROR(IF(J324, G324*J324, G324*H324),0)</f>
        <v>0</v>
      </c>
      <c r="L324" s="86"/>
      <c r="M324" s="48"/>
      <c r="N324" s="179"/>
    </row>
    <row r="325" spans="4:32" x14ac:dyDescent="0.25">
      <c r="D325" s="50" t="str">
        <f>'Constants - Fertiliser'!$D$22</f>
        <v>Urea</v>
      </c>
      <c r="E325" s="50" t="str">
        <f>'Constants - Fertiliser'!$V$20</f>
        <v>Global</v>
      </c>
      <c r="F325" s="50"/>
      <c r="G325" s="50" cm="1">
        <f t="array" ref="G325">Fertiliser_InputFunctions.Fertiliser_TotalChemicalCompoundtAppliedBySourceAllIngredients(D325,E325,Table_Input_InorganicFertiliser_Custom[Total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25" s="50" cm="1">
        <f t="array" ref="H325">Common_InputFunctions.Utility_LookupValueInTableTwoColumns(D325,E325,Table_SourceData_Scope3_InorganicFertiliser[Chemical compound],Table_SourceData_Scope3_InorganicFertiliser[Urea source],Table_SourceData_Scope3_InorganicFertiliser[AusLCI Emissions intensity])</f>
        <v>0.96799999999999997</v>
      </c>
      <c r="I325" s="50">
        <f>G325*H325</f>
        <v>0</v>
      </c>
      <c r="J325" s="69"/>
      <c r="K325" s="164">
        <f>IFERROR(IF(J325, G325*J325, G325*H325),0)</f>
        <v>0</v>
      </c>
      <c r="L325" s="86"/>
      <c r="M325" s="48"/>
      <c r="N325" s="86"/>
    </row>
    <row r="326" spans="4:32" x14ac:dyDescent="0.25">
      <c r="D326" s="50" t="str">
        <f>'Constants - Fertiliser'!$D$22</f>
        <v>Urea</v>
      </c>
      <c r="E326" s="50" t="str">
        <f>'Constants - Fertiliser'!$V$21</f>
        <v>Canada</v>
      </c>
      <c r="F326" s="50"/>
      <c r="G326" s="50" cm="1">
        <f t="array" ref="G326">Fertiliser_InputFunctions.Fertiliser_TotalChemicalCompoundtAppliedBySourceAllIngredients(D326,E326,Table_Input_InorganicFertiliser_Custom[Total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9000</v>
      </c>
      <c r="H326" s="50" cm="1">
        <f t="array" ref="H326">Common_InputFunctions.Utility_LookupValueInTableTwoColumns(D326,E326,Table_SourceData_Scope3_InorganicFertiliser[Chemical compound],Table_SourceData_Scope3_InorganicFertiliser[Urea source],Table_SourceData_Scope3_InorganicFertiliser[AusLCI Emissions intensity])</f>
        <v>0.82299999999999995</v>
      </c>
      <c r="I326" s="50">
        <f>G326*H326</f>
        <v>7407</v>
      </c>
      <c r="J326" s="69"/>
      <c r="K326" s="164">
        <f>IFERROR(IF(J326, G326*J326, G326*H326),0)</f>
        <v>7407</v>
      </c>
      <c r="L326" s="86"/>
      <c r="M326" s="48"/>
      <c r="N326" s="86"/>
    </row>
    <row r="327" spans="4:32" x14ac:dyDescent="0.25">
      <c r="D327" s="50" t="str">
        <f>'Constants - Fertiliser'!$D$22</f>
        <v>Urea</v>
      </c>
      <c r="E327" s="50" t="str">
        <f>'Constants - Fertiliser'!$V$22</f>
        <v>China</v>
      </c>
      <c r="F327" s="50"/>
      <c r="G327" s="50" cm="1">
        <f t="array" ref="G327">Fertiliser_InputFunctions.Fertiliser_TotalChemicalCompoundtAppliedBySourceAllIngredients(D327,E327,Table_Input_InorganicFertiliser_Custom[Total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27" s="50" cm="1">
        <f t="array" ref="H327">Common_InputFunctions.Utility_LookupValueInTableTwoColumns(D327,E327,Table_SourceData_Scope3_InorganicFertiliser[Chemical compound],Table_SourceData_Scope3_InorganicFertiliser[Urea source],Table_SourceData_Scope3_InorganicFertiliser[AusLCI Emissions intensity])</f>
        <v>2.09</v>
      </c>
      <c r="I327" s="50">
        <f>G327*H327</f>
        <v>0</v>
      </c>
      <c r="J327" s="69"/>
      <c r="K327" s="164">
        <f>IFERROR(IF(J327, G327*J327, G327*H327),0)</f>
        <v>0</v>
      </c>
      <c r="L327" s="86"/>
      <c r="M327" s="48"/>
      <c r="N327" s="179"/>
    </row>
    <row r="328" spans="4:32" x14ac:dyDescent="0.25">
      <c r="D328" s="50" t="str">
        <f>'Constants - Fertiliser'!$D$22</f>
        <v>Urea</v>
      </c>
      <c r="E328" s="50" t="str">
        <f>'Constants - Fertiliser'!$V$23</f>
        <v>Yemen</v>
      </c>
      <c r="F328" s="50"/>
      <c r="G328" s="50" cm="1">
        <f t="array" ref="G328">Fertiliser_InputFunctions.Fertiliser_TotalChemicalCompoundtAppliedBySourceAllIngredients(D328,E328,Table_Input_InorganicFertiliser_Custom[Total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28" s="50" cm="1">
        <f t="array" ref="H328">Common_InputFunctions.Utility_LookupValueInTableTwoColumns(D328,E328,Table_SourceData_Scope3_InorganicFertiliser[Chemical compound],Table_SourceData_Scope3_InorganicFertiliser[Urea source],Table_SourceData_Scope3_InorganicFertiliser[AusLCI Emissions intensity])</f>
        <v>0.96299999999999997</v>
      </c>
      <c r="I328" s="50">
        <f>G328*H328</f>
        <v>0</v>
      </c>
      <c r="J328" s="69"/>
      <c r="K328" s="164">
        <f>IFERROR(IF(J328, G328*J328, G328*H328),0)</f>
        <v>0</v>
      </c>
      <c r="L328" s="86"/>
      <c r="M328" s="48"/>
      <c r="N328" s="86"/>
    </row>
    <row r="329" spans="4:32" x14ac:dyDescent="0.25">
      <c r="D329" s="50" t="str">
        <f>'Constants - Fertiliser'!$D$33</f>
        <v>Zinc - Generic</v>
      </c>
      <c r="E329" s="50"/>
      <c r="F329" s="50"/>
      <c r="G329" s="50" cm="1">
        <f t="array" ref="G329">Fertiliser_InputFunctions.Fertiliser_TotalChemicalCompoundAppliedAllIngredients(D329,Table_Input_InorganicFertiliser_Custom[Total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29" s="50" cm="1">
        <f t="array" ref="H329">Common_InputFunctions.Utility_LookupValueInTableNumber(D329,Table_SourceData_Scope3_InorganicFertiliser[Chemical compound],Table_SourceData_Scope3_InorganicFertiliser[AusLCI Emissions intensity])</f>
        <v>4.82</v>
      </c>
      <c r="I329" s="50">
        <f>G329*H329</f>
        <v>0</v>
      </c>
      <c r="J329" s="69"/>
      <c r="K329" s="164">
        <f>IFERROR(IF(J329, G329*J329, G329*H329),0)</f>
        <v>0</v>
      </c>
      <c r="L329" s="86"/>
      <c r="M329" s="48"/>
      <c r="N329" s="86"/>
    </row>
    <row r="332" spans="4:32" ht="18.75" x14ac:dyDescent="0.25">
      <c r="D332" s="154" t="s">
        <v>733</v>
      </c>
    </row>
    <row r="333" spans="4:32" x14ac:dyDescent="0.25">
      <c r="D333" s="47" t="s">
        <v>441</v>
      </c>
      <c r="E333" s="47" t="s">
        <v>387</v>
      </c>
      <c r="F333" s="60" t="s">
        <v>691</v>
      </c>
      <c r="G333" s="60" t="s">
        <v>730</v>
      </c>
      <c r="H333" s="60" t="s">
        <v>729</v>
      </c>
      <c r="I333" s="47" t="s">
        <v>728</v>
      </c>
      <c r="J333" s="60" t="s">
        <v>731</v>
      </c>
      <c r="K333" s="60" t="s">
        <v>732</v>
      </c>
      <c r="L333" s="47" t="s">
        <v>706</v>
      </c>
      <c r="M333" s="47" t="s">
        <v>707</v>
      </c>
      <c r="N333" s="47" t="s">
        <v>708</v>
      </c>
      <c r="O333" s="60" t="s">
        <v>175</v>
      </c>
      <c r="P333" s="60" t="s">
        <v>176</v>
      </c>
      <c r="Q333" s="60" t="s">
        <v>177</v>
      </c>
      <c r="R333" s="60" t="s">
        <v>178</v>
      </c>
      <c r="S333" s="60" t="s">
        <v>462</v>
      </c>
      <c r="T333" s="47" t="s">
        <v>685</v>
      </c>
      <c r="U333" s="60" t="s">
        <v>179</v>
      </c>
      <c r="V333" s="60" t="s">
        <v>180</v>
      </c>
      <c r="W333" s="60" t="s">
        <v>466</v>
      </c>
      <c r="X333" s="47" t="s">
        <v>686</v>
      </c>
      <c r="Y333" s="60" t="s">
        <v>181</v>
      </c>
      <c r="Z333" s="60" t="s">
        <v>182</v>
      </c>
      <c r="AA333" s="60" t="s">
        <v>467</v>
      </c>
      <c r="AB333" s="47" t="s">
        <v>690</v>
      </c>
      <c r="AC333" s="60" t="s">
        <v>183</v>
      </c>
      <c r="AD333" s="60" t="s">
        <v>184</v>
      </c>
      <c r="AE333" s="60" t="s">
        <v>684</v>
      </c>
      <c r="AF333" s="47" t="s">
        <v>689</v>
      </c>
    </row>
    <row r="334" spans="4:32" x14ac:dyDescent="0.25">
      <c r="D334" s="50" t="str" cm="1">
        <f t="array" ref="D334:D353">IFERROR(INDEX(Table_Input_InorganicFertiliser_Custom[Custom blend name], _xlfn.SEQUENCE(20)), "")</f>
        <v>My first custom blend</v>
      </c>
      <c r="E334" s="50" cm="1">
        <f t="array" ref="E334:E353">IFERROR(INDEX(Table_Input_InorganicFertiliser_Custom[Total applied (kg)], _xlfn.SEQUENCE(20)), 0)</f>
        <v>10000</v>
      </c>
      <c r="F334" s="50">
        <f>IFERROR((R334*S334)+(V334*W334)+(Z334*AA334)+(AD334*AE334), 0)</f>
        <v>1.6099000000000001</v>
      </c>
      <c r="G334" s="164" cm="1">
        <f t="array" ref="G334">Scope3_Equations.VEERG_15_4_1_1__1_EmissionsFromPurchasedFertiliser(E334,F334)</f>
        <v>16.099000000000004</v>
      </c>
      <c r="H334" s="50" cm="1">
        <f t="array" ref="H334">Scope3_Equations.VEERG_15_4_1_1__2_EmissionsFromPurchasedFertiliserComponentsVariation(R334, $E334,S334)+
Scope3_Equations.VEERG_15_4_1_1__2_EmissionsFromPurchasedFertiliserComponentsVariation(V334, $E334,W334)+
Scope3_Equations.VEERG_15_4_1_1__2_EmissionsFromPurchasedFertiliserComponentsVariation(Z334, $E334,AA334)+
Scope3_Equations.VEERG_15_4_1_1__2_EmissionsFromPurchasedFertiliserComponentsVariation(AD334, $E334,AE334)</f>
        <v>16.099</v>
      </c>
      <c r="I334" s="69">
        <v>0.4</v>
      </c>
      <c r="J334" s="164" cm="1">
        <f t="array" ref="J334">Scope3_Equations.VEERG_15_4_1_1__1_EmissionsFromPurchasedFertiliser(E334,I334)</f>
        <v>4</v>
      </c>
      <c r="K334" s="164" cm="1">
        <f t="array" ref="K334">Scope3_Equations.VEERG_15_4_1_1__2_EmissionsFromPurchasedFertiliserComponentsVariation(R334, $E334,IF(T334,T334,S334))+
Scope3_Equations.VEERG_15_4_1_1__2_EmissionsFromPurchasedFertiliserComponentsVariation(V334, $E334,IF(X334,X334,W334))+
Scope3_Equations.VEERG_15_4_1_1__2_EmissionsFromPurchasedFertiliserComponentsVariation(Z334, $E334,IF(AB334,AB334,AA334))+
Scope3_Equations.VEERG_15_4_1_1__2_EmissionsFromPurchasedFertiliserComponentsVariation(AD334, $E334,IF(AF334,AF334,AE334))</f>
        <v>13.25</v>
      </c>
      <c r="L334" s="86"/>
      <c r="M334" s="48"/>
      <c r="N334" s="179"/>
      <c r="O334" s="50" t="str" cm="1">
        <f t="array" ref="O334:O353">IFERROR(INDEX(Table_Input_InorganicFertiliser_Custom[Urea source], _xlfn.SEQUENCE(20)), "")</f>
        <v>Canada</v>
      </c>
      <c r="P334" s="50" t="str" cm="1">
        <f t="array" ref="P334:P353">IFERROR(INDEX(Table_Input_InorganicFertiliser_Custom[Ammonia source], _xlfn.SEQUENCE(20)), "")</f>
        <v>Global</v>
      </c>
      <c r="Q334" s="50" t="str" cm="1">
        <f t="array" ref="Q334:Q353">IFERROR(INDEX(Table_Input_InorganicFertiliser_Custom[Ingredient 1 (select)], _xlfn.SEQUENCE(20)), "")</f>
        <v>Ammonia</v>
      </c>
      <c r="R334" s="50" cm="1">
        <f t="array" ref="R334:R353">IFERROR(INDEX(_xlfn.LET(_xlpm.result, Table_Input_InorganicFertiliser_Custom[Ingredient 1 percent], IF(_xlpm.result="", 0, _xlpm.result)), _xlfn.SEQUENCE(20)), 0)</f>
        <v>0.45</v>
      </c>
      <c r="S334" s="50" cm="1">
        <f t="array" ref="S334">_xlfn.LET(_xlpm.result, Common_InputFunctions.Utility_LookupValueInTableTwoColumns(Q334, _xlfn.IFS(Q334="Urea",IF($O334="", "Global", $O334), Q334="Ammonia", IF($P334="", "Global", $P334), TRUE, "Global"), Table_SourceData_Scope3_InorganicFertiliser[Chemical compound],Table_SourceData_Scope3_InorganicFertiliser[Region of origin],Table_SourceData_Scope3_InorganicFertiliser[AusLCI Emissions intensity]), IF(_xlpm.result="", 0, _xlpm.result))</f>
        <v>2.3199999999999998</v>
      </c>
      <c r="T334" s="69">
        <v>0.9</v>
      </c>
      <c r="U334" s="50" t="str" cm="1">
        <f t="array" ref="U334:U353">IFERROR(INDEX(Table_Input_InorganicFertiliser_Custom[Ingredient 2], _xlfn.SEQUENCE(20)), "")</f>
        <v>Calcium nitrate</v>
      </c>
      <c r="V334" s="50" cm="1">
        <f t="array" ref="V334:V353">IFERROR(INDEX(_xlfn.LET(_xlpm.result, Table_Input_InorganicFertiliser_Custom[Ingredient 2 percent], IF(_xlpm.result="", 0, _xlpm.result)), _xlfn.SEQUENCE(20)), 0)</f>
        <v>0.3</v>
      </c>
      <c r="W334" s="50" cm="1">
        <f t="array" ref="W334">_xlfn.LET(_xlpm.result, Common_InputFunctions.Utility_LookupValueInTableTwoColumns(U334, _xlfn.IFS(U334="Urea",IF($O334="", "Global", $O334), U334="Ammonia", IF($P334="", "Global", $P334), TRUE, "Global"), Table_SourceData_Scope3_InorganicFertiliser[Chemical compound],Table_SourceData_Scope3_InorganicFertiliser[Region of origin],Table_SourceData_Scope3_InorganicFertiliser[AusLCI Emissions intensity]), IF(_xlpm.result="", 0, _xlpm.result))</f>
        <v>0.75</v>
      </c>
      <c r="X334" s="69">
        <v>0.9</v>
      </c>
      <c r="Y334" s="50" t="str" cm="1">
        <f t="array" ref="Y334:Y353">IFERROR(INDEX(Table_Input_InorganicFertiliser_Custom[Ingredient 3], _xlfn.SEQUENCE(20)), "")</f>
        <v>Potassium - Generic</v>
      </c>
      <c r="Z334" s="50" cm="1">
        <f t="array" ref="Z334:Z353">IFERROR(INDEX(_xlfn.LET(_xlpm.result, Table_Input_InorganicFertiliser_Custom[Ingredient 3 percent], IF(_xlpm.result="", 0, _xlpm.result)), _xlfn.SEQUENCE(20)), 0)</f>
        <v>0.1</v>
      </c>
      <c r="AA334" s="50" cm="1">
        <f t="array" ref="AA334">_xlfn.LET(_xlpm.result, Common_InputFunctions.Utility_LookupValueInTableTwoColumns(Y334, _xlfn.IFS(Y334="Urea",IF($O334="", "Global", $O334), Y334="Ammonia", IF($P334="", "Global", $P334), TRUE, "Global"), Table_SourceData_Scope3_InorganicFertiliser[Chemical compound],Table_SourceData_Scope3_InorganicFertiliser[Region of origin],Table_SourceData_Scope3_InorganicFertiliser[AusLCI Emissions intensity]), IF(_xlpm.result="", 0, _xlpm.result))</f>
        <v>0.90900000000000003</v>
      </c>
      <c r="AB334" s="69">
        <v>4</v>
      </c>
      <c r="AC334" s="50" t="str" cm="1">
        <f t="array" ref="AC334:AC353">IFERROR(INDEX(Table_Input_InorganicFertiliser_Custom[Ingredient 4], _xlfn.SEQUENCE(20)), "")</f>
        <v>Sulfur - Generic</v>
      </c>
      <c r="AD334" s="50" cm="1">
        <f t="array" ref="AD334:AD353">IFERROR(INDEX(_xlfn.LET(_xlpm.result, Table_Input_InorganicFertiliser_Custom[Ingredient 4 percent], IF(_xlpm.result="", 0, _xlpm.result)), _xlfn.SEQUENCE(20)), 0)</f>
        <v>0.1</v>
      </c>
      <c r="AE334" s="50" cm="1">
        <f t="array" ref="AE334">_xlfn.LET(_xlpm.result, Common_InputFunctions.Utility_LookupValueInTableTwoColumns(AC334, _xlfn.IFS(AC334="Urea",IF($O334="", "Global", $O334), AC334="Ammonia", IF($P334="", "Global", $P334), TRUE, "Global"), Table_SourceData_Scope3_InorganicFertiliser[Chemical compound],Table_SourceData_Scope3_InorganicFertiliser[Region of origin],Table_SourceData_Scope3_InorganicFertiliser[AusLCI Emissions intensity]), IF(_xlpm.result="", 0, _xlpm.result))</f>
        <v>2.5</v>
      </c>
      <c r="AF334" s="69">
        <v>0</v>
      </c>
    </row>
    <row r="335" spans="4:32" x14ac:dyDescent="0.25">
      <c r="D335" s="50">
        <v>0</v>
      </c>
      <c r="E335" s="50">
        <v>10000</v>
      </c>
      <c r="F335" s="50">
        <f t="shared" ref="F335:F353" si="0">IFERROR((R335*S335)+(V335*W335)+(Z335*AA335)+(AD335*AE335), 0)</f>
        <v>0.9527000000000001</v>
      </c>
      <c r="G335" s="164" cm="1">
        <f t="array" ref="G335">Scope3_Equations.VEERG_15_4_1_1__1_EmissionsFromPurchasedFertiliser(E335,F335)</f>
        <v>9.5270000000000028</v>
      </c>
      <c r="H335" s="50" cm="1">
        <f t="array" ref="H335">Scope3_Equations.VEERG_15_4_1_1__2_EmissionsFromPurchasedFertiliserComponentsVariation(R335, $E335,S335)+
Scope3_Equations.VEERG_15_4_1_1__2_EmissionsFromPurchasedFertiliserComponentsVariation(V335, $E335,W335)+
Scope3_Equations.VEERG_15_4_1_1__2_EmissionsFromPurchasedFertiliserComponentsVariation(Z335, $E335,AA335)+
Scope3_Equations.VEERG_15_4_1_1__2_EmissionsFromPurchasedFertiliserComponentsVariation(AD335, $E335,AE335)</f>
        <v>9.527000000000001</v>
      </c>
      <c r="I335" s="69">
        <v>0.9</v>
      </c>
      <c r="J335" s="164" cm="1">
        <f t="array" ref="J335">Scope3_Equations.VEERG_15_4_1_1__1_EmissionsFromPurchasedFertiliser(E335,I335)</f>
        <v>9</v>
      </c>
      <c r="K335" s="164" cm="1">
        <f t="array" ref="K335">Scope3_Equations.VEERG_15_4_1_1__2_EmissionsFromPurchasedFertiliserComponentsVariation(R335, $E335,IF(T335,T335,S335))+
Scope3_Equations.VEERG_15_4_1_1__2_EmissionsFromPurchasedFertiliserComponentsVariation(V335, $E335,IF(X335,X335,W335))+
Scope3_Equations.VEERG_15_4_1_1__2_EmissionsFromPurchasedFertiliserComponentsVariation(Z335, $E335,IF(AB335,AB335,AA335))+
Scope3_Equations.VEERG_15_4_1_1__2_EmissionsFromPurchasedFertiliserComponentsVariation(AD335, $E335,IF(AF335,AF335,AE335))</f>
        <v>9.527000000000001</v>
      </c>
      <c r="L335" s="86"/>
      <c r="M335" s="48"/>
      <c r="N335" s="86"/>
      <c r="O335" s="50" t="str">
        <v>Canada</v>
      </c>
      <c r="P335" s="50" t="str">
        <v>Canada</v>
      </c>
      <c r="Q335" s="50" t="str">
        <v>Urea</v>
      </c>
      <c r="R335" s="50">
        <v>0.9</v>
      </c>
      <c r="S335" s="50" cm="1">
        <f t="array" ref="S335">_xlfn.LET(_xlpm.result, Common_InputFunctions.Utility_LookupValueInTableTwoColumns(Q335, _xlfn.IFS(Q335="Urea",IF($O335="", "Global", $O335), Q335="Ammonia", IF($P335="", "Global", $P335), TRUE, "Global"), Table_SourceData_Scope3_InorganicFertiliser[Chemical compound],Table_SourceData_Scope3_InorganicFertiliser[Region of origin],Table_SourceData_Scope3_InorganicFertiliser[AusLCI Emissions intensity]), IF(_xlpm.result="", 0, _xlpm.result))</f>
        <v>0.82299999999999995</v>
      </c>
      <c r="T335" s="69"/>
      <c r="U335" s="50" t="str">
        <v>Ammonia</v>
      </c>
      <c r="V335" s="50">
        <v>0.1</v>
      </c>
      <c r="W335" s="50" cm="1">
        <f t="array" ref="W335">_xlfn.LET(_xlpm.result, Common_InputFunctions.Utility_LookupValueInTableTwoColumns(U335, _xlfn.IFS(U335="Urea",IF($O335="", "Global", $O335), U335="Ammonia", IF($P335="", "Global", $P335), TRUE, "Global"), Table_SourceData_Scope3_InorganicFertiliser[Chemical compound],Table_SourceData_Scope3_InorganicFertiliser[Region of origin],Table_SourceData_Scope3_InorganicFertiliser[AusLCI Emissions intensity]), IF(_xlpm.result="", 0, _xlpm.result))</f>
        <v>2.12</v>
      </c>
      <c r="X335" s="69"/>
      <c r="Y335" s="50">
        <v>0</v>
      </c>
      <c r="Z335" s="50">
        <v>0</v>
      </c>
      <c r="AA335" s="50" cm="1">
        <f t="array" ref="AA335">_xlfn.LET(_xlpm.result, Common_InputFunctions.Utility_LookupValueInTableTwoColumns(Y335, _xlfn.IFS(Y335="Urea",IF($O335="", "Global", $O335), Y335="Ammonia", IF($P335="", "Global", $P335), TRUE, "Global"), Table_SourceData_Scope3_InorganicFertiliser[Chemical compound],Table_SourceData_Scope3_InorganicFertiliser[Region of origin],Table_SourceData_Scope3_InorganicFertiliser[AusLCI Emissions intensity]), IF(_xlpm.result="", 0, _xlpm.result))</f>
        <v>0</v>
      </c>
      <c r="AB335" s="69"/>
      <c r="AC335" s="50">
        <v>0</v>
      </c>
      <c r="AD335" s="50">
        <v>0</v>
      </c>
      <c r="AE335" s="50" cm="1">
        <f t="array" ref="AE335">_xlfn.LET(_xlpm.result, Common_InputFunctions.Utility_LookupValueInTableTwoColumns(AC335, _xlfn.IFS(AC335="Urea",IF($O335="", "Global", $O335), AC335="Ammonia", IF($P335="", "Global", $P335), TRUE, "Global"), Table_SourceData_Scope3_InorganicFertiliser[Chemical compound],Table_SourceData_Scope3_InorganicFertiliser[Region of origin],Table_SourceData_Scope3_InorganicFertiliser[AusLCI Emissions intensity]), IF(_xlpm.result="", 0, _xlpm.result))</f>
        <v>0</v>
      </c>
      <c r="AF335" s="69"/>
    </row>
    <row r="336" spans="4:32" x14ac:dyDescent="0.25">
      <c r="D336" s="50" t="str">
        <v/>
      </c>
      <c r="E336" s="50">
        <v>0</v>
      </c>
      <c r="F336" s="50">
        <f t="shared" si="0"/>
        <v>0</v>
      </c>
      <c r="G336" s="164" cm="1">
        <f t="array" ref="G336">Scope3_Equations.VEERG_15_4_1_1__1_EmissionsFromPurchasedFertiliser(E336,F336)</f>
        <v>0</v>
      </c>
      <c r="H336" s="50" cm="1">
        <f t="array" ref="H336">Scope3_Equations.VEERG_15_4_1_1__2_EmissionsFromPurchasedFertiliserComponentsVariation(R336, $E336,S336)+
Scope3_Equations.VEERG_15_4_1_1__2_EmissionsFromPurchasedFertiliserComponentsVariation(V336, $E336,W336)+
Scope3_Equations.VEERG_15_4_1_1__2_EmissionsFromPurchasedFertiliserComponentsVariation(Z336, $E336,AA336)+
Scope3_Equations.VEERG_15_4_1_1__2_EmissionsFromPurchasedFertiliserComponentsVariation(AD336, $E336,AE336)</f>
        <v>0</v>
      </c>
      <c r="I336" s="69">
        <v>0.4</v>
      </c>
      <c r="J336" s="164" cm="1">
        <f t="array" ref="J336">Scope3_Equations.VEERG_15_4_1_1__1_EmissionsFromPurchasedFertiliser(E336,I336)</f>
        <v>0</v>
      </c>
      <c r="K336" s="164" cm="1">
        <f t="array" ref="K336">Scope3_Equations.VEERG_15_4_1_1__2_EmissionsFromPurchasedFertiliserComponentsVariation(R336, $E336,IF(T336,T336,S336))+
Scope3_Equations.VEERG_15_4_1_1__2_EmissionsFromPurchasedFertiliserComponentsVariation(V336, $E336,IF(X336,X336,W336))+
Scope3_Equations.VEERG_15_4_1_1__2_EmissionsFromPurchasedFertiliserComponentsVariation(Z336, $E336,IF(AB336,AB336,AA336))+
Scope3_Equations.VEERG_15_4_1_1__2_EmissionsFromPurchasedFertiliserComponentsVariation(AD336, $E336,IF(AF336,AF336,AE336))</f>
        <v>0</v>
      </c>
      <c r="L336" s="86"/>
      <c r="M336" s="48"/>
      <c r="N336" s="86"/>
      <c r="O336" s="50" t="str">
        <v/>
      </c>
      <c r="P336" s="50" t="str">
        <v/>
      </c>
      <c r="Q336" s="50" t="str">
        <v/>
      </c>
      <c r="R336" s="50">
        <v>0</v>
      </c>
      <c r="S336" s="50" cm="1">
        <f t="array" ref="S336">_xlfn.LET(_xlpm.result, Common_InputFunctions.Utility_LookupValueInTableTwoColumns(Q336, _xlfn.IFS(Q336="Urea",IF($O336="", "Global", $O336), Q336="Ammonia", IF($P336="", "Global", $P336), TRUE, "Global"), Table_SourceData_Scope3_InorganicFertiliser[Chemical compound],Table_SourceData_Scope3_InorganicFertiliser[Region of origin],Table_SourceData_Scope3_InorganicFertiliser[AusLCI Emissions intensity]), IF(_xlpm.result="", 0, _xlpm.result))</f>
        <v>0</v>
      </c>
      <c r="T336" s="69"/>
      <c r="U336" s="50" t="str">
        <v/>
      </c>
      <c r="V336" s="50">
        <v>0</v>
      </c>
      <c r="W336" s="50" cm="1">
        <f t="array" ref="W336">_xlfn.LET(_xlpm.result, Common_InputFunctions.Utility_LookupValueInTableTwoColumns(U336, _xlfn.IFS(U336="Urea",IF($O336="", "Global", $O336), U336="Ammonia", IF($P336="", "Global", $P336), TRUE, "Global"), Table_SourceData_Scope3_InorganicFertiliser[Chemical compound],Table_SourceData_Scope3_InorganicFertiliser[Region of origin],Table_SourceData_Scope3_InorganicFertiliser[AusLCI Emissions intensity]), IF(_xlpm.result="", 0, _xlpm.result))</f>
        <v>0</v>
      </c>
      <c r="X336" s="69"/>
      <c r="Y336" s="50" t="str">
        <v/>
      </c>
      <c r="Z336" s="50">
        <v>0</v>
      </c>
      <c r="AA336" s="50" cm="1">
        <f t="array" ref="AA336">_xlfn.LET(_xlpm.result, Common_InputFunctions.Utility_LookupValueInTableTwoColumns(Y336, _xlfn.IFS(Y336="Urea",IF($O336="", "Global", $O336), Y336="Ammonia", IF($P336="", "Global", $P336), TRUE, "Global"), Table_SourceData_Scope3_InorganicFertiliser[Chemical compound],Table_SourceData_Scope3_InorganicFertiliser[Region of origin],Table_SourceData_Scope3_InorganicFertiliser[AusLCI Emissions intensity]), IF(_xlpm.result="", 0, _xlpm.result))</f>
        <v>0</v>
      </c>
      <c r="AB336" s="69"/>
      <c r="AC336" s="50" t="str">
        <v/>
      </c>
      <c r="AD336" s="50">
        <v>0</v>
      </c>
      <c r="AE336" s="50" cm="1">
        <f t="array" ref="AE336">_xlfn.LET(_xlpm.result, Common_InputFunctions.Utility_LookupValueInTableTwoColumns(AC336, _xlfn.IFS(AC336="Urea",IF($O336="", "Global", $O336), AC336="Ammonia", IF($P336="", "Global", $P336), TRUE, "Global"), Table_SourceData_Scope3_InorganicFertiliser[Chemical compound],Table_SourceData_Scope3_InorganicFertiliser[Region of origin],Table_SourceData_Scope3_InorganicFertiliser[AusLCI Emissions intensity]), IF(_xlpm.result="", 0, _xlpm.result))</f>
        <v>0</v>
      </c>
      <c r="AF336" s="69"/>
    </row>
    <row r="337" spans="4:32" x14ac:dyDescent="0.25">
      <c r="D337" s="50" t="str">
        <v/>
      </c>
      <c r="E337" s="50">
        <v>0</v>
      </c>
      <c r="F337" s="50">
        <f t="shared" si="0"/>
        <v>0</v>
      </c>
      <c r="G337" s="164" cm="1">
        <f t="array" ref="G337">Scope3_Equations.VEERG_15_4_1_1__1_EmissionsFromPurchasedFertiliser(E337,F337)</f>
        <v>0</v>
      </c>
      <c r="H337" s="50" cm="1">
        <f t="array" ref="H337">Scope3_Equations.VEERG_15_4_1_1__2_EmissionsFromPurchasedFertiliserComponentsVariation(R337, $E337,S337)+
Scope3_Equations.VEERG_15_4_1_1__2_EmissionsFromPurchasedFertiliserComponentsVariation(V337, $E337,W337)+
Scope3_Equations.VEERG_15_4_1_1__2_EmissionsFromPurchasedFertiliserComponentsVariation(Z337, $E337,AA337)+
Scope3_Equations.VEERG_15_4_1_1__2_EmissionsFromPurchasedFertiliserComponentsVariation(AD337, $E337,AE337)</f>
        <v>0</v>
      </c>
      <c r="I337" s="69"/>
      <c r="J337" s="164" cm="1">
        <f t="array" ref="J337">Scope3_Equations.VEERG_15_4_1_1__1_EmissionsFromPurchasedFertiliser(E337,I337)</f>
        <v>0</v>
      </c>
      <c r="K337" s="164" cm="1">
        <f t="array" ref="K337">Scope3_Equations.VEERG_15_4_1_1__2_EmissionsFromPurchasedFertiliserComponentsVariation(R337, $E337,IF(T337,T337,S337))+
Scope3_Equations.VEERG_15_4_1_1__2_EmissionsFromPurchasedFertiliserComponentsVariation(V337, $E337,IF(X337,X337,W337))+
Scope3_Equations.VEERG_15_4_1_1__2_EmissionsFromPurchasedFertiliserComponentsVariation(Z337, $E337,IF(AB337,AB337,AA337))+
Scope3_Equations.VEERG_15_4_1_1__2_EmissionsFromPurchasedFertiliserComponentsVariation(AD337, $E337,IF(AF337,AF337,AE337))</f>
        <v>0</v>
      </c>
      <c r="L337" s="86"/>
      <c r="M337" s="48"/>
      <c r="N337" s="86"/>
      <c r="O337" s="50" t="str">
        <v/>
      </c>
      <c r="P337" s="50" t="str">
        <v/>
      </c>
      <c r="Q337" s="50" t="str">
        <v/>
      </c>
      <c r="R337" s="50">
        <v>0</v>
      </c>
      <c r="S337" s="50" cm="1">
        <f t="array" ref="S337">_xlfn.LET(_xlpm.result, Common_InputFunctions.Utility_LookupValueInTableTwoColumns(Q337, _xlfn.IFS(Q337="Urea",IF($O337="", "Global", $O337), Q337="Ammonia", IF($P337="", "Global", $P337), TRUE, "Global"), Table_SourceData_Scope3_InorganicFertiliser[Chemical compound],Table_SourceData_Scope3_InorganicFertiliser[Region of origin],Table_SourceData_Scope3_InorganicFertiliser[AusLCI Emissions intensity]), IF(_xlpm.result="", 0, _xlpm.result))</f>
        <v>0</v>
      </c>
      <c r="T337" s="69"/>
      <c r="U337" s="50" t="str">
        <v/>
      </c>
      <c r="V337" s="50">
        <v>0</v>
      </c>
      <c r="W337" s="50" cm="1">
        <f t="array" ref="W337">_xlfn.LET(_xlpm.result, Common_InputFunctions.Utility_LookupValueInTableTwoColumns(U337, _xlfn.IFS(U337="Urea",IF($O337="", "Global", $O337), U337="Ammonia", IF($P337="", "Global", $P337), TRUE, "Global"), Table_SourceData_Scope3_InorganicFertiliser[Chemical compound],Table_SourceData_Scope3_InorganicFertiliser[Region of origin],Table_SourceData_Scope3_InorganicFertiliser[AusLCI Emissions intensity]), IF(_xlpm.result="", 0, _xlpm.result))</f>
        <v>0</v>
      </c>
      <c r="X337" s="69"/>
      <c r="Y337" s="50" t="str">
        <v/>
      </c>
      <c r="Z337" s="50">
        <v>0</v>
      </c>
      <c r="AA337" s="50" cm="1">
        <f t="array" ref="AA337">_xlfn.LET(_xlpm.result, Common_InputFunctions.Utility_LookupValueInTableTwoColumns(Y337, _xlfn.IFS(Y337="Urea",IF($O337="", "Global", $O337), Y337="Ammonia", IF($P337="", "Global", $P337), TRUE, "Global"), Table_SourceData_Scope3_InorganicFertiliser[Chemical compound],Table_SourceData_Scope3_InorganicFertiliser[Region of origin],Table_SourceData_Scope3_InorganicFertiliser[AusLCI Emissions intensity]), IF(_xlpm.result="", 0, _xlpm.result))</f>
        <v>0</v>
      </c>
      <c r="AB337" s="69"/>
      <c r="AC337" s="50" t="str">
        <v/>
      </c>
      <c r="AD337" s="50">
        <v>0</v>
      </c>
      <c r="AE337" s="50" cm="1">
        <f t="array" ref="AE337">_xlfn.LET(_xlpm.result, Common_InputFunctions.Utility_LookupValueInTableTwoColumns(AC337, _xlfn.IFS(AC337="Urea",IF($O337="", "Global", $O337), AC337="Ammonia", IF($P337="", "Global", $P337), TRUE, "Global"), Table_SourceData_Scope3_InorganicFertiliser[Chemical compound],Table_SourceData_Scope3_InorganicFertiliser[Region of origin],Table_SourceData_Scope3_InorganicFertiliser[AusLCI Emissions intensity]), IF(_xlpm.result="", 0, _xlpm.result))</f>
        <v>0</v>
      </c>
      <c r="AF337" s="69"/>
    </row>
    <row r="338" spans="4:32" x14ac:dyDescent="0.25">
      <c r="D338" s="50" t="str">
        <v/>
      </c>
      <c r="E338" s="50">
        <v>0</v>
      </c>
      <c r="F338" s="50">
        <f t="shared" si="0"/>
        <v>0</v>
      </c>
      <c r="G338" s="164" cm="1">
        <f t="array" ref="G338">Scope3_Equations.VEERG_15_4_1_1__1_EmissionsFromPurchasedFertiliser(E338,F338)</f>
        <v>0</v>
      </c>
      <c r="H338" s="50" cm="1">
        <f t="array" ref="H338">Scope3_Equations.VEERG_15_4_1_1__2_EmissionsFromPurchasedFertiliserComponentsVariation(R338, $E338,S338)+
Scope3_Equations.VEERG_15_4_1_1__2_EmissionsFromPurchasedFertiliserComponentsVariation(V338, $E338,W338)+
Scope3_Equations.VEERG_15_4_1_1__2_EmissionsFromPurchasedFertiliserComponentsVariation(Z338, $E338,AA338)+
Scope3_Equations.VEERG_15_4_1_1__2_EmissionsFromPurchasedFertiliserComponentsVariation(AD338, $E338,AE338)</f>
        <v>0</v>
      </c>
      <c r="I338" s="69"/>
      <c r="J338" s="164" cm="1">
        <f t="array" ref="J338">Scope3_Equations.VEERG_15_4_1_1__1_EmissionsFromPurchasedFertiliser(E338,I338)</f>
        <v>0</v>
      </c>
      <c r="K338" s="164" cm="1">
        <f t="array" ref="K338">Scope3_Equations.VEERG_15_4_1_1__2_EmissionsFromPurchasedFertiliserComponentsVariation(R338, $E338,IF(T338,T338,S338))+
Scope3_Equations.VEERG_15_4_1_1__2_EmissionsFromPurchasedFertiliserComponentsVariation(V338, $E338,IF(X338,X338,W338))+
Scope3_Equations.VEERG_15_4_1_1__2_EmissionsFromPurchasedFertiliserComponentsVariation(Z338, $E338,IF(AB338,AB338,AA338))+
Scope3_Equations.VEERG_15_4_1_1__2_EmissionsFromPurchasedFertiliserComponentsVariation(AD338, $E338,IF(AF338,AF338,AE338))</f>
        <v>0</v>
      </c>
      <c r="L338" s="86"/>
      <c r="M338" s="48"/>
      <c r="N338" s="86"/>
      <c r="O338" s="50" t="str">
        <v/>
      </c>
      <c r="P338" s="50" t="str">
        <v/>
      </c>
      <c r="Q338" s="50" t="str">
        <v/>
      </c>
      <c r="R338" s="50">
        <v>0</v>
      </c>
      <c r="S338" s="50" cm="1">
        <f t="array" ref="S338">_xlfn.LET(_xlpm.result, Common_InputFunctions.Utility_LookupValueInTableTwoColumns(Q338, _xlfn.IFS(Q338="Urea",IF($O338="", "Global", $O338), Q338="Ammonia", IF($P338="", "Global", $P338), TRUE, "Global"), Table_SourceData_Scope3_InorganicFertiliser[Chemical compound],Table_SourceData_Scope3_InorganicFertiliser[Region of origin],Table_SourceData_Scope3_InorganicFertiliser[AusLCI Emissions intensity]), IF(_xlpm.result="", 0, _xlpm.result))</f>
        <v>0</v>
      </c>
      <c r="T338" s="69"/>
      <c r="U338" s="50" t="str">
        <v/>
      </c>
      <c r="V338" s="50">
        <v>0</v>
      </c>
      <c r="W338" s="50" cm="1">
        <f t="array" ref="W338">_xlfn.LET(_xlpm.result, Common_InputFunctions.Utility_LookupValueInTableTwoColumns(U338, _xlfn.IFS(U338="Urea",IF($O338="", "Global", $O338), U338="Ammonia", IF($P338="", "Global", $P338), TRUE, "Global"), Table_SourceData_Scope3_InorganicFertiliser[Chemical compound],Table_SourceData_Scope3_InorganicFertiliser[Region of origin],Table_SourceData_Scope3_InorganicFertiliser[AusLCI Emissions intensity]), IF(_xlpm.result="", 0, _xlpm.result))</f>
        <v>0</v>
      </c>
      <c r="X338" s="69"/>
      <c r="Y338" s="50" t="str">
        <v/>
      </c>
      <c r="Z338" s="50">
        <v>0</v>
      </c>
      <c r="AA338" s="50" cm="1">
        <f t="array" ref="AA338">_xlfn.LET(_xlpm.result, Common_InputFunctions.Utility_LookupValueInTableTwoColumns(Y338, _xlfn.IFS(Y338="Urea",IF($O338="", "Global", $O338), Y338="Ammonia", IF($P338="", "Global", $P338), TRUE, "Global"), Table_SourceData_Scope3_InorganicFertiliser[Chemical compound],Table_SourceData_Scope3_InorganicFertiliser[Region of origin],Table_SourceData_Scope3_InorganicFertiliser[AusLCI Emissions intensity]), IF(_xlpm.result="", 0, _xlpm.result))</f>
        <v>0</v>
      </c>
      <c r="AB338" s="69"/>
      <c r="AC338" s="50" t="str">
        <v/>
      </c>
      <c r="AD338" s="50">
        <v>0</v>
      </c>
      <c r="AE338" s="50" cm="1">
        <f t="array" ref="AE338">_xlfn.LET(_xlpm.result, Common_InputFunctions.Utility_LookupValueInTableTwoColumns(AC338, _xlfn.IFS(AC338="Urea",IF($O338="", "Global", $O338), AC338="Ammonia", IF($P338="", "Global", $P338), TRUE, "Global"), Table_SourceData_Scope3_InorganicFertiliser[Chemical compound],Table_SourceData_Scope3_InorganicFertiliser[Region of origin],Table_SourceData_Scope3_InorganicFertiliser[AusLCI Emissions intensity]), IF(_xlpm.result="", 0, _xlpm.result))</f>
        <v>0</v>
      </c>
      <c r="AF338" s="69"/>
    </row>
    <row r="339" spans="4:32" x14ac:dyDescent="0.25">
      <c r="D339" s="50" t="str">
        <v/>
      </c>
      <c r="E339" s="50">
        <v>0</v>
      </c>
      <c r="F339" s="50">
        <f t="shared" si="0"/>
        <v>0</v>
      </c>
      <c r="G339" s="164" cm="1">
        <f t="array" ref="G339">Scope3_Equations.VEERG_15_4_1_1__1_EmissionsFromPurchasedFertiliser(E339,F339)</f>
        <v>0</v>
      </c>
      <c r="H339" s="50" cm="1">
        <f t="array" ref="H339">Scope3_Equations.VEERG_15_4_1_1__2_EmissionsFromPurchasedFertiliserComponentsVariation(R339, $E339,S339)+
Scope3_Equations.VEERG_15_4_1_1__2_EmissionsFromPurchasedFertiliserComponentsVariation(V339, $E339,W339)+
Scope3_Equations.VEERG_15_4_1_1__2_EmissionsFromPurchasedFertiliserComponentsVariation(Z339, $E339,AA339)+
Scope3_Equations.VEERG_15_4_1_1__2_EmissionsFromPurchasedFertiliserComponentsVariation(AD339, $E339,AE339)</f>
        <v>0</v>
      </c>
      <c r="I339" s="69"/>
      <c r="J339" s="164" cm="1">
        <f t="array" ref="J339">Scope3_Equations.VEERG_15_4_1_1__1_EmissionsFromPurchasedFertiliser(E339,I339)</f>
        <v>0</v>
      </c>
      <c r="K339" s="164" cm="1">
        <f t="array" ref="K339">Scope3_Equations.VEERG_15_4_1_1__2_EmissionsFromPurchasedFertiliserComponentsVariation(R339, $E339,IF(T339,T339,S339))+
Scope3_Equations.VEERG_15_4_1_1__2_EmissionsFromPurchasedFertiliserComponentsVariation(V339, $E339,IF(X339,X339,W339))+
Scope3_Equations.VEERG_15_4_1_1__2_EmissionsFromPurchasedFertiliserComponentsVariation(Z339, $E339,IF(AB339,AB339,AA339))+
Scope3_Equations.VEERG_15_4_1_1__2_EmissionsFromPurchasedFertiliserComponentsVariation(AD339, $E339,IF(AF339,AF339,AE339))</f>
        <v>0</v>
      </c>
      <c r="L339" s="86"/>
      <c r="M339" s="48"/>
      <c r="N339" s="86"/>
      <c r="O339" s="50" t="str">
        <v/>
      </c>
      <c r="P339" s="50" t="str">
        <v/>
      </c>
      <c r="Q339" s="50" t="str">
        <v/>
      </c>
      <c r="R339" s="50">
        <v>0</v>
      </c>
      <c r="S339" s="50" cm="1">
        <f t="array" ref="S339">_xlfn.LET(_xlpm.result, Common_InputFunctions.Utility_LookupValueInTableTwoColumns(Q339, _xlfn.IFS(Q339="Urea",IF($O339="", "Global", $O339), Q339="Ammonia", IF($P339="", "Global", $P339), TRUE, "Global"), Table_SourceData_Scope3_InorganicFertiliser[Chemical compound],Table_SourceData_Scope3_InorganicFertiliser[Region of origin],Table_SourceData_Scope3_InorganicFertiliser[AusLCI Emissions intensity]), IF(_xlpm.result="", 0, _xlpm.result))</f>
        <v>0</v>
      </c>
      <c r="T339" s="69"/>
      <c r="U339" s="50" t="str">
        <v/>
      </c>
      <c r="V339" s="50">
        <v>0</v>
      </c>
      <c r="W339" s="50" cm="1">
        <f t="array" ref="W339">_xlfn.LET(_xlpm.result, Common_InputFunctions.Utility_LookupValueInTableTwoColumns(U339, _xlfn.IFS(U339="Urea",IF($O339="", "Global", $O339), U339="Ammonia", IF($P339="", "Global", $P339), TRUE, "Global"), Table_SourceData_Scope3_InorganicFertiliser[Chemical compound],Table_SourceData_Scope3_InorganicFertiliser[Region of origin],Table_SourceData_Scope3_InorganicFertiliser[AusLCI Emissions intensity]), IF(_xlpm.result="", 0, _xlpm.result))</f>
        <v>0</v>
      </c>
      <c r="X339" s="69"/>
      <c r="Y339" s="50" t="str">
        <v/>
      </c>
      <c r="Z339" s="50">
        <v>0</v>
      </c>
      <c r="AA339" s="50" cm="1">
        <f t="array" ref="AA339">_xlfn.LET(_xlpm.result, Common_InputFunctions.Utility_LookupValueInTableTwoColumns(Y339, _xlfn.IFS(Y339="Urea",IF($O339="", "Global", $O339), Y339="Ammonia", IF($P339="", "Global", $P339), TRUE, "Global"), Table_SourceData_Scope3_InorganicFertiliser[Chemical compound],Table_SourceData_Scope3_InorganicFertiliser[Region of origin],Table_SourceData_Scope3_InorganicFertiliser[AusLCI Emissions intensity]), IF(_xlpm.result="", 0, _xlpm.result))</f>
        <v>0</v>
      </c>
      <c r="AB339" s="69"/>
      <c r="AC339" s="50" t="str">
        <v/>
      </c>
      <c r="AD339" s="50">
        <v>0</v>
      </c>
      <c r="AE339" s="50" cm="1">
        <f t="array" ref="AE339">_xlfn.LET(_xlpm.result, Common_InputFunctions.Utility_LookupValueInTableTwoColumns(AC339, _xlfn.IFS(AC339="Urea",IF($O339="", "Global", $O339), AC339="Ammonia", IF($P339="", "Global", $P339), TRUE, "Global"), Table_SourceData_Scope3_InorganicFertiliser[Chemical compound],Table_SourceData_Scope3_InorganicFertiliser[Region of origin],Table_SourceData_Scope3_InorganicFertiliser[AusLCI Emissions intensity]), IF(_xlpm.result="", 0, _xlpm.result))</f>
        <v>0</v>
      </c>
      <c r="AF339" s="69"/>
    </row>
    <row r="340" spans="4:32" x14ac:dyDescent="0.25">
      <c r="D340" s="50" t="str">
        <v/>
      </c>
      <c r="E340" s="50">
        <v>0</v>
      </c>
      <c r="F340" s="50">
        <f t="shared" si="0"/>
        <v>0</v>
      </c>
      <c r="G340" s="164" cm="1">
        <f t="array" ref="G340">Scope3_Equations.VEERG_15_4_1_1__1_EmissionsFromPurchasedFertiliser(E340,F340)</f>
        <v>0</v>
      </c>
      <c r="H340" s="50" cm="1">
        <f t="array" ref="H340">Scope3_Equations.VEERG_15_4_1_1__2_EmissionsFromPurchasedFertiliserComponentsVariation(R340, $E340,S340)+
Scope3_Equations.VEERG_15_4_1_1__2_EmissionsFromPurchasedFertiliserComponentsVariation(V340, $E340,W340)+
Scope3_Equations.VEERG_15_4_1_1__2_EmissionsFromPurchasedFertiliserComponentsVariation(Z340, $E340,AA340)+
Scope3_Equations.VEERG_15_4_1_1__2_EmissionsFromPurchasedFertiliserComponentsVariation(AD340, $E340,AE340)</f>
        <v>0</v>
      </c>
      <c r="I340" s="69"/>
      <c r="J340" s="164" cm="1">
        <f t="array" ref="J340">Scope3_Equations.VEERG_15_4_1_1__1_EmissionsFromPurchasedFertiliser(E340,I340)</f>
        <v>0</v>
      </c>
      <c r="K340" s="164" cm="1">
        <f t="array" ref="K340">Scope3_Equations.VEERG_15_4_1_1__2_EmissionsFromPurchasedFertiliserComponentsVariation(R340, $E340,IF(T340,T340,S340))+
Scope3_Equations.VEERG_15_4_1_1__2_EmissionsFromPurchasedFertiliserComponentsVariation(V340, $E340,IF(X340,X340,W340))+
Scope3_Equations.VEERG_15_4_1_1__2_EmissionsFromPurchasedFertiliserComponentsVariation(Z340, $E340,IF(AB340,AB340,AA340))+
Scope3_Equations.VEERG_15_4_1_1__2_EmissionsFromPurchasedFertiliserComponentsVariation(AD340, $E340,IF(AF340,AF340,AE340))</f>
        <v>0</v>
      </c>
      <c r="L340" s="86"/>
      <c r="M340" s="48"/>
      <c r="N340" s="86"/>
      <c r="O340" s="50" t="str">
        <v/>
      </c>
      <c r="P340" s="50" t="str">
        <v/>
      </c>
      <c r="Q340" s="50" t="str">
        <v/>
      </c>
      <c r="R340" s="50">
        <v>0</v>
      </c>
      <c r="S340" s="50" cm="1">
        <f t="array" ref="S340">_xlfn.LET(_xlpm.result, Common_InputFunctions.Utility_LookupValueInTableTwoColumns(Q340, _xlfn.IFS(Q340="Urea",IF($O340="", "Global", $O340), Q340="Ammonia", IF($P340="", "Global", $P340), TRUE, "Global"), Table_SourceData_Scope3_InorganicFertiliser[Chemical compound],Table_SourceData_Scope3_InorganicFertiliser[Region of origin],Table_SourceData_Scope3_InorganicFertiliser[AusLCI Emissions intensity]), IF(_xlpm.result="", 0, _xlpm.result))</f>
        <v>0</v>
      </c>
      <c r="T340" s="69"/>
      <c r="U340" s="50" t="str">
        <v/>
      </c>
      <c r="V340" s="50">
        <v>0</v>
      </c>
      <c r="W340" s="50" cm="1">
        <f t="array" ref="W340">_xlfn.LET(_xlpm.result, Common_InputFunctions.Utility_LookupValueInTableTwoColumns(U340, _xlfn.IFS(U340="Urea",IF($O340="", "Global", $O340), U340="Ammonia", IF($P340="", "Global", $P340), TRUE, "Global"), Table_SourceData_Scope3_InorganicFertiliser[Chemical compound],Table_SourceData_Scope3_InorganicFertiliser[Region of origin],Table_SourceData_Scope3_InorganicFertiliser[AusLCI Emissions intensity]), IF(_xlpm.result="", 0, _xlpm.result))</f>
        <v>0</v>
      </c>
      <c r="X340" s="69"/>
      <c r="Y340" s="50" t="str">
        <v/>
      </c>
      <c r="Z340" s="50">
        <v>0</v>
      </c>
      <c r="AA340" s="50" cm="1">
        <f t="array" ref="AA340">_xlfn.LET(_xlpm.result, Common_InputFunctions.Utility_LookupValueInTableTwoColumns(Y340, _xlfn.IFS(Y340="Urea",IF($O340="", "Global", $O340), Y340="Ammonia", IF($P340="", "Global", $P340), TRUE, "Global"), Table_SourceData_Scope3_InorganicFertiliser[Chemical compound],Table_SourceData_Scope3_InorganicFertiliser[Region of origin],Table_SourceData_Scope3_InorganicFertiliser[AusLCI Emissions intensity]), IF(_xlpm.result="", 0, _xlpm.result))</f>
        <v>0</v>
      </c>
      <c r="AB340" s="69"/>
      <c r="AC340" s="50" t="str">
        <v/>
      </c>
      <c r="AD340" s="50">
        <v>0</v>
      </c>
      <c r="AE340" s="50" cm="1">
        <f t="array" ref="AE340">_xlfn.LET(_xlpm.result, Common_InputFunctions.Utility_LookupValueInTableTwoColumns(AC340, _xlfn.IFS(AC340="Urea",IF($O340="", "Global", $O340), AC340="Ammonia", IF($P340="", "Global", $P340), TRUE, "Global"), Table_SourceData_Scope3_InorganicFertiliser[Chemical compound],Table_SourceData_Scope3_InorganicFertiliser[Region of origin],Table_SourceData_Scope3_InorganicFertiliser[AusLCI Emissions intensity]), IF(_xlpm.result="", 0, _xlpm.result))</f>
        <v>0</v>
      </c>
      <c r="AF340" s="69"/>
    </row>
    <row r="341" spans="4:32" x14ac:dyDescent="0.25">
      <c r="D341" s="50" t="str">
        <v/>
      </c>
      <c r="E341" s="50">
        <v>0</v>
      </c>
      <c r="F341" s="50">
        <f t="shared" si="0"/>
        <v>0</v>
      </c>
      <c r="G341" s="164" cm="1">
        <f t="array" ref="G341">Scope3_Equations.VEERG_15_4_1_1__1_EmissionsFromPurchasedFertiliser(E341,F341)</f>
        <v>0</v>
      </c>
      <c r="H341" s="50" cm="1">
        <f t="array" ref="H341">Scope3_Equations.VEERG_15_4_1_1__2_EmissionsFromPurchasedFertiliserComponentsVariation(R341, $E341,S341)+
Scope3_Equations.VEERG_15_4_1_1__2_EmissionsFromPurchasedFertiliserComponentsVariation(V341, $E341,W341)+
Scope3_Equations.VEERG_15_4_1_1__2_EmissionsFromPurchasedFertiliserComponentsVariation(Z341, $E341,AA341)+
Scope3_Equations.VEERG_15_4_1_1__2_EmissionsFromPurchasedFertiliserComponentsVariation(AD341, $E341,AE341)</f>
        <v>0</v>
      </c>
      <c r="I341" s="69"/>
      <c r="J341" s="164" cm="1">
        <f t="array" ref="J341">Scope3_Equations.VEERG_15_4_1_1__1_EmissionsFromPurchasedFertiliser(E341,I341)</f>
        <v>0</v>
      </c>
      <c r="K341" s="164" cm="1">
        <f t="array" ref="K341">Scope3_Equations.VEERG_15_4_1_1__2_EmissionsFromPurchasedFertiliserComponentsVariation(R341, $E341,IF(T341,T341,S341))+
Scope3_Equations.VEERG_15_4_1_1__2_EmissionsFromPurchasedFertiliserComponentsVariation(V341, $E341,IF(X341,X341,W341))+
Scope3_Equations.VEERG_15_4_1_1__2_EmissionsFromPurchasedFertiliserComponentsVariation(Z341, $E341,IF(AB341,AB341,AA341))+
Scope3_Equations.VEERG_15_4_1_1__2_EmissionsFromPurchasedFertiliserComponentsVariation(AD341, $E341,IF(AF341,AF341,AE341))</f>
        <v>0</v>
      </c>
      <c r="L341" s="86"/>
      <c r="M341" s="48"/>
      <c r="N341" s="86"/>
      <c r="O341" s="50" t="str">
        <v/>
      </c>
      <c r="P341" s="50" t="str">
        <v/>
      </c>
      <c r="Q341" s="50" t="str">
        <v/>
      </c>
      <c r="R341" s="50">
        <v>0</v>
      </c>
      <c r="S341" s="50" cm="1">
        <f t="array" ref="S341">_xlfn.LET(_xlpm.result, Common_InputFunctions.Utility_LookupValueInTableTwoColumns(Q341, _xlfn.IFS(Q341="Urea",IF($O341="", "Global", $O341), Q341="Ammonia", IF($P341="", "Global", $P341), TRUE, "Global"), Table_SourceData_Scope3_InorganicFertiliser[Chemical compound],Table_SourceData_Scope3_InorganicFertiliser[Region of origin],Table_SourceData_Scope3_InorganicFertiliser[AusLCI Emissions intensity]), IF(_xlpm.result="", 0, _xlpm.result))</f>
        <v>0</v>
      </c>
      <c r="T341" s="69"/>
      <c r="U341" s="50" t="str">
        <v/>
      </c>
      <c r="V341" s="50">
        <v>0</v>
      </c>
      <c r="W341" s="50" cm="1">
        <f t="array" ref="W341">_xlfn.LET(_xlpm.result, Common_InputFunctions.Utility_LookupValueInTableTwoColumns(U341, _xlfn.IFS(U341="Urea",IF($O341="", "Global", $O341), U341="Ammonia", IF($P341="", "Global", $P341), TRUE, "Global"), Table_SourceData_Scope3_InorganicFertiliser[Chemical compound],Table_SourceData_Scope3_InorganicFertiliser[Region of origin],Table_SourceData_Scope3_InorganicFertiliser[AusLCI Emissions intensity]), IF(_xlpm.result="", 0, _xlpm.result))</f>
        <v>0</v>
      </c>
      <c r="X341" s="69"/>
      <c r="Y341" s="50" t="str">
        <v/>
      </c>
      <c r="Z341" s="50">
        <v>0</v>
      </c>
      <c r="AA341" s="50" cm="1">
        <f t="array" ref="AA341">_xlfn.LET(_xlpm.result, Common_InputFunctions.Utility_LookupValueInTableTwoColumns(Y341, _xlfn.IFS(Y341="Urea",IF($O341="", "Global", $O341), Y341="Ammonia", IF($P341="", "Global", $P341), TRUE, "Global"), Table_SourceData_Scope3_InorganicFertiliser[Chemical compound],Table_SourceData_Scope3_InorganicFertiliser[Region of origin],Table_SourceData_Scope3_InorganicFertiliser[AusLCI Emissions intensity]), IF(_xlpm.result="", 0, _xlpm.result))</f>
        <v>0</v>
      </c>
      <c r="AB341" s="69"/>
      <c r="AC341" s="50" t="str">
        <v/>
      </c>
      <c r="AD341" s="50">
        <v>0</v>
      </c>
      <c r="AE341" s="50" cm="1">
        <f t="array" ref="AE341">_xlfn.LET(_xlpm.result, Common_InputFunctions.Utility_LookupValueInTableTwoColumns(AC341, _xlfn.IFS(AC341="Urea",IF($O341="", "Global", $O341), AC341="Ammonia", IF($P341="", "Global", $P341), TRUE, "Global"), Table_SourceData_Scope3_InorganicFertiliser[Chemical compound],Table_SourceData_Scope3_InorganicFertiliser[Region of origin],Table_SourceData_Scope3_InorganicFertiliser[AusLCI Emissions intensity]), IF(_xlpm.result="", 0, _xlpm.result))</f>
        <v>0</v>
      </c>
      <c r="AF341" s="69"/>
    </row>
    <row r="342" spans="4:32" x14ac:dyDescent="0.25">
      <c r="D342" s="50" t="str">
        <v/>
      </c>
      <c r="E342" s="50">
        <v>0</v>
      </c>
      <c r="F342" s="50">
        <f t="shared" si="0"/>
        <v>0</v>
      </c>
      <c r="G342" s="164" cm="1">
        <f t="array" ref="G342">Scope3_Equations.VEERG_15_4_1_1__1_EmissionsFromPurchasedFertiliser(E342,F342)</f>
        <v>0</v>
      </c>
      <c r="H342" s="50" cm="1">
        <f t="array" ref="H342">Scope3_Equations.VEERG_15_4_1_1__2_EmissionsFromPurchasedFertiliserComponentsVariation(R342, $E342,S342)+
Scope3_Equations.VEERG_15_4_1_1__2_EmissionsFromPurchasedFertiliserComponentsVariation(V342, $E342,W342)+
Scope3_Equations.VEERG_15_4_1_1__2_EmissionsFromPurchasedFertiliserComponentsVariation(Z342, $E342,AA342)+
Scope3_Equations.VEERG_15_4_1_1__2_EmissionsFromPurchasedFertiliserComponentsVariation(AD342, $E342,AE342)</f>
        <v>0</v>
      </c>
      <c r="I342" s="69"/>
      <c r="J342" s="164" cm="1">
        <f t="array" ref="J342">Scope3_Equations.VEERG_15_4_1_1__1_EmissionsFromPurchasedFertiliser(E342,I342)</f>
        <v>0</v>
      </c>
      <c r="K342" s="164" cm="1">
        <f t="array" ref="K342">Scope3_Equations.VEERG_15_4_1_1__2_EmissionsFromPurchasedFertiliserComponentsVariation(R342, $E342,IF(T342,T342,S342))+
Scope3_Equations.VEERG_15_4_1_1__2_EmissionsFromPurchasedFertiliserComponentsVariation(V342, $E342,IF(X342,X342,W342))+
Scope3_Equations.VEERG_15_4_1_1__2_EmissionsFromPurchasedFertiliserComponentsVariation(Z342, $E342,IF(AB342,AB342,AA342))+
Scope3_Equations.VEERG_15_4_1_1__2_EmissionsFromPurchasedFertiliserComponentsVariation(AD342, $E342,IF(AF342,AF342,AE342))</f>
        <v>0</v>
      </c>
      <c r="L342" s="86"/>
      <c r="M342" s="48"/>
      <c r="N342" s="86"/>
      <c r="O342" s="50" t="str">
        <v/>
      </c>
      <c r="P342" s="50" t="str">
        <v/>
      </c>
      <c r="Q342" s="50" t="str">
        <v/>
      </c>
      <c r="R342" s="50">
        <v>0</v>
      </c>
      <c r="S342" s="50" cm="1">
        <f t="array" ref="S342">_xlfn.LET(_xlpm.result, Common_InputFunctions.Utility_LookupValueInTableTwoColumns(Q342, _xlfn.IFS(Q342="Urea",IF($O342="", "Global", $O342), Q342="Ammonia", IF($P342="", "Global", $P342), TRUE, "Global"), Table_SourceData_Scope3_InorganicFertiliser[Chemical compound],Table_SourceData_Scope3_InorganicFertiliser[Region of origin],Table_SourceData_Scope3_InorganicFertiliser[AusLCI Emissions intensity]), IF(_xlpm.result="", 0, _xlpm.result))</f>
        <v>0</v>
      </c>
      <c r="T342" s="69"/>
      <c r="U342" s="50" t="str">
        <v/>
      </c>
      <c r="V342" s="50">
        <v>0</v>
      </c>
      <c r="W342" s="50" cm="1">
        <f t="array" ref="W342">_xlfn.LET(_xlpm.result, Common_InputFunctions.Utility_LookupValueInTableTwoColumns(U342, _xlfn.IFS(U342="Urea",IF($O342="", "Global", $O342), U342="Ammonia", IF($P342="", "Global", $P342), TRUE, "Global"), Table_SourceData_Scope3_InorganicFertiliser[Chemical compound],Table_SourceData_Scope3_InorganicFertiliser[Region of origin],Table_SourceData_Scope3_InorganicFertiliser[AusLCI Emissions intensity]), IF(_xlpm.result="", 0, _xlpm.result))</f>
        <v>0</v>
      </c>
      <c r="X342" s="69"/>
      <c r="Y342" s="50" t="str">
        <v/>
      </c>
      <c r="Z342" s="50">
        <v>0</v>
      </c>
      <c r="AA342" s="50" cm="1">
        <f t="array" ref="AA342">_xlfn.LET(_xlpm.result, Common_InputFunctions.Utility_LookupValueInTableTwoColumns(Y342, _xlfn.IFS(Y342="Urea",IF($O342="", "Global", $O342), Y342="Ammonia", IF($P342="", "Global", $P342), TRUE, "Global"), Table_SourceData_Scope3_InorganicFertiliser[Chemical compound],Table_SourceData_Scope3_InorganicFertiliser[Region of origin],Table_SourceData_Scope3_InorganicFertiliser[AusLCI Emissions intensity]), IF(_xlpm.result="", 0, _xlpm.result))</f>
        <v>0</v>
      </c>
      <c r="AB342" s="69"/>
      <c r="AC342" s="50" t="str">
        <v/>
      </c>
      <c r="AD342" s="50">
        <v>0</v>
      </c>
      <c r="AE342" s="50" cm="1">
        <f t="array" ref="AE342">_xlfn.LET(_xlpm.result, Common_InputFunctions.Utility_LookupValueInTableTwoColumns(AC342, _xlfn.IFS(AC342="Urea",IF($O342="", "Global", $O342), AC342="Ammonia", IF($P342="", "Global", $P342), TRUE, "Global"), Table_SourceData_Scope3_InorganicFertiliser[Chemical compound],Table_SourceData_Scope3_InorganicFertiliser[Region of origin],Table_SourceData_Scope3_InorganicFertiliser[AusLCI Emissions intensity]), IF(_xlpm.result="", 0, _xlpm.result))</f>
        <v>0</v>
      </c>
      <c r="AF342" s="69"/>
    </row>
    <row r="343" spans="4:32" x14ac:dyDescent="0.25">
      <c r="D343" s="50" t="str">
        <v/>
      </c>
      <c r="E343" s="50">
        <v>0</v>
      </c>
      <c r="F343" s="50">
        <f t="shared" si="0"/>
        <v>0</v>
      </c>
      <c r="G343" s="164" cm="1">
        <f t="array" ref="G343">Scope3_Equations.VEERG_15_4_1_1__1_EmissionsFromPurchasedFertiliser(E343,F343)</f>
        <v>0</v>
      </c>
      <c r="H343" s="50" cm="1">
        <f t="array" ref="H343">Scope3_Equations.VEERG_15_4_1_1__2_EmissionsFromPurchasedFertiliserComponentsVariation(R343, $E343,S343)+
Scope3_Equations.VEERG_15_4_1_1__2_EmissionsFromPurchasedFertiliserComponentsVariation(V343, $E343,W343)+
Scope3_Equations.VEERG_15_4_1_1__2_EmissionsFromPurchasedFertiliserComponentsVariation(Z343, $E343,AA343)+
Scope3_Equations.VEERG_15_4_1_1__2_EmissionsFromPurchasedFertiliserComponentsVariation(AD343, $E343,AE343)</f>
        <v>0</v>
      </c>
      <c r="I343" s="69"/>
      <c r="J343" s="164" cm="1">
        <f t="array" ref="J343">Scope3_Equations.VEERG_15_4_1_1__1_EmissionsFromPurchasedFertiliser(E343,I343)</f>
        <v>0</v>
      </c>
      <c r="K343" s="164" cm="1">
        <f t="array" ref="K343">Scope3_Equations.VEERG_15_4_1_1__2_EmissionsFromPurchasedFertiliserComponentsVariation(R343, $E343,IF(T343,T343,S343))+
Scope3_Equations.VEERG_15_4_1_1__2_EmissionsFromPurchasedFertiliserComponentsVariation(V343, $E343,IF(X343,X343,W343))+
Scope3_Equations.VEERG_15_4_1_1__2_EmissionsFromPurchasedFertiliserComponentsVariation(Z343, $E343,IF(AB343,AB343,AA343))+
Scope3_Equations.VEERG_15_4_1_1__2_EmissionsFromPurchasedFertiliserComponentsVariation(AD343, $E343,IF(AF343,AF343,AE343))</f>
        <v>0</v>
      </c>
      <c r="L343" s="86"/>
      <c r="M343" s="48"/>
      <c r="N343" s="86"/>
      <c r="O343" s="50" t="str">
        <v/>
      </c>
      <c r="P343" s="50" t="str">
        <v/>
      </c>
      <c r="Q343" s="50" t="str">
        <v/>
      </c>
      <c r="R343" s="50">
        <v>0</v>
      </c>
      <c r="S343" s="50" cm="1">
        <f t="array" ref="S343">_xlfn.LET(_xlpm.result, Common_InputFunctions.Utility_LookupValueInTableTwoColumns(Q343, _xlfn.IFS(Q343="Urea",IF($O343="", "Global", $O343), Q343="Ammonia", IF($P343="", "Global", $P343), TRUE, "Global"), Table_SourceData_Scope3_InorganicFertiliser[Chemical compound],Table_SourceData_Scope3_InorganicFertiliser[Region of origin],Table_SourceData_Scope3_InorganicFertiliser[AusLCI Emissions intensity]), IF(_xlpm.result="", 0, _xlpm.result))</f>
        <v>0</v>
      </c>
      <c r="T343" s="69"/>
      <c r="U343" s="50" t="str">
        <v/>
      </c>
      <c r="V343" s="50">
        <v>0</v>
      </c>
      <c r="W343" s="50" cm="1">
        <f t="array" ref="W343">_xlfn.LET(_xlpm.result, Common_InputFunctions.Utility_LookupValueInTableTwoColumns(U343, _xlfn.IFS(U343="Urea",IF($O343="", "Global", $O343), U343="Ammonia", IF($P343="", "Global", $P343), TRUE, "Global"), Table_SourceData_Scope3_InorganicFertiliser[Chemical compound],Table_SourceData_Scope3_InorganicFertiliser[Region of origin],Table_SourceData_Scope3_InorganicFertiliser[AusLCI Emissions intensity]), IF(_xlpm.result="", 0, _xlpm.result))</f>
        <v>0</v>
      </c>
      <c r="X343" s="69"/>
      <c r="Y343" s="50" t="str">
        <v/>
      </c>
      <c r="Z343" s="50">
        <v>0</v>
      </c>
      <c r="AA343" s="50" cm="1">
        <f t="array" ref="AA343">_xlfn.LET(_xlpm.result, Common_InputFunctions.Utility_LookupValueInTableTwoColumns(Y343, _xlfn.IFS(Y343="Urea",IF($O343="", "Global", $O343), Y343="Ammonia", IF($P343="", "Global", $P343), TRUE, "Global"), Table_SourceData_Scope3_InorganicFertiliser[Chemical compound],Table_SourceData_Scope3_InorganicFertiliser[Region of origin],Table_SourceData_Scope3_InorganicFertiliser[AusLCI Emissions intensity]), IF(_xlpm.result="", 0, _xlpm.result))</f>
        <v>0</v>
      </c>
      <c r="AB343" s="69"/>
      <c r="AC343" s="50" t="str">
        <v/>
      </c>
      <c r="AD343" s="50">
        <v>0</v>
      </c>
      <c r="AE343" s="50" cm="1">
        <f t="array" ref="AE343">_xlfn.LET(_xlpm.result, Common_InputFunctions.Utility_LookupValueInTableTwoColumns(AC343, _xlfn.IFS(AC343="Urea",IF($O343="", "Global", $O343), AC343="Ammonia", IF($P343="", "Global", $P343), TRUE, "Global"), Table_SourceData_Scope3_InorganicFertiliser[Chemical compound],Table_SourceData_Scope3_InorganicFertiliser[Region of origin],Table_SourceData_Scope3_InorganicFertiliser[AusLCI Emissions intensity]), IF(_xlpm.result="", 0, _xlpm.result))</f>
        <v>0</v>
      </c>
      <c r="AF343" s="69"/>
    </row>
    <row r="344" spans="4:32" x14ac:dyDescent="0.25">
      <c r="D344" s="50" t="str">
        <v/>
      </c>
      <c r="E344" s="50">
        <v>0</v>
      </c>
      <c r="F344" s="50">
        <f t="shared" si="0"/>
        <v>0</v>
      </c>
      <c r="G344" s="164" cm="1">
        <f t="array" ref="G344">Scope3_Equations.VEERG_15_4_1_1__1_EmissionsFromPurchasedFertiliser(E344,F344)</f>
        <v>0</v>
      </c>
      <c r="H344" s="50" cm="1">
        <f t="array" ref="H344">Scope3_Equations.VEERG_15_4_1_1__2_EmissionsFromPurchasedFertiliserComponentsVariation(R344, $E344,S344)+
Scope3_Equations.VEERG_15_4_1_1__2_EmissionsFromPurchasedFertiliserComponentsVariation(V344, $E344,W344)+
Scope3_Equations.VEERG_15_4_1_1__2_EmissionsFromPurchasedFertiliserComponentsVariation(Z344, $E344,AA344)+
Scope3_Equations.VEERG_15_4_1_1__2_EmissionsFromPurchasedFertiliserComponentsVariation(AD344, $E344,AE344)</f>
        <v>0</v>
      </c>
      <c r="I344" s="69"/>
      <c r="J344" s="164" cm="1">
        <f t="array" ref="J344">Scope3_Equations.VEERG_15_4_1_1__1_EmissionsFromPurchasedFertiliser(E344,I344)</f>
        <v>0</v>
      </c>
      <c r="K344" s="164" cm="1">
        <f t="array" ref="K344">Scope3_Equations.VEERG_15_4_1_1__2_EmissionsFromPurchasedFertiliserComponentsVariation(R344, $E344,IF(T344,T344,S344))+
Scope3_Equations.VEERG_15_4_1_1__2_EmissionsFromPurchasedFertiliserComponentsVariation(V344, $E344,IF(X344,X344,W344))+
Scope3_Equations.VEERG_15_4_1_1__2_EmissionsFromPurchasedFertiliserComponentsVariation(Z344, $E344,IF(AB344,AB344,AA344))+
Scope3_Equations.VEERG_15_4_1_1__2_EmissionsFromPurchasedFertiliserComponentsVariation(AD344, $E344,IF(AF344,AF344,AE344))</f>
        <v>0</v>
      </c>
      <c r="L344" s="86"/>
      <c r="M344" s="48"/>
      <c r="N344" s="179"/>
      <c r="O344" s="50" t="str">
        <v/>
      </c>
      <c r="P344" s="50" t="str">
        <v/>
      </c>
      <c r="Q344" s="50" t="str">
        <v/>
      </c>
      <c r="R344" s="50">
        <v>0</v>
      </c>
      <c r="S344" s="50" cm="1">
        <f t="array" ref="S344">_xlfn.LET(_xlpm.result, Common_InputFunctions.Utility_LookupValueInTableTwoColumns(Q344, _xlfn.IFS(Q344="Urea",IF($O344="", "Global", $O344), Q344="Ammonia", IF($P344="", "Global", $P344), TRUE, "Global"), Table_SourceData_Scope3_InorganicFertiliser[Chemical compound],Table_SourceData_Scope3_InorganicFertiliser[Region of origin],Table_SourceData_Scope3_InorganicFertiliser[AusLCI Emissions intensity]), IF(_xlpm.result="", 0, _xlpm.result))</f>
        <v>0</v>
      </c>
      <c r="T344" s="69"/>
      <c r="U344" s="50" t="str">
        <v/>
      </c>
      <c r="V344" s="50">
        <v>0</v>
      </c>
      <c r="W344" s="50" cm="1">
        <f t="array" ref="W344">_xlfn.LET(_xlpm.result, Common_InputFunctions.Utility_LookupValueInTableTwoColumns(U344, _xlfn.IFS(U344="Urea",IF($O344="", "Global", $O344), U344="Ammonia", IF($P344="", "Global", $P344), TRUE, "Global"), Table_SourceData_Scope3_InorganicFertiliser[Chemical compound],Table_SourceData_Scope3_InorganicFertiliser[Region of origin],Table_SourceData_Scope3_InorganicFertiliser[AusLCI Emissions intensity]), IF(_xlpm.result="", 0, _xlpm.result))</f>
        <v>0</v>
      </c>
      <c r="X344" s="69"/>
      <c r="Y344" s="50" t="str">
        <v/>
      </c>
      <c r="Z344" s="50">
        <v>0</v>
      </c>
      <c r="AA344" s="50" cm="1">
        <f t="array" ref="AA344">_xlfn.LET(_xlpm.result, Common_InputFunctions.Utility_LookupValueInTableTwoColumns(Y344, _xlfn.IFS(Y344="Urea",IF($O344="", "Global", $O344), Y344="Ammonia", IF($P344="", "Global", $P344), TRUE, "Global"), Table_SourceData_Scope3_InorganicFertiliser[Chemical compound],Table_SourceData_Scope3_InorganicFertiliser[Region of origin],Table_SourceData_Scope3_InorganicFertiliser[AusLCI Emissions intensity]), IF(_xlpm.result="", 0, _xlpm.result))</f>
        <v>0</v>
      </c>
      <c r="AB344" s="69"/>
      <c r="AC344" s="50" t="str">
        <v/>
      </c>
      <c r="AD344" s="50">
        <v>0</v>
      </c>
      <c r="AE344" s="50" cm="1">
        <f t="array" ref="AE344">_xlfn.LET(_xlpm.result, Common_InputFunctions.Utility_LookupValueInTableTwoColumns(AC344, _xlfn.IFS(AC344="Urea",IF($O344="", "Global", $O344), AC344="Ammonia", IF($P344="", "Global", $P344), TRUE, "Global"), Table_SourceData_Scope3_InorganicFertiliser[Chemical compound],Table_SourceData_Scope3_InorganicFertiliser[Region of origin],Table_SourceData_Scope3_InorganicFertiliser[AusLCI Emissions intensity]), IF(_xlpm.result="", 0, _xlpm.result))</f>
        <v>0</v>
      </c>
      <c r="AF344" s="69"/>
    </row>
    <row r="345" spans="4:32" x14ac:dyDescent="0.25">
      <c r="D345" s="50" t="str">
        <v/>
      </c>
      <c r="E345" s="50">
        <v>0</v>
      </c>
      <c r="F345" s="50">
        <f t="shared" si="0"/>
        <v>0</v>
      </c>
      <c r="G345" s="164" cm="1">
        <f t="array" ref="G345">Scope3_Equations.VEERG_15_4_1_1__1_EmissionsFromPurchasedFertiliser(E345,F345)</f>
        <v>0</v>
      </c>
      <c r="H345" s="50" cm="1">
        <f t="array" ref="H345">Scope3_Equations.VEERG_15_4_1_1__2_EmissionsFromPurchasedFertiliserComponentsVariation(R345, $E345,S345)+
Scope3_Equations.VEERG_15_4_1_1__2_EmissionsFromPurchasedFertiliserComponentsVariation(V345, $E345,W345)+
Scope3_Equations.VEERG_15_4_1_1__2_EmissionsFromPurchasedFertiliserComponentsVariation(Z345, $E345,AA345)+
Scope3_Equations.VEERG_15_4_1_1__2_EmissionsFromPurchasedFertiliserComponentsVariation(AD345, $E345,AE345)</f>
        <v>0</v>
      </c>
      <c r="I345" s="69"/>
      <c r="J345" s="164" cm="1">
        <f t="array" ref="J345">Scope3_Equations.VEERG_15_4_1_1__1_EmissionsFromPurchasedFertiliser(E345,I345)</f>
        <v>0</v>
      </c>
      <c r="K345" s="164" cm="1">
        <f t="array" ref="K345">Scope3_Equations.VEERG_15_4_1_1__2_EmissionsFromPurchasedFertiliserComponentsVariation(R345, $E345,IF(T345,T345,S345))+
Scope3_Equations.VEERG_15_4_1_1__2_EmissionsFromPurchasedFertiliserComponentsVariation(V345, $E345,IF(X345,X345,W345))+
Scope3_Equations.VEERG_15_4_1_1__2_EmissionsFromPurchasedFertiliserComponentsVariation(Z345, $E345,IF(AB345,AB345,AA345))+
Scope3_Equations.VEERG_15_4_1_1__2_EmissionsFromPurchasedFertiliserComponentsVariation(AD345, $E345,IF(AF345,AF345,AE345))</f>
        <v>0</v>
      </c>
      <c r="L345" s="86"/>
      <c r="M345" s="48"/>
      <c r="N345" s="86"/>
      <c r="O345" s="50" t="str">
        <v/>
      </c>
      <c r="P345" s="50" t="str">
        <v/>
      </c>
      <c r="Q345" s="50" t="str">
        <v/>
      </c>
      <c r="R345" s="50">
        <v>0</v>
      </c>
      <c r="S345" s="50" cm="1">
        <f t="array" ref="S345">_xlfn.LET(_xlpm.result, Common_InputFunctions.Utility_LookupValueInTableTwoColumns(Q345, _xlfn.IFS(Q345="Urea",IF($O345="", "Global", $O345), Q345="Ammonia", IF($P345="", "Global", $P345), TRUE, "Global"), Table_SourceData_Scope3_InorganicFertiliser[Chemical compound],Table_SourceData_Scope3_InorganicFertiliser[Region of origin],Table_SourceData_Scope3_InorganicFertiliser[AusLCI Emissions intensity]), IF(_xlpm.result="", 0, _xlpm.result))</f>
        <v>0</v>
      </c>
      <c r="T345" s="69"/>
      <c r="U345" s="50" t="str">
        <v/>
      </c>
      <c r="V345" s="50">
        <v>0</v>
      </c>
      <c r="W345" s="50" cm="1">
        <f t="array" ref="W345">_xlfn.LET(_xlpm.result, Common_InputFunctions.Utility_LookupValueInTableTwoColumns(U345, _xlfn.IFS(U345="Urea",IF($O345="", "Global", $O345), U345="Ammonia", IF($P345="", "Global", $P345), TRUE, "Global"), Table_SourceData_Scope3_InorganicFertiliser[Chemical compound],Table_SourceData_Scope3_InorganicFertiliser[Region of origin],Table_SourceData_Scope3_InorganicFertiliser[AusLCI Emissions intensity]), IF(_xlpm.result="", 0, _xlpm.result))</f>
        <v>0</v>
      </c>
      <c r="X345" s="69"/>
      <c r="Y345" s="50" t="str">
        <v/>
      </c>
      <c r="Z345" s="50">
        <v>0</v>
      </c>
      <c r="AA345" s="50" cm="1">
        <f t="array" ref="AA345">_xlfn.LET(_xlpm.result, Common_InputFunctions.Utility_LookupValueInTableTwoColumns(Y345, _xlfn.IFS(Y345="Urea",IF($O345="", "Global", $O345), Y345="Ammonia", IF($P345="", "Global", $P345), TRUE, "Global"), Table_SourceData_Scope3_InorganicFertiliser[Chemical compound],Table_SourceData_Scope3_InorganicFertiliser[Region of origin],Table_SourceData_Scope3_InorganicFertiliser[AusLCI Emissions intensity]), IF(_xlpm.result="", 0, _xlpm.result))</f>
        <v>0</v>
      </c>
      <c r="AB345" s="69"/>
      <c r="AC345" s="50" t="str">
        <v/>
      </c>
      <c r="AD345" s="50">
        <v>0</v>
      </c>
      <c r="AE345" s="50" cm="1">
        <f t="array" ref="AE345">_xlfn.LET(_xlpm.result, Common_InputFunctions.Utility_LookupValueInTableTwoColumns(AC345, _xlfn.IFS(AC345="Urea",IF($O345="", "Global", $O345), AC345="Ammonia", IF($P345="", "Global", $P345), TRUE, "Global"), Table_SourceData_Scope3_InorganicFertiliser[Chemical compound],Table_SourceData_Scope3_InorganicFertiliser[Region of origin],Table_SourceData_Scope3_InorganicFertiliser[AusLCI Emissions intensity]), IF(_xlpm.result="", 0, _xlpm.result))</f>
        <v>0</v>
      </c>
      <c r="AF345" s="69"/>
    </row>
    <row r="346" spans="4:32" x14ac:dyDescent="0.25">
      <c r="D346" s="50" t="str">
        <v/>
      </c>
      <c r="E346" s="50">
        <v>0</v>
      </c>
      <c r="F346" s="50">
        <f t="shared" si="0"/>
        <v>0</v>
      </c>
      <c r="G346" s="164" cm="1">
        <f t="array" ref="G346">Scope3_Equations.VEERG_15_4_1_1__1_EmissionsFromPurchasedFertiliser(E346,F346)</f>
        <v>0</v>
      </c>
      <c r="H346" s="50" cm="1">
        <f t="array" ref="H346">Scope3_Equations.VEERG_15_4_1_1__2_EmissionsFromPurchasedFertiliserComponentsVariation(R346, $E346,S346)+
Scope3_Equations.VEERG_15_4_1_1__2_EmissionsFromPurchasedFertiliserComponentsVariation(V346, $E346,W346)+
Scope3_Equations.VEERG_15_4_1_1__2_EmissionsFromPurchasedFertiliserComponentsVariation(Z346, $E346,AA346)+
Scope3_Equations.VEERG_15_4_1_1__2_EmissionsFromPurchasedFertiliserComponentsVariation(AD346, $E346,AE346)</f>
        <v>0</v>
      </c>
      <c r="I346" s="69"/>
      <c r="J346" s="164" cm="1">
        <f t="array" ref="J346">Scope3_Equations.VEERG_15_4_1_1__1_EmissionsFromPurchasedFertiliser(E346,I346)</f>
        <v>0</v>
      </c>
      <c r="K346" s="164" cm="1">
        <f t="array" ref="K346">Scope3_Equations.VEERG_15_4_1_1__2_EmissionsFromPurchasedFertiliserComponentsVariation(R346, $E346,IF(T346,T346,S346))+
Scope3_Equations.VEERG_15_4_1_1__2_EmissionsFromPurchasedFertiliserComponentsVariation(V346, $E346,IF(X346,X346,W346))+
Scope3_Equations.VEERG_15_4_1_1__2_EmissionsFromPurchasedFertiliserComponentsVariation(Z346, $E346,IF(AB346,AB346,AA346))+
Scope3_Equations.VEERG_15_4_1_1__2_EmissionsFromPurchasedFertiliserComponentsVariation(AD346, $E346,IF(AF346,AF346,AE346))</f>
        <v>0</v>
      </c>
      <c r="L346" s="86"/>
      <c r="M346" s="48"/>
      <c r="N346" s="86"/>
      <c r="O346" s="50" t="str">
        <v/>
      </c>
      <c r="P346" s="50" t="str">
        <v/>
      </c>
      <c r="Q346" s="50" t="str">
        <v/>
      </c>
      <c r="R346" s="50">
        <v>0</v>
      </c>
      <c r="S346" s="50" cm="1">
        <f t="array" ref="S346">_xlfn.LET(_xlpm.result, Common_InputFunctions.Utility_LookupValueInTableTwoColumns(Q346, _xlfn.IFS(Q346="Urea",IF($O346="", "Global", $O346), Q346="Ammonia", IF($P346="", "Global", $P346), TRUE, "Global"), Table_SourceData_Scope3_InorganicFertiliser[Chemical compound],Table_SourceData_Scope3_InorganicFertiliser[Region of origin],Table_SourceData_Scope3_InorganicFertiliser[AusLCI Emissions intensity]), IF(_xlpm.result="", 0, _xlpm.result))</f>
        <v>0</v>
      </c>
      <c r="T346" s="69"/>
      <c r="U346" s="50" t="str">
        <v/>
      </c>
      <c r="V346" s="50">
        <v>0</v>
      </c>
      <c r="W346" s="50" cm="1">
        <f t="array" ref="W346">_xlfn.LET(_xlpm.result, Common_InputFunctions.Utility_LookupValueInTableTwoColumns(U346, _xlfn.IFS(U346="Urea",IF($O346="", "Global", $O346), U346="Ammonia", IF($P346="", "Global", $P346), TRUE, "Global"), Table_SourceData_Scope3_InorganicFertiliser[Chemical compound],Table_SourceData_Scope3_InorganicFertiliser[Region of origin],Table_SourceData_Scope3_InorganicFertiliser[AusLCI Emissions intensity]), IF(_xlpm.result="", 0, _xlpm.result))</f>
        <v>0</v>
      </c>
      <c r="X346" s="69"/>
      <c r="Y346" s="50" t="str">
        <v/>
      </c>
      <c r="Z346" s="50">
        <v>0</v>
      </c>
      <c r="AA346" s="50" cm="1">
        <f t="array" ref="AA346">_xlfn.LET(_xlpm.result, Common_InputFunctions.Utility_LookupValueInTableTwoColumns(Y346, _xlfn.IFS(Y346="Urea",IF($O346="", "Global", $O346), Y346="Ammonia", IF($P346="", "Global", $P346), TRUE, "Global"), Table_SourceData_Scope3_InorganicFertiliser[Chemical compound],Table_SourceData_Scope3_InorganicFertiliser[Region of origin],Table_SourceData_Scope3_InorganicFertiliser[AusLCI Emissions intensity]), IF(_xlpm.result="", 0, _xlpm.result))</f>
        <v>0</v>
      </c>
      <c r="AB346" s="69"/>
      <c r="AC346" s="50" t="str">
        <v/>
      </c>
      <c r="AD346" s="50">
        <v>0</v>
      </c>
      <c r="AE346" s="50" cm="1">
        <f t="array" ref="AE346">_xlfn.LET(_xlpm.result, Common_InputFunctions.Utility_LookupValueInTableTwoColumns(AC346, _xlfn.IFS(AC346="Urea",IF($O346="", "Global", $O346), AC346="Ammonia", IF($P346="", "Global", $P346), TRUE, "Global"), Table_SourceData_Scope3_InorganicFertiliser[Chemical compound],Table_SourceData_Scope3_InorganicFertiliser[Region of origin],Table_SourceData_Scope3_InorganicFertiliser[AusLCI Emissions intensity]), IF(_xlpm.result="", 0, _xlpm.result))</f>
        <v>0</v>
      </c>
      <c r="AF346" s="69"/>
    </row>
    <row r="347" spans="4:32" x14ac:dyDescent="0.25">
      <c r="D347" s="50" t="str">
        <v/>
      </c>
      <c r="E347" s="50">
        <v>0</v>
      </c>
      <c r="F347" s="50">
        <f t="shared" si="0"/>
        <v>0</v>
      </c>
      <c r="G347" s="164" cm="1">
        <f t="array" ref="G347">Scope3_Equations.VEERG_15_4_1_1__1_EmissionsFromPurchasedFertiliser(E347,F347)</f>
        <v>0</v>
      </c>
      <c r="H347" s="50" cm="1">
        <f t="array" ref="H347">Scope3_Equations.VEERG_15_4_1_1__2_EmissionsFromPurchasedFertiliserComponentsVariation(R347, $E347,S347)+
Scope3_Equations.VEERG_15_4_1_1__2_EmissionsFromPurchasedFertiliserComponentsVariation(V347, $E347,W347)+
Scope3_Equations.VEERG_15_4_1_1__2_EmissionsFromPurchasedFertiliserComponentsVariation(Z347, $E347,AA347)+
Scope3_Equations.VEERG_15_4_1_1__2_EmissionsFromPurchasedFertiliserComponentsVariation(AD347, $E347,AE347)</f>
        <v>0</v>
      </c>
      <c r="I347" s="69"/>
      <c r="J347" s="164" cm="1">
        <f t="array" ref="J347">Scope3_Equations.VEERG_15_4_1_1__1_EmissionsFromPurchasedFertiliser(E347,I347)</f>
        <v>0</v>
      </c>
      <c r="K347" s="164" cm="1">
        <f t="array" ref="K347">Scope3_Equations.VEERG_15_4_1_1__2_EmissionsFromPurchasedFertiliserComponentsVariation(R347, $E347,IF(T347,T347,S347))+
Scope3_Equations.VEERG_15_4_1_1__2_EmissionsFromPurchasedFertiliserComponentsVariation(V347, $E347,IF(X347,X347,W347))+
Scope3_Equations.VEERG_15_4_1_1__2_EmissionsFromPurchasedFertiliserComponentsVariation(Z347, $E347,IF(AB347,AB347,AA347))+
Scope3_Equations.VEERG_15_4_1_1__2_EmissionsFromPurchasedFertiliserComponentsVariation(AD347, $E347,IF(AF347,AF347,AE347))</f>
        <v>0</v>
      </c>
      <c r="L347" s="86"/>
      <c r="M347" s="48"/>
      <c r="N347" s="86"/>
      <c r="O347" s="50" t="str">
        <v/>
      </c>
      <c r="P347" s="50" t="str">
        <v/>
      </c>
      <c r="Q347" s="50" t="str">
        <v/>
      </c>
      <c r="R347" s="50">
        <v>0</v>
      </c>
      <c r="S347" s="50" cm="1">
        <f t="array" ref="S347">_xlfn.LET(_xlpm.result, Common_InputFunctions.Utility_LookupValueInTableTwoColumns(Q347, _xlfn.IFS(Q347="Urea",IF($O347="", "Global", $O347), Q347="Ammonia", IF($P347="", "Global", $P347), TRUE, "Global"), Table_SourceData_Scope3_InorganicFertiliser[Chemical compound],Table_SourceData_Scope3_InorganicFertiliser[Region of origin],Table_SourceData_Scope3_InorganicFertiliser[AusLCI Emissions intensity]), IF(_xlpm.result="", 0, _xlpm.result))</f>
        <v>0</v>
      </c>
      <c r="T347" s="69"/>
      <c r="U347" s="50" t="str">
        <v/>
      </c>
      <c r="V347" s="50">
        <v>0</v>
      </c>
      <c r="W347" s="50" cm="1">
        <f t="array" ref="W347">_xlfn.LET(_xlpm.result, Common_InputFunctions.Utility_LookupValueInTableTwoColumns(U347, _xlfn.IFS(U347="Urea",IF($O347="", "Global", $O347), U347="Ammonia", IF($P347="", "Global", $P347), TRUE, "Global"), Table_SourceData_Scope3_InorganicFertiliser[Chemical compound],Table_SourceData_Scope3_InorganicFertiliser[Region of origin],Table_SourceData_Scope3_InorganicFertiliser[AusLCI Emissions intensity]), IF(_xlpm.result="", 0, _xlpm.result))</f>
        <v>0</v>
      </c>
      <c r="X347" s="69"/>
      <c r="Y347" s="50" t="str">
        <v/>
      </c>
      <c r="Z347" s="50">
        <v>0</v>
      </c>
      <c r="AA347" s="50" cm="1">
        <f t="array" ref="AA347">_xlfn.LET(_xlpm.result, Common_InputFunctions.Utility_LookupValueInTableTwoColumns(Y347, _xlfn.IFS(Y347="Urea",IF($O347="", "Global", $O347), Y347="Ammonia", IF($P347="", "Global", $P347), TRUE, "Global"), Table_SourceData_Scope3_InorganicFertiliser[Chemical compound],Table_SourceData_Scope3_InorganicFertiliser[Region of origin],Table_SourceData_Scope3_InorganicFertiliser[AusLCI Emissions intensity]), IF(_xlpm.result="", 0, _xlpm.result))</f>
        <v>0</v>
      </c>
      <c r="AB347" s="69"/>
      <c r="AC347" s="50" t="str">
        <v/>
      </c>
      <c r="AD347" s="50">
        <v>0</v>
      </c>
      <c r="AE347" s="50" cm="1">
        <f t="array" ref="AE347">_xlfn.LET(_xlpm.result, Common_InputFunctions.Utility_LookupValueInTableTwoColumns(AC347, _xlfn.IFS(AC347="Urea",IF($O347="", "Global", $O347), AC347="Ammonia", IF($P347="", "Global", $P347), TRUE, "Global"), Table_SourceData_Scope3_InorganicFertiliser[Chemical compound],Table_SourceData_Scope3_InorganicFertiliser[Region of origin],Table_SourceData_Scope3_InorganicFertiliser[AusLCI Emissions intensity]), IF(_xlpm.result="", 0, _xlpm.result))</f>
        <v>0</v>
      </c>
      <c r="AF347" s="69"/>
    </row>
    <row r="348" spans="4:32" x14ac:dyDescent="0.25">
      <c r="D348" s="50" t="str">
        <v/>
      </c>
      <c r="E348" s="50">
        <v>0</v>
      </c>
      <c r="F348" s="50">
        <f t="shared" si="0"/>
        <v>0</v>
      </c>
      <c r="G348" s="164" cm="1">
        <f t="array" ref="G348">Scope3_Equations.VEERG_15_4_1_1__1_EmissionsFromPurchasedFertiliser(E348,F348)</f>
        <v>0</v>
      </c>
      <c r="H348" s="50" cm="1">
        <f t="array" ref="H348">Scope3_Equations.VEERG_15_4_1_1__2_EmissionsFromPurchasedFertiliserComponentsVariation(R348, $E348,S348)+
Scope3_Equations.VEERG_15_4_1_1__2_EmissionsFromPurchasedFertiliserComponentsVariation(V348, $E348,W348)+
Scope3_Equations.VEERG_15_4_1_1__2_EmissionsFromPurchasedFertiliserComponentsVariation(Z348, $E348,AA348)+
Scope3_Equations.VEERG_15_4_1_1__2_EmissionsFromPurchasedFertiliserComponentsVariation(AD348, $E348,AE348)</f>
        <v>0</v>
      </c>
      <c r="I348" s="69"/>
      <c r="J348" s="164" cm="1">
        <f t="array" ref="J348">Scope3_Equations.VEERG_15_4_1_1__1_EmissionsFromPurchasedFertiliser(E348,I348)</f>
        <v>0</v>
      </c>
      <c r="K348" s="164" cm="1">
        <f t="array" ref="K348">Scope3_Equations.VEERG_15_4_1_1__2_EmissionsFromPurchasedFertiliserComponentsVariation(R348, $E348,IF(T348,T348,S348))+
Scope3_Equations.VEERG_15_4_1_1__2_EmissionsFromPurchasedFertiliserComponentsVariation(V348, $E348,IF(X348,X348,W348))+
Scope3_Equations.VEERG_15_4_1_1__2_EmissionsFromPurchasedFertiliserComponentsVariation(Z348, $E348,IF(AB348,AB348,AA348))+
Scope3_Equations.VEERG_15_4_1_1__2_EmissionsFromPurchasedFertiliserComponentsVariation(AD348, $E348,IF(AF348,AF348,AE348))</f>
        <v>0</v>
      </c>
      <c r="L348" s="86"/>
      <c r="M348" s="48"/>
      <c r="N348" s="86"/>
      <c r="O348" s="50" t="str">
        <v/>
      </c>
      <c r="P348" s="50" t="str">
        <v/>
      </c>
      <c r="Q348" s="50" t="str">
        <v/>
      </c>
      <c r="R348" s="50">
        <v>0</v>
      </c>
      <c r="S348" s="50" cm="1">
        <f t="array" ref="S348">_xlfn.LET(_xlpm.result, Common_InputFunctions.Utility_LookupValueInTableTwoColumns(Q348, _xlfn.IFS(Q348="Urea",IF($O348="", "Global", $O348), Q348="Ammonia", IF($P348="", "Global", $P348), TRUE, "Global"), Table_SourceData_Scope3_InorganicFertiliser[Chemical compound],Table_SourceData_Scope3_InorganicFertiliser[Region of origin],Table_SourceData_Scope3_InorganicFertiliser[AusLCI Emissions intensity]), IF(_xlpm.result="", 0, _xlpm.result))</f>
        <v>0</v>
      </c>
      <c r="T348" s="69"/>
      <c r="U348" s="50" t="str">
        <v/>
      </c>
      <c r="V348" s="50">
        <v>0</v>
      </c>
      <c r="W348" s="50" cm="1">
        <f t="array" ref="W348">_xlfn.LET(_xlpm.result, Common_InputFunctions.Utility_LookupValueInTableTwoColumns(U348, _xlfn.IFS(U348="Urea",IF($O348="", "Global", $O348), U348="Ammonia", IF($P348="", "Global", $P348), TRUE, "Global"), Table_SourceData_Scope3_InorganicFertiliser[Chemical compound],Table_SourceData_Scope3_InorganicFertiliser[Region of origin],Table_SourceData_Scope3_InorganicFertiliser[AusLCI Emissions intensity]), IF(_xlpm.result="", 0, _xlpm.result))</f>
        <v>0</v>
      </c>
      <c r="X348" s="69"/>
      <c r="Y348" s="50" t="str">
        <v/>
      </c>
      <c r="Z348" s="50">
        <v>0</v>
      </c>
      <c r="AA348" s="50" cm="1">
        <f t="array" ref="AA348">_xlfn.LET(_xlpm.result, Common_InputFunctions.Utility_LookupValueInTableTwoColumns(Y348, _xlfn.IFS(Y348="Urea",IF($O348="", "Global", $O348), Y348="Ammonia", IF($P348="", "Global", $P348), TRUE, "Global"), Table_SourceData_Scope3_InorganicFertiliser[Chemical compound],Table_SourceData_Scope3_InorganicFertiliser[Region of origin],Table_SourceData_Scope3_InorganicFertiliser[AusLCI Emissions intensity]), IF(_xlpm.result="", 0, _xlpm.result))</f>
        <v>0</v>
      </c>
      <c r="AB348" s="69"/>
      <c r="AC348" s="50" t="str">
        <v/>
      </c>
      <c r="AD348" s="50">
        <v>0</v>
      </c>
      <c r="AE348" s="50" cm="1">
        <f t="array" ref="AE348">_xlfn.LET(_xlpm.result, Common_InputFunctions.Utility_LookupValueInTableTwoColumns(AC348, _xlfn.IFS(AC348="Urea",IF($O348="", "Global", $O348), AC348="Ammonia", IF($P348="", "Global", $P348), TRUE, "Global"), Table_SourceData_Scope3_InorganicFertiliser[Chemical compound],Table_SourceData_Scope3_InorganicFertiliser[Region of origin],Table_SourceData_Scope3_InorganicFertiliser[AusLCI Emissions intensity]), IF(_xlpm.result="", 0, _xlpm.result))</f>
        <v>0</v>
      </c>
      <c r="AF348" s="69"/>
    </row>
    <row r="349" spans="4:32" x14ac:dyDescent="0.25">
      <c r="D349" s="50" t="str">
        <v/>
      </c>
      <c r="E349" s="50">
        <v>0</v>
      </c>
      <c r="F349" s="50">
        <f t="shared" si="0"/>
        <v>0</v>
      </c>
      <c r="G349" s="164" cm="1">
        <f t="array" ref="G349">Scope3_Equations.VEERG_15_4_1_1__1_EmissionsFromPurchasedFertiliser(E349,F349)</f>
        <v>0</v>
      </c>
      <c r="H349" s="50" cm="1">
        <f t="array" ref="H349">Scope3_Equations.VEERG_15_4_1_1__2_EmissionsFromPurchasedFertiliserComponentsVariation(R349, $E349,S349)+
Scope3_Equations.VEERG_15_4_1_1__2_EmissionsFromPurchasedFertiliserComponentsVariation(V349, $E349,W349)+
Scope3_Equations.VEERG_15_4_1_1__2_EmissionsFromPurchasedFertiliserComponentsVariation(Z349, $E349,AA349)+
Scope3_Equations.VEERG_15_4_1_1__2_EmissionsFromPurchasedFertiliserComponentsVariation(AD349, $E349,AE349)</f>
        <v>0</v>
      </c>
      <c r="I349" s="69"/>
      <c r="J349" s="164" cm="1">
        <f t="array" ref="J349">Scope3_Equations.VEERG_15_4_1_1__1_EmissionsFromPurchasedFertiliser(E349,I349)</f>
        <v>0</v>
      </c>
      <c r="K349" s="164" cm="1">
        <f t="array" ref="K349">Scope3_Equations.VEERG_15_4_1_1__2_EmissionsFromPurchasedFertiliserComponentsVariation(R349, $E349,IF(T349,T349,S349))+
Scope3_Equations.VEERG_15_4_1_1__2_EmissionsFromPurchasedFertiliserComponentsVariation(V349, $E349,IF(X349,X349,W349))+
Scope3_Equations.VEERG_15_4_1_1__2_EmissionsFromPurchasedFertiliserComponentsVariation(Z349, $E349,IF(AB349,AB349,AA349))+
Scope3_Equations.VEERG_15_4_1_1__2_EmissionsFromPurchasedFertiliserComponentsVariation(AD349, $E349,IF(AF349,AF349,AE349))</f>
        <v>0</v>
      </c>
      <c r="L349" s="86"/>
      <c r="M349" s="48"/>
      <c r="N349" s="86"/>
      <c r="O349" s="50" t="str">
        <v/>
      </c>
      <c r="P349" s="50" t="str">
        <v/>
      </c>
      <c r="Q349" s="50" t="str">
        <v/>
      </c>
      <c r="R349" s="50">
        <v>0</v>
      </c>
      <c r="S349" s="50" cm="1">
        <f t="array" ref="S349">_xlfn.LET(_xlpm.result, Common_InputFunctions.Utility_LookupValueInTableTwoColumns(Q349, _xlfn.IFS(Q349="Urea",IF($O349="", "Global", $O349), Q349="Ammonia", IF($P349="", "Global", $P349), TRUE, "Global"), Table_SourceData_Scope3_InorganicFertiliser[Chemical compound],Table_SourceData_Scope3_InorganicFertiliser[Region of origin],Table_SourceData_Scope3_InorganicFertiliser[AusLCI Emissions intensity]), IF(_xlpm.result="", 0, _xlpm.result))</f>
        <v>0</v>
      </c>
      <c r="T349" s="69"/>
      <c r="U349" s="50" t="str">
        <v/>
      </c>
      <c r="V349" s="50">
        <v>0</v>
      </c>
      <c r="W349" s="50" cm="1">
        <f t="array" ref="W349">_xlfn.LET(_xlpm.result, Common_InputFunctions.Utility_LookupValueInTableTwoColumns(U349, _xlfn.IFS(U349="Urea",IF($O349="", "Global", $O349), U349="Ammonia", IF($P349="", "Global", $P349), TRUE, "Global"), Table_SourceData_Scope3_InorganicFertiliser[Chemical compound],Table_SourceData_Scope3_InorganicFertiliser[Region of origin],Table_SourceData_Scope3_InorganicFertiliser[AusLCI Emissions intensity]), IF(_xlpm.result="", 0, _xlpm.result))</f>
        <v>0</v>
      </c>
      <c r="X349" s="69"/>
      <c r="Y349" s="50" t="str">
        <v/>
      </c>
      <c r="Z349" s="50">
        <v>0</v>
      </c>
      <c r="AA349" s="50" cm="1">
        <f t="array" ref="AA349">_xlfn.LET(_xlpm.result, Common_InputFunctions.Utility_LookupValueInTableTwoColumns(Y349, _xlfn.IFS(Y349="Urea",IF($O349="", "Global", $O349), Y349="Ammonia", IF($P349="", "Global", $P349), TRUE, "Global"), Table_SourceData_Scope3_InorganicFertiliser[Chemical compound],Table_SourceData_Scope3_InorganicFertiliser[Region of origin],Table_SourceData_Scope3_InorganicFertiliser[AusLCI Emissions intensity]), IF(_xlpm.result="", 0, _xlpm.result))</f>
        <v>0</v>
      </c>
      <c r="AB349" s="69"/>
      <c r="AC349" s="50" t="str">
        <v/>
      </c>
      <c r="AD349" s="50">
        <v>0</v>
      </c>
      <c r="AE349" s="50" cm="1">
        <f t="array" ref="AE349">_xlfn.LET(_xlpm.result, Common_InputFunctions.Utility_LookupValueInTableTwoColumns(AC349, _xlfn.IFS(AC349="Urea",IF($O349="", "Global", $O349), AC349="Ammonia", IF($P349="", "Global", $P349), TRUE, "Global"), Table_SourceData_Scope3_InorganicFertiliser[Chemical compound],Table_SourceData_Scope3_InorganicFertiliser[Region of origin],Table_SourceData_Scope3_InorganicFertiliser[AusLCI Emissions intensity]), IF(_xlpm.result="", 0, _xlpm.result))</f>
        <v>0</v>
      </c>
      <c r="AF349" s="69"/>
    </row>
    <row r="350" spans="4:32" x14ac:dyDescent="0.25">
      <c r="D350" s="50" t="str">
        <v/>
      </c>
      <c r="E350" s="50">
        <v>0</v>
      </c>
      <c r="F350" s="50">
        <f t="shared" si="0"/>
        <v>0</v>
      </c>
      <c r="G350" s="164" cm="1">
        <f t="array" ref="G350">Scope3_Equations.VEERG_15_4_1_1__1_EmissionsFromPurchasedFertiliser(E350,F350)</f>
        <v>0</v>
      </c>
      <c r="H350" s="50" cm="1">
        <f t="array" ref="H350">Scope3_Equations.VEERG_15_4_1_1__2_EmissionsFromPurchasedFertiliserComponentsVariation(R350, $E350,S350)+
Scope3_Equations.VEERG_15_4_1_1__2_EmissionsFromPurchasedFertiliserComponentsVariation(V350, $E350,W350)+
Scope3_Equations.VEERG_15_4_1_1__2_EmissionsFromPurchasedFertiliserComponentsVariation(Z350, $E350,AA350)+
Scope3_Equations.VEERG_15_4_1_1__2_EmissionsFromPurchasedFertiliserComponentsVariation(AD350, $E350,AE350)</f>
        <v>0</v>
      </c>
      <c r="I350" s="69"/>
      <c r="J350" s="164" cm="1">
        <f t="array" ref="J350">Scope3_Equations.VEERG_15_4_1_1__1_EmissionsFromPurchasedFertiliser(E350,I350)</f>
        <v>0</v>
      </c>
      <c r="K350" s="164" cm="1">
        <f t="array" ref="K350">Scope3_Equations.VEERG_15_4_1_1__2_EmissionsFromPurchasedFertiliserComponentsVariation(R350, $E350,IF(T350,T350,S350))+
Scope3_Equations.VEERG_15_4_1_1__2_EmissionsFromPurchasedFertiliserComponentsVariation(V350, $E350,IF(X350,X350,W350))+
Scope3_Equations.VEERG_15_4_1_1__2_EmissionsFromPurchasedFertiliserComponentsVariation(Z350, $E350,IF(AB350,AB350,AA350))+
Scope3_Equations.VEERG_15_4_1_1__2_EmissionsFromPurchasedFertiliserComponentsVariation(AD350, $E350,IF(AF350,AF350,AE350))</f>
        <v>0</v>
      </c>
      <c r="L350" s="86"/>
      <c r="M350" s="48"/>
      <c r="N350" s="86"/>
      <c r="O350" s="50" t="str">
        <v/>
      </c>
      <c r="P350" s="50" t="str">
        <v/>
      </c>
      <c r="Q350" s="50" t="str">
        <v/>
      </c>
      <c r="R350" s="50">
        <v>0</v>
      </c>
      <c r="S350" s="50" cm="1">
        <f t="array" ref="S350">_xlfn.LET(_xlpm.result, Common_InputFunctions.Utility_LookupValueInTableTwoColumns(Q350, _xlfn.IFS(Q350="Urea",IF($O350="", "Global", $O350), Q350="Ammonia", IF($P350="", "Global", $P350), TRUE, "Global"), Table_SourceData_Scope3_InorganicFertiliser[Chemical compound],Table_SourceData_Scope3_InorganicFertiliser[Region of origin],Table_SourceData_Scope3_InorganicFertiliser[AusLCI Emissions intensity]), IF(_xlpm.result="", 0, _xlpm.result))</f>
        <v>0</v>
      </c>
      <c r="T350" s="69"/>
      <c r="U350" s="50" t="str">
        <v/>
      </c>
      <c r="V350" s="50">
        <v>0</v>
      </c>
      <c r="W350" s="50" cm="1">
        <f t="array" ref="W350">_xlfn.LET(_xlpm.result, Common_InputFunctions.Utility_LookupValueInTableTwoColumns(U350, _xlfn.IFS(U350="Urea",IF($O350="", "Global", $O350), U350="Ammonia", IF($P350="", "Global", $P350), TRUE, "Global"), Table_SourceData_Scope3_InorganicFertiliser[Chemical compound],Table_SourceData_Scope3_InorganicFertiliser[Region of origin],Table_SourceData_Scope3_InorganicFertiliser[AusLCI Emissions intensity]), IF(_xlpm.result="", 0, _xlpm.result))</f>
        <v>0</v>
      </c>
      <c r="X350" s="69"/>
      <c r="Y350" s="50" t="str">
        <v/>
      </c>
      <c r="Z350" s="50">
        <v>0</v>
      </c>
      <c r="AA350" s="50" cm="1">
        <f t="array" ref="AA350">_xlfn.LET(_xlpm.result, Common_InputFunctions.Utility_LookupValueInTableTwoColumns(Y350, _xlfn.IFS(Y350="Urea",IF($O350="", "Global", $O350), Y350="Ammonia", IF($P350="", "Global", $P350), TRUE, "Global"), Table_SourceData_Scope3_InorganicFertiliser[Chemical compound],Table_SourceData_Scope3_InorganicFertiliser[Region of origin],Table_SourceData_Scope3_InorganicFertiliser[AusLCI Emissions intensity]), IF(_xlpm.result="", 0, _xlpm.result))</f>
        <v>0</v>
      </c>
      <c r="AB350" s="69"/>
      <c r="AC350" s="50" t="str">
        <v/>
      </c>
      <c r="AD350" s="50">
        <v>0</v>
      </c>
      <c r="AE350" s="50" cm="1">
        <f t="array" ref="AE350">_xlfn.LET(_xlpm.result, Common_InputFunctions.Utility_LookupValueInTableTwoColumns(AC350, _xlfn.IFS(AC350="Urea",IF($O350="", "Global", $O350), AC350="Ammonia", IF($P350="", "Global", $P350), TRUE, "Global"), Table_SourceData_Scope3_InorganicFertiliser[Chemical compound],Table_SourceData_Scope3_InorganicFertiliser[Region of origin],Table_SourceData_Scope3_InorganicFertiliser[AusLCI Emissions intensity]), IF(_xlpm.result="", 0, _xlpm.result))</f>
        <v>0</v>
      </c>
      <c r="AF350" s="69"/>
    </row>
    <row r="351" spans="4:32" x14ac:dyDescent="0.25">
      <c r="D351" s="50" t="str">
        <v/>
      </c>
      <c r="E351" s="50">
        <v>0</v>
      </c>
      <c r="F351" s="50">
        <f t="shared" si="0"/>
        <v>0</v>
      </c>
      <c r="G351" s="164" cm="1">
        <f t="array" ref="G351">Scope3_Equations.VEERG_15_4_1_1__1_EmissionsFromPurchasedFertiliser(E351,F351)</f>
        <v>0</v>
      </c>
      <c r="H351" s="50" cm="1">
        <f t="array" ref="H351">Scope3_Equations.VEERG_15_4_1_1__2_EmissionsFromPurchasedFertiliserComponentsVariation(R351, $E351,S351)+
Scope3_Equations.VEERG_15_4_1_1__2_EmissionsFromPurchasedFertiliserComponentsVariation(V351, $E351,W351)+
Scope3_Equations.VEERG_15_4_1_1__2_EmissionsFromPurchasedFertiliserComponentsVariation(Z351, $E351,AA351)+
Scope3_Equations.VEERG_15_4_1_1__2_EmissionsFromPurchasedFertiliserComponentsVariation(AD351, $E351,AE351)</f>
        <v>0</v>
      </c>
      <c r="I351" s="69"/>
      <c r="J351" s="164" cm="1">
        <f t="array" ref="J351">Scope3_Equations.VEERG_15_4_1_1__1_EmissionsFromPurchasedFertiliser(E351,I351)</f>
        <v>0</v>
      </c>
      <c r="K351" s="164" cm="1">
        <f t="array" ref="K351">Scope3_Equations.VEERG_15_4_1_1__2_EmissionsFromPurchasedFertiliserComponentsVariation(R351, $E351,IF(T351,T351,S351))+
Scope3_Equations.VEERG_15_4_1_1__2_EmissionsFromPurchasedFertiliserComponentsVariation(V351, $E351,IF(X351,X351,W351))+
Scope3_Equations.VEERG_15_4_1_1__2_EmissionsFromPurchasedFertiliserComponentsVariation(Z351, $E351,IF(AB351,AB351,AA351))+
Scope3_Equations.VEERG_15_4_1_1__2_EmissionsFromPurchasedFertiliserComponentsVariation(AD351, $E351,IF(AF351,AF351,AE351))</f>
        <v>0</v>
      </c>
      <c r="L351" s="86"/>
      <c r="M351" s="48"/>
      <c r="N351" s="86"/>
      <c r="O351" s="50" t="str">
        <v/>
      </c>
      <c r="P351" s="50" t="str">
        <v/>
      </c>
      <c r="Q351" s="50" t="str">
        <v/>
      </c>
      <c r="R351" s="50">
        <v>0</v>
      </c>
      <c r="S351" s="50" cm="1">
        <f t="array" ref="S351">_xlfn.LET(_xlpm.result, Common_InputFunctions.Utility_LookupValueInTableTwoColumns(Q351, _xlfn.IFS(Q351="Urea",IF($O351="", "Global", $O351), Q351="Ammonia", IF($P351="", "Global", $P351), TRUE, "Global"), Table_SourceData_Scope3_InorganicFertiliser[Chemical compound],Table_SourceData_Scope3_InorganicFertiliser[Region of origin],Table_SourceData_Scope3_InorganicFertiliser[AusLCI Emissions intensity]), IF(_xlpm.result="", 0, _xlpm.result))</f>
        <v>0</v>
      </c>
      <c r="T351" s="69"/>
      <c r="U351" s="50" t="str">
        <v/>
      </c>
      <c r="V351" s="50">
        <v>0</v>
      </c>
      <c r="W351" s="50" cm="1">
        <f t="array" ref="W351">_xlfn.LET(_xlpm.result, Common_InputFunctions.Utility_LookupValueInTableTwoColumns(U351, _xlfn.IFS(U351="Urea",IF($O351="", "Global", $O351), U351="Ammonia", IF($P351="", "Global", $P351), TRUE, "Global"), Table_SourceData_Scope3_InorganicFertiliser[Chemical compound],Table_SourceData_Scope3_InorganicFertiliser[Region of origin],Table_SourceData_Scope3_InorganicFertiliser[AusLCI Emissions intensity]), IF(_xlpm.result="", 0, _xlpm.result))</f>
        <v>0</v>
      </c>
      <c r="X351" s="69"/>
      <c r="Y351" s="50" t="str">
        <v/>
      </c>
      <c r="Z351" s="50">
        <v>0</v>
      </c>
      <c r="AA351" s="50" cm="1">
        <f t="array" ref="AA351">_xlfn.LET(_xlpm.result, Common_InputFunctions.Utility_LookupValueInTableTwoColumns(Y351, _xlfn.IFS(Y351="Urea",IF($O351="", "Global", $O351), Y351="Ammonia", IF($P351="", "Global", $P351), TRUE, "Global"), Table_SourceData_Scope3_InorganicFertiliser[Chemical compound],Table_SourceData_Scope3_InorganicFertiliser[Region of origin],Table_SourceData_Scope3_InorganicFertiliser[AusLCI Emissions intensity]), IF(_xlpm.result="", 0, _xlpm.result))</f>
        <v>0</v>
      </c>
      <c r="AB351" s="69"/>
      <c r="AC351" s="50" t="str">
        <v/>
      </c>
      <c r="AD351" s="50">
        <v>0</v>
      </c>
      <c r="AE351" s="50" cm="1">
        <f t="array" ref="AE351">_xlfn.LET(_xlpm.result, Common_InputFunctions.Utility_LookupValueInTableTwoColumns(AC351, _xlfn.IFS(AC351="Urea",IF($O351="", "Global", $O351), AC351="Ammonia", IF($P351="", "Global", $P351), TRUE, "Global"), Table_SourceData_Scope3_InorganicFertiliser[Chemical compound],Table_SourceData_Scope3_InorganicFertiliser[Region of origin],Table_SourceData_Scope3_InorganicFertiliser[AusLCI Emissions intensity]), IF(_xlpm.result="", 0, _xlpm.result))</f>
        <v>0</v>
      </c>
      <c r="AF351" s="69"/>
    </row>
    <row r="352" spans="4:32" x14ac:dyDescent="0.25">
      <c r="D352" s="50" t="str">
        <v/>
      </c>
      <c r="E352" s="50">
        <v>0</v>
      </c>
      <c r="F352" s="50">
        <f t="shared" si="0"/>
        <v>0</v>
      </c>
      <c r="G352" s="164" cm="1">
        <f t="array" ref="G352">Scope3_Equations.VEERG_15_4_1_1__1_EmissionsFromPurchasedFertiliser(E352,F352)</f>
        <v>0</v>
      </c>
      <c r="H352" s="50" cm="1">
        <f t="array" ref="H352">Scope3_Equations.VEERG_15_4_1_1__2_EmissionsFromPurchasedFertiliserComponentsVariation(R352, $E352,S352)+
Scope3_Equations.VEERG_15_4_1_1__2_EmissionsFromPurchasedFertiliserComponentsVariation(V352, $E352,W352)+
Scope3_Equations.VEERG_15_4_1_1__2_EmissionsFromPurchasedFertiliserComponentsVariation(Z352, $E352,AA352)+
Scope3_Equations.VEERG_15_4_1_1__2_EmissionsFromPurchasedFertiliserComponentsVariation(AD352, $E352,AE352)</f>
        <v>0</v>
      </c>
      <c r="I352" s="69"/>
      <c r="J352" s="164" cm="1">
        <f t="array" ref="J352">Scope3_Equations.VEERG_15_4_1_1__1_EmissionsFromPurchasedFertiliser(E352,I352)</f>
        <v>0</v>
      </c>
      <c r="K352" s="164" cm="1">
        <f t="array" ref="K352">Scope3_Equations.VEERG_15_4_1_1__2_EmissionsFromPurchasedFertiliserComponentsVariation(R352, $E352,IF(T352,T352,S352))+
Scope3_Equations.VEERG_15_4_1_1__2_EmissionsFromPurchasedFertiliserComponentsVariation(V352, $E352,IF(X352,X352,W352))+
Scope3_Equations.VEERG_15_4_1_1__2_EmissionsFromPurchasedFertiliserComponentsVariation(Z352, $E352,IF(AB352,AB352,AA352))+
Scope3_Equations.VEERG_15_4_1_1__2_EmissionsFromPurchasedFertiliserComponentsVariation(AD352, $E352,IF(AF352,AF352,AE352))</f>
        <v>0</v>
      </c>
      <c r="L352" s="86"/>
      <c r="M352" s="48"/>
      <c r="N352" s="86"/>
      <c r="O352" s="50" t="str">
        <v/>
      </c>
      <c r="P352" s="50" t="str">
        <v/>
      </c>
      <c r="Q352" s="50" t="str">
        <v/>
      </c>
      <c r="R352" s="50">
        <v>0</v>
      </c>
      <c r="S352" s="50" cm="1">
        <f t="array" ref="S352">_xlfn.LET(_xlpm.result, Common_InputFunctions.Utility_LookupValueInTableTwoColumns(Q352, _xlfn.IFS(Q352="Urea",IF($O352="", "Global", $O352), Q352="Ammonia", IF($P352="", "Global", $P352), TRUE, "Global"), Table_SourceData_Scope3_InorganicFertiliser[Chemical compound],Table_SourceData_Scope3_InorganicFertiliser[Region of origin],Table_SourceData_Scope3_InorganicFertiliser[AusLCI Emissions intensity]), IF(_xlpm.result="", 0, _xlpm.result))</f>
        <v>0</v>
      </c>
      <c r="T352" s="69"/>
      <c r="U352" s="50" t="str">
        <v/>
      </c>
      <c r="V352" s="50">
        <v>0</v>
      </c>
      <c r="W352" s="50" cm="1">
        <f t="array" ref="W352">_xlfn.LET(_xlpm.result, Common_InputFunctions.Utility_LookupValueInTableTwoColumns(U352, _xlfn.IFS(U352="Urea",IF($O352="", "Global", $O352), U352="Ammonia", IF($P352="", "Global", $P352), TRUE, "Global"), Table_SourceData_Scope3_InorganicFertiliser[Chemical compound],Table_SourceData_Scope3_InorganicFertiliser[Region of origin],Table_SourceData_Scope3_InorganicFertiliser[AusLCI Emissions intensity]), IF(_xlpm.result="", 0, _xlpm.result))</f>
        <v>0</v>
      </c>
      <c r="X352" s="69"/>
      <c r="Y352" s="50" t="str">
        <v/>
      </c>
      <c r="Z352" s="50">
        <v>0</v>
      </c>
      <c r="AA352" s="50" cm="1">
        <f t="array" ref="AA352">_xlfn.LET(_xlpm.result, Common_InputFunctions.Utility_LookupValueInTableTwoColumns(Y352, _xlfn.IFS(Y352="Urea",IF($O352="", "Global", $O352), Y352="Ammonia", IF($P352="", "Global", $P352), TRUE, "Global"), Table_SourceData_Scope3_InorganicFertiliser[Chemical compound],Table_SourceData_Scope3_InorganicFertiliser[Region of origin],Table_SourceData_Scope3_InorganicFertiliser[AusLCI Emissions intensity]), IF(_xlpm.result="", 0, _xlpm.result))</f>
        <v>0</v>
      </c>
      <c r="AB352" s="69"/>
      <c r="AC352" s="50" t="str">
        <v/>
      </c>
      <c r="AD352" s="50">
        <v>0</v>
      </c>
      <c r="AE352" s="50" cm="1">
        <f t="array" ref="AE352">_xlfn.LET(_xlpm.result, Common_InputFunctions.Utility_LookupValueInTableTwoColumns(AC352, _xlfn.IFS(AC352="Urea",IF($O352="", "Global", $O352), AC352="Ammonia", IF($P352="", "Global", $P352), TRUE, "Global"), Table_SourceData_Scope3_InorganicFertiliser[Chemical compound],Table_SourceData_Scope3_InorganicFertiliser[Region of origin],Table_SourceData_Scope3_InorganicFertiliser[AusLCI Emissions intensity]), IF(_xlpm.result="", 0, _xlpm.result))</f>
        <v>0</v>
      </c>
      <c r="AF352" s="69"/>
    </row>
    <row r="353" spans="4:32" x14ac:dyDescent="0.25">
      <c r="D353" s="50" t="str">
        <v/>
      </c>
      <c r="E353" s="50">
        <v>0</v>
      </c>
      <c r="F353" s="50">
        <f t="shared" si="0"/>
        <v>0</v>
      </c>
      <c r="G353" s="164" cm="1">
        <f t="array" ref="G353">Scope3_Equations.VEERG_15_4_1_1__1_EmissionsFromPurchasedFertiliser(E353,F353)</f>
        <v>0</v>
      </c>
      <c r="H353" s="50" cm="1">
        <f t="array" ref="H353">Scope3_Equations.VEERG_15_4_1_1__2_EmissionsFromPurchasedFertiliserComponentsVariation(R353, $E353,S353)+
Scope3_Equations.VEERG_15_4_1_1__2_EmissionsFromPurchasedFertiliserComponentsVariation(V353, $E353,W353)+
Scope3_Equations.VEERG_15_4_1_1__2_EmissionsFromPurchasedFertiliserComponentsVariation(Z353, $E353,AA353)+
Scope3_Equations.VEERG_15_4_1_1__2_EmissionsFromPurchasedFertiliserComponentsVariation(AD353, $E353,AE353)</f>
        <v>0</v>
      </c>
      <c r="I353" s="69"/>
      <c r="J353" s="164" cm="1">
        <f t="array" ref="J353">Scope3_Equations.VEERG_15_4_1_1__1_EmissionsFromPurchasedFertiliser(E353,I353)</f>
        <v>0</v>
      </c>
      <c r="K353" s="164" cm="1">
        <f t="array" ref="K353">Scope3_Equations.VEERG_15_4_1_1__2_EmissionsFromPurchasedFertiliserComponentsVariation(R353, $E353,IF(T353,T353,S353))+
Scope3_Equations.VEERG_15_4_1_1__2_EmissionsFromPurchasedFertiliserComponentsVariation(V353, $E353,IF(X353,X353,W353))+
Scope3_Equations.VEERG_15_4_1_1__2_EmissionsFromPurchasedFertiliserComponentsVariation(Z353, $E353,IF(AB353,AB353,AA353))+
Scope3_Equations.VEERG_15_4_1_1__2_EmissionsFromPurchasedFertiliserComponentsVariation(AD353, $E353,IF(AF353,AF353,AE353))</f>
        <v>0</v>
      </c>
      <c r="L353" s="86"/>
      <c r="M353" s="48"/>
      <c r="N353" s="86"/>
      <c r="O353" s="50" t="str">
        <v/>
      </c>
      <c r="P353" s="50" t="str">
        <v/>
      </c>
      <c r="Q353" s="50" t="str">
        <v/>
      </c>
      <c r="R353" s="50">
        <v>0</v>
      </c>
      <c r="S353" s="50" cm="1">
        <f t="array" ref="S353">_xlfn.LET(_xlpm.result, Common_InputFunctions.Utility_LookupValueInTableTwoColumns(Q353, _xlfn.IFS(Q353="Urea",IF($O353="", "Global", $O353), Q353="Ammonia", IF($P353="", "Global", $P353), TRUE, "Global"), Table_SourceData_Scope3_InorganicFertiliser[Chemical compound],Table_SourceData_Scope3_InorganicFertiliser[Region of origin],Table_SourceData_Scope3_InorganicFertiliser[AusLCI Emissions intensity]), IF(_xlpm.result="", 0, _xlpm.result))</f>
        <v>0</v>
      </c>
      <c r="T353" s="69"/>
      <c r="U353" s="50" t="str">
        <v/>
      </c>
      <c r="V353" s="50">
        <v>0</v>
      </c>
      <c r="W353" s="50" cm="1">
        <f t="array" ref="W353">_xlfn.LET(_xlpm.result, Common_InputFunctions.Utility_LookupValueInTableTwoColumns(U353, _xlfn.IFS(U353="Urea",IF($O353="", "Global", $O353), U353="Ammonia", IF($P353="", "Global", $P353), TRUE, "Global"), Table_SourceData_Scope3_InorganicFertiliser[Chemical compound],Table_SourceData_Scope3_InorganicFertiliser[Region of origin],Table_SourceData_Scope3_InorganicFertiliser[AusLCI Emissions intensity]), IF(_xlpm.result="", 0, _xlpm.result))</f>
        <v>0</v>
      </c>
      <c r="X353" s="69"/>
      <c r="Y353" s="50" t="str">
        <v/>
      </c>
      <c r="Z353" s="50">
        <v>0</v>
      </c>
      <c r="AA353" s="50" cm="1">
        <f t="array" ref="AA353">_xlfn.LET(_xlpm.result, Common_InputFunctions.Utility_LookupValueInTableTwoColumns(Y353, _xlfn.IFS(Y353="Urea",IF($O353="", "Global", $O353), Y353="Ammonia", IF($P353="", "Global", $P353), TRUE, "Global"), Table_SourceData_Scope3_InorganicFertiliser[Chemical compound],Table_SourceData_Scope3_InorganicFertiliser[Region of origin],Table_SourceData_Scope3_InorganicFertiliser[AusLCI Emissions intensity]), IF(_xlpm.result="", 0, _xlpm.result))</f>
        <v>0</v>
      </c>
      <c r="AB353" s="69"/>
      <c r="AC353" s="50" t="str">
        <v/>
      </c>
      <c r="AD353" s="50">
        <v>0</v>
      </c>
      <c r="AE353" s="50" cm="1">
        <f t="array" ref="AE353">_xlfn.LET(_xlpm.result, Common_InputFunctions.Utility_LookupValueInTableTwoColumns(AC353, _xlfn.IFS(AC353="Urea",IF($O353="", "Global", $O353), AC353="Ammonia", IF($P353="", "Global", $P353), TRUE, "Global"), Table_SourceData_Scope3_InorganicFertiliser[Chemical compound],Table_SourceData_Scope3_InorganicFertiliser[Region of origin],Table_SourceData_Scope3_InorganicFertiliser[AusLCI Emissions intensity]), IF(_xlpm.result="", 0, _xlpm.result))</f>
        <v>0</v>
      </c>
      <c r="AF353" s="69"/>
    </row>
    <row r="365" spans="4:32" ht="23.25" x14ac:dyDescent="0.25">
      <c r="D365" s="9" t="s">
        <v>447</v>
      </c>
      <c r="F365" s="100" t="s">
        <v>448</v>
      </c>
      <c r="G365" s="116"/>
      <c r="H365" s="101"/>
    </row>
    <row r="366" spans="4:32" x14ac:dyDescent="0.25">
      <c r="E366" s="8" t="s">
        <v>667</v>
      </c>
    </row>
    <row r="367" spans="4:32" x14ac:dyDescent="0.25">
      <c r="D367" s="47" t="s">
        <v>394</v>
      </c>
      <c r="E367" s="165" t="s">
        <v>443</v>
      </c>
      <c r="F367" s="165" t="s">
        <v>387</v>
      </c>
      <c r="G367" s="60" t="s">
        <v>386</v>
      </c>
      <c r="H367" s="60" t="s">
        <v>383</v>
      </c>
      <c r="I367" s="47" t="s">
        <v>389</v>
      </c>
      <c r="J367" s="60" t="s">
        <v>384</v>
      </c>
      <c r="K367" s="47" t="s">
        <v>706</v>
      </c>
      <c r="L367" s="47" t="s">
        <v>707</v>
      </c>
      <c r="M367" s="47" t="s">
        <v>708</v>
      </c>
    </row>
    <row r="368" spans="4:32" x14ac:dyDescent="0.25">
      <c r="D368" s="50" t="str" cm="1">
        <f t="array" ref="D368:D377">IFERROR(INDEX(Table_Input_Packaging[Packaging name], _xlfn.SEQUENCE(10)), "")</f>
        <v>250g punnet</v>
      </c>
      <c r="E368" s="50" t="str" cm="1">
        <f t="array" ref="E368:E377">IFERROR(INDEX(Table_Input_Packaging[Primary material], _xlfn.SEQUENCE(10)), "")</f>
        <v>Plastic sheet HDPE</v>
      </c>
      <c r="F368" s="50" cm="1">
        <f t="array" ref="F368:F377">IFERROR(INDEX(Table_Input_Packaging[Total weight purchased (kg)], _xlfn.SEQUENCE(10)), "")</f>
        <v>2</v>
      </c>
      <c r="G368" s="50" cm="1">
        <f t="array" ref="G368">Common_InputFunctions.Utility_LookupValueInTableNumber(E368,Table_SourceData_Scope3_Packaging[Product],Table_SourceData_Scope3_Packaging[AusLCI Emissions intensity])</f>
        <v>3.72</v>
      </c>
      <c r="H368" s="164">
        <f t="shared" ref="H368:H377" si="1">IFERROR(G368*F368, 0)</f>
        <v>7.44</v>
      </c>
      <c r="I368" s="69">
        <v>3</v>
      </c>
      <c r="J368" s="164">
        <f t="shared" ref="J368:J377" si="2">IFERROR(IF(I368, F368*I368, F368*G368),0)</f>
        <v>6</v>
      </c>
      <c r="K368" s="86"/>
      <c r="L368" s="48"/>
      <c r="M368" s="179"/>
    </row>
    <row r="369" spans="4:13" x14ac:dyDescent="0.25">
      <c r="D369" s="50">
        <v>0</v>
      </c>
      <c r="E369" s="50">
        <v>0</v>
      </c>
      <c r="F369" s="50">
        <v>0</v>
      </c>
      <c r="G369" s="50" cm="1">
        <f t="array" ref="G369">Common_InputFunctions.Utility_LookupValueInTableNumber(E369,Table_SourceData_Scope3_Packaging[Product],Table_SourceData_Scope3_Packaging[AusLCI Emissions intensity])</f>
        <v>0</v>
      </c>
      <c r="H369" s="164">
        <f t="shared" si="1"/>
        <v>0</v>
      </c>
      <c r="I369" s="69"/>
      <c r="J369" s="164">
        <f t="shared" si="2"/>
        <v>0</v>
      </c>
      <c r="K369" s="86"/>
      <c r="L369" s="48"/>
      <c r="M369" s="86"/>
    </row>
    <row r="370" spans="4:13" x14ac:dyDescent="0.25">
      <c r="D370" s="50">
        <v>0</v>
      </c>
      <c r="E370" s="50">
        <v>0</v>
      </c>
      <c r="F370" s="50">
        <v>0</v>
      </c>
      <c r="G370" s="50" cm="1">
        <f t="array" ref="G370">Common_InputFunctions.Utility_LookupValueInTableNumber(E370,Table_SourceData_Scope3_Packaging[Product],Table_SourceData_Scope3_Packaging[AusLCI Emissions intensity])</f>
        <v>0</v>
      </c>
      <c r="H370" s="164">
        <f t="shared" si="1"/>
        <v>0</v>
      </c>
      <c r="I370" s="69"/>
      <c r="J370" s="164">
        <f t="shared" si="2"/>
        <v>0</v>
      </c>
      <c r="K370" s="86"/>
      <c r="L370" s="48"/>
      <c r="M370" s="86"/>
    </row>
    <row r="371" spans="4:13" x14ac:dyDescent="0.25">
      <c r="D371" s="50">
        <v>0</v>
      </c>
      <c r="E371" s="50">
        <v>0</v>
      </c>
      <c r="F371" s="50">
        <v>0</v>
      </c>
      <c r="G371" s="50" cm="1">
        <f t="array" ref="G371">Common_InputFunctions.Utility_LookupValueInTableNumber(E371,Table_SourceData_Scope3_Packaging[Product],Table_SourceData_Scope3_Packaging[AusLCI Emissions intensity])</f>
        <v>0</v>
      </c>
      <c r="H371" s="164">
        <f t="shared" si="1"/>
        <v>0</v>
      </c>
      <c r="I371" s="69"/>
      <c r="J371" s="164">
        <f t="shared" si="2"/>
        <v>0</v>
      </c>
      <c r="K371" s="86"/>
      <c r="L371" s="48"/>
      <c r="M371" s="86"/>
    </row>
    <row r="372" spans="4:13" x14ac:dyDescent="0.25">
      <c r="D372" s="50">
        <v>0</v>
      </c>
      <c r="E372" s="50">
        <v>0</v>
      </c>
      <c r="F372" s="50">
        <v>0</v>
      </c>
      <c r="G372" s="50" cm="1">
        <f t="array" ref="G372">Common_InputFunctions.Utility_LookupValueInTableNumber(E372,Table_SourceData_Scope3_Packaging[Product],Table_SourceData_Scope3_Packaging[AusLCI Emissions intensity])</f>
        <v>0</v>
      </c>
      <c r="H372" s="164">
        <f t="shared" si="1"/>
        <v>0</v>
      </c>
      <c r="I372" s="69"/>
      <c r="J372" s="164">
        <f t="shared" si="2"/>
        <v>0</v>
      </c>
      <c r="K372" s="86"/>
      <c r="L372" s="48"/>
      <c r="M372" s="86"/>
    </row>
    <row r="373" spans="4:13" x14ac:dyDescent="0.25">
      <c r="D373" s="50">
        <v>0</v>
      </c>
      <c r="E373" s="50">
        <v>0</v>
      </c>
      <c r="F373" s="50">
        <v>0</v>
      </c>
      <c r="G373" s="50" cm="1">
        <f t="array" ref="G373">Common_InputFunctions.Utility_LookupValueInTableNumber(E373,Table_SourceData_Scope3_Packaging[Product],Table_SourceData_Scope3_Packaging[AusLCI Emissions intensity])</f>
        <v>0</v>
      </c>
      <c r="H373" s="164">
        <f t="shared" si="1"/>
        <v>0</v>
      </c>
      <c r="I373" s="69"/>
      <c r="J373" s="164">
        <f t="shared" si="2"/>
        <v>0</v>
      </c>
      <c r="K373" s="86"/>
      <c r="L373" s="48"/>
      <c r="M373" s="86"/>
    </row>
    <row r="374" spans="4:13" x14ac:dyDescent="0.25">
      <c r="D374" s="50">
        <v>0</v>
      </c>
      <c r="E374" s="50">
        <v>0</v>
      </c>
      <c r="F374" s="50">
        <v>0</v>
      </c>
      <c r="G374" s="50" cm="1">
        <f t="array" ref="G374">Common_InputFunctions.Utility_LookupValueInTableNumber(E374,Table_SourceData_Scope3_Packaging[Product],Table_SourceData_Scope3_Packaging[AusLCI Emissions intensity])</f>
        <v>0</v>
      </c>
      <c r="H374" s="164">
        <f t="shared" si="1"/>
        <v>0</v>
      </c>
      <c r="I374" s="69"/>
      <c r="J374" s="164">
        <f t="shared" si="2"/>
        <v>0</v>
      </c>
      <c r="K374" s="86"/>
      <c r="L374" s="48"/>
      <c r="M374" s="86"/>
    </row>
    <row r="375" spans="4:13" x14ac:dyDescent="0.25">
      <c r="D375" s="50">
        <v>0</v>
      </c>
      <c r="E375" s="50">
        <v>0</v>
      </c>
      <c r="F375" s="50">
        <v>0</v>
      </c>
      <c r="G375" s="50" cm="1">
        <f t="array" ref="G375">Common_InputFunctions.Utility_LookupValueInTableNumber(E375,Table_SourceData_Scope3_Packaging[Product],Table_SourceData_Scope3_Packaging[AusLCI Emissions intensity])</f>
        <v>0</v>
      </c>
      <c r="H375" s="164">
        <f t="shared" si="1"/>
        <v>0</v>
      </c>
      <c r="I375" s="69"/>
      <c r="J375" s="164">
        <f t="shared" si="2"/>
        <v>0</v>
      </c>
      <c r="K375" s="86"/>
      <c r="L375" s="48"/>
      <c r="M375" s="86"/>
    </row>
    <row r="376" spans="4:13" x14ac:dyDescent="0.25">
      <c r="D376" s="50">
        <v>0</v>
      </c>
      <c r="E376" s="50">
        <v>0</v>
      </c>
      <c r="F376" s="50">
        <v>0</v>
      </c>
      <c r="G376" s="50" cm="1">
        <f t="array" ref="G376">Common_InputFunctions.Utility_LookupValueInTableNumber(E376,Table_SourceData_Scope3_Packaging[Product],Table_SourceData_Scope3_Packaging[AusLCI Emissions intensity])</f>
        <v>0</v>
      </c>
      <c r="H376" s="164">
        <f t="shared" si="1"/>
        <v>0</v>
      </c>
      <c r="I376" s="69"/>
      <c r="J376" s="164">
        <f t="shared" si="2"/>
        <v>0</v>
      </c>
      <c r="K376" s="86"/>
      <c r="L376" s="48"/>
      <c r="M376" s="86"/>
    </row>
    <row r="377" spans="4:13" x14ac:dyDescent="0.25">
      <c r="D377" s="50">
        <v>0</v>
      </c>
      <c r="E377" s="50">
        <v>0</v>
      </c>
      <c r="F377" s="50">
        <v>0</v>
      </c>
      <c r="G377" s="50" cm="1">
        <f t="array" ref="G377">Common_InputFunctions.Utility_LookupValueInTableNumber(E377,Table_SourceData_Scope3_Packaging[Product],Table_SourceData_Scope3_Packaging[AusLCI Emissions intensity])</f>
        <v>0</v>
      </c>
      <c r="H377" s="164">
        <f t="shared" si="1"/>
        <v>0</v>
      </c>
      <c r="I377" s="69"/>
      <c r="J377" s="164">
        <f t="shared" si="2"/>
        <v>0</v>
      </c>
      <c r="K377" s="86"/>
      <c r="L377" s="48"/>
      <c r="M377" s="86"/>
    </row>
    <row r="380" spans="4:13" ht="23.25" x14ac:dyDescent="0.25">
      <c r="D380" s="9" t="s">
        <v>681</v>
      </c>
      <c r="F380" s="100" t="s">
        <v>449</v>
      </c>
      <c r="G380" s="116"/>
      <c r="H380" s="101"/>
    </row>
    <row r="381" spans="4:13" x14ac:dyDescent="0.25">
      <c r="E381" s="60" t="s">
        <v>456</v>
      </c>
      <c r="F381" s="47" t="s">
        <v>457</v>
      </c>
    </row>
    <row r="382" spans="4:13" x14ac:dyDescent="0.25">
      <c r="D382" s="8" t="s">
        <v>455</v>
      </c>
      <c r="E382" s="50" cm="1">
        <f t="array" ref="E382">Common_InputFunctions.Utility_LookupValueInTableNumber("Limestone (crushed)", Table_SourceData_Scope3_SoilAmeliorants[Product],Table_SourceData_Scope3_SoilAmeliorants[AusLCI Emissions intensity])</f>
        <v>4.8500000000000001E-2</v>
      </c>
      <c r="F382" s="69">
        <v>0.04</v>
      </c>
    </row>
    <row r="383" spans="4:13" x14ac:dyDescent="0.25">
      <c r="D383" s="8" t="s">
        <v>454</v>
      </c>
      <c r="E383" s="50" cm="1">
        <f t="array" ref="E383">Common_InputFunctions.Utility_LookupValueInTableNumber("Dolomite", Table_SourceData_Scope3_SoilAmeliorants[Product],Table_SourceData_Scope3_SoilAmeliorants[AusLCI Emissions intensity])</f>
        <v>6.5199999999999994E-2</v>
      </c>
      <c r="F383" s="69">
        <v>6.5000000000000002E-2</v>
      </c>
    </row>
    <row r="384" spans="4:13" x14ac:dyDescent="0.25">
      <c r="D384" s="8" t="s">
        <v>453</v>
      </c>
      <c r="E384" s="50" cm="1">
        <f t="array" ref="E384">Common_InputFunctions.Utility_LookupValueInTableNumber("Gypsum", Table_SourceData_Scope3_SoilAmeliorants[Product],Table_SourceData_Scope3_SoilAmeliorants[AusLCI Emissions intensity])</f>
        <v>6.5199999999999994E-2</v>
      </c>
      <c r="F384" s="69">
        <v>6.5000000000000002E-2</v>
      </c>
    </row>
    <row r="386" spans="4:13" x14ac:dyDescent="0.25">
      <c r="D386" s="47" t="s">
        <v>173</v>
      </c>
      <c r="E386" s="165" t="s">
        <v>387</v>
      </c>
      <c r="F386" s="47" t="s">
        <v>450</v>
      </c>
      <c r="G386" s="47" t="s">
        <v>451</v>
      </c>
      <c r="H386" s="47" t="s">
        <v>452</v>
      </c>
      <c r="I386" s="60" t="s">
        <v>383</v>
      </c>
      <c r="J386" s="60" t="s">
        <v>384</v>
      </c>
      <c r="K386" s="47" t="s">
        <v>706</v>
      </c>
      <c r="L386" s="47" t="s">
        <v>707</v>
      </c>
      <c r="M386" s="47" t="s">
        <v>708</v>
      </c>
    </row>
    <row r="387" spans="4:13" x14ac:dyDescent="0.25">
      <c r="D387" s="50" t="str" cm="1">
        <f t="array" ref="D387:D396">IFERROR(INDEX(Table_Input_SoilAmeliorants[Product], _xlfn.SEQUENCE(10)), "")</f>
        <v>Lime product 1</v>
      </c>
      <c r="E387" s="50" cm="1">
        <f t="array" ref="E387:E396">IFERROR(INDEX(Table_Input_SoilAmeliorants[Total amount applied (t)]*10^3, _xlfn.SEQUENCE(10)), "")</f>
        <v>10000000</v>
      </c>
      <c r="F387" s="50" cm="1">
        <f t="array" ref="F387:F396">IFERROR(INDEX(Table_Input_SoilAmeliorants[Percent Lime CaCO3], _xlfn.SEQUENCE(10)), "")</f>
        <v>0.4</v>
      </c>
      <c r="G387" s="50" cm="1">
        <f t="array" ref="G387:G396">IFERROR(INDEX(Table_Input_SoilAmeliorants[Percent Dolomite CaMg(CO3)2], _xlfn.SEQUENCE(10)), "")</f>
        <v>0.3</v>
      </c>
      <c r="H387" s="50" cm="1">
        <f t="array" ref="H387:H396">IFERROR(INDEX(Table_Input_SoilAmeliorants[Percent Gypsum], _xlfn.SEQUENCE(10)), "")</f>
        <v>0.25</v>
      </c>
      <c r="I387" s="164">
        <f>IFERROR((E387*F387*$E$382)+(E387*G387*$E$383)+(E387*H387*E384), 0)</f>
        <v>552600</v>
      </c>
      <c r="J387" s="164">
        <f>IFERROR((E387*F387*IF($F$382, $F$382, $E$382))+(E387*G387*IF($F$383,$F$383,$E$383))+(E387*H387*IF($F$384,$F$384,$E$384)), 0)</f>
        <v>517500</v>
      </c>
      <c r="K387" s="86"/>
      <c r="L387" s="48"/>
      <c r="M387" s="179"/>
    </row>
    <row r="388" spans="4:13" x14ac:dyDescent="0.25">
      <c r="D388" s="50" t="str">
        <v>Lime product 2</v>
      </c>
      <c r="E388" s="50">
        <v>10000000</v>
      </c>
      <c r="F388" s="50">
        <v>1</v>
      </c>
      <c r="G388" s="50">
        <v>0</v>
      </c>
      <c r="H388" s="50">
        <v>0</v>
      </c>
      <c r="I388" s="164">
        <f>IFERROR((E388*F388*$E$382)+(E388*G388*$E$383)+(E388*H388*E385), 0)</f>
        <v>485000</v>
      </c>
      <c r="J388" s="164">
        <f>IFERROR((E388*F388*IF($F$382, $F$382, $E$382))+(E388*G388*IF($F$383,$F$383,$E$383))+(E388*H388*IF($F$384,$F$384,$E$384)), 0)</f>
        <v>400000</v>
      </c>
      <c r="K388" s="86"/>
      <c r="L388" s="48"/>
      <c r="M388" s="86"/>
    </row>
    <row r="389" spans="4:13" x14ac:dyDescent="0.25">
      <c r="D389" s="50" t="str">
        <v/>
      </c>
      <c r="E389" s="50" t="str">
        <v/>
      </c>
      <c r="F389" s="50" t="str">
        <v/>
      </c>
      <c r="G389" s="50" t="str">
        <v/>
      </c>
      <c r="H389" s="50" t="str">
        <v/>
      </c>
      <c r="I389" s="164">
        <f>IFERROR((E389*F389*$E$382)+(E389*G389*$E$383)+(E389*H389*#REF!), 0)</f>
        <v>0</v>
      </c>
      <c r="J389" s="164">
        <f>IFERROR((E389*F389*IF($F$382, $F$382, $E$382))+(E389*G389*IF($F$383,$F$383,$E$383))+(E389*H389*IF($F$384,$F$384,$E$384)), 0)</f>
        <v>0</v>
      </c>
      <c r="K389" s="86"/>
      <c r="L389" s="48"/>
      <c r="M389" s="86"/>
    </row>
    <row r="390" spans="4:13" x14ac:dyDescent="0.25">
      <c r="D390" s="50" t="str">
        <v/>
      </c>
      <c r="E390" s="50" t="str">
        <v/>
      </c>
      <c r="F390" s="50" t="str">
        <v/>
      </c>
      <c r="G390" s="50" t="str">
        <v/>
      </c>
      <c r="H390" s="50" t="str">
        <v/>
      </c>
      <c r="I390" s="164">
        <f>IFERROR((E390*F390*$E$382)+(E390*G390*$E$383)+(E390*H390*#REF!), 0)</f>
        <v>0</v>
      </c>
      <c r="J390" s="164">
        <f>IFERROR((E390*F390*IF($F$382, $F$382, $E$382))+(E390*G390*IF($F$383,$F$383,$E$383))+(E390*H390*IF($F$384,$F$384,$E$384)), 0)</f>
        <v>0</v>
      </c>
      <c r="K390" s="86"/>
      <c r="L390" s="48"/>
      <c r="M390" s="86"/>
    </row>
    <row r="391" spans="4:13" x14ac:dyDescent="0.25">
      <c r="D391" s="50" t="str">
        <v/>
      </c>
      <c r="E391" s="50" t="str">
        <v/>
      </c>
      <c r="F391" s="50" t="str">
        <v/>
      </c>
      <c r="G391" s="50" t="str">
        <v/>
      </c>
      <c r="H391" s="50" t="str">
        <v/>
      </c>
      <c r="I391" s="164">
        <f>IFERROR((E391*F391*$E$382)+(E391*G391*$E$383)+(E391*H391*#REF!), 0)</f>
        <v>0</v>
      </c>
      <c r="J391" s="164">
        <f>IFERROR((E391*F391*IF($F$382, $F$382, $E$382))+(E391*G391*IF($F$383,$F$383,$E$383))+(E391*H391*IF($F$384,$F$384,$E$384)), 0)</f>
        <v>0</v>
      </c>
      <c r="K391" s="86"/>
      <c r="L391" s="48"/>
      <c r="M391" s="86"/>
    </row>
    <row r="392" spans="4:13" x14ac:dyDescent="0.25">
      <c r="D392" s="50" t="str">
        <v/>
      </c>
      <c r="E392" s="50" t="str">
        <v/>
      </c>
      <c r="F392" s="50" t="str">
        <v/>
      </c>
      <c r="G392" s="50" t="str">
        <v/>
      </c>
      <c r="H392" s="50" t="str">
        <v/>
      </c>
      <c r="I392" s="164">
        <f>IFERROR((E392*F392*$E$382)+(E392*G392*$E$383)+(E392*H392*#REF!), 0)</f>
        <v>0</v>
      </c>
      <c r="J392" s="164">
        <f>IFERROR((E392*F392*IF($F$382, $F$382, $E$382))+(E392*G392*IF($F$383,$F$383,$E$383))+(E392*H392*IF($F$384,$F$384,$E$384)), 0)</f>
        <v>0</v>
      </c>
      <c r="K392" s="86"/>
      <c r="L392" s="48"/>
      <c r="M392" s="86"/>
    </row>
    <row r="393" spans="4:13" x14ac:dyDescent="0.25">
      <c r="D393" s="50" t="str">
        <v/>
      </c>
      <c r="E393" s="50" t="str">
        <v/>
      </c>
      <c r="F393" s="50" t="str">
        <v/>
      </c>
      <c r="G393" s="50" t="str">
        <v/>
      </c>
      <c r="H393" s="50" t="str">
        <v/>
      </c>
      <c r="I393" s="164">
        <f>IFERROR((E393*F393*$E$382)+(E393*G393*$E$383)+(E393*H393*#REF!), 0)</f>
        <v>0</v>
      </c>
      <c r="J393" s="164">
        <f>IFERROR((E393*F393*IF($F$382, $F$382, $E$382))+(E393*G393*IF($F$383,$F$383,$E$383))+(E393*H393*IF($F$384,$F$384,$E$384)), 0)</f>
        <v>0</v>
      </c>
      <c r="K393" s="86"/>
      <c r="L393" s="48"/>
      <c r="M393" s="86"/>
    </row>
    <row r="394" spans="4:13" x14ac:dyDescent="0.25">
      <c r="D394" s="50" t="str">
        <v/>
      </c>
      <c r="E394" s="50" t="str">
        <v/>
      </c>
      <c r="F394" s="50" t="str">
        <v/>
      </c>
      <c r="G394" s="50" t="str">
        <v/>
      </c>
      <c r="H394" s="50" t="str">
        <v/>
      </c>
      <c r="I394" s="164">
        <f>IFERROR((E394*F394*$E$382)+(E394*G394*$E$383)+(E394*H394*#REF!), 0)</f>
        <v>0</v>
      </c>
      <c r="J394" s="164">
        <f>IFERROR((E394*F394*IF($F$382, $F$382, $E$382))+(E394*G394*IF($F$383,$F$383,$E$383))+(E394*H394*IF($F$384,$F$384,$E$384)), 0)</f>
        <v>0</v>
      </c>
      <c r="K394" s="86"/>
      <c r="L394" s="48"/>
      <c r="M394" s="86"/>
    </row>
    <row r="395" spans="4:13" x14ac:dyDescent="0.25">
      <c r="D395" s="50" t="str">
        <v/>
      </c>
      <c r="E395" s="50" t="str">
        <v/>
      </c>
      <c r="F395" s="50" t="str">
        <v/>
      </c>
      <c r="G395" s="50" t="str">
        <v/>
      </c>
      <c r="H395" s="50" t="str">
        <v/>
      </c>
      <c r="I395" s="164">
        <f>IFERROR((E395*F395*$E$382)+(E395*G395*$E$383)+(E395*H395*#REF!), 0)</f>
        <v>0</v>
      </c>
      <c r="J395" s="164">
        <f>IFERROR((E395*F395*IF($F$382, $F$382, $E$382))+(E395*G395*IF($F$383,$F$383,$E$383))+(E395*H395*IF($F$384,$F$384,$E$384)), 0)</f>
        <v>0</v>
      </c>
      <c r="K395" s="86"/>
      <c r="L395" s="48"/>
      <c r="M395" s="86"/>
    </row>
    <row r="396" spans="4:13" x14ac:dyDescent="0.25">
      <c r="D396" s="50" t="str">
        <v/>
      </c>
      <c r="E396" s="50" t="str">
        <v/>
      </c>
      <c r="F396" s="50" t="str">
        <v/>
      </c>
      <c r="G396" s="50" t="str">
        <v/>
      </c>
      <c r="H396" s="50" t="str">
        <v/>
      </c>
      <c r="I396" s="164">
        <f>IFERROR((E396*F396*$E$382)+(E396*G396*$E$383)+(E396*H396*#REF!), 0)</f>
        <v>0</v>
      </c>
      <c r="J396" s="164">
        <f>IFERROR((E396*F396*IF($F$382, $F$382, $E$382))+(E396*G396*IF($F$383,$F$383,$E$383))+(E396*H396*IF($F$384,$F$384,$E$384)), 0)</f>
        <v>0</v>
      </c>
      <c r="K396" s="86"/>
      <c r="L396" s="48"/>
      <c r="M396" s="86"/>
    </row>
    <row r="398" spans="4:13" x14ac:dyDescent="0.25">
      <c r="E398" s="8" t="s">
        <v>471</v>
      </c>
    </row>
    <row r="399" spans="4:13" x14ac:dyDescent="0.25">
      <c r="E399" s="8" t="s">
        <v>625</v>
      </c>
    </row>
    <row r="400" spans="4:13" ht="23.25" x14ac:dyDescent="0.25">
      <c r="D400" s="9" t="s">
        <v>399</v>
      </c>
      <c r="E400" s="100" t="s">
        <v>468</v>
      </c>
      <c r="F400" s="116"/>
      <c r="G400" s="101"/>
    </row>
    <row r="401" spans="4:21" x14ac:dyDescent="0.25">
      <c r="D401" s="47" t="s">
        <v>173</v>
      </c>
      <c r="E401" s="47" t="s">
        <v>209</v>
      </c>
      <c r="F401" s="60" t="s">
        <v>463</v>
      </c>
      <c r="G401" s="60" t="s">
        <v>383</v>
      </c>
      <c r="H401" s="47" t="s">
        <v>464</v>
      </c>
      <c r="I401" s="60" t="s">
        <v>384</v>
      </c>
      <c r="J401" s="47" t="s">
        <v>706</v>
      </c>
      <c r="K401" s="47" t="s">
        <v>707</v>
      </c>
      <c r="L401" s="47" t="s">
        <v>708</v>
      </c>
      <c r="M401" s="60" t="s">
        <v>177</v>
      </c>
      <c r="N401" s="60" t="s">
        <v>465</v>
      </c>
      <c r="O401" s="60" t="s">
        <v>462</v>
      </c>
      <c r="P401" s="60" t="s">
        <v>179</v>
      </c>
      <c r="Q401" s="60" t="s">
        <v>469</v>
      </c>
      <c r="R401" s="60" t="s">
        <v>466</v>
      </c>
      <c r="S401" s="60" t="s">
        <v>181</v>
      </c>
      <c r="T401" s="60" t="s">
        <v>470</v>
      </c>
      <c r="U401" s="60" t="s">
        <v>467</v>
      </c>
    </row>
    <row r="402" spans="4:21" x14ac:dyDescent="0.25">
      <c r="D402" s="50" t="str" cm="1">
        <f t="array" ref="D402:D411">IFERROR(INDEX(Table_Input_Pesticides[Product name], _xlfn.SEQUENCE(10)), "")</f>
        <v>QA MCPA + Picloram SL Herbicide</v>
      </c>
      <c r="E402" s="50" cm="1">
        <f t="array" ref="E402:E411">IFERROR(INDEX(Table_Input_Pesticides[Total applied], _xlfn.SEQUENCE(10)), "")</f>
        <v>1000</v>
      </c>
      <c r="F402" s="50">
        <f>IFERROR(((N402*O402)+(Q402*R402)+(T402*U402))/E402,0)</f>
        <v>4.0853600000000005</v>
      </c>
      <c r="G402" s="164">
        <f>IFERROR(E402*F402,0)</f>
        <v>4085.3600000000006</v>
      </c>
      <c r="H402" s="69">
        <v>4</v>
      </c>
      <c r="I402" s="164">
        <f>IFERROR(E402*H402,0)</f>
        <v>4000</v>
      </c>
      <c r="J402" s="86"/>
      <c r="K402" s="48"/>
      <c r="L402" s="179"/>
      <c r="M402" s="50" t="str" cm="1">
        <f t="array" ref="M402:M411">IFERROR(INDEX(Table_Input_Pesticides[Active ingredient 1 (select)], _xlfn.SEQUENCE(10)), "")</f>
        <v>Pesticides (generic)</v>
      </c>
      <c r="N402" s="50" cm="1">
        <f t="array" ref="N402:N411">IFERROR(INDEX(Table_Input_Pesticides[Total active ingredient 1 (kg)], _xlfn.SEQUENCE(10)), "")</f>
        <v>26</v>
      </c>
      <c r="O402" s="50" cm="1">
        <f t="array" ref="O402">Common_InputFunctions.Utility_LookupValueInTableNumber(M402,Table_SourceData_Scope3_Pesticides[Product],Table_SourceData_Scope3_Pesticides[AusLCI Emissions intensity])</f>
        <v>9.16</v>
      </c>
      <c r="P402" s="50" t="str" cm="1">
        <f t="array" ref="P402:P411">IFERROR(INDEX(Table_Input_Pesticides[Active ingredient 2 (select)], _xlfn.SEQUENCE(10)), "")</f>
        <v>Pesticides (generic)</v>
      </c>
      <c r="Q402" s="50" cm="1">
        <f t="array" ref="Q402:Q411">IFERROR(INDEX(Table_Input_Pesticides[Total active ingredient 2 (kg)], _xlfn.SEQUENCE(10)), "")</f>
        <v>420</v>
      </c>
      <c r="R402" s="50" cm="1">
        <f t="array" ref="R402">Common_InputFunctions.Utility_LookupValueInTableNumber(P402,Table_SourceData_Scope3_Pesticides[Product],Table_SourceData_Scope3_Pesticides[AusLCI Emissions intensity])</f>
        <v>9.16</v>
      </c>
      <c r="S402" s="50" cm="1">
        <f t="array" ref="S402:S411">IFERROR(INDEX(Table_Input_Pesticides[Active ingredient 3 (select)], _xlfn.SEQUENCE(10)), "")</f>
        <v>0</v>
      </c>
      <c r="T402" s="50" cm="1">
        <f t="array" ref="T402:T411">IFERROR(INDEX(Table_Input_Pesticides[Total active ingredient 3 (kg)], _xlfn.SEQUENCE(10)), "")</f>
        <v>0</v>
      </c>
      <c r="U402" s="50" cm="1">
        <f t="array" ref="U402">Common_InputFunctions.Utility_LookupValueInTableNumber(S402,Table_SourceData_Scope3_Pesticides[Product],Table_SourceData_Scope3_Pesticides[AusLCI Emissions intensity])</f>
        <v>0</v>
      </c>
    </row>
    <row r="403" spans="4:21" x14ac:dyDescent="0.25">
      <c r="D403" s="50" t="str">
        <v>Heben Propiconazole 550EC Fungicide</v>
      </c>
      <c r="E403" s="50">
        <v>1000</v>
      </c>
      <c r="F403" s="50">
        <f>IFERROR(((N403*O403)+(Q403*R403)+(T403*U403))/E403,0)</f>
        <v>5.0380000000000003</v>
      </c>
      <c r="G403" s="164">
        <f t="shared" ref="G403:G411" si="3">IFERROR(E403*F403,0)</f>
        <v>5038</v>
      </c>
      <c r="H403" s="69">
        <v>2</v>
      </c>
      <c r="I403" s="164">
        <f t="shared" ref="I403:I411" si="4">IFERROR(E403*H403,0)</f>
        <v>2000</v>
      </c>
      <c r="J403" s="86"/>
      <c r="K403" s="48"/>
      <c r="L403" s="86"/>
      <c r="M403" s="50" t="str">
        <v>Pesticides (generic)</v>
      </c>
      <c r="N403" s="50">
        <v>550</v>
      </c>
      <c r="O403" s="50" cm="1">
        <f t="array" ref="O403">Common_InputFunctions.Utility_LookupValueInTableNumber(M403,Table_SourceData_Scope3_Pesticides[Product],Table_SourceData_Scope3_Pesticides[AusLCI Emissions intensity])</f>
        <v>9.16</v>
      </c>
      <c r="P403" s="50">
        <v>0</v>
      </c>
      <c r="Q403" s="50">
        <v>0</v>
      </c>
      <c r="R403" s="50" cm="1">
        <f t="array" ref="R403">Common_InputFunctions.Utility_LookupValueInTableNumber(P403,Table_SourceData_Scope3_Pesticides[Product],Table_SourceData_Scope3_Pesticides[AusLCI Emissions intensity])</f>
        <v>0</v>
      </c>
      <c r="S403" s="50">
        <v>0</v>
      </c>
      <c r="T403" s="50">
        <v>0</v>
      </c>
      <c r="U403" s="50" cm="1">
        <f t="array" ref="U403">Common_InputFunctions.Utility_LookupValueInTableNumber(S403,Table_SourceData_Scope3_Pesticides[Product],Table_SourceData_Scope3_Pesticides[AusLCI Emissions intensity])</f>
        <v>0</v>
      </c>
    </row>
    <row r="404" spans="4:21" x14ac:dyDescent="0.25">
      <c r="D404" s="50" t="str">
        <v>NovaGuard Boscalid 500 WG Fungicide</v>
      </c>
      <c r="E404" s="50">
        <v>1000</v>
      </c>
      <c r="F404" s="50">
        <f>IFERROR(((N404*O404)+(Q404*R404)+(T404*U404))/E404,0)</f>
        <v>4.58</v>
      </c>
      <c r="G404" s="164">
        <f t="shared" si="3"/>
        <v>4580</v>
      </c>
      <c r="H404" s="69"/>
      <c r="I404" s="164">
        <f t="shared" si="4"/>
        <v>0</v>
      </c>
      <c r="J404" s="86"/>
      <c r="K404" s="48"/>
      <c r="L404" s="86"/>
      <c r="M404" s="50" t="str">
        <v>Pesticides (generic)</v>
      </c>
      <c r="N404" s="50">
        <v>500</v>
      </c>
      <c r="O404" s="50" cm="1">
        <f t="array" ref="O404">Common_InputFunctions.Utility_LookupValueInTableNumber(M404,Table_SourceData_Scope3_Pesticides[Product],Table_SourceData_Scope3_Pesticides[AusLCI Emissions intensity])</f>
        <v>9.16</v>
      </c>
      <c r="P404" s="50">
        <v>0</v>
      </c>
      <c r="Q404" s="50">
        <v>0</v>
      </c>
      <c r="R404" s="50" cm="1">
        <f t="array" ref="R404">Common_InputFunctions.Utility_LookupValueInTableNumber(P404,Table_SourceData_Scope3_Pesticides[Product],Table_SourceData_Scope3_Pesticides[AusLCI Emissions intensity])</f>
        <v>0</v>
      </c>
      <c r="S404" s="50">
        <v>0</v>
      </c>
      <c r="T404" s="50">
        <v>0</v>
      </c>
      <c r="U404" s="50" cm="1">
        <f t="array" ref="U404">Common_InputFunctions.Utility_LookupValueInTableNumber(S404,Table_SourceData_Scope3_Pesticides[Product],Table_SourceData_Scope3_Pesticides[AusLCI Emissions intensity])</f>
        <v>0</v>
      </c>
    </row>
    <row r="405" spans="4:21" x14ac:dyDescent="0.25">
      <c r="D405" s="50">
        <v>0</v>
      </c>
      <c r="E405" s="50">
        <v>0</v>
      </c>
      <c r="F405" s="50">
        <f>IFERROR(((N405*O405)+(Q405*R405)+(T405*U405))/E405,0)</f>
        <v>0</v>
      </c>
      <c r="G405" s="164">
        <f t="shared" si="3"/>
        <v>0</v>
      </c>
      <c r="H405" s="69"/>
      <c r="I405" s="164">
        <f t="shared" si="4"/>
        <v>0</v>
      </c>
      <c r="J405" s="86"/>
      <c r="K405" s="48"/>
      <c r="L405" s="86"/>
      <c r="M405" s="50">
        <v>0</v>
      </c>
      <c r="N405" s="50">
        <v>0</v>
      </c>
      <c r="O405" s="50" cm="1">
        <f t="array" ref="O405">Common_InputFunctions.Utility_LookupValueInTableNumber(M405,Table_SourceData_Scope3_Pesticides[Product],Table_SourceData_Scope3_Pesticides[AusLCI Emissions intensity])</f>
        <v>0</v>
      </c>
      <c r="P405" s="50">
        <v>0</v>
      </c>
      <c r="Q405" s="50">
        <v>0</v>
      </c>
      <c r="R405" s="50" cm="1">
        <f t="array" ref="R405">Common_InputFunctions.Utility_LookupValueInTableNumber(P405,Table_SourceData_Scope3_Pesticides[Product],Table_SourceData_Scope3_Pesticides[AusLCI Emissions intensity])</f>
        <v>0</v>
      </c>
      <c r="S405" s="50">
        <v>0</v>
      </c>
      <c r="T405" s="50">
        <v>0</v>
      </c>
      <c r="U405" s="50" cm="1">
        <f t="array" ref="U405">Common_InputFunctions.Utility_LookupValueInTableNumber(S405,Table_SourceData_Scope3_Pesticides[Product],Table_SourceData_Scope3_Pesticides[AusLCI Emissions intensity])</f>
        <v>0</v>
      </c>
    </row>
    <row r="406" spans="4:21" x14ac:dyDescent="0.25">
      <c r="D406" s="50">
        <v>0</v>
      </c>
      <c r="E406" s="50">
        <v>0</v>
      </c>
      <c r="F406" s="50">
        <f>IFERROR(((N406*O406)+(Q406*R406)+(T406*U406))/E406,0)</f>
        <v>0</v>
      </c>
      <c r="G406" s="164">
        <f t="shared" si="3"/>
        <v>0</v>
      </c>
      <c r="H406" s="69"/>
      <c r="I406" s="164">
        <f t="shared" si="4"/>
        <v>0</v>
      </c>
      <c r="J406" s="86"/>
      <c r="K406" s="48"/>
      <c r="L406" s="86"/>
      <c r="M406" s="50">
        <v>0</v>
      </c>
      <c r="N406" s="50">
        <v>0</v>
      </c>
      <c r="O406" s="50" cm="1">
        <f t="array" ref="O406">Common_InputFunctions.Utility_LookupValueInTableNumber(M406,Table_SourceData_Scope3_Pesticides[Product],Table_SourceData_Scope3_Pesticides[AusLCI Emissions intensity])</f>
        <v>0</v>
      </c>
      <c r="P406" s="50">
        <v>0</v>
      </c>
      <c r="Q406" s="50">
        <v>0</v>
      </c>
      <c r="R406" s="50" cm="1">
        <f t="array" ref="R406">Common_InputFunctions.Utility_LookupValueInTableNumber(P406,Table_SourceData_Scope3_Pesticides[Product],Table_SourceData_Scope3_Pesticides[AusLCI Emissions intensity])</f>
        <v>0</v>
      </c>
      <c r="S406" s="50">
        <v>0</v>
      </c>
      <c r="T406" s="50">
        <v>0</v>
      </c>
      <c r="U406" s="50" cm="1">
        <f t="array" ref="U406">Common_InputFunctions.Utility_LookupValueInTableNumber(S406,Table_SourceData_Scope3_Pesticides[Product],Table_SourceData_Scope3_Pesticides[AusLCI Emissions intensity])</f>
        <v>0</v>
      </c>
    </row>
    <row r="407" spans="4:21" x14ac:dyDescent="0.25">
      <c r="D407" s="50">
        <v>0</v>
      </c>
      <c r="E407" s="50">
        <v>0</v>
      </c>
      <c r="F407" s="50">
        <f>IFERROR(((N407*O407)+(Q407*R407)+(T407*U407))/E407,0)</f>
        <v>0</v>
      </c>
      <c r="G407" s="164">
        <f t="shared" si="3"/>
        <v>0</v>
      </c>
      <c r="H407" s="69"/>
      <c r="I407" s="164">
        <f t="shared" si="4"/>
        <v>0</v>
      </c>
      <c r="J407" s="86"/>
      <c r="K407" s="48"/>
      <c r="L407" s="86"/>
      <c r="M407" s="50">
        <v>0</v>
      </c>
      <c r="N407" s="50">
        <v>0</v>
      </c>
      <c r="O407" s="50" cm="1">
        <f t="array" ref="O407">Common_InputFunctions.Utility_LookupValueInTableNumber(M407,Table_SourceData_Scope3_Pesticides[Product],Table_SourceData_Scope3_Pesticides[AusLCI Emissions intensity])</f>
        <v>0</v>
      </c>
      <c r="P407" s="50">
        <v>0</v>
      </c>
      <c r="Q407" s="50">
        <v>0</v>
      </c>
      <c r="R407" s="50" cm="1">
        <f t="array" ref="R407">Common_InputFunctions.Utility_LookupValueInTableNumber(P407,Table_SourceData_Scope3_Pesticides[Product],Table_SourceData_Scope3_Pesticides[AusLCI Emissions intensity])</f>
        <v>0</v>
      </c>
      <c r="S407" s="50">
        <v>0</v>
      </c>
      <c r="T407" s="50">
        <v>0</v>
      </c>
      <c r="U407" s="50" cm="1">
        <f t="array" ref="U407">Common_InputFunctions.Utility_LookupValueInTableNumber(S407,Table_SourceData_Scope3_Pesticides[Product],Table_SourceData_Scope3_Pesticides[AusLCI Emissions intensity])</f>
        <v>0</v>
      </c>
    </row>
    <row r="408" spans="4:21" x14ac:dyDescent="0.25">
      <c r="D408" s="50">
        <v>0</v>
      </c>
      <c r="E408" s="50">
        <v>0</v>
      </c>
      <c r="F408" s="50">
        <f>IFERROR(((N408*O408)+(Q408*R408)+(T408*U408))/E408,0)</f>
        <v>0</v>
      </c>
      <c r="G408" s="164">
        <f t="shared" si="3"/>
        <v>0</v>
      </c>
      <c r="H408" s="69"/>
      <c r="I408" s="164">
        <f t="shared" si="4"/>
        <v>0</v>
      </c>
      <c r="J408" s="86"/>
      <c r="K408" s="48"/>
      <c r="L408" s="86"/>
      <c r="M408" s="50">
        <v>0</v>
      </c>
      <c r="N408" s="50">
        <v>0</v>
      </c>
      <c r="O408" s="50" cm="1">
        <f t="array" ref="O408">Common_InputFunctions.Utility_LookupValueInTableNumber(M408,Table_SourceData_Scope3_Pesticides[Product],Table_SourceData_Scope3_Pesticides[AusLCI Emissions intensity])</f>
        <v>0</v>
      </c>
      <c r="P408" s="50">
        <v>0</v>
      </c>
      <c r="Q408" s="50">
        <v>0</v>
      </c>
      <c r="R408" s="50" cm="1">
        <f t="array" ref="R408">Common_InputFunctions.Utility_LookupValueInTableNumber(P408,Table_SourceData_Scope3_Pesticides[Product],Table_SourceData_Scope3_Pesticides[AusLCI Emissions intensity])</f>
        <v>0</v>
      </c>
      <c r="S408" s="50">
        <v>0</v>
      </c>
      <c r="T408" s="50">
        <v>0</v>
      </c>
      <c r="U408" s="50" cm="1">
        <f t="array" ref="U408">Common_InputFunctions.Utility_LookupValueInTableNumber(S408,Table_SourceData_Scope3_Pesticides[Product],Table_SourceData_Scope3_Pesticides[AusLCI Emissions intensity])</f>
        <v>0</v>
      </c>
    </row>
    <row r="409" spans="4:21" x14ac:dyDescent="0.25">
      <c r="D409" s="50">
        <v>0</v>
      </c>
      <c r="E409" s="50">
        <v>0</v>
      </c>
      <c r="F409" s="50">
        <f>IFERROR(((N409*O409)+(Q409*R409)+(T409*U409))/E409,0)</f>
        <v>0</v>
      </c>
      <c r="G409" s="164">
        <f t="shared" si="3"/>
        <v>0</v>
      </c>
      <c r="H409" s="69"/>
      <c r="I409" s="164">
        <f t="shared" si="4"/>
        <v>0</v>
      </c>
      <c r="J409" s="86"/>
      <c r="K409" s="48"/>
      <c r="L409" s="86"/>
      <c r="M409" s="50">
        <v>0</v>
      </c>
      <c r="N409" s="50">
        <v>0</v>
      </c>
      <c r="O409" s="50" cm="1">
        <f t="array" ref="O409">Common_InputFunctions.Utility_LookupValueInTableNumber(M409,Table_SourceData_Scope3_Pesticides[Product],Table_SourceData_Scope3_Pesticides[AusLCI Emissions intensity])</f>
        <v>0</v>
      </c>
      <c r="P409" s="50">
        <v>0</v>
      </c>
      <c r="Q409" s="50">
        <v>0</v>
      </c>
      <c r="R409" s="50" cm="1">
        <f t="array" ref="R409">Common_InputFunctions.Utility_LookupValueInTableNumber(P409,Table_SourceData_Scope3_Pesticides[Product],Table_SourceData_Scope3_Pesticides[AusLCI Emissions intensity])</f>
        <v>0</v>
      </c>
      <c r="S409" s="50">
        <v>0</v>
      </c>
      <c r="T409" s="50">
        <v>0</v>
      </c>
      <c r="U409" s="50" cm="1">
        <f t="array" ref="U409">Common_InputFunctions.Utility_LookupValueInTableNumber(S409,Table_SourceData_Scope3_Pesticides[Product],Table_SourceData_Scope3_Pesticides[AusLCI Emissions intensity])</f>
        <v>0</v>
      </c>
    </row>
    <row r="410" spans="4:21" x14ac:dyDescent="0.25">
      <c r="D410" s="50">
        <v>0</v>
      </c>
      <c r="E410" s="50">
        <v>0</v>
      </c>
      <c r="F410" s="50">
        <f>IFERROR(((N410*O410)+(Q410*R410)+(T410*U410))/E410,0)</f>
        <v>0</v>
      </c>
      <c r="G410" s="164">
        <f t="shared" si="3"/>
        <v>0</v>
      </c>
      <c r="H410" s="69"/>
      <c r="I410" s="164">
        <f t="shared" si="4"/>
        <v>0</v>
      </c>
      <c r="J410" s="86"/>
      <c r="K410" s="48"/>
      <c r="L410" s="86"/>
      <c r="M410" s="50">
        <v>0</v>
      </c>
      <c r="N410" s="50">
        <v>0</v>
      </c>
      <c r="O410" s="50" cm="1">
        <f t="array" ref="O410">Common_InputFunctions.Utility_LookupValueInTableNumber(M410,Table_SourceData_Scope3_Pesticides[Product],Table_SourceData_Scope3_Pesticides[AusLCI Emissions intensity])</f>
        <v>0</v>
      </c>
      <c r="P410" s="50">
        <v>0</v>
      </c>
      <c r="Q410" s="50">
        <v>0</v>
      </c>
      <c r="R410" s="50" cm="1">
        <f t="array" ref="R410">Common_InputFunctions.Utility_LookupValueInTableNumber(P410,Table_SourceData_Scope3_Pesticides[Product],Table_SourceData_Scope3_Pesticides[AusLCI Emissions intensity])</f>
        <v>0</v>
      </c>
      <c r="S410" s="50">
        <v>0</v>
      </c>
      <c r="T410" s="50">
        <v>0</v>
      </c>
      <c r="U410" s="50" cm="1">
        <f t="array" ref="U410">Common_InputFunctions.Utility_LookupValueInTableNumber(S410,Table_SourceData_Scope3_Pesticides[Product],Table_SourceData_Scope3_Pesticides[AusLCI Emissions intensity])</f>
        <v>0</v>
      </c>
    </row>
    <row r="411" spans="4:21" x14ac:dyDescent="0.25">
      <c r="D411" s="50">
        <v>0</v>
      </c>
      <c r="E411" s="50">
        <v>0</v>
      </c>
      <c r="F411" s="50">
        <f>IFERROR(((N411*O411)+(Q411*R411)+(T411*U411))/E411,0)</f>
        <v>0</v>
      </c>
      <c r="G411" s="164">
        <f t="shared" si="3"/>
        <v>0</v>
      </c>
      <c r="H411" s="69"/>
      <c r="I411" s="164">
        <f t="shared" si="4"/>
        <v>0</v>
      </c>
      <c r="J411" s="86"/>
      <c r="K411" s="48"/>
      <c r="L411" s="86"/>
      <c r="M411" s="50">
        <v>0</v>
      </c>
      <c r="N411" s="50">
        <v>0</v>
      </c>
      <c r="O411" s="50" cm="1">
        <f t="array" ref="O411">Common_InputFunctions.Utility_LookupValueInTableNumber(M411,Table_SourceData_Scope3_Pesticides[Product],Table_SourceData_Scope3_Pesticides[AusLCI Emissions intensity])</f>
        <v>0</v>
      </c>
      <c r="P411" s="50">
        <v>0</v>
      </c>
      <c r="Q411" s="50">
        <v>0</v>
      </c>
      <c r="R411" s="50" cm="1">
        <f t="array" ref="R411">Common_InputFunctions.Utility_LookupValueInTableNumber(P411,Table_SourceData_Scope3_Pesticides[Product],Table_SourceData_Scope3_Pesticides[AusLCI Emissions intensity])</f>
        <v>0</v>
      </c>
      <c r="S411" s="50">
        <v>0</v>
      </c>
      <c r="T411" s="50">
        <v>0</v>
      </c>
      <c r="U411" s="50" cm="1">
        <f t="array" ref="U411">Common_InputFunctions.Utility_LookupValueInTableNumber(S411,Table_SourceData_Scope3_Pesticides[Product],Table_SourceData_Scope3_Pesticides[AusLCI Emissions intensity])</f>
        <v>0</v>
      </c>
    </row>
    <row r="414" spans="4:21" ht="23.25" x14ac:dyDescent="0.25">
      <c r="D414" s="9" t="s">
        <v>669</v>
      </c>
    </row>
    <row r="415" spans="4:21" x14ac:dyDescent="0.25">
      <c r="D415" s="47" t="s">
        <v>670</v>
      </c>
      <c r="E415" s="47" t="s">
        <v>692</v>
      </c>
      <c r="F415" s="47" t="s">
        <v>676</v>
      </c>
      <c r="G415" s="47" t="s">
        <v>128</v>
      </c>
      <c r="H415" s="60" t="s">
        <v>463</v>
      </c>
      <c r="I415" s="60" t="s">
        <v>383</v>
      </c>
      <c r="J415" s="47" t="s">
        <v>464</v>
      </c>
      <c r="K415" s="60" t="s">
        <v>384</v>
      </c>
      <c r="L415" s="60" t="s">
        <v>677</v>
      </c>
      <c r="M415" s="47" t="s">
        <v>706</v>
      </c>
      <c r="N415" s="47" t="s">
        <v>707</v>
      </c>
      <c r="O415" s="47" t="s">
        <v>708</v>
      </c>
    </row>
    <row r="416" spans="4:21" x14ac:dyDescent="0.25">
      <c r="D416" s="50" t="str" cm="1">
        <f t="array" ref="D416:D425">IFERROR(INDEX(Table_Input_ServicesAndContractors[Service provider / contractor], _xlfn.SEQUENCE(10)), "")</f>
        <v>Pete's Pickers</v>
      </c>
      <c r="E416" s="50" t="str" cm="1">
        <f t="array" ref="E416:E425">IFERROR(INDEX(Table_Input_ServicesAndContractors[Activity], _xlfn.SEQUENCE(10)), "")</f>
        <v>Fruit picking</v>
      </c>
      <c r="F416" s="50" cm="1">
        <f t="array" ref="F416:F425">IFERROR(INDEX(Table_Input_ServicesAndContractors[Total amount], _xlfn.SEQUENCE(10)), "")</f>
        <v>10000</v>
      </c>
      <c r="G416" s="50" t="str" cm="1">
        <f t="array" ref="G416:G425">IFERROR(INDEX(Table_Input_ServicesAndContractors[Amount unit], _xlfn.SEQUENCE(10)), "")</f>
        <v>Hour</v>
      </c>
      <c r="H416" s="50" t="s">
        <v>666</v>
      </c>
      <c r="I416" s="50" t="s">
        <v>666</v>
      </c>
      <c r="J416" s="69">
        <v>4</v>
      </c>
      <c r="K416" s="164">
        <f>IFERROR(F416*J416,0)</f>
        <v>40000</v>
      </c>
      <c r="L416" s="50" t="str">
        <f>"t CO2e / " &amp; G416</f>
        <v>t CO2e / Hour</v>
      </c>
      <c r="M416" s="86"/>
      <c r="N416" s="48"/>
      <c r="O416" s="179"/>
    </row>
    <row r="417" spans="4:15" x14ac:dyDescent="0.25">
      <c r="D417" s="50" t="str">
        <v>Harini's Harvesting Services Pty Ltd</v>
      </c>
      <c r="E417" s="50" t="str">
        <v>Wheat harvesting</v>
      </c>
      <c r="F417" s="50">
        <v>1000</v>
      </c>
      <c r="G417" s="50" t="str">
        <v>Hectare</v>
      </c>
      <c r="H417" s="50" t="s">
        <v>666</v>
      </c>
      <c r="I417" s="50" t="s">
        <v>666</v>
      </c>
      <c r="J417" s="69">
        <v>2</v>
      </c>
      <c r="K417" s="164">
        <f>IFERROR(F417*J417,0)</f>
        <v>2000</v>
      </c>
      <c r="L417" s="50" t="str">
        <f t="shared" ref="L417:L425" si="5">"t CO2e / " &amp; G417</f>
        <v>t CO2e / Hectare</v>
      </c>
      <c r="M417" s="86"/>
      <c r="N417" s="48"/>
      <c r="O417" s="86"/>
    </row>
    <row r="418" spans="4:15" x14ac:dyDescent="0.25">
      <c r="D418" s="50">
        <v>0</v>
      </c>
      <c r="E418" s="50">
        <v>0</v>
      </c>
      <c r="F418" s="50">
        <v>0</v>
      </c>
      <c r="G418" s="50">
        <v>0</v>
      </c>
      <c r="H418" s="50" t="s">
        <v>666</v>
      </c>
      <c r="I418" s="50" t="s">
        <v>666</v>
      </c>
      <c r="J418" s="69"/>
      <c r="K418" s="164">
        <f>IFERROR(F418*J418,0)</f>
        <v>0</v>
      </c>
      <c r="L418" s="50" t="str">
        <f t="shared" si="5"/>
        <v>t CO2e / 0</v>
      </c>
      <c r="M418" s="86"/>
      <c r="N418" s="48"/>
      <c r="O418" s="86"/>
    </row>
    <row r="419" spans="4:15" x14ac:dyDescent="0.25">
      <c r="D419" s="50">
        <v>0</v>
      </c>
      <c r="E419" s="50">
        <v>0</v>
      </c>
      <c r="F419" s="50">
        <v>0</v>
      </c>
      <c r="G419" s="50">
        <v>0</v>
      </c>
      <c r="H419" s="50" t="s">
        <v>666</v>
      </c>
      <c r="I419" s="50" t="s">
        <v>666</v>
      </c>
      <c r="J419" s="69"/>
      <c r="K419" s="164">
        <f>IFERROR(F419*J419,0)</f>
        <v>0</v>
      </c>
      <c r="L419" s="50" t="str">
        <f t="shared" si="5"/>
        <v>t CO2e / 0</v>
      </c>
      <c r="M419" s="86"/>
      <c r="N419" s="48"/>
      <c r="O419" s="86"/>
    </row>
    <row r="420" spans="4:15" x14ac:dyDescent="0.25">
      <c r="D420" s="50">
        <v>0</v>
      </c>
      <c r="E420" s="50">
        <v>0</v>
      </c>
      <c r="F420" s="50">
        <v>0</v>
      </c>
      <c r="G420" s="50">
        <v>0</v>
      </c>
      <c r="H420" s="50" t="s">
        <v>666</v>
      </c>
      <c r="I420" s="50" t="s">
        <v>666</v>
      </c>
      <c r="J420" s="69"/>
      <c r="K420" s="164">
        <f>IFERROR(F420*J420,0)</f>
        <v>0</v>
      </c>
      <c r="L420" s="50" t="str">
        <f t="shared" si="5"/>
        <v>t CO2e / 0</v>
      </c>
      <c r="M420" s="86"/>
      <c r="N420" s="48"/>
      <c r="O420" s="86"/>
    </row>
    <row r="421" spans="4:15" x14ac:dyDescent="0.25">
      <c r="D421" s="50">
        <v>0</v>
      </c>
      <c r="E421" s="50">
        <v>0</v>
      </c>
      <c r="F421" s="50">
        <v>0</v>
      </c>
      <c r="G421" s="50">
        <v>0</v>
      </c>
      <c r="H421" s="50" t="s">
        <v>666</v>
      </c>
      <c r="I421" s="50" t="s">
        <v>666</v>
      </c>
      <c r="J421" s="69"/>
      <c r="K421" s="164">
        <f>IFERROR(F421*J421,0)</f>
        <v>0</v>
      </c>
      <c r="L421" s="50" t="str">
        <f t="shared" si="5"/>
        <v>t CO2e / 0</v>
      </c>
      <c r="M421" s="86"/>
      <c r="N421" s="48"/>
      <c r="O421" s="86"/>
    </row>
    <row r="422" spans="4:15" x14ac:dyDescent="0.25">
      <c r="D422" s="50">
        <v>0</v>
      </c>
      <c r="E422" s="50">
        <v>0</v>
      </c>
      <c r="F422" s="50">
        <v>0</v>
      </c>
      <c r="G422" s="50">
        <v>0</v>
      </c>
      <c r="H422" s="50" t="s">
        <v>666</v>
      </c>
      <c r="I422" s="50" t="s">
        <v>666</v>
      </c>
      <c r="J422" s="69"/>
      <c r="K422" s="164">
        <f>IFERROR(F422*J422,0)</f>
        <v>0</v>
      </c>
      <c r="L422" s="50" t="str">
        <f t="shared" si="5"/>
        <v>t CO2e / 0</v>
      </c>
      <c r="M422" s="86"/>
      <c r="N422" s="48"/>
      <c r="O422" s="86"/>
    </row>
    <row r="423" spans="4:15" x14ac:dyDescent="0.25">
      <c r="D423" s="50">
        <v>0</v>
      </c>
      <c r="E423" s="50">
        <v>0</v>
      </c>
      <c r="F423" s="50">
        <v>0</v>
      </c>
      <c r="G423" s="50">
        <v>0</v>
      </c>
      <c r="H423" s="50" t="s">
        <v>666</v>
      </c>
      <c r="I423" s="50" t="s">
        <v>666</v>
      </c>
      <c r="J423" s="69"/>
      <c r="K423" s="164">
        <f>IFERROR(F423*J423,0)</f>
        <v>0</v>
      </c>
      <c r="L423" s="50" t="str">
        <f t="shared" si="5"/>
        <v>t CO2e / 0</v>
      </c>
      <c r="M423" s="86"/>
      <c r="N423" s="48"/>
      <c r="O423" s="86"/>
    </row>
    <row r="424" spans="4:15" x14ac:dyDescent="0.25">
      <c r="D424" s="50">
        <v>0</v>
      </c>
      <c r="E424" s="50">
        <v>0</v>
      </c>
      <c r="F424" s="50">
        <v>0</v>
      </c>
      <c r="G424" s="50">
        <v>0</v>
      </c>
      <c r="H424" s="50" t="s">
        <v>666</v>
      </c>
      <c r="I424" s="50" t="s">
        <v>666</v>
      </c>
      <c r="J424" s="69"/>
      <c r="K424" s="164">
        <f>IFERROR(F424*J424,0)</f>
        <v>0</v>
      </c>
      <c r="L424" s="50" t="str">
        <f t="shared" si="5"/>
        <v>t CO2e / 0</v>
      </c>
      <c r="M424" s="86"/>
      <c r="N424" s="48"/>
      <c r="O424" s="86"/>
    </row>
    <row r="425" spans="4:15" x14ac:dyDescent="0.25">
      <c r="D425" s="50">
        <v>0</v>
      </c>
      <c r="E425" s="50">
        <v>0</v>
      </c>
      <c r="F425" s="50">
        <v>0</v>
      </c>
      <c r="G425" s="50">
        <v>0</v>
      </c>
      <c r="H425" s="50" t="s">
        <v>666</v>
      </c>
      <c r="I425" s="50" t="s">
        <v>666</v>
      </c>
      <c r="J425" s="69"/>
      <c r="K425" s="164">
        <f>IFERROR(F425*J425,0)</f>
        <v>0</v>
      </c>
      <c r="L425" s="50" t="str">
        <f t="shared" si="5"/>
        <v>t CO2e / 0</v>
      </c>
      <c r="M425" s="86"/>
      <c r="N425" s="48"/>
      <c r="O425" s="86"/>
    </row>
    <row r="428" spans="4:15" ht="23.25" x14ac:dyDescent="0.25">
      <c r="D428" s="9" t="s">
        <v>668</v>
      </c>
    </row>
    <row r="429" spans="4:15" x14ac:dyDescent="0.25">
      <c r="D429" s="47" t="s">
        <v>173</v>
      </c>
      <c r="E429" s="47" t="s">
        <v>660</v>
      </c>
      <c r="F429" s="47" t="s">
        <v>128</v>
      </c>
      <c r="G429" s="60" t="s">
        <v>463</v>
      </c>
      <c r="H429" s="60" t="s">
        <v>383</v>
      </c>
      <c r="I429" s="47" t="s">
        <v>464</v>
      </c>
      <c r="J429" s="60" t="s">
        <v>384</v>
      </c>
      <c r="K429" s="47" t="s">
        <v>706</v>
      </c>
      <c r="L429" s="47" t="s">
        <v>707</v>
      </c>
      <c r="M429" s="47" t="s">
        <v>708</v>
      </c>
    </row>
    <row r="430" spans="4:15" x14ac:dyDescent="0.25">
      <c r="D430" s="50" t="str" cm="1">
        <f t="array" ref="D430:D439">IFERROR(INDEX(Table_Input_UncategorisedProductsServices[Product / service name], _xlfn.SEQUENCE(10)), "")</f>
        <v>Grow media</v>
      </c>
      <c r="E430" s="50" cm="1">
        <f t="array" ref="E430:E439">IFERROR(INDEX(Table_Input_UncategorisedProductsServices[Amount], _xlfn.SEQUENCE(10)), "")</f>
        <v>1000</v>
      </c>
      <c r="F430" s="50" t="str" cm="1">
        <f t="array" ref="F430:F439">IFERROR(INDEX(Table_Input_UncategorisedProductsServices[Amount unit], _xlfn.SEQUENCE(10)), "")</f>
        <v>kg</v>
      </c>
      <c r="G430" s="50" t="s">
        <v>666</v>
      </c>
      <c r="H430" s="50" t="s">
        <v>666</v>
      </c>
      <c r="I430" s="69">
        <v>4</v>
      </c>
      <c r="J430" s="164">
        <f>IFERROR(E430*I430,0)</f>
        <v>4000</v>
      </c>
      <c r="K430" s="86"/>
      <c r="L430" s="48"/>
      <c r="M430" s="179"/>
    </row>
    <row r="431" spans="4:15" x14ac:dyDescent="0.25">
      <c r="D431" s="50">
        <v>0</v>
      </c>
      <c r="E431" s="50">
        <v>0</v>
      </c>
      <c r="F431" s="50">
        <v>0</v>
      </c>
      <c r="G431" s="50" t="s">
        <v>666</v>
      </c>
      <c r="H431" s="50" t="s">
        <v>666</v>
      </c>
      <c r="I431" s="69">
        <v>2</v>
      </c>
      <c r="J431" s="164">
        <f>IFERROR(E431*I431,0)</f>
        <v>0</v>
      </c>
      <c r="K431" s="86"/>
      <c r="L431" s="48"/>
      <c r="M431" s="86"/>
    </row>
    <row r="432" spans="4:15" x14ac:dyDescent="0.25">
      <c r="D432" s="50">
        <v>0</v>
      </c>
      <c r="E432" s="50">
        <v>0</v>
      </c>
      <c r="F432" s="50">
        <v>0</v>
      </c>
      <c r="G432" s="50" t="s">
        <v>666</v>
      </c>
      <c r="H432" s="50" t="s">
        <v>666</v>
      </c>
      <c r="I432" s="69"/>
      <c r="J432" s="164">
        <f>IFERROR(E432*I432,0)</f>
        <v>0</v>
      </c>
      <c r="K432" s="86"/>
      <c r="L432" s="48"/>
      <c r="M432" s="86"/>
    </row>
    <row r="433" spans="4:13" x14ac:dyDescent="0.25">
      <c r="D433" s="50">
        <v>0</v>
      </c>
      <c r="E433" s="50">
        <v>0</v>
      </c>
      <c r="F433" s="50">
        <v>0</v>
      </c>
      <c r="G433" s="50" t="s">
        <v>666</v>
      </c>
      <c r="H433" s="50" t="s">
        <v>666</v>
      </c>
      <c r="I433" s="69"/>
      <c r="J433" s="164">
        <f>IFERROR(E433*I433,0)</f>
        <v>0</v>
      </c>
      <c r="K433" s="86"/>
      <c r="L433" s="48"/>
      <c r="M433" s="86"/>
    </row>
    <row r="434" spans="4:13" x14ac:dyDescent="0.25">
      <c r="D434" s="50">
        <v>0</v>
      </c>
      <c r="E434" s="50">
        <v>0</v>
      </c>
      <c r="F434" s="50">
        <v>0</v>
      </c>
      <c r="G434" s="50" t="s">
        <v>666</v>
      </c>
      <c r="H434" s="50" t="s">
        <v>666</v>
      </c>
      <c r="I434" s="69"/>
      <c r="J434" s="164">
        <f>IFERROR(E434*I434,0)</f>
        <v>0</v>
      </c>
      <c r="K434" s="86"/>
      <c r="L434" s="48"/>
      <c r="M434" s="86"/>
    </row>
    <row r="435" spans="4:13" x14ac:dyDescent="0.25">
      <c r="D435" s="50">
        <v>0</v>
      </c>
      <c r="E435" s="50">
        <v>0</v>
      </c>
      <c r="F435" s="50">
        <v>0</v>
      </c>
      <c r="G435" s="50" t="s">
        <v>666</v>
      </c>
      <c r="H435" s="50" t="s">
        <v>666</v>
      </c>
      <c r="I435" s="69"/>
      <c r="J435" s="164">
        <f>IFERROR(E435*I435,0)</f>
        <v>0</v>
      </c>
      <c r="K435" s="86"/>
      <c r="L435" s="48"/>
      <c r="M435" s="86"/>
    </row>
    <row r="436" spans="4:13" x14ac:dyDescent="0.25">
      <c r="D436" s="50">
        <v>0</v>
      </c>
      <c r="E436" s="50">
        <v>0</v>
      </c>
      <c r="F436" s="50">
        <v>0</v>
      </c>
      <c r="G436" s="50" t="s">
        <v>666</v>
      </c>
      <c r="H436" s="50" t="s">
        <v>666</v>
      </c>
      <c r="I436" s="69"/>
      <c r="J436" s="164">
        <f>IFERROR(E436*I436,0)</f>
        <v>0</v>
      </c>
      <c r="K436" s="86"/>
      <c r="L436" s="48"/>
      <c r="M436" s="86"/>
    </row>
    <row r="437" spans="4:13" x14ac:dyDescent="0.25">
      <c r="D437" s="50">
        <v>0</v>
      </c>
      <c r="E437" s="50">
        <v>0</v>
      </c>
      <c r="F437" s="50">
        <v>0</v>
      </c>
      <c r="G437" s="50" t="s">
        <v>666</v>
      </c>
      <c r="H437" s="50" t="s">
        <v>666</v>
      </c>
      <c r="I437" s="69"/>
      <c r="J437" s="164">
        <f>IFERROR(E437*I437,0)</f>
        <v>0</v>
      </c>
      <c r="K437" s="86"/>
      <c r="L437" s="48"/>
      <c r="M437" s="86"/>
    </row>
    <row r="438" spans="4:13" x14ac:dyDescent="0.25">
      <c r="D438" s="50">
        <v>0</v>
      </c>
      <c r="E438" s="50">
        <v>0</v>
      </c>
      <c r="F438" s="50">
        <v>0</v>
      </c>
      <c r="G438" s="50" t="s">
        <v>666</v>
      </c>
      <c r="H438" s="50" t="s">
        <v>666</v>
      </c>
      <c r="I438" s="69"/>
      <c r="J438" s="164">
        <f>IFERROR(E438*I438,0)</f>
        <v>0</v>
      </c>
      <c r="K438" s="86"/>
      <c r="L438" s="48"/>
      <c r="M438" s="86"/>
    </row>
    <row r="439" spans="4:13" x14ac:dyDescent="0.25">
      <c r="D439" s="50">
        <v>0</v>
      </c>
      <c r="E439" s="50">
        <v>0</v>
      </c>
      <c r="F439" s="50">
        <v>0</v>
      </c>
      <c r="G439" s="50" t="s">
        <v>666</v>
      </c>
      <c r="H439" s="50" t="s">
        <v>666</v>
      </c>
      <c r="I439" s="69"/>
      <c r="J439" s="164">
        <f>IFERROR(E439*I439,0)</f>
        <v>0</v>
      </c>
      <c r="K439" s="86"/>
      <c r="L439" s="48"/>
      <c r="M439" s="86"/>
    </row>
    <row r="447" spans="4:13" ht="23.25" x14ac:dyDescent="0.25">
      <c r="D447" s="9" t="s">
        <v>410</v>
      </c>
      <c r="F447" s="100" t="s">
        <v>403</v>
      </c>
      <c r="G447" s="116"/>
      <c r="H447" s="101"/>
    </row>
    <row r="449" spans="4:13" x14ac:dyDescent="0.25">
      <c r="D449" s="47" t="s">
        <v>394</v>
      </c>
      <c r="E449" s="165" t="s">
        <v>310</v>
      </c>
      <c r="F449" s="165" t="s">
        <v>412</v>
      </c>
      <c r="G449" s="60" t="s">
        <v>386</v>
      </c>
      <c r="H449" s="60" t="s">
        <v>710</v>
      </c>
      <c r="I449" s="47" t="s">
        <v>389</v>
      </c>
      <c r="J449" s="60" t="s">
        <v>712</v>
      </c>
      <c r="K449" s="47" t="s">
        <v>706</v>
      </c>
      <c r="L449" s="47" t="s">
        <v>707</v>
      </c>
      <c r="M449" s="47" t="s">
        <v>708</v>
      </c>
    </row>
    <row r="450" spans="4:13" x14ac:dyDescent="0.25">
      <c r="D450" s="50" t="str" cm="1">
        <f t="array" ref="D450:D459">IFERROR(INDEX(Table_Input_ChemicalsCleaning[Product name], _xlfn.SEQUENCE(10)), "")</f>
        <v>Acid kleen</v>
      </c>
      <c r="E450" s="50" t="str" cm="1">
        <f t="array" ref="E450:E459">IFERROR(INDEX(Table_Input_ChemicalsCleaning[Type (select)], _xlfn.SEQUENCE(10)), "")</f>
        <v>Phosphoric acid</v>
      </c>
      <c r="F450" s="50" cm="1">
        <f t="array" ref="F450:F459">IFERROR(INDEX(Table_Input_ChemicalsCleaning[Quantity purchased (kg)], _xlfn.SEQUENCE(10)), "")</f>
        <v>100</v>
      </c>
      <c r="G450" s="50" cm="1">
        <f t="array" ref="G450">Common_InputFunctions.Utility_LookupValueInTableNumber(E450,Table_SourceData_Scope3_ChemicalsCleaning[Product],Table_SourceData_Scope3_ChemicalsCleaning[AusLCI Emissions intensity])</f>
        <v>0.90700000000000003</v>
      </c>
      <c r="H450" s="164">
        <f>IFERROR(G450*F450, 0)</f>
        <v>90.7</v>
      </c>
      <c r="I450" s="69">
        <v>1.3</v>
      </c>
      <c r="J450" s="164">
        <f>IFERROR(IF(I450, F450*I450, F450*G450),0)</f>
        <v>130</v>
      </c>
      <c r="K450" s="86"/>
      <c r="L450" s="48"/>
      <c r="M450" s="179"/>
    </row>
    <row r="451" spans="4:13" x14ac:dyDescent="0.25">
      <c r="D451" s="50" t="str">
        <v>Kleen alk</v>
      </c>
      <c r="E451" s="50" t="str">
        <v>Alkaline cleaner</v>
      </c>
      <c r="F451" s="50">
        <v>100</v>
      </c>
      <c r="G451" s="50" cm="1">
        <f t="array" ref="G451">Common_InputFunctions.Utility_LookupValueInTableNumber(E451,Table_SourceData_Scope3_ChemicalsCleaning[Product],Table_SourceData_Scope3_ChemicalsCleaning[AusLCI Emissions intensity])</f>
        <v>0.72199999999999998</v>
      </c>
      <c r="H451" s="164">
        <f>IFERROR(G451*F451, 0)</f>
        <v>72.2</v>
      </c>
      <c r="I451" s="69">
        <v>8</v>
      </c>
      <c r="J451" s="164">
        <f>IFERROR(IF(I451, F451*I451, F451*G451),0)</f>
        <v>800</v>
      </c>
      <c r="K451" s="86"/>
      <c r="L451" s="48"/>
      <c r="M451" s="86"/>
    </row>
    <row r="452" spans="4:13" x14ac:dyDescent="0.25">
      <c r="D452" s="50" t="str">
        <v>White king</v>
      </c>
      <c r="E452" s="50" t="str">
        <v>Bleach</v>
      </c>
      <c r="F452" s="50">
        <v>100</v>
      </c>
      <c r="G452" s="50" cm="1">
        <f t="array" ref="G452">Common_InputFunctions.Utility_LookupValueInTableNumber(E452,Table_SourceData_Scope3_ChemicalsCleaning[Product],Table_SourceData_Scope3_ChemicalsCleaning[AusLCI Emissions intensity])</f>
        <v>0.80400000000000005</v>
      </c>
      <c r="H452" s="164">
        <f>IFERROR(G452*F452, 0)</f>
        <v>80.400000000000006</v>
      </c>
      <c r="I452" s="69">
        <v>4</v>
      </c>
      <c r="J452" s="164">
        <f>IFERROR(IF(I452, F452*I452, F452*G452),0)</f>
        <v>400</v>
      </c>
      <c r="K452" s="86"/>
      <c r="L452" s="48"/>
      <c r="M452" s="86"/>
    </row>
    <row r="453" spans="4:13" x14ac:dyDescent="0.25">
      <c r="D453" s="50" t="str">
        <v>White king</v>
      </c>
      <c r="E453" s="50" t="str">
        <v>Bleach</v>
      </c>
      <c r="F453" s="50">
        <v>100</v>
      </c>
      <c r="G453" s="50" cm="1">
        <f t="array" ref="G453">Common_InputFunctions.Utility_LookupValueInTableNumber(E453,Table_SourceData_Scope3_ChemicalsCleaning[Product],Table_SourceData_Scope3_ChemicalsCleaning[AusLCI Emissions intensity])</f>
        <v>0.80400000000000005</v>
      </c>
      <c r="H453" s="164">
        <f>IFERROR(G453*F453, 0)</f>
        <v>80.400000000000006</v>
      </c>
      <c r="I453" s="69">
        <v>3</v>
      </c>
      <c r="J453" s="164">
        <f>IFERROR(IF(I453, F453*I453, F453*G453),0)</f>
        <v>300</v>
      </c>
      <c r="K453" s="86"/>
      <c r="L453" s="48"/>
      <c r="M453" s="86"/>
    </row>
    <row r="454" spans="4:13" x14ac:dyDescent="0.25">
      <c r="D454" s="50" t="str">
        <v>Acid kleen</v>
      </c>
      <c r="E454" s="50" t="str">
        <v>Phosphoric acid</v>
      </c>
      <c r="F454" s="50">
        <v>100</v>
      </c>
      <c r="G454" s="50" cm="1">
        <f t="array" ref="G454">Common_InputFunctions.Utility_LookupValueInTableNumber(E454,Table_SourceData_Scope3_ChemicalsCleaning[Product],Table_SourceData_Scope3_ChemicalsCleaning[AusLCI Emissions intensity])</f>
        <v>0.90700000000000003</v>
      </c>
      <c r="H454" s="164">
        <f>IFERROR(G454*F454, 0)</f>
        <v>90.7</v>
      </c>
      <c r="I454" s="69">
        <v>6</v>
      </c>
      <c r="J454" s="164">
        <f>IFERROR(IF(I454, F454*I454, F454*G454),0)</f>
        <v>600</v>
      </c>
      <c r="K454" s="86"/>
      <c r="L454" s="48"/>
      <c r="M454" s="86"/>
    </row>
    <row r="455" spans="4:13" x14ac:dyDescent="0.25">
      <c r="D455" s="50" t="str">
        <v>Acid kleen</v>
      </c>
      <c r="E455" s="50" t="str">
        <v>Phosphoric acid</v>
      </c>
      <c r="F455" s="50">
        <v>100</v>
      </c>
      <c r="G455" s="50" cm="1">
        <f t="array" ref="G455">Common_InputFunctions.Utility_LookupValueInTableNumber(E455,Table_SourceData_Scope3_ChemicalsCleaning[Product],Table_SourceData_Scope3_ChemicalsCleaning[AusLCI Emissions intensity])</f>
        <v>0.90700000000000003</v>
      </c>
      <c r="H455" s="164">
        <f>IFERROR(G455*F455, 0)</f>
        <v>90.7</v>
      </c>
      <c r="I455" s="69">
        <v>5</v>
      </c>
      <c r="J455" s="164">
        <f>IFERROR(IF(I455, F455*I455, F455*G455),0)</f>
        <v>500</v>
      </c>
      <c r="K455" s="86"/>
      <c r="L455" s="48"/>
      <c r="M455" s="86"/>
    </row>
    <row r="456" spans="4:13" x14ac:dyDescent="0.25">
      <c r="D456" s="50">
        <v>0</v>
      </c>
      <c r="E456" s="50">
        <v>0</v>
      </c>
      <c r="F456" s="50">
        <v>0</v>
      </c>
      <c r="G456" s="50" cm="1">
        <f t="array" ref="G456">Common_InputFunctions.Utility_LookupValueInTableNumber(E456,Table_SourceData_Scope3_ChemicalsCleaning[Product],Table_SourceData_Scope3_ChemicalsCleaning[AusLCI Emissions intensity])</f>
        <v>0</v>
      </c>
      <c r="H456" s="164">
        <f>IFERROR(G456*F456, 0)</f>
        <v>0</v>
      </c>
      <c r="I456" s="69"/>
      <c r="J456" s="164">
        <f>IFERROR(IF(I456, F456*I456, F456*G456),0)</f>
        <v>0</v>
      </c>
      <c r="K456" s="86"/>
      <c r="L456" s="48"/>
      <c r="M456" s="86"/>
    </row>
    <row r="457" spans="4:13" x14ac:dyDescent="0.25">
      <c r="D457" s="50">
        <v>0</v>
      </c>
      <c r="E457" s="50">
        <v>0</v>
      </c>
      <c r="F457" s="50">
        <v>0</v>
      </c>
      <c r="G457" s="50" cm="1">
        <f t="array" ref="G457">Common_InputFunctions.Utility_LookupValueInTableNumber(E457,Table_SourceData_Scope3_ChemicalsCleaning[Product],Table_SourceData_Scope3_ChemicalsCleaning[AusLCI Emissions intensity])</f>
        <v>0</v>
      </c>
      <c r="H457" s="164">
        <f>IFERROR(G457*F457, 0)</f>
        <v>0</v>
      </c>
      <c r="I457" s="69"/>
      <c r="J457" s="164">
        <f>IFERROR(IF(I457, F457*I457, F457*G457),0)</f>
        <v>0</v>
      </c>
      <c r="K457" s="86"/>
      <c r="L457" s="48"/>
      <c r="M457" s="86"/>
    </row>
    <row r="458" spans="4:13" x14ac:dyDescent="0.25">
      <c r="D458" s="50">
        <v>0</v>
      </c>
      <c r="E458" s="50">
        <v>0</v>
      </c>
      <c r="F458" s="50">
        <v>0</v>
      </c>
      <c r="G458" s="50" cm="1">
        <f t="array" ref="G458">Common_InputFunctions.Utility_LookupValueInTableNumber(E458,Table_SourceData_Scope3_ChemicalsCleaning[Product],Table_SourceData_Scope3_ChemicalsCleaning[AusLCI Emissions intensity])</f>
        <v>0</v>
      </c>
      <c r="H458" s="164">
        <f>IFERROR(G458*F458, 0)</f>
        <v>0</v>
      </c>
      <c r="I458" s="69"/>
      <c r="J458" s="164">
        <f>IFERROR(IF(I458, F458*I458, F458*G458),0)</f>
        <v>0</v>
      </c>
      <c r="K458" s="86"/>
      <c r="L458" s="48"/>
      <c r="M458" s="86"/>
    </row>
    <row r="459" spans="4:13" x14ac:dyDescent="0.25">
      <c r="D459" s="50">
        <v>0</v>
      </c>
      <c r="E459" s="50">
        <v>0</v>
      </c>
      <c r="F459" s="50">
        <v>0</v>
      </c>
      <c r="G459" s="50" cm="1">
        <f t="array" ref="G459">Common_InputFunctions.Utility_LookupValueInTableNumber(E459,Table_SourceData_Scope3_ChemicalsCleaning[Product],Table_SourceData_Scope3_ChemicalsCleaning[AusLCI Emissions intensity])</f>
        <v>0</v>
      </c>
      <c r="H459" s="164">
        <f>IFERROR(G459*F459, 0)</f>
        <v>0</v>
      </c>
      <c r="I459" s="69"/>
      <c r="J459" s="164">
        <f>IFERROR(IF(I459, F459*I459, F459*G459),0)</f>
        <v>0</v>
      </c>
      <c r="K459" s="86"/>
      <c r="L459" s="48"/>
      <c r="M459" s="86"/>
    </row>
    <row r="462" spans="4:13" ht="23.25" x14ac:dyDescent="0.25">
      <c r="D462" s="9" t="s">
        <v>411</v>
      </c>
      <c r="F462" s="100" t="s">
        <v>403</v>
      </c>
      <c r="G462" s="116"/>
      <c r="H462" s="101"/>
    </row>
    <row r="464" spans="4:13" x14ac:dyDescent="0.25">
      <c r="D464" s="47" t="s">
        <v>394</v>
      </c>
      <c r="E464" s="165" t="s">
        <v>310</v>
      </c>
      <c r="F464" s="165" t="s">
        <v>409</v>
      </c>
      <c r="G464" s="60" t="s">
        <v>386</v>
      </c>
      <c r="H464" s="60" t="s">
        <v>710</v>
      </c>
      <c r="I464" s="47" t="s">
        <v>389</v>
      </c>
      <c r="J464" s="60" t="s">
        <v>712</v>
      </c>
      <c r="K464" s="47" t="s">
        <v>706</v>
      </c>
      <c r="L464" s="47" t="s">
        <v>707</v>
      </c>
      <c r="M464" s="47" t="s">
        <v>708</v>
      </c>
    </row>
    <row r="465" spans="4:13" x14ac:dyDescent="0.25">
      <c r="D465" s="50" t="str" cm="1">
        <f t="array" ref="D465:D474">IFERROR(INDEX(Table_Input_ChemicalsPharmacy[Product name], _xlfn.SEQUENCE(10)), "")</f>
        <v>Cow bug off</v>
      </c>
      <c r="E465" s="50" t="str" cm="1">
        <f t="array" ref="E465:E474">IFERROR(INDEX(Table_Input_ChemicalsPharmacy[Type (select)], _xlfn.SEQUENCE(10)), "")</f>
        <v>Parasite control for cattle (external), dipping</v>
      </c>
      <c r="F465" s="50" cm="1">
        <f t="array" ref="F465:F474">IFERROR(INDEX(Table_Input_ChemicalsCleaning[Quantity purchased (kg)], _xlfn.SEQUENCE(10)), "")</f>
        <v>100</v>
      </c>
      <c r="G465" s="50" cm="1">
        <f t="array" ref="G465">Common_InputFunctions.Utility_LookupValueInTableNumber(E465,Table_SourceData_Scope3_ChemicalsPharmacy[Product],Table_SourceData_Scope3_ChemicalsPharmacy[AusLCI Emissions intensity])</f>
        <v>5.4699999999999999E-2</v>
      </c>
      <c r="H465" s="164">
        <f>IFERROR(G465*F465, 0)</f>
        <v>5.47</v>
      </c>
      <c r="I465" s="69">
        <v>0.05</v>
      </c>
      <c r="J465" s="164">
        <f>IFERROR(IF(I465, F465*I465, F465*G465),0)</f>
        <v>5</v>
      </c>
      <c r="K465" s="86"/>
      <c r="L465" s="48"/>
      <c r="M465" s="179"/>
    </row>
    <row r="466" spans="4:13" x14ac:dyDescent="0.25">
      <c r="D466" s="50" t="str">
        <v>Cow worm-away</v>
      </c>
      <c r="E466" s="50" t="str">
        <v>Parasite control for cattle (internal)</v>
      </c>
      <c r="F466" s="50">
        <v>100</v>
      </c>
      <c r="G466" s="50" cm="1">
        <f t="array" ref="G466">Common_InputFunctions.Utility_LookupValueInTableNumber(E466,Table_SourceData_Scope3_ChemicalsPharmacy[Product],Table_SourceData_Scope3_ChemicalsPharmacy[AusLCI Emissions intensity])</f>
        <v>1.4200000000000001E-2</v>
      </c>
      <c r="H466" s="164">
        <f>IFERROR(G466*F466, 0)</f>
        <v>1.4200000000000002</v>
      </c>
      <c r="I466" s="69">
        <v>0.01</v>
      </c>
      <c r="J466" s="164">
        <f>IFERROR(IF(I466, F466*I466, F466*G466),0)</f>
        <v>1</v>
      </c>
      <c r="K466" s="86"/>
      <c r="L466" s="48"/>
      <c r="M466" s="86"/>
    </row>
    <row r="467" spans="4:13" x14ac:dyDescent="0.25">
      <c r="D467" s="50" t="str">
        <v>Sheep bug off</v>
      </c>
      <c r="E467" s="50" t="str">
        <v>Parasite control for sheep (external)</v>
      </c>
      <c r="F467" s="50">
        <v>100</v>
      </c>
      <c r="G467" s="50" cm="1">
        <f t="array" ref="G467">Common_InputFunctions.Utility_LookupValueInTableNumber(E467,Table_SourceData_Scope3_ChemicalsPharmacy[Product],Table_SourceData_Scope3_ChemicalsPharmacy[AusLCI Emissions intensity])</f>
        <v>1.43E-2</v>
      </c>
      <c r="H467" s="164">
        <f>IFERROR(G467*F467, 0)</f>
        <v>1.43</v>
      </c>
      <c r="I467" s="69">
        <v>0.01</v>
      </c>
      <c r="J467" s="164">
        <f>IFERROR(IF(I467, F467*I467, F467*G467),0)</f>
        <v>1</v>
      </c>
      <c r="K467" s="86"/>
      <c r="L467" s="48"/>
      <c r="M467" s="86"/>
    </row>
    <row r="468" spans="4:13" x14ac:dyDescent="0.25">
      <c r="D468" s="50" t="str">
        <v>Sheep worm-away</v>
      </c>
      <c r="E468" s="50" t="str">
        <v>Parasite control for sheep (internal)</v>
      </c>
      <c r="F468" s="50">
        <v>100</v>
      </c>
      <c r="G468" s="50" cm="1">
        <f t="array" ref="G468">Common_InputFunctions.Utility_LookupValueInTableNumber(E468,Table_SourceData_Scope3_ChemicalsPharmacy[Product],Table_SourceData_Scope3_ChemicalsPharmacy[AusLCI Emissions intensity])</f>
        <v>4.2599999999999999E-3</v>
      </c>
      <c r="H468" s="164">
        <f>IFERROR(G468*F468, 0)</f>
        <v>0.42599999999999999</v>
      </c>
      <c r="I468" s="69">
        <v>4.0000000000000001E-3</v>
      </c>
      <c r="J468" s="164">
        <f>IFERROR(IF(I468, F468*I468, F468*G468),0)</f>
        <v>0.4</v>
      </c>
      <c r="K468" s="86"/>
      <c r="L468" s="48"/>
      <c r="M468" s="86"/>
    </row>
    <row r="469" spans="4:13" x14ac:dyDescent="0.25">
      <c r="D469" s="50" t="str">
        <v>Cow bug off</v>
      </c>
      <c r="E469" s="50" t="str">
        <v>Parasite control for cattle (external), dipping</v>
      </c>
      <c r="F469" s="50">
        <v>100</v>
      </c>
      <c r="G469" s="50" cm="1">
        <f t="array" ref="G469">Common_InputFunctions.Utility_LookupValueInTableNumber(E469,Table_SourceData_Scope3_ChemicalsPharmacy[Product],Table_SourceData_Scope3_ChemicalsPharmacy[AusLCI Emissions intensity])</f>
        <v>5.4699999999999999E-2</v>
      </c>
      <c r="H469" s="164">
        <f>IFERROR(G469*F469, 0)</f>
        <v>5.47</v>
      </c>
      <c r="I469" s="69">
        <v>0.05</v>
      </c>
      <c r="J469" s="164">
        <f>IFERROR(IF(I469, F469*I469, F469*G469),0)</f>
        <v>5</v>
      </c>
      <c r="K469" s="86"/>
      <c r="L469" s="48"/>
      <c r="M469" s="86"/>
    </row>
    <row r="470" spans="4:13" x14ac:dyDescent="0.25">
      <c r="D470" s="50" t="str">
        <v>Cow worm-away</v>
      </c>
      <c r="E470" s="50" t="str">
        <v>Parasite control for cattle (internal)</v>
      </c>
      <c r="F470" s="50">
        <v>100</v>
      </c>
      <c r="G470" s="50" cm="1">
        <f t="array" ref="G470">Common_InputFunctions.Utility_LookupValueInTableNumber(E470,Table_SourceData_Scope3_ChemicalsPharmacy[Product],Table_SourceData_Scope3_ChemicalsPharmacy[AusLCI Emissions intensity])</f>
        <v>1.4200000000000001E-2</v>
      </c>
      <c r="H470" s="164">
        <f>IFERROR(G470*F470, 0)</f>
        <v>1.4200000000000002</v>
      </c>
      <c r="I470" s="69">
        <v>0.01</v>
      </c>
      <c r="J470" s="164">
        <f>IFERROR(IF(I470, F470*I470, F470*G470),0)</f>
        <v>1</v>
      </c>
      <c r="K470" s="86"/>
      <c r="L470" s="48"/>
      <c r="M470" s="86"/>
    </row>
    <row r="471" spans="4:13" x14ac:dyDescent="0.25">
      <c r="D471" s="50">
        <v>0</v>
      </c>
      <c r="E471" s="50">
        <v>0</v>
      </c>
      <c r="F471" s="50">
        <v>0</v>
      </c>
      <c r="G471" s="50" cm="1">
        <f t="array" ref="G471">Common_InputFunctions.Utility_LookupValueInTableNumber(E471,Table_SourceData_Scope3_ChemicalsPharmacy[Product],Table_SourceData_Scope3_ChemicalsPharmacy[AusLCI Emissions intensity])</f>
        <v>0</v>
      </c>
      <c r="H471" s="164">
        <f>IFERROR(G471*F471, 0)</f>
        <v>0</v>
      </c>
      <c r="I471" s="69"/>
      <c r="J471" s="164">
        <f>IFERROR(IF(I471, F471*I471, F471*G471),0)</f>
        <v>0</v>
      </c>
      <c r="K471" s="86"/>
      <c r="L471" s="48"/>
      <c r="M471" s="86"/>
    </row>
    <row r="472" spans="4:13" x14ac:dyDescent="0.25">
      <c r="D472" s="50">
        <v>0</v>
      </c>
      <c r="E472" s="50">
        <v>0</v>
      </c>
      <c r="F472" s="50">
        <v>0</v>
      </c>
      <c r="G472" s="50" cm="1">
        <f t="array" ref="G472">Common_InputFunctions.Utility_LookupValueInTableNumber(E472,Table_SourceData_Scope3_ChemicalsPharmacy[Product],Table_SourceData_Scope3_ChemicalsPharmacy[AusLCI Emissions intensity])</f>
        <v>0</v>
      </c>
      <c r="H472" s="164">
        <f>IFERROR(G472*F472, 0)</f>
        <v>0</v>
      </c>
      <c r="I472" s="69"/>
      <c r="J472" s="164">
        <f>IFERROR(IF(I472, F472*I472, F472*G472),0)</f>
        <v>0</v>
      </c>
      <c r="K472" s="86"/>
      <c r="L472" s="48"/>
      <c r="M472" s="86"/>
    </row>
    <row r="473" spans="4:13" x14ac:dyDescent="0.25">
      <c r="D473" s="50">
        <v>0</v>
      </c>
      <c r="E473" s="50">
        <v>0</v>
      </c>
      <c r="F473" s="50">
        <v>0</v>
      </c>
      <c r="G473" s="50" cm="1">
        <f t="array" ref="G473">Common_InputFunctions.Utility_LookupValueInTableNumber(E473,Table_SourceData_Scope3_ChemicalsPharmacy[Product],Table_SourceData_Scope3_ChemicalsPharmacy[AusLCI Emissions intensity])</f>
        <v>0</v>
      </c>
      <c r="H473" s="164">
        <f>IFERROR(G473*F473, 0)</f>
        <v>0</v>
      </c>
      <c r="I473" s="69"/>
      <c r="J473" s="164">
        <f>IFERROR(IF(I473, F473*I473, F473*G473),0)</f>
        <v>0</v>
      </c>
      <c r="K473" s="86"/>
      <c r="L473" s="48"/>
      <c r="M473" s="86"/>
    </row>
    <row r="474" spans="4:13" x14ac:dyDescent="0.25">
      <c r="D474" s="50">
        <v>0</v>
      </c>
      <c r="E474" s="50">
        <v>0</v>
      </c>
      <c r="F474" s="50">
        <v>0</v>
      </c>
      <c r="G474" s="50" cm="1">
        <f t="array" ref="G474">Common_InputFunctions.Utility_LookupValueInTableNumber(E474,Table_SourceData_Scope3_ChemicalsPharmacy[Product],Table_SourceData_Scope3_ChemicalsPharmacy[AusLCI Emissions intensity])</f>
        <v>0</v>
      </c>
      <c r="H474" s="164">
        <f>IFERROR(G474*F474, 0)</f>
        <v>0</v>
      </c>
      <c r="I474" s="69"/>
      <c r="J474" s="164">
        <f>IFERROR(IF(I474, F474*I474, F474*G474),0)</f>
        <v>0</v>
      </c>
      <c r="K474" s="86"/>
      <c r="L474" s="48"/>
      <c r="M474" s="86"/>
    </row>
  </sheetData>
  <dataValidations disablePrompts="1" count="1">
    <dataValidation type="list" allowBlank="1" showInputMessage="1" showErrorMessage="1" sqref="L42:L51 L61:L70 L79:L88 L450:L459 L465:L474 K119:K128 L368:L377 K136:K139 K162:K164 O23:O32 M305:M329 M281:M300 L387:L396 K402:K411 N416:N425 L430:L439 M334:M353" xr:uid="{A98F9A2A-5979-48D5-8578-50210547ED4A}">
      <formula1>INDIRECT("Table_SourceData_DataScores_Scope3[Data source]")</formula1>
    </dataValidation>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dimension ref="C1:Q238"/>
  <sheetViews>
    <sheetView showGridLines="0" topLeftCell="D169" zoomScale="85" zoomScaleNormal="85" workbookViewId="0">
      <selection activeCell="N49" sqref="M34:N49"/>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392</v>
      </c>
      <c r="K32" s="8" t="s">
        <v>485</v>
      </c>
    </row>
    <row r="33" spans="4:12" ht="20.100000000000001" customHeight="1" x14ac:dyDescent="0.25">
      <c r="D33" s="10" t="s">
        <v>345</v>
      </c>
      <c r="E33" s="10" t="s">
        <v>221</v>
      </c>
      <c r="F33" s="10" t="s">
        <v>346</v>
      </c>
      <c r="G33" s="10" t="s">
        <v>302</v>
      </c>
      <c r="H33" s="10" t="s">
        <v>303</v>
      </c>
      <c r="I33" s="10" t="s">
        <v>393</v>
      </c>
      <c r="K33" s="10" t="s">
        <v>419</v>
      </c>
      <c r="L33" s="10" t="s">
        <v>568</v>
      </c>
    </row>
    <row r="34" spans="4:12"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340</v>
      </c>
      <c r="L34" s="10" t="s">
        <v>364</v>
      </c>
    </row>
    <row r="35" spans="4:12"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364</v>
      </c>
      <c r="L35" s="10" t="s">
        <v>364</v>
      </c>
    </row>
    <row r="36" spans="4:12" ht="20.100000000000001" customHeight="1" x14ac:dyDescent="0.25">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428</v>
      </c>
      <c r="L36" s="10" t="s">
        <v>428</v>
      </c>
    </row>
    <row r="37" spans="4:12" ht="20.100000000000001" customHeight="1" x14ac:dyDescent="0.25">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424</v>
      </c>
      <c r="L37" s="10" t="s">
        <v>424</v>
      </c>
    </row>
    <row r="38" spans="4:12" ht="20.100000000000001" customHeight="1" x14ac:dyDescent="0.25">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370</v>
      </c>
      <c r="L38" s="10" t="s">
        <v>370</v>
      </c>
    </row>
    <row r="39" spans="4: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489</v>
      </c>
      <c r="L39" s="10" t="s">
        <v>371</v>
      </c>
    </row>
    <row r="40" spans="4: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488</v>
      </c>
      <c r="L40" s="10" t="s">
        <v>371</v>
      </c>
    </row>
    <row r="41" spans="4: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490</v>
      </c>
      <c r="L41" s="10" t="s">
        <v>371</v>
      </c>
    </row>
    <row r="42" spans="4: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491</v>
      </c>
      <c r="L42" s="10" t="s">
        <v>487</v>
      </c>
    </row>
    <row r="43" spans="4: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492</v>
      </c>
      <c r="L43" s="10" t="s">
        <v>487</v>
      </c>
    </row>
    <row r="44" spans="4: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493</v>
      </c>
      <c r="L44" s="10" t="s">
        <v>487</v>
      </c>
    </row>
    <row r="45" spans="4: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494</v>
      </c>
      <c r="L45" s="10" t="s">
        <v>365</v>
      </c>
    </row>
    <row r="46" spans="4: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495</v>
      </c>
      <c r="L46" s="10" t="s">
        <v>365</v>
      </c>
    </row>
    <row r="47" spans="4: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496</v>
      </c>
      <c r="L47" s="10" t="s">
        <v>365</v>
      </c>
    </row>
    <row r="48" spans="4: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497</v>
      </c>
      <c r="L48" s="10" t="s">
        <v>365</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363</v>
      </c>
      <c r="L49" s="8" t="s">
        <v>363</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c r="K51" s="8" t="s">
        <v>567</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c r="K52" s="10" t="s">
        <v>309</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c r="K53" s="10" t="str">
        <f>Table_SourceData_PastureBeef_LiveweightAllStates[[#Headers],[Bulls &lt; 1 year]]</f>
        <v>Bulls &lt; 1 year</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c r="K54" s="10" t="str">
        <f>Table_SourceData_PastureBeef_LiveweightAllStates[[#Headers],[Bulls &gt; 1 year]]</f>
        <v>Bulls &gt; 1 year</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c r="K55" s="10" t="str">
        <f>Table_SourceData_PastureBeef_LiveweightAllStates[[#Headers],[Cows &lt; 1 year]]</f>
        <v>Cows &lt; 1 year</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c r="K56" s="10" t="str">
        <f>Table_SourceData_PastureBeef_LiveweightAllStates[[#Headers],[Cows 1-2 years]]</f>
        <v>Cows 1-2 years</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c r="K57" s="10" t="str">
        <f>Table_SourceData_PastureBeef_LiveweightAllStates[[#Headers],[Cows 2-3 years]]</f>
        <v>Cows 2-3 years</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c r="K58" s="10" t="str">
        <f>Table_SourceData_PastureBeef_LiveweightAllStates[[#Headers],[Cows &gt; 3 years]]</f>
        <v>Cows &gt; 3 years</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c r="K59" s="10" t="str">
        <f>Table_SourceData_PastureBeef_LiveweightAllStates[[#Headers],[Steers &lt; 1 year]]</f>
        <v>Steers &lt; 1 year</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c r="K60" s="10" t="str">
        <f>Table_SourceData_PastureBeef_LiveweightAllStates[[#Headers],[Steers 1-2 years]]</f>
        <v>Steers 1-2 years</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c r="K61" s="10" t="str">
        <f>Table_SourceData_PastureBeef_LiveweightAllStates[[#Headers],[Steers 2-3 years]]</f>
        <v>Steers 2-3 years</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c r="K62" s="10" t="str">
        <f>Table_SourceData_PastureBeef_LiveweightAllStates[[#Headers],[Steers &gt;3 years]]</f>
        <v>Steers &gt;3 years</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395</v>
      </c>
    </row>
    <row r="77" spans="4:9" ht="20.100000000000001" customHeight="1" x14ac:dyDescent="0.25">
      <c r="D77" s="10" t="s">
        <v>345</v>
      </c>
      <c r="E77" s="10" t="s">
        <v>221</v>
      </c>
      <c r="F77" s="10" t="s">
        <v>346</v>
      </c>
      <c r="G77" s="10" t="s">
        <v>302</v>
      </c>
      <c r="H77" s="10" t="s">
        <v>303</v>
      </c>
      <c r="I77" s="10" t="s">
        <v>393</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345</v>
      </c>
      <c r="E82" s="10" t="s">
        <v>221</v>
      </c>
      <c r="F82" s="10" t="s">
        <v>346</v>
      </c>
      <c r="G82" s="10" t="s">
        <v>302</v>
      </c>
      <c r="H82" s="10" t="s">
        <v>303</v>
      </c>
      <c r="I82" s="10" t="s">
        <v>393</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396</v>
      </c>
    </row>
    <row r="89" spans="4:16" ht="20.100000000000001" customHeight="1" x14ac:dyDescent="0.25">
      <c r="D89" s="10" t="s">
        <v>345</v>
      </c>
      <c r="E89" s="10" t="s">
        <v>221</v>
      </c>
      <c r="F89" s="10" t="s">
        <v>346</v>
      </c>
      <c r="G89" s="10" t="s">
        <v>302</v>
      </c>
      <c r="H89" s="10" t="s">
        <v>303</v>
      </c>
      <c r="I89" s="10" t="s">
        <v>393</v>
      </c>
      <c r="K89" s="10" t="s">
        <v>221</v>
      </c>
      <c r="L89" s="10" t="s">
        <v>419</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221</v>
      </c>
      <c r="O90" s="10" t="s">
        <v>419</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221</v>
      </c>
      <c r="L98" s="10" t="s">
        <v>419</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221</v>
      </c>
      <c r="O105" s="10" t="s">
        <v>419</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221</v>
      </c>
      <c r="L110" s="10" t="s">
        <v>419</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221</v>
      </c>
      <c r="O118" s="10" t="s">
        <v>419</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221</v>
      </c>
      <c r="L125" s="10" t="s">
        <v>419</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221</v>
      </c>
      <c r="O131" s="10" t="s">
        <v>419</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221</v>
      </c>
      <c r="L138" s="10" t="s">
        <v>419</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221</v>
      </c>
      <c r="O144" s="10" t="s">
        <v>419</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66" t="s">
        <v>221</v>
      </c>
      <c r="L151" s="166" t="s">
        <v>419</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221</v>
      </c>
      <c r="O152" s="10" t="s">
        <v>419</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221</v>
      </c>
      <c r="L153" s="10" t="s">
        <v>419</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221</v>
      </c>
      <c r="O154" s="10" t="s">
        <v>419</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221</v>
      </c>
      <c r="L155" s="10" t="s">
        <v>419</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221</v>
      </c>
      <c r="O156" s="10" t="s">
        <v>419</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221</v>
      </c>
      <c r="L157" s="10" t="s">
        <v>419</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221</v>
      </c>
      <c r="O158" s="10" t="s">
        <v>419</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345</v>
      </c>
      <c r="E161" s="10" t="s">
        <v>221</v>
      </c>
      <c r="F161" s="10" t="s">
        <v>346</v>
      </c>
      <c r="G161" s="10" t="s">
        <v>302</v>
      </c>
      <c r="H161" s="10" t="s">
        <v>303</v>
      </c>
      <c r="I161" s="10" t="s">
        <v>393</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345</v>
      </c>
      <c r="E167" s="10" t="s">
        <v>221</v>
      </c>
      <c r="F167" s="10" t="s">
        <v>346</v>
      </c>
      <c r="G167" s="10" t="s">
        <v>302</v>
      </c>
      <c r="H167" s="10" t="s">
        <v>303</v>
      </c>
      <c r="I167" s="10" t="s">
        <v>393</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377</v>
      </c>
    </row>
    <row r="173" spans="4:13" ht="20.100000000000001" customHeight="1" x14ac:dyDescent="0.25">
      <c r="D173" s="10" t="s">
        <v>345</v>
      </c>
      <c r="E173" s="10" t="s">
        <v>221</v>
      </c>
      <c r="F173" s="10" t="s">
        <v>346</v>
      </c>
      <c r="G173" s="10" t="s">
        <v>300</v>
      </c>
      <c r="H173" s="10" t="s">
        <v>175</v>
      </c>
      <c r="I173" s="10" t="s">
        <v>176</v>
      </c>
      <c r="J173" s="10" t="s">
        <v>301</v>
      </c>
      <c r="K173" s="10" t="s">
        <v>302</v>
      </c>
      <c r="L173" s="10" t="s">
        <v>303</v>
      </c>
      <c r="M173" s="10" t="s">
        <v>393</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397</v>
      </c>
      <c r="N200" s="10"/>
      <c r="O200" s="10"/>
      <c r="P200" s="10"/>
    </row>
    <row r="201" spans="4:16" ht="20.100000000000001" customHeight="1" x14ac:dyDescent="0.25">
      <c r="D201" s="10" t="s">
        <v>345</v>
      </c>
      <c r="E201" s="10" t="s">
        <v>221</v>
      </c>
      <c r="F201" s="10" t="s">
        <v>346</v>
      </c>
      <c r="G201" s="10" t="s">
        <v>302</v>
      </c>
      <c r="H201" s="10" t="s">
        <v>303</v>
      </c>
      <c r="I201" s="10" t="s">
        <v>393</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398</v>
      </c>
    </row>
    <row r="212" spans="4:16" ht="20.100000000000001" customHeight="1" x14ac:dyDescent="0.25">
      <c r="D212" s="10" t="s">
        <v>345</v>
      </c>
      <c r="E212" s="10" t="s">
        <v>221</v>
      </c>
      <c r="F212" s="10" t="s">
        <v>346</v>
      </c>
      <c r="G212" s="10" t="s">
        <v>302</v>
      </c>
      <c r="H212" s="10" t="s">
        <v>303</v>
      </c>
      <c r="I212" s="10" t="s">
        <v>393</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399</v>
      </c>
    </row>
    <row r="219" spans="4:16" ht="20.100000000000001" customHeight="1" x14ac:dyDescent="0.25">
      <c r="D219" s="10" t="s">
        <v>345</v>
      </c>
      <c r="E219" s="10" t="s">
        <v>221</v>
      </c>
      <c r="F219" s="10" t="s">
        <v>346</v>
      </c>
      <c r="G219" s="10" t="s">
        <v>302</v>
      </c>
      <c r="H219" s="10" t="s">
        <v>303</v>
      </c>
      <c r="I219" s="10" t="s">
        <v>393</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400</v>
      </c>
    </row>
    <row r="234" spans="4:9" ht="20.100000000000001" customHeight="1" x14ac:dyDescent="0.25">
      <c r="D234" s="10" t="s">
        <v>345</v>
      </c>
      <c r="E234" s="10" t="s">
        <v>221</v>
      </c>
      <c r="F234" s="10" t="s">
        <v>346</v>
      </c>
      <c r="G234" s="10" t="s">
        <v>302</v>
      </c>
      <c r="H234" s="10" t="s">
        <v>303</v>
      </c>
      <c r="I234" s="10" t="s">
        <v>393</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dimension ref="C1:Q202"/>
  <sheetViews>
    <sheetView showGridLines="0" topLeftCell="A5" workbookViewId="0">
      <selection activeCell="E7" sqref="E7"/>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30" customHeight="1" x14ac:dyDescent="0.35">
      <c r="C1" s="1"/>
      <c r="D1" s="1"/>
      <c r="E1" s="1"/>
      <c r="F1" s="1"/>
      <c r="G1" s="1"/>
      <c r="H1" s="1"/>
      <c r="I1" s="1"/>
      <c r="J1" s="1"/>
      <c r="K1" s="1"/>
    </row>
    <row r="2" spans="3:11" ht="20.100000000000001" customHeight="1" x14ac:dyDescent="0.25">
      <c r="C2" s="5"/>
      <c r="D2" s="5"/>
      <c r="E2" s="5"/>
      <c r="F2" s="5"/>
      <c r="G2" s="5"/>
      <c r="H2" s="5"/>
      <c r="I2" s="5"/>
      <c r="J2" s="5"/>
      <c r="K2" s="5"/>
    </row>
    <row r="3" spans="3:11" ht="20.100000000000001" customHeight="1" x14ac:dyDescent="0.25"/>
    <row r="4" spans="3:11" ht="20.100000000000001" customHeight="1" x14ac:dyDescent="0.25">
      <c r="D4" s="9" t="str" cm="1">
        <f t="array" ref="D4">CommonLivestock_SourceData.SourceData_Livestock_Common_SymbolsMMS_Title()</f>
        <v>Table 5.12 Additional symbols used in algorithms for manure related emissions</v>
      </c>
    </row>
    <row r="5" spans="3:11" ht="20.100000000000001" customHeight="1" x14ac:dyDescent="0.25">
      <c r="D5" s="11" t="str" cm="1">
        <f t="array" ref="D5">CommonLivestock_SourceData.SourceData_Livestock_Common_SymbolsMMS_Source()</f>
        <v>National Inventory Report 2023 Volume 1: Table 5.12</v>
      </c>
    </row>
    <row r="6" spans="3:11" ht="20.100000000000001" customHeight="1" x14ac:dyDescent="0.25">
      <c r="D6" s="10" t="s">
        <v>355</v>
      </c>
      <c r="E6" s="10" t="s">
        <v>356</v>
      </c>
      <c r="F6" s="10" t="s">
        <v>357</v>
      </c>
    </row>
    <row r="7" spans="3:11" ht="20.100000000000001" customHeight="1" x14ac:dyDescent="0.25">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3:11" ht="20.100000000000001" customHeight="1" x14ac:dyDescent="0.25">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3:11" ht="20.100000000000001" customHeight="1" x14ac:dyDescent="0.25">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3:11" ht="20.100000000000001" customHeight="1" x14ac:dyDescent="0.25">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3:11" ht="20.100000000000001" customHeight="1" x14ac:dyDescent="0.25">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3:11" ht="20.100000000000001" customHeight="1" x14ac:dyDescent="0.25">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3:11" ht="20.100000000000001" customHeight="1" x14ac:dyDescent="0.25">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3:11" ht="20.100000000000001" customHeight="1" x14ac:dyDescent="0.25">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3:11" ht="20.100000000000001" customHeight="1" x14ac:dyDescent="0.25">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3:11" ht="20.100000000000001" customHeight="1" x14ac:dyDescent="0.25">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4: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4: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4:6" ht="20.100000000000001" customHeight="1" x14ac:dyDescent="0.25">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4:6" ht="20.100000000000001" customHeight="1" x14ac:dyDescent="0.25">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4:6" ht="20.100000000000001" customHeight="1" x14ac:dyDescent="0.25">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4:6" ht="20.100000000000001" customHeight="1" x14ac:dyDescent="0.25">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4:6" ht="20.100000000000001" customHeight="1" x14ac:dyDescent="0.25">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4:6" ht="20.100000000000001" customHeight="1" x14ac:dyDescent="0.25">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4:6" ht="20.100000000000001" customHeight="1" x14ac:dyDescent="0.25"/>
    <row r="26" spans="4:6" ht="20.100000000000001" customHeight="1" x14ac:dyDescent="0.25">
      <c r="D26" s="9" t="str" cm="1">
        <f t="array" ref="D26">CommonLivestock_SourceData.SourceData_Livestock_Product_BeefCattle_Title()</f>
        <v>Beef cattle products for scope 3</v>
      </c>
    </row>
    <row r="27" spans="4:6" ht="20.100000000000001" customHeight="1" x14ac:dyDescent="0.25">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4:6" ht="20.100000000000001" customHeight="1" x14ac:dyDescent="0.25">
      <c r="D28" s="10" t="s">
        <v>221</v>
      </c>
      <c r="E28" s="10" t="s">
        <v>358</v>
      </c>
      <c r="F28" s="8" t="s">
        <v>359</v>
      </c>
    </row>
    <row r="29" spans="4:6" ht="20.100000000000001" customHeight="1" x14ac:dyDescent="0.25">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4:6" ht="20.100000000000001" customHeight="1" x14ac:dyDescent="0.25">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4:6" ht="20.100000000000001" customHeight="1" x14ac:dyDescent="0.25">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4:6" ht="20.100000000000001" customHeight="1" x14ac:dyDescent="0.25">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4:6" ht="20.100000000000001" customHeight="1" x14ac:dyDescent="0.25"/>
    <row r="38" spans="4:6" ht="20.100000000000001" customHeight="1" x14ac:dyDescent="0.25">
      <c r="D38" s="9" t="str" cm="1">
        <f t="array" ref="D38">CommonLivestock_SourceData.SourceData_Livestock_Product_Sheep_Title()</f>
        <v>Sheep products for scope 3</v>
      </c>
    </row>
    <row r="39" spans="4: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4:6" ht="20.100000000000001" customHeight="1" x14ac:dyDescent="0.25">
      <c r="D40" s="10" t="s">
        <v>221</v>
      </c>
      <c r="E40" s="10" t="s">
        <v>358</v>
      </c>
      <c r="F40" s="8" t="s">
        <v>360</v>
      </c>
    </row>
    <row r="41" spans="4: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4: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4: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4: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4: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4: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4: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4: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221</v>
      </c>
      <c r="E51" s="10" t="s">
        <v>358</v>
      </c>
      <c r="F51" s="8" t="s">
        <v>366</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221</v>
      </c>
      <c r="E56" s="10" t="s">
        <v>358</v>
      </c>
      <c r="F56" s="8" t="s">
        <v>367</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221</v>
      </c>
      <c r="E61" s="10" t="s">
        <v>358</v>
      </c>
      <c r="F61" s="8" t="s">
        <v>368</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5" type="noConversion"/>
  <pageMargins left="0.7" right="0.7" top="0.75" bottom="0.75" header="0.3" footer="0.3"/>
  <tableParts count="6">
    <tablePart r:id="rId1"/>
    <tablePart r:id="rId2"/>
    <tablePart r:id="rId3"/>
    <tablePart r:id="rId4"/>
    <tablePart r:id="rId5"/>
    <tablePart r:id="rId6"/>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B47D-1432-4DA7-9DEF-464E02E6C39D}">
  <dimension ref="D2:H46"/>
  <sheetViews>
    <sheetView topLeftCell="A27" workbookViewId="0">
      <selection activeCell="E9" sqref="E9"/>
    </sheetView>
  </sheetViews>
  <sheetFormatPr defaultRowHeight="15.75" x14ac:dyDescent="0.25"/>
  <cols>
    <col min="4" max="4" width="39" customWidth="1"/>
    <col min="5" max="5" width="33.75" customWidth="1"/>
    <col min="6" max="6" width="37.375" customWidth="1"/>
  </cols>
  <sheetData>
    <row r="2" spans="4:8" x14ac:dyDescent="0.25">
      <c r="D2" t="s">
        <v>294</v>
      </c>
    </row>
    <row r="3" spans="4:8" x14ac:dyDescent="0.25">
      <c r="D3" s="58" t="s">
        <v>131</v>
      </c>
      <c r="E3" s="8"/>
      <c r="F3" s="8"/>
    </row>
    <row r="4" spans="4:8" x14ac:dyDescent="0.25">
      <c r="D4" s="59" t="s">
        <v>132</v>
      </c>
      <c r="E4" s="8"/>
      <c r="F4" s="8"/>
    </row>
    <row r="5" spans="4:8" x14ac:dyDescent="0.25">
      <c r="D5" s="60" t="s">
        <v>133</v>
      </c>
      <c r="E5" s="60" t="s">
        <v>134</v>
      </c>
      <c r="F5" s="60" t="s">
        <v>135</v>
      </c>
      <c r="H5" s="47" t="s">
        <v>136</v>
      </c>
    </row>
    <row r="6" spans="4:8" x14ac:dyDescent="0.25">
      <c r="D6" s="7" t="str">
        <f>Table_FuelTypesPerUse[[#Headers],[Cars and light commercial vehicles]]</f>
        <v>Cars and light commercial vehicles</v>
      </c>
      <c r="E6" s="61" t="str">
        <f>'Constants - Fuel'!$E$10</f>
        <v>Gasoline</v>
      </c>
      <c r="F6" s="61" t="str">
        <f>'Constants - Fuel'!$G$131</f>
        <v>Petrol</v>
      </c>
      <c r="H6" cm="1">
        <f t="array" ref="H6">Fuel_InputFunctions.Fuel_TotalConsumption(Table_Input_Fuel[Amount consumed],Table_Input_Fuel[Fuel use (select)],D6,Table_Input_Fuel[Fuel type (select)],F6)</f>
        <v>2</v>
      </c>
    </row>
    <row r="7" spans="4:8" x14ac:dyDescent="0.25">
      <c r="D7" s="62" t="str">
        <f>$D$6</f>
        <v>Cars and light commercial vehicles</v>
      </c>
      <c r="E7" s="61" t="str">
        <f>'Constants - Fuel'!$E$11</f>
        <v>Diesel oil</v>
      </c>
      <c r="F7" s="61" t="str">
        <f>'Constants - Fuel'!$G$132</f>
        <v>Diesel</v>
      </c>
      <c r="H7" cm="1">
        <f t="array" ref="H7">Fuel_InputFunctions.Fuel_TotalConsumption(Table_Input_Fuel[Amount consumed],Table_Input_Fuel[Fuel use (select)],D7,Table_Input_Fuel[Fuel type (select)],F7)</f>
        <v>0</v>
      </c>
    </row>
    <row r="8" spans="4:8" x14ac:dyDescent="0.25">
      <c r="D8" s="62" t="str">
        <f t="shared" ref="D8:D13" si="0">$D$6</f>
        <v>Cars and light commercial vehicles</v>
      </c>
      <c r="E8" s="61" t="str">
        <f>'Constants - Fuel'!$E$12</f>
        <v>Liquefied petroleum gas (LPG)</v>
      </c>
      <c r="F8" s="61" t="str">
        <f>'Constants - Fuel'!$G$133</f>
        <v>Liquefied petroleum gas (LPG)</v>
      </c>
      <c r="H8" cm="1">
        <f t="array" ref="H8">Fuel_InputFunctions.Fuel_TotalConsumption(Table_Input_Fuel[Amount consumed],Table_Input_Fuel[Fuel use (select)],D8,Table_Input_Fuel[Fuel type (select)],F8)</f>
        <v>0</v>
      </c>
    </row>
    <row r="9" spans="4:8" x14ac:dyDescent="0.25">
      <c r="D9" s="62" t="str">
        <f t="shared" si="0"/>
        <v>Cars and light commercial vehicles</v>
      </c>
      <c r="E9" s="61" t="str">
        <f>'Constants - Fuel'!$E$13</f>
        <v>Fuel oil</v>
      </c>
      <c r="F9" s="61" t="str">
        <f>'Constants - Fuel'!$G$134</f>
        <v>Fuel oil</v>
      </c>
      <c r="H9" cm="1">
        <f t="array" ref="H9">Fuel_InputFunctions.Fuel_TotalConsumption(Table_Input_Fuel[Amount consumed],Table_Input_Fuel[Fuel use (select)],D9,Table_Input_Fuel[Fuel type (select)],F9)</f>
        <v>0</v>
      </c>
    </row>
    <row r="10" spans="4:8" x14ac:dyDescent="0.25">
      <c r="D10" s="62" t="str">
        <f t="shared" si="0"/>
        <v>Cars and light commercial vehicles</v>
      </c>
      <c r="E10" s="61" t="str">
        <f>'Constants - Fuel'!$E$14</f>
        <v>Ethanol</v>
      </c>
      <c r="F10" s="61" t="str">
        <f>'Constants - Fuel'!$G$135</f>
        <v>Ethanol</v>
      </c>
      <c r="H10" cm="1">
        <f t="array" ref="H10">Fuel_InputFunctions.Fuel_TotalConsumption(Table_Input_Fuel[Amount consumed],Table_Input_Fuel[Fuel use (select)],D10,Table_Input_Fuel[Fuel type (select)],F10)</f>
        <v>0</v>
      </c>
    </row>
    <row r="11" spans="4:8" x14ac:dyDescent="0.25">
      <c r="D11" s="62" t="str">
        <f t="shared" si="0"/>
        <v>Cars and light commercial vehicles</v>
      </c>
      <c r="E11" s="61" t="str">
        <f>'Constants - Fuel'!$E$15</f>
        <v>Biodiesel</v>
      </c>
      <c r="F11" s="61" t="str">
        <f>'Constants - Fuel'!$G$136</f>
        <v>Biodiesel</v>
      </c>
      <c r="H11" cm="1">
        <f t="array" ref="H11">Fuel_InputFunctions.Fuel_TotalConsumption(Table_Input_Fuel[Amount consumed],Table_Input_Fuel[Fuel use (select)],D11,Table_Input_Fuel[Fuel type (select)],F11)</f>
        <v>0</v>
      </c>
    </row>
    <row r="12" spans="4:8" x14ac:dyDescent="0.25">
      <c r="D12" s="62" t="str">
        <f t="shared" si="0"/>
        <v>Cars and light commercial vehicles</v>
      </c>
      <c r="E12" s="61" t="str">
        <f>'Constants - Fuel'!$E$16</f>
        <v>Renewable diesel</v>
      </c>
      <c r="F12" s="61" t="str">
        <f>'Constants - Fuel'!$G$137</f>
        <v>Renewable diesel</v>
      </c>
      <c r="H12" cm="1">
        <f t="array" ref="H12">Fuel_InputFunctions.Fuel_TotalConsumption(Table_Input_Fuel[Amount consumed],Table_Input_Fuel[Fuel use (select)],D12,Table_Input_Fuel[Fuel type (select)],F12)</f>
        <v>0</v>
      </c>
    </row>
    <row r="13" spans="4:8" x14ac:dyDescent="0.25">
      <c r="D13" s="62" t="str">
        <f t="shared" si="0"/>
        <v>Cars and light commercial vehicles</v>
      </c>
      <c r="E13" s="61" t="str">
        <f>'Constants - Fuel'!$E$17</f>
        <v>Other biofuels</v>
      </c>
      <c r="F13" s="61" t="str">
        <f>'Constants - Fuel'!$G$138</f>
        <v>Other biofuels</v>
      </c>
      <c r="H13" cm="1">
        <f t="array" ref="H13">Fuel_InputFunctions.Fuel_TotalConsumption(Table_Input_Fuel[Amount consumed],Table_Input_Fuel[Fuel use (select)],D13,Table_Input_Fuel[Fuel type (select)],F13)</f>
        <v>0</v>
      </c>
    </row>
    <row r="14" spans="4:8" x14ac:dyDescent="0.25">
      <c r="D14" s="63" t="str">
        <f>Table_FuelTypesPerUse[[#Headers],[Off-road Agriculture and forestry equipment]]</f>
        <v>Off-road Agriculture and forestry equipment</v>
      </c>
      <c r="E14" s="64" t="str">
        <f>'Constants - Fuel'!$E$11</f>
        <v>Diesel oil</v>
      </c>
      <c r="F14" s="64" t="str">
        <f>'Constants - Fuel'!$H$131</f>
        <v>Diesel</v>
      </c>
      <c r="H14" cm="1">
        <f t="array" ref="H14">Fuel_InputFunctions.Fuel_TotalConsumption(Table_Input_Fuel[Amount consumed],Table_Input_Fuel[Fuel use (select)],D14,Table_Input_Fuel[Fuel type (select)],F14)</f>
        <v>0</v>
      </c>
    </row>
    <row r="15" spans="4:8" x14ac:dyDescent="0.25">
      <c r="D15" s="63" t="str">
        <f>Table_FuelTypesPerUse[[#Headers],[Aviation]]</f>
        <v>Aviation</v>
      </c>
      <c r="E15" s="64" t="str">
        <f>'Constants - Fuel'!$E$28</f>
        <v>Gasoline for use as fuel in an aircraft</v>
      </c>
      <c r="F15" s="64" t="str">
        <f>'Constants - Fuel'!$F$131</f>
        <v>Avgas</v>
      </c>
      <c r="H15" cm="1">
        <f t="array" ref="H15">Fuel_InputFunctions.Fuel_TotalConsumption(Table_Input_Fuel[Amount consumed],Table_Input_Fuel[Fuel use (select)],D15,Table_Input_Fuel[Fuel type (select)],F15)</f>
        <v>0</v>
      </c>
    </row>
    <row r="16" spans="4:8" x14ac:dyDescent="0.25">
      <c r="D16" s="62" t="str">
        <f>$D$15</f>
        <v>Aviation</v>
      </c>
      <c r="E16" s="61" t="str">
        <f>'Constants - Fuel'!$E$29</f>
        <v>Kerosene for use as fuel in an aircraft</v>
      </c>
      <c r="F16" s="61" t="str">
        <f>'Constants - Fuel'!$F$132</f>
        <v>Jet A1, Jet B</v>
      </c>
      <c r="H16" cm="1">
        <f t="array" ref="H16">Fuel_InputFunctions.Fuel_TotalConsumption(Table_Input_Fuel[Amount consumed],Table_Input_Fuel[Fuel use (select)],D16,Table_Input_Fuel[Fuel type (select)],F16)</f>
        <v>0</v>
      </c>
    </row>
    <row r="17" spans="4:8" x14ac:dyDescent="0.25">
      <c r="D17" s="62" t="str">
        <f>$D$15</f>
        <v>Aviation</v>
      </c>
      <c r="E17" s="61" t="str">
        <f>'Constants - Fuel'!$E$30</f>
        <v>Renewable aviation kerosene</v>
      </c>
      <c r="F17" s="61" t="str">
        <f>'Constants - Fuel'!$F$133</f>
        <v>Renewable aviation kerosene</v>
      </c>
      <c r="H17" cm="1">
        <f t="array" ref="H17">Fuel_InputFunctions.Fuel_TotalConsumption(Table_Input_Fuel[Amount consumed],Table_Input_Fuel[Fuel use (select)],D17,Table_Input_Fuel[Fuel type (select)],F17)</f>
        <v>0</v>
      </c>
    </row>
    <row r="18" spans="4:8" x14ac:dyDescent="0.25">
      <c r="D18" s="63" t="str">
        <f>Table_FuelTypesPerUse[[#Headers],[Vessels]]</f>
        <v>Vessels</v>
      </c>
      <c r="E18" s="64" t="str">
        <f>'Constants - Fuel'!$E$10</f>
        <v>Gasoline</v>
      </c>
      <c r="F18" s="64" t="str">
        <f>'Constants - Fuel'!$I$131</f>
        <v>Petrol</v>
      </c>
      <c r="H18" cm="1">
        <f t="array" ref="H18">Fuel_InputFunctions.Fuel_TotalConsumption(Table_Input_Fuel[Amount consumed],Table_Input_Fuel[Fuel use (select)],D18,Table_Input_Fuel[Fuel type (select)],F18)</f>
        <v>0</v>
      </c>
    </row>
    <row r="19" spans="4:8" x14ac:dyDescent="0.25">
      <c r="D19" s="62" t="str">
        <f>$D$18</f>
        <v>Vessels</v>
      </c>
      <c r="E19" s="61" t="str">
        <f>'Constants - Fuel'!$E$11</f>
        <v>Diesel oil</v>
      </c>
      <c r="F19" s="61" t="str">
        <f>'Constants - Fuel'!$I$132</f>
        <v>Diesel</v>
      </c>
      <c r="H19" cm="1">
        <f t="array" ref="H19">Fuel_InputFunctions.Fuel_TotalConsumption(Table_Input_Fuel[Amount consumed],Table_Input_Fuel[Fuel use (select)],D19,Table_Input_Fuel[Fuel type (select)],F19)</f>
        <v>0</v>
      </c>
    </row>
    <row r="20" spans="4:8" x14ac:dyDescent="0.25">
      <c r="D20" s="62" t="str">
        <f>$D$18</f>
        <v>Vessels</v>
      </c>
      <c r="E20" s="61" t="str">
        <f>'Constants - Fuel'!$E$33</f>
        <v>Fuel Oil</v>
      </c>
      <c r="F20" s="61" t="str">
        <f>'Constants - Fuel'!$I$133</f>
        <v>Fuel oil</v>
      </c>
      <c r="H20" cm="1">
        <f t="array" ref="H20">Fuel_InputFunctions.Fuel_TotalConsumption(Table_Input_Fuel[Amount consumed],Table_Input_Fuel[Fuel use (select)],D20,Table_Input_Fuel[Fuel type (select)],F20)</f>
        <v>0</v>
      </c>
    </row>
    <row r="23" spans="4:8" x14ac:dyDescent="0.25">
      <c r="D23" t="s">
        <v>295</v>
      </c>
    </row>
    <row r="24" spans="4:8" ht="17.25" x14ac:dyDescent="0.25">
      <c r="D24" s="60" t="s">
        <v>138</v>
      </c>
      <c r="E24" s="47" t="s">
        <v>237</v>
      </c>
    </row>
    <row r="25" spans="4:8" x14ac:dyDescent="0.25">
      <c r="D25" s="50" t="str" cm="1">
        <f t="array" ref="D25:D43">Table_Fertiliser_ChemicalCompounds[Fertiliser type f]</f>
        <v>Monoammonium phosphate (MAP)</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6" spans="4:8" x14ac:dyDescent="0.25">
      <c r="D26" s="50" t="str">
        <v>Diammonium phosphate (DAP)</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7" spans="4:8" x14ac:dyDescent="0.25">
      <c r="D27" s="50" t="str">
        <v>Urea</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24189.130428200002</v>
      </c>
    </row>
    <row r="28" spans="4:8" x14ac:dyDescent="0.25">
      <c r="D28" s="50" t="str">
        <v>Sulphate of ammonia (SOA)</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9" spans="4:8" x14ac:dyDescent="0.25">
      <c r="D29" s="50" t="str">
        <v>Urea-ammonium nitrate (UAN)</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0" spans="4:8" x14ac:dyDescent="0.25">
      <c r="D30" s="50" t="str">
        <v>Ammonium nitrate (AN)</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1" spans="4:8" x14ac:dyDescent="0.25">
      <c r="D31" s="50" t="str">
        <v>Calcium ammonium nitrate (CAN)</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2" spans="4:8" x14ac:dyDescent="0.25">
      <c r="D32" s="50" t="str">
        <v>Nitrogen - Ammoniacal</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3" spans="4:5" x14ac:dyDescent="0.25">
      <c r="D33" s="50" t="str">
        <v>Nitrogen - Nitrate</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4" spans="4:5" x14ac:dyDescent="0.25">
      <c r="D34" s="50" t="str">
        <v>Nitrogen - Generic</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729.00000000000011</v>
      </c>
    </row>
    <row r="35" spans="4:5" x14ac:dyDescent="0.25">
      <c r="D35" s="50" t="str">
        <v>Phosphorus - Generic</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1040</v>
      </c>
    </row>
    <row r="36" spans="4:5" x14ac:dyDescent="0.25">
      <c r="D36" s="50" t="str">
        <v>Potassium - Generic</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5030</v>
      </c>
    </row>
    <row r="37" spans="4:5" x14ac:dyDescent="0.25">
      <c r="D37" s="50" t="str">
        <v>Sulfur - Generic</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2060</v>
      </c>
    </row>
    <row r="38" spans="4:5" x14ac:dyDescent="0.25">
      <c r="D38" s="50" t="str">
        <v>Zinc - Generic</v>
      </c>
      <c r="E38" s="50" cm="1">
        <f t="array" ref="E38">Fertiliser_InputFunctions.Fertiliser_TotalChemicalCompoundAppliedAllIngredients($D38,Table_Input_InorganicFertiliser_Brands[Total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9" spans="4:5" x14ac:dyDescent="0.25">
      <c r="D39" s="50" t="str">
        <v>Muriate of potash (MOP)</v>
      </c>
      <c r="E39" s="50" cm="1">
        <f t="array" ref="E39">Fertiliser_InputFunctions.Fertiliser_TotalChemicalCompoundAppliedAllIngredients($D39,Table_Input_InorganicFertiliser_Brands[Total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0" spans="4:5" x14ac:dyDescent="0.25">
      <c r="D40" s="50" t="str">
        <v>Double superphosphate</v>
      </c>
      <c r="E40" s="50" cm="1">
        <f t="array" ref="E40">Fertiliser_InputFunctions.Fertiliser_TotalChemicalCompoundAppliedAllIngredients($D40,Table_Input_InorganicFertiliser_Brands[Total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1" spans="4:5" x14ac:dyDescent="0.25">
      <c r="D41" s="50" t="str">
        <v>Single superphosphate (SSP)</v>
      </c>
      <c r="E41" s="50" cm="1">
        <f t="array" ref="E41">Fertiliser_InputFunctions.Fertiliser_TotalChemicalCompoundAppliedAllIngredients($D41,Table_Input_InorganicFertiliser_Brands[Total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2" spans="4:5" x14ac:dyDescent="0.25">
      <c r="D42" s="50" t="str">
        <v>Ammonia</v>
      </c>
      <c r="E42" s="50" cm="1">
        <f t="array" ref="E42">Fertiliser_InputFunctions.Fertiliser_TotalChemicalCompoundAppliedAllIngredients($D42,Table_Input_InorganicFertiliser_Brands[Total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row>
    <row r="43" spans="4:5" x14ac:dyDescent="0.25">
      <c r="D43" t="str">
        <v>Calcium nitrate</v>
      </c>
    </row>
    <row r="44" spans="4:5" x14ac:dyDescent="0.25">
      <c r="D44" t="s">
        <v>296</v>
      </c>
    </row>
    <row r="45" spans="4:5" x14ac:dyDescent="0.25">
      <c r="D45" t="s">
        <v>297</v>
      </c>
      <c r="E45" s="149">
        <f>'Input - Electricity'!E11</f>
        <v>500</v>
      </c>
    </row>
    <row r="46" spans="4:5" x14ac:dyDescent="0.25">
      <c r="D46" t="s">
        <v>298</v>
      </c>
      <c r="E46" t="str">
        <f>'Input - Electricity'!E13</f>
        <v>Western Australia - South West Interconnected System (SWIS)</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dimension ref="A1:AI165"/>
  <sheetViews>
    <sheetView showGridLines="0" zoomScaleNormal="100" workbookViewId="0">
      <selection activeCell="V23" sqref="V23"/>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137</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138</v>
      </c>
      <c r="E19" s="3" t="s">
        <v>139</v>
      </c>
      <c r="F19" s="3" t="s">
        <v>140</v>
      </c>
      <c r="G19" s="3" t="s">
        <v>141</v>
      </c>
      <c r="H19" s="3" t="s">
        <v>142</v>
      </c>
      <c r="I19" s="3" t="s">
        <v>143</v>
      </c>
      <c r="K19" s="10" t="s">
        <v>138</v>
      </c>
      <c r="L19" s="10" t="s">
        <v>139</v>
      </c>
      <c r="Q19" s="10" t="s">
        <v>138</v>
      </c>
      <c r="R19" s="10" t="s">
        <v>139</v>
      </c>
      <c r="V19" s="10" t="s">
        <v>143</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144</v>
      </c>
      <c r="F40" s="9" t="s">
        <v>145</v>
      </c>
      <c r="H40" s="9" t="s">
        <v>146</v>
      </c>
      <c r="J40" s="9" t="s">
        <v>147</v>
      </c>
    </row>
    <row r="41" spans="4:10" ht="20.100000000000001" customHeight="1" x14ac:dyDescent="0.25">
      <c r="D41" s="10" t="s">
        <v>148</v>
      </c>
      <c r="F41" s="10" t="s">
        <v>148</v>
      </c>
      <c r="H41" s="10" t="s">
        <v>43</v>
      </c>
      <c r="J41" s="10" t="s">
        <v>149</v>
      </c>
    </row>
    <row r="42" spans="4:10" ht="20.100000000000001" customHeight="1" x14ac:dyDescent="0.25">
      <c r="D42" s="10" t="s">
        <v>150</v>
      </c>
      <c r="F42" s="10" t="s">
        <v>150</v>
      </c>
      <c r="H42" s="10" t="s">
        <v>151</v>
      </c>
      <c r="J42" s="10" t="s">
        <v>152</v>
      </c>
    </row>
    <row r="43" spans="4:10" ht="20.100000000000001" customHeight="1" x14ac:dyDescent="0.25">
      <c r="D43" s="8" t="s">
        <v>153</v>
      </c>
      <c r="F43" s="8" t="s">
        <v>154</v>
      </c>
      <c r="H43" s="10" t="s">
        <v>155</v>
      </c>
      <c r="J43" s="8" t="s">
        <v>156</v>
      </c>
    </row>
    <row r="44" spans="4:10" ht="20.100000000000001" customHeight="1" x14ac:dyDescent="0.25">
      <c r="F44" s="8" t="s">
        <v>157</v>
      </c>
      <c r="H44" s="8" t="s">
        <v>158</v>
      </c>
      <c r="J44" s="8" t="s">
        <v>159</v>
      </c>
    </row>
    <row r="45" spans="4:10" ht="20.100000000000001" customHeight="1" x14ac:dyDescent="0.25">
      <c r="F45" s="8" t="s">
        <v>160</v>
      </c>
      <c r="H45" s="8" t="s">
        <v>161</v>
      </c>
      <c r="J45" s="8" t="s">
        <v>162</v>
      </c>
    </row>
    <row r="46" spans="4:10" ht="20.100000000000001" customHeight="1" x14ac:dyDescent="0.25">
      <c r="H46" s="8" t="s">
        <v>163</v>
      </c>
      <c r="J46" s="8" t="s">
        <v>164</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138</v>
      </c>
      <c r="E50" s="10" t="s">
        <v>165</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166</v>
      </c>
      <c r="E65" s="10" t="s">
        <v>167</v>
      </c>
      <c r="F65" s="10" t="s">
        <v>168</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9" t="s">
        <v>169</v>
      </c>
      <c r="E87" s="17"/>
      <c r="F87" s="17"/>
      <c r="G87" s="17"/>
      <c r="H87" s="17"/>
      <c r="I87" s="17"/>
      <c r="J87" s="17"/>
      <c r="K87" s="17"/>
      <c r="L87" s="17"/>
      <c r="N87" s="17"/>
      <c r="O87" s="17"/>
      <c r="P87" s="17"/>
      <c r="Q87" s="17"/>
      <c r="R87" s="17"/>
      <c r="S87" s="17"/>
      <c r="T87" s="17"/>
      <c r="U87" s="17"/>
    </row>
    <row r="88" spans="4:31" ht="20.100000000000001" customHeight="1" x14ac:dyDescent="0.25">
      <c r="D88" s="17"/>
    </row>
    <row r="89" spans="4:31" ht="20.100000000000001" customHeight="1" x14ac:dyDescent="0.25">
      <c r="D89" s="66" t="s">
        <v>170</v>
      </c>
      <c r="E89" s="10" t="s">
        <v>171</v>
      </c>
      <c r="F89" s="10" t="s">
        <v>172</v>
      </c>
      <c r="G89" s="67" t="s">
        <v>173</v>
      </c>
      <c r="H89" s="67" t="s">
        <v>99</v>
      </c>
      <c r="I89" s="67" t="s">
        <v>174</v>
      </c>
      <c r="J89" s="67" t="s">
        <v>175</v>
      </c>
      <c r="K89" s="67" t="s">
        <v>176</v>
      </c>
      <c r="L89" s="67" t="s">
        <v>177</v>
      </c>
      <c r="M89" s="67" t="s">
        <v>178</v>
      </c>
      <c r="N89" s="67" t="s">
        <v>179</v>
      </c>
      <c r="O89" s="10" t="s">
        <v>180</v>
      </c>
      <c r="P89" s="10" t="s">
        <v>181</v>
      </c>
      <c r="Q89" s="10" t="s">
        <v>182</v>
      </c>
      <c r="R89" s="67" t="s">
        <v>183</v>
      </c>
      <c r="S89" s="67" t="s">
        <v>184</v>
      </c>
      <c r="T89" s="10" t="s">
        <v>185</v>
      </c>
      <c r="U89" s="67" t="s">
        <v>186</v>
      </c>
      <c r="V89" s="67" t="s">
        <v>187</v>
      </c>
      <c r="W89" s="67" t="s">
        <v>188</v>
      </c>
      <c r="X89" s="67" t="s">
        <v>189</v>
      </c>
      <c r="Y89" s="67" t="s">
        <v>190</v>
      </c>
      <c r="Z89" s="10" t="s">
        <v>191</v>
      </c>
      <c r="AA89" s="10" t="s">
        <v>192</v>
      </c>
      <c r="AB89" s="10" t="s">
        <v>193</v>
      </c>
      <c r="AC89" s="10" t="s">
        <v>194</v>
      </c>
      <c r="AD89" s="10" t="s">
        <v>195</v>
      </c>
      <c r="AE89" s="10" t="s">
        <v>196</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f>
        <v>L</v>
      </c>
      <c r="I90" s="65" cm="1">
        <f t="array" ref="I90">Common_InputFunctions.Utility_DisplayArrayInTable(Fertiliser_SourceData.Fertiliser_Products_Data1(),FertiliserProducts[[#Headers],[Include or Exclude]], 0)</f>
        <v>1.26</v>
      </c>
      <c r="J90" s="65" t="str" cm="1">
        <f t="array" ref="J90">Common_InputFunctions.Utility_DisplayArrayInTable(Fertiliser_SourceData.Fertiliser_Products_Data1(),FertiliserProducts[[#Headers],[Include or Exclude]], 0)</f>
        <v/>
      </c>
      <c r="K90" s="65" t="str" cm="1">
        <f t="array" ref="K90">Common_InputFunctions.Utility_DisplayArrayInTable(Fertiliser_SourceData.Fertiliser_Products_Data1(),FertiliserProducts[[#Headers],[Include or Exclude]], 0)</f>
        <v/>
      </c>
      <c r="L90" s="65" t="str" cm="1">
        <f t="array" ref="L90">Common_InputFunctions.Utility_DisplayArrayInTable(Fertiliser_SourceData.Fertiliser_Products_Data1(),FertiliserProducts[[#Headers],[Include or Exclude]], 0)</f>
        <v>Potassium - Generic</v>
      </c>
      <c r="M90" s="10" cm="1">
        <f t="array" ref="M90">Common_InputFunctions.Utility_DisplayArrayInTable(Fertiliser_SourceData.Fertiliser_Products_Data1(),FertiliserProducts[[#Headers],[Include or Exclude]], 0)</f>
        <v>0.22500000000000001</v>
      </c>
      <c r="N90" s="65" t="str" cm="1">
        <f t="array" ref="N90">Common_InputFunctions.Utility_DisplayArrayInTable(Fertiliser_SourceData.Fertiliser_Products_Data1(),FertiliserProducts[[#Headers],[Include or Exclude]], 0)</f>
        <v>Phosphorus - Generic</v>
      </c>
      <c r="O90" s="65" cm="1">
        <f t="array" ref="O90">Common_InputFunctions.Utility_DisplayArrayInTable(Fertiliser_SourceData.Fertiliser_Products_Data1(),FertiliserProducts[[#Headers],[Include or Exclude]], 0)</f>
        <v>0.04</v>
      </c>
      <c r="P90" s="65" t="str" cm="1">
        <f t="array" ref="P90">Common_InputFunctions.Utility_DisplayArrayInTable(Fertiliser_SourceData.Fertiliser_Products_Data1(),FertiliserProducts[[#Headers],[Include or Exclude]], 0)</f>
        <v>Nitrogen - Generic</v>
      </c>
      <c r="Q90" s="65" cm="1">
        <f t="array" ref="Q90">Common_InputFunctions.Utility_DisplayArrayInTable(Fertiliser_SourceData.Fertiliser_Products_Data1(),FertiliserProducts[[#Headers],[Include or Exclude]], 0)</f>
        <v>2.5999999999999999E-2</v>
      </c>
      <c r="R90" s="65" t="str" cm="1">
        <f t="array" ref="R90">Common_InputFunctions.Utility_DisplayArrayInTable(Fertiliser_SourceData.Fertiliser_Products_Data1(),FertiliserProducts[[#Headers],[Include or Exclude]], 0)</f>
        <v/>
      </c>
      <c r="S90" s="65" t="str" cm="1">
        <f t="array" ref="S90">Common_InputFunctions.Utility_DisplayArrayInTable(Fertiliser_SourceData.Fertiliser_Products_Data1(),FertiliserProducts[[#Headers],[Include or Exclude]], 0)</f>
        <v/>
      </c>
      <c r="T90" s="65" t="str" cm="1">
        <f t="array" ref="T90">Common_InputFunctions.Utility_DisplayArrayInTable(Fertiliser_SourceData.Fertiliser_Products_Data1(),FertiliserProducts[[#Headers],[Include or Exclude]], 0)</f>
        <v/>
      </c>
      <c r="U90" s="65"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4:31" ht="20.100000000000001" customHeight="1" x14ac:dyDescent="0.25">
      <c r="D91" s="65" t="str" cm="1">
        <f t="array" ref="D91">Common_InputFunctions.Utility_DisplayArrayInTable(Fertiliser_SourceData.Fertiliser_Products_Data1(),FertiliserProducts[[#Headers],[Include or Exclude]], 0)</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f>
        <v>L</v>
      </c>
      <c r="I91" s="65" cm="1">
        <f t="array" ref="I91">Common_InputFunctions.Utility_DisplayArrayInTable(Fertiliser_SourceData.Fertiliser_Products_Data1(),FertiliserProducts[[#Headers],[Include or Exclude]], 0)</f>
        <v>1.26</v>
      </c>
      <c r="J91" s="65" t="str" cm="1">
        <f t="array" ref="J91">Common_InputFunctions.Utility_DisplayArrayInTable(Fertiliser_SourceData.Fertiliser_Products_Data1(),FertiliserProducts[[#Headers],[Include or Exclude]], 0)</f>
        <v/>
      </c>
      <c r="K91" s="65" t="str" cm="1">
        <f t="array" ref="K91">Common_InputFunctions.Utility_DisplayArrayInTable(Fertiliser_SourceData.Fertiliser_Products_Data1(),FertiliserProducts[[#Headers],[Include or Exclude]], 0)</f>
        <v/>
      </c>
      <c r="L91" s="65" t="str" cm="1">
        <f t="array" ref="L91">Common_InputFunctions.Utility_DisplayArrayInTable(Fertiliser_SourceData.Fertiliser_Products_Data1(),FertiliserProducts[[#Headers],[Include or Exclude]], 0)</f>
        <v>Potassium - Generic</v>
      </c>
      <c r="M91" s="10" cm="1">
        <f t="array" ref="M91">Common_InputFunctions.Utility_DisplayArrayInTable(Fertiliser_SourceData.Fertiliser_Products_Data1(),FertiliserProducts[[#Headers],[Include or Exclude]], 0)</f>
        <v>0.105</v>
      </c>
      <c r="N91" s="65" t="str" cm="1">
        <f t="array" ref="N91">Common_InputFunctions.Utility_DisplayArrayInTable(Fertiliser_SourceData.Fertiliser_Products_Data1(),FertiliserProducts[[#Headers],[Include or Exclude]], 0)</f>
        <v>Nitrogen - Generic</v>
      </c>
      <c r="O91" s="65" cm="1">
        <f t="array" ref="O91">Common_InputFunctions.Utility_DisplayArrayInTable(Fertiliser_SourceData.Fertiliser_Products_Data1(),FertiliserProducts[[#Headers],[Include or Exclude]], 0)</f>
        <v>9.6000000000000002E-2</v>
      </c>
      <c r="P91" s="65" t="str" cm="1">
        <f t="array" ref="P91">Common_InputFunctions.Utility_DisplayArrayInTable(Fertiliser_SourceData.Fertiliser_Products_Data1(),FertiliserProducts[[#Headers],[Include or Exclude]], 0)</f>
        <v>Phosphorus - Generic</v>
      </c>
      <c r="Q91" s="65" cm="1">
        <f t="array" ref="Q91">Common_InputFunctions.Utility_DisplayArrayInTable(Fertiliser_SourceData.Fertiliser_Products_Data1(),FertiliserProducts[[#Headers],[Include or Exclude]], 0)</f>
        <v>0.05</v>
      </c>
      <c r="R91" s="65" t="str" cm="1">
        <f t="array" ref="R91">Common_InputFunctions.Utility_DisplayArrayInTable(Fertiliser_SourceData.Fertiliser_Products_Data1(),FertiliserProducts[[#Headers],[Include or Exclude]], 0)</f>
        <v/>
      </c>
      <c r="S91" s="65" t="str" cm="1">
        <f t="array" ref="S91">Common_InputFunctions.Utility_DisplayArrayInTable(Fertiliser_SourceData.Fertiliser_Products_Data1(),FertiliserProducts[[#Headers],[Include or Exclude]], 0)</f>
        <v/>
      </c>
      <c r="T91" s="65" t="str" cm="1">
        <f t="array" ref="T91">Common_InputFunctions.Utility_DisplayArrayInTable(Fertiliser_SourceData.Fertiliser_Products_Data1(),FertiliserProducts[[#Headers],[Include or Exclude]], 0)</f>
        <v/>
      </c>
      <c r="U91" s="65"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4:31" ht="20.100000000000001" customHeight="1" x14ac:dyDescent="0.25">
      <c r="D92" s="65" t="str" cm="1">
        <f t="array" ref="D92">Common_InputFunctions.Utility_DisplayArrayInTable(Fertiliser_SourceData.Fertiliser_Products_Data1(),FertiliserProducts[[#Headers],[Include or Exclude]], 0)</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f>
        <v>L</v>
      </c>
      <c r="I92" s="65" cm="1">
        <f t="array" ref="I92">Common_InputFunctions.Utility_DisplayArrayInTable(Fertiliser_SourceData.Fertiliser_Products_Data1(),FertiliserProducts[[#Headers],[Include or Exclude]], 0)</f>
        <v>1.24</v>
      </c>
      <c r="J92" s="65" t="str" cm="1">
        <f t="array" ref="J92">Common_InputFunctions.Utility_DisplayArrayInTable(Fertiliser_SourceData.Fertiliser_Products_Data1(),FertiliserProducts[[#Headers],[Include or Exclude]], 0)</f>
        <v/>
      </c>
      <c r="K92" s="65" t="str" cm="1">
        <f t="array" ref="K92">Common_InputFunctions.Utility_DisplayArrayInTable(Fertiliser_SourceData.Fertiliser_Products_Data1(),FertiliserProducts[[#Headers],[Include or Exclude]], 0)</f>
        <v/>
      </c>
      <c r="L92" s="65" t="str" cm="1">
        <f t="array" ref="L92">Common_InputFunctions.Utility_DisplayArrayInTable(Fertiliser_SourceData.Fertiliser_Products_Data1(),FertiliserProducts[[#Headers],[Include or Exclude]], 0)</f>
        <v>Nitrogen - Ammoniacal</v>
      </c>
      <c r="M92" s="10" cm="1">
        <f t="array" ref="M92">Common_InputFunctions.Utility_DisplayArrayInTable(Fertiliser_SourceData.Fertiliser_Products_Data1(),FertiliserProducts[[#Headers],[Include or Exclude]], 0)</f>
        <v>0.223</v>
      </c>
      <c r="N92" s="65" t="str" cm="1">
        <f t="array" ref="N92">Common_InputFunctions.Utility_DisplayArrayInTable(Fertiliser_SourceData.Fertiliser_Products_Data1(),FertiliserProducts[[#Headers],[Include or Exclude]], 0)</f>
        <v/>
      </c>
      <c r="O92" s="65" t="str" cm="1">
        <f t="array" ref="O92">Common_InputFunctions.Utility_DisplayArrayInTable(Fertiliser_SourceData.Fertiliser_Products_Data1(),FertiliserProducts[[#Headers],[Include or Exclude]], 0)</f>
        <v/>
      </c>
      <c r="P92" s="65" t="str" cm="1">
        <f t="array" ref="P92">Common_InputFunctions.Utility_DisplayArrayInTable(Fertiliser_SourceData.Fertiliser_Products_Data1(),FertiliserProducts[[#Headers],[Include or Exclude]], 0)</f>
        <v/>
      </c>
      <c r="Q92" s="65" t="str" cm="1">
        <f t="array" ref="Q92">Common_InputFunctions.Utility_DisplayArrayInTable(Fertiliser_SourceData.Fertiliser_Products_Data1(),FertiliserProducts[[#Headers],[Include or Exclude]], 0)</f>
        <v/>
      </c>
      <c r="R92" s="65" t="str" cm="1">
        <f t="array" ref="R92">Common_InputFunctions.Utility_DisplayArrayInTable(Fertiliser_SourceData.Fertiliser_Products_Data1(),FertiliserProducts[[#Headers],[Include or Exclude]], 0)</f>
        <v/>
      </c>
      <c r="S92" s="65" t="str" cm="1">
        <f t="array" ref="S92">Common_InputFunctions.Utility_DisplayArrayInTable(Fertiliser_SourceData.Fertiliser_Products_Data1(),FertiliserProducts[[#Headers],[Include or Exclude]], 0)</f>
        <v/>
      </c>
      <c r="T92" s="65" t="str" cm="1">
        <f t="array" ref="T92">Common_InputFunctions.Utility_DisplayArrayInTable(Fertiliser_SourceData.Fertiliser_Products_Data1(),FertiliserProducts[[#Headers],[Include or Exclude]], 0)</f>
        <v/>
      </c>
      <c r="U92" s="65"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4:31" ht="20.100000000000001" customHeight="1" x14ac:dyDescent="0.25">
      <c r="D93" s="65" t="str" cm="1">
        <f t="array" ref="D93">Common_InputFunctions.Utility_DisplayArrayInTable(Fertiliser_SourceData.Fertiliser_Products_Data1(),FertiliserProducts[[#Headers],[Include or Exclude]], 0)</f>
        <v>Include</v>
      </c>
      <c r="E93" s="65" t="str" cm="1">
        <f t="array" ref="E93">Common_InputFunctions.Utility_DisplayArrayInTable(Fertiliser_SourceData.Fertiliser_Products_Data1(),FertiliserProducts[[#Headers],[Include or Exclude]], 0)</f>
        <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Start</v>
      </c>
      <c r="H93" s="65" t="str" cm="1">
        <f t="array" ref="H93">Common_InputFunctions.Utility_DisplayArrayInTable(Fertiliser_SourceData.Fertiliser_Products_Data1(),FertiliserProducts[[#Headers],[Include or Exclude]], 0)</f>
        <v>L</v>
      </c>
      <c r="I93" s="65" cm="1">
        <f t="array" ref="I93">Common_InputFunctions.Utility_DisplayArrayInTable(Fertiliser_SourceData.Fertiliser_Products_Data1(),FertiliserProducts[[#Headers],[Include or Exclude]], 0)</f>
        <v>1.25</v>
      </c>
      <c r="J93" s="65" t="str" cm="1">
        <f t="array" ref="J93">Common_InputFunctions.Utility_DisplayArrayInTable(Fertiliser_SourceData.Fertiliser_Products_Data1(),FertiliserProducts[[#Headers],[Include or Exclude]], 0)</f>
        <v/>
      </c>
      <c r="K93" s="65" t="str" cm="1">
        <f t="array" ref="K93">Common_InputFunctions.Utility_DisplayArrayInTable(Fertiliser_SourceData.Fertiliser_Products_Data1(),FertiliserProducts[[#Headers],[Include or Exclude]], 0)</f>
        <v/>
      </c>
      <c r="L93" s="65" t="str" cm="1">
        <f t="array" ref="L93">Common_InputFunctions.Utility_DisplayArrayInTable(Fertiliser_SourceData.Fertiliser_Products_Data1(),FertiliserProducts[[#Headers],[Include or Exclude]], 0)</f>
        <v>Nitrogen - Generic</v>
      </c>
      <c r="M93" s="10" cm="1">
        <f t="array" ref="M93">Common_InputFunctions.Utility_DisplayArrayInTable(Fertiliser_SourceData.Fertiliser_Products_Data1(),FertiliserProducts[[#Headers],[Include or Exclude]], 0)</f>
        <v>0.10299999999999999</v>
      </c>
      <c r="N93" s="65" t="str" cm="1">
        <f t="array" ref="N93">Common_InputFunctions.Utility_DisplayArrayInTable(Fertiliser_SourceData.Fertiliser_Products_Data1(),FertiliserProducts[[#Headers],[Include or Exclude]], 0)</f>
        <v>Phosphorus - Generic</v>
      </c>
      <c r="O93" s="65" cm="1">
        <f t="array" ref="O93">Common_InputFunctions.Utility_DisplayArrayInTable(Fertiliser_SourceData.Fertiliser_Products_Data1(),FertiliserProducts[[#Headers],[Include or Exclude]], 0)</f>
        <v>0.1</v>
      </c>
      <c r="P93" s="65" t="str" cm="1">
        <f t="array" ref="P93">Common_InputFunctions.Utility_DisplayArrayInTable(Fertiliser_SourceData.Fertiliser_Products_Data1(),FertiliserProducts[[#Headers],[Include or Exclude]], 0)</f>
        <v>Potassium - Generic</v>
      </c>
      <c r="Q93" s="65" cm="1">
        <f t="array" ref="Q93">Common_InputFunctions.Utility_DisplayArrayInTable(Fertiliser_SourceData.Fertiliser_Products_Data1(),FertiliserProducts[[#Headers],[Include or Exclude]], 0)</f>
        <v>3.4000000000000002E-2</v>
      </c>
      <c r="R93" s="65" t="str" cm="1">
        <f t="array" ref="R93">Common_InputFunctions.Utility_DisplayArrayInTable(Fertiliser_SourceData.Fertiliser_Products_Data1(),FertiliserProducts[[#Headers],[Include or Exclude]], 0)</f>
        <v/>
      </c>
      <c r="S93" s="65" t="str" cm="1">
        <f t="array" ref="S93">Common_InputFunctions.Utility_DisplayArrayInTable(Fertiliser_SourceData.Fertiliser_Products_Data1(),FertiliserProducts[[#Headers],[Include or Exclude]], 0)</f>
        <v/>
      </c>
      <c r="T93" s="65" t="str" cm="1">
        <f t="array" ref="T93">Common_InputFunctions.Utility_DisplayArrayInTable(Fertiliser_SourceData.Fertiliser_Products_Data1(),FertiliserProducts[[#Headers],[Include or Exclude]], 0)</f>
        <v/>
      </c>
      <c r="U93" s="65"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4:31" ht="20.100000000000001" customHeight="1" x14ac:dyDescent="0.25">
      <c r="D94" s="65" t="str" cm="1">
        <f t="array" ref="D94">Common_InputFunctions.Utility_DisplayArrayInTable(Fertiliser_SourceData.Fertiliser_Products_Data1(),FertiliserProducts[[#Headers],[Include or Exclude]], 0)</f>
        <v>Include</v>
      </c>
      <c r="E94" s="65" t="str" cm="1">
        <f t="array" ref="E94">Common_InputFunctions.Utility_DisplayArrayInTable(Fertiliser_SourceData.Fertiliser_Products_Data1(),FertiliserProducts[[#Headers],[Include or Exclude]], 0)</f>
        <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Thio-Complete</v>
      </c>
      <c r="H94" s="65" t="str" cm="1">
        <f t="array" ref="H94">Common_InputFunctions.Utility_DisplayArrayInTable(Fertiliser_SourceData.Fertiliser_Products_Data1(),FertiliserProducts[[#Headers],[Include or Exclude]], 0)</f>
        <v>L</v>
      </c>
      <c r="I94" s="65" cm="1">
        <f t="array" ref="I94">Common_InputFunctions.Utility_DisplayArrayInTable(Fertiliser_SourceData.Fertiliser_Products_Data1(),FertiliserProducts[[#Headers],[Include or Exclude]], 0)</f>
        <v>1.43</v>
      </c>
      <c r="J94" s="65" t="str" cm="1">
        <f t="array" ref="J94">Common_InputFunctions.Utility_DisplayArrayInTable(Fertiliser_SourceData.Fertiliser_Products_Data1(),FertiliserProducts[[#Headers],[Include or Exclude]], 0)</f>
        <v/>
      </c>
      <c r="K94" s="65" t="str" cm="1">
        <f t="array" ref="K94">Common_InputFunctions.Utility_DisplayArrayInTable(Fertiliser_SourceData.Fertiliser_Products_Data1(),FertiliserProducts[[#Headers],[Include or Exclude]], 0)</f>
        <v/>
      </c>
      <c r="L94" s="65" t="str" cm="1">
        <f t="array" ref="L94">Common_InputFunctions.Utility_DisplayArrayInTable(Fertiliser_SourceData.Fertiliser_Products_Data1(),FertiliserProducts[[#Headers],[Include or Exclude]], 0)</f>
        <v>Potassium - Generic</v>
      </c>
      <c r="M94" s="10" cm="1">
        <f t="array" ref="M94">Common_InputFunctions.Utility_DisplayArrayInTable(Fertiliser_SourceData.Fertiliser_Products_Data1(),FertiliserProducts[[#Headers],[Include or Exclude]], 0)</f>
        <v>0.22500000000000001</v>
      </c>
      <c r="N94" s="65" t="str" cm="1">
        <f t="array" ref="N94">Common_InputFunctions.Utility_DisplayArrayInTable(Fertiliser_SourceData.Fertiliser_Products_Data1(),FertiliserProducts[[#Headers],[Include or Exclude]], 0)</f>
        <v>Phosphorus - Generic</v>
      </c>
      <c r="O94" s="65" cm="1">
        <f t="array" ref="O94">Common_InputFunctions.Utility_DisplayArrayInTable(Fertiliser_SourceData.Fertiliser_Products_Data1(),FertiliserProducts[[#Headers],[Include or Exclude]], 0)</f>
        <v>3.7999999999999999E-2</v>
      </c>
      <c r="P94" s="65" t="str" cm="1">
        <f t="array" ref="P94">Common_InputFunctions.Utility_DisplayArrayInTable(Fertiliser_SourceData.Fertiliser_Products_Data1(),FertiliserProducts[[#Headers],[Include or Exclude]], 0)</f>
        <v>Nitrogen - Generic</v>
      </c>
      <c r="Q94" s="65" cm="1">
        <f t="array" ref="Q94">Common_InputFunctions.Utility_DisplayArrayInTable(Fertiliser_SourceData.Fertiliser_Products_Data1(),FertiliserProducts[[#Headers],[Include or Exclude]], 0)</f>
        <v>2.5000000000000001E-2</v>
      </c>
      <c r="R94" s="65" t="str" cm="1">
        <f t="array" ref="R94">Common_InputFunctions.Utility_DisplayArrayInTable(Fertiliser_SourceData.Fertiliser_Products_Data1(),FertiliserProducts[[#Headers],[Include or Exclude]], 0)</f>
        <v/>
      </c>
      <c r="S94" s="65" t="str" cm="1">
        <f t="array" ref="S94">Common_InputFunctions.Utility_DisplayArrayInTable(Fertiliser_SourceData.Fertiliser_Products_Data1(),FertiliserProducts[[#Headers],[Include or Exclude]], 0)</f>
        <v/>
      </c>
      <c r="T94" s="65" t="str" cm="1">
        <f t="array" ref="T94">Common_InputFunctions.Utility_DisplayArrayInTable(Fertiliser_SourceData.Fertiliser_Products_Data1(),FertiliserProducts[[#Headers],[Include or Exclude]], 0)</f>
        <v/>
      </c>
      <c r="U94" s="65"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4:31" ht="20.100000000000001" customHeight="1" x14ac:dyDescent="0.25">
      <c r="D95" s="65" t="str" cm="1">
        <f t="array" ref="D95">Common_InputFunctions.Utility_DisplayArrayInTable(Fertiliser_SourceData.Fertiliser_Products_Data1(),FertiliserProducts[[#Headers],[Include or Exclude]], 0)</f>
        <v>Include</v>
      </c>
      <c r="E95" s="65" t="str" cm="1">
        <f t="array" ref="E95">Common_InputFunctions.Utility_DisplayArrayInTable(Fertiliser_SourceData.Fertiliser_Products_Data1(),FertiliserProducts[[#Headers],[Include or Exclude]], 0)</f>
        <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Thio-Emerge</v>
      </c>
      <c r="H95" s="65" t="str" cm="1">
        <f t="array" ref="H95">Common_InputFunctions.Utility_DisplayArrayInTable(Fertiliser_SourceData.Fertiliser_Products_Data1(),FertiliserProducts[[#Headers],[Include or Exclude]], 0)</f>
        <v>L</v>
      </c>
      <c r="I95" s="65" cm="1">
        <f t="array" ref="I95">Common_InputFunctions.Utility_DisplayArrayInTable(Fertiliser_SourceData.Fertiliser_Products_Data1(),FertiliserProducts[[#Headers],[Include or Exclude]], 0)</f>
        <v>1.29</v>
      </c>
      <c r="J95" s="65" t="str" cm="1">
        <f t="array" ref="J95">Common_InputFunctions.Utility_DisplayArrayInTable(Fertiliser_SourceData.Fertiliser_Products_Data1(),FertiliserProducts[[#Headers],[Include or Exclude]], 0)</f>
        <v/>
      </c>
      <c r="K95" s="65" t="str" cm="1">
        <f t="array" ref="K95">Common_InputFunctions.Utility_DisplayArrayInTable(Fertiliser_SourceData.Fertiliser_Products_Data1(),FertiliserProducts[[#Headers],[Include or Exclude]], 0)</f>
        <v/>
      </c>
      <c r="L95" s="65" t="str" cm="1">
        <f t="array" ref="L95">Common_InputFunctions.Utility_DisplayArrayInTable(Fertiliser_SourceData.Fertiliser_Products_Data1(),FertiliserProducts[[#Headers],[Include or Exclude]], 0)</f>
        <v>Nitrogen - Generic</v>
      </c>
      <c r="M95" s="10" cm="1">
        <f t="array" ref="M95">Common_InputFunctions.Utility_DisplayArrayInTable(Fertiliser_SourceData.Fertiliser_Products_Data1(),FertiliserProducts[[#Headers],[Include or Exclude]], 0)</f>
        <v>0.105</v>
      </c>
      <c r="N95" s="65" t="str" cm="1">
        <f t="array" ref="N95">Common_InputFunctions.Utility_DisplayArrayInTable(Fertiliser_SourceData.Fertiliser_Products_Data1(),FertiliserProducts[[#Headers],[Include or Exclude]], 0)</f>
        <v>Phosphorus - Generic</v>
      </c>
      <c r="O95" s="65" cm="1">
        <f t="array" ref="O95">Common_InputFunctions.Utility_DisplayArrayInTable(Fertiliser_SourceData.Fertiliser_Products_Data1(),FertiliserProducts[[#Headers],[Include or Exclude]], 0)</f>
        <v>9.4E-2</v>
      </c>
      <c r="P95" s="65" t="str" cm="1">
        <f t="array" ref="P95">Common_InputFunctions.Utility_DisplayArrayInTable(Fertiliser_SourceData.Fertiliser_Products_Data1(),FertiliserProducts[[#Headers],[Include or Exclude]], 0)</f>
        <v>Potassium - Generic</v>
      </c>
      <c r="Q95" s="65" cm="1">
        <f t="array" ref="Q95">Common_InputFunctions.Utility_DisplayArrayInTable(Fertiliser_SourceData.Fertiliser_Products_Data1(),FertiliserProducts[[#Headers],[Include or Exclude]], 0)</f>
        <v>0.04</v>
      </c>
      <c r="R95" s="65" t="str" cm="1">
        <f t="array" ref="R95">Common_InputFunctions.Utility_DisplayArrayInTable(Fertiliser_SourceData.Fertiliser_Products_Data1(),FertiliserProducts[[#Headers],[Include or Exclude]], 0)</f>
        <v>Sulfur - Generic</v>
      </c>
      <c r="S95" s="65" cm="1">
        <f t="array" ref="S95">Common_InputFunctions.Utility_DisplayArrayInTable(Fertiliser_SourceData.Fertiliser_Products_Data1(),FertiliserProducts[[#Headers],[Include or Exclude]], 0)</f>
        <v>0.03</v>
      </c>
      <c r="T95" s="65" t="str" cm="1">
        <f t="array" ref="T95">Common_InputFunctions.Utility_DisplayArrayInTable(Fertiliser_SourceData.Fertiliser_Products_Data1(),FertiliserProducts[[#Headers],[Include or Exclude]], 0)</f>
        <v/>
      </c>
      <c r="U95" s="65"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4:31" ht="20.100000000000001" customHeight="1" x14ac:dyDescent="0.25">
      <c r="D96" s="65" t="str" cm="1">
        <f t="array" ref="D96">Common_InputFunctions.Utility_DisplayArrayInTable(Fertiliser_SourceData.Fertiliser_Products_Data1(),FertiliserProducts[[#Headers],[Include or Exclude]], 0)</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Thio-Flourish</v>
      </c>
      <c r="H96" s="65" t="str" cm="1">
        <f t="array" ref="H96">Common_InputFunctions.Utility_DisplayArrayInTable(Fertiliser_SourceData.Fertiliser_Products_Data1(),FertiliserProducts[[#Headers],[Include or Exclude]], 0)</f>
        <v>L</v>
      </c>
      <c r="I96" s="65" cm="1">
        <f t="array" ref="I96">Common_InputFunctions.Utility_DisplayArrayInTable(Fertiliser_SourceData.Fertiliser_Products_Data1(),FertiliserProducts[[#Headers],[Include or Exclude]], 0)</f>
        <v>1.32</v>
      </c>
      <c r="J96" s="65" t="str" cm="1">
        <f t="array" ref="J96">Common_InputFunctions.Utility_DisplayArrayInTable(Fertiliser_SourceData.Fertiliser_Products_Data1(),FertiliserProducts[[#Headers],[Include or Exclude]], 0)</f>
        <v/>
      </c>
      <c r="K96" s="65" t="str" cm="1">
        <f t="array" ref="K96">Common_InputFunctions.Utility_DisplayArrayInTable(Fertiliser_SourceData.Fertiliser_Products_Data1(),FertiliserProducts[[#Headers],[Include or Exclude]], 0)</f>
        <v/>
      </c>
      <c r="L96" s="65" t="str" cm="1">
        <f t="array" ref="L96">Common_InputFunctions.Utility_DisplayArrayInTable(Fertiliser_SourceData.Fertiliser_Products_Data1(),FertiliserProducts[[#Headers],[Include or Exclude]], 0)</f>
        <v>Potassium - Generic</v>
      </c>
      <c r="M96" s="10" cm="1">
        <f t="array" ref="M96">Common_InputFunctions.Utility_DisplayArrayInTable(Fertiliser_SourceData.Fertiliser_Products_Data1(),FertiliserProducts[[#Headers],[Include or Exclude]], 0)</f>
        <v>0.108</v>
      </c>
      <c r="N96" s="65" t="str" cm="1">
        <f t="array" ref="N96">Common_InputFunctions.Utility_DisplayArrayInTable(Fertiliser_SourceData.Fertiliser_Products_Data1(),FertiliserProducts[[#Headers],[Include or Exclude]], 0)</f>
        <v>Nitrogen - Generic</v>
      </c>
      <c r="O96" s="65" cm="1">
        <f t="array" ref="O96">Common_InputFunctions.Utility_DisplayArrayInTable(Fertiliser_SourceData.Fertiliser_Products_Data1(),FertiliserProducts[[#Headers],[Include or Exclude]], 0)</f>
        <v>9.5000000000000001E-2</v>
      </c>
      <c r="P96" s="65" t="str" cm="1">
        <f t="array" ref="P96">Common_InputFunctions.Utility_DisplayArrayInTable(Fertiliser_SourceData.Fertiliser_Products_Data1(),FertiliserProducts[[#Headers],[Include or Exclude]], 0)</f>
        <v>Sulfur - Generic</v>
      </c>
      <c r="Q96" s="65" cm="1">
        <f t="array" ref="Q96">Common_InputFunctions.Utility_DisplayArrayInTable(Fertiliser_SourceData.Fertiliser_Products_Data1(),FertiliserProducts[[#Headers],[Include or Exclude]], 0)</f>
        <v>8.1000000000000003E-2</v>
      </c>
      <c r="R96" s="65" t="str" cm="1">
        <f t="array" ref="R96">Common_InputFunctions.Utility_DisplayArrayInTable(Fertiliser_SourceData.Fertiliser_Products_Data1(),FertiliserProducts[[#Headers],[Include or Exclude]], 0)</f>
        <v>Phosphorus - Generic</v>
      </c>
      <c r="S96" s="65" cm="1">
        <f t="array" ref="S96">Common_InputFunctions.Utility_DisplayArrayInTable(Fertiliser_SourceData.Fertiliser_Products_Data1(),FertiliserProducts[[#Headers],[Include or Exclude]], 0)</f>
        <v>4.7E-2</v>
      </c>
      <c r="T96" s="65" t="str" cm="1">
        <f t="array" ref="T96">Common_InputFunctions.Utility_DisplayArrayInTable(Fertiliser_SourceData.Fertiliser_Products_Data1(),FertiliserProducts[[#Headers],[Include or Exclude]], 0)</f>
        <v/>
      </c>
      <c r="U96" s="65"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4:31" ht="20.100000000000001" customHeight="1" x14ac:dyDescent="0.25">
      <c r="D97" s="65" t="str" cm="1">
        <f t="array" ref="D97">Common_InputFunctions.Utility_DisplayArrayInTable(Fertiliser_SourceData.Fertiliser_Products_Data1(),FertiliserProducts[[#Headers],[Include or Exclude]], 0)</f>
        <v>Include - Absent ingredients &lt; 2%</v>
      </c>
      <c r="E97" s="65" t="str" cm="1">
        <f t="array" ref="E97">Common_InputFunctions.Utility_DisplayArrayInTable(Fertiliser_SourceData.Fertiliser_Products_Data1(),FertiliserProducts[[#Headers],[Include or Exclude]], 0)</f>
        <v>Amount of urea calculated from urea nitrogen amount</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Boost-It</v>
      </c>
      <c r="H97" s="65" t="str" cm="1">
        <f t="array" ref="H97">Common_InputFunctions.Utility_DisplayArrayInTable(Fertiliser_SourceData.Fertiliser_Products_Data1(),FertiliserProducts[[#Headers],[Include or Exclude]], 0)</f>
        <v>kg</v>
      </c>
      <c r="I97" s="65" cm="1">
        <f t="array" ref="I97">Common_InputFunctions.Utility_DisplayArrayInTable(Fertiliser_SourceData.Fertiliser_Products_Data1(),FertiliserProducts[[#Headers],[Include or Exclude]], 0)</f>
        <v>1</v>
      </c>
      <c r="J97" s="65" t="str" cm="1">
        <f t="array" ref="J97">Common_InputFunctions.Utility_DisplayArrayInTable(Fertiliser_SourceData.Fertiliser_Products_Data1(),FertiliserProducts[[#Headers],[Include or Exclude]], 0)</f>
        <v/>
      </c>
      <c r="K97" s="65" t="str" cm="1">
        <f t="array" ref="K97">Common_InputFunctions.Utility_DisplayArrayInTable(Fertiliser_SourceData.Fertiliser_Products_Data1(),FertiliserProducts[[#Headers],[Include or Exclude]], 0)</f>
        <v/>
      </c>
      <c r="L97" s="65" t="str" cm="1">
        <f t="array" ref="L97">Common_InputFunctions.Utility_DisplayArrayInTable(Fertiliser_SourceData.Fertiliser_Products_Data1(),FertiliserProducts[[#Headers],[Include or Exclude]], 0)</f>
        <v>Urea</v>
      </c>
      <c r="M97" s="10" cm="1">
        <f t="array" ref="M97">Common_InputFunctions.Utility_DisplayArrayInTable(Fertiliser_SourceData.Fertiliser_Products_Data1(),FertiliserProducts[[#Headers],[Include or Exclude]], 0)</f>
        <v>0.52173913000000005</v>
      </c>
      <c r="N97" s="65" t="str" cm="1">
        <f t="array" ref="N97">Common_InputFunctions.Utility_DisplayArrayInTable(Fertiliser_SourceData.Fertiliser_Products_Data1(),FertiliserProducts[[#Headers],[Include or Exclude]], 0)</f>
        <v>Potassium - Generic</v>
      </c>
      <c r="O97" s="65" cm="1">
        <f t="array" ref="O97">Common_InputFunctions.Utility_DisplayArrayInTable(Fertiliser_SourceData.Fertiliser_Products_Data1(),FertiliserProducts[[#Headers],[Include or Exclude]], 0)</f>
        <v>0.08</v>
      </c>
      <c r="P97" s="65" t="str" cm="1">
        <f t="array" ref="P97">Common_InputFunctions.Utility_DisplayArrayInTable(Fertiliser_SourceData.Fertiliser_Products_Data1(),FertiliserProducts[[#Headers],[Include or Exclude]], 0)</f>
        <v>Sulfur - Generic</v>
      </c>
      <c r="Q97" s="65" cm="1">
        <f t="array" ref="Q97">Common_InputFunctions.Utility_DisplayArrayInTable(Fertiliser_SourceData.Fertiliser_Products_Data1(),FertiliserProducts[[#Headers],[Include or Exclude]], 0)</f>
        <v>5.2999999999999999E-2</v>
      </c>
      <c r="R97" s="65" t="str" cm="1">
        <f t="array" ref="R97">Common_InputFunctions.Utility_DisplayArrayInTable(Fertiliser_SourceData.Fertiliser_Products_Data1(),FertiliserProducts[[#Headers],[Include or Exclude]], 0)</f>
        <v>Phosphorus - Generic</v>
      </c>
      <c r="S97" s="65" cm="1">
        <f t="array" ref="S97">Common_InputFunctions.Utility_DisplayArrayInTable(Fertiliser_SourceData.Fertiliser_Products_Data1(),FertiliserProducts[[#Headers],[Include or Exclude]], 0)</f>
        <v>5.1999999999999998E-2</v>
      </c>
      <c r="T97" s="65" t="str" cm="1">
        <f t="array" ref="T97">Common_InputFunctions.Utility_DisplayArrayInTable(Fertiliser_SourceData.Fertiliser_Products_Data1(),FertiliserProducts[[#Headers],[Include or Exclude]], 0)</f>
        <v>Magnesium</v>
      </c>
      <c r="U97" s="65" cm="1">
        <f t="array" ref="U97">Common_InputFunctions.Utility_DisplayArrayInTable(Fertiliser_SourceData.Fertiliser_Products_Data1(),FertiliserProducts[[#Headers],[Include or Exclude]], 0)</f>
        <v>1.2999999999999999E-2</v>
      </c>
      <c r="V97" s="10" t="str" cm="1">
        <f t="array" ref="V97">Common_InputFunctions.Utility_DisplayArrayInTable(Fertiliser_SourceData.Fertiliser_Products_Data1(),FertiliserProducts[[#Headers],[Include or Exclude]], 0)</f>
        <v>Zinc</v>
      </c>
      <c r="W97" s="10" cm="1">
        <f t="array" ref="W97">Common_InputFunctions.Utility_DisplayArrayInTable(Fertiliser_SourceData.Fertiliser_Products_Data1(),FertiliserProducts[[#Headers],[Include or Exclude]], 0)</f>
        <v>2E-3</v>
      </c>
      <c r="X97" s="10" t="str" cm="1">
        <f t="array" ref="X97">Common_InputFunctions.Utility_DisplayArrayInTable(Fertiliser_SourceData.Fertiliser_Products_Data1(),FertiliserProducts[[#Headers],[Include or Exclude]], 0)</f>
        <v>Manganese</v>
      </c>
      <c r="Y97" s="10" cm="1">
        <f t="array" ref="Y97">Common_InputFunctions.Utility_DisplayArrayInTable(Fertiliser_SourceData.Fertiliser_Products_Data1(),FertiliserProducts[[#Headers],[Include or Exclude]], 0)</f>
        <v>3.5000000000000001E-3</v>
      </c>
      <c r="Z97" s="10" t="str" cm="1">
        <f t="array" ref="Z97">Common_InputFunctions.Utility_DisplayArrayInTable(Fertiliser_SourceData.Fertiliser_Products_Data1(),FertiliserProducts[[#Headers],[Include or Exclude]], 0)</f>
        <v>Iron</v>
      </c>
      <c r="AA97" s="10" cm="1">
        <f t="array" ref="AA97">Common_InputFunctions.Utility_DisplayArrayInTable(Fertiliser_SourceData.Fertiliser_Products_Data1(),FertiliserProducts[[#Headers],[Include or Exclude]], 0)</f>
        <v>1.2999999999999999E-3</v>
      </c>
      <c r="AB97" s="10" t="str" cm="1">
        <f t="array" ref="AB97">Common_InputFunctions.Utility_DisplayArrayInTable(Fertiliser_SourceData.Fertiliser_Products_Data1(),FertiliserProducts[[#Headers],[Include or Exclude]], 0)</f>
        <v>Copper</v>
      </c>
      <c r="AC97" s="10" cm="1">
        <f t="array" ref="AC97">Common_InputFunctions.Utility_DisplayArrayInTable(Fertiliser_SourceData.Fertiliser_Products_Data1(),FertiliserProducts[[#Headers],[Include or Exclude]], 0)</f>
        <v>6.9999999999999999E-4</v>
      </c>
      <c r="AD97" s="10" t="str" cm="1">
        <f t="array" ref="AD97">Common_InputFunctions.Utility_DisplayArrayInTable(Fertiliser_SourceData.Fertiliser_Products_Data1(),FertiliserProducts[[#Headers],[Include or Exclude]], 0)</f>
        <v>Boron</v>
      </c>
      <c r="AE97" s="10" cm="1">
        <f t="array" ref="AE97">Common_InputFunctions.Utility_DisplayArrayInTable(Fertiliser_SourceData.Fertiliser_Products_Data1(),FertiliserProducts[[#Headers],[Include or Exclude]], 0)</f>
        <v>6.9999999999999999E-4</v>
      </c>
    </row>
    <row r="98" spans="4:31" ht="20.100000000000001" customHeight="1" x14ac:dyDescent="0.25">
      <c r="D98" s="65" t="str" cm="1">
        <f t="array" ref="D98">Common_InputFunctions.Utility_DisplayArrayInTable(Fertiliser_SourceData.Fertiliser_Products_Data1(),FertiliserProducts[[#Headers],[Include or Exclude]], 0)</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Bronze</v>
      </c>
      <c r="H98" s="65" t="str" cm="1">
        <f t="array" ref="H98">Common_InputFunctions.Utility_DisplayArrayInTable(Fertiliser_SourceData.Fertiliser_Products_Data1(),FertiliserProducts[[#Headers],[Include or Exclude]], 0)</f>
        <v>kg</v>
      </c>
      <c r="I98" s="65" cm="1">
        <f t="array" ref="I98">Common_InputFunctions.Utility_DisplayArrayInTable(Fertiliser_SourceData.Fertiliser_Products_Data1(),FertiliserProducts[[#Headers],[Include or Exclude]], 0)</f>
        <v>1</v>
      </c>
      <c r="J98" s="65" t="str" cm="1">
        <f t="array" ref="J98">Common_InputFunctions.Utility_DisplayArrayInTable(Fertiliser_SourceData.Fertiliser_Products_Data1(),FertiliserProducts[[#Headers],[Include or Exclude]], 0)</f>
        <v/>
      </c>
      <c r="K98" s="65" t="str" cm="1">
        <f t="array" ref="K98">Common_InputFunctions.Utility_DisplayArrayInTable(Fertiliser_SourceData.Fertiliser_Products_Data1(),FertiliserProducts[[#Headers],[Include or Exclude]], 0)</f>
        <v/>
      </c>
      <c r="L98" s="65" t="str" cm="1">
        <f t="array" ref="L98">Common_InputFunctions.Utility_DisplayArrayInTable(Fertiliser_SourceData.Fertiliser_Products_Data1(),FertiliserProducts[[#Headers],[Include or Exclude]], 0)</f>
        <v>Muriate of Potash (MOP)</v>
      </c>
      <c r="M98" s="10" cm="1">
        <f t="array" ref="M98">Common_InputFunctions.Utility_DisplayArrayInTable(Fertiliser_SourceData.Fertiliser_Products_Data1(),FertiliserProducts[[#Headers],[Include or Exclude]], 0)</f>
        <v>0.23200000000000001</v>
      </c>
      <c r="N98" s="65" t="str" cm="1">
        <f t="array" ref="N98">Common_InputFunctions.Utility_DisplayArrayInTable(Fertiliser_SourceData.Fertiliser_Products_Data1(),FertiliserProducts[[#Headers],[Include or Exclude]], 0)</f>
        <v>Nitrogen - Generic</v>
      </c>
      <c r="O98" s="65" cm="1">
        <f t="array" ref="O98">Common_InputFunctions.Utility_DisplayArrayInTable(Fertiliser_SourceData.Fertiliser_Products_Data1(),FertiliserProducts[[#Headers],[Include or Exclude]], 0)</f>
        <v>0.17</v>
      </c>
      <c r="P98" s="65" t="str" cm="1">
        <f t="array" ref="P98">Common_InputFunctions.Utility_DisplayArrayInTable(Fertiliser_SourceData.Fertiliser_Products_Data1(),FertiliserProducts[[#Headers],[Include or Exclude]], 0)</f>
        <v>Sulfur - Generic</v>
      </c>
      <c r="Q98" s="65" cm="1">
        <f t="array" ref="Q98">Common_InputFunctions.Utility_DisplayArrayInTable(Fertiliser_SourceData.Fertiliser_Products_Data1(),FertiliserProducts[[#Headers],[Include or Exclude]], 0)</f>
        <v>5.0000000000000001E-3</v>
      </c>
      <c r="R98" s="65" t="str" cm="1">
        <f t="array" ref="R98">Common_InputFunctions.Utility_DisplayArrayInTable(Fertiliser_SourceData.Fertiliser_Products_Data1(),FertiliserProducts[[#Headers],[Include or Exclude]], 0)</f>
        <v>Magnesium</v>
      </c>
      <c r="S98" s="65" cm="1">
        <f t="array" ref="S98">Common_InputFunctions.Utility_DisplayArrayInTable(Fertiliser_SourceData.Fertiliser_Products_Data1(),FertiliserProducts[[#Headers],[Include or Exclude]], 0)</f>
        <v>2.3999999999999998E-3</v>
      </c>
      <c r="T98" s="65" t="str" cm="1">
        <f t="array" ref="T98">Common_InputFunctions.Utility_DisplayArrayInTable(Fertiliser_SourceData.Fertiliser_Products_Data1(),FertiliserProducts[[#Headers],[Include or Exclude]], 0)</f>
        <v>Phosphorus - Generic</v>
      </c>
      <c r="U98" s="65" cm="1">
        <f t="array" ref="U98">Common_InputFunctions.Utility_DisplayArrayInTable(Fertiliser_SourceData.Fertiliser_Products_Data1(),FertiliserProducts[[#Headers],[Include or Exclude]], 0)</f>
        <v>4.0000000000000002E-4</v>
      </c>
      <c r="V98" s="10" t="str" cm="1">
        <f t="array" ref="V98">Common_InputFunctions.Utility_DisplayArrayInTable(Fertiliser_SourceData.Fertiliser_Products_Data1(),FertiliserProducts[[#Headers],[Include or Exclude]], 0)</f>
        <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4:31" ht="20.100000000000001" customHeight="1" x14ac:dyDescent="0.25">
      <c r="D99" s="65" t="str" cm="1">
        <f t="array" ref="D99">Common_InputFunctions.Utility_DisplayArrayInTable(Fertiliser_SourceData.Fertiliser_Products_Data1(),FertiliserProducts[[#Headers],[Include or Exclude]], 0)</f>
        <v>Include</v>
      </c>
      <c r="E99" s="65" t="str" cm="1">
        <f t="array" ref="E99">Common_InputFunctions.Utility_DisplayArrayInTable(Fertiliser_SourceData.Fertiliser_Products_Data1(),FertiliserProducts[[#Headers],[Include or Exclude]], 0)</f>
        <v>50/50 nitrate and ammoniacal nitrogen (ammonium nitrate)</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Compass</v>
      </c>
      <c r="H99" s="65" t="str" cm="1">
        <f t="array" ref="H99">Common_InputFunctions.Utility_DisplayArrayInTable(Fertiliser_SourceData.Fertiliser_Products_Data1(),FertiliserProducts[[#Headers],[Include or Exclude]], 0)</f>
        <v>kg</v>
      </c>
      <c r="I99" s="65" cm="1">
        <f t="array" ref="I99">Common_InputFunctions.Utility_DisplayArrayInTable(Fertiliser_SourceData.Fertiliser_Products_Data1(),FertiliserProducts[[#Headers],[Include or Exclude]], 0)</f>
        <v>1</v>
      </c>
      <c r="J99" s="65" t="str" cm="1">
        <f t="array" ref="J99">Common_InputFunctions.Utility_DisplayArrayInTable(Fertiliser_SourceData.Fertiliser_Products_Data1(),FertiliserProducts[[#Headers],[Include or Exclude]], 0)</f>
        <v/>
      </c>
      <c r="K99" s="65" t="str" cm="1">
        <f t="array" ref="K99">Common_InputFunctions.Utility_DisplayArrayInTable(Fertiliser_SourceData.Fertiliser_Products_Data1(),FertiliserProducts[[#Headers],[Include or Exclude]], 0)</f>
        <v/>
      </c>
      <c r="L99" s="65" t="str" cm="1">
        <f t="array" ref="L99">Common_InputFunctions.Utility_DisplayArrayInTable(Fertiliser_SourceData.Fertiliser_Products_Data1(),FertiliserProducts[[#Headers],[Include or Exclude]], 0)</f>
        <v>Nitrogen - Ammoniacal</v>
      </c>
      <c r="M99" s="10" cm="1">
        <f t="array" ref="M99">Common_InputFunctions.Utility_DisplayArrayInTable(Fertiliser_SourceData.Fertiliser_Products_Data1(),FertiliserProducts[[#Headers],[Include or Exclude]], 0)</f>
        <v>7.4999999999999997E-2</v>
      </c>
      <c r="N99" s="65" t="str" cm="1">
        <f t="array" ref="N99">Common_InputFunctions.Utility_DisplayArrayInTable(Fertiliser_SourceData.Fertiliser_Products_Data1(),FertiliserProducts[[#Headers],[Include or Exclude]], 0)</f>
        <v>Nitrogen - Nitrate</v>
      </c>
      <c r="O99" s="65" cm="1">
        <f t="array" ref="O99">Common_InputFunctions.Utility_DisplayArrayInTable(Fertiliser_SourceData.Fertiliser_Products_Data1(),FertiliserProducts[[#Headers],[Include or Exclude]], 0)</f>
        <v>7.4999999999999997E-2</v>
      </c>
      <c r="P99" s="65" t="str" cm="1">
        <f t="array" ref="P99">Common_InputFunctions.Utility_DisplayArrayInTable(Fertiliser_SourceData.Fertiliser_Products_Data1(),FertiliserProducts[[#Headers],[Include or Exclude]], 0)</f>
        <v>Potassium - Generic</v>
      </c>
      <c r="Q99" s="65" cm="1">
        <f t="array" ref="Q99">Common_InputFunctions.Utility_DisplayArrayInTable(Fertiliser_SourceData.Fertiliser_Products_Data1(),FertiliserProducts[[#Headers],[Include or Exclude]], 0)</f>
        <v>0.125</v>
      </c>
      <c r="R99" s="65" t="str" cm="1">
        <f t="array" ref="R99">Common_InputFunctions.Utility_DisplayArrayInTable(Fertiliser_SourceData.Fertiliser_Products_Data1(),FertiliserProducts[[#Headers],[Include or Exclude]], 0)</f>
        <v>Phosphorus-Generic</v>
      </c>
      <c r="S99" s="65" cm="1">
        <f t="array" ref="S99">Common_InputFunctions.Utility_DisplayArrayInTable(Fertiliser_SourceData.Fertiliser_Products_Data1(),FertiliserProducts[[#Headers],[Include or Exclude]], 0)</f>
        <v>6.5000000000000002E-2</v>
      </c>
      <c r="T99" s="65" t="str" cm="1">
        <f t="array" ref="T99">Common_InputFunctions.Utility_DisplayArrayInTable(Fertiliser_SourceData.Fertiliser_Products_Data1(),FertiliserProducts[[#Headers],[Include or Exclude]], 0)</f>
        <v>Sulfur - Generic</v>
      </c>
      <c r="U99" s="65" cm="1">
        <f t="array" ref="U99">Common_InputFunctions.Utility_DisplayArrayInTable(Fertiliser_SourceData.Fertiliser_Products_Data1(),FertiliserProducts[[#Headers],[Include or Exclude]], 0)</f>
        <v>0.06</v>
      </c>
      <c r="V99" s="10" t="str" cm="1">
        <f t="array" ref="V99">Common_InputFunctions.Utility_DisplayArrayInTable(Fertiliser_SourceData.Fertiliser_Products_Data1(),FertiliserProducts[[#Headers],[Include or Exclude]], 0)</f>
        <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4:31" ht="20.100000000000001" customHeight="1" x14ac:dyDescent="0.25">
      <c r="D100" s="65" t="str" cm="1">
        <f t="array" ref="D100">Common_InputFunctions.Utility_DisplayArrayInTable(Fertiliser_SourceData.Fertiliser_Products_Data1(),FertiliserProducts[[#Headers],[Include or Exclude]], 0)</f>
        <v>Include - Absent ingredients &lt; 2%</v>
      </c>
      <c r="E100" s="65" t="str" cm="1">
        <f t="array" ref="E100">Common_InputFunctions.Utility_DisplayArrayInTable(Fertiliser_SourceData.Fertiliser_Products_Data1(),FertiliserProducts[[#Headers],[Include or Exclude]], 0)</f>
        <v>Controlled release N treated as generic, Amount of urea calculated from urea nitrogen amount</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CoRoN 12-0-10</v>
      </c>
      <c r="H100" s="65" t="str" cm="1">
        <f t="array" ref="H100">Common_InputFunctions.Utility_DisplayArrayInTable(Fertiliser_SourceData.Fertiliser_Products_Data1(),FertiliserProducts[[#Headers],[Include or Exclude]], 0)</f>
        <v>L</v>
      </c>
      <c r="I100" s="65" cm="1">
        <f t="array" ref="I100">Common_InputFunctions.Utility_DisplayArrayInTable(Fertiliser_SourceData.Fertiliser_Products_Data1(),FertiliserProducts[[#Headers],[Include or Exclude]], 0)</f>
        <v>1.2150000000000001</v>
      </c>
      <c r="J100" s="65" t="str" cm="1">
        <f t="array" ref="J100">Common_InputFunctions.Utility_DisplayArrayInTable(Fertiliser_SourceData.Fertiliser_Products_Data1(),FertiliserProducts[[#Headers],[Include or Exclude]], 0)</f>
        <v/>
      </c>
      <c r="K100" s="65" t="str" cm="1">
        <f t="array" ref="K100">Common_InputFunctions.Utility_DisplayArrayInTable(Fertiliser_SourceData.Fertiliser_Products_Data1(),FertiliserProducts[[#Headers],[Include or Exclude]], 0)</f>
        <v/>
      </c>
      <c r="L100" s="65" t="str" cm="1">
        <f t="array" ref="L100">Common_InputFunctions.Utility_DisplayArrayInTable(Fertiliser_SourceData.Fertiliser_Products_Data1(),FertiliserProducts[[#Headers],[Include or Exclude]], 0)</f>
        <v>Urea</v>
      </c>
      <c r="M100" s="10" cm="1">
        <f t="array" ref="M100">Common_InputFunctions.Utility_DisplayArrayInTable(Fertiliser_SourceData.Fertiliser_Products_Data1(),FertiliserProducts[[#Headers],[Include or Exclude]], 0)</f>
        <v>0.19565217400000001</v>
      </c>
      <c r="N100" s="65" t="str" cm="1">
        <f t="array" ref="N100">Common_InputFunctions.Utility_DisplayArrayInTable(Fertiliser_SourceData.Fertiliser_Products_Data1(),FertiliserProducts[[#Headers],[Include or Exclude]], 0)</f>
        <v>Potassium - Generic</v>
      </c>
      <c r="O100" s="65" cm="1">
        <f t="array" ref="O100">Common_InputFunctions.Utility_DisplayArrayInTable(Fertiliser_SourceData.Fertiliser_Products_Data1(),FertiliserProducts[[#Headers],[Include or Exclude]], 0)</f>
        <v>0.1</v>
      </c>
      <c r="P100" s="65" t="str" cm="1">
        <f t="array" ref="P100">Common_InputFunctions.Utility_DisplayArrayInTable(Fertiliser_SourceData.Fertiliser_Products_Data1(),FertiliserProducts[[#Headers],[Include or Exclude]], 0)</f>
        <v>Nitrogen - Generic</v>
      </c>
      <c r="Q100" s="65" cm="1">
        <f t="array" ref="Q100">Common_InputFunctions.Utility_DisplayArrayInTable(Fertiliser_SourceData.Fertiliser_Products_Data1(),FertiliserProducts[[#Headers],[Include or Exclude]], 0)</f>
        <v>0.03</v>
      </c>
      <c r="R100" s="65" t="str" cm="1">
        <f t="array" ref="R100">Common_InputFunctions.Utility_DisplayArrayInTable(Fertiliser_SourceData.Fertiliser_Products_Data1(),FertiliserProducts[[#Headers],[Include or Exclude]], 0)</f>
        <v>Boron</v>
      </c>
      <c r="S100" s="65" cm="1">
        <f t="array" ref="S100">Common_InputFunctions.Utility_DisplayArrayInTable(Fertiliser_SourceData.Fertiliser_Products_Data1(),FertiliserProducts[[#Headers],[Include or Exclude]], 0)</f>
        <v>5.0000000000000001E-3</v>
      </c>
      <c r="T100" s="65" t="str" cm="1">
        <f t="array" ref="T100">Common_InputFunctions.Utility_DisplayArrayInTable(Fertiliser_SourceData.Fertiliser_Products_Data1(),FertiliserProducts[[#Headers],[Include or Exclude]], 0)</f>
        <v/>
      </c>
      <c r="U100" s="65"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4:31" ht="20.100000000000001" customHeight="1" x14ac:dyDescent="0.25">
      <c r="D101" s="65" t="str" cm="1">
        <f t="array" ref="D101">Common_InputFunctions.Utility_DisplayArrayInTable(Fertiliser_SourceData.Fertiliser_Products_Data1(),FertiliserProducts[[#Headers],[Include or Exclude]], 0)</f>
        <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
      </c>
      <c r="G101" s="65" t="str" cm="1">
        <f t="array" ref="G101">Common_InputFunctions.Utility_DisplayArrayInTable(Fertiliser_SourceData.Fertiliser_Products_Data1(),FertiliserProducts[[#Headers],[Include or Exclude]], 0)</f>
        <v/>
      </c>
      <c r="H101" s="65" t="str" cm="1">
        <f t="array" ref="H101">Common_InputFunctions.Utility_DisplayArrayInTable(Fertiliser_SourceData.Fertiliser_Products_Data1(),FertiliserProducts[[#Headers],[Include or Exclude]], 0)</f>
        <v/>
      </c>
      <c r="I101" s="65" t="str" cm="1">
        <f t="array" ref="I101">Common_InputFunctions.Utility_DisplayArrayInTable(Fertiliser_SourceData.Fertiliser_Products_Data1(),FertiliserProducts[[#Headers],[Include or Exclude]], 0)</f>
        <v/>
      </c>
      <c r="J101" s="65" t="str" cm="1">
        <f t="array" ref="J101">Common_InputFunctions.Utility_DisplayArrayInTable(Fertiliser_SourceData.Fertiliser_Products_Data1(),FertiliserProducts[[#Headers],[Include or Exclude]], 0)</f>
        <v/>
      </c>
      <c r="K101" s="65" t="str" cm="1">
        <f t="array" ref="K101">Common_InputFunctions.Utility_DisplayArrayInTable(Fertiliser_SourceData.Fertiliser_Products_Data1(),FertiliserProducts[[#Headers],[Include or Exclude]], 0)</f>
        <v/>
      </c>
      <c r="L101" s="65"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5" t="str" cm="1">
        <f t="array" ref="N101">Common_InputFunctions.Utility_DisplayArrayInTable(Fertiliser_SourceData.Fertiliser_Products_Data1(),FertiliserProducts[[#Headers],[Include or Exclude]], 0)</f>
        <v/>
      </c>
      <c r="O101" s="65" t="str" cm="1">
        <f t="array" ref="O101">Common_InputFunctions.Utility_DisplayArrayInTable(Fertiliser_SourceData.Fertiliser_Products_Data1(),FertiliserProducts[[#Headers],[Include or Exclude]], 0)</f>
        <v/>
      </c>
      <c r="P101" s="65" t="str" cm="1">
        <f t="array" ref="P101">Common_InputFunctions.Utility_DisplayArrayInTable(Fertiliser_SourceData.Fertiliser_Products_Data1(),FertiliserProducts[[#Headers],[Include or Exclude]], 0)</f>
        <v/>
      </c>
      <c r="Q101" s="65" t="str" cm="1">
        <f t="array" ref="Q101">Common_InputFunctions.Utility_DisplayArrayInTable(Fertiliser_SourceData.Fertiliser_Products_Data1(),FertiliserProducts[[#Headers],[Include or Exclude]], 0)</f>
        <v/>
      </c>
      <c r="R101" s="65" t="str" cm="1">
        <f t="array" ref="R101">Common_InputFunctions.Utility_DisplayArrayInTable(Fertiliser_SourceData.Fertiliser_Products_Data1(),FertiliserProducts[[#Headers],[Include or Exclude]], 0)</f>
        <v/>
      </c>
      <c r="S101" s="65" t="str" cm="1">
        <f t="array" ref="S101">Common_InputFunctions.Utility_DisplayArrayInTable(Fertiliser_SourceData.Fertiliser_Products_Data1(),FertiliserProducts[[#Headers],[Include or Exclude]], 0)</f>
        <v/>
      </c>
      <c r="T101" s="65" t="str" cm="1">
        <f t="array" ref="T101">Common_InputFunctions.Utility_DisplayArrayInTable(Fertiliser_SourceData.Fertiliser_Products_Data1(),FertiliserProducts[[#Headers],[Include or Exclude]], 0)</f>
        <v/>
      </c>
      <c r="U101" s="65"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4:31" ht="20.100000000000001" customHeight="1" x14ac:dyDescent="0.25">
      <c r="D102" s="65" t="str" cm="1">
        <f t="array" ref="D102">Common_InputFunctions.Utility_DisplayArrayInTable(Fertiliser_SourceData.Fertiliser_Products_Data1(),FertiliserProducts[[#Headers],[Include or Exclude]], 0)</f>
        <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
      </c>
      <c r="G102" s="65" t="str" cm="1">
        <f t="array" ref="G102">Common_InputFunctions.Utility_DisplayArrayInTable(Fertiliser_SourceData.Fertiliser_Products_Data1(),FertiliserProducts[[#Headers],[Include or Exclude]], 0)</f>
        <v/>
      </c>
      <c r="H102" s="65" t="str" cm="1">
        <f t="array" ref="H102">Common_InputFunctions.Utility_DisplayArrayInTable(Fertiliser_SourceData.Fertiliser_Products_Data1(),FertiliserProducts[[#Headers],[Include or Exclude]], 0)</f>
        <v/>
      </c>
      <c r="I102" s="65" t="str" cm="1">
        <f t="array" ref="I102">Common_InputFunctions.Utility_DisplayArrayInTable(Fertiliser_SourceData.Fertiliser_Products_Data1(),FertiliserProducts[[#Headers],[Include or Exclude]], 0)</f>
        <v/>
      </c>
      <c r="J102" s="65" t="str" cm="1">
        <f t="array" ref="J102">Common_InputFunctions.Utility_DisplayArrayInTable(Fertiliser_SourceData.Fertiliser_Products_Data1(),FertiliserProducts[[#Headers],[Include or Exclude]], 0)</f>
        <v/>
      </c>
      <c r="K102" s="65" t="str" cm="1">
        <f t="array" ref="K102">Common_InputFunctions.Utility_DisplayArrayInTable(Fertiliser_SourceData.Fertiliser_Products_Data1(),FertiliserProducts[[#Headers],[Include or Exclude]], 0)</f>
        <v/>
      </c>
      <c r="L102" s="65"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5" t="str" cm="1">
        <f t="array" ref="N102">Common_InputFunctions.Utility_DisplayArrayInTable(Fertiliser_SourceData.Fertiliser_Products_Data1(),FertiliserProducts[[#Headers],[Include or Exclude]], 0)</f>
        <v/>
      </c>
      <c r="O102" s="65" t="str" cm="1">
        <f t="array" ref="O102">Common_InputFunctions.Utility_DisplayArrayInTable(Fertiliser_SourceData.Fertiliser_Products_Data1(),FertiliserProducts[[#Headers],[Include or Exclude]], 0)</f>
        <v/>
      </c>
      <c r="P102" s="65" t="str" cm="1">
        <f t="array" ref="P102">Common_InputFunctions.Utility_DisplayArrayInTable(Fertiliser_SourceData.Fertiliser_Products_Data1(),FertiliserProducts[[#Headers],[Include or Exclude]], 0)</f>
        <v/>
      </c>
      <c r="Q102" s="65" t="str" cm="1">
        <f t="array" ref="Q102">Common_InputFunctions.Utility_DisplayArrayInTable(Fertiliser_SourceData.Fertiliser_Products_Data1(),FertiliserProducts[[#Headers],[Include or Exclude]], 0)</f>
        <v/>
      </c>
      <c r="R102" s="65" t="str" cm="1">
        <f t="array" ref="R102">Common_InputFunctions.Utility_DisplayArrayInTable(Fertiliser_SourceData.Fertiliser_Products_Data1(),FertiliserProducts[[#Headers],[Include or Exclude]], 0)</f>
        <v/>
      </c>
      <c r="S102" s="65" t="str" cm="1">
        <f t="array" ref="S102">Common_InputFunctions.Utility_DisplayArrayInTable(Fertiliser_SourceData.Fertiliser_Products_Data1(),FertiliserProducts[[#Headers],[Include or Exclude]], 0)</f>
        <v/>
      </c>
      <c r="T102" s="65" t="str" cm="1">
        <f t="array" ref="T102">Common_InputFunctions.Utility_DisplayArrayInTable(Fertiliser_SourceData.Fertiliser_Products_Data1(),FertiliserProducts[[#Headers],[Include or Exclude]], 0)</f>
        <v/>
      </c>
      <c r="U102" s="65"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4:31" ht="20.100000000000001" customHeight="1" x14ac:dyDescent="0.25">
      <c r="D103" s="65" t="str" cm="1">
        <f t="array" ref="D103">Common_InputFunctions.Utility_DisplayArrayInTable(Fertiliser_SourceData.Fertiliser_Products_Data1(),FertiliserProducts[[#Headers],[Include or Exclude]], 0)</f>
        <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
      </c>
      <c r="G103" s="65" t="str" cm="1">
        <f t="array" ref="G103">Common_InputFunctions.Utility_DisplayArrayInTable(Fertiliser_SourceData.Fertiliser_Products_Data1(),FertiliserProducts[[#Headers],[Include or Exclude]], 0)</f>
        <v/>
      </c>
      <c r="H103" s="65" t="str" cm="1">
        <f t="array" ref="H103">Common_InputFunctions.Utility_DisplayArrayInTable(Fertiliser_SourceData.Fertiliser_Products_Data1(),FertiliserProducts[[#Headers],[Include or Exclude]], 0)</f>
        <v/>
      </c>
      <c r="I103" s="65" t="str" cm="1">
        <f t="array" ref="I103">Common_InputFunctions.Utility_DisplayArrayInTable(Fertiliser_SourceData.Fertiliser_Products_Data1(),FertiliserProducts[[#Headers],[Include or Exclude]], 0)</f>
        <v/>
      </c>
      <c r="J103" s="65" t="str" cm="1">
        <f t="array" ref="J103">Common_InputFunctions.Utility_DisplayArrayInTable(Fertiliser_SourceData.Fertiliser_Products_Data1(),FertiliserProducts[[#Headers],[Include or Exclude]], 0)</f>
        <v/>
      </c>
      <c r="K103" s="65" t="str" cm="1">
        <f t="array" ref="K103">Common_InputFunctions.Utility_DisplayArrayInTable(Fertiliser_SourceData.Fertiliser_Products_Data1(),FertiliserProducts[[#Headers],[Include or Exclude]], 0)</f>
        <v/>
      </c>
      <c r="L103" s="65"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5" t="str" cm="1">
        <f t="array" ref="N103">Common_InputFunctions.Utility_DisplayArrayInTable(Fertiliser_SourceData.Fertiliser_Products_Data1(),FertiliserProducts[[#Headers],[Include or Exclude]], 0)</f>
        <v/>
      </c>
      <c r="O103" s="65" t="str" cm="1">
        <f t="array" ref="O103">Common_InputFunctions.Utility_DisplayArrayInTable(Fertiliser_SourceData.Fertiliser_Products_Data1(),FertiliserProducts[[#Headers],[Include or Exclude]], 0)</f>
        <v/>
      </c>
      <c r="P103" s="65" t="str" cm="1">
        <f t="array" ref="P103">Common_InputFunctions.Utility_DisplayArrayInTable(Fertiliser_SourceData.Fertiliser_Products_Data1(),FertiliserProducts[[#Headers],[Include or Exclude]], 0)</f>
        <v/>
      </c>
      <c r="Q103" s="65" t="str" cm="1">
        <f t="array" ref="Q103">Common_InputFunctions.Utility_DisplayArrayInTable(Fertiliser_SourceData.Fertiliser_Products_Data1(),FertiliserProducts[[#Headers],[Include or Exclude]], 0)</f>
        <v/>
      </c>
      <c r="R103" s="65" t="str" cm="1">
        <f t="array" ref="R103">Common_InputFunctions.Utility_DisplayArrayInTable(Fertiliser_SourceData.Fertiliser_Products_Data1(),FertiliserProducts[[#Headers],[Include or Exclude]], 0)</f>
        <v/>
      </c>
      <c r="S103" s="65" t="str" cm="1">
        <f t="array" ref="S103">Common_InputFunctions.Utility_DisplayArrayInTable(Fertiliser_SourceData.Fertiliser_Products_Data1(),FertiliserProducts[[#Headers],[Include or Exclude]], 0)</f>
        <v/>
      </c>
      <c r="T103" s="65" t="str" cm="1">
        <f t="array" ref="T103">Common_InputFunctions.Utility_DisplayArrayInTable(Fertiliser_SourceData.Fertiliser_Products_Data1(),FertiliserProducts[[#Headers],[Include or Exclude]], 0)</f>
        <v/>
      </c>
      <c r="U103" s="65"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4:31" ht="20.100000000000001" customHeight="1" x14ac:dyDescent="0.25">
      <c r="D104" s="65" t="str" cm="1">
        <f t="array" ref="D104">Common_InputFunctions.Utility_DisplayArrayInTable(Fertiliser_SourceData.Fertiliser_Products_Data1(),FertiliserProducts[[#Headers],[Include or Exclude]], 0)</f>
        <v/>
      </c>
      <c r="E104" s="65" t="str" cm="1">
        <f t="array" ref="E104">Common_InputFunctions.Utility_DisplayArrayInTable(Fertiliser_SourceData.Fertiliser_Products_Data1(),FertiliserProducts[[#Headers],[Include or Exclude]], 0)</f>
        <v/>
      </c>
      <c r="F104" s="65" t="str" cm="1">
        <f t="array" ref="F104">Common_InputFunctions.Utility_DisplayArrayInTable(Fertiliser_SourceData.Fertiliser_Products_Data1(),FertiliserProducts[[#Headers],[Include or Exclude]], 0)</f>
        <v/>
      </c>
      <c r="G104" s="65" t="str" cm="1">
        <f t="array" ref="G104">Common_InputFunctions.Utility_DisplayArrayInTable(Fertiliser_SourceData.Fertiliser_Products_Data1(),FertiliserProducts[[#Headers],[Include or Exclude]], 0)</f>
        <v/>
      </c>
      <c r="H104" s="65" t="str" cm="1">
        <f t="array" ref="H104">Common_InputFunctions.Utility_DisplayArrayInTable(Fertiliser_SourceData.Fertiliser_Products_Data1(),FertiliserProducts[[#Headers],[Include or Exclude]], 0)</f>
        <v/>
      </c>
      <c r="I104" s="65" t="str" cm="1">
        <f t="array" ref="I104">Common_InputFunctions.Utility_DisplayArrayInTable(Fertiliser_SourceData.Fertiliser_Products_Data1(),FertiliserProducts[[#Headers],[Include or Exclude]], 0)</f>
        <v/>
      </c>
      <c r="J104" s="65" t="str" cm="1">
        <f t="array" ref="J104">Common_InputFunctions.Utility_DisplayArrayInTable(Fertiliser_SourceData.Fertiliser_Products_Data1(),FertiliserProducts[[#Headers],[Include or Exclude]], 0)</f>
        <v/>
      </c>
      <c r="K104" s="65" t="str" cm="1">
        <f t="array" ref="K104">Common_InputFunctions.Utility_DisplayArrayInTable(Fertiliser_SourceData.Fertiliser_Products_Data1(),FertiliserProducts[[#Headers],[Include or Exclude]], 0)</f>
        <v/>
      </c>
      <c r="L104" s="65" t="str" cm="1">
        <f t="array" ref="L104">Common_InputFunctions.Utility_DisplayArrayInTable(Fertiliser_SourceData.Fertiliser_Products_Data1(),FertiliserProducts[[#Headers],[Include or Exclude]], 0)</f>
        <v/>
      </c>
      <c r="M104" s="10" t="str" cm="1">
        <f t="array" ref="M104">Common_InputFunctions.Utility_DisplayArrayInTable(Fertiliser_SourceData.Fertiliser_Products_Data1(),FertiliserProducts[[#Headers],[Include or Exclude]], 0)</f>
        <v/>
      </c>
      <c r="N104" s="65" t="str" cm="1">
        <f t="array" ref="N104">Common_InputFunctions.Utility_DisplayArrayInTable(Fertiliser_SourceData.Fertiliser_Products_Data1(),FertiliserProducts[[#Headers],[Include or Exclude]], 0)</f>
        <v/>
      </c>
      <c r="O104" s="65" t="str" cm="1">
        <f t="array" ref="O104">Common_InputFunctions.Utility_DisplayArrayInTable(Fertiliser_SourceData.Fertiliser_Products_Data1(),FertiliserProducts[[#Headers],[Include or Exclude]], 0)</f>
        <v/>
      </c>
      <c r="P104" s="65" t="str" cm="1">
        <f t="array" ref="P104">Common_InputFunctions.Utility_DisplayArrayInTable(Fertiliser_SourceData.Fertiliser_Products_Data1(),FertiliserProducts[[#Headers],[Include or Exclude]], 0)</f>
        <v/>
      </c>
      <c r="Q104" s="65" t="str" cm="1">
        <f t="array" ref="Q104">Common_InputFunctions.Utility_DisplayArrayInTable(Fertiliser_SourceData.Fertiliser_Products_Data1(),FertiliserProducts[[#Headers],[Include or Exclude]], 0)</f>
        <v/>
      </c>
      <c r="R104" s="65" t="str" cm="1">
        <f t="array" ref="R104">Common_InputFunctions.Utility_DisplayArrayInTable(Fertiliser_SourceData.Fertiliser_Products_Data1(),FertiliserProducts[[#Headers],[Include or Exclude]], 0)</f>
        <v/>
      </c>
      <c r="S104" s="65" t="str" cm="1">
        <f t="array" ref="S104">Common_InputFunctions.Utility_DisplayArrayInTable(Fertiliser_SourceData.Fertiliser_Products_Data1(),FertiliserProducts[[#Headers],[Include or Exclude]], 0)</f>
        <v/>
      </c>
      <c r="T104" s="65" t="str" cm="1">
        <f t="array" ref="T104">Common_InputFunctions.Utility_DisplayArrayInTable(Fertiliser_SourceData.Fertiliser_Products_Data1(),FertiliserProducts[[#Headers],[Include or Exclude]], 0)</f>
        <v/>
      </c>
      <c r="U104" s="65" t="str" cm="1">
        <f t="array" ref="U104">Common_InputFunctions.Utility_DisplayArrayInTable(Fertiliser_SourceData.Fertiliser_Products_Data1(),FertiliserProducts[[#Headers],[Include or Exclude]], 0)</f>
        <v/>
      </c>
      <c r="V104" s="10" t="str" cm="1">
        <f t="array" ref="V104">Common_InputFunctions.Utility_DisplayArrayInTable(Fertiliser_SourceData.Fertiliser_Products_Data1(),FertiliserProducts[[#Headers],[Include or Exclude]], 0)</f>
        <v/>
      </c>
      <c r="W104" s="10" t="str" cm="1">
        <f t="array" ref="W104">Common_InputFunctions.Utility_DisplayArrayInTable(Fertiliser_SourceData.Fertiliser_Products_Data1(),FertiliserProducts[[#Headers],[Include or Exclude]], 0)</f>
        <v/>
      </c>
      <c r="X104" s="10" t="str" cm="1">
        <f t="array" ref="X104">Common_InputFunctions.Utility_DisplayArrayInTable(Fertiliser_SourceData.Fertiliser_Products_Data1(),FertiliserProducts[[#Headers],[Include or Exclude]], 0)</f>
        <v/>
      </c>
      <c r="Y104" s="10" t="str" cm="1">
        <f t="array" ref="Y104">Common_InputFunctions.Utility_DisplayArrayInTable(Fertiliser_SourceData.Fertiliser_Products_Data1(),FertiliserProducts[[#Headers],[Include or Exclude]], 0)</f>
        <v/>
      </c>
      <c r="Z104" s="10" t="str" cm="1">
        <f t="array" ref="Z104">Common_InputFunctions.Utility_DisplayArrayInTable(Fertiliser_SourceData.Fertiliser_Products_Data1(),FertiliserProducts[[#Headers],[Include or Exclude]], 0)</f>
        <v/>
      </c>
      <c r="AA104" s="10" t="str" cm="1">
        <f t="array" ref="AA104">Common_InputFunctions.Utility_DisplayArrayInTable(Fertiliser_SourceData.Fertiliser_Products_Data1(),FertiliserProducts[[#Headers],[Include or Exclude]], 0)</f>
        <v/>
      </c>
      <c r="AB104" s="10" t="str" cm="1">
        <f t="array" ref="AB104">Common_InputFunctions.Utility_DisplayArrayInTable(Fertiliser_SourceData.Fertiliser_Products_Data1(),FertiliserProducts[[#Headers],[Include or Exclude]], 0)</f>
        <v/>
      </c>
      <c r="AC104" s="10" t="str" cm="1">
        <f t="array" ref="AC104">Common_InputFunctions.Utility_DisplayArrayInTable(Fertiliser_SourceData.Fertiliser_Products_Data1(),FertiliserProducts[[#Headers],[Include or Exclude]], 0)</f>
        <v/>
      </c>
      <c r="AD104" s="10" t="str" cm="1">
        <f t="array" ref="AD104">Common_InputFunctions.Utility_DisplayArrayInTable(Fertiliser_SourceData.Fertiliser_Products_Data1(),FertiliserProducts[[#Headers],[Include or Exclude]], 0)</f>
        <v/>
      </c>
      <c r="AE104" s="10" t="str" cm="1">
        <f t="array" ref="AE104">Common_InputFunctions.Utility_DisplayArrayInTable(Fertiliser_SourceData.Fertiliser_Products_Data1(),FertiliserProducts[[#Headers],[Include or Exclude]], 0)</f>
        <v/>
      </c>
    </row>
    <row r="105" spans="4:31" ht="20.100000000000001" customHeight="1" x14ac:dyDescent="0.25">
      <c r="D105" s="65" t="str" cm="1">
        <f t="array" ref="D105">Common_InputFunctions.Utility_DisplayArrayInTable(Fertiliser_SourceData.Fertiliser_Products_Data1(),FertiliserProducts[[#Headers],[Include or Exclude]], 0)</f>
        <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
      </c>
      <c r="G105" s="65" t="str" cm="1">
        <f t="array" ref="G105">Common_InputFunctions.Utility_DisplayArrayInTable(Fertiliser_SourceData.Fertiliser_Products_Data1(),FertiliserProducts[[#Headers],[Include or Exclude]], 0)</f>
        <v/>
      </c>
      <c r="H105" s="65" t="str" cm="1">
        <f t="array" ref="H105">Common_InputFunctions.Utility_DisplayArrayInTable(Fertiliser_SourceData.Fertiliser_Products_Data1(),FertiliserProducts[[#Headers],[Include or Exclude]], 0)</f>
        <v/>
      </c>
      <c r="I105" s="65" t="str" cm="1">
        <f t="array" ref="I105">Common_InputFunctions.Utility_DisplayArrayInTable(Fertiliser_SourceData.Fertiliser_Products_Data1(),FertiliserProducts[[#Headers],[Include or Exclude]], 0)</f>
        <v/>
      </c>
      <c r="J105" s="65" t="str" cm="1">
        <f t="array" ref="J105">Common_InputFunctions.Utility_DisplayArrayInTable(Fertiliser_SourceData.Fertiliser_Products_Data1(),FertiliserProducts[[#Headers],[Include or Exclude]], 0)</f>
        <v/>
      </c>
      <c r="K105" s="65" t="str" cm="1">
        <f t="array" ref="K105">Common_InputFunctions.Utility_DisplayArrayInTable(Fertiliser_SourceData.Fertiliser_Products_Data1(),FertiliserProducts[[#Headers],[Include or Exclude]], 0)</f>
        <v/>
      </c>
      <c r="L105" s="65"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5" t="str" cm="1">
        <f t="array" ref="N105">Common_InputFunctions.Utility_DisplayArrayInTable(Fertiliser_SourceData.Fertiliser_Products_Data1(),FertiliserProducts[[#Headers],[Include or Exclude]], 0)</f>
        <v/>
      </c>
      <c r="O105" s="65" t="str" cm="1">
        <f t="array" ref="O105">Common_InputFunctions.Utility_DisplayArrayInTable(Fertiliser_SourceData.Fertiliser_Products_Data1(),FertiliserProducts[[#Headers],[Include or Exclude]], 0)</f>
        <v/>
      </c>
      <c r="P105" s="65" t="str" cm="1">
        <f t="array" ref="P105">Common_InputFunctions.Utility_DisplayArrayInTable(Fertiliser_SourceData.Fertiliser_Products_Data1(),FertiliserProducts[[#Headers],[Include or Exclude]], 0)</f>
        <v/>
      </c>
      <c r="Q105" s="65" t="str" cm="1">
        <f t="array" ref="Q105">Common_InputFunctions.Utility_DisplayArrayInTable(Fertiliser_SourceData.Fertiliser_Products_Data1(),FertiliserProducts[[#Headers],[Include or Exclude]], 0)</f>
        <v/>
      </c>
      <c r="R105" s="65" t="str" cm="1">
        <f t="array" ref="R105">Common_InputFunctions.Utility_DisplayArrayInTable(Fertiliser_SourceData.Fertiliser_Products_Data1(),FertiliserProducts[[#Headers],[Include or Exclude]], 0)</f>
        <v/>
      </c>
      <c r="S105" s="65" t="str" cm="1">
        <f t="array" ref="S105">Common_InputFunctions.Utility_DisplayArrayInTable(Fertiliser_SourceData.Fertiliser_Products_Data1(),FertiliserProducts[[#Headers],[Include or Exclude]], 0)</f>
        <v/>
      </c>
      <c r="T105" s="65" t="str" cm="1">
        <f t="array" ref="T105">Common_InputFunctions.Utility_DisplayArrayInTable(Fertiliser_SourceData.Fertiliser_Products_Data1(),FertiliserProducts[[#Headers],[Include or Exclude]], 0)</f>
        <v/>
      </c>
      <c r="U105" s="65"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4:31" ht="20.100000000000001" customHeight="1" x14ac:dyDescent="0.25">
      <c r="D106" s="65" t="str" cm="1">
        <f t="array" ref="D106">Common_InputFunctions.Utility_DisplayArrayInTable(Fertiliser_SourceData.Fertiliser_Products_Data1(),FertiliserProducts[[#Headers],[Include or Exclude]], 0)</f>
        <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
      </c>
      <c r="G106" s="65" t="str" cm="1">
        <f t="array" ref="G106">Common_InputFunctions.Utility_DisplayArrayInTable(Fertiliser_SourceData.Fertiliser_Products_Data1(),FertiliserProducts[[#Headers],[Include or Exclude]], 0)</f>
        <v/>
      </c>
      <c r="H106" s="65" t="str" cm="1">
        <f t="array" ref="H106">Common_InputFunctions.Utility_DisplayArrayInTable(Fertiliser_SourceData.Fertiliser_Products_Data1(),FertiliserProducts[[#Headers],[Include or Exclude]], 0)</f>
        <v/>
      </c>
      <c r="I106" s="65" t="str" cm="1">
        <f t="array" ref="I106">Common_InputFunctions.Utility_DisplayArrayInTable(Fertiliser_SourceData.Fertiliser_Products_Data1(),FertiliserProducts[[#Headers],[Include or Exclude]], 0)</f>
        <v/>
      </c>
      <c r="J106" s="65" t="str" cm="1">
        <f t="array" ref="J106">Common_InputFunctions.Utility_DisplayArrayInTable(Fertiliser_SourceData.Fertiliser_Products_Data1(),FertiliserProducts[[#Headers],[Include or Exclude]], 0)</f>
        <v/>
      </c>
      <c r="K106" s="65" t="str" cm="1">
        <f t="array" ref="K106">Common_InputFunctions.Utility_DisplayArrayInTable(Fertiliser_SourceData.Fertiliser_Products_Data1(),FertiliserProducts[[#Headers],[Include or Exclude]], 0)</f>
        <v/>
      </c>
      <c r="L106" s="65"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5" t="str" cm="1">
        <f t="array" ref="N106">Common_InputFunctions.Utility_DisplayArrayInTable(Fertiliser_SourceData.Fertiliser_Products_Data1(),FertiliserProducts[[#Headers],[Include or Exclude]], 0)</f>
        <v/>
      </c>
      <c r="O106" s="65" t="str" cm="1">
        <f t="array" ref="O106">Common_InputFunctions.Utility_DisplayArrayInTable(Fertiliser_SourceData.Fertiliser_Products_Data1(),FertiliserProducts[[#Headers],[Include or Exclude]], 0)</f>
        <v/>
      </c>
      <c r="P106" s="65" t="str" cm="1">
        <f t="array" ref="P106">Common_InputFunctions.Utility_DisplayArrayInTable(Fertiliser_SourceData.Fertiliser_Products_Data1(),FertiliserProducts[[#Headers],[Include or Exclude]], 0)</f>
        <v/>
      </c>
      <c r="Q106" s="65" t="str" cm="1">
        <f t="array" ref="Q106">Common_InputFunctions.Utility_DisplayArrayInTable(Fertiliser_SourceData.Fertiliser_Products_Data1(),FertiliserProducts[[#Headers],[Include or Exclude]], 0)</f>
        <v/>
      </c>
      <c r="R106" s="65" t="str" cm="1">
        <f t="array" ref="R106">Common_InputFunctions.Utility_DisplayArrayInTable(Fertiliser_SourceData.Fertiliser_Products_Data1(),FertiliserProducts[[#Headers],[Include or Exclude]], 0)</f>
        <v/>
      </c>
      <c r="S106" s="65" t="str" cm="1">
        <f t="array" ref="S106">Common_InputFunctions.Utility_DisplayArrayInTable(Fertiliser_SourceData.Fertiliser_Products_Data1(),FertiliserProducts[[#Headers],[Include or Exclude]], 0)</f>
        <v/>
      </c>
      <c r="T106" s="65" t="str" cm="1">
        <f t="array" ref="T106">Common_InputFunctions.Utility_DisplayArrayInTable(Fertiliser_SourceData.Fertiliser_Products_Data1(),FertiliserProducts[[#Headers],[Include or Exclude]], 0)</f>
        <v/>
      </c>
      <c r="U106" s="65"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4:31" ht="20.100000000000001" customHeight="1" x14ac:dyDescent="0.25">
      <c r="D107" s="65" t="str" cm="1">
        <f t="array" ref="D107">Common_InputFunctions.Utility_DisplayArrayInTable(Fertiliser_SourceData.Fertiliser_Products_Data1(),FertiliserProducts[[#Headers],[Include or Exclude]], 0)</f>
        <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
      </c>
      <c r="G107" s="65" t="str" cm="1">
        <f t="array" ref="G107">Common_InputFunctions.Utility_DisplayArrayInTable(Fertiliser_SourceData.Fertiliser_Products_Data1(),FertiliserProducts[[#Headers],[Include or Exclude]], 0)</f>
        <v/>
      </c>
      <c r="H107" s="65" t="str" cm="1">
        <f t="array" ref="H107">Common_InputFunctions.Utility_DisplayArrayInTable(Fertiliser_SourceData.Fertiliser_Products_Data1(),FertiliserProducts[[#Headers],[Include or Exclude]], 0)</f>
        <v/>
      </c>
      <c r="I107" s="65" t="str" cm="1">
        <f t="array" ref="I107">Common_InputFunctions.Utility_DisplayArrayInTable(Fertiliser_SourceData.Fertiliser_Products_Data1(),FertiliserProducts[[#Headers],[Include or Exclude]], 0)</f>
        <v/>
      </c>
      <c r="J107" s="65" t="str" cm="1">
        <f t="array" ref="J107">Common_InputFunctions.Utility_DisplayArrayInTable(Fertiliser_SourceData.Fertiliser_Products_Data1(),FertiliserProducts[[#Headers],[Include or Exclude]], 0)</f>
        <v/>
      </c>
      <c r="K107" s="65" t="str" cm="1">
        <f t="array" ref="K107">Common_InputFunctions.Utility_DisplayArrayInTable(Fertiliser_SourceData.Fertiliser_Products_Data1(),FertiliserProducts[[#Headers],[Include or Exclude]], 0)</f>
        <v/>
      </c>
      <c r="L107" s="65"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5" t="str" cm="1">
        <f t="array" ref="N107">Common_InputFunctions.Utility_DisplayArrayInTable(Fertiliser_SourceData.Fertiliser_Products_Data1(),FertiliserProducts[[#Headers],[Include or Exclude]], 0)</f>
        <v/>
      </c>
      <c r="O107" s="65" t="str" cm="1">
        <f t="array" ref="O107">Common_InputFunctions.Utility_DisplayArrayInTable(Fertiliser_SourceData.Fertiliser_Products_Data1(),FertiliserProducts[[#Headers],[Include or Exclude]], 0)</f>
        <v/>
      </c>
      <c r="P107" s="65" t="str" cm="1">
        <f t="array" ref="P107">Common_InputFunctions.Utility_DisplayArrayInTable(Fertiliser_SourceData.Fertiliser_Products_Data1(),FertiliserProducts[[#Headers],[Include or Exclude]], 0)</f>
        <v/>
      </c>
      <c r="Q107" s="65" t="str" cm="1">
        <f t="array" ref="Q107">Common_InputFunctions.Utility_DisplayArrayInTable(Fertiliser_SourceData.Fertiliser_Products_Data1(),FertiliserProducts[[#Headers],[Include or Exclude]], 0)</f>
        <v/>
      </c>
      <c r="R107" s="65" t="str" cm="1">
        <f t="array" ref="R107">Common_InputFunctions.Utility_DisplayArrayInTable(Fertiliser_SourceData.Fertiliser_Products_Data1(),FertiliserProducts[[#Headers],[Include or Exclude]], 0)</f>
        <v/>
      </c>
      <c r="S107" s="65" t="str" cm="1">
        <f t="array" ref="S107">Common_InputFunctions.Utility_DisplayArrayInTable(Fertiliser_SourceData.Fertiliser_Products_Data1(),FertiliserProducts[[#Headers],[Include or Exclude]], 0)</f>
        <v/>
      </c>
      <c r="T107" s="65" t="str" cm="1">
        <f t="array" ref="T107">Common_InputFunctions.Utility_DisplayArrayInTable(Fertiliser_SourceData.Fertiliser_Products_Data1(),FertiliserProducts[[#Headers],[Include or Exclude]], 0)</f>
        <v/>
      </c>
      <c r="U107" s="65"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4:31" ht="20.100000000000001" customHeight="1" x14ac:dyDescent="0.25">
      <c r="D108" s="65" t="str" cm="1">
        <f t="array" ref="D108">Common_InputFunctions.Utility_DisplayArrayInTable(Fertiliser_SourceData.Fertiliser_Products_Data1(),FertiliserProducts[[#Headers],[Include or Exclude]], 0)</f>
        <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
      </c>
      <c r="G108" s="65" t="str" cm="1">
        <f t="array" ref="G108">Common_InputFunctions.Utility_DisplayArrayInTable(Fertiliser_SourceData.Fertiliser_Products_Data1(),FertiliserProducts[[#Headers],[Include or Exclude]], 0)</f>
        <v/>
      </c>
      <c r="H108" s="65" t="str" cm="1">
        <f t="array" ref="H108">Common_InputFunctions.Utility_DisplayArrayInTable(Fertiliser_SourceData.Fertiliser_Products_Data1(),FertiliserProducts[[#Headers],[Include or Exclude]], 0)</f>
        <v/>
      </c>
      <c r="I108" s="65" t="str" cm="1">
        <f t="array" ref="I108">Common_InputFunctions.Utility_DisplayArrayInTable(Fertiliser_SourceData.Fertiliser_Products_Data1(),FertiliserProducts[[#Headers],[Include or Exclude]], 0)</f>
        <v/>
      </c>
      <c r="J108" s="65" t="str" cm="1">
        <f t="array" ref="J108">Common_InputFunctions.Utility_DisplayArrayInTable(Fertiliser_SourceData.Fertiliser_Products_Data1(),FertiliserProducts[[#Headers],[Include or Exclude]], 0)</f>
        <v/>
      </c>
      <c r="K108" s="65" t="str" cm="1">
        <f t="array" ref="K108">Common_InputFunctions.Utility_DisplayArrayInTable(Fertiliser_SourceData.Fertiliser_Products_Data1(),FertiliserProducts[[#Headers],[Include or Exclude]], 0)</f>
        <v/>
      </c>
      <c r="L108" s="65"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5" t="str" cm="1">
        <f t="array" ref="N108">Common_InputFunctions.Utility_DisplayArrayInTable(Fertiliser_SourceData.Fertiliser_Products_Data1(),FertiliserProducts[[#Headers],[Include or Exclude]], 0)</f>
        <v/>
      </c>
      <c r="O108" s="65" t="str" cm="1">
        <f t="array" ref="O108">Common_InputFunctions.Utility_DisplayArrayInTable(Fertiliser_SourceData.Fertiliser_Products_Data1(),FertiliserProducts[[#Headers],[Include or Exclude]], 0)</f>
        <v/>
      </c>
      <c r="P108" s="65" t="str" cm="1">
        <f t="array" ref="P108">Common_InputFunctions.Utility_DisplayArrayInTable(Fertiliser_SourceData.Fertiliser_Products_Data1(),FertiliserProducts[[#Headers],[Include or Exclude]], 0)</f>
        <v/>
      </c>
      <c r="Q108" s="65" t="str" cm="1">
        <f t="array" ref="Q108">Common_InputFunctions.Utility_DisplayArrayInTable(Fertiliser_SourceData.Fertiliser_Products_Data1(),FertiliserProducts[[#Headers],[Include or Exclude]], 0)</f>
        <v/>
      </c>
      <c r="R108" s="65" t="str" cm="1">
        <f t="array" ref="R108">Common_InputFunctions.Utility_DisplayArrayInTable(Fertiliser_SourceData.Fertiliser_Products_Data1(),FertiliserProducts[[#Headers],[Include or Exclude]], 0)</f>
        <v/>
      </c>
      <c r="S108" s="65" t="str" cm="1">
        <f t="array" ref="S108">Common_InputFunctions.Utility_DisplayArrayInTable(Fertiliser_SourceData.Fertiliser_Products_Data1(),FertiliserProducts[[#Headers],[Include or Exclude]], 0)</f>
        <v/>
      </c>
      <c r="T108" s="65" t="str" cm="1">
        <f t="array" ref="T108">Common_InputFunctions.Utility_DisplayArrayInTable(Fertiliser_SourceData.Fertiliser_Products_Data1(),FertiliserProducts[[#Headers],[Include or Exclude]], 0)</f>
        <v/>
      </c>
      <c r="U108" s="65" t="str" cm="1">
        <f t="array" ref="U108">Common_InputFunctions.Utility_DisplayArrayInTable(Fertiliser_SourceData.Fertiliser_Products_Data1(),FertiliserProducts[[#Headers],[Include or Exclude]], 0)</f>
        <v/>
      </c>
      <c r="V108" s="10" t="str" cm="1">
        <f t="array" ref="V108">Common_InputFunctions.Utility_DisplayArrayInTable(Fertiliser_SourceData.Fertiliser_Products_Data1(),FertiliserProducts[[#Headers],[Include or Exclude]], 0)</f>
        <v/>
      </c>
      <c r="W108" s="10" t="str" cm="1">
        <f t="array" ref="W108">Common_InputFunctions.Utility_DisplayArrayInTable(Fertiliser_SourceData.Fertiliser_Products_Data1(),FertiliserProducts[[#Headers],[Include or Exclude]], 0)</f>
        <v/>
      </c>
      <c r="X108" s="10" t="str" cm="1">
        <f t="array" ref="X108">Common_InputFunctions.Utility_DisplayArrayInTable(Fertiliser_SourceData.Fertiliser_Products_Data1(),FertiliserProducts[[#Headers],[Include or Exclude]], 0)</f>
        <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4:31" ht="20.100000000000001" customHeight="1" x14ac:dyDescent="0.25">
      <c r="D109" s="65" t="str" cm="1">
        <f t="array" ref="D109">Common_InputFunctions.Utility_DisplayArrayInTable(Fertiliser_SourceData.Fertiliser_Products_Data2(),FertiliserProducts[[#Headers],[Include or Exclude]], 20)</f>
        <v>Product</v>
      </c>
      <c r="E109" s="65" t="str" cm="1">
        <f t="array" ref="E109">Common_InputFunctions.Utility_DisplayArrayInTable(Fertiliser_SourceData.Fertiliser_Products_Data2(),FertiliserProducts[[#Headers],[Include or Exclude]], 20)</f>
        <v>Ingredient 1</v>
      </c>
      <c r="F109" s="65" t="str" cm="1">
        <f t="array" ref="F109">Common_InputFunctions.Utility_DisplayArrayInTable(Fertiliser_SourceData.Fertiliser_Products_Data2(),FertiliserProducts[[#Headers],[Include or Exclude]], 20)</f>
        <v>Ingredient 1 percent</v>
      </c>
      <c r="G109" s="65" t="str" cm="1">
        <f t="array" ref="G109">Common_InputFunctions.Utility_DisplayArrayInTable(Fertiliser_SourceData.Fertiliser_Products_Data2(),FertiliserProducts[[#Headers],[Include or Exclude]], 20)</f>
        <v>Ingredient 1 source</v>
      </c>
      <c r="H109" s="65" t="str" cm="1">
        <f t="array" ref="H109">Common_InputFunctions.Utility_DisplayArrayInTable(Fertiliser_SourceData.Fertiliser_Products_Data2(),FertiliserProducts[[#Headers],[Include or Exclude]], 20)</f>
        <v>Ingredient 2</v>
      </c>
      <c r="I109" s="65" t="str" cm="1">
        <f t="array" ref="I109">Common_InputFunctions.Utility_DisplayArrayInTable(Fertiliser_SourceData.Fertiliser_Products_Data2(),FertiliserProducts[[#Headers],[Include or Exclude]], 20)</f>
        <v>Ingredient 2 percent</v>
      </c>
      <c r="J109" s="65" t="str" cm="1">
        <f t="array" ref="J109">Common_InputFunctions.Utility_DisplayArrayInTable(Fertiliser_SourceData.Fertiliser_Products_Data2(),FertiliserProducts[[#Headers],[Include or Exclude]], 20)</f>
        <v>Ingredient 2 source</v>
      </c>
      <c r="K109" s="65" t="str" cm="1">
        <f t="array" ref="K109">Common_InputFunctions.Utility_DisplayArrayInTable(Fertiliser_SourceData.Fertiliser_Products_Data2(),FertiliserProducts[[#Headers],[Include or Exclude]], 20)</f>
        <v>Ingredient 3</v>
      </c>
      <c r="L109" s="65" t="str" cm="1">
        <f t="array" ref="L109">Common_InputFunctions.Utility_DisplayArrayInTable(Fertiliser_SourceData.Fertiliser_Products_Data2(),FertiliserProducts[[#Headers],[Include or Exclude]], 20)</f>
        <v>Ingredient 3 percent</v>
      </c>
      <c r="M109" s="65" t="str" cm="1">
        <f t="array" ref="M109">Common_InputFunctions.Utility_DisplayArrayInTable(Fertiliser_SourceData.Fertiliser_Products_Data2(),FertiliserProducts[[#Headers],[Include or Exclude]], 20)</f>
        <v>Ingredient 3 source</v>
      </c>
      <c r="N109" s="65" t="str" cm="1">
        <f t="array" ref="N109">Common_InputFunctions.Utility_DisplayArrayInTable(Fertiliser_SourceData.Fertiliser_Products_Data2(),FertiliserProducts[[#Headers],[Include or Exclude]], 20)</f>
        <v>Ingredient 4</v>
      </c>
      <c r="O109" s="65" t="str" cm="1">
        <f t="array" ref="O109">Common_InputFunctions.Utility_DisplayArrayInTable(Fertiliser_SourceData.Fertiliser_Products_Data2(),FertiliserProducts[[#Headers],[Include or Exclude]], 20)</f>
        <v>Ingredient 4 percent</v>
      </c>
      <c r="P109" s="65" t="str" cm="1">
        <f t="array" ref="P109">Common_InputFunctions.Utility_DisplayArrayInTable(Fertiliser_SourceData.Fertiliser_Products_Data2(),FertiliserProducts[[#Headers],[Include or Exclude]], 20)</f>
        <v>Ingredient 4 source</v>
      </c>
      <c r="Q109" s="65" t="str" cm="1">
        <f t="array" ref="Q109">Common_InputFunctions.Utility_DisplayArrayInTable(Fertiliser_SourceData.Fertiliser_Products_Data2(),FertiliserProducts[[#Headers],[Include or Exclude]], 20)</f>
        <v>Ingredient 5</v>
      </c>
      <c r="R109" s="65" t="str" cm="1">
        <f t="array" ref="R109">Common_InputFunctions.Utility_DisplayArrayInTable(Fertiliser_SourceData.Fertiliser_Products_Data2(),FertiliserProducts[[#Headers],[Include or Exclude]], 20)</f>
        <v>Ingredient 5 percent</v>
      </c>
      <c r="S109" s="65" t="str" cm="1">
        <f t="array" ref="S109">Common_InputFunctions.Utility_DisplayArrayInTable(Fertiliser_SourceData.Fertiliser_Products_Data2(),FertiliserProducts[[#Headers],[Include or Exclude]], 20)</f>
        <v>Ingredient 5 source</v>
      </c>
      <c r="T109" s="65" t="str" cm="1">
        <f t="array" ref="T109">Common_InputFunctions.Utility_DisplayArrayInTable(Fertiliser_SourceData.Fertiliser_Products_Data2(),FertiliserProducts[[#Headers],[Include or Exclude]], 20)</f>
        <v>Ingredient 6</v>
      </c>
      <c r="U109" s="65" t="str" cm="1">
        <f t="array" ref="U109">Common_InputFunctions.Utility_DisplayArrayInTable(Fertiliser_SourceData.Fertiliser_Products_Data2(),FertiliserProducts[[#Headers],[Include or Exclude]], 20)</f>
        <v>Ingredient 6 percent</v>
      </c>
      <c r="V109" s="65" t="str" cm="1">
        <f t="array" ref="V109">Common_InputFunctions.Utility_DisplayArrayInTable(Fertiliser_SourceData.Fertiliser_Products_Data2(),FertiliserProducts[[#Headers],[Include or Exclude]], 20)</f>
        <v>Ingredient 6 source</v>
      </c>
      <c r="W109" s="65" t="str" cm="1">
        <f t="array" ref="W109">Common_InputFunctions.Utility_DisplayArrayInTable(Fertiliser_SourceData.Fertiliser_Products_Data2(),FertiliserProducts[[#Headers],[Include or Exclude]], 20)</f>
        <v>Product info link</v>
      </c>
      <c r="X109" s="65" t="str" cm="1">
        <f t="array" ref="X109">Common_InputFunctions.Utility_DisplayArrayInTable(Fertiliser_SourceData.Fertiliser_Products_Data2(),FertiliserProducts[[#Headers],[Include or Exclude]], 20)</f>
        <v/>
      </c>
      <c r="Y109" s="65" t="str" cm="1">
        <f t="array" ref="Y109">Common_InputFunctions.Utility_DisplayArrayInTable(Fertiliser_SourceData.Fertiliser_Products_Data2(),FertiliserProducts[[#Headers],[Include or Exclude]], 20)</f>
        <v/>
      </c>
      <c r="Z109" s="65"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4:31" ht="20.100000000000001" customHeight="1" x14ac:dyDescent="0.25">
      <c r="D110" s="65" t="str" cm="1">
        <f t="array" ref="D110">Common_InputFunctions.Utility_DisplayArrayInTable(Fertiliser_SourceData.Fertiliser_Products_Data2(),FertiliserProducts[[#Headers],[Include or Exclude]], 20)</f>
        <v>Manganese Sulphate</v>
      </c>
      <c r="E110" s="65" t="str" cm="1">
        <f t="array" ref="E110">Common_InputFunctions.Utility_DisplayArrayInTable(Fertiliser_SourceData.Fertiliser_Products_Data2(),FertiliserProducts[[#Headers],[Include or Exclude]], 20)</f>
        <v/>
      </c>
      <c r="F110" s="65" t="str" cm="1">
        <f t="array" ref="F110">Common_InputFunctions.Utility_DisplayArrayInTable(Fertiliser_SourceData.Fertiliser_Products_Data2(),FertiliserProducts[[#Headers],[Include or Exclude]], 20)</f>
        <v/>
      </c>
      <c r="G110" s="65" t="str" cm="1">
        <f t="array" ref="G110">Common_InputFunctions.Utility_DisplayArrayInTable(Fertiliser_SourceData.Fertiliser_Products_Data2(),FertiliserProducts[[#Headers],[Include or Exclude]], 20)</f>
        <v/>
      </c>
      <c r="H110" s="65" t="str" cm="1">
        <f t="array" ref="H110">Common_InputFunctions.Utility_DisplayArrayInTable(Fertiliser_SourceData.Fertiliser_Products_Data2(),FertiliserProducts[[#Headers],[Include or Exclude]], 20)</f>
        <v/>
      </c>
      <c r="I110" s="65" t="str" cm="1">
        <f t="array" ref="I110">Common_InputFunctions.Utility_DisplayArrayInTable(Fertiliser_SourceData.Fertiliser_Products_Data2(),FertiliserProducts[[#Headers],[Include or Exclude]], 20)</f>
        <v/>
      </c>
      <c r="J110" s="65" t="str" cm="1">
        <f t="array" ref="J110">Common_InputFunctions.Utility_DisplayArrayInTable(Fertiliser_SourceData.Fertiliser_Products_Data2(),FertiliserProducts[[#Headers],[Include or Exclude]], 20)</f>
        <v/>
      </c>
      <c r="K110" s="65" t="str" cm="1">
        <f t="array" ref="K110">Common_InputFunctions.Utility_DisplayArrayInTable(Fertiliser_SourceData.Fertiliser_Products_Data2(),FertiliserProducts[[#Headers],[Include or Exclude]], 20)</f>
        <v/>
      </c>
      <c r="L110" s="65" t="str" cm="1">
        <f t="array" ref="L110">Common_InputFunctions.Utility_DisplayArrayInTable(Fertiliser_SourceData.Fertiliser_Products_Data2(),FertiliserProducts[[#Headers],[Include or Exclude]], 20)</f>
        <v/>
      </c>
      <c r="M110" s="65" t="str" cm="1">
        <f t="array" ref="M110">Common_InputFunctions.Utility_DisplayArrayInTable(Fertiliser_SourceData.Fertiliser_Products_Data2(),FertiliserProducts[[#Headers],[Include or Exclude]], 20)</f>
        <v/>
      </c>
      <c r="N110" s="65" t="str" cm="1">
        <f t="array" ref="N110">Common_InputFunctions.Utility_DisplayArrayInTable(Fertiliser_SourceData.Fertiliser_Products_Data2(),FertiliserProducts[[#Headers],[Include or Exclude]], 20)</f>
        <v/>
      </c>
      <c r="O110" s="65" t="str" cm="1">
        <f t="array" ref="O110">Common_InputFunctions.Utility_DisplayArrayInTable(Fertiliser_SourceData.Fertiliser_Products_Data2(),FertiliserProducts[[#Headers],[Include or Exclude]], 20)</f>
        <v/>
      </c>
      <c r="P110" s="65" t="str" cm="1">
        <f t="array" ref="P110">Common_InputFunctions.Utility_DisplayArrayInTable(Fertiliser_SourceData.Fertiliser_Products_Data2(),FertiliserProducts[[#Headers],[Include or Exclude]], 20)</f>
        <v/>
      </c>
      <c r="Q110" s="65" t="str" cm="1">
        <f t="array" ref="Q110">Common_InputFunctions.Utility_DisplayArrayInTable(Fertiliser_SourceData.Fertiliser_Products_Data2(),FertiliserProducts[[#Headers],[Include or Exclude]], 20)</f>
        <v/>
      </c>
      <c r="R110" s="65" t="str" cm="1">
        <f t="array" ref="R110">Common_InputFunctions.Utility_DisplayArrayInTable(Fertiliser_SourceData.Fertiliser_Products_Data2(),FertiliserProducts[[#Headers],[Include or Exclude]], 20)</f>
        <v/>
      </c>
      <c r="S110" s="65" t="str" cm="1">
        <f t="array" ref="S110">Common_InputFunctions.Utility_DisplayArrayInTable(Fertiliser_SourceData.Fertiliser_Products_Data2(),FertiliserProducts[[#Headers],[Include or Exclude]], 20)</f>
        <v/>
      </c>
      <c r="T110" s="65" t="str" cm="1">
        <f t="array" ref="T110">Common_InputFunctions.Utility_DisplayArrayInTable(Fertiliser_SourceData.Fertiliser_Products_Data2(),FertiliserProducts[[#Headers],[Include or Exclude]], 20)</f>
        <v/>
      </c>
      <c r="U110" s="65" t="str" cm="1">
        <f t="array" ref="U110">Common_InputFunctions.Utility_DisplayArrayInTable(Fertiliser_SourceData.Fertiliser_Products_Data2(),FertiliserProducts[[#Headers],[Include or Exclude]], 20)</f>
        <v/>
      </c>
      <c r="V110" s="65" t="str" cm="1">
        <f t="array" ref="V110">Common_InputFunctions.Utility_DisplayArrayInTable(Fertiliser_SourceData.Fertiliser_Products_Data2(),FertiliserProducts[[#Headers],[Include or Exclude]], 20)</f>
        <v/>
      </c>
      <c r="W110" s="65" t="str" cm="1">
        <f t="array" ref="W110">Common_InputFunctions.Utility_DisplayArrayInTable(Fertiliser_SourceData.Fertiliser_Products_Data2(),FertiliserProducts[[#Headers],[Include or Exclude]], 20)</f>
        <v>Incitec Pivot Fertilisers</v>
      </c>
      <c r="X110" s="65" t="str" cm="1">
        <f t="array" ref="X110">Common_InputFunctions.Utility_DisplayArrayInTable(Fertiliser_SourceData.Fertiliser_Products_Data2(),FertiliserProducts[[#Headers],[Include or Exclude]], 20)</f>
        <v/>
      </c>
      <c r="Y110" s="65" t="str" cm="1">
        <f t="array" ref="Y110">Common_InputFunctions.Utility_DisplayArrayInTable(Fertiliser_SourceData.Fertiliser_Products_Data2(),FertiliserProducts[[#Headers],[Include or Exclude]], 20)</f>
        <v/>
      </c>
      <c r="Z110" s="65"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4:31" ht="20.100000000000001" customHeight="1" x14ac:dyDescent="0.25">
      <c r="D111" s="65" t="str" cm="1">
        <f t="array" ref="D111">Common_InputFunctions.Utility_DisplayArrayInTable(Fertiliser_SourceData.Fertiliser_Products_Data2(),FertiliserProducts[[#Headers],[Include or Exclude]], 20)</f>
        <v>MAP</v>
      </c>
      <c r="E111" s="65" t="str" cm="1">
        <f t="array" ref="E111">Common_InputFunctions.Utility_DisplayArrayInTable(Fertiliser_SourceData.Fertiliser_Products_Data2(),FertiliserProducts[[#Headers],[Include or Exclude]], 20)</f>
        <v/>
      </c>
      <c r="F111" s="65" t="str" cm="1">
        <f t="array" ref="F111">Common_InputFunctions.Utility_DisplayArrayInTable(Fertiliser_SourceData.Fertiliser_Products_Data2(),FertiliserProducts[[#Headers],[Include or Exclude]], 20)</f>
        <v/>
      </c>
      <c r="G111" s="65" t="str" cm="1">
        <f t="array" ref="G111">Common_InputFunctions.Utility_DisplayArrayInTable(Fertiliser_SourceData.Fertiliser_Products_Data2(),FertiliserProducts[[#Headers],[Include or Exclude]], 20)</f>
        <v/>
      </c>
      <c r="H111" s="65" t="str" cm="1">
        <f t="array" ref="H111">Common_InputFunctions.Utility_DisplayArrayInTable(Fertiliser_SourceData.Fertiliser_Products_Data2(),FertiliserProducts[[#Headers],[Include or Exclude]], 20)</f>
        <v/>
      </c>
      <c r="I111" s="65" t="str" cm="1">
        <f t="array" ref="I111">Common_InputFunctions.Utility_DisplayArrayInTable(Fertiliser_SourceData.Fertiliser_Products_Data2(),FertiliserProducts[[#Headers],[Include or Exclude]], 20)</f>
        <v/>
      </c>
      <c r="J111" s="65" t="str" cm="1">
        <f t="array" ref="J111">Common_InputFunctions.Utility_DisplayArrayInTable(Fertiliser_SourceData.Fertiliser_Products_Data2(),FertiliserProducts[[#Headers],[Include or Exclude]], 20)</f>
        <v/>
      </c>
      <c r="K111" s="65" t="str" cm="1">
        <f t="array" ref="K111">Common_InputFunctions.Utility_DisplayArrayInTable(Fertiliser_SourceData.Fertiliser_Products_Data2(),FertiliserProducts[[#Headers],[Include or Exclude]], 20)</f>
        <v/>
      </c>
      <c r="L111" s="65" t="str" cm="1">
        <f t="array" ref="L111">Common_InputFunctions.Utility_DisplayArrayInTable(Fertiliser_SourceData.Fertiliser_Products_Data2(),FertiliserProducts[[#Headers],[Include or Exclude]], 20)</f>
        <v/>
      </c>
      <c r="M111" s="65" t="str" cm="1">
        <f t="array" ref="M111">Common_InputFunctions.Utility_DisplayArrayInTable(Fertiliser_SourceData.Fertiliser_Products_Data2(),FertiliserProducts[[#Headers],[Include or Exclude]], 20)</f>
        <v/>
      </c>
      <c r="N111" s="65" t="str" cm="1">
        <f t="array" ref="N111">Common_InputFunctions.Utility_DisplayArrayInTable(Fertiliser_SourceData.Fertiliser_Products_Data2(),FertiliserProducts[[#Headers],[Include or Exclude]], 20)</f>
        <v/>
      </c>
      <c r="O111" s="65" t="str" cm="1">
        <f t="array" ref="O111">Common_InputFunctions.Utility_DisplayArrayInTable(Fertiliser_SourceData.Fertiliser_Products_Data2(),FertiliserProducts[[#Headers],[Include or Exclude]], 20)</f>
        <v/>
      </c>
      <c r="P111" s="65" t="str" cm="1">
        <f t="array" ref="P111">Common_InputFunctions.Utility_DisplayArrayInTable(Fertiliser_SourceData.Fertiliser_Products_Data2(),FertiliserProducts[[#Headers],[Include or Exclude]], 20)</f>
        <v/>
      </c>
      <c r="Q111" s="65" t="str" cm="1">
        <f t="array" ref="Q111">Common_InputFunctions.Utility_DisplayArrayInTable(Fertiliser_SourceData.Fertiliser_Products_Data2(),FertiliserProducts[[#Headers],[Include or Exclude]], 20)</f>
        <v/>
      </c>
      <c r="R111" s="65" t="str" cm="1">
        <f t="array" ref="R111">Common_InputFunctions.Utility_DisplayArrayInTable(Fertiliser_SourceData.Fertiliser_Products_Data2(),FertiliserProducts[[#Headers],[Include or Exclude]], 20)</f>
        <v/>
      </c>
      <c r="S111" s="65" t="str" cm="1">
        <f t="array" ref="S111">Common_InputFunctions.Utility_DisplayArrayInTable(Fertiliser_SourceData.Fertiliser_Products_Data2(),FertiliserProducts[[#Headers],[Include or Exclude]], 20)</f>
        <v/>
      </c>
      <c r="T111" s="65" t="str" cm="1">
        <f t="array" ref="T111">Common_InputFunctions.Utility_DisplayArrayInTable(Fertiliser_SourceData.Fertiliser_Products_Data2(),FertiliserProducts[[#Headers],[Include or Exclude]], 20)</f>
        <v/>
      </c>
      <c r="U111" s="65" t="str" cm="1">
        <f t="array" ref="U111">Common_InputFunctions.Utility_DisplayArrayInTable(Fertiliser_SourceData.Fertiliser_Products_Data2(),FertiliserProducts[[#Headers],[Include or Exclude]], 20)</f>
        <v/>
      </c>
      <c r="V111" s="65" t="str" cm="1">
        <f t="array" ref="V111">Common_InputFunctions.Utility_DisplayArrayInTable(Fertiliser_SourceData.Fertiliser_Products_Data2(),FertiliserProducts[[#Headers],[Include or Exclude]], 20)</f>
        <v/>
      </c>
      <c r="W111" s="65" t="str" cm="1">
        <f t="array" ref="W111">Common_InputFunctions.Utility_DisplayArrayInTable(Fertiliser_SourceData.Fertiliser_Products_Data2(),FertiliserProducts[[#Headers],[Include or Exclude]], 20)</f>
        <v>Incitec Pivot Fertilisers</v>
      </c>
      <c r="X111" s="65" t="str" cm="1">
        <f t="array" ref="X111">Common_InputFunctions.Utility_DisplayArrayInTable(Fertiliser_SourceData.Fertiliser_Products_Data2(),FertiliserProducts[[#Headers],[Include or Exclude]], 20)</f>
        <v/>
      </c>
      <c r="Y111" s="65" t="str" cm="1">
        <f t="array" ref="Y111">Common_InputFunctions.Utility_DisplayArrayInTable(Fertiliser_SourceData.Fertiliser_Products_Data2(),FertiliserProducts[[#Headers],[Include or Exclude]], 20)</f>
        <v/>
      </c>
      <c r="Z111" s="65"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4:31" ht="20.100000000000001" customHeight="1" x14ac:dyDescent="0.25">
      <c r="D112" s="65" t="str" cm="1">
        <f t="array" ref="D112">Common_InputFunctions.Utility_DisplayArrayInTable(Fertiliser_SourceData.Fertiliser_Products_Data2(),FertiliserProducts[[#Headers],[Include or Exclude]], 20)</f>
        <v>MAP Impact</v>
      </c>
      <c r="E112" s="65" t="str" cm="1">
        <f t="array" ref="E112">Common_InputFunctions.Utility_DisplayArrayInTable(Fertiliser_SourceData.Fertiliser_Products_Data2(),FertiliserProducts[[#Headers],[Include or Exclude]], 20)</f>
        <v/>
      </c>
      <c r="F112" s="65" t="str" cm="1">
        <f t="array" ref="F112">Common_InputFunctions.Utility_DisplayArrayInTable(Fertiliser_SourceData.Fertiliser_Products_Data2(),FertiliserProducts[[#Headers],[Include or Exclude]], 20)</f>
        <v/>
      </c>
      <c r="G112" s="65" t="str" cm="1">
        <f t="array" ref="G112">Common_InputFunctions.Utility_DisplayArrayInTable(Fertiliser_SourceData.Fertiliser_Products_Data2(),FertiliserProducts[[#Headers],[Include or Exclude]], 20)</f>
        <v/>
      </c>
      <c r="H112" s="65" t="str" cm="1">
        <f t="array" ref="H112">Common_InputFunctions.Utility_DisplayArrayInTable(Fertiliser_SourceData.Fertiliser_Products_Data2(),FertiliserProducts[[#Headers],[Include or Exclude]], 20)</f>
        <v/>
      </c>
      <c r="I112" s="65" t="str" cm="1">
        <f t="array" ref="I112">Common_InputFunctions.Utility_DisplayArrayInTable(Fertiliser_SourceData.Fertiliser_Products_Data2(),FertiliserProducts[[#Headers],[Include or Exclude]], 20)</f>
        <v/>
      </c>
      <c r="J112" s="65" t="str" cm="1">
        <f t="array" ref="J112">Common_InputFunctions.Utility_DisplayArrayInTable(Fertiliser_SourceData.Fertiliser_Products_Data2(),FertiliserProducts[[#Headers],[Include or Exclude]], 20)</f>
        <v/>
      </c>
      <c r="K112" s="65" t="str" cm="1">
        <f t="array" ref="K112">Common_InputFunctions.Utility_DisplayArrayInTable(Fertiliser_SourceData.Fertiliser_Products_Data2(),FertiliserProducts[[#Headers],[Include or Exclude]], 20)</f>
        <v/>
      </c>
      <c r="L112" s="65" t="str" cm="1">
        <f t="array" ref="L112">Common_InputFunctions.Utility_DisplayArrayInTable(Fertiliser_SourceData.Fertiliser_Products_Data2(),FertiliserProducts[[#Headers],[Include or Exclude]], 20)</f>
        <v/>
      </c>
      <c r="M112" s="65" t="str" cm="1">
        <f t="array" ref="M112">Common_InputFunctions.Utility_DisplayArrayInTable(Fertiliser_SourceData.Fertiliser_Products_Data2(),FertiliserProducts[[#Headers],[Include or Exclude]], 20)</f>
        <v/>
      </c>
      <c r="N112" s="65" t="str" cm="1">
        <f t="array" ref="N112">Common_InputFunctions.Utility_DisplayArrayInTable(Fertiliser_SourceData.Fertiliser_Products_Data2(),FertiliserProducts[[#Headers],[Include or Exclude]], 20)</f>
        <v/>
      </c>
      <c r="O112" s="65" t="str" cm="1">
        <f t="array" ref="O112">Common_InputFunctions.Utility_DisplayArrayInTable(Fertiliser_SourceData.Fertiliser_Products_Data2(),FertiliserProducts[[#Headers],[Include or Exclude]], 20)</f>
        <v/>
      </c>
      <c r="P112" s="65" t="str" cm="1">
        <f t="array" ref="P112">Common_InputFunctions.Utility_DisplayArrayInTable(Fertiliser_SourceData.Fertiliser_Products_Data2(),FertiliserProducts[[#Headers],[Include or Exclude]], 20)</f>
        <v/>
      </c>
      <c r="Q112" s="65" t="str" cm="1">
        <f t="array" ref="Q112">Common_InputFunctions.Utility_DisplayArrayInTable(Fertiliser_SourceData.Fertiliser_Products_Data2(),FertiliserProducts[[#Headers],[Include or Exclude]], 20)</f>
        <v/>
      </c>
      <c r="R112" s="65" t="str" cm="1">
        <f t="array" ref="R112">Common_InputFunctions.Utility_DisplayArrayInTable(Fertiliser_SourceData.Fertiliser_Products_Data2(),FertiliserProducts[[#Headers],[Include or Exclude]], 20)</f>
        <v/>
      </c>
      <c r="S112" s="65" t="str" cm="1">
        <f t="array" ref="S112">Common_InputFunctions.Utility_DisplayArrayInTable(Fertiliser_SourceData.Fertiliser_Products_Data2(),FertiliserProducts[[#Headers],[Include or Exclude]], 20)</f>
        <v/>
      </c>
      <c r="T112" s="65" t="str" cm="1">
        <f t="array" ref="T112">Common_InputFunctions.Utility_DisplayArrayInTable(Fertiliser_SourceData.Fertiliser_Products_Data2(),FertiliserProducts[[#Headers],[Include or Exclude]], 20)</f>
        <v/>
      </c>
      <c r="U112" s="65" t="str" cm="1">
        <f t="array" ref="U112">Common_InputFunctions.Utility_DisplayArrayInTable(Fertiliser_SourceData.Fertiliser_Products_Data2(),FertiliserProducts[[#Headers],[Include or Exclude]], 20)</f>
        <v/>
      </c>
      <c r="V112" s="65" t="str" cm="1">
        <f t="array" ref="V112">Common_InputFunctions.Utility_DisplayArrayInTable(Fertiliser_SourceData.Fertiliser_Products_Data2(),FertiliserProducts[[#Headers],[Include or Exclude]], 20)</f>
        <v/>
      </c>
      <c r="W112" s="65" t="str" cm="1">
        <f t="array" ref="W112">Common_InputFunctions.Utility_DisplayArrayInTable(Fertiliser_SourceData.Fertiliser_Products_Data2(),FertiliserProducts[[#Headers],[Include or Exclude]], 20)</f>
        <v>Impact fertilisers</v>
      </c>
      <c r="X112" s="65" t="str" cm="1">
        <f t="array" ref="X112">Common_InputFunctions.Utility_DisplayArrayInTable(Fertiliser_SourceData.Fertiliser_Products_Data2(),FertiliserProducts[[#Headers],[Include or Exclude]], 20)</f>
        <v/>
      </c>
      <c r="Y112" s="65" t="str" cm="1">
        <f t="array" ref="Y112">Common_InputFunctions.Utility_DisplayArrayInTable(Fertiliser_SourceData.Fertiliser_Products_Data2(),FertiliserProducts[[#Headers],[Include or Exclude]], 20)</f>
        <v/>
      </c>
      <c r="Z112" s="65"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4:31" ht="20.100000000000001" customHeight="1" x14ac:dyDescent="0.25">
      <c r="D113" s="65" t="str" cm="1">
        <f t="array" ref="D113">Common_InputFunctions.Utility_DisplayArrayInTable(Fertiliser_SourceData.Fertiliser_Products_Data2(),FertiliserProducts[[#Headers],[Include or Exclude]], 20)</f>
        <v>MAPSZC</v>
      </c>
      <c r="E113" s="65" t="str" cm="1">
        <f t="array" ref="E113">Common_InputFunctions.Utility_DisplayArrayInTable(Fertiliser_SourceData.Fertiliser_Products_Data2(),FertiliserProducts[[#Headers],[Include or Exclude]], 20)</f>
        <v/>
      </c>
      <c r="F113" s="65" t="str" cm="1">
        <f t="array" ref="F113">Common_InputFunctions.Utility_DisplayArrayInTable(Fertiliser_SourceData.Fertiliser_Products_Data2(),FertiliserProducts[[#Headers],[Include or Exclude]], 20)</f>
        <v/>
      </c>
      <c r="G113" s="65" t="str" cm="1">
        <f t="array" ref="G113">Common_InputFunctions.Utility_DisplayArrayInTable(Fertiliser_SourceData.Fertiliser_Products_Data2(),FertiliserProducts[[#Headers],[Include or Exclude]], 20)</f>
        <v/>
      </c>
      <c r="H113" s="65" t="str" cm="1">
        <f t="array" ref="H113">Common_InputFunctions.Utility_DisplayArrayInTable(Fertiliser_SourceData.Fertiliser_Products_Data2(),FertiliserProducts[[#Headers],[Include or Exclude]], 20)</f>
        <v/>
      </c>
      <c r="I113" s="65" t="str" cm="1">
        <f t="array" ref="I113">Common_InputFunctions.Utility_DisplayArrayInTable(Fertiliser_SourceData.Fertiliser_Products_Data2(),FertiliserProducts[[#Headers],[Include or Exclude]], 20)</f>
        <v/>
      </c>
      <c r="J113" s="65" t="str" cm="1">
        <f t="array" ref="J113">Common_InputFunctions.Utility_DisplayArrayInTable(Fertiliser_SourceData.Fertiliser_Products_Data2(),FertiliserProducts[[#Headers],[Include or Exclude]], 20)</f>
        <v/>
      </c>
      <c r="K113" s="65" t="str" cm="1">
        <f t="array" ref="K113">Common_InputFunctions.Utility_DisplayArrayInTable(Fertiliser_SourceData.Fertiliser_Products_Data2(),FertiliserProducts[[#Headers],[Include or Exclude]], 20)</f>
        <v/>
      </c>
      <c r="L113" s="65" t="str" cm="1">
        <f t="array" ref="L113">Common_InputFunctions.Utility_DisplayArrayInTable(Fertiliser_SourceData.Fertiliser_Products_Data2(),FertiliserProducts[[#Headers],[Include or Exclude]], 20)</f>
        <v/>
      </c>
      <c r="M113" s="65" t="str" cm="1">
        <f t="array" ref="M113">Common_InputFunctions.Utility_DisplayArrayInTable(Fertiliser_SourceData.Fertiliser_Products_Data2(),FertiliserProducts[[#Headers],[Include or Exclude]], 20)</f>
        <v/>
      </c>
      <c r="N113" s="65" t="str" cm="1">
        <f t="array" ref="N113">Common_InputFunctions.Utility_DisplayArrayInTable(Fertiliser_SourceData.Fertiliser_Products_Data2(),FertiliserProducts[[#Headers],[Include or Exclude]], 20)</f>
        <v/>
      </c>
      <c r="O113" s="65" t="str" cm="1">
        <f t="array" ref="O113">Common_InputFunctions.Utility_DisplayArrayInTable(Fertiliser_SourceData.Fertiliser_Products_Data2(),FertiliserProducts[[#Headers],[Include or Exclude]], 20)</f>
        <v/>
      </c>
      <c r="P113" s="65" t="str" cm="1">
        <f t="array" ref="P113">Common_InputFunctions.Utility_DisplayArrayInTable(Fertiliser_SourceData.Fertiliser_Products_Data2(),FertiliserProducts[[#Headers],[Include or Exclude]], 20)</f>
        <v/>
      </c>
      <c r="Q113" s="65" t="str" cm="1">
        <f t="array" ref="Q113">Common_InputFunctions.Utility_DisplayArrayInTable(Fertiliser_SourceData.Fertiliser_Products_Data2(),FertiliserProducts[[#Headers],[Include or Exclude]], 20)</f>
        <v/>
      </c>
      <c r="R113" s="65" t="str" cm="1">
        <f t="array" ref="R113">Common_InputFunctions.Utility_DisplayArrayInTable(Fertiliser_SourceData.Fertiliser_Products_Data2(),FertiliserProducts[[#Headers],[Include or Exclude]], 20)</f>
        <v/>
      </c>
      <c r="S113" s="65" t="str" cm="1">
        <f t="array" ref="S113">Common_InputFunctions.Utility_DisplayArrayInTable(Fertiliser_SourceData.Fertiliser_Products_Data2(),FertiliserProducts[[#Headers],[Include or Exclude]], 20)</f>
        <v/>
      </c>
      <c r="T113" s="65" t="str" cm="1">
        <f t="array" ref="T113">Common_InputFunctions.Utility_DisplayArrayInTable(Fertiliser_SourceData.Fertiliser_Products_Data2(),FertiliserProducts[[#Headers],[Include or Exclude]], 20)</f>
        <v/>
      </c>
      <c r="U113" s="65" t="str" cm="1">
        <f t="array" ref="U113">Common_InputFunctions.Utility_DisplayArrayInTable(Fertiliser_SourceData.Fertiliser_Products_Data2(),FertiliserProducts[[#Headers],[Include or Exclude]], 20)</f>
        <v/>
      </c>
      <c r="V113" s="65" t="str" cm="1">
        <f t="array" ref="V113">Common_InputFunctions.Utility_DisplayArrayInTable(Fertiliser_SourceData.Fertiliser_Products_Data2(),FertiliserProducts[[#Headers],[Include or Exclude]], 20)</f>
        <v/>
      </c>
      <c r="W113" s="65" t="str" cm="1">
        <f t="array" ref="W113">Common_InputFunctions.Utility_DisplayArrayInTable(Fertiliser_SourceData.Fertiliser_Products_Data2(),FertiliserProducts[[#Headers],[Include or Exclude]], 20)</f>
        <v>Summit Fertilizers</v>
      </c>
      <c r="X113" s="65" t="str" cm="1">
        <f t="array" ref="X113">Common_InputFunctions.Utility_DisplayArrayInTable(Fertiliser_SourceData.Fertiliser_Products_Data2(),FertiliserProducts[[#Headers],[Include or Exclude]], 20)</f>
        <v/>
      </c>
      <c r="Y113" s="65" t="str" cm="1">
        <f t="array" ref="Y113">Common_InputFunctions.Utility_DisplayArrayInTable(Fertiliser_SourceData.Fertiliser_Products_Data2(),FertiliserProducts[[#Headers],[Include or Exclude]], 20)</f>
        <v/>
      </c>
      <c r="Z113" s="65"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4:31" ht="20.100000000000001" customHeight="1" x14ac:dyDescent="0.25">
      <c r="D114" s="65" t="str" cm="1">
        <f t="array" ref="D114">Common_InputFunctions.Utility_DisplayArrayInTable(Fertiliser_SourceData.Fertiliser_Products_Data2(),FertiliserProducts[[#Headers],[Include or Exclude]], 20)</f>
        <v>Maximum N-Pact 29-0-0</v>
      </c>
      <c r="E114" s="65" t="str" cm="1">
        <f t="array" ref="E114">Common_InputFunctions.Utility_DisplayArrayInTable(Fertiliser_SourceData.Fertiliser_Products_Data2(),FertiliserProducts[[#Headers],[Include or Exclude]], 20)</f>
        <v/>
      </c>
      <c r="F114" s="65" t="str" cm="1">
        <f t="array" ref="F114">Common_InputFunctions.Utility_DisplayArrayInTable(Fertiliser_SourceData.Fertiliser_Products_Data2(),FertiliserProducts[[#Headers],[Include or Exclude]], 20)</f>
        <v/>
      </c>
      <c r="G114" s="65" t="str" cm="1">
        <f t="array" ref="G114">Common_InputFunctions.Utility_DisplayArrayInTable(Fertiliser_SourceData.Fertiliser_Products_Data2(),FertiliserProducts[[#Headers],[Include or Exclude]], 20)</f>
        <v/>
      </c>
      <c r="H114" s="65" t="str" cm="1">
        <f t="array" ref="H114">Common_InputFunctions.Utility_DisplayArrayInTable(Fertiliser_SourceData.Fertiliser_Products_Data2(),FertiliserProducts[[#Headers],[Include or Exclude]], 20)</f>
        <v/>
      </c>
      <c r="I114" s="65" t="str" cm="1">
        <f t="array" ref="I114">Common_InputFunctions.Utility_DisplayArrayInTable(Fertiliser_SourceData.Fertiliser_Products_Data2(),FertiliserProducts[[#Headers],[Include or Exclude]], 20)</f>
        <v/>
      </c>
      <c r="J114" s="65" t="str" cm="1">
        <f t="array" ref="J114">Common_InputFunctions.Utility_DisplayArrayInTable(Fertiliser_SourceData.Fertiliser_Products_Data2(),FertiliserProducts[[#Headers],[Include or Exclude]], 20)</f>
        <v/>
      </c>
      <c r="K114" s="65" t="str" cm="1">
        <f t="array" ref="K114">Common_InputFunctions.Utility_DisplayArrayInTable(Fertiliser_SourceData.Fertiliser_Products_Data2(),FertiliserProducts[[#Headers],[Include or Exclude]], 20)</f>
        <v/>
      </c>
      <c r="L114" s="65" t="str" cm="1">
        <f t="array" ref="L114">Common_InputFunctions.Utility_DisplayArrayInTable(Fertiliser_SourceData.Fertiliser_Products_Data2(),FertiliserProducts[[#Headers],[Include or Exclude]], 20)</f>
        <v/>
      </c>
      <c r="M114" s="65" t="str" cm="1">
        <f t="array" ref="M114">Common_InputFunctions.Utility_DisplayArrayInTable(Fertiliser_SourceData.Fertiliser_Products_Data2(),FertiliserProducts[[#Headers],[Include or Exclude]], 20)</f>
        <v/>
      </c>
      <c r="N114" s="65" t="str" cm="1">
        <f t="array" ref="N114">Common_InputFunctions.Utility_DisplayArrayInTable(Fertiliser_SourceData.Fertiliser_Products_Data2(),FertiliserProducts[[#Headers],[Include or Exclude]], 20)</f>
        <v/>
      </c>
      <c r="O114" s="65" t="str" cm="1">
        <f t="array" ref="O114">Common_InputFunctions.Utility_DisplayArrayInTable(Fertiliser_SourceData.Fertiliser_Products_Data2(),FertiliserProducts[[#Headers],[Include or Exclude]], 20)</f>
        <v/>
      </c>
      <c r="P114" s="65" t="str" cm="1">
        <f t="array" ref="P114">Common_InputFunctions.Utility_DisplayArrayInTable(Fertiliser_SourceData.Fertiliser_Products_Data2(),FertiliserProducts[[#Headers],[Include or Exclude]], 20)</f>
        <v/>
      </c>
      <c r="Q114" s="65" t="str" cm="1">
        <f t="array" ref="Q114">Common_InputFunctions.Utility_DisplayArrayInTable(Fertiliser_SourceData.Fertiliser_Products_Data2(),FertiliserProducts[[#Headers],[Include or Exclude]], 20)</f>
        <v/>
      </c>
      <c r="R114" s="65" t="str" cm="1">
        <f t="array" ref="R114">Common_InputFunctions.Utility_DisplayArrayInTable(Fertiliser_SourceData.Fertiliser_Products_Data2(),FertiliserProducts[[#Headers],[Include or Exclude]], 20)</f>
        <v/>
      </c>
      <c r="S114" s="65" t="str" cm="1">
        <f t="array" ref="S114">Common_InputFunctions.Utility_DisplayArrayInTable(Fertiliser_SourceData.Fertiliser_Products_Data2(),FertiliserProducts[[#Headers],[Include or Exclude]], 20)</f>
        <v/>
      </c>
      <c r="T114" s="65" t="str" cm="1">
        <f t="array" ref="T114">Common_InputFunctions.Utility_DisplayArrayInTable(Fertiliser_SourceData.Fertiliser_Products_Data2(),FertiliserProducts[[#Headers],[Include or Exclude]], 20)</f>
        <v/>
      </c>
      <c r="U114" s="65" t="str" cm="1">
        <f t="array" ref="U114">Common_InputFunctions.Utility_DisplayArrayInTable(Fertiliser_SourceData.Fertiliser_Products_Data2(),FertiliserProducts[[#Headers],[Include or Exclude]], 20)</f>
        <v/>
      </c>
      <c r="V114" s="65" t="str" cm="1">
        <f t="array" ref="V114">Common_InputFunctions.Utility_DisplayArrayInTable(Fertiliser_SourceData.Fertiliser_Products_Data2(),FertiliserProducts[[#Headers],[Include or Exclude]], 20)</f>
        <v/>
      </c>
      <c r="W114" s="65" t="str" cm="1">
        <f t="array" ref="W114">Common_InputFunctions.Utility_DisplayArrayInTable(Fertiliser_SourceData.Fertiliser_Products_Data2(),FertiliserProducts[[#Headers],[Include or Exclude]], 20)</f>
        <v>Maximum N-Pact | Loveland (lovelandagriproducts.com.au)</v>
      </c>
      <c r="X114" s="65" t="str" cm="1">
        <f t="array" ref="X114">Common_InputFunctions.Utility_DisplayArrayInTable(Fertiliser_SourceData.Fertiliser_Products_Data2(),FertiliserProducts[[#Headers],[Include or Exclude]], 20)</f>
        <v/>
      </c>
      <c r="Y114" s="65" t="str" cm="1">
        <f t="array" ref="Y114">Common_InputFunctions.Utility_DisplayArrayInTable(Fertiliser_SourceData.Fertiliser_Products_Data2(),FertiliserProducts[[#Headers],[Include or Exclude]], 20)</f>
        <v/>
      </c>
      <c r="Z114" s="65"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4:31" ht="20.100000000000001" customHeight="1" x14ac:dyDescent="0.25">
      <c r="D115" s="65" t="str" cm="1">
        <f t="array" ref="D115">Common_InputFunctions.Utility_DisplayArrayInTable(Fertiliser_SourceData.Fertiliser_Products_Data2(),FertiliserProducts[[#Headers],[Include or Exclude]], 20)</f>
        <v>Microsol 12-6-44</v>
      </c>
      <c r="E115" s="65" t="str" cm="1">
        <f t="array" ref="E115">Common_InputFunctions.Utility_DisplayArrayInTable(Fertiliser_SourceData.Fertiliser_Products_Data2(),FertiliserProducts[[#Headers],[Include or Exclude]], 20)</f>
        <v/>
      </c>
      <c r="F115" s="65" t="str" cm="1">
        <f t="array" ref="F115">Common_InputFunctions.Utility_DisplayArrayInTable(Fertiliser_SourceData.Fertiliser_Products_Data2(),FertiliserProducts[[#Headers],[Include or Exclude]], 20)</f>
        <v/>
      </c>
      <c r="G115" s="65" t="str" cm="1">
        <f t="array" ref="G115">Common_InputFunctions.Utility_DisplayArrayInTable(Fertiliser_SourceData.Fertiliser_Products_Data2(),FertiliserProducts[[#Headers],[Include or Exclude]], 20)</f>
        <v/>
      </c>
      <c r="H115" s="65" t="str" cm="1">
        <f t="array" ref="H115">Common_InputFunctions.Utility_DisplayArrayInTable(Fertiliser_SourceData.Fertiliser_Products_Data2(),FertiliserProducts[[#Headers],[Include or Exclude]], 20)</f>
        <v/>
      </c>
      <c r="I115" s="65" t="str" cm="1">
        <f t="array" ref="I115">Common_InputFunctions.Utility_DisplayArrayInTable(Fertiliser_SourceData.Fertiliser_Products_Data2(),FertiliserProducts[[#Headers],[Include or Exclude]], 20)</f>
        <v/>
      </c>
      <c r="J115" s="65" t="str" cm="1">
        <f t="array" ref="J115">Common_InputFunctions.Utility_DisplayArrayInTable(Fertiliser_SourceData.Fertiliser_Products_Data2(),FertiliserProducts[[#Headers],[Include or Exclude]], 20)</f>
        <v/>
      </c>
      <c r="K115" s="65" t="str" cm="1">
        <f t="array" ref="K115">Common_InputFunctions.Utility_DisplayArrayInTable(Fertiliser_SourceData.Fertiliser_Products_Data2(),FertiliserProducts[[#Headers],[Include or Exclude]], 20)</f>
        <v/>
      </c>
      <c r="L115" s="65" t="str" cm="1">
        <f t="array" ref="L115">Common_InputFunctions.Utility_DisplayArrayInTable(Fertiliser_SourceData.Fertiliser_Products_Data2(),FertiliserProducts[[#Headers],[Include or Exclude]], 20)</f>
        <v/>
      </c>
      <c r="M115" s="65" t="str" cm="1">
        <f t="array" ref="M115">Common_InputFunctions.Utility_DisplayArrayInTable(Fertiliser_SourceData.Fertiliser_Products_Data2(),FertiliserProducts[[#Headers],[Include or Exclude]], 20)</f>
        <v/>
      </c>
      <c r="N115" s="65" t="str" cm="1">
        <f t="array" ref="N115">Common_InputFunctions.Utility_DisplayArrayInTable(Fertiliser_SourceData.Fertiliser_Products_Data2(),FertiliserProducts[[#Headers],[Include or Exclude]], 20)</f>
        <v/>
      </c>
      <c r="O115" s="65" t="str" cm="1">
        <f t="array" ref="O115">Common_InputFunctions.Utility_DisplayArrayInTable(Fertiliser_SourceData.Fertiliser_Products_Data2(),FertiliserProducts[[#Headers],[Include or Exclude]], 20)</f>
        <v/>
      </c>
      <c r="P115" s="65" t="str" cm="1">
        <f t="array" ref="P115">Common_InputFunctions.Utility_DisplayArrayInTable(Fertiliser_SourceData.Fertiliser_Products_Data2(),FertiliserProducts[[#Headers],[Include or Exclude]], 20)</f>
        <v/>
      </c>
      <c r="Q115" s="65" t="str" cm="1">
        <f t="array" ref="Q115">Common_InputFunctions.Utility_DisplayArrayInTable(Fertiliser_SourceData.Fertiliser_Products_Data2(),FertiliserProducts[[#Headers],[Include or Exclude]], 20)</f>
        <v/>
      </c>
      <c r="R115" s="65" t="str" cm="1">
        <f t="array" ref="R115">Common_InputFunctions.Utility_DisplayArrayInTable(Fertiliser_SourceData.Fertiliser_Products_Data2(),FertiliserProducts[[#Headers],[Include or Exclude]], 20)</f>
        <v/>
      </c>
      <c r="S115" s="65" t="str" cm="1">
        <f t="array" ref="S115">Common_InputFunctions.Utility_DisplayArrayInTable(Fertiliser_SourceData.Fertiliser_Products_Data2(),FertiliserProducts[[#Headers],[Include or Exclude]], 20)</f>
        <v/>
      </c>
      <c r="T115" s="65" t="str" cm="1">
        <f t="array" ref="T115">Common_InputFunctions.Utility_DisplayArrayInTable(Fertiliser_SourceData.Fertiliser_Products_Data2(),FertiliserProducts[[#Headers],[Include or Exclude]], 20)</f>
        <v/>
      </c>
      <c r="U115" s="65" t="str" cm="1">
        <f t="array" ref="U115">Common_InputFunctions.Utility_DisplayArrayInTable(Fertiliser_SourceData.Fertiliser_Products_Data2(),FertiliserProducts[[#Headers],[Include or Exclude]], 20)</f>
        <v/>
      </c>
      <c r="V115" s="65" t="str" cm="1">
        <f t="array" ref="V115">Common_InputFunctions.Utility_DisplayArrayInTable(Fertiliser_SourceData.Fertiliser_Products_Data2(),FertiliserProducts[[#Headers],[Include or Exclude]], 20)</f>
        <v/>
      </c>
      <c r="W115" s="65" t="str" cm="1">
        <f t="array" ref="W115">Common_InputFunctions.Utility_DisplayArrayInTable(Fertiliser_SourceData.Fertiliser_Products_Data2(),FertiliserProducts[[#Headers],[Include or Exclude]], 20)</f>
        <v>Rigbytaylor Microsol Range</v>
      </c>
      <c r="X115" s="65" t="str" cm="1">
        <f t="array" ref="X115">Common_InputFunctions.Utility_DisplayArrayInTable(Fertiliser_SourceData.Fertiliser_Products_Data2(),FertiliserProducts[[#Headers],[Include or Exclude]], 20)</f>
        <v/>
      </c>
      <c r="Y115" s="65" t="str" cm="1">
        <f t="array" ref="Y115">Common_InputFunctions.Utility_DisplayArrayInTable(Fertiliser_SourceData.Fertiliser_Products_Data2(),FertiliserProducts[[#Headers],[Include or Exclude]], 20)</f>
        <v/>
      </c>
      <c r="Z115" s="65"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4:31" ht="20.100000000000001" customHeight="1" x14ac:dyDescent="0.25">
      <c r="D116" s="65" t="str" cm="1">
        <f t="array" ref="D116">Common_InputFunctions.Utility_DisplayArrayInTable(Fertiliser_SourceData.Fertiliser_Products_Data2(),FertiliserProducts[[#Headers],[Include or Exclude]], 20)</f>
        <v>Microsol 16-32-16</v>
      </c>
      <c r="E116" s="65" t="str" cm="1">
        <f t="array" ref="E116">Common_InputFunctions.Utility_DisplayArrayInTable(Fertiliser_SourceData.Fertiliser_Products_Data2(),FertiliserProducts[[#Headers],[Include or Exclude]], 20)</f>
        <v/>
      </c>
      <c r="F116" s="65" t="str" cm="1">
        <f t="array" ref="F116">Common_InputFunctions.Utility_DisplayArrayInTable(Fertiliser_SourceData.Fertiliser_Products_Data2(),FertiliserProducts[[#Headers],[Include or Exclude]], 20)</f>
        <v/>
      </c>
      <c r="G116" s="65" t="str" cm="1">
        <f t="array" ref="G116">Common_InputFunctions.Utility_DisplayArrayInTable(Fertiliser_SourceData.Fertiliser_Products_Data2(),FertiliserProducts[[#Headers],[Include or Exclude]], 20)</f>
        <v/>
      </c>
      <c r="H116" s="65" t="str" cm="1">
        <f t="array" ref="H116">Common_InputFunctions.Utility_DisplayArrayInTable(Fertiliser_SourceData.Fertiliser_Products_Data2(),FertiliserProducts[[#Headers],[Include or Exclude]], 20)</f>
        <v/>
      </c>
      <c r="I116" s="65" t="str" cm="1">
        <f t="array" ref="I116">Common_InputFunctions.Utility_DisplayArrayInTable(Fertiliser_SourceData.Fertiliser_Products_Data2(),FertiliserProducts[[#Headers],[Include or Exclude]], 20)</f>
        <v/>
      </c>
      <c r="J116" s="65" t="str" cm="1">
        <f t="array" ref="J116">Common_InputFunctions.Utility_DisplayArrayInTable(Fertiliser_SourceData.Fertiliser_Products_Data2(),FertiliserProducts[[#Headers],[Include or Exclude]], 20)</f>
        <v/>
      </c>
      <c r="K116" s="65" t="str" cm="1">
        <f t="array" ref="K116">Common_InputFunctions.Utility_DisplayArrayInTable(Fertiliser_SourceData.Fertiliser_Products_Data2(),FertiliserProducts[[#Headers],[Include or Exclude]], 20)</f>
        <v/>
      </c>
      <c r="L116" s="65" t="str" cm="1">
        <f t="array" ref="L116">Common_InputFunctions.Utility_DisplayArrayInTable(Fertiliser_SourceData.Fertiliser_Products_Data2(),FertiliserProducts[[#Headers],[Include or Exclude]], 20)</f>
        <v/>
      </c>
      <c r="M116" s="65" t="str" cm="1">
        <f t="array" ref="M116">Common_InputFunctions.Utility_DisplayArrayInTable(Fertiliser_SourceData.Fertiliser_Products_Data2(),FertiliserProducts[[#Headers],[Include or Exclude]], 20)</f>
        <v/>
      </c>
      <c r="N116" s="65" t="str" cm="1">
        <f t="array" ref="N116">Common_InputFunctions.Utility_DisplayArrayInTable(Fertiliser_SourceData.Fertiliser_Products_Data2(),FertiliserProducts[[#Headers],[Include or Exclude]], 20)</f>
        <v/>
      </c>
      <c r="O116" s="65" t="str" cm="1">
        <f t="array" ref="O116">Common_InputFunctions.Utility_DisplayArrayInTable(Fertiliser_SourceData.Fertiliser_Products_Data2(),FertiliserProducts[[#Headers],[Include or Exclude]], 20)</f>
        <v/>
      </c>
      <c r="P116" s="65" t="str" cm="1">
        <f t="array" ref="P116">Common_InputFunctions.Utility_DisplayArrayInTable(Fertiliser_SourceData.Fertiliser_Products_Data2(),FertiliserProducts[[#Headers],[Include or Exclude]], 20)</f>
        <v/>
      </c>
      <c r="Q116" s="65" t="str" cm="1">
        <f t="array" ref="Q116">Common_InputFunctions.Utility_DisplayArrayInTable(Fertiliser_SourceData.Fertiliser_Products_Data2(),FertiliserProducts[[#Headers],[Include or Exclude]], 20)</f>
        <v/>
      </c>
      <c r="R116" s="65" t="str" cm="1">
        <f t="array" ref="R116">Common_InputFunctions.Utility_DisplayArrayInTable(Fertiliser_SourceData.Fertiliser_Products_Data2(),FertiliserProducts[[#Headers],[Include or Exclude]], 20)</f>
        <v/>
      </c>
      <c r="S116" s="65" t="str" cm="1">
        <f t="array" ref="S116">Common_InputFunctions.Utility_DisplayArrayInTable(Fertiliser_SourceData.Fertiliser_Products_Data2(),FertiliserProducts[[#Headers],[Include or Exclude]], 20)</f>
        <v/>
      </c>
      <c r="T116" s="65" t="str" cm="1">
        <f t="array" ref="T116">Common_InputFunctions.Utility_DisplayArrayInTable(Fertiliser_SourceData.Fertiliser_Products_Data2(),FertiliserProducts[[#Headers],[Include or Exclude]], 20)</f>
        <v/>
      </c>
      <c r="U116" s="65" t="str" cm="1">
        <f t="array" ref="U116">Common_InputFunctions.Utility_DisplayArrayInTable(Fertiliser_SourceData.Fertiliser_Products_Data2(),FertiliserProducts[[#Headers],[Include or Exclude]], 20)</f>
        <v/>
      </c>
      <c r="V116" s="65" t="str" cm="1">
        <f t="array" ref="V116">Common_InputFunctions.Utility_DisplayArrayInTable(Fertiliser_SourceData.Fertiliser_Products_Data2(),FertiliserProducts[[#Headers],[Include or Exclude]], 20)</f>
        <v/>
      </c>
      <c r="W116" s="65" t="str" cm="1">
        <f t="array" ref="W116">Common_InputFunctions.Utility_DisplayArrayInTable(Fertiliser_SourceData.Fertiliser_Products_Data2(),FertiliserProducts[[#Headers],[Include or Exclude]], 20)</f>
        <v>Rigbytaylor Microsol Range</v>
      </c>
      <c r="X116" s="65" t="str" cm="1">
        <f t="array" ref="X116">Common_InputFunctions.Utility_DisplayArrayInTable(Fertiliser_SourceData.Fertiliser_Products_Data2(),FertiliserProducts[[#Headers],[Include or Exclude]], 20)</f>
        <v/>
      </c>
      <c r="Y116" s="65" t="str" cm="1">
        <f t="array" ref="Y116">Common_InputFunctions.Utility_DisplayArrayInTable(Fertiliser_SourceData.Fertiliser_Products_Data2(),FertiliserProducts[[#Headers],[Include or Exclude]], 20)</f>
        <v/>
      </c>
      <c r="Z116" s="65"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4:31" ht="20.100000000000001" customHeight="1" x14ac:dyDescent="0.25">
      <c r="D117" s="65" t="str" cm="1">
        <f t="array" ref="D117">Common_InputFunctions.Utility_DisplayArrayInTable(Fertiliser_SourceData.Fertiliser_Products_Data2(),FertiliserProducts[[#Headers],[Include or Exclude]], 20)</f>
        <v>Microsol 25-5-10</v>
      </c>
      <c r="E117" s="65" t="str" cm="1">
        <f t="array" ref="E117">Common_InputFunctions.Utility_DisplayArrayInTable(Fertiliser_SourceData.Fertiliser_Products_Data2(),FertiliserProducts[[#Headers],[Include or Exclude]], 20)</f>
        <v/>
      </c>
      <c r="F117" s="65" t="str" cm="1">
        <f t="array" ref="F117">Common_InputFunctions.Utility_DisplayArrayInTable(Fertiliser_SourceData.Fertiliser_Products_Data2(),FertiliserProducts[[#Headers],[Include or Exclude]], 20)</f>
        <v/>
      </c>
      <c r="G117" s="65" t="str" cm="1">
        <f t="array" ref="G117">Common_InputFunctions.Utility_DisplayArrayInTable(Fertiliser_SourceData.Fertiliser_Products_Data2(),FertiliserProducts[[#Headers],[Include or Exclude]], 20)</f>
        <v/>
      </c>
      <c r="H117" s="65" t="str" cm="1">
        <f t="array" ref="H117">Common_InputFunctions.Utility_DisplayArrayInTable(Fertiliser_SourceData.Fertiliser_Products_Data2(),FertiliserProducts[[#Headers],[Include or Exclude]], 20)</f>
        <v/>
      </c>
      <c r="I117" s="65" t="str" cm="1">
        <f t="array" ref="I117">Common_InputFunctions.Utility_DisplayArrayInTable(Fertiliser_SourceData.Fertiliser_Products_Data2(),FertiliserProducts[[#Headers],[Include or Exclude]], 20)</f>
        <v/>
      </c>
      <c r="J117" s="65" t="str" cm="1">
        <f t="array" ref="J117">Common_InputFunctions.Utility_DisplayArrayInTable(Fertiliser_SourceData.Fertiliser_Products_Data2(),FertiliserProducts[[#Headers],[Include or Exclude]], 20)</f>
        <v/>
      </c>
      <c r="K117" s="65" t="str" cm="1">
        <f t="array" ref="K117">Common_InputFunctions.Utility_DisplayArrayInTable(Fertiliser_SourceData.Fertiliser_Products_Data2(),FertiliserProducts[[#Headers],[Include or Exclude]], 20)</f>
        <v/>
      </c>
      <c r="L117" s="65" t="str" cm="1">
        <f t="array" ref="L117">Common_InputFunctions.Utility_DisplayArrayInTable(Fertiliser_SourceData.Fertiliser_Products_Data2(),FertiliserProducts[[#Headers],[Include or Exclude]], 20)</f>
        <v/>
      </c>
      <c r="M117" s="65" t="str" cm="1">
        <f t="array" ref="M117">Common_InputFunctions.Utility_DisplayArrayInTable(Fertiliser_SourceData.Fertiliser_Products_Data2(),FertiliserProducts[[#Headers],[Include or Exclude]], 20)</f>
        <v/>
      </c>
      <c r="N117" s="65" t="str" cm="1">
        <f t="array" ref="N117">Common_InputFunctions.Utility_DisplayArrayInTable(Fertiliser_SourceData.Fertiliser_Products_Data2(),FertiliserProducts[[#Headers],[Include or Exclude]], 20)</f>
        <v/>
      </c>
      <c r="O117" s="65" t="str" cm="1">
        <f t="array" ref="O117">Common_InputFunctions.Utility_DisplayArrayInTable(Fertiliser_SourceData.Fertiliser_Products_Data2(),FertiliserProducts[[#Headers],[Include or Exclude]], 20)</f>
        <v/>
      </c>
      <c r="P117" s="65" t="str" cm="1">
        <f t="array" ref="P117">Common_InputFunctions.Utility_DisplayArrayInTable(Fertiliser_SourceData.Fertiliser_Products_Data2(),FertiliserProducts[[#Headers],[Include or Exclude]], 20)</f>
        <v/>
      </c>
      <c r="Q117" s="65" t="str" cm="1">
        <f t="array" ref="Q117">Common_InputFunctions.Utility_DisplayArrayInTable(Fertiliser_SourceData.Fertiliser_Products_Data2(),FertiliserProducts[[#Headers],[Include or Exclude]], 20)</f>
        <v/>
      </c>
      <c r="R117" s="65" t="str" cm="1">
        <f t="array" ref="R117">Common_InputFunctions.Utility_DisplayArrayInTable(Fertiliser_SourceData.Fertiliser_Products_Data2(),FertiliserProducts[[#Headers],[Include or Exclude]], 20)</f>
        <v/>
      </c>
      <c r="S117" s="65" t="str" cm="1">
        <f t="array" ref="S117">Common_InputFunctions.Utility_DisplayArrayInTable(Fertiliser_SourceData.Fertiliser_Products_Data2(),FertiliserProducts[[#Headers],[Include or Exclude]], 20)</f>
        <v/>
      </c>
      <c r="T117" s="65" t="str" cm="1">
        <f t="array" ref="T117">Common_InputFunctions.Utility_DisplayArrayInTable(Fertiliser_SourceData.Fertiliser_Products_Data2(),FertiliserProducts[[#Headers],[Include or Exclude]], 20)</f>
        <v/>
      </c>
      <c r="U117" s="65" t="str" cm="1">
        <f t="array" ref="U117">Common_InputFunctions.Utility_DisplayArrayInTable(Fertiliser_SourceData.Fertiliser_Products_Data2(),FertiliserProducts[[#Headers],[Include or Exclude]], 20)</f>
        <v/>
      </c>
      <c r="V117" s="65" t="str" cm="1">
        <f t="array" ref="V117">Common_InputFunctions.Utility_DisplayArrayInTable(Fertiliser_SourceData.Fertiliser_Products_Data2(),FertiliserProducts[[#Headers],[Include or Exclude]], 20)</f>
        <v/>
      </c>
      <c r="W117" s="65" t="str" cm="1">
        <f t="array" ref="W117">Common_InputFunctions.Utility_DisplayArrayInTable(Fertiliser_SourceData.Fertiliser_Products_Data2(),FertiliserProducts[[#Headers],[Include or Exclude]], 20)</f>
        <v>Rigbytaylor Microsol Range</v>
      </c>
      <c r="X117" s="65" t="str" cm="1">
        <f t="array" ref="X117">Common_InputFunctions.Utility_DisplayArrayInTable(Fertiliser_SourceData.Fertiliser_Products_Data2(),FertiliserProducts[[#Headers],[Include or Exclude]], 20)</f>
        <v/>
      </c>
      <c r="Y117" s="65" t="str" cm="1">
        <f t="array" ref="Y117">Common_InputFunctions.Utility_DisplayArrayInTable(Fertiliser_SourceData.Fertiliser_Products_Data2(),FertiliserProducts[[#Headers],[Include or Exclude]], 20)</f>
        <v/>
      </c>
      <c r="Z117" s="65"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4:31" ht="20.100000000000001" customHeight="1" x14ac:dyDescent="0.25">
      <c r="D118" s="65" t="str" cm="1">
        <f t="array" ref="D118">Common_InputFunctions.Utility_DisplayArrayInTable(Fertiliser_SourceData.Fertiliser_Products_Data2(),FertiliserProducts[[#Headers],[Include or Exclude]], 20)</f>
        <v>Microsol 28-0-14</v>
      </c>
      <c r="E118" s="65" t="str" cm="1">
        <f t="array" ref="E118">Common_InputFunctions.Utility_DisplayArrayInTable(Fertiliser_SourceData.Fertiliser_Products_Data2(),FertiliserProducts[[#Headers],[Include or Exclude]], 20)</f>
        <v/>
      </c>
      <c r="F118" s="65" t="str" cm="1">
        <f t="array" ref="F118">Common_InputFunctions.Utility_DisplayArrayInTable(Fertiliser_SourceData.Fertiliser_Products_Data2(),FertiliserProducts[[#Headers],[Include or Exclude]], 20)</f>
        <v/>
      </c>
      <c r="G118" s="65" t="str" cm="1">
        <f t="array" ref="G118">Common_InputFunctions.Utility_DisplayArrayInTable(Fertiliser_SourceData.Fertiliser_Products_Data2(),FertiliserProducts[[#Headers],[Include or Exclude]], 20)</f>
        <v/>
      </c>
      <c r="H118" s="65" t="str" cm="1">
        <f t="array" ref="H118">Common_InputFunctions.Utility_DisplayArrayInTable(Fertiliser_SourceData.Fertiliser_Products_Data2(),FertiliserProducts[[#Headers],[Include or Exclude]], 20)</f>
        <v/>
      </c>
      <c r="I118" s="65" t="str" cm="1">
        <f t="array" ref="I118">Common_InputFunctions.Utility_DisplayArrayInTable(Fertiliser_SourceData.Fertiliser_Products_Data2(),FertiliserProducts[[#Headers],[Include or Exclude]], 20)</f>
        <v/>
      </c>
      <c r="J118" s="65" t="str" cm="1">
        <f t="array" ref="J118">Common_InputFunctions.Utility_DisplayArrayInTable(Fertiliser_SourceData.Fertiliser_Products_Data2(),FertiliserProducts[[#Headers],[Include or Exclude]], 20)</f>
        <v/>
      </c>
      <c r="K118" s="65" t="str" cm="1">
        <f t="array" ref="K118">Common_InputFunctions.Utility_DisplayArrayInTable(Fertiliser_SourceData.Fertiliser_Products_Data2(),FertiliserProducts[[#Headers],[Include or Exclude]], 20)</f>
        <v/>
      </c>
      <c r="L118" s="65" t="str" cm="1">
        <f t="array" ref="L118">Common_InputFunctions.Utility_DisplayArrayInTable(Fertiliser_SourceData.Fertiliser_Products_Data2(),FertiliserProducts[[#Headers],[Include or Exclude]], 20)</f>
        <v/>
      </c>
      <c r="M118" s="65" t="str" cm="1">
        <f t="array" ref="M118">Common_InputFunctions.Utility_DisplayArrayInTable(Fertiliser_SourceData.Fertiliser_Products_Data2(),FertiliserProducts[[#Headers],[Include or Exclude]], 20)</f>
        <v/>
      </c>
      <c r="N118" s="65" t="str" cm="1">
        <f t="array" ref="N118">Common_InputFunctions.Utility_DisplayArrayInTable(Fertiliser_SourceData.Fertiliser_Products_Data2(),FertiliserProducts[[#Headers],[Include or Exclude]], 20)</f>
        <v/>
      </c>
      <c r="O118" s="65" t="str" cm="1">
        <f t="array" ref="O118">Common_InputFunctions.Utility_DisplayArrayInTable(Fertiliser_SourceData.Fertiliser_Products_Data2(),FertiliserProducts[[#Headers],[Include or Exclude]], 20)</f>
        <v/>
      </c>
      <c r="P118" s="65" t="str" cm="1">
        <f t="array" ref="P118">Common_InputFunctions.Utility_DisplayArrayInTable(Fertiliser_SourceData.Fertiliser_Products_Data2(),FertiliserProducts[[#Headers],[Include or Exclude]], 20)</f>
        <v/>
      </c>
      <c r="Q118" s="65" t="str" cm="1">
        <f t="array" ref="Q118">Common_InputFunctions.Utility_DisplayArrayInTable(Fertiliser_SourceData.Fertiliser_Products_Data2(),FertiliserProducts[[#Headers],[Include or Exclude]], 20)</f>
        <v/>
      </c>
      <c r="R118" s="65" t="str" cm="1">
        <f t="array" ref="R118">Common_InputFunctions.Utility_DisplayArrayInTable(Fertiliser_SourceData.Fertiliser_Products_Data2(),FertiliserProducts[[#Headers],[Include or Exclude]], 20)</f>
        <v/>
      </c>
      <c r="S118" s="65" t="str" cm="1">
        <f t="array" ref="S118">Common_InputFunctions.Utility_DisplayArrayInTable(Fertiliser_SourceData.Fertiliser_Products_Data2(),FertiliserProducts[[#Headers],[Include or Exclude]], 20)</f>
        <v/>
      </c>
      <c r="T118" s="65" t="str" cm="1">
        <f t="array" ref="T118">Common_InputFunctions.Utility_DisplayArrayInTable(Fertiliser_SourceData.Fertiliser_Products_Data2(),FertiliserProducts[[#Headers],[Include or Exclude]], 20)</f>
        <v/>
      </c>
      <c r="U118" s="65" t="str" cm="1">
        <f t="array" ref="U118">Common_InputFunctions.Utility_DisplayArrayInTable(Fertiliser_SourceData.Fertiliser_Products_Data2(),FertiliserProducts[[#Headers],[Include or Exclude]], 20)</f>
        <v/>
      </c>
      <c r="V118" s="65" t="str" cm="1">
        <f t="array" ref="V118">Common_InputFunctions.Utility_DisplayArrayInTable(Fertiliser_SourceData.Fertiliser_Products_Data2(),FertiliserProducts[[#Headers],[Include or Exclude]], 20)</f>
        <v/>
      </c>
      <c r="W118" s="65" t="str" cm="1">
        <f t="array" ref="W118">Common_InputFunctions.Utility_DisplayArrayInTable(Fertiliser_SourceData.Fertiliser_Products_Data2(),FertiliserProducts[[#Headers],[Include or Exclude]], 20)</f>
        <v>Rigbytaylor Microsol Range</v>
      </c>
      <c r="X118" s="65" t="str" cm="1">
        <f t="array" ref="X118">Common_InputFunctions.Utility_DisplayArrayInTable(Fertiliser_SourceData.Fertiliser_Products_Data2(),FertiliserProducts[[#Headers],[Include or Exclude]], 20)</f>
        <v/>
      </c>
      <c r="Y118" s="65" t="str" cm="1">
        <f t="array" ref="Y118">Common_InputFunctions.Utility_DisplayArrayInTable(Fertiliser_SourceData.Fertiliser_Products_Data2(),FertiliserProducts[[#Headers],[Include or Exclude]], 20)</f>
        <v/>
      </c>
      <c r="Z118" s="65"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4:31" ht="20.100000000000001" customHeight="1" x14ac:dyDescent="0.25">
      <c r="D119" s="65" t="str" cm="1">
        <f t="array" ref="D119">Common_InputFunctions.Utility_DisplayArrayInTable(Fertiliser_SourceData.Fertiliser_Products_Data2(),FertiliserProducts[[#Headers],[Include or Exclude]], 20)</f>
        <v>Mono Potassium Phosphate MKP</v>
      </c>
      <c r="E119" s="65" t="str" cm="1">
        <f t="array" ref="E119">Common_InputFunctions.Utility_DisplayArrayInTable(Fertiliser_SourceData.Fertiliser_Products_Data2(),FertiliserProducts[[#Headers],[Include or Exclude]], 20)</f>
        <v/>
      </c>
      <c r="F119" s="65" t="str" cm="1">
        <f t="array" ref="F119">Common_InputFunctions.Utility_DisplayArrayInTable(Fertiliser_SourceData.Fertiliser_Products_Data2(),FertiliserProducts[[#Headers],[Include or Exclude]], 20)</f>
        <v/>
      </c>
      <c r="G119" s="65" t="str" cm="1">
        <f t="array" ref="G119">Common_InputFunctions.Utility_DisplayArrayInTable(Fertiliser_SourceData.Fertiliser_Products_Data2(),FertiliserProducts[[#Headers],[Include or Exclude]], 20)</f>
        <v/>
      </c>
      <c r="H119" s="65" t="str" cm="1">
        <f t="array" ref="H119">Common_InputFunctions.Utility_DisplayArrayInTable(Fertiliser_SourceData.Fertiliser_Products_Data2(),FertiliserProducts[[#Headers],[Include or Exclude]], 20)</f>
        <v/>
      </c>
      <c r="I119" s="65" t="str" cm="1">
        <f t="array" ref="I119">Common_InputFunctions.Utility_DisplayArrayInTable(Fertiliser_SourceData.Fertiliser_Products_Data2(),FertiliserProducts[[#Headers],[Include or Exclude]], 20)</f>
        <v/>
      </c>
      <c r="J119" s="65" t="str" cm="1">
        <f t="array" ref="J119">Common_InputFunctions.Utility_DisplayArrayInTable(Fertiliser_SourceData.Fertiliser_Products_Data2(),FertiliserProducts[[#Headers],[Include or Exclude]], 20)</f>
        <v/>
      </c>
      <c r="K119" s="65" t="str" cm="1">
        <f t="array" ref="K119">Common_InputFunctions.Utility_DisplayArrayInTable(Fertiliser_SourceData.Fertiliser_Products_Data2(),FertiliserProducts[[#Headers],[Include or Exclude]], 20)</f>
        <v/>
      </c>
      <c r="L119" s="65" t="str" cm="1">
        <f t="array" ref="L119">Common_InputFunctions.Utility_DisplayArrayInTable(Fertiliser_SourceData.Fertiliser_Products_Data2(),FertiliserProducts[[#Headers],[Include or Exclude]], 20)</f>
        <v/>
      </c>
      <c r="M119" s="65" t="str" cm="1">
        <f t="array" ref="M119">Common_InputFunctions.Utility_DisplayArrayInTable(Fertiliser_SourceData.Fertiliser_Products_Data2(),FertiliserProducts[[#Headers],[Include or Exclude]], 20)</f>
        <v/>
      </c>
      <c r="N119" s="65" t="str" cm="1">
        <f t="array" ref="N119">Common_InputFunctions.Utility_DisplayArrayInTable(Fertiliser_SourceData.Fertiliser_Products_Data2(),FertiliserProducts[[#Headers],[Include or Exclude]], 20)</f>
        <v/>
      </c>
      <c r="O119" s="65" t="str" cm="1">
        <f t="array" ref="O119">Common_InputFunctions.Utility_DisplayArrayInTable(Fertiliser_SourceData.Fertiliser_Products_Data2(),FertiliserProducts[[#Headers],[Include or Exclude]], 20)</f>
        <v/>
      </c>
      <c r="P119" s="65" t="str" cm="1">
        <f t="array" ref="P119">Common_InputFunctions.Utility_DisplayArrayInTable(Fertiliser_SourceData.Fertiliser_Products_Data2(),FertiliserProducts[[#Headers],[Include or Exclude]], 20)</f>
        <v/>
      </c>
      <c r="Q119" s="65" t="str" cm="1">
        <f t="array" ref="Q119">Common_InputFunctions.Utility_DisplayArrayInTable(Fertiliser_SourceData.Fertiliser_Products_Data2(),FertiliserProducts[[#Headers],[Include or Exclude]], 20)</f>
        <v/>
      </c>
      <c r="R119" s="65" t="str" cm="1">
        <f t="array" ref="R119">Common_InputFunctions.Utility_DisplayArrayInTable(Fertiliser_SourceData.Fertiliser_Products_Data2(),FertiliserProducts[[#Headers],[Include or Exclude]], 20)</f>
        <v/>
      </c>
      <c r="S119" s="65" t="str" cm="1">
        <f t="array" ref="S119">Common_InputFunctions.Utility_DisplayArrayInTable(Fertiliser_SourceData.Fertiliser_Products_Data2(),FertiliserProducts[[#Headers],[Include or Exclude]], 20)</f>
        <v/>
      </c>
      <c r="T119" s="65" t="str" cm="1">
        <f t="array" ref="T119">Common_InputFunctions.Utility_DisplayArrayInTable(Fertiliser_SourceData.Fertiliser_Products_Data2(),FertiliserProducts[[#Headers],[Include or Exclude]], 20)</f>
        <v/>
      </c>
      <c r="U119" s="65" t="str" cm="1">
        <f t="array" ref="U119">Common_InputFunctions.Utility_DisplayArrayInTable(Fertiliser_SourceData.Fertiliser_Products_Data2(),FertiliserProducts[[#Headers],[Include or Exclude]], 20)</f>
        <v/>
      </c>
      <c r="V119" s="65" t="str" cm="1">
        <f t="array" ref="V119">Common_InputFunctions.Utility_DisplayArrayInTable(Fertiliser_SourceData.Fertiliser_Products_Data2(),FertiliserProducts[[#Headers],[Include or Exclude]], 20)</f>
        <v/>
      </c>
      <c r="W119" s="65" t="str" cm="1">
        <f t="array" ref="W119">Common_InputFunctions.Utility_DisplayArrayInTable(Fertiliser_SourceData.Fertiliser_Products_Data2(),FertiliserProducts[[#Headers],[Include or Exclude]], 20)</f>
        <v>Swancrop</v>
      </c>
      <c r="X119" s="65" t="str" cm="1">
        <f t="array" ref="X119">Common_InputFunctions.Utility_DisplayArrayInTable(Fertiliser_SourceData.Fertiliser_Products_Data2(),FertiliserProducts[[#Headers],[Include or Exclude]], 20)</f>
        <v/>
      </c>
      <c r="Y119" s="65" t="str" cm="1">
        <f t="array" ref="Y119">Common_InputFunctions.Utility_DisplayArrayInTable(Fertiliser_SourceData.Fertiliser_Products_Data2(),FertiliserProducts[[#Headers],[Include or Exclude]], 20)</f>
        <v/>
      </c>
      <c r="Z119" s="65"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4:31" ht="20.100000000000001" customHeight="1" x14ac:dyDescent="0.25">
      <c r="D120" s="65" t="str" cm="1">
        <f t="array" ref="D120">Common_InputFunctions.Utility_DisplayArrayInTable(Fertiliser_SourceData.Fertiliser_Products_Data2(),FertiliserProducts[[#Headers],[Include or Exclude]], 20)</f>
        <v>Muriate Of Potash MOP</v>
      </c>
      <c r="E120" s="65" t="str" cm="1">
        <f t="array" ref="E120">Common_InputFunctions.Utility_DisplayArrayInTable(Fertiliser_SourceData.Fertiliser_Products_Data2(),FertiliserProducts[[#Headers],[Include or Exclude]], 20)</f>
        <v/>
      </c>
      <c r="F120" s="65" t="str" cm="1">
        <f t="array" ref="F120">Common_InputFunctions.Utility_DisplayArrayInTable(Fertiliser_SourceData.Fertiliser_Products_Data2(),FertiliserProducts[[#Headers],[Include or Exclude]], 20)</f>
        <v/>
      </c>
      <c r="G120" s="65" t="str" cm="1">
        <f t="array" ref="G120">Common_InputFunctions.Utility_DisplayArrayInTable(Fertiliser_SourceData.Fertiliser_Products_Data2(),FertiliserProducts[[#Headers],[Include or Exclude]], 20)</f>
        <v/>
      </c>
      <c r="H120" s="65" t="str" cm="1">
        <f t="array" ref="H120">Common_InputFunctions.Utility_DisplayArrayInTable(Fertiliser_SourceData.Fertiliser_Products_Data2(),FertiliserProducts[[#Headers],[Include or Exclude]], 20)</f>
        <v/>
      </c>
      <c r="I120" s="65" t="str" cm="1">
        <f t="array" ref="I120">Common_InputFunctions.Utility_DisplayArrayInTable(Fertiliser_SourceData.Fertiliser_Products_Data2(),FertiliserProducts[[#Headers],[Include or Exclude]], 20)</f>
        <v/>
      </c>
      <c r="J120" s="65" t="str" cm="1">
        <f t="array" ref="J120">Common_InputFunctions.Utility_DisplayArrayInTable(Fertiliser_SourceData.Fertiliser_Products_Data2(),FertiliserProducts[[#Headers],[Include or Exclude]], 20)</f>
        <v/>
      </c>
      <c r="K120" s="65" t="str" cm="1">
        <f t="array" ref="K120">Common_InputFunctions.Utility_DisplayArrayInTable(Fertiliser_SourceData.Fertiliser_Products_Data2(),FertiliserProducts[[#Headers],[Include or Exclude]], 20)</f>
        <v/>
      </c>
      <c r="L120" s="65" t="str" cm="1">
        <f t="array" ref="L120">Common_InputFunctions.Utility_DisplayArrayInTable(Fertiliser_SourceData.Fertiliser_Products_Data2(),FertiliserProducts[[#Headers],[Include or Exclude]], 20)</f>
        <v/>
      </c>
      <c r="M120" s="65" t="str" cm="1">
        <f t="array" ref="M120">Common_InputFunctions.Utility_DisplayArrayInTable(Fertiliser_SourceData.Fertiliser_Products_Data2(),FertiliserProducts[[#Headers],[Include or Exclude]], 20)</f>
        <v/>
      </c>
      <c r="N120" s="65" t="str" cm="1">
        <f t="array" ref="N120">Common_InputFunctions.Utility_DisplayArrayInTable(Fertiliser_SourceData.Fertiliser_Products_Data2(),FertiliserProducts[[#Headers],[Include or Exclude]], 20)</f>
        <v/>
      </c>
      <c r="O120" s="65" t="str" cm="1">
        <f t="array" ref="O120">Common_InputFunctions.Utility_DisplayArrayInTable(Fertiliser_SourceData.Fertiliser_Products_Data2(),FertiliserProducts[[#Headers],[Include or Exclude]], 20)</f>
        <v/>
      </c>
      <c r="P120" s="65" t="str" cm="1">
        <f t="array" ref="P120">Common_InputFunctions.Utility_DisplayArrayInTable(Fertiliser_SourceData.Fertiliser_Products_Data2(),FertiliserProducts[[#Headers],[Include or Exclude]], 20)</f>
        <v/>
      </c>
      <c r="Q120" s="65" t="str" cm="1">
        <f t="array" ref="Q120">Common_InputFunctions.Utility_DisplayArrayInTable(Fertiliser_SourceData.Fertiliser_Products_Data2(),FertiliserProducts[[#Headers],[Include or Exclude]], 20)</f>
        <v/>
      </c>
      <c r="R120" s="65" t="str" cm="1">
        <f t="array" ref="R120">Common_InputFunctions.Utility_DisplayArrayInTable(Fertiliser_SourceData.Fertiliser_Products_Data2(),FertiliserProducts[[#Headers],[Include or Exclude]], 20)</f>
        <v/>
      </c>
      <c r="S120" s="65" t="str" cm="1">
        <f t="array" ref="S120">Common_InputFunctions.Utility_DisplayArrayInTable(Fertiliser_SourceData.Fertiliser_Products_Data2(),FertiliserProducts[[#Headers],[Include or Exclude]], 20)</f>
        <v/>
      </c>
      <c r="T120" s="65" t="str" cm="1">
        <f t="array" ref="T120">Common_InputFunctions.Utility_DisplayArrayInTable(Fertiliser_SourceData.Fertiliser_Products_Data2(),FertiliserProducts[[#Headers],[Include or Exclude]], 20)</f>
        <v/>
      </c>
      <c r="U120" s="65" t="str" cm="1">
        <f t="array" ref="U120">Common_InputFunctions.Utility_DisplayArrayInTable(Fertiliser_SourceData.Fertiliser_Products_Data2(),FertiliserProducts[[#Headers],[Include or Exclude]], 20)</f>
        <v/>
      </c>
      <c r="V120" s="65" t="str" cm="1">
        <f t="array" ref="V120">Common_InputFunctions.Utility_DisplayArrayInTable(Fertiliser_SourceData.Fertiliser_Products_Data2(),FertiliserProducts[[#Headers],[Include or Exclude]], 20)</f>
        <v/>
      </c>
      <c r="W120" s="65" t="str" cm="1">
        <f t="array" ref="W120">Common_InputFunctions.Utility_DisplayArrayInTable(Fertiliser_SourceData.Fertiliser_Products_Data2(),FertiliserProducts[[#Headers],[Include or Exclude]], 20)</f>
        <v>MountCompass Fertilisers Blends</v>
      </c>
      <c r="X120" s="65" t="str" cm="1">
        <f t="array" ref="X120">Common_InputFunctions.Utility_DisplayArrayInTable(Fertiliser_SourceData.Fertiliser_Products_Data2(),FertiliserProducts[[#Headers],[Include or Exclude]], 20)</f>
        <v/>
      </c>
      <c r="Y120" s="65" t="str" cm="1">
        <f t="array" ref="Y120">Common_InputFunctions.Utility_DisplayArrayInTable(Fertiliser_SourceData.Fertiliser_Products_Data2(),FertiliserProducts[[#Headers],[Include or Exclude]], 20)</f>
        <v/>
      </c>
      <c r="Z120" s="65"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4:31" ht="20.100000000000001" customHeight="1" x14ac:dyDescent="0.25">
      <c r="D121" s="65" t="str" cm="1">
        <f t="array" ref="D121">Common_InputFunctions.Utility_DisplayArrayInTable(Fertiliser_SourceData.Fertiliser_Products_Data2(),FertiliserProducts[[#Headers],[Include or Exclude]], 20)</f>
        <v>NitroPlus</v>
      </c>
      <c r="E121" s="65" t="str" cm="1">
        <f t="array" ref="E121">Common_InputFunctions.Utility_DisplayArrayInTable(Fertiliser_SourceData.Fertiliser_Products_Data2(),FertiliserProducts[[#Headers],[Include or Exclude]], 20)</f>
        <v/>
      </c>
      <c r="F121" s="65" t="str" cm="1">
        <f t="array" ref="F121">Common_InputFunctions.Utility_DisplayArrayInTable(Fertiliser_SourceData.Fertiliser_Products_Data2(),FertiliserProducts[[#Headers],[Include or Exclude]], 20)</f>
        <v/>
      </c>
      <c r="G121" s="65" t="str" cm="1">
        <f t="array" ref="G121">Common_InputFunctions.Utility_DisplayArrayInTable(Fertiliser_SourceData.Fertiliser_Products_Data2(),FertiliserProducts[[#Headers],[Include or Exclude]], 20)</f>
        <v/>
      </c>
      <c r="H121" s="65" t="str" cm="1">
        <f t="array" ref="H121">Common_InputFunctions.Utility_DisplayArrayInTable(Fertiliser_SourceData.Fertiliser_Products_Data2(),FertiliserProducts[[#Headers],[Include or Exclude]], 20)</f>
        <v/>
      </c>
      <c r="I121" s="65" t="str" cm="1">
        <f t="array" ref="I121">Common_InputFunctions.Utility_DisplayArrayInTable(Fertiliser_SourceData.Fertiliser_Products_Data2(),FertiliserProducts[[#Headers],[Include or Exclude]], 20)</f>
        <v/>
      </c>
      <c r="J121" s="65" t="str" cm="1">
        <f t="array" ref="J121">Common_InputFunctions.Utility_DisplayArrayInTable(Fertiliser_SourceData.Fertiliser_Products_Data2(),FertiliserProducts[[#Headers],[Include or Exclude]], 20)</f>
        <v/>
      </c>
      <c r="K121" s="65" t="str" cm="1">
        <f t="array" ref="K121">Common_InputFunctions.Utility_DisplayArrayInTable(Fertiliser_SourceData.Fertiliser_Products_Data2(),FertiliserProducts[[#Headers],[Include or Exclude]], 20)</f>
        <v/>
      </c>
      <c r="L121" s="65" t="str" cm="1">
        <f t="array" ref="L121">Common_InputFunctions.Utility_DisplayArrayInTable(Fertiliser_SourceData.Fertiliser_Products_Data2(),FertiliserProducts[[#Headers],[Include or Exclude]], 20)</f>
        <v/>
      </c>
      <c r="M121" s="65" t="str" cm="1">
        <f t="array" ref="M121">Common_InputFunctions.Utility_DisplayArrayInTable(Fertiliser_SourceData.Fertiliser_Products_Data2(),FertiliserProducts[[#Headers],[Include or Exclude]], 20)</f>
        <v/>
      </c>
      <c r="N121" s="65" t="str" cm="1">
        <f t="array" ref="N121">Common_InputFunctions.Utility_DisplayArrayInTable(Fertiliser_SourceData.Fertiliser_Products_Data2(),FertiliserProducts[[#Headers],[Include or Exclude]], 20)</f>
        <v/>
      </c>
      <c r="O121" s="65" t="str" cm="1">
        <f t="array" ref="O121">Common_InputFunctions.Utility_DisplayArrayInTable(Fertiliser_SourceData.Fertiliser_Products_Data2(),FertiliserProducts[[#Headers],[Include or Exclude]], 20)</f>
        <v/>
      </c>
      <c r="P121" s="65" t="str" cm="1">
        <f t="array" ref="P121">Common_InputFunctions.Utility_DisplayArrayInTable(Fertiliser_SourceData.Fertiliser_Products_Data2(),FertiliserProducts[[#Headers],[Include or Exclude]], 20)</f>
        <v/>
      </c>
      <c r="Q121" s="65" t="str" cm="1">
        <f t="array" ref="Q121">Common_InputFunctions.Utility_DisplayArrayInTable(Fertiliser_SourceData.Fertiliser_Products_Data2(),FertiliserProducts[[#Headers],[Include or Exclude]], 20)</f>
        <v/>
      </c>
      <c r="R121" s="65" t="str" cm="1">
        <f t="array" ref="R121">Common_InputFunctions.Utility_DisplayArrayInTable(Fertiliser_SourceData.Fertiliser_Products_Data2(),FertiliserProducts[[#Headers],[Include or Exclude]], 20)</f>
        <v/>
      </c>
      <c r="S121" s="65" t="str" cm="1">
        <f t="array" ref="S121">Common_InputFunctions.Utility_DisplayArrayInTable(Fertiliser_SourceData.Fertiliser_Products_Data2(),FertiliserProducts[[#Headers],[Include or Exclude]], 20)</f>
        <v/>
      </c>
      <c r="T121" s="65" t="str" cm="1">
        <f t="array" ref="T121">Common_InputFunctions.Utility_DisplayArrayInTable(Fertiliser_SourceData.Fertiliser_Products_Data2(),FertiliserProducts[[#Headers],[Include or Exclude]], 20)</f>
        <v/>
      </c>
      <c r="U121" s="65" t="str" cm="1">
        <f t="array" ref="U121">Common_InputFunctions.Utility_DisplayArrayInTable(Fertiliser_SourceData.Fertiliser_Products_Data2(),FertiliserProducts[[#Headers],[Include or Exclude]], 20)</f>
        <v/>
      </c>
      <c r="V121" s="65" t="str" cm="1">
        <f t="array" ref="V121">Common_InputFunctions.Utility_DisplayArrayInTable(Fertiliser_SourceData.Fertiliser_Products_Data2(),FertiliserProducts[[#Headers],[Include or Exclude]], 20)</f>
        <v/>
      </c>
      <c r="W121" s="65" t="str" cm="1">
        <f t="array" ref="W121">Common_InputFunctions.Utility_DisplayArrayInTable(Fertiliser_SourceData.Fertiliser_Products_Data2(),FertiliserProducts[[#Headers],[Include or Exclude]], 20)</f>
        <v>AgroStock Group Nitro Plus</v>
      </c>
      <c r="X121" s="65" t="str" cm="1">
        <f t="array" ref="X121">Common_InputFunctions.Utility_DisplayArrayInTable(Fertiliser_SourceData.Fertiliser_Products_Data2(),FertiliserProducts[[#Headers],[Include or Exclude]], 20)</f>
        <v/>
      </c>
      <c r="Y121" s="65" t="str" cm="1">
        <f t="array" ref="Y121">Common_InputFunctions.Utility_DisplayArrayInTable(Fertiliser_SourceData.Fertiliser_Products_Data2(),FertiliserProducts[[#Headers],[Include or Exclude]], 20)</f>
        <v/>
      </c>
      <c r="Z121" s="65"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4:31" ht="20.100000000000001" customHeight="1" x14ac:dyDescent="0.25">
      <c r="D122" s="65" t="str" cm="1">
        <f t="array" ref="D122">Common_InputFunctions.Utility_DisplayArrayInTable(Fertiliser_SourceData.Fertiliser_Products_Data2(),FertiliserProducts[[#Headers],[Include or Exclude]], 20)</f>
        <v>NutraGold</v>
      </c>
      <c r="E122" s="65" t="str" cm="1">
        <f t="array" ref="E122">Common_InputFunctions.Utility_DisplayArrayInTable(Fertiliser_SourceData.Fertiliser_Products_Data2(),FertiliserProducts[[#Headers],[Include or Exclude]], 20)</f>
        <v/>
      </c>
      <c r="F122" s="65" t="str" cm="1">
        <f t="array" ref="F122">Common_InputFunctions.Utility_DisplayArrayInTable(Fertiliser_SourceData.Fertiliser_Products_Data2(),FertiliserProducts[[#Headers],[Include or Exclude]], 20)</f>
        <v/>
      </c>
      <c r="G122" s="65" t="str" cm="1">
        <f t="array" ref="G122">Common_InputFunctions.Utility_DisplayArrayInTable(Fertiliser_SourceData.Fertiliser_Products_Data2(),FertiliserProducts[[#Headers],[Include or Exclude]], 20)</f>
        <v/>
      </c>
      <c r="H122" s="65" t="str" cm="1">
        <f t="array" ref="H122">Common_InputFunctions.Utility_DisplayArrayInTable(Fertiliser_SourceData.Fertiliser_Products_Data2(),FertiliserProducts[[#Headers],[Include or Exclude]], 20)</f>
        <v/>
      </c>
      <c r="I122" s="65" t="str" cm="1">
        <f t="array" ref="I122">Common_InputFunctions.Utility_DisplayArrayInTable(Fertiliser_SourceData.Fertiliser_Products_Data2(),FertiliserProducts[[#Headers],[Include or Exclude]], 20)</f>
        <v/>
      </c>
      <c r="J122" s="65" t="str" cm="1">
        <f t="array" ref="J122">Common_InputFunctions.Utility_DisplayArrayInTable(Fertiliser_SourceData.Fertiliser_Products_Data2(),FertiliserProducts[[#Headers],[Include or Exclude]], 20)</f>
        <v/>
      </c>
      <c r="K122" s="65" t="str" cm="1">
        <f t="array" ref="K122">Common_InputFunctions.Utility_DisplayArrayInTable(Fertiliser_SourceData.Fertiliser_Products_Data2(),FertiliserProducts[[#Headers],[Include or Exclude]], 20)</f>
        <v/>
      </c>
      <c r="L122" s="65" t="str" cm="1">
        <f t="array" ref="L122">Common_InputFunctions.Utility_DisplayArrayInTable(Fertiliser_SourceData.Fertiliser_Products_Data2(),FertiliserProducts[[#Headers],[Include or Exclude]], 20)</f>
        <v/>
      </c>
      <c r="M122" s="65" t="str" cm="1">
        <f t="array" ref="M122">Common_InputFunctions.Utility_DisplayArrayInTable(Fertiliser_SourceData.Fertiliser_Products_Data2(),FertiliserProducts[[#Headers],[Include or Exclude]], 20)</f>
        <v/>
      </c>
      <c r="N122" s="65" t="str" cm="1">
        <f t="array" ref="N122">Common_InputFunctions.Utility_DisplayArrayInTable(Fertiliser_SourceData.Fertiliser_Products_Data2(),FertiliserProducts[[#Headers],[Include or Exclude]], 20)</f>
        <v/>
      </c>
      <c r="O122" s="65" t="str" cm="1">
        <f t="array" ref="O122">Common_InputFunctions.Utility_DisplayArrayInTable(Fertiliser_SourceData.Fertiliser_Products_Data2(),FertiliserProducts[[#Headers],[Include or Exclude]], 20)</f>
        <v/>
      </c>
      <c r="P122" s="65" t="str" cm="1">
        <f t="array" ref="P122">Common_InputFunctions.Utility_DisplayArrayInTable(Fertiliser_SourceData.Fertiliser_Products_Data2(),FertiliserProducts[[#Headers],[Include or Exclude]], 20)</f>
        <v/>
      </c>
      <c r="Q122" s="65" t="str" cm="1">
        <f t="array" ref="Q122">Common_InputFunctions.Utility_DisplayArrayInTable(Fertiliser_SourceData.Fertiliser_Products_Data2(),FertiliserProducts[[#Headers],[Include or Exclude]], 20)</f>
        <v/>
      </c>
      <c r="R122" s="65" t="str" cm="1">
        <f t="array" ref="R122">Common_InputFunctions.Utility_DisplayArrayInTable(Fertiliser_SourceData.Fertiliser_Products_Data2(),FertiliserProducts[[#Headers],[Include or Exclude]], 20)</f>
        <v/>
      </c>
      <c r="S122" s="65" t="str" cm="1">
        <f t="array" ref="S122">Common_InputFunctions.Utility_DisplayArrayInTable(Fertiliser_SourceData.Fertiliser_Products_Data2(),FertiliserProducts[[#Headers],[Include or Exclude]], 20)</f>
        <v/>
      </c>
      <c r="T122" s="65" t="str" cm="1">
        <f t="array" ref="T122">Common_InputFunctions.Utility_DisplayArrayInTable(Fertiliser_SourceData.Fertiliser_Products_Data2(),FertiliserProducts[[#Headers],[Include or Exclude]], 20)</f>
        <v/>
      </c>
      <c r="U122" s="65" t="str" cm="1">
        <f t="array" ref="U122">Common_InputFunctions.Utility_DisplayArrayInTable(Fertiliser_SourceData.Fertiliser_Products_Data2(),FertiliserProducts[[#Headers],[Include or Exclude]], 20)</f>
        <v/>
      </c>
      <c r="V122" s="65" t="str" cm="1">
        <f t="array" ref="V122">Common_InputFunctions.Utility_DisplayArrayInTable(Fertiliser_SourceData.Fertiliser_Products_Data2(),FertiliserProducts[[#Headers],[Include or Exclude]], 20)</f>
        <v/>
      </c>
      <c r="W122" s="65" t="str" cm="1">
        <f t="array" ref="W122">Common_InputFunctions.Utility_DisplayArrayInTable(Fertiliser_SourceData.Fertiliser_Products_Data2(),FertiliserProducts[[#Headers],[Include or Exclude]], 20)</f>
        <v>Swancrop</v>
      </c>
      <c r="X122" s="65" t="str" cm="1">
        <f t="array" ref="X122">Common_InputFunctions.Utility_DisplayArrayInTable(Fertiliser_SourceData.Fertiliser_Products_Data2(),FertiliserProducts[[#Headers],[Include or Exclude]], 20)</f>
        <v/>
      </c>
      <c r="Y122" s="65" t="str" cm="1">
        <f t="array" ref="Y122">Common_InputFunctions.Utility_DisplayArrayInTable(Fertiliser_SourceData.Fertiliser_Products_Data2(),FertiliserProducts[[#Headers],[Include or Exclude]], 20)</f>
        <v/>
      </c>
      <c r="Z122" s="65"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4:31" ht="20.100000000000001" customHeight="1" x14ac:dyDescent="0.25">
      <c r="D123" s="65" t="str" cm="1">
        <f t="array" ref="D123">Common_InputFunctions.Utility_DisplayArrayInTable(Fertiliser_SourceData.Fertiliser_Products_Data2(),FertiliserProducts[[#Headers],[Include or Exclude]], 20)</f>
        <v>Pro Performance 18-3-6</v>
      </c>
      <c r="E123" s="65" t="str" cm="1">
        <f t="array" ref="E123">Common_InputFunctions.Utility_DisplayArrayInTable(Fertiliser_SourceData.Fertiliser_Products_Data2(),FertiliserProducts[[#Headers],[Include or Exclude]], 20)</f>
        <v/>
      </c>
      <c r="F123" s="65" t="str" cm="1">
        <f t="array" ref="F123">Common_InputFunctions.Utility_DisplayArrayInTable(Fertiliser_SourceData.Fertiliser_Products_Data2(),FertiliserProducts[[#Headers],[Include or Exclude]], 20)</f>
        <v/>
      </c>
      <c r="G123" s="65" t="str" cm="1">
        <f t="array" ref="G123">Common_InputFunctions.Utility_DisplayArrayInTable(Fertiliser_SourceData.Fertiliser_Products_Data2(),FertiliserProducts[[#Headers],[Include or Exclude]], 20)</f>
        <v/>
      </c>
      <c r="H123" s="65" t="str" cm="1">
        <f t="array" ref="H123">Common_InputFunctions.Utility_DisplayArrayInTable(Fertiliser_SourceData.Fertiliser_Products_Data2(),FertiliserProducts[[#Headers],[Include or Exclude]], 20)</f>
        <v/>
      </c>
      <c r="I123" s="65" t="str" cm="1">
        <f t="array" ref="I123">Common_InputFunctions.Utility_DisplayArrayInTable(Fertiliser_SourceData.Fertiliser_Products_Data2(),FertiliserProducts[[#Headers],[Include or Exclude]], 20)</f>
        <v/>
      </c>
      <c r="J123" s="65" t="str" cm="1">
        <f t="array" ref="J123">Common_InputFunctions.Utility_DisplayArrayInTable(Fertiliser_SourceData.Fertiliser_Products_Data2(),FertiliserProducts[[#Headers],[Include or Exclude]], 20)</f>
        <v/>
      </c>
      <c r="K123" s="65" t="str" cm="1">
        <f t="array" ref="K123">Common_InputFunctions.Utility_DisplayArrayInTable(Fertiliser_SourceData.Fertiliser_Products_Data2(),FertiliserProducts[[#Headers],[Include or Exclude]], 20)</f>
        <v/>
      </c>
      <c r="L123" s="65" t="str" cm="1">
        <f t="array" ref="L123">Common_InputFunctions.Utility_DisplayArrayInTable(Fertiliser_SourceData.Fertiliser_Products_Data2(),FertiliserProducts[[#Headers],[Include or Exclude]], 20)</f>
        <v/>
      </c>
      <c r="M123" s="65" t="str" cm="1">
        <f t="array" ref="M123">Common_InputFunctions.Utility_DisplayArrayInTable(Fertiliser_SourceData.Fertiliser_Products_Data2(),FertiliserProducts[[#Headers],[Include or Exclude]], 20)</f>
        <v/>
      </c>
      <c r="N123" s="65" t="str" cm="1">
        <f t="array" ref="N123">Common_InputFunctions.Utility_DisplayArrayInTable(Fertiliser_SourceData.Fertiliser_Products_Data2(),FertiliserProducts[[#Headers],[Include or Exclude]], 20)</f>
        <v/>
      </c>
      <c r="O123" s="65" t="str" cm="1">
        <f t="array" ref="O123">Common_InputFunctions.Utility_DisplayArrayInTable(Fertiliser_SourceData.Fertiliser_Products_Data2(),FertiliserProducts[[#Headers],[Include or Exclude]], 20)</f>
        <v/>
      </c>
      <c r="P123" s="65" t="str" cm="1">
        <f t="array" ref="P123">Common_InputFunctions.Utility_DisplayArrayInTable(Fertiliser_SourceData.Fertiliser_Products_Data2(),FertiliserProducts[[#Headers],[Include or Exclude]], 20)</f>
        <v/>
      </c>
      <c r="Q123" s="65" t="str" cm="1">
        <f t="array" ref="Q123">Common_InputFunctions.Utility_DisplayArrayInTable(Fertiliser_SourceData.Fertiliser_Products_Data2(),FertiliserProducts[[#Headers],[Include or Exclude]], 20)</f>
        <v/>
      </c>
      <c r="R123" s="65" t="str" cm="1">
        <f t="array" ref="R123">Common_InputFunctions.Utility_DisplayArrayInTable(Fertiliser_SourceData.Fertiliser_Products_Data2(),FertiliserProducts[[#Headers],[Include or Exclude]], 20)</f>
        <v/>
      </c>
      <c r="S123" s="65" t="str" cm="1">
        <f t="array" ref="S123">Common_InputFunctions.Utility_DisplayArrayInTable(Fertiliser_SourceData.Fertiliser_Products_Data2(),FertiliserProducts[[#Headers],[Include or Exclude]], 20)</f>
        <v/>
      </c>
      <c r="T123" s="65" t="str" cm="1">
        <f t="array" ref="T123">Common_InputFunctions.Utility_DisplayArrayInTable(Fertiliser_SourceData.Fertiliser_Products_Data2(),FertiliserProducts[[#Headers],[Include or Exclude]], 20)</f>
        <v/>
      </c>
      <c r="U123" s="65" t="str" cm="1">
        <f t="array" ref="U123">Common_InputFunctions.Utility_DisplayArrayInTable(Fertiliser_SourceData.Fertiliser_Products_Data2(),FertiliserProducts[[#Headers],[Include or Exclude]], 20)</f>
        <v/>
      </c>
      <c r="V123" s="65" t="str" cm="1">
        <f t="array" ref="V123">Common_InputFunctions.Utility_DisplayArrayInTable(Fertiliser_SourceData.Fertiliser_Products_Data2(),FertiliserProducts[[#Headers],[Include or Exclude]], 20)</f>
        <v/>
      </c>
      <c r="W123" s="65" t="str" cm="1">
        <f t="array" ref="W123">Common_InputFunctions.Utility_DisplayArrayInTable(Fertiliser_SourceData.Fertiliser_Products_Data2(),FertiliserProducts[[#Headers],[Include or Exclude]], 20)</f>
        <v>Pro Turf Formula</v>
      </c>
      <c r="X123" s="65" t="str" cm="1">
        <f t="array" ref="X123">Common_InputFunctions.Utility_DisplayArrayInTable(Fertiliser_SourceData.Fertiliser_Products_Data2(),FertiliserProducts[[#Headers],[Include or Exclude]], 20)</f>
        <v/>
      </c>
      <c r="Y123" s="65" t="str" cm="1">
        <f t="array" ref="Y123">Common_InputFunctions.Utility_DisplayArrayInTable(Fertiliser_SourceData.Fertiliser_Products_Data2(),FertiliserProducts[[#Headers],[Include or Exclude]], 20)</f>
        <v/>
      </c>
      <c r="Z123" s="65"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4:31" ht="20.100000000000001" customHeight="1" x14ac:dyDescent="0.25">
      <c r="D124" s="65" t="str" cm="1">
        <f t="array" ref="D124">Common_InputFunctions.Utility_DisplayArrayInTable(Fertiliser_SourceData.Fertiliser_Products_Data2(),FertiliserProducts[[#Headers],[Include or Exclude]], 20)</f>
        <v>SOA</v>
      </c>
      <c r="E124" s="65" t="str" cm="1">
        <f t="array" ref="E124">Common_InputFunctions.Utility_DisplayArrayInTable(Fertiliser_SourceData.Fertiliser_Products_Data2(),FertiliserProducts[[#Headers],[Include or Exclude]], 20)</f>
        <v/>
      </c>
      <c r="F124" s="65" t="str" cm="1">
        <f t="array" ref="F124">Common_InputFunctions.Utility_DisplayArrayInTable(Fertiliser_SourceData.Fertiliser_Products_Data2(),FertiliserProducts[[#Headers],[Include or Exclude]], 20)</f>
        <v/>
      </c>
      <c r="G124" s="65" t="str" cm="1">
        <f t="array" ref="G124">Common_InputFunctions.Utility_DisplayArrayInTable(Fertiliser_SourceData.Fertiliser_Products_Data2(),FertiliserProducts[[#Headers],[Include or Exclude]], 20)</f>
        <v/>
      </c>
      <c r="H124" s="65" t="str" cm="1">
        <f t="array" ref="H124">Common_InputFunctions.Utility_DisplayArrayInTable(Fertiliser_SourceData.Fertiliser_Products_Data2(),FertiliserProducts[[#Headers],[Include or Exclude]], 20)</f>
        <v/>
      </c>
      <c r="I124" s="65" t="str" cm="1">
        <f t="array" ref="I124">Common_InputFunctions.Utility_DisplayArrayInTable(Fertiliser_SourceData.Fertiliser_Products_Data2(),FertiliserProducts[[#Headers],[Include or Exclude]], 20)</f>
        <v/>
      </c>
      <c r="J124" s="65" t="str" cm="1">
        <f t="array" ref="J124">Common_InputFunctions.Utility_DisplayArrayInTable(Fertiliser_SourceData.Fertiliser_Products_Data2(),FertiliserProducts[[#Headers],[Include or Exclude]], 20)</f>
        <v/>
      </c>
      <c r="K124" s="65" t="str" cm="1">
        <f t="array" ref="K124">Common_InputFunctions.Utility_DisplayArrayInTable(Fertiliser_SourceData.Fertiliser_Products_Data2(),FertiliserProducts[[#Headers],[Include or Exclude]], 20)</f>
        <v/>
      </c>
      <c r="L124" s="65" t="str" cm="1">
        <f t="array" ref="L124">Common_InputFunctions.Utility_DisplayArrayInTable(Fertiliser_SourceData.Fertiliser_Products_Data2(),FertiliserProducts[[#Headers],[Include or Exclude]], 20)</f>
        <v/>
      </c>
      <c r="M124" s="65" t="str" cm="1">
        <f t="array" ref="M124">Common_InputFunctions.Utility_DisplayArrayInTable(Fertiliser_SourceData.Fertiliser_Products_Data2(),FertiliserProducts[[#Headers],[Include or Exclude]], 20)</f>
        <v/>
      </c>
      <c r="N124" s="65" t="str" cm="1">
        <f t="array" ref="N124">Common_InputFunctions.Utility_DisplayArrayInTable(Fertiliser_SourceData.Fertiliser_Products_Data2(),FertiliserProducts[[#Headers],[Include or Exclude]], 20)</f>
        <v/>
      </c>
      <c r="O124" s="65" t="str" cm="1">
        <f t="array" ref="O124">Common_InputFunctions.Utility_DisplayArrayInTable(Fertiliser_SourceData.Fertiliser_Products_Data2(),FertiliserProducts[[#Headers],[Include or Exclude]], 20)</f>
        <v/>
      </c>
      <c r="P124" s="65" t="str" cm="1">
        <f t="array" ref="P124">Common_InputFunctions.Utility_DisplayArrayInTable(Fertiliser_SourceData.Fertiliser_Products_Data2(),FertiliserProducts[[#Headers],[Include or Exclude]], 20)</f>
        <v/>
      </c>
      <c r="Q124" s="65" t="str" cm="1">
        <f t="array" ref="Q124">Common_InputFunctions.Utility_DisplayArrayInTable(Fertiliser_SourceData.Fertiliser_Products_Data2(),FertiliserProducts[[#Headers],[Include or Exclude]], 20)</f>
        <v/>
      </c>
      <c r="R124" s="65" t="str" cm="1">
        <f t="array" ref="R124">Common_InputFunctions.Utility_DisplayArrayInTable(Fertiliser_SourceData.Fertiliser_Products_Data2(),FertiliserProducts[[#Headers],[Include or Exclude]], 20)</f>
        <v/>
      </c>
      <c r="S124" s="65" t="str" cm="1">
        <f t="array" ref="S124">Common_InputFunctions.Utility_DisplayArrayInTable(Fertiliser_SourceData.Fertiliser_Products_Data2(),FertiliserProducts[[#Headers],[Include or Exclude]], 20)</f>
        <v/>
      </c>
      <c r="T124" s="65" t="str" cm="1">
        <f t="array" ref="T124">Common_InputFunctions.Utility_DisplayArrayInTable(Fertiliser_SourceData.Fertiliser_Products_Data2(),FertiliserProducts[[#Headers],[Include or Exclude]], 20)</f>
        <v/>
      </c>
      <c r="U124" s="65" t="str" cm="1">
        <f t="array" ref="U124">Common_InputFunctions.Utility_DisplayArrayInTable(Fertiliser_SourceData.Fertiliser_Products_Data2(),FertiliserProducts[[#Headers],[Include or Exclude]], 20)</f>
        <v/>
      </c>
      <c r="V124" s="65" t="str" cm="1">
        <f t="array" ref="V124">Common_InputFunctions.Utility_DisplayArrayInTable(Fertiliser_SourceData.Fertiliser_Products_Data2(),FertiliserProducts[[#Headers],[Include or Exclude]], 20)</f>
        <v/>
      </c>
      <c r="W124" s="65" t="str" cm="1">
        <f t="array" ref="W124">Common_InputFunctions.Utility_DisplayArrayInTable(Fertiliser_SourceData.Fertiliser_Products_Data2(),FertiliserProducts[[#Headers],[Include or Exclude]], 20)</f>
        <v>MountCompass Fertilisers Blends</v>
      </c>
      <c r="X124" s="65" t="str" cm="1">
        <f t="array" ref="X124">Common_InputFunctions.Utility_DisplayArrayInTable(Fertiliser_SourceData.Fertiliser_Products_Data2(),FertiliserProducts[[#Headers],[Include or Exclude]], 20)</f>
        <v/>
      </c>
      <c r="Y124" s="65" t="str" cm="1">
        <f t="array" ref="Y124">Common_InputFunctions.Utility_DisplayArrayInTable(Fertiliser_SourceData.Fertiliser_Products_Data2(),FertiliserProducts[[#Headers],[Include or Exclude]], 20)</f>
        <v/>
      </c>
      <c r="Z124" s="65"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4:31" ht="20.100000000000001" customHeight="1" x14ac:dyDescent="0.25">
      <c r="D125" s="65" t="str" cm="1">
        <f t="array" ref="D125">Common_InputFunctions.Utility_DisplayArrayInTable(Fertiliser_SourceData.Fertiliser_Products_Data2(),FertiliserProducts[[#Headers],[Include or Exclude]], 20)</f>
        <v>SSP</v>
      </c>
      <c r="E125" s="65" t="str" cm="1">
        <f t="array" ref="E125">Common_InputFunctions.Utility_DisplayArrayInTable(Fertiliser_SourceData.Fertiliser_Products_Data2(),FertiliserProducts[[#Headers],[Include or Exclude]], 20)</f>
        <v/>
      </c>
      <c r="F125" s="65" t="str" cm="1">
        <f t="array" ref="F125">Common_InputFunctions.Utility_DisplayArrayInTable(Fertiliser_SourceData.Fertiliser_Products_Data2(),FertiliserProducts[[#Headers],[Include or Exclude]], 20)</f>
        <v/>
      </c>
      <c r="G125" s="65" t="str" cm="1">
        <f t="array" ref="G125">Common_InputFunctions.Utility_DisplayArrayInTable(Fertiliser_SourceData.Fertiliser_Products_Data2(),FertiliserProducts[[#Headers],[Include or Exclude]], 20)</f>
        <v/>
      </c>
      <c r="H125" s="65" t="str" cm="1">
        <f t="array" ref="H125">Common_InputFunctions.Utility_DisplayArrayInTable(Fertiliser_SourceData.Fertiliser_Products_Data2(),FertiliserProducts[[#Headers],[Include or Exclude]], 20)</f>
        <v/>
      </c>
      <c r="I125" s="65" t="str" cm="1">
        <f t="array" ref="I125">Common_InputFunctions.Utility_DisplayArrayInTable(Fertiliser_SourceData.Fertiliser_Products_Data2(),FertiliserProducts[[#Headers],[Include or Exclude]], 20)</f>
        <v/>
      </c>
      <c r="J125" s="65" t="str" cm="1">
        <f t="array" ref="J125">Common_InputFunctions.Utility_DisplayArrayInTable(Fertiliser_SourceData.Fertiliser_Products_Data2(),FertiliserProducts[[#Headers],[Include or Exclude]], 20)</f>
        <v/>
      </c>
      <c r="K125" s="65" t="str" cm="1">
        <f t="array" ref="K125">Common_InputFunctions.Utility_DisplayArrayInTable(Fertiliser_SourceData.Fertiliser_Products_Data2(),FertiliserProducts[[#Headers],[Include or Exclude]], 20)</f>
        <v/>
      </c>
      <c r="L125" s="65" t="str" cm="1">
        <f t="array" ref="L125">Common_InputFunctions.Utility_DisplayArrayInTable(Fertiliser_SourceData.Fertiliser_Products_Data2(),FertiliserProducts[[#Headers],[Include or Exclude]], 20)</f>
        <v/>
      </c>
      <c r="M125" s="65" t="str" cm="1">
        <f t="array" ref="M125">Common_InputFunctions.Utility_DisplayArrayInTable(Fertiliser_SourceData.Fertiliser_Products_Data2(),FertiliserProducts[[#Headers],[Include or Exclude]], 20)</f>
        <v/>
      </c>
      <c r="N125" s="65" t="str" cm="1">
        <f t="array" ref="N125">Common_InputFunctions.Utility_DisplayArrayInTable(Fertiliser_SourceData.Fertiliser_Products_Data2(),FertiliserProducts[[#Headers],[Include or Exclude]], 20)</f>
        <v/>
      </c>
      <c r="O125" s="65" t="str" cm="1">
        <f t="array" ref="O125">Common_InputFunctions.Utility_DisplayArrayInTable(Fertiliser_SourceData.Fertiliser_Products_Data2(),FertiliserProducts[[#Headers],[Include or Exclude]], 20)</f>
        <v/>
      </c>
      <c r="P125" s="65" t="str" cm="1">
        <f t="array" ref="P125">Common_InputFunctions.Utility_DisplayArrayInTable(Fertiliser_SourceData.Fertiliser_Products_Data2(),FertiliserProducts[[#Headers],[Include or Exclude]], 20)</f>
        <v/>
      </c>
      <c r="Q125" s="65" t="str" cm="1">
        <f t="array" ref="Q125">Common_InputFunctions.Utility_DisplayArrayInTable(Fertiliser_SourceData.Fertiliser_Products_Data2(),FertiliserProducts[[#Headers],[Include or Exclude]], 20)</f>
        <v/>
      </c>
      <c r="R125" s="65" t="str" cm="1">
        <f t="array" ref="R125">Common_InputFunctions.Utility_DisplayArrayInTable(Fertiliser_SourceData.Fertiliser_Products_Data2(),FertiliserProducts[[#Headers],[Include or Exclude]], 20)</f>
        <v/>
      </c>
      <c r="S125" s="65" t="str" cm="1">
        <f t="array" ref="S125">Common_InputFunctions.Utility_DisplayArrayInTable(Fertiliser_SourceData.Fertiliser_Products_Data2(),FertiliserProducts[[#Headers],[Include or Exclude]], 20)</f>
        <v/>
      </c>
      <c r="T125" s="65" t="str" cm="1">
        <f t="array" ref="T125">Common_InputFunctions.Utility_DisplayArrayInTable(Fertiliser_SourceData.Fertiliser_Products_Data2(),FertiliserProducts[[#Headers],[Include or Exclude]], 20)</f>
        <v/>
      </c>
      <c r="U125" s="65" t="str" cm="1">
        <f t="array" ref="U125">Common_InputFunctions.Utility_DisplayArrayInTable(Fertiliser_SourceData.Fertiliser_Products_Data2(),FertiliserProducts[[#Headers],[Include or Exclude]], 20)</f>
        <v/>
      </c>
      <c r="V125" s="65" t="str" cm="1">
        <f t="array" ref="V125">Common_InputFunctions.Utility_DisplayArrayInTable(Fertiliser_SourceData.Fertiliser_Products_Data2(),FertiliserProducts[[#Headers],[Include or Exclude]], 20)</f>
        <v/>
      </c>
      <c r="W125" s="65" t="str" cm="1">
        <f t="array" ref="W125">Common_InputFunctions.Utility_DisplayArrayInTable(Fertiliser_SourceData.Fertiliser_Products_Data2(),FertiliserProducts[[#Headers],[Include or Exclude]], 20)</f>
        <v>Impact fertilisers</v>
      </c>
      <c r="X125" s="65" t="str" cm="1">
        <f t="array" ref="X125">Common_InputFunctions.Utility_DisplayArrayInTable(Fertiliser_SourceData.Fertiliser_Products_Data2(),FertiliserProducts[[#Headers],[Include or Exclude]], 20)</f>
        <v/>
      </c>
      <c r="Y125" s="65" t="str" cm="1">
        <f t="array" ref="Y125">Common_InputFunctions.Utility_DisplayArrayInTable(Fertiliser_SourceData.Fertiliser_Products_Data2(),FertiliserProducts[[#Headers],[Include or Exclude]], 20)</f>
        <v/>
      </c>
      <c r="Z125" s="65"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4:31" ht="20.100000000000001" customHeight="1" x14ac:dyDescent="0.25">
      <c r="D126" s="65" t="str" cm="1">
        <f t="array" ref="D126">Common_InputFunctions.Utility_DisplayArrayInTable(Fertiliser_SourceData.Fertiliser_Products_Data2(),FertiliserProducts[[#Headers],[Include or Exclude]], 20)</f>
        <v>Super Phos</v>
      </c>
      <c r="E126" s="65" t="str" cm="1">
        <f t="array" ref="E126">Common_InputFunctions.Utility_DisplayArrayInTable(Fertiliser_SourceData.Fertiliser_Products_Data2(),FertiliserProducts[[#Headers],[Include or Exclude]], 20)</f>
        <v/>
      </c>
      <c r="F126" s="65" t="str" cm="1">
        <f t="array" ref="F126">Common_InputFunctions.Utility_DisplayArrayInTable(Fertiliser_SourceData.Fertiliser_Products_Data2(),FertiliserProducts[[#Headers],[Include or Exclude]], 20)</f>
        <v/>
      </c>
      <c r="G126" s="65" t="str" cm="1">
        <f t="array" ref="G126">Common_InputFunctions.Utility_DisplayArrayInTable(Fertiliser_SourceData.Fertiliser_Products_Data2(),FertiliserProducts[[#Headers],[Include or Exclude]], 20)</f>
        <v/>
      </c>
      <c r="H126" s="65" t="str" cm="1">
        <f t="array" ref="H126">Common_InputFunctions.Utility_DisplayArrayInTable(Fertiliser_SourceData.Fertiliser_Products_Data2(),FertiliserProducts[[#Headers],[Include or Exclude]], 20)</f>
        <v/>
      </c>
      <c r="I126" s="65" t="str" cm="1">
        <f t="array" ref="I126">Common_InputFunctions.Utility_DisplayArrayInTable(Fertiliser_SourceData.Fertiliser_Products_Data2(),FertiliserProducts[[#Headers],[Include or Exclude]], 20)</f>
        <v/>
      </c>
      <c r="J126" s="65" t="str" cm="1">
        <f t="array" ref="J126">Common_InputFunctions.Utility_DisplayArrayInTable(Fertiliser_SourceData.Fertiliser_Products_Data2(),FertiliserProducts[[#Headers],[Include or Exclude]], 20)</f>
        <v/>
      </c>
      <c r="K126" s="65" t="str" cm="1">
        <f t="array" ref="K126">Common_InputFunctions.Utility_DisplayArrayInTable(Fertiliser_SourceData.Fertiliser_Products_Data2(),FertiliserProducts[[#Headers],[Include or Exclude]], 20)</f>
        <v/>
      </c>
      <c r="L126" s="65" t="str" cm="1">
        <f t="array" ref="L126">Common_InputFunctions.Utility_DisplayArrayInTable(Fertiliser_SourceData.Fertiliser_Products_Data2(),FertiliserProducts[[#Headers],[Include or Exclude]], 20)</f>
        <v/>
      </c>
      <c r="M126" s="65" t="str" cm="1">
        <f t="array" ref="M126">Common_InputFunctions.Utility_DisplayArrayInTable(Fertiliser_SourceData.Fertiliser_Products_Data2(),FertiliserProducts[[#Headers],[Include or Exclude]], 20)</f>
        <v/>
      </c>
      <c r="N126" s="65" t="str" cm="1">
        <f t="array" ref="N126">Common_InputFunctions.Utility_DisplayArrayInTable(Fertiliser_SourceData.Fertiliser_Products_Data2(),FertiliserProducts[[#Headers],[Include or Exclude]], 20)</f>
        <v/>
      </c>
      <c r="O126" s="65" t="str" cm="1">
        <f t="array" ref="O126">Common_InputFunctions.Utility_DisplayArrayInTable(Fertiliser_SourceData.Fertiliser_Products_Data2(),FertiliserProducts[[#Headers],[Include or Exclude]], 20)</f>
        <v/>
      </c>
      <c r="P126" s="65" t="str" cm="1">
        <f t="array" ref="P126">Common_InputFunctions.Utility_DisplayArrayInTable(Fertiliser_SourceData.Fertiliser_Products_Data2(),FertiliserProducts[[#Headers],[Include or Exclude]], 20)</f>
        <v/>
      </c>
      <c r="Q126" s="65" t="str" cm="1">
        <f t="array" ref="Q126">Common_InputFunctions.Utility_DisplayArrayInTable(Fertiliser_SourceData.Fertiliser_Products_Data2(),FertiliserProducts[[#Headers],[Include or Exclude]], 20)</f>
        <v/>
      </c>
      <c r="R126" s="65" t="str" cm="1">
        <f t="array" ref="R126">Common_InputFunctions.Utility_DisplayArrayInTable(Fertiliser_SourceData.Fertiliser_Products_Data2(),FertiliserProducts[[#Headers],[Include or Exclude]], 20)</f>
        <v/>
      </c>
      <c r="S126" s="65" t="str" cm="1">
        <f t="array" ref="S126">Common_InputFunctions.Utility_DisplayArrayInTable(Fertiliser_SourceData.Fertiliser_Products_Data2(),FertiliserProducts[[#Headers],[Include or Exclude]], 20)</f>
        <v/>
      </c>
      <c r="T126" s="65" t="str" cm="1">
        <f t="array" ref="T126">Common_InputFunctions.Utility_DisplayArrayInTable(Fertiliser_SourceData.Fertiliser_Products_Data2(),FertiliserProducts[[#Headers],[Include or Exclude]], 20)</f>
        <v/>
      </c>
      <c r="U126" s="65" t="str" cm="1">
        <f t="array" ref="U126">Common_InputFunctions.Utility_DisplayArrayInTable(Fertiliser_SourceData.Fertiliser_Products_Data2(),FertiliserProducts[[#Headers],[Include or Exclude]], 20)</f>
        <v/>
      </c>
      <c r="V126" s="65" t="str" cm="1">
        <f t="array" ref="V126">Common_InputFunctions.Utility_DisplayArrayInTable(Fertiliser_SourceData.Fertiliser_Products_Data2(),FertiliserProducts[[#Headers],[Include or Exclude]], 20)</f>
        <v/>
      </c>
      <c r="W126" s="65" t="str" cm="1">
        <f t="array" ref="W126">Common_InputFunctions.Utility_DisplayArrayInTable(Fertiliser_SourceData.Fertiliser_Products_Data2(),FertiliserProducts[[#Headers],[Include or Exclude]], 20)</f>
        <v>CSBP Super PHOS</v>
      </c>
      <c r="X126" s="65" t="str" cm="1">
        <f t="array" ref="X126">Common_InputFunctions.Utility_DisplayArrayInTable(Fertiliser_SourceData.Fertiliser_Products_Data2(),FertiliserProducts[[#Headers],[Include or Exclude]], 20)</f>
        <v/>
      </c>
      <c r="Y126" s="65" t="str" cm="1">
        <f t="array" ref="Y126">Common_InputFunctions.Utility_DisplayArrayInTable(Fertiliser_SourceData.Fertiliser_Products_Data2(),FertiliserProducts[[#Headers],[Include or Exclude]], 20)</f>
        <v/>
      </c>
      <c r="Z126" s="65"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4:31" ht="20.100000000000001" customHeight="1" x14ac:dyDescent="0.25">
      <c r="D127" s="65" t="str" cm="1">
        <f t="array" ref="D127">Common_InputFunctions.Utility_DisplayArrayInTable(Fertiliser_SourceData.Fertiliser_Products_Data2(),FertiliserProducts[[#Headers],[Include or Exclude]], 20)</f>
        <v>Super SR Extra</v>
      </c>
      <c r="E127" s="65" t="str" cm="1">
        <f t="array" ref="E127">Common_InputFunctions.Utility_DisplayArrayInTable(Fertiliser_SourceData.Fertiliser_Products_Data2(),FertiliserProducts[[#Headers],[Include or Exclude]], 20)</f>
        <v/>
      </c>
      <c r="F127" s="65" t="str" cm="1">
        <f t="array" ref="F127">Common_InputFunctions.Utility_DisplayArrayInTable(Fertiliser_SourceData.Fertiliser_Products_Data2(),FertiliserProducts[[#Headers],[Include or Exclude]], 20)</f>
        <v/>
      </c>
      <c r="G127" s="65" t="str" cm="1">
        <f t="array" ref="G127">Common_InputFunctions.Utility_DisplayArrayInTable(Fertiliser_SourceData.Fertiliser_Products_Data2(),FertiliserProducts[[#Headers],[Include or Exclude]], 20)</f>
        <v/>
      </c>
      <c r="H127" s="65" t="str" cm="1">
        <f t="array" ref="H127">Common_InputFunctions.Utility_DisplayArrayInTable(Fertiliser_SourceData.Fertiliser_Products_Data2(),FertiliserProducts[[#Headers],[Include or Exclude]], 20)</f>
        <v/>
      </c>
      <c r="I127" s="65" t="str" cm="1">
        <f t="array" ref="I127">Common_InputFunctions.Utility_DisplayArrayInTable(Fertiliser_SourceData.Fertiliser_Products_Data2(),FertiliserProducts[[#Headers],[Include or Exclude]], 20)</f>
        <v/>
      </c>
      <c r="J127" s="65" t="str" cm="1">
        <f t="array" ref="J127">Common_InputFunctions.Utility_DisplayArrayInTable(Fertiliser_SourceData.Fertiliser_Products_Data2(),FertiliserProducts[[#Headers],[Include or Exclude]], 20)</f>
        <v/>
      </c>
      <c r="K127" s="65" t="str" cm="1">
        <f t="array" ref="K127">Common_InputFunctions.Utility_DisplayArrayInTable(Fertiliser_SourceData.Fertiliser_Products_Data2(),FertiliserProducts[[#Headers],[Include or Exclude]], 20)</f>
        <v/>
      </c>
      <c r="L127" s="65" t="str" cm="1">
        <f t="array" ref="L127">Common_InputFunctions.Utility_DisplayArrayInTable(Fertiliser_SourceData.Fertiliser_Products_Data2(),FertiliserProducts[[#Headers],[Include or Exclude]], 20)</f>
        <v/>
      </c>
      <c r="M127" s="65" t="str" cm="1">
        <f t="array" ref="M127">Common_InputFunctions.Utility_DisplayArrayInTable(Fertiliser_SourceData.Fertiliser_Products_Data2(),FertiliserProducts[[#Headers],[Include or Exclude]], 20)</f>
        <v/>
      </c>
      <c r="N127" s="65" t="str" cm="1">
        <f t="array" ref="N127">Common_InputFunctions.Utility_DisplayArrayInTable(Fertiliser_SourceData.Fertiliser_Products_Data2(),FertiliserProducts[[#Headers],[Include or Exclude]], 20)</f>
        <v/>
      </c>
      <c r="O127" s="65" t="str" cm="1">
        <f t="array" ref="O127">Common_InputFunctions.Utility_DisplayArrayInTable(Fertiliser_SourceData.Fertiliser_Products_Data2(),FertiliserProducts[[#Headers],[Include or Exclude]], 20)</f>
        <v/>
      </c>
      <c r="P127" s="65" t="str" cm="1">
        <f t="array" ref="P127">Common_InputFunctions.Utility_DisplayArrayInTable(Fertiliser_SourceData.Fertiliser_Products_Data2(),FertiliserProducts[[#Headers],[Include or Exclude]], 20)</f>
        <v/>
      </c>
      <c r="Q127" s="65" t="str" cm="1">
        <f t="array" ref="Q127">Common_InputFunctions.Utility_DisplayArrayInTable(Fertiliser_SourceData.Fertiliser_Products_Data2(),FertiliserProducts[[#Headers],[Include or Exclude]], 20)</f>
        <v/>
      </c>
      <c r="R127" s="65" t="str" cm="1">
        <f t="array" ref="R127">Common_InputFunctions.Utility_DisplayArrayInTable(Fertiliser_SourceData.Fertiliser_Products_Data2(),FertiliserProducts[[#Headers],[Include or Exclude]], 20)</f>
        <v/>
      </c>
      <c r="S127" s="65" t="str" cm="1">
        <f t="array" ref="S127">Common_InputFunctions.Utility_DisplayArrayInTable(Fertiliser_SourceData.Fertiliser_Products_Data2(),FertiliserProducts[[#Headers],[Include or Exclude]], 20)</f>
        <v/>
      </c>
      <c r="T127" s="65" t="str" cm="1">
        <f t="array" ref="T127">Common_InputFunctions.Utility_DisplayArrayInTable(Fertiliser_SourceData.Fertiliser_Products_Data2(),FertiliserProducts[[#Headers],[Include or Exclude]], 20)</f>
        <v/>
      </c>
      <c r="U127" s="65" t="str" cm="1">
        <f t="array" ref="U127">Common_InputFunctions.Utility_DisplayArrayInTable(Fertiliser_SourceData.Fertiliser_Products_Data2(),FertiliserProducts[[#Headers],[Include or Exclude]], 20)</f>
        <v/>
      </c>
      <c r="V127" s="65" t="str" cm="1">
        <f t="array" ref="V127">Common_InputFunctions.Utility_DisplayArrayInTable(Fertiliser_SourceData.Fertiliser_Products_Data2(),FertiliserProducts[[#Headers],[Include or Exclude]], 20)</f>
        <v/>
      </c>
      <c r="W127" s="65" t="str" cm="1">
        <f t="array" ref="W127">Common_InputFunctions.Utility_DisplayArrayInTable(Fertiliser_SourceData.Fertiliser_Products_Data2(),FertiliserProducts[[#Headers],[Include or Exclude]], 20)</f>
        <v>CSBP Super Potash</v>
      </c>
      <c r="X127" s="65" t="str" cm="1">
        <f t="array" ref="X127">Common_InputFunctions.Utility_DisplayArrayInTable(Fertiliser_SourceData.Fertiliser_Products_Data2(),FertiliserProducts[[#Headers],[Include or Exclude]], 20)</f>
        <v/>
      </c>
      <c r="Y127" s="65" t="str" cm="1">
        <f t="array" ref="Y127">Common_InputFunctions.Utility_DisplayArrayInTable(Fertiliser_SourceData.Fertiliser_Products_Data2(),FertiliserProducts[[#Headers],[Include or Exclude]], 20)</f>
        <v/>
      </c>
      <c r="Z127" s="65"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4:31" ht="20.100000000000001" customHeight="1" x14ac:dyDescent="0.25">
      <c r="D128" s="65" t="str" cm="1">
        <f t="array" ref="D128">Common_InputFunctions.Utility_DisplayArrayInTable(Fertiliser_SourceData.Fertiliser_Products_Data2(),FertiliserProducts[[#Headers],[Include or Exclude]], 20)</f>
        <v>SuPerfect</v>
      </c>
      <c r="E128" s="65" t="str" cm="1">
        <f t="array" ref="E128">Common_InputFunctions.Utility_DisplayArrayInTable(Fertiliser_SourceData.Fertiliser_Products_Data2(),FertiliserProducts[[#Headers],[Include or Exclude]], 20)</f>
        <v/>
      </c>
      <c r="F128" s="65" t="str" cm="1">
        <f t="array" ref="F128">Common_InputFunctions.Utility_DisplayArrayInTable(Fertiliser_SourceData.Fertiliser_Products_Data2(),FertiliserProducts[[#Headers],[Include or Exclude]], 20)</f>
        <v/>
      </c>
      <c r="G128" s="65" t="str" cm="1">
        <f t="array" ref="G128">Common_InputFunctions.Utility_DisplayArrayInTable(Fertiliser_SourceData.Fertiliser_Products_Data2(),FertiliserProducts[[#Headers],[Include or Exclude]], 20)</f>
        <v/>
      </c>
      <c r="H128" s="65" t="str" cm="1">
        <f t="array" ref="H128">Common_InputFunctions.Utility_DisplayArrayInTable(Fertiliser_SourceData.Fertiliser_Products_Data2(),FertiliserProducts[[#Headers],[Include or Exclude]], 20)</f>
        <v/>
      </c>
      <c r="I128" s="65" t="str" cm="1">
        <f t="array" ref="I128">Common_InputFunctions.Utility_DisplayArrayInTable(Fertiliser_SourceData.Fertiliser_Products_Data2(),FertiliserProducts[[#Headers],[Include or Exclude]], 20)</f>
        <v/>
      </c>
      <c r="J128" s="65" t="str" cm="1">
        <f t="array" ref="J128">Common_InputFunctions.Utility_DisplayArrayInTable(Fertiliser_SourceData.Fertiliser_Products_Data2(),FertiliserProducts[[#Headers],[Include or Exclude]], 20)</f>
        <v/>
      </c>
      <c r="K128" s="65" t="str" cm="1">
        <f t="array" ref="K128">Common_InputFunctions.Utility_DisplayArrayInTable(Fertiliser_SourceData.Fertiliser_Products_Data2(),FertiliserProducts[[#Headers],[Include or Exclude]], 20)</f>
        <v/>
      </c>
      <c r="L128" s="65" t="str" cm="1">
        <f t="array" ref="L128">Common_InputFunctions.Utility_DisplayArrayInTable(Fertiliser_SourceData.Fertiliser_Products_Data2(),FertiliserProducts[[#Headers],[Include or Exclude]], 20)</f>
        <v/>
      </c>
      <c r="M128" s="65" t="str" cm="1">
        <f t="array" ref="M128">Common_InputFunctions.Utility_DisplayArrayInTable(Fertiliser_SourceData.Fertiliser_Products_Data2(),FertiliserProducts[[#Headers],[Include or Exclude]], 20)</f>
        <v/>
      </c>
      <c r="N128" s="65" t="str" cm="1">
        <f t="array" ref="N128">Common_InputFunctions.Utility_DisplayArrayInTable(Fertiliser_SourceData.Fertiliser_Products_Data2(),FertiliserProducts[[#Headers],[Include or Exclude]], 20)</f>
        <v/>
      </c>
      <c r="O128" s="65" t="str" cm="1">
        <f t="array" ref="O128">Common_InputFunctions.Utility_DisplayArrayInTable(Fertiliser_SourceData.Fertiliser_Products_Data2(),FertiliserProducts[[#Headers],[Include or Exclude]], 20)</f>
        <v/>
      </c>
      <c r="P128" s="65" t="str" cm="1">
        <f t="array" ref="P128">Common_InputFunctions.Utility_DisplayArrayInTable(Fertiliser_SourceData.Fertiliser_Products_Data2(),FertiliserProducts[[#Headers],[Include or Exclude]], 20)</f>
        <v/>
      </c>
      <c r="Q128" s="65" t="str" cm="1">
        <f t="array" ref="Q128">Common_InputFunctions.Utility_DisplayArrayInTable(Fertiliser_SourceData.Fertiliser_Products_Data2(),FertiliserProducts[[#Headers],[Include or Exclude]], 20)</f>
        <v/>
      </c>
      <c r="R128" s="65" t="str" cm="1">
        <f t="array" ref="R128">Common_InputFunctions.Utility_DisplayArrayInTable(Fertiliser_SourceData.Fertiliser_Products_Data2(),FertiliserProducts[[#Headers],[Include or Exclude]], 20)</f>
        <v/>
      </c>
      <c r="S128" s="65" t="str" cm="1">
        <f t="array" ref="S128">Common_InputFunctions.Utility_DisplayArrayInTable(Fertiliser_SourceData.Fertiliser_Products_Data2(),FertiliserProducts[[#Headers],[Include or Exclude]], 20)</f>
        <v/>
      </c>
      <c r="T128" s="65" t="str" cm="1">
        <f t="array" ref="T128">Common_InputFunctions.Utility_DisplayArrayInTable(Fertiliser_SourceData.Fertiliser_Products_Data2(),FertiliserProducts[[#Headers],[Include or Exclude]], 20)</f>
        <v/>
      </c>
      <c r="U128" s="65" t="str" cm="1">
        <f t="array" ref="U128">Common_InputFunctions.Utility_DisplayArrayInTable(Fertiliser_SourceData.Fertiliser_Products_Data2(),FertiliserProducts[[#Headers],[Include or Exclude]], 20)</f>
        <v/>
      </c>
      <c r="V128" s="65" t="str" cm="1">
        <f t="array" ref="V128">Common_InputFunctions.Utility_DisplayArrayInTable(Fertiliser_SourceData.Fertiliser_Products_Data2(),FertiliserProducts[[#Headers],[Include or Exclude]], 20)</f>
        <v/>
      </c>
      <c r="W128" s="65" t="str" cm="1">
        <f t="array" ref="W128">Common_InputFunctions.Utility_DisplayArrayInTable(Fertiliser_SourceData.Fertiliser_Products_Data2(),FertiliserProducts[[#Headers],[Include or Exclude]], 20)</f>
        <v>Incitec Pivot Fertilisers</v>
      </c>
      <c r="X128" s="65" t="str" cm="1">
        <f t="array" ref="X128">Common_InputFunctions.Utility_DisplayArrayInTable(Fertiliser_SourceData.Fertiliser_Products_Data2(),FertiliserProducts[[#Headers],[Include or Exclude]], 20)</f>
        <v/>
      </c>
      <c r="Y128" s="65" t="str" cm="1">
        <f t="array" ref="Y128">Common_InputFunctions.Utility_DisplayArrayInTable(Fertiliser_SourceData.Fertiliser_Products_Data2(),FertiliserProducts[[#Headers],[Include or Exclude]], 20)</f>
        <v/>
      </c>
      <c r="Z128" s="65"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4:31" ht="20.100000000000001" customHeight="1" x14ac:dyDescent="0.25">
      <c r="D129" s="65" t="str" cm="1">
        <f t="array" ref="D129">Common_InputFunctions.Utility_DisplayArrayInTable(Fertiliser_SourceData.Fertiliser_Products_Data3(),FertiliserProducts[[#Headers],[Include or Exclude]], 40)</f>
        <v>Product</v>
      </c>
      <c r="E129" s="65" t="str" cm="1">
        <f t="array" ref="E129">Common_InputFunctions.Utility_DisplayArrayInTable(Fertiliser_SourceData.Fertiliser_Products_Data3(),FertiliserProducts[[#Headers],[Include or Exclude]], 40)</f>
        <v>Ingredient 1</v>
      </c>
      <c r="F129" s="65" t="str" cm="1">
        <f t="array" ref="F129">Common_InputFunctions.Utility_DisplayArrayInTable(Fertiliser_SourceData.Fertiliser_Products_Data3(),FertiliserProducts[[#Headers],[Include or Exclude]], 40)</f>
        <v>Ingredient 1 percent</v>
      </c>
      <c r="G129" s="65" t="str" cm="1">
        <f t="array" ref="G129">Common_InputFunctions.Utility_DisplayArrayInTable(Fertiliser_SourceData.Fertiliser_Products_Data3(),FertiliserProducts[[#Headers],[Include or Exclude]], 40)</f>
        <v>Ingredient 1 source</v>
      </c>
      <c r="H129" s="65" t="str" cm="1">
        <f t="array" ref="H129">Common_InputFunctions.Utility_DisplayArrayInTable(Fertiliser_SourceData.Fertiliser_Products_Data3(),FertiliserProducts[[#Headers],[Include or Exclude]], 40)</f>
        <v>Ingredient 2</v>
      </c>
      <c r="I129" s="65" t="str" cm="1">
        <f t="array" ref="I129">Common_InputFunctions.Utility_DisplayArrayInTable(Fertiliser_SourceData.Fertiliser_Products_Data3(),FertiliserProducts[[#Headers],[Include or Exclude]], 40)</f>
        <v>Ingredient 2 percent</v>
      </c>
      <c r="J129" s="65" t="str" cm="1">
        <f t="array" ref="J129">Common_InputFunctions.Utility_DisplayArrayInTable(Fertiliser_SourceData.Fertiliser_Products_Data3(),FertiliserProducts[[#Headers],[Include or Exclude]], 40)</f>
        <v>Ingredient 2 source</v>
      </c>
      <c r="K129" s="65" t="str" cm="1">
        <f t="array" ref="K129">Common_InputFunctions.Utility_DisplayArrayInTable(Fertiliser_SourceData.Fertiliser_Products_Data3(),FertiliserProducts[[#Headers],[Include or Exclude]], 40)</f>
        <v>Ingredient 3</v>
      </c>
      <c r="L129" s="65" t="str" cm="1">
        <f t="array" ref="L129">Common_InputFunctions.Utility_DisplayArrayInTable(Fertiliser_SourceData.Fertiliser_Products_Data3(),FertiliserProducts[[#Headers],[Include or Exclude]], 40)</f>
        <v>Ingredient 3 percent</v>
      </c>
      <c r="M129" s="65" t="str" cm="1">
        <f t="array" ref="M129">Common_InputFunctions.Utility_DisplayArrayInTable(Fertiliser_SourceData.Fertiliser_Products_Data3(),FertiliserProducts[[#Headers],[Include or Exclude]], 40)</f>
        <v>Ingredient 3 source</v>
      </c>
      <c r="N129" s="65" t="str" cm="1">
        <f t="array" ref="N129">Common_InputFunctions.Utility_DisplayArrayInTable(Fertiliser_SourceData.Fertiliser_Products_Data3(),FertiliserProducts[[#Headers],[Include or Exclude]], 40)</f>
        <v>Ingredient 4</v>
      </c>
      <c r="O129" s="65" t="str" cm="1">
        <f t="array" ref="O129">Common_InputFunctions.Utility_DisplayArrayInTable(Fertiliser_SourceData.Fertiliser_Products_Data3(),FertiliserProducts[[#Headers],[Include or Exclude]], 40)</f>
        <v>Ingredient 4 percent</v>
      </c>
      <c r="P129" s="65" t="str" cm="1">
        <f t="array" ref="P129">Common_InputFunctions.Utility_DisplayArrayInTable(Fertiliser_SourceData.Fertiliser_Products_Data3(),FertiliserProducts[[#Headers],[Include or Exclude]], 40)</f>
        <v>Ingredient 4 source</v>
      </c>
      <c r="Q129" s="65" t="str" cm="1">
        <f t="array" ref="Q129">Common_InputFunctions.Utility_DisplayArrayInTable(Fertiliser_SourceData.Fertiliser_Products_Data3(),FertiliserProducts[[#Headers],[Include or Exclude]], 40)</f>
        <v>Ingredient 5</v>
      </c>
      <c r="R129" s="65" t="str" cm="1">
        <f t="array" ref="R129">Common_InputFunctions.Utility_DisplayArrayInTable(Fertiliser_SourceData.Fertiliser_Products_Data3(),FertiliserProducts[[#Headers],[Include or Exclude]], 40)</f>
        <v>Ingredient 5 percent</v>
      </c>
      <c r="S129" s="65" t="str" cm="1">
        <f t="array" ref="S129">Common_InputFunctions.Utility_DisplayArrayInTable(Fertiliser_SourceData.Fertiliser_Products_Data3(),FertiliserProducts[[#Headers],[Include or Exclude]], 40)</f>
        <v>Ingredient 5 source</v>
      </c>
      <c r="T129" s="65" t="str" cm="1">
        <f t="array" ref="T129">Common_InputFunctions.Utility_DisplayArrayInTable(Fertiliser_SourceData.Fertiliser_Products_Data3(),FertiliserProducts[[#Headers],[Include or Exclude]], 40)</f>
        <v>Ingredient 6</v>
      </c>
      <c r="U129" s="65" t="str" cm="1">
        <f t="array" ref="U129">Common_InputFunctions.Utility_DisplayArrayInTable(Fertiliser_SourceData.Fertiliser_Products_Data3(),FertiliserProducts[[#Headers],[Include or Exclude]], 40)</f>
        <v>Ingredient 6 percent</v>
      </c>
      <c r="V129" s="65" t="str" cm="1">
        <f t="array" ref="V129">Common_InputFunctions.Utility_DisplayArrayInTable(Fertiliser_SourceData.Fertiliser_Products_Data3(),FertiliserProducts[[#Headers],[Include or Exclude]], 40)</f>
        <v>Ingredient 6 source</v>
      </c>
      <c r="W129" s="65" t="str" cm="1">
        <f t="array" ref="W129">Common_InputFunctions.Utility_DisplayArrayInTable(Fertiliser_SourceData.Fertiliser_Products_Data3(),FertiliserProducts[[#Headers],[Include or Exclude]], 40)</f>
        <v>Product info link</v>
      </c>
      <c r="X129" s="65" t="str" cm="1">
        <f t="array" ref="X129">Common_InputFunctions.Utility_DisplayArrayInTable(Fertiliser_SourceData.Fertiliser_Products_Data3(),FertiliserProducts[[#Headers],[Include or Exclude]], 40)</f>
        <v/>
      </c>
      <c r="Y129" s="65" t="str" cm="1">
        <f t="array" ref="Y129">Common_InputFunctions.Utility_DisplayArrayInTable(Fertiliser_SourceData.Fertiliser_Products_Data3(),FertiliserProducts[[#Headers],[Include or Exclude]], 40)</f>
        <v/>
      </c>
      <c r="Z129" s="65"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4:31" ht="20.100000000000001" customHeight="1" x14ac:dyDescent="0.25">
      <c r="D130" s="65" t="str" cm="1">
        <f t="array" ref="D130">Common_InputFunctions.Utility_DisplayArrayInTable(Fertiliser_SourceData.Fertiliser_Products_Data3(),FertiliserProducts[[#Headers],[Include or Exclude]], 40)</f>
        <v>Yara K-Flow 0-0-15</v>
      </c>
      <c r="E130" s="65" t="str" cm="1">
        <f t="array" ref="E130">Common_InputFunctions.Utility_DisplayArrayInTable(Fertiliser_SourceData.Fertiliser_Products_Data3(),FertiliserProducts[[#Headers],[Include or Exclude]], 40)</f>
        <v/>
      </c>
      <c r="F130" s="65" t="str" cm="1">
        <f t="array" ref="F130">Common_InputFunctions.Utility_DisplayArrayInTable(Fertiliser_SourceData.Fertiliser_Products_Data3(),FertiliserProducts[[#Headers],[Include or Exclude]], 40)</f>
        <v/>
      </c>
      <c r="G130" s="65" t="str" cm="1">
        <f t="array" ref="G130">Common_InputFunctions.Utility_DisplayArrayInTable(Fertiliser_SourceData.Fertiliser_Products_Data3(),FertiliserProducts[[#Headers],[Include or Exclude]], 40)</f>
        <v/>
      </c>
      <c r="H130" s="65" t="str" cm="1">
        <f t="array" ref="H130">Common_InputFunctions.Utility_DisplayArrayInTable(Fertiliser_SourceData.Fertiliser_Products_Data3(),FertiliserProducts[[#Headers],[Include or Exclude]], 40)</f>
        <v/>
      </c>
      <c r="I130" s="65" t="str" cm="1">
        <f t="array" ref="I130">Common_InputFunctions.Utility_DisplayArrayInTable(Fertiliser_SourceData.Fertiliser_Products_Data3(),FertiliserProducts[[#Headers],[Include or Exclude]], 40)</f>
        <v/>
      </c>
      <c r="J130" s="65" t="str" cm="1">
        <f t="array" ref="J130">Common_InputFunctions.Utility_DisplayArrayInTable(Fertiliser_SourceData.Fertiliser_Products_Data3(),FertiliserProducts[[#Headers],[Include or Exclude]], 40)</f>
        <v/>
      </c>
      <c r="K130" s="65" t="str" cm="1">
        <f t="array" ref="K130">Common_InputFunctions.Utility_DisplayArrayInTable(Fertiliser_SourceData.Fertiliser_Products_Data3(),FertiliserProducts[[#Headers],[Include or Exclude]], 40)</f>
        <v/>
      </c>
      <c r="L130" s="65" t="str" cm="1">
        <f t="array" ref="L130">Common_InputFunctions.Utility_DisplayArrayInTable(Fertiliser_SourceData.Fertiliser_Products_Data3(),FertiliserProducts[[#Headers],[Include or Exclude]], 40)</f>
        <v/>
      </c>
      <c r="M130" s="65" t="str" cm="1">
        <f t="array" ref="M130">Common_InputFunctions.Utility_DisplayArrayInTable(Fertiliser_SourceData.Fertiliser_Products_Data3(),FertiliserProducts[[#Headers],[Include or Exclude]], 40)</f>
        <v/>
      </c>
      <c r="N130" s="65" t="str" cm="1">
        <f t="array" ref="N130">Common_InputFunctions.Utility_DisplayArrayInTable(Fertiliser_SourceData.Fertiliser_Products_Data3(),FertiliserProducts[[#Headers],[Include or Exclude]], 40)</f>
        <v/>
      </c>
      <c r="O130" s="65" t="str" cm="1">
        <f t="array" ref="O130">Common_InputFunctions.Utility_DisplayArrayInTable(Fertiliser_SourceData.Fertiliser_Products_Data3(),FertiliserProducts[[#Headers],[Include or Exclude]], 40)</f>
        <v/>
      </c>
      <c r="P130" s="65" t="str" cm="1">
        <f t="array" ref="P130">Common_InputFunctions.Utility_DisplayArrayInTable(Fertiliser_SourceData.Fertiliser_Products_Data3(),FertiliserProducts[[#Headers],[Include or Exclude]], 40)</f>
        <v/>
      </c>
      <c r="Q130" s="65" t="str" cm="1">
        <f t="array" ref="Q130">Common_InputFunctions.Utility_DisplayArrayInTable(Fertiliser_SourceData.Fertiliser_Products_Data3(),FertiliserProducts[[#Headers],[Include or Exclude]], 40)</f>
        <v/>
      </c>
      <c r="R130" s="65" t="str" cm="1">
        <f t="array" ref="R130">Common_InputFunctions.Utility_DisplayArrayInTable(Fertiliser_SourceData.Fertiliser_Products_Data3(),FertiliserProducts[[#Headers],[Include or Exclude]], 40)</f>
        <v/>
      </c>
      <c r="S130" s="65" t="str" cm="1">
        <f t="array" ref="S130">Common_InputFunctions.Utility_DisplayArrayInTable(Fertiliser_SourceData.Fertiliser_Products_Data3(),FertiliserProducts[[#Headers],[Include or Exclude]], 40)</f>
        <v/>
      </c>
      <c r="T130" s="65" t="str" cm="1">
        <f t="array" ref="T130">Common_InputFunctions.Utility_DisplayArrayInTable(Fertiliser_SourceData.Fertiliser_Products_Data3(),FertiliserProducts[[#Headers],[Include or Exclude]], 40)</f>
        <v/>
      </c>
      <c r="U130" s="65" t="str" cm="1">
        <f t="array" ref="U130">Common_InputFunctions.Utility_DisplayArrayInTable(Fertiliser_SourceData.Fertiliser_Products_Data3(),FertiliserProducts[[#Headers],[Include or Exclude]], 40)</f>
        <v/>
      </c>
      <c r="V130" s="65" t="str" cm="1">
        <f t="array" ref="V130">Common_InputFunctions.Utility_DisplayArrayInTable(Fertiliser_SourceData.Fertiliser_Products_Data3(),FertiliserProducts[[#Headers],[Include or Exclude]], 40)</f>
        <v/>
      </c>
      <c r="W130" s="65" t="str" cm="1">
        <f t="array" ref="W130">Common_InputFunctions.Utility_DisplayArrayInTable(Fertiliser_SourceData.Fertiliser_Products_Data3(),FertiliserProducts[[#Headers],[Include or Exclude]], 40)</f>
        <v>Crop Nutrition Solutions (Yara Australia)</v>
      </c>
      <c r="X130" s="65" t="str" cm="1">
        <f t="array" ref="X130">Common_InputFunctions.Utility_DisplayArrayInTable(Fertiliser_SourceData.Fertiliser_Products_Data3(),FertiliserProducts[[#Headers],[Include or Exclude]], 40)</f>
        <v/>
      </c>
      <c r="Y130" s="65" t="str" cm="1">
        <f t="array" ref="Y130">Common_InputFunctions.Utility_DisplayArrayInTable(Fertiliser_SourceData.Fertiliser_Products_Data3(),FertiliserProducts[[#Headers],[Include or Exclude]], 40)</f>
        <v/>
      </c>
      <c r="Z130" s="65"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4:31" ht="20.100000000000001" customHeight="1" x14ac:dyDescent="0.25">
      <c r="D131" s="65" t="str" cm="1">
        <f t="array" ref="D131">Common_InputFunctions.Utility_DisplayArrayInTable(Fertiliser_SourceData.Fertiliser_Products_Data3(),FertiliserProducts[[#Headers],[Include or Exclude]], 40)</f>
        <v>Yara K-Flow 0-14-30</v>
      </c>
      <c r="E131" s="65" t="str" cm="1">
        <f t="array" ref="E131">Common_InputFunctions.Utility_DisplayArrayInTable(Fertiliser_SourceData.Fertiliser_Products_Data3(),FertiliserProducts[[#Headers],[Include or Exclude]], 40)</f>
        <v/>
      </c>
      <c r="F131" s="65" t="str" cm="1">
        <f t="array" ref="F131">Common_InputFunctions.Utility_DisplayArrayInTable(Fertiliser_SourceData.Fertiliser_Products_Data3(),FertiliserProducts[[#Headers],[Include or Exclude]], 40)</f>
        <v/>
      </c>
      <c r="G131" s="65" t="str" cm="1">
        <f t="array" ref="G131">Common_InputFunctions.Utility_DisplayArrayInTable(Fertiliser_SourceData.Fertiliser_Products_Data3(),FertiliserProducts[[#Headers],[Include or Exclude]], 40)</f>
        <v/>
      </c>
      <c r="H131" s="65" t="str" cm="1">
        <f t="array" ref="H131">Common_InputFunctions.Utility_DisplayArrayInTable(Fertiliser_SourceData.Fertiliser_Products_Data3(),FertiliserProducts[[#Headers],[Include or Exclude]], 40)</f>
        <v/>
      </c>
      <c r="I131" s="65" t="str" cm="1">
        <f t="array" ref="I131">Common_InputFunctions.Utility_DisplayArrayInTable(Fertiliser_SourceData.Fertiliser_Products_Data3(),FertiliserProducts[[#Headers],[Include or Exclude]], 40)</f>
        <v/>
      </c>
      <c r="J131" s="65" t="str" cm="1">
        <f t="array" ref="J131">Common_InputFunctions.Utility_DisplayArrayInTable(Fertiliser_SourceData.Fertiliser_Products_Data3(),FertiliserProducts[[#Headers],[Include or Exclude]], 40)</f>
        <v/>
      </c>
      <c r="K131" s="65" t="str" cm="1">
        <f t="array" ref="K131">Common_InputFunctions.Utility_DisplayArrayInTable(Fertiliser_SourceData.Fertiliser_Products_Data3(),FertiliserProducts[[#Headers],[Include or Exclude]], 40)</f>
        <v/>
      </c>
      <c r="L131" s="65" t="str" cm="1">
        <f t="array" ref="L131">Common_InputFunctions.Utility_DisplayArrayInTable(Fertiliser_SourceData.Fertiliser_Products_Data3(),FertiliserProducts[[#Headers],[Include or Exclude]], 40)</f>
        <v/>
      </c>
      <c r="M131" s="65" t="str" cm="1">
        <f t="array" ref="M131">Common_InputFunctions.Utility_DisplayArrayInTable(Fertiliser_SourceData.Fertiliser_Products_Data3(),FertiliserProducts[[#Headers],[Include or Exclude]], 40)</f>
        <v/>
      </c>
      <c r="N131" s="65" t="str" cm="1">
        <f t="array" ref="N131">Common_InputFunctions.Utility_DisplayArrayInTable(Fertiliser_SourceData.Fertiliser_Products_Data3(),FertiliserProducts[[#Headers],[Include or Exclude]], 40)</f>
        <v/>
      </c>
      <c r="O131" s="65" t="str" cm="1">
        <f t="array" ref="O131">Common_InputFunctions.Utility_DisplayArrayInTable(Fertiliser_SourceData.Fertiliser_Products_Data3(),FertiliserProducts[[#Headers],[Include or Exclude]], 40)</f>
        <v/>
      </c>
      <c r="P131" s="65" t="str" cm="1">
        <f t="array" ref="P131">Common_InputFunctions.Utility_DisplayArrayInTable(Fertiliser_SourceData.Fertiliser_Products_Data3(),FertiliserProducts[[#Headers],[Include or Exclude]], 40)</f>
        <v/>
      </c>
      <c r="Q131" s="65" t="str" cm="1">
        <f t="array" ref="Q131">Common_InputFunctions.Utility_DisplayArrayInTable(Fertiliser_SourceData.Fertiliser_Products_Data3(),FertiliserProducts[[#Headers],[Include or Exclude]], 40)</f>
        <v/>
      </c>
      <c r="R131" s="65" t="str" cm="1">
        <f t="array" ref="R131">Common_InputFunctions.Utility_DisplayArrayInTable(Fertiliser_SourceData.Fertiliser_Products_Data3(),FertiliserProducts[[#Headers],[Include or Exclude]], 40)</f>
        <v/>
      </c>
      <c r="S131" s="65" t="str" cm="1">
        <f t="array" ref="S131">Common_InputFunctions.Utility_DisplayArrayInTable(Fertiliser_SourceData.Fertiliser_Products_Data3(),FertiliserProducts[[#Headers],[Include or Exclude]], 40)</f>
        <v/>
      </c>
      <c r="T131" s="65" t="str" cm="1">
        <f t="array" ref="T131">Common_InputFunctions.Utility_DisplayArrayInTable(Fertiliser_SourceData.Fertiliser_Products_Data3(),FertiliserProducts[[#Headers],[Include or Exclude]], 40)</f>
        <v/>
      </c>
      <c r="U131" s="65" t="str" cm="1">
        <f t="array" ref="U131">Common_InputFunctions.Utility_DisplayArrayInTable(Fertiliser_SourceData.Fertiliser_Products_Data3(),FertiliserProducts[[#Headers],[Include or Exclude]], 40)</f>
        <v/>
      </c>
      <c r="V131" s="65" t="str" cm="1">
        <f t="array" ref="V131">Common_InputFunctions.Utility_DisplayArrayInTable(Fertiliser_SourceData.Fertiliser_Products_Data3(),FertiliserProducts[[#Headers],[Include or Exclude]], 40)</f>
        <v/>
      </c>
      <c r="W131" s="65" t="str" cm="1">
        <f t="array" ref="W131">Common_InputFunctions.Utility_DisplayArrayInTable(Fertiliser_SourceData.Fertiliser_Products_Data3(),FertiliserProducts[[#Headers],[Include or Exclude]], 40)</f>
        <v>Crop Nutrition Solutions (Yara Australia)</v>
      </c>
      <c r="X131" s="65" t="str" cm="1">
        <f t="array" ref="X131">Common_InputFunctions.Utility_DisplayArrayInTable(Fertiliser_SourceData.Fertiliser_Products_Data3(),FertiliserProducts[[#Headers],[Include or Exclude]], 40)</f>
        <v/>
      </c>
      <c r="Y131" s="65" t="str" cm="1">
        <f t="array" ref="Y131">Common_InputFunctions.Utility_DisplayArrayInTable(Fertiliser_SourceData.Fertiliser_Products_Data3(),FertiliserProducts[[#Headers],[Include or Exclude]], 40)</f>
        <v/>
      </c>
      <c r="Z131" s="65"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4:31" ht="20.100000000000001" customHeight="1" x14ac:dyDescent="0.25">
      <c r="D132" s="65" t="str" cm="1">
        <f t="array" ref="D132">Common_InputFunctions.Utility_DisplayArrayInTable(Fertiliser_SourceData.Fertiliser_Products_Data3(),FertiliserProducts[[#Headers],[Include or Exclude]], 40)</f>
        <v>Yara K-Flow 0-7-36</v>
      </c>
      <c r="E132" s="65" t="str" cm="1">
        <f t="array" ref="E132">Common_InputFunctions.Utility_DisplayArrayInTable(Fertiliser_SourceData.Fertiliser_Products_Data3(),FertiliserProducts[[#Headers],[Include or Exclude]], 40)</f>
        <v/>
      </c>
      <c r="F132" s="65" t="str" cm="1">
        <f t="array" ref="F132">Common_InputFunctions.Utility_DisplayArrayInTable(Fertiliser_SourceData.Fertiliser_Products_Data3(),FertiliserProducts[[#Headers],[Include or Exclude]], 40)</f>
        <v/>
      </c>
      <c r="G132" s="65" t="str" cm="1">
        <f t="array" ref="G132">Common_InputFunctions.Utility_DisplayArrayInTable(Fertiliser_SourceData.Fertiliser_Products_Data3(),FertiliserProducts[[#Headers],[Include or Exclude]], 40)</f>
        <v/>
      </c>
      <c r="H132" s="65" t="str" cm="1">
        <f t="array" ref="H132">Common_InputFunctions.Utility_DisplayArrayInTable(Fertiliser_SourceData.Fertiliser_Products_Data3(),FertiliserProducts[[#Headers],[Include or Exclude]], 40)</f>
        <v/>
      </c>
      <c r="I132" s="65" t="str" cm="1">
        <f t="array" ref="I132">Common_InputFunctions.Utility_DisplayArrayInTable(Fertiliser_SourceData.Fertiliser_Products_Data3(),FertiliserProducts[[#Headers],[Include or Exclude]], 40)</f>
        <v/>
      </c>
      <c r="J132" s="65" t="str" cm="1">
        <f t="array" ref="J132">Common_InputFunctions.Utility_DisplayArrayInTable(Fertiliser_SourceData.Fertiliser_Products_Data3(),FertiliserProducts[[#Headers],[Include or Exclude]], 40)</f>
        <v/>
      </c>
      <c r="K132" s="65" t="str" cm="1">
        <f t="array" ref="K132">Common_InputFunctions.Utility_DisplayArrayInTable(Fertiliser_SourceData.Fertiliser_Products_Data3(),FertiliserProducts[[#Headers],[Include or Exclude]], 40)</f>
        <v/>
      </c>
      <c r="L132" s="65" t="str" cm="1">
        <f t="array" ref="L132">Common_InputFunctions.Utility_DisplayArrayInTable(Fertiliser_SourceData.Fertiliser_Products_Data3(),FertiliserProducts[[#Headers],[Include or Exclude]], 40)</f>
        <v/>
      </c>
      <c r="M132" s="65" t="str" cm="1">
        <f t="array" ref="M132">Common_InputFunctions.Utility_DisplayArrayInTable(Fertiliser_SourceData.Fertiliser_Products_Data3(),FertiliserProducts[[#Headers],[Include or Exclude]], 40)</f>
        <v/>
      </c>
      <c r="N132" s="65" t="str" cm="1">
        <f t="array" ref="N132">Common_InputFunctions.Utility_DisplayArrayInTable(Fertiliser_SourceData.Fertiliser_Products_Data3(),FertiliserProducts[[#Headers],[Include or Exclude]], 40)</f>
        <v/>
      </c>
      <c r="O132" s="65" t="str" cm="1">
        <f t="array" ref="O132">Common_InputFunctions.Utility_DisplayArrayInTable(Fertiliser_SourceData.Fertiliser_Products_Data3(),FertiliserProducts[[#Headers],[Include or Exclude]], 40)</f>
        <v/>
      </c>
      <c r="P132" s="65" t="str" cm="1">
        <f t="array" ref="P132">Common_InputFunctions.Utility_DisplayArrayInTable(Fertiliser_SourceData.Fertiliser_Products_Data3(),FertiliserProducts[[#Headers],[Include or Exclude]], 40)</f>
        <v/>
      </c>
      <c r="Q132" s="65" t="str" cm="1">
        <f t="array" ref="Q132">Common_InputFunctions.Utility_DisplayArrayInTable(Fertiliser_SourceData.Fertiliser_Products_Data3(),FertiliserProducts[[#Headers],[Include or Exclude]], 40)</f>
        <v/>
      </c>
      <c r="R132" s="65" t="str" cm="1">
        <f t="array" ref="R132">Common_InputFunctions.Utility_DisplayArrayInTable(Fertiliser_SourceData.Fertiliser_Products_Data3(),FertiliserProducts[[#Headers],[Include or Exclude]], 40)</f>
        <v/>
      </c>
      <c r="S132" s="65" t="str" cm="1">
        <f t="array" ref="S132">Common_InputFunctions.Utility_DisplayArrayInTable(Fertiliser_SourceData.Fertiliser_Products_Data3(),FertiliserProducts[[#Headers],[Include or Exclude]], 40)</f>
        <v/>
      </c>
      <c r="T132" s="65" t="str" cm="1">
        <f t="array" ref="T132">Common_InputFunctions.Utility_DisplayArrayInTable(Fertiliser_SourceData.Fertiliser_Products_Data3(),FertiliserProducts[[#Headers],[Include or Exclude]], 40)</f>
        <v/>
      </c>
      <c r="U132" s="65" t="str" cm="1">
        <f t="array" ref="U132">Common_InputFunctions.Utility_DisplayArrayInTable(Fertiliser_SourceData.Fertiliser_Products_Data3(),FertiliserProducts[[#Headers],[Include or Exclude]], 40)</f>
        <v/>
      </c>
      <c r="V132" s="65" t="str" cm="1">
        <f t="array" ref="V132">Common_InputFunctions.Utility_DisplayArrayInTable(Fertiliser_SourceData.Fertiliser_Products_Data3(),FertiliserProducts[[#Headers],[Include or Exclude]], 40)</f>
        <v/>
      </c>
      <c r="W132" s="65" t="str" cm="1">
        <f t="array" ref="W132">Common_InputFunctions.Utility_DisplayArrayInTable(Fertiliser_SourceData.Fertiliser_Products_Data3(),FertiliserProducts[[#Headers],[Include or Exclude]], 40)</f>
        <v>Crop Nutrition Solutions (Yara Australia)</v>
      </c>
      <c r="X132" s="65" t="str" cm="1">
        <f t="array" ref="X132">Common_InputFunctions.Utility_DisplayArrayInTable(Fertiliser_SourceData.Fertiliser_Products_Data3(),FertiliserProducts[[#Headers],[Include or Exclude]], 40)</f>
        <v/>
      </c>
      <c r="Y132" s="65" t="str" cm="1">
        <f t="array" ref="Y132">Common_InputFunctions.Utility_DisplayArrayInTable(Fertiliser_SourceData.Fertiliser_Products_Data3(),FertiliserProducts[[#Headers],[Include or Exclude]], 40)</f>
        <v/>
      </c>
      <c r="Z132" s="65"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4:31" ht="20.100000000000001" customHeight="1" x14ac:dyDescent="0.25">
      <c r="D133" s="65" t="str" cm="1">
        <f t="array" ref="D133">Common_InputFunctions.Utility_DisplayArrayInTable(Fertiliser_SourceData.Fertiliser_Products_Data3(),FertiliserProducts[[#Headers],[Include or Exclude]], 40)</f>
        <v>Yara K-Flow 13-0-7</v>
      </c>
      <c r="E133" s="65" t="str" cm="1">
        <f t="array" ref="E133">Common_InputFunctions.Utility_DisplayArrayInTable(Fertiliser_SourceData.Fertiliser_Products_Data3(),FertiliserProducts[[#Headers],[Include or Exclude]], 40)</f>
        <v/>
      </c>
      <c r="F133" s="65" t="str" cm="1">
        <f t="array" ref="F133">Common_InputFunctions.Utility_DisplayArrayInTable(Fertiliser_SourceData.Fertiliser_Products_Data3(),FertiliserProducts[[#Headers],[Include or Exclude]], 40)</f>
        <v/>
      </c>
      <c r="G133" s="65" t="str" cm="1">
        <f t="array" ref="G133">Common_InputFunctions.Utility_DisplayArrayInTable(Fertiliser_SourceData.Fertiliser_Products_Data3(),FertiliserProducts[[#Headers],[Include or Exclude]], 40)</f>
        <v/>
      </c>
      <c r="H133" s="65" t="str" cm="1">
        <f t="array" ref="H133">Common_InputFunctions.Utility_DisplayArrayInTable(Fertiliser_SourceData.Fertiliser_Products_Data3(),FertiliserProducts[[#Headers],[Include or Exclude]], 40)</f>
        <v/>
      </c>
      <c r="I133" s="65" t="str" cm="1">
        <f t="array" ref="I133">Common_InputFunctions.Utility_DisplayArrayInTable(Fertiliser_SourceData.Fertiliser_Products_Data3(),FertiliserProducts[[#Headers],[Include or Exclude]], 40)</f>
        <v/>
      </c>
      <c r="J133" s="65" t="str" cm="1">
        <f t="array" ref="J133">Common_InputFunctions.Utility_DisplayArrayInTable(Fertiliser_SourceData.Fertiliser_Products_Data3(),FertiliserProducts[[#Headers],[Include or Exclude]], 40)</f>
        <v/>
      </c>
      <c r="K133" s="65" t="str" cm="1">
        <f t="array" ref="K133">Common_InputFunctions.Utility_DisplayArrayInTable(Fertiliser_SourceData.Fertiliser_Products_Data3(),FertiliserProducts[[#Headers],[Include or Exclude]], 40)</f>
        <v/>
      </c>
      <c r="L133" s="65" t="str" cm="1">
        <f t="array" ref="L133">Common_InputFunctions.Utility_DisplayArrayInTable(Fertiliser_SourceData.Fertiliser_Products_Data3(),FertiliserProducts[[#Headers],[Include or Exclude]], 40)</f>
        <v/>
      </c>
      <c r="M133" s="65" t="str" cm="1">
        <f t="array" ref="M133">Common_InputFunctions.Utility_DisplayArrayInTable(Fertiliser_SourceData.Fertiliser_Products_Data3(),FertiliserProducts[[#Headers],[Include or Exclude]], 40)</f>
        <v/>
      </c>
      <c r="N133" s="65" t="str" cm="1">
        <f t="array" ref="N133">Common_InputFunctions.Utility_DisplayArrayInTable(Fertiliser_SourceData.Fertiliser_Products_Data3(),FertiliserProducts[[#Headers],[Include or Exclude]], 40)</f>
        <v/>
      </c>
      <c r="O133" s="65" t="str" cm="1">
        <f t="array" ref="O133">Common_InputFunctions.Utility_DisplayArrayInTable(Fertiliser_SourceData.Fertiliser_Products_Data3(),FertiliserProducts[[#Headers],[Include or Exclude]], 40)</f>
        <v/>
      </c>
      <c r="P133" s="65" t="str" cm="1">
        <f t="array" ref="P133">Common_InputFunctions.Utility_DisplayArrayInTable(Fertiliser_SourceData.Fertiliser_Products_Data3(),FertiliserProducts[[#Headers],[Include or Exclude]], 40)</f>
        <v/>
      </c>
      <c r="Q133" s="65" t="str" cm="1">
        <f t="array" ref="Q133">Common_InputFunctions.Utility_DisplayArrayInTable(Fertiliser_SourceData.Fertiliser_Products_Data3(),FertiliserProducts[[#Headers],[Include or Exclude]], 40)</f>
        <v/>
      </c>
      <c r="R133" s="65" t="str" cm="1">
        <f t="array" ref="R133">Common_InputFunctions.Utility_DisplayArrayInTable(Fertiliser_SourceData.Fertiliser_Products_Data3(),FertiliserProducts[[#Headers],[Include or Exclude]], 40)</f>
        <v/>
      </c>
      <c r="S133" s="65" t="str" cm="1">
        <f t="array" ref="S133">Common_InputFunctions.Utility_DisplayArrayInTable(Fertiliser_SourceData.Fertiliser_Products_Data3(),FertiliserProducts[[#Headers],[Include or Exclude]], 40)</f>
        <v/>
      </c>
      <c r="T133" s="65" t="str" cm="1">
        <f t="array" ref="T133">Common_InputFunctions.Utility_DisplayArrayInTable(Fertiliser_SourceData.Fertiliser_Products_Data3(),FertiliserProducts[[#Headers],[Include or Exclude]], 40)</f>
        <v/>
      </c>
      <c r="U133" s="65" t="str" cm="1">
        <f t="array" ref="U133">Common_InputFunctions.Utility_DisplayArrayInTable(Fertiliser_SourceData.Fertiliser_Products_Data3(),FertiliserProducts[[#Headers],[Include or Exclude]], 40)</f>
        <v/>
      </c>
      <c r="V133" s="65" t="str" cm="1">
        <f t="array" ref="V133">Common_InputFunctions.Utility_DisplayArrayInTable(Fertiliser_SourceData.Fertiliser_Products_Data3(),FertiliserProducts[[#Headers],[Include or Exclude]], 40)</f>
        <v/>
      </c>
      <c r="W133" s="65" t="str" cm="1">
        <f t="array" ref="W133">Common_InputFunctions.Utility_DisplayArrayInTable(Fertiliser_SourceData.Fertiliser_Products_Data3(),FertiliserProducts[[#Headers],[Include or Exclude]], 40)</f>
        <v>Crop Nutrition Solutions (Yara Australia)</v>
      </c>
      <c r="X133" s="65" t="str" cm="1">
        <f t="array" ref="X133">Common_InputFunctions.Utility_DisplayArrayInTable(Fertiliser_SourceData.Fertiliser_Products_Data3(),FertiliserProducts[[#Headers],[Include or Exclude]], 40)</f>
        <v/>
      </c>
      <c r="Y133" s="65" t="str" cm="1">
        <f t="array" ref="Y133">Common_InputFunctions.Utility_DisplayArrayInTable(Fertiliser_SourceData.Fertiliser_Products_Data3(),FertiliserProducts[[#Headers],[Include or Exclude]], 40)</f>
        <v/>
      </c>
      <c r="Z133" s="65"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4:31" ht="20.100000000000001" customHeight="1" x14ac:dyDescent="0.25">
      <c r="D134" s="65" t="str" cm="1">
        <f t="array" ref="D134">Common_InputFunctions.Utility_DisplayArrayInTable(Fertiliser_SourceData.Fertiliser_Products_Data3(),FertiliserProducts[[#Headers],[Include or Exclude]], 40)</f>
        <v>Yara K-Flow 4-0-12</v>
      </c>
      <c r="E134" s="65" t="str" cm="1">
        <f t="array" ref="E134">Common_InputFunctions.Utility_DisplayArrayInTable(Fertiliser_SourceData.Fertiliser_Products_Data3(),FertiliserProducts[[#Headers],[Include or Exclude]], 40)</f>
        <v/>
      </c>
      <c r="F134" s="65" t="str" cm="1">
        <f t="array" ref="F134">Common_InputFunctions.Utility_DisplayArrayInTable(Fertiliser_SourceData.Fertiliser_Products_Data3(),FertiliserProducts[[#Headers],[Include or Exclude]], 40)</f>
        <v/>
      </c>
      <c r="G134" s="65" t="str" cm="1">
        <f t="array" ref="G134">Common_InputFunctions.Utility_DisplayArrayInTable(Fertiliser_SourceData.Fertiliser_Products_Data3(),FertiliserProducts[[#Headers],[Include or Exclude]], 40)</f>
        <v/>
      </c>
      <c r="H134" s="65" t="str" cm="1">
        <f t="array" ref="H134">Common_InputFunctions.Utility_DisplayArrayInTable(Fertiliser_SourceData.Fertiliser_Products_Data3(),FertiliserProducts[[#Headers],[Include or Exclude]], 40)</f>
        <v/>
      </c>
      <c r="I134" s="65" t="str" cm="1">
        <f t="array" ref="I134">Common_InputFunctions.Utility_DisplayArrayInTable(Fertiliser_SourceData.Fertiliser_Products_Data3(),FertiliserProducts[[#Headers],[Include or Exclude]], 40)</f>
        <v/>
      </c>
      <c r="J134" s="65" t="str" cm="1">
        <f t="array" ref="J134">Common_InputFunctions.Utility_DisplayArrayInTable(Fertiliser_SourceData.Fertiliser_Products_Data3(),FertiliserProducts[[#Headers],[Include or Exclude]], 40)</f>
        <v/>
      </c>
      <c r="K134" s="65" t="str" cm="1">
        <f t="array" ref="K134">Common_InputFunctions.Utility_DisplayArrayInTable(Fertiliser_SourceData.Fertiliser_Products_Data3(),FertiliserProducts[[#Headers],[Include or Exclude]], 40)</f>
        <v/>
      </c>
      <c r="L134" s="65" t="str" cm="1">
        <f t="array" ref="L134">Common_InputFunctions.Utility_DisplayArrayInTable(Fertiliser_SourceData.Fertiliser_Products_Data3(),FertiliserProducts[[#Headers],[Include or Exclude]], 40)</f>
        <v/>
      </c>
      <c r="M134" s="65" t="str" cm="1">
        <f t="array" ref="M134">Common_InputFunctions.Utility_DisplayArrayInTable(Fertiliser_SourceData.Fertiliser_Products_Data3(),FertiliserProducts[[#Headers],[Include or Exclude]], 40)</f>
        <v/>
      </c>
      <c r="N134" s="65" t="str" cm="1">
        <f t="array" ref="N134">Common_InputFunctions.Utility_DisplayArrayInTable(Fertiliser_SourceData.Fertiliser_Products_Data3(),FertiliserProducts[[#Headers],[Include or Exclude]], 40)</f>
        <v/>
      </c>
      <c r="O134" s="65" t="str" cm="1">
        <f t="array" ref="O134">Common_InputFunctions.Utility_DisplayArrayInTable(Fertiliser_SourceData.Fertiliser_Products_Data3(),FertiliserProducts[[#Headers],[Include or Exclude]], 40)</f>
        <v/>
      </c>
      <c r="P134" s="65" t="str" cm="1">
        <f t="array" ref="P134">Common_InputFunctions.Utility_DisplayArrayInTable(Fertiliser_SourceData.Fertiliser_Products_Data3(),FertiliserProducts[[#Headers],[Include or Exclude]], 40)</f>
        <v/>
      </c>
      <c r="Q134" s="65" t="str" cm="1">
        <f t="array" ref="Q134">Common_InputFunctions.Utility_DisplayArrayInTable(Fertiliser_SourceData.Fertiliser_Products_Data3(),FertiliserProducts[[#Headers],[Include or Exclude]], 40)</f>
        <v/>
      </c>
      <c r="R134" s="65" t="str" cm="1">
        <f t="array" ref="R134">Common_InputFunctions.Utility_DisplayArrayInTable(Fertiliser_SourceData.Fertiliser_Products_Data3(),FertiliserProducts[[#Headers],[Include or Exclude]], 40)</f>
        <v/>
      </c>
      <c r="S134" s="65" t="str" cm="1">
        <f t="array" ref="S134">Common_InputFunctions.Utility_DisplayArrayInTable(Fertiliser_SourceData.Fertiliser_Products_Data3(),FertiliserProducts[[#Headers],[Include or Exclude]], 40)</f>
        <v/>
      </c>
      <c r="T134" s="65" t="str" cm="1">
        <f t="array" ref="T134">Common_InputFunctions.Utility_DisplayArrayInTable(Fertiliser_SourceData.Fertiliser_Products_Data3(),FertiliserProducts[[#Headers],[Include or Exclude]], 40)</f>
        <v/>
      </c>
      <c r="U134" s="65" t="str" cm="1">
        <f t="array" ref="U134">Common_InputFunctions.Utility_DisplayArrayInTable(Fertiliser_SourceData.Fertiliser_Products_Data3(),FertiliserProducts[[#Headers],[Include or Exclude]], 40)</f>
        <v/>
      </c>
      <c r="V134" s="65" t="str" cm="1">
        <f t="array" ref="V134">Common_InputFunctions.Utility_DisplayArrayInTable(Fertiliser_SourceData.Fertiliser_Products_Data3(),FertiliserProducts[[#Headers],[Include or Exclude]], 40)</f>
        <v/>
      </c>
      <c r="W134" s="65" t="str" cm="1">
        <f t="array" ref="W134">Common_InputFunctions.Utility_DisplayArrayInTable(Fertiliser_SourceData.Fertiliser_Products_Data3(),FertiliserProducts[[#Headers],[Include or Exclude]], 40)</f>
        <v>Crop Nutrition Solutions (Yara Australia)</v>
      </c>
      <c r="X134" s="65" t="str" cm="1">
        <f t="array" ref="X134">Common_InputFunctions.Utility_DisplayArrayInTable(Fertiliser_SourceData.Fertiliser_Products_Data3(),FertiliserProducts[[#Headers],[Include or Exclude]], 40)</f>
        <v/>
      </c>
      <c r="Y134" s="65" t="str" cm="1">
        <f t="array" ref="Y134">Common_InputFunctions.Utility_DisplayArrayInTable(Fertiliser_SourceData.Fertiliser_Products_Data3(),FertiliserProducts[[#Headers],[Include or Exclude]], 40)</f>
        <v/>
      </c>
      <c r="Z134" s="65"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4:31" ht="20.100000000000001" customHeight="1" x14ac:dyDescent="0.25">
      <c r="D135" s="65" t="str" cm="1">
        <f t="array" ref="D135">Common_InputFunctions.Utility_DisplayArrayInTable(Fertiliser_SourceData.Fertiliser_Products_Data3(),FertiliserProducts[[#Headers],[Include or Exclude]], 40)</f>
        <v>Yara Liquids MICRO-SUL</v>
      </c>
      <c r="E135" s="65" t="str" cm="1">
        <f t="array" ref="E135">Common_InputFunctions.Utility_DisplayArrayInTable(Fertiliser_SourceData.Fertiliser_Products_Data3(),FertiliserProducts[[#Headers],[Include or Exclude]], 40)</f>
        <v/>
      </c>
      <c r="F135" s="65" t="str" cm="1">
        <f t="array" ref="F135">Common_InputFunctions.Utility_DisplayArrayInTable(Fertiliser_SourceData.Fertiliser_Products_Data3(),FertiliserProducts[[#Headers],[Include or Exclude]], 40)</f>
        <v/>
      </c>
      <c r="G135" s="65" t="str" cm="1">
        <f t="array" ref="G135">Common_InputFunctions.Utility_DisplayArrayInTable(Fertiliser_SourceData.Fertiliser_Products_Data3(),FertiliserProducts[[#Headers],[Include or Exclude]], 40)</f>
        <v/>
      </c>
      <c r="H135" s="65" t="str" cm="1">
        <f t="array" ref="H135">Common_InputFunctions.Utility_DisplayArrayInTable(Fertiliser_SourceData.Fertiliser_Products_Data3(),FertiliserProducts[[#Headers],[Include or Exclude]], 40)</f>
        <v/>
      </c>
      <c r="I135" s="65" t="str" cm="1">
        <f t="array" ref="I135">Common_InputFunctions.Utility_DisplayArrayInTable(Fertiliser_SourceData.Fertiliser_Products_Data3(),FertiliserProducts[[#Headers],[Include or Exclude]], 40)</f>
        <v/>
      </c>
      <c r="J135" s="65" t="str" cm="1">
        <f t="array" ref="J135">Common_InputFunctions.Utility_DisplayArrayInTable(Fertiliser_SourceData.Fertiliser_Products_Data3(),FertiliserProducts[[#Headers],[Include or Exclude]], 40)</f>
        <v/>
      </c>
      <c r="K135" s="65" t="str" cm="1">
        <f t="array" ref="K135">Common_InputFunctions.Utility_DisplayArrayInTable(Fertiliser_SourceData.Fertiliser_Products_Data3(),FertiliserProducts[[#Headers],[Include or Exclude]], 40)</f>
        <v/>
      </c>
      <c r="L135" s="65" t="str" cm="1">
        <f t="array" ref="L135">Common_InputFunctions.Utility_DisplayArrayInTable(Fertiliser_SourceData.Fertiliser_Products_Data3(),FertiliserProducts[[#Headers],[Include or Exclude]], 40)</f>
        <v/>
      </c>
      <c r="M135" s="65" t="str" cm="1">
        <f t="array" ref="M135">Common_InputFunctions.Utility_DisplayArrayInTable(Fertiliser_SourceData.Fertiliser_Products_Data3(),FertiliserProducts[[#Headers],[Include or Exclude]], 40)</f>
        <v/>
      </c>
      <c r="N135" s="65" t="str" cm="1">
        <f t="array" ref="N135">Common_InputFunctions.Utility_DisplayArrayInTable(Fertiliser_SourceData.Fertiliser_Products_Data3(),FertiliserProducts[[#Headers],[Include or Exclude]], 40)</f>
        <v/>
      </c>
      <c r="O135" s="65" t="str" cm="1">
        <f t="array" ref="O135">Common_InputFunctions.Utility_DisplayArrayInTable(Fertiliser_SourceData.Fertiliser_Products_Data3(),FertiliserProducts[[#Headers],[Include or Exclude]], 40)</f>
        <v/>
      </c>
      <c r="P135" s="65" t="str" cm="1">
        <f t="array" ref="P135">Common_InputFunctions.Utility_DisplayArrayInTable(Fertiliser_SourceData.Fertiliser_Products_Data3(),FertiliserProducts[[#Headers],[Include or Exclude]], 40)</f>
        <v/>
      </c>
      <c r="Q135" s="65" t="str" cm="1">
        <f t="array" ref="Q135">Common_InputFunctions.Utility_DisplayArrayInTable(Fertiliser_SourceData.Fertiliser_Products_Data3(),FertiliserProducts[[#Headers],[Include or Exclude]], 40)</f>
        <v/>
      </c>
      <c r="R135" s="65" t="str" cm="1">
        <f t="array" ref="R135">Common_InputFunctions.Utility_DisplayArrayInTable(Fertiliser_SourceData.Fertiliser_Products_Data3(),FertiliserProducts[[#Headers],[Include or Exclude]], 40)</f>
        <v/>
      </c>
      <c r="S135" s="65" t="str" cm="1">
        <f t="array" ref="S135">Common_InputFunctions.Utility_DisplayArrayInTable(Fertiliser_SourceData.Fertiliser_Products_Data3(),FertiliserProducts[[#Headers],[Include or Exclude]], 40)</f>
        <v/>
      </c>
      <c r="T135" s="65" t="str" cm="1">
        <f t="array" ref="T135">Common_InputFunctions.Utility_DisplayArrayInTable(Fertiliser_SourceData.Fertiliser_Products_Data3(),FertiliserProducts[[#Headers],[Include or Exclude]], 40)</f>
        <v/>
      </c>
      <c r="U135" s="65" t="str" cm="1">
        <f t="array" ref="U135">Common_InputFunctions.Utility_DisplayArrayInTable(Fertiliser_SourceData.Fertiliser_Products_Data3(),FertiliserProducts[[#Headers],[Include or Exclude]], 40)</f>
        <v/>
      </c>
      <c r="V135" s="65" t="str" cm="1">
        <f t="array" ref="V135">Common_InputFunctions.Utility_DisplayArrayInTable(Fertiliser_SourceData.Fertiliser_Products_Data3(),FertiliserProducts[[#Headers],[Include or Exclude]], 40)</f>
        <v/>
      </c>
      <c r="W135" s="65" t="str" cm="1">
        <f t="array" ref="W135">Common_InputFunctions.Utility_DisplayArrayInTable(Fertiliser_SourceData.Fertiliser_Products_Data3(),FertiliserProducts[[#Headers],[Include or Exclude]], 40)</f>
        <v>Crop Nutrition Solutions (Yara Australia)</v>
      </c>
      <c r="X135" s="65" t="str" cm="1">
        <f t="array" ref="X135">Common_InputFunctions.Utility_DisplayArrayInTable(Fertiliser_SourceData.Fertiliser_Products_Data3(),FertiliserProducts[[#Headers],[Include or Exclude]], 40)</f>
        <v/>
      </c>
      <c r="Y135" s="65" t="str" cm="1">
        <f t="array" ref="Y135">Common_InputFunctions.Utility_DisplayArrayInTable(Fertiliser_SourceData.Fertiliser_Products_Data3(),FertiliserProducts[[#Headers],[Include or Exclude]], 40)</f>
        <v/>
      </c>
      <c r="Z135" s="65"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4:31" ht="20.100000000000001" customHeight="1" x14ac:dyDescent="0.25">
      <c r="D136" s="65" t="str" cm="1">
        <f t="array" ref="D136">Common_InputFunctions.Utility_DisplayArrayInTable(Fertiliser_SourceData.Fertiliser_Products_Data3(),FertiliserProducts[[#Headers],[Include or Exclude]], 40)</f>
        <v>Yara Liquids N24</v>
      </c>
      <c r="E136" s="65" t="str" cm="1">
        <f t="array" ref="E136">Common_InputFunctions.Utility_DisplayArrayInTable(Fertiliser_SourceData.Fertiliser_Products_Data3(),FertiliserProducts[[#Headers],[Include or Exclude]], 40)</f>
        <v/>
      </c>
      <c r="F136" s="65" t="str" cm="1">
        <f t="array" ref="F136">Common_InputFunctions.Utility_DisplayArrayInTable(Fertiliser_SourceData.Fertiliser_Products_Data3(),FertiliserProducts[[#Headers],[Include or Exclude]], 40)</f>
        <v/>
      </c>
      <c r="G136" s="65" t="str" cm="1">
        <f t="array" ref="G136">Common_InputFunctions.Utility_DisplayArrayInTable(Fertiliser_SourceData.Fertiliser_Products_Data3(),FertiliserProducts[[#Headers],[Include or Exclude]], 40)</f>
        <v/>
      </c>
      <c r="H136" s="65" t="str" cm="1">
        <f t="array" ref="H136">Common_InputFunctions.Utility_DisplayArrayInTable(Fertiliser_SourceData.Fertiliser_Products_Data3(),FertiliserProducts[[#Headers],[Include or Exclude]], 40)</f>
        <v/>
      </c>
      <c r="I136" s="65" t="str" cm="1">
        <f t="array" ref="I136">Common_InputFunctions.Utility_DisplayArrayInTable(Fertiliser_SourceData.Fertiliser_Products_Data3(),FertiliserProducts[[#Headers],[Include or Exclude]], 40)</f>
        <v/>
      </c>
      <c r="J136" s="65" t="str" cm="1">
        <f t="array" ref="J136">Common_InputFunctions.Utility_DisplayArrayInTable(Fertiliser_SourceData.Fertiliser_Products_Data3(),FertiliserProducts[[#Headers],[Include or Exclude]], 40)</f>
        <v/>
      </c>
      <c r="K136" s="65" t="str" cm="1">
        <f t="array" ref="K136">Common_InputFunctions.Utility_DisplayArrayInTable(Fertiliser_SourceData.Fertiliser_Products_Data3(),FertiliserProducts[[#Headers],[Include or Exclude]], 40)</f>
        <v/>
      </c>
      <c r="L136" s="65" t="str" cm="1">
        <f t="array" ref="L136">Common_InputFunctions.Utility_DisplayArrayInTable(Fertiliser_SourceData.Fertiliser_Products_Data3(),FertiliserProducts[[#Headers],[Include or Exclude]], 40)</f>
        <v/>
      </c>
      <c r="M136" s="65" t="str" cm="1">
        <f t="array" ref="M136">Common_InputFunctions.Utility_DisplayArrayInTable(Fertiliser_SourceData.Fertiliser_Products_Data3(),FertiliserProducts[[#Headers],[Include or Exclude]], 40)</f>
        <v/>
      </c>
      <c r="N136" s="65" t="str" cm="1">
        <f t="array" ref="N136">Common_InputFunctions.Utility_DisplayArrayInTable(Fertiliser_SourceData.Fertiliser_Products_Data3(),FertiliserProducts[[#Headers],[Include or Exclude]], 40)</f>
        <v/>
      </c>
      <c r="O136" s="65" t="str" cm="1">
        <f t="array" ref="O136">Common_InputFunctions.Utility_DisplayArrayInTable(Fertiliser_SourceData.Fertiliser_Products_Data3(),FertiliserProducts[[#Headers],[Include or Exclude]], 40)</f>
        <v/>
      </c>
      <c r="P136" s="65" t="str" cm="1">
        <f t="array" ref="P136">Common_InputFunctions.Utility_DisplayArrayInTable(Fertiliser_SourceData.Fertiliser_Products_Data3(),FertiliserProducts[[#Headers],[Include or Exclude]], 40)</f>
        <v/>
      </c>
      <c r="Q136" s="65" t="str" cm="1">
        <f t="array" ref="Q136">Common_InputFunctions.Utility_DisplayArrayInTable(Fertiliser_SourceData.Fertiliser_Products_Data3(),FertiliserProducts[[#Headers],[Include or Exclude]], 40)</f>
        <v/>
      </c>
      <c r="R136" s="65" t="str" cm="1">
        <f t="array" ref="R136">Common_InputFunctions.Utility_DisplayArrayInTable(Fertiliser_SourceData.Fertiliser_Products_Data3(),FertiliserProducts[[#Headers],[Include or Exclude]], 40)</f>
        <v/>
      </c>
      <c r="S136" s="65" t="str" cm="1">
        <f t="array" ref="S136">Common_InputFunctions.Utility_DisplayArrayInTable(Fertiliser_SourceData.Fertiliser_Products_Data3(),FertiliserProducts[[#Headers],[Include or Exclude]], 40)</f>
        <v/>
      </c>
      <c r="T136" s="65" t="str" cm="1">
        <f t="array" ref="T136">Common_InputFunctions.Utility_DisplayArrayInTable(Fertiliser_SourceData.Fertiliser_Products_Data3(),FertiliserProducts[[#Headers],[Include or Exclude]], 40)</f>
        <v/>
      </c>
      <c r="U136" s="65" t="str" cm="1">
        <f t="array" ref="U136">Common_InputFunctions.Utility_DisplayArrayInTable(Fertiliser_SourceData.Fertiliser_Products_Data3(),FertiliserProducts[[#Headers],[Include or Exclude]], 40)</f>
        <v/>
      </c>
      <c r="V136" s="65" t="str" cm="1">
        <f t="array" ref="V136">Common_InputFunctions.Utility_DisplayArrayInTable(Fertiliser_SourceData.Fertiliser_Products_Data3(),FertiliserProducts[[#Headers],[Include or Exclude]], 40)</f>
        <v/>
      </c>
      <c r="W136" s="65" t="str" cm="1">
        <f t="array" ref="W136">Common_InputFunctions.Utility_DisplayArrayInTable(Fertiliser_SourceData.Fertiliser_Products_Data3(),FertiliserProducts[[#Headers],[Include or Exclude]], 40)</f>
        <v>Crop Nutrition Solutions (Yara Australia)</v>
      </c>
      <c r="X136" s="65" t="str" cm="1">
        <f t="array" ref="X136">Common_InputFunctions.Utility_DisplayArrayInTable(Fertiliser_SourceData.Fertiliser_Products_Data3(),FertiliserProducts[[#Headers],[Include or Exclude]], 40)</f>
        <v/>
      </c>
      <c r="Y136" s="65" t="str" cm="1">
        <f t="array" ref="Y136">Common_InputFunctions.Utility_DisplayArrayInTable(Fertiliser_SourceData.Fertiliser_Products_Data3(),FertiliserProducts[[#Headers],[Include or Exclude]], 40)</f>
        <v/>
      </c>
      <c r="Z136" s="65"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4:31" ht="20.100000000000001" customHeight="1" x14ac:dyDescent="0.25">
      <c r="D137" s="65" t="str" cm="1">
        <f t="array" ref="D137">Common_InputFunctions.Utility_DisplayArrayInTable(Fertiliser_SourceData.Fertiliser_Products_Data3(),FertiliserProducts[[#Headers],[Include or Exclude]], 40)</f>
        <v>Yara Liquids N25</v>
      </c>
      <c r="E137" s="65" t="str" cm="1">
        <f t="array" ref="E137">Common_InputFunctions.Utility_DisplayArrayInTable(Fertiliser_SourceData.Fertiliser_Products_Data3(),FertiliserProducts[[#Headers],[Include or Exclude]], 40)</f>
        <v/>
      </c>
      <c r="F137" s="65" t="str" cm="1">
        <f t="array" ref="F137">Common_InputFunctions.Utility_DisplayArrayInTable(Fertiliser_SourceData.Fertiliser_Products_Data3(),FertiliserProducts[[#Headers],[Include or Exclude]], 40)</f>
        <v/>
      </c>
      <c r="G137" s="65" t="str" cm="1">
        <f t="array" ref="G137">Common_InputFunctions.Utility_DisplayArrayInTable(Fertiliser_SourceData.Fertiliser_Products_Data3(),FertiliserProducts[[#Headers],[Include or Exclude]], 40)</f>
        <v/>
      </c>
      <c r="H137" s="65" t="str" cm="1">
        <f t="array" ref="H137">Common_InputFunctions.Utility_DisplayArrayInTable(Fertiliser_SourceData.Fertiliser_Products_Data3(),FertiliserProducts[[#Headers],[Include or Exclude]], 40)</f>
        <v/>
      </c>
      <c r="I137" s="65" t="str" cm="1">
        <f t="array" ref="I137">Common_InputFunctions.Utility_DisplayArrayInTable(Fertiliser_SourceData.Fertiliser_Products_Data3(),FertiliserProducts[[#Headers],[Include or Exclude]], 40)</f>
        <v/>
      </c>
      <c r="J137" s="65" t="str" cm="1">
        <f t="array" ref="J137">Common_InputFunctions.Utility_DisplayArrayInTable(Fertiliser_SourceData.Fertiliser_Products_Data3(),FertiliserProducts[[#Headers],[Include or Exclude]], 40)</f>
        <v/>
      </c>
      <c r="K137" s="65" t="str" cm="1">
        <f t="array" ref="K137">Common_InputFunctions.Utility_DisplayArrayInTable(Fertiliser_SourceData.Fertiliser_Products_Data3(),FertiliserProducts[[#Headers],[Include or Exclude]], 40)</f>
        <v/>
      </c>
      <c r="L137" s="65" t="str" cm="1">
        <f t="array" ref="L137">Common_InputFunctions.Utility_DisplayArrayInTable(Fertiliser_SourceData.Fertiliser_Products_Data3(),FertiliserProducts[[#Headers],[Include or Exclude]], 40)</f>
        <v/>
      </c>
      <c r="M137" s="65" t="str" cm="1">
        <f t="array" ref="M137">Common_InputFunctions.Utility_DisplayArrayInTable(Fertiliser_SourceData.Fertiliser_Products_Data3(),FertiliserProducts[[#Headers],[Include or Exclude]], 40)</f>
        <v/>
      </c>
      <c r="N137" s="65" t="str" cm="1">
        <f t="array" ref="N137">Common_InputFunctions.Utility_DisplayArrayInTable(Fertiliser_SourceData.Fertiliser_Products_Data3(),FertiliserProducts[[#Headers],[Include or Exclude]], 40)</f>
        <v/>
      </c>
      <c r="O137" s="65" t="str" cm="1">
        <f t="array" ref="O137">Common_InputFunctions.Utility_DisplayArrayInTable(Fertiliser_SourceData.Fertiliser_Products_Data3(),FertiliserProducts[[#Headers],[Include or Exclude]], 40)</f>
        <v/>
      </c>
      <c r="P137" s="65" t="str" cm="1">
        <f t="array" ref="P137">Common_InputFunctions.Utility_DisplayArrayInTable(Fertiliser_SourceData.Fertiliser_Products_Data3(),FertiliserProducts[[#Headers],[Include or Exclude]], 40)</f>
        <v/>
      </c>
      <c r="Q137" s="65" t="str" cm="1">
        <f t="array" ref="Q137">Common_InputFunctions.Utility_DisplayArrayInTable(Fertiliser_SourceData.Fertiliser_Products_Data3(),FertiliserProducts[[#Headers],[Include or Exclude]], 40)</f>
        <v/>
      </c>
      <c r="R137" s="65" t="str" cm="1">
        <f t="array" ref="R137">Common_InputFunctions.Utility_DisplayArrayInTable(Fertiliser_SourceData.Fertiliser_Products_Data3(),FertiliserProducts[[#Headers],[Include or Exclude]], 40)</f>
        <v/>
      </c>
      <c r="S137" s="65" t="str" cm="1">
        <f t="array" ref="S137">Common_InputFunctions.Utility_DisplayArrayInTable(Fertiliser_SourceData.Fertiliser_Products_Data3(),FertiliserProducts[[#Headers],[Include or Exclude]], 40)</f>
        <v/>
      </c>
      <c r="T137" s="65" t="str" cm="1">
        <f t="array" ref="T137">Common_InputFunctions.Utility_DisplayArrayInTable(Fertiliser_SourceData.Fertiliser_Products_Data3(),FertiliserProducts[[#Headers],[Include or Exclude]], 40)</f>
        <v/>
      </c>
      <c r="U137" s="65" t="str" cm="1">
        <f t="array" ref="U137">Common_InputFunctions.Utility_DisplayArrayInTable(Fertiliser_SourceData.Fertiliser_Products_Data3(),FertiliserProducts[[#Headers],[Include or Exclude]], 40)</f>
        <v/>
      </c>
      <c r="V137" s="65" t="str" cm="1">
        <f t="array" ref="V137">Common_InputFunctions.Utility_DisplayArrayInTable(Fertiliser_SourceData.Fertiliser_Products_Data3(),FertiliserProducts[[#Headers],[Include or Exclude]], 40)</f>
        <v/>
      </c>
      <c r="W137" s="65" t="str" cm="1">
        <f t="array" ref="W137">Common_InputFunctions.Utility_DisplayArrayInTable(Fertiliser_SourceData.Fertiliser_Products_Data3(),FertiliserProducts[[#Headers],[Include or Exclude]], 40)</f>
        <v>Crop Nutrition Solutions (Yara Australia)</v>
      </c>
      <c r="X137" s="65" t="str" cm="1">
        <f t="array" ref="X137">Common_InputFunctions.Utility_DisplayArrayInTable(Fertiliser_SourceData.Fertiliser_Products_Data3(),FertiliserProducts[[#Headers],[Include or Exclude]], 40)</f>
        <v/>
      </c>
      <c r="Y137" s="65" t="str" cm="1">
        <f t="array" ref="Y137">Common_InputFunctions.Utility_DisplayArrayInTable(Fertiliser_SourceData.Fertiliser_Products_Data3(),FertiliserProducts[[#Headers],[Include or Exclude]], 40)</f>
        <v/>
      </c>
      <c r="Z137" s="65"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4:31" ht="20.100000000000001" customHeight="1" x14ac:dyDescent="0.25">
      <c r="D138" s="65" t="str" cm="1">
        <f t="array" ref="D138">Common_InputFunctions.Utility_DisplayArrayInTable(Fertiliser_SourceData.Fertiliser_Products_Data3(),FertiliserProducts[[#Headers],[Include or Exclude]], 40)</f>
        <v>Yara Liquids N26</v>
      </c>
      <c r="E138" s="65" t="str" cm="1">
        <f t="array" ref="E138">Common_InputFunctions.Utility_DisplayArrayInTable(Fertiliser_SourceData.Fertiliser_Products_Data3(),FertiliserProducts[[#Headers],[Include or Exclude]], 40)</f>
        <v/>
      </c>
      <c r="F138" s="65" t="str" cm="1">
        <f t="array" ref="F138">Common_InputFunctions.Utility_DisplayArrayInTable(Fertiliser_SourceData.Fertiliser_Products_Data3(),FertiliserProducts[[#Headers],[Include or Exclude]], 40)</f>
        <v/>
      </c>
      <c r="G138" s="65" t="str" cm="1">
        <f t="array" ref="G138">Common_InputFunctions.Utility_DisplayArrayInTable(Fertiliser_SourceData.Fertiliser_Products_Data3(),FertiliserProducts[[#Headers],[Include or Exclude]], 40)</f>
        <v/>
      </c>
      <c r="H138" s="65" t="str" cm="1">
        <f t="array" ref="H138">Common_InputFunctions.Utility_DisplayArrayInTable(Fertiliser_SourceData.Fertiliser_Products_Data3(),FertiliserProducts[[#Headers],[Include or Exclude]], 40)</f>
        <v/>
      </c>
      <c r="I138" s="65" t="str" cm="1">
        <f t="array" ref="I138">Common_InputFunctions.Utility_DisplayArrayInTable(Fertiliser_SourceData.Fertiliser_Products_Data3(),FertiliserProducts[[#Headers],[Include or Exclude]], 40)</f>
        <v/>
      </c>
      <c r="J138" s="65" t="str" cm="1">
        <f t="array" ref="J138">Common_InputFunctions.Utility_DisplayArrayInTable(Fertiliser_SourceData.Fertiliser_Products_Data3(),FertiliserProducts[[#Headers],[Include or Exclude]], 40)</f>
        <v/>
      </c>
      <c r="K138" s="65" t="str" cm="1">
        <f t="array" ref="K138">Common_InputFunctions.Utility_DisplayArrayInTable(Fertiliser_SourceData.Fertiliser_Products_Data3(),FertiliserProducts[[#Headers],[Include or Exclude]], 40)</f>
        <v/>
      </c>
      <c r="L138" s="65" t="str" cm="1">
        <f t="array" ref="L138">Common_InputFunctions.Utility_DisplayArrayInTable(Fertiliser_SourceData.Fertiliser_Products_Data3(),FertiliserProducts[[#Headers],[Include or Exclude]], 40)</f>
        <v/>
      </c>
      <c r="M138" s="65" t="str" cm="1">
        <f t="array" ref="M138">Common_InputFunctions.Utility_DisplayArrayInTable(Fertiliser_SourceData.Fertiliser_Products_Data3(),FertiliserProducts[[#Headers],[Include or Exclude]], 40)</f>
        <v/>
      </c>
      <c r="N138" s="65" t="str" cm="1">
        <f t="array" ref="N138">Common_InputFunctions.Utility_DisplayArrayInTable(Fertiliser_SourceData.Fertiliser_Products_Data3(),FertiliserProducts[[#Headers],[Include or Exclude]], 40)</f>
        <v/>
      </c>
      <c r="O138" s="65" t="str" cm="1">
        <f t="array" ref="O138">Common_InputFunctions.Utility_DisplayArrayInTable(Fertiliser_SourceData.Fertiliser_Products_Data3(),FertiliserProducts[[#Headers],[Include or Exclude]], 40)</f>
        <v/>
      </c>
      <c r="P138" s="65" t="str" cm="1">
        <f t="array" ref="P138">Common_InputFunctions.Utility_DisplayArrayInTable(Fertiliser_SourceData.Fertiliser_Products_Data3(),FertiliserProducts[[#Headers],[Include or Exclude]], 40)</f>
        <v/>
      </c>
      <c r="Q138" s="65" t="str" cm="1">
        <f t="array" ref="Q138">Common_InputFunctions.Utility_DisplayArrayInTable(Fertiliser_SourceData.Fertiliser_Products_Data3(),FertiliserProducts[[#Headers],[Include or Exclude]], 40)</f>
        <v/>
      </c>
      <c r="R138" s="65" t="str" cm="1">
        <f t="array" ref="R138">Common_InputFunctions.Utility_DisplayArrayInTable(Fertiliser_SourceData.Fertiliser_Products_Data3(),FertiliserProducts[[#Headers],[Include or Exclude]], 40)</f>
        <v/>
      </c>
      <c r="S138" s="65" t="str" cm="1">
        <f t="array" ref="S138">Common_InputFunctions.Utility_DisplayArrayInTable(Fertiliser_SourceData.Fertiliser_Products_Data3(),FertiliserProducts[[#Headers],[Include or Exclude]], 40)</f>
        <v/>
      </c>
      <c r="T138" s="65" t="str" cm="1">
        <f t="array" ref="T138">Common_InputFunctions.Utility_DisplayArrayInTable(Fertiliser_SourceData.Fertiliser_Products_Data3(),FertiliserProducts[[#Headers],[Include or Exclude]], 40)</f>
        <v/>
      </c>
      <c r="U138" s="65" t="str" cm="1">
        <f t="array" ref="U138">Common_InputFunctions.Utility_DisplayArrayInTable(Fertiliser_SourceData.Fertiliser_Products_Data3(),FertiliserProducts[[#Headers],[Include or Exclude]], 40)</f>
        <v/>
      </c>
      <c r="V138" s="65" t="str" cm="1">
        <f t="array" ref="V138">Common_InputFunctions.Utility_DisplayArrayInTable(Fertiliser_SourceData.Fertiliser_Products_Data3(),FertiliserProducts[[#Headers],[Include or Exclude]], 40)</f>
        <v/>
      </c>
      <c r="W138" s="65" t="str" cm="1">
        <f t="array" ref="W138">Common_InputFunctions.Utility_DisplayArrayInTable(Fertiliser_SourceData.Fertiliser_Products_Data3(),FertiliserProducts[[#Headers],[Include or Exclude]], 40)</f>
        <v>Crop Nutrition Solutions (Yara Australia)</v>
      </c>
      <c r="X138" s="65" t="str" cm="1">
        <f t="array" ref="X138">Common_InputFunctions.Utility_DisplayArrayInTable(Fertiliser_SourceData.Fertiliser_Products_Data3(),FertiliserProducts[[#Headers],[Include or Exclude]], 40)</f>
        <v/>
      </c>
      <c r="Y138" s="65" t="str" cm="1">
        <f t="array" ref="Y138">Common_InputFunctions.Utility_DisplayArrayInTable(Fertiliser_SourceData.Fertiliser_Products_Data3(),FertiliserProducts[[#Headers],[Include or Exclude]], 40)</f>
        <v/>
      </c>
      <c r="Z138" s="65"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4:31" ht="20.100000000000001" customHeight="1" x14ac:dyDescent="0.25">
      <c r="D139" s="65" t="str" cm="1">
        <f t="array" ref="D139">Common_InputFunctions.Utility_DisplayArrayInTable(Fertiliser_SourceData.Fertiliser_Products_Data3(),FertiliserProducts[[#Headers],[Include or Exclude]], 40)</f>
        <v>Yara Liquids N42</v>
      </c>
      <c r="E139" s="65" t="str" cm="1">
        <f t="array" ref="E139">Common_InputFunctions.Utility_DisplayArrayInTable(Fertiliser_SourceData.Fertiliser_Products_Data3(),FertiliserProducts[[#Headers],[Include or Exclude]], 40)</f>
        <v/>
      </c>
      <c r="F139" s="65" t="str" cm="1">
        <f t="array" ref="F139">Common_InputFunctions.Utility_DisplayArrayInTable(Fertiliser_SourceData.Fertiliser_Products_Data3(),FertiliserProducts[[#Headers],[Include or Exclude]], 40)</f>
        <v/>
      </c>
      <c r="G139" s="65" t="str" cm="1">
        <f t="array" ref="G139">Common_InputFunctions.Utility_DisplayArrayInTable(Fertiliser_SourceData.Fertiliser_Products_Data3(),FertiliserProducts[[#Headers],[Include or Exclude]], 40)</f>
        <v/>
      </c>
      <c r="H139" s="65" t="str" cm="1">
        <f t="array" ref="H139">Common_InputFunctions.Utility_DisplayArrayInTable(Fertiliser_SourceData.Fertiliser_Products_Data3(),FertiliserProducts[[#Headers],[Include or Exclude]], 40)</f>
        <v/>
      </c>
      <c r="I139" s="65" t="str" cm="1">
        <f t="array" ref="I139">Common_InputFunctions.Utility_DisplayArrayInTable(Fertiliser_SourceData.Fertiliser_Products_Data3(),FertiliserProducts[[#Headers],[Include or Exclude]], 40)</f>
        <v/>
      </c>
      <c r="J139" s="65" t="str" cm="1">
        <f t="array" ref="J139">Common_InputFunctions.Utility_DisplayArrayInTable(Fertiliser_SourceData.Fertiliser_Products_Data3(),FertiliserProducts[[#Headers],[Include or Exclude]], 40)</f>
        <v/>
      </c>
      <c r="K139" s="65" t="str" cm="1">
        <f t="array" ref="K139">Common_InputFunctions.Utility_DisplayArrayInTable(Fertiliser_SourceData.Fertiliser_Products_Data3(),FertiliserProducts[[#Headers],[Include or Exclude]], 40)</f>
        <v/>
      </c>
      <c r="L139" s="65" t="str" cm="1">
        <f t="array" ref="L139">Common_InputFunctions.Utility_DisplayArrayInTable(Fertiliser_SourceData.Fertiliser_Products_Data3(),FertiliserProducts[[#Headers],[Include or Exclude]], 40)</f>
        <v/>
      </c>
      <c r="M139" s="65" t="str" cm="1">
        <f t="array" ref="M139">Common_InputFunctions.Utility_DisplayArrayInTable(Fertiliser_SourceData.Fertiliser_Products_Data3(),FertiliserProducts[[#Headers],[Include or Exclude]], 40)</f>
        <v/>
      </c>
      <c r="N139" s="65" t="str" cm="1">
        <f t="array" ref="N139">Common_InputFunctions.Utility_DisplayArrayInTable(Fertiliser_SourceData.Fertiliser_Products_Data3(),FertiliserProducts[[#Headers],[Include or Exclude]], 40)</f>
        <v/>
      </c>
      <c r="O139" s="65" t="str" cm="1">
        <f t="array" ref="O139">Common_InputFunctions.Utility_DisplayArrayInTable(Fertiliser_SourceData.Fertiliser_Products_Data3(),FertiliserProducts[[#Headers],[Include or Exclude]], 40)</f>
        <v/>
      </c>
      <c r="P139" s="65" t="str" cm="1">
        <f t="array" ref="P139">Common_InputFunctions.Utility_DisplayArrayInTable(Fertiliser_SourceData.Fertiliser_Products_Data3(),FertiliserProducts[[#Headers],[Include or Exclude]], 40)</f>
        <v/>
      </c>
      <c r="Q139" s="65" t="str" cm="1">
        <f t="array" ref="Q139">Common_InputFunctions.Utility_DisplayArrayInTable(Fertiliser_SourceData.Fertiliser_Products_Data3(),FertiliserProducts[[#Headers],[Include or Exclude]], 40)</f>
        <v/>
      </c>
      <c r="R139" s="65" t="str" cm="1">
        <f t="array" ref="R139">Common_InputFunctions.Utility_DisplayArrayInTable(Fertiliser_SourceData.Fertiliser_Products_Data3(),FertiliserProducts[[#Headers],[Include or Exclude]], 40)</f>
        <v/>
      </c>
      <c r="S139" s="65" t="str" cm="1">
        <f t="array" ref="S139">Common_InputFunctions.Utility_DisplayArrayInTable(Fertiliser_SourceData.Fertiliser_Products_Data3(),FertiliserProducts[[#Headers],[Include or Exclude]], 40)</f>
        <v/>
      </c>
      <c r="T139" s="65" t="str" cm="1">
        <f t="array" ref="T139">Common_InputFunctions.Utility_DisplayArrayInTable(Fertiliser_SourceData.Fertiliser_Products_Data3(),FertiliserProducts[[#Headers],[Include or Exclude]], 40)</f>
        <v/>
      </c>
      <c r="U139" s="65" t="str" cm="1">
        <f t="array" ref="U139">Common_InputFunctions.Utility_DisplayArrayInTable(Fertiliser_SourceData.Fertiliser_Products_Data3(),FertiliserProducts[[#Headers],[Include or Exclude]], 40)</f>
        <v/>
      </c>
      <c r="V139" s="65" t="str" cm="1">
        <f t="array" ref="V139">Common_InputFunctions.Utility_DisplayArrayInTable(Fertiliser_SourceData.Fertiliser_Products_Data3(),FertiliserProducts[[#Headers],[Include or Exclude]], 40)</f>
        <v/>
      </c>
      <c r="W139" s="65" t="str" cm="1">
        <f t="array" ref="W139">Common_InputFunctions.Utility_DisplayArrayInTable(Fertiliser_SourceData.Fertiliser_Products_Data3(),FertiliserProducts[[#Headers],[Include or Exclude]], 40)</f>
        <v>Crop Nutrition Solutions (Yara Australia)</v>
      </c>
      <c r="X139" s="65" t="str" cm="1">
        <f t="array" ref="X139">Common_InputFunctions.Utility_DisplayArrayInTable(Fertiliser_SourceData.Fertiliser_Products_Data3(),FertiliserProducts[[#Headers],[Include or Exclude]], 40)</f>
        <v/>
      </c>
      <c r="Y139" s="65" t="str" cm="1">
        <f t="array" ref="Y139">Common_InputFunctions.Utility_DisplayArrayInTable(Fertiliser_SourceData.Fertiliser_Products_Data3(),FertiliserProducts[[#Headers],[Include or Exclude]], 40)</f>
        <v/>
      </c>
      <c r="Z139" s="65"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4:31" ht="20.100000000000001" customHeight="1" x14ac:dyDescent="0.25">
      <c r="D140" s="65" t="str" cm="1">
        <f t="array" ref="D140">Common_InputFunctions.Utility_DisplayArrayInTable(Fertiliser_SourceData.Fertiliser_Products_Data3(),FertiliserProducts[[#Headers],[Include or Exclude]], 40)</f>
        <v>Yara Liquids N-CAL 15+18Ca</v>
      </c>
      <c r="E140" s="65" t="str" cm="1">
        <f t="array" ref="E140">Common_InputFunctions.Utility_DisplayArrayInTable(Fertiliser_SourceData.Fertiliser_Products_Data3(),FertiliserProducts[[#Headers],[Include or Exclude]], 40)</f>
        <v/>
      </c>
      <c r="F140" s="65" t="str" cm="1">
        <f t="array" ref="F140">Common_InputFunctions.Utility_DisplayArrayInTable(Fertiliser_SourceData.Fertiliser_Products_Data3(),FertiliserProducts[[#Headers],[Include or Exclude]], 40)</f>
        <v/>
      </c>
      <c r="G140" s="65" t="str" cm="1">
        <f t="array" ref="G140">Common_InputFunctions.Utility_DisplayArrayInTable(Fertiliser_SourceData.Fertiliser_Products_Data3(),FertiliserProducts[[#Headers],[Include or Exclude]], 40)</f>
        <v/>
      </c>
      <c r="H140" s="65" t="str" cm="1">
        <f t="array" ref="H140">Common_InputFunctions.Utility_DisplayArrayInTable(Fertiliser_SourceData.Fertiliser_Products_Data3(),FertiliserProducts[[#Headers],[Include or Exclude]], 40)</f>
        <v/>
      </c>
      <c r="I140" s="65" t="str" cm="1">
        <f t="array" ref="I140">Common_InputFunctions.Utility_DisplayArrayInTable(Fertiliser_SourceData.Fertiliser_Products_Data3(),FertiliserProducts[[#Headers],[Include or Exclude]], 40)</f>
        <v/>
      </c>
      <c r="J140" s="65" t="str" cm="1">
        <f t="array" ref="J140">Common_InputFunctions.Utility_DisplayArrayInTable(Fertiliser_SourceData.Fertiliser_Products_Data3(),FertiliserProducts[[#Headers],[Include or Exclude]], 40)</f>
        <v/>
      </c>
      <c r="K140" s="65" t="str" cm="1">
        <f t="array" ref="K140">Common_InputFunctions.Utility_DisplayArrayInTable(Fertiliser_SourceData.Fertiliser_Products_Data3(),FertiliserProducts[[#Headers],[Include or Exclude]], 40)</f>
        <v/>
      </c>
      <c r="L140" s="65" t="str" cm="1">
        <f t="array" ref="L140">Common_InputFunctions.Utility_DisplayArrayInTable(Fertiliser_SourceData.Fertiliser_Products_Data3(),FertiliserProducts[[#Headers],[Include or Exclude]], 40)</f>
        <v/>
      </c>
      <c r="M140" s="65" t="str" cm="1">
        <f t="array" ref="M140">Common_InputFunctions.Utility_DisplayArrayInTable(Fertiliser_SourceData.Fertiliser_Products_Data3(),FertiliserProducts[[#Headers],[Include or Exclude]], 40)</f>
        <v/>
      </c>
      <c r="N140" s="65" t="str" cm="1">
        <f t="array" ref="N140">Common_InputFunctions.Utility_DisplayArrayInTable(Fertiliser_SourceData.Fertiliser_Products_Data3(),FertiliserProducts[[#Headers],[Include or Exclude]], 40)</f>
        <v/>
      </c>
      <c r="O140" s="65" t="str" cm="1">
        <f t="array" ref="O140">Common_InputFunctions.Utility_DisplayArrayInTable(Fertiliser_SourceData.Fertiliser_Products_Data3(),FertiliserProducts[[#Headers],[Include or Exclude]], 40)</f>
        <v/>
      </c>
      <c r="P140" s="65" t="str" cm="1">
        <f t="array" ref="P140">Common_InputFunctions.Utility_DisplayArrayInTable(Fertiliser_SourceData.Fertiliser_Products_Data3(),FertiliserProducts[[#Headers],[Include or Exclude]], 40)</f>
        <v/>
      </c>
      <c r="Q140" s="65" t="str" cm="1">
        <f t="array" ref="Q140">Common_InputFunctions.Utility_DisplayArrayInTable(Fertiliser_SourceData.Fertiliser_Products_Data3(),FertiliserProducts[[#Headers],[Include or Exclude]], 40)</f>
        <v/>
      </c>
      <c r="R140" s="65" t="str" cm="1">
        <f t="array" ref="R140">Common_InputFunctions.Utility_DisplayArrayInTable(Fertiliser_SourceData.Fertiliser_Products_Data3(),FertiliserProducts[[#Headers],[Include or Exclude]], 40)</f>
        <v/>
      </c>
      <c r="S140" s="65" t="str" cm="1">
        <f t="array" ref="S140">Common_InputFunctions.Utility_DisplayArrayInTable(Fertiliser_SourceData.Fertiliser_Products_Data3(),FertiliserProducts[[#Headers],[Include or Exclude]], 40)</f>
        <v/>
      </c>
      <c r="T140" s="65" t="str" cm="1">
        <f t="array" ref="T140">Common_InputFunctions.Utility_DisplayArrayInTable(Fertiliser_SourceData.Fertiliser_Products_Data3(),FertiliserProducts[[#Headers],[Include or Exclude]], 40)</f>
        <v/>
      </c>
      <c r="U140" s="65" t="str" cm="1">
        <f t="array" ref="U140">Common_InputFunctions.Utility_DisplayArrayInTable(Fertiliser_SourceData.Fertiliser_Products_Data3(),FertiliserProducts[[#Headers],[Include or Exclude]], 40)</f>
        <v/>
      </c>
      <c r="V140" s="65" t="str" cm="1">
        <f t="array" ref="V140">Common_InputFunctions.Utility_DisplayArrayInTable(Fertiliser_SourceData.Fertiliser_Products_Data3(),FertiliserProducts[[#Headers],[Include or Exclude]], 40)</f>
        <v/>
      </c>
      <c r="W140" s="65" t="str" cm="1">
        <f t="array" ref="W140">Common_InputFunctions.Utility_DisplayArrayInTable(Fertiliser_SourceData.Fertiliser_Products_Data3(),FertiliserProducts[[#Headers],[Include or Exclude]], 40)</f>
        <v>Crop Nutrition Solutions (Yara Australia)</v>
      </c>
      <c r="X140" s="65" t="str" cm="1">
        <f t="array" ref="X140">Common_InputFunctions.Utility_DisplayArrayInTable(Fertiliser_SourceData.Fertiliser_Products_Data3(),FertiliserProducts[[#Headers],[Include or Exclude]], 40)</f>
        <v/>
      </c>
      <c r="Y140" s="65" t="str" cm="1">
        <f t="array" ref="Y140">Common_InputFunctions.Utility_DisplayArrayInTable(Fertiliser_SourceData.Fertiliser_Products_Data3(),FertiliserProducts[[#Headers],[Include or Exclude]], 40)</f>
        <v/>
      </c>
      <c r="Z140" s="65"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4:31" ht="20.100000000000001" customHeight="1" x14ac:dyDescent="0.25">
      <c r="D141" s="65" t="str" cm="1">
        <f t="array" ref="D141">Common_InputFunctions.Utility_DisplayArrayInTable(Fertiliser_SourceData.Fertiliser_Products_Data3(),FertiliserProducts[[#Headers],[Include or Exclude]], 40)</f>
        <v>Yara Liquids N-CAL 20+10Ca+B</v>
      </c>
      <c r="E141" s="65" t="str" cm="1">
        <f t="array" ref="E141">Common_InputFunctions.Utility_DisplayArrayInTable(Fertiliser_SourceData.Fertiliser_Products_Data3(),FertiliserProducts[[#Headers],[Include or Exclude]], 40)</f>
        <v/>
      </c>
      <c r="F141" s="65" t="str" cm="1">
        <f t="array" ref="F141">Common_InputFunctions.Utility_DisplayArrayInTable(Fertiliser_SourceData.Fertiliser_Products_Data3(),FertiliserProducts[[#Headers],[Include or Exclude]], 40)</f>
        <v/>
      </c>
      <c r="G141" s="65" t="str" cm="1">
        <f t="array" ref="G141">Common_InputFunctions.Utility_DisplayArrayInTable(Fertiliser_SourceData.Fertiliser_Products_Data3(),FertiliserProducts[[#Headers],[Include or Exclude]], 40)</f>
        <v/>
      </c>
      <c r="H141" s="65" t="str" cm="1">
        <f t="array" ref="H141">Common_InputFunctions.Utility_DisplayArrayInTable(Fertiliser_SourceData.Fertiliser_Products_Data3(),FertiliserProducts[[#Headers],[Include or Exclude]], 40)</f>
        <v/>
      </c>
      <c r="I141" s="65" t="str" cm="1">
        <f t="array" ref="I141">Common_InputFunctions.Utility_DisplayArrayInTable(Fertiliser_SourceData.Fertiliser_Products_Data3(),FertiliserProducts[[#Headers],[Include or Exclude]], 40)</f>
        <v/>
      </c>
      <c r="J141" s="65" t="str" cm="1">
        <f t="array" ref="J141">Common_InputFunctions.Utility_DisplayArrayInTable(Fertiliser_SourceData.Fertiliser_Products_Data3(),FertiliserProducts[[#Headers],[Include or Exclude]], 40)</f>
        <v/>
      </c>
      <c r="K141" s="65" t="str" cm="1">
        <f t="array" ref="K141">Common_InputFunctions.Utility_DisplayArrayInTable(Fertiliser_SourceData.Fertiliser_Products_Data3(),FertiliserProducts[[#Headers],[Include or Exclude]], 40)</f>
        <v/>
      </c>
      <c r="L141" s="65" t="str" cm="1">
        <f t="array" ref="L141">Common_InputFunctions.Utility_DisplayArrayInTable(Fertiliser_SourceData.Fertiliser_Products_Data3(),FertiliserProducts[[#Headers],[Include or Exclude]], 40)</f>
        <v/>
      </c>
      <c r="M141" s="65" t="str" cm="1">
        <f t="array" ref="M141">Common_InputFunctions.Utility_DisplayArrayInTable(Fertiliser_SourceData.Fertiliser_Products_Data3(),FertiliserProducts[[#Headers],[Include or Exclude]], 40)</f>
        <v/>
      </c>
      <c r="N141" s="65" t="str" cm="1">
        <f t="array" ref="N141">Common_InputFunctions.Utility_DisplayArrayInTable(Fertiliser_SourceData.Fertiliser_Products_Data3(),FertiliserProducts[[#Headers],[Include or Exclude]], 40)</f>
        <v/>
      </c>
      <c r="O141" s="65" t="str" cm="1">
        <f t="array" ref="O141">Common_InputFunctions.Utility_DisplayArrayInTable(Fertiliser_SourceData.Fertiliser_Products_Data3(),FertiliserProducts[[#Headers],[Include or Exclude]], 40)</f>
        <v/>
      </c>
      <c r="P141" s="65" t="str" cm="1">
        <f t="array" ref="P141">Common_InputFunctions.Utility_DisplayArrayInTable(Fertiliser_SourceData.Fertiliser_Products_Data3(),FertiliserProducts[[#Headers],[Include or Exclude]], 40)</f>
        <v/>
      </c>
      <c r="Q141" s="65" t="str" cm="1">
        <f t="array" ref="Q141">Common_InputFunctions.Utility_DisplayArrayInTable(Fertiliser_SourceData.Fertiliser_Products_Data3(),FertiliserProducts[[#Headers],[Include or Exclude]], 40)</f>
        <v/>
      </c>
      <c r="R141" s="65" t="str" cm="1">
        <f t="array" ref="R141">Common_InputFunctions.Utility_DisplayArrayInTable(Fertiliser_SourceData.Fertiliser_Products_Data3(),FertiliserProducts[[#Headers],[Include or Exclude]], 40)</f>
        <v/>
      </c>
      <c r="S141" s="65" t="str" cm="1">
        <f t="array" ref="S141">Common_InputFunctions.Utility_DisplayArrayInTable(Fertiliser_SourceData.Fertiliser_Products_Data3(),FertiliserProducts[[#Headers],[Include or Exclude]], 40)</f>
        <v/>
      </c>
      <c r="T141" s="65" t="str" cm="1">
        <f t="array" ref="T141">Common_InputFunctions.Utility_DisplayArrayInTable(Fertiliser_SourceData.Fertiliser_Products_Data3(),FertiliserProducts[[#Headers],[Include or Exclude]], 40)</f>
        <v/>
      </c>
      <c r="U141" s="65" t="str" cm="1">
        <f t="array" ref="U141">Common_InputFunctions.Utility_DisplayArrayInTable(Fertiliser_SourceData.Fertiliser_Products_Data3(),FertiliserProducts[[#Headers],[Include or Exclude]], 40)</f>
        <v/>
      </c>
      <c r="V141" s="65" t="str" cm="1">
        <f t="array" ref="V141">Common_InputFunctions.Utility_DisplayArrayInTable(Fertiliser_SourceData.Fertiliser_Products_Data3(),FertiliserProducts[[#Headers],[Include or Exclude]], 40)</f>
        <v/>
      </c>
      <c r="W141" s="65" t="str" cm="1">
        <f t="array" ref="W141">Common_InputFunctions.Utility_DisplayArrayInTable(Fertiliser_SourceData.Fertiliser_Products_Data3(),FertiliserProducts[[#Headers],[Include or Exclude]], 40)</f>
        <v>Crop Nutrition Solutions (Yara Australia)</v>
      </c>
      <c r="X141" s="65" t="str" cm="1">
        <f t="array" ref="X141">Common_InputFunctions.Utility_DisplayArrayInTable(Fertiliser_SourceData.Fertiliser_Products_Data3(),FertiliserProducts[[#Headers],[Include or Exclude]], 40)</f>
        <v/>
      </c>
      <c r="Y141" s="65" t="str" cm="1">
        <f t="array" ref="Y141">Common_InputFunctions.Utility_DisplayArrayInTable(Fertiliser_SourceData.Fertiliser_Products_Data3(),FertiliserProducts[[#Headers],[Include or Exclude]], 40)</f>
        <v/>
      </c>
      <c r="Z141" s="65"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4:31" ht="20.100000000000001" customHeight="1" x14ac:dyDescent="0.25">
      <c r="D142" s="65" t="str" cm="1">
        <f t="array" ref="D142">Common_InputFunctions.Utility_DisplayArrayInTable(Fertiliser_SourceData.Fertiliser_Products_Data3(),FertiliserProducts[[#Headers],[Include or Exclude]], 40)</f>
        <v>Yara Liquids N-CAL 35+6Ca</v>
      </c>
      <c r="E142" s="65" t="str" cm="1">
        <f t="array" ref="E142">Common_InputFunctions.Utility_DisplayArrayInTable(Fertiliser_SourceData.Fertiliser_Products_Data3(),FertiliserProducts[[#Headers],[Include or Exclude]], 40)</f>
        <v/>
      </c>
      <c r="F142" s="65" t="str" cm="1">
        <f t="array" ref="F142">Common_InputFunctions.Utility_DisplayArrayInTable(Fertiliser_SourceData.Fertiliser_Products_Data3(),FertiliserProducts[[#Headers],[Include or Exclude]], 40)</f>
        <v/>
      </c>
      <c r="G142" s="65" t="str" cm="1">
        <f t="array" ref="G142">Common_InputFunctions.Utility_DisplayArrayInTable(Fertiliser_SourceData.Fertiliser_Products_Data3(),FertiliserProducts[[#Headers],[Include or Exclude]], 40)</f>
        <v/>
      </c>
      <c r="H142" s="65" t="str" cm="1">
        <f t="array" ref="H142">Common_InputFunctions.Utility_DisplayArrayInTable(Fertiliser_SourceData.Fertiliser_Products_Data3(),FertiliserProducts[[#Headers],[Include or Exclude]], 40)</f>
        <v/>
      </c>
      <c r="I142" s="65" t="str" cm="1">
        <f t="array" ref="I142">Common_InputFunctions.Utility_DisplayArrayInTable(Fertiliser_SourceData.Fertiliser_Products_Data3(),FertiliserProducts[[#Headers],[Include or Exclude]], 40)</f>
        <v/>
      </c>
      <c r="J142" s="65" t="str" cm="1">
        <f t="array" ref="J142">Common_InputFunctions.Utility_DisplayArrayInTable(Fertiliser_SourceData.Fertiliser_Products_Data3(),FertiliserProducts[[#Headers],[Include or Exclude]], 40)</f>
        <v/>
      </c>
      <c r="K142" s="65" t="str" cm="1">
        <f t="array" ref="K142">Common_InputFunctions.Utility_DisplayArrayInTable(Fertiliser_SourceData.Fertiliser_Products_Data3(),FertiliserProducts[[#Headers],[Include or Exclude]], 40)</f>
        <v/>
      </c>
      <c r="L142" s="65" t="str" cm="1">
        <f t="array" ref="L142">Common_InputFunctions.Utility_DisplayArrayInTable(Fertiliser_SourceData.Fertiliser_Products_Data3(),FertiliserProducts[[#Headers],[Include or Exclude]], 40)</f>
        <v/>
      </c>
      <c r="M142" s="65" t="str" cm="1">
        <f t="array" ref="M142">Common_InputFunctions.Utility_DisplayArrayInTable(Fertiliser_SourceData.Fertiliser_Products_Data3(),FertiliserProducts[[#Headers],[Include or Exclude]], 40)</f>
        <v/>
      </c>
      <c r="N142" s="65" t="str" cm="1">
        <f t="array" ref="N142">Common_InputFunctions.Utility_DisplayArrayInTable(Fertiliser_SourceData.Fertiliser_Products_Data3(),FertiliserProducts[[#Headers],[Include or Exclude]], 40)</f>
        <v/>
      </c>
      <c r="O142" s="65" t="str" cm="1">
        <f t="array" ref="O142">Common_InputFunctions.Utility_DisplayArrayInTable(Fertiliser_SourceData.Fertiliser_Products_Data3(),FertiliserProducts[[#Headers],[Include or Exclude]], 40)</f>
        <v/>
      </c>
      <c r="P142" s="65" t="str" cm="1">
        <f t="array" ref="P142">Common_InputFunctions.Utility_DisplayArrayInTable(Fertiliser_SourceData.Fertiliser_Products_Data3(),FertiliserProducts[[#Headers],[Include or Exclude]], 40)</f>
        <v/>
      </c>
      <c r="Q142" s="65" t="str" cm="1">
        <f t="array" ref="Q142">Common_InputFunctions.Utility_DisplayArrayInTable(Fertiliser_SourceData.Fertiliser_Products_Data3(),FertiliserProducts[[#Headers],[Include or Exclude]], 40)</f>
        <v/>
      </c>
      <c r="R142" s="65" t="str" cm="1">
        <f t="array" ref="R142">Common_InputFunctions.Utility_DisplayArrayInTable(Fertiliser_SourceData.Fertiliser_Products_Data3(),FertiliserProducts[[#Headers],[Include or Exclude]], 40)</f>
        <v/>
      </c>
      <c r="S142" s="65" t="str" cm="1">
        <f t="array" ref="S142">Common_InputFunctions.Utility_DisplayArrayInTable(Fertiliser_SourceData.Fertiliser_Products_Data3(),FertiliserProducts[[#Headers],[Include or Exclude]], 40)</f>
        <v/>
      </c>
      <c r="T142" s="65" t="str" cm="1">
        <f t="array" ref="T142">Common_InputFunctions.Utility_DisplayArrayInTable(Fertiliser_SourceData.Fertiliser_Products_Data3(),FertiliserProducts[[#Headers],[Include or Exclude]], 40)</f>
        <v/>
      </c>
      <c r="U142" s="65" t="str" cm="1">
        <f t="array" ref="U142">Common_InputFunctions.Utility_DisplayArrayInTable(Fertiliser_SourceData.Fertiliser_Products_Data3(),FertiliserProducts[[#Headers],[Include or Exclude]], 40)</f>
        <v/>
      </c>
      <c r="V142" s="65" t="str" cm="1">
        <f t="array" ref="V142">Common_InputFunctions.Utility_DisplayArrayInTable(Fertiliser_SourceData.Fertiliser_Products_Data3(),FertiliserProducts[[#Headers],[Include or Exclude]], 40)</f>
        <v/>
      </c>
      <c r="W142" s="65" t="str" cm="1">
        <f t="array" ref="W142">Common_InputFunctions.Utility_DisplayArrayInTable(Fertiliser_SourceData.Fertiliser_Products_Data3(),FertiliserProducts[[#Headers],[Include or Exclude]], 40)</f>
        <v>Crop Nutrition Solutions (Yara Australia)</v>
      </c>
      <c r="X142" s="65" t="str" cm="1">
        <f t="array" ref="X142">Common_InputFunctions.Utility_DisplayArrayInTable(Fertiliser_SourceData.Fertiliser_Products_Data3(),FertiliserProducts[[#Headers],[Include or Exclude]], 40)</f>
        <v/>
      </c>
      <c r="Y142" s="65" t="str" cm="1">
        <f t="array" ref="Y142">Common_InputFunctions.Utility_DisplayArrayInTable(Fertiliser_SourceData.Fertiliser_Products_Data3(),FertiliserProducts[[#Headers],[Include or Exclude]], 40)</f>
        <v/>
      </c>
      <c r="Z142" s="65"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4:31" ht="20.100000000000001" customHeight="1" x14ac:dyDescent="0.25">
      <c r="D143" s="65" t="str" cm="1">
        <f t="array" ref="D143">Common_InputFunctions.Utility_DisplayArrayInTable(Fertiliser_SourceData.Fertiliser_Products_Data3(),FertiliserProducts[[#Headers],[Include or Exclude]], 40)</f>
        <v>Yara Liquids N-FOL 24</v>
      </c>
      <c r="E143" s="65" t="str" cm="1">
        <f t="array" ref="E143">Common_InputFunctions.Utility_DisplayArrayInTable(Fertiliser_SourceData.Fertiliser_Products_Data3(),FertiliserProducts[[#Headers],[Include or Exclude]], 40)</f>
        <v/>
      </c>
      <c r="F143" s="65" t="str" cm="1">
        <f t="array" ref="F143">Common_InputFunctions.Utility_DisplayArrayInTable(Fertiliser_SourceData.Fertiliser_Products_Data3(),FertiliserProducts[[#Headers],[Include or Exclude]], 40)</f>
        <v/>
      </c>
      <c r="G143" s="65" t="str" cm="1">
        <f t="array" ref="G143">Common_InputFunctions.Utility_DisplayArrayInTable(Fertiliser_SourceData.Fertiliser_Products_Data3(),FertiliserProducts[[#Headers],[Include or Exclude]], 40)</f>
        <v/>
      </c>
      <c r="H143" s="65" t="str" cm="1">
        <f t="array" ref="H143">Common_InputFunctions.Utility_DisplayArrayInTable(Fertiliser_SourceData.Fertiliser_Products_Data3(),FertiliserProducts[[#Headers],[Include or Exclude]], 40)</f>
        <v/>
      </c>
      <c r="I143" s="65" t="str" cm="1">
        <f t="array" ref="I143">Common_InputFunctions.Utility_DisplayArrayInTable(Fertiliser_SourceData.Fertiliser_Products_Data3(),FertiliserProducts[[#Headers],[Include or Exclude]], 40)</f>
        <v/>
      </c>
      <c r="J143" s="65" t="str" cm="1">
        <f t="array" ref="J143">Common_InputFunctions.Utility_DisplayArrayInTable(Fertiliser_SourceData.Fertiliser_Products_Data3(),FertiliserProducts[[#Headers],[Include or Exclude]], 40)</f>
        <v/>
      </c>
      <c r="K143" s="65" t="str" cm="1">
        <f t="array" ref="K143">Common_InputFunctions.Utility_DisplayArrayInTable(Fertiliser_SourceData.Fertiliser_Products_Data3(),FertiliserProducts[[#Headers],[Include or Exclude]], 40)</f>
        <v/>
      </c>
      <c r="L143" s="65" t="str" cm="1">
        <f t="array" ref="L143">Common_InputFunctions.Utility_DisplayArrayInTable(Fertiliser_SourceData.Fertiliser_Products_Data3(),FertiliserProducts[[#Headers],[Include or Exclude]], 40)</f>
        <v/>
      </c>
      <c r="M143" s="65" t="str" cm="1">
        <f t="array" ref="M143">Common_InputFunctions.Utility_DisplayArrayInTable(Fertiliser_SourceData.Fertiliser_Products_Data3(),FertiliserProducts[[#Headers],[Include or Exclude]], 40)</f>
        <v/>
      </c>
      <c r="N143" s="65" t="str" cm="1">
        <f t="array" ref="N143">Common_InputFunctions.Utility_DisplayArrayInTable(Fertiliser_SourceData.Fertiliser_Products_Data3(),FertiliserProducts[[#Headers],[Include or Exclude]], 40)</f>
        <v/>
      </c>
      <c r="O143" s="65" t="str" cm="1">
        <f t="array" ref="O143">Common_InputFunctions.Utility_DisplayArrayInTable(Fertiliser_SourceData.Fertiliser_Products_Data3(),FertiliserProducts[[#Headers],[Include or Exclude]], 40)</f>
        <v/>
      </c>
      <c r="P143" s="65" t="str" cm="1">
        <f t="array" ref="P143">Common_InputFunctions.Utility_DisplayArrayInTable(Fertiliser_SourceData.Fertiliser_Products_Data3(),FertiliserProducts[[#Headers],[Include or Exclude]], 40)</f>
        <v/>
      </c>
      <c r="Q143" s="65" t="str" cm="1">
        <f t="array" ref="Q143">Common_InputFunctions.Utility_DisplayArrayInTable(Fertiliser_SourceData.Fertiliser_Products_Data3(),FertiliserProducts[[#Headers],[Include or Exclude]], 40)</f>
        <v/>
      </c>
      <c r="R143" s="65" t="str" cm="1">
        <f t="array" ref="R143">Common_InputFunctions.Utility_DisplayArrayInTable(Fertiliser_SourceData.Fertiliser_Products_Data3(),FertiliserProducts[[#Headers],[Include or Exclude]], 40)</f>
        <v/>
      </c>
      <c r="S143" s="65" t="str" cm="1">
        <f t="array" ref="S143">Common_InputFunctions.Utility_DisplayArrayInTable(Fertiliser_SourceData.Fertiliser_Products_Data3(),FertiliserProducts[[#Headers],[Include or Exclude]], 40)</f>
        <v/>
      </c>
      <c r="T143" s="65" t="str" cm="1">
        <f t="array" ref="T143">Common_InputFunctions.Utility_DisplayArrayInTable(Fertiliser_SourceData.Fertiliser_Products_Data3(),FertiliserProducts[[#Headers],[Include or Exclude]], 40)</f>
        <v/>
      </c>
      <c r="U143" s="65" t="str" cm="1">
        <f t="array" ref="U143">Common_InputFunctions.Utility_DisplayArrayInTable(Fertiliser_SourceData.Fertiliser_Products_Data3(),FertiliserProducts[[#Headers],[Include or Exclude]], 40)</f>
        <v/>
      </c>
      <c r="V143" s="65" t="str" cm="1">
        <f t="array" ref="V143">Common_InputFunctions.Utility_DisplayArrayInTable(Fertiliser_SourceData.Fertiliser_Products_Data3(),FertiliserProducts[[#Headers],[Include or Exclude]], 40)</f>
        <v/>
      </c>
      <c r="W143" s="65" t="str" cm="1">
        <f t="array" ref="W143">Common_InputFunctions.Utility_DisplayArrayInTable(Fertiliser_SourceData.Fertiliser_Products_Data3(),FertiliserProducts[[#Headers],[Include or Exclude]], 40)</f>
        <v>Crop Nutrition Solutions (Yara Australia)</v>
      </c>
      <c r="X143" s="65" t="str" cm="1">
        <f t="array" ref="X143">Common_InputFunctions.Utility_DisplayArrayInTable(Fertiliser_SourceData.Fertiliser_Products_Data3(),FertiliserProducts[[#Headers],[Include or Exclude]], 40)</f>
        <v/>
      </c>
      <c r="Y143" s="65" t="str" cm="1">
        <f t="array" ref="Y143">Common_InputFunctions.Utility_DisplayArrayInTable(Fertiliser_SourceData.Fertiliser_Products_Data3(),FertiliserProducts[[#Headers],[Include or Exclude]], 40)</f>
        <v/>
      </c>
      <c r="Z143" s="65"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4:31" ht="20.100000000000001" customHeight="1" x14ac:dyDescent="0.25">
      <c r="D144" s="65" t="str" cm="1">
        <f t="array" ref="D144">Common_InputFunctions.Utility_DisplayArrayInTable(Fertiliser_SourceData.Fertiliser_Products_Data3(),FertiliserProducts[[#Headers],[Include or Exclude]], 40)</f>
        <v>Yara Liquids N-FOL 24+TE</v>
      </c>
      <c r="E144" s="65" t="str" cm="1">
        <f t="array" ref="E144">Common_InputFunctions.Utility_DisplayArrayInTable(Fertiliser_SourceData.Fertiliser_Products_Data3(),FertiliserProducts[[#Headers],[Include or Exclude]], 40)</f>
        <v/>
      </c>
      <c r="F144" s="65" t="str" cm="1">
        <f t="array" ref="F144">Common_InputFunctions.Utility_DisplayArrayInTable(Fertiliser_SourceData.Fertiliser_Products_Data3(),FertiliserProducts[[#Headers],[Include or Exclude]], 40)</f>
        <v/>
      </c>
      <c r="G144" s="65" t="str" cm="1">
        <f t="array" ref="G144">Common_InputFunctions.Utility_DisplayArrayInTable(Fertiliser_SourceData.Fertiliser_Products_Data3(),FertiliserProducts[[#Headers],[Include or Exclude]], 40)</f>
        <v/>
      </c>
      <c r="H144" s="65" t="str" cm="1">
        <f t="array" ref="H144">Common_InputFunctions.Utility_DisplayArrayInTable(Fertiliser_SourceData.Fertiliser_Products_Data3(),FertiliserProducts[[#Headers],[Include or Exclude]], 40)</f>
        <v/>
      </c>
      <c r="I144" s="65" t="str" cm="1">
        <f t="array" ref="I144">Common_InputFunctions.Utility_DisplayArrayInTable(Fertiliser_SourceData.Fertiliser_Products_Data3(),FertiliserProducts[[#Headers],[Include or Exclude]], 40)</f>
        <v/>
      </c>
      <c r="J144" s="65" t="str" cm="1">
        <f t="array" ref="J144">Common_InputFunctions.Utility_DisplayArrayInTable(Fertiliser_SourceData.Fertiliser_Products_Data3(),FertiliserProducts[[#Headers],[Include or Exclude]], 40)</f>
        <v/>
      </c>
      <c r="K144" s="65" t="str" cm="1">
        <f t="array" ref="K144">Common_InputFunctions.Utility_DisplayArrayInTable(Fertiliser_SourceData.Fertiliser_Products_Data3(),FertiliserProducts[[#Headers],[Include or Exclude]], 40)</f>
        <v/>
      </c>
      <c r="L144" s="65" t="str" cm="1">
        <f t="array" ref="L144">Common_InputFunctions.Utility_DisplayArrayInTable(Fertiliser_SourceData.Fertiliser_Products_Data3(),FertiliserProducts[[#Headers],[Include or Exclude]], 40)</f>
        <v/>
      </c>
      <c r="M144" s="65" t="str" cm="1">
        <f t="array" ref="M144">Common_InputFunctions.Utility_DisplayArrayInTable(Fertiliser_SourceData.Fertiliser_Products_Data3(),FertiliserProducts[[#Headers],[Include or Exclude]], 40)</f>
        <v/>
      </c>
      <c r="N144" s="65" t="str" cm="1">
        <f t="array" ref="N144">Common_InputFunctions.Utility_DisplayArrayInTable(Fertiliser_SourceData.Fertiliser_Products_Data3(),FertiliserProducts[[#Headers],[Include or Exclude]], 40)</f>
        <v/>
      </c>
      <c r="O144" s="65" t="str" cm="1">
        <f t="array" ref="O144">Common_InputFunctions.Utility_DisplayArrayInTable(Fertiliser_SourceData.Fertiliser_Products_Data3(),FertiliserProducts[[#Headers],[Include or Exclude]], 40)</f>
        <v/>
      </c>
      <c r="P144" s="65" t="str" cm="1">
        <f t="array" ref="P144">Common_InputFunctions.Utility_DisplayArrayInTable(Fertiliser_SourceData.Fertiliser_Products_Data3(),FertiliserProducts[[#Headers],[Include or Exclude]], 40)</f>
        <v/>
      </c>
      <c r="Q144" s="65" t="str" cm="1">
        <f t="array" ref="Q144">Common_InputFunctions.Utility_DisplayArrayInTable(Fertiliser_SourceData.Fertiliser_Products_Data3(),FertiliserProducts[[#Headers],[Include or Exclude]], 40)</f>
        <v/>
      </c>
      <c r="R144" s="65" t="str" cm="1">
        <f t="array" ref="R144">Common_InputFunctions.Utility_DisplayArrayInTable(Fertiliser_SourceData.Fertiliser_Products_Data3(),FertiliserProducts[[#Headers],[Include or Exclude]], 40)</f>
        <v/>
      </c>
      <c r="S144" s="65" t="str" cm="1">
        <f t="array" ref="S144">Common_InputFunctions.Utility_DisplayArrayInTable(Fertiliser_SourceData.Fertiliser_Products_Data3(),FertiliserProducts[[#Headers],[Include or Exclude]], 40)</f>
        <v/>
      </c>
      <c r="T144" s="65" t="str" cm="1">
        <f t="array" ref="T144">Common_InputFunctions.Utility_DisplayArrayInTable(Fertiliser_SourceData.Fertiliser_Products_Data3(),FertiliserProducts[[#Headers],[Include or Exclude]], 40)</f>
        <v/>
      </c>
      <c r="U144" s="65" t="str" cm="1">
        <f t="array" ref="U144">Common_InputFunctions.Utility_DisplayArrayInTable(Fertiliser_SourceData.Fertiliser_Products_Data3(),FertiliserProducts[[#Headers],[Include or Exclude]], 40)</f>
        <v/>
      </c>
      <c r="V144" s="65" t="str" cm="1">
        <f t="array" ref="V144">Common_InputFunctions.Utility_DisplayArrayInTable(Fertiliser_SourceData.Fertiliser_Products_Data3(),FertiliserProducts[[#Headers],[Include or Exclude]], 40)</f>
        <v/>
      </c>
      <c r="W144" s="65" t="str" cm="1">
        <f t="array" ref="W144">Common_InputFunctions.Utility_DisplayArrayInTable(Fertiliser_SourceData.Fertiliser_Products_Data3(),FertiliserProducts[[#Headers],[Include or Exclude]], 40)</f>
        <v>Crop Nutrition Solutions (Yara Australia)</v>
      </c>
      <c r="X144" s="65" t="str" cm="1">
        <f t="array" ref="X144">Common_InputFunctions.Utility_DisplayArrayInTable(Fertiliser_SourceData.Fertiliser_Products_Data3(),FertiliserProducts[[#Headers],[Include or Exclude]], 40)</f>
        <v/>
      </c>
      <c r="Y144" s="65" t="str" cm="1">
        <f t="array" ref="Y144">Common_InputFunctions.Utility_DisplayArrayInTable(Fertiliser_SourceData.Fertiliser_Products_Data3(),FertiliserProducts[[#Headers],[Include or Exclude]], 40)</f>
        <v/>
      </c>
      <c r="Z144" s="65"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4:31" ht="20.100000000000001" customHeight="1" x14ac:dyDescent="0.25">
      <c r="D145" s="65" t="str" cm="1">
        <f t="array" ref="D145">Common_InputFunctions.Utility_DisplayArrayInTable(Fertiliser_SourceData.Fertiliser_Products_Data3(),FertiliserProducts[[#Headers],[Include or Exclude]], 40)</f>
        <v>Yara Liquids P-FOL Zinc</v>
      </c>
      <c r="E145" s="65" t="str" cm="1">
        <f t="array" ref="E145">Common_InputFunctions.Utility_DisplayArrayInTable(Fertiliser_SourceData.Fertiliser_Products_Data3(),FertiliserProducts[[#Headers],[Include or Exclude]], 40)</f>
        <v/>
      </c>
      <c r="F145" s="65" t="str" cm="1">
        <f t="array" ref="F145">Common_InputFunctions.Utility_DisplayArrayInTable(Fertiliser_SourceData.Fertiliser_Products_Data3(),FertiliserProducts[[#Headers],[Include or Exclude]], 40)</f>
        <v/>
      </c>
      <c r="G145" s="65" t="str" cm="1">
        <f t="array" ref="G145">Common_InputFunctions.Utility_DisplayArrayInTable(Fertiliser_SourceData.Fertiliser_Products_Data3(),FertiliserProducts[[#Headers],[Include or Exclude]], 40)</f>
        <v/>
      </c>
      <c r="H145" s="65" t="str" cm="1">
        <f t="array" ref="H145">Common_InputFunctions.Utility_DisplayArrayInTable(Fertiliser_SourceData.Fertiliser_Products_Data3(),FertiliserProducts[[#Headers],[Include or Exclude]], 40)</f>
        <v/>
      </c>
      <c r="I145" s="65" t="str" cm="1">
        <f t="array" ref="I145">Common_InputFunctions.Utility_DisplayArrayInTable(Fertiliser_SourceData.Fertiliser_Products_Data3(),FertiliserProducts[[#Headers],[Include or Exclude]], 40)</f>
        <v/>
      </c>
      <c r="J145" s="65" t="str" cm="1">
        <f t="array" ref="J145">Common_InputFunctions.Utility_DisplayArrayInTable(Fertiliser_SourceData.Fertiliser_Products_Data3(),FertiliserProducts[[#Headers],[Include or Exclude]], 40)</f>
        <v/>
      </c>
      <c r="K145" s="65" t="str" cm="1">
        <f t="array" ref="K145">Common_InputFunctions.Utility_DisplayArrayInTable(Fertiliser_SourceData.Fertiliser_Products_Data3(),FertiliserProducts[[#Headers],[Include or Exclude]], 40)</f>
        <v/>
      </c>
      <c r="L145" s="65" t="str" cm="1">
        <f t="array" ref="L145">Common_InputFunctions.Utility_DisplayArrayInTable(Fertiliser_SourceData.Fertiliser_Products_Data3(),FertiliserProducts[[#Headers],[Include or Exclude]], 40)</f>
        <v/>
      </c>
      <c r="M145" s="65" t="str" cm="1">
        <f t="array" ref="M145">Common_InputFunctions.Utility_DisplayArrayInTable(Fertiliser_SourceData.Fertiliser_Products_Data3(),FertiliserProducts[[#Headers],[Include or Exclude]], 40)</f>
        <v/>
      </c>
      <c r="N145" s="65" t="str" cm="1">
        <f t="array" ref="N145">Common_InputFunctions.Utility_DisplayArrayInTable(Fertiliser_SourceData.Fertiliser_Products_Data3(),FertiliserProducts[[#Headers],[Include or Exclude]], 40)</f>
        <v/>
      </c>
      <c r="O145" s="65" t="str" cm="1">
        <f t="array" ref="O145">Common_InputFunctions.Utility_DisplayArrayInTable(Fertiliser_SourceData.Fertiliser_Products_Data3(),FertiliserProducts[[#Headers],[Include or Exclude]], 40)</f>
        <v/>
      </c>
      <c r="P145" s="65" t="str" cm="1">
        <f t="array" ref="P145">Common_InputFunctions.Utility_DisplayArrayInTable(Fertiliser_SourceData.Fertiliser_Products_Data3(),FertiliserProducts[[#Headers],[Include or Exclude]], 40)</f>
        <v/>
      </c>
      <c r="Q145" s="65" t="str" cm="1">
        <f t="array" ref="Q145">Common_InputFunctions.Utility_DisplayArrayInTable(Fertiliser_SourceData.Fertiliser_Products_Data3(),FertiliserProducts[[#Headers],[Include or Exclude]], 40)</f>
        <v/>
      </c>
      <c r="R145" s="65" t="str" cm="1">
        <f t="array" ref="R145">Common_InputFunctions.Utility_DisplayArrayInTable(Fertiliser_SourceData.Fertiliser_Products_Data3(),FertiliserProducts[[#Headers],[Include or Exclude]], 40)</f>
        <v/>
      </c>
      <c r="S145" s="65" t="str" cm="1">
        <f t="array" ref="S145">Common_InputFunctions.Utility_DisplayArrayInTable(Fertiliser_SourceData.Fertiliser_Products_Data3(),FertiliserProducts[[#Headers],[Include or Exclude]], 40)</f>
        <v/>
      </c>
      <c r="T145" s="65" t="str" cm="1">
        <f t="array" ref="T145">Common_InputFunctions.Utility_DisplayArrayInTable(Fertiliser_SourceData.Fertiliser_Products_Data3(),FertiliserProducts[[#Headers],[Include or Exclude]], 40)</f>
        <v/>
      </c>
      <c r="U145" s="65" t="str" cm="1">
        <f t="array" ref="U145">Common_InputFunctions.Utility_DisplayArrayInTable(Fertiliser_SourceData.Fertiliser_Products_Data3(),FertiliserProducts[[#Headers],[Include or Exclude]], 40)</f>
        <v/>
      </c>
      <c r="V145" s="65" t="str" cm="1">
        <f t="array" ref="V145">Common_InputFunctions.Utility_DisplayArrayInTable(Fertiliser_SourceData.Fertiliser_Products_Data3(),FertiliserProducts[[#Headers],[Include or Exclude]], 40)</f>
        <v/>
      </c>
      <c r="W145" s="65" t="str" cm="1">
        <f t="array" ref="W145">Common_InputFunctions.Utility_DisplayArrayInTable(Fertiliser_SourceData.Fertiliser_Products_Data3(),FertiliserProducts[[#Headers],[Include or Exclude]], 40)</f>
        <v>Crop Nutrition Solutions (Yara Australia)</v>
      </c>
      <c r="X145" s="65" t="str" cm="1">
        <f t="array" ref="X145">Common_InputFunctions.Utility_DisplayArrayInTable(Fertiliser_SourceData.Fertiliser_Products_Data3(),FertiliserProducts[[#Headers],[Include or Exclude]], 40)</f>
        <v/>
      </c>
      <c r="Y145" s="65" t="str" cm="1">
        <f t="array" ref="Y145">Common_InputFunctions.Utility_DisplayArrayInTable(Fertiliser_SourceData.Fertiliser_Products_Data3(),FertiliserProducts[[#Headers],[Include or Exclude]], 40)</f>
        <v/>
      </c>
      <c r="Z145" s="65"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4:31" ht="20.100000000000001" customHeight="1" x14ac:dyDescent="0.25">
      <c r="D146" s="65" t="str" cm="1">
        <f t="array" ref="D146">Common_InputFunctions.Utility_DisplayArrayInTable(Fertiliser_SourceData.Fertiliser_Products_Data3(),FertiliserProducts[[#Headers],[Include or Exclude]], 40)</f>
        <v>Yara Liquids SULSA 11-0-0+12S</v>
      </c>
      <c r="E146" s="65" t="str" cm="1">
        <f t="array" ref="E146">Common_InputFunctions.Utility_DisplayArrayInTable(Fertiliser_SourceData.Fertiliser_Products_Data3(),FertiliserProducts[[#Headers],[Include or Exclude]], 40)</f>
        <v/>
      </c>
      <c r="F146" s="65" t="str" cm="1">
        <f t="array" ref="F146">Common_InputFunctions.Utility_DisplayArrayInTable(Fertiliser_SourceData.Fertiliser_Products_Data3(),FertiliserProducts[[#Headers],[Include or Exclude]], 40)</f>
        <v/>
      </c>
      <c r="G146" s="65" t="str" cm="1">
        <f t="array" ref="G146">Common_InputFunctions.Utility_DisplayArrayInTable(Fertiliser_SourceData.Fertiliser_Products_Data3(),FertiliserProducts[[#Headers],[Include or Exclude]], 40)</f>
        <v/>
      </c>
      <c r="H146" s="65" t="str" cm="1">
        <f t="array" ref="H146">Common_InputFunctions.Utility_DisplayArrayInTable(Fertiliser_SourceData.Fertiliser_Products_Data3(),FertiliserProducts[[#Headers],[Include or Exclude]], 40)</f>
        <v/>
      </c>
      <c r="I146" s="65" t="str" cm="1">
        <f t="array" ref="I146">Common_InputFunctions.Utility_DisplayArrayInTable(Fertiliser_SourceData.Fertiliser_Products_Data3(),FertiliserProducts[[#Headers],[Include or Exclude]], 40)</f>
        <v/>
      </c>
      <c r="J146" s="65" t="str" cm="1">
        <f t="array" ref="J146">Common_InputFunctions.Utility_DisplayArrayInTable(Fertiliser_SourceData.Fertiliser_Products_Data3(),FertiliserProducts[[#Headers],[Include or Exclude]], 40)</f>
        <v/>
      </c>
      <c r="K146" s="65" t="str" cm="1">
        <f t="array" ref="K146">Common_InputFunctions.Utility_DisplayArrayInTable(Fertiliser_SourceData.Fertiliser_Products_Data3(),FertiliserProducts[[#Headers],[Include or Exclude]], 40)</f>
        <v/>
      </c>
      <c r="L146" s="65" t="str" cm="1">
        <f t="array" ref="L146">Common_InputFunctions.Utility_DisplayArrayInTable(Fertiliser_SourceData.Fertiliser_Products_Data3(),FertiliserProducts[[#Headers],[Include or Exclude]], 40)</f>
        <v/>
      </c>
      <c r="M146" s="65" t="str" cm="1">
        <f t="array" ref="M146">Common_InputFunctions.Utility_DisplayArrayInTable(Fertiliser_SourceData.Fertiliser_Products_Data3(),FertiliserProducts[[#Headers],[Include or Exclude]], 40)</f>
        <v/>
      </c>
      <c r="N146" s="65" t="str" cm="1">
        <f t="array" ref="N146">Common_InputFunctions.Utility_DisplayArrayInTable(Fertiliser_SourceData.Fertiliser_Products_Data3(),FertiliserProducts[[#Headers],[Include or Exclude]], 40)</f>
        <v/>
      </c>
      <c r="O146" s="65" t="str" cm="1">
        <f t="array" ref="O146">Common_InputFunctions.Utility_DisplayArrayInTable(Fertiliser_SourceData.Fertiliser_Products_Data3(),FertiliserProducts[[#Headers],[Include or Exclude]], 40)</f>
        <v/>
      </c>
      <c r="P146" s="65" t="str" cm="1">
        <f t="array" ref="P146">Common_InputFunctions.Utility_DisplayArrayInTable(Fertiliser_SourceData.Fertiliser_Products_Data3(),FertiliserProducts[[#Headers],[Include or Exclude]], 40)</f>
        <v/>
      </c>
      <c r="Q146" s="65" t="str" cm="1">
        <f t="array" ref="Q146">Common_InputFunctions.Utility_DisplayArrayInTable(Fertiliser_SourceData.Fertiliser_Products_Data3(),FertiliserProducts[[#Headers],[Include or Exclude]], 40)</f>
        <v/>
      </c>
      <c r="R146" s="65" t="str" cm="1">
        <f t="array" ref="R146">Common_InputFunctions.Utility_DisplayArrayInTable(Fertiliser_SourceData.Fertiliser_Products_Data3(),FertiliserProducts[[#Headers],[Include or Exclude]], 40)</f>
        <v/>
      </c>
      <c r="S146" s="65" t="str" cm="1">
        <f t="array" ref="S146">Common_InputFunctions.Utility_DisplayArrayInTable(Fertiliser_SourceData.Fertiliser_Products_Data3(),FertiliserProducts[[#Headers],[Include or Exclude]], 40)</f>
        <v/>
      </c>
      <c r="T146" s="65" t="str" cm="1">
        <f t="array" ref="T146">Common_InputFunctions.Utility_DisplayArrayInTable(Fertiliser_SourceData.Fertiliser_Products_Data3(),FertiliserProducts[[#Headers],[Include or Exclude]], 40)</f>
        <v/>
      </c>
      <c r="U146" s="65" t="str" cm="1">
        <f t="array" ref="U146">Common_InputFunctions.Utility_DisplayArrayInTable(Fertiliser_SourceData.Fertiliser_Products_Data3(),FertiliserProducts[[#Headers],[Include or Exclude]], 40)</f>
        <v/>
      </c>
      <c r="V146" s="65" t="str" cm="1">
        <f t="array" ref="V146">Common_InputFunctions.Utility_DisplayArrayInTable(Fertiliser_SourceData.Fertiliser_Products_Data3(),FertiliserProducts[[#Headers],[Include or Exclude]], 40)</f>
        <v/>
      </c>
      <c r="W146" s="65" t="str" cm="1">
        <f t="array" ref="W146">Common_InputFunctions.Utility_DisplayArrayInTable(Fertiliser_SourceData.Fertiliser_Products_Data3(),FertiliserProducts[[#Headers],[Include or Exclude]], 40)</f>
        <v>Crop Nutrition Solutions (Yara Australia)</v>
      </c>
      <c r="X146" s="65" t="str" cm="1">
        <f t="array" ref="X146">Common_InputFunctions.Utility_DisplayArrayInTable(Fertiliser_SourceData.Fertiliser_Products_Data3(),FertiliserProducts[[#Headers],[Include or Exclude]], 40)</f>
        <v/>
      </c>
      <c r="Y146" s="65" t="str" cm="1">
        <f t="array" ref="Y146">Common_InputFunctions.Utility_DisplayArrayInTable(Fertiliser_SourceData.Fertiliser_Products_Data3(),FertiliserProducts[[#Headers],[Include or Exclude]], 40)</f>
        <v/>
      </c>
      <c r="Z146" s="65"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4:31" ht="20.100000000000001" customHeight="1" x14ac:dyDescent="0.25">
      <c r="D147" s="65" t="str" cm="1">
        <f t="array" ref="D147">Common_InputFunctions.Utility_DisplayArrayInTable(Fertiliser_SourceData.Fertiliser_Products_Data3(),FertiliserProducts[[#Headers],[Include or Exclude]], 40)</f>
        <v>Yara Liquids SULSA 24-3-0+6S</v>
      </c>
      <c r="E147" s="65" t="str" cm="1">
        <f t="array" ref="E147">Common_InputFunctions.Utility_DisplayArrayInTable(Fertiliser_SourceData.Fertiliser_Products_Data3(),FertiliserProducts[[#Headers],[Include or Exclude]], 40)</f>
        <v/>
      </c>
      <c r="F147" s="65" t="str" cm="1">
        <f t="array" ref="F147">Common_InputFunctions.Utility_DisplayArrayInTable(Fertiliser_SourceData.Fertiliser_Products_Data3(),FertiliserProducts[[#Headers],[Include or Exclude]], 40)</f>
        <v/>
      </c>
      <c r="G147" s="65" t="str" cm="1">
        <f t="array" ref="G147">Common_InputFunctions.Utility_DisplayArrayInTable(Fertiliser_SourceData.Fertiliser_Products_Data3(),FertiliserProducts[[#Headers],[Include or Exclude]], 40)</f>
        <v/>
      </c>
      <c r="H147" s="65" t="str" cm="1">
        <f t="array" ref="H147">Common_InputFunctions.Utility_DisplayArrayInTable(Fertiliser_SourceData.Fertiliser_Products_Data3(),FertiliserProducts[[#Headers],[Include or Exclude]], 40)</f>
        <v/>
      </c>
      <c r="I147" s="65" t="str" cm="1">
        <f t="array" ref="I147">Common_InputFunctions.Utility_DisplayArrayInTable(Fertiliser_SourceData.Fertiliser_Products_Data3(),FertiliserProducts[[#Headers],[Include or Exclude]], 40)</f>
        <v/>
      </c>
      <c r="J147" s="65" t="str" cm="1">
        <f t="array" ref="J147">Common_InputFunctions.Utility_DisplayArrayInTable(Fertiliser_SourceData.Fertiliser_Products_Data3(),FertiliserProducts[[#Headers],[Include or Exclude]], 40)</f>
        <v/>
      </c>
      <c r="K147" s="65" t="str" cm="1">
        <f t="array" ref="K147">Common_InputFunctions.Utility_DisplayArrayInTable(Fertiliser_SourceData.Fertiliser_Products_Data3(),FertiliserProducts[[#Headers],[Include or Exclude]], 40)</f>
        <v/>
      </c>
      <c r="L147" s="65" t="str" cm="1">
        <f t="array" ref="L147">Common_InputFunctions.Utility_DisplayArrayInTable(Fertiliser_SourceData.Fertiliser_Products_Data3(),FertiliserProducts[[#Headers],[Include or Exclude]], 40)</f>
        <v/>
      </c>
      <c r="M147" s="65" t="str" cm="1">
        <f t="array" ref="M147">Common_InputFunctions.Utility_DisplayArrayInTable(Fertiliser_SourceData.Fertiliser_Products_Data3(),FertiliserProducts[[#Headers],[Include or Exclude]], 40)</f>
        <v/>
      </c>
      <c r="N147" s="65" t="str" cm="1">
        <f t="array" ref="N147">Common_InputFunctions.Utility_DisplayArrayInTable(Fertiliser_SourceData.Fertiliser_Products_Data3(),FertiliserProducts[[#Headers],[Include or Exclude]], 40)</f>
        <v/>
      </c>
      <c r="O147" s="65" t="str" cm="1">
        <f t="array" ref="O147">Common_InputFunctions.Utility_DisplayArrayInTable(Fertiliser_SourceData.Fertiliser_Products_Data3(),FertiliserProducts[[#Headers],[Include or Exclude]], 40)</f>
        <v/>
      </c>
      <c r="P147" s="65" t="str" cm="1">
        <f t="array" ref="P147">Common_InputFunctions.Utility_DisplayArrayInTable(Fertiliser_SourceData.Fertiliser_Products_Data3(),FertiliserProducts[[#Headers],[Include or Exclude]], 40)</f>
        <v/>
      </c>
      <c r="Q147" s="65" t="str" cm="1">
        <f t="array" ref="Q147">Common_InputFunctions.Utility_DisplayArrayInTable(Fertiliser_SourceData.Fertiliser_Products_Data3(),FertiliserProducts[[#Headers],[Include or Exclude]], 40)</f>
        <v/>
      </c>
      <c r="R147" s="65" t="str" cm="1">
        <f t="array" ref="R147">Common_InputFunctions.Utility_DisplayArrayInTable(Fertiliser_SourceData.Fertiliser_Products_Data3(),FertiliserProducts[[#Headers],[Include or Exclude]], 40)</f>
        <v/>
      </c>
      <c r="S147" s="65" t="str" cm="1">
        <f t="array" ref="S147">Common_InputFunctions.Utility_DisplayArrayInTable(Fertiliser_SourceData.Fertiliser_Products_Data3(),FertiliserProducts[[#Headers],[Include or Exclude]], 40)</f>
        <v/>
      </c>
      <c r="T147" s="65" t="str" cm="1">
        <f t="array" ref="T147">Common_InputFunctions.Utility_DisplayArrayInTable(Fertiliser_SourceData.Fertiliser_Products_Data3(),FertiliserProducts[[#Headers],[Include or Exclude]], 40)</f>
        <v/>
      </c>
      <c r="U147" s="65" t="str" cm="1">
        <f t="array" ref="U147">Common_InputFunctions.Utility_DisplayArrayInTable(Fertiliser_SourceData.Fertiliser_Products_Data3(),FertiliserProducts[[#Headers],[Include or Exclude]], 40)</f>
        <v/>
      </c>
      <c r="V147" s="65" t="str" cm="1">
        <f t="array" ref="V147">Common_InputFunctions.Utility_DisplayArrayInTable(Fertiliser_SourceData.Fertiliser_Products_Data3(),FertiliserProducts[[#Headers],[Include or Exclude]], 40)</f>
        <v/>
      </c>
      <c r="W147" s="65" t="str" cm="1">
        <f t="array" ref="W147">Common_InputFunctions.Utility_DisplayArrayInTable(Fertiliser_SourceData.Fertiliser_Products_Data3(),FertiliserProducts[[#Headers],[Include or Exclude]], 40)</f>
        <v>Crop Nutrition Solutions (Yara Australia)</v>
      </c>
      <c r="X147" s="65" t="str" cm="1">
        <f t="array" ref="X147">Common_InputFunctions.Utility_DisplayArrayInTable(Fertiliser_SourceData.Fertiliser_Products_Data3(),FertiliserProducts[[#Headers],[Include or Exclude]], 40)</f>
        <v/>
      </c>
      <c r="Y147" s="65" t="str" cm="1">
        <f t="array" ref="Y147">Common_InputFunctions.Utility_DisplayArrayInTable(Fertiliser_SourceData.Fertiliser_Products_Data3(),FertiliserProducts[[#Headers],[Include or Exclude]], 40)</f>
        <v/>
      </c>
      <c r="Z147" s="65"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4:31" ht="20.100000000000001" customHeight="1" x14ac:dyDescent="0.25">
      <c r="D148" s="65" t="str" cm="1">
        <f t="array" ref="D148">Common_InputFunctions.Utility_DisplayArrayInTable(Fertiliser_SourceData.Fertiliser_Products_Data3(),FertiliserProducts[[#Headers],[Include or Exclude]], 40)</f>
        <v>Yara Liquids SULSA 27-0-0+7S</v>
      </c>
      <c r="E148" s="65" t="str" cm="1">
        <f t="array" ref="E148">Common_InputFunctions.Utility_DisplayArrayInTable(Fertiliser_SourceData.Fertiliser_Products_Data3(),FertiliserProducts[[#Headers],[Include or Exclude]], 40)</f>
        <v/>
      </c>
      <c r="F148" s="65" t="str" cm="1">
        <f t="array" ref="F148">Common_InputFunctions.Utility_DisplayArrayInTable(Fertiliser_SourceData.Fertiliser_Products_Data3(),FertiliserProducts[[#Headers],[Include or Exclude]], 40)</f>
        <v/>
      </c>
      <c r="G148" s="65" t="str" cm="1">
        <f t="array" ref="G148">Common_InputFunctions.Utility_DisplayArrayInTable(Fertiliser_SourceData.Fertiliser_Products_Data3(),FertiliserProducts[[#Headers],[Include or Exclude]], 40)</f>
        <v/>
      </c>
      <c r="H148" s="65" t="str" cm="1">
        <f t="array" ref="H148">Common_InputFunctions.Utility_DisplayArrayInTable(Fertiliser_SourceData.Fertiliser_Products_Data3(),FertiliserProducts[[#Headers],[Include or Exclude]], 40)</f>
        <v/>
      </c>
      <c r="I148" s="65" t="str" cm="1">
        <f t="array" ref="I148">Common_InputFunctions.Utility_DisplayArrayInTable(Fertiliser_SourceData.Fertiliser_Products_Data3(),FertiliserProducts[[#Headers],[Include or Exclude]], 40)</f>
        <v/>
      </c>
      <c r="J148" s="65" t="str" cm="1">
        <f t="array" ref="J148">Common_InputFunctions.Utility_DisplayArrayInTable(Fertiliser_SourceData.Fertiliser_Products_Data3(),FertiliserProducts[[#Headers],[Include or Exclude]], 40)</f>
        <v/>
      </c>
      <c r="K148" s="65" t="str" cm="1">
        <f t="array" ref="K148">Common_InputFunctions.Utility_DisplayArrayInTable(Fertiliser_SourceData.Fertiliser_Products_Data3(),FertiliserProducts[[#Headers],[Include or Exclude]], 40)</f>
        <v/>
      </c>
      <c r="L148" s="65" t="str" cm="1">
        <f t="array" ref="L148">Common_InputFunctions.Utility_DisplayArrayInTable(Fertiliser_SourceData.Fertiliser_Products_Data3(),FertiliserProducts[[#Headers],[Include or Exclude]], 40)</f>
        <v/>
      </c>
      <c r="M148" s="65" t="str" cm="1">
        <f t="array" ref="M148">Common_InputFunctions.Utility_DisplayArrayInTable(Fertiliser_SourceData.Fertiliser_Products_Data3(),FertiliserProducts[[#Headers],[Include or Exclude]], 40)</f>
        <v/>
      </c>
      <c r="N148" s="65" t="str" cm="1">
        <f t="array" ref="N148">Common_InputFunctions.Utility_DisplayArrayInTable(Fertiliser_SourceData.Fertiliser_Products_Data3(),FertiliserProducts[[#Headers],[Include or Exclude]], 40)</f>
        <v/>
      </c>
      <c r="O148" s="65" t="str" cm="1">
        <f t="array" ref="O148">Common_InputFunctions.Utility_DisplayArrayInTable(Fertiliser_SourceData.Fertiliser_Products_Data3(),FertiliserProducts[[#Headers],[Include or Exclude]], 40)</f>
        <v/>
      </c>
      <c r="P148" s="65" t="str" cm="1">
        <f t="array" ref="P148">Common_InputFunctions.Utility_DisplayArrayInTable(Fertiliser_SourceData.Fertiliser_Products_Data3(),FertiliserProducts[[#Headers],[Include or Exclude]], 40)</f>
        <v/>
      </c>
      <c r="Q148" s="65" t="str" cm="1">
        <f t="array" ref="Q148">Common_InputFunctions.Utility_DisplayArrayInTable(Fertiliser_SourceData.Fertiliser_Products_Data3(),FertiliserProducts[[#Headers],[Include or Exclude]], 40)</f>
        <v/>
      </c>
      <c r="R148" s="65" t="str" cm="1">
        <f t="array" ref="R148">Common_InputFunctions.Utility_DisplayArrayInTable(Fertiliser_SourceData.Fertiliser_Products_Data3(),FertiliserProducts[[#Headers],[Include or Exclude]], 40)</f>
        <v/>
      </c>
      <c r="S148" s="65" t="str" cm="1">
        <f t="array" ref="S148">Common_InputFunctions.Utility_DisplayArrayInTable(Fertiliser_SourceData.Fertiliser_Products_Data3(),FertiliserProducts[[#Headers],[Include or Exclude]], 40)</f>
        <v/>
      </c>
      <c r="T148" s="65" t="str" cm="1">
        <f t="array" ref="T148">Common_InputFunctions.Utility_DisplayArrayInTable(Fertiliser_SourceData.Fertiliser_Products_Data3(),FertiliserProducts[[#Headers],[Include or Exclude]], 40)</f>
        <v/>
      </c>
      <c r="U148" s="65" t="str" cm="1">
        <f t="array" ref="U148">Common_InputFunctions.Utility_DisplayArrayInTable(Fertiliser_SourceData.Fertiliser_Products_Data3(),FertiliserProducts[[#Headers],[Include or Exclude]], 40)</f>
        <v/>
      </c>
      <c r="V148" s="65" t="str" cm="1">
        <f t="array" ref="V148">Common_InputFunctions.Utility_DisplayArrayInTable(Fertiliser_SourceData.Fertiliser_Products_Data3(),FertiliserProducts[[#Headers],[Include or Exclude]], 40)</f>
        <v/>
      </c>
      <c r="W148" s="65" t="str" cm="1">
        <f t="array" ref="W148">Common_InputFunctions.Utility_DisplayArrayInTable(Fertiliser_SourceData.Fertiliser_Products_Data3(),FertiliserProducts[[#Headers],[Include or Exclude]], 40)</f>
        <v>Crop Nutrition Solutions (Yara Australia)</v>
      </c>
      <c r="X148" s="65" t="str" cm="1">
        <f t="array" ref="X148">Common_InputFunctions.Utility_DisplayArrayInTable(Fertiliser_SourceData.Fertiliser_Products_Data3(),FertiliserProducts[[#Headers],[Include or Exclude]], 40)</f>
        <v/>
      </c>
      <c r="Y148" s="65" t="str" cm="1">
        <f t="array" ref="Y148">Common_InputFunctions.Utility_DisplayArrayInTable(Fertiliser_SourceData.Fertiliser_Products_Data3(),FertiliserProducts[[#Headers],[Include or Exclude]], 40)</f>
        <v/>
      </c>
      <c r="Z148" s="65"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4:31" ht="20.100000000000001" customHeight="1" x14ac:dyDescent="0.25">
      <c r="D149" s="65" t="str" cm="1">
        <f t="array" ref="D149">Common_InputFunctions.Utility_DisplayArrayInTable(Fertiliser_SourceData.Fertiliser_Products_Data4(),FertiliserProducts[[#Headers],[Include or Exclude]], 60)</f>
        <v>Product</v>
      </c>
      <c r="E149" s="65" t="str" cm="1">
        <f t="array" ref="E149">Common_InputFunctions.Utility_DisplayArrayInTable(Fertiliser_SourceData.Fertiliser_Products_Data4(),FertiliserProducts[[#Headers],[Include or Exclude]], 60)</f>
        <v>Ingredient 1</v>
      </c>
      <c r="F149" s="65" t="str" cm="1">
        <f t="array" ref="F149">Common_InputFunctions.Utility_DisplayArrayInTable(Fertiliser_SourceData.Fertiliser_Products_Data4(),FertiliserProducts[[#Headers],[Include or Exclude]], 60)</f>
        <v>Ingredient 1 percent</v>
      </c>
      <c r="G149" s="65" t="str" cm="1">
        <f t="array" ref="G149">Common_InputFunctions.Utility_DisplayArrayInTable(Fertiliser_SourceData.Fertiliser_Products_Data4(),FertiliserProducts[[#Headers],[Include or Exclude]], 60)</f>
        <v>Ingredient 1 source</v>
      </c>
      <c r="H149" s="65" t="str" cm="1">
        <f t="array" ref="H149">Common_InputFunctions.Utility_DisplayArrayInTable(Fertiliser_SourceData.Fertiliser_Products_Data4(),FertiliserProducts[[#Headers],[Include or Exclude]], 60)</f>
        <v>Ingredient 2</v>
      </c>
      <c r="I149" s="65" t="str" cm="1">
        <f t="array" ref="I149">Common_InputFunctions.Utility_DisplayArrayInTable(Fertiliser_SourceData.Fertiliser_Products_Data4(),FertiliserProducts[[#Headers],[Include or Exclude]], 60)</f>
        <v>Ingredient 2 percent</v>
      </c>
      <c r="J149" s="65" t="str" cm="1">
        <f t="array" ref="J149">Common_InputFunctions.Utility_DisplayArrayInTable(Fertiliser_SourceData.Fertiliser_Products_Data4(),FertiliserProducts[[#Headers],[Include or Exclude]], 60)</f>
        <v>Ingredient 2 source</v>
      </c>
      <c r="K149" s="65" t="str" cm="1">
        <f t="array" ref="K149">Common_InputFunctions.Utility_DisplayArrayInTable(Fertiliser_SourceData.Fertiliser_Products_Data4(),FertiliserProducts[[#Headers],[Include or Exclude]], 60)</f>
        <v>Ingredient 3</v>
      </c>
      <c r="L149" s="65" t="str" cm="1">
        <f t="array" ref="L149">Common_InputFunctions.Utility_DisplayArrayInTable(Fertiliser_SourceData.Fertiliser_Products_Data4(),FertiliserProducts[[#Headers],[Include or Exclude]], 60)</f>
        <v>Ingredient 3 percent</v>
      </c>
      <c r="M149" s="65" t="str" cm="1">
        <f t="array" ref="M149">Common_InputFunctions.Utility_DisplayArrayInTable(Fertiliser_SourceData.Fertiliser_Products_Data4(),FertiliserProducts[[#Headers],[Include or Exclude]], 60)</f>
        <v>Ingredient 3 source</v>
      </c>
      <c r="N149" s="65" t="str" cm="1">
        <f t="array" ref="N149">Common_InputFunctions.Utility_DisplayArrayInTable(Fertiliser_SourceData.Fertiliser_Products_Data4(),FertiliserProducts[[#Headers],[Include or Exclude]], 60)</f>
        <v>Ingredient 4</v>
      </c>
      <c r="O149" s="65" t="str" cm="1">
        <f t="array" ref="O149">Common_InputFunctions.Utility_DisplayArrayInTable(Fertiliser_SourceData.Fertiliser_Products_Data4(),FertiliserProducts[[#Headers],[Include or Exclude]], 60)</f>
        <v>Ingredient 4 percent</v>
      </c>
      <c r="P149" s="65" t="str" cm="1">
        <f t="array" ref="P149">Common_InputFunctions.Utility_DisplayArrayInTable(Fertiliser_SourceData.Fertiliser_Products_Data4(),FertiliserProducts[[#Headers],[Include or Exclude]], 60)</f>
        <v>Ingredient 4 source</v>
      </c>
      <c r="Q149" s="65" t="str" cm="1">
        <f t="array" ref="Q149">Common_InputFunctions.Utility_DisplayArrayInTable(Fertiliser_SourceData.Fertiliser_Products_Data4(),FertiliserProducts[[#Headers],[Include or Exclude]], 60)</f>
        <v>Ingredient 5</v>
      </c>
      <c r="R149" s="65" t="str" cm="1">
        <f t="array" ref="R149">Common_InputFunctions.Utility_DisplayArrayInTable(Fertiliser_SourceData.Fertiliser_Products_Data4(),FertiliserProducts[[#Headers],[Include or Exclude]], 60)</f>
        <v>Ingredient 5 percent</v>
      </c>
      <c r="S149" s="65" t="str" cm="1">
        <f t="array" ref="S149">Common_InputFunctions.Utility_DisplayArrayInTable(Fertiliser_SourceData.Fertiliser_Products_Data4(),FertiliserProducts[[#Headers],[Include or Exclude]], 60)</f>
        <v>Ingredient 5 source</v>
      </c>
      <c r="T149" s="65" t="str" cm="1">
        <f t="array" ref="T149">Common_InputFunctions.Utility_DisplayArrayInTable(Fertiliser_SourceData.Fertiliser_Products_Data4(),FertiliserProducts[[#Headers],[Include or Exclude]], 60)</f>
        <v>Ingredient 6</v>
      </c>
      <c r="U149" s="65" t="str" cm="1">
        <f t="array" ref="U149">Common_InputFunctions.Utility_DisplayArrayInTable(Fertiliser_SourceData.Fertiliser_Products_Data4(),FertiliserProducts[[#Headers],[Include or Exclude]], 60)</f>
        <v>Ingredient 6 percent</v>
      </c>
      <c r="V149" s="65" t="str" cm="1">
        <f t="array" ref="V149">Common_InputFunctions.Utility_DisplayArrayInTable(Fertiliser_SourceData.Fertiliser_Products_Data4(),FertiliserProducts[[#Headers],[Include or Exclude]], 60)</f>
        <v>Ingredient 6 source</v>
      </c>
      <c r="W149" s="65" t="str" cm="1">
        <f t="array" ref="W149">Common_InputFunctions.Utility_DisplayArrayInTable(Fertiliser_SourceData.Fertiliser_Products_Data4(),FertiliserProducts[[#Headers],[Include or Exclude]], 60)</f>
        <v>Product info link</v>
      </c>
      <c r="X149" s="65" t="str" cm="1">
        <f t="array" ref="X149">Common_InputFunctions.Utility_DisplayArrayInTable(Fertiliser_SourceData.Fertiliser_Products_Data4(),FertiliserProducts[[#Headers],[Include or Exclude]], 60)</f>
        <v/>
      </c>
      <c r="Y149" s="65" t="str" cm="1">
        <f t="array" ref="Y149">Common_InputFunctions.Utility_DisplayArrayInTable(Fertiliser_SourceData.Fertiliser_Products_Data4(),FertiliserProducts[[#Headers],[Include or Exclude]], 60)</f>
        <v/>
      </c>
      <c r="Z149" s="65"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4:31" ht="20.100000000000001" customHeight="1" x14ac:dyDescent="0.25">
      <c r="D150" s="65" t="str" cm="1">
        <f t="array" ref="D150">Common_InputFunctions.Utility_DisplayArrayInTable(Fertiliser_SourceData.Fertiliser_Products_Data4(),FertiliserProducts[[#Headers],[Include or Exclude]], 60)</f>
        <v>YaraVita BRASSITREL PRO</v>
      </c>
      <c r="E150" s="65" t="str" cm="1">
        <f t="array" ref="E150">Common_InputFunctions.Utility_DisplayArrayInTable(Fertiliser_SourceData.Fertiliser_Products_Data4(),FertiliserProducts[[#Headers],[Include or Exclude]], 60)</f>
        <v/>
      </c>
      <c r="F150" s="65" t="str" cm="1">
        <f t="array" ref="F150">Common_InputFunctions.Utility_DisplayArrayInTable(Fertiliser_SourceData.Fertiliser_Products_Data4(),FertiliserProducts[[#Headers],[Include or Exclude]], 60)</f>
        <v/>
      </c>
      <c r="G150" s="65" t="str" cm="1">
        <f t="array" ref="G150">Common_InputFunctions.Utility_DisplayArrayInTable(Fertiliser_SourceData.Fertiliser_Products_Data4(),FertiliserProducts[[#Headers],[Include or Exclude]], 60)</f>
        <v/>
      </c>
      <c r="H150" s="65" t="str" cm="1">
        <f t="array" ref="H150">Common_InputFunctions.Utility_DisplayArrayInTable(Fertiliser_SourceData.Fertiliser_Products_Data4(),FertiliserProducts[[#Headers],[Include or Exclude]], 60)</f>
        <v/>
      </c>
      <c r="I150" s="65" t="str" cm="1">
        <f t="array" ref="I150">Common_InputFunctions.Utility_DisplayArrayInTable(Fertiliser_SourceData.Fertiliser_Products_Data4(),FertiliserProducts[[#Headers],[Include or Exclude]], 60)</f>
        <v/>
      </c>
      <c r="J150" s="65" t="str" cm="1">
        <f t="array" ref="J150">Common_InputFunctions.Utility_DisplayArrayInTable(Fertiliser_SourceData.Fertiliser_Products_Data4(),FertiliserProducts[[#Headers],[Include or Exclude]], 60)</f>
        <v/>
      </c>
      <c r="K150" s="65" t="str" cm="1">
        <f t="array" ref="K150">Common_InputFunctions.Utility_DisplayArrayInTable(Fertiliser_SourceData.Fertiliser_Products_Data4(),FertiliserProducts[[#Headers],[Include or Exclude]], 60)</f>
        <v/>
      </c>
      <c r="L150" s="65" t="str" cm="1">
        <f t="array" ref="L150">Common_InputFunctions.Utility_DisplayArrayInTable(Fertiliser_SourceData.Fertiliser_Products_Data4(),FertiliserProducts[[#Headers],[Include or Exclude]], 60)</f>
        <v/>
      </c>
      <c r="M150" s="65" t="str" cm="1">
        <f t="array" ref="M150">Common_InputFunctions.Utility_DisplayArrayInTable(Fertiliser_SourceData.Fertiliser_Products_Data4(),FertiliserProducts[[#Headers],[Include or Exclude]], 60)</f>
        <v/>
      </c>
      <c r="N150" s="65" t="str" cm="1">
        <f t="array" ref="N150">Common_InputFunctions.Utility_DisplayArrayInTable(Fertiliser_SourceData.Fertiliser_Products_Data4(),FertiliserProducts[[#Headers],[Include or Exclude]], 60)</f>
        <v/>
      </c>
      <c r="O150" s="65" t="str" cm="1">
        <f t="array" ref="O150">Common_InputFunctions.Utility_DisplayArrayInTable(Fertiliser_SourceData.Fertiliser_Products_Data4(),FertiliserProducts[[#Headers],[Include or Exclude]], 60)</f>
        <v/>
      </c>
      <c r="P150" s="65" t="str" cm="1">
        <f t="array" ref="P150">Common_InputFunctions.Utility_DisplayArrayInTable(Fertiliser_SourceData.Fertiliser_Products_Data4(),FertiliserProducts[[#Headers],[Include or Exclude]], 60)</f>
        <v/>
      </c>
      <c r="Q150" s="65" t="str" cm="1">
        <f t="array" ref="Q150">Common_InputFunctions.Utility_DisplayArrayInTable(Fertiliser_SourceData.Fertiliser_Products_Data4(),FertiliserProducts[[#Headers],[Include or Exclude]], 60)</f>
        <v/>
      </c>
      <c r="R150" s="65" t="str" cm="1">
        <f t="array" ref="R150">Common_InputFunctions.Utility_DisplayArrayInTable(Fertiliser_SourceData.Fertiliser_Products_Data4(),FertiliserProducts[[#Headers],[Include or Exclude]], 60)</f>
        <v/>
      </c>
      <c r="S150" s="65" t="str" cm="1">
        <f t="array" ref="S150">Common_InputFunctions.Utility_DisplayArrayInTable(Fertiliser_SourceData.Fertiliser_Products_Data4(),FertiliserProducts[[#Headers],[Include or Exclude]], 60)</f>
        <v/>
      </c>
      <c r="T150" s="65" t="str" cm="1">
        <f t="array" ref="T150">Common_InputFunctions.Utility_DisplayArrayInTable(Fertiliser_SourceData.Fertiliser_Products_Data4(),FertiliserProducts[[#Headers],[Include or Exclude]], 60)</f>
        <v/>
      </c>
      <c r="U150" s="65" t="str" cm="1">
        <f t="array" ref="U150">Common_InputFunctions.Utility_DisplayArrayInTable(Fertiliser_SourceData.Fertiliser_Products_Data4(),FertiliserProducts[[#Headers],[Include or Exclude]], 60)</f>
        <v/>
      </c>
      <c r="V150" s="65" t="str" cm="1">
        <f t="array" ref="V150">Common_InputFunctions.Utility_DisplayArrayInTable(Fertiliser_SourceData.Fertiliser_Products_Data4(),FertiliserProducts[[#Headers],[Include or Exclude]], 60)</f>
        <v/>
      </c>
      <c r="W150" s="65" t="str" cm="1">
        <f t="array" ref="W150">Common_InputFunctions.Utility_DisplayArrayInTable(Fertiliser_SourceData.Fertiliser_Products_Data4(),FertiliserProducts[[#Headers],[Include or Exclude]], 60)</f>
        <v>Crop Nutrition Solutions (Yara Australia)</v>
      </c>
      <c r="X150" s="65" t="str" cm="1">
        <f t="array" ref="X150">Common_InputFunctions.Utility_DisplayArrayInTable(Fertiliser_SourceData.Fertiliser_Products_Data4(),FertiliserProducts[[#Headers],[Include or Exclude]], 60)</f>
        <v/>
      </c>
      <c r="Y150" s="65" t="str" cm="1">
        <f t="array" ref="Y150">Common_InputFunctions.Utility_DisplayArrayInTable(Fertiliser_SourceData.Fertiliser_Products_Data4(),FertiliserProducts[[#Headers],[Include or Exclude]], 60)</f>
        <v/>
      </c>
      <c r="Z150" s="65"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4:31" ht="20.100000000000001" customHeight="1" x14ac:dyDescent="0.25">
      <c r="D151" s="65" t="str" cm="1">
        <f t="array" ref="D151">Common_InputFunctions.Utility_DisplayArrayInTable(Fertiliser_SourceData.Fertiliser_Products_Data4(),FertiliserProducts[[#Headers],[Include or Exclude]], 60)</f>
        <v>YaraVita BUD BUILDER FL</v>
      </c>
      <c r="E151" s="65" t="str" cm="1">
        <f t="array" ref="E151">Common_InputFunctions.Utility_DisplayArrayInTable(Fertiliser_SourceData.Fertiliser_Products_Data4(),FertiliserProducts[[#Headers],[Include or Exclude]], 60)</f>
        <v/>
      </c>
      <c r="F151" s="65" t="str" cm="1">
        <f t="array" ref="F151">Common_InputFunctions.Utility_DisplayArrayInTable(Fertiliser_SourceData.Fertiliser_Products_Data4(),FertiliserProducts[[#Headers],[Include or Exclude]], 60)</f>
        <v/>
      </c>
      <c r="G151" s="65" t="str" cm="1">
        <f t="array" ref="G151">Common_InputFunctions.Utility_DisplayArrayInTable(Fertiliser_SourceData.Fertiliser_Products_Data4(),FertiliserProducts[[#Headers],[Include or Exclude]], 60)</f>
        <v/>
      </c>
      <c r="H151" s="65" t="str" cm="1">
        <f t="array" ref="H151">Common_InputFunctions.Utility_DisplayArrayInTable(Fertiliser_SourceData.Fertiliser_Products_Data4(),FertiliserProducts[[#Headers],[Include or Exclude]], 60)</f>
        <v/>
      </c>
      <c r="I151" s="65" t="str" cm="1">
        <f t="array" ref="I151">Common_InputFunctions.Utility_DisplayArrayInTable(Fertiliser_SourceData.Fertiliser_Products_Data4(),FertiliserProducts[[#Headers],[Include or Exclude]], 60)</f>
        <v/>
      </c>
      <c r="J151" s="65" t="str" cm="1">
        <f t="array" ref="J151">Common_InputFunctions.Utility_DisplayArrayInTable(Fertiliser_SourceData.Fertiliser_Products_Data4(),FertiliserProducts[[#Headers],[Include or Exclude]], 60)</f>
        <v/>
      </c>
      <c r="K151" s="65" t="str" cm="1">
        <f t="array" ref="K151">Common_InputFunctions.Utility_DisplayArrayInTable(Fertiliser_SourceData.Fertiliser_Products_Data4(),FertiliserProducts[[#Headers],[Include or Exclude]], 60)</f>
        <v/>
      </c>
      <c r="L151" s="65" t="str" cm="1">
        <f t="array" ref="L151">Common_InputFunctions.Utility_DisplayArrayInTable(Fertiliser_SourceData.Fertiliser_Products_Data4(),FertiliserProducts[[#Headers],[Include or Exclude]], 60)</f>
        <v/>
      </c>
      <c r="M151" s="65" t="str" cm="1">
        <f t="array" ref="M151">Common_InputFunctions.Utility_DisplayArrayInTable(Fertiliser_SourceData.Fertiliser_Products_Data4(),FertiliserProducts[[#Headers],[Include or Exclude]], 60)</f>
        <v/>
      </c>
      <c r="N151" s="65" t="str" cm="1">
        <f t="array" ref="N151">Common_InputFunctions.Utility_DisplayArrayInTable(Fertiliser_SourceData.Fertiliser_Products_Data4(),FertiliserProducts[[#Headers],[Include or Exclude]], 60)</f>
        <v/>
      </c>
      <c r="O151" s="65" t="str" cm="1">
        <f t="array" ref="O151">Common_InputFunctions.Utility_DisplayArrayInTable(Fertiliser_SourceData.Fertiliser_Products_Data4(),FertiliserProducts[[#Headers],[Include or Exclude]], 60)</f>
        <v/>
      </c>
      <c r="P151" s="65" t="str" cm="1">
        <f t="array" ref="P151">Common_InputFunctions.Utility_DisplayArrayInTable(Fertiliser_SourceData.Fertiliser_Products_Data4(),FertiliserProducts[[#Headers],[Include or Exclude]], 60)</f>
        <v/>
      </c>
      <c r="Q151" s="65" t="str" cm="1">
        <f t="array" ref="Q151">Common_InputFunctions.Utility_DisplayArrayInTable(Fertiliser_SourceData.Fertiliser_Products_Data4(),FertiliserProducts[[#Headers],[Include or Exclude]], 60)</f>
        <v/>
      </c>
      <c r="R151" s="65" t="str" cm="1">
        <f t="array" ref="R151">Common_InputFunctions.Utility_DisplayArrayInTable(Fertiliser_SourceData.Fertiliser_Products_Data4(),FertiliserProducts[[#Headers],[Include or Exclude]], 60)</f>
        <v/>
      </c>
      <c r="S151" s="65" t="str" cm="1">
        <f t="array" ref="S151">Common_InputFunctions.Utility_DisplayArrayInTable(Fertiliser_SourceData.Fertiliser_Products_Data4(),FertiliserProducts[[#Headers],[Include or Exclude]], 60)</f>
        <v/>
      </c>
      <c r="T151" s="65" t="str" cm="1">
        <f t="array" ref="T151">Common_InputFunctions.Utility_DisplayArrayInTable(Fertiliser_SourceData.Fertiliser_Products_Data4(),FertiliserProducts[[#Headers],[Include or Exclude]], 60)</f>
        <v/>
      </c>
      <c r="U151" s="65" t="str" cm="1">
        <f t="array" ref="U151">Common_InputFunctions.Utility_DisplayArrayInTable(Fertiliser_SourceData.Fertiliser_Products_Data4(),FertiliserProducts[[#Headers],[Include or Exclude]], 60)</f>
        <v/>
      </c>
      <c r="V151" s="65" t="str" cm="1">
        <f t="array" ref="V151">Common_InputFunctions.Utility_DisplayArrayInTable(Fertiliser_SourceData.Fertiliser_Products_Data4(),FertiliserProducts[[#Headers],[Include or Exclude]], 60)</f>
        <v/>
      </c>
      <c r="W151" s="65" t="str" cm="1">
        <f t="array" ref="W151">Common_InputFunctions.Utility_DisplayArrayInTable(Fertiliser_SourceData.Fertiliser_Products_Data4(),FertiliserProducts[[#Headers],[Include or Exclude]], 60)</f>
        <v>Crop Nutrition Solutions (Yara Australia)</v>
      </c>
      <c r="X151" s="65" t="str" cm="1">
        <f t="array" ref="X151">Common_InputFunctions.Utility_DisplayArrayInTable(Fertiliser_SourceData.Fertiliser_Products_Data4(),FertiliserProducts[[#Headers],[Include or Exclude]], 60)</f>
        <v/>
      </c>
      <c r="Y151" s="65" t="str" cm="1">
        <f t="array" ref="Y151">Common_InputFunctions.Utility_DisplayArrayInTable(Fertiliser_SourceData.Fertiliser_Products_Data4(),FertiliserProducts[[#Headers],[Include or Exclude]], 60)</f>
        <v/>
      </c>
      <c r="Z151" s="65"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4:31" ht="20.100000000000001" customHeight="1" x14ac:dyDescent="0.25">
      <c r="D152" s="65" t="str" cm="1">
        <f t="array" ref="D152">Common_InputFunctions.Utility_DisplayArrayInTable(Fertiliser_SourceData.Fertiliser_Products_Data4(),FertiliserProducts[[#Headers],[Include or Exclude]], 60)</f>
        <v>YaraVita FRUTREL</v>
      </c>
      <c r="E152" s="65" t="str" cm="1">
        <f t="array" ref="E152">Common_InputFunctions.Utility_DisplayArrayInTable(Fertiliser_SourceData.Fertiliser_Products_Data4(),FertiliserProducts[[#Headers],[Include or Exclude]], 60)</f>
        <v/>
      </c>
      <c r="F152" s="65" t="str" cm="1">
        <f t="array" ref="F152">Common_InputFunctions.Utility_DisplayArrayInTable(Fertiliser_SourceData.Fertiliser_Products_Data4(),FertiliserProducts[[#Headers],[Include or Exclude]], 60)</f>
        <v/>
      </c>
      <c r="G152" s="65" t="str" cm="1">
        <f t="array" ref="G152">Common_InputFunctions.Utility_DisplayArrayInTable(Fertiliser_SourceData.Fertiliser_Products_Data4(),FertiliserProducts[[#Headers],[Include or Exclude]], 60)</f>
        <v/>
      </c>
      <c r="H152" s="65" t="str" cm="1">
        <f t="array" ref="H152">Common_InputFunctions.Utility_DisplayArrayInTable(Fertiliser_SourceData.Fertiliser_Products_Data4(),FertiliserProducts[[#Headers],[Include or Exclude]], 60)</f>
        <v/>
      </c>
      <c r="I152" s="65" t="str" cm="1">
        <f t="array" ref="I152">Common_InputFunctions.Utility_DisplayArrayInTable(Fertiliser_SourceData.Fertiliser_Products_Data4(),FertiliserProducts[[#Headers],[Include or Exclude]], 60)</f>
        <v/>
      </c>
      <c r="J152" s="65" t="str" cm="1">
        <f t="array" ref="J152">Common_InputFunctions.Utility_DisplayArrayInTable(Fertiliser_SourceData.Fertiliser_Products_Data4(),FertiliserProducts[[#Headers],[Include or Exclude]], 60)</f>
        <v/>
      </c>
      <c r="K152" s="65" t="str" cm="1">
        <f t="array" ref="K152">Common_InputFunctions.Utility_DisplayArrayInTable(Fertiliser_SourceData.Fertiliser_Products_Data4(),FertiliserProducts[[#Headers],[Include or Exclude]], 60)</f>
        <v/>
      </c>
      <c r="L152" s="65" t="str" cm="1">
        <f t="array" ref="L152">Common_InputFunctions.Utility_DisplayArrayInTable(Fertiliser_SourceData.Fertiliser_Products_Data4(),FertiliserProducts[[#Headers],[Include or Exclude]], 60)</f>
        <v/>
      </c>
      <c r="M152" s="65" t="str" cm="1">
        <f t="array" ref="M152">Common_InputFunctions.Utility_DisplayArrayInTable(Fertiliser_SourceData.Fertiliser_Products_Data4(),FertiliserProducts[[#Headers],[Include or Exclude]], 60)</f>
        <v/>
      </c>
      <c r="N152" s="65" t="str" cm="1">
        <f t="array" ref="N152">Common_InputFunctions.Utility_DisplayArrayInTable(Fertiliser_SourceData.Fertiliser_Products_Data4(),FertiliserProducts[[#Headers],[Include or Exclude]], 60)</f>
        <v/>
      </c>
      <c r="O152" s="65" t="str" cm="1">
        <f t="array" ref="O152">Common_InputFunctions.Utility_DisplayArrayInTable(Fertiliser_SourceData.Fertiliser_Products_Data4(),FertiliserProducts[[#Headers],[Include or Exclude]], 60)</f>
        <v/>
      </c>
      <c r="P152" s="65" t="str" cm="1">
        <f t="array" ref="P152">Common_InputFunctions.Utility_DisplayArrayInTable(Fertiliser_SourceData.Fertiliser_Products_Data4(),FertiliserProducts[[#Headers],[Include or Exclude]], 60)</f>
        <v/>
      </c>
      <c r="Q152" s="65" t="str" cm="1">
        <f t="array" ref="Q152">Common_InputFunctions.Utility_DisplayArrayInTable(Fertiliser_SourceData.Fertiliser_Products_Data4(),FertiliserProducts[[#Headers],[Include or Exclude]], 60)</f>
        <v/>
      </c>
      <c r="R152" s="65" t="str" cm="1">
        <f t="array" ref="R152">Common_InputFunctions.Utility_DisplayArrayInTable(Fertiliser_SourceData.Fertiliser_Products_Data4(),FertiliserProducts[[#Headers],[Include or Exclude]], 60)</f>
        <v/>
      </c>
      <c r="S152" s="65" t="str" cm="1">
        <f t="array" ref="S152">Common_InputFunctions.Utility_DisplayArrayInTable(Fertiliser_SourceData.Fertiliser_Products_Data4(),FertiliserProducts[[#Headers],[Include or Exclude]], 60)</f>
        <v/>
      </c>
      <c r="T152" s="65" t="str" cm="1">
        <f t="array" ref="T152">Common_InputFunctions.Utility_DisplayArrayInTable(Fertiliser_SourceData.Fertiliser_Products_Data4(),FertiliserProducts[[#Headers],[Include or Exclude]], 60)</f>
        <v/>
      </c>
      <c r="U152" s="65" t="str" cm="1">
        <f t="array" ref="U152">Common_InputFunctions.Utility_DisplayArrayInTable(Fertiliser_SourceData.Fertiliser_Products_Data4(),FertiliserProducts[[#Headers],[Include or Exclude]], 60)</f>
        <v/>
      </c>
      <c r="V152" s="65" t="str" cm="1">
        <f t="array" ref="V152">Common_InputFunctions.Utility_DisplayArrayInTable(Fertiliser_SourceData.Fertiliser_Products_Data4(),FertiliserProducts[[#Headers],[Include or Exclude]], 60)</f>
        <v/>
      </c>
      <c r="W152" s="65" t="str" cm="1">
        <f t="array" ref="W152">Common_InputFunctions.Utility_DisplayArrayInTable(Fertiliser_SourceData.Fertiliser_Products_Data4(),FertiliserProducts[[#Headers],[Include or Exclude]], 60)</f>
        <v>Crop Nutrition Solutions (Yara Australia)</v>
      </c>
      <c r="X152" s="65" t="str" cm="1">
        <f t="array" ref="X152">Common_InputFunctions.Utility_DisplayArrayInTable(Fertiliser_SourceData.Fertiliser_Products_Data4(),FertiliserProducts[[#Headers],[Include or Exclude]], 60)</f>
        <v/>
      </c>
      <c r="Y152" s="65" t="str" cm="1">
        <f t="array" ref="Y152">Common_InputFunctions.Utility_DisplayArrayInTable(Fertiliser_SourceData.Fertiliser_Products_Data4(),FertiliserProducts[[#Headers],[Include or Exclude]], 60)</f>
        <v/>
      </c>
      <c r="Z152" s="65"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4:31" ht="20.100000000000001" customHeight="1" x14ac:dyDescent="0.25">
      <c r="D153" s="65" t="str" cm="1">
        <f t="array" ref="D153">Common_InputFunctions.Utility_DisplayArrayInTable(Fertiliser_SourceData.Fertiliser_Products_Data4(),FertiliserProducts[[#Headers],[Include or Exclude]], 60)</f>
        <v>YaraVita GLYTREL ZnP</v>
      </c>
      <c r="E153" s="65" t="str" cm="1">
        <f t="array" ref="E153">Common_InputFunctions.Utility_DisplayArrayInTable(Fertiliser_SourceData.Fertiliser_Products_Data4(),FertiliserProducts[[#Headers],[Include or Exclude]], 60)</f>
        <v/>
      </c>
      <c r="F153" s="65" t="str" cm="1">
        <f t="array" ref="F153">Common_InputFunctions.Utility_DisplayArrayInTable(Fertiliser_SourceData.Fertiliser_Products_Data4(),FertiliserProducts[[#Headers],[Include or Exclude]], 60)</f>
        <v/>
      </c>
      <c r="G153" s="65" t="str" cm="1">
        <f t="array" ref="G153">Common_InputFunctions.Utility_DisplayArrayInTable(Fertiliser_SourceData.Fertiliser_Products_Data4(),FertiliserProducts[[#Headers],[Include or Exclude]], 60)</f>
        <v/>
      </c>
      <c r="H153" s="65" t="str" cm="1">
        <f t="array" ref="H153">Common_InputFunctions.Utility_DisplayArrayInTable(Fertiliser_SourceData.Fertiliser_Products_Data4(),FertiliserProducts[[#Headers],[Include or Exclude]], 60)</f>
        <v/>
      </c>
      <c r="I153" s="65" t="str" cm="1">
        <f t="array" ref="I153">Common_InputFunctions.Utility_DisplayArrayInTable(Fertiliser_SourceData.Fertiliser_Products_Data4(),FertiliserProducts[[#Headers],[Include or Exclude]], 60)</f>
        <v/>
      </c>
      <c r="J153" s="65" t="str" cm="1">
        <f t="array" ref="J153">Common_InputFunctions.Utility_DisplayArrayInTable(Fertiliser_SourceData.Fertiliser_Products_Data4(),FertiliserProducts[[#Headers],[Include or Exclude]], 60)</f>
        <v/>
      </c>
      <c r="K153" s="65" t="str" cm="1">
        <f t="array" ref="K153">Common_InputFunctions.Utility_DisplayArrayInTable(Fertiliser_SourceData.Fertiliser_Products_Data4(),FertiliserProducts[[#Headers],[Include or Exclude]], 60)</f>
        <v/>
      </c>
      <c r="L153" s="65" t="str" cm="1">
        <f t="array" ref="L153">Common_InputFunctions.Utility_DisplayArrayInTable(Fertiliser_SourceData.Fertiliser_Products_Data4(),FertiliserProducts[[#Headers],[Include or Exclude]], 60)</f>
        <v/>
      </c>
      <c r="M153" s="65" t="str" cm="1">
        <f t="array" ref="M153">Common_InputFunctions.Utility_DisplayArrayInTable(Fertiliser_SourceData.Fertiliser_Products_Data4(),FertiliserProducts[[#Headers],[Include or Exclude]], 60)</f>
        <v/>
      </c>
      <c r="N153" s="65" t="str" cm="1">
        <f t="array" ref="N153">Common_InputFunctions.Utility_DisplayArrayInTable(Fertiliser_SourceData.Fertiliser_Products_Data4(),FertiliserProducts[[#Headers],[Include or Exclude]], 60)</f>
        <v/>
      </c>
      <c r="O153" s="65" t="str" cm="1">
        <f t="array" ref="O153">Common_InputFunctions.Utility_DisplayArrayInTable(Fertiliser_SourceData.Fertiliser_Products_Data4(),FertiliserProducts[[#Headers],[Include or Exclude]], 60)</f>
        <v/>
      </c>
      <c r="P153" s="65" t="str" cm="1">
        <f t="array" ref="P153">Common_InputFunctions.Utility_DisplayArrayInTable(Fertiliser_SourceData.Fertiliser_Products_Data4(),FertiliserProducts[[#Headers],[Include or Exclude]], 60)</f>
        <v/>
      </c>
      <c r="Q153" s="65" t="str" cm="1">
        <f t="array" ref="Q153">Common_InputFunctions.Utility_DisplayArrayInTable(Fertiliser_SourceData.Fertiliser_Products_Data4(),FertiliserProducts[[#Headers],[Include or Exclude]], 60)</f>
        <v/>
      </c>
      <c r="R153" s="65" t="str" cm="1">
        <f t="array" ref="R153">Common_InputFunctions.Utility_DisplayArrayInTable(Fertiliser_SourceData.Fertiliser_Products_Data4(),FertiliserProducts[[#Headers],[Include or Exclude]], 60)</f>
        <v/>
      </c>
      <c r="S153" s="65" t="str" cm="1">
        <f t="array" ref="S153">Common_InputFunctions.Utility_DisplayArrayInTable(Fertiliser_SourceData.Fertiliser_Products_Data4(),FertiliserProducts[[#Headers],[Include or Exclude]], 60)</f>
        <v/>
      </c>
      <c r="T153" s="65" t="str" cm="1">
        <f t="array" ref="T153">Common_InputFunctions.Utility_DisplayArrayInTable(Fertiliser_SourceData.Fertiliser_Products_Data4(),FertiliserProducts[[#Headers],[Include or Exclude]], 60)</f>
        <v/>
      </c>
      <c r="U153" s="65" t="str" cm="1">
        <f t="array" ref="U153">Common_InputFunctions.Utility_DisplayArrayInTable(Fertiliser_SourceData.Fertiliser_Products_Data4(),FertiliserProducts[[#Headers],[Include or Exclude]], 60)</f>
        <v/>
      </c>
      <c r="V153" s="65" t="str" cm="1">
        <f t="array" ref="V153">Common_InputFunctions.Utility_DisplayArrayInTable(Fertiliser_SourceData.Fertiliser_Products_Data4(),FertiliserProducts[[#Headers],[Include or Exclude]], 60)</f>
        <v/>
      </c>
      <c r="W153" s="65" t="str" cm="1">
        <f t="array" ref="W153">Common_InputFunctions.Utility_DisplayArrayInTable(Fertiliser_SourceData.Fertiliser_Products_Data4(),FertiliserProducts[[#Headers],[Include or Exclude]], 60)</f>
        <v>Crop Nutrition Solutions (Yara Australia)</v>
      </c>
      <c r="X153" s="65" t="str" cm="1">
        <f t="array" ref="X153">Common_InputFunctions.Utility_DisplayArrayInTable(Fertiliser_SourceData.Fertiliser_Products_Data4(),FertiliserProducts[[#Headers],[Include or Exclude]], 60)</f>
        <v/>
      </c>
      <c r="Y153" s="65" t="str" cm="1">
        <f t="array" ref="Y153">Common_InputFunctions.Utility_DisplayArrayInTable(Fertiliser_SourceData.Fertiliser_Products_Data4(),FertiliserProducts[[#Headers],[Include or Exclude]], 60)</f>
        <v/>
      </c>
      <c r="Z153" s="65"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FCB0-62AE-4125-B897-4FCFD0B878B7}">
  <dimension ref="A1:AI165"/>
  <sheetViews>
    <sheetView showGridLines="0" topLeftCell="A6" zoomScaleNormal="100" workbookViewId="0">
      <selection activeCell="G26" sqref="G26"/>
    </sheetView>
  </sheetViews>
  <sheetFormatPr defaultRowHeight="15.75" x14ac:dyDescent="0.25"/>
  <cols>
    <col min="1" max="1" width="26.875" style="3" customWidth="1"/>
    <col min="2" max="2" width="4.125" style="3" customWidth="1"/>
    <col min="3" max="3" width="4.125" style="8" customWidth="1"/>
    <col min="4" max="4" width="34.25" style="8" customWidth="1"/>
    <col min="5" max="5" width="27.87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87</v>
      </c>
      <c r="F112" s="20" t="s">
        <v>88</v>
      </c>
      <c r="G112" s="17"/>
      <c r="H112" s="28" t="s">
        <v>89</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90</v>
      </c>
      <c r="E130" s="34" t="s">
        <v>91</v>
      </c>
      <c r="F130" s="34" t="s">
        <v>92</v>
      </c>
      <c r="G130" s="34" t="s">
        <v>93</v>
      </c>
      <c r="H130" s="34" t="s">
        <v>94</v>
      </c>
      <c r="I130" s="34" t="s">
        <v>95</v>
      </c>
      <c r="J130" s="34" t="s">
        <v>96</v>
      </c>
      <c r="K130" s="17"/>
      <c r="L130" s="17"/>
      <c r="M130" s="17"/>
      <c r="AG130" s="8"/>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35" t="str">
        <f>$D$143</f>
        <v>Petrol</v>
      </c>
      <c r="K131" s="17"/>
      <c r="L131" s="17"/>
      <c r="M131" s="17"/>
      <c r="AG131" s="8"/>
    </row>
    <row r="132" spans="4:33" ht="20.100000000000001" customHeight="1" x14ac:dyDescent="0.25">
      <c r="D132" s="35" t="str">
        <f>$D$144</f>
        <v>Diesel</v>
      </c>
      <c r="E132" s="35" t="str">
        <f>$D$144</f>
        <v>Diesel</v>
      </c>
      <c r="F132" s="35" t="str">
        <f>$D$151</f>
        <v>Jet A1, Jet B</v>
      </c>
      <c r="G132" s="35" t="str">
        <f>$D$144</f>
        <v>Diesel</v>
      </c>
      <c r="H132" s="35"/>
      <c r="I132" s="35" t="str">
        <f>$D$144</f>
        <v>Diesel</v>
      </c>
      <c r="J132" s="35" t="str">
        <f>$D$144</f>
        <v>Diesel</v>
      </c>
      <c r="K132" s="17"/>
      <c r="L132" s="17"/>
      <c r="M132" s="17"/>
      <c r="AG132" s="8"/>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97</v>
      </c>
      <c r="J133" s="35" t="str">
        <f>$D$145</f>
        <v>Liquefied petroleum gas (LPG)</v>
      </c>
      <c r="K133" s="17"/>
      <c r="L133" s="17"/>
      <c r="M133" s="17"/>
      <c r="AG133" s="8"/>
    </row>
    <row r="134" spans="4:33" ht="20.100000000000001" customHeight="1" x14ac:dyDescent="0.25">
      <c r="D134" s="35" t="str">
        <f>$D$146</f>
        <v>Biodiesel</v>
      </c>
      <c r="E134" s="35" t="str">
        <f>$D$146</f>
        <v>Biodiesel</v>
      </c>
      <c r="F134" s="34"/>
      <c r="G134" s="35" t="str">
        <f>$D$160</f>
        <v>Fuel oil</v>
      </c>
      <c r="H134" s="35"/>
      <c r="I134" s="35"/>
      <c r="J134" s="35" t="str">
        <f>$D$146</f>
        <v>Biodiesel</v>
      </c>
      <c r="K134" s="17"/>
      <c r="L134" s="17"/>
      <c r="M134" s="17"/>
      <c r="AG134" s="8"/>
    </row>
    <row r="135" spans="4:33" ht="20.100000000000001" customHeight="1" x14ac:dyDescent="0.25">
      <c r="D135" s="35" t="str">
        <f>$D$147</f>
        <v>Ethanol</v>
      </c>
      <c r="E135" s="35" t="str">
        <f>$D$147</f>
        <v>Ethanol</v>
      </c>
      <c r="F135" s="34"/>
      <c r="G135" s="35" t="str">
        <f>$D$147</f>
        <v>Ethanol</v>
      </c>
      <c r="H135" s="35"/>
      <c r="I135" s="35"/>
      <c r="J135" s="35" t="str">
        <f>$D$147</f>
        <v>Ethanol</v>
      </c>
      <c r="K135" s="17"/>
      <c r="L135" s="17"/>
      <c r="M135" s="17"/>
      <c r="AG135" s="8"/>
    </row>
    <row r="136" spans="4:33" ht="20.100000000000001" customHeight="1" x14ac:dyDescent="0.25">
      <c r="D136" s="35" t="str">
        <f>$D$148</f>
        <v>Other biofuels</v>
      </c>
      <c r="E136" s="35" t="str">
        <f>$D$148</f>
        <v>Other biofuels</v>
      </c>
      <c r="F136" s="34"/>
      <c r="G136" s="35" t="str">
        <f>$D$146</f>
        <v>Biodiesel</v>
      </c>
      <c r="H136" s="35"/>
      <c r="I136" s="35"/>
      <c r="J136" s="35" t="str">
        <f>$D$148</f>
        <v>Other biofuels</v>
      </c>
      <c r="K136" s="17"/>
      <c r="L136" s="17"/>
      <c r="M136" s="17"/>
      <c r="AG136" s="8"/>
    </row>
    <row r="137" spans="4:33" ht="20.100000000000001" customHeight="1" x14ac:dyDescent="0.25">
      <c r="D137" s="35" t="str">
        <f>$D$149</f>
        <v>Renewable diesel</v>
      </c>
      <c r="E137" s="35" t="str">
        <f>$D$149</f>
        <v>Renewable diesel</v>
      </c>
      <c r="F137" s="34"/>
      <c r="G137" s="35" t="str">
        <f>$D$149</f>
        <v>Renewable diesel</v>
      </c>
      <c r="H137" s="35"/>
      <c r="I137" s="35"/>
      <c r="J137" s="35" t="str">
        <f>$D$149</f>
        <v>Renewable diesel</v>
      </c>
      <c r="K137" s="17"/>
      <c r="L137" s="17"/>
      <c r="M137" s="17"/>
      <c r="AG137" s="8"/>
    </row>
    <row r="138" spans="4:33" ht="20.100000000000001" customHeight="1" x14ac:dyDescent="0.25">
      <c r="D138" s="34"/>
      <c r="E138" s="36" t="str">
        <f>$D$161</f>
        <v>Natural gas (via pipeline) in GJ</v>
      </c>
      <c r="F138" s="36"/>
      <c r="G138" s="35" t="str">
        <f>$D$148</f>
        <v>Other biofuels</v>
      </c>
      <c r="H138" s="35"/>
      <c r="I138" s="35"/>
      <c r="J138" s="36" t="str">
        <f>$D$161</f>
        <v>Natural gas (via pipeline) in GJ</v>
      </c>
      <c r="K138" s="17"/>
      <c r="L138" s="17"/>
      <c r="M138" s="17"/>
      <c r="AG138" s="8"/>
    </row>
    <row r="139" spans="4:33" ht="20.100000000000001" customHeight="1" x14ac:dyDescent="0.25">
      <c r="D139" s="36"/>
      <c r="E139" s="36" t="str">
        <f>$D$162</f>
        <v>Town gas in GJ</v>
      </c>
      <c r="F139" s="36"/>
      <c r="G139" s="36"/>
      <c r="H139" s="36"/>
      <c r="I139" s="36"/>
      <c r="J139" s="36" t="str">
        <f>$D$162</f>
        <v>Town gas in GJ</v>
      </c>
      <c r="K139" s="17"/>
      <c r="L139" s="17"/>
      <c r="M139" s="17"/>
      <c r="AG139" s="8"/>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98</v>
      </c>
      <c r="E142" s="3" t="s">
        <v>99</v>
      </c>
      <c r="F142" s="17"/>
      <c r="G142" s="17"/>
      <c r="H142" s="17"/>
      <c r="I142" s="17"/>
      <c r="J142" s="17"/>
      <c r="K142" s="17"/>
      <c r="L142" s="17"/>
    </row>
    <row r="143" spans="4:33" ht="20.100000000000001" customHeight="1" x14ac:dyDescent="0.25">
      <c r="D143" s="35" t="s">
        <v>100</v>
      </c>
      <c r="E143" s="3" t="s">
        <v>101</v>
      </c>
      <c r="F143" s="17"/>
      <c r="G143" s="17"/>
      <c r="H143" s="17"/>
      <c r="I143" s="17"/>
      <c r="J143" s="17"/>
      <c r="K143" s="17"/>
      <c r="L143" s="17"/>
    </row>
    <row r="144" spans="4:33" ht="20.100000000000001" customHeight="1" x14ac:dyDescent="0.25">
      <c r="D144" s="35" t="s">
        <v>102</v>
      </c>
      <c r="E144" s="3" t="s">
        <v>101</v>
      </c>
      <c r="F144" s="17"/>
      <c r="G144" s="17"/>
      <c r="H144" s="17"/>
      <c r="I144" s="17"/>
      <c r="J144" s="17"/>
      <c r="K144" s="17"/>
      <c r="L144" s="17"/>
    </row>
    <row r="145" spans="4:12" ht="20.100000000000001" customHeight="1" x14ac:dyDescent="0.25">
      <c r="D145" s="35" t="s">
        <v>103</v>
      </c>
      <c r="E145" s="3" t="s">
        <v>101</v>
      </c>
      <c r="F145" s="17"/>
      <c r="G145" s="17"/>
      <c r="H145" s="17"/>
      <c r="I145" s="17"/>
      <c r="J145" s="17"/>
      <c r="K145" s="17"/>
      <c r="L145" s="17"/>
    </row>
    <row r="146" spans="4:12" ht="20.100000000000001" customHeight="1" x14ac:dyDescent="0.25">
      <c r="D146" s="35" t="s">
        <v>104</v>
      </c>
      <c r="E146" s="3" t="s">
        <v>101</v>
      </c>
      <c r="F146" s="17"/>
      <c r="G146" s="17"/>
      <c r="H146" s="17"/>
      <c r="I146" s="17"/>
      <c r="J146" s="17"/>
      <c r="K146" s="17"/>
      <c r="L146" s="17"/>
    </row>
    <row r="147" spans="4:12" ht="20.100000000000001" customHeight="1" x14ac:dyDescent="0.25">
      <c r="D147" s="35" t="s">
        <v>105</v>
      </c>
      <c r="E147" s="3" t="s">
        <v>101</v>
      </c>
      <c r="F147" s="17"/>
      <c r="G147" s="17"/>
      <c r="H147" s="17"/>
      <c r="I147" s="17"/>
      <c r="J147" s="17"/>
      <c r="K147" s="17"/>
      <c r="L147" s="17"/>
    </row>
    <row r="148" spans="4:12" ht="20.100000000000001" customHeight="1" x14ac:dyDescent="0.25">
      <c r="D148" s="35" t="s">
        <v>106</v>
      </c>
      <c r="E148" s="3" t="s">
        <v>101</v>
      </c>
      <c r="F148" s="17"/>
      <c r="G148" s="17"/>
      <c r="H148" s="17"/>
      <c r="I148" s="17"/>
      <c r="J148" s="17"/>
      <c r="K148" s="17"/>
      <c r="L148" s="17"/>
    </row>
    <row r="149" spans="4:12" ht="20.100000000000001" customHeight="1" x14ac:dyDescent="0.25">
      <c r="D149" s="35" t="s">
        <v>107</v>
      </c>
      <c r="E149" s="3" t="s">
        <v>101</v>
      </c>
      <c r="F149" s="17"/>
      <c r="G149" s="17"/>
      <c r="H149" s="17"/>
      <c r="I149" s="17"/>
      <c r="J149" s="17"/>
      <c r="K149" s="17"/>
      <c r="L149" s="17"/>
    </row>
    <row r="150" spans="4:12" ht="20.100000000000001" customHeight="1" x14ac:dyDescent="0.25">
      <c r="D150" s="35" t="s">
        <v>108</v>
      </c>
      <c r="E150" s="3" t="s">
        <v>101</v>
      </c>
      <c r="F150" s="17"/>
      <c r="G150" s="17"/>
      <c r="H150" s="17"/>
      <c r="I150" s="17"/>
      <c r="J150" s="17"/>
      <c r="K150" s="17"/>
      <c r="L150" s="17"/>
    </row>
    <row r="151" spans="4:12" ht="20.100000000000001" customHeight="1" x14ac:dyDescent="0.25">
      <c r="D151" s="35" t="s">
        <v>109</v>
      </c>
      <c r="E151" s="3" t="s">
        <v>101</v>
      </c>
      <c r="F151" s="17"/>
      <c r="G151" s="17"/>
      <c r="H151" s="17"/>
      <c r="I151" s="17"/>
      <c r="J151" s="17"/>
      <c r="K151" s="17"/>
      <c r="L151" s="17"/>
    </row>
    <row r="152" spans="4:12" ht="20.100000000000001" customHeight="1" x14ac:dyDescent="0.25">
      <c r="D152" s="37" t="s">
        <v>110</v>
      </c>
      <c r="E152" s="14" t="s">
        <v>101</v>
      </c>
      <c r="F152" s="17"/>
      <c r="G152" s="17"/>
      <c r="H152" s="17"/>
      <c r="I152" s="17"/>
      <c r="J152" s="17"/>
      <c r="K152" s="17"/>
      <c r="L152" s="17"/>
    </row>
    <row r="153" spans="4:12" ht="20.100000000000001" customHeight="1" x14ac:dyDescent="0.25">
      <c r="D153" s="37" t="s">
        <v>111</v>
      </c>
      <c r="E153" s="14" t="s">
        <v>101</v>
      </c>
      <c r="F153" s="17"/>
      <c r="G153" s="17"/>
      <c r="H153" s="17"/>
      <c r="I153" s="17"/>
      <c r="J153" s="17"/>
      <c r="K153" s="17"/>
      <c r="L153" s="17"/>
    </row>
    <row r="154" spans="4:12" ht="20.100000000000001" customHeight="1" x14ac:dyDescent="0.25">
      <c r="D154" s="37" t="s">
        <v>112</v>
      </c>
      <c r="E154" s="14" t="s">
        <v>101</v>
      </c>
      <c r="F154" s="17"/>
      <c r="G154" s="17"/>
      <c r="H154" s="17"/>
      <c r="I154" s="17"/>
      <c r="J154" s="17"/>
      <c r="K154" s="17"/>
      <c r="L154" s="17"/>
    </row>
    <row r="155" spans="4:12" ht="20.100000000000001" customHeight="1" x14ac:dyDescent="0.25">
      <c r="D155" s="37" t="s">
        <v>113</v>
      </c>
      <c r="E155" s="14" t="s">
        <v>101</v>
      </c>
      <c r="F155" s="17"/>
      <c r="G155" s="17"/>
      <c r="H155" s="17"/>
      <c r="I155" s="17"/>
      <c r="J155" s="17"/>
      <c r="K155" s="17"/>
      <c r="L155" s="17"/>
    </row>
    <row r="156" spans="4:12" ht="20.100000000000001" customHeight="1" x14ac:dyDescent="0.25">
      <c r="D156" s="37" t="s">
        <v>114</v>
      </c>
      <c r="E156" s="14" t="s">
        <v>101</v>
      </c>
      <c r="F156" s="17"/>
      <c r="G156" s="17"/>
      <c r="H156" s="17"/>
      <c r="I156" s="17"/>
      <c r="J156" s="17"/>
      <c r="K156" s="17"/>
      <c r="L156" s="17"/>
    </row>
    <row r="157" spans="4:12" ht="20.100000000000001" customHeight="1" x14ac:dyDescent="0.25">
      <c r="D157" s="37" t="s">
        <v>115</v>
      </c>
      <c r="E157" s="14" t="s">
        <v>101</v>
      </c>
      <c r="F157" s="17"/>
      <c r="G157" s="17"/>
      <c r="H157" s="17"/>
      <c r="I157" s="17"/>
      <c r="J157" s="17"/>
      <c r="K157" s="17"/>
      <c r="L157" s="17"/>
    </row>
    <row r="158" spans="4:12" ht="20.100000000000001" customHeight="1" x14ac:dyDescent="0.25">
      <c r="D158" s="37" t="s">
        <v>116</v>
      </c>
      <c r="E158" s="14" t="s">
        <v>101</v>
      </c>
      <c r="F158" s="17"/>
      <c r="G158" s="17"/>
      <c r="H158" s="17"/>
      <c r="I158" s="17"/>
      <c r="J158" s="17"/>
      <c r="K158" s="17"/>
      <c r="L158" s="17"/>
    </row>
    <row r="159" spans="4:12" ht="20.100000000000001" customHeight="1" x14ac:dyDescent="0.25">
      <c r="D159" s="37" t="s">
        <v>117</v>
      </c>
      <c r="E159" s="14" t="s">
        <v>101</v>
      </c>
      <c r="F159" s="17"/>
      <c r="G159" s="17"/>
      <c r="H159" s="17"/>
      <c r="I159" s="17"/>
      <c r="J159" s="17"/>
      <c r="K159" s="17"/>
      <c r="L159" s="17"/>
    </row>
    <row r="160" spans="4:12" ht="20.100000000000001" customHeight="1" x14ac:dyDescent="0.25">
      <c r="D160" s="37" t="s">
        <v>97</v>
      </c>
      <c r="E160" s="14" t="s">
        <v>101</v>
      </c>
      <c r="F160" s="17"/>
      <c r="G160" s="17"/>
      <c r="H160" s="17"/>
      <c r="I160" s="17"/>
      <c r="J160" s="17"/>
      <c r="K160" s="17"/>
      <c r="L160" s="17"/>
    </row>
    <row r="161" spans="4:12" ht="20.100000000000001" customHeight="1" x14ac:dyDescent="0.25">
      <c r="D161" s="36" t="s">
        <v>118</v>
      </c>
      <c r="E161" s="17" t="s">
        <v>119</v>
      </c>
      <c r="F161" s="17"/>
      <c r="G161" s="17"/>
      <c r="H161" s="17"/>
      <c r="I161" s="17"/>
      <c r="J161" s="17"/>
      <c r="K161" s="17"/>
      <c r="L161" s="17"/>
    </row>
    <row r="162" spans="4:12" ht="20.100000000000001" customHeight="1" x14ac:dyDescent="0.25">
      <c r="D162" s="17" t="s">
        <v>120</v>
      </c>
      <c r="E162" s="17" t="s">
        <v>119</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dimension ref="A1:AI165"/>
  <sheetViews>
    <sheetView showGridLines="0" zoomScaleNormal="100" workbookViewId="0">
      <selection activeCell="D33" sqref="D33"/>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238</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239</v>
      </c>
      <c r="E9" s="26" t="s">
        <v>240</v>
      </c>
      <c r="F9" s="26" t="s">
        <v>241</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239</v>
      </c>
      <c r="E24" s="65" t="s">
        <v>242</v>
      </c>
      <c r="F24" s="65" t="s">
        <v>243</v>
      </c>
      <c r="G24" s="65" t="s">
        <v>244</v>
      </c>
      <c r="H24" s="65" t="s">
        <v>245</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3AD1-C9C2-421A-B7E6-200CAC66A40A}">
  <dimension ref="A1:BY259"/>
  <sheetViews>
    <sheetView showGridLines="0" topLeftCell="A137" zoomScale="85" zoomScaleNormal="85" workbookViewId="0">
      <selection activeCell="D19" sqref="D19"/>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c r="D98" s="13" t="str" cm="1">
        <f t="array" ref="D98:D101">Common_SourceData.Common_SourceData_ClimateZones_Appendices()</f>
        <v>Note:</v>
      </c>
    </row>
    <row r="99" spans="4:20" ht="20.100000000000001" customHeight="1" x14ac:dyDescent="0.25">
      <c r="D99" s="13" t="str">
        <v>MAT = mean annual temperature</v>
      </c>
    </row>
    <row r="100" spans="4:20" ht="20.100000000000001" customHeight="1" x14ac:dyDescent="0.25">
      <c r="D100" s="13" t="str">
        <v>MAP = mean annual precipitation</v>
      </c>
    </row>
    <row r="101" spans="4:20" ht="20.100000000000001" customHeight="1" x14ac:dyDescent="0.25">
      <c r="D101" s="13" t="str">
        <v>PET = potential evapotranspiration</v>
      </c>
    </row>
    <row r="102" spans="4:20" ht="20.100000000000001" customHeight="1" x14ac:dyDescent="0.25">
      <c r="D102" s="13"/>
    </row>
    <row r="103" spans="4:20" ht="20.100000000000001" customHeight="1" x14ac:dyDescent="0.25"/>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JwBOAGEAdAB1AHIAYQBsACAAZwBhAHMAIABkAGkAcwB0AHIAaQBiAHUAdABlAGQAIABpAG4AIABhACAAcABpAHAAZQBsAGkAbgBlACAALQAgAEcAaQBnAGEAagBvAHUAbABlAHMAJwAgAGEAbgBkACAAJwBUAG8AdwBuACAAZwBhAHMAIAAtACAARwBpAGcAYQBqAG8AdQBsAGUAcwAn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JwBDAC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AnAE4ARQAn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JwBOAEUAJ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AnAEYAcgB5ACcAIAB0AG8AIAAnAEQAcgB5AC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PgAgADEAOAAgAEMAXAAiACwAIABcACIAQQBuAHkAXAAiACwAIABcACIAZCIgADcAXAAiACwAIABcACIAPg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D4AIAAxADgAIABDAFwAIgAsACAAXAAiAD4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PgAgADEAOAAgAEMAXAAiACwAIABcACIAPg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Pg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A+ACAAMQAwACAAQwBcACIALAAgAFwAIgBBAG4AeQBcACIALAAgAFwAIgBBAG4AeQBcACIALAAgAFwAIgBBAG4AeQBcACIALAAgAFwAIgA+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A+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A+ACAAMAAgAEMAIAAtACAAZCIgADEAMAAgAEMAXAAiACwAIABcACIAQQBuAHkAXAAiACwAIABcACIAQQBuAHkAXAAiACwAIABcACIAQQBuAHkAXAAiACwAIABcACIAPg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Pg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A+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D4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CcAQQBxAHUAYQBjAHUAbAB0AHUAcgBlACcAIAByAG8AdwAuAFwAIgA7AFwAbgAgACAAIAAgACAAIAAgACAAIAAgAFwAIgBSAGUAbQBvAHYAZQBkACAAYQBzAHQAZQByAGkAcwBrAHMAIAB0AG8AIABhAGkAZAAgAGwAbwBvAGsAdQBwAC4AXAAiADsAXABuACAAIAAgACAAIAAgACAAIAAgACAAXAAiAEEAZABkAGUAZAAgACcAcAByAG8AZAB1AGMAdABpAG8AbgAgAHMAeQBzAHQAZQBtACAAbwBuAGwAeQAnACwAIAAnAHIAYQBpAG4AZgBhAGwAbAAgAHoAbwBuAGUAJwAgAGEAbgBkACAAJwBpAHIAcgBpAGcAYQB0AGkAbwBuACAAbQBlAHQAaABvAGQAJwAgAGMAbwBsAHUAbQBuAHMAIAB0AG8AIABhAGkAZAAgAGwAbwBvAGsAdQBwAC4AXAAiADsAXABuACAAIAAgACAAIAAgACAAIAAgACAAXAAiAEQAdQBwAGwAaQBjAGEAdABlAGQAIAAnAG4AbwBuAC0AaQByAHIAaQBnAGEAdABlAGQAIABwAGEAcwB0AHUAcgBlAC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J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An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AnAEQAcgB5ACAAYwBsAGkAbQBhAHQAZQAgAHoAbwBuAGUAcwAnACAAdABvACAAcwBpAG4AZwB1AGwAYQByACAAJwBEAHIAeQAgAGMAbABpAG0AYQB0AGUAIAB6AG8AbgBlAC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A8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AnAFAAbwB1AGwAdAByAHkAIAB3AGkAdABoACAAYQBuAGQAIAB3AGkAdABoAG8AdQB0ACAAbABpAHQAdABlAHIAJwAgAGMAbwBsAHUAbQBuACAAdwBpAHQAaAAgAHMAZQBwAGEAcgBhAHQAZQAgAE4ASQBSACAAZABlAGYAaQBuAGkAdABpAG8AbgBzACAAdABvACAAYQBpAGQAIABsAG8AbwBrAHUAcAAuACAAQQBkAGQAZQBkACAAJwBNAEEAVAAgAHIAYQB3AC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J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C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DAG8AbQBtAG8AbgAgAGkAbgBvAHIAZwBhAG4AaQBjACAAZgBlAHIAdABpAGwAaQBzAGUAcgBzAFwAIgApACkAOwBcAG4AXABuAEYAZQByAHQAaQBsAGkAcwBlAHIAXwBDAGgAZQBtAGkAYwBhAGwAQwBvAG0AcABvAHUAbgBkAEUAbABlAG0AZQBuAHQAcwBfAFMAbwB1AHIAYwBlAFwAbgA9AEwAQQBNAEIARABBACgAKABcACIAVABhAGIAbABlACAAQQAuADIALgAyAC4AMwA6ACAARgByAGEAYwB0AGkAbwBuACAAbwBmACAAbgBpAHQAcgBvAGcAZQBuACAAaQBuACAAYwBvAG0AbQBvAG4AIABpAG4AbwByAGcAYQBuAGkAYwAgAGYAZQByAHQAaQBsAGkAcwBlAHIAcwAgACgAawBnAE4ALwBrAGcAKQAgACgARgBOAG8AcgBnAGEAbgBpAGMALABmACkAIABBAE4ARAAgAFQAYQBiAGwAZQAgAEEALgAyAC4AMgAuADQAOgAgAEYAcgBhAGMAdABpAG8AbgAgAG8AZgAgAHUAcgBlAGEAIABpAG4AIABjAG8AbQBtAG8AbgAgAGkAbgBvAHIAZwBhAG4AaQBjACAAZgBlAHIAdABpAGwAaQBzAGUAcgBzACAAKABrAGcAIAB1AHIAZQBhAC8AawBnACkAIAAoAEYAVQBmACkAXAAiACkAKQA7AFwAbgBcAG4ARgBlAHIAdABpAGwAaQBzAGUAcgBfAEMAaABlAG0AaQBjAGEAbABDAG8AbQBwAG8AdQBuAGQARQBsAGUAbQBlAG4AdABzAF8ARABhAHQAYQBcAG4APQBMAEEATQBCAEQAQQAoAFwAbgAgAE0AQQBLAEUAQQBSAFIAQQBZACgAMgAwACwAIAA2ACwAXABuACAATABBAE0AQgBEAEEAKAByACwAYwAsAFwAbgAgACAASQBOAEQARQBYACgAewBcAG4AIAAgAFwAIgBGAGUAcgB0AGkAbABpAHMAZQByACAAVAB5AHAAZQAgAGYAXAAiACwAIABcACIARgBOAGkAbgBvAHIAZwBhAG4AaQBjACwAZgBcACIALAAgAFwAIgBGAFUAZgBcACIALAAgAFwAIgBCAGEAcwBpAHMAXAAiACwAIABcACIATABpAGYAZQBDAHkAYwBsAGUAcwAgAFMAYwBvAHAAZQAgADMAIABkAGUAZgBpAG4AaQB0AGkAbwBuAFwAIgAsACAAXAAiAFMAbwB1AHIAYwBlAFwAIgA7AFwAbgAgACAAXAAiAE0AbwBuAG8AYQBtAG0AbwBuAGkAdQBtACAAcABoAG8AcwBwAGgAYQB0AGUAIAAoAE0AQQBQACkAXAAiACwAIAAwAC4AMQAwACwAIAAwACwAIABcACIAQQBtAG0AbwBuAGkAdQBtAC0AYgBhAHMAZQBkACAAZgBlAHIAdABpAGwAaQBzAGUAcgBzAFwAIgAsACAAXAAiAE0AbwBuAG8AYQBtAG0AbwBuAGkAdQBtACAAcABoAG8AcwBwAGgAYQB0AGUAIAAoAE0AQQBQACkAXAAiACwAIABcACIAVgBFAEUAUgBHAFwAIgA7AFwAbgAgACAAXAAiAEQAaQBhAG0AbQBvAG4AaQB1AG0AIABwAGgAbwBzAHAAaABhAHQAZQAgACgARABBAFAAKQBcACIALAAgADAALgAxADgALAAgADAALAAgAFwAIgBBAG0AbQBvAG4AaQB1AG0ALQBiAGEAcwBlAGQAIABmAGUAcgB0AGkAbABpAHMAZQByAHMAXAAiACwAIABcACIARABpAGEAbQBtAG8AbgBpAHUAbQAgAHAAaABvAHMAcABoAGEAdABlACAAKABEAEEAUAApAFwAIgAsACAAXAAiAFYARQBFAFIARwBcACIAOwBcAG4AIAAgAFwAIgBVAHIAZQBhAFwAIgAsACAAMAAuADQANgAsACAAMQAsACAAXAAiAFUAcgBlAGEALQBiAGEAcwBlAGQAIABmAGUAcgB0AGkAbABpAHMAZQByAHMAXAAiACwAIABcACIAVQByAGUAYQBcACIALAAgAFwAIgBWAEUARQBSAEcAXAAiADsAXABuACAAIABcACIAUwB1AGwAcABoAGEAdABlACAAbwBmACAAYQBtAG0AbwBuAGkAYQAgACgAUwBPAEEAKQBcACIALAAgADAALgAyADEALAAgADAALAAgAFwAIgBBAG0AbQBvAG4AaQB1AG0ALQBiAGEAcwBlAGQAIABmAGUAcgB0AGkAbABpAHMAZQByAHMAXAAiACwAIABcACIAUwB1AGwAcABoAGEAdABlACAAbwBmACAAYQBtAG0AbwBuAGkAYQAgACgAUwBPAEEAKQBcACIALAAgAFwAIgBWAEUARQBSAEcAXAAiADsAXABuACAAIABcACIAVQByAGUAYQAtAGEAbQBtAG8AbgBpAHUAbQAgAG4AaQB0AHIAYQB0AGUAIAAoAFUAQQBOACkAXAAiACwAIAAwAC4AMwAyACwAIAAwAC4AMwA1ACwAIABcACIAVQByAGUAYQAtAGIAYQBzAGUAZAAgAGYAZQByAHQAaQBsAGkAcwBlAHIAcwBcACIALAAgAFwAIgBVAHIAZQBhAC0AYQBtAG0AbwBuAGkAdQBtACAAbgBpAHQAcgBhAHQAZQAgACgAVQBBAE4AKQBcACIALAAgAFwAIgBWAEUARQBSAEcAXAAiADsAXABuACAAIABcACIAQQBtAG0AbwBuAGkAdQBtACAAbgBpAHQAcgBhAHQAZQAgACgAQQBOACkAXAAiACwAIAAwAC4AMwAzADcALAAgADAALAAgAFwAIgBBAG0AbQBvAG4AaQB1AG0ALQBuAGkAdAByAGEAdABlACAAYgBhAHMAZQBkACAAZgBlAHIAdABpAGwAaQBzAGUAcgBzAFwAIgAsACAAXAAiAEEAbQBtAG8AbgBpAHUAbQAgAG4AaQB0AHIAYQB0AGUAIAAoAEEATgApAFwAIgAsACAAXAAiAFYARQBFAFIARwBcACIAOwBcAG4AIAAgAFwAIgBDAGEAbABjAGkAdQBtACAAYQBtAG0AbwBuAGkAdQBtACAAbgBpAHQAcgBhAHQAZQAgACgAQwBBAE4AKQBcACIALAAgADAALgAyADcALAAgADAALAAgAFwAIgBBAG0AbQBvAG4AaQB1AG0ALQBuAGkAdAByAGEAdABlACAAYgBhAHMAZQBkACAAZgBlAHIAdABpAGwAaQBzAGUAcgBzAFwAIgAsACAAXAAiAEMAYQBsAGMAaQB1AG0AIABhAG0AbQBvAG4AaQB1AG0AIABuAGkAdAByAGEAdABlACAAKABDAEEATgApAFwAIgAsACAAXAAiAFYARQBFAFIARwBcACIAOwBcAG4AIAAgAFwAIgBOAGkAdAByAG8AZwBlAG4AIAAtACAAQQBtAG0AbwBuAGkAYQBjAGEAbABcACIALAAgADEALAAgADAALAAgAFwAIgBBAG0AbQBvAG4AaQB1AG0ALQBiAGEAcwBlAGQAIABmAGUAcgB0AGkAbABpAHMAZQByAHMAXAAiACwAIABcACIATgBpAHQAcgBvAGcAZQBuACAALQAgAEEAbQBtAG8AbgBpAGEAYwBhAGwAXAAiACwAIABcACIATABpAGYAZQBDAHkAYwBsAGUAcwBcACIAOwBcAG4AIAAgAFwAIgBOAGkAdAByAG8AZwBlAG4AIAAtACAATgBpAHQAcgBhAHQAZQBcACIALAAgADEALAAgADAALAAgAFwAIgBOAGkAdAByAGEAdABlAC0AYgBhAHMAZQBkACAAZgBlAHIAdABpAGwAaQBzAGUAcgBzAFwAIgAsACAAXAAiAE4AaQB0AHIAbwBnAGUAbgAgAGYAcgBvAG0AIABOAGkAdAByAGEAdABlAFwAIgAsACAAXAAiAEwAaQBmAGUAQwB5AGMAbABlAHMAXAAiADsAXABuACAAIABcACIATgBpAHQAcgBvAGcAZQBuACAALQAgAEcAZQBuAGUAcgBpAGMAXAAiACwAIAAxACwAIAAwACwAIABcACIAVQByAGUAYQAtAGIAYQBzAGUAZAAgAGYAZQByAHQAaQBsAGkAcwBlAHIAcwBcACIALAAgAFwAIgBOAGkAdAByAG8AZwBlAG4AIABmAHIAbwBtACAAZgBlAHIAdABpAGwAaQBzAGUAcgBcACIALAAgAFwAIgBMAGkAZgBlAEMAeQBjAGwAZQBzAFwAIgA7AFwAbgAgACAAXAAiAFAAaABvAHMAcABoAG8AcgB1AHMAIAAtACAARwBlAG4AZQByAGkAYwBcACIALAAgADAALAAgADAALAAgAFwAIgBPAHQAaABlAHIAIABmAGUAcgB0AGkAbABpAHMAZQByAHMAXAAiACwAIABcACIAUABoAG8AcwBwAGgAbwByAHUAcwAgAGYAcgBvAG0AIABmAGUAcgB0AGkAbABpAHMAZQByAFwAIgAsACAAXAAiAEwAaQBmAGUAQwB5AGMAbABlAHMAXAAiADsAXABuACAAIABcACIAUABvAHQAYQBzAHMAaQB1AG0AIAAtACAARwBlAG4AZQByAGkAYwBcACIALAAgADAALAAgADAALAAgAFwAIgBPAHQAaABlAHIAIABmAGUAcgB0AGkAbABpAHMAZQByAHMAXAAiACwAIABcACIAUABvAHQAYQBzAHMAaQB1AG0AIABmAHIAbwBtACAAZgBlAHIAdABpAGwAaQBzAGUAcgBcACIALAAgAFwAIgBMAGkAZgBlAEMAeQBjAGwAZQBzAFwAIgA7AFwAbgAgACAAXAAiAFMAdQBsAGYAdQByACAALQAgAEcAZQBuAGUAcgBpAGMAXAAiACwAIAAwACwAIAAwACwAIABcACIATwB0AGgAZQByACAAZgBlAHIAdABpAGwAaQBzAGUAcgBzAFwAIgAsACAAXAAiAFMAdQBsAGYAdQByACAAZgByAG8AbQAgAGYAZQByAHQAaQBsAGkAcwBlAHIAXAAiACwAIABcACIATABpAGYAZQBDAHkAYwBsAGUAcwBcACIAOwBcAG4AIAAgAFwAIgBaAGkAbgBjACAALQAgAEcAZQBuAGUAcgBpAGMAXAAiACwAIAAwACwAIAAwACwAIABcACIATwB0AGgAZQByACAAZgBlAHIAdABpAGwAaQBzAGUAcgBzAFwAIgAsACAAXAAiAFoAaQBuAGMAIABmAHIAbwBtACAAZgBlAHIAdABpAGwAaQBzAGUAcgBcACIALAAgAFwAIgBMAGkAZgBlAEMAeQBjAGwAZQBzAFwAIgA7AFwAbg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BcACIARABvAHUAYgBsAGUAIABzAHUAcABlAHIAcABoAG8AcwBwAGgAYQB0AGUAXAAiACwAIAAwACwAIAAwACwAIABcACIATwB0AGgAZQByACAAZgBlAHIAdABpAGwAaQBzAGUAcgBzAFwAIgAsACAAXAAiAEQAbwB1AGIAbABlACAAcwB1AHAAZQByAHAAaABvAHMAcABoAGEAdABlAFwAIgAsACAAXAAiAEwAaQBmAGUAQwB5AGMAbABlAHMAXAAiADsAXABu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BcACIAQQBtAG0AbwBuAGkAYQBcACIALAAgADAALgA4ADIAMwA1ACwAIAAwACwAIABcACIAQQBtAG0AbwBuAGkAdQBtAC0AYgBhAHMAZQBkACAAZgBlAHIAdABpAGwAaQBzAGUAcgBzAFwAIgAsACAAXAAiAEEAbQBtAG8AbgBpAGEAXAAiACwAIABcACIATABpAGYAZQBDAHkAYwBsAGUAcwBcACIAOwBcAG4AIAAgAFwAIgBDAGEAbABjAGkAdQBtACAAbgBpAHQAcgBhAHQAZQBcACIALAAgADAALgAxADUANQAsACAAMAAsACAAXAAiAE4AaQB0AHIAYQB0AGUALQBiAGEAcwBlAGQAIABmAGUAcgB0AGkAbABpAHMAZQByAHMAXAAiACwAIABcACIAQwBhAGwAYwBpAHUAbQAgAG4AaQB0AHIAYQB0AGUAXAAiACwAIABcACIAVgBFAEUAUgBHAFwAIgBcAG4AIAAgAH0ALAAgAHIALAAgAGMAKQBcAG4AKQApACkAOwBcAG4AXABuAEYAZQByAHQAaQBsAGkAcwBlAHIAXwBDAGgAZQBtAGkAYwBhAGwAQwBvAG0AcABvAHUAbgBkAEUAbABlAG0AZQBuAHQAcwBfAFYAYQByAGkAYQB0AGkAbwBuAFwAbgA9AEwAQQBNAEIARABBACgAXABuACAATQBBAEsARQBBAFIAUgBBAFkAKAAxADIALAAgADEALABcAG4AIABMAEEATQBCAEQAQQAoAHIALABjACwAXABuACAAIABJAE4ARABFAFgAKAB7AFwAbgAgACAAXAAiAFYAQQBSAEkAQQBUAEkATwBOACAATwBOACAAUwBPAFUAUgBDAEUAXAAiADsAXABuACAAIABcACIAQQBkAGQAZQBkACAAJwBCAGEAcwBpAHMAJ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CcAUwBjAG8AcABlACAAMwAgAGQAZQBmAGkAbgBpAHQAaQBvAG4AJwAgAGMAbwBsAHUAbQBuACAAdABvACAAYQBsAGwAbwB3ACAAbQBhAHAAcABpAG4AZwAgAHcAaQB0AGgAIABzAGMAbwBwAGUAIAAzACAAZABhAHQAYQBcACIAOwBcAG4AIAAgAFwAIgBBAGQAZABlAGQAIAAnAFMAbwB1AHIAYwBlACcAIABjAG8AbAB1AG0AbgBcACIAOwBcAG4AIAAgAFwAIgBDAG8AbQBiAGkAbgBlAGQAIABkAGEAdABhACAAZgByAG8AbQAgAFQAYQBiAGwAZQAgAEEALgAyAC4AMgAuADMAIABhAG4AZAAgAFQAYQBiAGwAZQAgAEEALgAyAC4AMgAuADQAIABpAG4AdABvACAAbwBuAGUAIAB0AGEAYgBsAGUAIAB0AG8AIABhAGkAZAAgAGwAbwBvAGsAdQBwAC4AXAAiADsAXABuACAAIABcACIARQB4AGMAbAB1AGQAZQBkACAAJwBSAGUAZgBlAHIAZQBuAGMAZQBzACcAIABjAG8AbAB1AG0AbgBcACIAOwBcAG4AIAAgAFwAIgBFAHgAYwBsAHUAZABlAGQAIAAnAEEAbQBtAG8AbgBpAHUAbQAgAHMAdQBsAGYAYQB0AGUAJwAgAGEAcwAgAGkAdAAgAGkAcwAgAGEAIABkAHUAcABsAGkAYwBhAHQAZQAgAG8AZgAgACcAUwB1AGwAcABoAGEAdABlACAAbwBmACAAYQBtAG0AbwBuAGkAYQAgACgAUwBPAEEAKQAnAFwAIgA7AFwAbgAgACAAXAAiAEUAeABjAGwAdQBkAGUAZAAgACcAQwBhAGwAYwBpAHUAbQAgAG4AaQB0AHIAYQB0AGUAJwAgAGEAcwAgAG4AbwAgAHMAYwBvAHAAZQAgADMAIAB2AGEAbAB1AGUAIABhAHYAYQBpAGwAYQBiAGwAZQAuAFwAIgA7AFwAbgAgACAAXAAiAFMAZQB0ACAAJwBOAGkAdAByAG8AZwBlAG4AIAAtACAARwBlAG4AZQByAGkAYwAnACAAYgBhAHMAaQBzACAAYQBzACAAJ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JwBVAHIAZQBhAC0AYQBtAG0AbwBuAGkAdQBtACAAbgBpAHQAcgBhAHQAZQAnACAAYgBhAHMAaQBzACAAYQBzACAAJwBVAHIAZQBhAC0AYgBhAHMAZQBkACAAZgBlAHIAdABpAGwAaQBzAGUAcgAnAFwAIgA7AFwAbgAgACAAXAAiAEEAbQBtAG8AbgBpAGEAIABoAGEAcwAgAGEAbgAgAEYATgAgAHYAYQBsAHUAZQAgAG8AZgAgADAALgA4ADIAMwA1ACAAYgBhAHMAZQBkACAAbwBuACAAKAAxADQALwAxADcAKQB4ADEAMAAwACwAIAB3AGgAZQByAGUAIAAxADQAIABpAHMAIAB0AGgAZQAgAG0AYQBzAHMAIABvAGYAIABuAGkAdAByAG8AZwBlAG4AIABpAG4AIABhAG0AbQBvAG4AaQBhACAAYQBuAGQAIAAxADcAIABpAHMAIAB0AGgAZQAgAG0AbwBsAGEAcgAgAG0AYQBzAHMAIABvAGYAIABhAG0AbQBvAG4AaQBhAC4AXAAiAFwAbg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yAGEAYwB0AGkAbwBuACAAbwBmACAAaQBu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RgBfAFQAaQB0AGwAZQBcAG4APQBMAEEATQBCAEQAQQAoACgAXAAiAEYAcgBhAGMAdABpAG8AbgAgAG8AZgAgAGkAbgBvAHIAZwBhAG4AaQBjACAAZgBlAHIAdABpAGwAaQBzAGUAcgAgAHQAaABhAHQAIAB2AG8AbABhAHQAaQBsAGkAcwBlAHMAIABhAHMAIABOAEgAMwAgAGEAbgBkACAATgBPAHgAXAAiACkAKQA7AFwAbgBcAG4ARgBlAHIAdABpAGwAaQBzAGUAcgBfAEYAcgBhAGMARwBBAFMARgBfAFMAbwB1AHIAYwBlAFwAbgA9AEwAQQBNAEIARABBACgAKABcACIAVABhAGIAbABlACAAQQAuADIALgAyAC4ANgA6ACAARgByAGEAYwB0AGkAbwBuACAAbwBmACAAaQBuAG8AcgBnAGEAbgBpAGMAIABmAGUAcgB0AGkAbABpAHMAZQByACAAZgAgAHQAaABhAHQAIAB2AG8AbABhAHQAaQBsAGkAcwBlAHMAIABhAHMAIABOAEgAMwAgAGEAbgBkACAATgBPAHgAIAAoACgAawBnACAATgBIADMAEyBOACAAKwAgAE4ATwB4ABMgTgApAC8AawBnACAATgApACAAKABGAHIAYQBjAEcAQQBTAEYAZgApAFwAIgApACkAOwBcAG4AXABuAEYAZQByAHQAaQBsAGkAcwBlAHIAXwBGAHIAYQBjAEcAQQBTAEYAXwBEAGEAdABhAFwAbgA9AEwAQQBNAEIARABBACgAXABuACAATQBBAEsARQBBAFIAUgBBAFkAKAA2ACwAIAAyACwAXABuACAATABBAE0AQgBEAEEAKAByACwAYwAsAFwAbgAgACAASQBOAEQARQBYACgAewBcAG4AIAAgAFwAIgBGAGUAcgB0AGkAbABpAHMAZQByACAAdAB5AHAAZQAgAGYAXAAiACwAIABcACIARgByAGEAYwBHAEEAUwBGAGYAXAAiADsAXABuACAAIABcACIAVQByAGUAYQAtAGIAYQBzAGUAZAAgAGYAZQByAHQAaQBsAGkAcwBlAHIAcwBcACIALAAgADAALgAxADUAOwBcAG4AIAAgAFwAIgBBAG0AbQBvAG4AaQB1AG0ALQBiAGEAcwBlAGQAIABmAGUAcgB0AGkAbABpAHMAZQByAHMAXAAiACwAIAAwAC4AMAA4ADsAXABuACAAIABcACIATgBpAHQAcgBhAHQAZQAtAGIAYQBzAGUAZAAgAGYAZQByAHQAaQBsAGkAcwBlAHIAcwBcACIALAAgADAALgAwADEAOwBcAG4AIAAgAFwAIgBBAG0AbQBvAG4AaQB1AG0ALQBuAGkAdAByAGEAdABlACAAYgBhAHMAZQBkACAAZgBlAHIAdABpAGwAaQBzAGUAcgBzAFwAIgAsACAAMAAuADAANQA7AFwAbgAgACAAXAAiAE8AdABoAGUAcgAgAGYAZQByAHQAaQBsAGkAcwBlAHIAcwBcACIALAAgADAALgAxADEAXABuACAAIAB9ACwAIAByACwAIABjACkAXABuACkAKQApADsAXABuAFwAbgBGAGUAcgB0AGkAbABpAHMAZQByAF8ARgByAGEAYwBHAEEAUwBG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jAGEAcgBiAG8AbgAgAGUAbQBpAHMAcwBpAG8AbgBzACAAZgByAG8AbQAgAHUAcgBlAGEAIABhAHAAcABsAGkAYwBhAHQAaQBvAG4AXABuAD0APQA9AD0APQA9AD0APQA9AD0APQA9AD0APQA9AD0APQA9AD0APQA9AD0APQA9AD0APQA9AD0APQA9AD0APQA9AD0APQA9AD0APQA9AD0APQA9AD0APQA9AD0APQA9AD0APQA9AD0APQA9AD0APQA9AD0APQA9AD0APQA9AD0APQA9AD0APQA9AD0APQA9AD0APQA9AD0AXABuACoALwBcAG4AXABuAEYAZQByAHQAaQBsAGkAcwBlAHIAXwBFAEYAVQByAGUAYQBDAE8AMgBfAFQAaQB0AGwAZQBcAG4APQBMAEEATQBCAEQAQQAoACgAXAAiAEUAbQBpAHMAcwBpAG8AbgAgAGYAYQBjAHQAbwByACAAZgBvAHIAIABjAGEAcgBiAG8AbgAgAGUAbQBpAHMAcwBpAG8AbgBzACAAZgByAG8AbQAgAHUAcgBlAGEAIABhAHAAcABsAGkAYwBhAHQAaQBvAG4AXAAiACkAKQA7AFwAbgBcAG4ARgBlAHIAdABpAGwAaQBzAGUAcgBfAEUARgBVAHIAZQBhAEMATwAyAF8AUwBvAHUAcgBjAGUAXABuAD0ATABBAE0AQgBEAEEAKAAoAFwAIgBWAEUARQBSAEcAIAAyADAAMgA2ADoAIAA1AC4AMQAuADIALgAyACAAQwBvAG4AcwB0AGEAbgB0ACAAUABhAHIAYQBtAGUAdABlAHIAcwBcACIAKQApADsAXABuAFwAbgBGAGUAcgB0AGkAbABpAHMAZQByAF8ARQBGAFUAcgBlAGEAQwBPADIAXwBWAGEAcgBpAGEAYgBsAGUAXABuAD0ATABBAE0AQgBEAEEAKAAoAFwAIgBFAEYAdQByAGUAYQBDAE8AMgBcACIAKQApADsAXABuAFwAbgBGAGUAcgB0AGkAbABpAHMAZQByAF8ARQBGAFUAcgBlAGEAQwBPADIAXwBVAG4AaQB0AFwAbgA9AEwAQQBNAEIARABBACgAKABcACIAawBnACAAQwAvAGsAZwAgAHUAcgBlAGEAXAAiACkAKQA7AFwAbgBcAG4ARgBlAHIAdABpAGwAaQBzAGUAcgBfAEUARgBVAHIAZQBhAEMATwAyAF8ARABhAHQAYQBcAG4APQBMAEEATQBCAEQAQQAoADAALgAyACkAOwBcAG4AXABuAEYAZQByAHQAaQBsAGkAcwBlAHIAXwBFAEYAVQByAGUAYQBDAE8AM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0AUwBvAGkAbABfAFQAaQB0AGwAZQBcAG4APQBMAEEATQBCAEQAQQAoACgAXAAiAEYAcgBhAGMAdABpAG8AbgAgAG8AZgAgAG8AcgBnAGEAbgBpAGMAIABmAGUAcgB0AGkAbABpAHMAZQByACAAdABoAGEAdAAgAHYAbwBsAGEAdABpAGwAaQBzAGUAcwAgAGEAcwAgAE4ASAAzACAAYQBuAGQAIABOAE8AeABcACIAKQApADsAXABuAFwAbgBGAGUAcgB0AGkAbABpAHMAZQByAF8ARgByAGEAYwBHAEEAUwBNAFMAbwBpAGwAXwBTAG8AdQByAGMAZQBcAG4APQBMAEEATQBCAEQAQQAoACgAXAAiAFYARQBFAFIARwAgADIAMAAyADYAOgAgADUALgA0AC4AMgAuADMAIABDAG8AbgBzAHQAYQBuAHQAIABQAGEAcgBhAG0AZQB0AGUAcgBzAFwAIgApACkAOwBcAG4AXABuAEYAZQByAHQAaQBsAGkAcwBlAHIAXwBGAHIAYQBjAEcAQQBTAE0AUwBvAGkAbABfAFYAYQByAGkAYQBiAGwAZQBcAG4APQBMAEEATQBCAEQAQQAoACgAXAAiAEYAcgBhAGMARwBBAFMATQBzAG8AaQBsAFwAIgApACkAOwBcAG4AXABuAEYAZQByAHQAaQBsAGkAcwBlAHIAXwBGAHIAYQBjAEcAQQBTAE0AUwBvAGkAbABfAFUAbgBpAHQAXABuAD0ATABBAE0AQgBEAEEAKAAoAFwAIgAoAGsAZwAgAE4ASAAzAC0ATgAgACsAIABOAE8AeAAtAE4AKQAvAGsAZwAgAE4AXAAiACkAKQA7AFwAbgBcAG4ARgBlAHIAdABpAGwAaQBzAGUAcgBfAEYAcgBhAGMARwBBAFMATQBTAG8AaQBsAF8ARABhAHQAYQBcAG4APQBMAEEATQBCAEQAQQAoADAALgAyADEAKQA7AFwAbgBcAG4ARgBlAHIAdABpAGwAaQBzAGUAcgBfAEYAcgBhAGMARwBBAFMATQBTAG8AaQBs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HQAaABhAHQAIABpAHMAIABsAG8AcwB0ACAAdABoAHIAbwB1AGcAaA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GAHIAYQBjAEwARQBBAEMASABfAFQAaQB0AGwAZQBcAG4APQBMAEEATQBCAEQAQQAoACgAXAAiAEYAcgBhAGMAdABpAG8AbgAgAG8AZgAgAG4AaQB0AHIAbwBnAGUAbgAgAHQAaABhAHQAIABpAHMAIABsAG8AcwB0ACAAdABoAHIAbwB1AGcAaAAgAGwAZQBhAGMAaABpAG4AZwAgAGEAbgBkACAAcgB1AG4AbwBmAGYAXAAiACkAKQA7AFwAbgBcAG4ARgBlAHIAdABpAGwAaQBzAGUAcgBfAEYAcgBhAGMATABFAEEAQwBIAF8AUwBvAHUAcgBjAGUAXABuAD0ATABBAE0AQgBEAEEAKAAoAFwAIgBWAEUARQBSAEcAIAAyADAAMgA2ADoAIAA1AC4ANQAuADIALgAzACAAQwBvAG4AcwB0AGEAbgB0ACAAUABhAHIAYQBtAGUAdABlAHIAcwBcACIAKQApADsAXABuAFwAbgBGAGUAcgB0AGkAbABpAHMAZQByAF8ARgByAGEAYwBMAEUAQQBDAEgAXwBWAGEAcgBpAGEAYgBsAGUAXABuAD0ATABBAE0AQgBEAEEAKAAoAFwAIgBGAHIAYQBjAEwARQBBAEMASABcACIAKQApADsAXABuAFwAbgBGAGUAcgB0AGkAbABpAHMAZQByAF8ARgByAGEAYwBMAEUAQQBDAEgAXwBVAG4AaQB0AFwAbgA9AEwAQQBNAEIARABBACgAKABcACIAZgByAGEAYwB0AGkAbwBuAFwAIgApACkAOwBcAG4AXABuAEYAZQByAHQAaQBsAGkAcwBlAHIAXwBGAHIAYQBjAEwARQBBAEMASABfAEQAYQB0AGEAXABuAD0ATABBAE0AQgBEAEEAKAAwAC4AMgA0ACkAOwBcAG4AXABuAEYAZQByAHQAaQBsAGkAcwBlAHIAXwBGAHIAYQBjAEwARQBBAEMAS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bgBpAHQAcgBvAGcAZQBu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UARgBMAGUAYQBjAGgAXwBUAGkAdABsAGUAXABuAD0ATABBAE0AQgBEAEEAKAAoAFwAIgBFAG0AaQBzAHMAaQBvAG4AIABmAGEAYwB0AG8AcgAgAGYAbwByACAAbgBpAHQAcgBvAGcAZQBuACAAbABlAGEAYwBoAGkAbgBnACAAYQBuAGQAIAByAHUAbgBvAGYAZgBcACIAKQApADsAXABuAFwAbgBGAGUAcgB0AGkAbABpAHMAZQByAF8ARQBGAEwAZQBhAGMAaABfAFMAbwB1AHIAYwBlAFwAbgA9AEwAQQBNAEIARABBACgAKABcACIAVgBFAEUAUgBHACAAMgAwADIANgA6ACAANQAuADUALgAyAC4AMwAgAEMAbwBuAHMAdABhAG4AdAAgAFAAYQByAGEAbQBlAHQAZQByAHMAXAAiACkAKQA7AFwAbgBcAG4ARgBlAHIAdABpAGwAaQBzAGUAcgBfAEUARgBMAGUAYQBjAGgAXwBWAGEAcgBpAGEAYgBsAGUAXABuAD0ATABBAE0AQgBEAEEAKAAoAFwAIgBFAEYATABlAGEAYwBoAFwAIgApACkAOwBcAG4AXABuAEYAZQByAHQAaQBsAGkAcwBlAHIAXwBFAEYATABlAGEAYwBoAF8AVQBuAGkAdABcAG4APQBMAEEATQBCAEQAQQAoACgAXAAiAGsAZwAgAE4AMgBPAC0ATgAgAC8AIABrAGcAIABOAFwAIgApACkAOwBcAG4AXABuAEYAZQByAHQAaQBsAGkAcwBlAHIAXwBFAEYATABlAGEAYwBoAF8ARABhAHQAYQBcAG4APQBMAEEATQBCAEQAQQAoADAALgAwADEAMQApADsAXABuAFwAbgBGAGUAcgB0AGkAbABpAHMAZQByAF8ARQBGAEwAZQBhAGMAaABfAFYAYQByAGkAYQB0AGkAbwBuAFwAbgA9AEwAQQBNAEIARABBACgAXAAiAFwAIgApADsAXABu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WAEUARQBSAEcAIAAyADAAMgA2ADoAIAA1AC4AMwAuADIALgAzACAAQwBvAG4AcwB0AGEAbgB0ACAAUABhAHIAYQBtAGUAdABlAHIAcwBcACIAKQApADsAXABuAFwAbgBGAGUAcgB0AGkAbABpAHMAZQByAF8ATABpAG0AZQBEAG8AbABvAG0AaQB0AGUARwB5AHAAcwB1AG0AQwBvAG4AcwB0AGEAbgB0AHMAXwBEAGEAdABhAFwAbgA9AEwAQQBNAEIARABBACgAXABuACAATQBBAEsARQBBAFIAUgBBAFkAKAA0ACwAIAAzACwAXABuACAATABBAE0AQgBEAEEAKAByACwAYwAsAFwAbgAgACAASQBOAEQARQBYACgAewBcAG4AIAAgAFwAIgBFAGwAZQBtAGUAbgB0AFwAIgAsACAAXAAiAFAAXAAiACwAIABcACIARQBGAFwAIgA7AFwAbgAgACAAXAAiAEwAaQBtAGUAIAAoAEMAYQBsAGMAaQB1AG0AIABjAGEAcgBiAG8AbgBhAHQAZQApAFwAIgAsACAAMAAuADkALAAgADAALgAxADIAOwBcAG4AIAAgAFwAIgBEAG8AbABvAG0AaQB0AGUAIAAoAE0AYQBnAG4AZQBzAGkAdQBtACAAYwBhAHIAYgBvAG4AYQB0AGUAKQBcACIALAAgADAALgA5ADUALAAgADAALgAxADMAOwBcAG4AIAAgAFwAIgBHAHkAcABzAHUAbQBcACIALAAgADAALAAgADAAXABuACAAIAB9ACwAIAByACwAIABjACkAXABuACkAKQApADsAXABuAFwAbgBGAGUAcgB0AGkAbABpAHMAZQByAF8ATABpAG0AZQBEAG8AbABvAG0AaQB0AGUARwB5AHAAcwB1AG0AQwBvAG4AcwB0AGEAbgB0AHMAXwBWAGEAcgBpAGEAdABpAG8AbgBcAG4APQBMAEEATQBCAEQAQQAoACgAXAAiAFYAQQBSAEkAQQBUAEkATwBOACAARgBSAE8ATQAgAFMATwBVAFIAQwBFACAARABBAFQAQQA6ACAARwB5AHAAcwB1AG0AIABoAGEAcwAgAGIAZQBlAG4AIABhAGQAZABlAGQAIAB3AGkAdABoACAAcABsAGEAYwBlAGgAbwBsAGQAZQByACAAdgBhAGwAdQBlAHMAIABvAGYAIAAwACAAZgBvAHIAIABQACAAYQBuAGQAIABFAEYAL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E4AQwBvAG0AbQBvAG4ARgBlAHIAdABpAGwAaQBzAGUAcgBzAF8AVABpAHQAbABlAFwAbgA9AEwAQQBNAEIARABBACgAKABcACIARgByAGEAYwB0AGkAbwBuACAAbwBmACAAbgBpAHQAcgBvAGcAZQBuACAAaQBuACAAYwBvAG0AbQBvAG4AIABpAG4AbwByAGcAYQBuAGkAYwAgAGYAZQByAHQAaQBsAGkAcwBlAHIAcwAgACgAawBnAE4ALwBrAGcAKQAgACgARgBOAG8AcgBnAGEAbgBpAGMALABmACkAXAAiACkAKQA7AFwAbgBcAG4ARgBlAHIAdABpAGwAaQBzAGUAcgBfAEYAcgBhAGMAdABpAG8AbgBOAEMAbwBtAG0AbwBuAEYAZQByAHQAaQBsAGkAcwBlAHIAcwBfAFMAbwB1AHIAYwBlAFwAbgA9AEwAQQBNAEIARABBACgAKABcACIAVgBFAEUAUgBHACAAMgAwADIANgA6ACAAVABhAGIAbABlACAAQQAuADIALgAyAC4AMwBcACIAKQApADsAXABuAFwAbgBGAGUAcgB0AGkAbABpAHMAZQByAF8ARgByAGEAYwB0AGkAbwBuAE4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OAGkAbgBvAHIAZwBhAG4AaQBjAGYAXAAiADsAXABuACAAIABcACIATQBvAG4AbwBhAG0AbQBvAG4AaQB1AG0AIABwAGgAbwBzAHAAaABhAHQAZQAgACgATQBBAFAAKQBcACIALAAgADAALgAxADAAOwBcAG4AIAAgAFwAIgBEAGkAYQBtAG0AbwBuAGkAdQBtACAAcABoAG8AcwBwAGgAYQB0AGUAIAAoAEQAQQBQACkAXAAiACwAIAAwAC4AMQA4ADsAXABuACAAIABcACIAVQByAGUAYQBcACIALAAgADAALgA0ADYAOwBcAG4AIAAgAFwAIgBTAHUAbABwAGgAYQB0AGUAIABvAGYAIABhAG0AbQBvAG4AaQBhACAAKABTAE8AQQApAFwAIgAsACAAMAAuADIAMQA7AFwAbgAgACAAXAAiAFUAcgBlAGEALQBhAG0AbQBvAG4AaQB1AG0AIABuAGkAdAByAGEAdABlACAAKABVAEEATgApAFwAIgAsACAAMAAuADMAMgA7AFwAbgAgACAAXAAiAEEAbQBtAG8AbgBpAHUAbQAgAG4AaQB0AHIAYQB0AGUAIAAoAEEATgApAFwAIgAsACAAMAAuADMAMwA3ADsAXABuACAAIABcACIAQwBhAGwAYwBpAHUAbQAgAGEAbQBtAG8AbgBpAHUAbQAgAG4AaQB0AHIAYQB0AGUAIAAoAEMAQQBOACkAXAAiACwAIAAwAC4AMgA3ADsAXABuACAAIABcACIAQQBtAG0AbwBuAGkAdQBtACAAUwB1AGwAZgBhAHQAZQBcACIALAAgADAALgAyADEAOwBcAG4AIAAgAFwAIgBDAGEAbABjAGkAdQBtACAATgBpAHQAcgBhAHQAZQBcACIALAAgADAALgAxADUANQBcAG4AIAAgAH0ALAAgAHIALAAgAGMAKQBcAG4AKQApACkAOwBcAG4AXABuAEYAZQByAHQAaQBsAGkAcwBlAHIAXwBGAHIAYQBjAHQAaQBvAG4ATg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HUAcgBlAGE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FUAcgBlAGEAQwBvAG0AbQBvAG4ARgBlAHIAdABpAGwAaQBzAGUAcgBzAF8AVABpAHQAbABlAFwAbgA9AEwAQQBNAEIARABBACgAKABcACIARgByAGEAYwB0AGkAbwBuACAAbwBmACAAdQByAGUAYQAgAGkAbgAgAGMAbwBtAG0AbwBuACAAaQBuAG8AcgBnAGEAbgBpAGMAIABmAGUAcgB0AGkAbABpAHMAZQByAHMAIAAoAGsAZwAgAHUAcgBlAGEALwBrAGcAKQAgACgARgBVAGYAKQBcACIAKQApADsAXABuAFwAbgBGAGUAcgB0AGkAbABpAHMAZQByAF8ARgByAGEAYwB0AGkAbwBuAFUAcgBlAGEAQwBvAG0AbQBvAG4ARgBlAHIAdABpAGwAaQBzAGUAcgBzAF8AUwBvAHUAcgBjAGUAXABuAD0ATABBAE0AQgBEAEEAKAAoAFwAIgBWAEUARQBSAEcAIAAyADAAMgA2ADoAIABUAGEAYgBsAGUAIABBAC4AMgAuADIALgA0AFwAIgApACkAOwBcAG4AXABuAEYAZQByAHQAaQBsAGkAcwBlAHIAXwBGAHIAYQBjAHQAaQBvAG4AVQByAGUAYQ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FUAZgBcACIAOwBcAG4AIAAgAFwAIgBNAG8AbgBvAGEAbQBtAG8AbgBpAHUAbQAgAHAAaABvAHMAcABoAGEAdABlACAAKABNAEEAUAApAFwAIgAsACAAMAA7AFwAbgAgACAAXAAiAEQAaQBhAG0AbQBvAG4AaQB1AG0AIABwAGgAbwBzAHAAaABhAHQAZQAgACgARABBAFAAKQBcACIALAAgADAAOwBcAG4AIAAgAFwAIgBVAHIAZQBhAFwAIgAsACAAMQA7AFwAbgAgACAAXAAiAFMAdQBsAHAAaABhAHQAZQAgAG8AZgAgAGEAbQBtAG8AbgBpAGEAIAAoAFMATwBBACkAXAAiACwAIAAwADsAXABuACAAIABcACIAVQByAGUAYQAtAGEAbQBtAG8AbgBpAHUAbQAgAG4AaQB0AHIAYQB0AGUAIAAoAFUAQQBOACkAXAAiACwAIAAwAC4AMwA1ADsAXABuACAAIABcACIAQQBtAG0AbwBuAGkAdQBtACAAbgBpAHQAcgBhAHQAZQAgACgAQQBOACkAXAAiACwAIAAwADsAXABuACAAIABcACIAQwBhAGwAYwBpAHUAbQAgAGEAbQBtAG8AbgBpAHUAbQAgAG4AaQB0AHIAYQB0AGUAIAAoAEMAQQBOACkAXAAiACwAIAAwADsAXABuACAAIABcACIAQQBtAG0AbwBuAGkAdQBtACAAUwB1AGwAZgBhAHQAZQBcACIALAAgADAAOwBcAG4AIAAgAFwAIgBDAGEAbABjAGkAdQBtACAATgBpAHQAcgBhAHQAZQBcACIALAAgADAAXABuACAAIAB9ACwAIAByACwAIABjACkAXABuACkAKQApADsAXABuAFwAbgBGAGUAcgB0AGkAbABpAHMAZQByAF8ARgByAGEAYwB0AGkAbwBuAFUAcgBlAGE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TAG8AdQByAGMAZQAgAHIAZQBnAGkAbwBuAHMAIABmAG8AcgAgAHUAcgBlAGEAIABhAG4AZAAgAGEAbQBtAG8AbgBpAGEAXABuAD0APQA9AD0APQA9AD0APQA9AD0APQA9AD0APQA9AD0APQA9AD0APQA9AD0APQA9AD0APQA9AD0APQA9AD0APQA9AD0APQA9AD0APQA9AD0APQA9AD0APQA9AD0APQA9AD0APQA9AD0APQA9AD0APQA9AD0APQA9AD0APQA9AD0APQA9AD0APQA9AD0APQA9AD0APQA9AD0AXABuACoALwBcAG4AXABuAEYAZQByAHQAaQBsAGkAcwBlAHIAXwBVAHIAZQBhAEEAbQBtAG8AbgBpAGEAUwBvAHUAcgBjAGUAUgBlAGcAaQBvAG4AcwBfAFQAaQB0AGwAZQBcAG4APQBMAEEATQBCAEQAQQAoAFwAIgBTAG8AdQByAGMAZQAgAHIAZQBnAGkAbwBuAHMAIABmAG8AcgAgAHUAcgBlAGEAIABhAG4AZAAgAGEAbQBtAG8AbgBpAGEAXAAiACkAOwBcAG4AXABuAEYAZQByAHQAaQBsAGkAcwBlAHIAXwBVAHIAZQBhAEEAbQBtAG8AbgBpAGEAUwBvAHUAcgBjAGUAUgBlAGcAaQBvAG4AcwBfAFMAbwB1AHIAYwBlAFwAbg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EYAZQByAHQAaQBsAGkAcwBlAHIAXwBVAHIAZQBhAEEAbQBtAG8AbgBpAGEAUwBvAHUAcgBjAGUAUgBlAGcAaQBvAG4AcwBfAEQAYQB0AGEAXABuAD0ATABBAE0AQgBEAEEAKABcAG4AIABNAEEASwBFAEEAUgBSAEEAWQAoADUALAAgADEALABcAG4AIABMAEEATQBCAEQAQQAoAHIALABjACwAXABuACAAIABJAE4ARABFAFgAKAB7AFwAbgAgACAAXAAiAFMAbwB1AHIAYwBlAFwAIgA7AFwAbgAgACAAXAAiAEcAbABvAGIAYQBsAFwAIgA7AFwAbgAgACAAXAAiAEMAYQBuAGEAZABhAFwAIgA7AFwAbgAgACAAXAAiAEMAaABpAG4AYQBcACIAOwBcAG4AIAAgAFwAIgBZAGUAbQBlAG4AXAAiAFwAbgAgACAAfQAsACAAcgAsACAAYwApAFwAbgApACkAKQA7AFwAbgBcAG4ALwAqAFwAbgA9AD0APQA9AD0APQA9AD0APQA9AD0APQA9AD0APQA9AD0APQA9AD0APQA9AD0APQA9AD0APQA9AD0APQA9AD0APQA9AD0APQA9AD0APQA9AD0APQA9AD0APQA9AD0APQA9AD0APQA9AD0APQA9AD0APQA9AD0APQA9AD0APQA9AD0APQA9AD0APQA9AD0APQA9AD0APQA9AFwAbgBCAHIAYQBuAGQAZQBkACAAZ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IAcgBhAG4AZABlAGQAIABmAGUAcgB0AGkAbABpAHMAZQByACAAcAByAG8AZAB1AGMAdABzACAAYQBuAGQAIAB0AGgAZQBpAHIAIABjAGgAZQBtAGkAYwBhAGwAIABjAG8AbQBwAG8AcwBpAHQAaQBvAG4AXAAiACkAKQA7AFwAbgBcAG4ARgBlAHIAdABpAGwAaQBzAGUAcgBfAFAAcgBvAGQAdQBjAHQAcwBfAFMAbwB1AHIAYwBlAFwAbgA9AEwAQQBNAEIARABBACgAKABcACIAXAAiACkAKQA7AFwAbgBcAG4ARgBlAHIAdABpAGwAaQBzAGUAcgBfAFAAcgBvAGQAdQBjAHQAcwBfAEQAYQB0AGEAMQBcAG4APQBMAEEATQBCAEQAQQAoAFwAbgAgAE0AQQBLAEUAQQBSAFIAQQBZACgAMQAyACwAIAAyADgALABcAG4AIABMAEEATQBCAEQAQQAoAHIALABjACwAXABuACAAIABJAE4ARABFAFgAKAB7AFwAbgBcACIASQBuAGMAbAB1AGQAZQAgAG8AcgAgAGUAeABjAGwAdQBkAGUAXAAiACwAXAAiAE4AbwB0AGUAcwBcACIALABcACIAQwBvAG0AcABhAG4AeQBcACIALABcACIAUAByAG8AZAB1AGMAdAAgAE4AYQBtAGUAXAAiACwAXAAiAFUAbgBpAHQAXAAiACwAXAAiAEQAZQBuAHMAaQB0AH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OwBcAG4AXAAiAEkAbgBjAGwAdQBkAGUAXAAiACwAXAAiAFwAIgAsAFwAIgBDAGEAbQBwAGIAZQBsAGwAcwAgAGYAZQByAHQAaQBsAGkAcwBlAHIAcwAgAEEAdQBzAHQAcgBhAGwAaQBhAFwAIgAsAFwAIgBBAHEAdQBhACAARgBpAG4AaQBzAGg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EcAcgBvAHcAXAAiACwAXAAiAEwAXAAiACwAMQAuADIANgAsAFwAIgBcACI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E4AaQB0AHIAbwAgAEEATgBcACIALABcACIATABcACIALAAxAC4AMgA0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MAdABhAHIAdA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DAG8AbQBwAGwAZQB0AGU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kAbgBjAGwAdQBkAGUAXAAiACwAXAAiAFwAIgAsAFwAIgBDAGEAbQBwAGIAZQBsAGwAcwAgAGYAZQByAHQAaQBsAGkAcwBlAHIAcwAgAEEAdQBzAHQAcgBhAGwAaQBhAFwAIgAsAFwAIgBBAHEAdQBhACAAVABoAGkAbwAtAEUAbQBlAHIAZwBl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GAGwAbwB1AHIAaQBzAGgAXAAiACwAXAAiAEwAXAAiACwAMQAuADMAMgAsAFwAIgBcACIALABcACIAXAAi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JAG4AYwBsAHUAZABlACAALQAgAEEAYgBzAGUAbgB0ACAAaQBuAGcAcgBlAGQAaQBlAG4AdABzACAAPAAgADIAJQBcACIALABcACIAQQBtAG8AdQBuAHQAIABvAGYAIAB1AHIAZQBhACAAYwBhAGwAYwB1AGwAYQB0AGUAZAAgAGYAcgBvAG0AIAB1AHIAZQBhACAAbgBpAHQAcgBvAGcAZQBuACAAYQBtAG8AdQBuAHQAXAAiACwAXAAiAEMAYQBtAHAAYgBlAGwAbABzACAAZgBlAHIAdABpAGwAaQBzAGUAcgBzACAAQQB1AHMAdAByAGEAbABpAGEAXAAiACwAXAAiAEIAbwBvAHMAdAAtAEkAdA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JAG4AYwBsAHUAZABlAFwAIgAsAFwAIgBcACIALABcACIAQwBhAG0AcABiAGUAbABsAHMAIABmAGUAcgB0AGkAbABpAHMAZQByAHMAIABBAHUAcwB0AHIAYQBsAGkAYQBcACIALABcACIAQgByAG8AbgB6AGUAXAAiACwAXAAiAGsAZwBcACIALAAx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QwBhAG0AcABiAGUAbABsAHMAIABmAGUAcgB0AGkAbABpAHMAZQByAHMAIABBAHUAcwB0AHIAYQBsAGkAYQBcACIALABcACIAQwBvAG0AcABhAHMAcw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DsAXABuAFwAIgBJAG4AYwBsAHUAZABlACAALQAgAEEAYgBzAGUAbgB0ACAAaQBuAGcAcgBlAGQAaQBlAG4AdABzACAAPAAgADIAJQBcACIALABcACIAQwBvAG4AdAByAG8AbABsAGUAZAAgAHIAZQBsAGUAYQBzAGUAIABOACAAdAByAGUAYQB0AGUAZAAgAGEAcwAgAGcAZQBuAGUAcgBpAGMALA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FwAbgB9ACwAIAByACwAIABjACkAXABuACkAKQApADsAXABuAFwAbgAvACoAXABuAEYAZQByAHQAaQBsAGkAcwBlAHIAXwBQAHIAbwBkAHUAYwB0AHMAXwBEAGEAdABhADIAXABuAD0ATABBAE0AQgBEAEEAKABcAG4AIABNAEEASwBFAEEAUgBSAEEAWQAoADYALAAgADIAOAAsAFwAbgAgAEwAQQBNAEIARABBACgAcgAsAGMALABcAG4AIAAgAEkATgBEAEUAWAAoAHsAXABuAFwAIgBFAHgAYwBsAHUAZABlACAALQAgAEEAYgBzAGUAbgB0ACAAaQBuAGcAcgBlAGQAaQBlAG4AdABzACAAPgAgADIAJQBcACIALABcACIAXAAiACwAXAAiAEMAYQBtAHAAYgBlAGwAbABzACAAZgBlAHIAdABpAGwAaQBzAGUAcgBzACAAQQB1AHMAdAByAGEAbABpAGEAXAAiACwAXAAiAEIAdQBkAC0AVwBpAHMAZQByACAARAByAHkAXAAiACwAXAAiAGsAZw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iAGkAdAAgAEM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jAGkAdQBtACAAMQA3AD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QQBiAHMAZQBuAHQAIABpAG4AZwByAGUAZABpAGUAbgB0AHMAIAA+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PA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AAcgBvAGQAdQBjAHQALAAgAFAAcgBvAGQAdQBjAHQAQQB0AHQAcgBpAGIAdQB0AGUALAAgAFAAcgBvAGQAdQBjAHQAQQByAHIAYQB5ACwAIABQAHIAbwBkAHUAYwB0AEEAcgByAGEAeQBDAG8AbAB1AG0AbgAsACAAUAByAG8AZAB1AGMAdABBAHIAcgBhAHkASABlAGEAZABlAHIAcwAsAFwAbgAgACAASQBGAEUAUgBSAE8AUgAoAFwAbgAgACAAIAAgAEkATgBEAEUAWAAoAFwAbgAgACAAIAAgACAAIABQAHIAbwBkAHUAYwB0AEEAcgByAGEAeQAsAFwAbgAgACAAIAAgACAAIABYAE0AQQBUAEMASAAoAFQAUgBJAE0AKABQAHIAbwBkAHUAYwB0ACkALAAgAFAAcgBvAGQAdQBjAHQAQQByAHIAYQB5AEMAbwBsAHUAbQBuACwAIAAwACkALABcAG4AIAAgACAAIAAgACAAWABNAEEAVABDAEgAKABUAFIASQBNACgAUAByAG8AZAB1AGMAdABBAHQAdAByAGkAYgB1AHQAZQApACwAIABQAHIAbwBkAHUAYwB0AEEAcgByAGEAeQBIAGUAYQBkAGUAcgBzACwAIAAwACkAXABuACAAIAAgACAAKQAsAFwAbgAgACAAIAAgAFwAIgBcACIAXABuACAAIAApAFwAbgApADsAXABuAFwAbgBcAG4ARgBlAHIAdABpAGwAaQBzAGUAcgBfAFMAdQBtAFAAcgBvAGQAdQBjAHQAQQBwAHAAbABpAGUAZABcAG4APQBMAEEATQBCAEQAQQAoAFwAbgAgACAATABvAG8AawB1AHAAVABhAHIAZwBlAHQAMQAsAEwAbwBvAGsAdQBwAEEAcgByAGEAeQAxACwAQQBtAG8AdQBuAHQAQQBwAHAAbABpAGUAZAAsAFsATABvAG8AawB1AHAAVABhAHIAZwBlAHQAMgBdACwAWwBMAG8AbwBrAHUAcABBAHIAcgBhAHkAMgBdACwAXABuACAAIABMAEUAVAAoAFwAbgAgACAAIAAgAGMAcgBpAHQAZQByAGkAYQAxACwALQAtACgATABvAG8AawB1AHAAQQByAHIAYQB5ADEAPQBMAG8AbwBrAHUAcABUAGEAcgBnAGUAdAAxACkALABcAG4AIAAgACAAIABjAHIAaQB0AGUAcgBpAGEAMgAsAEkARgAoAEkAUwBPAE0ASQBUAFQARQBEACgATABvAG8AawB1AHAAVABhAHIAZwBlAHQAMgApACwAMQAsAC0ALQAoAEwAbwBvAGsAdQBwAEEAcgByAGEAeQAyAD0ATABvAG8AawB1AHAAVABhAHIAZwBlAHQAMgApACkALABcAG4AIAAgACAAIABTAFUATQBQAFIATwBEAFUAQwBUACgAYwByAGkAdABlAHIAaQBhADEAKgBjAHIAaQB0AGUAcgBpAGEAMgAqAEEAbQBvAHUAbgB0AEEAcABwAGwAaQBlAGQAKQBcAG4AIAAgACkAXABuACkAOwBcAG4AXABuAEYAZQByAHQAaQBsAGkAcwBlAHIAXwBUAG8AdABhAGwAUwBvAGkAbABBAG0AZQBuAGQAbQBlAG4AdABBAHAAcABsAGkAZQBkAFwAbgA9AEwAQQBNAEIARABBACgAXABuACAAIABBAG0AbwB1AG4AdABBAHAAcABsAGkAZQBkACwAIABBAG0AZQBuAGQAbQBlAG4AdABQAGUAcgBjAGUAbgB0ACwAXABuACAAIABTAFUATQBQAFIATwBEAFUAQwBUACgAQQBtAG8AdQBuAHQAQQBwAHAAbABpAGUAZAAgACoAIABBAG0AZQBuAGQAbQBlAG4AdABQAGUAcgBjAGUAbgB0ACkAXABuACkAOwBcAG4AXABu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AgACgAQQBtAG8AdQBuAHQAQQBwAHAAbABpAGUAZAAqAFAAcgBvAGQAdQBjAHQASQBuAGcAcgBlAGQAaQBlAG4AdABQAGUAcgBjAGUAbgB0ADEAKQAsAFwAbgAgACAAIAAgAGMAYQBsAGMAdQBsAGEAdABlAGQAQQBtAG8AdQBuAHQAMgAsACAAKABBAG0AbwB1AG4AdABBAHAAcABsAGkAZQBkACoAUAByAG8AZAB1AGMAdABJAG4AZwByAGUAZABpAGUAbgB0AFAAZQByAGMAZQBuAHQAMgApACwAXABuACAAIAAgACAAYwBhAGwAYwB1AGwAYQB0AGUAZABBAG0AbwB1AG4AdAAzACwAIAAoAEEAbQBvAHUAbgB0AEEAcABwAGwAaQBlAGQAKgBQAHIAbwBkAHUAYwB0AEkAbgBnAHIAZQBkAGkAZQBuAHQAUABlAHIAYwBlAG4AdAAzACkALAAgAFwAbgAgACAAIAAgAGMAYQBsAGMAdQBsAGEAdABlAGQAQQBtAG8AdQBuAHQANAAsACAAKABBAG0AbwB1AG4AdABBAHAAcABsAGkAZQBkACoAUAByAG8AZAB1AGMAdABJAG4AZwByAGUAZABpAGUAbgB0AFAAZQByAGMAZQBuAHQANAApACwAIABcAG4AIAAgACAAIABjAGEAbABjAHUAbABhAHQAZQBkAEEAbQBvAHUAbgB0ADUALAAgACgAQQBtAG8AdQBuAHQAQQBwAHAAbABpAGUAZAAqAFAAcgBvAGQAdQBjAHQASQBuAGcAcgBlAGQAaQBlAG4AdABQAGUAcgBjAGUAbgB0ADUAKQAsACAAXABuACAAIAAgACAAYwBhAGwAYwB1AGwAYQB0AGUAZABBAG0AbwB1AG4AdAA2ACwAIAAoAEEAbQBvAHUAbgB0AEEAcABwAGwAaQBlAGQAKgBQAHIAbwBkAHUAYwB0AEkAbgBnAHIAZQBkAGkAZQBuAHQAUABlAHIAYwBlAG4AdAA2ACkALAAgACAAXABuACAAIAAgACAARgBlAHIAdABpAGwAaQBzAGUAcgBfAFMAdQBtAFAAcgBvAGQAdQBjAHQAQQBwAHAAbABpAGUAZAAoAFwAbgAgACAAIAAgACAAIABDAGgAZQBtAGkAYwBhAGwAQwBvAG0AcABvAHUAbgBkACwAIABQAHIAbwBkAHUAYwB0AEkAbgBnAHIAZQBkAGkAZQBuAHQAMQAsACAAYwBhAGwAYwB1AGwAYQB0AGUAZABBAG0AbwB1AG4AdAAxAFwAbgAgACAAIAAgACkAKwBcAG4AIAAgACAAIABJAEYARQBSAFIATwBSACgARgBlAHIAdABpAGwAaQBzAGUAcgBfAFMAdQBtAFAAcgBvAGQAdQBjAHQAQQBwAHAAbABpAGUAZAAoAFwAbgAgACAAIAAgACAAIABDAGgAZQBtAGkAYwBhAGwAQwBvAG0AcABvAHUAbgBkACwAIABQAHIAbwBkAHUAYwB0AEkAbgBnAHIAZQBkAGkAZQBuAHQAMgAsACAAYwBhAGwAYwB1AGwAYQB0AGUAZABBAG0AbwB1AG4AdAAyAFwAbgAgACAAIAAgACkALAAgADAAKQArAFwAbgAgACAAIAAgAEkARgBFAFIAUgBPAFIAKABGAGUAcgB0AGkAbABpAHMAZQByAF8AUwB1AG0AUAByAG8AZAB1AGMAdABBAHAAcABsAGkAZQBkACgAXABuACAAIAAgACAAIAAgAEMAaABlAG0AaQBjAGEAbABDAG8AbQBwAG8AdQBuAGQALAAgAFAAcgBvAGQAdQBjAHQASQBuAGcAcgBlAGQAaQBlAG4AdAAzACwAIABjAGEAbABjAHUAbABhAHQAZQBkAEEAbQBvAHUAbgB0ADMAXABuACAAIAAgACAAKQAsACAAMAApACsAXABuACAAIAAgACAASQBGAEUAUgBSAE8AUgAoAEYAZQByAHQAaQBsAGkAcwBlAHIAXwBTAHUAbQBQAHIAbwBkAHUAYwB0AEEAcABwAGwAaQBlAGQAKABcAG4AIAAgACAAIAAgACAAQwBoAGUAbQBpAGMAYQBsAEMAbwBtAHAAbwB1AG4AZAAsACAAUAByAG8AZAB1AGMAdABJAG4AZwByAGUAZABpAGUAbgB0ADQALAAgAGMAYQBsAGMAdQBsAGEAdABlAGQAQQBtAG8AdQBuAHQANABcAG4AIAAgACAAIAApACwAIAAwACkAKwBcAG4AIAAgACAAIABJAEYARQBSAFIATwBSACgARgBlAHIAdABpAGwAaQBzAGUAcgBfAFMAdQBtAFAAcgBvAGQAdQBjAHQAQQBwAHAAbABpAGUAZAAoAFwAbgAgACAAIAAgACAAIABDAGgAZQBtAGkAYwBhAGwAQwBvAG0AcABvAHUAbgBkACwAIABQAHIAbwBkAHUAYwB0AEkAbgBnAHIAZQBkAGkAZQBuAHQANQAsACAAYwBhAGwAYwB1AGwAYQB0AGUAZABBAG0AbwB1AG4AdAA1AFwAbgAgACAAIAAgACkALAAgADAAKQArAFwAbgAgACAAIAAgAEkARgBFAFIAUgBPAFIAKABGAGUAcgB0AGkAbABpAHMAZQByAF8AUwB1AG0AUAByAG8AZAB1AGMAdABBAHAAcABsAGkAZQBkACgAXABuACAAIAAgACAAIAAgAEMAaABlAG0AaQBjAGEAbABDAG8AbQBwAG8AdQBuAGQALAAgAFAAcgBvAGQAdQBjAHQASQBuAGcAcgBlAGQAaQBlAG4AdAA2ACwAIABjAGEAbABjAHUAbABhAHQAZQBkAEEAbQBvAHUAbgB0ADYAXABuACAAIAAgACAAKQAsACAAM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IAAoAEEAbQBvAHUAbgB0AEEAcABwAGwAaQBlAGQAKgBQAHIAbwBkAHUAYwB0AEkAbgBnAHIAZQBkAGkAZQBuAHQAUABlAHIAYwBlAG4AdAAxACkALABcAG4AIAAgACAAIABjAGEAbABjAHUAbABhAHQAZQBkAEEAbQBvAHUAbgB0ADIALAAgACgAQQBtAG8AdQBuAHQAQQBwAHAAbABpAGUAZAAqAFAAcgBvAGQAdQBjAHQASQBuAGcAcgBlAGQAaQBlAG4AdABQAGUAcgBjAGUAbgB0ADIAKQAsAFwAbgAgACAAIAAgAGMAYQBsAGMAdQBsAGEAdABlAGQAQQBtAG8AdQBuAHQAMwAsACAAKABBAG0AbwB1AG4AdABBAHAAcABsAGkAZQBkACoAUAByAG8AZAB1AGMAdABJAG4AZwByAGUAZABpAGUAbgB0AFAAZQByAGMAZQBuAHQAMwApACwAIABcAG4AIAAgACAAIABjAGEAbABjAHUAbABhAHQAZQBkAEEAbQBvAHUAbgB0ADQALAAgACgAQQBtAG8AdQBuAHQAQQBwAHAAbABpAGUAZAAqAFAAcgBvAGQAdQBjAHQASQBuAGcAcgBlAGQAaQBlAG4AdABQAGUAcgBjAGUAbgB0ADQAKQAsACAAXABuACAAIAAgACAAYwBhAGwAYwB1AGwAYQB0AGUAZABBAG0AbwB1AG4AdAA1ACwAIAAoAEEAbQBvAHUAbgB0AEEAcABwAGwAaQBlAGQAKgBQAHIAbwBkAHUAYwB0AEkAbgBnAHIAZQBkAGkAZQBuAHQAUABlAHIAYwBlAG4AdAA1ACkALAAgAFwAbgAgACAAIAAgAGMAYQBsAGMAdQBsAGEAdABlAGQAQQBtAG8AdQBuAHQANgAsACAAKABBAG0AbwB1AG4AdABBAHAAcABsAGkAZQBkACoAUAByAG8AZAB1AGMAdABJAG4AZwByAGUAZABpAGUAbgB0AFAAZQByAGMAZQBuAHQANgApACwAXABuACAAIAAgACAAUAByAG8AZAB1AGMAdABJAG4AZwByAGUAZABpAGUAbgB0AFMAbwB1AHIAYwBlACwAIABJAEYAKABQAHIAbwBkAHUAYwB0AEkAbgBnAHIAZQBkAGkAZQBuAHQAUwBvAHUAcgBjAGUAPQBcACIAXAAiACwAIABcACIARwBsAG8AYgBhAGwAXAAiACwAIABQAHIAbwBkAHUAYwB0AEkAbgBnAHIAZQBkAGkAZQBuAHQAUwBvAHUAcgBjAGUAKQAsAFwAbgAgACAAIAAgAEYAZQByAHQAaQBsAGkAcwBlAHIAXwBTAHUAbQBQAHIAbwBkAHUAYwB0AEEAcABwAGwAaQBlAGQAKABcAG4AIAAgACAAIAAgACAAQwBoAGUAbQBpAGMAYQBsAEMAbwBtAHAAbwB1AG4AZAAsACAAUAByAG8AZAB1AGMAdABJAG4AZwByAGUAZABpAGUAbgB0ADEALAAgAGMAYQBsAGMAdQBsAGEAdABlAGQAQQBtAG8AdQBuAHQAMQAsACAAUwBvAHUAcgBjAGUALAAgAFAAcgBvAGQAdQBjAHQASQBuAGcAcgBlAGQAaQBlAG4AdABTAG8AdQByAGMAZQBcAG4AIAAgACAAIAApACsAXABuACAAIAAgACAASQBGAEUAUgBSAE8AUgAoAEYAZQByAHQAaQBsAGkAcwBlAHIAXwBTAHUAbQBQAHIAbwBkAHUAYwB0AEEAcABwAGwAaQBlAGQAKABcAG4AIAAgACAAIAAgACAAQwBoAGUAbQBpAGMAYQBsAEMAbwBtAHAAbwB1AG4AZAAsACAAUAByAG8AZAB1AGMAdABJAG4AZwByAGUAZABpAGUAbgB0ADIALAAgAGMAYQBsAGMAdQBsAGEAdABlAGQAQQBtAG8AdQBuAHQAMgAsACAAUwBvAHUAcgBjAGUALAAgAFAAcgBvAGQAdQBjAHQASQBuAGcAcgBlAGQAaQBlAG4AdABTAG8AdQByAGMAZQBcAG4AIAAgACAAIAApACwAIAAwACkAKwBcAG4AIAAgACAAIABJAEYARQBSAFIATwBSACgARgBlAHIAdABpAGwAaQBzAGUAcgBfAFMAdQBtAFAAcgBvAGQAdQBjAHQAQQBwAHAAbABpAGUAZAAoAFwAbgAgACAAIAAgACAAIABDAGgAZQBtAGkAYwBhAGwAQwBvAG0AcABvAHUAbgBkACwAIABQAHIAbwBkAHUAYwB0AEkAbgBnAHIAZQBkAGkAZQBuAHQAMwAsACAAYwBhAGwAYwB1AGwAYQB0AGUAZABBAG0AbwB1AG4AdAAzACwAIABTAG8AdQByAGMAZQAsACAAUAByAG8AZAB1AGMAdABJAG4AZwByAGUAZABpAGUAbgB0AFMAbwB1AHIAYwBlAFwAbgAgACAAIAAgACkALAAgADAAKQArAFwAbgAgACAAIAAgAEkARgBFAFIAUgBPAFIAKABGAGUAcgB0AGkAbABpAHMAZQByAF8AUwB1AG0AUAByAG8AZAB1AGMAdABBAHAAcABsAGkAZQBkACgAXABuACAAIAAgACAAIAAgAEMAaABlAG0AaQBjAGEAbABDAG8AbQBwAG8AdQBuAGQALAAgAFAAcgBvAGQAdQBjAHQASQBuAGcAcgBlAGQAaQBlAG4AdAA0ACwAIABjAGEAbABjAHUAbABhAHQAZQBkAEEAbQBvAHUAbgB0ADQALAAgAFMAbwB1AHIAYwBlACwAIABQAHIAbwBkAHUAYwB0AEkAbgBnAHIAZQBkAGkAZQBuAH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UALAAgAGMAYQBsAGMAdQBsAGEAdABlAGQAQQBtAG8AdQBuAHQANQAsACAAUwBvAHUAcgBjAGUALAAgAFAAcgBvAGQAdQBjAHQASQBuAGcAcgBlAGQAaQBlAG4AdABTAG8AdQByAGMAZQBcAG4AIAAgACAAIAApACwAIAAwACkAKwBcAG4AIAAgACAAIABJAEYARQBSAFIATwBSACgARgBlAHIAdABpAGwAaQBzAGUAcgBfAFMAdQBtAFAAcgBvAGQAdQBjAHQAQQBwAHAAbABpAGUAZAAoAFwAbgAgACAAIAAgACAAIABDAGgAZQBtAGkAYwBhAGwAQwBvAG0AcABvAHUAbgBkACwAIABQAHIAbwBkAHUAYwB0AEkAbgBnAHIAZQBkAGkAZQBuAHQANgAsACAAYwBhAGwAYwB1AGwAYQB0AGUAZABBAG0AbwB1AG4AdAA2ACwAIABTAG8AdQByAGMAZQAsACAAUAByAG8AZAB1AGMAdABJAG4AZwByAGUAZABpAGUAbgB0AFMAbwB1AHIAYwBlAFwAbgAgACAAIAAgACkALAAgADAAKQBcAG4AIAAgACkAXABuACkAOwBcAG4AXABuAEYAZQByAHQAaQBsAGkAcwBlAHIAXwBHAGUAdABTAGMAbwBwAGUAMwBFAEYAXABuAD0ATABBAE0AQgBEAEEAKABcAG4AIAAgACAAIABDAGgAZQBtAGkAYwBhAGwAQwBvAG0AcABvAHUAbgBkACwAIABTAGMAbwBwAGUAMwBBAHIAcgBhAHkALAAgAEMAaABlAG0AaQBjAGEAbABDAG8AbQBwAG8AdQBuAGQAQwBvAGwAdQBtAG4ALAAgAFMAbwB1AHIAYwBlACwAIABTAG8AdQByAGMAZQBSAG8AdwAsAFwAbgAgACAAIAAgAEkATgBEAEUAWAAoAFMAYwBvAHAAZQAzAEEAcgByAGEAeQAsAFwAbgAgACAAIAAgACAAIAAgAE0AQQBUAEMASAAoAEMAaABlAG0AaQBjAGEAbABDAG8AbQBwAG8AdQBuAGQALAAgAEMAaABlAG0AaQBjAGEAbABDAG8AbQBwAG8AdQBuAGQAQwBvAGwAdQBtAG4ALAAgADAAKQAsAFwAbgAgACAAIAAgACAAIAAgAE0AQQBUAEMASAAoAFMAbwB1AHIAYwBlACwAIABTAG8AdQByAGMAZQBSAG8AdwAsACAAMAApAFwAbgAgACAAIAAgACkAXABuACkAOwBcAG4AXABuAEYAZQByAHQAaQBsAGkAcwBlAHIAXwBHAGUAdABDAGgAZQBtAGkAYwBhAGwAQwBvAG0AcABvAHUAbgBkAEUAbABlAG0AZQBuAHQARgByAGEAYwB0AGkAbwBuAFwAbgA9AEwAQQBNAEIARABBACgAXABuACAAIAAgACAAQwBoAGUAbQBpAGMAYQBsAEMAbwBtAHAAbwB1AG4AZAAsACAARQBsAGUAbQBlAG4AdAAsACAAQwBoAGUAbQBpAGMAYQBsAEMAbwBtAHAAbwB1AG4AZABBAHIAcgBhAHkALAAgAEMAaABlAG0AaQBjAGEAbABDAG8AbQBwAG8AdQBuAGQAQwBvAGwAdQBtAG4ALAAgAEUAbABlAG0AZQBuAHQAUgBvAHcALABcAG4AIAAgACAAIABJAE4ARABFAFgAKABDAGgAZQBtAGkAYwBhAGwAQwBvAG0AcABvAHUAbgBkAEEAcgByAGEAeQAsAFwAbgAgACAAIAAgACAAIABNAEEAVABDAEgAKABDAGgAZQBtAGkAYwBhAGwAQwBvAG0AcABvAHUAbgBkACwAIABDAGgAZQBtAGkAYwBhAGwAQwBvAG0AcABvAHUAbgBkAEMAbwBsAHUAbQBuACwAIAAwACkALABcAG4AIAAgACAAIAAgACAATQBBAFQAQwBIACgARQBsAGUAbQBlAG4AdAAsACAARQBsAGUAbQBlAG4AdABSAG8AdwAsACAAMAApAFwAbgAgACA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UAbABlAGMAdAByAGkAYwBpAHQAeQBfAFMAbwB1AHIAYwBlAEQAYQB0AGEAIgAsACIAdABlAHgAdAAiADoAIgAvACoAXABuAD0APQA9AD0APQA9AD0APQA9AD0APQA9AD0APQA9AD0APQA9AD0APQA9AD0APQA9AD0APQA9AD0APQA9AD0APQA9AD0APQA9AD0APQA9AD0APQA9AD0APQA9AD0APQA9AD0APQA9AD0APQA9AD0APQA9AD0APQA9AD0APQA9AD0APQA9AD0APQA9AD0APQA9AD0APQA9AD0AXABu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IA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ABvAGMAYQB0AGkAbwBuAEIAYQBzAGUAZABfAFQAaQB0AGwAZQBcAG4APQBMAEEATQBCAEQAQQAoACgAXAAiAEUAbABlAGMAdAByAGkAYwBpAHQAeQAgAHMAYwBvAHAAZQAgADIAIABhAG4AZAAgAHMAYwBvAHAAZQAgADMAIABsAG8AYwBhAHQAaQBvAG4ALQBiAGEAcwBlAGQAIABlAG0AaQBzAHMAaQBvAG4AIABmAGEAYwB0AG8AcgBzAFwAIgApACkAOwBcAG4AXABuAEUAbABlAGMAdAByAGkAYwBpAHQAeQBfAFMAYwBvAHAAZQAyAEwAbwBjAGEAdABpAG8AbgBCAGEAcwBlAGQAXwBEAGUAcwBjAHIAaQBwAHQAaQBvAG4AXABuAD0ATABBAE0AQgBEAEEAKAAoAFwAI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FwAIgApACkAOwBcAG4AXABuAEUAbABlAGMAdAByAGkAYwBpAHQAeQBfAFMAYwBvAHAAZQAyAFMAYwBvAHAAZQAzAEwAbwBjAGEAdABpAG8AbgBCAGEAcwBlAGQAXwBTAG8AdQByAGMAZQBcAG4APQBMAEEATQBCAEQAQQAoACgAXAAiAEEAdQBzAHQAcgBhAGwAaQBhAG4AIABOAGEAdABpAG8AbgBhAGwAIABHAHIAZQBlAG4AaABvAHUAcwBlACAAQQBjAGMAbwB1AG4AdABzACAARgBhAGMAdABvAHIAcwAgADIAMAAyADUAIAAtACAAVABhAGIAbABlACAAMQBcACIAKQApADsAXABuAFwAbgBFAGwAZQBjAHQAcgBpAGMAaQB0AHkAXwBTAGMAbwBwAGUAMgBTAGMAbwBwAGUAMwBMAG8AYwBhAHQAaQBvAG4AQgBhAHMAZQBkAF8ARABhAHQAYQBcAG4APQBMAEEATQBCAEQAQQAoAFwAbgAgACAATQBBAEsARQBBAFIAUgBBAFkAKAAxADEALAAgADM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wAgAEUAbQBpAHMAcwBpAG8AbgAgAEYAYQBjAHQAbwByAHMAIAAoAGsAZwAgAEMATwAyAC0AZQAvAGsAVwBoACkAXAAiADsAXABuACAAIAAgACAAIAAgACAAIABcACIATgBlAHcAIABTAG8AdQB0AGgAIABXAGEAbABlAHMAXAAiACwAIAAwAC4ANgA0ACwAIAAwAC4AMAAzADsAXABuACAAIAAgACAAIAAgACAAIABcACIAQQBDAFQAXAAiACwAIAAwAC4ANgA0ACwAIAAwAC4AMAAzADsAXABuACAAIAAgACAAIAAgACAAIABcACIAVgBpAGMAdABvAHIAaQBhAFwAIgAsACAAMAAuADcAOAAsACAAMAAuADAAOQA7AFwAbgAgACAAIAAgACAAIAAgACAAXAAiAFEAdQBlAGUAbgBzAGwAYQBuAGQAXAAiACwAIAAwAC4ANgA3ACwAIAAwAC4AMAA5ADsAXABuACAAIAAgACAAIAAgACAAIABcACIAUwBvAHUAdABoACAAQQB1AHMAdAByAGEAbABpAGEAXAAiACwAIAAwAC4AMgAyACwAIAAwAC4AMAA0ADsAXABuACAAIAAgACAAIAAgACAAIABcACIAVwBlAHMAdABlAHIAbgAgAEEAdQBzAHQAcgBhAGwAaQBhACAALQAgAFMAbwB1AHQAaAAgAFcAZQBzAHQAIABJAG4AdABlAHIAYwBvAG4AbgBlAGMAdABlAGQAIABTAHkAcwB0AGUAbQAgACgAUwBXAEkAUwApAFwAIgAsACAAMAAuADUAMAAsACAAMAAuADAANgA7AFwAbgAgACAAIAAgACAAIAAgACAAXAAiAFcAZQBzAHQAZQByAG4AIABBAHUAcwB0AHIAYQBsAGkAYQAgAC0AIABOAG8AcgB0AGgAIABXAGUAcwB0AGUAcgBuACAASQBuAHQAZQByAGMAbwBuAG4AZQBjAHQAZQBkACAAUwB5AHMAdABlAG0AIAAoAE4AVwBJAFMAKQBcACIALAAgADAALgA1ADYALAAgADAALgAwADkAOwBcAG4AIAAgACAAIAAgACAAIAAgAFwAIgBUAGEAcwBtAGEAbgBpAGEAXAAiACwAIAAwAC4AMgAwACwAIAAwAC4AMAAzADsAXABuACAAIAAgACAAIAAgACAAIABcACIATgBvAHIAdABoAGUAcgBuACAAVABlAHIAcgBpAHQAbwByAHkAIAAtACAARABhAHIAdwBpAG4AIABLAGEAdABoAGUAcgBpAG4AZQAgAEkAbgB0AGUAcgBjAG8AbgBuAGUAYwB0AGUAZAAgAFMAeQBzAHQAZQBtACAAKABEAEsASQBTACkAXAAiACwAIAAwAC4ANQA2ACwAIAAwAC4AMAA5ADsAXABuACAAIAAgACAAIAAgACAAIABcACIATgBhAHQAaQBvAG4AYQBsAFwAIgAsACAAMAAuADYAMgAsACAAMAAuADAANwBcAG4AIAAgACAAIAAgACAAfQAsACAAcgAsACAAYwApAFwAbgApACkAKQA7AFwAbgBcAG4ARQBsAGUAYwB0AHIAaQBjAGkAdAB5AF8AUwBjAG8AcABlADIAUwBjAG8AcABlADMATABvAGMAYQB0AGkAbwBuAEIAYQBzAGUAZABfAFYAYQByAGkAYQB0AGkAbwBuAFwAbgA9AEwAQQBNAEIARABBACgAKABcACIAVgBBAFIASQBBAFQASQBPAE4AIABPAEYAIABTAE8AVQBSAEMARQAgAEQAQQBUAEEAOgAgAE4AUwBXACAAYQBuAGQAIABBAEMAVAAgAHMAcABsAGkAdAAgAGkAbgB0AG8AIABzAGUAcABhAHIAYQB0AGUAIAByAG8AdwBzAC4AXAAiACkAKQA7AFwAbgBcAG4AXABuAC8AKgBcAG4APQA9AD0APQA9AD0APQA9AD0APQA9AD0APQA9AD0APQA9AD0APQA9AD0APQA9AD0APQA9AD0APQA9AD0APQA9AD0APQA9AD0APQA9AD0APQA9AD0APQA9AD0APQA9AD0APQA9AD0APQA9AD0APQA9AD0APQA9AD0APQA9AD0APQA9AD0APQA9AD0APQA9AD0APQA9AD0APQBcAG4AUgBlAHMAaQBkAHUAYQBsACAATQBpAHgAIABGAGEAYwB0AG8AcgAgAGYAbwByACAAbQBhAHIAawBlAHQALQBiAGEAcwBlAGQAIABlAHEAdQBhAHQAaQBvAG4Acw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QBhAHIAawBlAHQAQgBhAHMAZQBkAF8AVABpAHQAbABlAFwAbgA9AEwAQQBNAEIARABBACgAKABcACIARQBsAGUAYwB0AHIAaQBjAGkAdAB5ACAAcwBjAG8AcABlACAAMgAgAGEAbgBkACAAcwBjAG8AcABlACAAMwAgAG0AYQByAGsAZQB0AC0AYgBhAHMAZQBkACAAZQBtAGkAcwBzAGkAbwBuACAAZgBhAGMAdABvAHIAcwBcACIAKQApADsAXABuAFwAbgBFAGwAZQBjAHQAcgBpAGMAaQB0AHkAXwBTAGMAbwBwAGUAMgBNAGEAcgBrAGUAdABCAGEAcwBlAGQAXwBEAGUAcwBjAHIAaQBwAHQAaQBvAG4AXABuAD0ATABBAE0AQgBEAEEAKAAoAFwAIgBUAGEAYgBsAGUAIAAyAGEAIABJAG4AZABpAHIAZQBjAHQAIAAoAHMAYwBvAHAAZQAgADIAIABhAG4AZAAgAHMAYwBvAHAAZQAgADMAKQAgAGUAbQBpAHMAcwBpAG8AbgAgAGYAYQBjAHQAbwByAHMAIABmAHIAbwBtACAAYwBvAG4AcwB1AG0AcAB0AGkAbwBuACAAbwBmACAAcAB1AHIAYwBoAGEAcwBlAGQAIABvAHIAIABhAGMAcQB1AGkAcgBlAGQAIABlAGwAZQBjAHQAcgBpAGMAaQB0AHkAOgAgAG0AYQByAGsAZQB0AC0AYgBhAHMAZQBkACAAZgBhAGMAdABvAHIAcwAgAFwAIgApACkAOwBcAG4AXABuAEUAbABlAGMAdAByAGkAYwBpAHQAeQBfAFMAYwBvAHAAZQAyAFMAYwBvAHAAZQAzAE0AYQByAGsAZQB0AEIAYQBzAGUAZABfAFMAbwB1AHIAYwBlAFwAbgA9AEwAQQBNAEIARABBACgAKABcACIAQQB1AHMAdAByAGEAbABpAGEAbgAgAE4AYQB0AGkAbwBuAGEAbAAgAEcAcgBlAGUAbgBoAG8AdQBzAGUAIABBAGMAYwBvAHUAbgB0AHMAIABGAGEAYwB0AG8AcgBzACAAMgAwADIANQAgAC0AIABUAGEAYgBsAGUAIAAyAGEAXAAiACkAKQA7AFwAbgBcAG4ARQBsAGUAYwB0AHIAaQBjAGkAdAB5AF8AUwBjAG8AcABlADIAUwBjAG8AcABlADMATQBhAHIAawBlAHQAQgBhAHMAZQBkAF8ARABhAHQAYQBcAG4APQBMAEEATQBCAEQAQQAoAFwAbgAgACAATQBBAEsARQBBAFIAUgBBAFkAKAAyACwAIAA1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IAIABFAG0AaQBzAHMAaQBvAG4AIABGAGEAYwB0AG8AcgBzACAAKABrAGcAIABDAE8AMgAtAGUALwBHAEoAKQBcACIALAAgAFwAIgBTAGMAbwBwAGUAIAAzACAARQBtAGkAcwBzAGkAbwBuACAARgBhAGMAdABvAHIAcwAgACgAawBnACAAQwBPADIAIAAtACAAZQAgAC8AIABrAFcAaAApAFwAIgAsACAAXAAiAFMAYwBvAHAAZQAgADMAIABFAG0AaQBzAHMAaQBvAG4AIABGAGEAYwB0AG8AcgBzACAAKABrAGcAIABDAE8AMgAgAC0AIABlACAALwAgAEcASgApAFwAIgA7AFwAbgAgACAAIAAgACAAIAAgACAAXAAiAE4AYQB0AGkAbwBuAGEAbABcACIALAAgADAALgA4ADEALAAgADIAMgA2ACwAIAAwAC4AMQAwACwAIAAyADkAXABuACAAIAAgACAAIAAgAH0ALAAgAHIALAAgAGMAKQBcAG4AKQApACkAOwBcAG4AXABuAEUAbABlAGMAdAByAGkAYwBpAHQAeQBfAFMAYwBvAHAAZQAyAFMAYwBvAHAAZQAzAE0AYQByAGsAZQB0AEIAYQBzAGUAZABfAFYAYQByAGkAYQB0AGkAbwBuAFwAbgA9AEwAQQBNAEIARABBACgAKABcACIAXAAiACkAKQA7ACIAfQAsAHsAIgBwAGEAdABoACIAOgAiAC8AcAByAG8AagBlAGMAdABzAC8AUwBjAG8AcABlADMAXwBTAG8AdQByAGMAZQBEAGEAdABhACIALAAiAHQAZQB4AHQAIgA6ACIAXABuAC8AKgBcAG4APQA9AD0APQA9AD0APQA9AD0APQA9AD0APQA9AD0APQA9AD0APQA9AD0APQA9AD0APQA9AD0APQA9AD0APQA9AD0APQA9AD0APQA9AD0APQA9AD0APQA9AD0APQA9AD0APQA9AD0APQA9AD0APQA9AD0APQA9AD0APQA9AD0APQA9AD0APQA9AD0APQA9AD0APQA9AD0APQBcAG4AQQBuAGkAbQBhAGwAcwBcAG4APQA9AD0APQA9AD0APQA9AD0APQA9AD0APQA9AD0APQA9AD0APQA9AD0APQA9AD0APQA9AD0APQA9AD0APQA9AD0APQA9AD0APQA9AD0APQA9AD0APQA9AD0APQA9AD0APQA9AD0APQA9AD0APQA9AD0APQA9AD0APQA9AD0APQA9AD0APQA9AD0APQA9AD0APQA9AD0APQBcAG4AKgAvAFwAbgBcAG4AUwBjAG8AcABlADMAXwBMAGkAdgBlAHMAdABvAGMAawBfAFQAaQB0AGwAZQBcAG4APQBMAEEATQBCAEQAQQAoACgAXAAiAEwAaQB2AGUAcwB0AG8AYwBrACAAcwBjAG8AcABlACAAMwBcACIAKQApADsAXABuAFwAbgBTAGMAbwBwAGUAMwBfAEwAaQB2AGUAcwB0AG8AYwBr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ABpAHYAZQBzAHQAbwBjAGsAXwBWAGEAcgBpAGEAdABpAG8AbgBcAG4APQBMAEEATQBCAEQAQQAoACgAXAAiAFwAIgApACkAOwBcAG4AXABuAFMAYwBvAHAAZQAzAF8ATABpAHYAZQBzAHQAbwBjAGsAXwBEAGEAdABhAFwAbgA9AEwAQQBNAEIARABBACgAXABuACAAIABNAEEASwBFAEEAUgBSAEEAWQAoADQAM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EAbgBpAG0AYQBsAHMAXAAiACwAIABcACIAQgBlAGUAZgAgAGMAYQB0AHQAbABlAFwAIgAsACAAXAAiAEMAYQB0AHQAbABlACwAIABmAG8AcgAgAG0AYQBuAHUAZgBhAGMAdAB1AHIAaQBuAGcAIABiAGUAZQBmAFwAIgAsACAAXAAiAEEAdQBzAHQAcgBhAGwAaQBhAFwAIgAsACAAXAAiAGsAZwAgAGwAaQB2AGUAdwBlAGkAZwBoAHQAXAAiACwAIAAxADEALAAgAFwAIgBhAHQAIABtAGEAcgBrAGUAdABcACIAOwBcAG4AIAAgACAAIAAgACAAIAAgAFwAIgBBAG4AaQBtAGEAbABzAFwAIgAsACAAXAAiAEIAZQBlAGYAIABjAGEAdAB0AGwAZQBcACIALAAgAFwAIgBDAGEAdAB0AGwAZQAsACAAZgBvAHIAIABtAGEAbgB1AGYAYQBjAHQAdQByAGkAbgBnACAAYgBlAGUAZgBcACIALAAgAFwAIgBOAFMAVwBcACIALAAgAFwAIgBrAGcAIABsAGkAdgBlAHcAZQBpAGcAaAB0AFwAIgAsACAAOAAuADIAMQAsACAAXAAiAGEAdAAgAG0AYQByAGsAZQB0AFwAIgA7AFwAbgAgACAAIAAgACAAIAAgACAAXAAiAEEAbgBpAG0AYQBsAHMAXAAiACwAIABcACIAQgBlAGUAZgAgAGMAYQB0AHQAbABlAFwAIgAsACAAXAAiAEMAYQB0AHQAbABlACwAIABmAG8AcgAgAG0AYQBuAHUAZgBhAGMAdAB1AHIAaQBuAGcAIABiAGUAZQBmAFwAIgAsACAAXAAiAE4AVABcACIALAAgAFwAIgBrAGcAIABsAGkAdgBlAHcAZQBpAGcAaAB0AFwAIgAsACAAMQAyAC4AMgAsACAAXAAiAGEAdAAgAG0AYQByAGsAZQB0AFwAIgA7AFwAbgAgACAAIAAgACAAIAAgACAAXAAiAEEAbgBpAG0AYQBsAHMAXAAiACwAIABcACIAQgBlAGUAZgAgAGMAYQB0AHQAbABlAFwAIgAsACAAXAAiAEMAYQB0AHQAbABlACwAIABmAG8AcgAgAG0AYQBuAHUAZgBhAGMAdAB1AHIAaQBuAGcAIABiAGUAZQBmAFwAIgAsACAAXAAiAFEATABEAFwAIgAsACAAXAAiAGsAZwAgAGwAaQB2AGUAdwBlAGkAZwBoAHQAXAAiACwAIAAxADAALgA5ACwAIABcACIAYQB0ACAAbQBhAHIAawBlAHQAXAAiADsAXABuACAAIAAgACAAIAAgACAAIABcACIAQQBuAGkAbQBhAGwAcwBcACIALAAgAFwAIgBCAGUAZQBmACAAYwBhAHQAdABsAGUAXAAiACwAIABcACIAQwBhAHQAdABsAGUALAAgAGYAbwByACAAbQBhAG4AdQBmAGEAYwB0AHUAcgBpAG4AZwAgAGIAZQBlAGYAXAAiACwAIABcACIAUwBBAFwAIgAsACAAXAAiAGsAZwAgAGwAaQB2AGUAdwBlAGkAZwBoAHQAXAAiACwAIAA3AC4ANgAzACwAIABcACIAYQB0ACAAbQBhAHIAawBlAHQAXAAiADsAXABuACAAIAAgACAAIAAgACAAIABcACIAQQBuAGkAbQBhAGwAcwBcACIALAAgAFwAIgBCAGUAZQBmACAAYwBhAHQAdABsAGUAXAAiACwAIABcACIAQwBhAHQAdABsAGUALAAgAGYAbwByACAAbQBhAG4AdQBmAGEAYwB0AHUAcgBpAG4AZwAgAGIAZQBlAGYAXAAiACwAIABcACIAVABBAFMAXAAiACwAIABcACIAawBnACAAbABpAHYAZQB3AGUAaQBnAGgAdABcACIALAAgADgALgA3ADUALAAgAFwAIgBhAHQAIABtAGEAcgBrAGUAdABcACIAOwBcAG4AIAAgACAAIAAgACAAIAAgAFwAIgBBAG4AaQBtAGEAbABzAFwAIgAsACAAXAAiAEIAZQBlAGYAIABjAGEAdAB0AGwAZQBcACIALAAgAFwAIgBDAGEAdAB0AGwAZQAsACAAZgBvAHIAIABtAGEAbgB1AGYAYQBjAHQAdQByAGkAbgBnACAAYgBlAGUAZgBcACIALAAgAFwAIgBWAEkAQwBcACIALAAgAFwAIgBrAGcAIABsAGkAdgBlAHcAZQBpAGcAaAB0AFwAIgAsACAAOAAuADEANwAsACAAXAAiAGEAdAAgAG0AYQByAGsAZQB0AFwAIgA7AFwAbgAgACAAIAAgACAAIAAgACAAXAAiAEEAbgBpAG0AYQBsAHMAXAAiACwAIABcACIAQgBlAGUAZgAgAGMAYQB0AHQAbABlAFwAIgAsACAAXAAiAEMAYQB0AHQAbABlACwAIABmAG8AcgAgAG0AYQBuAHUAZgBhAGMAdAB1AHIAaQBuAGcAIABiAGUAZQBmAFwAIgAsACAAXAAiAFcAQQBcACIALAAgAFwAIgBrAGcAIABsAGkAdgBlAHcAZQBpAGcAaAB0AFwAIgAsACAAMQAzAC4AMQAsACAAXAAiAGEAdAAgAG0AYQByAGsAZQB0AFwAIgA7AFwAbgAgACAAIAAgACAAIAAgACAAXAAiAEEAbgBpAG0AYQBsAHMAXAAiACwAIABcACIAQgBlAGUAZgAgAGMAYQB0AHQAbABlAFwAIgAsACAAXAAiAEMAYQB0AHQAbABlACwAIABmAG8AcgAgAHAAcgBpAG0AZQAgAGIAZQBlAGYAXAAiACwAIABcACIAQQB1AHMAdAByAGEAbABpAGEAXAAiACwAIABcACIAawBnACAAbABpAHYAZQB3AGUAaQBnAGgAdABcACIALAAgADEANAAuADUALAAgAFwAIgBhAHQAIABtAGEAcgBrAGUAdABcACIAOwBcAG4AIAAgACAAIAAgACAAIAAgAFwAIgBBAG4AaQBtAGEAbABzAFwAIgAsACAAXAAiAEIAZQBlAGYAIABjAGEAdAB0AGwAZQBcACIALAAgAFwAIgBDAGEAdAB0AGwAZQAsACAAZgBvAHIAIABwAHIAaQBtAGUAIABiAGUAZQBmAFwAIgAsACAAXAAiAE4AUwBXAFwAIgAsACAAXAAiAGsAZwAgAGwAaQB2AGUAdwBlAGkAZwBoAHQAXAAiACwAIAAxADEALgAzACwAIABcACIAYQB0ACAAbQBhAHIAawBlAHQAXAAiADsAXABuACAAIAAgACAAIAAgACAAIABcACIAQQBuAGkAbQBhAGwAcwBcACIALAAgAFwAIgBCAGUAZQBmACAAYwBhAHQAdABsAGUAXAAiACwAIABcACIAQwBhAHQAdABsAGUALAAgAGYAbwByACAAcAByAGkAbQBlACAAYgBlAGUAZgBcACIALAAgAFwAIgBOAFQAXAAiACwAIABcACIAawBnACAAbABpAHYAZQB3AGUAaQBnAGgAdABcACIALAAgADEAOAAuADkALAAgAFwAIgBhAHQAIABtAGEAcgBrAGUAdABcACIAOwBcAG4AIAAgACAAIAAgACAAIAAgAFwAIgBBAG4AaQBtAGEAbABzAFwAIgAsACAAXAAiAEIAZQBlAGYAIABjAGEAdAB0AGwAZQBcACIALAAgAFwAIgBDAGEAdAB0AGwAZQAsACAAZgBvAHIAIABwAHIAaQBtAGUAIABiAGUAZQBmAFwAIgAsACAAXAAiAFEATABEAFwAIgAsACAAXAAiAGsAZwAgAGwAaQB2AGUAdwBlAGkAZwBoAHQAXAAiACwAIAAxADMALgA5ACwAIABcACIAYQB0ACAAbQBhAHIAawBlAHQAXAAiADsAXABuACAAIAAgACAAIAAgACAAIABcACIAQQBuAGkAbQBhAGwAcwBcACIALAAgAFwAIgBCAGUAZQBmACAAYwBhAHQAdABsAGUAXAAiACwAIABcACIAQwBhAHQAdABsAGUALAAgAGYAbwByACAAcAByAGkAbQBlACAAYgBlAGUAZgBcACIALAAgAFwAIgBTAEEAXAAiACwAIABcACIAawBnACAAbABpAHYAZQB3AGUAaQBnAGgAdABcACIALAAgADEAMgAuADMALAAgAFwAIgBhAHQAIABtAGEAcgBrAGUAdABcACIAOwBcAG4AIAAgACAAIAAgACAAIAAgAFwAIgBBAG4AaQBtAGEAbABzAFwAIgAsACAAXAAiAEIAZQBlAGYAIABjAGEAdAB0AGwAZQBcACIALAAgAFwAIgBDAGEAdAB0AGwAZQAsACAAZgBvAHIAIABwAHIAaQBtAGUAIABiAGUAZQBmAFwAIgAsACAAXAAiAFQAQQBT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WAEkAQ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wBBAFwAIgAsACAAXAAiAGsAZwAgAGwAaQB2AGUAdwBlAGkAZwBoAHQAXAAiACwAIAAyADAALgA4ACwAIABcACIAYQB0ACAAbQBhAHIAawBlAHQAXAAiADsAXABuACAAIAAgACAAIAAgACAAIABcACIAQQBuAGkAbQBhAGwAcwBcACIALAAgAFwAIgBCAGUAZQBmACAAYwBhAHQAdABsAGUAXAAiACwAIABcACIAQwBhAHQAdABsAGUALAAgAHcAZQBhAG4AZQByAHMAXAAiACwAIABcACIAQQB1AHMAdAByAGEAbABpAGEAXAAiACwAIABcACIAawBnACAAbABpAHYAZQB3AGUAaQBnAGgAdABcACIALAAgADEANQAuADUALAAgAFwAIgBhAHQAIABtAGEAcgBrAGUAdABcACIAOwBcAG4AIAAgACAAIAAgACAAIAAgAFwAIgBBAG4AaQBtAGEAbABzAFwAIgAsACAAXAAiAEIAZQBlAGYAIABjAGEAdAB0AGwAZQBcACIALAAgAFwAIgBDAGEAdAB0AGwAZQAsACAAdwBlAGEAbgBlAHIAcwBcACIALAAgAFwAIgBOAFMAVwBcACIALAAgAFwAIgBrAGcAIABsAGkAdgBlAHcAZQBpAGcAaAB0AFwAIgAsACAAMQAyAC4ANwAsACAAXAAiAGEAdAAgAG0AYQByAGsAZQB0AFwAIgA7AFwAbgAgACAAIAAgACAAIAAgACAAXAAiAEEAbgBpAG0AYQBsAHMAXAAiACwAIABcACIAQgBlAGUAZgAgAGMAYQB0AHQAbABlAFwAIgAsACAAXAAiAEMAYQB0AHQAbABlACwAIAB3AGUAYQBuAGUAcgBzAFwAIgAsACAAXAAiAE4AVABcACIALAAgAFwAIgBrAGcAIABsAGkAdgBlAHcAZQBpAGcAaAB0AFwAIgAsACAAMQA5AC4AMQAsACAAXAAiAGEAdAAgAG0AYQByAGsAZQB0AFwAIgA7AFwAbgAgACAAIAAgACAAIAAgACAAXAAiAEEAbgBpAG0AYQBsAHMAXAAiACwAIABcACIAQgBlAGUAZgAgAGMAYQB0AHQAbABlAFwAIgAsACAAXAAiAEMAYQB0AHQAbABlACwAIAB3AGUAYQBuAGUAcgBzAFwAIgAsACAAXAAiAFEATABEAFwAIgAsACAAXAAiAGsAZwAgAGwAaQB2AGUAdwBlAGkAZwBoAHQAXAAiACwAIAAyADAALgA1ACwAIABcACIAYQB0ACAAbQBhAHIAawBlAHQAXAAiADsAXABuACAAIAAgACAAIAAgACAAIABcACIAQQBuAGkAbQBhAGwAcwBcACIALAAgAFwAIgBCAGUAZQBmACAAYwBhAHQAdABsAGUAXAAiACwAIABcACIAQwBhAHQAdABsAGUALAAgAHcAZQBhAG4AZQByAHMAXAAiACwAIABcACIAUwBBAFwAIgAsACAAXAAiAGsAZwAgAGwAaQB2AGUAdwBlAGkAZwBoAHQAXAAiACwAIAAxADAALgA4ACwAIABcACIAYQB0ACAAbQBhAHIAawBlAHQAXAAiADsAXABuACAAIAAgACAAIAAgACAAIABcACIAQQBuAGkAbQBhAGwAcwBcACIALAAgAFwAIgBCAGUAZQBmACAAYwBhAHQAdABsAGUAXAAiACwAIABcACIAQwBhAHQAdABsAGUALAAgAHcAZQBhAG4AZQByAHMAXAAiACwAIABcACIAVABBAFMAXAAiACwAIABcACIAawBnACAAbABpAHYAZQB3AGUAaQBnAGgAdABcACIALAAgADEAMwAuADQALAAgAFwAIgBhAHQAIABtAGEAcgBrAGUAdABcACIAOwBcAG4AIAAgACAAIAAgACAAIAAgAFwAIgBBAG4AaQBtAGEAbABzAFwAIgAsACAAXAAiAEIAZQBlAGYAIABjAGEAdAB0AGwAZQBcACIALAAgAFwAIgBDAGEAdAB0AGwAZQAsACAAdwBlAGEAbgBlAHIAcwBcACIALAAgAFwAIgBWAEkAQwBcACIALAAgAFwAIgBrAGcAIABsAGkAdgBlAHcAZQBpAGcAaAB0AFwAIgAsACAAMQAyACwAIABcACIAYQB0ACAAbQBhAHIAawBlAHQAXAAiADsAXABuACAAIAAgACAAIAAgACAAIABcACIAQQBuAGkAbQBhAGwAcwBcACIALAAgAFwAIgBCAGUAZQBmACAAYwBhAHQAdABsAGUAXAAiACwAIABcACIAQwBhAHQAdABsAGUALAAgAHcAZQBhAG4AZQByAHMAXAAiACwAIABcACIAVwBBAFwAIgAsACAAXAAiAGsAZwAgAGwAaQB2AGUAdwBlAGkAZwBoAHQAXAAiACwAIAAxADIALgA0ACwAIABcACIAYQB0ACAAbQBhAHIAawBlAHQAXAAiADsAXABuACAAIAAgACAAIAAgACAAIABcACIAQQBuAGkAbQBhAGwAcwBcACIALAAgAFwAIgBDAGgAaQBjAGsAZQBuAHMAXAAiACwAIABcACIAQwBoAGkAYwBrAGUAbgBzAFwAIgAsACAAXAAiAEEAdQBzAHQAcgBhAGwAaQBhAFwAIgAsACAAXAAiAGsAZwAgAGwAaQB2AGUAdwBlAGkAZwBoAHQAXAAiACwAIAAxAC4AMwA2ACwAIABcACIAYQB0ACAAbQBhAHIAawBlAHQAXAAiADsAXABuACAAIAAgACAAIAAgACAAIABcACIAQQBuAGkAbQBhAGwAcwBcACIALAAgAFwAIgBEAGEAaQByAHkAIABjAGEAdAB0AGwAZQBcACIALAAgAFwAIgBEAGEAaQByAHkAIABjAG8AdwBzAFwAIgAsACAAXAAiAFYASQBDAFwAIgAsACAAXAAiAGsAZwAgAGwAaQB2AGUAdwBlAGkAZwBoAHQAXAAiACwAIAA0AC4ANAAxACwAIABcACIAYQB0ACAAbQBhAHIAawBlAHQAXAAiADsAXABuACAAIAAgACAAIAAgACAAIABcACIAQQBuAGkAbQBhAGwAcwBcACIALAAgAFwAIgBQAGkAZwBzAFwAIgAsACAAXAAiAFAAaQBnAHMAXAAiACwAIABcACIAQQB1AHMAdAByAGEAbABpAGEAXAAiACwAIABcACIAawBnACAAbABpAHYAZQB3AGUAaQBnAGgAdABcACIALAAgADMALgAzADgALAAgAFwAIgBhAHQAIABtAGEAcgBrAGUAdABcACIAOwBcAG4AIAAgACAAIAAgACAAIAAgAFwAIgBBAG4AaQBtAGEAbABzAFwAIgAsACAAXAAiAFMAaABlAGUAcABcACIALAAgAFwAIgBTAGgAZQBlAHAALAAgAGYAbwByACAAbQB1AHQAdABvAG4AXAAiACwAIABcACIAQQB1AHMAdAByAGEAbABpAGEAXAAiACwAIABcACIAawBnACAAbABpAHYAZQB3AGUAaQBnAGgAdABcACIALAAgADYALgA4ADEALAAgAFwAIgBhAHQAIABtAGEAcgBrAGUAdABcACIAOwBcAG4AIAAgACAAIAAgACAAIAAgAFwAIgBBAG4AaQBtAGEAbABzAFwAIgAsACAAXAAiAFMAaABlAGUAcABcACIALAAgAFwAIgBTAGgAZQBlAHAALAAgAGYAbwByACAAbQB1AHQAdABvAG4AXAAiACwAIABcACIATgBTAFcAXAAiACwAIABcACIAawBnACAAbABpAHYAZQB3AGUAaQBnAGgAdABcACIALAAgADIALgAyADYALAAgAFwAIgBhAHQAIABtAGEAcgBrAGUAdABcACIAOwBcAG4AIAAgACAAIAAgACAAIAAgAFwAIgBBAG4AaQBtAGEAbABzAFwAIgAsACAAXAAiAFMAaABlAGUAcABcACIALAAgAFwAIgBTAGgAZQBlAHAALAAgAGYAbwByACAAbQB1AHQAdABvAG4AXAAiACwAIABcACIAUQBMAEQAXAAiACwAIABcACIAawBnACAAbABpAHYAZQB3AGUAaQBnAGgAdABcACIALAAgADYALgAzADMALAAgAFwAIgBhAHQAIABtAGEAcgBrAGUAdABcACIAOwBcAG4AIAAgACAAIAAgACAAIAAgAFwAIgBBAG4AaQBtAGEAbABzAFwAIgAsACAAXAAiAFMAaABlAGUAcABcACIALAAgAFwAIgBTAGgAZQBlAHAALAAgAGYAbwByACAAbQB1AHQAdABvAG4AXAAiACwAIABcACIAUwBBAFwAIgAsACAAXAAiAGsAZwAgAGwAaQB2AGUAdwBlAGkAZwBoAHQAXAAiACwAIAA2AC4AMQA4ACwAIABcACIAYQB0ACAAbQBhAHIAawBlAHQAXAAiADsAXABuACAAIAAgACAAIAAgACAAIABcACIAQQBuAGkAbQBhAGwAcwBcACIALAAgAFwAIgBTAGgAZQBlAHAAXAAiACwAIABcACIAUwBoAGUAZQBwACwAIABmAG8AcgAgAG0AdQB0AHQAbwBuAFwAIgAsACAAXAAiAFQAQQBTAFwAIgAsACAAXAAiAGsAZwAgAGwAaQB2AGUAdwBlAGkAZwBoAHQAXAAiACwAIAA3AC4ANQAsACAAXAAiAGEAdAAgAG0AYQByAGsAZQB0AFwAIgA7AFwAbgAgACAAIAAgACAAIAAgACAAXAAiAEEAbgBpAG0AYQBsAHMAXAAiACwAIABcACIAUwBoAGUAZQBwAFwAIgAsACAAXAAiAFMAaABlAGUAcAAsACAAZgBvAHIAIABtAHUAdAB0AG8AbgBcACIALAAgAFwAIgBWAEkAQwBcACIALAAgAFwAIgBrAGcAIABsAGkAdgBlAHcAZQBpAGcAaAB0AFwAIgAsACAAOAAuADAAOAAsACAAXAAiAGEAdAAgAG0AYQByAGsAZQB0AFwAIgA7AFwAbgAgACAAIAAgACAAIAAgACAAXAAiAEEAbgBpAG0AYQBsAHMAXAAiACwAIABcACIAUwBoAGUAZQBwAFwAIgAsACAAXAAiAFMAaABlAGUAcAAsACAAZgBvAHIAIABtAHUAdAB0AG8AbgBcACIALAAgAFwAIgBXAEEAXAAiACwAIABcACIAawBnACAAbABpAHYAZQB3AGUAaQBnAGgAdABcACIALAAgADUALgA0ADUALAAgAFwAIgBhAHQAIABtAGEAcgBrAGUAdABcACIAOwBcAG4AIAAgACAAIAAgACAAIAAgAFwAIgBBAG4AaQBtAGEAbABzAFwAIgAsACAAXAAiAFMAaABlAGUAcABcACIALAAgAFwAIgBTAGgAZQBlAHAALAAgAGYAbwByACAAcAByAGkAbQBlACAAbABhAG0AYgBcACIALAAgAFwAIgBBAHUAcwB0AHIAYQBsAGkAYQBcACIALAAgAFwAIgBrAGcAIABsAGkAdgBlAHcAZQBpAGcAaAB0AFwAIgAsACAANwAuADEANQAsACAAXAAiAGEAdAAgAG0AYQByAGsAZQB0AFwAIgA7AFwAbgAgACAAIAAgACAAIAAgACAAXAAiAEEAbgBpAG0AYQBsAHMAXAAiACwAIABcACIAUwBoAGUAZQBwAFwAIgAsACAAXAAiAFMAaABlAGUAcAAsACAAZgBvAHIAIABwAHIAaQBtAGUAIABsAGEAbQBiAFwAIgAsACAAXAAiAE4AUwBXAFwAIgAsACAAXAAiAGsAZwAgAGwAaQB2AGUAdwBlAGkAZwBoAHQAXAAiACwAIAA4AC4AMgA5ACwAIABcACIAYQB0ACAAbQBhAHIAawBlAHQAXAAiADsAXABuACAAIAAgACAAIAAgACAAIABcACIAQQBuAGkAbQBhAGwAcwBcACIALAAgAFwAIgBTAGgAZQBlAHAAXAAiACwAIABcACIAUwBoAGUAZQBwACwAIABmAG8AcgAgAHAAcgBpAG0AZQAgAGwAYQBtAGIAXAAiACwAIABcACIAUQBMAEQAXAAiACwAIABcACIAawBnACAAbABpAHYAZQB3AGUAaQBnAGgAdABcACIALAAgADYALgAzADkALAAgAFwAIgBhAHQAIABtAGEAcgBrAGUAdABcACIAOwBcAG4AIAAgACAAIAAgACAAIAAgAFwAIgBBAG4AaQBtAGEAbABzAFwAIgAsACAAXAAiAFMAaABlAGUAcABcACIALAAgAFwAIgBTAGgAZQBlAHAALAAgAGYAbwByACAAcAByAGkAbQBlACAAbABhAG0AYgBcACIALAAgAFwAIgBTAEEAXAAiACwAIABcACIAawBnACAAbABpAHYAZQB3AGUAaQBnAGgAdABcACIALAAgADYALgA4ADcALAAgAFwAIgBhAHQAIABtAGEAcgBrAGUAdABcACIAOwBcAG4AIAAgACAAIAAgACAAIAAgAFwAIgBBAG4AaQBtAGEAbABzAFwAIgAsACAAXAAiAFMAaABlAGUAcABcACIALAAgAFwAIgBTAGgAZQBlAHAALAAgAGYAbwByACAAcAByAGkAbQBlACAAbABhAG0AYgBcACIALAAgAFwAIgBUAEEAUwBcACIALAAgAFwAIgBrAGcAIABsAGkAdgBlAHcAZQBpAGcAaAB0AFwAIgAsACAAOAAuADYANgAsACAAXAAiAGEAdAAgAG0AYQByAGsAZQB0AFwAIgA7AFwAbgAgACAAIAAgACAAIAAgACAAXAAiAEEAbgBpAG0AYQBsAHMAXAAiACwAIABcACIAUwBoAGUAZQBwAFwAIgAsACAAXAAiAFMAaABlAGUAcAAsACAAZgBvAHIAIABwAHIAaQBtAGUAIABsAGEAbQBiAFwAIgAsACAAXAAiAFYASQBDAFwAIgAsACAAXAAiAGsAZwAgAGwAaQB2AGUAdwBlAGkAZwBoAHQAXAAiACwAIAAxADAALAAgAFwAIgBhAHQAIABtAGEAcgBrAGUAdABcACIAOwBcAG4AIAAgACAAIAAgACAAIAAgAFwAIgBBAG4AaQBtAGEAbABzAFwAIgAsACAAXAAiAFMAaABlAGUAcABcACIALAAgAFwAIgBTAGgAZQBlAHAALAAgAGYAbwByACAAcAByAGkAbQBlACAAbABhAG0AYgBcACIALAAgAFwAIgBXAEEAXAAiACwAIABcACIAawBnACAAbABpAHYAZQB3AGUAaQBnAGgAdABcACIALAAgADUALgA2ADc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MAaABlAG0AaQBjAGEAbABzAFwAbgA9AD0APQA9AD0APQA9AD0APQA9AD0APQA9AD0APQA9AD0APQA9AD0APQA9AD0APQA9AD0APQA9AD0APQA9AD0APQA9AD0APQA9AD0APQA9AD0APQA9AD0APQA9AD0APQA9AD0APQA9AD0APQA9AD0APQA9AD0APQA9AD0APQA9AD0APQA9AD0APQA9AD0APQA9AD0APQA9AFwAbgAqAC8AXABuAFwAbgBTAGMAbwBwAGUAMwBfAEMAaABlAG0AaQBjAGEAbABzAF8AVABpAHQAbABlAFwAbgA9AEwAQQBNAEIARABBACgAKABcACIAQwBoAGUAbQBpAGMAYQBsAHMAIABzAGMAbwBwAGUAIAAzAFwAIgApACkAOwBcAG4AXABuAFMAYwBvAHAAZQAzAF8AQwBoAGUAbQBpAGMAYQBs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DAGgAZQBtAGkAYwBhAGwAcwBfAFYAYQByAGkAYQB0AGkAbwBuAFwAbgA9AEwAQQBNAEIARABBACgAKABcACIAXAAiACkAKQA7AFwAbgBcAG4AUwBjAG8AcABlADMAXwBDAGgAZQBtAGkAYwBhAGwAcwBfAEQAYQB0AGEAXABuAD0ATABBAE0AQgBEAEEAKABcAG4AIAAgAE0AQQBLAEUAQQBSAFIAQQBZACg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MAaABlAG0AaQBjAGEAbABzAFwAIgAsACAAXAAiAEMAbABlAGEAbgBpAG4AZwAgAGMAaABlAG0AaQBjAGEAbABzAFwAIgAsACAAXAAiAEEAbABrAGEAbABpAG4AZQAgAGMAbABlAGEAbgBlAHIAXAAiACwAIABcACIARwBsAG8AYgBhAGwAXAAiACwAIABcACIAawBnAFwAIgAsACAAMAAuADcAMgAyACwAIABcACIAYQB0ACAAbQBhAG4AdQBmAGEAYwB0AHUAcgBlAHIAXAAiADsAXABuACAAIAAgACAAIAAgACAAIABcACIAQwBoAGUAbQBpAGMAYQBsAHMAXAAiACwAIABcACIAQwBsAGUAYQBuAGkAbgBnACAAYwBoAGUAbQBpAGMAYQBsAHMAXAAiACwAIABcACIAQgBsAGUAYQBjAGgAXAAiACwAIABcACIARwBsAG8AYgBhAGwAXAAiACwAIABcACIAawBnAFwAIgAsACAAMAAuADgAMAA0ACwAIABcACIAYQB0ACAAbQBhAG4AdQBmAGEAYwB0AHUAcgBlAHIAXAAiADsAXABuACAAIAAgACAAIAAgACAAIABcACIAQwBoAGUAbQBpAGMAYQBsAHMAXAAiACwAIABcACIAQwBsAGUAYQBuAGkAbgBnACAAYwBoAGUAbQBpAGMAYQBsAHMAXAAiACwAIABcACIAUABoAG8AcwBwAGgAbwByAGkAYwAgAGEAYwBpAGQAXAAiACwAIABcACIARwBsAG8AYgBhAGwAXAAiACwAIABcACIAawBnAFwAIgAsACAAMAAuADkAMAA3ACwAIABcACIAYQB0ACAAbQBhAG4AdQBmAGEAYwB0AHUAcgBlAHIAXAAiADsAXABuACAAIAAgACAAIAAgACAAIABcACIAQwBoAGUAbQBpAGMAYQBsAHMAXAAiACwAIABcACIAUABoAGEAcgBtAGEAYwB5ACAAYwBoAGUAbQBpAGMAYQBsAHMAXAAiACwAIABcACIAUABhAHIAYQBzAGkAdABlACAAYwBvAG4AdAByAG8AbAAgAGYAbwByACAAYwBhAHQAdABsAGUAIAAoAGUAeAB0AGUAcgBuAGEAbAApACwAIABkAGkAcABwAGkAbgBnAFwAIgAsACAAXAAiAEcAbABvAGIAYQBsAFwAIgAsACAAXAAiAHAAIAAoAGgAZQBhAGQAKQBcACIALAAgADAALgAwADUANAA3ACwAIABcACIAYQB0ACAAbQBhAG4AdQBmAGEAYwB0AHUAcgBlAHIAXAAiADsAXABuACAAIAAgACAAIAAgACAAIABcACIAQwBoAGUAbQBpAGMAYQBsAHMAXAAiACwAIABcACIAUABoAGEAcgBtAGEAYwB5ACAAYwBoAGUAbQBpAGMAYQBsAHMAXAAiACwAIABcACIAUABhAHIAYQBzAGkAdABlACAAYwBvAG4AdAByAG8AbAAgAGYAbwByACAAYwBhAHQAdABsAGUAIAAoAGkAbgB0AGUAcgBuAGEAbAApAFwAIgAsACAAXAAiAEcAbABvAGIAYQBsAFwAIgAsACAAXAAiAHAAIAAoAGgAZQBhAGQAKQBcACIALAAgADAALgAwADEANAAyACwAIABcACIAYQB0ACAAbQBhAG4AdQBmAGEAYwB0AHUAcgBlAHIAXAAiADsAXABuACAAIAAgACAAIAAgACAAIABcACIAQwBoAGUAbQBpAGMAYQBsAHMAXAAiACwAIABcACIAUABoAGEAcgBtAGEAYwB5ACAAYwBoAGUAbQBpAGMAYQBsAHMAXAAiACwAIABcACIAUABhAHIAYQBzAGkAdABlACAAYwBvAG4AdAByAG8AbAAgAGYAbwByACAAcwBoAGUAZQBwACAAKABlAHgAdABlAHIAbgBhAGwAKQBcACIALAAgAFwAIgBHAGwAbwBiAGEAbABcACIALAAgAFwAIgBwACAAKABoAGUAYQBkACkAXAAiACwAIAAwAC4AMAAxADQAMwAsACAAXAAiAGEAdAAgAG0AYQBuAHUAZgBhAGMAdAB1AHIAZQByAFwAIgA7AFwAbgAgACAAIAAgACAAIAAgACAAXAAiAEMAaABlAG0AaQBjAGEAbABzAFwAIgAsACAAXAAiAFAAaABhAHIAbQBhAGMAeQAgAGMAaABlAG0AaQBjAGEAbABzAFwAIgAsACAAXAAiAFAAYQByAGEAcwBpAHQAZQAgAGMAbwBuAHQAcgBvAGwAIABmAG8AcgAgAHMAaABlAGUAcAAgACgAaQBuAHQAZQByAG4AYQBsACkAXAAiACwAIABcACIARwBsAG8AYgBhAGwAXAAiACwAIABcACIAcAAgACgAaABlAGEAZAApAFwAIgAsACAAMAAuADAAMAA0ADIAN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lAGUAZABcAG4APQA9AD0APQA9AD0APQA9AD0APQA9AD0APQA9AD0APQA9AD0APQA9AD0APQA9AD0APQA9AD0APQA9AD0APQA9AD0APQA9AD0APQA9AD0APQA9AD0APQA9AD0APQA9AD0APQA9AD0APQA9AD0APQA9AD0APQA9AD0APQA9AD0APQA9AD0APQA9AD0APQA9AD0APQA9AD0APQBcAG4AKgAvAFwAbgBcAG4AUwBjAG8AcABlADMAXwBGAGUAZQBkAF8AVABpAHQAbABlAFwAbgA9AEwAQQBNAEIARABBACgAKABcACIARgBlAGUAZAAgAHMAYwBvAHAAZQAgADMAXAAiACkAKQA7AFwAbgBcAG4AUwBjAG8AcABlADMAXwBGAGUAZQBk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RgBlAGUAZABfAFYAYQByAGkAYQB0AGkAbwBuAFwAbgA9AEwAQQBNAEIARABBACgAKABcACIAXAAiACkAKQA7AFwAbgBcAG4AUwBjAG8AcABlADMAXwBGAGUAZQBkAF8ARABhAHQAYQBcAG4APQBMAEEATQBCAEQAQQAoAFwAbgAgACAATQBBAEsARQBBAFIAUgBBAFkAKAA3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ZQBkAFwAIgAsACAAXAAiAEEAcQB1AGEAYwB1AGwAdAB1AHIAZQAgAGYAZQBlAGQAXAAiACwAIABcACIAUwBhAHIAZABpAG4AZQBzACAAKAB3AGgAbwBsAGUAKQBcACIALAAgAFwAIgBTAEEAXAAiACwAIABcACIAawBnAFwAIgAsACAAMAAuADMANwA2ACwAIABcACIAYQB0ACAAbQBhAHIAawBlAHQAXAAiADsAXABuACAAIAAgACAAIAAgACAAIABcACIARgBlAGUAZABcACIALAAgAFwAIgBHAHIAYQBpAG4AXAAiACwAIABcACIAQgBhAHIAbABlAHkAIABnAHIAYQBpAG4AXAAiACwAIABcACIAQQB1AHMAdAByAGEAbABpAGEAXAAiACwAIABcACIAawBnAFwAIgAsACAAMAAuADIAMwA5ACwAIABcACIAYQB0ACAAbQBhAHIAawBlAHQAXAAiADsAXABuACAAIAAgACAAIAAgACAAIABcACIARgBlAGUAZABcACIALAAgAFwAIgBHAHIAYQBpAG4AXAAiACwAIABcACIAQgBhAHIAbABlAHkAIABnAHIAYQBpAG4AXAAiACwAIABcACIATgBTAFcAXAAiACwAIABcACIAawBnAFwAIgAsACAAMAAuADIANQA2ACwAIABcACIAYQB0ACAAbQBhAHIAawBlAHQAXAAiADsAXABuACAAIAAgACAAIAAgACAAIABcACIARgBlAGUAZABcACIALAAgAFwAIgBHAHIAYQBpAG4AXAAiACwAIABcACIAQgBhAHIAbABlAHkAIABnAHIAYQBpAG4AXAAiACwAIABcACIATgBUAFwAIgAsACAAXAAiAGsAZwBcACIALAAgADAALgAzADMAMgAsACAAXAAiAGEAdAAgAG0AYQByAGsAZQB0AFwAIgA7AFwAbgAgACAAIAAgACAAIAAgACAAXAAiAEYAZQBlAGQAXAAiACwAIABcACIARwByAGEAaQBuAFwAIgAsACAAXAAiAEIAYQByAGwAZQB5ACAAZwByAGEAaQBuAFwAIgAsACAAXAAiAFEATABEAFwAIgAsACAAXAAiAGsAZwBcACIALAAgADAALgAyADYAOQAsACAAXAAiAGEAdAAgAG0AYQByAGsAZQB0AFwAIgA7AFwAbgAgACAAIAAgACAAIAAgACAAXAAiAEYAZQBlAGQAXAAiACwAIABcACIARwByAGEAaQBuAFwAIgAsACAAXAAiAEIAYQByAGwAZQB5ACAAZwByAGEAaQBuAFwAIgAsACAAXAAiAFMAQQBcACIALAAgAFwAIgBrAGcAXAAiACwAIAAwAC4AMgAyADMALAAgAFwAIgBhAHQAIABtAGEAcgBrAGUAdABcACIAOwBcAG4AIAAgACAAIAAgACAAIAAgAFwAIgBGAGUAZQBkAFwAIgAsACAAXAAiAEcAcgBhAGkAbgBcACIALAAgAFwAIgBCAGEAcgBsAGUAeQAgAGcAcgBhAGkAbgBcACIALAAgAFwAIgBUAEEAUwBcACIALAAgAFwAIgBrAGcAXAAiACwAIAAwAC4AMwAwADcALAAgAFwAIgBhAHQAIABtAGEAcgBrAGUAdABcACIAOwBcAG4AIAAgACAAIAAgACAAIAAgAFwAIgBGAGUAZQBkAFwAIgAsACAAXAAiAEcAcgBhAGkAbgBcACIALAAgAFwAIgBCAGEAcgBsAGUAeQAgAGcAcgBhAGkAbgBcACIALAAgAFwAIgBWAEkAQwBcACIALAAgAFwAIgBrAGcAXAAiACwAIAAwAC4AMgA0ADEALAAgAFwAIgBhAHQAIABtAGEAcgBrAGUAdABcACIAOwBcAG4AIAAgACAAIAAgACAAIAAgAFwAIgBGAGUAZQBkAFwAIgAsACAAXAAiAEcAcgBhAGkAbgBcACIALAAgAFwAIgBCAGEAcgBsAGUAeQAgAGcAcgBhAGkAbgBcACIALAAgAFwAIgBXAEEAXAAiACwAIABcACIAawBnAFwAIgAsACAAMAAuADIAMwA2ACwAIABcACIAYQB0ACAAbQBhAHIAawBlAHQAXAAiADsAXABuACAAIAAgACAAIAAgACAAIABcACIARgBlAGUAZABcACIALAAgAFwAIgBHAHIAYQBpAG4AXAAiACwAIABcACIATQBhAGkAegBlACAAZwByAGEAaQBuAFwAIgAsACAAXAAiAEEAdQBzAHQAcgBhAGwAaQBhAFwAIgAsACAAXAAiAGsAZwBcACIALAAgADAALgAxADgAMQAsACAAXAAiAGEAdAAgAG0AYQByAGsAZQB0AFwAIgA7AFwAbgAgACAAIAAgACAAIAAgACAAXAAiAEYAZQBlAGQAXAAiACwAIABcACIARwByAGEAaQBuAFwAIgAsACAAXAAiAE0AYQBpAHoAZQAgAGcAcgBhAGkAbgBcACIALAAgAFwAIgBOAFMAVwBcACIALAAgAFwAIgBrAGcAXAAiACwAIAAwAC4AMQA2ADkALAAgAFwAIgBhAHQAIABtAGEAcgBrAGUAdABcACIAOwBcAG4AIAAgACAAIAAgACAAIAAgAFwAIgBGAGUAZQBkAFwAIgAsACAAXAAiAEcAcgBhAGkAbgBcACIALAAgAFwAIgBNAGEAaQB6AGUAIABnAHIAYQBpAG4AXAAiACwAIABcACIATgBUAFwAIgAsACAAXAAiAGsAZwBcACIALAAgADAALgAyADUANgAsACAAXAAiAGEAdAAgAG0AYQByAGsAZQB0AFwAIgA7AFwAbgAgACAAIAAgACAAIAAgACAAXAAiAEYAZQBlAGQAXAAiACwAIABcACIARwByAGEAaQBuAFwAIgAsACAAXAAiAE0AYQBpAHoAZQAgAGcAcgBhAGkAbgBcACIALAAgAFwAIgBRAEwARABcACIALAAgAFwAIgBrAGcAXAAiACwAIAAwAC4AMQA4ADYALAAgAFwAIgBhAHQAIABtAGEAcgBrAGUAdABcACIAOwBcAG4AIAAgACAAIAAgACAAIAAgAFwAIgBGAGUAZQBkAFwAIgAsACAAXAAiAEcAcgBhAGkAbgBcACIALAAgAFwAIgBNAGEAaQB6AGUAIABnAHIAYQBpAG4AXAAiACwAIABcACIAUwBBAFwAIgAsACAAXAAiAGsAZwBcACIALAAgADAALgAxADcANgAsACAAXAAiAGEAdAAgAG0AYQByAGsAZQB0AFwAIgA7AFwAbgAgACAAIAAgACAAIAAgACAAXAAiAEYAZQBlAGQAXAAiACwAIABcACIARwByAGEAaQBuAFwAIgAsACAAXAAiAE0AYQBpAHoAZQAgAGcAcgBhAGkAbgBcACIALAAgAFwAIgBWAEkAQwBcACIALAAgAFwAIgBrAGcAXAAiACwAIAAwAC4AMQA1ADkALAAgAFwAIgBhAHQAIABtAGEAcgBrAGUAdABcACIAOwBcAG4AIAAgACAAIAAgACAAIAAgAFwAIgBGAGUAZQBkAFwAIgAsACAAXAAiAEcAcgBhAGkAbgBcACIALAAgAFwAIgBNAGEAaQB6AGUAIABnAHIAYQBpAG4AXAAiACwAIABcACIAVwBBAFwAIgAsACAAXAAiAGsAZwBcACIALAAgADAALgAyADgANQAsACAAXAAiAGEAdAAgAG0AYQByAGsAZQB0AFwAIgA7AFwAbgAgACAAIAAgACAAIAAgACAAXAAiAEYAZQBlAGQAXAAiACwAIABcACIARwByAGEAaQBuAFwAIgAsACAAXAAiAFMAbwByAGcAaAB1AG0AIABnAHIAYQBpAG4AXAAiACwAIABcACIAQQB1AHMAdAByAGEAbABpAGEAXAAiACwAIABcACIAawBnAFwAIgAsACAAMAAuADIAMwAyACwAIABcACIAYQB0ACAAbQBhAHIAawBlAHQAXAAiADsAXABuACAAIAAgACAAIAAgACAAIABcACIARgBlAGUAZABcACIALAAgAFwAIgBHAHIAYQBpAG4AXAAiACwAIABcACIAUwBvAHIAZwBoAHUAbQAgAGcAcgBhAGkAbgBcACIALAAgAFwAIgBOAFMAVwBcACIALAAgAFwAIgBrAGcAXAAiACwAIAAwAC4AMgAzADIALAAgAFwAIgBhAHQAIABtAGEAcgBrAGUAdABcACIAOwBcAG4AIAAgACAAIAAgACAAIAAgAFwAIgBGAGUAZQBkAFwAIgAsACAAXAAiAEcAcgBhAGkAbgBcACIALAAgAFwAIgBTAG8AcgBnAGgAdQBtACAAZwByAGEAaQBuAFwAIgAsACAAXAAiAFEATABEAFwAIgAsACAAXAAiAGsAZwBcACIALAAgADAALgAyADMAMQAsACAAXAAiAGEAdAAgAG0AYQByAGsAZQB0AFwAIgA7AFwAbgAgACAAIAAgACAAIAAgACAAXAAiAEYAZQBlAGQAXAAiACwAIABcACIARwByAGEAaQBuAFwAIgAsACAAXAAiAFMAbwByAGcAaAB1AG0AIABnAHIAYQBpAG4AXAAiACwAIABcACIAUwBBAFwAIgAsACAAXAAiAGsAZwBcACIALAAgADAALgAyADEAOAAsACAAXAAiAGEAdAAgAG0AYQByAGsAZQB0AFwAIgA7AFwAbgAgACAAIAAgACAAIAAgACAAXAAiAEYAZQBlAGQAXAAiACwAIABcACIARwByAGEAaQBuAFwAIgAsACAAXAAiAFMAbwByAGcAaAB1AG0AIABnAHIAYQBpAG4AXAAiACwAIABcACIAVgBJAEMAXAAiACwAIABcACIAawBnAFwAIgAsACAAMAAuADIANAA2ACwAIABcACIAYQB0ACAAbQBhAHIAawBlAHQAXAAiADsAXABuACAAIAAgACAAIAAgACAAIABcACIARgBlAGUAZABcACIALAAgAFwAIgBHAHIAYQBpAG4AXAAiACwAIABcACIAVwBoAGUAYQB0ACAAZwByAGEAaQBuAFwAIgAsACAAXAAiAEEAdQBzAHQAcgBhAGwAaQBhAFwAIgAsACAAXAAiAGsAZwBcACIALAAgADAALgAyADYAOAAsACAAXAAiAGEAdAAgAG0AYQByAGsAZQB0AFwAIgA7AFwAbgAgACAAIAAgACAAIAAgACAAXAAiAEYAZQBlAGQAXAAiACwAIABcACIARwByAGEAaQBuAFwAIgAsACAAXAAiAFcAaABlAGEAdAAgAGcAcgBhAGkAbgBcACIALAAgAFwAIgBOAFMAVwBcACIALAAgAFwAIgBrAGcAXAAiACwAIAAwAC4AMgA4ADIALAAgAFwAIgBhAHQAIABtAGEAcgBrAGUAdABcACIAOwBcAG4AIAAgACAAIAAgACAAIAAgAFwAIgBGAGUAZQBkAFwAIgAsACAAXAAiAEcAcgBhAGkAbgBcACIALAAgAFwAIgBXAGgAZQBhAHQAIABnAHIAYQBpAG4AXAAiACwAIABcACIATgBUAFwAIgAsACAAXAAiAGsAZwBcACIALAAgADAALgAzADgANQAsACAAXAAiAGEAdAAgAG0AYQByAGsAZQB0AFwAIgA7AFwAbgAgACAAIAAgACAAIAAgACAAXAAiAEYAZQBlAGQAXAAiACwAIABcACIARwByAGEAaQBuAFwAIgAsACAAXAAiAFcAaABlAGEAdAAgAGcAcgBhAGkAbgBcACIALAAgAFwAIgBRAEwARABcACIALAAgAFwAIgBrAGcAXAAiACwAIAAwAC4AMgA5ADYALAAgAFwAIgBhAHQAIABtAGEAcgBrAGUAdABcACIAOwBcAG4AIAAgACAAIAAgACAAIAAgAFwAIgBGAGUAZQBkAFwAIgAsACAAXAAiAEcAcgBhAGkAbgBcACIALAAgAFwAIgBXAGgAZQBhAHQAIABnAHIAYQBpAG4AXAAiACwAIABcACIAUwBBAFwAIgAsACAAXAAiAGsAZwBcACIALAAgADAALgAyADQAMQAsACAAXAAiAGEAdAAgAG0AYQByAGsAZQB0AFwAIgA7AFwAbgAgACAAIAAgACAAIAAgACAAXAAiAEYAZQBlAGQAXAAiACwAIABcACIARwByAGEAaQBuAFwAIgAsACAAXAAiAFcAaABlAGEAdAAgAGcAcgBhAGkAbgBcACIALAAgAFwAIgBUAEEAUwBcACIALAAgAFwAIgBrAGcAXAAiACwAIAAwAC4AMwAzADgALAAgAFwAIgBhAHQAIABtAGEAcgBrAGUAdABcACIAOwBcAG4AIAAgACAAIAAgACAAIAAgAFwAIgBGAGUAZQBkAFwAIgAsACAAXAAiAEcAcgBhAGkAbgBcACIALAAgAFwAIgBXAGgAZQBhAHQAIABnAHIAYQBpAG4AXAAiACwAIABcACIAVgBJAEMAXAAiACwAIABcACIAawBnAFwAIgAsACAAMAAuADIANgA2ACwAIABcACIAYQB0ACAAbQBhAHIAawBlAHQAXAAiADsAXABuACAAIAAgACAAIAAgACAAIABcACIARgBlAGUAZABcACIALAAgAFwAIgBHAHIAYQBpAG4AXAAiACwAIABcACIAVwBoAGUAYQB0ACAAZwByAGEAaQBuAFwAIgAsACAAXAAiAFcAQQBcACIALAAgAFwAIgBrAGcAXAAiACwAIAAwAC4AMgA2ADEALAAgAFwAIgBhAHQAIABtAGEAcgBrAGUAdABcACIAOwBcAG4AIAAgACAAIAAgACAAIAAgAFwAIgBGAGUAZQBkAFwAIgAsACAAXAAiAEgAYQB5AFwAIgAsACAAXAAiAEMAZQByAGUAYQBsACAAaABhAHkAXAAiACwAIABcACIAQQB1AHMAdAByAGEAbABpAGEAXAAiACwAIABcACIAawBnAFwAIgAsACAAMAAuADEAMQA3ACwAIABcACIAYQB0ACAAbQBhAHIAawBlAHQAXAAiADsAXABuACAAIAAgACAAIAAgACAAIABcACIARgBlAGUAZABcACIALAAgAFwAIgBIAGEAeQBcACIALAAgAFwAIgBDAGUAcgBlAGEAbAAgAGgAYQB5AFwAIgAsACAAXAAiAE4AUwBXAFwAIgAsACAAXAAiAGsAZwBcACIALAAgADAALgAxADEANgAsACAAXAAiAGEAdAAgAG0AYQByAGsAZQB0AFwAIgA7AFwAbgAgACAAIAAgACAAIAAgACAAXAAiAEYAZQBlAGQAXAAiACwAIABcACIASABhAHkAXAAiACwAIABcACIAQwBlAHIAZQBhAGwAIABoAGEAeQBcACIALAAgAFwAIgBRAEwARABcACIALAAgAFwAIgBrAGcAXAAiACwAIAAwAC4AMQAxADgALAAgAFwAIgBhAHQAIABtAGEAcgBrAGUAdABcACIAOwBcAG4AIAAgACAAIAAgACAAIAAgAFwAIgBGAGUAZQBkAFwAIgAsACAAXAAiAEgAYQB5AFwAIgAsACAAXAAiAEMAZQByAGUAYQBsACAAaABhAHkAXAAiACwAIABcACIAUwBBAFwAIgAsACAAXAAiAGsAZwBcACIALAAgADAALgAxADEAMQAsACAAXAAiAGEAdAAgAG0AYQByAGsAZQB0AFwAIgA7AFwAbgAgACAAIAAgACAAIAAgACAAXAAiAEYAZQBlAGQAXAAiACwAIABcACIASABhAHkAXAAiACwAIABcACIAQwBlAHIAZQBhAGwAIABoAGEAeQBcACIALAAgAFwAIgBUAEEAUwBcACIALAAgAFwAIgBrAGcAXAAiACwAIAAwAC4AMQAzADkALAAgAFwAIgBhAHQAIABtAGEAcgBrAGUAdABcACIAOwBcAG4AIAAgACAAIAAgACAAIAAgAFwAIgBGAGUAZQBkAFwAIgAsACAAXAAiAEgAYQB5AFwAIgAsACAAXAAiAEMAZQByAGUAYQBsACAAaABhAHkAXAAiACwAIABcACIAVgBJAEMAXAAiACwAIABcACIAawBnAFwAIgAsACAAMAAuADEAMQA2ACwAIABcACIAYQB0ACAAbQBhAHIAawBlAHQAXAAiADsAXABuACAAIAAgACAAIAAgACAAIABcACIARgBlAGUAZABcACIALAAgAFwAIgBIAGEAeQBcACIALAAgAFwAIgBDAGUAcgBlAGEAbAAgAGgAYQB5AFwAIgAsACAAXAAiAFcAQQBcACIALAAgAFwAIgBrAGcAXAAiACwAIAAwAC4AMQAyADIALAAgAFwAIgBhAHQAIABtAGEAcgBrAGUAdABcACIAOwBcAG4AIAAgACAAIAAgACAAIAAgAFwAIgBGAGUAZQBkAFwAIgAsACAAXAAiAEgAYQB5AFwAIgAsACAAXAAiAEMAZQByAGUAYQBsACAAcwBpAGwAYQBnAGUAXAAiACwAIABcACIAQQB1AHMAdAByAGEAbABpAGEAXAAiACwAIABcACIAawBnAFwAIgAsACAAMAAuADAANwA0ADQALAAgAFwAIgBhAHQAIABtAGEAcgBrAGUAdABcACIAOwBcAG4AIAAgACAAIAAgACAAIAAgAFwAIgBGAGUAZQBkAFwAIgAsACAAXAAiAEgAYQB5AFwAIgAsACAAXAAiAEMAZQByAGUAYQBsACAAcwBpAGwAYQBnAGUAXAAiACwAIABcACIATgBTAFcAXAAiACwAIABcACIAawBnAFwAIgAsACAAMAAuADAANwAzADkALAAgAFwAIgBhAHQAIABtAGEAcgBrAGUAdABcACIAOwBcAG4AIAAgACAAIAAgACAAIAAgAFwAIgBGAGUAZQBkAFwAIgAsACAAXAAiAEgAYQB5AFwAIgAsACAAXAAiAEMAZQByAGUAYQBsACAAcwBpAGwAYQBnAGUAXAAiACwAIABcACIAUQBMAEQAXAAiACwAIABcACIAawBnAFwAIgAsACAAMAAuADAANwA5ACwAIABcACIAYQB0ACAAbQBhAHIAawBlAHQAXAAiADsAXABuACAAIAAgACAAIAAgACAAIABcACIARgBlAGUAZABcACIALAAgAFwAIgBIAGEAeQBcACIALAAgAFwAIgBDAGUAcgBlAGEAbAAgAHMAaQBsAGEAZwBlAFwAIgAsACAAXAAiAFMAQQBcACIALAAgAFwAIgBrAGcAXAAiACwAIAAwAC4AMAA3ADAANgAsACAAXAAiAGEAdAAgAG0AYQByAGsAZQB0AFwAIgA7AFwAbgAgACAAIAAgACAAIAAgACAAXAAiAEYAZQBlAGQAXAAiACwAIABcACIASABhAHkAXAAiACwAIABcACIAQwBlAHIAZQBhAGwAIABzAGkAbABhAGcAZQBcACIALAAgAFwAIgBUAEEAUwBcACIALAAgAFwAIgBrAGcAXAAiACwAIAAwAC4AMAA4ADAAOAAsACAAXAAiAGEAdAAgAG0AYQByAGsAZQB0AFwAIgA7AFwAbgAgACAAIAAgACAAIAAgACAAXAAiAEYAZQBlAGQAXAAiACwAIABcACIASABhAHkAXAAiACwAIABcACIAQwBlAHIAZQBhAGwAIABzAGkAbABhAGcAZQBcACIALAAgAFwAIgBWAEkAQwBcACIALAAgAFwAIgBrAGcAXAAiACwAIAAwAC4AMAA3ADMANgAsACAAXAAiAGEAdAAgAG0AYQByAGsAZQB0AFwAIgA7AFwAbgAgACAAIAAgACAAIAAgACAAXAAiAEYAZQBlAGQAXAAiACwAIABcACIASABhAHkAXAAiACwAIABcACIATAB1AGMAZQByAG4AZQAgAGgAYQB5AFwAIgAsACAAXAAiAEEAdQBzAHQAcgBhAGwAaQBhAFwAIgAsACAAXAAiAGsAZwBcACIALAAgADAALgAxADEANwAsACAAXAAiAGEAdAAgAG0AYQByAGsAZQB0AFwAIgA7AFwAbgAgACAAIAAgACAAIAAgACAAXAAiAEYAZQBlAGQAXAAiACwAIABcACIASABhAHkAXAAiACwAIABcACIATAB1AGMAZQByAG4AZQAgAGgAYQB5AFwAIgAsACAAXAAiAE4AUwBXAFwAIgAsACAAXAAiAGsAZwBcACIALAAgADAALgAxADEAMwAsACAAXAAiAGEAdAAgAG0AYQByAGsAZQB0AFwAIgA7AFwAbgAgACAAIAAgACAAIAAgACAAXAAiAEYAZQBlAGQAXAAiACwAIABcACIASABhAHkAXAAiACwAIABcACIATAB1AGMAZQByAG4AZQAgAGgAYQB5AFwAIgAsACAAXAAiAFEATABEAFwAIgAsACAAXAAiAGsAZwBcACIALAAgADAALgAxADQAMwAsACAAXAAiAGEAdAAgAG0AYQByAGsAZQB0AFwAIgA7AFwAbgAgACAAIAAgACAAIAAgACAAXAAiAEYAZQBlAGQAXAAiACwAIABcACIASABhAHkAXAAiACwAIABcACIATAB1AGMAZQByAG4AZQAgAGgAYQB5AFwAIgAsACAAXAAiAFMAQQBcACIALAAgAFwAIgBrAGcAXAAiACwAIAAwAC4AMQAwADYALAAgAFwAIgBhAHQAIABtAGEAcgBrAGUAdABcACIAOwBcAG4AIAAgACAAIAAgACAAIAAgAFwAIgBGAGUAZQBkAFwAIgAsACAAXAAiAEgAYQB5AFwAIgAsACAAXAAiAEwAdQBjAGUAcgBuAGUAIABoAGEAeQBcACIALAAgAFwAIgBUAEEAUwBcACIALAAgAFwAIgBrAGcAXAAiACwAIAAwAC4AMQAxADMALAAgAFwAIgBhAHQAIABtAGEAcgBrAGUAdABcACIAOwBcAG4AIAAgACAAIAAgACAAIAAgAFwAIgBGAGUAZQBkAFwAIgAsACAAXAAiAEgAYQB5AFwAIgAsACAAXAAiAEwAdQBjAGUAcgBuAGUAIABoAGEAeQBcACIALAAgAFwAIgBWAEkAQwBcACIALAAgAFwAIgBrAGcAXAAiACwAIAAwAC4AMQAwADYALAAgAFwAIgBhAHQAIABtAGEAcgBrAGUAdABcACIAOwBcAG4AIAAgACAAIAAgACAAIAAgAFwAIgBGAGUAZQBkAFwAIgAsACAAXAAiAEgAYQB5AFwAIgAsACAAXAAiAE0AYQBpAHoAZQAgAHMAaQBsAGEAZwBlAFwAIgAsACAAXAAiAFYASQBDAFwAIgAsACAAXAAiAGsAZwBcACIALAAgADAALgAxADYAMwAsACAAXAAiAGEAdAAgAG0AYQByAGsAZQB0AFwAIgA7AFwAbgAgACAAIAAgACAAIAAgACAAXAAiAEYAZQBlAGQAXAAiACwAIABcACIASABhAHkAXAAiACwAIABcACIATwBhAHQAZQBuACAAaABhAHkAXAAiACwAIABcACIAQQB1AHMAdAByAGEAbABpAGEAXAAiACwAIABcACIAawBnAFwAIgAsACAAMAAuADEAMgAsACAAXAAiAGEAdAAgAG0AYQByAGsAZQB0AFwAIgA7AFwAbgAgACAAIAAgACAAIAAgACAAXAAiAEYAZQBlAGQAXAAiACwAIABcACIASABhAHkAXAAiACwAIABcACIATwBhAHQAZQBuACAAaABhAHkAXAAiACwAIABcACIATgBTAFcAXAAiACwAIABcACIAawBnAFwAIgAsACAAMAAuADEAMQA5ACwAIABcACIAYQB0ACAAbQBhAHIAawBlAHQAXAAiADsAXABuACAAIAAgACAAIAAgACAAIABcACIARgBlAGUAZABcACIALAAgAFwAIgBIAGEAeQBcACIALAAgAFwAIgBPAGEAdABlAG4AIABoAGEAeQBcACIALAAgAFwAIgBRAEwARABcACIALAAgAFwAIgBrAGcAXAAiACwAIAAwAC4AMQAxADcALAAgAFwAIgBhAHQAIABtAGEAcgBrAGUAdABcACIAOwBcAG4AIAAgACAAIAAgACAAIAAgAFwAIgBGAGUAZQBkAFwAIgAsACAAXAAiAEgAYQB5AFwAIgAsACAAXAAiAE8AYQB0AGUAbgAgAGgAYQB5AFwAIgAsACAAXAAiAFMAQQBcACIALAAgAFwAIgBrAGcAXAAiACwAIAAwAC4AMQAxADQALAAgAFwAIgBhAHQAIABtAGEAcgBrAGUAdABcACIAOwBcAG4AIAAgACAAIAAgACAAIAAgAFwAIgBGAGUAZQBkAFwAIgAsACAAXAAiAEgAYQB5AFwAIgAsACAAXAAiAE8AYQB0AGUAbgAgAGgAYQB5AFwAIgAsACAAXAAiAFYASQBDAFwAIgAsACAAXAAiAGsAZwBcACIALAAgADAALgAxADEAOAAsACAAXAAiAGEAdAAgAG0AYQByAGsAZQB0AFwAIgA7AFwAbgAgACAAIAAgACAAIAAgACAAXAAiAEYAZQBlAGQAXAAiACwAIABcACIASABhAHkAXAAiACwAIABcACIATwBhAHQAZQBuACAAaABhAHkAXAAiACwAIABcACIAVwBBAFwAIgAsACAAXAAiAGsAZwBcACIALAAgADAALgAxADIANAAsACAAXAAiAGEAdAAgAG0AYQByAGsAZQB0AFwAIgA7AFwAbgAgACAAIAAgACAAIAAgACAAXAAiAEYAZQBlAGQAXAAiACwAIABcACIASABhAHkAXAAiACwAIABcACIAUABhAHMAdAB1AHIAZQAgAGgAYQB5AFwAIgAsACAAXAAiAEEAdQBzAHQAcgBhAGwAaQBhAFwAIgAsACAAXAAiAGsAZwBcACIALAAgADAALgAzADMAOQAsACAAXAAiAGEAdAAgAG0AYQByAGsAZQB0AFwAIgA7AFwAbgAgACAAIAAgACAAIAAgACAAXAAiAEYAZQBlAGQAXAAiACwAIABcACIASABhAHkAXAAiACwAIABcACIAUABhAHMAdAB1AHIAZQAgAGgAYQB5AFwAIgAsACAAXAAiAE4AUwBXAFwAIgAsACAAXAAiAGsAZwBcACIALAAgADAALgAzADEAMQAsACAAXAAiAGEAdAAgAG0AYQByAGsAZQB0AFwAIgA7AFwAbgAgACAAIAAgACAAIAAgACAAXAAiAEYAZQBlAGQAXAAiACwAIABcACIASABhAHkAXAAiACwAIABcACIAUABhAHMAdAB1AHIAZQAgAGgAYQB5AFwAIgAsACAAXAAiAFEATABEAFwAIgAsACAAXAAiAGsAZwBcACIALAAgADAALgAyADUANAAsACAAXAAiAGEAdAAgAG0AYQByAGsAZQB0AFwAIgA7AFwAbgAgACAAIAAgACAAIAAgACAAXAAiAEYAZQBlAGQAXAAiACwAIABcACIASABhAHkAXAAiACwAIABcACIAUABhAHMAdAB1AHIAZQAgAGgAYQB5AFwAIgAsACAAXAAiAFMAQQBcACIALAAgAFwAIgBrAGcAXAAiACwAIAAwAC4AMwAxADMALAAgAFwAIgBhAHQAIABtAGEAcgBrAGUAdABcACIAOwBcAG4AIAAgACAAIAAgACAAIAAgAFwAIgBGAGUAZQBkAFwAIgAsACAAXAAiAEgAYQB5AFwAIgAsACAAXAAiAFAAYQBzAHQAdQByAGUAIABoAGEAeQBcACIALAAgAFwAIgBUAEEAUwBcACIALAAgAFwAIgBrAGcAXAAiACwAIAAwAC4AMwA5ADgALAAgAFwAIgBhAHQAIABtAGEAcgBrAGUAdABcACIAOwBcAG4AIAAgACAAIAAgACAAIAAgAFwAIgBGAGUAZQBkAFwAIgAsACAAXAAiAEgAYQB5AFwAIgAsACAAXAAiAFAAYQBzAHQAdQByAGUAIABoAGEAeQBcACIALAAgAFwAIgBWAEkAQwBcACIALAAgAFwAIgBrAGcAXAAiACwAIAAwAC4AMwA0ADUALAAgAFwAIgBhAHQAIABtAGEAcgBrAGUAdABcACIAOwBcAG4AIAAgACAAIAAgACAAIAAgAFwAIgBGAGUAZQBkAFwAIgAsACAAXAAiAEgAYQB5AFwAIgAsACAAXAAiAFAAYQBzAHQAdQByAGUAIABoAGEAeQBcACIALAAgAFwAIgBXAEEAXAAiACwAIABcACIAawBnAFwAIgAsACAAMAAuADMANgA4ACwAIABcACIAYQB0ACAAbQBhAHIAawBlAHQAXAAiADsAXABuACAAIAAgACAAIAAgACAAIABcACIARgBlAGUAZABcACIALAAgAFwAIgBNAGUAYQBsAFwAIgAsACAAXAAiAEMAYQBuAG8AbABhACAAbQBlAGEAbABcACIALAAgAFwAIgBBAHUAcwB0AHIAYQBsAGkAYQBcACIALAAgAFwAIgBrAGcAXAAiACwAIAAwAC4AMgA0ADQALAAgAFwAIgBhAHQAIABtAGEAcgBrAGUAdABcACIAOwBcAG4AIAAgACAAIAAgACAAIAAgAFwAIgBGAGUAZQBkAFwAIgAsACAAXAAiAE0AZQBhAGwAXAAiACwAIABcACIATQBlAGEAdAAgAG0AZQBhAGwAXAAiACwAIABcACIAQQB1AHMAdAByAGEAbABpAGEAXAAiACwAIABcACIAawBnAFwAIgAsACAAMAAuADQAMAA4ACwAIABcACIAYQB0ACAAbQBhAHIAawBlAHQAXAAiADsAXABuACAAIAAgACAAIAAgACAAIABcACIARgBlAGUAZABcACIALAAgAFwAIgBNAGUAYQBsAFwAIgAsACAAXAAiAFMAbwB5AGIAZQBhAG4AIABtAGUAYQBsAFwAIgAsACAAXAAiAEIAcgBhAHoAaQBsAFwAIgAsACAAXAAiAGsAZwBcACIALAAgADAALgA0ADIANgAsACAAXAAiAGEAdAAgAG0AYQByAGsAZQB0AFwAIgA7AFwAbgAgACAAIAAgACAAIAAgACAAXAAiAEYAZQBlAGQAXAAiACwAIABcACIATQBlAGEAbABcACIALAAgAFwAIgBXAGgAZQBhAHQAIABiAHIAYQBuAFwAIgAsACAAXAAiAEEAdQBzAHQAcgBhAGwAaQBhAFwAIgAsACAAXAAiAGsAZwBcACIALAAgADAALgAxADkANgAsACAAXAAiAGEAdAAgAG0AYQByAGsAZQB0AFwAIgA7AFwAbgAgACAAIAAgACAAIAAgACAAXAAiAEYAZQBlAGQAXAAiACwAIABcACIATQBpAHgAZQBkACAAcgBhAHQAaQBvAG4AcwBcACIALAAgAFwAIgBGAGUAZQBkACAAZgBvAHIAIABjAGgAaQBjAGsAZQBuAHMAXAAiACwAIABcACIAQQB1AHMAdAByAGEAbABpAGEAXAAiACwAIABcACIAawBnAFwAIgAsACAAMAAuADUAOQA0ACwAIABcACIAYQB0ACAAbQBhAHIAawBlAHQAXAAiADsAXABuACAAIAAgACAAIAAgACAAIABcACIARgBlAGUAZABcACIALAAgAFwAIgBNAGkAeABlAGQAIAByAGEAdABpAG8AbgBzAFwAIgAsACAAXAAiAEYAZQBlAGQAIABmAG8AcgAgAGQAYQBpAHIAeQAgAGMAYQBsAHYAZQBzAFwAIgAsACAAXAAiAEEAdQBzAHQAcgBhAGwAaQBhAFwAIgAsACAAXAAiAGsAZwBcACIALAAgADAALgA0ADEAOQAsACAAXAAiAGEAdAAgAG0AYQByAGsAZQB0AFwAIgA7AFwAbgAgACAAIAAgACAAIAAgACAAXAAiAEYAZQBlAGQAXAAiACwAIABcACIATQBpAHgAZQBkACAAcgBhAHQAaQBvAG4AcwBcACIALAAgAFwAIgBGAGUAZQBkACAAZgBvAHIAIABkAGEAaQByAHkAIABjAG8AdwBzAFwAIgAsACAAXAAiAEEAdQBzAHQAcgBhAGwAaQBhAFwAIgAsACAAXAAiAGsAZwBcACIALAAgADAALgAzADMAMwAsACAAXAAiAGEAdAAgAG0AYQByAGsAZQB0AFwAIgA7AFwAbgAgACAAIAAgACAAIAAgACAAXAAiAEYAZQBlAGQAXAAiACwAIABcACIATQBpAHgAZQBkACAAcgBhAHQAaQBvAG4AcwBcACIALAAgAFwAIgBGAGUAZQBkACAAZgBvAHIAIABwAGkAZwBzAFwAIgAsACAAXAAiAEEAdQBzAHQAcgBhAGwAaQBhAFwAIgAsACAAXAAiAGsAZwBcACIALAAgADAALgA0ADAAMwAsACAAXAAiAGEAdAAgAG0AYQByAGsAZQB0AFwAIgA7AFwAbgAgACAAIAAgACAAIAAgACAAXAAiAEYAZQBlAGQAXAAiACwAIABcACIATwB0AGgAZQByAFwAIgAsACAAXAAiAEIAZQBuAHQAbwBuAGkAdABlAFwAIgAsACAAXAAiAEEAdQBzAHQAcgBhAGwAaQBhAFwAIgAsACAAXAAiAGsAZwBcACIALAAgADAALgAwADYANQAyACwAIABcACIAYQB0ACAAbQBhAHIAawBlAHQAXAAiADsAXABuACAAIAAgACAAIAAgACAAIABcACIARgBlAGUAZABcACIALAAgAFwAIgBPAHQAaABlAHIAXAAiACwAIABcACIAQwBhAG4AbwBsAGEAIABvAGkAbABcACIALAAgAFwAIgBBAHUAcwB0AHIAYQBsAGkAYQBcACIALAAgAFwAIgBrAGcAXAAiACwAIAAwAC4AOAA3ACwAIABcACIAYQB0ACAAbQBhAHIAawBlAHQAXAAiADsAXABuACAAIAAgACAAIAAgACAAIABcACIARgBlAGUAZABcACIALAAgAFwAIgBPAHQAaABlAHIAXAAiACwAIABcACIAQwBvAHQAdABvAG4AIABzAGUAZQBkAFwAIgAsACAAXAAiAEEAdQBzAHQAcgBhAGwAaQBhAFwAIgAsACAAXAAiAGsAZwBcACIALAAgADAALgAxADkANwAsACAAXAAiAGEAdAAgAG0AYQByAGsAZQB0AFwAIgA7AFwAbgAgACAAIAAgACAAIAAgACAAXAAiAEYAZQBlAGQAXAAiACwAIABcACIATwB0AGgAZQByAFwAIgAsACAAXAAiAEwAaQBjAGsAIABiAGwAbwBjAGsALAAgAGQAcgB5ACAAcwBlAGEAcwBvAG4AIABtAGkAeABcACIALAAgAFwAIgBBAHUAcwB0AHIAYQBsAGkAYQBcACIALAAgAFwAIgBrAGcAXAAiACwAIAAwAC4AOAA4ADEALAAgAFwAIgBhAHQAIABtAGEAcgBrAGUAdABcACIAOwBcAG4AIAAgACAAIAAgACAAIAAgAFwAIgBGAGUAZQBkAFwAIgAsACAAXAAiAE8AdABoAGUAcgBcACIALAAgAFwAIgBMAGkAYwBrACAAYgBsAG8AYwBrACwAIABtAGkAbgBlAHIAYQBsAFwAIgAsACAAXAAiAEEAdQBzAHQAcgBhAGwAaQBhAFwAIgAsACAAXAAiAGsAZwBcACIALAAgADAALgA2ADcANwAsACAAXAAiAGEAdAAgAG0AYQByAGsAZQB0AFwAIgA7AFwAbgAgACAAIAAgACAAIAAgACAAXAAiAEYAZQBlAGQAXAAiACwAIABcACIATwB0AGgAZQByAFwAIgAsACAAXAAiAEwAaQBjAGsAIABiAGwAbwBjAGsALAAgAHcAZQBhAG4AZQByAFwAIgAsACAAXAAiAEEAdQBzAHQAcgBhAGwAaQBhAFwAIgAsACAAXAAiAGsAZwBcACIALAAgADAALgAyADMAMQAsACAAXAAiAGEAdAAgAG0AYQByAGsAZQB0AFwAIgA7AFwAbgAgACAAIAAgACAAIAAgACAAXAAiAEYAZQBlAGQAXAAiACwAIABcACIATwB0AGgAZQByAFwAIgAsACAAXAAiAE0AbwBsAGEAcwBzAGUAcwBcACIALAAgAFwAIgBRAEwARABcACIALAAgAFwAIgBrAGcAXAAiACwAIAAwAC4AMQA4ADQ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TAGMAbwBwAGUAMwBfAEkAbgBvAHIAZwBhAG4AaQBjAEYAZQByAHQAaQBsAGkAcwBlAHIAcwBfAFQAaQB0AGwAZQBcAG4APQBMAEEATQBCAEQAQQAoACgAXAAiAEkAbgBvAHIAZwBhAG4AaQBjACAAZgBlAHIAdABpAGwAaQBzAGUAcgAgAGMAaABlAG0AaQBjAGEAbAAgAGMAbwBtAHAAbwB1AG4AZAAgAHMAYwBvAHAAZQAgADMAXAAiACkAKQA7AFwAbgBcAG4AUwBjAG8AcABlADMAXwBJAG4Ab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cgB0AGkAbABpAHMAZQByAHMAXAAiACwAIABcACIASQBuAG8AcgBnAGEAbgBpAGMAIABmAGUAcgB0AGkAbABpAHMAZQByAHMAXAAiACwAIABcACIAQQBtAG0AbwBuAGkAYQAsACAAQQBVACAAbQBhAHIAawBlAHQAIABtAGkAeABcACIALAAgAFwAIgBHAGwAbwBiAGEAbABcACIALAAgAFwAIgBrAGcAXAAiACwAIAAyAC4AMwAyACwAIABcACIAYQB0ACAAbQBhAHIAawBlAHQAXAAiADsAXABuACAAIAAgACAAIAAgACAAIABcACIARgBlAHIAdABpAGwAaQBzAGUAcgBzAFwAIgAsACAAXAAiAEkAbgBvAHIAZwBhAG4AaQBjACAAZgBlAHIAdABpAGwAaQBzAGUAcgBzAFwAIgAsACAAXAAiAEEAbQBtAG8AbgBpAGEALAAgAEMAYQBuAGEAZABhAFwAIgAsACAAXAAiAEMAYQBuAGEAZABhAFwAIgAsACAAXAAiAGsAZwBcACIALAAgADIALgAxADIALAAgAFwAIgBhAHQAIABtAGEAcgBrAGUAdABcACIAOwBcAG4AIAAgACAAIAAgACAAIAAgAFwAIgBGAGUAcgB0AGkAbABpAHMAZQByAHMAXAAiACwAIABcACIASQBuAG8AcgBnAGEAbgBpAGMAIABmAGUAcgB0AGkAbABpAHMAZQByAHMAXAAiACwAIABcACIAQQBtAG0AbwBuAGkAYQAsACAAQwBoAGkAbgBhAFwAIgAsACAAXAAiAEMAaABpAG4AYQBcACIALAAgAFwAIgBrAGcAXAAiACwAIAA0AC4AMQA3ACwAIABcACIAYQB0ACAAbQBhAHIAawBlAHQAXAAiADsAXABuACAAIAAgACAAIAAgACAAIABcACIARgBlAHIAdABpAGwAaQBzAGUAcgBzAFwAIgAsACAAXAAiAEkAbgBvAHIAZwBhAG4AaQBjACAAZgBlAHIAdABpAGwAaQBzAGUAcgBzAFwAIgAsACAAXAAiAEEAbQBtAG8AbgBpAGEALAAgAFkAZQBtAGUAbgBcACIALAAgAFwAIgBZAGUAbQBlAG4AXAAiACwAIABcACIAawBnAFwAIgAsACAAMgAuADIANgAsACAAXAAiAGEAdAAgAG0AYQByAGsAZQB0AFwAIgA7AFwAbgAgACAAIAAgACAAIAAgACAAXAAiAEYAZQByAHQAaQBsAGkAcwBlAHIAcwBcACIALAAgAFwAIgBJAG4AbwByAGcAYQBuAGkAYwAgAGYAZQByAHQAaQBsAGkAcwBlAHIAcwBcACIALAAgAFwAIgBBAG0AbQBvAG4AaQB1AG0AIABuAGkAdAByAGEAdABlACwAIABBAFUAIABtAGEAcgBrAGUAdAAgAG0AaQB4AFwAIgAsACAAXAAiAEcAbABvAGIAYQBsAFwAIgAsACAAXAAiAGsAZwBcACIALAAgADIALgAyADEALAAgAFwAIgBhAHQAIABtAGEAcgBrAGUAdABcACIAOwBcAG4AIAAgACAAIAAgACAAIAAgAFwAIgBGAGUAcgB0AGkAbABpAHMAZQByAHMAXAAiACwAIABcACIASQBuAG8AcgBnAGEAbgBpAGMAIABmAGUAcgB0AGkAbABpAHMAZQByAHMAXAAiACwAIABcACIAQwBhAGwAYwBpAHUAbQAgAGEAbQBtAG8AbgBpAHUAbQAgAG4AaQB0AHIAYQB0AGUALAAgAEEAVQAgAG0AYQByAGsAZQB0ACAAbQBpAHgAXAAiACwAIABcACIARwBsAG8AYgBhAGwAXAAiACwAIABcACIAawBnAFwAIgAsACAAMQAuADEANQAsACAAXAAiAGEAdAAgAG0AYQByAGsAZQB0AFwAIgA7AFwAbgAgACAAIAAgACAAIAAgACAAXAAiAEYAZQByAHQAaQBsAGkAcwBlAHIAcwBcACIALAAgAFwAIgBJAG4AbwByAGcAYQBuAGkAYwAgAGYAZQByAHQAaQBsAGkAcwBlAHIAcwBcACIALAAgAFwAIgBDAGEAbABjAGkAdQBtACAAbgBpAHQAcgBhAHQAZQBcACIALAAgAFwAIgBHAGwAbwBiAGEAbABcACIALAAgAFwAIgBrAGcAXAAiACwAIAAwAC4ANwA1ACwAIABcACIAYQB0ACAAbQBhAHIAawBlAHQAXAAiADsAXABuACAAIAAgACAAIAAgACAAIABcACIARgBlAHIAdABpAGwAaQBzAGUAcgBzAFwAIgAsACAAXAAiAEkAbgBvAHIAZwBhAG4AaQBjACAAZgBlAHIAdABpAGwAaQBzAGUAcgBzAFwAIgAsACAAXAAiAEQAaQBhAG0AbQBvAG4AaQB1AG0AIABwAGgAbwBzAHAAaABhAHQAZQAsACAAQQBVACAAbQBhAHIAawBlAHQAIABtAGkAeABcACIALAAgAFwAIgBHAGwAbwBiAGEAbABcACIALAAgAFwAIgBrAGcAXAAiACwAIAAxAC4AMwA0ACwAIABcACIAYQB0ACAAbQBhAHIAawBlAHQAXAAiADsAXABuACAAIAAgACAAIAAgACAAIABcACIARgBlAHIAdABpAGwAaQBzAGUAcgBzAFwAIgAsACAAXAAiAEkAbgBvAHIAZwBhAG4AaQBjACAAZgBlAHIAdABpAGwAaQBzAGUAcgBzAFwAIgAsACAAXAAiAEQAbwB1AGIAbABlACAAcwB1AHAAZQByAHAAaABvAHMAcABoAGEAdABlACwAIABBAFUAIABtAGEAcgBrAGUAdAAgAG0AaQB4AFwAIgAsACAAXAAiAEcAbABvAGIAYQBsAFwAIgAsACAAXAAiAGsAZwBcACIALAAgADAALgAzADkAMgAsACAAXAAiAGEAdAAgAG0AYQByAGsAZQB0AFwAIgA7AFwAbgAgACAAIAAgACAAIAAgACAAXAAiAEYAZQByAHQAaQBsAGkAcwBlAHIAcwBcACIALAAgAFwAIgBJAG4AbwByAGcAYQBuAGkAYwAgAGYAZQByAHQAaQBsAGkAcwBlAHIAcwBcACIALAAgAFwAIgBNAG8AbgBvAGEAbQBtAG8AbgBpAHUAbQAgAHAAaABvAHMAcABoAGEAdABlACwAIABBAFUAIABtAGEAcgBrAGUAdAAgAG0AaQB4AFwAIgAsACAAXAAiAEcAbABvAGIAYQBsAFwAIgAsACAAXAAiAGsAZwBcACIALAAgADAALgA4ADIANwAsACAAXAAiAGEAdAAgAG0AYQByAGsAZQB0AFwAIgA7AFwAbgAgACAAIAAgACAAIAAgACAAXAAiAEYAZQByAHQAaQBsAGkAcwBlAHIAcwBcACIALAAgAFwAIgBJAG4AbwByAGcAYQBuAGkAYwAgAGYAZQByAHQAaQBsAGkAcwBlAHIAcwBcACIALAAgAFwAIgBNAHUAcgBpAGEAdABlACAAbwBmACAAcABvAHQAYQBzAGgALAAgAEEAVQAgAG0AYQByAGsAZQB0ACAAbQBpAHgAXAAiACwAIABcACIARwBsAG8AYgBhAGwAXAAiACwAIABcACIAawBnAFwAIgAsACAAMAAuADUANAA5ACwAIABcACIAYQB0ACAAbQBhAHIAawBlAHQAXAAiADsAXABuACAAIAAgACAAIAAgACAAIABcACIARgBlAHIAdABpAGwAaQBzAGUAcgBzAFwAIgAsACAAXAAiAEkAbgBvAHIAZwBhAG4AaQBjACAAZgBlAHIAdABpAGwAaQBzAGUAcgBzAFwAIgAsACAAXAAiAE4AaQB0AHIAbwBnAGUAbgAgAGYAcgBvAG0AIABhAG0AbQBvAG4AaQBhACwAIABBAFUAIABtAGEAcgBrAGUAdAAgAG0AaQB4AFwAIgAsACAAXAAiAEcAbABvAGIAYQBsAFwAIgAsACAAXAAiAGsAZwAgAE4AXAAiACwAIAAyAC4AOAAzACwAIABcACIAYQB0ACAAbQBhAHIAawBlAHQAXAAiADsAXABuACAAIAAgACAAIAAgACAAIABcACIARgBlAHIAdABpAGwAaQBzAGUAcgBzAFwAIgAsACAAXAAiAEkAbgBvAHIAZwBhAG4AaQBjACAAZgBlAHIAdABpAGwAaQBzAGUAcgBzAFwAIgAsACAAXAAiAE4AaQB0AHIAbwBnAGUAbgAgAGYAcgBvAG0AIABmAGUAcgB0AGkAbABpAHoAZQByACwAIABBAFUAIABtAGEAcgBrAGUAdAAgAG0AaQB4AFwAIgAsACAAXAAiAEcAbABvAGIAYQBsAFwAIgAsACAAXAAiAGsAZwAgAE4AXAAiACwAIAA0AC4AMgAsACAAXAAiAGEAdAAgAG0AYQByAGsAZQB0AFwAIgA7AFwAbgAgACAAIAAgACAAIAAgACAAXAAiAEYAZQByAHQAaQBsAGkAcwBlAHIAcwBcACIALAAgAFwAIgBJAG4AbwByAGcAYQBuAGkAYwAgAGYAZQByAHQAaQBsAGkAcwBlAHIAcwBcACIALAAgAFwAIgBOAGkAdAByAG8AZwBlAG4AIABmAHIAbwBtACAAbgBpAHQAcgBhAHQAZQAgAGYAZQByAHQAaQBsAGkAegBlAHIALAAgAEEAVQAgAG0AYQByAGsAZQB0ACAAbQBpAHgAXAAiACwAIABcACIARwBsAG8AYgBhAGwAXAAiACwAIABcACIAawBnACAATgBcACIALAAgADUALgA0ADcALAAgAFwAIgBhAHQAIABtAGEAcgBrAGUAdABcACIAOwBcAG4AIAAgACAAIAAgACAAIAAgAFwAIgBGAGUAcgB0AGkAbABpAHMAZQByAHMAXAAiACwAIABcACIASQBuAG8AcgBnAGEAbgBpAGMAIABmAGUAcgB0AGkAbABpAHMAZQByAHMAXAAiACwAIABcACIAUABoAG8AcwBwAGgAbwByAHUAcwAgAGYAcgBvAG0AIABmAGUAcgB0AGkAbABpAHoAZQByACwAIABBAFUAIABtAGEAcgBrAGUAdAAgAG0AaQB4AFwAIgAsACAAXAAiAEcAbABvAGIAYQBsAFwAIgAsACAAXAAiAGsAZwAgAFAAXAAiACwAIAAzAC4AOQA2ACwAIABcACIAYQB0ACAAbQBhAHIAawBlAHQAXAAiADsAXABuACAAIAAgACAAIAAgACAAIABcACIARgBlAHIAdABpAGwAaQBzAGUAcgBzAFwAIgAsACAAXAAiAEkAbgBvAHIAZwBhAG4AaQBjACAAZgBlAHIAdABpAGwAaQBzAGUAcgBzAFwAIgAsACAAXAAiAFAAbwB0AGEAcwBzAGkAdQBtACAAZgByAG8AbQAgAGYAZQByAHQAaQBsAGkAegBlAHIALAAgAEEAVQAgAG0AYQByAGsAZQB0ACAAbQBpAHgAXAAiACwAIABcACIARwBsAG8AYgBhAGwAXAAiACwAIABcACIAawBnACAASwBcACIALAAgADAALgA5ADAAOQAsACAAXAAiAGEAdAAgAG0AYQByAGsAZQB0AFwAIgA7AFwAbgAgACAAIAAgACAAIAAgACAAXAAiAEYAZQByAHQAaQBsAGkAcwBlAHIAcwBcACIALAAgAFwAIgBJAG4AbwByAGcAYQBuAGkAYwAgAGYAZQByAHQAaQBsAGkAcwBlAHIAcwBcACIALAAgAFwAIgBTAGkAbgBnAGwAZQAgAHMAdQBwAGUAcgBwAGgAbwBzAHAAaABhAHQAZQAsACAAQQBVACAAbQBhAHIAawBlAHQAIABtAGkAeABcACIALAAgAFwAIgBHAGwAbwBiAGEAbABcACIALAAgAFwAIgBrAGcAXAAiACwAIAAwAC4AMgAyADcALAAgAFwAIgBhAHQAIABtAGEAcgBrAGUAdABcACIAOwBcAG4AIAAgACAAIAAgACAAIAAgAFwAIgBGAGUAcgB0AGkAbABpAHMAZQByAHMAXAAiACwAIABcACIASQBuAG8AcgBnAGEAbgBpAGMAIABmAGUAcgB0AGkAbABpAHMAZQByAHMAXAAiACwAIABcACIAUwB1AGwAZgB1AHIAIABmAHIAbwBtACAAZgBlAHIAdABpAGwAaQB6AGUAcgAsACAAQQBVACAAbQBhAHIAawBlAHQAIABtAGkAeABcACIALAAgAFwAIgBHAGwAbwBiAGEAbABcACIALAAgAFwAIgBrAGcAIABTAFwAIgAsACAAMgAuADUALAAgAFwAIgBhAHQAIABtAGEAcgBrAGUAdABcACIAOwBcAG4AIAAgACAAIAAgACAAIAAgAFwAIgBGAGUAcgB0AGkAbABpAHMAZQByAHMAXAAiACwAIABcACIASQBuAG8AcgBnAGEAbgBpAGMAIABmAGUAcgB0AGkAbABpAHMAZQByAHMAXAAiACwAIABcACIAQQBtAG0AbwBuAGkAdQBtACAAcwB1AGwAcABoAGEAdABlACwAIABBAFUAIABtAGEAcgBrAGUAdAAgAG0AaQB4AFwAIgAsACAAXAAiAEcAbABvAGIAYQBsAFwAIgAsACAAXAAiAGsAZwBcACIALAAgADAALgA4ADYANQAsACAAXAAiAGEAdAAgAG0AYQByAGsAZQB0AFwAIgA7AFwAbgAgACAAIAAgACAAIAAgACAAXAAiAEYAZQByAHQAaQBsAGkAcwBlAHIAcwBcACIALAAgAFwAIgBJAG4AbwByAGcAYQBuAGkAYwAgAGYAZQByAHQAaQBsAGkAcwBlAHIAcwBcACIALAAgAFwAIgBVAHIAZQBhACAAYQBtAG0AbwBuAGkAdQBtACAAbgBpAHQAcgBhAHQAZQAsACAAQQBVACAAbQBhAHIAawBlAHQAIABtAGkAeABcACIALAAgAFwAIgBHAGwAbwBiAGEAbABcACIALAAgAFwAIgBrAGcAXAAiACwAIAAxAC4ANwA1ACwAIABcACIAYQB0ACAAbQBhAHIAawBlAHQAXAAiADsAXABuACAAIAAgACAAIAAgACAAIABcACIARgBlAHIAdABpAGwAaQBzAGUAcgBzAFwAIgAsACAAXAAiAEkAbgBvAHIAZwBhAG4AaQBjACAAZgBlAHIAdABpAGwAaQBzAGUAcgBzAFwAIgAsACAAXAAiAFUAcgBlAGEALAAgAEEAVQAgAG0AYQByAGsAZQB0ACAAbQBpAHgAXAAiACwAIABcACIARwBsAG8AYgBhAGwAXAAiACwAIABcACIAawBnAFwAIgAsACAAMAAuADkANgA4ACwAIABcACIAYQB0ACAAbQBhAHIAawBlAHQAXAAiADsAXABuACAAIAAgACAAIAAgACAAIABcACIARgBlAHIAdABpAGwAaQBzAGUAcgBzAFwAIgAsACAAXAAiAEkAbgBvAHIAZwBhAG4AaQBjACAAZgBlAHIAdABpAGwAaQBzAGUAcgBzAFwAIgAsACAAXAAiAFUAcgBlAGEALAAgAEMAYQBuAGEAZABhAFwAIgAsACAAXAAiAEMAYQBuAGEAZABhAFwAIgAsACAAXAAiAGsAZwBcACIALAAgADAALgA4ADIAMwAsACAAXAAiAGEAdAAgAG0AYQByAGsAZQB0AFwAIgA7AFwAbgAgACAAIAAgACAAIAAgACAAXAAiAEYAZQByAHQAaQBsAGkAcwBlAHIAcwBcACIALAAgAFwAIgBJAG4AbwByAGcAYQBuAGkAYwAgAGYAZQByAHQAaQBsAGkAcwBlAHIAcwBcACIALAAgAFwAIgBVAHIAZQBhACwAIABDAGgAaQBuAGEAXAAiACwAIABcACIAQwBoAGkAbgBhAFwAIgAsACAAXAAiAGsAZwBcACIALAAgADIALgAwADkALAAgAFwAIgBhAHQAIABtAGEAcgBrAGUAdABcACIAOwBcAG4AIAAgACAAIAAgACAAIAAgAFwAIgBGAGUAcgB0AGkAbABpAHMAZQByAHMAXAAiACwAIABcACIASQBuAG8AcgBnAGEAbgBpAGMAIABmAGUAcgB0AGkAbABpAHMAZQByAHMAXAAiACwAIABcACIAVQByAGUAYQAsACAAWQBlAG0AZQBuAFwAIgAsACAAXAAiAFkAZQBtAGUAbgBcACIALAAgAFwAIgBrAGcAXAAiACwAIAAwAC4AOQA2ADMALAAgAFwAIgBhAHQAIABtAGEAcgBrAGUAdABcACIAOwBcAG4AIAAgACAAIAAgACAAIAAgAFwAIgBGAGUAcgB0AGkAbABpAHMAZQByAHMAXAAiACwAIABcACIASQBuAG8AcgBnAGEAbgBpAGMAIABmAGUAcgB0AGkAbABpAHMAZQByAHMAXAAiACwAIABcACIAWgBpAG4AYwAgAGYAcgBvAG0AIABmAGUAcgB0AGkAbABpAHoAZQByAFwAIgAsACAAXAAiAEcAbABvAGIAYQBsAFwAIgAsACAAXAAiAGsAZwAgAFoAbgBcACIALAAgADQALgA4ADI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8AdABoAGUAcgAgAGEAZwByAGkAYwB1AGwAdAB1AHIAYQBsACAAaQBuAHAAdQB0AHMAXABuAD0APQA9AD0APQA9AD0APQA9AD0APQA9AD0APQA9AD0APQA9AD0APQA9AD0APQA9AD0APQA9AD0APQA9AD0APQA9AD0APQA9AD0APQA9AD0APQA9AD0APQA9AD0APQA9AD0APQA9AD0APQA9AD0APQA9AD0APQA9AD0APQA9AD0APQA9AD0APQA9AD0APQA9AD0APQA9AD0AXABuACoALwBcAG4AXABuAFMAYwBvAHAAZQAzAF8ATwB0AGgAZQByAF8AVABpAHQAbABlAFwAbgA9AEwAQQBNAEIARABBACgAKABcACIATwB0AGgAZQByACAAYQBnAHIAaQBjAHUAbAB0AHUAcgBhAGwAIABpAG4AcAB1AHQAcwAgAHMAYwBvAHAAZQAgADMAXAAiACkAKQA7AFwAbgBcAG4AUwBjAG8AcABlADMAXwBPAHQAaABlAHI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PAHQAaABlAHIAXwBWAGEAcgBpAGEAdABpAG8AbgBcAG4APQBMAEEATQBCAEQAQQAoACgAXAAiAFwAIgApACkAOwBcAG4AXABuAFMAYwBvAHAAZQAzAF8ATwB0AGgAZQByAF8ARABhAHQAYQBcAG4APQBMAEEATQBCAEQAQQAoAFwAbgAgACAATQBBAEsARQBBAFIAUgBBAFkAKAA5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TwB0AGgAZQByAFwAIgAsACAAXAAiAE8AdABoAGUAcgBcACIALAAgAFwAIgBBAG4AaQBtAGEAbAAgAGUAYQByACAAdABhAGcAcwAgACgAbABhAHIAZwBlACkAXAAiACwAIABcACIAQQB1AHMAdAByAGEAbABpAGEAXAAiACwAIABcACIAcABcACIALAAgADAALgAwADQAMgA0ACwAIABcACIAYQB0ACAAbQBhAHIAawBlAHQAXAAiADsAXABuACAAIAAgACAAIAAgACAAIABcACIATwB0AGgAZQByAFwAIgAsACAAXAAiAE8AdABoAGUAcgBcACIALAAgAFwAIgBBAG4AaQBtAGEAbAAgAGUAYQByACAAdABhAGcAcwAgACgAcwBtAGEAbABsACkAXAAiACwAIABcACIAQQB1AHMAdAByAGEAbABpAGEAXAAiACwAIABcACIAcABcACIALAAgADAALgAwADIAOQAzACwAIABcACIAYQB0ACAAbQBhAHIAawBlAHQAXAAiADsAXABuACAAIAAgACAAIAAgACAAIABcACIATwB0AGgAZQByAFwAIgAsACAAXAAiAE8AdABoAGUAcgBcACIALAAgAFwAIgBCAGEAcgBsAGUAeQAgAGcAcgBhAGkAbgAgACgAZgBvAHIAIABzAGUAZQBkACkAXAAiACwAIABcACIAQQB1AHMAdAByAGEAbABpAGEAXAAiACwAIABcACIAawBnAFwAIgAsACAAMAAuADIAMwA5ACwAIABcACIAYQB0ACAAbQBhAHIAawBlAHQAXAAiADsAXABuACAAIAAgACAAIAAgACAAIABcACIATwB0AGgAZQByAFwAIgAsACAAXAAiAE8AdABoAGUAcgBcACIALAAgAFwAIgBNAGEAaQB6AGUAIABnAHIAYQBpAG4AIAAoAGYAbwByACAAcwBlAGUAZAApAFwAIgAsACAAXAAiAEEAdQBzAHQAcgBhAGwAaQBhAFwAIgAsACAAXAAiAGsAZwBcACIALAAgADAALgAxADgAMQAsACAAXAAiAGEAdAAgAG0AYQByAGsAZQB0AFwAIgA7AFwAbgAgACAAIAAgACAAIAAgACAAXAAiAE8AdABoAGUAcgBcACIALAAgAFwAIgBPAHQAaABlAHIAXAAiACwAIABcACIATgB5AGwAbwBuACAAbgBlAHQAdABpAG4AZwBcACIALAAgAFwAIgBHAGwAbwBiAGEAbABcACIALAAgAFwAIgBrAGcAXAAiACwAIAA5AC4AOAAxACwAIABcACIAYQB0ACAAbQBhAHIAawBlAHQAXAAiADsAXABuACAAIAAgACAAIAAgACAAIABcACIATwB0AGgAZQByAFwAIgAsACAAXAAiAE8AdABoAGUAcgBcACIALAAgAFwAIgBPAGEAdAAgAGcAcgBhAGkAbgAgACgAZgBvAHIAIABzAGUAZQBkACkAXAAiACwAIABcACIAQQB1AHMAdAByAGEAbABpAGEAXAAiACwAIABcACIAawBnAFwAIgAsACAAMAAuADIANwAsACAAXAAiAGEAdAAgAG0AYQByAGsAZQB0AFwAIgA7AFwAbgAgACAAIAAgACAAIAAgACAAXAAiAE8AdABoAGUAcgBcACIALAAgAFwAIgBPAHQAaABlAHIAXAAiACwAIABcACIAUwBvAHIAZwBoAHUAbQAgAGcAcgBhAGkAbgAgACgAZgBvAHIAIABzAGUAZQBkACkAXAAiACwAIABcACIAQQB1AHMAdAByAGEAbABpAGEAXAAiACwAIABcACIAawBnAFwAIgAsACAAMAAuADIAMwAyACwAIABcACIAYQB0ACAAbQBhAHIAawBlAHQAXAAiADsAXABuACAAIAAgACAAIAAgACAAIABcACIATwB0AGgAZQByAFwAIgAsACAAXAAiAE8AdABoAGUAcgBcACIALAAgAFwAIgBXAGgAZQBhAHQAIABnAHIAYQBpAG4AIAAoAGYAbwByACAAcwBlAGUAZAApAFwAIgAsACAAXAAiAEEAdQBzAHQAcgBhAGwAaQBhAFwAIgAsACAAXAAiAGsAZwBcACIALAAgADAALgAyADYAO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hAGMAawBhAGcAaQBuAGcAXABuAD0APQA9AD0APQA9AD0APQA9AD0APQA9AD0APQA9AD0APQA9AD0APQA9AD0APQA9AD0APQA9AD0APQA9AD0APQA9AD0APQA9AD0APQA9AD0APQA9AD0APQA9AD0APQA9AD0APQA9AD0APQA9AD0APQA9AD0APQA9AD0APQA9AD0APQA9AD0APQA9AD0APQA9AD0APQA9AD0AXABuACoALwBcAG4AXABuAFMAYwBvAHAAZQAzAF8AUABhAGMAawBhAGcAaQBuAGcAXwBUAGkAdABsAGUAXABuAD0ATABBAE0AQgBEAEEAKAAoAFwAIgBQAGEAYwBrAGEAZwBpAG4AZwAgAHMAYwBvAHAAZQAgADMAXAAiACkAKQA7AFwAbgBcAG4AUwBjAG8AcABlADMAXwBQAGEAYwBrAGEAZwBpAG4AZ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YQBjAGsAYQBnAGkAbgBnAF8AVgBhAHIAaQBhAHQAaQBvAG4AXABuAD0ATABBAE0AQgBEAEEAKAAoAFwAIgBcACIAKQApADsAXABuAFwAbgBTAGMAbwBwAGUAMwBfAFAAYQBjAGsAYQBnAGkAbgBnAF8ARABhAHQAYQBcAG4APQBMAEEATQBCAEQAQQAoAFwAbgAgACAATQBBAEsARQBBAFIAUgBBAFkAKAA1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hAGMAawBhAGcAaQBuAGcAXAAiACwAIABcACIAUABhAGMAawBhAGcAaQBuAGcAXAAiACwAIABcACIAQwBvAHIAcgB1AGcAYQB0AGUAZAAgAGIAbwBhAHIAZABcACIALAAgAFwAIgBHAGwAbwBiAGEAbABcACIALAAgAFwAIgBrAGcAXAAiACwAIAAxAC4AMAA1ACwAIABcACIAYQB0ACAAbQBhAG4AdQBmAGEAYwB0AHUAcgBlAHIAXAAiADsAXABuACAAIAAgACAAIAAgACAAIABcACIAUABhAGMAawBhAGcAaQBuAGcAXAAiACwAIABcACIAUABhAGMAawBhAGcAaQBuAGcAXAAiACwAIABcACIAUABsAGEAcwB0AGkAYwAgAGMAcgBhAHQAZQAgAHAAbwBsAHkAcAByAG8AcAB5AGwAZQBuAGUAXAAiACwAIABcACIARwBsAG8AYgBhAGwAXAAiACwAIABcACIAcABcACIALAAgADMALgA5ADkALAAgAFwAIgBhAHQAIABtAGEAbgB1AGYAYQBjAHQAdQByAGUAcgBcACIAOwBcAG4AIAAgACAAIAAgACAAIAAgAFwAIgBQAGEAYwBrAGEAZwBpAG4AZwBcACIALAAgAFwAIgBQAGEAYwBrAGEAZwBpAG4AZwBcACIALAAgAFwAIgBQAGwAYQBzAHQAaQBjACAAZgBpAGwAbQAgAEwARABQAEUAXAAiACwAIABcACIARwBsAG8AYgBhAGwAXAAiACwAIABcACIAawBnAFwAIgAsACAAMwAuADQANAAsACAAXAAiAGEAdAAgAG0AYQBuAHUAZgBhAGMAdAB1AHIAZQByAFwAIgA7AFwAbgAgACAAIAAgACAAIAAgACAAXAAiAFAAYQBjAGsAYQBnAGkAbgBnAFwAIgAsACAAXAAiAFAAYQBjAGsAYQBnAGkAbgBnAFwAIgAsACAAXAAiAFAAbABhAHMAdABpAGMAIABzAGgAZQBlAHQAIABIAEQAUABFAFwAIgAsACAAXAAiAEcAbABvAGIAYQBsAFwAIgAsACAAXAAiAGsAZwBcACIALAAgADMALgA3ADI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ZQBzAHQAaQBjAGkAZABlAHMAXABuAD0APQA9AD0APQA9AD0APQA9AD0APQA9AD0APQA9AD0APQA9AD0APQA9AD0APQA9AD0APQA9AD0APQA9AD0APQA9AD0APQA9AD0APQA9AD0APQA9AD0APQA9AD0APQA9AD0APQA9AD0APQA9AD0APQA9AD0APQA9AD0APQA9AD0APQA9AD0APQA9AD0APQA9AD0APQA9AD0AXABuACoALwBcAG4AXABuAFMAYwBvAHAAZQAzAF8AUABlAHMAdABpAGMAaQBkAGUAcwBfAFQAaQB0AGwAZQBcAG4APQBMAEEATQBCAEQAQQAoACgAXAAiAFAAZQBzAHQAaQBjAGkAZABlAHMAIABzAGMAbwBwAGUAIAAzAFwAIgApACkAOwBcAG4AXABuAFMAYwBvAHAAZQAzAF8AUABlAHMAdABpAGMAaQBkAGU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ZQBzAHQAaQBjAGkAZABlAHMAXwBWAGEAcgBpAGEAdABpAG8AbgBcAG4APQBMAEEATQBCAEQAQQAoACgAXAAiAFwAIgApACkAOwBcAG4AXABuAFMAYwBvAHAAZQAzAF8AUABlAHMAdABpAGMAaQBkAGUAcwBfAEQAYQB0AGEAXABuAD0ATABBAE0AQgBEAEEAKABcAG4AIAAgAE0AQQBLAEUAQQBSAFIAQQBZACgAMQAz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lAHMAdABpAGMAaQBkAGUAcwBcACIALAAgAFwAIgBQAGUAcwB0AGkAYwBpAGQAZQBzAFwAIgAsACAAXAAiADIALAA0AC0ARABcACIALAAgAFwAIgBHAGwAbwBiAGEAbABcACIALAAgAFwAIgBrAGcAIABBAEkAXAAiACwAIAA1AC4AMgAsACAAXAAiAGEAdAAgAG0AYQByAGsAZQB0AFwAIgA7AFwAbgAgACAAIAAgACAAIAAgACAAXAAiAFAAZQBzAHQAaQBjAGkAZABlAHMAXAAiACwAIABcACIAUABlAHMAdABpAGMAaQBkAGUAcwBcACIALAAgAFwAIgBBAHQAcgBhAHoAaQBuAGUAXAAiACwAIABcACIARwBsAG8AYgBhAGwAXAAiACwAIABcACIAawBnACAAQQBJAFwAIgAsACAAOAAuADMAOAAsACAAXAAiAGEAdAAgAG0AYQByAGsAZQB0AFwAIgA7AFwAbgAgACAAIAAgACAAIAAgACAAXAAiAFAAZQBzAHQAaQBjAGkAZABlAHMAXAAiACwAIABcACIAUABlAHMAdABpAGMAaQBkAGUAcwBcACIALAAgAFwAIgBEAGkAdQByAG8AbgBcACIALAAgAFwAIgBHAGwAbwBiAGEAbABcACIALAAgAFwAIgBrAGcAIABBAEkAXAAiACwAIAA4AC4AOAAsACAAXAAiAGEAdAAgAG0AYQByAGsAZQB0AFwAIgA7AFwAbgAgACAAIAAgACAAIAAgACAAXAAiAFAAZQBzAHQAaQBjAGkAZABlAHMAXAAiACwAIABcACIAUABlAHMAdABpAGMAaQBkAGUAcwBcACIALAAgAFwAIgBHAGwAeQBwAGgAbwBzAGEAdABlAFwAIgAsACAAXAAiAEcAbABvAGIAYQBsAFwAIgAsACAAXAAiAGsAZwAgAEEASQBcACIALAAgADEAMAAuADMALAAgAFwAIgBhAHQAIABtAGEAcgBrAGUAdABcACIAOwBcAG4AIAAgACAAIAAgACAAIAAgAFwAIgBQAGUAcwB0AGkAYwBpAGQAZQBzAFwAIgAsACAAXAAiAFAAZQBzAHQAaQBjAGkAZABlAHMAXAAiACwAIABcACIATQBhAG4AYwBvAHoAZQBiAFwAIgAsACAAXAAiAEcAbABvAGIAYQBsAFwAIgAsACAAXAAiAGsAZwAgAEEASQBcACIALAAgADQALgA1ADUALAAgAFwAIgBhAHQAIABtAGEAcgBrAGUAdABcACIAOwBcAG4AIAAgACAAIAAgACAAIAAgAFwAIgBQAGUAcwB0AGkAYwBpAGQAZQBzAFwAIgAsACAAXAAiAFAAZQBzAHQAaQBjAGkAZABlAHMAXAAiACwAIABcACIATQBDAFAAQQBcACIALAAgAFwAIgBHAGwAbwBiAGEAbABcACIALAAgAFwAIgBrAGcAIABBAEkAXAAiACwAIAA1AC4ANgAsACAAXAAiAGEAdAAgAG0AYQByAGsAZQB0AFwAIgA7AFwAbgAgACAAIAAgACAAIAAgACAAXAAiAFAAZQBzAHQAaQBjAGkAZABlAHMAXAAiACwAIABcACIAUABlAHMAdABpAGMAaQBkAGUAcwBcACIALAAgAFwAIgBNAGUAdABvAGwAYQBjAGgAbABvAHIAXAAiACwAIABcACIARwBsAG8AYgBhAGwAXAAiACwAIABcACIAawBnACAAQQBJAFwAIgAsACAAOAAuADAANgAsACAAXAAiAGEAdAAgAG0AYQByAGsAZQB0AFwAIgA7AFwAbgAgACAAIAAgACAAIAAgACAAXAAiAFAAZQBzAHQAaQBjAGkAZABlAHMAXAAiACwAIABcACIAUABlAHMAdABpAGMAaQBkAGUAcwBcACIALAAgAFwAIgBNAGUAdABzAHUAbABmAHUAcgBvAG4ALQBtAGUAdABoAHkAbABcACIALAAgAFwAIgBHAGwAbwBiAGEAbABcACIALAAgAFwAIgBrAGcAIABBAEkAXAAiACwAIAA4AC4AOAAsACAAXAAiAGEAdAAgAG0AYQByAGsAZQB0AFwAIgA7AFwAbgAgACAAIAAgACAAIAAgACAAXAAiAFAAZQBzAHQAaQBjAGkAZABlAHMAXAAiACwAIABcACIAUABlAHMAdABpAGMAaQBkAGUAcwBcACIALAAgAFwAIgBQAGUAcwB0AGkAYwBpAGQAZQBzACAAKABnAGUAbgBlAHIAaQBjACkAXAAiACwAIABcACIARwBsAG8AYgBhAGwAXAAiACwAIABcACIAawBnACAAQQBJAFwAIgAsACAAOQAuADEANgAsACAAXAAiAGEAdAAgAG0AYQByAGsAZQB0AFwAIgA7AFwAbgAgACAAIAAgACAAIAAgACAAXAAiAFAAZQBzAHQAaQBjAGkAZABlAHMAXAAiACwAIABcACIAUABlAHMAdABpAGMAaQBkAGUAcwBcACIALAAgAFwAIgBUAHIAaQAtAGEAbABsAGEAdABlAFwAIgAsACAAXAAiAEcAbABvAGIAYQBsAFwAIgAsACAAXAAiAGsAZwAgAEEASQBcACIALAAgADgALgA1ADcALAAgAFwAIgBhAHQAIABtAGEAcgBrAGUAdABcACIAOwBcAG4AIAAgACAAIAAgACAAIAAgAFwAIgBQAGUAcwB0AGkAYwBpAGQAZQBzAFwAIgAsACAAXAAiAFAAZQBzAHQAaQBjAGkAZABlAHMAXAAiACwAIABcACIAVAByAGkAYgBlAG4AdQByAG8AbgAgAG0AZQB0AGgAeQBsAFwAIgAsACAAXAAiAEcAbABvAGIAYQBsAFwAIgAsACAAXAAiAGsAZwAgAEEASQBcACIALAAgADgALgA4ACwAIABcACIAYQB0ACAAbQBhAHIAawBlAHQAXAAiADsAXABuACAAIAAgACAAIAAgACAAIABcACIAUABlAHMAdABpAGMAaQBkAGUAcwBcACIALAAgAFwAIgBQAGUAcwB0AGkAYwBpAGQAZQBzAFwAIgAsACAAXAAiAFQAcgBpAGYAbAB1AHIAYQBsAGkAbgBcACIALAAgAFwAIgBHAGwAbwBiAGEAbABcACIALAAgAFwAIgBrAGcAIABBAEkAXAAiACwAIAA2AC4AMQA2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TAG8AaQBsACAAYQBtAGUAbgBkAG0AZQBuAHQAcwBcAG4APQA9AD0APQA9AD0APQA9AD0APQA9AD0APQA9AD0APQA9AD0APQA9AD0APQA9AD0APQA9AD0APQA9AD0APQA9AD0APQA9AD0APQA9AD0APQA9AD0APQA9AD0APQA9AD0APQA9AD0APQA9AD0APQA9AD0APQA9AD0APQA9AD0APQA9AD0APQA9AD0APQA9AD0APQA9AD0APQBcAG4AKgAvAFwAbgBcAG4AUwBjAG8AcABlADMAXwBTAG8AaQBsAEEAbQBlAG4AZABtAGUAbgB0AHMAXwBUAGkAdABsAGUAXABuAD0ATABBAE0AQgBEAEEAKAAoAFwAIgBTAG8AaQBsACAAYQBtAGUAbgBkAG0AZQBuAHQAcwAgAHMAYwBvAHAAZQAgADMAXAAiACkAKQA7AFwAbgBcAG4AUwBjAG8AcABlADMAXwBTAG8AaQBsAEEAbQBlAG4AZABtAGUAbgB0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TAG8AaQBsAEEAbQBlAG4AZABtAGUAbgB0AHMAXwBWAGEAcgBpAGEAdABpAG8AbgBcAG4APQBMAEEATQBCAEQAQQAoACgAXAAiAFwAIgApACkAOwBcAG4AXABuAFMAYwBvAHAAZQAzAF8AUwBvAGkAbABBAG0AZQBuAGQAbQBlAG4AdABzAF8ARABhAHQAYQBcAG4APQBMAEEATQBCAEQAQQAoAFwAbgAgACAATQBBAEsARQBBAFIAUgBBAFkAKAA0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wBvAGkAbAAgAGEAbQBlAGwAaQBvAHIAYQBuAHQAcwBcACIALAAgAFwAIgBTAG8AaQBsACAAYQBtAGUAbABpAG8AcgBhAG4AdABzAFwAIgAsACAAXAAiAEQAbwBsAG8AbQBpAHQAZ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HAHkAcABzAHUAb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MAGkAbQBlAHMAdABvAG4AZQAgACgAYwByAHUAcwBoAGUAZAApAFwAIgAsACAAXAAiAEEAdQBzAHQAcgBhAGwAaQBhAFwAIgAsACAAXAAiAGsAZwBcACIALAAgADAALgAwADQAOAA1ACwAIABcACIAYQB0ACAAbQBhAHIAawBlAHQAXAAiAFwAbgAgACAAIAAgACAAIAB9ACwAIAByACwAIABjACkAXABuACkAKQApADsAXABu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CAAMQBcACIALAAgAFwAIgBCAHUAbABsACAAPgAgADEAXAAiACwAIABcACIAQwBvAHcAIAA8ACAAMQBcACIALAAgAFwAIgBDAG8AdwAgADEALQAyAFwAIgAsACAAXAAiAEMAbwB3ACAAPgAgADIAXAAiACwAIABcACIAUwB0AGUAZQByACAAPAAgADEAXAAiACwAIABcACIAUwB0AGUAZQByACAAPg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BzACAAPAAxAFwAIgAsACAAXAAiAEMAbwB3AHMAIAAxAC0AMgBcACIALAAgAFwAIgBDAG8AdwBzACAAMgAtADMAXAAiACwAIABcACIAQwBvAHcAc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JwBuAC8AYQAnACAAdwBpAHQAaAAgACcAUwBvAHUAdABoACAAVwBlAHMAdAAn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ADIAXAAiACwAIABcACIAUwB0AGUAZQByACAAPAAxAFwAIgAsACAAXAAiAFMAdABlAGUAcgAgAD4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yAC0AMwBcACIALAAgAFwAIgBDAG8Ad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CcAUwB0AGEAdABlACAAYQBiAGIAcgBlAHYAaQBhAHQAaQBvAG4AJ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PAAxAFwAIgAsACAAXAAiAEIAdQBsAGwAcwAgAD4AMQBcACIALAAgAFwAIgBDAG8AdwBzACAAPAAxAFwAIgAsACAAXAAiAEMAbwB3AHMAIAAxAC0AMgBcACIALAAgAFwAIgBDAG8AdwBzACAAPgAyAFwAIgAsACAAXAAiAFMAdABlAGUAcgAgADwAMQBcACIALAAgAFwAIgBTAHQAZQBlAHIAIAA+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PAA9ACAAMgAsACAAIABcACIAUwB1AG0AbQBlAHIAXAAiACwAXABuACAAIAAgACAAIAAgAE0ATwBOAFQASAAoAFAAdQByAGMAaABhAHMAZQBEAGEAdABlACkAIAA8AD0AIAA1ACwAIAAgAFwAIgBBAHUAdAB1AG0AbgBcACIALABcAG4AIAAgACAAIAAgACAATQBPAE4AVABIACgAUAB1AHIAYwBoAGEAcwBlAEQAYQB0AGUAKQAgADwAPQAgADgALAAgACAAXAAiAFcAaQBuAHQAZQByAFwAIgAsAFwAbgAgACAAIAAgACAAIABNAE8ATgBUAEgAKABQAHUAcgBjAGgAYQBzAGUARABhAHQAZQApACAAPA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8AdQByAGMAZQBEAGEAdABhAF8ARABhAGkAcgB5ACIALAAiAHQAZQB4AHQAIgA6ACIAXABuAC8AKgAgAFwAbgAtAC0ALQAtAC0ALQAtAC0ALQAtAC0ALQAtAC0ALQAtAC0ALQAtAC0ALQAtAC0ALQAtAC0ALQAtAC0ALQAtAC0ALQAtAC0ALQAtAC0AXABuAFMAbwB1AHIAYwBlAEQAYQB0AGEAXwBEAGEAaQByAHkAXwBMAGkAdgBlAHcAZQBpAGcAaAB0AEMAbwB3AHMAQQBuAGQASABlAGkAZgBlAHIAcwBcAG4AVABhAGIAbABlACAAQQAuADEALgAzAC4AMQA6ACAARABhAGkAcgB5ACAAYwBhAHQAdABsAGUAIAAtACAATABpAHYAZQB3AGUAaQBnAGgAdAAgACgAawBnACkAIAAtACAAQwBvAHcAcwAgAGEAbgBkACAASABlAGkAZgBlAHIAcwAgACgAVwBqACkAXABuAC0ALQAtAC0ALQAtAC0ALQAtAC0ALQAtAC0ALQAtAC0ALQAtAC0ALQAtAC0ALQAtAC0ALQAtAC0ALQAtAC0ALQAtAC0ALQAtAC0ALQBcAG4AKgAvAFwAbgBcAG4AUwBvAHUAcgBjAGUARABhAHQAYQBfAEQAYQBpAHIAeQBfAEwAaQB2AGUAdwBlAGkAZwBoAHQAQwBvAHcAcwBBAG4AZABIAGUAaQBmAGUAcgBzAF8AVABpAHQAbABlAFwAbgAgACAAPQBMAEEATQBCAEQAQQAoAFwAIgBUAGEAYgBsAGUAIABBAC4AMQAuADMALgAxADoAIABEAGEAaQByAHkAIABjAGEAdAB0AGwAZQAgAC0AIABMAGkAdgBlAHcAZQBpAGcAaAB0ACAAKABrAGcAKQAgAC0AIABDAG8AdwBzACAAYQBuAGQAIABIAGUAaQBmAGUAcgBzACAAKABXAGoAKQBcACIAKQA7AFwAbgBcAG4AUwBvAHUAcgBjAGUARABhAHQAYQBfAEQAYQBpAHIAeQBfAEwAaQB2AGUAdwBlAGkAZwBoAHQAQwBvAHcAcwBBAG4AZABIAGUAaQBmAGUAcgBzAF8AVgBhAHIAaQBhAGIAbABlAFwAbgAgACAAPQBMAEEATQBCAEQAQQAoAFwAIgBXAGoAXAAiACkAOwBcAG4AXABuAFMAbwB1AHIAYwBlAEQAYQB0AGEAXwBEAGEAaQByAHkAXwBMAGkAdgBlAHcAZQBpAGcAaAB0AEMAbwB3AHMAQQBuAGQASABlAGkAZgBlAHIAcwBfAFUAbgBpAHQAXABuACAAIAA9AEwAQQBNAEIARABBACgAXAAiAGsAZwBcACIAKQA7AFwAbgBcAG4AUwBvAHUAcgBjAGUARABhAHQAYQBfAEQAYQBpAHIAeQBfAEwAaQB2AGUAdwBlAGkAZwBoAHQAQwBvAHcAcwBBAG4AZABIAGUAaQBmAGUAcgBzAF8AUwBvAHUAcgBjAGUAXABuACAAIAA9AEwAQQBNAEIARABBACgAXAAiAFYARQBFAFIARwAgADIAMAAyADYAOgAgAFQAYQBiAGwAZQAgAEEALgAxAC4AMwAuADEAXAAiACkAOwBcAG4AXABuAFMAbwB1AHIAYwBlAEQAYQB0AGEAXwBEAGEAaQByAHkAXwBMAGkAdgBlAHcAZQBpAGcAaAB0AEMAbwB3AHMAQQBuAGQASABlAGkAZgBlAHIAcwBfAFYAYQByAGkAYQB0AGkAbwBuAFwAbgAgACAAPQBMAEEATQBCAEQAQQAoAFwAIgBWAEEAUgBJAEEAVABJAE8ATgAgAE8ARgAgAFMATwBVAFIAQwBFADoAIABFAHgAYwBsAHUAZABlAGQAIAAnAFIAZQBmAGUAcgBlAG4AYwBlACcALAAgAGEAcwAgAHQAaABlACAAdgBhAGwAdQBlACAAaQBzACAAYwBvAG4AcwBpAHMAdABlAG4AdABsAHkAIAAnAEQAYQBpAHIAeQAgAEEAdQBzAHQAcgBhAGwAaQBhACAAWwAxAF0AJ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A+ADEAXAAiACwAIABcACIASABlAGkAZgBlAHIAcwAgADwAMQAgACgAdwBlAGEAbgBlAGQAKQBcACIAOwBcAG4AIAAgACAAIAAgACAAIAAgACAAIABcACIATQBlAGQAaQB1AG0AIABGAHIAaQBlAHMAaQBhAG4AXAAiACwAIAA1ADUAMAAsACAAMwA4ADAALAAgADEANQA1ADsAXABuACAAIAAgACAAIAAgACAAIAAgACAAXAAiAEwAYQByAGcAZQAgAEYAcgBpAGUAcwBpAGEAbgBcACIALAAgADYAMAAwACwAIAA0ADEANQAsACAAMQA3ADAAOwBcAG4AIAAgACAAIAAgACAAIAAgACAAIABcACIASABvAGwAcwB0AGUAaQBuAC0ARgByAGkAZQBzAGkAYQBuAFwAIgAsACAANgA1ADAALAAgADQANQAwACwAIAAxADgANQA7AFwAbgAgACAAIAAgACAAIAAgACAAIAAgAFwAIgBGAHIAaQBlAHMAaQBhAG4AIABjAHIAbwBzAHMAYgByAGUAZABcACIALAAgADUAMAAwACwAIAAzADUAMAAsACAAMQA0ADUAOwBcAG4AIAAgACAAIAAgACAAIAAgACAAIABcACIASgBlAHIAcwBlAHkAXAAiACwAIAA0ADAAMAAsACAAMgA3ADUALAAgADEAMQA1ADsAXABuACAAIAAgACAAIAAgACAAIAAgACAAXAAiAEoAZQByAHMAZQB5ACAAYwByAG8AcwBzAGIAcgBlAGQAXAAiACwAIAA0ADUAMAAsACAAMwAxADUALAAgADEAMwAwADsAXABuACAAIAAgACAAIAAgACAAIAAgACAAXAAiAEEAeQByAHMAaABpAHIAZQBcACIALAAgADUANAAwACwAIAAzADcANQAsACAAMQA1ADAAOwBcAG4AIAAgACAAIAAgACAAIAAgACAAIABcACIARwB1AGUAcgBuAHMAZQB5AFwAIgAsACAANAA4ADAALAAgADMAMwA1ACwAIAAxADQAMAA7AFwAbgAgACAAIAAgACAAIAAgACAAIAAgAFwAIgBCAHIAbwB3AG4AIABTAHcAaQBzAHMAXAAiACwAIAA2ADAAMAAsACAANAAxADUALAAgADEANwAwADsAXABuACAAIAAgACAAIAAgACAAIAAgACAAXAAiAEkAbABsAGEAdwBhAHIAcgBhAC8AQQB1AHMAcwBpAGUAIABSAGUAZABcACIALAAgADUANQAwACwAIAAzADcANQAsACAAMQA1ADA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ABpAHYAZQB3AGUAaQBnAGgAdABCAHUAbABsAHMAXABuAFQAYQBiAGwAZQAgAEEALgAxAC4AMwAuADIAOgAgAEQAYQBpAHIAeQAgAGMAYQB0AHQAbABlACAALQAgAEwAaQB2AGUAdwBlAGkAZwBoAHQAIAAoAGsAZwApACAALQAgAEIAdQBsAGwAcwAgACgAVwBqACkAXABuAC0ALQAtAC0ALQAtAC0ALQAtAC0ALQAtAC0ALQAtAC0ALQAtAC0ALQAtAC0ALQAtAC0ALQAtAC0ALQAtAC0ALQAtAC0ALQAtAC0ALQBcAG4AKgAvAFwAbgBcAG4AUwBvAHUAcgBjAGUARABhAHQAYQBfAEQAYQBpAHIAeQBfAEwAaQB2AGUAdwBlAGkAZwBoAHQAQgB1AGwAbABzAF8AVABpAHQAbABlAFwAbgAgACAAPQBMAEEATQBCAEQAQQAoAFwAIgBUAGEAYgBsAGUAIABBAC4AMQAuADMALgAyADoAIABEAGEAaQByAHkAIABjAGEAdAB0AGwAZQAgAC0AIABMAGkAdgBlAHcAZQBpAGcAaAB0ACAAKABrAGcAKQAgAC0AIABCAHUAbABsAHMAIAAoAFcAagApAFwAIgApADsAXABuAFwAbgBTAG8AdQByAGMAZQBEAGEAdABhAF8ARABhAGkAcgB5AF8ATABpAHYAZQB3AGUAaQBnAGgAdABCAHUAbABsAHMAXwBWAGEAcgBpAGEAYgBsAGUAXABuACAAIAA9AEwAQQBNAEIARABBACgAXAAiAFcAagBcACIAKQA7AFwAbgBcAG4AUwBvAHUAcgBjAGUARABhAHQAYQBfAEQAYQBpAHIAeQBfAEwAaQB2AGUAdwBlAGkAZwBoAHQAQgB1AGwAbABzAF8AVQBuAGkAdABcAG4AIAAgAD0ATABBAE0AQgBEAEEAKABcACIAawBnAFwAIgApADsAXABuAFwAbgBTAG8AdQByAGMAZQBEAGEAdABhAF8ARABhAGkAcgB5AF8ATABpAHYAZQB3AGUAaQBnAGgAdABCAHUAbABsAHMAXwBTAG8AdQByAGMAZQBcAG4AIAAgAD0ATABBAE0AQgBEAEEAKABcACIAVgBFAEUAUgBHACAAMgAwADIANgA6ACAAVABhAGIAbABlACAAQQAuADEALgAzAC4AMgBcACIAKQA7AFwAbgBcAG4AUwBvAHUAcgBjAGUARABhAHQAYQBfAEQAYQBpAHIAeQBfAEwAaQB2AGUAdwBlAGkAZwBoAHQAQgB1AGwAbABzAF8AVgBhAHIAaQBhAHQAaQBvAG4AXABuACAAIAA9AEwAQQBNAEIARABBACgAXAAiAFwAIgApADsAXABuAFwAbgBTAG8AdQByAGMAZQBEAGEAdABhAF8ARABhAGkAcgB5AF8ATABpAHYAZQB3AGUAaQBnAGgAdABCAHUAbABsAHMAXwBEAGEAdABhAFwAbgAgACAAPQBMAEEATQBCAEQAQQAoAFwAbgAgACAAIAAgAE0AQQBLAEUAQQBSAFIAQQBZACgAMgAsACAAMwAsAFwAbgAgACAAIAAgACAAIABMAEEATQBCAEQAQQAoAHIALABjACwAXABuACAAIAAgACAAIAAgACAAIABJAE4ARABFAFgAKAB7AFwAbgAgACAAIAAgACAAIAAgACAAIAAgAFwAIgBCAHIAZQBlAGQAXAAiACwAIABcACIAQgB1AGwAbABzACAAPgAxAFwAIgAsACAAXAAiAEIAdQBsAGwAcwAgADw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A+ADEAXAAiACwAIABcACIASABlAGkAZgBlAHIAcwAgADwAMQAgACgAdwBlAGEAbgBlAGQAKQBcACIALAAgAFwAIgBCAHUAbABsAHMAIAA+ADEAXAAiACwAIABcACIAQgB1AGwAbABzACAAPAAxACAAKAB3AGUAYQBuAGUAZAApAFwAIgA7AFwAbgAgACAAIAAgACAAIAAgACAAIAAgADAALgAwADEANgAsACAAMAAuADYALAAgADAALgA1ADcALAAgADAALgAxACwAIAAwAC4AO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IAZQBmAGUAcgBlAG4AYwBlAFcAZQBpAGcAaAB0AHMAXABuAFQAYQBiAGwAZQAgAEEALgAxAC4AMwAuADQAOgAgAEQAYQBpAHIAeQAgAGMAYQB0AHQAbABlACAALQAgAFIAZQBmAGUAcgBlAG4AYwBlACAAdwBlAGkAZwBoAHQAcwAgACgAawBnACkAIAAoAFcAUgBqACkAXABuAC0ALQAtAC0ALQAtAC0ALQAtAC0ALQAtAC0ALQAtAC0ALQAtAC0ALQAtAC0ALQAtAC0ALQAtAC0ALQAtAC0ALQAtAC0ALQAtAC0ALQBcAG4AKgAvAFwAbgBcAG4AUwBvAHUAcgBjAGUARABhAHQAYQBfAEQAYQBpAHIAeQBfAFIAZQBmAGUAcgBlAG4AYwBlAFcAZQBpAGcAaAB0AHMAXwBUAGkAdABsAGUAXABuACAAIAA9AEwAQQBNAEIARABBACgAXAAiAFQAYQBiAGwAZQAgAEEALgAxAC4AMwAuADQAOgAgAEQAYQBpAHIAeQAgAGMAYQB0AHQAbABlACAALQAgAFIAZQBmAGUAcgBlAG4AYwBlACAAdwBlAGkAZwBoAHQAcwAgACgAawBnACkAIAAoAFcAUgBqACkAXAAiACkAOwBcAG4AXABuAFMAbwB1AHIAYwBlAEQAYQB0AGEAXwBEAGEAaQByAHkAXwBSAGUAZgBlAHIAZQBuAGMAZQBXAGUAaQBnAGgAdABzAF8AVgBhAHIAaQBhAGIAbABlAFwAbgAgACAAPQBMAEEATQBCAEQAQQAoAFwAIgBXAFIAagBcACIAKQA7AFwAbgBcAG4AUwBvAHUAcgBjAGUARABhAHQAYQBfAEQAYQBpAHIAeQBfAFIAZQBmAGUAcgBlAG4AYwBlAFcAZQBpAGcAaAB0AHMAXwBVAG4AaQB0AFwAbgAgACAAPQBMAEEATQBCAEQAQQAoAFwAIgBrAGcAXAAiACkAOwBcAG4AXABuAFMAbwB1AHIAYwBlAEQAYQB0AGEAXwBEAGEAaQByAHkAXwBSAGUAZgBlAHIAZQBuAGMAZQBXAGUAaQBnAGgAdABzAF8AUwBvAHUAcgBjAGUAXABuACAAIAA9AEwAQQBNAEIARABBACgAXAAiAFYARQBFAFIARwAgADIAMAAyADYAOgAgAFQAYQBiAGwAZQAgAEEALgAxAC4AMwAuADQAXAAiACkAOwBcAG4AXABuAFMAbwB1AHIAYwBlAEQAYQB0AGEAXwBEAGEAaQByAHkAXwBSAGUAZgBlAHIAZQBuAGMAZQBXAGUAaQBnAGgAdABzAF8AVgBhAHIAaQBhAHQAaQBvAG4AXABuACAAIAA9AEwAQQBNAEIARABBACgAXAAiAFwAIgApADsAXABuAFwAbgBTAG8AdQByAGMAZQBEAGEAdABhAF8ARABhAGkAcgB5AF8AUgBlAGYAZQByAGUAbgBjAGUAVwBlAGkAZwBoAHQAcw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A+ADEAXAAiACwAIABcACIASABlAGkAZgBlAHIAcwAgADwAMQAgACgAdwBlAGEAbgBlAGQAKQBcACIALAAgAFwAIgBCAHUAbABsAHMAIAA+ADEAXAAiACwAIABcACIAQgB1AGwAbABzACAAPA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CcAQQBuAGkAbQBhAGwAIABjAGwAYQBzAHMAIABqACcAIABjAG8AbAB1AG0AbgAgAGgAZQBhAGQAZQByAFwAIgApADsAXABuAFwAbgBTAG8AdQByAGMAZQBEAGEAdABhAF8ARABhAGkAcgB5AF8AUAByAGUAVwBlAGEAbgBlAGQAQwBhAGwAdgBlAHMAXwBEAGEAdABhAFwAbgAgACAAPQBMAEEATQBCAEQAQQAoAFwAbgAgACAAIAAgAE0AQQBLAEUAQQBSAFIAQQBZACgANAAsACAANAAsAFwAbgAgACAAIAAgACAAIABMAEEATQBCAEQAQQAoAHIALABjACwAXABuACAAIAAgACAAIAAgACAAIABJAE4ARABFAFgAKAB7AFwAbgAgACAAIAAgACAAIAAgACAAIAAgAFwAIgBBAG4AaQBtAGEAbAAgAGMAbABhAHMAcwAgAGoAXAAiACwAIABcACIAQwBIADQAIABwAHIAbwBkAHUAYwB0AGkAbwBuAFwAIgAsACAAXAAiAFYAbwBsAGEAdABpAGwAZQAgAHMAbwBsAGkAZABzACAAKABWAFMAagA9ADMALAA1ACkAXAAiACwAIABcACIATgBpAHQAcgBvAGcAZQBuACAARQB4AGMAcgBlAHQAZQBkACAAKABOAFAAVwBqAD0AMwAsADUAKQBcACIAOwBcAG4AIAAgACAAIAAgACAAIAAgACAAIABcACIAXAAiACwAIABcACIAKABrAGcALwBkAGEAeQApAFwAIgAsACAAXAAiACgAawBnAC8AZABhAHkAKQBcACIALAAgAFwAIgAoAGsAZwAvAGQAYQB5ACkAXAAiADsAXABuACAAIAAgACAAIAAgACAAIAAgACAAXAAiAEgAZQBpAGYAZQByAHMAPAAxAFwAIgAsACAAMAAuADAAMQA3ADYALAAgADAALgAyADYAOAA1ACwAIAAwAC4AMAAxADMANwA7AFwAbgAgACAAIAAgACAAIAAgACAAIAAgAFwAIgBCAHUAbABsAHMAPA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4AaQB0AHIAbwB1AHMATwB4AGkAZABlAEUARgBzAEEAbgBkAEYAcgBhAGMARwBBAFMATQBfAEQAYQB0AGEAXABuACAAIAA9AEwAQQBNAEIARABBACgAXABuACAAIAAgACAATQBBAEsARQBBAFIAUgBBAFkAKAA2ACwAIAA0ACwAXABuACAAIAAgACAAIAAgAEwAQQBNAEIARABBACgAcgAsAGMALABcAG4AIAAgACAAIAAgACAAIAAgAEkATgBEAEUAWAAoAHsAXABuACAAIAAgACAAIAAgACAAIAAgACAAXAAiAE0ATQBTACAAbQBcACIALAAgAFwAIgBFAEYAbQAgACgAawBnACAATgAyAE8ALQBOAC8AawBnACAATgAgAGUAeABjAHIAZQB0AGUAZAApAFwAIgAsACAAXAAiAEYAcgBhAGMARwBBAFMATQBtACAAKABrAGcAIABOADIATwAtAE4ALwBrAGcAIABOACAAZQB4AGMAcgBlAHQAZQBkACkAXAAiACwAIABcACIATgBJAFIAIAByAGUAZgBlAHIAZQBuAGMAZQBcACIAOwBcAG4AIAAgACAAIAAgACAAIAAgACAAIABcACIATQA9ADEANAAgAFAAYQBzAHQAdQByAGUAXAAiACwAIAAwACwAIAAwACwAIABcACIAUABhAHMAdAB1AHIAZQAgAHIAYQBuAGcAZQAgAGEAbgBkACAAcABhAGQAZABvAGMAawBcACIAOwBcAG4AIAAgACAAIAAgACAAIAAgACAAIABcACIATQA9ADEAIABBAG4AYQBlAHIAbwBiAGkAYwAgAGwAYQBnAG8AbwBuAFwAIgAsACAAMAAsACAAMAAuADMANQAsACAAXAAiAEEAbgBhAGUAcgBvAGIAaQBjACAAbABhAGcAbwBvAG4AXAAiADsAXABuACAAIAAgACAAIAAgACAAIAAgACAAXAAiAE0APQAyACAARABhAGkAbAB5ACAAUwBwAHIAZQBhAGQAIAAtACAAUwB1AG0AcAAgAGEAbgBkACAARABpAHMAcABlAHIAcwBhAGwAXAAiACwAIAAwACwAIAAwAC4AMAA3ACwAIABcACIAUwB1AG0AcAAgAGEAbgBkACAAZABpAHMAcABlAHIAcwBhAGwAIABzAHkAcwB0AGUAbQBcACIAOwBcAG4AIAAgACAAIAAgACAAIAAgACAAIABcACIATQA9ADMAIABEAGEAaQBsAHkAIABTAHAAcgBlAGEAZAAgAC0AIABEAHIAYQBpAG4AcwAgAHQAbwAgAFAAYQBkAGQAbwBjAGsAXAAiACwAIAAwACwAIAAwAC4AMgAsACAAXAAiAEQAcgBhAGkAbgBzACAAdABvACAAcABhAGQAZABvAGMAawBcACIAOwBcAG4AIAAgACAAIAAgACAAIAAgACAAIABcACIATQA9ADMAIABTAG8AbABpAGQAIABTAHQAbwByAGEAZwBlAFwAIgAsACAAMAAuADAAMAA1ACwAIAAwAC4AMwAsACAAXAAiAFMAbwBsAGkAZ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0AZQB0AGgAYQBuAGUAUAByAG8AZAB1AGMAdABpAG8AbgBQAHIAZQBXAGUAYQBuAGUAZABDAGEAbAB2AGUAcwBcAG4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BuAC0ALQAtAC0ALQAtAC0ALQAtAC0ALQAtAC0ALQAtAC0ALQAtAC0ALQAtAC0ALQAtAC0ALQAtAC0ALQAtAC0ALQAtAC0ALQAtAC0ALQBcAG4AKgAvAFwAbgBcAG4AUwBvAHUAcgBjAGUARABhAHQAYQBfAEQAYQBpAHIAeQBfAE0AZQB0AGgAYQBuAGUAUAByAG8AZAB1AGMAdABpAG8AbgBQAHIAZQBXAGUAYQBuAGUAZABDAGEAbAB2AGUAcwBfAFQAaQB0AGwAZQBcAG4AIAAgAD0ATABBAE0AQgBEAEEAKABcACI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AiACkAOwBcAG4AXABuAFMAbwB1AHIAYwBlAEQAYQB0AGEAXwBEAGEAaQByAHkAXwBNAGUAdABoAGEAbgBlAFAAcgBvAGQAdQBjAHQAaQBvAG4AUAByAGUAVwBlAGEAbgBlAGQAQwBhAGwAdgBlAHMAXwBWAGEAcgBpAGEAYgBsAGUAXABuACAAIAA9AEwAQQBNAEIARABBACgAXAAiAE0AUABXAEUATgBUAEUAUgBJAEMALABqAD0AMwAsADUAXAAiACkAOwBcAG4AXABuAFMAbwB1AHIAYwBlAEQAYQB0AGEAXwBEAGEAaQByAHkAXwBNAGUAdABoAGEAbgBlAFAAcgBvAGQAdQBjAHQAaQBvAG4AUAByAGUAVwBlAGEAbgBlAGQAQwBhAGwAdgBlAHMAXwBVAG4AaQB0AFwAbgAgACAAPQBMAEEATQBCAEQAQQAoAFwAIgBrAGcAIABDAEgANAAvAGgAZQBhAGQALwBkAGEAeQBcACIAKQA7AFwAbgBcAG4AUwBvAHUAcgBjAGUARABhAHQAYQBfAEQAYQBpAHIAeQBfAE0AZQB0AGgAYQBuAGUAUAByAG8AZAB1AGMAdABpAG8AbgBQAHIAZQBXAGUAYQBuAGUAZABDAGEAbAB2AGUAcwBfAFMAbwB1AHIAYwBlAFwAbgAgACAAPQBMAEEATQBCAEQAQQAoAFwAIgBWAEUARQBSAEcAIAAyADAAMgA2ADoAIABUAGEAYgBsAGUAIABBAC4AMQAuADMALgA4AFwAIgApADsAXABuAFwAbgBTAG8AdQByAGMAZQBEAGEAdABhAF8ARABhAGkAcgB5AF8ATQBlAHQAaABhAG4AZQBQAHIAbwBkAHUAYwB0AGkAbwBuAFAAcgBlAFcAZQBhAG4AZQBkAEMAYQBsAHYAZQBzAF8AVgBhAHIAaQBhAHQAaQBvAG4AXABuACAAIAA9AEwAQQBNAEIARABBACgAXAAiAFwAIgApADsAXABuAFwAbgBTAG8AdQByAGMAZQBEAGEAdABhAF8ARABhAGkAcgB5AF8ATQBlAHQAaABhAG4AZQBQAHIAbwBkAHUAYwB0AGkAbwBuAFAAcgBlAFcAZQBhAG4AZQBkAEMAYQBsAHYAZQBz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ABXAEUATgBUAEUAUgBJAEMAXAAiADsAXABuACAAIAAgACAAIAAgACAAIAAgACAAXAAiAEgAZQBpAGYAZQByAHMAIAA8ACAAMQAgAHkAZQBhAHIAXAAiACwAIAAwAC4AMAAxADcANgA7AFwAbgAgACAAIAAgACAAIAAgACAAIAAgAFwAIgBCAHUAbABsAHMAIAA8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CcAQQBuAG4AdQBhAGwAIABmAHIAYQBjAHQAaQBvAG4AIABvAGYAIAB0AGkAbQBlACAAcwBwAGUAbgB0ACAAcABlAHIAIABhAHIAZQBhAC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A8ADEAMAAgAGgAcgAvAGQAYQB5ACAAZgBvAHIAIAA8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PgAgADEAIAB5AGUAYQByAFwAIgAsACAAMwA2ADUALAAgADAAOwBcAG4AIAAgACAAIAAgACAAIAAgACAAIABcACIASABlAGkAZgBlAHIAcwAgADwAIAAxACAAeQBlAGEAcgBcACIALAAgADIAOAAxACwAIAA4ADQAOwBcAG4AIAAgACAAIAAgACAAIAAgACAAIABcACIAQgB1AGwAbABzACAAPgAgADEAIAB5AGUAYQByAFwAIgAsACAAMwA2ADUALAAgADAAOwBcAG4AIAAgACAAIAAgACAAIAAgACAAIABcACIAQgB1AGwAbABzACAAPAAgADEAIAB5AGUAYQByAFwAIgAsACAAMgA4ADEALAAgADgAN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DAHIAdQBkAGUAUAByAG8AdABlAGkAbgBcAG4AQwByAHUAZABlACAAcAByAG8AdABlAGkAbgAgAGMAbwBuAHQAZQBuAHQAIABvAGYAIABmAGUAZQBkACAAaQBuAHQAYQBrAGUAXABuAC0ALQAtAC0ALQAtAC0ALQAtAC0ALQAtAC0ALQAtAC0ALQAtAC0ALQAtAC0ALQAtAC0ALQAtAC0ALQAtAC0ALQAtAC0ALQAtAC0ALQBcAG4AKgAvAFwAbgBcAG4AUwBvAHUAcgBjAGUARABhAHQAYQBfAEQAYQBpAHIAeQBfAEMAcgB1AGQAZQBQAHIAbwB0AGUAaQBuAF8AVABpAHQAbABlAFwAbgAgACAAPQBMAEEATQBCAEQAQQAoAFwAIgBDAHIAdQBkAGUAIABwAHIAbwB0AGUAaQBuACAAYwBvAG4AdABlAG4AdAAgAG8AZgAgAGYAZQBlAGQAIABpAG4AdABhAGsAZQBcACIAKQA7AFwAbgBcAG4AUwBvAHUAcgBjAGUARABhAHQAYQBfAEQAYQBpAHIAeQBfAEMAcgB1AGQAZQBQAHIAbwB0AGUAaQBuAF8AVgBhAHIAaQBhAGIAbABlAFwAbgAgACAAPQBMAEEATQBCAEQAQQAoAFwAIgBDAFAAXAAiACkAOwBcAG4AXABuAFMAbwB1AHIAYwBlAEQAYQB0AGEAXwBEAGEAaQByAHkAXwBDAHIAdQBkAGUAUAByAG8AdABlAGkAbgBfAFUAbgBpAHQAXABuACAAIAA9AEwAQQBNAEIARABBACgAXAAiAGYAcgBhAGMAdABpAG8AbgBcACIAKQA7AFwAbgBcAG4AUwBvAHUAcgBjAGUARABhAHQAYQBfAEQAYQBpAHIAeQBfAEMAcgB1AGQAZQBQAHIAbwB0AGUAaQBuAF8AUwBvAHUAcgBjAGUAXABuACAAIAA9AEwAQQBNAEIARABBACgAXAAiAFYARQBFAFIARwAgADIAMAAyADYAOgAgADQALgAzAC4AMgAuADIAXAB0AEQAQQBUAEEAIAAoAE0ARQBUAEgATwBEACAAMQAgAEEATgBEACAAMgAgAE8AUABUAEkATwBOAFMAKQBcACIAKQA7AFwAbgBcAG4AUwBvAHUAcgBjAGUARABhAHQAYQBfAEQAYQBpAHIAeQBfAEMAcgB1AGQAZQBQAHIAbwB0AGUAaQBuAF8AVgBhAHIAaQBhAHQAaQBvAG4AXABuACAAIAA9AEwAQQBNAEIARABBACgAXAAiAFwAIgApADsAXABuAFwAbgBTAG8AdQByAGMAZQBEAGEAdABhAF8ARABhAGkAcgB5AF8AQwByAHUAZABlAFAAcgBvAHQAZQBpAG4AXwBEAGEAdABhAFwAbgAgACAAPQBMAEEATQBCAEQAQQAoADAALgAyADAAKQA7AFwAbgBcAG4AXABuAC8AKgAgAFwAbgAtAC0ALQAtAC0ALQAtAC0ALQAtAC0ALQAtAC0ALQAtAC0ALQAtAC0ALQAtAC0ALQAtAC0ALQAtAC0ALQAtAC0ALQAtAC0ALQAtAC0AXABuAFMAbwB1AHIAYwBlAEQAYQB0AGEAXwBEAGEAaQByAHkAXwBEAHIAeQBNAGEAdAB0AGUAcgBEAGkAZwBlAHMAdABpAGIAaQBsAGkAdAB5AFwAbgBEAHIAeQAgAG0AYQB0AHQAZQByACAAZABpAGcAZQBzAHQAaQBiAGkAbABpAHQAeQBcAG4ALQAtAC0ALQAtAC0ALQAtAC0ALQAtAC0ALQAtAC0ALQAtAC0ALQAtAC0ALQAtAC0ALQAtAC0ALQAtAC0ALQAtAC0ALQAtAC0ALQAtAFwAbgAqAC8AXABuAFwAbgBTAG8AdQByAGMAZQBEAGEAdABhAF8ARABhAGkAcgB5AF8ARAByAHkATQBhAHQAdABlAHIARABpAGcAZQBzAHQAaQBiAGkAbABpAHQAeQBfAFQAaQB0AGwAZQBcAG4AIAAgAD0ATABBAE0AQgBEAEEAKABcACIARAByAHkAIABtAGEAdAB0AGUAcgAgAGQAaQBnAGUAcwB0AGkAYgBpAGwAaQB0AHkAXAAiACkAOwBcAG4AXABuAFMAbwB1AHIAYwBlAEQAYQB0AGEAXwBEAGEAaQByAHkAXwBEAHIAeQBNAGEAdAB0AGUAcgBEAGkAZwBlAHMAdABpAGIAaQBsAGkAdAB5AF8AVgBhAHIAaQBhAGIAbABlAFwAbgAgACAAPQBMAEEATQBCAEQAQQAoAFwAIgBEAE0ARABcACIAKQA7AFwAbgBcAG4AUwBvAHUAcgBjAGUARABhAHQAYQBfAEQAYQBpAHIAeQBfAEQAcgB5AE0AYQB0AHQAZQByAEQAaQBnAGUAcwB0AGkAYgBpAGwAaQB0AHkAXwBVAG4AaQB0AFwAbgAgACAAPQBMAEEATQBCAEQAQQAoAFwAIgBmAHIAYQBjAHQAaQBvAG4AXAAiACkAOwBcAG4AXABuAFMAbwB1AHIAYwBlAEQAYQB0AGEAXwBEAGEAaQByAHkAXwBEAHIAeQBNAGEAdAB0AGUAcgBEAGkAZwBlAHMAdABpAGIAaQBsAGkAdAB5AF8AUwBvAHUAcgBjAGUAXABuACAAIAA9AEwAQQBNAEIARABBACgAXAAiAFYARQBFAFIARwAgADIAMAAyADYAOgAgADMALgAzAC4AMgAuADIAXAB0AEQAQQBUAEEAIAAoAE0ARQBUAEgATwBEACAAMQAgAEEATgBEACAAMgAgAE8AUABUAEkATwBOAFMAKQBcACIAKQA7AFwAbgBcAG4AUwBvAHUAcgBjAGUARABhAHQAYQBfAEQAYQBpAHIAeQBfAEQAcgB5AE0AYQB0AHQAZQByAEQAaQBnAGUAcwB0AGkAYgBpAGwAaQB0AHkAXwBWAGEAcgBpAGEAdABpAG8AbgBcAG4AIAAgAD0ATABBAE0AQgBEAEEAKABcACIAXAAiACkAOwBcAG4AXABuAFMAbwB1AHIAYwBlAEQAYQB0AGEAXwBEAGEAaQByAHkAXwBEAHIAeQBNAGEAdAB0AGUAcgBEAGkAZwBlAHMAdABpAGIAaQBsAGkAdAB5AF8ARABhAHQAYQBcAG4AIAAgAD0ATABBAE0AQgBEAEEAKAAwAC4ANwA1ACkAOwBcAG4AXABuAFwAbgAvACoAIABcAG4ALQAtAC0ALQAtAC0ALQAtAC0ALQAtAC0ALQAtAC0ALQAtAC0ALQAtAC0ALQAtAC0ALQAtAC0ALQAtAC0ALQAtAC0ALQAtAC0ALQAtAFwAbgBTAG8AdQByAGMAZQBEAGEAdABhAF8ARABhAGkAcgB5AF8ATgBlAHQARQBuAGUAcgBnAHkAXABuAE4AZQB0ACAAZQBuAGUAcgBnAHkAIAByAGUAcQB1AGkAcgBlAGQAIABmAG8AcgAgAG0AaQBsAGsAIABwAHIAbwBkAHUAYwB0AGkAbwBuAFwAbgAtAC0ALQAtAC0ALQAtAC0ALQAtAC0ALQAtAC0ALQAtAC0ALQAtAC0ALQAtAC0ALQAtAC0ALQAtAC0ALQAtAC0ALQAtAC0ALQAtAC0AXABuACoALwBcAG4AXABuAFMAbwB1AHIAYwBlAEQAYQB0AGEAXwBEAGEAaQByAHkAXwBOAGUAdABFAG4AZQByAGcAeQBfAFQAaQB0AGwAZQBcAG4AIAAgAD0ATABBAE0AQgBEAEEAKABcACIATgBlAHQAIABlAG4AZQByAGcAeQAgAHIAZQBxAHUAaQByAGUAZAAgAGYAbwByACAAbQBpAGwAawAgAHAAcgBvAGQAdQBjAHQAaQBvAG4AXAAiACkAOwBcAG4AXABuAFMAbwB1AHIAYwBlAEQAYQB0AGEAXwBEAGEAaQByAHkAXwBOAGUAdABFAG4AZQByAGcAeQBfAFYAYQByAGkAYQBiAGwAZQBcAG4AIAAgAD0ATABBAE0AQgBEAEEAKABcACIATgBFAFwAIgApADsAXABuAFwAbgBTAG8AdQByAGMAZQBEAGEAdABhAF8ARABhAGkAcgB5AF8ATgBlAHQARQBuAGUAcgBnAHkAXwBVAG4AaQB0AFwAbgAgACAAPQBMAEEATQBCAEQAQQAoAFwAIgBNAEoAIABuAGUAdAAgAGUAbgBlAHIAZwB5ACAALwAgAGsAZwAgAG0AaQBsAGsAXAAiACkAOwBcAG4AXABuAFMAbwB1AHIAYwBlAEQAYQB0AGEAXwBEAGEAaQByAHkAXwBOAGUAdABFAG4AZQByAGcAeQBfAFMAbwB1AHIAYwBlAFwAbgAgACAAPQBMAEEATQBCAEQAQQAoAFwAIgBWAEUARQBSAEcAIAAyADAAMgA2ADoAIAAzAC4AMwAuADIALgAzACAAQwBPAE4AUwBUAEEATgBUAFMAXAAiACkAOwBcAG4AXABuAFMAbwB1AHIAYwBlAEQAYQB0AGEAXwBEAGEAaQByAHkAXwBOAGUAdABFAG4AZQByAGcAeQBfAFYAYQByAGkAYQB0AGkAbwBuAFwAbgAgACAAPQBMAEEATQBCAEQAQQAoAFwAIgBcACIAKQA7AFwAbgBcAG4AUwBvAHUAcgBjAGUARABhAHQAYQBfAEQAYQBpAHIAeQBfAE4AZQB0AEUAbgBlAHIAZwB5AF8ARABhAHQAYQBcAG4AIAAgAD0ATABBAE0AQgBEAEEAKAAzAC4AMAA1ADQAKQA7AFwAbgBcAG4AXABuAC8AKgAgAFwAbgAtAC0ALQAtAC0ALQAtAC0ALQAtAC0ALQAtAC0ALQAtAC0ALQAtAC0ALQAtAC0ALQAtAC0ALQAtAC0ALQAtAC0ALQAtAC0ALQAtAC0AXABuAFMAbwB1AHIAYwBlAEQAYQB0AGEAXwBEAGEAaQByAHkAXwBHAHIAbwBzAHMARQBuAGUAcgBnAHkAQwBvAG4AdABlAG4AdABcAG4ARwByAG8AcwBzACAAZQBuAGUAcgBnAHkAIABjAG8AbgB0AGUAbgB0ACAAbwBmACAAZgBlAGUAZAAgAGQAcgB5ACAAbQBhAHQAdABlAHIAXABuAC0ALQAtAC0ALQAtAC0ALQAtAC0ALQAtAC0ALQAtAC0ALQAtAC0ALQAtAC0ALQAtAC0ALQAtAC0ALQAtAC0ALQAtAC0ALQAtAC0ALQBcAG4AKgAvAFwAbgBcAG4AUwBvAHUAcgBjAGUARABhAHQAYQBfAEQAYQBpAHIAeQBfAEcAcgBvAHMAcwBFAG4AZQByAGcAeQBDAG8AbgB0AGUAbgB0AF8AVABpAHQAbABlAFwAbgAgACAAPQBMAEEATQBCAEQAQQAoAFwAIgBHAHIAbwBzAHMAIABlAG4AZQByAGcAeQAgAGMAbwBuAHQAZQBuAHQAIABvAGYAIABmAGUAZQBkACAAZAByAHkAIABtAGEAdAB0AGUAcgBcACIAKQA7AFwAbgBcAG4AUwBvAHUAcgBjAGUARABhAHQAYQBfAEQAYQBpAHIAeQBfAEcAcgBvAHMAcwBFAG4AZQByAGcAeQBDAG8AbgB0AGUAbgB0AF8AVgBhAHIAaQBhAGIAbABlAFwAbgAgACAAPQBMAEEATQBCAEQAQQAoAFwAIgBHAEUAQwBcACIAKQA7AFwAbgBcAG4AUwBvAHUAcgBjAGUARABhAHQAYQBfAEQAYQBpAHIAeQBfAEcAcgBvAHMAcwBFAG4AZQByAGcAeQBDAG8AbgB0AGUAbgB0AF8AVQBuAGkAdABcAG4AIAAgAD0ATABBAE0AQgBEAEEAKABcACIATQBKACAALwAgAGsAZwBEAE0AXAAiACkAOwBcAG4AXABuAFMAbwB1AHIAYwBlAEQAYQB0AGEAXwBEAGEAaQByAHkAXwBHAHIAbwBzAHMARQBuAGUAcgBnAHkAQwBvAG4AdABlAG4AdABfAFMAbwB1AHIAYwBlAFwAbgAgACAAPQBMAEEATQBCAEQAQQAoAFwAIgBWAEUARQBSAEcAIAAyADAAMgA2ADoAIAAzAC4AMwAuADIALgAzACAAQwBPAE4AUwBUAEEATgBUAFMAXAAiACkAOwBcAG4AXABuAFMAbwB1AHIAYwBlAEQAYQB0AGEAXwBEAGEAaQByAHkAXwBHAHIAbwBzAHMARQBuAGUAcgBnAHkAQwBvAG4AdABlAG4AdABfAFYAYQByAGkAYQB0AGkAbwBuAFwAbgAgACAAPQBMAEEATQBCAEQAQQAoAFwAIgBcACIAKQA7AFwAbgBcAG4AUwBvAHUAcgBjAGUARABhAHQAYQBfAEQAYQBpAHIAeQBfAEcAcgBvAHMAcwBFAG4AZQByAGcAeQBDAG8AbgB0AGUAbgB0AF8ARABhAHQAYQBcAG4AIAAgAD0ATABBAE0AQgBEAEEAKAAxADgALgA0ACkAOwBcAG4AXABuAFwAbgAvACoAIABcAG4ALQAtAC0ALQAtAC0ALQAtAC0ALQAtAC0ALQAtAC0ALQAtAC0ALQAtAC0ALQAtAC0ALQAtAC0ALQAtAC0ALQAtAC0ALQAtAC0ALQAtAFwAbgBTAG8AdQByAGMAZQBEAGEAdABhAF8ARABhAGkAcgB5AF8ARQBmAGYAaQBjAGkAZQBuAGMAeQBPAGYAVQBzAGUATwBmAE0AZQB0AGEAYgBvAGwAaQB6AGEAYgBsAGUARQBuAGUAcgBnAHkAXABuAEUAZgBmAGkAYwBpAGUAbgBjAHkAIABvAGYAIAB1AHMAZQAgAG8AZgAgAG0AZQB0AGEAYgBvAGwAaQB6AGEAYgBsAGUAIABlAG4AZQByAGcAeQAgAGYAbwByACAAbQBpAGwAawAgAHAAcgBvAGQAdQBjAHQAaQBvAG4AXABuAC0ALQAtAC0ALQAtAC0ALQAtAC0ALQAtAC0ALQAtAC0ALQAtAC0ALQAtAC0ALQAtAC0ALQAtAC0ALQAtAC0ALQAtAC0ALQAtAC0ALQBcAG4AKgAvAFwAbgBcAG4AUwBvAHUAcgBjAGUARABhAHQAYQBfAEQAYQBpAHIAeQBfAEUAZgBmAGkAYwBpAGUAbgBjAHkATwBmAFUAcwBlAE8AZgBNAGUAdABhAGIAbwBsAGkAegBhAGIAbABlAEUAbgBlAHIAZwB5AF8AVABpAHQAbABlAFwAbgAgACAAPQBMAEEATQBCAEQAQQAoAFwAIgBFAGYAZgBpAGMAaQBlAG4AYwB5ACAAbwBmACAAdQBzAGUAIABvAGYAIABtAGUAdABhAGIAbwBsAGkAegBhAGIAbABlACAAZQBuAGUAcgBnAHkAIABmAG8AcgAgAG0AaQBsAGsAIABwAHIAbwBkAHUAYwB0AGkAbwBuAFwAIgApADsAXABuAFwAbgBTAG8AdQByAGMAZQBEAGEAdABhAF8ARABhAGkAcgB5AF8ARQBmAGYAaQBjAGkAZQBuAGMAeQBPAGYAVQBzAGUATwBmAE0AZQB0AGEAYgBvAGwAaQB6AGEAYgBsAGUARQBuAGUAcgBnAHkAXwBWAGEAcgBpAGEAYgBsAGUAXABuACAAIAA9AEwAQQBNAEIARABBACgAXAAiAGsAXAAiACkAOwBcAG4AXABuAFMAbwB1AHIAYwBlAEQAYQB0AGEAXwBEAGEAaQByAHkAXwBFAGYAZgBpAGMAaQBlAG4AYwB5AE8AZgBVAHMAZQBPAGYATQBlAHQAYQBiAG8AbABpAHoAYQBiAGwAZQBFAG4AZQByAGcAeQBfAFUAbgBpAHQAXABuACAAIAA9AEwAQQBNAEIARABBACgAXAAiAGYAcgBhAGMAdABpAG8AbgBcACIAKQA7AFwAbgBcAG4AUwBvAHUAcgBjAGUARABhAHQAYQBfAEQAYQBpAHIAeQBfAEUAZgBmAGkAYwBpAGUAbgBjAHkATwBmAFUAcwBlAE8AZgBNAGUAdABhAGIAbwBsAGkAegBhAGIAbABlAEUAbgBlAHIAZwB5AF8AUwBvAHUAcgBjAGUAXABuACAAIAA9AEwAQQBNAEIARABBACgAXAAiAFYARQBFAFIARwAgADIAMAAyADYAOgAgADMALgAzAC4AMgAuADMAIABDAE8ATgBTAFQAQQBOAFQAUwBcACIAKQA7AFwAbgBcAG4AUwBvAHUAcgBjAGUARABhAHQAYQBfAEQAYQBpAHIAeQBfAEUAZgBmAGkAYwBpAGUAbgBjAHkATwBmAFUAcwBlAE8AZgBNAGUAdABhAGIAbwBsAGkAegBhAGIAbABlAEUAbgBlAHIAZwB5AF8AVgBhAHIAaQBhAHQAaQBvAG4AXABuACAAIAA9AEwAQQBNAEIARABBACgAXAAiAFwAIgApADsAXABuAFwAbgBTAG8AdQByAGMAZQBEAGEAdABhAF8ARABhAGkAcgB5AF8ARQBmAGYAaQBjAGkAZQBuAGMAeQBPAGYAVQBzAGUATwBmAE0AZQB0AGEAYgBvAGwAaQB6AGEAYgBsAGUARQBuAGUAcgBnAHkAXwBEAGEAdABhAFwAbgAgACAAPQBMAEEATQBCAEQAQQAoADAALgA2ADAAKQA7AFwAbgBcAG4AXABuAC8AKgAgAFwAbgAtAC0ALQAtAC0ALQAtAC0ALQAtAC0ALQAtAC0ALQAtAC0ALQAtAC0ALQAtAC0ALQAtAC0ALQAtAC0ALQAtAC0ALQAtAC0ALQAtAC0AXABuAFMAbwB1AHIAYwBlAEQAYQB0AGEAXwBEAGEAaQByAHkAXwBBAHMAaABDAG8AbgB0AGUAbgB0AFwAbgBBAHMAaAAgAGMAbwBuAHQAZQBuAHQAIABvAGYAIABtAGEAbgB1AHIAZQBcAG4ALQAtAC0ALQAtAC0ALQAtAC0ALQAtAC0ALQAtAC0ALQAtAC0ALQAtAC0ALQAtAC0ALQAtAC0ALQAtAC0ALQAtAC0ALQAtAC0ALQAtAFwAbgAqAC8AXABuAFwAbgBTAG8AdQByAGMAZQBEAGEAdABhAF8ARABhAGkAcgB5AF8AQQBzAGgAQwBvAG4AdABlAG4AdABfAFQAaQB0AGwAZQBcAG4AIAAgAD0ATABBAE0AQgBEAEEAKABcACIAQQBzAGgAIABjAG8AbgB0AGUAbgB0ACAAbwBmACAAbQBhAG4AdQByAGUAXAAiACkAOwBcAG4AXABuAFMAbwB1AHIAYwBlAEQAYQB0AGEAXwBEAGEAaQByAHkAXwBBAHMAaABDAG8AbgB0AGUAbgB0AF8AVgBhAHIAaQBhAGIAbABlAFwAbgAgACAAPQBMAEEATQBCAEQAQQAoAFwAIgBBAFwAIgApADsAXABuAFwAbgBTAG8AdQByAGMAZQBEAGEAdABhAF8ARABhAGkAcgB5AF8AQQBzAGgAQwBvAG4AdABlAG4AdABfAFUAbgBpAHQAXABuACAAIAA9AEwAQQBNAEIARABBACgAXAAiAGYAcgBhAGMAdABpAG8AbgBcACIAKQA7AFwAbgBcAG4AUwBvAHUAcgBjAGUARABhAHQAYQBfAEQAYQBpAHIAeQBfAEEAcwBoAEMAbwBuAHQAZQBuAHQAXwBTAG8AdQByAGMAZQBcAG4AIAAgAD0ATABBAE0AQgBEAEEAKABcACIAVgBFAEUAUgBHACAAMgAwADIANgA6ACAANAAuADMALgAyAC4AMwAgAEMATwBOAFMAVABBAE4AVABTAFwAIgApADsAXABuAFwAbgBTAG8AdQByAGMAZQBEAGEAdABhAF8ARABhAGkAcgB5AF8AQQBzAGgAQwBvAG4AdABlAG4AdABfAFYAYQByAGkAYQB0AGkAbwBuAFwAbgAgACAAPQBMAEEATQBCAEQAQQAoAFwAIgBcACIAKQA7AFwAbgBcAG4AUwBvAHUAcgBjAGUARABhAHQAYQBfAEQAYQBpAHIAeQBfAEEAcwBoAEMAbwBuAHQAZQBuAHQAXwBEAGEAdABhAFwAbgAgACAAPQBMAEEATQBCAEQAQQAoADAALgAwADgAKQA7AFwAbgBcAG4AXABuAC8AKgAgAFwAbgAtAC0ALQAtAC0ALQAtAC0ALQAtAC0ALQAtAC0ALQAtAC0ALQAtAC0ALQAtAC0ALQAtAC0ALQAtAC0ALQAtAC0ALQAtAC0ALQAtAC0AXABuAFMAbwB1AHIAYwBlAEQAYQB0AGEAXwBEAGEAaQByAHkAXwBNAGUAdABoAGEAbgBlAEUAbQBpAHMAcwBpAG8AbgBzAFAAbwB0AGUAbgB0AGkAYQBsAFwAbgBBAHMAaAAgAGMAbwBuAHQAZQBuAHQAIABvAGYAIABtAGEAbgB1AHIAZQBcAG4ALQAtAC0ALQAtAC0ALQAtAC0ALQAtAC0ALQAtAC0ALQAtAC0ALQAtAC0ALQAtAC0ALQAtAC0ALQAtAC0ALQAtAC0ALQAtAC0ALQAtAFwAbgAqAC8AXABuAFwAbgBTAG8AdQByAGMAZQBEAGEAdABhAF8ARABhAGkAcgB5AF8ATQBlAHQAaABhAG4AZQBFAG0AaQBzAHMAaQBvAG4AcwBQAG8AdABlAG4AdABpAGEAbABfAFQAaQB0AGwAZQBcAG4AIAAgAD0ATABBAE0AQgBEAEEAKABcACIATQBlAHQAaABhAG4AZQAgAGUAbQBpAHMAcwBpAG8AbgBzACAAcABvAHQAZQBuAHQAaQBhAGwAXAAiACkAOwBcAG4AXABuAFMAbwB1AHIAYwBlAEQAYQB0AGEAXwBEAGEAaQByAHkAXwBNAGUAdABoAGEAbgBlAEUAbQBpAHMAcwBpAG8AbgBzAFAAbwB0AGUAbgB0AGkAYQBsAF8AVgBhAHIAaQBhAGIAbABlAFwAbgAgACAAPQBMAEEATQBCAEQAQQAoAFwAIgBCAF8AbwBcACIAKQA7AFwAbgBcAG4AUwBvAHUAcgBjAGUARABhAHQAYQBfAEQAYQBpAHIAeQBfAE0AZQB0AGgAYQBuAGUARQBtAGkAcwBzAGkAbwBuAHMAUABvAHQAZQBuAHQAaQBhAGwAXwBVAG4AaQB0AFwAbgAgACAAPQBMAEEATQBCAEQAQQAoAFwAIgBtADMAIABDAEgANAAvAGsAZwBWAFMAXAAiACkAOwBcAG4AXABuAFMAbwB1AHIAYwBlAEQAYQB0AGEAXwBEAGEAaQByAHkAXwBNAGUAdABoAGEAbgBlAEUAbQBpAHMAcwBpAG8AbgBzAFAAbwB0AGUAbgB0AGkAYQBsAF8AUwBvAHUAcgBjAGUAXABuACAAIAA9AEwAQQBNAEIARABBACgAXAAiAFYARQBFAFIARwAgADIAMAAyADYAOgAgADQALgAzAC4AMgAuADMAIABDAE8ATgBTAFQAQQBOAFQAUwBcACIAKQA7AFwAbgBcAG4AUwBvAHUAcgBjAGUARABhAHQAYQBfAEQAYQBpAHIAeQBfAE0AZQB0AGgAYQBuAGUARQBtAGkAcwBzAGkAbwBuAHMAUABvAHQAZQBuAHQAaQBhAGwAXwBWAGEAcgBpAGEAdABpAG8AbgBcAG4AIAAgAD0ATABBAE0AQgBEAEEAKABcACIAXAAiACkAOwBcAG4AXABuAFMAbwB1AHIAYwBlAEQAYQB0AGEAXwBEAGEAaQByAHkAXwBNAGUAdABoAGEAbgBlAEUAbQBpAHMAcwBpAG8AbgBzAFAAbwB0AGUAbgB0AGkAYQBsAF8ARABhAHQAYQBcAG4AIAAgAD0ATABBAE0AQgBEAEEAKAAwAC4AMgA0ACkAOwBcAG4AXABuAC8AKgAgAFwAbgAtAC0ALQAtAC0ALQAtAC0ALQAtAC0ALQAtAC0ALQAtAC0ALQAtAC0ALQAtAC0ALQAtAC0ALQAtAC0ALQAtAC0ALQAtAC0ALQAtAC0AXABuAFMAbwB1AHIAYwBlAEQAYQB0AGEAXwBEAGEAaQByAHkAXwBFAG0AaQBzAHMAaQBvAG4ARgBhAGMAdABvAHIARgBvAHIATABlAGEAYwBoAGkAbgBnAEEAbgBkAFIAdQBuAG8AZgBmAFwAbgBFAG0AaQBzAHMAaQBvAG4AIABmAGEAYwB0AG8AcgAgAGYAbwByACAAbABlAGEAYwBoAGkAbgBnACAAYQBuAGQAIAByAHUAbgBvAGYAZgBcAG4ALQAtAC0ALQAtAC0ALQAtAC0ALQAtAC0ALQAtAC0ALQAtAC0ALQAtAC0ALQAtAC0ALQAtAC0ALQAtAC0ALQAtAC0ALQAtAC0ALQAtAFwAbgAqAC8AXABuAFwAbgBTAG8AdQByAGMAZQBEAGEAdABhAF8ARABhAGkAcgB5AF8ARQBtAGkAcwBzAGkAbwBuAEYAYQBjAHQAbwByAEYAbwByAEwAZQBhAGMAaABpAG4AZwBBAG4AZABSAHUAbgBvAGYAZgBfAFQAaQB0AGwAZQBcAG4AIAAgAD0ATABBAE0AQgBEAEEAKABcACIARQBtAGkAcwBzAGkAbwBuACAAZgBhAGMAdABvAHIAIABmAG8AcgAgAGwAZQBhAGMAaABpAG4AZwAgAGEAbgBkACAAcgB1AG4AbwBmAGYAXAAiACkAOwBcAG4AXABuAFMAbwB1AHIAYwBlAEQAYQB0AGEAXwBEAGEAaQByAHkAXwBFAG0AaQBzAHMAaQBvAG4ARgBhAGMAdABvAHIARgBvAHIATABlAGEAYwBoAGkAbgBnAEEAbgBkAFIAdQBuAG8AZgBmAF8AVgBhAHIAaQBhAGIAbABlAFwAbgAgACAAPQBMAEEATQBCAEQAQQAoAFwAIgBFAEYAXwBsAGUAYQBjAGgAXAAiACkAOwBcAG4AXABuAFMAbwB1AHIAYwBlAEQAYQB0AGEAXwBEAGEAaQByAHkAXwBFAG0AaQBzAHMAaQBvAG4ARgBhAGMAdABvAHIARgBvAHIATABlAGEAYwBoAGkAbgBnAEEAbgBkAFIAdQBuAG8AZgBmAF8AVQBuAGkAdABcAG4AIAAgAD0ATABBAE0AQgBEAEEAKABcACIAawBnACAATgAyAE8ALQBOAC8AawBnACAATgBcACIAKQA7AFwAbgBcAG4AUwBvAHUAcgBjAGUARABhAHQAYQBfAEQAYQBpAHIAeQBfAEUAbQBpAHMAcwBpAG8AbgBGAGEAYwB0AG8AcgBGAG8AcgBMAGUAYQBjAGgAaQBuAGcAQQBuAGQAUgB1AG4AbwBmAGYAXwBTAG8AdQByAGMAZQBcAG4AIAAgAD0ATABBAE0AQgBEAEEAKABcACIAVgBFAEUAUgBHACAAMgAwADIANgA6ACAANAAuADMALgAyAC4AMwAgAEMATwBOAFMAVABBAE4AVABTAFwAIgApADsAXABuAFwAbgBTAG8AdQByAGMAZQBEAGEAdABhAF8ARABhAGkAcgB5AF8ARQBtAGkAcwBzAGkAbwBuAEYAYQBjAHQAbwByAEYAbwByAEwAZQBhAGMAaABpAG4AZwBBAG4AZABSAHUAbgBvAGYAZgBfAFYAYQByAGkAYQB0AGkAbwBuAFwAbgAgACAAPQBMAEEATQBCAEQAQQAoAFwAIgBcACIAKQA7AFwAbgBcAG4AUwBvAHUAcgBjAGUARABhAHQAYQBfAEQAYQBpAHIAeQBfAEUAbQBpAHMAcwBpAG8AbgBGAGEAYwB0AG8AcgBGAG8AcgBMAGUAYQBjAGgAaQBuAGcAQQBuAGQAUgB1AG4AbwBmAGYAXwBEAGEAdABhAFwAbgAgACAAPQBMAEEATQBCAEQAQQAoADAALgAwADEAMQ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EAGkAbQBlAG4AcwBpAG8AbgBsAGUAcwBzAFwAIgApADsAXABuAFwAbgBTAG8AdQByAGMAZQBEAGEAdABhAF8ARABhAGkAcgB5AF8ARgByAGEAYwB0AGkAbwBuAE8AZgBOAGkAdAByAG8AZwBlAG4ATABvAHMAdABUAGgAcgBvAHUAZwBoAEwAZQBhAGMAaABpAG4AZwBBAG4AZABSAHUAbgBvAGYAZg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8AVgBhAHIAaQBhAHQAaQBvAG4AXABuACAAIAA9AEwAQQBNAEIARABBACgAXAAiAFwAIgApADsAXABuAFwAbgBTAG8AdQByAGMAZQBEAGEAdABhAF8ARABhAGk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EQAYQBpAHIAeQBfAEYAcgBhAGMARwBBAFMATQBTAG8AaQBsAFwAbgBGAHIAYQBjAHQAaQBvAG4AIABvAGYAIABuAGkAdAByAG8AZwBlAG4AIAB2AG8AbABhAHQAaQBsAGkAegBlAGQAIABmAHIAbwBtACAAdQByAGkAbgBlACAAYQBuAGQAIABmAGEAZQBjAGUAcwAgAGQAZQBwAG8AcwBpAHQAZQBkACAAbwBuACAAcABhAHMAdAB1AHIAZQAuAFwAbgAtAC0ALQAtAC0ALQAtAC0ALQAtAC0ALQAtAC0ALQAtAC0ALQAtAC0ALQAtAC0ALQAtAC0ALQAtAC0ALQAtAC0ALQAtAC0ALQAtAC0AXABuACoALwBcAG4AXABuAFMAbwB1AHIAYwBlAEQAYQB0AGEAXwBEAGEAaQByAHkAXwBGAHIAYQBjAEcAQQBTAE0AUwBvAGkAbABfAFQAaQB0AGwAZQBcAG4AIAAgAD0ATABBAE0AQgBEAEEAKABcACIARgByAGEAYwB0AGkAbwBuACAAbwBmACAAbgBpAHQAcgBvAGcAZQBuACAAdgBvAGwAYQB0AGkAbABpAHoAZQBkACAAZgByAG8AbQAgAHUAcgBpAG4AZQAgAGEAbgBkACAAZgBhAGUAYwBlAHMAIABkAGUAcABvAHMAaQB0AGUAZAAgAG8AbgAgAHAAYQBzAHQAdQByAGUAXAAiACkAOwBcAG4AXABuAFMAbwB1AHIAYwBlAEQAYQB0AGEAXwBEAGEAaQByAHkAXwBGAHIAYQBjAEcAQQBTAE0AUwBvAGkAbABfAFYAYQByAGkAYQBiAGwAZQBcAG4AIAAgAD0ATABBAE0AQgBEAEEAKABcACIARgByAGEAYwBHAEEAUwBNAHMAbwBpAGwAXAAiACkAOwBcAG4AXABuAFMAbwB1AHIAYwBlAEQAYQB0AGEAXwBEAGEAaQByAHkAXwBGAHIAYQBjAEcAQQBTAE0AUwBvAGkAbABfAFUAbgBpAHQAXABuACAAIAA9AEwAQQBNAEIARABBACgAXAAiACgAawBnACAATgBIADMALQBOACAAKwAgAE4ATwB4AC0ATgApAC8AawBnACAATgBcACIAKQA7AFwAbgBcAG4AUwBvAHUAcgBjAGUARABhAHQAYQBfAEQAYQBpAHIAeQBfAEYAcgBhAGMARwBBAFMATQBTAG8AaQBsAF8AUwBvAHUAcgBjAGUAXABuACAAIAA9AEwAQQBNAEIARABBACgAXAAiAFYARQBFAFIARwAgADIAMAAyADYAOgAgADQALgAzAC4AMgAuADMAIABDAE8ATgBTAFQAQQBOAFQAUwBcACIAKQA7AFwAbgBcAG4AUwBvAHUAcgBjAGUARABhAHQAYQBfAEQAYQBpAHIAeQBfAEYAcgBhAGMARwBBAFMATQBTAG8AaQBsAF8AVgBhAHIAaQBhAHQAaQBvAG4AXABuACAAIAA9AEwAQQBNAEIARABBACgAXAAiAFwAIgApADsAXABuAFwAbgBTAG8AdQByAGMAZQBEAGEAdABhAF8ARABhAGkAcgB5AF8ARgByAGEAYwBHAEEAUwBNAFMAbwBpAGwAXwBEAGEAdABhAFwAbgAgACAAPQBMAEEATQBCAEQAQQAoADAALgAyADEAKQA7AFwAbgBcAG4AXABuAC8AKgAgAFwAbgAtAC0ALQAtAC0ALQAtAC0ALQAtAC0ALQAtAC0ALQAtAC0ALQAtAC0ALQAtAC0ALQAtAC0ALQAtAC0ALQAtAC0ALQAtAC0ALQAtAC0AXABuAFMAbwB1AHIAYwBlAEQAYQB0AGEAXwBEAGEAaQByAHkAXwBGAGEAdABDAG8AbgB0AGUAbgB0AEkAbgBNAGkAbABrAFwAbgBGAGEAdA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RgBhAHQAQwBvAG4AdABlAG4AdABJAG4ATQBpAGwAawBfAFQAaQB0AGwAZQBcAG4AIAAgAD0ATABBAE0AQgBEAEEAKABcACIARgBhAHQAIABjAG8AbgB0AGUAbgB0ACAAaQBuACAAZgBhAHQAIABhAG4AZAAgAHAAcgBvAHQAZQBpAG4AIABjAG8AcgByAGUAYwB0AGUAZAAgAG0AaQBsAGsAXAAiACkAOwBcAG4AXABuAFMAbwB1AHIAYwBlAEQAYQB0AGEAXwBEAGEAaQByAHkAXwBGAGEAdABDAG8AbgB0AGUAbgB0AEkAbgBNAGkAbABrAF8AVgBhAHIAaQBhAGIAbABlAFwAbgAgACAAPQBMAEEATQBCAEQAQQAoAFwAIgBGAEMAXwBqAFwAIgApADsAXABuAFwAbgBTAG8AdQByAGMAZQBEAGEAdABhAF8ARABhAGkAcgB5AF8ARgBhAHQAQwBvAG4AdABlAG4AdABJAG4ATQBpAGwAawBfAFUAbgBpAHQAXABuACAAIAA9AEwAQQBNAEIARABBACgAXAAiAHAAZQByAGMAZQBuAHQAXAAiACkAOwBcAG4AXABuAFMAbwB1AHIAYwBlAEQAYQB0AGEAXwBEAGEAaQByAHkAXwBGAGEAdA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GAGEAdABDAG8AbgB0AGUAbgB0AEkAbgBNAGkAbABrAF8AVgBhAHIAaQBhAHQAaQBvAG4AXABuACAAIAA9AEwAQQBNAEIARABBACgAXAAiAFwAIgApADsAXABuAFwAbgBTAG8AdQByAGMAZQBEAGEAdABhAF8ARABhAGkAcgB5AF8ARgBhAHQAQwBvAG4AdABlAG4AdABJAG4ATQBpAGwAawBfAEQAYQB0AGEAXABuACAAIAA9AEwAQQBNAEIARABBACgANAAuADAAKQA7AFwAbgBcAG4AXABuAC8AKgAgAFwAbgAtAC0ALQAtAC0ALQAtAC0ALQAtAC0ALQAtAC0ALQAtAC0ALQAtAC0ALQAtAC0ALQAtAC0ALQAtAC0ALQAtAC0ALQAtAC0ALQAtAC0AXABuAFMAbwB1AHIAYwBlAEQAYQB0AGEAXwBEAGEAaQByAHkAXwBQAHIAbwB0AGUAaQBuAEMAbwBuAHQAZQBuAHQASQBuAE0AaQBsAGsAXABuAFAAcgBvAHQAZQBpAG4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FAAcgBvAHQAZQBpAG4AQwBvAG4AdABlAG4AdABJAG4ATQBpAGwAawBfAFQAaQB0AGwAZQBcAG4AIAAgAD0ATABBAE0AQgBEAEEAKABcACIAUAByAG8AdABlAGkAbgAgAGMAbwBuAHQAZQBuAHQAIABpAG4AIABmAGEAdAAgAGEAbgBkACAAcAByAG8AdABlAGkAbgAgAGMAbwByAHIAZQBjAHQAZQBkACAAbQBpAGwAawBcACIAKQA7AFwAbgBcAG4AUwBvAHUAcgBjAGUARABhAHQAYQBfAEQAYQBpAHIAeQBfAFAAcgBvAHQAZQBpAG4AQwBvAG4AdABlAG4AdABJAG4ATQBpAGwAawBfAFYAYQByAGkAYQBiAGwAZQBcAG4AIAAgAD0ATABBAE0AQgBEAEEAKABcACIAUABDAF8AagBcACIAKQA7AFwAbgBcAG4AUwBvAHUAcgBjAGUARABhAHQAYQBfAEQAYQBpAHIAeQBfAFAAcgBvAHQAZQBpAG4AQwBvAG4AdABlAG4AdABJAG4ATQBpAGwAawBfAFUAbgBpAHQAXABuACAAIAA9AEwAQQBNAEIARABBACgAXAAiAHAAZQByAGMAZQBuAHQAXAAiACkAOwBcAG4AXABuAFMAbwB1AHIAYwBlAEQAYQB0AGEAXwBEAGEAaQByAHkAXwBQAHIAbwB0AGUAaQBu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FAAcgBvAHQAZQBpAG4AQwBvAG4AdABlAG4AdABJAG4ATQBpAGwAawBfAFYAYQByAGkAYQB0AGkAbwBuAFwAbgAgACAAPQBMAEEATQBCAEQAQQAoAFwAIgBcACIAKQA7AFwAbgBcAG4AUwBvAHUAcgBjAGUARABhAHQAYQBfAEQAYQBpAHIAeQBfAFAAcgBvAHQAZQBpAG4AQwBvAG4AdABlAG4AdABJAG4ATQBpAGwAawBfAEQAYQB0AGEAXABuACAAIAA9AEwAQQBNAEIARABBACgAMwAuADMAKQA7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JwBTAGwAYQB1AGcAaAB0AGUAcgAgAHAAaQBnAHMAJwAgAGQAYQB0AGEAIABmAG8AcgAgACcATwB0AGgAZQByACAAagA9ADQAJwAgAGMAbABhAHMAcwAuAFwAIgApADsAXABuAFwAbgBTAG8AdQByAGMAZQBEAGEAdABhAF8AUwB3AGkAbgBlAF8AVgBvAGwAYQB0AGkAbABlAFMAbwBsAGkAZABzAF8ARABhAHQAYQBcAG4AIAAgAD0ATABBAE0AQgBEAEEAKABcAG4AIAAgACAAIABNAEEASwBFAEEAUgBSAEEAWQAoADUALAAgADIALAAgAFwAbgAgACAAIAAgACAAIABMAEEATQBCAEQAQQAoAHIALABjACwAIABcAG4AIAAgACAAIAAgACAAIAAgAEkATgBEAEUAWAAoAHsAXABuACAAIAAgACAAIAAgACAAIAAgACAAXAAiAEMAbABhAHMAcwBcACIALAAgAFwAIgBWAFMAagBcACIAOwBcAG4AIAAgACAAIAAgACAAIAAgACAAIABcACIAQgBvAGEAcgBzAFwAIgAsACAAMAAuADQAMAA7AFwAbgAgACAAIAAgACAAIAAgACAAIAAgAFwAIgBTAG8AdwBzAFwAIgAsACAAMAAuADQANgA7AFwAbgAgACAAIAAgACAAIAAgACAAIAAgAFwAIgBHAGkAbAB0AHMAXAAiACwAIAAwAC4ANQA1ADsAXABuACAAIAAgACAAIAAgACAAIAAgACAAXAAiAE8AdABoAGUAcgBzAFwAIgAsACAAMAAuADMAOQ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GUAZQBkAEkAbgB0AGEAawBlAFwAbgBJAGoAXABuAGsAZwAvAGgAZQBhAGQALwBkAGEAeQBcAG4ALQAtAC0ALQAtAC0ALQAtAC0ALQAtAC0ALQAtAC0ALQAtAC0ALQAtAC0ALQAtAC0ALQAtAC0ALQAtAC0ALQAtAC0ALQAtAC0ALQAtAFwAbgAqAC8AXABuAFwAbgBTAG8AdQByAGMAZQBEAGEAdABhAF8AUwB3AGkAbgBlAF8ARgBlAGUAZABJAG4AdABhAGsAZQBfAFQAaQB0AGwAZQBcAG4AIAAgAD0ATABBAE0AQgBEAEEAKABcACIAUwB3AGkAbgBlACAALQAgAEYAZQBlAGQAIABpAG4AdABhAGsAZQAgAC0AIABpAG4AZwBlAHMAdABlAGQAIABhAHMAIABmAGUAZAAgACAAKABJAGoAKQAgAC0AIAAyADAAMgAwACAAdABvACAAMgAwADIANABcACIAKQA7AFwAbgBcAG4AUwBvAHUAcgBjAGUARABhAHQAYQBfAFMAdwBpAG4AZQBfAEYAZQBlAGQASQBuAHQAYQBrAGUAXwBVAG4AaQB0AFwAbgAgACAAPQBMAEEATQBCAEQAQQAoAFwAIgBrAGcALwBoAGUAYQBkAC8AZABhAHkAXAAiACkAOwBcAG4AXABuAFMAbwB1AHIAYwBlAEQAYQB0AGEAXwBTAHcAaQBuAGUAXwBGAGUAZQBkAEkAbgB0AGEAaw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GAGUAZQBkAEkAbgB0AGEAawBlAF8AVgBhAHIAaQBhAHQAaQBvAG4AXABuACAAIAA9AEwAQQBNAEIARABBACgAXAAiAFYAQQBSAEkAQQBUAEkATwBOACAATwBOACAAUwBPAFUAUgBDAEUAIABEAEEAVABBADoAIABPAG4AbAB5ACAAdQBzAGUAcwAgAGQAYQB0AGEAIABmAG8AcgAgADIAMAAyADAALQAyADAAMgA0AC4AIABVAHMAZQAgACcAUwBsAGEAdQBnAGgAdABlAHIAIABwAGkAZwBzACcAIABkAGEAdABhACAAZgBvAHIAIAAnAE8AdABoAGUAcgAgAGoAPQA0AC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AnAFMAbABhAHUAZwBoAHQAZQByACAAcABpAGcAcwAnACAAZABhAHQAYQAgAGYAbwByACAAJwBPAHQAaABlAHIAIABqAD0ANAAnACAAYwBsAGEAcwBzAC4AIABBAGQAZABlAGQAIAAnAE4AVwBqACAAZABhAGkAbAB5ACcAIABjAG8AbAB1AG0AbgAgAHQAbwAgAHAAcgBvAHYAaQBkAGUAIABkAGEAaQBsAHkAIAB2AGEAbAB1AGUAIABmAG8AcgAgAE8AdABoAGUAcgBzACAAYwBsAGEAcwBzAC4AIABBAGQAZABlAGQAIAAnAEMAbABhAHMAcwAgAG4AYQBtAGUAJwAgAGMAbwBsAHUAbQBuACAAdABvACAAYQBpAGQAIABsAG8AbwBrAHUAcAAuAFwAIgApADsAXABuAFwAbgBTAG8AdQByAGMAZQBEAGEAdABhAF8AUwB3AGkAbgBlAF8ATgBpAHQAcgBvAGcAZQBuAEkAbgBXAGEAcwB0AGUAXwBEAGEAdABhAFwAbgAgACAAPQBMAEEATQBCAEQAQQAoAFwAbgAgACAAIAAgAE0AQQBLAEUAQQBSAFIAQQBZACgANQAsACAANAAsACAAXABuACAAIAAgACAAIAAgAEwAQQBNAEIARABBACgAcgAsAGMALAAgAFwAbgAgACAAIAAgACAAIAAgACAASQBOAEQARQBYACgAewBcAG4AIAAgACAAIAAgACAAIAAgACAAIABcACIAQwBsAGEAcwBzAFwAIgAsACAAXAAiAE4AVwBqAFwAIgAsACAAXAAiAE4AVwBqACAAZABhAGkAbAB5AFwAIgAsACAAXAAiAEMAbABhAHMAcwAgAG4AYQBtAGUAXAAiADsAXABuACAAIAAgACAAIAAgACAAIAAgACAAXAAiAEIAbwBhAHIAcwBcACIALAAgADAALgAwADQANgAsACAAMAAuADAANAA2ACwAIABcACIAQgBvAGEAcgBzAFwAIgA7AFwAbgAgACAAIAAgACAAIAAgACAAIAAgAFwAIgBTAG8AdwBzAFwAIgAsADAALgAwADQAOQAsACAAMAAuADAANAA5ACwAIABcACIAUwBvAHcAcwBcACIAOwBcAG4AIAAgACAAIAAgACAAIAAgACAAIABcACIARwBpAGwAdABzAFwAIgAsACAAMAAuADAANAA2ACwAIAAwAC4AMAA0ADYALAAgAFwAIgBHAGkAbAB0AHMAXAAiADsAXABuACAAIAAgACAAIAAgACAAIAAgACAAXAAiAE8AdABoAGUAcgBzACAAKABrAGcALwBoAGUAYQBkAC8AeQBlAGEAcgApAFwAIgAsACAAMQAxAC4ANAAsACAAMAAuADAAMwAxADIALAAgAFwAIgBPAHQAaABlAHI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0AGkAbwBuAE4AVgBvAGwAYQB0AGkAbABpAHMAZQBkAFwAbgBGAHIAYQBjAEcAQQBTAE0AbQBUAFwAbgAoAGsAZwAgAE4ASAAzAC0ATgAgACsAIABOAE8AeAAtAE4AKQAvAGsAZwBOAFwAbgAtAC0ALQAtAC0ALQAtAC0ALQAtAC0ALQAtAC0ALQAtAC0ALQAtAC0ALQAtAC0ALQAtAC0ALQAtAC0ALQAtAC0ALQAtAC0ALQAtAC0AXABuACoALwBcAG4AXABuAFMAbwB1AHIAYwBlAEQAYQB0AGEAXwBTAHcAaQBuAGUAXwBGAHIAYQBjAHQAaQBvAG4ATgBWAG8AbABhAHQAaQBsAGkAcwBlAGQAXwBUAGkAdABsAGUAXABuACAAIAA9AEwAQQBNAEIARABBACgAXAAiAFMAdwBpAG4AZQAgAC0AIABGAHIAYQBjAHQAaQBvAG4AIABvAGYAIABuAGkAdAByAG8AZwBlAG4AIAB2AG8AbABhAHQAaQBsAGkAcwBlAGQAIAAoAEYAcgBhAGMARwBBAFMATQBtAFQAKQBcACIAKQA7AFwAbgBcAG4AUwBvAHUAcgBjAGUARABhAHQAYQBfAFMAdwBpAG4AZQBfAEYAcgBhAGMAdABpAG8AbgBOAFYAbwBsAGEAdABpAGwAaQBzAGUAZABfAFUAbgBpAHQAXABuACAAIAA9AEwAQQBNAEIARABBACgAXAAiACgAawBnACAATgBIADMALQBOACAAKwAgAE4ATwB4AC0ATgApAC8AawBnAE4AXAAiACkAOwBcAG4AXABuAFMAbwB1AHIAYwBlAEQAYQB0AGEAXwBTAHcAaQBuAGUAXwBGAHIAYQBjAHQAaQBvAG4ATgBWAG8AbABhAHQAaQBsAGkAcwBlAGQAXwBTAG8AdQByAGMAZQBcAG4AIAAgAD0ATABBAE0AQgBEAEEAKABcACIAVgBFAEUAUgBHACAAMgAwADIANgA6ACAAVABhAGIAbABlACAAQQAuADEALgA2AC4AMgA6ACAAUwB3AGkAbgBlACAALQAgAEYAcgBhAGMAdABpAG8AbgAgAG8AZgAgAE4AIAB2AG8AbABhAHQAaQBsAGkAcwBlAGQAIABiAHkAIABNAE0AUwAgACgAKABrAGcAIABOAEgAMwAtAE4AIAArACAATgBPAHgALQBOACkALwBrAGcATgApACAAKABGAHIAYQBjAEcAQQBTAE0AbQBUACkAXAAiACkAOwBcAG4AXABuAFMAbwB1AHIAYwBlAEQAYQB0AGEAXwBTAHcAaQBuAGUAXwBGAHIAYQBjAHQAaQBvAG4ATgBWAG8AbABhAHQAaQBsAGkAcwBlAGQAXwBWAGEAcgBpAGEAdABpAG8AbgBcAG4AIAAgAD0ATABBAE0AQgBEAEEAKABcACIAVgBBAFIASQBBAFQASQBPAE4AIABPAE4AIABTAE8AVQBSAEMARQAgAEQAQQBUAEEAOgAgAEEAZABkAGUAZAAgAC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PA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CcATgBJAFIAIAByAGUAZgBlAHIAZQBuAGMAZQAgAGMAbwBsAHUAbQBuACAAdABvACAAYQBpAGQAIABsAG8AbwBrAHUAcAAuAFwAIgApADsAXABuAFwAbgBTAG8AdQByAGMAZQBEAGEAdABhAF8AUwB3AGkAbgBlAF8ATgBpAHQAcgBvAHUAcwBPAHgAaQBkAGUARQBGAHMAXwBEAGEAdABhAFwAbgAgACAAPQBMAEEATQBCAEQAQQAoAFwAbgAgACAAIAAgAE0AQQBLAEUAQQBSAFIAQQBZACgANwAsACAAMwAsACAAXABuACAAIAAgACAAIAAgAEwAQQBNAEIARABBACgAcgAsAGMALAAgAFwAbgAgACAAIAAgACAAIAAgACAASQBOAEQARQBYACgAewBcAG4AIAAgACAAIAAgACAAIAAgACAAIABcACIATQBNAFMAbQBcACIALAAgAFwAIgBFAEYAbQBUAFwAIgAsACAAXAAiAE4ASQBSACAAcgBlAGYAZQByAGUAbgBjAGUAXAAiADsAXABuACAAIAAgACAAIAAgACAAIAAgACAAXAAiAE8AdQB0AGQAbwBvAHIAIAAoAEQAcgB5ACAAbABvAHQAKQBcACIALAAgADAALgAwADIALAAgAFwAIgBEAHIAeQBsAG8AdAAgACgAZgBlAGUAZAAgAHAAYQBkACkAXAAiADsAXABuACAAIAAgACAAIAAgACAAIAAgACAAXAAiAEQAZQBlAHAAIABsAGkAdAB0AGUAcgBcACIALAAgADAALgAwADEALAAgAFwAIgBEAGUAZQBwACAAbABpAHQAdABlAHIAXAAiADsAXABuACAAIAAgACAAIAAgACAAIAAgACAAXAAiAFMAdABvAGMAawBwAGkAbABlACAAKABTAG8AbABpAGQAIABzAHQAbwByAGEAZwBlACkAXAAiACwAIAAwAC4AMAAwADUALAAgAFwAIgBTAG8AbABpAGQAIABzAHQAbwByAGEAZwBlAFwAIgA7AFwAbgAgACAAIAAgACAAIAAgACAAIAAgAFwAIgBFAGYAZgBsAHUAZQBuAHQAIABwAG8AbgBkACAAKABVAG4AYwBvAHYAZQByAGUAZAAgAGEAbgBhAGUAcgBvAGIAaQBjACAAbABhAGcAbwBvAG4AKQBcACIALAAgADAALAAgAFwAIgBBAG4AYQBlAHIAbwBiAGkAYwAgAGwAYQBnAG8AbwBuAFwAIgA7AFwAbgAgACAAIAAgACAAIAAgACAAIAAgAFwAIgBBAG4AYQBlAHIAbwBiAGkAYwAgAGQAaQBnAGUAcwB0AG8AcgAgAC8AIABDAG8AdgBlAHIAZQBkACAAbABhAGcAbwBvAG4AXAAiACwAIAAwACwAIABcACIARABpAGcAZQBzAHQAZQByACAALwAgAGMAbwB2AGUAcgBlAGQAIABsAGEAZwBvAG8AbgBzAFwAIgA7AFwAbgAgACAAIAAgACAAIAAgACAAIAAgAFwAIgBTAGgAbwByAHQAIABIAFIAVAAgAHQAYQBuAGsAIABzAHQAbwByAGEAZwBlACAAPA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PA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AnAHMAbwBsAGkAZAAgAHMAdABvAHIAYQBnAGUAJwAgAE0ATQBTACwAIABiAHUAdAAgAGUAcQB1AGEAdABpAG8AbgAgAHIAZQBmAGUAcgBzACAAdABvACAAJwBkAHIAeQBsAG8AdAAnACAATQBNAFMALgBcACIAKQA7AFwAbgBcAG4AUwBvAHUAcgBjAGUARABhAHQAYQBfAFMAdwBpAG4AZQBfAEYAcgBhAGMATABFAEEAQwBIAF8ARAByAHkAbABvAHQATQBNAFMAXwBEAGEAdABhAFwAbgAgACAAPQBMAEEATQBCAEQAQQAoADAALgAwADIAKQA7AFwAbgBcAG4AXABuAC8AKgAgAFwAbgAtAC0ALQAtAC0ALQAtAC0ALQAtAC0ALQAtAC0ALQAtAC0ALQAtAC0ALQAtAC0ALQAtAC0ALQAtAC0ALQAtAC0ALQAtAC0ALQAtAC0AXABuAFMAbwB1AHIAYwBlAEQAYQB0AGEAXwBTAHcAaQBuAGUAXwBNAGUAZwBhAGoAbwB1AGwAZQBzAFAAZQByAEsAaQBsAG8AZwByAGEAbQBNAGUAdABoAGEAbgBlAFwAbgBGAFwAbgBNAEoALwBrAGcAIABDAEgANABcAG4AXABuAC0ALQAtAC0ALQAtAC0ALQAtAC0ALQAtAC0ALQAtAC0ALQAtAC0ALQAtAC0ALQAtAC0ALQAtAC0ALQAtAC0ALQAtAC0ALQAtAC0ALQBcAG4AKgAvAFwAbgBcAG4AUwBvAHUAcgBjAGUARABhAHQAYQBfAFMAdwBpAG4AZQBfAE0AZQBnAGEAagBvAHUAbABlAHMAUABlAHIASwBpAGwAbwBnAHIAYQBtAE0AZQB0AGgAYQBuAGUAXwBUAGkAdABsAGUAXABuACAAIAA9AEwAQQBNAEIARABBACgAXAAiAE0AZQBnAGEAagBvAHUAbABlAHMAIABwAGUAcgAgAGsAaQBsAG8AZwByAGEAbQAgAG8AZgAgAG0AZQB0AGgAYQBuAGUAXAAiACkAOwBcAG4AXABuAFMAbwB1AHIAYwBlAEQAYQB0AGEAXwBTAHcAaQBuAGUAXwBNAGUAZwBhAGoAbwB1AGwAZQBzAFAAZQByAEsAaQBsAG8AZwByAGEAbQBNAGUAdABoAGEAbgBlAF8AVgBhAHIAaQBhAGIAbABlAFwAbgAgACAAPQBMAEEATQBCAEQAQQAoAFwAIgBGAFwAIgApADsAXABuAFwAbgBTAG8AdQByAGMAZQBEAGEAdABhAF8AUwB3AGkAbgBlAF8ATQBlAGcAYQBqAG8AdQBsAGUAcwBQAGUAcgBLAGkAbABvAGcAcgBhAG0ATQBlAHQAaABhAG4AZQBfAFUAbgBpAHQAXABuACAAIAA9AEwAQQBNAEIARABBACgAXAAiAE0ASgAgAC8AIABrAGcAIABDAEgANABcACIAKQA7AFwAbgBcAG4AUwBvAHUAcgBjAGUARABhAHQAYQBfAFMAdwBpAG4AZQBfAE0AZQBnAGEAagBvAHUAbABlAHMAUABlAHIASwBpAGwAbwBnAHIAYQBtAE0AZQB0AGgAYQBuAGUAXwBTAG8AdQByAGMAZQBcAG4AIAAgAD0ATABBAE0AQgBEAEEAKABcACIAVgBFAEUAUgBHACAAMgAwADIANgA6ACAAMwAuADUALgAyAC4AMwAgAEMATwBOAFMAVABBAE4AVABcACIAKQA7AFwAbgBcAG4AUwBvAHUAcgBjAGUARABhAHQAYQBfAFMAdwBpAG4AZQBfAE0AZQBnAGEAagBvAHUAbABlAHMAUABlAHIASwBpAGwAbwBnAHIAYQBtAE0AZQB0AGgAYQBuAGUAXwBWAGEAcgBpAGEAdABpAG8AbgBcAG4AIAAgAD0ATABBAE0AQgBEAEEAKABcACIAXAAiACkAOwBcAG4AXABuAFMAbwB1AHIAYwBlAEQAYQB0AGEAXwBTAHcAaQBuAGUAXwBNAGUAZwBhAGoAbwB1AGwAZQBzAFAAZQByAEsAaQBsAG8AZwByAGEAbQBNAGUAdABoAGEAbgBlAF8ARABhAHQAYQBcAG4AIAAgAD0ATABBAE0AQgBEAEEAKAA1ADUALgAyADIAKQA7ACIAfQAsAHsAIgBwAGEAdABoACIAOgAiAC8AcAByAG8AagBlAGMAdABzAC8AUwBvAHUAcgBjAGUARABhAHQAYQBfAFAAbwB1AGwAdAByAHkAIgAsACIAdABlAHgAdAAiADoAIgAvACoAIABcAG4ALQAtAC0ALQAtAC0ALQAtAC0ALQAtAC0ALQAtAC0ALQAtAC0ALQAtAC0ALQAtAC0ALQAtAC0ALQAtAC0ALQAtAC0ALQAtAC0ALQAtAFwAbgBTAG8AdQByAGMAZQBEAGEAdABhAF8AUABvAHUAbAB0AHIAeQBfAEQAaQBlAHQAUAByAG8AcABlAHIAdABpAGUAcwBcAG4AVABhAGIAbABlACAAQQAuADEALgA3AC4AMQA6ACAAUABvAHUAbAB0AHIAeQAgAC0AIABEAGkAZQB0ACAAcAByAG8AcABlAHIAdABpAGUAcwBcAG4ALQAtAC0ALQAtAC0ALQAtAC0ALQAtAC0ALQAtAC0ALQAtAC0ALQAtAC0ALQAtAC0ALQAtAC0ALQAtAC0ALQAtAC0ALQAtAC0ALQAtAFwAbgAqAC8AXABuAFwAbgBTAG8AdQByAGMAZQBEAGEAdABhAF8AUABvAHUAbAB0AHIAeQBfAEQAaQBlAHQAUAByAG8AcABlAHIAdABpAGUAcwBfAFQAaQB0AGwAZQBcAG4AIAAgAD0ATABBAE0AQgBEAEEAKABcACIAUABvAHUAbAB0AHIAeQAgAC0AIABEAGkAZQB0ACAAcAByAG8AcABlAHIAdABpAGUAcwBcACIAKQA7AFwAbgBcAG4AUwBvAHUAcgBjAGUARABhAHQAYQBfAFAAbwB1AGwAdAByAHkAXwBEAGkAZQB0AFAAcgBvAHAAZQByAHQAaQBlAHMAXwBVAG4AaQB0AFwAbgAgACAAPQBMAEEATQBCAEQAQQAoAFwAIgBcACIAKQA7AFwAbgBcAG4AUwBvAHUAcgBjAGUARABhAHQAYQBfAFAAbwB1AGwAdAByAHkAXwBEAGkAZQB0AFAAcgBvAHAAZQByAHQAaQBlAHMAXwBTAG8AdQByAGMAZQBcAG4AIAAgAD0ATABBAE0AQgBEAEEAKABcACIAVgBFAEUAUgBHACAAMgAwADIANgA6ACAAVABhAGIAbABlACAAQQAuADEALgA3AC4AMQA6ACAAUABvAHUAbAB0AHIAeQAgAC0AIABEAGkAZQB0ACAAcAByAG8AcABlAHIAdABpAGUAcwBcACIAKQA7AFwAbgBcAG4AUwBvAHUAcgBjAGUARABhAHQAYQBfAFAAbwB1AGwAdAByAHkAXwBEAGkAZQB0AFAAcgBvAHAAZQByAHQAaQBlAHMAXwBWAGEAcgBpAGEAdABpAG8AbgBcAG4AIAAgAD0ATABBAE0AQgBEAEEAKABcACIAXAAiACkAOwBcAG4AXABuAFMAbwB1AHIAYwBlAEQAYQB0AGEAXwBQAG8AdQBsAHQAcgB5AF8ARABpAGUAdABQAHIAbwBwAGUAcgB0AGkAZQBzAF8ARABhAHQAYQBcAG4AIAAgAD0ATABBAE0AQgBEAEEAKABcAG4AIAAgACAAIABNAEEASwBFAEEAUgBSAEEAWQAoADYALAAgADUALAAgAFwAbgAgACAAIAAgACAAIABMAEEATQBCAEQAQQAoAHIALABjACwAIABcAG4AIAAgACAAIAAgACAAIAAgAEkATgBEAEUAWAAoAHsAXABuACAAIAAgACAAIAAgACAAIAAgACAAXAAiAE4AdQB0AHIAaQBlAG4AdAAgAGEAbgBhAGwAeQBzAGkAcwBcACIALAAgAFwAIgBMAGEAeQBlAHIAcwBcACIALAAgAFwAIgBNAGUAYQB0ACAAYwBoAGkAYwBrAGUAbgAgAGcAcgBvAHcAZQByAHMAXAAiACwAIABcACIATQBlAGEAdAAgAGMAaABpAGMAawBlAG4AIABiAHIAZQBlAGQAZQByAFwAIgAsACAAXAAiAE0AZQBhAHQAIABvAHQAaABlAHIAXAAiADsAXABuACAAIAAgACAAIAAgACAAIAAgACAAXAAiAEQAcgB5ACAAbQBhAHQAdABlAHIAIABpAG4AdABhAGsAZQAgACgAawBnAC8AaABlAGEAZAAvAGQAYQB5ACkAXAAiACwAIAAwAC4AMAA4ADYALAAgADAALgAwADkAMwAsACAAMAAuADEAMAAzACwAIAAwAC4AMAA5ADMAOwAgAFwAbgAgACAAIAAgACAAIAAgACAAIAAgAFwAIgBEAHIAeQAgAG0AYQB0AHQAZQByACAAZABpAGcAZQBzAHQAaQBiAGkAbABpAHQAeQBcACIALAAgADAALgA4ADAALAAgADAALgA4ADAALAAgADAALgA4ADAALAAgADAALgA4ADAAOwBcAG4AIAAgACAAIAAgACAAIAAgACAAIABcACIAQwByAHUAZABlACAAcAByAG8AdABlAGkAbgBcACIALAAgADAALgAxADkALAAgADAALgAyADMALAAgADAALgAxADkALAAgADAALgAyADMAOwBcAG4AIAAgACAAIAAgACAAIAAgACAAIABcACIATgBpAHQAcgBvAGcAZQBuACAAcgBlAHQAZQBuAHQAaQBvAG4AIAByAGEAdABlAFwAIgAsACAAMAAuADMANQAsACAAMAAuADQANwAsACAAMAAuADMAMgAsACAAMAAuADQANwA7AFwAbgAgACAAIAAgACAAIAAgACAAIAAgAFwAIgBNAGEAbgB1AHIAZQAgAGEAcwBoAFwAIgAsACAAMAAuADEAOAAsACAAMAAuADEANQAsACAAMAAuADEAOAAsACAAMAAuADEANQ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NAEMARgBcAG4AVABhAGIAbABlACAAQQAuADEALgA3AC4ANAA6ACAAUABvAHUAbAB0AHIAeQAgAC0AIABNAEMARgBzAFwAbgAtAC0ALQAtAC0ALQAtAC0ALQAtAC0ALQAtAC0ALQAtAC0ALQAtAC0ALQAtAC0ALQAtAC0ALQAtAC0ALQAtAC0ALQAtAC0ALQAtAC0AXABuACoALwBcAG4AXABuAFMAbwB1AHIAYwBlAEQAYQB0AGEAXwBQAG8AdQBsAHQAcgB5AF8ATQBDAEYAXwBUAGkAdABsAGUAXABuACAAIAA9AEwAQQBNAEIARABBACgAXAAiAFAAbwB1AGwAdAByAHkAIAAtACAATQBDAEYAcwBcACIAKQA7AFwAbgBcAG4AUwBvAHUAcgBjAGUARABhAHQAYQBfAFAAbwB1AGwAdAByAHkAXwBNAEMARgBfAFUAbgBpAHQAXABuACAAIAA9AEwAQQBNAEIARABBACgAXAAiAFwAIgApADsAXABuAFwAbgBTAG8AdQByAGMAZQBEAGEAdABhAF8AUABvAHUAbAB0AHIAeQBfAE0AQwBGAF8AUwBvAHUAcgBjAGUAXABuACAAIAA9AEwAQQBNAEIARABBACgAXAAiAFYARQBFAFIARwAgADIAMAAyADYAOgAgAFQAYQBiAGwAZQAgAEEALgAxAC4ANwAuADQAOgAgAFAAbwB1AGwAdAByAHkAIAAtACAATQBDAEYAcwBcACIAKQA7AFwAbgBcAG4AUwBvAHUAcgBjAGUARABhAHQAYQBfAFAAbwB1AGwAdAByAHkAXwBNAEMARg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4AIABTAE8AVQBSAEMARQA6AFwAIgA7AFwAbgAgACAAIAAgACAAIAAgACAAIAAgAFwAIgBTAHAAbABpAHQAIABOAFMAVwAgAGEAbgBkACAAQQBDAFQAIABpAG4AdABvACAAcwBlAHAAYQByAGEAdABlACAAcwB0AGEAdABlAHMALgAgAFMAcABsAGkAdAAgAFEATABEACAAYQBuAGQAIABOAFQAIABpAG4AdABvACAAcwBlAHAAYQByAGEAdABlACAAcwB0AGEAdABlAHMALgBcACIAOwBcAG4AIAAgACAAIAAgACAAIAAgACAAIABcACIASQBuAGMAbAB1AGQAZQBkACAAdgBhAGwAdQBlAHMAIABmAG8AcgAgAGUAYQBjAGgAIABzAHQAYQB0AGUAIAB3AGgAZQBuACAAJwBBAGwAbAAgAHMAdABhAHQAZQBzACcAIAB2AGEAbAB1AGUAIABpAHMAIABnAGkAdgBlAG4ALgBcACIAOwBcAG4AIAAgACAAIAAgACAAIAAgACAAIABcACIAQQBkAGQAZQBkACAAJwBOAEkAUgAgAGQAZQBmAGkAbgBpAHQAaQBvAG4AJwAgAGMAbwBsAHUAbQBuACAAdwBpAHQAaAAgAE0ATQBTACAAbgBhAG0AZQBzACAAdABoAGEAdAAgAG0AYQB0AGMAaAAgAE4ASQBSACAAZABlAGYAaQBuAGkAdABpAG8AbgBzAC4AXAAiADsAXABuACAAIAAgACAAIAAgACAAIAAgACAAXAAiAEQAdQBwAGwAaQBjAGEAdABlAGQAIAAnAFAAbwB1AGwAdAByAHkAIABtAGEAbgB1AHIAZQAgAHcAaQB0AGgAbwB1AHQAIABsAGkAdAB0AGUAcgAnACAAcgBvAHcAIABmAG8AcgAgAE4ASQBSACAATQBNAFMAIAAnAEIAZQBsAHQAIABtAGEAbgB1AHIAZQAgAHIAZQBtAG8AdgBhAGwAJwAgAGEAbgBkACAAJwBNAGEAbgB1AHIAZQAgAHMAdABvAHIAZQBkACAAaQBuACAAaABvAHUAcwBlAC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AnAFAAYQBzAHQAdQByAGUAIAByAGEAbgBnAGUAIABhAG4AZAAgAHAAYQBkAGQAbwBjAGsAJwAgAGEAcABwAGwAaQBlAHMAIABNAEMARgAgAGYAbwByACAAZAByAHkAbABvAHQALgBcACIAKQA7AFwAbgBcAG4AXABuAC8AKgAgAFwAbgAtAC0ALQAtAC0ALQAtAC0ALQAtAC0ALQAtAC0ALQAtAC0ALQAtAC0ALQAtAC0ALQAtAC0ALQAtAC0ALQAtAC0ALQAtAC0ALQAtAC0AXABuAFMAbwB1AHIAYwBlAEQAYQB0AGEAXwBQAG8AdQBsAHQAcgB5AF8ATQBlAHQAaABhAG4AZQBFAG0AaQBzAHMAaQBvAG4AcwBQAG8AdABlAG4AdABpAGEAbABcAG4ATQBlAHQAaABhAG4AZQAgAGUAbQBpAHMAcwBpAG8AbgBzACAAcABvAHQAZQBuAHQAaQBhAGwAIABwAGUAcgAgAHAAbwB1AGwAdAByAHkAIABjAGwAYQBzAHMAXABuAC0ALQAtAC0ALQAtAC0ALQAtAC0ALQAtAC0ALQAtAC0ALQAtAC0ALQAtAC0ALQAtAC0ALQAtAC0ALQAtAC0ALQAtAC0ALQAtAC0ALQBcAG4AKgAvAFwAbgBcAG4AUwBvAHUAcgBjAGUARABhAHQAYQBfAFAAbwB1AGwAdAByAHkAXwBNAGUAdABoAGEAbgBlAEUAbQBpAHMAcwBpAG8AbgBzAFAAbwB0AGUAbgB0AGkAYQBsAF8AVABpAHQAbABlAFwAbgAgACAAPQBMAEEATQBCAEQAQQAoAFwAIgBQAG8AdQBsAHQAcgB5ACAALQAgAE0AZQB0AGgAYQBuAGUAIABlAG0AaQBzAHMAaQBvAG4AcwAgAHAAbwB0AGUAbgB0AGkAYQBsACAAcABlAHIAIABjAGwAYQBzAHMAXAAiACkAOwBcAG4AXABuAFMAbwB1AHIAYwBlAEQAYQB0AGEAXwBQAG8AdQBsAHQAcgB5AF8ATQBlAHQAaABhAG4AZQBFAG0AaQBzAHMAaQBvAG4AcwBQAG8AdABlAG4AdABpAGEAbABfAFUAbgBpAHQAXABuACAAIAA9AEwAQQBNAEIARABBACgAXAAiAG0AMwAgAEMASAA0AC8AawBnACAAVgBTAFwAIgApADsAXABuAFwAbgBTAG8AdQByAGMAZQBEAGEAdABhAF8AUABvAHUAbAB0AHIAeQBfAE0AZQB0AGgAYQBuAGUARQBtAGkAcwBzAGkAbwBuAHMAUABvAHQAZQBuAHQAaQBhAGwAXwBTAG8AdQByAGMAZQBcAG4AIAAgAD0ATABBAE0AQgBEAEEAKABcACIAVgBFAEUAUgBHACAAMgAwADIANgA6ACAANAAuADYALgAyAC4AMwAgAEMATwBOAFMAVABBAE4AVAA6ACAAUABvAHUAbAB0AHIAeQAgAC0AIABNAGUAdABoAGEAbgBlACAAZQBtAGkAcwBzAGkAbwBuAHMAIABwAG8AdABlAG4AdABpAGEAbAAgAHAAZQByACAAYwBsAGEAcwBzAFwAIgApADsAXABuAFwAbgBTAG8AdQByAGMAZQBEAGEAdABhAF8AUABvAHUAbAB0AHIAeQBfAE0AZQB0AGgAYQBuAGUARQBtAGkAcwBzAGkAbwBuAHMAUABvAHQAZQBuAHQAaQBhAGwAXwBWAGEAcgBpAGEAdABpAG8AbgBcAG4AIAAgAD0ATABBAE0AQgBEAEEAKABcACIAXAAiACkAOwBcAG4AXABuAFMAbwB1AHIAYwBlAEQAYQB0AGEAXwBQAG8AdQBsAHQAcgB5AF8ATQBlAHQAaABhAG4AZQBFAG0AaQBzAHMAaQBvAG4AcwBQAG8AdABlAG4AdABpAGEAbABfAEQAYQB0AGEAXABuACAAIAA9AEwAQQBNAEIARABBACgAXABuACAAIAAgACAATQBBAEsARQBBAFIAUgBBAFkAKAAzACwAIAAyACwAIABcAG4AIAAgACAAIAAgACAATABBAE0AQgBEAEEAKAByACwAYwAsACAAXABuACAAIAAgACAAIAAgACAAIABJAE4ARABFAFgAKAB7AFwAbgAgACAAIAAgACAAIAAgACAAIAAgAFwAIgBQAG8AdQBsAHQAcgB5ACAAYwBsAGEAcwBzAFwAIgAsACAAXAAiAEIAMABcACIAOwBcAG4AIAAgACAAIAAgACAAIAAgACAAIABcACIATABhAHkAZQByAHMAXAAiACwAIAAwAC4AMwA5ADsAIABcAG4AIAAgACAAIAAgACAAIAAgACAAIABcACIATQBlAGEAdAAgAGMAaABpAGMAawBlAG4AcwBcACIALAAgADAALgAzADY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UAByAG8AZAB1AGMAdABpAG8AbgBTAHkAcwB0AGUAbQBzAFwAbgBQAG8AdQBsAHQAcgB5ACAAcAByAG8AZAB1AGMAdABpAG8AbgAgAHMAeQBzAHQAZQBtAHMAXABuAC0ALQAtAC0ALQAtAC0ALQAtAC0ALQAtAC0ALQAtAC0ALQAtAC0ALQAtAC0ALQAtAC0ALQAtAC0ALQAtAC0ALQAtAC0ALQAtAC0ALQBcAG4AKgAvAFwAbgBcAG4AUwBvAHUAcgBjAGUARABhAHQAYQBfAFAAbwB1AGwAdAByAHkAXwBQAHIAbwBkAHUAYwB0AGkAbwBuAFMAeQBzAHQAZQBtAHMAXwBUAGkAdABsAGUAXABuACAAIAA9AEwAQQBNAEIARABBACgAXAAiAFAAbwB1AGwAdAByAHkAIAAtACAAUAByAG8AZAB1AGMAdABpAG8AbgAgAHMAeQBzAHQAZQBtAHMAXAAiACkAOwBcAG4AXABuAFMAbwB1AHIAYwBlAEQAYQB0AGEAXwBQAG8AdQBsAHQAcgB5AF8AUAByAG8AZAB1AGMAdABpAG8AbgBTAHkAcwB0AGUAbQBzAF8AVQBuAGkAdABcAG4AIAAgAD0ATABBAE0AQgBEAEEAKABcACIAXAAiACkAOwBcAG4AXABuAFMAbwB1AHIAYwBlAEQAYQB0AGEAXwBQAG8AdQBsAHQAcgB5AF8AUAByAG8AZAB1AGMAdABpAG8AbgBTAHkAcwB0AGUAbQBzAF8AUwBvAHUAcgBjAGUAXABuACAAIAA9AEwAQQBNAEIARABBACgAXAAiAFYARQBFAFIARwAgADIAMAAyADYAOgAgADQALgA2ACAAUABvAHUAbAB0AHIAeQBcACIAKQA7AFwAbgBcAG4AUwBvAHUAcgBjAGUARABhAHQAYQBfAFAAbwB1AGwAdAByAHkAXwBQAHIAbwBkAHUAYwB0AGkAbwBuAFMAeQBzAHQAZQBtAHMAXwBWAGEAcgBpAGEAdABpAG8AbgBcAG4AIAAgAD0ATABBAE0AQgBEAEEAKABcACIAXAAiACkAOwBcAG4AXABuAFMAbwB1AHIAYwBlAEQAYQB0AGEAXwBQAG8AdQBsAHQAcgB5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RgByAGUAZQAgAHIAYQBuAGcAZQBcACIAOwAgAFwAbgAgACAAIAAgACAAIAAgACAAIAAgAFwAIgBCAGEAcgBuAFwAIgA7AFwAbgAgACAAIAAgACAAIAAgACAAIAAgAFwAIgBD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QAG8AdQBsAHQAcgB5AF8AVgBTAEwAXwBUAGkAdABsAGUAXABuACAAIAA9AEwAQQBNAEIARABBACgAXAAiAFAAbwB1AGwAdAByAHkAIAAtACAARgByAGEAYwB0AGkAbwBuACAAbwBmACAAdgBvAGwAYQB0AGkAbABlACAAcwBvAGwAaQBkAHMAIABsAG8AcwB0ACAAaQBuACAAdABoAGUAIABwAHIAaQBtAGEAcgB5ACAATQBNAFMAXAAiACkAOwBcAG4AXABuAFMAbwB1AHIAYwBlAEQAYQB0AGEAXwBQAG8AdQBsAHQAcgB5AF8AVgBTAEwAXwBVAG4AaQB0AFwAbgAgACAAPQBMAEEATQBCAEQAQQAoAFwAIgBcACIAKQA7AFwAbgBcAG4AUwBvAHUAcgBjAGUARABhAHQAYQBfAFAAbwB1AGwAdAByAHkAXwBWAFMATABfAFMAbwB1AHIAYwBlAFwAbgAgACAAPQBMAEEATQBCAEQAQQAoAFwAIgBWAEUARQBSAEcAIAAyADAAMgA2ADoAIAA0AC4ANgAuADIALgAzACAAQwBPAE4AUwBUAEEATgBUAFwAIgApADsAXABuAFwAbgBTAG8AdQByAGMAZQBEAGEAdABhAF8AUABvAHUAbAB0AHIAeQBfAFYAUwBMAF8AVgBhAHIAaQBhAHQAaQBvAG4AXABuACAAIAA9AEwAQQBNAEIARABBACgAXAAiAFYAQQBSAEkAQQBUAEkATwBOACAATwBOACAAUwBPAFUAUgBDAEUAOgAgAFQAYQBiAGwAZQAgAGcAZQBuAGUAcgBhAHQAZQBkACAAZgByAG8AbQAgAGwAaQBuAGUAIABpAHQAZQBtAHMALgAgAEEAZABkAGUAZAAgACcATgBJAFIAIABkAGUAZgBpAG4AaQB0AGkAbwBuACAAYwBvAGwAdQBtAG4AJ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AnAE4ASQBSACAAZABlAGYAaQBuAGkAdABpAG8AbgAgAGMAbwBsAHUAbQBuAC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AnAE4ASQBSACAAZABlAGYAaQBuAGkAdABpAG8AbgAgAGMAbwBsAHUAbQBuACcALgAgAEQAdQBwAGwAaQBjAGEAdABlAGQAIAAnAFAAbwB1AGwAdAByAHkAIABtAGEAbgB1AHIAZQAgAHcAaQB0AGgAbwB1AHQAIABsAGkAdAB0AGUAcgAnACAAcgBvAHcAIABmAG8AcgAgAE4ASQBSACAATQBNAFMAIAAnAEIAZQBsAHQAIABtAGEAbgB1AHIAZQAgAHIAZQBtAG8AdgBhAGwAJwAgAGEAbgBkACAAJwBNAGEAbgB1AHIAZQAgAHMAdABvAHIAZQBkACAAaQBuACAAaABvAHUAcwBlACcALgBcACIAKQA7AFwAbgBcAG4AUwBvAHUAcgBjAGUARABhAHQAYQBfAFAAbwB1AGwAdAByAHkAXwBFAEYAbQBUAF8ARABhAHQAYQBcAG4AIAAgAD0ATABBAE0AQgBEAEEAKABcAG4AIAAgACAAIABNAEEASwBFAEEAUgBSAEEAWQAoADkALAAgADMALAAgAFwAbgAgACAAIAAgACAAIABMAEEATQBCAEQAQQAoAHIALABjACwAIABcAG4AIAAgACAAIAAgACAAIAAgAEkATgBEAEUAWAAoAHsAXABuACAAIAAgACAAIAAgACAAIAAgACAAXAAiAE0ATQBTACAAbQBcACIALAAgAFwAIgBFAEYAbQBUAFwAIgAsACAAXAAiAE4ASQBSACAAcgBlAGYAZQByAGUAbgBjAGUAXAAiADsAXABuACAAIAAgACAAIAAgACAAIAAgACAAXAAiAFAAbwB1AGwAdAByAHkAIABtAGEAbgB1AHIAZQAgAHcAaQB0AGgAIABsAGkAdAB0AGUAcgAgACgAaABvAHUAcwBpAG4AZwApAFwAIgAsACAAMAAuADAAMAAxACwAIABcACIAUABvAHUAbAB0AHIAeQAgAG0AYQBuAHUAcgBlACAAdwBpAHQAaAAgAGIAZQBkAGQAaQBuAGcAXAAiADsAXABuACAAIAAgACAAIAAgACAAIAAgACAAXAAiAFAAbwB1AGwAdAByAHkAIABtAGEAbgB1AHIAZQAgAHcAaQB0AGgAbwB1AHQAIABsAGkAdAB0AGUAcgAgACgAaABvAHUAcwBpAG4AZwApAFwAIgAsACAAMAAuADAAMAAxACwAIABcACIAQgBlAGwAdAAgAG0AYQBuAHUAcgBlACAAcgBlAG0AbwB2AGEAbABcACIAOwBcAG4AIAAgACAAIAAgACAAIAAgACAAIABcACIAUABvAHUAbAB0AHIAeQAgAG0AYQBuAHUAcgBlACAAdwBpAHQAaABvAHUAdAAgAGwAaQB0AHQAZQByACAAKABoAG8AdQBzAGkAbgBnACkAXAAiACwAIAAwAC4AMAAwADEALAAgAFwAIgBNAGEAbgB1AHIAZQAgAHMAdABvAHIAZQBkACAAaQBuACAAaABvAHUAcwBlAFwAIgA7AFwAbgAgACAAIAAgACAAIAAgACAAIAAgAFwAIgBQAGEAcwB0AHUAcgBlACAAcgBhAG4AZwBlACAAYQBuAGQAIABwAGEAZABkAG8AYwBrACAAKABmAHIAZQBlACAAcgBhAG4AZwBlACkAXAAiACwAIAAwAC4AMAAyACwAIABcACIAUABhAHMAdAB1AHIAZQAgAHIAYQBuAGcAZQAgAGEAbgBkACAAcABhAGQAZABvAGMAawBcACIAOwBcAG4AIAAgACAAIAAgACAAIAAgACAAIABcACIAUwBvAGwAaQBkACAAcwB0AG8AcgBhAGcAZQAgACgAcwB0AG8AYwBrAHAAaQBsAGUAKQBcACIALAAgADAALgAwADAANQAsACAAXAAiAFMAbwBsAGkAZAAgAHMAdABvAHIAYQBnAGUAXAAiADsAXABuACAAIAAgACAAIAAgACAAIAAgACAAXAAiAEMAbwBtAHAAbwBzAHQAaQBuAGcAIAAoAHAAYQBzAHMAaQB2AGUAIAB3AGkAbgBkAHIAbwB3ACkAXAAiACwAIAAwAC4AMAAx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QAG8AdQBsAHQAcgB5AF8ARgByAGEAYwB0AGkAbwBuAE8AZgBOAGkAdAByAG8AZwBlAG4ATABvAHMAdABUAGgAcgBvAHUAZwBoAEwAZQBhAGMAaABpAG4AZwBBAG4AZABSAHUAbgBvAGYAZgBfAFQAaQB0AGwAZQBcAG4AIAAgAD0ATABBAE0AQgBEAEEAKABcACIARgByAGEAYwB0AGkAbwBuACAAbwBmACAATgAgAHQAaABhAHQAIABpAHMAIABsAG8AcwB0ACAAdABoAHIAbwB1AGcAaAAgAGwAZQBhAGMAaABpAG4AZwAgAGEAbgBkACAAcgB1AG4AbwBmAGYAXAAiACkAOwBcAG4AXABuAFMAbwB1AHIAYwBlAEQAYQB0AGEAXwBQAG8AdQBsAHQAcgB5AF8ARgByAGEAYwB0AGkAbwBuAE8AZgBOAGkAdAByAG8AZwBlAG4ATABvAHMAdABUAGgAcgBvAHUAZwBoAEwAZQBhAGMAaABpAG4AZwBBAG4AZABSAHUAbgBvAGYAZgBfAFYAYQByAGkAYQBiAGwAZQBcAG4AIAAgAD0ATABBAE0AQgBEAEEAKABcACIARgByAGEAYwBfAEwARQBBAEMASABfAE0AUwBcACIAKQA7AFwAbgBcAG4AUwBvAHUAcgBjAGUARABhAHQAYQBfAFAAbwB1AGwAdAByAHkAXwBGAHIAYQBjAHQAaQBvAG4ATwBmAE4AaQB0AHIAbwBnAGUAbgBMAG8AcwB0AFQAaAByAG8AdQBnAGgATABlAGEAYwBoAGkAbgBnAEEAbgBkAFIAdQBuAG8AZgBmAF8AVQBuAGkAdABcAG4AIAAgAD0ATABBAE0AQgBEAEEAKABcACIARABpAG0AZQBuAHMAaQBvAG4AbABlAHMAcwBcACIAKQA7AFwAbgBcAG4AUwBvAHUAcgBjAGUARABhAHQAYQBfAFAAbwB1AGwAdAByAHkAXwBGAHIAYQBjAHQAaQBvAG4ATwBmAE4AaQB0AHIAbwBnAGUAbgBMAG8AcwB0AFQAaAByAG8AdQBnAGgATABlAGEAYwBoAGkAbgBnAEEAbgBkAFIAdQBuAG8AZgBmAF8AUwBvAHUAcgBjAGUAXABuACAAIAA9AEwAQQBNAEIARABBACgAXAAiAFYARQBFAFIARwAgADIAMAAyADYAOgAgADQALgA2AC4AMgAuADMAIABDAE8ATgBTAFQAQQBOAFQAUwBcACIAKQA7AFwAbgBcAG4AUwBvAHUAcgBjAGUARABhAHQAYQBfAFAAbwB1AGwAdAByAHkAXwBGAHIAYQBjAHQAaQBvAG4ATwBmAE4AaQB0AHIAbwBnAGUAbgBMAG8AcwB0AFQAaAByAG8AdQBnAGgATABlAGEAYwBoAGkAbgBnAEEAbgBkAFIAdQBuAG8AZgBmAF8AVgBhAHIAaQBhAHQAaQBvAG4AXABuACAAIAA9AEwAQQBNAEIARABBACgAXAAiAFwAIgApADsAXABuAFwAbgBTAG8AdQByAGMAZQBEAGEAdABhAF8AUABvAHUAbAB0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QAG8AdQBsAHQAcgB5AF8ARgByAGEAYwBHAEEATQBT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8AdQBsAHQAcgB5AF8ARgByAGEAYwBHAEEATQBT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vAHUAbAB0AHIAeQBfAEYAcgBhAGMARwBBAE0AUwBTAG8AaQBsAF8AVgBhAHIAaQBhAGIAbABlAFwAbgAgACAAPQBMAEEATQBCAEQAQQAoAFwAIgBGAHIAYQBjAEcAQQBTAE0AXwBzAG8AaQBsAFwAIgApADsAXABuAFwAbgBTAG8AdQByAGMAZQBEAGEAdABhAF8AUABvAHUAbAB0AHIAeQBfAEYAcgBhAGMARwBBAE0AUwBTAG8AaQBsAF8AVQBuAGkAdABcAG4AIAAgAD0ATABBAE0AQgBEAEEAKABcACIAKABrAGcAIABOAEgAMwAtAE4AIAArACAATgBPAHgALQBOACkALwBrAGcAIABOAFwAIgApADsAXABuAFwAbgBTAG8AdQByAGMAZQBEAGEAdABhAF8AUABvAHUAbAB0AHIAeQBfAEYAcgBhAGMARwBBAE0AUwBTAG8AaQBsAF8AUwBvAHUAcgBjAGUAXABuACAAIAA9AEwAQQBNAEIARABBACgAXAAiAFYARQBFAFIARwAgADIAMAAyADYAOgAgADQALgA2AC4AMgAuADMAIABDAE8ATgBTAFQAQQBOAFQAUwBcACIAKQA7AFwAbgBcAG4AUwBvAHUAcgBjAGUARABhAHQAYQBfAFAAbwB1AGwAdAByAHkAXwBGAHIAYQBjAEcAQQBNAFMAUwBvAGkAbABfAFYAYQByAGkAYQB0AGkAbwBuAFwAbgAgACAAPQBMAEEATQBCAEQAQQAoAFwAIgBWAEEAUgBJAEEAVABJAE8ATgAgAE8ATgAgAFMATwBVAFIAQwBFADoAIABUAGgAaQBzACAAYwBvAG4AcwB0AGEAbgB0ACAAaQBzACAAbgBvAHQAIABkAG8AYwB1AG0AZQBuAHQAZQBkACAAaQBuACAAdABoAGUAIABkAHIAYQBmAHQALAAgAHUAcwBlAGQAIAB0AGgAZQAgAHMAYQBtAGUAIAB2AGEAbAB1AGUAIABvAGYAIAAwAC4AMgAxACAAYQBzACAAYQBsAGwAIABvAHQAaABlAHIAIABsAGkAdgBlAHMAdABvAGMAawAuAFwAIgApADsAXABuAFwAbgBTAG8AdQByAGMAZQBEAGEAdABhAF8AUABvAHUAbAB0AHIAeQBfAEYAcgBhAGMARwBBAE0AUwBTAG8AaQBsAF8ARABhAHQAYQBcAG4AIAAgAD0ATABBAE0AQgBEAEEAKAAwAC4AMgAxACkAOwBcAG4AXABuAFwAbgAvACoAIABcAG4ALQAtAC0ALQAtAC0ALQAtAC0ALQAtAC0ALQAtAC0ALQAtAC0ALQAtAC0ALQAtAC0ALQAtAC0ALQAtAC0ALQAtAC0ALQAtAC0ALQAtAFwAbgBTAG8AdQByAGMAZQBEAGEAdABhAF8AUABvAHUAbAB0AHIAeQBfAEwAaQB2AGUAdwBlAGkAZwBoAHQAcwBcAG4AVABhAGIAbABlACAAQQAuADEALgA3AC4ANQA6ACAAUABvAHUAbAB0AHIAeQAgAC0AIABMAGkAdgBlAHcAZQBpAGcAaAB0AHMAIAAoAFcAYwBvACkAIAAoAGsAZwApAFwAbgAtAC0ALQAtAC0ALQAtAC0ALQAtAC0ALQAtAC0ALQAtAC0ALQAtAC0ALQAtAC0ALQAtAC0ALQAtAC0ALQAtAC0ALQAtAC0ALQAtAC0AXABuACoALwBcAG4AXABuAFMAbwB1AHIAYwBlAEQAYQB0AGEAXwBQAG8AdQBsAHQAcgB5AF8ATABpAHYAZQB3AGUAaQBnAGgAdABzAF8AVABpAHQAbABlAFwAbgAgACAAPQBMAEEATQBCAEQAQQAoAFwAIgBQAG8AdQBsAHQAcgB5ACAALQAgAEwAaQB2AGUAdwBlAGkAZwBoAHQAcwAgACgAVwBjAG8AKQAgACgAawBnACkAXAAiACkAOwBcAG4AXABuAFMAbwB1AHIAYwBlAEQAYQB0AGEAXwBQAG8AdQBsAHQAcgB5AF8ATABpAHYAZQB3AGUAaQBnAGgAdABzAF8AVQBuAGkAdABcAG4AIAAgAD0ATABBAE0AQgBEAEEAKABcACIAawBnAFwAIgApADsAXABuAFwAbgBTAG8AdQByAGMAZQBEAGEAdABhAF8AUABvAHUAbAB0AHIAeQBfAEwAaQB2AGUAdwBlAGkAZwBoAHQAcwBfAFMAbwB1AHIAYwBlAFwAbgAgACAAPQBMAEEATQBCAEQAQQAoAFwAIgBWAEUARQBSAEcAIAAyADAAMgA2ADoAIABUAGEAYgBsAGUAIABBAC4AMQAuADcALgA1AFwAIgApADsAXABuAFwAbgBTAG8AdQByAGMAZQBEAGEAdABhAF8AUABvAHUAbAB0AHIAeQBfAEwAaQB2AGUAdwBlAGkAZwBoAHQAcwBfAFYAYQByAGkAYQB0AGkAbwBuAFwAbgAgACAAPQBMAEEATQBCAEQAQQAoAFwAIgBcACIAKQA7AFwAbgBcAG4AUwBvAHUAcgBjAGUARABhAHQAYQBfAFAAbwB1AGwAdAByAHkAXwBMAGkAdgBlAHcAZQBpAGcAaAB0AHMAXwBEAGEAdABhAFwAbgAgACAAPQBMAEEATQBCAEQAQQAoAFwAbgAgACAAIAAgAE0AQQBLAEUAQQBSAFIAQQBZACgAOQAsACAAMwAsACAAXABuACAAIAAgACAAIAAgAEwAQQBNAEIARABBACgAcgAsAGMALAAgAFwAbgAgACAAIAAgACAAIAAgACAASQBOAEQARQBYACgAewBcAG4AIAAgACAAIAAgACAAIAAgACAAIABcACIATABpAHYAZQBzAHQAbwBjAGsAIABDAGwAYQBzAHMAIABqAFwAIgAsACAAXAAiAEEAdgBlAHIAYQBnAGUAIABMAGkAdgBlAHcAZQBpAGcAaAB0ACAAKABrAGcAKQBcACIAOwBcAG4AIAAgACAAIAAgACAAIAAgACAAIABcACIAQwBoAGkAYwBrAGUAbgBcACIALAAgADEALgAzADsAXABuACAAIAAgACAAIAAgACAAIAAgACAAXAAiAEgAZQBuACAAPg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QwBhAGwAYwB1AGwAYQB0AGUAZAAgAGIAeQAgADUALgAxAC4AMQ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QwBhAGwAYwB1AGwAYQB0AGUAZAAgAGIAeQAgADUALgAxAC4AMQ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OwBcAG4AIAAgACAAIAAgACAAIAAgACAAIABcACIAagBcACIALAAgAFwAIgBwAHIAbwBkAHUAYwB0AGkAbwBuACAAcwB5AHMAdABlAG0AXAAiACwAIABcACIAXAAiACwAIABcACIASQBuAHAAdQB0AFwAIgBcAG4AIAAgACAAIAAgACAAIAAgAH0ALAAgAHIALAAgAGMAKQBcAG4AIAAgACAAIAAgACAAKQBcAG4AIAAgACAAIAApAFwAbgAgACAAKQA7AFwAbgBcAG4AVgBFAEUAUgBHAF8AMQA1AF8ANABfADEAXwAxAF8AXwAyAF8ARQBtAGkAcwBzAGkAbwBuAHMARgByAG8AbQBQAHUAcgBjAGgAYQBzAGUAZABGAGUAcgB0AGkAbABpAHMAZQByAEMAbwBtAHAAbwBuAGUAbgB0AHMAXwBWAGEAcgBpAGEAdABpAG8AbgBcAG4AIAAgAD0ATABBAE0AQgBEAEEAKABcACIAVgBBAFIASQBBAFQASQBPAE4AIABPAE4AIABTAE8AVQBSAEMARQA6ACAAcgBlAG0AbwB2AGUAcwAgAGQAaQB2AGkAcwBpAG8AbgAgAGIAeQAgADEAMAAwACAAZgBvAHIAIABGAF8AYwBmACwAIAB0AHIAZQBhAHQAaQBuAGcAIABGAF8AYwBmACAAYQBzACAAZgByAGEAYwB0AGkAbwBuACAAaQBuAHMAdABlAGEAZAAgAG8AZgAgAHAAZQByAGMAZQBuAHQAIABiAGUAYwBhAHUAcwBlACAAaQB0ACAAaQBzACAAYQAgAGYAcgBhAGMAdABpAG8AbgAgAGkAbgAgAHMAYwBvAHAAZQAgADEAIABlAHEAdQBhAHQAaQBvAG4AcwAuACAAQwBvAG4AdgBlAHIAdAAgAGsAZwAgAHQAbwAgAHQAbwBuAG4AZQBzACAAYgB5ACAAbQB1AHQAaQBwAGwAeQBpAG4AZwAgAGIAeQAgADEAMABeAC0AMwAu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wBkAGEAdABhAFwAXAB0AGkAbQBlAHMAIABlAG0AaQBzAHMAaQBvAG4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0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DsAXABuACAAIAAgACAAIAAgACAAIAAgACAAXAAiAFcAVABUAFwAIgAsACAAXAAiAHcAZQBsAGwAIAB0AG8AIAB0AGEAbgBrAFwAIgAsACAAXAAiAFwAIgAsACAAXAAiAEMAbwBuAHMAdABhAG4AdABcACIAOwBcAG4AIAAgACAAIAAgACAAIAAgACAAIABcACIAcQBcACIALAAgAFwAIgBmAHUAZ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g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Y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Bd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1AF8AMQBfADEAXwBfADEAXwBFAG0AaQBzAHMAaQBvAG4AcwBGAHIAbwBtAFAAdQByAGMAaABhAHMAZQBkAEEAZwByAGkAYwBoAGUAbQBpAGMAYQBsAHMAIgAsACIAUwBjAG8AcABlADMAXwBFAHEAdQBhAHQAaQBvAG4AcwAuAFYARQBFAFIARwBfADEANQBfADUAXwAxAF8AMQBfAF8AMQBfAEUAbQBpAHMAcwBpAG8AbgBzAEYAcgBvAG0AUAB1AHIAYwBoAGEAcwBlAGQAQQBnAHIAaQBjAGgAZQBtAGkAYwBhAGwAcwBfAFQAaQB0AGwAZQAiACwAIgBTAGMAbwBwAGUAMwBfAEUAcQB1AGEAdABpAG8AbgBzAC4AVgBFAEUAUgBHAF8AMQA1AF8ANQBfADEAXwAxAF8AXwAxAF8ARQBtAGkAcwBzAGkAbwBuAHMARgByAG8AbQBQAHUAcgBjAGgAYQBzAGUAZABBAGcAcgBpAGMAaABlAG0AaQBjAGEAbABzAF8AVgBhAHIAaQBhAGIAbABlACIALAAiAFMAYwBvAHAAZQAzAF8ARQBxAHUAYQB0AGkAbwBuAHMALgBWAEUARQBSAEcAXwAxADUAXwA1AF8AMQBfADEAXwBfADEAXwBFAG0AaQBzAHMAaQBvAG4AcwBGAHIAbwBtAFAAdQByAGMAaABhAHMAZQBkAEEAZwByAGkAYwBoAGUAbQBpAGMAYQBsAHMAXwBVAG4AaQB0ACIALAAiAFMAYwBvAHAAZQAzAF8ARQBxAHUAYQB0AGkAbwBuAHMALgBWAEUARQBSAEcAXwAxADUAXwA1AF8AMQBfADEAXwBfADEAXwBFAG0AaQBzAHMAaQBvAG4AcwBGAHIAbwBtAFAAdQByAGMAaABhAHMAZQBkAEEAZwByAGkAYwBoAGUAbQBpAGMAYQBsAHMAXwBTAG8AdQByAGMAZQAiACwAIgBTAGMAbwBwAGUAMwBfAEUAcQB1AGEAdABpAG8AbgBzAC4AVgBFAEUAUgBHAF8AMQA1AF8ANQBfADEAXwAxAF8AXwAxAF8ARQBtAGkAcwBzAGkAbwBuAHMARgByAG8AbQBQAHUAcgBjAGgAYQBzAGUAZABBAGcAcgBpAGMAaABlAG0AaQBjAGEAbABzAF8ATgBJAFIAUgBlAGYAZQByAGUAbgBjAGUAIgAsACIAUwBjAG8AcABlADMAXwBFAHEAdQBhAHQAaQBvAG4AcwAuAFYARQBFAFIARwBfADEANQBfADUAXwAxAF8AMQBfAF8AMQBfAEUAbQBpAHMAcwBpAG8AbgBzAEYAcgBvAG0AUAB1AHIAYwBoAGEAcwBlAGQAQQBnAHIAaQBjAGgAZQBtAGkAYwBhAGwAcwBfAEwAYQB0AGUAeABFAHEAdQBhAHQAaQBvAG4AIgAsACIAUwBjAG8AcABlADMAXwBFAHEAdQBhAHQAaQBvAG4AcwAuAFYARQBFAFIARwBfADEANQBfADUAXwAxAF8AMQBfAF8AMQBfAEUAbQBpAHMAcwBpAG8AbgBzAEYAcgBvAG0AUAB1AHIAYwBoAGEAcwBlAGQAQQBnAHIAaQBjAGgAZQBtAGkAYwBhAGwAcwBfAEEAcgBnAHUAbQBlAG4AdABzACIALAAiAFMAYwBvAHAAZQAzAF8ARQBxAHUAYQB0AGkAbwBuAHMALgBWAEUARQBSAEcAXwAxADUAXwA2AF8AMQBfADEAXwBfADEAXwBFAG0AaQBzAHMAaQBvAG4AcwBGAHIAbwBtAFAAdQByAGMAaABhAHMAZQBkAEwAaQBtAGUAIgAsACIAUwBjAG8AcABlADMAXwBFAHEAdQBhAHQAaQBvAG4AcwAuAFYARQBFAFIARwBfADEANQBfADYAXwAxAF8AMQBfAF8AMQBfAEUAbQBpAHMAcwBpAG8AbgBzAEYAcgBvAG0AUAB1AHIAYwBoAGEAcwBlAGQATABpAG0AZQBfAFQAaQB0AGwAZQAiACwAIgBTAGMAbwBwAGUAMwBfAEUAcQB1AGEAdABpAG8AbgBzAC4AVgBFAEUAUgBHAF8AMQA1AF8ANgBfADEAXwAxAF8AXwAxAF8ARQBtAGkAcwBzAGkAbwBuAHMARgByAG8AbQBQAHUAcgBjAGgAYQBzAGUAZABMAGkAbQBlAF8AVgBhAHIAaQBhAGIAbABlACIALAAiAFMAYwBvAHAAZQAzAF8ARQBxAHUAYQB0AGkAbwBuAHMALgBWAEUARQBSAEcAXwAxADUAXwA2AF8AMQBfADEAXwBfADEAXwBFAG0AaQBzAHMAaQBvAG4AcwBGAHIAbwBtAFAAdQByAGMAaABhAHMAZQBkAEwAaQBtAGUAXwBVAG4AaQB0ACIALAAiAFMAYwBvAHAAZQAzAF8ARQBxAHUAYQB0AGkAbwBuAHMALgBWAEUARQBSAEcAXwAxADUAXwA2AF8AMQBfADEAXwBfADEAXwBFAG0AaQBzAHMAaQBvAG4AcwBGAHIAbwBtAFAAdQByAGMAaABhAHMAZQBkAEwAaQBtAGUAXwBTAG8AdQByAGMAZQAiACwAIgBTAGMAbwBwAGUAMwBfAEUAcQB1AGEAdABpAG8AbgBzAC4AVgBFAEUAUgBHAF8AMQA1AF8ANgBfADEAXwAxAF8AXwAxAF8ARQBtAGkAcwBzAGkAbwBuAHMARgByAG8AbQBQAHUAcgBjAGgAYQBzAGUAZABMAGkAbQBlAF8ATgBJAFIAUgBlAGYAZQByAGUAbgBjAGUAIgAsACIAUwBjAG8AcABlADMAXwBFAHEAdQBhAHQAaQBvAG4AcwAuAFYARQBFAFIARwBfADEANQBfADYAXwAxAF8AMQBfAF8AMQBfAEUAbQBpAHMAcwBpAG8AbgBzAEYAcgBvAG0AUAB1AHIAYwBoAGEAcwBlAGQATABpAG0AZQBfAEwAYQB0AGUAeABFAHEAdQBhAHQAaQBvAG4AIgAsACIAUwBjAG8AcABlADMAXwBFAHEAdQBhAHQAaQBvAG4AcwAuAFYARQBFAFIARwBfADEANQBfADYAXwAxAF8AMQBfAF8AMQBfAEUAbQBpAHMAcwBpAG8AbgBzAEYAcgBvAG0AUAB1AHIAYwBoAGEAcwBlAGQATABpAG0AZQBfAEEAcgBnAHUAbQBlAG4AdABzACIALAAiAFMAYwBvAHAAZQAzAF8ARQBxAHUAYQB0AGkAbwBuAHMALgBWAEUARQBSAEcAXwAxADUAXwA3AF8AMQBfADEAXwBfADEAXwBFAG0AaQBzAHMAaQBvAG4AcwBGAHIAbwBtAFAAdQByAGMAaABhAHMAZQBkAFMAZQByAHYAaQBjAGUAcwAiACwAIgBTAGMAbwBwAGUAMwBfAEUAcQB1AGEAdABpAG8AbgBzAC4AVgBFAEUAUgBHAF8AMQA1AF8ANwBfADEAXwAxAF8AXwAxAF8ARQBtAGkAcwBzAGkAbwBuAHMARgByAG8AbQBQAHUAcgBjAGgAYQBzAGUAZABTAGUAcgB2AGkAYwBlAHMAXwBUAGkAdABsAGUAIgAsACIAUwBjAG8AcABlADMAXwBFAHEAdQBhAHQAaQBvAG4AcwAuAFYARQBFAFIARwBfADEANQBfADcAXwAxAF8AMQBfAF8AMQBfAEUAbQBpAHMAcwBpAG8AbgBzAEYAcgBvAG0AUAB1AHIAYwBoAGEAcwBlAGQAUwBlAHIAdgBpAGMAZQBzAF8AVgBhAHIAaQBhAGIAbABlACIALAAiAFMAYwBvAHAAZQAzAF8ARQBxAHUAYQB0AGkAbwBuAHMALgBWAEUARQBSAEcAXwAxADUAXwA3AF8AMQBfADEAXwBfADEAXwBFAG0AaQBzAHMAaQBvAG4AcwBGAHIAbwBtAFAAdQByAGMAaABhAHMAZQBkAFMAZQByAHYAaQBjAGUAcwBfAFUAbgBpAHQAIgAsACIAUwBjAG8AcABlADMAXwBFAHEAdQBhAHQAaQBvAG4AcwAuAFYARQBFAFIARwBfADEANQBfADcAXwAxAF8AMQBfAF8AMQBfAEUAbQBpAHMAcwBpAG8AbgBzAEYAcgBvAG0AUAB1AHIAYwBoAGEAcwBlAGQAUwBlAHIAdgBpAGMAZQBzAF8AUwBvAHUAcgBjAGUAIgAsACIAUwBjAG8AcABlADMAXwBFAHEAdQBhAHQAaQBvAG4AcwAuAFYARQBFAFIARwBfADEANQBfADcAXwAxAF8AMQBfAF8AMQBfAEUAbQBpAHMAcwBpAG8AbgBzAEYAcgBvAG0AUAB1AHIAYwBoAGEAcwBlAGQAUwBlAHIAdgBpAGMAZQBzAF8ATgBJAFIAUgBlAGYAZQByAGUAbgBjAGUAIgAsACIAUwBjAG8AcABlADMAXwBFAHEAdQBhAHQAaQBvAG4AcwAuAFYARQBFAFIARwBfADEANQBfADcAXwAxAF8AMQBfAF8AMQBfAEUAbQBpAHMAcwBpAG8AbgBzAEYAcgBvAG0AUAB1AHIAYwBoAGEAcwBlAGQAUwBlAHIAdgBpAGMAZQBzAF8ATABhAHQAZQB4AEUAcQB1AGEAdABpAG8AbgAiACwAIgBTAGMAbwBwAGUAMwBfAEUAcQB1AGEAdABpAG8AbgBzAC4AVgBFAEUAUgBHAF8AMQA1AF8ANwBfADEAXwAxAF8AXwAxAF8ARQBtAGkAcwBzAGkAbwBuAHMARgByAG8AbQBQAHUAcgBjAGgAYQBzAGUAZABTAGUAcgB2AGkAYwBlAHMAXwBBAHIAZwB1AG0AZQBuAHQAcwAiACwAIgBTAGMAbwBwAGUAMwBfAEUAcQB1AGEAdABpAG8AbgBzAC4AVgBFAEUAUgBHAF8AMQA1AF8AOABfADEAXwAxAF8AXwAxAF8ARQBtAGkAcwBzAGkAbwBuAHMARgByAG8AbQBQAHUAcgBjAGgAYQBzAGUAZABQAGEAYwBrAGEAZwBpAG4AZwAiACwAIgBTAGMAbwBwAGUAMwBfAEUAcQB1AGEAdABpAG8AbgBzAC4AVgBFAEUAUgBHAF8AMQA1AF8AOABfADEAXwAxAF8AXwAxAF8ARQBtAGkAcwBzAGkAbwBuAHMARgByAG8AbQBQAHUAcgBjAGgAYQBzAGUAZABQAGEAYwBrAGEAZwBpAG4AZwBfAFQAaQB0AGwAZQAiACwAIgBTAGMAbwBwAGUAMwBfAEUAcQB1AGEAdABpAG8AbgBzAC4AVgBFAEUAUgBHAF8AMQA1AF8AOABfADEAXwAxAF8AXwAxAF8ARQBtAGkAcwBzAGkAbwBuAHMARgByAG8AbQBQAHUAcgBjAGgAYQBzAGUAZABQAGEAYwBrAGEAZwBpAG4AZwBfAFYAYQByAGkAYQBiAGwAZQAiACwAIgBTAGMAbwBwAGUAMwBfAEUAcQB1AGEAdABpAG8AbgBzAC4AVgBFAEUAUgBHAF8AMQA1AF8AOABfADEAXwAxAF8AXwAxAF8ARQBtAGkAcwBzAGkAbwBuAHMARgByAG8AbQBQAHUAcgBjAGgAYQBzAGUAZABQAGEAYwBrAGEAZwBpAG4AZwBfAFUAbgBpAHQAIgAsACIAUwBjAG8AcABlADMAXwBFAHEAdQBhAHQAaQBvAG4AcwAuAFYARQBFAFIARwBfADEANQBfADgAXwAxAF8AMQBfAF8AMQBfAEUAbQBpAHMAcwBpAG8AbgBzAEYAcgBvAG0AUAB1AHIAYwBoAGEAcwBlAGQAUABhAGMAawBhAGcAaQBuAGcAXwBTAG8AdQByAGMAZQAiACwAIgBTAGMAbwBwAGUAMwBfAEUAcQB1AGEAdABpAG8AbgBzAC4AVgBFAEUAUgBHAF8AMQA1AF8AOABfADEAXwAxAF8AXwAxAF8ARQBtAGkAcwBzAGkAbwBuAHMARgByAG8AbQBQAHUAcgBjAGgAYQBzAGUAZABQAGEAYwBrAGEAZwBpAG4AZwBfAE4ASQBSAFIAZQBmAGUAcgBlAG4AYwBlACIALAAiAFMAYwBvAHAAZQAzAF8ARQBxAHUAYQB0AGkAbwBuAHMALgBWAEUARQBSAEcAXwAxADUAXwA4AF8AMQBfADEAXwBfADEAXwBFAG0AaQBzAHMAaQBvAG4AcwBGAHIAbwBtAFAAdQByAGMAaABhAHMAZQBkAFAAYQBjAGsAYQBnAGkAbgBnAF8ATABhAHQAZQB4AEUAcQB1AGEAdABpAG8AbgAiACwAIgBTAGMAbwBwAGUAMwBfAEUAcQB1AGEAdABpAG8AbgBzAC4AVgBFAEUAUgBHAF8AMQA1AF8AOABfADEAXwAxAF8AXwAxAF8ARQBtAGkAcwBzAGkAbwBuAHMARgByAG8AbQBQAHUAcgBjAGgAYQBzAGUAZABQAGEAYwBrAGEAZwBpAG4AZwBfAEEAcgBnAHUAbQBlAG4AdABz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QQByAGcAdQBtAGUAbgB0AHM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Constants - Poultry</vt:lpstr>
      <vt:lpstr>Constants - Swine</vt:lpstr>
      <vt:lpstr>Constants - Dairy</vt:lpstr>
      <vt:lpstr>Constants - Pasture Beef</vt:lpstr>
      <vt:lpstr>Input - Site</vt:lpstr>
      <vt:lpstr>Input - Fertiliser</vt:lpstr>
      <vt:lpstr>Input - Feed</vt:lpstr>
      <vt:lpstr>Input - Farm Inputs</vt:lpstr>
      <vt:lpstr>Input - Fuel</vt:lpstr>
      <vt:lpstr>Input - Electricity</vt:lpstr>
      <vt:lpstr>Calcs scope 3</vt:lpstr>
      <vt:lpstr>Constants - Scope 3</vt:lpstr>
      <vt:lpstr>Constants - Common Livestock</vt:lpstr>
      <vt:lpstr>Sheet1</vt:lpstr>
      <vt:lpstr>Constants - Fertiliser</vt:lpstr>
      <vt:lpstr>Constants - Fuel</vt:lpstr>
      <vt:lpstr>Constants - Electricity</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2026-06-01T23:29:24Z</dcterms:modified>
</cp:coreProperties>
</file>