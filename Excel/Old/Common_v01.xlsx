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8E2719A9-C239-46D6-9930-4C608E18C6A4}" xr6:coauthVersionLast="47" xr6:coauthVersionMax="47" xr10:uidLastSave="{00000000-0000-0000-0000-000000000000}"/>
  <bookViews>
    <workbookView xWindow="390" yWindow="390" windowWidth="28800" windowHeight="15345" xr2:uid="{992023F3-CAB7-4E5B-A348-08D563A0EF40}"/>
  </bookViews>
  <sheets>
    <sheet name="Constants - Common" sheetId="15" r:id="rId1"/>
  </sheets>
  <externalReferences>
    <externalReference r:id="rId2"/>
  </externalReference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CommonCropping_GetFracWET">_xlfn.LAMBDA(_xlpm.LeachingZone,_xlpm.ProductionSystem,_xlpm.LeachingZoneLookup,_xlpm.LeachingZoneFracWETLookup,_xlpm.ProductionSystemLookup,_xlpm.ProductionSystemFracWETLookup, _xlfn.LET(_xlpm.LeachingZoneFracWET, 'Constants - Common'!Common_InputFunctions.Utility_LookupValueInTableNumber(_xlpm.LeachingZone, _xlpm.LeachingZoneLookup, _xlpm.LeachingZoneFracWETLookup), _xlpm.ProductionSystemFracWET, 'Constants - Common'!Common_InputFunctions.Utility_LookupValueInTableNumber(_xlpm.ProductionSystem, _xlpm.ProductionSystemLookup, _xlpm.ProductionSystemFracWETLookup), IF(_xlpm.LeachingZoneFracWET + _xlpm.ProductionSystemFracWET &gt; 0, 1, 0)))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_xlpm.startsText, TEXT(_xlpm.starts, "dd mmm yyyy"), _xlpm.endsText, TEXT(_xlpm.ends, "dd mmm yyyy"), IF(_xlpm.n = 0, "", _xlfn.HSTACK(_xlpm.startsText &amp; " to " &amp; _xlpm.endsText))))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_xlfn.FORMULATEXT(_xlpm.Function))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 localSheetId="0">_xlfn.LAMBDA(_xlpm.avgTemp,_xlpm.avgRain,_xlpm.frostDays,_xlpm.elev,_xlpm.map_pet, _xlfn.LET(_xlpm.mask, (VALUE(#REF!) &lt;= _xlpm.avgTemp) * (VALUE(#REF!) &gt;= _xlpm.avgTemp) * (VALUE(#REF!) &lt;= _xlpm.avgRain) * (VALUE(#REF!) &gt;= _xlpm.avgRain) * (VALUE(#REF!) &lt;= _xlpm.frostDays) * (VALUE(#REF!) &gt;= _xlpm.frostDays) * (VALUE(#REF!) &lt;= _xlpm.elev) * (VALUE(#REF!) &gt;= _xlpm.elev) * (VALUE(#REF!) &lt;= _xlpm.map_pet) * (VALUE(#REF!) &gt;= _xlpm.map_pet), _xlfn.TAKE(_xlfn._xlws.FILTER(#REF!, _xlpm.mask, "No match"), 1)))</definedName>
    <definedName name="Common_InputFunctions.Utility_GetClimateZone">_xlfn.LAMBDA(_xlpm.avgTemp,_xlpm.avgRain,_xlpm.frostDays,_xlpm.elev,_xlpm.map_pet, _xlfn.LET(_xlpm.mask, (VALUE(#REF!) &lt;= _xlpm.avgTemp) * (VALUE(#REF!) &gt;= _xlpm.avgTemp) * (VALUE(#REF!) &lt;= _xlpm.avgRain) * (VALUE(#REF!) &gt;= _xlpm.avgRain) * (VALUE(#REF!) &lt;= _xlpm.frostDays) * (VALUE(#REF!) &gt;= _xlpm.frostDays) * (VALUE(#REF!) &lt;= _xlpm.elev) * (VALUE(#REF!) &gt;= _xlpm.elev) * (VALUE(#REF!) &lt;= _xlpm.map_pet) * (VALUE(#REF!) &gt;= _xlpm.map_pet), _xlfn.TAKE(_xlfn._xlws.FILTER(#REF!,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N2OEFFromProdIrrigationRainfall">_xlfn.LAMBDA(_xlpm.ProductionSystem,_xlpm.IrrigationMethod,_xlpm.RainfallZone,_xlpm.ProductionSystemArray,_xlpm.IrrigationMethodArray,_xlpm.RainfallZoneArray,_xlpm.ReturnArray, _xlfn.LET(_xlpm.IrrigationMethod, IF(_xlpm.IrrigationMethod = "Not irrigated", "Not irrigated", "Any"), _xlpm.RainfallZone, IF(_xlpm.IrrigationMethod = "Not irrigated", _xlpm.RainfallZone, "Any"), _xlfn.XLOOKUP(1, (_xlpm.ProductionSystemArray = _xlpm.ProductionSystem) * (_xlpm.IrrigationMethodArray = _xlpm.IrrigationMethod) * (_xlpm.RainfallZoneArray = _xlpm.RainfallZone), _xlpm.ReturnArray)))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_xlfn.LAMBDA(_xlfn.MAKEARRAY(14,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_xlfn.LAMBDA(_xlfn.MAKEARRAY(4, 1, _xlfn.LAMBDA(_xlpm.r,_xlpm.c, INDEX({"VARIATION OF SOURCE DATA:";"Removed duplicate 'Aquaculture' row.";"Removed asterisks to aid lookup.";"Added 'production system only', 'rainfall zone' and 'irrigation method' columns to aid lookup."}, _xlpm.r, _xlpm.c))))</definedName>
    <definedName name="Common_SourceData.Common_SourceData_EFPastureRangeAndPaddock_Data">_xlfn.LAMBDA(_xlfn.MAKEARRAY(3, 2, _xlfn.LAMBDA(_xlpm.r,_xlpm.c, INDEX({"Climate zone","EFPRP";"Wet climate zone",0.006;"Dry climate zone",0.002}, _xlpm.r, _xlpm.c))))</definedName>
    <definedName name="Common_SourceData.Common_SourceData_EFPastureRangeAndPaddock_NIRReference">_xlfn.LAMBDA("")</definedName>
    <definedName name="Common_SourceData.Common_SourceData_EFPastureRangeAndPaddock_Source">_xlfn.LAMBDA("VEERG 2026: Table A.2.2.2")</definedName>
    <definedName name="Common_SourceData.Common_SourceData_EFPastureRangeAndPaddock_Title">_xlfn.LAMBDA("Emission factor for urine and dung deposited on pasture, range or paddock")</definedName>
    <definedName name="Common_SourceData.Common_SourceData_EFPastureRangeAndPaddock_Unit">_xlfn.LAMBDA("kg N2O - N / kg N")</definedName>
    <definedName name="Common_SourceData.Common_SourceData_EFPastureRangeAndPaddock_Variation">_xlfn.LAMBDA("VARIATION FROM SOURCE DATA: Changed 'Dry climate zones' to singular 'Dry climate zone' to aid lookup.")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FracWETIrrigation_Data">_xlfn.LAMBDA(_xlfn.MAKEARRAY(6, 2, _xlfn.LAMBDA(_xlpm.r,_xlpm.c, INDEX({"Irrigation type ir","FracWET";"Not irrigated",0;"Drip irrigation",0;"Sprinkler irrigation",1;"Surface irrigation",1;"Other irrigation",1}, _xlpm.r, _xlpm.c))))</definedName>
    <definedName name="Common_SourceData.Common_SourceData_FracWETIrrigation_NIRReference">_xlfn.LAMBDA("IPCC 2019 Refinement Volume 4: Chapter 11: N2O Emissions from Managed Soils, and CO2 Emissions from Lime and Urea Application")</definedName>
    <definedName name="Common_SourceData.Common_SourceData_FracWETIrrigation_Source">_xlfn.LAMBDA("VEERG 2026: Chapter 1, section 1.8.2 Leaching, climate and rainfall zones")</definedName>
    <definedName name="Common_SourceData.Common_SourceData_FracWETIrrigation_Title">_xlfn.LAMBDA("FracWET for irrigation types")</definedName>
    <definedName name="Common_SourceData.Common_SourceData_FracWETIrrigation_Unit">_xlfn.LAMBDA("dimensionless")</definedName>
    <definedName name="Common_SourceData.Common_SourceData_FracWETIrrigation_Variation">_xlfn.LAMBDA("VARIATION FROM SOURCE DATA: Table created based on VEERG text 'Areas are subject to leaching (i.e., in the leaching zone) when... the land is irrigated (except drip irrigation).'")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MonthsToSeasons_Data">_xlfn.LAMBDA(_xlfn.MAKEARRAY(13, 2, _xlfn.LAMBDA(_xlpm.r,_xlpm.c, INDEX({"Month","Season";"January","Summer";"February","Summer";"March","Autumn";"April","Autumn";"May","Autumn";"June","Winter";"July","Winter";"August","Winter";"September","Spring";"October","Spring";"November","Spring";"December","Summer"}, _xlpm.r, _xlpm.c))))</definedName>
    <definedName name="Common_SourceData.Common_SourceData_MonthsToSeasons_NIRReference">_xlfn.LAMBDA("")</definedName>
    <definedName name="Common_SourceData.Common_SourceData_MonthsToSeasons_Source">_xlfn.LAMBDA("")</definedName>
    <definedName name="Common_SourceData.Common_SourceData_MonthsToSeasons_Title">_xlfn.LAMBDA("Months to Seasons Mapping")</definedName>
    <definedName name="Common_SourceData.Common_SourceData_MonthsToSeasons_Unit">_xlfn.LAMBDA("")</definedName>
    <definedName name="Common_SourceData.Common_SourceData_MonthsToSeason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0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0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0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0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0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Range_LivestockStartingValues">#REF!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8" i="15" l="1" a="1"/>
  <c r="H188" i="15" s="1"/>
  <c r="G188" i="15" a="1"/>
  <c r="G188" i="15" s="1"/>
  <c r="F188" i="15" a="1"/>
  <c r="F188" i="15" s="1"/>
  <c r="E188" i="15" a="1"/>
  <c r="E188" i="15" s="1"/>
  <c r="D188" i="15" a="1"/>
  <c r="D188" i="15" s="1"/>
  <c r="H187" i="15" a="1"/>
  <c r="H187" i="15" s="1"/>
  <c r="G187" i="15" a="1"/>
  <c r="G187" i="15" s="1"/>
  <c r="F187" i="15" a="1"/>
  <c r="F187" i="15" s="1"/>
  <c r="E187" i="15" a="1"/>
  <c r="E187" i="15" s="1"/>
  <c r="D187" i="15" a="1"/>
  <c r="D187" i="15" s="1"/>
  <c r="H186" i="15" a="1"/>
  <c r="H186" i="15" s="1"/>
  <c r="G186" i="15" a="1"/>
  <c r="G186" i="15" s="1"/>
  <c r="F186" i="15" a="1"/>
  <c r="F186" i="15" s="1"/>
  <c r="E186" i="15" a="1"/>
  <c r="E186" i="15" s="1"/>
  <c r="D186" i="15" a="1"/>
  <c r="D186" i="15" s="1"/>
  <c r="H185" i="15" a="1"/>
  <c r="H185" i="15" s="1"/>
  <c r="G185" i="15" a="1"/>
  <c r="G185" i="15" s="1"/>
  <c r="F185" i="15" a="1"/>
  <c r="F185" i="15" s="1"/>
  <c r="E185" i="15" a="1"/>
  <c r="E185" i="15" s="1"/>
  <c r="D185" i="15" a="1"/>
  <c r="D185" i="15" s="1"/>
  <c r="H184" i="15" a="1"/>
  <c r="H184" i="15" s="1"/>
  <c r="G184" i="15" a="1"/>
  <c r="G184" i="15" s="1"/>
  <c r="F184" i="15" a="1"/>
  <c r="F184" i="15" s="1"/>
  <c r="E184" i="15" a="1"/>
  <c r="E184" i="15" s="1"/>
  <c r="D184" i="15" a="1"/>
  <c r="D184" i="15" s="1"/>
  <c r="H183" i="15" a="1"/>
  <c r="H183" i="15" s="1"/>
  <c r="G183" i="15" a="1"/>
  <c r="G183" i="15" s="1"/>
  <c r="F183" i="15" a="1"/>
  <c r="F183" i="15" s="1"/>
  <c r="E183" i="15" a="1"/>
  <c r="E183" i="15" s="1"/>
  <c r="D183" i="15" a="1"/>
  <c r="D183" i="15" s="1"/>
  <c r="H182" i="15" a="1"/>
  <c r="H182" i="15" s="1"/>
  <c r="G182" i="15" a="1"/>
  <c r="G182" i="15" s="1"/>
  <c r="F182" i="15" a="1"/>
  <c r="F182" i="15" s="1"/>
  <c r="E182" i="15" a="1"/>
  <c r="E182" i="15" s="1"/>
  <c r="D182" i="15" a="1"/>
  <c r="D182" i="15" s="1"/>
  <c r="H181" i="15" a="1"/>
  <c r="H181" i="15" s="1"/>
  <c r="G181" i="15" a="1"/>
  <c r="G181" i="15" s="1"/>
  <c r="F181" i="15" a="1"/>
  <c r="F181" i="15" s="1"/>
  <c r="E181" i="15" a="1"/>
  <c r="E181" i="15" s="1"/>
  <c r="D181" i="15" a="1"/>
  <c r="D181" i="15" s="1"/>
  <c r="H180" i="15" a="1"/>
  <c r="H180" i="15" s="1"/>
  <c r="G180" i="15" a="1"/>
  <c r="G180" i="15" s="1"/>
  <c r="F180" i="15" a="1"/>
  <c r="F180" i="15" s="1"/>
  <c r="E180" i="15" a="1"/>
  <c r="E180" i="15" s="1"/>
  <c r="D180" i="15" a="1"/>
  <c r="D180" i="15" s="1"/>
  <c r="H179" i="15" a="1"/>
  <c r="H179" i="15" s="1"/>
  <c r="G179" i="15" a="1"/>
  <c r="G179" i="15" s="1"/>
  <c r="F179" i="15" a="1"/>
  <c r="F179" i="15" s="1"/>
  <c r="E179" i="15" a="1"/>
  <c r="E179" i="15" s="1"/>
  <c r="D179" i="15" a="1"/>
  <c r="D179" i="15" s="1"/>
  <c r="H178" i="15" a="1"/>
  <c r="H178" i="15" s="1"/>
  <c r="G178" i="15" a="1"/>
  <c r="G178" i="15" s="1"/>
  <c r="F178" i="15" a="1"/>
  <c r="F178" i="15" s="1"/>
  <c r="E178" i="15" a="1"/>
  <c r="E178" i="15" s="1"/>
  <c r="D178" i="15" a="1"/>
  <c r="D178" i="15" s="1"/>
  <c r="H177" i="15" a="1"/>
  <c r="H177" i="15" s="1"/>
  <c r="G177" i="15" a="1"/>
  <c r="G177" i="15" s="1"/>
  <c r="F177" i="15" a="1"/>
  <c r="F177" i="15" s="1"/>
  <c r="E177" i="15" a="1"/>
  <c r="E177" i="15" s="1"/>
  <c r="D177" i="15" a="1"/>
  <c r="D177" i="15" s="1"/>
  <c r="H176" i="15" a="1"/>
  <c r="H176" i="15" s="1"/>
  <c r="G176" i="15" a="1"/>
  <c r="G176" i="15" s="1"/>
  <c r="F176" i="15" a="1"/>
  <c r="F176" i="15" s="1"/>
  <c r="E176" i="15" a="1"/>
  <c r="E176" i="15" s="1"/>
  <c r="D176" i="15" a="1"/>
  <c r="D176" i="15" s="1"/>
  <c r="D170" i="15" a="1"/>
  <c r="D170" i="15" s="1"/>
  <c r="D169" i="15" a="1"/>
  <c r="D169" i="15" s="1"/>
  <c r="D168" i="15" a="1"/>
  <c r="D168" i="15" s="1"/>
  <c r="D167" i="15" a="1"/>
  <c r="D167" i="15" s="1"/>
  <c r="E164" i="15" a="1"/>
  <c r="E164" i="15" s="1"/>
  <c r="D164" i="15" a="1"/>
  <c r="D164" i="15" s="1"/>
  <c r="D163" i="15" a="1"/>
  <c r="D163" i="15" s="1"/>
  <c r="D162" i="15" a="1"/>
  <c r="D162" i="15" s="1"/>
  <c r="D159" i="15" a="1"/>
  <c r="D159" i="15" s="1"/>
  <c r="D158" i="15" a="1"/>
  <c r="D158" i="15" s="1"/>
  <c r="D157" i="15" a="1"/>
  <c r="D157" i="15" s="1"/>
  <c r="D156" i="15" a="1"/>
  <c r="D156" i="15" s="1"/>
  <c r="D153" i="15" a="1"/>
  <c r="D153" i="15" s="1"/>
  <c r="D152" i="15" a="1"/>
  <c r="D152" i="15" s="1"/>
  <c r="D151" i="15" a="1"/>
  <c r="D151" i="15" s="1"/>
  <c r="D150" i="15" a="1"/>
  <c r="D150" i="15" s="1"/>
  <c r="E147" i="15" a="1"/>
  <c r="E147" i="15" s="1"/>
  <c r="D147" i="15" a="1"/>
  <c r="D147" i="15" s="1"/>
  <c r="E146" i="15" a="1"/>
  <c r="E146" i="15" s="1"/>
  <c r="D146" i="15" a="1"/>
  <c r="D146" i="15" s="1"/>
  <c r="E145" i="15" a="1"/>
  <c r="E145" i="15" s="1"/>
  <c r="D145" i="15" a="1"/>
  <c r="D145" i="15" s="1"/>
  <c r="E144" i="15" a="1"/>
  <c r="E144" i="15" s="1"/>
  <c r="D144" i="15" a="1"/>
  <c r="D144" i="15" s="1"/>
  <c r="E143" i="15" a="1"/>
  <c r="E143" i="15" s="1"/>
  <c r="D143" i="15" a="1"/>
  <c r="D143" i="15" s="1"/>
  <c r="D140" i="15" a="1"/>
  <c r="D140" i="15" s="1"/>
  <c r="D139" i="15" a="1"/>
  <c r="D139" i="15" s="1"/>
  <c r="E136" i="15" a="1"/>
  <c r="E136" i="15" s="1"/>
  <c r="D136" i="15" a="1"/>
  <c r="D136" i="15" s="1"/>
  <c r="E135" i="15" a="1"/>
  <c r="E135" i="15" s="1"/>
  <c r="D135" i="15" a="1"/>
  <c r="D135" i="15" s="1"/>
  <c r="D133" i="15" a="1"/>
  <c r="D133" i="15" s="1"/>
  <c r="D132" i="15" a="1"/>
  <c r="D132" i="15" s="1"/>
  <c r="E129" i="15" a="1"/>
  <c r="E129" i="15" s="1"/>
  <c r="D129" i="15" a="1"/>
  <c r="D129" i="15" s="1"/>
  <c r="E128" i="15" a="1"/>
  <c r="E128" i="15" s="1"/>
  <c r="D128" i="15" a="1"/>
  <c r="D128" i="15" s="1"/>
  <c r="D125" i="15" a="1"/>
  <c r="D125" i="15" s="1"/>
  <c r="D124" i="15" a="1"/>
  <c r="D124" i="15" s="1"/>
  <c r="G121" i="15" a="1"/>
  <c r="G121" i="15" s="1"/>
  <c r="F121" i="15" a="1"/>
  <c r="F121" i="15" s="1"/>
  <c r="E121" i="15" a="1"/>
  <c r="E121" i="15" s="1"/>
  <c r="D121" i="15" a="1"/>
  <c r="D121" i="15" s="1"/>
  <c r="G120" i="15" a="1"/>
  <c r="G120" i="15" s="1"/>
  <c r="F120" i="15" a="1"/>
  <c r="F120" i="15" s="1"/>
  <c r="E120" i="15" a="1"/>
  <c r="E120" i="15" s="1"/>
  <c r="D120" i="15" a="1"/>
  <c r="D120" i="15" s="1"/>
  <c r="D117" i="15" a="1"/>
  <c r="D117" i="15" s="1"/>
  <c r="D116" i="15" a="1"/>
  <c r="D116" i="15" s="1"/>
  <c r="D115" i="15" a="1"/>
  <c r="D115" i="15" s="1"/>
  <c r="G112" i="15" a="1"/>
  <c r="G112" i="15" s="1"/>
  <c r="F112" i="15" a="1"/>
  <c r="F112" i="15" s="1"/>
  <c r="E112" i="15" a="1"/>
  <c r="E112" i="15" s="1"/>
  <c r="D112" i="15" a="1"/>
  <c r="D112" i="15" s="1"/>
  <c r="G111" i="15" a="1"/>
  <c r="G111" i="15" s="1"/>
  <c r="F111" i="15" a="1"/>
  <c r="F111" i="15" s="1"/>
  <c r="E111" i="15" a="1"/>
  <c r="E111" i="15" s="1"/>
  <c r="D111" i="15" a="1"/>
  <c r="D111" i="15" s="1"/>
  <c r="G110" i="15" a="1"/>
  <c r="G110" i="15" s="1"/>
  <c r="F110" i="15" a="1"/>
  <c r="F110" i="15" s="1"/>
  <c r="E110" i="15" a="1"/>
  <c r="E110" i="15" s="1"/>
  <c r="D110" i="15" a="1"/>
  <c r="D110" i="15" s="1"/>
  <c r="D107" i="15" a="1"/>
  <c r="D107" i="15" s="1"/>
  <c r="D106" i="15" a="1"/>
  <c r="D106" i="15" s="1"/>
  <c r="D105" i="15" a="1"/>
  <c r="D105" i="15" s="1"/>
  <c r="D98" i="15" a="1"/>
  <c r="D98" i="15" s="1"/>
  <c r="S97" i="15" a="1"/>
  <c r="S97" i="15" s="1"/>
  <c r="R97" i="15" a="1"/>
  <c r="R97" i="15" s="1"/>
  <c r="Q97" i="15" a="1"/>
  <c r="Q97" i="15" s="1"/>
  <c r="P97" i="15" a="1"/>
  <c r="P97" i="15" s="1"/>
  <c r="O97" i="15" a="1"/>
  <c r="O97" i="15" s="1"/>
  <c r="N97" i="15" a="1"/>
  <c r="N97" i="15" s="1"/>
  <c r="M97" i="15" a="1"/>
  <c r="M97" i="15" s="1"/>
  <c r="L97" i="15" a="1"/>
  <c r="L97" i="15" s="1"/>
  <c r="K97" i="15" a="1"/>
  <c r="K97" i="15" s="1"/>
  <c r="J97" i="15" a="1"/>
  <c r="J97" i="15" s="1"/>
  <c r="I97" i="15" a="1"/>
  <c r="I97" i="15" s="1"/>
  <c r="H97" i="15" a="1"/>
  <c r="H97" i="15" s="1"/>
  <c r="G97" i="15" a="1"/>
  <c r="G97" i="15" s="1"/>
  <c r="F97" i="15" a="1"/>
  <c r="F97" i="15" s="1"/>
  <c r="E97" i="15" a="1"/>
  <c r="E97" i="15" s="1"/>
  <c r="D97" i="15" a="1"/>
  <c r="D97" i="15" s="1"/>
  <c r="S96" i="15" a="1"/>
  <c r="S96" i="15" s="1"/>
  <c r="R96" i="15" a="1"/>
  <c r="R96" i="15" s="1"/>
  <c r="Q96" i="15" a="1"/>
  <c r="Q96" i="15" s="1"/>
  <c r="P96" i="15" a="1"/>
  <c r="P96" i="15" s="1"/>
  <c r="O96" i="15" a="1"/>
  <c r="O96" i="15" s="1"/>
  <c r="N96" i="15" a="1"/>
  <c r="N96" i="15" s="1"/>
  <c r="M96" i="15" a="1"/>
  <c r="M96" i="15" s="1"/>
  <c r="L96" i="15" a="1"/>
  <c r="L96" i="15" s="1"/>
  <c r="K96" i="15" a="1"/>
  <c r="K96" i="15" s="1"/>
  <c r="J96" i="15" a="1"/>
  <c r="J96" i="15" s="1"/>
  <c r="I96" i="15" a="1"/>
  <c r="I96" i="15" s="1"/>
  <c r="H96" i="15" a="1"/>
  <c r="H96" i="15" s="1"/>
  <c r="G96" i="15" a="1"/>
  <c r="G96" i="15" s="1"/>
  <c r="F96" i="15" a="1"/>
  <c r="F96" i="15" s="1"/>
  <c r="E96" i="15" a="1"/>
  <c r="E96" i="15" s="1"/>
  <c r="D96" i="15" a="1"/>
  <c r="D96" i="15" s="1"/>
  <c r="S95" i="15" a="1"/>
  <c r="S95" i="15" s="1"/>
  <c r="R95" i="15" a="1"/>
  <c r="R95" i="15" s="1"/>
  <c r="Q95" i="15" a="1"/>
  <c r="Q95" i="15" s="1"/>
  <c r="P95" i="15" a="1"/>
  <c r="P95" i="15" s="1"/>
  <c r="O95" i="15" a="1"/>
  <c r="O95" i="15" s="1"/>
  <c r="N95" i="15" a="1"/>
  <c r="N95" i="15" s="1"/>
  <c r="M95" i="15" a="1"/>
  <c r="M95" i="15" s="1"/>
  <c r="L95" i="15" a="1"/>
  <c r="L95" i="15" s="1"/>
  <c r="K95" i="15" a="1"/>
  <c r="K95" i="15" s="1"/>
  <c r="J95" i="15" a="1"/>
  <c r="J95" i="15" s="1"/>
  <c r="I95" i="15" a="1"/>
  <c r="I95" i="15" s="1"/>
  <c r="H95" i="15" a="1"/>
  <c r="H95" i="15" s="1"/>
  <c r="G95" i="15" a="1"/>
  <c r="G95" i="15" s="1"/>
  <c r="F95" i="15" a="1"/>
  <c r="F95" i="15" s="1"/>
  <c r="E95" i="15" a="1"/>
  <c r="E95" i="15" s="1"/>
  <c r="D95" i="15" a="1"/>
  <c r="D95" i="15" s="1"/>
  <c r="S94" i="15" a="1"/>
  <c r="S94" i="15" s="1"/>
  <c r="R94" i="15" a="1"/>
  <c r="R94" i="15" s="1"/>
  <c r="Q94" i="15" a="1"/>
  <c r="Q94" i="15" s="1"/>
  <c r="P94" i="15" a="1"/>
  <c r="P94" i="15" s="1"/>
  <c r="O94" i="15" a="1"/>
  <c r="O94" i="15" s="1"/>
  <c r="N94" i="15" a="1"/>
  <c r="N94" i="15" s="1"/>
  <c r="M94" i="15" a="1"/>
  <c r="M94" i="15" s="1"/>
  <c r="L94" i="15" a="1"/>
  <c r="L94" i="15" s="1"/>
  <c r="K94" i="15" a="1"/>
  <c r="K94" i="15" s="1"/>
  <c r="J94" i="15" a="1"/>
  <c r="J94" i="15" s="1"/>
  <c r="I94" i="15" a="1"/>
  <c r="I94" i="15" s="1"/>
  <c r="H94" i="15" a="1"/>
  <c r="H94" i="15" s="1"/>
  <c r="G94" i="15" a="1"/>
  <c r="G94" i="15" s="1"/>
  <c r="F94" i="15" a="1"/>
  <c r="F94" i="15" s="1"/>
  <c r="E94" i="15" a="1"/>
  <c r="E94" i="15" s="1"/>
  <c r="D94" i="15" a="1"/>
  <c r="D94" i="15" s="1"/>
  <c r="S93" i="15" a="1"/>
  <c r="S93" i="15" s="1"/>
  <c r="R93" i="15" a="1"/>
  <c r="R93" i="15" s="1"/>
  <c r="Q93" i="15" a="1"/>
  <c r="Q93" i="15" s="1"/>
  <c r="P93" i="15" a="1"/>
  <c r="P93" i="15" s="1"/>
  <c r="O93" i="15" a="1"/>
  <c r="O93" i="15" s="1"/>
  <c r="N93" i="15" a="1"/>
  <c r="N93" i="15" s="1"/>
  <c r="M93" i="15" a="1"/>
  <c r="M93" i="15" s="1"/>
  <c r="L93" i="15" a="1"/>
  <c r="L93" i="15" s="1"/>
  <c r="K93" i="15" a="1"/>
  <c r="K93" i="15" s="1"/>
  <c r="J93" i="15" a="1"/>
  <c r="J93" i="15" s="1"/>
  <c r="I93" i="15" a="1"/>
  <c r="I93" i="15" s="1"/>
  <c r="H93" i="15" a="1"/>
  <c r="H93" i="15" s="1"/>
  <c r="G93" i="15" a="1"/>
  <c r="G93" i="15" s="1"/>
  <c r="F93" i="15" a="1"/>
  <c r="F93" i="15" s="1"/>
  <c r="E93" i="15" a="1"/>
  <c r="E93" i="15" s="1"/>
  <c r="D93" i="15" a="1"/>
  <c r="D93" i="15" s="1"/>
  <c r="S92" i="15" a="1"/>
  <c r="S92" i="15" s="1"/>
  <c r="R92" i="15" a="1"/>
  <c r="R92" i="15" s="1"/>
  <c r="Q92" i="15" a="1"/>
  <c r="Q92" i="15" s="1"/>
  <c r="P92" i="15" a="1"/>
  <c r="P92" i="15" s="1"/>
  <c r="O92" i="15" a="1"/>
  <c r="O92" i="15" s="1"/>
  <c r="N92" i="15" a="1"/>
  <c r="N92" i="15" s="1"/>
  <c r="M92" i="15" a="1"/>
  <c r="M92" i="15" s="1"/>
  <c r="L92" i="15" a="1"/>
  <c r="L92" i="15" s="1"/>
  <c r="K92" i="15" a="1"/>
  <c r="K92" i="15" s="1"/>
  <c r="J92" i="15" a="1"/>
  <c r="J92" i="15" s="1"/>
  <c r="I92" i="15" a="1"/>
  <c r="I92" i="15" s="1"/>
  <c r="H92" i="15" a="1"/>
  <c r="H92" i="15" s="1"/>
  <c r="G92" i="15" a="1"/>
  <c r="G92" i="15" s="1"/>
  <c r="F92" i="15" a="1"/>
  <c r="F92" i="15" s="1"/>
  <c r="E92" i="15" a="1"/>
  <c r="E92" i="15" s="1"/>
  <c r="D92" i="15" a="1"/>
  <c r="D92" i="15" s="1"/>
  <c r="S91" i="15" a="1"/>
  <c r="S91" i="15" s="1"/>
  <c r="R91" i="15" a="1"/>
  <c r="R91" i="15" s="1"/>
  <c r="Q91" i="15" a="1"/>
  <c r="Q91" i="15" s="1"/>
  <c r="P91" i="15" a="1"/>
  <c r="P91" i="15" s="1"/>
  <c r="O91" i="15" a="1"/>
  <c r="O91" i="15" s="1"/>
  <c r="N91" i="15" a="1"/>
  <c r="N91" i="15" s="1"/>
  <c r="M91" i="15" a="1"/>
  <c r="M91" i="15" s="1"/>
  <c r="L91" i="15" a="1"/>
  <c r="L91" i="15" s="1"/>
  <c r="K91" i="15" a="1"/>
  <c r="K91" i="15" s="1"/>
  <c r="J91" i="15" a="1"/>
  <c r="J91" i="15" s="1"/>
  <c r="I91" i="15" a="1"/>
  <c r="I91" i="15" s="1"/>
  <c r="H91" i="15" a="1"/>
  <c r="H91" i="15" s="1"/>
  <c r="G91" i="15" a="1"/>
  <c r="G91" i="15" s="1"/>
  <c r="F91" i="15" a="1"/>
  <c r="F91" i="15" s="1"/>
  <c r="E91" i="15" a="1"/>
  <c r="E91" i="15" s="1"/>
  <c r="D91" i="15" a="1"/>
  <c r="D91" i="15" s="1"/>
  <c r="S90" i="15" a="1"/>
  <c r="S90" i="15" s="1"/>
  <c r="R90" i="15" a="1"/>
  <c r="R90" i="15" s="1"/>
  <c r="Q90" i="15" a="1"/>
  <c r="Q90" i="15" s="1"/>
  <c r="P90" i="15" a="1"/>
  <c r="P90" i="15" s="1"/>
  <c r="O90" i="15" a="1"/>
  <c r="O90" i="15" s="1"/>
  <c r="N90" i="15" a="1"/>
  <c r="N90" i="15" s="1"/>
  <c r="M90" i="15" a="1"/>
  <c r="M90" i="15" s="1"/>
  <c r="L90" i="15" a="1"/>
  <c r="L90" i="15" s="1"/>
  <c r="K90" i="15" a="1"/>
  <c r="K90" i="15" s="1"/>
  <c r="J90" i="15" a="1"/>
  <c r="J90" i="15" s="1"/>
  <c r="I90" i="15" a="1"/>
  <c r="I90" i="15" s="1"/>
  <c r="H90" i="15" a="1"/>
  <c r="H90" i="15" s="1"/>
  <c r="G90" i="15" a="1"/>
  <c r="G90" i="15" s="1"/>
  <c r="F90" i="15" a="1"/>
  <c r="F90" i="15" s="1"/>
  <c r="E90" i="15" a="1"/>
  <c r="E90" i="15" s="1"/>
  <c r="D90" i="15" a="1"/>
  <c r="D90" i="15" s="1"/>
  <c r="D83" i="15" a="1"/>
  <c r="D83" i="15" s="1"/>
  <c r="D82" i="15" a="1"/>
  <c r="D82" i="15" s="1"/>
  <c r="D81" i="15" a="1"/>
  <c r="D81" i="15" s="1"/>
  <c r="E77" i="15" a="1"/>
  <c r="E77" i="15" s="1"/>
  <c r="D77" i="15" a="1"/>
  <c r="D77" i="15" s="1"/>
  <c r="E76" i="15" a="1"/>
  <c r="E76" i="15" s="1"/>
  <c r="D76" i="15" a="1"/>
  <c r="D76" i="15" s="1"/>
  <c r="E75" i="15" a="1"/>
  <c r="E75" i="15" s="1"/>
  <c r="D75" i="15" a="1"/>
  <c r="D75" i="15" s="1"/>
  <c r="E74" i="15" a="1"/>
  <c r="E74" i="15" s="1"/>
  <c r="D74" i="15" a="1"/>
  <c r="D74" i="15" s="1"/>
  <c r="E73" i="15" a="1"/>
  <c r="E73" i="15" s="1"/>
  <c r="D73" i="15" a="1"/>
  <c r="D73" i="15" s="1"/>
  <c r="E72" i="15" a="1"/>
  <c r="E72" i="15" s="1"/>
  <c r="D72" i="15" a="1"/>
  <c r="D72" i="15" s="1"/>
  <c r="E71" i="15" a="1"/>
  <c r="E71" i="15" s="1"/>
  <c r="D71" i="15" a="1"/>
  <c r="D71" i="15" s="1"/>
  <c r="E70" i="15" a="1"/>
  <c r="E70" i="15" s="1"/>
  <c r="D70" i="15" a="1"/>
  <c r="D70" i="15" s="1"/>
  <c r="E69" i="15" a="1"/>
  <c r="E69" i="15" s="1"/>
  <c r="D69" i="15" a="1"/>
  <c r="D69" i="15" s="1"/>
  <c r="E68" i="15" a="1"/>
  <c r="E68" i="15" s="1"/>
  <c r="D68" i="15" a="1"/>
  <c r="D68" i="15" s="1"/>
  <c r="E67" i="15" a="1"/>
  <c r="E67" i="15" s="1"/>
  <c r="D67" i="15" a="1"/>
  <c r="D67" i="15" s="1"/>
  <c r="E66" i="15" a="1"/>
  <c r="E66" i="15" s="1"/>
  <c r="D66" i="15" a="1"/>
  <c r="D66" i="15" s="1"/>
  <c r="E65" i="15" a="1"/>
  <c r="E65" i="15" s="1"/>
  <c r="D65" i="15" a="1"/>
  <c r="D65" i="15" s="1"/>
  <c r="E64" i="15" a="1"/>
  <c r="E64" i="15" s="1"/>
  <c r="D64" i="15" a="1"/>
  <c r="D64" i="15" s="1"/>
  <c r="D59" i="15" a="1"/>
  <c r="D59" i="15" s="1"/>
  <c r="D58" i="15" a="1"/>
  <c r="D58" i="15" s="1"/>
  <c r="D57" i="15" a="1"/>
  <c r="D57" i="15" s="1"/>
  <c r="G54" i="15" a="1"/>
  <c r="G54" i="15" s="1"/>
  <c r="F54" i="15" a="1"/>
  <c r="F54" i="15" s="1"/>
  <c r="E54" i="15" a="1"/>
  <c r="E54" i="15" s="1"/>
  <c r="D54" i="15" a="1"/>
  <c r="D54" i="15" s="1"/>
  <c r="G53" i="15" a="1"/>
  <c r="G53" i="15" s="1"/>
  <c r="F53" i="15" a="1"/>
  <c r="F53" i="15" s="1"/>
  <c r="E53" i="15" a="1"/>
  <c r="E53" i="15" s="1"/>
  <c r="D53" i="15" a="1"/>
  <c r="D53" i="15" s="1"/>
  <c r="G52" i="15" a="1"/>
  <c r="G52" i="15" s="1"/>
  <c r="F52" i="15" a="1"/>
  <c r="F52" i="15" s="1"/>
  <c r="E52" i="15" a="1"/>
  <c r="E52" i="15" s="1"/>
  <c r="D52" i="15" a="1"/>
  <c r="D52" i="15" s="1"/>
  <c r="G51" i="15" a="1"/>
  <c r="G51" i="15" s="1"/>
  <c r="F51" i="15" a="1"/>
  <c r="F51" i="15" s="1"/>
  <c r="E51" i="15" a="1"/>
  <c r="E51" i="15" s="1"/>
  <c r="D51" i="15" a="1"/>
  <c r="D51" i="15" s="1"/>
  <c r="G50" i="15" a="1"/>
  <c r="G50" i="15" s="1"/>
  <c r="F50" i="15" a="1"/>
  <c r="F50" i="15" s="1"/>
  <c r="E50" i="15" a="1"/>
  <c r="E50" i="15" s="1"/>
  <c r="D50" i="15" a="1"/>
  <c r="D50" i="15" s="1"/>
  <c r="G49" i="15" a="1"/>
  <c r="G49" i="15" s="1"/>
  <c r="F49" i="15" a="1"/>
  <c r="F49" i="15" s="1"/>
  <c r="E49" i="15" a="1"/>
  <c r="E49" i="15" s="1"/>
  <c r="D49" i="15" a="1"/>
  <c r="D49" i="15" s="1"/>
  <c r="G48" i="15" a="1"/>
  <c r="G48" i="15" s="1"/>
  <c r="F48" i="15" a="1"/>
  <c r="F48" i="15" s="1"/>
  <c r="E48" i="15" a="1"/>
  <c r="E48" i="15" s="1"/>
  <c r="D48" i="15" a="1"/>
  <c r="D48" i="15" s="1"/>
  <c r="D46" i="15" a="1"/>
  <c r="D46" i="15" s="1"/>
  <c r="D45" i="15" a="1"/>
  <c r="D45" i="15" s="1"/>
  <c r="E43" i="15" a="1"/>
  <c r="E43" i="15" s="1"/>
  <c r="D43" i="15" a="1"/>
  <c r="D43" i="15" s="1"/>
  <c r="E42" i="15" a="1"/>
  <c r="E42" i="15" s="1"/>
  <c r="D42" i="15" a="1"/>
  <c r="D42" i="15" s="1"/>
  <c r="E41" i="15" a="1"/>
  <c r="E41" i="15" s="1"/>
  <c r="D41" i="15" a="1"/>
  <c r="D41" i="15" s="1"/>
  <c r="E40" i="15" a="1"/>
  <c r="E40" i="15" s="1"/>
  <c r="D40" i="15" a="1"/>
  <c r="D40" i="15" s="1"/>
  <c r="E39" i="15" a="1"/>
  <c r="E39" i="15" s="1"/>
  <c r="D39" i="15" a="1"/>
  <c r="D39" i="15" s="1"/>
  <c r="E38" i="15" a="1"/>
  <c r="E38" i="15" s="1"/>
  <c r="D38" i="15" a="1"/>
  <c r="D38" i="15" s="1"/>
  <c r="E37" i="15" a="1"/>
  <c r="E37" i="15" s="1"/>
  <c r="D37" i="15" a="1"/>
  <c r="D37" i="15" s="1"/>
  <c r="D35" i="15" a="1"/>
  <c r="D35" i="15" s="1"/>
  <c r="D34" i="15" a="1"/>
  <c r="D34" i="15" s="1"/>
  <c r="D30" i="15" a="1"/>
  <c r="D30" i="15" s="1"/>
  <c r="D29" i="15" a="1"/>
  <c r="D29" i="15" s="1"/>
  <c r="D28" i="15" a="1"/>
  <c r="D28" i="15" s="1"/>
  <c r="D27" i="15" a="1"/>
  <c r="D27" i="15" s="1"/>
  <c r="D26" i="15" a="1"/>
  <c r="D26" i="15" s="1"/>
  <c r="D25" i="15" a="1"/>
  <c r="D25" i="15" s="1"/>
  <c r="D24" i="15" a="1"/>
  <c r="D24" i="15" s="1"/>
  <c r="D23" i="15" a="1"/>
  <c r="D23" i="15" s="1"/>
  <c r="D22" i="15" a="1"/>
  <c r="D22" i="15" s="1"/>
  <c r="D21" i="15" a="1"/>
  <c r="D21" i="15" s="1"/>
  <c r="D19" i="15" a="1"/>
  <c r="D19" i="15" s="1"/>
  <c r="D18" i="15" a="1"/>
  <c r="D18" i="15" s="1"/>
  <c r="F14" i="15" a="1"/>
  <c r="F14" i="15" s="1"/>
  <c r="E14" i="15" a="1"/>
  <c r="E14" i="15" s="1"/>
  <c r="D14" i="15" a="1"/>
  <c r="D14" i="15" s="1"/>
  <c r="F13" i="15" a="1"/>
  <c r="F13" i="15" s="1"/>
  <c r="E13" i="15" a="1"/>
  <c r="E13" i="15" s="1"/>
  <c r="D13" i="15" a="1"/>
  <c r="D13" i="15" s="1"/>
  <c r="F12" i="15" a="1"/>
  <c r="F12" i="15" s="1"/>
  <c r="E12" i="15" a="1"/>
  <c r="E12" i="15" s="1"/>
  <c r="D12" i="15" a="1"/>
  <c r="D12" i="15" s="1"/>
  <c r="F11" i="15" a="1"/>
  <c r="F11" i="15" s="1"/>
  <c r="E11" i="15" a="1"/>
  <c r="E11" i="15" s="1"/>
  <c r="D11" i="15" a="1"/>
  <c r="D11" i="15" s="1"/>
  <c r="F10" i="15" a="1"/>
  <c r="F10" i="15" s="1"/>
  <c r="E10" i="15" a="1"/>
  <c r="E10" i="15" s="1"/>
  <c r="D10" i="15" a="1"/>
  <c r="D10" i="15" s="1"/>
  <c r="F9" i="15" a="1"/>
  <c r="F9" i="15" s="1"/>
  <c r="E9" i="15" a="1"/>
  <c r="E9" i="15" s="1"/>
  <c r="D9" i="15" a="1"/>
  <c r="D9" i="15" s="1"/>
  <c r="F8" i="15" a="1"/>
  <c r="F8" i="15" s="1"/>
  <c r="E8" i="15" a="1"/>
  <c r="E8" i="15" s="1"/>
  <c r="D8" i="15" a="1"/>
  <c r="D8" i="15" s="1"/>
  <c r="F7" i="15" a="1"/>
  <c r="F7" i="15" s="1"/>
  <c r="E7" i="15" a="1"/>
  <c r="E7" i="15" s="1"/>
  <c r="D7" i="15" a="1"/>
  <c r="D7" i="15" s="1"/>
  <c r="D5" i="15"/>
  <c r="D5" i="15" a="1"/>
  <c r="H49" i="15" l="1"/>
  <c r="H53" i="15"/>
  <c r="H52" i="15"/>
  <c r="H54" i="15"/>
  <c r="H48" i="15"/>
  <c r="H50" i="15"/>
  <c r="H51" i="1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<sst xmlns="http://schemas.openxmlformats.org/spreadsheetml/2006/main" count="52" uniqueCount="47">
  <si>
    <t>Climate zone</t>
  </si>
  <si>
    <t>State/Territory</t>
  </si>
  <si>
    <t>Common Name</t>
  </si>
  <si>
    <t>Abbreviation</t>
  </si>
  <si>
    <t>SA 4 Name</t>
  </si>
  <si>
    <t>Gas</t>
  </si>
  <si>
    <t>CO2-e factor</t>
  </si>
  <si>
    <t>Conversion factor</t>
  </si>
  <si>
    <t>Conversion factor 1</t>
  </si>
  <si>
    <t>Conversion factor 2</t>
  </si>
  <si>
    <t>Conversion factor combined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</si>
  <si>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</si>
  <si>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</si>
  <si>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</si>
  <si>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</si>
  <si>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</si>
  <si>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</si>
  <si>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</si>
  <si>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</si>
  <si>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</si>
  <si>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</si>
  <si>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</si>
  <si>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</si>
  <si>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</si>
  <si>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</si>
  <si>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</si>
  <si>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</si>
  <si>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</si>
  <si>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Min MAT</t>
  </si>
  <si>
    <t>Max MAT</t>
  </si>
  <si>
    <t>Rainfall Zone</t>
  </si>
  <si>
    <t>Annual rainfall</t>
  </si>
  <si>
    <t>Leaching Zone</t>
  </si>
  <si>
    <t>Leaching criteria</t>
  </si>
  <si>
    <t>Data source</t>
  </si>
  <si>
    <t>Data score</t>
  </si>
  <si>
    <t>Constants - Common</t>
  </si>
  <si>
    <t>Is in leaching zone</t>
  </si>
  <si>
    <t>FracWET</t>
  </si>
  <si>
    <t>Production system j</t>
  </si>
  <si>
    <t>EFN2O</t>
  </si>
  <si>
    <t>Production system only</t>
  </si>
  <si>
    <t>Irrigation method</t>
  </si>
  <si>
    <t>Rainfall zone</t>
  </si>
  <si>
    <t>test</t>
  </si>
  <si>
    <t>test 2</t>
  </si>
  <si>
    <t>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</si>
</sst>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00"/>
    <numFmt numFmtId="165" formatCode="#,##0.000"/>
    <numFmt numFmtId="166" formatCode="d/mm/yyyy;@"/>
    <numFmt numFmtId="167" formatCode="[$-C09]dd\-mmmm\-yyyy;@"/>
    <numFmt numFmtId="168" formatCode="#,##0.000000"/>
  </numFmts>
  <fonts count="32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sz val="9"/>
      <color theme="1" tint="0.249977111117893"/>
      <name val="Times New Roman"/>
      <family val="1"/>
    </font>
    <font>
      <sz val="12"/>
      <color theme="0"/>
      <name val="Times New Roman"/>
      <family val="1"/>
    </font>
    <font>
      <sz val="11"/>
      <color theme="1" tint="0.499984740745262"/>
      <name val="Times New Roman"/>
      <family val="1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4"/>
      <color theme="5"/>
      <name val="Times New Roman"/>
      <family val="1"/>
    </font>
    <font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sz val="12"/>
      <color rgb="FF0070C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</borders>
  <cellStyleXfs count="59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6" fillId="3" borderId="0">
      <alignment vertical="center"/>
    </xf>
    <xf numFmtId="0" fontId="23" fillId="4" borderId="0">
      <alignment horizontal="left" vertical="center"/>
    </xf>
    <xf numFmtId="0" fontId="28" fillId="4" borderId="0">
      <alignment vertical="center"/>
    </xf>
    <xf numFmtId="0" fontId="3" fillId="4" borderId="0">
      <alignment horizontal="left" vertical="center"/>
    </xf>
    <xf numFmtId="0" fontId="26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0" fontId="2" fillId="0" borderId="1">
      <alignment horizontal="center" vertical="center"/>
    </xf>
    <xf numFmtId="0" fontId="3" fillId="11" borderId="1">
      <alignment horizontal="center" vertical="center"/>
    </xf>
    <xf numFmtId="9" fontId="2" fillId="0" borderId="1">
      <alignment horizontal="center" vertical="center"/>
    </xf>
    <xf numFmtId="4" fontId="2" fillId="0" borderId="1">
      <alignment horizontal="center" vertical="center"/>
    </xf>
    <xf numFmtId="3" fontId="2" fillId="0" borderId="1">
      <alignment horizontal="center" vertical="center"/>
    </xf>
    <xf numFmtId="0" fontId="13" fillId="0" borderId="1">
      <alignment horizontal="center" vertical="center"/>
    </xf>
    <xf numFmtId="0" fontId="14" fillId="0" borderId="1">
      <alignment horizontal="center" vertical="center"/>
    </xf>
    <xf numFmtId="9" fontId="13" fillId="0" borderId="1">
      <alignment horizontal="center" vertical="center"/>
    </xf>
    <xf numFmtId="165" fontId="13" fillId="0" borderId="1">
      <alignment horizontal="center" vertical="center"/>
    </xf>
    <xf numFmtId="3" fontId="13" fillId="0" borderId="1">
      <alignment horizontal="center" vertical="center"/>
    </xf>
    <xf numFmtId="0" fontId="15" fillId="4" borderId="0">
      <alignment horizontal="left" vertical="center"/>
    </xf>
    <xf numFmtId="0" fontId="6" fillId="4" borderId="2">
      <alignment horizontal="left" vertical="center" indent="1"/>
    </xf>
    <xf numFmtId="164" fontId="8" fillId="4" borderId="2">
      <alignment horizontal="center" vertical="center"/>
    </xf>
    <xf numFmtId="0" fontId="3" fillId="4" borderId="2">
      <alignment horizontal="left" vertical="center"/>
    </xf>
    <xf numFmtId="0" fontId="12" fillId="6" borderId="0">
      <alignment horizontal="left" vertical="center" indent="1"/>
    </xf>
    <xf numFmtId="0" fontId="12" fillId="6" borderId="0">
      <alignment horizontal="center" vertical="center"/>
      <protection locked="0"/>
    </xf>
    <xf numFmtId="0" fontId="11" fillId="4" borderId="0">
      <alignment vertical="center"/>
    </xf>
    <xf numFmtId="0" fontId="16" fillId="7" borderId="0">
      <alignment vertical="center"/>
    </xf>
    <xf numFmtId="0" fontId="10" fillId="0" borderId="0"/>
    <xf numFmtId="0" fontId="2" fillId="0" borderId="0">
      <alignment horizontal="left" vertical="center" indent="1"/>
    </xf>
    <xf numFmtId="0" fontId="17" fillId="9" borderId="3">
      <alignment horizontal="left" vertical="center" indent="1"/>
    </xf>
    <xf numFmtId="0" fontId="18" fillId="10" borderId="0">
      <alignment horizontal="left" vertical="center" indent="1"/>
    </xf>
    <xf numFmtId="0" fontId="18" fillId="5" borderId="0">
      <alignment horizontal="left" vertical="center" indent="1"/>
    </xf>
    <xf numFmtId="0" fontId="18" fillId="8" borderId="0">
      <alignment horizontal="left" vertical="center" indent="1"/>
    </xf>
    <xf numFmtId="0" fontId="19" fillId="0" borderId="0">
      <alignment horizontal="left" vertical="center" indent="2"/>
    </xf>
    <xf numFmtId="0" fontId="29" fillId="12" borderId="4">
      <alignment horizontal="left" vertical="center"/>
    </xf>
    <xf numFmtId="3" fontId="21" fillId="4" borderId="1">
      <alignment horizontal="center" vertical="center"/>
    </xf>
    <xf numFmtId="167" fontId="2" fillId="0" borderId="1">
      <alignment horizontal="center" vertical="center"/>
    </xf>
    <xf numFmtId="0" fontId="22" fillId="0" borderId="0"/>
    <xf numFmtId="0" fontId="9" fillId="0" borderId="0"/>
    <xf numFmtId="0" fontId="22" fillId="0" borderId="0"/>
    <xf numFmtId="166" fontId="21" fillId="4" borderId="1">
      <alignment horizontal="center" vertical="center"/>
    </xf>
    <xf numFmtId="4" fontId="21" fillId="4" borderId="1">
      <alignment horizontal="center" vertical="center"/>
    </xf>
    <xf numFmtId="0" fontId="25" fillId="4" borderId="0">
      <alignment horizontal="left" vertical="center"/>
    </xf>
    <xf numFmtId="0" fontId="24" fillId="4" borderId="0" applyNumberFormat="0">
      <alignment horizontal="center" vertical="center"/>
    </xf>
    <xf numFmtId="165" fontId="21" fillId="4" borderId="1">
      <alignment horizontal="center" vertical="center"/>
    </xf>
    <xf numFmtId="0" fontId="20" fillId="4" borderId="0">
      <alignment horizontal="left" vertical="center"/>
    </xf>
    <xf numFmtId="168" fontId="21" fillId="4" borderId="1">
      <alignment horizontal="center" vertical="center"/>
    </xf>
    <xf numFmtId="0" fontId="21" fillId="4" borderId="1">
      <alignment horizontal="center" vertical="center"/>
    </xf>
    <xf numFmtId="0" fontId="6" fillId="4" borderId="0">
      <alignment horizontal="left" vertical="center"/>
    </xf>
    <xf numFmtId="0" fontId="27" fillId="4" borderId="0">
      <alignment horizontal="left" vertical="center"/>
    </xf>
    <xf numFmtId="0" fontId="9" fillId="0" borderId="0"/>
    <xf numFmtId="0" fontId="2" fillId="0" borderId="1">
      <alignment horizontal="center" vertical="center"/>
    </xf>
    <xf numFmtId="0" fontId="30" fillId="4" borderId="0">
      <alignment horizontal="left" vertical="center"/>
    </xf>
    <xf numFmtId="0" fontId="31" fillId="4" borderId="0">
      <alignment horizontal="left" vertical="center"/>
    </xf>
  </cellStyleXfs>
  <cellXfs count="14">
    <xf numFmtId="0" fontId="0" fillId="0" borderId="0" xfId="0"/>
    <xf numFmtId="0" fontId="26" fillId="4" borderId="0" xfId="8">
      <alignment horizontal="left" vertical="center"/>
    </xf>
    <xf numFmtId="0" fontId="3" fillId="4" borderId="0" xfId="7">
      <alignment horizontal="left" vertical="center"/>
    </xf>
    <xf numFmtId="0" fontId="16" fillId="3" borderId="0" xfId="4">
      <alignment vertical="center"/>
    </xf>
    <xf numFmtId="0" fontId="28" fillId="4" borderId="0" xfId="6">
      <alignment vertical="center"/>
    </xf>
    <xf numFmtId="0" fontId="23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16" fillId="0" borderId="0" xfId="4" applyFill="1">
      <alignment vertical="center"/>
    </xf>
    <xf numFmtId="0" fontId="0" fillId="4" borderId="0" xfId="0" applyFill="1"/>
    <xf numFmtId="0" fontId="0" fillId="0" borderId="0" xfId="8" applyFont="1" applyFill="1">
      <alignment horizontal="left" vertical="center"/>
    </xf>
    <xf numFmtId="0" fontId="6" fillId="4" borderId="0" xfId="53">
      <alignment horizontal="left" vertical="center"/>
    </xf>
    <xf numFmtId="0" fontId="27" fillId="4" borderId="0" xfId="54">
      <alignment horizontal="left" vertical="center"/>
    </xf>
  </cellXfs>
  <cellStyles count="59">
    <cellStyle name="Block heading" xfId="5" xr:uid="{74527274-3B4A-494A-B37C-EA50686E114C}"/>
    <cellStyle name="Block subheading" xfId="47" xr:uid="{34E62905-A3E0-4883-B81A-BDB58FC88DA7}"/>
    <cellStyle name="Code" xfId="24" xr:uid="{99B3520F-01DD-4F8E-A8D0-24EAA04E90EB}"/>
    <cellStyle name="Content bold" xfId="7" xr:uid="{468A1381-682E-4BF1-945B-DF2E2BCA4419}"/>
    <cellStyle name="Content bold total" xfId="27" xr:uid="{17159E75-EF9F-42B8-8195-E83583796F67}"/>
    <cellStyle name="Content hidden" xfId="50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Information tip" xfId="39" xr:uid="{7D200D09-32E3-4546-9822-1B93AD118A74}"/>
    <cellStyle name="Information variation" xfId="54" xr:uid="{205494A3-14DD-4E6A-BDD3-5C5A864D6FA7}"/>
    <cellStyle name="Input block subheading" xfId="30" xr:uid="{A9FEBDB0-0992-4E30-96E5-9F9CAE92E3FB}"/>
    <cellStyle name="Input date" xfId="41" xr:uid="{A1D72D5E-DCF3-445F-8FC0-A147E105D774}"/>
    <cellStyle name="Input date calculated" xfId="45" xr:uid="{5A42AD0E-F665-46A9-9757-6B6A4BE7013E}"/>
    <cellStyle name="Input number 2 decimal places" xfId="17" xr:uid="{F9671E40-5700-4055-A6D2-272CF9DB620E}"/>
    <cellStyle name="Input number 2 decimal places calculated" xfId="46" xr:uid="{C04BA53C-14E1-48A5-99A3-C9FD44741A2A}"/>
    <cellStyle name="Input number 3 decimal places calculated" xfId="49" xr:uid="{637E6039-0A01-48EF-8C15-C29A497EF449}"/>
    <cellStyle name="Input number 3 decimal places disabled" xfId="22" xr:uid="{6B1B6177-B1C0-4190-858F-6E4C823402C3}"/>
    <cellStyle name="Input number 6 decimal places calculated" xfId="51" xr:uid="{CE70A7A2-3CEE-4689-8FF6-8EB6FCE0A94C}"/>
    <cellStyle name="Input number general" xfId="56" xr:uid="{D8583F7D-F13A-4EA8-BAA6-B42739FDBDDB}"/>
    <cellStyle name="Input number general calculated" xfId="52" xr:uid="{34755FEB-6E4E-4BD7-A478-DF7299A7A914}"/>
    <cellStyle name="Input number no decimals" xfId="18" xr:uid="{B33B4FB5-F3F4-4036-B2DD-663B694E2A90}"/>
    <cellStyle name="Input number no decimals calculated" xfId="40" xr:uid="{5A48F48F-03B2-410E-887B-2A9297006BAF}"/>
    <cellStyle name="Input number no decimals disabled" xfId="23" xr:uid="{7ABDCB2D-7703-4392-9553-5620789B1E19}"/>
    <cellStyle name="Input number percent disabled" xfId="21" xr:uid="{D0E8B42E-13A8-477C-99CB-5FF73C5BBAA4}"/>
    <cellStyle name="Input page heading" xfId="32" xr:uid="{74FB9B3B-4B5B-4B7F-A54C-22E0724783C8}"/>
    <cellStyle name="Input page section heading" xfId="31" xr:uid="{1A05B367-BE5D-4E2B-9831-A28D5CFAC8EC}"/>
    <cellStyle name="Input percent" xfId="16" xr:uid="{923E56A7-7902-46CD-9AA8-0D69F2E1ECA1}"/>
    <cellStyle name="Input select" xfId="15" xr:uid="{3CF2E653-7F22-4996-ABB9-95CA16698B1F}"/>
    <cellStyle name="Input select disabled" xfId="20" xr:uid="{5CE680CC-504C-444D-8337-CF97D9BB5A78}"/>
    <cellStyle name="Input table column header" xfId="29" xr:uid="{EF98B018-1246-451D-91C2-97FCD443EDC9}"/>
    <cellStyle name="Input table header" xfId="28" xr:uid="{04872377-9FDD-4D5A-91FC-B9D8DA1E8E91}"/>
    <cellStyle name="Input text" xfId="14" xr:uid="{4C71A4C5-ADD8-4A09-A7FE-940DA96821F6}"/>
    <cellStyle name="Input text calculated" xfId="48" xr:uid="{43DCF082-1F0D-4E07-9785-CAF41B37CFCC}"/>
    <cellStyle name="Input text disabled" xfId="19" xr:uid="{79E76B35-E5FF-43A1-B0D0-016F346F8B97}"/>
    <cellStyle name="Menu link child" xfId="38" xr:uid="{609090D3-DE1E-48FE-A8AA-233CE9B146E0}"/>
    <cellStyle name="Menu link default" xfId="33" xr:uid="{11B84453-1DD4-492A-B241-FE6AD4CB25FA}"/>
    <cellStyle name="Menu link selected" xfId="35" xr:uid="{B16EBA6F-62C4-483F-8E15-B20D06ABF61F}"/>
    <cellStyle name="Menu link selected equations" xfId="37" xr:uid="{7AFCC545-C221-4BAC-933E-19109D0FB654}"/>
    <cellStyle name="Menu link selected input" xfId="36" xr:uid="{17D327F4-9149-4DAC-85BB-811698090830}"/>
    <cellStyle name="Menu section title" xfId="34" xr:uid="{E2117B15-AE58-4F76-B13B-671D455A4107}"/>
    <cellStyle name="Normal" xfId="0" builtinId="0"/>
    <cellStyle name="Normal 2" xfId="55" xr:uid="{FE64FEFB-54C6-42B4-AA7F-D49670F5ED19}"/>
    <cellStyle name="Normal 2 2" xfId="44" xr:uid="{B8803ACE-513D-4EEF-BBE0-0BB76AE7D7F4}"/>
    <cellStyle name="Normal 4" xfId="42" xr:uid="{99CD1B63-5040-4067-BBD7-470030C57E5D}"/>
    <cellStyle name="Normal 5" xfId="43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6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Table description" xfId="58" xr:uid="{8BD2F353-2E3C-42FF-89E9-616E85DC18C5}"/>
    <cellStyle name="Table name" xfId="57" xr:uid="{D56F17A4-9740-44B6-BDDB-150E2C950B8B}"/>
    <cellStyle name="Unit" xfId="12" xr:uid="{90B9E191-F5E0-43AB-A245-D6CA23D4ADFC}"/>
    <cellStyle name="Unit no indent" xfId="53" xr:uid="{2829D020-DAD8-4B7D-9262-450720E27D2B}"/>
    <cellStyle name="Unit total" xfId="25" xr:uid="{65428923-3DAD-47B6-8DDF-0EBD05E7C55B}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28"/>
      <tableStyleElement type="headerRow" dxfId="27"/>
      <tableStyleElement type="totalRow" dxfId="26"/>
      <tableStyleElement type="firstColumn" dxfId="25"/>
      <tableStyleElement type="firstRowStripe" dxfId="24"/>
      <tableStyleElement type="secondRowStripe" dxfId="23"/>
    </tableStyle>
    <tableStyle name="Equation table" pivot="0" count="6" xr9:uid="{B247698E-E41D-4CCD-AA0A-C14817E9DE65}">
      <tableStyleElement type="wholeTable" dxfId="22"/>
      <tableStyleElement type="headerRow" dxfId="21"/>
      <tableStyleElement type="totalRow" dxfId="20"/>
      <tableStyleElement type="firstColumn" dxfId="19"/>
      <tableStyleElement type="firstRowStripe" dxfId="18"/>
      <tableStyleElement type="secondRowStripe" dxfId="17"/>
    </tableStyle>
    <tableStyle name="Table Style 1" pivot="0" count="0" xr9:uid="{97B370DB-5463-4A31-9160-5A96BD6A559D}"/>
  </tableStyles>
  <colors>
    <mruColors>
      <color rgb="FF0C769E"/>
      <color rgb="FFC44340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4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Common_v02.xlsx" TargetMode="External"/><Relationship Id="rId1" Type="http://schemas.openxmlformats.org/officeDocument/2006/relationships/externalLinkPath" Target="Common_v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Constants - Common"/>
      <sheetName val="Acknowledgements"/>
    </sheetNames>
    <sheetDataSet>
      <sheetData sheetId="0"/>
      <sheetData sheetId="1"/>
      <sheetData sheetId="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3BB368-35B4-484B-ACB2-E0BE2099EF43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EBF5BD5F-7D26-4677-A423-2712CAE99627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A616CA28-29FC-4E5F-B2BE-F66639F00CFD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82DCD71C-BFFD-433C-8C4E-36A246FBCD3A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750CDE-B230-456B-BF22-28D224C15193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9B3B91ED-1E55-4822-BECF-F5275C778ABD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288C17-DC9E-480B-84EF-CF22060EB4C8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99EE2C68-4611-481A-8DB8-EE5C1E14C154}" name="Gas">
      <calculatedColumnFormula array="1">Common_InputFunctions.Utility_DisplayArrayInTable(Common_SourceData.Common_SourceData_GWP_Data(), Table_GWPData[[#Headers],[Gas]], 0)</calculatedColumnFormula>
    </tableColumn>
    <tableColumn id="2" xr3:uid="{E5E254A8-18A6-4473-BFFF-AC2082BFA02F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AC5998-A1B2-4C1D-B7E0-178539AC8731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819F274-1E08-4FA2-84B1-3DC099466F63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DBF1A880-64DB-442A-934A-C31F8D17E2CB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84DEF6F1-6D84-4A96-9FD3-D8F57C0878DB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BA29030C-E00D-4F75-8A00-9BDAA9CFB7F2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9AE74041-340A-4303-944C-5DC7DADC86D2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5ED333-55AE-406F-9D19-372AAA38202D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F26BAB27-CFA1-405D-87DD-74FC9B6983BC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6D2DA4E1-1332-45A5-AB9C-207C55154EE4}" name="MAT" totalsRowDxfId="1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718CF810-C42E-46C3-AECE-490185A2C860}" name="MAP" totalsRowDxfId="1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3FADC771-9683-4D47-9EEC-AB1DB52233E1}" name="Frost days per year" totalsRowDxfId="1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A3BA5449-424B-4C84-9A58-4FD7333EE594}" name="Elevation" totalsRowDxfId="1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DC2C277A-1109-4415-99BE-ED29FBFDBC90}" name="MAP:PET" totalsRowDxfId="1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425E4786-B113-4374-8879-0C258AB3F847}" name="Min temp" totalsRowDxfId="1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776FB9F8-5748-40BB-96DB-A789906CC8B7}" name="Max temp" totalsRowDxfId="1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EC738F28-6BCC-443F-9246-99E6DA061AE1}" name="Min rainfall" totalsRowDxfId="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7ADE0B38-C827-4B8F-88D3-C9CD5F071AC1}" name="Max rainfall" totalsRowDxfId="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6288E95D-A5C6-4FFC-BFB4-24882497695B}" name="Min frost days" totalsRowDxfId="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DDE7030F-3D32-4C01-A0E7-E835EED77FF7}" name="Max frost days" totalsRowDxfId="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12FECB7F-2060-4F15-9D0E-074708E09C3A}" name="Min elevation" totalsRowDxfId="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84E75390-0C12-4983-8603-690B40369FC1}" name="Max elevation" totalsRowDxfId="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31C08581-CA77-4AED-9A7C-672B0409AA6B}" name="Min MAP:PET" totalsRowDxfId="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F21BBEC7-C115-43EB-B802-F1F8E2E425DA}" name="Max MAP:PET" totalsRowDxfId="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1D61CC2-686E-4135-9380-C8DCE92E6A14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F7B95993-DC4C-4E51-A970-87A28BCD2D51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4AF2B2F9-75E9-4DEA-B831-8CEBBF54BACC}" name="Wet or Dry Zone" totalsRowDxfId="1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0497E06-0342-43AA-B15D-C06F12AE53B9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86797DEC-2B70-4DBA-87A8-1A84D31062D0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9853E566-F2A7-4D47-96C6-FDDE7C143F96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B6B8CA5E-84BA-49DD-8E51-43488CB461C8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207C9022-99EF-493F-9858-2D633023DBB5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5C68E4B-03C0-48E2-96AB-8A4A96383F8C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EBAC1A67-D1E6-46AD-89AA-2898336BB23C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0274E480-B64D-4F51-A4BA-48D417B785A3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7B03F7F0-B4F3-4033-8E67-AF43811CC1B3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4C2FC162-E387-436F-998A-5F8C481B1777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1A2DF88-8CF6-41B8-A3E0-764D1100234A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9D6714BC-ECC5-46E0-8839-713D812915C8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19485E9E-BB05-4F96-A221-B77E5470AFE1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C55D15B-CEE4-4EC7-9732-9654A1A25820}" name="Table_SourceData_DataScores_Scope3" displayName="Table_SourceData_DataScores_Scope3" ref="D142:E147" totalsRowShown="0">
  <autoFilter ref="D142:E147" xr:uid="{133D42B0-F6D2-470A-858A-37E6A7F5EC2B}">
    <filterColumn colId="0" hiddenButton="1"/>
    <filterColumn colId="1" hiddenButton="1"/>
  </autoFilter>
  <tableColumns count="2">
    <tableColumn id="1" xr3:uid="{08A36723-A9B0-43FF-8AF2-8017C9753FE2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AA9D9D2F-2E32-455B-A1F9-665BE2072E88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1A519EA-0041-467D-B77A-46AD80499847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3F694ABD-87BD-485B-B4F4-EBFBE4BE255B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B13E8AF4-4660-42B6-A55A-DD82BA2B88EE}" name="FracWET" dataDxfId="0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B9AD8B8-4CFD-48EB-9A3F-379B929FDB0F}" name="Table_SourceData_Common_EFN2O" displayName="Table_SourceData_Common_EFN2O" ref="D175:H188" totalsRowShown="0">
  <autoFilter ref="D175:H188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6F9C387-9A35-4C6D-9707-F5330E54CA0C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0F86DA02-8C88-48F9-ABB8-8069207FE56B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24A92953-68AE-4F6F-B3CA-567D72213E26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496F223D-D489-428E-864F-6C880FF1D53D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88D89B62-3D64-4DBD-89F4-B4EA8D318A5F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237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D713-C454-4709-A244-300A3CE962AB}">
  <dimension ref="A1:BX196"/>
  <sheetViews>
    <sheetView showGridLines="0" tabSelected="1" topLeftCell="A158" zoomScale="85" zoomScaleNormal="85" workbookViewId="0">
      <selection activeCell="J178" sqref="J178"/>
    </sheetView>
  </sheetViews>
  <sheetFormatPr defaultColWidth="9.140625" defaultRowHeight="15.75" x14ac:dyDescent="0.25"/>
  <cols>
    <col min="1" max="1" width="30.7109375" style="6" customWidth="1"/>
    <col min="2" max="2" width="2.7109375" style="6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6" customWidth="1"/>
    <col min="33" max="38" width="21.85546875" style="6" customWidth="1"/>
    <col min="39" max="43" width="20.7109375" style="6" customWidth="1"/>
    <col min="44" max="64" width="9.140625" style="6"/>
    <col min="65" max="16384" width="9.140625" style="2"/>
  </cols>
  <sheetData>
    <row r="1" spans="1:64" s="7" customFormat="1" ht="30" customHeight="1" x14ac:dyDescent="0.35">
      <c r="A1" s="7" t="e" vm="1">
        <v>#VALUE!</v>
      </c>
      <c r="C1" s="7" t="s">
        <v>36</v>
      </c>
    </row>
    <row r="2" spans="1:64" s="8" customFormat="1" ht="20.100000000000001" customHeight="1" x14ac:dyDescent="0.25"/>
    <row r="3" spans="1:64" ht="20.100000000000001" customHeight="1" x14ac:dyDescent="0.25">
      <c r="A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9"/>
      <c r="V3" s="9"/>
    </row>
    <row r="4" spans="1:64" ht="20.100000000000001" customHeight="1" x14ac:dyDescent="0.25">
      <c r="A4"/>
      <c r="BL4" s="2"/>
    </row>
    <row r="5" spans="1:64" ht="20.100000000000001" customHeight="1" x14ac:dyDescent="0.25">
      <c r="A5"/>
      <c r="D5" s="5" t="str" cm="1">
        <f t="array" ref="D5">Common_SourceData.Common_SourceData_AustralianStatesTerritories_Title()</f>
        <v>Australian states and territories</v>
      </c>
      <c r="BL5" s="2"/>
    </row>
    <row r="6" spans="1:64" ht="20.100000000000001" customHeight="1" x14ac:dyDescent="0.25">
      <c r="A6"/>
      <c r="D6" s="11" t="s">
        <v>1</v>
      </c>
      <c r="E6" s="11" t="s">
        <v>2</v>
      </c>
      <c r="F6" s="11" t="s">
        <v>3</v>
      </c>
    </row>
    <row r="7" spans="1:64" ht="20.100000000000001" customHeight="1" x14ac:dyDescent="0.25">
      <c r="A7"/>
      <c r="D7" s="11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11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11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11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11" t="str" cm="1">
        <f t="array" ref="E8">Common_InputFunctions.Utility_DisplayArrayInTable(Common_SourceData.Common_SourceData_AustralianStatesTerritories_Data(),Table_AustralianStates[[#Headers],[State/Territory]],0)</f>
        <v>ACT</v>
      </c>
      <c r="F8" s="11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11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11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11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11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11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11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11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11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11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2"/>
    </row>
    <row r="12" spans="1:64" ht="20.100000000000001" customHeight="1" x14ac:dyDescent="0.25">
      <c r="A12"/>
      <c r="D12" s="11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11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11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2"/>
    </row>
    <row r="13" spans="1:64" ht="20.100000000000001" customHeight="1" x14ac:dyDescent="0.25">
      <c r="A13"/>
      <c r="D13" s="11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11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11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11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11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11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5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4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11" t="s">
        <v>4</v>
      </c>
    </row>
    <row r="21" spans="1:4" ht="20.100000000000001" customHeight="1" x14ac:dyDescent="0.25">
      <c r="A21"/>
      <c r="D21" s="11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11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11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11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11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11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11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11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11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11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5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4" t="str" cm="1">
        <f t="array" ref="D35">Common_SourceData.Common_SourceData_GWP_Source()</f>
        <v>XXXXXXX</v>
      </c>
    </row>
    <row r="36" spans="1:8" ht="20.100000000000001" customHeight="1" x14ac:dyDescent="0.25">
      <c r="A36"/>
      <c r="D36" s="11" t="s">
        <v>5</v>
      </c>
      <c r="E36" s="11" t="s">
        <v>6</v>
      </c>
    </row>
    <row r="37" spans="1:8" ht="20.100000000000001" customHeight="1" x14ac:dyDescent="0.25">
      <c r="A37"/>
      <c r="D37" s="11" t="str" cm="1">
        <f t="array" ref="D37">Common_InputFunctions.Utility_DisplayArrayInTable(Common_SourceData.Common_SourceData_GWP_Data(), Table_GWPData[[#Headers],[Gas]], 0)</f>
        <v>CO2</v>
      </c>
      <c r="E37" s="11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11" t="str" cm="1">
        <f t="array" ref="D38">Common_InputFunctions.Utility_DisplayArrayInTable(Common_SourceData.Common_SourceData_GWP_Data(), Table_GWPData[[#Headers],[Gas]], 0)</f>
        <v>CH4</v>
      </c>
      <c r="E38" s="11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11" t="str" cm="1">
        <f t="array" ref="D39">Common_InputFunctions.Utility_DisplayArrayInTable(Common_SourceData.Common_SourceData_GWP_Data(), Table_GWPData[[#Headers],[Gas]], 0)</f>
        <v>N2O</v>
      </c>
      <c r="E39" s="11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11" t="str" cm="1">
        <f t="array" ref="D40">Common_InputFunctions.Utility_DisplayArrayInTable(Common_SourceData.Common_SourceData_GWP_Data(), Table_GWPData[[#Headers],[Gas]], 0)</f>
        <v>CF4</v>
      </c>
      <c r="E40" s="11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11" t="str" cm="1">
        <f t="array" ref="D41">Common_InputFunctions.Utility_DisplayArrayInTable(Common_SourceData.Common_SourceData_GWP_Data(), Table_GWPData[[#Headers],[Gas]], 0)</f>
        <v>C2F6</v>
      </c>
      <c r="E41" s="11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11" t="str" cm="1">
        <f t="array" ref="D42">Common_InputFunctions.Utility_DisplayArrayInTable(Common_SourceData.Common_SourceData_GWP_Data(), Table_GWPData[[#Headers],[Gas]], 0)</f>
        <v>SF6</v>
      </c>
      <c r="E42" s="11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11" t="str" cm="1">
        <f t="array" ref="D43">Common_InputFunctions.Utility_DisplayArrayInTable(Common_SourceData.Common_SourceData_GWP_Data(), Table_GWPData[[#Headers],[Gas]], 0)</f>
        <v>NF3</v>
      </c>
      <c r="E43" s="11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5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4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11" t="s">
        <v>5</v>
      </c>
      <c r="E47" s="11" t="s">
        <v>7</v>
      </c>
      <c r="F47" s="11" t="s">
        <v>8</v>
      </c>
      <c r="G47" s="11" t="s">
        <v>9</v>
      </c>
      <c r="H47" s="11" t="s">
        <v>10</v>
      </c>
    </row>
    <row r="48" spans="1:8" ht="20.100000000000001" customHeight="1" x14ac:dyDescent="0.25">
      <c r="D48" s="11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11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11" cm="1">
        <f t="array" ref="F48">Common_InputFunctions.Utility_DisplayArrayInTable(Common_SourceData.Common_SourceData_ConvertGasElementalToMolecular_Data(),Table_GasToMolecularConversionFactor[[#Headers],[Gas]], 0)</f>
        <v>44</v>
      </c>
      <c r="G48" s="11" cm="1">
        <f t="array" ref="G48">Common_InputFunctions.Utility_DisplayArrayInTable(Common_SourceData.Common_SourceData_ConvertGasElementalToMolecular_Data(),Table_GasToMolecularConversionFactor[[#Headers],[Gas]], 0)</f>
        <v>12</v>
      </c>
      <c r="H48" s="11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11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11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11" cm="1">
        <f t="array" ref="F49">Common_InputFunctions.Utility_DisplayArrayInTable(Common_SourceData.Common_SourceData_ConvertGasElementalToMolecular_Data(),Table_GasToMolecularConversionFactor[[#Headers],[Gas]], 0)</f>
        <v>16</v>
      </c>
      <c r="G49" s="11" cm="1">
        <f t="array" ref="G49">Common_InputFunctions.Utility_DisplayArrayInTable(Common_SourceData.Common_SourceData_ConvertGasElementalToMolecular_Data(),Table_GasToMolecularConversionFactor[[#Headers],[Gas]], 0)</f>
        <v>12</v>
      </c>
      <c r="H49" s="11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11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11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11" cm="1">
        <f t="array" ref="F50">Common_InputFunctions.Utility_DisplayArrayInTable(Common_SourceData.Common_SourceData_ConvertGasElementalToMolecular_Data(),Table_GasToMolecularConversionFactor[[#Headers],[Gas]], 0)</f>
        <v>44</v>
      </c>
      <c r="G50" s="11" cm="1">
        <f t="array" ref="G50">Common_InputFunctions.Utility_DisplayArrayInTable(Common_SourceData.Common_SourceData_ConvertGasElementalToMolecular_Data(),Table_GasToMolecularConversionFactor[[#Headers],[Gas]], 0)</f>
        <v>28</v>
      </c>
      <c r="H50" s="11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11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11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11" cm="1">
        <f t="array" ref="F51">Common_InputFunctions.Utility_DisplayArrayInTable(Common_SourceData.Common_SourceData_ConvertGasElementalToMolecular_Data(),Table_GasToMolecularConversionFactor[[#Headers],[Gas]], 0)</f>
        <v>46</v>
      </c>
      <c r="G51" s="11" cm="1">
        <f t="array" ref="G51">Common_InputFunctions.Utility_DisplayArrayInTable(Common_SourceData.Common_SourceData_ConvertGasElementalToMolecular_Data(),Table_GasToMolecularConversionFactor[[#Headers],[Gas]], 0)</f>
        <v>14</v>
      </c>
      <c r="H51" s="11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11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11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11" cm="1">
        <f t="array" ref="F52">Common_InputFunctions.Utility_DisplayArrayInTable(Common_SourceData.Common_SourceData_ConvertGasElementalToMolecular_Data(),Table_GasToMolecularConversionFactor[[#Headers],[Gas]], 0)</f>
        <v>28</v>
      </c>
      <c r="G52" s="11" cm="1">
        <f t="array" ref="G52">Common_InputFunctions.Utility_DisplayArrayInTable(Common_SourceData.Common_SourceData_ConvertGasElementalToMolecular_Data(),Table_GasToMolecularConversionFactor[[#Headers],[Gas]], 0)</f>
        <v>12</v>
      </c>
      <c r="H52" s="11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11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11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11" cm="1">
        <f t="array" ref="F53">Common_InputFunctions.Utility_DisplayArrayInTable(Common_SourceData.Common_SourceData_ConvertGasElementalToMolecular_Data(),Table_GasToMolecularConversionFactor[[#Headers],[Gas]], 0)</f>
        <v>44</v>
      </c>
      <c r="G53" s="11" cm="1">
        <f t="array" ref="G53">Common_InputFunctions.Utility_DisplayArrayInTable(Common_SourceData.Common_SourceData_ConvertGasElementalToMolecular_Data(),Table_GasToMolecularConversionFactor[[#Headers],[Gas]], 0)</f>
        <v>12</v>
      </c>
      <c r="H53" s="11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11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11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11" cm="1">
        <f t="array" ref="F54">Common_InputFunctions.Utility_DisplayArrayInTable(Common_SourceData.Common_SourceData_ConvertGasElementalToMolecular_Data(),Table_GasToMolecularConversionFactor[[#Headers],[Gas]], 0)</f>
        <v>14</v>
      </c>
      <c r="G54" s="11" cm="1">
        <f t="array" ref="G54">Common_InputFunctions.Utility_DisplayArrayInTable(Common_SourceData.Common_SourceData_ConvertGasElementalToMolecular_Data(),Table_GasToMolecularConversionFactor[[#Headers],[Gas]], 0)</f>
        <v>12</v>
      </c>
      <c r="H54" s="11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5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4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13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13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13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11" t="s">
        <v>0</v>
      </c>
      <c r="E63" s="11" t="s">
        <v>23</v>
      </c>
    </row>
    <row r="64" spans="4:8" ht="20.100000000000001" customHeight="1" x14ac:dyDescent="0.25">
      <c r="D64" s="11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11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11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11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11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11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11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11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11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11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11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11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11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11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11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11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11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11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11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11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11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11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11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11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11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11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11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11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5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4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13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13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13" t="str">
        <v>⚠️Fixed typo in MAT value for warm temperate dry - changed 10 to 11.</v>
      </c>
    </row>
    <row r="86" spans="4:19" ht="20.100000000000001" customHeight="1" x14ac:dyDescent="0.25">
      <c r="D86" s="13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13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11" t="s">
        <v>0</v>
      </c>
      <c r="E89" s="11" t="s">
        <v>11</v>
      </c>
      <c r="F89" s="11" t="s">
        <v>12</v>
      </c>
      <c r="G89" s="11" t="s">
        <v>13</v>
      </c>
      <c r="H89" s="11" t="s">
        <v>14</v>
      </c>
      <c r="I89" s="11" t="s">
        <v>15</v>
      </c>
      <c r="J89" s="11" t="s">
        <v>16</v>
      </c>
      <c r="K89" s="11" t="s">
        <v>17</v>
      </c>
      <c r="L89" s="11" t="s">
        <v>18</v>
      </c>
      <c r="M89" s="11" t="s">
        <v>19</v>
      </c>
      <c r="N89" s="11" t="s">
        <v>20</v>
      </c>
      <c r="O89" s="11" t="s">
        <v>24</v>
      </c>
      <c r="P89" s="11" t="s">
        <v>21</v>
      </c>
      <c r="Q89" s="11" t="s">
        <v>25</v>
      </c>
      <c r="R89" s="11" t="s">
        <v>22</v>
      </c>
      <c r="S89" s="11" t="s">
        <v>26</v>
      </c>
    </row>
    <row r="90" spans="4:19" ht="20.100000000000001" customHeight="1" x14ac:dyDescent="0.25">
      <c r="D90" s="11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11" t="str" cm="1">
        <f t="array" ref="E90">Common_InputFunctions.Utility_DisplayArrayInTable(Common_SourceData.Common_SourceData_ClimateZones_Data(), Table_SourceData_ClimateZones[[#Headers],[Climate zone]], 0)</f>
        <v>&gt; 18 C</v>
      </c>
      <c r="F90" s="11" t="str" cm="1">
        <f t="array" ref="F90">Common_InputFunctions.Utility_DisplayArrayInTable(Common_SourceData.Common_SourceData_ClimateZones_Data(), Table_SourceData_ClimateZones[[#Headers],[Climate zone]], 0)</f>
        <v>Any</v>
      </c>
      <c r="G90" s="11" t="str" cm="1">
        <f t="array" ref="G90">Common_InputFunctions.Utility_DisplayArrayInTable(Common_SourceData.Common_SourceData_ClimateZones_Data(), Table_SourceData_ClimateZones[[#Headers],[Climate zone]], 0)</f>
        <v>≤ 7</v>
      </c>
      <c r="H90" s="11" t="str" cm="1">
        <f t="array" ref="H90">Common_InputFunctions.Utility_DisplayArrayInTable(Common_SourceData.Common_SourceData_ClimateZones_Data(), Table_SourceData_ClimateZones[[#Headers],[Climate zone]], 0)</f>
        <v>&gt; 1000 m</v>
      </c>
      <c r="I90" s="11" t="str" cm="1">
        <f t="array" ref="I90">Common_InputFunctions.Utility_DisplayArrayInTable(Common_SourceData.Common_SourceData_ClimateZones_Data(), Table_SourceData_ClimateZones[[#Headers],[Climate zone]], 0)</f>
        <v>Any</v>
      </c>
      <c r="J90" s="11" cm="1">
        <f t="array" ref="J90">Common_InputFunctions.Utility_DisplayArrayInTable(Common_SourceData.Common_SourceData_ClimateZones_Data(), Table_SourceData_ClimateZones[[#Headers],[Climate zone]], 0)</f>
        <v>18.001000000000001</v>
      </c>
      <c r="K90" s="11" cm="1">
        <f t="array" ref="K90">Common_InputFunctions.Utility_DisplayArrayInTable(Common_SourceData.Common_SourceData_ClimateZones_Data(), Table_SourceData_ClimateZones[[#Headers],[Climate zone]], 0)</f>
        <v>999999</v>
      </c>
      <c r="L90" s="11" cm="1">
        <f t="array" ref="L90">Common_InputFunctions.Utility_DisplayArrayInTable(Common_SourceData.Common_SourceData_ClimateZones_Data(), Table_SourceData_ClimateZones[[#Headers],[Climate zone]], 0)</f>
        <v>-999999</v>
      </c>
      <c r="M90" s="11" cm="1">
        <f t="array" ref="M90">Common_InputFunctions.Utility_DisplayArrayInTable(Common_SourceData.Common_SourceData_ClimateZones_Data(), Table_SourceData_ClimateZones[[#Headers],[Climate zone]], 0)</f>
        <v>999999</v>
      </c>
      <c r="N90" s="11" cm="1">
        <f t="array" ref="N90">Common_InputFunctions.Utility_DisplayArrayInTable(Common_SourceData.Common_SourceData_ClimateZones_Data(), Table_SourceData_ClimateZones[[#Headers],[Climate zone]], 0)</f>
        <v>-999999</v>
      </c>
      <c r="O90" s="11" cm="1">
        <f t="array" ref="O90">Common_InputFunctions.Utility_DisplayArrayInTable(Common_SourceData.Common_SourceData_ClimateZones_Data(), Table_SourceData_ClimateZones[[#Headers],[Climate zone]], 0)</f>
        <v>7</v>
      </c>
      <c r="P90" s="11" cm="1">
        <f t="array" ref="P90">Common_InputFunctions.Utility_DisplayArrayInTable(Common_SourceData.Common_SourceData_ClimateZones_Data(), Table_SourceData_ClimateZones[[#Headers],[Climate zone]], 0)</f>
        <v>1000</v>
      </c>
      <c r="Q90" s="11" cm="1">
        <f t="array" ref="Q90">Common_InputFunctions.Utility_DisplayArrayInTable(Common_SourceData.Common_SourceData_ClimateZones_Data(), Table_SourceData_ClimateZones[[#Headers],[Climate zone]], 0)</f>
        <v>999999</v>
      </c>
      <c r="R90" s="11" cm="1">
        <f t="array" ref="R90">Common_InputFunctions.Utility_DisplayArrayInTable(Common_SourceData.Common_SourceData_ClimateZones_Data(), Table_SourceData_ClimateZones[[#Headers],[Climate zone]], 0)</f>
        <v>-999999</v>
      </c>
      <c r="S90" s="11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11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11" t="str" cm="1">
        <f t="array" ref="E91">Common_InputFunctions.Utility_DisplayArrayInTable(Common_SourceData.Common_SourceData_ClimateZones_Data(), Table_SourceData_ClimateZones[[#Headers],[Climate zone]], 0)</f>
        <v>&gt; 18 C</v>
      </c>
      <c r="F91" s="11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11" t="str" cm="1">
        <f t="array" ref="G91">Common_InputFunctions.Utility_DisplayArrayInTable(Common_SourceData.Common_SourceData_ClimateZones_Data(), Table_SourceData_ClimateZones[[#Headers],[Climate zone]], 0)</f>
        <v>≤ 7</v>
      </c>
      <c r="H91" s="11" t="str" cm="1">
        <f t="array" ref="H91">Common_InputFunctions.Utility_DisplayArrayInTable(Common_SourceData.Common_SourceData_ClimateZones_Data(), Table_SourceData_ClimateZones[[#Headers],[Climate zone]], 0)</f>
        <v>≤ 1000 m</v>
      </c>
      <c r="I91" s="11" t="str" cm="1">
        <f t="array" ref="I91">Common_InputFunctions.Utility_DisplayArrayInTable(Common_SourceData.Common_SourceData_ClimateZones_Data(), Table_SourceData_ClimateZones[[#Headers],[Climate zone]], 0)</f>
        <v>Any</v>
      </c>
      <c r="J91" s="11" cm="1">
        <f t="array" ref="J91">Common_InputFunctions.Utility_DisplayArrayInTable(Common_SourceData.Common_SourceData_ClimateZones_Data(), Table_SourceData_ClimateZones[[#Headers],[Climate zone]], 0)</f>
        <v>18.001000000000001</v>
      </c>
      <c r="K91" s="11" cm="1">
        <f t="array" ref="K91">Common_InputFunctions.Utility_DisplayArrayInTable(Common_SourceData.Common_SourceData_ClimateZones_Data(), Table_SourceData_ClimateZones[[#Headers],[Climate zone]], 0)</f>
        <v>999999</v>
      </c>
      <c r="L91" s="11" cm="1">
        <f t="array" ref="L91">Common_InputFunctions.Utility_DisplayArrayInTable(Common_SourceData.Common_SourceData_ClimateZones_Data(), Table_SourceData_ClimateZones[[#Headers],[Climate zone]], 0)</f>
        <v>2000.001</v>
      </c>
      <c r="M91" s="11" cm="1">
        <f t="array" ref="M91">Common_InputFunctions.Utility_DisplayArrayInTable(Common_SourceData.Common_SourceData_ClimateZones_Data(), Table_SourceData_ClimateZones[[#Headers],[Climate zone]], 0)</f>
        <v>999999</v>
      </c>
      <c r="N91" s="11" cm="1">
        <f t="array" ref="N91">Common_InputFunctions.Utility_DisplayArrayInTable(Common_SourceData.Common_SourceData_ClimateZones_Data(), Table_SourceData_ClimateZones[[#Headers],[Climate zone]], 0)</f>
        <v>-999999</v>
      </c>
      <c r="O91" s="11" cm="1">
        <f t="array" ref="O91">Common_InputFunctions.Utility_DisplayArrayInTable(Common_SourceData.Common_SourceData_ClimateZones_Data(), Table_SourceData_ClimateZones[[#Headers],[Climate zone]], 0)</f>
        <v>7</v>
      </c>
      <c r="P91" s="11" cm="1">
        <f t="array" ref="P91">Common_InputFunctions.Utility_DisplayArrayInTable(Common_SourceData.Common_SourceData_ClimateZones_Data(), Table_SourceData_ClimateZones[[#Headers],[Climate zone]], 0)</f>
        <v>-999999</v>
      </c>
      <c r="Q91" s="11" cm="1">
        <f t="array" ref="Q91">Common_InputFunctions.Utility_DisplayArrayInTable(Common_SourceData.Common_SourceData_ClimateZones_Data(), Table_SourceData_ClimateZones[[#Headers],[Climate zone]], 0)</f>
        <v>999.99900000000002</v>
      </c>
      <c r="R91" s="11" cm="1">
        <f t="array" ref="R91">Common_InputFunctions.Utility_DisplayArrayInTable(Common_SourceData.Common_SourceData_ClimateZones_Data(), Table_SourceData_ClimateZones[[#Headers],[Climate zone]], 0)</f>
        <v>-999999</v>
      </c>
      <c r="S91" s="11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11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11" t="str" cm="1">
        <f t="array" ref="E92">Common_InputFunctions.Utility_DisplayArrayInTable(Common_SourceData.Common_SourceData_ClimateZones_Data(), Table_SourceData_ClimateZones[[#Headers],[Climate zone]], 0)</f>
        <v>&gt; 18 C</v>
      </c>
      <c r="F92" s="11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11" t="str" cm="1">
        <f t="array" ref="G92">Common_InputFunctions.Utility_DisplayArrayInTable(Common_SourceData.Common_SourceData_ClimateZones_Data(), Table_SourceData_ClimateZones[[#Headers],[Climate zone]], 0)</f>
        <v>≤ 7</v>
      </c>
      <c r="H92" s="11" t="str" cm="1">
        <f t="array" ref="H92">Common_InputFunctions.Utility_DisplayArrayInTable(Common_SourceData.Common_SourceData_ClimateZones_Data(), Table_SourceData_ClimateZones[[#Headers],[Climate zone]], 0)</f>
        <v>≤ 1000 m</v>
      </c>
      <c r="I92" s="11" t="str" cm="1">
        <f t="array" ref="I92">Common_InputFunctions.Utility_DisplayArrayInTable(Common_SourceData.Common_SourceData_ClimateZones_Data(), Table_SourceData_ClimateZones[[#Headers],[Climate zone]], 0)</f>
        <v>Any</v>
      </c>
      <c r="J92" s="11" cm="1">
        <f t="array" ref="J92">Common_InputFunctions.Utility_DisplayArrayInTable(Common_SourceData.Common_SourceData_ClimateZones_Data(), Table_SourceData_ClimateZones[[#Headers],[Climate zone]], 0)</f>
        <v>18.001000000000001</v>
      </c>
      <c r="K92" s="11" cm="1">
        <f t="array" ref="K92">Common_InputFunctions.Utility_DisplayArrayInTable(Common_SourceData.Common_SourceData_ClimateZones_Data(), Table_SourceData_ClimateZones[[#Headers],[Climate zone]], 0)</f>
        <v>999999</v>
      </c>
      <c r="L92" s="11" cm="1">
        <f t="array" ref="L92">Common_InputFunctions.Utility_DisplayArrayInTable(Common_SourceData.Common_SourceData_ClimateZones_Data(), Table_SourceData_ClimateZones[[#Headers],[Climate zone]], 0)</f>
        <v>1000.001</v>
      </c>
      <c r="M92" s="11" cm="1">
        <f t="array" ref="M92">Common_InputFunctions.Utility_DisplayArrayInTable(Common_SourceData.Common_SourceData_ClimateZones_Data(), Table_SourceData_ClimateZones[[#Headers],[Climate zone]], 0)</f>
        <v>2000</v>
      </c>
      <c r="N92" s="11" cm="1">
        <f t="array" ref="N92">Common_InputFunctions.Utility_DisplayArrayInTable(Common_SourceData.Common_SourceData_ClimateZones_Data(), Table_SourceData_ClimateZones[[#Headers],[Climate zone]], 0)</f>
        <v>-999999</v>
      </c>
      <c r="O92" s="11" cm="1">
        <f t="array" ref="O92">Common_InputFunctions.Utility_DisplayArrayInTable(Common_SourceData.Common_SourceData_ClimateZones_Data(), Table_SourceData_ClimateZones[[#Headers],[Climate zone]], 0)</f>
        <v>7</v>
      </c>
      <c r="P92" s="11" cm="1">
        <f t="array" ref="P92">Common_InputFunctions.Utility_DisplayArrayInTable(Common_SourceData.Common_SourceData_ClimateZones_Data(), Table_SourceData_ClimateZones[[#Headers],[Climate zone]], 0)</f>
        <v>-999999</v>
      </c>
      <c r="Q92" s="11" cm="1">
        <f t="array" ref="Q92">Common_InputFunctions.Utility_DisplayArrayInTable(Common_SourceData.Common_SourceData_ClimateZones_Data(), Table_SourceData_ClimateZones[[#Headers],[Climate zone]], 0)</f>
        <v>999.99900000000002</v>
      </c>
      <c r="R92" s="11" cm="1">
        <f t="array" ref="R92">Common_InputFunctions.Utility_DisplayArrayInTable(Common_SourceData.Common_SourceData_ClimateZones_Data(), Table_SourceData_ClimateZones[[#Headers],[Climate zone]], 0)</f>
        <v>-999999</v>
      </c>
      <c r="S92" s="11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11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11" t="str" cm="1">
        <f t="array" ref="E93">Common_InputFunctions.Utility_DisplayArrayInTable(Common_SourceData.Common_SourceData_ClimateZones_Data(), Table_SourceData_ClimateZones[[#Headers],[Climate zone]], 0)</f>
        <v>&gt; 18 C</v>
      </c>
      <c r="F93" s="11" t="str" cm="1">
        <f t="array" ref="F93">Common_InputFunctions.Utility_DisplayArrayInTable(Common_SourceData.Common_SourceData_ClimateZones_Data(), Table_SourceData_ClimateZones[[#Headers],[Climate zone]], 0)</f>
        <v>≤ 1000 mm</v>
      </c>
      <c r="G93" s="11" t="str" cm="1">
        <f t="array" ref="G93">Common_InputFunctions.Utility_DisplayArrayInTable(Common_SourceData.Common_SourceData_ClimateZones_Data(), Table_SourceData_ClimateZones[[#Headers],[Climate zone]], 0)</f>
        <v>≤ 7</v>
      </c>
      <c r="H93" s="11" t="str" cm="1">
        <f t="array" ref="H93">Common_InputFunctions.Utility_DisplayArrayInTable(Common_SourceData.Common_SourceData_ClimateZones_Data(), Table_SourceData_ClimateZones[[#Headers],[Climate zone]], 0)</f>
        <v>≤ 1000 m</v>
      </c>
      <c r="I93" s="11" t="str" cm="1">
        <f t="array" ref="I93">Common_InputFunctions.Utility_DisplayArrayInTable(Common_SourceData.Common_SourceData_ClimateZones_Data(), Table_SourceData_ClimateZones[[#Headers],[Climate zone]], 0)</f>
        <v>Any</v>
      </c>
      <c r="J93" s="11" cm="1">
        <f t="array" ref="J93">Common_InputFunctions.Utility_DisplayArrayInTable(Common_SourceData.Common_SourceData_ClimateZones_Data(), Table_SourceData_ClimateZones[[#Headers],[Climate zone]], 0)</f>
        <v>18.001000000000001</v>
      </c>
      <c r="K93" s="11" cm="1">
        <f t="array" ref="K93">Common_InputFunctions.Utility_DisplayArrayInTable(Common_SourceData.Common_SourceData_ClimateZones_Data(), Table_SourceData_ClimateZones[[#Headers],[Climate zone]], 0)</f>
        <v>999999</v>
      </c>
      <c r="L93" s="11" cm="1">
        <f t="array" ref="L93">Common_InputFunctions.Utility_DisplayArrayInTable(Common_SourceData.Common_SourceData_ClimateZones_Data(), Table_SourceData_ClimateZones[[#Headers],[Climate zone]], 0)</f>
        <v>-999999</v>
      </c>
      <c r="M93" s="11" cm="1">
        <f t="array" ref="M93">Common_InputFunctions.Utility_DisplayArrayInTable(Common_SourceData.Common_SourceData_ClimateZones_Data(), Table_SourceData_ClimateZones[[#Headers],[Climate zone]], 0)</f>
        <v>1000</v>
      </c>
      <c r="N93" s="11" cm="1">
        <f t="array" ref="N93">Common_InputFunctions.Utility_DisplayArrayInTable(Common_SourceData.Common_SourceData_ClimateZones_Data(), Table_SourceData_ClimateZones[[#Headers],[Climate zone]], 0)</f>
        <v>-999999</v>
      </c>
      <c r="O93" s="11" cm="1">
        <f t="array" ref="O93">Common_InputFunctions.Utility_DisplayArrayInTable(Common_SourceData.Common_SourceData_ClimateZones_Data(), Table_SourceData_ClimateZones[[#Headers],[Climate zone]], 0)</f>
        <v>7</v>
      </c>
      <c r="P93" s="11" cm="1">
        <f t="array" ref="P93">Common_InputFunctions.Utility_DisplayArrayInTable(Common_SourceData.Common_SourceData_ClimateZones_Data(), Table_SourceData_ClimateZones[[#Headers],[Climate zone]], 0)</f>
        <v>-999999</v>
      </c>
      <c r="Q93" s="11" cm="1">
        <f t="array" ref="Q93">Common_InputFunctions.Utility_DisplayArrayInTable(Common_SourceData.Common_SourceData_ClimateZones_Data(), Table_SourceData_ClimateZones[[#Headers],[Climate zone]], 0)</f>
        <v>999.99900000000002</v>
      </c>
      <c r="R93" s="11" cm="1">
        <f t="array" ref="R93">Common_InputFunctions.Utility_DisplayArrayInTable(Common_SourceData.Common_SourceData_ClimateZones_Data(), Table_SourceData_ClimateZones[[#Headers],[Climate zone]], 0)</f>
        <v>-999999</v>
      </c>
      <c r="S93" s="11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11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11" t="str" cm="1">
        <f t="array" ref="E94">Common_InputFunctions.Utility_DisplayArrayInTable(Common_SourceData.Common_SourceData_ClimateZones_Data(), Table_SourceData_ClimateZones[[#Headers],[Climate zone]], 0)</f>
        <v>&gt; 10 C</v>
      </c>
      <c r="F94" s="11" t="str" cm="1">
        <f t="array" ref="F94">Common_InputFunctions.Utility_DisplayArrayInTable(Common_SourceData.Common_SourceData_ClimateZones_Data(), Table_SourceData_ClimateZones[[#Headers],[Climate zone]], 0)</f>
        <v>Any</v>
      </c>
      <c r="G94" s="11" t="str" cm="1">
        <f t="array" ref="G94">Common_InputFunctions.Utility_DisplayArrayInTable(Common_SourceData.Common_SourceData_ClimateZones_Data(), Table_SourceData_ClimateZones[[#Headers],[Climate zone]], 0)</f>
        <v>Any</v>
      </c>
      <c r="H94" s="11" t="str" cm="1">
        <f t="array" ref="H94">Common_InputFunctions.Utility_DisplayArrayInTable(Common_SourceData.Common_SourceData_ClimateZones_Data(), Table_SourceData_ClimateZones[[#Headers],[Climate zone]], 0)</f>
        <v>Any</v>
      </c>
      <c r="I94" s="11" t="str" cm="1">
        <f t="array" ref="I94">Common_InputFunctions.Utility_DisplayArrayInTable(Common_SourceData.Common_SourceData_ClimateZones_Data(), Table_SourceData_ClimateZones[[#Headers],[Climate zone]], 0)</f>
        <v>&gt; 1</v>
      </c>
      <c r="J94" s="11" cm="1">
        <f t="array" ref="J94">Common_InputFunctions.Utility_DisplayArrayInTable(Common_SourceData.Common_SourceData_ClimateZones_Data(), Table_SourceData_ClimateZones[[#Headers],[Climate zone]], 0)</f>
        <v>10.000999999999999</v>
      </c>
      <c r="K94" s="11" cm="1">
        <f t="array" ref="K94">Common_InputFunctions.Utility_DisplayArrayInTable(Common_SourceData.Common_SourceData_ClimateZones_Data(), Table_SourceData_ClimateZones[[#Headers],[Climate zone]], 0)</f>
        <v>999999</v>
      </c>
      <c r="L94" s="11" cm="1">
        <f t="array" ref="L94">Common_InputFunctions.Utility_DisplayArrayInTable(Common_SourceData.Common_SourceData_ClimateZones_Data(), Table_SourceData_ClimateZones[[#Headers],[Climate zone]], 0)</f>
        <v>-999999</v>
      </c>
      <c r="M94" s="11" cm="1">
        <f t="array" ref="M94">Common_InputFunctions.Utility_DisplayArrayInTable(Common_SourceData.Common_SourceData_ClimateZones_Data(), Table_SourceData_ClimateZones[[#Headers],[Climate zone]], 0)</f>
        <v>999999</v>
      </c>
      <c r="N94" s="11" cm="1">
        <f t="array" ref="N94">Common_InputFunctions.Utility_DisplayArrayInTable(Common_SourceData.Common_SourceData_ClimateZones_Data(), Table_SourceData_ClimateZones[[#Headers],[Climate zone]], 0)</f>
        <v>-999999</v>
      </c>
      <c r="O94" s="11" cm="1">
        <f t="array" ref="O94">Common_InputFunctions.Utility_DisplayArrayInTable(Common_SourceData.Common_SourceData_ClimateZones_Data(), Table_SourceData_ClimateZones[[#Headers],[Climate zone]], 0)</f>
        <v>999999</v>
      </c>
      <c r="P94" s="11" cm="1">
        <f t="array" ref="P94">Common_InputFunctions.Utility_DisplayArrayInTable(Common_SourceData.Common_SourceData_ClimateZones_Data(), Table_SourceData_ClimateZones[[#Headers],[Climate zone]], 0)</f>
        <v>-999999</v>
      </c>
      <c r="Q94" s="11" cm="1">
        <f t="array" ref="Q94">Common_InputFunctions.Utility_DisplayArrayInTable(Common_SourceData.Common_SourceData_ClimateZones_Data(), Table_SourceData_ClimateZones[[#Headers],[Climate zone]], 0)</f>
        <v>999999</v>
      </c>
      <c r="R94" s="11" cm="1">
        <f t="array" ref="R94">Common_InputFunctions.Utility_DisplayArrayInTable(Common_SourceData.Common_SourceData_ClimateZones_Data(), Table_SourceData_ClimateZones[[#Headers],[Climate zone]], 0)</f>
        <v>1.0009999999999999</v>
      </c>
      <c r="S94" s="11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11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11" t="str" cm="1">
        <f t="array" ref="E95">Common_InputFunctions.Utility_DisplayArrayInTable(Common_SourceData.Common_SourceData_ClimateZones_Data(), Table_SourceData_ClimateZones[[#Headers],[Climate zone]], 0)</f>
        <v>&gt; 10 C</v>
      </c>
      <c r="F95" s="11" t="str" cm="1">
        <f t="array" ref="F95">Common_InputFunctions.Utility_DisplayArrayInTable(Common_SourceData.Common_SourceData_ClimateZones_Data(), Table_SourceData_ClimateZones[[#Headers],[Climate zone]], 0)</f>
        <v>Any</v>
      </c>
      <c r="G95" s="11" t="str" cm="1">
        <f t="array" ref="G95">Common_InputFunctions.Utility_DisplayArrayInTable(Common_SourceData.Common_SourceData_ClimateZones_Data(), Table_SourceData_ClimateZones[[#Headers],[Climate zone]], 0)</f>
        <v>Any</v>
      </c>
      <c r="H95" s="11" t="str" cm="1">
        <f t="array" ref="H95">Common_InputFunctions.Utility_DisplayArrayInTable(Common_SourceData.Common_SourceData_ClimateZones_Data(), Table_SourceData_ClimateZones[[#Headers],[Climate zone]], 0)</f>
        <v>Any</v>
      </c>
      <c r="I95" s="11" t="str" cm="1">
        <f t="array" ref="I95">Common_InputFunctions.Utility_DisplayArrayInTable(Common_SourceData.Common_SourceData_ClimateZones_Data(), Table_SourceData_ClimateZones[[#Headers],[Climate zone]], 0)</f>
        <v>≤ 1</v>
      </c>
      <c r="J95" s="11" cm="1">
        <f t="array" ref="J95">Common_InputFunctions.Utility_DisplayArrayInTable(Common_SourceData.Common_SourceData_ClimateZones_Data(), Table_SourceData_ClimateZones[[#Headers],[Climate zone]], 0)</f>
        <v>10.000999999999999</v>
      </c>
      <c r="K95" s="11" cm="1">
        <f t="array" ref="K95">Common_InputFunctions.Utility_DisplayArrayInTable(Common_SourceData.Common_SourceData_ClimateZones_Data(), Table_SourceData_ClimateZones[[#Headers],[Climate zone]], 0)</f>
        <v>999999</v>
      </c>
      <c r="L95" s="11" cm="1">
        <f t="array" ref="L95">Common_InputFunctions.Utility_DisplayArrayInTable(Common_SourceData.Common_SourceData_ClimateZones_Data(), Table_SourceData_ClimateZones[[#Headers],[Climate zone]], 0)</f>
        <v>-999999</v>
      </c>
      <c r="M95" s="11" cm="1">
        <f t="array" ref="M95">Common_InputFunctions.Utility_DisplayArrayInTable(Common_SourceData.Common_SourceData_ClimateZones_Data(), Table_SourceData_ClimateZones[[#Headers],[Climate zone]], 0)</f>
        <v>999999</v>
      </c>
      <c r="N95" s="11" cm="1">
        <f t="array" ref="N95">Common_InputFunctions.Utility_DisplayArrayInTable(Common_SourceData.Common_SourceData_ClimateZones_Data(), Table_SourceData_ClimateZones[[#Headers],[Climate zone]], 0)</f>
        <v>-999999</v>
      </c>
      <c r="O95" s="11" cm="1">
        <f t="array" ref="O95">Common_InputFunctions.Utility_DisplayArrayInTable(Common_SourceData.Common_SourceData_ClimateZones_Data(), Table_SourceData_ClimateZones[[#Headers],[Climate zone]], 0)</f>
        <v>999999</v>
      </c>
      <c r="P95" s="11" cm="1">
        <f t="array" ref="P95">Common_InputFunctions.Utility_DisplayArrayInTable(Common_SourceData.Common_SourceData_ClimateZones_Data(), Table_SourceData_ClimateZones[[#Headers],[Climate zone]], 0)</f>
        <v>-999999</v>
      </c>
      <c r="Q95" s="11" cm="1">
        <f t="array" ref="Q95">Common_InputFunctions.Utility_DisplayArrayInTable(Common_SourceData.Common_SourceData_ClimateZones_Data(), Table_SourceData_ClimateZones[[#Headers],[Climate zone]], 0)</f>
        <v>999999</v>
      </c>
      <c r="R95" s="11" cm="1">
        <f t="array" ref="R95">Common_InputFunctions.Utility_DisplayArrayInTable(Common_SourceData.Common_SourceData_ClimateZones_Data(), Table_SourceData_ClimateZones[[#Headers],[Climate zone]], 0)</f>
        <v>-999999</v>
      </c>
      <c r="S95" s="11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11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11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11" t="str" cm="1">
        <f t="array" ref="F96">Common_InputFunctions.Utility_DisplayArrayInTable(Common_SourceData.Common_SourceData_ClimateZones_Data(), Table_SourceData_ClimateZones[[#Headers],[Climate zone]], 0)</f>
        <v>Any</v>
      </c>
      <c r="G96" s="11" t="str" cm="1">
        <f t="array" ref="G96">Common_InputFunctions.Utility_DisplayArrayInTable(Common_SourceData.Common_SourceData_ClimateZones_Data(), Table_SourceData_ClimateZones[[#Headers],[Climate zone]], 0)</f>
        <v>Any</v>
      </c>
      <c r="H96" s="11" t="str" cm="1">
        <f t="array" ref="H96">Common_InputFunctions.Utility_DisplayArrayInTable(Common_SourceData.Common_SourceData_ClimateZones_Data(), Table_SourceData_ClimateZones[[#Headers],[Climate zone]], 0)</f>
        <v>Any</v>
      </c>
      <c r="I96" s="11" t="str" cm="1">
        <f t="array" ref="I96">Common_InputFunctions.Utility_DisplayArrayInTable(Common_SourceData.Common_SourceData_ClimateZones_Data(), Table_SourceData_ClimateZones[[#Headers],[Climate zone]], 0)</f>
        <v>&gt; 1</v>
      </c>
      <c r="J96" s="11" cm="1">
        <f t="array" ref="J96">Common_InputFunctions.Utility_DisplayArrayInTable(Common_SourceData.Common_SourceData_ClimateZones_Data(), Table_SourceData_ClimateZones[[#Headers],[Climate zone]], 0)</f>
        <v>-999999</v>
      </c>
      <c r="K96" s="11" cm="1">
        <f t="array" ref="K96">Common_InputFunctions.Utility_DisplayArrayInTable(Common_SourceData.Common_SourceData_ClimateZones_Data(), Table_SourceData_ClimateZones[[#Headers],[Climate zone]], 0)</f>
        <v>10</v>
      </c>
      <c r="L96" s="11" cm="1">
        <f t="array" ref="L96">Common_InputFunctions.Utility_DisplayArrayInTable(Common_SourceData.Common_SourceData_ClimateZones_Data(), Table_SourceData_ClimateZones[[#Headers],[Climate zone]], 0)</f>
        <v>-999999</v>
      </c>
      <c r="M96" s="11" cm="1">
        <f t="array" ref="M96">Common_InputFunctions.Utility_DisplayArrayInTable(Common_SourceData.Common_SourceData_ClimateZones_Data(), Table_SourceData_ClimateZones[[#Headers],[Climate zone]], 0)</f>
        <v>999999</v>
      </c>
      <c r="N96" s="11" cm="1">
        <f t="array" ref="N96">Common_InputFunctions.Utility_DisplayArrayInTable(Common_SourceData.Common_SourceData_ClimateZones_Data(), Table_SourceData_ClimateZones[[#Headers],[Climate zone]], 0)</f>
        <v>-999999</v>
      </c>
      <c r="O96" s="11" cm="1">
        <f t="array" ref="O96">Common_InputFunctions.Utility_DisplayArrayInTable(Common_SourceData.Common_SourceData_ClimateZones_Data(), Table_SourceData_ClimateZones[[#Headers],[Climate zone]], 0)</f>
        <v>999999</v>
      </c>
      <c r="P96" s="11" cm="1">
        <f t="array" ref="P96">Common_InputFunctions.Utility_DisplayArrayInTable(Common_SourceData.Common_SourceData_ClimateZones_Data(), Table_SourceData_ClimateZones[[#Headers],[Climate zone]], 0)</f>
        <v>-999999</v>
      </c>
      <c r="Q96" s="11" cm="1">
        <f t="array" ref="Q96">Common_InputFunctions.Utility_DisplayArrayInTable(Common_SourceData.Common_SourceData_ClimateZones_Data(), Table_SourceData_ClimateZones[[#Headers],[Climate zone]], 0)</f>
        <v>999999</v>
      </c>
      <c r="R96" s="11" cm="1">
        <f t="array" ref="R96">Common_InputFunctions.Utility_DisplayArrayInTable(Common_SourceData.Common_SourceData_ClimateZones_Data(), Table_SourceData_ClimateZones[[#Headers],[Climate zone]], 0)</f>
        <v>1.0009999999999999</v>
      </c>
      <c r="S96" s="11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11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11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11" t="str" cm="1">
        <f t="array" ref="F97">Common_InputFunctions.Utility_DisplayArrayInTable(Common_SourceData.Common_SourceData_ClimateZones_Data(), Table_SourceData_ClimateZones[[#Headers],[Climate zone]], 0)</f>
        <v>Any</v>
      </c>
      <c r="G97" s="11" t="str" cm="1">
        <f t="array" ref="G97">Common_InputFunctions.Utility_DisplayArrayInTable(Common_SourceData.Common_SourceData_ClimateZones_Data(), Table_SourceData_ClimateZones[[#Headers],[Climate zone]], 0)</f>
        <v>Any</v>
      </c>
      <c r="H97" s="11" t="str" cm="1">
        <f t="array" ref="H97">Common_InputFunctions.Utility_DisplayArrayInTable(Common_SourceData.Common_SourceData_ClimateZones_Data(), Table_SourceData_ClimateZones[[#Headers],[Climate zone]], 0)</f>
        <v>Any</v>
      </c>
      <c r="I97" s="11" t="str" cm="1">
        <f t="array" ref="I97">Common_InputFunctions.Utility_DisplayArrayInTable(Common_SourceData.Common_SourceData_ClimateZones_Data(), Table_SourceData_ClimateZones[[#Headers],[Climate zone]], 0)</f>
        <v>≤ 1</v>
      </c>
      <c r="J97" s="11" cm="1">
        <f t="array" ref="J97">Common_InputFunctions.Utility_DisplayArrayInTable(Common_SourceData.Common_SourceData_ClimateZones_Data(), Table_SourceData_ClimateZones[[#Headers],[Climate zone]], 0)</f>
        <v>-999999</v>
      </c>
      <c r="K97" s="11" cm="1">
        <f t="array" ref="K97">Common_InputFunctions.Utility_DisplayArrayInTable(Common_SourceData.Common_SourceData_ClimateZones_Data(), Table_SourceData_ClimateZones[[#Headers],[Climate zone]], 0)</f>
        <v>10</v>
      </c>
      <c r="L97" s="11" cm="1">
        <f t="array" ref="L97">Common_InputFunctions.Utility_DisplayArrayInTable(Common_SourceData.Common_SourceData_ClimateZones_Data(), Table_SourceData_ClimateZones[[#Headers],[Climate zone]], 0)</f>
        <v>-999999</v>
      </c>
      <c r="M97" s="11" cm="1">
        <f t="array" ref="M97">Common_InputFunctions.Utility_DisplayArrayInTable(Common_SourceData.Common_SourceData_ClimateZones_Data(), Table_SourceData_ClimateZones[[#Headers],[Climate zone]], 0)</f>
        <v>999999</v>
      </c>
      <c r="N97" s="11" cm="1">
        <f t="array" ref="N97">Common_InputFunctions.Utility_DisplayArrayInTable(Common_SourceData.Common_SourceData_ClimateZones_Data(), Table_SourceData_ClimateZones[[#Headers],[Climate zone]], 0)</f>
        <v>-999999</v>
      </c>
      <c r="O97" s="11" cm="1">
        <f t="array" ref="O97">Common_InputFunctions.Utility_DisplayArrayInTable(Common_SourceData.Common_SourceData_ClimateZones_Data(), Table_SourceData_ClimateZones[[#Headers],[Climate zone]], 0)</f>
        <v>999999</v>
      </c>
      <c r="P97" s="11" cm="1">
        <f t="array" ref="P97">Common_InputFunctions.Utility_DisplayArrayInTable(Common_SourceData.Common_SourceData_ClimateZones_Data(), Table_SourceData_ClimateZones[[#Headers],[Climate zone]], 0)</f>
        <v>-999999</v>
      </c>
      <c r="Q97" s="11" cm="1">
        <f t="array" ref="Q97">Common_InputFunctions.Utility_DisplayArrayInTable(Common_SourceData.Common_SourceData_ClimateZones_Data(), Table_SourceData_ClimateZones[[#Headers],[Climate zone]], 0)</f>
        <v>999999</v>
      </c>
      <c r="R97" s="11" cm="1">
        <f t="array" ref="R97">Common_InputFunctions.Utility_DisplayArrayInTable(Common_SourceData.Common_SourceData_ClimateZones_Data(), Table_SourceData_ClimateZones[[#Headers],[Climate zone]], 0)</f>
        <v>-999999</v>
      </c>
      <c r="S97" s="11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12" t="str" cm="1">
        <f t="array" ref="D98:D101">Common_SourceData.Common_SourceData_ClimateZones_Appendices()</f>
        <v>Note:</v>
      </c>
    </row>
    <row r="99" spans="4:19" ht="20.100000000000001" customHeight="1" x14ac:dyDescent="0.25">
      <c r="D99" s="12" t="str">
        <v>MAT = mean annual temperature</v>
      </c>
    </row>
    <row r="100" spans="4:19" ht="20.100000000000001" customHeight="1" x14ac:dyDescent="0.25">
      <c r="D100" s="12" t="str">
        <v>MAP = mean annual precipitation</v>
      </c>
    </row>
    <row r="101" spans="4:19" ht="20.100000000000001" customHeight="1" x14ac:dyDescent="0.25">
      <c r="D101" s="12" t="str">
        <v>PET = potential evapotranspiration</v>
      </c>
    </row>
    <row r="102" spans="4:19" ht="20.100000000000001" customHeight="1" x14ac:dyDescent="0.25">
      <c r="D102" s="12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5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4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13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11" t="s">
        <v>27</v>
      </c>
      <c r="E109" s="11" t="s">
        <v>11</v>
      </c>
      <c r="F109" s="11" t="s">
        <v>28</v>
      </c>
      <c r="G109" s="11" t="s">
        <v>29</v>
      </c>
    </row>
    <row r="110" spans="4:19" ht="20.100000000000001" customHeight="1" x14ac:dyDescent="0.25">
      <c r="D110" s="11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11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11" cm="1">
        <f t="array" ref="F110">Common_InputFunctions.Utility_DisplayArrayInTable(Common_SourceData.Common_SourceData_TemperatureZones_Data(),Table_SourceData_TemperatureZones[[#Headers],[Temperature Zone]],0)</f>
        <v>26</v>
      </c>
      <c r="G110" s="11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11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11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11" cm="1">
        <f t="array" ref="F111">Common_InputFunctions.Utility_DisplayArrayInTable(Common_SourceData.Common_SourceData_TemperatureZones_Data(),Table_SourceData_TemperatureZones[[#Headers],[Temperature Zone]],0)</f>
        <v>15</v>
      </c>
      <c r="G111" s="11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11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11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11" cm="1">
        <f t="array" ref="F112">Common_InputFunctions.Utility_DisplayArrayInTable(Common_SourceData.Common_SourceData_TemperatureZones_Data(),Table_SourceData_TemperatureZones[[#Headers],[Temperature Zone]],0)</f>
        <v>-999999</v>
      </c>
      <c r="G112" s="11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5" t="str" cm="1">
        <f t="array" ref="D115">Common_SourceData.Common_SourceData_RainfallZones_Title()</f>
        <v>VEERG Australian rainfall zones</v>
      </c>
      <c r="BM115" s="6"/>
    </row>
    <row r="116" spans="4:65" ht="20.100000000000001" customHeight="1" x14ac:dyDescent="0.25">
      <c r="D116" s="4" t="str" cm="1">
        <f t="array" ref="D116">Common_SourceData.Common_SourceData_RainfallZones_Source()</f>
        <v>VEERG 2026: Table 1.3: Climate and Rainfall zone classifications and definitions</v>
      </c>
      <c r="BM116" s="6"/>
    </row>
    <row r="117" spans="4:65" ht="20.100000000000001" customHeight="1" x14ac:dyDescent="0.25">
      <c r="D117" s="13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6"/>
    </row>
    <row r="118" spans="4:65" ht="20.100000000000001" customHeight="1" x14ac:dyDescent="0.25">
      <c r="BM118" s="6"/>
    </row>
    <row r="119" spans="4:65" ht="20.100000000000001" customHeight="1" x14ac:dyDescent="0.25">
      <c r="D119" s="11" t="s">
        <v>30</v>
      </c>
      <c r="E119" s="11" t="s">
        <v>31</v>
      </c>
      <c r="F119" s="11" t="s">
        <v>18</v>
      </c>
      <c r="G119" s="11" t="s">
        <v>19</v>
      </c>
      <c r="BM119" s="6"/>
    </row>
    <row r="120" spans="4:65" ht="20.100000000000001" customHeight="1" x14ac:dyDescent="0.25">
      <c r="D120" s="11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11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11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11" cm="1">
        <f t="array" ref="G120">Common_InputFunctions.Utility_DisplayArrayInTable(Common_SourceData.Common_SourceData_RainfallZones_Data(),Table_SourceData_RainfallZones[[#Headers],[Rainfall Zone]],0)</f>
        <v>999999</v>
      </c>
      <c r="BM120" s="6"/>
    </row>
    <row r="121" spans="4:65" ht="20.100000000000001" customHeight="1" x14ac:dyDescent="0.25">
      <c r="D121" s="11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11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11" cm="1">
        <f t="array" ref="F121">Common_InputFunctions.Utility_DisplayArrayInTable(Common_SourceData.Common_SourceData_RainfallZones_Data(),Table_SourceData_RainfallZones[[#Headers],[Rainfall Zone]],0)</f>
        <v>-999999</v>
      </c>
      <c r="G121" s="11" cm="1">
        <f t="array" ref="G121">Common_InputFunctions.Utility_DisplayArrayInTable(Common_SourceData.Common_SourceData_RainfallZones_Data(),Table_SourceData_RainfallZones[[#Headers],[Rainfall Zone]],0)</f>
        <v>600</v>
      </c>
      <c r="BM121" s="6"/>
    </row>
    <row r="122" spans="4:65" ht="20.100000000000001" customHeight="1" x14ac:dyDescent="0.25">
      <c r="BM122" s="6"/>
    </row>
    <row r="123" spans="4:65" ht="20.100000000000001" customHeight="1" x14ac:dyDescent="0.25"/>
    <row r="124" spans="4:65" ht="20.100000000000001" customHeight="1" x14ac:dyDescent="0.25">
      <c r="D124" s="5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4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11" t="s">
        <v>32</v>
      </c>
      <c r="E127" s="11" t="s">
        <v>33</v>
      </c>
    </row>
    <row r="128" spans="4:65" ht="20.100000000000001" customHeight="1" x14ac:dyDescent="0.25">
      <c r="D128" s="11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11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11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11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5" t="str" cm="1">
        <f t="array" ref="D132">Common_SourceData.Common_SourceData_FracWET_Title()</f>
        <v>Fraction of N that is available for leaching and runoff</v>
      </c>
      <c r="E132" s="10"/>
    </row>
    <row r="133" spans="4:76" ht="20.100000000000001" customHeight="1" x14ac:dyDescent="0.25">
      <c r="D133" s="4" t="str" cm="1">
        <f t="array" ref="D133">Common_SourceData.Common_SourceData_FracWET_Source()</f>
        <v>VEERG 2026:5.5.2.3 Constant Parameters</v>
      </c>
      <c r="E133" s="10"/>
    </row>
    <row r="134" spans="4:76" ht="20.100000000000001" customHeight="1" x14ac:dyDescent="0.25">
      <c r="D134" t="s">
        <v>37</v>
      </c>
      <c r="E134" t="s">
        <v>38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11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</row>
    <row r="139" spans="4:76" ht="20.100000000000001" customHeight="1" x14ac:dyDescent="0.25">
      <c r="D139" s="5" t="str" cm="1">
        <f t="array" ref="D139">Common_SourceData.Common_SourceData_DataScores_Scope3_Title()</f>
        <v>Australian data scores for scope 3</v>
      </c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</row>
    <row r="140" spans="4:76" ht="20.100000000000001" customHeight="1" x14ac:dyDescent="0.25">
      <c r="D140" s="4" t="str" cm="1">
        <f t="array" ref="D140">Common_SourceData.Common_SourceData_DataScores_Scope3_Source()</f>
        <v>VEERG 2026: XXXXXXXX</v>
      </c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</row>
    <row r="141" spans="4:76" ht="20.100000000000001" customHeight="1" x14ac:dyDescent="0.25">
      <c r="BM141" s="6"/>
    </row>
    <row r="142" spans="4:76" ht="20.100000000000001" customHeight="1" x14ac:dyDescent="0.25">
      <c r="D142" s="11" t="s">
        <v>34</v>
      </c>
      <c r="E142" s="11" t="s">
        <v>35</v>
      </c>
      <c r="BM142" s="6"/>
    </row>
    <row r="143" spans="4:76" ht="20.100000000000001" customHeight="1" x14ac:dyDescent="0.25">
      <c r="D143" s="11" t="str" cm="1">
        <f t="array" ref="D143">Common_InputFunctions.Utility_DisplayArrayInTable(Common_SourceData.Common_SourceData_DataScores_Scope3_Data(), Table_SourceData_DataScores_Scope3[[#Headers],[Data source]], 0)</f>
        <v>International scope 3 database</v>
      </c>
      <c r="E143" s="11" cm="1">
        <f t="array" ref="E143">Common_InputFunctions.Utility_DisplayArrayInTable(Common_SourceData.Common_SourceData_DataScores_Scope3_Data(), Table_SourceData_DataScores_Scope3[[#Headers],[Data source]], 0)</f>
        <v>1</v>
      </c>
      <c r="BM143" s="6"/>
    </row>
    <row r="144" spans="4:76" ht="20.100000000000001" customHeight="1" x14ac:dyDescent="0.25">
      <c r="D144" s="11" t="str" cm="1">
        <f t="array" ref="D144">Common_InputFunctions.Utility_DisplayArrayInTable(Common_SourceData.Common_SourceData_DataScores_Scope3_Data(), Table_SourceData_DataScores_Scope3[[#Headers],[Data source]], 0)</f>
        <v>Australian scope 3 database</v>
      </c>
      <c r="E144" s="11" cm="1">
        <f t="array" ref="E144">Common_InputFunctions.Utility_DisplayArrayInTable(Common_SourceData.Common_SourceData_DataScores_Scope3_Data(), Table_SourceData_DataScores_Scope3[[#Headers],[Data source]], 0)</f>
        <v>2</v>
      </c>
      <c r="BM144" s="6"/>
    </row>
    <row r="145" spans="4:65" ht="20.100000000000001" customHeight="1" x14ac:dyDescent="0.25">
      <c r="D145" s="11" t="str" cm="1">
        <f t="array" ref="D145">Common_InputFunctions.Utility_DisplayArrayInTable(Common_SourceData.Common_SourceData_DataScores_Scope3_Data(), Table_SourceData_DataScores_Scope3[[#Headers],[Data source]], 0)</f>
        <v>State or regional scope 3 database</v>
      </c>
      <c r="E145" s="11" cm="1">
        <f t="array" ref="E145">Common_InputFunctions.Utility_DisplayArrayInTable(Common_SourceData.Common_SourceData_DataScores_Scope3_Data(), Table_SourceData_DataScores_Scope3[[#Headers],[Data source]], 0)</f>
        <v>3</v>
      </c>
      <c r="BM145" s="6"/>
    </row>
    <row r="146" spans="4:65" ht="20.100000000000001" customHeight="1" x14ac:dyDescent="0.25">
      <c r="D146" s="11" t="str" cm="1">
        <f t="array" ref="D146">Common_InputFunctions.Utility_DisplayArrayInTable(Common_SourceData.Common_SourceData_DataScores_Scope3_Data(), Table_SourceData_DataScores_Scope3[[#Headers],[Data source]], 0)</f>
        <v>Emissions intensity calculated from approved method</v>
      </c>
      <c r="E146" s="11" cm="1">
        <f t="array" ref="E146">Common_InputFunctions.Utility_DisplayArrayInTable(Common_SourceData.Common_SourceData_DataScores_Scope3_Data(), Table_SourceData_DataScores_Scope3[[#Headers],[Data source]], 0)</f>
        <v>4</v>
      </c>
      <c r="BM146" s="6"/>
    </row>
    <row r="147" spans="4:65" ht="20.100000000000001" customHeight="1" x14ac:dyDescent="0.25">
      <c r="D147" s="11" t="str" cm="1">
        <f t="array" ref="D147">Common_InputFunctions.Utility_DisplayArrayInTable(Common_SourceData.Common_SourceData_DataScores_Scope3_Data(), Table_SourceData_DataScores_Scope3[[#Headers],[Data source]], 0)</f>
        <v>Verified credential matching ISO14067</v>
      </c>
      <c r="E147" s="11" cm="1">
        <f t="array" ref="E147">Common_InputFunctions.Utility_DisplayArrayInTable(Common_SourceData.Common_SourceData_DataScores_Scope3_Data(), Table_SourceData_DataScores_Scope3[[#Headers],[Data source]], 0)</f>
        <v>5</v>
      </c>
      <c r="BM147" s="6"/>
    </row>
    <row r="148" spans="4:65" ht="20.100000000000001" customHeight="1" x14ac:dyDescent="0.25">
      <c r="BM148" s="6"/>
    </row>
    <row r="149" spans="4:65" ht="20.100000000000001" customHeight="1" x14ac:dyDescent="0.25">
      <c r="BM149" s="6"/>
    </row>
    <row r="150" spans="4:65" ht="20.100000000000001" customHeight="1" x14ac:dyDescent="0.25">
      <c r="D150" s="5" t="str" cm="1">
        <f t="array" ref="D150">Common_SourceData.Common_SourceData_FracLEACH_Title()</f>
        <v>Fraction of N that is available for leaching and runoff</v>
      </c>
      <c r="E150" s="10"/>
      <c r="BM150" s="6"/>
    </row>
    <row r="151" spans="4:65" ht="20.100000000000001" customHeight="1" x14ac:dyDescent="0.25">
      <c r="D151" s="4" t="str" cm="1">
        <f t="array" ref="D151">Common_SourceData.Common_SourceData_FracLEACH_Source()</f>
        <v>VEERG 2026:5.5.2.3 Constant Parameters</v>
      </c>
      <c r="E151" s="10"/>
      <c r="BM151" s="6"/>
    </row>
    <row r="152" spans="4:65" ht="20.100000000000001" customHeight="1" x14ac:dyDescent="0.25">
      <c r="D152" s="4" t="str" cm="1">
        <f t="array" ref="D152">Common_SourceData.Common_SourceData_FracLEACH_NIRReference()</f>
        <v>National Inventory Report Volume 1: Leaching and runoff (3.D.b.2)</v>
      </c>
      <c r="E152" s="10"/>
      <c r="BM152" s="6"/>
    </row>
    <row r="153" spans="4:65" ht="20.100000000000001" customHeight="1" x14ac:dyDescent="0.25">
      <c r="D153" s="10" t="str" cm="1">
        <f t="array" ref="D153:E153">Common_SourceData.Common_SourceData_FracLEACH_Data()</f>
        <v>FracLEACH</v>
      </c>
      <c r="E153" s="10">
        <v>0.24</v>
      </c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</row>
    <row r="154" spans="4:65" ht="20.100000000000001" customHeight="1" x14ac:dyDescent="0.25"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</row>
    <row r="155" spans="4:65" ht="20.100000000000001" customHeight="1" x14ac:dyDescent="0.25"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</row>
    <row r="156" spans="4:65" ht="20.100000000000001" customHeight="1" x14ac:dyDescent="0.25">
      <c r="D156" s="5" t="str" cm="1">
        <f t="array" ref="D156">Common_SourceData.Common_SourceData_EFleach_Title()</f>
        <v>Emission factor for nitrogen leaching and runoff</v>
      </c>
    </row>
    <row r="157" spans="4:65" ht="20.100000000000001" customHeight="1" x14ac:dyDescent="0.25">
      <c r="D157" s="4" t="str" cm="1">
        <f t="array" ref="D157">Common_SourceData.Common_SourceData_EFleach_Source()</f>
        <v>VEERG 2026:5.5.2.3 Constant Parameters</v>
      </c>
    </row>
    <row r="158" spans="4:65" ht="20.100000000000001" customHeight="1" x14ac:dyDescent="0.25">
      <c r="D158" s="4" t="str" cm="1">
        <f t="array" ref="D158">Common_SourceData.Common_SourceData_EFleach_NIRReference()</f>
        <v>National Inventory Report Volume 1: Equation 3.D.B_10</v>
      </c>
    </row>
    <row r="159" spans="4:65" ht="20.100000000000001" customHeight="1" x14ac:dyDescent="0.25">
      <c r="D159" s="1" t="str" cm="1">
        <f t="array" ref="D159:E159">Common_SourceData.Common_SourceData_EFleach_Data()</f>
        <v>EFleach</v>
      </c>
      <c r="E159" s="1">
        <v>1.0999999999999999E-2</v>
      </c>
    </row>
    <row r="160" spans="4:65" ht="20.100000000000001" customHeight="1" x14ac:dyDescent="0.25"/>
    <row r="161" spans="4:67" ht="20.100000000000001" customHeight="1" x14ac:dyDescent="0.25"/>
    <row r="162" spans="4:67" ht="20.100000000000001" customHeight="1" x14ac:dyDescent="0.25">
      <c r="D162" s="5" t="str" cm="1">
        <f t="array" ref="D162">Common_SourceData.Common_SourceData_DensityOfMethane_Title()</f>
        <v>p = density of methane</v>
      </c>
    </row>
    <row r="163" spans="4:67" ht="20.100000000000001" customHeight="1" x14ac:dyDescent="0.25">
      <c r="D163" s="4" t="str" cm="1">
        <f t="array" ref="D163">Common_SourceData.Common_SourceData_DensityOfMethane_Source()</f>
        <v>National Inventory Report 2023 Volume 1: Equations 3.B.1a_2, 3.B.1c_2, 3.B.3_1, 3.B.4g_2</v>
      </c>
    </row>
    <row r="164" spans="4:67" ht="20.100000000000001" customHeight="1" x14ac:dyDescent="0.25">
      <c r="D164" s="1" cm="1">
        <f t="array" ref="D164">Common_SourceData.Common_SourceData_DensityOfMethane_Data()</f>
        <v>0.6784</v>
      </c>
      <c r="E164" s="12" t="str" cm="1">
        <f t="array" ref="E164">Common_SourceData.Common_SourceData_DensityOfMethane_Unit()</f>
        <v>kg/m3</v>
      </c>
    </row>
    <row r="165" spans="4:67" ht="20.100000000000001" customHeight="1" x14ac:dyDescent="0.25">
      <c r="BM165" s="6"/>
      <c r="BN165" s="6"/>
      <c r="BO165" s="6"/>
    </row>
    <row r="166" spans="4:67" ht="20.100000000000001" customHeight="1" x14ac:dyDescent="0.25">
      <c r="BM166" s="6"/>
      <c r="BN166" s="6"/>
      <c r="BO166" s="6"/>
    </row>
    <row r="167" spans="4:67" ht="20.100000000000001" customHeight="1" x14ac:dyDescent="0.25">
      <c r="D167" s="5" t="str" cm="1">
        <f t="array" ref="D167">Common_SourceData.Common_SourceData_EFN2O_Title()</f>
        <v>Nitrous oxide emission factors for inorganic fertiliser application</v>
      </c>
      <c r="BM167" s="6"/>
      <c r="BN167" s="6"/>
      <c r="BO167" s="6"/>
    </row>
    <row r="168" spans="4:67" ht="20.100000000000001" customHeight="1" x14ac:dyDescent="0.25">
      <c r="D168" s="4" t="str" cm="1">
        <f t="array" ref="D168">Common_SourceData.Common_SourceData_EFN2O_Source()</f>
        <v>VEERG 2026: Table A.2.2.1</v>
      </c>
      <c r="BM168" s="6"/>
      <c r="BN168" s="6"/>
      <c r="BO168" s="6"/>
    </row>
    <row r="169" spans="4:67" ht="20.100000000000001" customHeight="1" x14ac:dyDescent="0.25">
      <c r="D169" s="12" t="str" cm="1">
        <f t="array" ref="D169">Common_SourceData.Common_SourceData_EFN2O_Unit()</f>
        <v>(kg N2O-N / kg N</v>
      </c>
      <c r="BM169" s="6"/>
      <c r="BN169" s="6"/>
      <c r="BO169" s="6"/>
    </row>
    <row r="170" spans="4:67" ht="20.100000000000001" customHeight="1" x14ac:dyDescent="0.25">
      <c r="D170" s="13" t="str" cm="1">
        <f t="array" ref="D170:D173">Common_SourceData.Common_SourceData_EFN2O_Variation()</f>
        <v>VARIATION OF SOURCE DATA:</v>
      </c>
      <c r="BM170" s="6"/>
      <c r="BN170" s="6"/>
      <c r="BO170" s="6"/>
    </row>
    <row r="171" spans="4:67" ht="20.100000000000001" customHeight="1" x14ac:dyDescent="0.25">
      <c r="D171" s="13" t="str">
        <v>Removed duplicate 'Aquaculture' row.</v>
      </c>
      <c r="BM171" s="6"/>
      <c r="BN171" s="6"/>
      <c r="BO171" s="6"/>
    </row>
    <row r="172" spans="4:67" ht="20.100000000000001" customHeight="1" x14ac:dyDescent="0.25">
      <c r="D172" s="13" t="str">
        <v>Removed asterisks to aid lookup.</v>
      </c>
      <c r="BM172" s="6"/>
      <c r="BN172" s="6"/>
      <c r="BO172" s="6"/>
    </row>
    <row r="173" spans="4:67" ht="20.100000000000001" customHeight="1" x14ac:dyDescent="0.25">
      <c r="D173" s="13" t="str">
        <v>Added 'production system only', 'rainfall zone' and 'irrigation method' columns to aid lookup.</v>
      </c>
      <c r="BM173" s="6"/>
      <c r="BN173" s="6"/>
      <c r="BO173" s="6"/>
    </row>
    <row r="174" spans="4:67" ht="20.100000000000001" customHeight="1" x14ac:dyDescent="0.25">
      <c r="D174" s="13"/>
      <c r="BM174" s="6"/>
      <c r="BN174" s="6"/>
      <c r="BO174" s="6"/>
    </row>
    <row r="175" spans="4:67" ht="20.100000000000001" customHeight="1" x14ac:dyDescent="0.25">
      <c r="D175" s="11" t="s">
        <v>39</v>
      </c>
      <c r="E175" s="11" t="s">
        <v>40</v>
      </c>
      <c r="F175" s="11" t="s">
        <v>41</v>
      </c>
      <c r="G175" s="11" t="s">
        <v>42</v>
      </c>
      <c r="H175" s="11" t="s">
        <v>43</v>
      </c>
      <c r="J175" s="1" t="s">
        <v>44</v>
      </c>
      <c r="BM175" s="6"/>
      <c r="BN175" s="6"/>
      <c r="BO175" s="6"/>
    </row>
    <row r="176" spans="4:67" ht="20.100000000000001" customHeight="1" x14ac:dyDescent="0.25">
      <c r="D176" s="11" t="str" cm="1">
        <f t="array" ref="D176">Common_InputFunctions.Utility_DisplayArrayInTable(Common_SourceData.Common_SourceData_EFN2O_Data(), Table_SourceData_Common_EFN2O[[#Headers],[Production system j]], 0)</f>
        <v>Irrigated pasture</v>
      </c>
      <c r="E176" s="11" cm="1">
        <f t="array" ref="E176">Common_InputFunctions.Utility_DisplayArrayInTable(Common_SourceData.Common_SourceData_EFN2O_Data(), Table_SourceData_Common_EFN2O[[#Headers],[Production system j]], 0)</f>
        <v>5.8999999999999999E-3</v>
      </c>
      <c r="F176" s="11" t="str" cm="1">
        <f t="array" ref="F176">Common_InputFunctions.Utility_DisplayArrayInTable(Common_SourceData.Common_SourceData_EFN2O_Data(), Table_SourceData_Common_EFN2O[[#Headers],[Production system j]], 0)</f>
        <v>Pasture</v>
      </c>
      <c r="G176" s="11" t="str" cm="1">
        <f t="array" ref="G176">Common_InputFunctions.Utility_DisplayArrayInTable(Common_SourceData.Common_SourceData_EFN2O_Data(), Table_SourceData_Common_EFN2O[[#Headers],[Production system j]], 0)</f>
        <v>Any</v>
      </c>
      <c r="H176" s="11" t="str" cm="1">
        <f t="array" ref="H176">Common_InputFunctions.Utility_DisplayArrayInTable(Common_SourceData.Common_SourceData_EFN2O_Data(), Table_SourceData_Common_EFN2O[[#Headers],[Production system j]], 0)</f>
        <v>Any</v>
      </c>
      <c r="J176" s="1" t="s">
        <v>45</v>
      </c>
      <c r="BM176" s="6"/>
      <c r="BN176" s="6"/>
      <c r="BO176" s="6"/>
    </row>
    <row r="177" spans="4:67" ht="20.100000000000001" customHeight="1" x14ac:dyDescent="0.25">
      <c r="D177" s="11" t="str" cm="1">
        <f t="array" ref="D177">Common_InputFunctions.Utility_DisplayArrayInTable(Common_SourceData.Common_SourceData_EFN2O_Data(), Table_SourceData_Common_EFN2O[[#Headers],[Production system j]], 0)</f>
        <v>Irrigated crop</v>
      </c>
      <c r="E177" s="11" cm="1">
        <f t="array" ref="E177">Common_InputFunctions.Utility_DisplayArrayInTable(Common_SourceData.Common_SourceData_EFN2O_Data(), Table_SourceData_Common_EFN2O[[#Headers],[Production system j]], 0)</f>
        <v>7.0000000000000001E-3</v>
      </c>
      <c r="F177" s="11" t="str" cm="1">
        <f t="array" ref="F177">Common_InputFunctions.Utility_DisplayArrayInTable(Common_SourceData.Common_SourceData_EFN2O_Data(), Table_SourceData_Common_EFN2O[[#Headers],[Production system j]], 0)</f>
        <v>Crop</v>
      </c>
      <c r="G177" s="11" t="str" cm="1">
        <f t="array" ref="G177">Common_InputFunctions.Utility_DisplayArrayInTable(Common_SourceData.Common_SourceData_EFN2O_Data(), Table_SourceData_Common_EFN2O[[#Headers],[Production system j]], 0)</f>
        <v>Any</v>
      </c>
      <c r="H177" s="11" t="str" cm="1">
        <f t="array" ref="H177">Common_InputFunctions.Utility_DisplayArrayInTable(Common_SourceData.Common_SourceData_EFN2O_Data(), Table_SourceData_Common_EFN2O[[#Headers],[Production system j]], 0)</f>
        <v>Any</v>
      </c>
      <c r="J177" s="1" t="s">
        <v>46</v>
      </c>
      <c r="BM177" s="6"/>
      <c r="BN177" s="6"/>
      <c r="BO177" s="6"/>
    </row>
    <row r="178" spans="4:67" ht="20.100000000000001" customHeight="1" x14ac:dyDescent="0.25">
      <c r="D178" s="11" t="str" cm="1">
        <f t="array" ref="D178">Common_InputFunctions.Utility_DisplayArrayInTable(Common_SourceData.Common_SourceData_EFN2O_Data(), Table_SourceData_Common_EFN2O[[#Headers],[Production system j]], 0)</f>
        <v>Non-irrigated pasture</v>
      </c>
      <c r="E178" s="11" cm="1">
        <f t="array" ref="E178">Common_InputFunctions.Utility_DisplayArrayInTable(Common_SourceData.Common_SourceData_EFN2O_Data(), Table_SourceData_Common_EFN2O[[#Headers],[Production system j]], 0)</f>
        <v>1.8E-3</v>
      </c>
      <c r="F178" s="11" t="str" cm="1">
        <f t="array" ref="F178">Common_InputFunctions.Utility_DisplayArrayInTable(Common_SourceData.Common_SourceData_EFN2O_Data(), Table_SourceData_Common_EFN2O[[#Headers],[Production system j]], 0)</f>
        <v>Pasture</v>
      </c>
      <c r="G178" s="11" t="str" cm="1">
        <f t="array" ref="G178">Common_InputFunctions.Utility_DisplayArrayInTable(Common_SourceData.Common_SourceData_EFN2O_Data(), Table_SourceData_Common_EFN2O[[#Headers],[Production system j]], 0)</f>
        <v>Not irrigated</v>
      </c>
      <c r="H178" s="11" t="str" cm="1">
        <f t="array" ref="H178">Common_InputFunctions.Utility_DisplayArrayInTable(Common_SourceData.Common_SourceData_EFN2O_Data(), Table_SourceData_Common_EFN2O[[#Headers],[Production system j]], 0)</f>
        <v>Low rainfall</v>
      </c>
      <c r="BM178" s="6"/>
      <c r="BN178" s="6"/>
      <c r="BO178" s="6"/>
    </row>
    <row r="179" spans="4:67" ht="20.100000000000001" customHeight="1" x14ac:dyDescent="0.25">
      <c r="D179" s="11" t="str" cm="1">
        <f t="array" ref="D179">Common_InputFunctions.Utility_DisplayArrayInTable(Common_SourceData.Common_SourceData_EFN2O_Data(), Table_SourceData_Common_EFN2O[[#Headers],[Production system j]], 0)</f>
        <v>Non-irrigated crop (low rainfall)</v>
      </c>
      <c r="E179" s="11" cm="1">
        <f t="array" ref="E179">Common_InputFunctions.Utility_DisplayArrayInTable(Common_SourceData.Common_SourceData_EFN2O_Data(), Table_SourceData_Common_EFN2O[[#Headers],[Production system j]], 0)</f>
        <v>2.8999999999999998E-3</v>
      </c>
      <c r="F179" s="11" t="str" cm="1">
        <f t="array" ref="F179">Common_InputFunctions.Utility_DisplayArrayInTable(Common_SourceData.Common_SourceData_EFN2O_Data(), Table_SourceData_Common_EFN2O[[#Headers],[Production system j]], 0)</f>
        <v>Crop</v>
      </c>
      <c r="G179" s="11" t="str" cm="1">
        <f t="array" ref="G179">Common_InputFunctions.Utility_DisplayArrayInTable(Common_SourceData.Common_SourceData_EFN2O_Data(), Table_SourceData_Common_EFN2O[[#Headers],[Production system j]], 0)</f>
        <v>Not irrigated</v>
      </c>
      <c r="H179" s="11" t="str" cm="1">
        <f t="array" ref="H179">Common_InputFunctions.Utility_DisplayArrayInTable(Common_SourceData.Common_SourceData_EFN2O_Data(), Table_SourceData_Common_EFN2O[[#Headers],[Production system j]], 0)</f>
        <v>Low rainfall</v>
      </c>
      <c r="BM179" s="6"/>
      <c r="BN179" s="6"/>
      <c r="BO179" s="6"/>
    </row>
    <row r="180" spans="4:67" ht="20.100000000000001" customHeight="1" x14ac:dyDescent="0.25">
      <c r="D180" s="11" t="str" cm="1">
        <f t="array" ref="D180">Common_InputFunctions.Utility_DisplayArrayInTable(Common_SourceData.Common_SourceData_EFN2O_Data(), Table_SourceData_Common_EFN2O[[#Headers],[Production system j]], 0)</f>
        <v>Non-irrigated crop (high rainfall)</v>
      </c>
      <c r="E180" s="11" cm="1">
        <f t="array" ref="E180">Common_InputFunctions.Utility_DisplayArrayInTable(Common_SourceData.Common_SourceData_EFN2O_Data(), Table_SourceData_Common_EFN2O[[#Headers],[Production system j]], 0)</f>
        <v>8.0000000000000002E-3</v>
      </c>
      <c r="F180" s="11" t="str" cm="1">
        <f t="array" ref="F180">Common_InputFunctions.Utility_DisplayArrayInTable(Common_SourceData.Common_SourceData_EFN2O_Data(), Table_SourceData_Common_EFN2O[[#Headers],[Production system j]], 0)</f>
        <v>Crop</v>
      </c>
      <c r="G180" s="11" t="str" cm="1">
        <f t="array" ref="G180">Common_InputFunctions.Utility_DisplayArrayInTable(Common_SourceData.Common_SourceData_EFN2O_Data(), Table_SourceData_Common_EFN2O[[#Headers],[Production system j]], 0)</f>
        <v>Not irrigated</v>
      </c>
      <c r="H180" s="11" t="str" cm="1">
        <f t="array" ref="H180">Common_InputFunctions.Utility_DisplayArrayInTable(Common_SourceData.Common_SourceData_EFN2O_Data(), Table_SourceData_Common_EFN2O[[#Headers],[Production system j]], 0)</f>
        <v>High rainfall</v>
      </c>
    </row>
    <row r="181" spans="4:67" ht="20.100000000000001" customHeight="1" x14ac:dyDescent="0.25">
      <c r="D181" s="11" t="str" cm="1">
        <f t="array" ref="D181">Common_InputFunctions.Utility_DisplayArrayInTable(Common_SourceData.Common_SourceData_EFN2O_Data(), Table_SourceData_Common_EFN2O[[#Headers],[Production system j]], 0)</f>
        <v>Sugar</v>
      </c>
      <c r="E181" s="11" cm="1">
        <f t="array" ref="E181">Common_InputFunctions.Utility_DisplayArrayInTable(Common_SourceData.Common_SourceData_EFN2O_Data(), Table_SourceData_Common_EFN2O[[#Headers],[Production system j]], 0)</f>
        <v>1.9900000000000001E-2</v>
      </c>
      <c r="F181" s="11" t="str" cm="1">
        <f t="array" ref="F181">Common_InputFunctions.Utility_DisplayArrayInTable(Common_SourceData.Common_SourceData_EFN2O_Data(), Table_SourceData_Common_EFN2O[[#Headers],[Production system j]], 0)</f>
        <v>Sugar</v>
      </c>
      <c r="G181" s="11" t="str" cm="1">
        <f t="array" ref="G181">Common_InputFunctions.Utility_DisplayArrayInTable(Common_SourceData.Common_SourceData_EFN2O_Data(), Table_SourceData_Common_EFN2O[[#Headers],[Production system j]], 0)</f>
        <v>Any</v>
      </c>
      <c r="H181" s="11" t="str" cm="1">
        <f t="array" ref="H181">Common_InputFunctions.Utility_DisplayArrayInTable(Common_SourceData.Common_SourceData_EFN2O_Data(), Table_SourceData_Common_EFN2O[[#Headers],[Production system j]], 0)</f>
        <v>Any</v>
      </c>
    </row>
    <row r="182" spans="4:67" ht="20.100000000000001" customHeight="1" x14ac:dyDescent="0.25">
      <c r="D182" s="11" t="str" cm="1">
        <f t="array" ref="D182">Common_InputFunctions.Utility_DisplayArrayInTable(Common_SourceData.Common_SourceData_EFN2O_Data(), Table_SourceData_Common_EFN2O[[#Headers],[Production system j]], 0)</f>
        <v>Cotton</v>
      </c>
      <c r="E182" s="11" cm="1">
        <f t="array" ref="E182">Common_InputFunctions.Utility_DisplayArrayInTable(Common_SourceData.Common_SourceData_EFN2O_Data(), Table_SourceData_Common_EFN2O[[#Headers],[Production system j]], 0)</f>
        <v>5.3E-3</v>
      </c>
      <c r="F182" s="11" t="str" cm="1">
        <f t="array" ref="F182">Common_InputFunctions.Utility_DisplayArrayInTable(Common_SourceData.Common_SourceData_EFN2O_Data(), Table_SourceData_Common_EFN2O[[#Headers],[Production system j]], 0)</f>
        <v>Cotton</v>
      </c>
      <c r="G182" s="11" t="str" cm="1">
        <f t="array" ref="G182">Common_InputFunctions.Utility_DisplayArrayInTable(Common_SourceData.Common_SourceData_EFN2O_Data(), Table_SourceData_Common_EFN2O[[#Headers],[Production system j]], 0)</f>
        <v>Any</v>
      </c>
      <c r="H182" s="11" t="str" cm="1">
        <f t="array" ref="H182">Common_InputFunctions.Utility_DisplayArrayInTable(Common_SourceData.Common_SourceData_EFN2O_Data(), Table_SourceData_Common_EFN2O[[#Headers],[Production system j]], 0)</f>
        <v>Any</v>
      </c>
    </row>
    <row r="183" spans="4:67" ht="20.100000000000001" customHeight="1" x14ac:dyDescent="0.25">
      <c r="D183" s="11" t="str" cm="1">
        <f t="array" ref="D183">Common_InputFunctions.Utility_DisplayArrayInTable(Common_SourceData.Common_SourceData_EFN2O_Data(), Table_SourceData_Common_EFN2O[[#Headers],[Production system j]], 0)</f>
        <v>Horticultural crops</v>
      </c>
      <c r="E183" s="11" cm="1">
        <f t="array" ref="E183">Common_InputFunctions.Utility_DisplayArrayInTable(Common_SourceData.Common_SourceData_EFN2O_Data(), Table_SourceData_Common_EFN2O[[#Headers],[Production system j]], 0)</f>
        <v>6.4000000000000003E-3</v>
      </c>
      <c r="F183" s="11" t="str" cm="1">
        <f t="array" ref="F183">Common_InputFunctions.Utility_DisplayArrayInTable(Common_SourceData.Common_SourceData_EFN2O_Data(), Table_SourceData_Common_EFN2O[[#Headers],[Production system j]], 0)</f>
        <v>Horticultural crops</v>
      </c>
      <c r="G183" s="11" t="str" cm="1">
        <f t="array" ref="G183">Common_InputFunctions.Utility_DisplayArrayInTable(Common_SourceData.Common_SourceData_EFN2O_Data(), Table_SourceData_Common_EFN2O[[#Headers],[Production system j]], 0)</f>
        <v>Any</v>
      </c>
      <c r="H183" s="11" t="str" cm="1">
        <f t="array" ref="H183">Common_InputFunctions.Utility_DisplayArrayInTable(Common_SourceData.Common_SourceData_EFN2O_Data(), Table_SourceData_Common_EFN2O[[#Headers],[Production system j]], 0)</f>
        <v>Any</v>
      </c>
    </row>
    <row r="184" spans="4:67" ht="20.100000000000001" customHeight="1" x14ac:dyDescent="0.25">
      <c r="D184" s="11" t="str" cm="1">
        <f t="array" ref="D184">Common_InputFunctions.Utility_DisplayArrayInTable(Common_SourceData.Common_SourceData_EFN2O_Data(), Table_SourceData_Common_EFN2O[[#Headers],[Production system j]], 0)</f>
        <v>Rice (continuous flooding)</v>
      </c>
      <c r="E184" s="11" cm="1">
        <f t="array" ref="E184">Common_InputFunctions.Utility_DisplayArrayInTable(Common_SourceData.Common_SourceData_EFN2O_Data(), Table_SourceData_Common_EFN2O[[#Headers],[Production system j]], 0)</f>
        <v>3.0000000000000001E-3</v>
      </c>
      <c r="F184" s="11" t="str" cm="1">
        <f t="array" ref="F184">Common_InputFunctions.Utility_DisplayArrayInTable(Common_SourceData.Common_SourceData_EFN2O_Data(), Table_SourceData_Common_EFN2O[[#Headers],[Production system j]], 0)</f>
        <v>Rice</v>
      </c>
      <c r="G184" s="11" t="str" cm="1">
        <f t="array" ref="G184">Common_InputFunctions.Utility_DisplayArrayInTable(Common_SourceData.Common_SourceData_EFN2O_Data(), Table_SourceData_Common_EFN2O[[#Headers],[Production system j]], 0)</f>
        <v>Continuous flooding</v>
      </c>
      <c r="H184" s="11" t="str" cm="1">
        <f t="array" ref="H184">Common_InputFunctions.Utility_DisplayArrayInTable(Common_SourceData.Common_SourceData_EFN2O_Data(), Table_SourceData_Common_EFN2O[[#Headers],[Production system j]], 0)</f>
        <v>Any</v>
      </c>
    </row>
    <row r="185" spans="4:67" ht="20.100000000000001" customHeight="1" x14ac:dyDescent="0.25">
      <c r="D185" s="11" t="str" cm="1">
        <f t="array" ref="D185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85" s="11" cm="1">
        <f t="array" ref="E185">Common_InputFunctions.Utility_DisplayArrayInTable(Common_SourceData.Common_SourceData_EFN2O_Data(), Table_SourceData_Common_EFN2O[[#Headers],[Production system j]], 0)</f>
        <v>5.0000000000000001E-3</v>
      </c>
      <c r="F185" s="11" t="str" cm="1">
        <f t="array" ref="F185">Common_InputFunctions.Utility_DisplayArrayInTable(Common_SourceData.Common_SourceData_EFN2O_Data(), Table_SourceData_Common_EFN2O[[#Headers],[Production system j]], 0)</f>
        <v>Rice</v>
      </c>
      <c r="G185" s="11" t="str" cm="1">
        <f t="array" ref="G185">Common_InputFunctions.Utility_DisplayArrayInTable(Common_SourceData.Common_SourceData_EFN2O_Data(), Table_SourceData_Common_EFN2O[[#Headers],[Production system j]], 0)</f>
        <v>Single and multiple drainage, or alternate wetting and drying</v>
      </c>
      <c r="H185" s="11" t="str" cm="1">
        <f t="array" ref="H185">Common_InputFunctions.Utility_DisplayArrayInTable(Common_SourceData.Common_SourceData_EFN2O_Data(), Table_SourceData_Common_EFN2O[[#Headers],[Production system j]], 0)</f>
        <v>Any</v>
      </c>
    </row>
    <row r="186" spans="4:67" ht="20.100000000000001" customHeight="1" x14ac:dyDescent="0.25">
      <c r="D186" s="11" t="str" cm="1">
        <f t="array" ref="D186">Common_InputFunctions.Utility_DisplayArrayInTable(Common_SourceData.Common_SourceData_EFN2O_Data(), Table_SourceData_Common_EFN2O[[#Headers],[Production system j]], 0)</f>
        <v>Aquaculture</v>
      </c>
      <c r="E186" s="11" cm="1">
        <f t="array" ref="E186">Common_InputFunctions.Utility_DisplayArrayInTable(Common_SourceData.Common_SourceData_EFN2O_Data(), Table_SourceData_Common_EFN2O[[#Headers],[Production system j]], 0)</f>
        <v>2.5999999999999999E-3</v>
      </c>
      <c r="F186" s="11" t="str" cm="1">
        <f t="array" ref="F186">Common_InputFunctions.Utility_DisplayArrayInTable(Common_SourceData.Common_SourceData_EFN2O_Data(), Table_SourceData_Common_EFN2O[[#Headers],[Production system j]], 0)</f>
        <v>Aquaculture</v>
      </c>
      <c r="G186" s="11" t="str" cm="1">
        <f t="array" ref="G186">Common_InputFunctions.Utility_DisplayArrayInTable(Common_SourceData.Common_SourceData_EFN2O_Data(), Table_SourceData_Common_EFN2O[[#Headers],[Production system j]], 0)</f>
        <v>Any</v>
      </c>
      <c r="H186" s="11" t="str" cm="1">
        <f t="array" ref="H186">Common_InputFunctions.Utility_DisplayArrayInTable(Common_SourceData.Common_SourceData_EFN2O_Data(), Table_SourceData_Common_EFN2O[[#Headers],[Production system j]], 0)</f>
        <v>Any</v>
      </c>
    </row>
    <row r="187" spans="4:67" ht="20.100000000000001" customHeight="1" x14ac:dyDescent="0.25">
      <c r="D187" s="11" t="str" cm="1">
        <f t="array" ref="D187">Common_InputFunctions.Utility_DisplayArrayInTable(Common_SourceData.Common_SourceData_EFN2O_Data(), Table_SourceData_Common_EFN2O[[#Headers],[Production system j]], 0)</f>
        <v>Forestry</v>
      </c>
      <c r="E187" s="11" cm="1">
        <f t="array" ref="E187">Common_InputFunctions.Utility_DisplayArrayInTable(Common_SourceData.Common_SourceData_EFN2O_Data(), Table_SourceData_Common_EFN2O[[#Headers],[Production system j]], 0)</f>
        <v>1.8E-3</v>
      </c>
      <c r="F187" s="11" t="str" cm="1">
        <f t="array" ref="F187">Common_InputFunctions.Utility_DisplayArrayInTable(Common_SourceData.Common_SourceData_EFN2O_Data(), Table_SourceData_Common_EFN2O[[#Headers],[Production system j]], 0)</f>
        <v>Forestry</v>
      </c>
      <c r="G187" s="11" t="str" cm="1">
        <f t="array" ref="G187">Common_InputFunctions.Utility_DisplayArrayInTable(Common_SourceData.Common_SourceData_EFN2O_Data(), Table_SourceData_Common_EFN2O[[#Headers],[Production system j]], 0)</f>
        <v>Any</v>
      </c>
      <c r="H187" s="11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11" t="str" cm="1">
        <f t="array" ref="D188">Common_InputFunctions.Utility_DisplayArrayInTable(Common_SourceData.Common_SourceData_EFN2O_Data(), Table_SourceData_Common_EFN2O[[#Headers],[Production system j]], 0)</f>
        <v/>
      </c>
      <c r="E188" s="11" t="str" cm="1">
        <f t="array" ref="E188">Common_InputFunctions.Utility_DisplayArrayInTable(Common_SourceData.Common_SourceData_EFN2O_Data(), Table_SourceData_Common_EFN2O[[#Headers],[Production system j]], 0)</f>
        <v/>
      </c>
      <c r="F188" s="11" t="str" cm="1">
        <f t="array" ref="F188">Common_InputFunctions.Utility_DisplayArrayInTable(Common_SourceData.Common_SourceData_EFN2O_Data(), Table_SourceData_Common_EFN2O[[#Headers],[Production system j]], 0)</f>
        <v/>
      </c>
      <c r="G188" s="11" t="str" cm="1">
        <f t="array" ref="G188">Common_InputFunctions.Utility_DisplayArrayInTable(Common_SourceData.Common_SourceData_EFN2O_Data(), Table_SourceData_Common_EFN2O[[#Headers],[Production system j]], 0)</f>
        <v/>
      </c>
      <c r="H188" s="11" t="str" cm="1">
        <f t="array" ref="H188">Common_InputFunctions.Utility_DisplayArrayInTable(Common_SourceData.Common_SourceData_EFN2O_Data(), Table_SourceData_Common_EFN2O[[#Headers],[Production system j]], 0)</f>
        <v/>
      </c>
    </row>
    <row r="189" spans="4:67" ht="20.100000000000001" customHeight="1" x14ac:dyDescent="0.25"/>
    <row r="190" spans="4:67" ht="20.100000000000001" customHeight="1" x14ac:dyDescent="0.25"/>
    <row r="191" spans="4:67" ht="20.100000000000001" customHeight="1" x14ac:dyDescent="0.25"/>
    <row r="192" spans="4:67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</sheetData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FwAbgAgACAAIAAgAFgATABPAE8ASwBVAFAAKAAxACwAIAAoAEwAbwBvAGsAdQBwAEEAcgByAGEAeQAxAD0ATABvAG8AawB1AHAAVgBhAGwAdQBlADEAKQAqACgATABvAG8AawB1AHAAQQByAHIAYQB5ADIAPQBMAG8AbwBrAHUAcABWAGEAbAB1AGUAMgApACwAIABSAGUAdAB1AHIAbgBBAHIAcgBhAHkALAAgAFwAIgBcACI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FwAbgAgACAAIAAgAFgATABPAE8ASwBVAFAAKABMAG8AbwBrAHUAcABWAGEAbAB1AGUAMQAsACAATABvAG8AawB1AHAAQQByAHIAYQB5ADEALABcAG4AIAAgACAAIAAgACAAIAAgAFgATABPAE8ASwBVAFAAKABMAG8AbwBrAHUAcABWAGEAbAB1AGUAMgAsACAATABvAG8AawB1AHAAQQByAHIAYQB5ADIALAAgAFIAZQB0AHUAcgBuAEEAcgByAGEAe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</AFEJSONBlob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customXml/itemProps2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Constants - 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2026-04-10T06:04:53Z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