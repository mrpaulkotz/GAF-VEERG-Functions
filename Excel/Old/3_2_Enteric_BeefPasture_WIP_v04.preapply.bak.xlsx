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352DDC9-6442-4D55-8BAE-B9D8F66F4295}" xr6:coauthVersionLast="47" xr6:coauthVersionMax="47" xr10:uidLastSave="{00000000-0000-0000-0000-000000000000}"/>
  <bookViews>
    <workbookView xWindow="4680" yWindow="4680" windowWidth="28800" windowHeight="15345" firstSheet="6" activeTab="6"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9" r:id="rId7"/>
    <sheet name="Constants - Common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D_j">'3.2.1.1-2 Enteric Methane'!$D$114:$N$118</definedName>
    <definedName name="M1_Table_E_enteric">'3.2.1.1-2 Enteric Methane'!$D$122:$N$126</definedName>
    <definedName name="M1_Table_I_j_k_l">'3.2.1.1-2 Enteric Methane'!$D$63:$N$67</definedName>
    <definedName name="M1_Table_LC_j_k45">'3.2.1.1-2 Enteric Methane'!$D$20:$G$21</definedName>
    <definedName name="M1_Table_LWG_j_k_l">'3.2.1.1-2 Enteric Methane'!$D$55:$N$59</definedName>
    <definedName name="M1_Table_M_j_k_l">'3.2.1.1-2 Enteric Methane'!$D$84:$N$88</definedName>
    <definedName name="M1_Table_MA_j_k45">'3.2.1.1-2 Enteric Methane'!$D$25:$P$29</definedName>
    <definedName name="M1_Table_N_j_k_l">'3.2.1.1-2 Enteric Methane'!$D$106:$N$110</definedName>
    <definedName name="M1_Table_W_j_k_l">'3.2.1.1-2 Enteric Methane'!$D$47:$N$51</definedName>
    <definedName name="M2_Table_D_j">'3.2.1.1-2 Enteric Methane'!$U$132:$AE$144</definedName>
    <definedName name="M2_Table_E_enteric">'3.2.1.1-2 Enteric Methane'!$U$148:$AE$161</definedName>
    <definedName name="M2_Table_I_j_k_l">'3.2.1.1-2 Enteric Methane'!$U$75:$AE$87</definedName>
    <definedName name="M2_Table_LC_j_k45">'3.2.1.1-2 Enteric Methane'!$U$21:$X$23</definedName>
    <definedName name="M2_Table_LWG_j_k_l">'3.2.1.1-2 Enteric Methane'!$U$59:$AE$71</definedName>
    <definedName name="M2_Table_M_j_k_l">'3.2.1.1-2 Enteric Methane'!$U$96:$AE$108</definedName>
    <definedName name="M2_Table_MA_j_k45">'3.2.1.1-2 Enteric Methane'!$U$27:$AG$39</definedName>
    <definedName name="M2_Table_N_j_k_l">'3.2.1.1-2 Enteric Methane'!$U$116:$AE$128</definedName>
    <definedName name="M2_Table_W_j_k_l">'3.2.1.1-2 Enteric Methane'!$U$43:$AE$55</definedName>
    <definedName name="Range_LivestockStartingValues">#REF!</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tep1">#REF!</definedName>
    <definedName name="Step2">#REF!</definedName>
    <definedName name="Step3">#REF!</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Beef'!$E$177</definedName>
    <definedName name="X_Cell_PastureBeef_GrazingIrrigationMethod">'Input - Pasture Beef'!$E$185</definedName>
    <definedName name="X_Cell_PastureBeef_GrazingProductionSystem">'Input - Pasture Beef'!$E$184</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Beef'!$D$154:$N$158</definedName>
    <definedName name="X_Table_PastureBeef_CrudeProtein_Method2">'Input - Pasture Beef'!$D$160:$N$172</definedName>
    <definedName name="X_Table_PastureBeef_DryMatterDigestibility_Method1">'Input - Pasture Beef'!$D$132:$N$136</definedName>
    <definedName name="X_Table_PastureBeef_DryMatterDigestibility_Method2">'Input - Pasture Beef'!$D$138:$N$150</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72" l="1"/>
  <c r="A19" i="72"/>
  <c r="A18" i="72"/>
  <c r="A17" i="72"/>
  <c r="A13" i="72"/>
  <c r="A9" i="72"/>
  <c r="A8" i="72"/>
  <c r="A4" i="72"/>
  <c r="A3" i="72"/>
  <c r="A20" i="43"/>
  <c r="A19" i="43"/>
  <c r="A18" i="43"/>
  <c r="A17" i="43"/>
  <c r="A13" i="43"/>
  <c r="A9" i="43"/>
  <c r="A8" i="43"/>
  <c r="A4" i="43"/>
  <c r="A3" i="43"/>
  <c r="A20" i="109"/>
  <c r="A19" i="109"/>
  <c r="A18" i="109"/>
  <c r="A17" i="109"/>
  <c r="A13" i="109"/>
  <c r="A9" i="109"/>
  <c r="A8" i="109"/>
  <c r="A4" i="109"/>
  <c r="A3" i="109"/>
  <c r="A20" i="79"/>
  <c r="A19" i="79"/>
  <c r="A18" i="79"/>
  <c r="A17" i="79"/>
  <c r="A13" i="79"/>
  <c r="A9" i="79"/>
  <c r="A8" i="79"/>
  <c r="A4" i="79"/>
  <c r="A3" i="79"/>
  <c r="A20" i="69"/>
  <c r="A19" i="69"/>
  <c r="A18" i="69"/>
  <c r="A17" i="69"/>
  <c r="A13" i="69"/>
  <c r="A9" i="69"/>
  <c r="A8" i="69"/>
  <c r="A4" i="69"/>
  <c r="A3" i="69"/>
  <c r="A20" i="70"/>
  <c r="A19" i="70"/>
  <c r="A18" i="70"/>
  <c r="A17" i="70"/>
  <c r="A13" i="70"/>
  <c r="A9" i="70"/>
  <c r="A8" i="70"/>
  <c r="A4" i="70"/>
  <c r="A3" i="70"/>
  <c r="A20" i="15"/>
  <c r="A19" i="15"/>
  <c r="A18" i="15"/>
  <c r="A17" i="15"/>
  <c r="A13" i="15"/>
  <c r="A9" i="15"/>
  <c r="A8" i="15"/>
  <c r="A4" i="15"/>
  <c r="A3" i="15"/>
  <c r="A20" i="13"/>
  <c r="A19" i="13"/>
  <c r="A18" i="13"/>
  <c r="A17" i="13"/>
  <c r="A13" i="13"/>
  <c r="A9" i="13"/>
  <c r="A8" i="13"/>
  <c r="A4" i="13"/>
  <c r="A3" i="13"/>
  <c r="A20" i="71"/>
  <c r="A19" i="71"/>
  <c r="A18" i="71"/>
  <c r="A17" i="71"/>
  <c r="A13" i="71"/>
  <c r="A9" i="71"/>
  <c r="A8" i="71"/>
  <c r="A4" i="71"/>
  <c r="A3" i="71"/>
  <c r="D9" i="79"/>
  <c r="D8" i="79"/>
  <c r="N172" i="70"/>
  <c r="M172" i="70"/>
  <c r="L172" i="70"/>
  <c r="K172" i="70"/>
  <c r="J172" i="70"/>
  <c r="I172" i="70"/>
  <c r="H172" i="70"/>
  <c r="G172" i="70"/>
  <c r="F172" i="70"/>
  <c r="E172" i="70"/>
  <c r="N171" i="70"/>
  <c r="M171" i="70"/>
  <c r="L171" i="70"/>
  <c r="K171" i="70"/>
  <c r="J171" i="70"/>
  <c r="I171" i="70"/>
  <c r="H171" i="70"/>
  <c r="G171" i="70"/>
  <c r="F171" i="70"/>
  <c r="E171" i="70"/>
  <c r="N170" i="70"/>
  <c r="M170" i="70"/>
  <c r="L170" i="70"/>
  <c r="K170" i="70"/>
  <c r="J170" i="70"/>
  <c r="I170" i="70"/>
  <c r="H170" i="70"/>
  <c r="G170" i="70"/>
  <c r="F170" i="70"/>
  <c r="E170" i="70"/>
  <c r="N169" i="70"/>
  <c r="M169" i="70"/>
  <c r="L169" i="70"/>
  <c r="K169" i="70"/>
  <c r="J169" i="70"/>
  <c r="I169" i="70"/>
  <c r="H169" i="70"/>
  <c r="G169" i="70"/>
  <c r="F169" i="70"/>
  <c r="E169" i="70"/>
  <c r="N168" i="70"/>
  <c r="M168" i="70"/>
  <c r="L168" i="70"/>
  <c r="K168" i="70"/>
  <c r="J168" i="70"/>
  <c r="I168" i="70"/>
  <c r="H168" i="70"/>
  <c r="G168" i="70"/>
  <c r="F168" i="70"/>
  <c r="E168" i="70"/>
  <c r="N167" i="70"/>
  <c r="M167" i="70"/>
  <c r="L167" i="70"/>
  <c r="K167" i="70"/>
  <c r="J167" i="70"/>
  <c r="I167" i="70"/>
  <c r="H167" i="70"/>
  <c r="G167" i="70"/>
  <c r="F167" i="70"/>
  <c r="E167" i="70"/>
  <c r="N166" i="70"/>
  <c r="M166" i="70"/>
  <c r="L166" i="70"/>
  <c r="K166" i="70"/>
  <c r="J166" i="70"/>
  <c r="I166" i="70"/>
  <c r="H166" i="70"/>
  <c r="G166" i="70"/>
  <c r="F166" i="70"/>
  <c r="E166" i="70"/>
  <c r="N165" i="70"/>
  <c r="M165" i="70"/>
  <c r="L165" i="70"/>
  <c r="K165" i="70"/>
  <c r="J165" i="70"/>
  <c r="I165" i="70"/>
  <c r="H165" i="70"/>
  <c r="G165" i="70"/>
  <c r="F165" i="70"/>
  <c r="E165" i="70"/>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150" i="70"/>
  <c r="M150" i="70"/>
  <c r="L150" i="70"/>
  <c r="K150" i="70"/>
  <c r="J150" i="70"/>
  <c r="I150" i="70"/>
  <c r="H150" i="70"/>
  <c r="G150" i="70"/>
  <c r="F150" i="70"/>
  <c r="E150" i="70"/>
  <c r="N149" i="70"/>
  <c r="M149" i="70"/>
  <c r="L149" i="70"/>
  <c r="K149" i="70"/>
  <c r="J149" i="70"/>
  <c r="I149" i="70"/>
  <c r="H149" i="70"/>
  <c r="G149" i="70"/>
  <c r="F149" i="70"/>
  <c r="E149" i="70"/>
  <c r="N148" i="70"/>
  <c r="M148" i="70"/>
  <c r="L148" i="70"/>
  <c r="K148" i="70"/>
  <c r="J148" i="70"/>
  <c r="I148" i="70"/>
  <c r="H148" i="70"/>
  <c r="G148" i="70"/>
  <c r="F148" i="70"/>
  <c r="E148" i="70"/>
  <c r="N147" i="70"/>
  <c r="M147" i="70"/>
  <c r="L147" i="70"/>
  <c r="K147" i="70"/>
  <c r="J147" i="70"/>
  <c r="I147" i="70"/>
  <c r="H147" i="70"/>
  <c r="G147" i="70"/>
  <c r="F147" i="70"/>
  <c r="E147" i="70"/>
  <c r="N146" i="70"/>
  <c r="M146" i="70"/>
  <c r="L146" i="70"/>
  <c r="K146" i="70"/>
  <c r="J146" i="70"/>
  <c r="I146" i="70"/>
  <c r="H146" i="70"/>
  <c r="G146" i="70"/>
  <c r="F146" i="70"/>
  <c r="E146" i="70"/>
  <c r="N145" i="70"/>
  <c r="M145" i="70"/>
  <c r="L145" i="70"/>
  <c r="K145" i="70"/>
  <c r="J145" i="70"/>
  <c r="I145" i="70"/>
  <c r="H145" i="70"/>
  <c r="G145" i="70"/>
  <c r="F145" i="70"/>
  <c r="E145" i="70"/>
  <c r="N144" i="70"/>
  <c r="M144" i="70"/>
  <c r="L144" i="70"/>
  <c r="K144" i="70"/>
  <c r="J144" i="70"/>
  <c r="I144" i="70"/>
  <c r="H144" i="70"/>
  <c r="G144" i="70"/>
  <c r="F144" i="70"/>
  <c r="E144" i="70"/>
  <c r="N143" i="70"/>
  <c r="M143" i="70"/>
  <c r="L143" i="70"/>
  <c r="K143" i="70"/>
  <c r="J143" i="70"/>
  <c r="I143" i="70"/>
  <c r="H143" i="70"/>
  <c r="G143" i="70"/>
  <c r="F143" i="70"/>
  <c r="E14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00" i="70"/>
  <c r="M100" i="70"/>
  <c r="L100" i="70"/>
  <c r="K100" i="70"/>
  <c r="J100" i="70"/>
  <c r="I100" i="70"/>
  <c r="H100" i="70"/>
  <c r="G100" i="70"/>
  <c r="F100" i="70"/>
  <c r="E100"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78" i="70"/>
  <c r="M78" i="70"/>
  <c r="L78" i="70"/>
  <c r="K78" i="70"/>
  <c r="J78" i="70"/>
  <c r="I78" i="70"/>
  <c r="H78" i="70"/>
  <c r="G78" i="70"/>
  <c r="F78" i="70"/>
  <c r="E7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X164" i="69"/>
  <c r="G131" i="69"/>
  <c r="E181" i="70"/>
  <c r="E180" i="70"/>
  <c r="N158" i="70"/>
  <c r="M158" i="70"/>
  <c r="L158" i="70"/>
  <c r="K158" i="70"/>
  <c r="J158" i="70"/>
  <c r="I158" i="70"/>
  <c r="H158" i="70"/>
  <c r="G158" i="70"/>
  <c r="F158" i="70"/>
  <c r="E158"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136" i="70"/>
  <c r="M136" i="70"/>
  <c r="L136" i="70"/>
  <c r="K136" i="70"/>
  <c r="J136" i="70"/>
  <c r="I136" i="70"/>
  <c r="H136" i="70"/>
  <c r="G136" i="70"/>
  <c r="F136" i="70"/>
  <c r="E136"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86" i="70"/>
  <c r="M86" i="70"/>
  <c r="L86" i="70"/>
  <c r="K86" i="70"/>
  <c r="J86" i="70"/>
  <c r="I86" i="70"/>
  <c r="H86" i="70"/>
  <c r="G86" i="70"/>
  <c r="F86" i="70"/>
  <c r="E86"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64" i="70"/>
  <c r="M64" i="70"/>
  <c r="L64" i="70"/>
  <c r="K64" i="70"/>
  <c r="J64" i="70"/>
  <c r="I64" i="70"/>
  <c r="H64" i="70"/>
  <c r="G64" i="70"/>
  <c r="F64" i="70"/>
  <c r="E64"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E259" i="109" a="1"/>
  <c r="E259" i="109" s="1"/>
  <c r="D259" i="109" a="1"/>
  <c r="D259" i="109" s="1"/>
  <c r="E258" i="109" a="1"/>
  <c r="E258" i="109" s="1"/>
  <c r="D258" i="109" a="1"/>
  <c r="D258" i="109" s="1"/>
  <c r="D256" i="109" a="1"/>
  <c r="D256" i="109" s="1"/>
  <c r="D255" i="109" a="1"/>
  <c r="D255" i="109" s="1"/>
  <c r="D254" i="109" a="1"/>
  <c r="D254" i="109" s="1"/>
  <c r="D253" i="109" a="1"/>
  <c r="D253" i="109" s="1"/>
  <c r="S250" i="109" a="1"/>
  <c r="S250" i="109" s="1"/>
  <c r="R250" i="109" a="1"/>
  <c r="R250" i="109" s="1"/>
  <c r="Q250" i="109" a="1"/>
  <c r="Q250" i="109" s="1"/>
  <c r="P250" i="109" a="1"/>
  <c r="P250" i="109" s="1"/>
  <c r="O250" i="109" a="1"/>
  <c r="O250" i="109" s="1"/>
  <c r="N250" i="109" a="1"/>
  <c r="N250" i="109" s="1"/>
  <c r="M250" i="109" a="1"/>
  <c r="M250" i="109" s="1"/>
  <c r="L250" i="109" a="1"/>
  <c r="L250" i="109" s="1"/>
  <c r="K250" i="109" a="1"/>
  <c r="K250" i="109" s="1"/>
  <c r="J250" i="109" a="1"/>
  <c r="J250" i="109" s="1"/>
  <c r="I250" i="109" a="1"/>
  <c r="I250" i="109" s="1"/>
  <c r="H250" i="109" a="1"/>
  <c r="H250" i="109" s="1"/>
  <c r="G250" i="109" a="1"/>
  <c r="G250" i="109" s="1"/>
  <c r="F250" i="109" a="1"/>
  <c r="F250" i="109" s="1"/>
  <c r="E250" i="109" a="1"/>
  <c r="E250" i="109" s="1"/>
  <c r="D250" i="109" a="1"/>
  <c r="D250" i="109" s="1"/>
  <c r="S249" i="109" a="1"/>
  <c r="S249" i="109" s="1"/>
  <c r="R249" i="109" a="1"/>
  <c r="R249" i="109" s="1"/>
  <c r="Q249" i="109" a="1"/>
  <c r="Q249" i="109" s="1"/>
  <c r="P249" i="109" a="1"/>
  <c r="P249" i="109" s="1"/>
  <c r="O249" i="109" a="1"/>
  <c r="O249" i="109" s="1"/>
  <c r="N249" i="109" a="1"/>
  <c r="N249" i="109" s="1"/>
  <c r="M249" i="109" a="1"/>
  <c r="M249" i="109" s="1"/>
  <c r="L249" i="109" a="1"/>
  <c r="L249" i="109" s="1"/>
  <c r="K249" i="109" a="1"/>
  <c r="K249" i="109" s="1"/>
  <c r="J249" i="109" a="1"/>
  <c r="J249" i="109" s="1"/>
  <c r="I249" i="109" a="1"/>
  <c r="I249" i="109" s="1"/>
  <c r="H249" i="109" a="1"/>
  <c r="H249" i="109" s="1"/>
  <c r="G249" i="109" a="1"/>
  <c r="G249" i="109" s="1"/>
  <c r="F249" i="109" a="1"/>
  <c r="F249" i="109" s="1"/>
  <c r="E249" i="109" a="1"/>
  <c r="E249" i="109" s="1"/>
  <c r="D249" i="109" a="1"/>
  <c r="D249" i="109" s="1"/>
  <c r="S248" i="109" a="1"/>
  <c r="S248" i="109" s="1"/>
  <c r="R248" i="109" a="1"/>
  <c r="R248" i="109" s="1"/>
  <c r="Q248" i="109" a="1"/>
  <c r="Q248" i="109" s="1"/>
  <c r="P248" i="109" a="1"/>
  <c r="P248" i="109" s="1"/>
  <c r="O248" i="109" a="1"/>
  <c r="O248" i="109" s="1"/>
  <c r="N248" i="109" a="1"/>
  <c r="N248" i="109" s="1"/>
  <c r="M248" i="109" a="1"/>
  <c r="M248" i="109" s="1"/>
  <c r="L248" i="109" a="1"/>
  <c r="L248" i="109" s="1"/>
  <c r="K248" i="109" a="1"/>
  <c r="K248" i="109" s="1"/>
  <c r="J248" i="109" a="1"/>
  <c r="J248" i="109" s="1"/>
  <c r="I248" i="109" a="1"/>
  <c r="I248" i="109" s="1"/>
  <c r="H248" i="109" a="1"/>
  <c r="H248" i="109" s="1"/>
  <c r="G248" i="109" a="1"/>
  <c r="G248" i="109" s="1"/>
  <c r="F248" i="109" a="1"/>
  <c r="F248" i="109" s="1"/>
  <c r="E248" i="109" a="1"/>
  <c r="E248" i="109" s="1"/>
  <c r="D248" i="109" a="1"/>
  <c r="D248" i="109" s="1"/>
  <c r="S247" i="109" a="1"/>
  <c r="S247" i="109" s="1"/>
  <c r="R247" i="109" a="1"/>
  <c r="R247" i="109" s="1"/>
  <c r="Q247" i="109" a="1"/>
  <c r="Q247" i="109" s="1"/>
  <c r="P247" i="109" a="1"/>
  <c r="P247" i="109" s="1"/>
  <c r="O247" i="109" a="1"/>
  <c r="O247" i="109" s="1"/>
  <c r="N247" i="109" a="1"/>
  <c r="N247" i="109" s="1"/>
  <c r="M247" i="109" a="1"/>
  <c r="M247" i="109" s="1"/>
  <c r="L247" i="109" a="1"/>
  <c r="L247" i="109" s="1"/>
  <c r="K247" i="109" a="1"/>
  <c r="K247" i="109" s="1"/>
  <c r="J247" i="109" a="1"/>
  <c r="J247" i="109" s="1"/>
  <c r="I247" i="109" a="1"/>
  <c r="I247" i="109" s="1"/>
  <c r="H247" i="109" a="1"/>
  <c r="H247" i="109" s="1"/>
  <c r="G247" i="109" a="1"/>
  <c r="G247" i="109" s="1"/>
  <c r="F247" i="109" a="1"/>
  <c r="F247" i="109" s="1"/>
  <c r="E247" i="109" a="1"/>
  <c r="E247" i="109" s="1"/>
  <c r="D247" i="109" a="1"/>
  <c r="D247" i="109" s="1"/>
  <c r="S246" i="109" a="1"/>
  <c r="S246" i="109" s="1"/>
  <c r="R246" i="109" a="1"/>
  <c r="R246" i="109" s="1"/>
  <c r="Q246" i="109" a="1"/>
  <c r="Q246" i="109" s="1"/>
  <c r="P246" i="109" a="1"/>
  <c r="P246" i="109" s="1"/>
  <c r="O246" i="109" a="1"/>
  <c r="O246" i="109" s="1"/>
  <c r="N246" i="109" a="1"/>
  <c r="N246" i="109" s="1"/>
  <c r="M246" i="109" a="1"/>
  <c r="M246" i="109" s="1"/>
  <c r="L246" i="109" a="1"/>
  <c r="L246" i="109" s="1"/>
  <c r="K246" i="109" a="1"/>
  <c r="K246" i="109" s="1"/>
  <c r="J246" i="109" a="1"/>
  <c r="J246" i="109" s="1"/>
  <c r="I246" i="109" a="1"/>
  <c r="I246" i="109" s="1"/>
  <c r="H246" i="109" a="1"/>
  <c r="H246" i="109" s="1"/>
  <c r="G246" i="109" a="1"/>
  <c r="G246" i="109" s="1"/>
  <c r="F246" i="109" a="1"/>
  <c r="F246" i="109" s="1"/>
  <c r="E246" i="109" a="1"/>
  <c r="E246" i="109" s="1"/>
  <c r="D246" i="109" a="1"/>
  <c r="D246" i="109" s="1"/>
  <c r="S245" i="109" a="1"/>
  <c r="S245" i="109" s="1"/>
  <c r="R245" i="109" a="1"/>
  <c r="R245" i="109" s="1"/>
  <c r="Q245" i="109" a="1"/>
  <c r="Q245" i="109" s="1"/>
  <c r="P245" i="109" a="1"/>
  <c r="P245" i="109" s="1"/>
  <c r="O245" i="109" a="1"/>
  <c r="O245" i="109" s="1"/>
  <c r="N245" i="109" a="1"/>
  <c r="N245" i="109" s="1"/>
  <c r="M245" i="109" a="1"/>
  <c r="M245" i="109" s="1"/>
  <c r="L245" i="109" a="1"/>
  <c r="L245" i="109" s="1"/>
  <c r="K245" i="109" a="1"/>
  <c r="K245" i="109" s="1"/>
  <c r="J245" i="109" a="1"/>
  <c r="J245" i="109" s="1"/>
  <c r="I245" i="109" a="1"/>
  <c r="I245" i="109" s="1"/>
  <c r="H245" i="109" a="1"/>
  <c r="H245" i="109" s="1"/>
  <c r="G245" i="109" a="1"/>
  <c r="G245" i="109" s="1"/>
  <c r="F245" i="109" a="1"/>
  <c r="F245" i="109" s="1"/>
  <c r="E245" i="109" a="1"/>
  <c r="E245" i="109" s="1"/>
  <c r="D245" i="109" a="1"/>
  <c r="D245" i="109" s="1"/>
  <c r="S244" i="109" a="1"/>
  <c r="S244" i="109" s="1"/>
  <c r="R244" i="109" a="1"/>
  <c r="R244" i="109" s="1"/>
  <c r="Q244" i="109" a="1"/>
  <c r="Q244" i="109" s="1"/>
  <c r="P244" i="109" a="1"/>
  <c r="P244" i="109" s="1"/>
  <c r="O244" i="109" a="1"/>
  <c r="O244" i="109" s="1"/>
  <c r="N244" i="109" a="1"/>
  <c r="N244" i="109" s="1"/>
  <c r="M244" i="109" a="1"/>
  <c r="M244" i="109" s="1"/>
  <c r="L244" i="109" a="1"/>
  <c r="L244" i="109" s="1"/>
  <c r="K244" i="109" a="1"/>
  <c r="K244" i="109" s="1"/>
  <c r="J244" i="109" a="1"/>
  <c r="J244" i="109" s="1"/>
  <c r="I244" i="109" a="1"/>
  <c r="I244" i="109" s="1"/>
  <c r="H244" i="109" a="1"/>
  <c r="H244" i="109" s="1"/>
  <c r="G244" i="109" a="1"/>
  <c r="G244" i="109" s="1"/>
  <c r="F244" i="109" a="1"/>
  <c r="F244" i="109" s="1"/>
  <c r="E244" i="109" a="1"/>
  <c r="E244" i="109" s="1"/>
  <c r="D244" i="109" a="1"/>
  <c r="D244" i="109" s="1"/>
  <c r="S243" i="109" a="1"/>
  <c r="S243" i="109" s="1"/>
  <c r="R243" i="109" a="1"/>
  <c r="R243" i="109" s="1"/>
  <c r="Q243" i="109" a="1"/>
  <c r="Q243" i="109" s="1"/>
  <c r="P243" i="109" a="1"/>
  <c r="P243" i="109" s="1"/>
  <c r="O243" i="109" a="1"/>
  <c r="O243" i="109" s="1"/>
  <c r="N243" i="109" a="1"/>
  <c r="N243" i="109" s="1"/>
  <c r="M243" i="109" a="1"/>
  <c r="M243" i="109" s="1"/>
  <c r="L243" i="109" a="1"/>
  <c r="L243" i="109" s="1"/>
  <c r="K243" i="109" a="1"/>
  <c r="K243" i="109" s="1"/>
  <c r="J243" i="109" a="1"/>
  <c r="J243" i="109" s="1"/>
  <c r="I243" i="109" a="1"/>
  <c r="I243" i="109" s="1"/>
  <c r="H243" i="109" a="1"/>
  <c r="H243" i="109" s="1"/>
  <c r="G243" i="109" a="1"/>
  <c r="G243" i="109" s="1"/>
  <c r="F243" i="109" a="1"/>
  <c r="F243" i="109" s="1"/>
  <c r="E243" i="109" a="1"/>
  <c r="E243" i="109" s="1"/>
  <c r="D243" i="109" a="1"/>
  <c r="D243" i="109" s="1"/>
  <c r="S242" i="109" a="1"/>
  <c r="S242" i="109" s="1"/>
  <c r="R242" i="109" a="1"/>
  <c r="R242" i="109" s="1"/>
  <c r="Q242" i="109" a="1"/>
  <c r="Q242" i="109" s="1"/>
  <c r="P242" i="109" a="1"/>
  <c r="P242" i="109" s="1"/>
  <c r="O242" i="109" a="1"/>
  <c r="O242" i="109" s="1"/>
  <c r="N242" i="109" a="1"/>
  <c r="N242" i="109" s="1"/>
  <c r="M242" i="109" a="1"/>
  <c r="M242" i="109" s="1"/>
  <c r="L242" i="109" a="1"/>
  <c r="L242" i="109" s="1"/>
  <c r="K242" i="109" a="1"/>
  <c r="K242" i="109" s="1"/>
  <c r="J242" i="109" a="1"/>
  <c r="J242" i="109" s="1"/>
  <c r="I242" i="109" a="1"/>
  <c r="I242" i="109" s="1"/>
  <c r="H242" i="109" a="1"/>
  <c r="H242" i="109" s="1"/>
  <c r="G242" i="109" a="1"/>
  <c r="G242" i="109" s="1"/>
  <c r="F242" i="109" a="1"/>
  <c r="F242" i="109" s="1"/>
  <c r="E242" i="109" a="1"/>
  <c r="E242" i="109" s="1"/>
  <c r="D242" i="109" a="1"/>
  <c r="D242" i="109" s="1"/>
  <c r="S241" i="109" a="1"/>
  <c r="S241" i="109" s="1"/>
  <c r="R241" i="109" a="1"/>
  <c r="R241" i="109" s="1"/>
  <c r="Q241" i="109" a="1"/>
  <c r="Q241" i="109" s="1"/>
  <c r="P241" i="109" a="1"/>
  <c r="P241" i="109" s="1"/>
  <c r="O241" i="109" a="1"/>
  <c r="O241" i="109" s="1"/>
  <c r="N241" i="109" a="1"/>
  <c r="N241" i="109" s="1"/>
  <c r="M241" i="109" a="1"/>
  <c r="M241" i="109" s="1"/>
  <c r="L241" i="109" a="1"/>
  <c r="L241" i="109" s="1"/>
  <c r="K241" i="109" a="1"/>
  <c r="K241" i="109" s="1"/>
  <c r="J241" i="109" a="1"/>
  <c r="J241" i="109" s="1"/>
  <c r="I241" i="109" a="1"/>
  <c r="I241" i="109" s="1"/>
  <c r="H241" i="109" a="1"/>
  <c r="H241" i="109" s="1"/>
  <c r="G241" i="109" a="1"/>
  <c r="G241" i="109" s="1"/>
  <c r="F241" i="109" a="1"/>
  <c r="F241" i="109" s="1"/>
  <c r="E241" i="109" a="1"/>
  <c r="E241" i="109" s="1"/>
  <c r="D241" i="109" a="1"/>
  <c r="D241" i="109" s="1"/>
  <c r="S240" i="109" a="1"/>
  <c r="S240" i="109" s="1"/>
  <c r="R240" i="109" a="1"/>
  <c r="R240" i="109" s="1"/>
  <c r="Q240" i="109" a="1"/>
  <c r="Q240" i="109" s="1"/>
  <c r="P240" i="109" a="1"/>
  <c r="P240" i="109" s="1"/>
  <c r="O240" i="109" a="1"/>
  <c r="O240" i="109" s="1"/>
  <c r="N240" i="109" a="1"/>
  <c r="N240" i="109" s="1"/>
  <c r="M240" i="109" a="1"/>
  <c r="M240" i="109" s="1"/>
  <c r="L240" i="109" a="1"/>
  <c r="L240" i="109" s="1"/>
  <c r="K240" i="109" a="1"/>
  <c r="K240" i="109" s="1"/>
  <c r="J240" i="109" a="1"/>
  <c r="J240" i="109" s="1"/>
  <c r="I240" i="109" a="1"/>
  <c r="I240" i="109" s="1"/>
  <c r="H240" i="109" a="1"/>
  <c r="H240" i="109" s="1"/>
  <c r="G240" i="109" a="1"/>
  <c r="G240" i="109" s="1"/>
  <c r="F240" i="109" a="1"/>
  <c r="F240" i="109" s="1"/>
  <c r="E240" i="109" a="1"/>
  <c r="E240" i="109" s="1"/>
  <c r="D240" i="109" a="1"/>
  <c r="D240" i="109" s="1"/>
  <c r="S239" i="109" a="1"/>
  <c r="S239" i="109" s="1"/>
  <c r="R239" i="109" a="1"/>
  <c r="R239" i="109" s="1"/>
  <c r="Q239" i="109" a="1"/>
  <c r="Q239" i="109" s="1"/>
  <c r="P239" i="109" a="1"/>
  <c r="P239" i="109" s="1"/>
  <c r="O239" i="109" a="1"/>
  <c r="O239" i="109" s="1"/>
  <c r="N239" i="109" a="1"/>
  <c r="N239" i="109" s="1"/>
  <c r="M239" i="109" a="1"/>
  <c r="M239" i="109" s="1"/>
  <c r="L239" i="109" a="1"/>
  <c r="L239" i="109" s="1"/>
  <c r="K239" i="109" a="1"/>
  <c r="K239" i="109" s="1"/>
  <c r="J239" i="109" a="1"/>
  <c r="J239" i="109" s="1"/>
  <c r="I239" i="109" a="1"/>
  <c r="I239" i="109" s="1"/>
  <c r="H239" i="109" a="1"/>
  <c r="H239" i="109" s="1"/>
  <c r="G239" i="109" a="1"/>
  <c r="G239" i="109" s="1"/>
  <c r="F239" i="109" a="1"/>
  <c r="F239" i="109" s="1"/>
  <c r="E239" i="109" a="1"/>
  <c r="E239" i="109" s="1"/>
  <c r="D239" i="109" a="1"/>
  <c r="D239" i="109" s="1"/>
  <c r="S238" i="109" a="1"/>
  <c r="S238" i="109" s="1"/>
  <c r="R238" i="109" a="1"/>
  <c r="R238" i="109" s="1"/>
  <c r="Q238" i="109" a="1"/>
  <c r="Q238" i="109" s="1"/>
  <c r="P238" i="109" a="1"/>
  <c r="P238" i="109" s="1"/>
  <c r="O238" i="109" a="1"/>
  <c r="O238" i="109" s="1"/>
  <c r="N238" i="109" a="1"/>
  <c r="N238" i="109" s="1"/>
  <c r="M238" i="109" a="1"/>
  <c r="M238" i="109" s="1"/>
  <c r="L238" i="109" a="1"/>
  <c r="L238" i="109" s="1"/>
  <c r="K238" i="109" a="1"/>
  <c r="K238" i="109" s="1"/>
  <c r="J238" i="109" a="1"/>
  <c r="J238" i="109" s="1"/>
  <c r="I238" i="109" a="1"/>
  <c r="I238" i="109" s="1"/>
  <c r="H238" i="109" a="1"/>
  <c r="H238" i="109" s="1"/>
  <c r="G238" i="109" a="1"/>
  <c r="G238" i="109" s="1"/>
  <c r="F238" i="109" a="1"/>
  <c r="F238" i="109" s="1"/>
  <c r="E238" i="109" a="1"/>
  <c r="E238" i="109" s="1"/>
  <c r="D238" i="109" a="1"/>
  <c r="D238" i="109" s="1"/>
  <c r="S237" i="109" a="1"/>
  <c r="S237" i="109" s="1"/>
  <c r="R237" i="109" a="1"/>
  <c r="R237" i="109" s="1"/>
  <c r="Q237" i="109" a="1"/>
  <c r="Q237" i="109" s="1"/>
  <c r="P237" i="109" a="1"/>
  <c r="P237" i="109" s="1"/>
  <c r="O237" i="109" a="1"/>
  <c r="O237" i="109" s="1"/>
  <c r="N237" i="109" a="1"/>
  <c r="N237" i="109" s="1"/>
  <c r="M237" i="109" a="1"/>
  <c r="M237" i="109" s="1"/>
  <c r="L237" i="109" a="1"/>
  <c r="L237" i="109" s="1"/>
  <c r="K237" i="109" a="1"/>
  <c r="K237" i="109" s="1"/>
  <c r="J237" i="109" a="1"/>
  <c r="J237" i="109" s="1"/>
  <c r="I237" i="109" a="1"/>
  <c r="I237" i="109" s="1"/>
  <c r="H237" i="109" a="1"/>
  <c r="H237" i="109" s="1"/>
  <c r="G237" i="109" a="1"/>
  <c r="G237" i="109" s="1"/>
  <c r="F237" i="109" a="1"/>
  <c r="F237" i="109" s="1"/>
  <c r="E237" i="109" a="1"/>
  <c r="E237" i="109" s="1"/>
  <c r="D237" i="109" a="1"/>
  <c r="D237" i="109" s="1"/>
  <c r="S236" i="109" a="1"/>
  <c r="S236" i="109" s="1"/>
  <c r="R236" i="109" a="1"/>
  <c r="R236" i="109" s="1"/>
  <c r="Q236" i="109" a="1"/>
  <c r="Q236" i="109" s="1"/>
  <c r="P236" i="109" a="1"/>
  <c r="P236" i="109" s="1"/>
  <c r="O236" i="109" a="1"/>
  <c r="O236" i="109" s="1"/>
  <c r="N236" i="109" a="1"/>
  <c r="N236" i="109" s="1"/>
  <c r="M236" i="109" a="1"/>
  <c r="M236" i="109" s="1"/>
  <c r="L236" i="109" a="1"/>
  <c r="L236" i="109" s="1"/>
  <c r="K236" i="109" a="1"/>
  <c r="K236" i="109" s="1"/>
  <c r="J236" i="109" a="1"/>
  <c r="J236" i="109" s="1"/>
  <c r="I236" i="109" a="1"/>
  <c r="I236" i="109" s="1"/>
  <c r="H236" i="109" a="1"/>
  <c r="H236" i="109" s="1"/>
  <c r="G236" i="109" a="1"/>
  <c r="G236" i="109" s="1"/>
  <c r="F236" i="109" a="1"/>
  <c r="F236" i="109" s="1"/>
  <c r="E236" i="109" a="1"/>
  <c r="E236" i="109" s="1"/>
  <c r="D236" i="109" a="1"/>
  <c r="D236" i="109" s="1"/>
  <c r="S235" i="109" a="1"/>
  <c r="S235" i="109" s="1"/>
  <c r="R235" i="109" a="1"/>
  <c r="R235" i="109" s="1"/>
  <c r="Q235" i="109" a="1"/>
  <c r="Q235" i="109" s="1"/>
  <c r="P235" i="109" a="1"/>
  <c r="P235" i="109" s="1"/>
  <c r="O235" i="109" a="1"/>
  <c r="O235" i="109" s="1"/>
  <c r="N235" i="109" a="1"/>
  <c r="N235" i="109" s="1"/>
  <c r="M235" i="109" a="1"/>
  <c r="M235" i="109" s="1"/>
  <c r="L235" i="109" a="1"/>
  <c r="L235" i="109" s="1"/>
  <c r="K235" i="109" a="1"/>
  <c r="K235" i="109" s="1"/>
  <c r="J235" i="109" a="1"/>
  <c r="J235" i="109" s="1"/>
  <c r="I235" i="109" a="1"/>
  <c r="I235" i="109" s="1"/>
  <c r="H235" i="109" a="1"/>
  <c r="H235" i="109" s="1"/>
  <c r="G235" i="109" a="1"/>
  <c r="G235" i="109" s="1"/>
  <c r="F235" i="109" a="1"/>
  <c r="F235" i="109" s="1"/>
  <c r="E235" i="109" a="1"/>
  <c r="E235" i="109" s="1"/>
  <c r="D235" i="109" a="1"/>
  <c r="D235" i="109" s="1"/>
  <c r="S234" i="109" a="1"/>
  <c r="S234" i="109" s="1"/>
  <c r="R234" i="109" a="1"/>
  <c r="R234" i="109" s="1"/>
  <c r="Q234" i="109" a="1"/>
  <c r="Q234" i="109" s="1"/>
  <c r="P234" i="109" a="1"/>
  <c r="P234" i="109" s="1"/>
  <c r="O234" i="109" a="1"/>
  <c r="O234" i="109" s="1"/>
  <c r="N234" i="109" a="1"/>
  <c r="N234" i="109" s="1"/>
  <c r="M234" i="109" a="1"/>
  <c r="M234" i="109" s="1"/>
  <c r="L234" i="109" a="1"/>
  <c r="L234" i="109" s="1"/>
  <c r="K234" i="109" a="1"/>
  <c r="K234" i="109" s="1"/>
  <c r="J234" i="109" a="1"/>
  <c r="J234" i="109" s="1"/>
  <c r="I234" i="109" a="1"/>
  <c r="I234" i="109" s="1"/>
  <c r="H234" i="109" a="1"/>
  <c r="H234" i="109" s="1"/>
  <c r="G234" i="109" a="1"/>
  <c r="G234" i="109" s="1"/>
  <c r="F234" i="109" a="1"/>
  <c r="F234" i="109" s="1"/>
  <c r="E234" i="109" a="1"/>
  <c r="E234" i="109" s="1"/>
  <c r="D234" i="109" a="1"/>
  <c r="D234" i="109" s="1"/>
  <c r="S233" i="109" a="1"/>
  <c r="S233" i="109" s="1"/>
  <c r="R233" i="109" a="1"/>
  <c r="R233" i="109" s="1"/>
  <c r="Q233" i="109" a="1"/>
  <c r="Q233" i="109" s="1"/>
  <c r="P233" i="109" a="1"/>
  <c r="P233" i="109" s="1"/>
  <c r="O233" i="109" a="1"/>
  <c r="O233" i="109" s="1"/>
  <c r="N233" i="109" a="1"/>
  <c r="N233" i="109" s="1"/>
  <c r="M233" i="109" a="1"/>
  <c r="M233" i="109" s="1"/>
  <c r="L233" i="109" a="1"/>
  <c r="L233" i="109" s="1"/>
  <c r="K233" i="109" a="1"/>
  <c r="K233" i="109" s="1"/>
  <c r="J233" i="109" a="1"/>
  <c r="J233" i="109" s="1"/>
  <c r="I233" i="109" a="1"/>
  <c r="I233" i="109" s="1"/>
  <c r="H233" i="109" a="1"/>
  <c r="H233" i="109" s="1"/>
  <c r="G233" i="109" a="1"/>
  <c r="G233" i="109" s="1"/>
  <c r="F233" i="109" a="1"/>
  <c r="F233" i="109" s="1"/>
  <c r="E233" i="109" a="1"/>
  <c r="E233" i="109" s="1"/>
  <c r="D233" i="109" a="1"/>
  <c r="D233" i="109" s="1"/>
  <c r="S232" i="109" a="1"/>
  <c r="S232" i="109" s="1"/>
  <c r="R232" i="109" a="1"/>
  <c r="R232" i="109" s="1"/>
  <c r="Q232" i="109" a="1"/>
  <c r="Q232" i="109" s="1"/>
  <c r="P232" i="109" a="1"/>
  <c r="P232" i="109" s="1"/>
  <c r="O232" i="109" a="1"/>
  <c r="O232" i="109" s="1"/>
  <c r="N232" i="109" a="1"/>
  <c r="N232" i="109" s="1"/>
  <c r="M232" i="109" a="1"/>
  <c r="M232" i="109" s="1"/>
  <c r="L232" i="109" a="1"/>
  <c r="L232" i="109" s="1"/>
  <c r="K232" i="109" a="1"/>
  <c r="K232" i="109" s="1"/>
  <c r="J232" i="109" a="1"/>
  <c r="J232" i="109" s="1"/>
  <c r="I232" i="109" a="1"/>
  <c r="I232" i="109" s="1"/>
  <c r="H232" i="109" a="1"/>
  <c r="H232" i="109" s="1"/>
  <c r="G232" i="109" a="1"/>
  <c r="G232" i="109" s="1"/>
  <c r="F232" i="109" a="1"/>
  <c r="F232" i="109" s="1"/>
  <c r="E232" i="109" a="1"/>
  <c r="E232" i="109" s="1"/>
  <c r="D232" i="109" a="1"/>
  <c r="D232" i="109" s="1"/>
  <c r="D229" i="109" a="1"/>
  <c r="D229" i="109" s="1"/>
  <c r="D228" i="109" a="1"/>
  <c r="D228" i="109" s="1"/>
  <c r="D227" i="109" a="1"/>
  <c r="D227" i="109" s="1"/>
  <c r="E224" i="109" a="1"/>
  <c r="E224" i="109" s="1"/>
  <c r="D224" i="109" a="1"/>
  <c r="D224" i="109" s="1"/>
  <c r="E223" i="109" a="1"/>
  <c r="E223" i="109" s="1"/>
  <c r="D223" i="109" a="1"/>
  <c r="D223" i="109" s="1"/>
  <c r="E222" i="109" a="1"/>
  <c r="E222" i="109" s="1"/>
  <c r="D222" i="109" a="1"/>
  <c r="D222" i="109" s="1"/>
  <c r="E221" i="109" a="1"/>
  <c r="E221" i="109" s="1"/>
  <c r="D221" i="109" a="1"/>
  <c r="D221" i="109" s="1"/>
  <c r="E220" i="109" a="1"/>
  <c r="E220" i="109" s="1"/>
  <c r="D220" i="109" a="1"/>
  <c r="D220" i="109" s="1"/>
  <c r="E219" i="109" a="1"/>
  <c r="E219" i="109" s="1"/>
  <c r="D219" i="109" a="1"/>
  <c r="D219" i="109" s="1"/>
  <c r="E218" i="109" a="1"/>
  <c r="E218" i="109" s="1"/>
  <c r="D218" i="109" a="1"/>
  <c r="D218" i="109" s="1"/>
  <c r="E217" i="109" a="1"/>
  <c r="E217" i="109" s="1"/>
  <c r="D217" i="109" a="1"/>
  <c r="D217" i="109" s="1"/>
  <c r="E216" i="109" a="1"/>
  <c r="E216" i="109" s="1"/>
  <c r="D216" i="109" a="1"/>
  <c r="D216" i="109" s="1"/>
  <c r="E215" i="109" a="1"/>
  <c r="E215" i="109" s="1"/>
  <c r="D215" i="109" a="1"/>
  <c r="D215" i="109" s="1"/>
  <c r="E214" i="109" a="1"/>
  <c r="E214" i="109" s="1"/>
  <c r="D214" i="109" a="1"/>
  <c r="D214" i="109" s="1"/>
  <c r="E213" i="109" a="1"/>
  <c r="E213" i="109" s="1"/>
  <c r="D213" i="109" a="1"/>
  <c r="D213" i="109" s="1"/>
  <c r="D211" i="109" a="1"/>
  <c r="D211" i="109" s="1"/>
  <c r="E208" i="109" a="1"/>
  <c r="E208" i="109" s="1"/>
  <c r="D208" i="109" a="1"/>
  <c r="D208" i="109" s="1"/>
  <c r="E207" i="109" a="1"/>
  <c r="E207" i="109" s="1"/>
  <c r="D207" i="109" a="1"/>
  <c r="D207" i="109" s="1"/>
  <c r="D205" i="109" a="1"/>
  <c r="D205" i="109" s="1"/>
  <c r="D204" i="109" a="1"/>
  <c r="D204" i="109" s="1"/>
  <c r="D203" i="109" a="1"/>
  <c r="D203" i="109" s="1"/>
  <c r="D202" i="109" a="1"/>
  <c r="D202" i="109" s="1"/>
  <c r="H199" i="109" a="1"/>
  <c r="H199" i="109" s="1"/>
  <c r="G199" i="109" a="1"/>
  <c r="G199" i="109" s="1"/>
  <c r="F199" i="109" a="1"/>
  <c r="F199" i="109" s="1"/>
  <c r="E199" i="109" a="1"/>
  <c r="E199" i="109" s="1"/>
  <c r="D199" i="109" a="1"/>
  <c r="D199" i="109" s="1"/>
  <c r="H198" i="109" a="1"/>
  <c r="H198" i="109" s="1"/>
  <c r="G198" i="109" a="1"/>
  <c r="G198" i="109" s="1"/>
  <c r="F198" i="109" a="1"/>
  <c r="F198" i="109" s="1"/>
  <c r="E198" i="109" a="1"/>
  <c r="E198" i="109" s="1"/>
  <c r="D198" i="109" a="1"/>
  <c r="D198" i="109" s="1"/>
  <c r="H197" i="109" a="1"/>
  <c r="H197" i="109" s="1"/>
  <c r="G197" i="109" a="1"/>
  <c r="G197" i="109" s="1"/>
  <c r="F197" i="109" a="1"/>
  <c r="F197" i="109" s="1"/>
  <c r="E197" i="109" a="1"/>
  <c r="E197" i="109" s="1"/>
  <c r="D197" i="109" a="1"/>
  <c r="D197" i="109" s="1"/>
  <c r="H196" i="109" a="1"/>
  <c r="H196" i="109" s="1"/>
  <c r="G196" i="109" a="1"/>
  <c r="G196" i="109" s="1"/>
  <c r="F196" i="109" a="1"/>
  <c r="F196" i="109" s="1"/>
  <c r="E196" i="109" a="1"/>
  <c r="E196" i="109" s="1"/>
  <c r="D196" i="109" a="1"/>
  <c r="D196" i="109" s="1"/>
  <c r="H195" i="109" a="1"/>
  <c r="H195" i="109" s="1"/>
  <c r="G195" i="109" a="1"/>
  <c r="G195" i="109" s="1"/>
  <c r="F195" i="109" a="1"/>
  <c r="F195" i="109" s="1"/>
  <c r="E195" i="109" a="1"/>
  <c r="E195" i="109" s="1"/>
  <c r="D195" i="109" a="1"/>
  <c r="D195" i="109" s="1"/>
  <c r="H194" i="109" a="1"/>
  <c r="H194" i="109" s="1"/>
  <c r="G194" i="109" a="1"/>
  <c r="G194" i="109" s="1"/>
  <c r="F194" i="109" a="1"/>
  <c r="F194" i="109" s="1"/>
  <c r="E194" i="109" a="1"/>
  <c r="E194" i="109" s="1"/>
  <c r="D194" i="109" a="1"/>
  <c r="D194" i="109" s="1"/>
  <c r="H193" i="109" a="1"/>
  <c r="H193" i="109" s="1"/>
  <c r="G193" i="109" a="1"/>
  <c r="G193" i="109" s="1"/>
  <c r="F193" i="109" a="1"/>
  <c r="F193" i="109" s="1"/>
  <c r="E193" i="109" a="1"/>
  <c r="E193" i="109" s="1"/>
  <c r="D193" i="109" a="1"/>
  <c r="D193" i="109" s="1"/>
  <c r="H192" i="109" a="1"/>
  <c r="H192" i="109" s="1"/>
  <c r="G192" i="109" a="1"/>
  <c r="G192" i="109" s="1"/>
  <c r="F192" i="109" a="1"/>
  <c r="F192" i="109" s="1"/>
  <c r="E192" i="109" a="1"/>
  <c r="E192" i="109" s="1"/>
  <c r="D192" i="109" a="1"/>
  <c r="D192" i="109" s="1"/>
  <c r="H191" i="109" a="1"/>
  <c r="H191" i="109" s="1"/>
  <c r="G191" i="109" a="1"/>
  <c r="G191" i="109" s="1"/>
  <c r="F191" i="109" a="1"/>
  <c r="F191" i="109" s="1"/>
  <c r="E191" i="109" a="1"/>
  <c r="E191" i="109" s="1"/>
  <c r="D191" i="109" a="1"/>
  <c r="D191" i="109" s="1"/>
  <c r="H190" i="109" a="1"/>
  <c r="H190" i="109" s="1"/>
  <c r="G190" i="109" a="1"/>
  <c r="G190" i="109" s="1"/>
  <c r="F190" i="109" a="1"/>
  <c r="F190" i="109" s="1"/>
  <c r="E190" i="109" a="1"/>
  <c r="E190" i="109" s="1"/>
  <c r="D190" i="109" a="1"/>
  <c r="D190" i="109" s="1"/>
  <c r="H189" i="109" a="1"/>
  <c r="H189" i="109" s="1"/>
  <c r="G189" i="109" a="1"/>
  <c r="G189" i="109" s="1"/>
  <c r="F189" i="109" a="1"/>
  <c r="F189" i="109" s="1"/>
  <c r="E189" i="109" a="1"/>
  <c r="E189" i="109" s="1"/>
  <c r="D189" i="109" a="1"/>
  <c r="D189" i="109" s="1"/>
  <c r="H188" i="109" a="1"/>
  <c r="H188" i="109" s="1"/>
  <c r="G188" i="109" a="1"/>
  <c r="G188" i="109" s="1"/>
  <c r="F188" i="109" a="1"/>
  <c r="F188" i="109" s="1"/>
  <c r="E188" i="109" a="1"/>
  <c r="E188" i="109" s="1"/>
  <c r="D188" i="109" a="1"/>
  <c r="D188" i="109" s="1"/>
  <c r="H187" i="109" a="1"/>
  <c r="H187" i="109" s="1"/>
  <c r="G187" i="109" a="1"/>
  <c r="G187" i="109" s="1"/>
  <c r="F187" i="109" a="1"/>
  <c r="F187" i="109" s="1"/>
  <c r="E187" i="109" a="1"/>
  <c r="E187" i="109" s="1"/>
  <c r="D187" i="109" a="1"/>
  <c r="D187" i="109" s="1"/>
  <c r="D181" i="109" a="1"/>
  <c r="D181" i="109" s="1"/>
  <c r="D180" i="109" a="1"/>
  <c r="D180" i="109" s="1"/>
  <c r="D179" i="109" a="1"/>
  <c r="D179" i="109" s="1"/>
  <c r="D178" i="109" a="1"/>
  <c r="D178" i="109" s="1"/>
  <c r="E175" i="109" a="1"/>
  <c r="E175" i="109" s="1"/>
  <c r="D175" i="109" a="1"/>
  <c r="D175" i="109" s="1"/>
  <c r="D174" i="109" a="1"/>
  <c r="D174" i="109" s="1"/>
  <c r="D173" i="109" a="1"/>
  <c r="D173" i="109" s="1"/>
  <c r="D170" i="109" a="1"/>
  <c r="D170" i="109" s="1"/>
  <c r="D169" i="109" a="1"/>
  <c r="D169" i="109" s="1"/>
  <c r="D168" i="109" a="1"/>
  <c r="D168" i="109" s="1"/>
  <c r="D167" i="109" a="1"/>
  <c r="D167" i="109" s="1"/>
  <c r="D164" i="109" a="1"/>
  <c r="D164" i="109" s="1"/>
  <c r="D163" i="109" a="1"/>
  <c r="D163" i="109" s="1"/>
  <c r="D162" i="109" a="1"/>
  <c r="D162" i="109" s="1"/>
  <c r="D161" i="109" a="1"/>
  <c r="D161" i="109" s="1"/>
  <c r="E158" i="109" a="1"/>
  <c r="E158" i="109" s="1"/>
  <c r="D158" i="109" a="1"/>
  <c r="D158" i="109" s="1"/>
  <c r="E157" i="109" a="1"/>
  <c r="E157" i="109" s="1"/>
  <c r="D157" i="109" a="1"/>
  <c r="D157" i="109" s="1"/>
  <c r="E156" i="109" a="1"/>
  <c r="E156" i="109" s="1"/>
  <c r="D156" i="109" a="1"/>
  <c r="D156" i="109" s="1"/>
  <c r="E155" i="109" a="1"/>
  <c r="E155" i="109" s="1"/>
  <c r="D155" i="109" a="1"/>
  <c r="D155" i="109" s="1"/>
  <c r="E154" i="109" a="1"/>
  <c r="E154" i="109" s="1"/>
  <c r="D154" i="109" a="1"/>
  <c r="D154" i="109" s="1"/>
  <c r="D151" i="109" a="1"/>
  <c r="D151" i="109" s="1"/>
  <c r="D150" i="109" a="1"/>
  <c r="D150" i="109" s="1"/>
  <c r="E147" i="109" a="1"/>
  <c r="E147" i="109" s="1"/>
  <c r="D147" i="109" a="1"/>
  <c r="D147" i="109" s="1"/>
  <c r="E146" i="109" a="1"/>
  <c r="E146" i="109" s="1"/>
  <c r="D146" i="109" a="1"/>
  <c r="D146" i="109" s="1"/>
  <c r="E145" i="109" a="1"/>
  <c r="E145" i="109" s="1"/>
  <c r="D145" i="109" a="1"/>
  <c r="D145" i="109" s="1"/>
  <c r="E144" i="109" a="1"/>
  <c r="E144" i="109" s="1"/>
  <c r="D144" i="109" a="1"/>
  <c r="D144" i="109" s="1"/>
  <c r="E143" i="109" a="1"/>
  <c r="E143" i="109" s="1"/>
  <c r="D143" i="109" a="1"/>
  <c r="D143" i="109" s="1"/>
  <c r="D141" i="109" a="1"/>
  <c r="D141" i="109" s="1"/>
  <c r="D140" i="109" a="1"/>
  <c r="D140" i="109" s="1"/>
  <c r="D139" i="109" a="1"/>
  <c r="D139" i="109" s="1"/>
  <c r="E136" i="109" a="1"/>
  <c r="E136" i="109" s="1"/>
  <c r="D136" i="109" a="1"/>
  <c r="D136" i="109" s="1"/>
  <c r="E135" i="109" a="1"/>
  <c r="E135" i="109" s="1"/>
  <c r="D135" i="109" a="1"/>
  <c r="D135" i="109" s="1"/>
  <c r="D133" i="109" a="1"/>
  <c r="D133" i="109" s="1"/>
  <c r="D132" i="109" a="1"/>
  <c r="D132" i="109" s="1"/>
  <c r="E129" i="109" a="1"/>
  <c r="E129" i="109" s="1"/>
  <c r="D129" i="109" a="1"/>
  <c r="D129" i="109" s="1"/>
  <c r="E128" i="109" a="1"/>
  <c r="E128" i="109" s="1"/>
  <c r="D128" i="109" a="1"/>
  <c r="D128" i="109" s="1"/>
  <c r="D125" i="109" a="1"/>
  <c r="D125" i="109" s="1"/>
  <c r="D124" i="109" a="1"/>
  <c r="D124" i="109" s="1"/>
  <c r="G121" i="109" a="1"/>
  <c r="G121" i="109" s="1"/>
  <c r="F121" i="109" a="1"/>
  <c r="F121" i="109" s="1"/>
  <c r="E121" i="109" a="1"/>
  <c r="E121" i="109" s="1"/>
  <c r="D121" i="109" a="1"/>
  <c r="D121" i="109" s="1"/>
  <c r="G120" i="109" a="1"/>
  <c r="G120" i="109" s="1"/>
  <c r="F120" i="109" a="1"/>
  <c r="F120" i="109" s="1"/>
  <c r="E120" i="109" a="1"/>
  <c r="E120" i="109" s="1"/>
  <c r="D120" i="109" a="1"/>
  <c r="D120" i="109" s="1"/>
  <c r="D117" i="109" a="1"/>
  <c r="D117" i="109" s="1"/>
  <c r="D116" i="109" a="1"/>
  <c r="D116" i="109" s="1"/>
  <c r="D115" i="109" a="1"/>
  <c r="D115" i="109" s="1"/>
  <c r="G112" i="109" a="1"/>
  <c r="G112" i="109" s="1"/>
  <c r="F112" i="109" a="1"/>
  <c r="F112" i="109" s="1"/>
  <c r="E112" i="109" a="1"/>
  <c r="E112" i="109" s="1"/>
  <c r="D112" i="109" a="1"/>
  <c r="D112" i="109" s="1"/>
  <c r="G111" i="109" a="1"/>
  <c r="G111" i="109" s="1"/>
  <c r="F111" i="109" a="1"/>
  <c r="F111" i="109" s="1"/>
  <c r="E111" i="109" a="1"/>
  <c r="E111" i="109" s="1"/>
  <c r="D111" i="109" a="1"/>
  <c r="D111" i="109" s="1"/>
  <c r="G110" i="109" a="1"/>
  <c r="G110" i="109" s="1"/>
  <c r="F110" i="109" a="1"/>
  <c r="F110" i="109" s="1"/>
  <c r="E110" i="109" a="1"/>
  <c r="E110" i="109" s="1"/>
  <c r="D110" i="109" a="1"/>
  <c r="D110" i="109" s="1"/>
  <c r="D107" i="109" a="1"/>
  <c r="D107" i="109" s="1"/>
  <c r="D106" i="109" a="1"/>
  <c r="D106" i="109" s="1"/>
  <c r="D105" i="109" a="1"/>
  <c r="D105" i="109" s="1"/>
  <c r="D99" i="109" a="1"/>
  <c r="D99" i="109" s="1"/>
  <c r="S97" i="109" a="1"/>
  <c r="S97" i="109" s="1"/>
  <c r="R97" i="109" a="1"/>
  <c r="R97" i="109" s="1"/>
  <c r="Q97" i="109" a="1"/>
  <c r="Q97" i="109" s="1"/>
  <c r="P97" i="109" a="1"/>
  <c r="P97" i="109" s="1"/>
  <c r="O97" i="109" a="1"/>
  <c r="O97" i="109" s="1"/>
  <c r="N97" i="109" a="1"/>
  <c r="N97" i="109" s="1"/>
  <c r="M97" i="109" a="1"/>
  <c r="M97" i="109" s="1"/>
  <c r="L97" i="109" a="1"/>
  <c r="L97" i="109" s="1"/>
  <c r="K97" i="109" a="1"/>
  <c r="K97" i="109" s="1"/>
  <c r="J97" i="109" a="1"/>
  <c r="J97" i="109" s="1"/>
  <c r="I97" i="109" a="1"/>
  <c r="I97" i="109" s="1"/>
  <c r="H97" i="109" a="1"/>
  <c r="H97" i="109" s="1"/>
  <c r="G97" i="109" a="1"/>
  <c r="G97" i="109" s="1"/>
  <c r="F97" i="109" a="1"/>
  <c r="F97" i="109" s="1"/>
  <c r="E97" i="109" a="1"/>
  <c r="E97" i="109" s="1"/>
  <c r="D97" i="109" a="1"/>
  <c r="D97" i="109" s="1"/>
  <c r="S96" i="109" a="1"/>
  <c r="S96" i="109" s="1"/>
  <c r="R96" i="109" a="1"/>
  <c r="R96" i="109" s="1"/>
  <c r="Q96" i="109" a="1"/>
  <c r="Q96" i="109" s="1"/>
  <c r="P96" i="109" a="1"/>
  <c r="P96" i="109" s="1"/>
  <c r="O96" i="109" a="1"/>
  <c r="O96" i="109" s="1"/>
  <c r="N96" i="109" a="1"/>
  <c r="N96" i="109" s="1"/>
  <c r="M96" i="109" a="1"/>
  <c r="M96" i="109" s="1"/>
  <c r="L96" i="109" a="1"/>
  <c r="L96" i="109" s="1"/>
  <c r="K96" i="109" a="1"/>
  <c r="K96" i="109" s="1"/>
  <c r="J96" i="109" a="1"/>
  <c r="J96" i="109" s="1"/>
  <c r="I96" i="109" a="1"/>
  <c r="I96" i="109" s="1"/>
  <c r="H96" i="109" a="1"/>
  <c r="H96" i="109" s="1"/>
  <c r="G96" i="109" a="1"/>
  <c r="G96" i="109" s="1"/>
  <c r="F96" i="109" a="1"/>
  <c r="F96" i="109" s="1"/>
  <c r="E96" i="109" a="1"/>
  <c r="E96" i="109" s="1"/>
  <c r="D96" i="109" a="1"/>
  <c r="D96" i="109" s="1"/>
  <c r="S95" i="109" a="1"/>
  <c r="S95" i="109" s="1"/>
  <c r="R95" i="109" a="1"/>
  <c r="R95" i="109" s="1"/>
  <c r="Q95" i="109" a="1"/>
  <c r="Q95" i="109" s="1"/>
  <c r="P95" i="109" a="1"/>
  <c r="P95" i="109" s="1"/>
  <c r="O95" i="109" a="1"/>
  <c r="O95" i="109" s="1"/>
  <c r="N95" i="109" a="1"/>
  <c r="N95" i="109" s="1"/>
  <c r="M95" i="109" a="1"/>
  <c r="M95" i="109" s="1"/>
  <c r="L95" i="109" a="1"/>
  <c r="L95" i="109" s="1"/>
  <c r="K95" i="109" a="1"/>
  <c r="K95" i="109" s="1"/>
  <c r="J95" i="109" a="1"/>
  <c r="J95" i="109" s="1"/>
  <c r="I95" i="109" a="1"/>
  <c r="I95" i="109" s="1"/>
  <c r="H95" i="109" a="1"/>
  <c r="H95" i="109" s="1"/>
  <c r="G95" i="109" a="1"/>
  <c r="G95" i="109" s="1"/>
  <c r="F95" i="109" a="1"/>
  <c r="F95" i="109" s="1"/>
  <c r="E95" i="109" a="1"/>
  <c r="E95" i="109" s="1"/>
  <c r="D95" i="109" a="1"/>
  <c r="D95" i="109" s="1"/>
  <c r="S94" i="109" a="1"/>
  <c r="S94" i="109" s="1"/>
  <c r="R94" i="109" a="1"/>
  <c r="R94" i="109" s="1"/>
  <c r="Q94" i="109" a="1"/>
  <c r="Q94" i="109" s="1"/>
  <c r="P94" i="109" a="1"/>
  <c r="P94" i="109" s="1"/>
  <c r="O94" i="109" a="1"/>
  <c r="O94" i="109" s="1"/>
  <c r="N94" i="109" a="1"/>
  <c r="N94" i="109" s="1"/>
  <c r="M94" i="109" a="1"/>
  <c r="M94" i="109" s="1"/>
  <c r="L94" i="109" a="1"/>
  <c r="L94" i="109" s="1"/>
  <c r="K94" i="109" a="1"/>
  <c r="K94" i="109" s="1"/>
  <c r="J94" i="109" a="1"/>
  <c r="J94" i="109" s="1"/>
  <c r="I94" i="109" a="1"/>
  <c r="I94" i="109" s="1"/>
  <c r="H94" i="109" a="1"/>
  <c r="H94" i="109" s="1"/>
  <c r="G94" i="109" a="1"/>
  <c r="G94" i="109" s="1"/>
  <c r="F94" i="109" a="1"/>
  <c r="F94" i="109" s="1"/>
  <c r="E94" i="109" a="1"/>
  <c r="E94" i="109" s="1"/>
  <c r="D94" i="109" a="1"/>
  <c r="D94" i="109" s="1"/>
  <c r="S93" i="109" a="1"/>
  <c r="S93" i="109" s="1"/>
  <c r="R93" i="109" a="1"/>
  <c r="R93" i="109" s="1"/>
  <c r="Q93" i="109" a="1"/>
  <c r="Q93" i="109" s="1"/>
  <c r="P93" i="109" a="1"/>
  <c r="P93" i="109" s="1"/>
  <c r="O93" i="109" a="1"/>
  <c r="O93" i="109" s="1"/>
  <c r="N93" i="109" a="1"/>
  <c r="N93" i="109" s="1"/>
  <c r="M93" i="109" a="1"/>
  <c r="M93" i="109" s="1"/>
  <c r="L93" i="109" a="1"/>
  <c r="L93" i="109" s="1"/>
  <c r="K93" i="109" a="1"/>
  <c r="K93" i="109" s="1"/>
  <c r="J93" i="109" a="1"/>
  <c r="J93" i="109" s="1"/>
  <c r="I93" i="109" a="1"/>
  <c r="I93" i="109" s="1"/>
  <c r="H93" i="109" a="1"/>
  <c r="H93" i="109" s="1"/>
  <c r="G93" i="109" a="1"/>
  <c r="G93" i="109" s="1"/>
  <c r="F93" i="109" a="1"/>
  <c r="F93" i="109" s="1"/>
  <c r="E93" i="109" a="1"/>
  <c r="E93" i="109" s="1"/>
  <c r="D93" i="109" a="1"/>
  <c r="D93" i="109" s="1"/>
  <c r="S92" i="109" a="1"/>
  <c r="S92" i="109" s="1"/>
  <c r="R92" i="109" a="1"/>
  <c r="R92" i="109" s="1"/>
  <c r="Q92" i="109" a="1"/>
  <c r="Q92" i="109" s="1"/>
  <c r="P92" i="109" a="1"/>
  <c r="P92" i="109" s="1"/>
  <c r="O92" i="109" a="1"/>
  <c r="O92" i="109" s="1"/>
  <c r="N92" i="109" a="1"/>
  <c r="N92" i="109" s="1"/>
  <c r="M92" i="109" a="1"/>
  <c r="M92" i="109" s="1"/>
  <c r="L92" i="109" a="1"/>
  <c r="L92" i="109" s="1"/>
  <c r="K92" i="109" a="1"/>
  <c r="K92" i="109" s="1"/>
  <c r="J92" i="109" a="1"/>
  <c r="J92" i="109" s="1"/>
  <c r="I92" i="109" a="1"/>
  <c r="I92" i="109" s="1"/>
  <c r="H92" i="109" a="1"/>
  <c r="H92" i="109" s="1"/>
  <c r="G92" i="109" a="1"/>
  <c r="G92" i="109" s="1"/>
  <c r="F92" i="109" a="1"/>
  <c r="F92" i="109" s="1"/>
  <c r="E92" i="109" a="1"/>
  <c r="E92" i="109" s="1"/>
  <c r="D92" i="109" a="1"/>
  <c r="D92" i="109" s="1"/>
  <c r="S91" i="109" a="1"/>
  <c r="S91" i="109" s="1"/>
  <c r="R91" i="109" a="1"/>
  <c r="R91" i="109" s="1"/>
  <c r="Q91" i="109" a="1"/>
  <c r="Q91" i="109" s="1"/>
  <c r="P91" i="109" a="1"/>
  <c r="P91" i="109" s="1"/>
  <c r="O91" i="109" a="1"/>
  <c r="O91" i="109" s="1"/>
  <c r="N91" i="109" a="1"/>
  <c r="N91" i="109" s="1"/>
  <c r="M91" i="109" a="1"/>
  <c r="M91" i="109" s="1"/>
  <c r="L91" i="109" a="1"/>
  <c r="L91" i="109" s="1"/>
  <c r="K91" i="109" a="1"/>
  <c r="K91" i="109" s="1"/>
  <c r="J91" i="109" a="1"/>
  <c r="J91" i="109" s="1"/>
  <c r="I91" i="109" a="1"/>
  <c r="I91" i="109" s="1"/>
  <c r="H91" i="109" a="1"/>
  <c r="H91" i="109" s="1"/>
  <c r="G91" i="109" a="1"/>
  <c r="G91" i="109" s="1"/>
  <c r="F91" i="109" a="1"/>
  <c r="F91" i="109" s="1"/>
  <c r="E91" i="109" a="1"/>
  <c r="E91" i="109" s="1"/>
  <c r="D91" i="109" a="1"/>
  <c r="D91" i="109" s="1"/>
  <c r="S90" i="109" a="1"/>
  <c r="S90" i="109" s="1"/>
  <c r="R90" i="109" a="1"/>
  <c r="R90" i="109" s="1"/>
  <c r="Q90" i="109" a="1"/>
  <c r="Q90" i="109" s="1"/>
  <c r="P90" i="109" a="1"/>
  <c r="P90" i="109" s="1"/>
  <c r="O90" i="109" a="1"/>
  <c r="O90" i="109" s="1"/>
  <c r="N90" i="109" a="1"/>
  <c r="N90" i="109" s="1"/>
  <c r="M90" i="109" a="1"/>
  <c r="M90" i="109" s="1"/>
  <c r="L90" i="109" a="1"/>
  <c r="L90" i="109" s="1"/>
  <c r="K90" i="109" a="1"/>
  <c r="K90" i="109" s="1"/>
  <c r="J90" i="109" a="1"/>
  <c r="J90" i="109" s="1"/>
  <c r="I90" i="109" a="1"/>
  <c r="I90" i="109" s="1"/>
  <c r="H90" i="109" a="1"/>
  <c r="H90" i="109" s="1"/>
  <c r="G90" i="109" a="1"/>
  <c r="G90" i="109" s="1"/>
  <c r="F90" i="109" a="1"/>
  <c r="F90" i="109" s="1"/>
  <c r="E90" i="109" a="1"/>
  <c r="E90" i="109" s="1"/>
  <c r="D90" i="109" a="1"/>
  <c r="D90" i="109" s="1"/>
  <c r="D83" i="109" a="1"/>
  <c r="D83" i="109" s="1"/>
  <c r="D82" i="109" a="1"/>
  <c r="D82" i="109" s="1"/>
  <c r="D81" i="109" a="1"/>
  <c r="D81" i="109" s="1"/>
  <c r="E77" i="109" a="1"/>
  <c r="E77" i="109" s="1"/>
  <c r="D77" i="109" a="1"/>
  <c r="D77" i="109" s="1"/>
  <c r="E76" i="109" a="1"/>
  <c r="E76" i="109" s="1"/>
  <c r="D76" i="109" a="1"/>
  <c r="D76" i="109" s="1"/>
  <c r="E75" i="109" a="1"/>
  <c r="E75" i="109" s="1"/>
  <c r="D75" i="109" a="1"/>
  <c r="D75" i="109" s="1"/>
  <c r="E74" i="109" a="1"/>
  <c r="E74" i="109" s="1"/>
  <c r="D74" i="109" a="1"/>
  <c r="D74" i="109" s="1"/>
  <c r="E73" i="109" a="1"/>
  <c r="E73" i="109" s="1"/>
  <c r="D73" i="109" a="1"/>
  <c r="D73" i="109" s="1"/>
  <c r="E72" i="109" a="1"/>
  <c r="E72" i="109" s="1"/>
  <c r="D72" i="109" a="1"/>
  <c r="D72" i="109" s="1"/>
  <c r="E71" i="109" a="1"/>
  <c r="E71" i="109" s="1"/>
  <c r="D71" i="109" a="1"/>
  <c r="D71" i="109" s="1"/>
  <c r="E70" i="109" a="1"/>
  <c r="E70" i="109" s="1"/>
  <c r="D70" i="109" a="1"/>
  <c r="D70" i="109" s="1"/>
  <c r="E69" i="109" a="1"/>
  <c r="E69" i="109" s="1"/>
  <c r="D69" i="109" a="1"/>
  <c r="D69" i="109" s="1"/>
  <c r="E68" i="109" a="1"/>
  <c r="E68" i="109" s="1"/>
  <c r="D68" i="109" a="1"/>
  <c r="D68" i="109" s="1"/>
  <c r="E67" i="109" a="1"/>
  <c r="E67" i="109" s="1"/>
  <c r="D67" i="109" a="1"/>
  <c r="D67" i="109" s="1"/>
  <c r="E66" i="109" a="1"/>
  <c r="E66" i="109" s="1"/>
  <c r="D66" i="109" a="1"/>
  <c r="D66" i="109" s="1"/>
  <c r="E65" i="109" a="1"/>
  <c r="E65" i="109" s="1"/>
  <c r="D65" i="109" a="1"/>
  <c r="D65" i="109" s="1"/>
  <c r="E64" i="109" a="1"/>
  <c r="E64" i="109" s="1"/>
  <c r="D64" i="109" a="1"/>
  <c r="D64" i="109" s="1"/>
  <c r="D59" i="109" a="1"/>
  <c r="D59" i="109" s="1"/>
  <c r="D58" i="109" a="1"/>
  <c r="D58" i="109" s="1"/>
  <c r="D57" i="109" a="1"/>
  <c r="D57" i="109" s="1"/>
  <c r="G54" i="109" a="1"/>
  <c r="G54" i="109" s="1"/>
  <c r="F54" i="109" a="1"/>
  <c r="F54" i="109" s="1"/>
  <c r="E54" i="109" a="1"/>
  <c r="E54" i="109" s="1"/>
  <c r="D54" i="109" a="1"/>
  <c r="D54" i="109" s="1"/>
  <c r="G53" i="109" a="1"/>
  <c r="G53" i="109" s="1"/>
  <c r="F53" i="109" a="1"/>
  <c r="F53" i="109" s="1"/>
  <c r="E53" i="109" a="1"/>
  <c r="E53" i="109" s="1"/>
  <c r="D53" i="109" a="1"/>
  <c r="D53" i="109" s="1"/>
  <c r="G52" i="109" a="1"/>
  <c r="G52" i="109" s="1"/>
  <c r="F52" i="109" a="1"/>
  <c r="F52" i="109" s="1"/>
  <c r="H52" i="109" s="1"/>
  <c r="E52" i="109" a="1"/>
  <c r="E52" i="109" s="1"/>
  <c r="D52" i="109" a="1"/>
  <c r="D52" i="109" s="1"/>
  <c r="G51" i="109" a="1"/>
  <c r="G51" i="109" s="1"/>
  <c r="F51" i="109" a="1"/>
  <c r="F51" i="109" s="1"/>
  <c r="E51" i="109" a="1"/>
  <c r="E51" i="109" s="1"/>
  <c r="D51" i="109" a="1"/>
  <c r="D51" i="109" s="1"/>
  <c r="G50" i="109" a="1"/>
  <c r="G50" i="109" s="1"/>
  <c r="F50" i="109" a="1"/>
  <c r="F50" i="109" s="1"/>
  <c r="E50" i="109" a="1"/>
  <c r="E50" i="109" s="1"/>
  <c r="D50" i="109" a="1"/>
  <c r="D50" i="109" s="1"/>
  <c r="G49" i="109" a="1"/>
  <c r="G49" i="109" s="1"/>
  <c r="F49" i="109" a="1"/>
  <c r="F49" i="109" s="1"/>
  <c r="E49" i="109" a="1"/>
  <c r="E49" i="109" s="1"/>
  <c r="D49" i="109" a="1"/>
  <c r="D49" i="109" s="1"/>
  <c r="G48" i="109" a="1"/>
  <c r="G48" i="109" s="1"/>
  <c r="F48" i="109" a="1"/>
  <c r="F48" i="109" s="1"/>
  <c r="E48" i="109" a="1"/>
  <c r="E48" i="109" s="1"/>
  <c r="D48" i="109" a="1"/>
  <c r="D48" i="109" s="1"/>
  <c r="D46" i="109" a="1"/>
  <c r="D46" i="109" s="1"/>
  <c r="D45" i="109" a="1"/>
  <c r="D45" i="109" s="1"/>
  <c r="E43" i="109" a="1"/>
  <c r="E43" i="109" s="1"/>
  <c r="D43" i="109" a="1"/>
  <c r="D43" i="109" s="1"/>
  <c r="E42" i="109" a="1"/>
  <c r="E42" i="109" s="1"/>
  <c r="D42" i="109" a="1"/>
  <c r="D42" i="109" s="1"/>
  <c r="E41" i="109" a="1"/>
  <c r="E41" i="109" s="1"/>
  <c r="D41" i="109" a="1"/>
  <c r="D41" i="109" s="1"/>
  <c r="E40" i="109" a="1"/>
  <c r="E40" i="109" s="1"/>
  <c r="D40" i="109" a="1"/>
  <c r="D40" i="109" s="1"/>
  <c r="E39" i="109" a="1"/>
  <c r="E39" i="109" s="1"/>
  <c r="D39" i="109" a="1"/>
  <c r="D39" i="109" s="1"/>
  <c r="E38" i="109" a="1"/>
  <c r="E38" i="109" s="1"/>
  <c r="D38" i="109" a="1"/>
  <c r="D38" i="109" s="1"/>
  <c r="E37" i="109" a="1"/>
  <c r="E37" i="109" s="1"/>
  <c r="D37" i="109" a="1"/>
  <c r="D37" i="109" s="1"/>
  <c r="D35" i="109"/>
  <c r="D35" i="109" a="1"/>
  <c r="D34" i="109"/>
  <c r="D34" i="109" a="1"/>
  <c r="D30" i="109" a="1"/>
  <c r="D30" i="109" s="1"/>
  <c r="D29" i="109" a="1"/>
  <c r="D29" i="109" s="1"/>
  <c r="D28" i="109" a="1"/>
  <c r="D28" i="109" s="1"/>
  <c r="D27" i="109" a="1"/>
  <c r="D27" i="109" s="1"/>
  <c r="D26" i="109" a="1"/>
  <c r="D26" i="109" s="1"/>
  <c r="D25" i="109" a="1"/>
  <c r="D25" i="109" s="1"/>
  <c r="D24" i="109" a="1"/>
  <c r="D24" i="109" s="1"/>
  <c r="D23" i="109" a="1"/>
  <c r="D23" i="109" s="1"/>
  <c r="D22" i="109" a="1"/>
  <c r="D22" i="109" s="1"/>
  <c r="D21" i="109" a="1"/>
  <c r="D21" i="109" s="1"/>
  <c r="D19" i="109"/>
  <c r="D19" i="109" a="1"/>
  <c r="D18" i="109" a="1"/>
  <c r="D18" i="109" s="1"/>
  <c r="F14" i="109" a="1"/>
  <c r="F14" i="109" s="1"/>
  <c r="E14" i="109" a="1"/>
  <c r="E14" i="109" s="1"/>
  <c r="D14" i="109" a="1"/>
  <c r="D14" i="109" s="1"/>
  <c r="F13" i="109" a="1"/>
  <c r="F13" i="109" s="1"/>
  <c r="E13" i="109" a="1"/>
  <c r="E13" i="109" s="1"/>
  <c r="D13" i="109" a="1"/>
  <c r="D13" i="109" s="1"/>
  <c r="F12" i="109" a="1"/>
  <c r="F12" i="109" s="1"/>
  <c r="E12" i="109" a="1"/>
  <c r="E12" i="109" s="1"/>
  <c r="D12" i="109" a="1"/>
  <c r="D12" i="109" s="1"/>
  <c r="F11" i="109" a="1"/>
  <c r="F11" i="109" s="1"/>
  <c r="E11" i="109" a="1"/>
  <c r="E11" i="109" s="1"/>
  <c r="D11" i="109" a="1"/>
  <c r="D11" i="109" s="1"/>
  <c r="F10" i="109" a="1"/>
  <c r="F10" i="109" s="1"/>
  <c r="E10" i="109" a="1"/>
  <c r="E10" i="109" s="1"/>
  <c r="D10" i="109" a="1"/>
  <c r="D10" i="109" s="1"/>
  <c r="F9" i="109" a="1"/>
  <c r="F9" i="109" s="1"/>
  <c r="E9" i="109" a="1"/>
  <c r="E9" i="109" s="1"/>
  <c r="D9" i="109" a="1"/>
  <c r="D9" i="109" s="1"/>
  <c r="F8" i="109" a="1"/>
  <c r="F8" i="109" s="1"/>
  <c r="E8" i="109" a="1"/>
  <c r="E8" i="109" s="1"/>
  <c r="D8" i="109" a="1"/>
  <c r="D8" i="109" s="1"/>
  <c r="F7" i="109" a="1"/>
  <c r="F7" i="109" s="1"/>
  <c r="E7" i="109" a="1"/>
  <c r="E7" i="109" s="1"/>
  <c r="D7" i="109" a="1"/>
  <c r="D7" i="109" s="1"/>
  <c r="D5" i="109"/>
  <c r="D5" i="109" a="1"/>
  <c r="U144" i="69"/>
  <c r="U143" i="69"/>
  <c r="U142" i="69"/>
  <c r="U141" i="69"/>
  <c r="U140" i="69"/>
  <c r="U139" i="69"/>
  <c r="U138" i="69"/>
  <c r="U137" i="69"/>
  <c r="U136" i="69"/>
  <c r="U135" i="69"/>
  <c r="U134" i="69"/>
  <c r="U133" i="69"/>
  <c r="U128" i="69"/>
  <c r="U127" i="69"/>
  <c r="U126" i="69"/>
  <c r="U125" i="69"/>
  <c r="U124" i="69"/>
  <c r="U123" i="69"/>
  <c r="U122" i="69"/>
  <c r="U121" i="69"/>
  <c r="U120" i="69"/>
  <c r="U119" i="69"/>
  <c r="U118" i="69"/>
  <c r="U117" i="69"/>
  <c r="U108" i="69"/>
  <c r="U107" i="69"/>
  <c r="U106" i="69"/>
  <c r="U105" i="69"/>
  <c r="U104" i="69"/>
  <c r="U103" i="69"/>
  <c r="U102" i="69"/>
  <c r="U101" i="69"/>
  <c r="U100" i="69"/>
  <c r="U99" i="69"/>
  <c r="U98" i="69"/>
  <c r="U97" i="69"/>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U39" i="69"/>
  <c r="U38" i="69"/>
  <c r="U37" i="69"/>
  <c r="U36" i="69"/>
  <c r="U35" i="69"/>
  <c r="U34" i="69"/>
  <c r="U33" i="69"/>
  <c r="U32" i="69"/>
  <c r="U31" i="69"/>
  <c r="U30" i="69"/>
  <c r="U29" i="69"/>
  <c r="U28" i="69"/>
  <c r="D51" i="69"/>
  <c r="D50" i="69"/>
  <c r="D49" i="69"/>
  <c r="D48" i="69"/>
  <c r="J198" i="70" a="1"/>
  <c r="J198" i="70" s="1"/>
  <c r="J200" i="70" a="1"/>
  <c r="J200" i="70" s="1"/>
  <c r="J197" i="70" a="1"/>
  <c r="J197" i="70"/>
  <c r="J196" i="70" a="1"/>
  <c r="J196" i="70"/>
  <c r="J195" i="70" a="1"/>
  <c r="J195" i="70" s="1"/>
  <c r="J199" i="70" a="1"/>
  <c r="J199" i="70" s="1"/>
  <c r="J194" i="70" a="1"/>
  <c r="J194" i="70" s="1"/>
  <c r="J192" i="70" a="1"/>
  <c r="J192" i="70" s="1"/>
  <c r="J193" i="70" a="1"/>
  <c r="J193" i="70" s="1"/>
  <c r="I216" i="70"/>
  <c r="I215" i="70"/>
  <c r="I214" i="70"/>
  <c r="I213" i="70"/>
  <c r="I212" i="70"/>
  <c r="I211" i="70"/>
  <c r="I210" i="70"/>
  <c r="I209" i="70"/>
  <c r="I208" i="70"/>
  <c r="I207" i="70"/>
  <c r="D172" i="70"/>
  <c r="D171" i="70"/>
  <c r="D170" i="70"/>
  <c r="D169" i="70"/>
  <c r="D168" i="70"/>
  <c r="D167" i="70"/>
  <c r="D166" i="70"/>
  <c r="D165" i="70"/>
  <c r="D164" i="70"/>
  <c r="D163" i="70"/>
  <c r="D162" i="70"/>
  <c r="D161" i="70"/>
  <c r="D150" i="70"/>
  <c r="D149" i="70"/>
  <c r="D148" i="70"/>
  <c r="D147" i="70"/>
  <c r="D146" i="70"/>
  <c r="D145" i="70"/>
  <c r="D144" i="70"/>
  <c r="D143" i="70"/>
  <c r="D142" i="70"/>
  <c r="D141" i="70"/>
  <c r="D140" i="70"/>
  <c r="D139" i="70"/>
  <c r="G128" i="70"/>
  <c r="F128" i="70"/>
  <c r="E128" i="70"/>
  <c r="D127" i="70"/>
  <c r="D128" i="70" s="1"/>
  <c r="D125" i="70"/>
  <c r="K124" i="70"/>
  <c r="J124" i="70"/>
  <c r="M124" i="70" s="1"/>
  <c r="N123" i="70"/>
  <c r="M123" i="70"/>
  <c r="K123" i="70"/>
  <c r="L123" i="70" s="1"/>
  <c r="J123" i="70"/>
  <c r="K122" i="70"/>
  <c r="L122" i="70" s="1"/>
  <c r="J122" i="70"/>
  <c r="M121" i="70"/>
  <c r="K121" i="70"/>
  <c r="M122" i="70" s="1"/>
  <c r="J121" i="70"/>
  <c r="E121" i="70"/>
  <c r="E120" i="70"/>
  <c r="D126" i="70" s="1"/>
  <c r="M114" i="70"/>
  <c r="L114" i="70"/>
  <c r="M113" i="70"/>
  <c r="L113" i="70"/>
  <c r="M112" i="70"/>
  <c r="L112" i="70"/>
  <c r="M111" i="70"/>
  <c r="L111" i="70"/>
  <c r="D111" i="70"/>
  <c r="D100" i="70"/>
  <c r="D99" i="70"/>
  <c r="D98" i="70"/>
  <c r="D97" i="70"/>
  <c r="D96" i="70"/>
  <c r="D95" i="70"/>
  <c r="D94" i="70"/>
  <c r="D93" i="70"/>
  <c r="D92" i="70"/>
  <c r="D91" i="70"/>
  <c r="D90" i="70"/>
  <c r="D89" i="70"/>
  <c r="D78" i="70"/>
  <c r="D77" i="70"/>
  <c r="D76" i="70"/>
  <c r="D75" i="70"/>
  <c r="D74" i="70"/>
  <c r="D73" i="70"/>
  <c r="D72" i="70"/>
  <c r="D71" i="70"/>
  <c r="D70" i="70"/>
  <c r="D69" i="70"/>
  <c r="D68" i="70"/>
  <c r="D67" i="70"/>
  <c r="D56" i="70"/>
  <c r="D55" i="70"/>
  <c r="D54" i="70"/>
  <c r="D53" i="70"/>
  <c r="D52" i="70"/>
  <c r="D51" i="70"/>
  <c r="D50" i="70"/>
  <c r="D49" i="70"/>
  <c r="D48" i="70"/>
  <c r="D47" i="70"/>
  <c r="D46" i="70"/>
  <c r="D45" i="70"/>
  <c r="D34" i="70"/>
  <c r="N34" i="70" s="1"/>
  <c r="D33" i="70"/>
  <c r="L33" i="70" s="1"/>
  <c r="D32" i="70"/>
  <c r="K32" i="70" s="1"/>
  <c r="M31" i="70"/>
  <c r="L31" i="70"/>
  <c r="D31" i="70"/>
  <c r="F31" i="70" s="1"/>
  <c r="D30" i="70"/>
  <c r="H30" i="70" s="1"/>
  <c r="D29" i="70"/>
  <c r="F29" i="70" s="1"/>
  <c r="D28" i="70"/>
  <c r="N28" i="70" s="1"/>
  <c r="D27" i="70"/>
  <c r="I27" i="70" s="1"/>
  <c r="D26" i="70"/>
  <c r="I26" i="70" s="1"/>
  <c r="N25" i="70"/>
  <c r="D25" i="70"/>
  <c r="I25" i="70" s="1"/>
  <c r="D24" i="70"/>
  <c r="K24" i="70" s="1"/>
  <c r="D23" i="70"/>
  <c r="H23" i="70" s="1"/>
  <c r="E7" i="70"/>
  <c r="H48" i="109" l="1"/>
  <c r="H50" i="109"/>
  <c r="M32" i="70"/>
  <c r="H53" i="109"/>
  <c r="N27" i="70"/>
  <c r="F27" i="70"/>
  <c r="F25" i="70"/>
  <c r="M34" i="70"/>
  <c r="G25" i="70"/>
  <c r="H27" i="70"/>
  <c r="F34" i="70"/>
  <c r="G34" i="70"/>
  <c r="E25" i="70"/>
  <c r="H34" i="70"/>
  <c r="M28" i="70"/>
  <c r="H49" i="109"/>
  <c r="E34" i="70"/>
  <c r="L28" i="70"/>
  <c r="H25" i="70"/>
  <c r="H54" i="109"/>
  <c r="H51" i="109"/>
  <c r="H26" i="70"/>
  <c r="G26" i="70"/>
  <c r="E26" i="70"/>
  <c r="F26" i="70"/>
  <c r="N26" i="70"/>
  <c r="M26" i="70"/>
  <c r="L26" i="70"/>
  <c r="J26" i="70"/>
  <c r="K26" i="70"/>
  <c r="I23" i="70"/>
  <c r="N23" i="70"/>
  <c r="K23" i="70"/>
  <c r="M23" i="70"/>
  <c r="L23" i="70"/>
  <c r="J23" i="70"/>
  <c r="E32" i="70"/>
  <c r="J32" i="70"/>
  <c r="G32" i="70"/>
  <c r="I32" i="70"/>
  <c r="K28" i="70"/>
  <c r="G29" i="70"/>
  <c r="L29" i="70"/>
  <c r="H32" i="70"/>
  <c r="N32" i="70"/>
  <c r="L32" i="70"/>
  <c r="G27" i="70"/>
  <c r="M27" i="70"/>
  <c r="J27" i="70"/>
  <c r="L27" i="70"/>
  <c r="K27" i="70"/>
  <c r="H31" i="70"/>
  <c r="I31" i="70"/>
  <c r="J31" i="70"/>
  <c r="I30" i="70"/>
  <c r="J30" i="70"/>
  <c r="L121" i="70"/>
  <c r="M29" i="70"/>
  <c r="K29" i="70"/>
  <c r="J29" i="70"/>
  <c r="I29" i="70"/>
  <c r="H29" i="70"/>
  <c r="E31" i="70"/>
  <c r="N31" i="70"/>
  <c r="E29" i="70"/>
  <c r="G31" i="70"/>
  <c r="O122" i="70"/>
  <c r="N122" i="70"/>
  <c r="L24" i="70"/>
  <c r="J24" i="70"/>
  <c r="I24" i="70"/>
  <c r="H24" i="70"/>
  <c r="G24" i="70"/>
  <c r="N30" i="70"/>
  <c r="M30" i="70"/>
  <c r="L30" i="70"/>
  <c r="K30" i="70"/>
  <c r="K33" i="70"/>
  <c r="I33" i="70"/>
  <c r="H33" i="70"/>
  <c r="G33" i="70"/>
  <c r="F33" i="70"/>
  <c r="E24" i="70"/>
  <c r="E33" i="70"/>
  <c r="O123" i="70"/>
  <c r="F24" i="70"/>
  <c r="N29" i="70"/>
  <c r="K31" i="70"/>
  <c r="J33" i="70"/>
  <c r="M24" i="70"/>
  <c r="L124" i="70"/>
  <c r="E30" i="70"/>
  <c r="M33" i="70"/>
  <c r="N24" i="70"/>
  <c r="J28" i="70"/>
  <c r="H28" i="70"/>
  <c r="G28" i="70"/>
  <c r="F28" i="70"/>
  <c r="E28" i="70"/>
  <c r="F30" i="70"/>
  <c r="N33" i="70"/>
  <c r="M25" i="70"/>
  <c r="L25" i="70"/>
  <c r="K25" i="70"/>
  <c r="J25" i="70"/>
  <c r="I28" i="70"/>
  <c r="G30" i="70"/>
  <c r="I34" i="70"/>
  <c r="E23" i="70"/>
  <c r="J34" i="70"/>
  <c r="F23" i="70"/>
  <c r="K34" i="70"/>
  <c r="G23" i="70"/>
  <c r="E27" i="70"/>
  <c r="F32" i="70"/>
  <c r="L34" i="70"/>
  <c r="N124" i="70" l="1"/>
  <c r="O124" i="70" s="1"/>
  <c r="N121" i="70"/>
  <c r="O121" i="70" s="1"/>
  <c r="O28" i="79" l="1"/>
  <c r="O27" i="79"/>
  <c r="O26" i="79"/>
  <c r="O25" i="79"/>
  <c r="O24" i="79"/>
  <c r="O23" i="79"/>
  <c r="O22" i="79"/>
  <c r="O21" i="79"/>
  <c r="O20" i="79"/>
  <c r="O19" i="79"/>
  <c r="E65" i="43" a="1"/>
  <c r="E65" i="43" s="1"/>
  <c r="D65" i="43" a="1"/>
  <c r="D65" i="43" s="1"/>
  <c r="D63" i="43" a="1"/>
  <c r="D63" i="43" s="1"/>
  <c r="D62" i="43"/>
  <c r="D62" i="43" a="1"/>
  <c r="E60" i="43" a="1"/>
  <c r="E60" i="43" s="1"/>
  <c r="D60" i="43" a="1"/>
  <c r="D60" i="43" s="1"/>
  <c r="D58" i="43" a="1"/>
  <c r="D58" i="43" s="1"/>
  <c r="D57" i="43" a="1"/>
  <c r="D57" i="43" s="1"/>
  <c r="E55" i="43" a="1"/>
  <c r="E55" i="43" s="1"/>
  <c r="D55" i="43" a="1"/>
  <c r="D55" i="43" s="1"/>
  <c r="D53" i="43" a="1"/>
  <c r="D53" i="43" s="1"/>
  <c r="D52" i="43" a="1"/>
  <c r="D52" i="43" s="1"/>
  <c r="E50" i="43" a="1"/>
  <c r="E50" i="43" s="1"/>
  <c r="D50" i="43" a="1"/>
  <c r="D50" i="43" s="1"/>
  <c r="E49" i="43" a="1"/>
  <c r="E49" i="43" s="1"/>
  <c r="D49" i="43" a="1"/>
  <c r="D49" i="43" s="1"/>
  <c r="E48" i="43" a="1"/>
  <c r="E48" i="43" s="1"/>
  <c r="D48" i="43" a="1"/>
  <c r="D48" i="43" s="1"/>
  <c r="E47" i="43" a="1"/>
  <c r="E47" i="43" s="1"/>
  <c r="D47" i="43" a="1"/>
  <c r="D47" i="43" s="1"/>
  <c r="E46" i="43" a="1"/>
  <c r="E46" i="43" s="1"/>
  <c r="D46" i="43" a="1"/>
  <c r="D46" i="43" s="1"/>
  <c r="E45" i="43" a="1"/>
  <c r="E45" i="43" s="1"/>
  <c r="D45" i="43" a="1"/>
  <c r="D45" i="43" s="1"/>
  <c r="E44" i="43" a="1"/>
  <c r="E44" i="43" s="1"/>
  <c r="D44" i="43" a="1"/>
  <c r="D44" i="43" s="1"/>
  <c r="D42" i="43" a="1"/>
  <c r="D42" i="43" s="1"/>
  <c r="D41" i="43" a="1"/>
  <c r="D41" i="43" s="1"/>
  <c r="E39" i="43" a="1"/>
  <c r="E39" i="43" s="1"/>
  <c r="D39" i="43" a="1"/>
  <c r="D39" i="43" s="1"/>
  <c r="E38" i="43" a="1"/>
  <c r="E38" i="43" s="1"/>
  <c r="D38" i="43" a="1"/>
  <c r="D38" i="43" s="1"/>
  <c r="E37" i="43" a="1"/>
  <c r="E37" i="43" s="1"/>
  <c r="D37" i="43" a="1"/>
  <c r="D37" i="43" s="1"/>
  <c r="E36" i="43" a="1"/>
  <c r="E36" i="43" s="1"/>
  <c r="D36" i="43" a="1"/>
  <c r="D36" i="43" s="1"/>
  <c r="E35" i="43" a="1"/>
  <c r="E35" i="43" s="1"/>
  <c r="D35" i="43" a="1"/>
  <c r="D35" i="43" s="1"/>
  <c r="E34" i="43" a="1"/>
  <c r="E34" i="43" s="1"/>
  <c r="D34" i="43" a="1"/>
  <c r="D34" i="43" s="1"/>
  <c r="E33" i="43" a="1"/>
  <c r="E33" i="43" s="1"/>
  <c r="D33" i="43" a="1"/>
  <c r="D33" i="43" s="1"/>
  <c r="E32" i="43" a="1"/>
  <c r="E32" i="43" s="1"/>
  <c r="D32" i="43" a="1"/>
  <c r="D32" i="43" s="1"/>
  <c r="D30" i="43" a="1"/>
  <c r="D30" i="43" s="1"/>
  <c r="D29" i="43" a="1"/>
  <c r="D29" i="43" s="1"/>
  <c r="I483" i="79" a="1"/>
  <c r="I483" i="79" s="1"/>
  <c r="H483" i="79" a="1"/>
  <c r="H483" i="79" s="1"/>
  <c r="G483" i="79" a="1"/>
  <c r="G483" i="79" s="1"/>
  <c r="F483" i="79" a="1"/>
  <c r="F483" i="79" s="1"/>
  <c r="E483" i="79" a="1"/>
  <c r="E483" i="79" s="1"/>
  <c r="D483" i="79" a="1"/>
  <c r="D483" i="79" s="1"/>
  <c r="I482" i="79" a="1"/>
  <c r="I482" i="79" s="1"/>
  <c r="H482" i="79" a="1"/>
  <c r="H482" i="79" s="1"/>
  <c r="G482" i="79" a="1"/>
  <c r="G482" i="79" s="1"/>
  <c r="F482" i="79" a="1"/>
  <c r="F482" i="79" s="1"/>
  <c r="E482" i="79" a="1"/>
  <c r="E482" i="79" s="1"/>
  <c r="D482" i="79" a="1"/>
  <c r="D482" i="79" s="1"/>
  <c r="I481" i="79" a="1"/>
  <c r="I481" i="79" s="1"/>
  <c r="H481" i="79" a="1"/>
  <c r="H481" i="79" s="1"/>
  <c r="G481" i="79" a="1"/>
  <c r="G481" i="79" s="1"/>
  <c r="F481" i="79" a="1"/>
  <c r="F481" i="79" s="1"/>
  <c r="E481" i="79" a="1"/>
  <c r="E481" i="79" s="1"/>
  <c r="D481" i="79" a="1"/>
  <c r="D481" i="79" s="1"/>
  <c r="I480" i="79" a="1"/>
  <c r="I480" i="79" s="1"/>
  <c r="H480" i="79" a="1"/>
  <c r="H480" i="79" s="1"/>
  <c r="G480" i="79" a="1"/>
  <c r="G480" i="79" s="1"/>
  <c r="F480" i="79" a="1"/>
  <c r="F480" i="79" s="1"/>
  <c r="E480" i="79" a="1"/>
  <c r="E480" i="79" s="1"/>
  <c r="D480" i="79" a="1"/>
  <c r="D480" i="79" s="1"/>
  <c r="I479" i="79" a="1"/>
  <c r="I479" i="79" s="1"/>
  <c r="H479" i="79" a="1"/>
  <c r="H479" i="79" s="1"/>
  <c r="G479" i="79" a="1"/>
  <c r="G479" i="79" s="1"/>
  <c r="F479" i="79" a="1"/>
  <c r="F479" i="79" s="1"/>
  <c r="E479" i="79" a="1"/>
  <c r="E479" i="79" s="1"/>
  <c r="D479" i="79" a="1"/>
  <c r="D479" i="79" s="1"/>
  <c r="I478" i="79" a="1"/>
  <c r="I478" i="79" s="1"/>
  <c r="H478" i="79" a="1"/>
  <c r="H478" i="79" s="1"/>
  <c r="G478" i="79" a="1"/>
  <c r="G478" i="79" s="1"/>
  <c r="F478" i="79" a="1"/>
  <c r="F478" i="79" s="1"/>
  <c r="E478" i="79" a="1"/>
  <c r="E478" i="79" s="1"/>
  <c r="D478" i="79" a="1"/>
  <c r="D478" i="79" s="1"/>
  <c r="I477" i="79" a="1"/>
  <c r="I477" i="79" s="1"/>
  <c r="H477" i="79" a="1"/>
  <c r="H477" i="79" s="1"/>
  <c r="G477" i="79" a="1"/>
  <c r="G477" i="79" s="1"/>
  <c r="F477" i="79" a="1"/>
  <c r="F477" i="79" s="1"/>
  <c r="E477" i="79" a="1"/>
  <c r="E477" i="79" s="1"/>
  <c r="D477" i="79" a="1"/>
  <c r="D477" i="79" s="1"/>
  <c r="I476" i="79" a="1"/>
  <c r="I476" i="79" s="1"/>
  <c r="H476" i="79" a="1"/>
  <c r="H476" i="79" s="1"/>
  <c r="G476" i="79" a="1"/>
  <c r="G476" i="79" s="1"/>
  <c r="F476" i="79" a="1"/>
  <c r="F476" i="79" s="1"/>
  <c r="E476" i="79" a="1"/>
  <c r="E476" i="79" s="1"/>
  <c r="D476" i="79" a="1"/>
  <c r="D476" i="79" s="1"/>
  <c r="I475" i="79" a="1"/>
  <c r="I475" i="79" s="1"/>
  <c r="H475" i="79" a="1"/>
  <c r="H475" i="79" s="1"/>
  <c r="G475" i="79" a="1"/>
  <c r="G475" i="79" s="1"/>
  <c r="F475" i="79" a="1"/>
  <c r="F475" i="79" s="1"/>
  <c r="E475" i="79" a="1"/>
  <c r="E475" i="79" s="1"/>
  <c r="D475" i="79" a="1"/>
  <c r="D475" i="79" s="1"/>
  <c r="I474" i="79" a="1"/>
  <c r="I474" i="79" s="1"/>
  <c r="H474" i="79" a="1"/>
  <c r="H474" i="79" s="1"/>
  <c r="G474" i="79" a="1"/>
  <c r="G474" i="79" s="1"/>
  <c r="F474" i="79" a="1"/>
  <c r="F474" i="79" s="1"/>
  <c r="E474" i="79" a="1"/>
  <c r="E474" i="79" s="1"/>
  <c r="D474" i="79" a="1"/>
  <c r="D474" i="79" s="1"/>
  <c r="I473" i="79" a="1"/>
  <c r="I473" i="79" s="1"/>
  <c r="H473" i="79" a="1"/>
  <c r="H473" i="79" s="1"/>
  <c r="G473" i="79" a="1"/>
  <c r="G473" i="79" s="1"/>
  <c r="F473" i="79" a="1"/>
  <c r="F473" i="79" s="1"/>
  <c r="E473" i="79" a="1"/>
  <c r="E473" i="79" s="1"/>
  <c r="D473" i="79" a="1"/>
  <c r="D473" i="79" s="1"/>
  <c r="I472" i="79" a="1"/>
  <c r="I472" i="79" s="1"/>
  <c r="H472" i="79" a="1"/>
  <c r="H472" i="79" s="1"/>
  <c r="G472" i="79" a="1"/>
  <c r="G472" i="79" s="1"/>
  <c r="F472" i="79" a="1"/>
  <c r="F472" i="79" s="1"/>
  <c r="E472" i="79" a="1"/>
  <c r="E472" i="79" s="1"/>
  <c r="D472" i="79" a="1"/>
  <c r="D472" i="79" s="1"/>
  <c r="I471" i="79" a="1"/>
  <c r="I471" i="79" s="1"/>
  <c r="H471" i="79" a="1"/>
  <c r="H471" i="79" s="1"/>
  <c r="G471" i="79" a="1"/>
  <c r="G471" i="79" s="1"/>
  <c r="F471" i="79" a="1"/>
  <c r="F471" i="79" s="1"/>
  <c r="E471" i="79" a="1"/>
  <c r="E471" i="79" s="1"/>
  <c r="D471" i="79" a="1"/>
  <c r="D471" i="79" s="1"/>
  <c r="I470" i="79" a="1"/>
  <c r="I470" i="79" s="1"/>
  <c r="H470" i="79" a="1"/>
  <c r="H470" i="79" s="1"/>
  <c r="G470" i="79" a="1"/>
  <c r="G470" i="79" s="1"/>
  <c r="F470" i="79" a="1"/>
  <c r="F470" i="79" s="1"/>
  <c r="E470" i="79" a="1"/>
  <c r="E470" i="79" s="1"/>
  <c r="D470" i="79" a="1"/>
  <c r="D470" i="79" s="1"/>
  <c r="I469" i="79" a="1"/>
  <c r="I469" i="79" s="1"/>
  <c r="H469" i="79" a="1"/>
  <c r="H469" i="79" s="1"/>
  <c r="G469" i="79" a="1"/>
  <c r="G469" i="79" s="1"/>
  <c r="F469" i="79" a="1"/>
  <c r="F469" i="79" s="1"/>
  <c r="E469" i="79" a="1"/>
  <c r="E469" i="79" s="1"/>
  <c r="D469" i="79" a="1"/>
  <c r="D469" i="79" s="1"/>
  <c r="I468" i="79" a="1"/>
  <c r="I468" i="79" s="1"/>
  <c r="H468" i="79" a="1"/>
  <c r="H468" i="79" s="1"/>
  <c r="G468" i="79" a="1"/>
  <c r="G468" i="79" s="1"/>
  <c r="F468" i="79" a="1"/>
  <c r="F468" i="79" s="1"/>
  <c r="E468" i="79" a="1"/>
  <c r="E468" i="79" s="1"/>
  <c r="D468" i="79" a="1"/>
  <c r="D468" i="79" s="1"/>
  <c r="I467" i="79" a="1"/>
  <c r="I467" i="79" s="1"/>
  <c r="H467" i="79" a="1"/>
  <c r="H467" i="79" s="1"/>
  <c r="G467" i="79" a="1"/>
  <c r="G467" i="79" s="1"/>
  <c r="F467" i="79" a="1"/>
  <c r="F467" i="79" s="1"/>
  <c r="E467" i="79" a="1"/>
  <c r="E467" i="79" s="1"/>
  <c r="D467" i="79" a="1"/>
  <c r="D467" i="79" s="1"/>
  <c r="I466" i="79" a="1"/>
  <c r="I466" i="79" s="1"/>
  <c r="H466" i="79" a="1"/>
  <c r="H466" i="79" s="1"/>
  <c r="G466" i="79" a="1"/>
  <c r="G466" i="79" s="1"/>
  <c r="F466" i="79" a="1"/>
  <c r="F466" i="79" s="1"/>
  <c r="E466" i="79" a="1"/>
  <c r="E466" i="79" s="1"/>
  <c r="D466" i="79" a="1"/>
  <c r="D466" i="79" s="1"/>
  <c r="I465" i="79" a="1"/>
  <c r="I465" i="79" s="1"/>
  <c r="H465" i="79" a="1"/>
  <c r="H465" i="79" s="1"/>
  <c r="G465" i="79" a="1"/>
  <c r="G465" i="79" s="1"/>
  <c r="F465" i="79" a="1"/>
  <c r="F465" i="79" s="1"/>
  <c r="E465" i="79" a="1"/>
  <c r="E465" i="79" s="1"/>
  <c r="D465" i="79" a="1"/>
  <c r="D465" i="79" s="1"/>
  <c r="I464" i="79" a="1"/>
  <c r="I464" i="79" s="1"/>
  <c r="H464" i="79" a="1"/>
  <c r="H464" i="79" s="1"/>
  <c r="G464" i="79" a="1"/>
  <c r="G464" i="79" s="1"/>
  <c r="F464" i="79" a="1"/>
  <c r="F464" i="79" s="1"/>
  <c r="E464" i="79" a="1"/>
  <c r="E464" i="79" s="1"/>
  <c r="D464" i="79" a="1"/>
  <c r="D464" i="79" s="1"/>
  <c r="I463" i="79" a="1"/>
  <c r="I463" i="79" s="1"/>
  <c r="H463" i="79" a="1"/>
  <c r="H463" i="79" s="1"/>
  <c r="G463" i="79" a="1"/>
  <c r="G463" i="79" s="1"/>
  <c r="F463" i="79" a="1"/>
  <c r="F463" i="79" s="1"/>
  <c r="E463" i="79" a="1"/>
  <c r="E463" i="79" s="1"/>
  <c r="D463" i="79" a="1"/>
  <c r="D463" i="79" s="1"/>
  <c r="I462" i="79" a="1"/>
  <c r="I462" i="79" s="1"/>
  <c r="H462" i="79" a="1"/>
  <c r="H462" i="79" s="1"/>
  <c r="G462" i="79" a="1"/>
  <c r="G462" i="79" s="1"/>
  <c r="F462" i="79" a="1"/>
  <c r="F462" i="79" s="1"/>
  <c r="E462" i="79" a="1"/>
  <c r="E462" i="79" s="1"/>
  <c r="D462" i="79" a="1"/>
  <c r="D462" i="79" s="1"/>
  <c r="I461" i="79" a="1"/>
  <c r="I461" i="79" s="1"/>
  <c r="H461" i="79" a="1"/>
  <c r="H461" i="79" s="1"/>
  <c r="G461" i="79" a="1"/>
  <c r="G461" i="79" s="1"/>
  <c r="F461" i="79" a="1"/>
  <c r="F461" i="79" s="1"/>
  <c r="E461" i="79" a="1"/>
  <c r="E461" i="79" s="1"/>
  <c r="D461" i="79" a="1"/>
  <c r="D461" i="79" s="1"/>
  <c r="I460" i="79" a="1"/>
  <c r="I460" i="79" s="1"/>
  <c r="H460" i="79" a="1"/>
  <c r="H460" i="79" s="1"/>
  <c r="G460" i="79" a="1"/>
  <c r="G460" i="79" s="1"/>
  <c r="F460" i="79" a="1"/>
  <c r="F460" i="79" s="1"/>
  <c r="E460" i="79" a="1"/>
  <c r="E460" i="79" s="1"/>
  <c r="D460" i="79" a="1"/>
  <c r="D460" i="79" s="1"/>
  <c r="I459" i="79" a="1"/>
  <c r="I459" i="79" s="1"/>
  <c r="H459" i="79" a="1"/>
  <c r="H459" i="79" s="1"/>
  <c r="G459" i="79" a="1"/>
  <c r="G459" i="79" s="1"/>
  <c r="F459" i="79" a="1"/>
  <c r="F459" i="79" s="1"/>
  <c r="E459" i="79" a="1"/>
  <c r="E459" i="79" s="1"/>
  <c r="D459" i="79" a="1"/>
  <c r="D459" i="79" s="1"/>
  <c r="I458" i="79" a="1"/>
  <c r="I458" i="79" s="1"/>
  <c r="H458" i="79" a="1"/>
  <c r="H458" i="79" s="1"/>
  <c r="G458" i="79" a="1"/>
  <c r="G458" i="79" s="1"/>
  <c r="F458" i="79" a="1"/>
  <c r="F458" i="79" s="1"/>
  <c r="E458" i="79" a="1"/>
  <c r="E458" i="79" s="1"/>
  <c r="D458" i="79" a="1"/>
  <c r="D458" i="79" s="1"/>
  <c r="I457" i="79" a="1"/>
  <c r="I457" i="79" s="1"/>
  <c r="H457" i="79" a="1"/>
  <c r="H457" i="79" s="1"/>
  <c r="G457" i="79" a="1"/>
  <c r="G457" i="79" s="1"/>
  <c r="F457" i="79" a="1"/>
  <c r="F457" i="79" s="1"/>
  <c r="E457" i="79" a="1"/>
  <c r="E457" i="79" s="1"/>
  <c r="D457" i="79" a="1"/>
  <c r="D457" i="79" s="1"/>
  <c r="I456" i="79" a="1"/>
  <c r="I456" i="79" s="1"/>
  <c r="H456" i="79" a="1"/>
  <c r="H456" i="79" s="1"/>
  <c r="G456" i="79" a="1"/>
  <c r="G456" i="79" s="1"/>
  <c r="F456" i="79" a="1"/>
  <c r="F456" i="79" s="1"/>
  <c r="E456" i="79" a="1"/>
  <c r="E456" i="79" s="1"/>
  <c r="D456" i="79" a="1"/>
  <c r="D456" i="79" s="1"/>
  <c r="I455" i="79" a="1"/>
  <c r="I455" i="79" s="1"/>
  <c r="H455" i="79" a="1"/>
  <c r="H455" i="79" s="1"/>
  <c r="G455" i="79" a="1"/>
  <c r="G455" i="79" s="1"/>
  <c r="F455" i="79" a="1"/>
  <c r="F455" i="79" s="1"/>
  <c r="E455" i="79" a="1"/>
  <c r="E455" i="79" s="1"/>
  <c r="D455" i="79" a="1"/>
  <c r="D455" i="79" s="1"/>
  <c r="I454" i="79" a="1"/>
  <c r="I454" i="79" s="1"/>
  <c r="H454" i="79" a="1"/>
  <c r="H454" i="79" s="1"/>
  <c r="G454" i="79" a="1"/>
  <c r="G454" i="79" s="1"/>
  <c r="F454" i="79" a="1"/>
  <c r="F454" i="79" s="1"/>
  <c r="E454" i="79" a="1"/>
  <c r="E454" i="79" s="1"/>
  <c r="D454" i="79" a="1"/>
  <c r="D454" i="79" s="1"/>
  <c r="I453" i="79" a="1"/>
  <c r="I453" i="79" s="1"/>
  <c r="H453" i="79" a="1"/>
  <c r="H453" i="79" s="1"/>
  <c r="G453" i="79" a="1"/>
  <c r="G453" i="79" s="1"/>
  <c r="F453" i="79" a="1"/>
  <c r="F453" i="79" s="1"/>
  <c r="E453" i="79" a="1"/>
  <c r="E453" i="79" s="1"/>
  <c r="D453" i="79" a="1"/>
  <c r="D453" i="79" s="1"/>
  <c r="I452" i="79" a="1"/>
  <c r="I452" i="79" s="1"/>
  <c r="H452" i="79" a="1"/>
  <c r="H452" i="79" s="1"/>
  <c r="G452" i="79" a="1"/>
  <c r="G452" i="79" s="1"/>
  <c r="F452" i="79" a="1"/>
  <c r="F452" i="79" s="1"/>
  <c r="E452" i="79" a="1"/>
  <c r="E452" i="79" s="1"/>
  <c r="D452" i="79" a="1"/>
  <c r="D452" i="79" s="1"/>
  <c r="I451" i="79" a="1"/>
  <c r="I451" i="79" s="1"/>
  <c r="H451" i="79" a="1"/>
  <c r="H451" i="79" s="1"/>
  <c r="G451" i="79" a="1"/>
  <c r="G451" i="79" s="1"/>
  <c r="F451" i="79" a="1"/>
  <c r="F451" i="79" s="1"/>
  <c r="E451" i="79" a="1"/>
  <c r="E451" i="79" s="1"/>
  <c r="D451" i="79" a="1"/>
  <c r="D451" i="79" s="1"/>
  <c r="I450" i="79" a="1"/>
  <c r="I450" i="79" s="1"/>
  <c r="H450" i="79" a="1"/>
  <c r="H450" i="79" s="1"/>
  <c r="G450" i="79" a="1"/>
  <c r="G450" i="79" s="1"/>
  <c r="F450" i="79" a="1"/>
  <c r="F450" i="79" s="1"/>
  <c r="E450" i="79" a="1"/>
  <c r="E450" i="79" s="1"/>
  <c r="D450" i="79" a="1"/>
  <c r="D450" i="79" s="1"/>
  <c r="I449" i="79" a="1"/>
  <c r="I449" i="79" s="1"/>
  <c r="H449" i="79" a="1"/>
  <c r="H449" i="79" s="1"/>
  <c r="G449" i="79" a="1"/>
  <c r="G449" i="79" s="1"/>
  <c r="F449" i="79" a="1"/>
  <c r="F449" i="79" s="1"/>
  <c r="E449" i="79" a="1"/>
  <c r="E449" i="79" s="1"/>
  <c r="D449" i="79" a="1"/>
  <c r="D449" i="79" s="1"/>
  <c r="I448" i="79" a="1"/>
  <c r="I448" i="79" s="1"/>
  <c r="H448" i="79" a="1"/>
  <c r="H448" i="79" s="1"/>
  <c r="G448" i="79" a="1"/>
  <c r="G448" i="79" s="1"/>
  <c r="F448" i="79" a="1"/>
  <c r="F448" i="79" s="1"/>
  <c r="E448" i="79" a="1"/>
  <c r="E448" i="79" s="1"/>
  <c r="D448" i="79" a="1"/>
  <c r="D448" i="79" s="1"/>
  <c r="I447" i="79" a="1"/>
  <c r="I447" i="79" s="1"/>
  <c r="H447" i="79" a="1"/>
  <c r="H447" i="79" s="1"/>
  <c r="G447" i="79" a="1"/>
  <c r="G447" i="79" s="1"/>
  <c r="F447" i="79" a="1"/>
  <c r="F447" i="79" s="1"/>
  <c r="E447" i="79" a="1"/>
  <c r="E447" i="79" s="1"/>
  <c r="D447" i="79" a="1"/>
  <c r="D447" i="79" s="1"/>
  <c r="I446" i="79" a="1"/>
  <c r="I446" i="79" s="1"/>
  <c r="H446" i="79" a="1"/>
  <c r="H446" i="79" s="1"/>
  <c r="G446" i="79" a="1"/>
  <c r="G446" i="79" s="1"/>
  <c r="F446" i="79" a="1"/>
  <c r="F446" i="79" s="1"/>
  <c r="E446" i="79" a="1"/>
  <c r="E446" i="79" s="1"/>
  <c r="D446" i="79" a="1"/>
  <c r="D446" i="79" s="1"/>
  <c r="I445" i="79" a="1"/>
  <c r="I445" i="79" s="1"/>
  <c r="H445" i="79" a="1"/>
  <c r="H445" i="79" s="1"/>
  <c r="G445" i="79" a="1"/>
  <c r="G445" i="79" s="1"/>
  <c r="F445" i="79" a="1"/>
  <c r="F445" i="79" s="1"/>
  <c r="E445" i="79" a="1"/>
  <c r="E445" i="79" s="1"/>
  <c r="D445" i="79" a="1"/>
  <c r="D445" i="79" s="1"/>
  <c r="I444" i="79" a="1"/>
  <c r="I444" i="79" s="1"/>
  <c r="H444" i="79" a="1"/>
  <c r="H444" i="79" s="1"/>
  <c r="G444" i="79" a="1"/>
  <c r="G444" i="79" s="1"/>
  <c r="F444" i="79" a="1"/>
  <c r="F444" i="79" s="1"/>
  <c r="E444" i="79" a="1"/>
  <c r="E444" i="79" s="1"/>
  <c r="D444" i="79" a="1"/>
  <c r="D444" i="79" s="1"/>
  <c r="I443" i="79" a="1"/>
  <c r="I443" i="79" s="1"/>
  <c r="H443" i="79" a="1"/>
  <c r="H443" i="79" s="1"/>
  <c r="G443" i="79" a="1"/>
  <c r="G443" i="79" s="1"/>
  <c r="F443" i="79" a="1"/>
  <c r="F443" i="79" s="1"/>
  <c r="E443" i="79" a="1"/>
  <c r="E443" i="79" s="1"/>
  <c r="D443" i="79" a="1"/>
  <c r="D443" i="79" s="1"/>
  <c r="D59" i="69"/>
  <c r="D58" i="69"/>
  <c r="D57" i="69"/>
  <c r="D56" i="69"/>
  <c r="V117" i="69" a="1"/>
  <c r="V117" i="69" s="1"/>
  <c r="E115" i="69" a="1"/>
  <c r="E115" i="69" s="1"/>
  <c r="E107" i="69" a="1"/>
  <c r="E107" i="69" s="1"/>
  <c r="J16" i="69"/>
  <c r="G37" i="69" l="1" a="1"/>
  <c r="G37" i="69" s="1"/>
  <c r="U112" i="69" l="1" a="1"/>
  <c r="U112" i="69" s="1"/>
  <c r="U92" i="69" a="1"/>
  <c r="U92" i="69" s="1"/>
  <c r="I102" i="69" a="1"/>
  <c r="I102" i="69" s="1"/>
  <c r="I100" i="69" a="1"/>
  <c r="I100" i="69" s="1"/>
  <c r="I101" i="69" a="1"/>
  <c r="I101" i="69" s="1"/>
  <c r="G100" i="69" a="1"/>
  <c r="G100" i="69" s="1"/>
  <c r="AF133" i="69" s="1"/>
  <c r="D100" i="69" a="1"/>
  <c r="D100" i="69" s="1"/>
  <c r="E98" i="69" a="1"/>
  <c r="E98" i="69" s="1"/>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73" i="69" a="1"/>
  <c r="E94" i="69" a="1"/>
  <c r="O115" i="69" l="1"/>
  <c r="O107" i="69"/>
  <c r="F128" i="69"/>
  <c r="AF117" i="69"/>
  <c r="AF149" i="69"/>
  <c r="O85" i="69"/>
  <c r="E94" i="69"/>
  <c r="E73" i="69"/>
  <c r="D21" i="69" l="1"/>
  <c r="E29" i="69" s="1" a="1"/>
  <c r="E29" i="69" s="1"/>
  <c r="U23" i="69"/>
  <c r="U22" i="69"/>
  <c r="W22" i="69"/>
  <c r="V22" i="69"/>
  <c r="X22" i="69"/>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V30" i="69" a="1"/>
  <c r="V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4" i="69" a="1"/>
  <c r="AB34" i="69" s="1"/>
  <c r="AA34" i="69" a="1"/>
  <c r="AA34" i="69" s="1"/>
  <c r="AC34" i="69" a="1"/>
  <c r="AC34" i="69" s="1"/>
  <c r="L27" i="69" a="1"/>
  <c r="L27" i="69" s="1"/>
  <c r="K27" i="69" a="1"/>
  <c r="K27" i="69" s="1"/>
  <c r="J27" i="69" a="1"/>
  <c r="J27" i="69" s="1"/>
  <c r="K28" i="69" a="1"/>
  <c r="K28" i="69" s="1"/>
  <c r="J28" i="69" a="1"/>
  <c r="J28" i="69" s="1"/>
  <c r="W166" i="69" l="1" a="1"/>
  <c r="W166" i="69" s="1"/>
  <c r="U163" i="69" a="1"/>
  <c r="U163" i="69" s="1"/>
  <c r="U160" i="69"/>
  <c r="U159" i="69"/>
  <c r="U158" i="69"/>
  <c r="U157" i="69"/>
  <c r="U156" i="69"/>
  <c r="U155" i="69"/>
  <c r="U154" i="69"/>
  <c r="U153" i="69"/>
  <c r="U152" i="69"/>
  <c r="U151" i="69"/>
  <c r="D130" i="69" a="1"/>
  <c r="D130" i="69" s="1"/>
  <c r="F133" i="69" a="1"/>
  <c r="F133" i="69" s="1"/>
  <c r="D428" i="79" a="1"/>
  <c r="D428" i="79" s="1"/>
  <c r="D427" i="79" a="1"/>
  <c r="D427" i="79" s="1"/>
  <c r="D426" i="79" a="1"/>
  <c r="D426" i="79" s="1"/>
  <c r="D425" i="79" a="1"/>
  <c r="D425" i="79" s="1"/>
  <c r="D424" i="79" a="1"/>
  <c r="D424" i="79" s="1"/>
  <c r="D422" i="79" a="1"/>
  <c r="D422" i="79" s="1"/>
  <c r="D421" i="79" a="1"/>
  <c r="D421" i="79" s="1"/>
  <c r="D420" i="79" a="1"/>
  <c r="D420" i="79" s="1"/>
  <c r="D419" i="79" a="1"/>
  <c r="D419" i="79" s="1"/>
  <c r="D418" i="79" a="1"/>
  <c r="D418" i="79" s="1"/>
  <c r="E35" i="69" a="1"/>
  <c r="U150" i="69" l="1"/>
  <c r="U149" i="69"/>
  <c r="E35" i="69"/>
  <c r="E39" i="69" l="1"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E11" i="69" a="1"/>
  <c r="E11" i="69" s="1"/>
  <c r="E10" i="69" a="1"/>
  <c r="E10" i="69" s="1"/>
  <c r="D5" i="69" a="1"/>
  <c r="D5" i="69" s="1"/>
  <c r="AH39" i="69" l="1"/>
  <c r="AH38" i="69"/>
  <c r="AH37" i="69"/>
  <c r="AH36" i="69"/>
  <c r="AH35" i="69"/>
  <c r="AH34" i="69"/>
  <c r="AH33" i="69"/>
  <c r="AH32" i="69"/>
  <c r="AH31" i="69"/>
  <c r="AH30" i="69"/>
  <c r="J14" i="69" a="1"/>
  <c r="J14" i="69" s="1"/>
  <c r="J15" i="69" a="1"/>
  <c r="J15" i="69" s="1"/>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J191" i="70" l="1" a="1"/>
  <c r="J191" i="70" s="1"/>
  <c r="W30" i="69" a="1"/>
  <c r="W30" i="69" s="1"/>
  <c r="W29" i="69" a="1"/>
  <c r="W29" i="69" s="1"/>
  <c r="V133" i="69" a="1"/>
  <c r="V133" i="69" s="1"/>
  <c r="P149" i="79"/>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E48" i="69" l="1" a="1"/>
  <c r="E48" i="69" s="1"/>
  <c r="V44" i="69" a="1"/>
  <c r="V44" i="69" s="1"/>
  <c r="E56" i="69" a="1"/>
  <c r="E56" i="69" s="1"/>
  <c r="V60" i="69" a="1"/>
  <c r="V60" i="69" s="1"/>
  <c r="AC29" i="69" a="1"/>
  <c r="AC29" i="69" s="1"/>
  <c r="AB29" i="69" a="1"/>
  <c r="AB29" i="69" s="1"/>
  <c r="AA29" i="69" a="1"/>
  <c r="AA29" i="69" s="1"/>
  <c r="AC30" i="69" a="1"/>
  <c r="AC30" i="69" s="1"/>
  <c r="AB30" i="69" a="1"/>
  <c r="AB30" i="69" s="1"/>
  <c r="AA30" i="69" a="1"/>
  <c r="AA30" i="69" s="1"/>
  <c r="W161" i="69"/>
  <c r="J26" i="69"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V76" i="69" l="1" a="1"/>
  <c r="V76" i="69" s="1"/>
  <c r="AE83" i="69" a="1"/>
  <c r="AE83" i="69" s="1"/>
  <c r="AE104" i="69" s="1" a="1"/>
  <c r="AE104" i="69" s="1"/>
  <c r="AE156" i="69" s="1" a="1"/>
  <c r="AE156" i="69" s="1"/>
  <c r="AC87" i="69" a="1"/>
  <c r="AC87" i="69" s="1"/>
  <c r="AC108" i="69" s="1" a="1"/>
  <c r="AC108" i="69" s="1"/>
  <c r="AC160" i="69" s="1" a="1"/>
  <c r="AC160" i="69" s="1"/>
  <c r="AB86" i="69" a="1"/>
  <c r="AB86" i="69" s="1"/>
  <c r="AB107" i="69" s="1" a="1"/>
  <c r="AB107" i="69" s="1"/>
  <c r="AB159" i="69" s="1" a="1"/>
  <c r="AB159" i="69" s="1"/>
  <c r="V77" i="69" a="1"/>
  <c r="V77" i="69" s="1"/>
  <c r="V98" i="69" s="1" a="1"/>
  <c r="V98" i="69" s="1"/>
  <c r="V150" i="69" s="1" a="1"/>
  <c r="V150" i="69" s="1"/>
  <c r="AA78" i="69" a="1"/>
  <c r="AA78" i="69" s="1"/>
  <c r="AA99" i="69" s="1" a="1"/>
  <c r="AA99" i="69" s="1"/>
  <c r="AA151" i="69" s="1" a="1"/>
  <c r="AA151" i="69" s="1"/>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97" i="69"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F7" i="13" s="1"/>
  <c r="G130" i="69"/>
  <c r="E133" i="69" s="1" a="1"/>
  <c r="E133" i="69" s="1"/>
  <c r="H7" i="13" s="1"/>
  <c r="X163" i="69" l="1"/>
  <c r="V166" i="69" s="1" a="1"/>
  <c r="V166" i="69" s="1"/>
  <c r="I7" i="13" s="1"/>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<sst xmlns="http://schemas.openxmlformats.org/spreadsheetml/2006/main" count="1199" uniqueCount="321">
  <si>
    <t>INPUTS</t>
  </si>
  <si>
    <t>APPENDICES</t>
  </si>
  <si>
    <t>Emissions breakdown</t>
  </si>
  <si>
    <t>Test Farms</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</si>
  <si>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</si>
  <si>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</si>
  <si>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</si>
  <si>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</si>
  <si>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</si>
  <si>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</si>
  <si>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</si>
  <si>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</si>
  <si>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</si>
  <si>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</si>
  <si>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</si>
  <si>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</si>
  <si>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</si>
  <si>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</si>
  <si>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</si>
  <si>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</si>
  <si>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</si>
  <si>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</si>
  <si>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</si>
  <si>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</si>
  <si>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</si>
  <si>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</si>
  <si>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</si>
  <si>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</si>
  <si>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</si>
  <si>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</si>
  <si>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</si>
  <si>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</si>
  <si>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</si>
  <si>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</si>
  <si>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</si>
  <si>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</si>
  <si>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</si>
  <si>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</si>
  <si>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</si>
  <si>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</si>
  <si>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</si>
  <si>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</si>
  <si>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</si>
  <si>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</si>
  <si>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</si>
  <si>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</si>
  <si>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</si>
  <si>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</si>
  <si>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</si>
  <si>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</si>
  <si>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</si>
  <si>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</si>
  <si>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</si>
  <si>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</si>
  <si>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</si>
  <si>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</si>
  <si>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</si>
  <si>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</si>
  <si>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</si>
  <si>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</si>
  <si>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</si>
  <si>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</si>
  <si>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</si>
  <si>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</si>
  <si>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</si>
  <si>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</si>
  <si>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</si>
  <si>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</si>
  <si>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</si>
  <si>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</si>
  <si>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</si>
  <si>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</si>
  <si>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</si>
  <si>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</si>
  <si>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</si>
  <si>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</si>
  <si>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</si>
  <si>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</si>
  <si>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</si>
  <si>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</si>
  <si>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</si>
  <si>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</si>
  <si>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</si>
  <si>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</si>
  <si>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</si>
  <si>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</si>
  <si>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</si>
  <si>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</si>
  <si>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</si>
  <si>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</si>
  <si>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</si>
  <si>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</si>
  <si>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</si>
  <si>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</si>
  <si>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</si>
  <si>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</si>
  <si>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</si>
  <si>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</si>
  <si>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</si>
  <si>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</si>
  <si>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</si>
  <si>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</si>
  <si>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</si>
  <si>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</si>
  <si>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</si>
  <si>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</si>
  <si>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</si>
  <si>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</si>
  <si>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</si>
  <si>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</si>
  <si>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</si>
  <si>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</si>
  <si>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</si>
  <si>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</si>
  <si>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</si>
  <si>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</si>
  <si>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</si>
  <si>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</si>
  <si>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</si>
  <si>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</si>
  <si>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</si>
  <si>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</si>
  <si>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</si>
  <si>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</si>
  <si>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</si>
  <si>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</si>
  <si>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</si>
  <si>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</si>
  <si>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</si>
  <si>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</si>
  <si>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</si>
  <si>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</si>
  <si>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</si>
  <si>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</si>
  <si>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</si>
  <si>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</si>
  <si>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</si>
  <si>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</si>
  <si>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</si>
  <si>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</si>
  <si>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</si>
  <si>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</si>
  <si>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</si>
  <si>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</si>
  <si>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</si>
  <si>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</si>
  <si>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</si>
  <si>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</si>
  <si>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</si>
  <si>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</si>
  <si>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</si>
  <si>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</si>
  <si>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</si>
  <si>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</si>
  <si>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</si>
  <si>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</si>
  <si>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</si>
  <si>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</si>
  <si>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</si>
  <si>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</si>
  <si>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</si>
  <si>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</si>
  <si>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</si>
  <si>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</si>
  <si>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</si>
  <si>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</si>
  <si>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</si>
  <si>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</si>
  <si>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</si>
  <si>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</si>
  <si>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</si>
  <si>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</si>
  <si>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</si>
  <si>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</si>
  <si>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</si>
  <si>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</si>
  <si>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</si>
  <si>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</si>
  <si>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</si>
  <si>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</si>
  <si>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</si>
  <si>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</si>
  <si>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</si>
  <si>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</si>
  <si>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</si>
  <si>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</si>
  <si>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</si>
  <si>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</si>
  <si>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</si>
  <si>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</si>
  <si>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</si>
  <si>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</si>
  <si>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</si>
  <si>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</si>
  <si>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</si>
  <si>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</si>
  <si>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</si>
  <si>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</si>
  <si>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</si>
  <si>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</si>
  <si>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</si>
  <si>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</si>
  <si>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</si>
  <si>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</si>
  <si>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</si>
  <si>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</si>
  <si>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</si>
  <si>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</si>
  <si>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</si>
  <si>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</si>
  <si>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</si>
  <si>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</si>
  <si>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</si>
  <si>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</si>
  <si>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</si>
  <si>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</si>
  <si>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</si>
  <si>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</si>
  <si>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</si>
  <si>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</si>
  <si>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</si>
  <si>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</si>
  <si>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</si>
  <si>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</si>
  <si>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</si>
  <si>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</si>
  <si>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</si>
  <si>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</si>
  <si>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</si>
  <si>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</si>
  <si>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</si>
  <si>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</si>
  <si>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</si>
  <si>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</si>
  <si>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</si>
  <si>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</si>
  <si>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</si>
  <si>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</si>
  <si>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</si>
  <si>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</si>
  <si>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</si>
  <si>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</si>
  <si>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</si>
  <si>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</si>
  <si>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</si>
  <si>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</si>
  <si>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</si>
  <si>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</si>
  <si>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</si>
  <si>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</si>
  <si>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</si>
  <si>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</si>
  <si>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</si>
  <si>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</si>
  <si>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</si>
  <si>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</si>
  <si>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</si>
  <si>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</si>
  <si>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</si>
  <si>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</si>
  <si>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</si>
  <si>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</si>
  <si>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</si>
  <si>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</si>
  <si>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</si>
  <si>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</si>
  <si>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</si>
  <si>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</si>
  <si>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</si>
  <si>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Table_LivestockClasses_Beefcattle</t>
  </si>
  <si>
    <t>Livestock class</t>
  </si>
  <si>
    <t>Table_ProductRegions_Beefcattle</t>
  </si>
  <si>
    <t>Scope3 region</t>
  </si>
  <si>
    <t>WA - South west</t>
  </si>
  <si>
    <t>WA - Pilbara</t>
  </si>
  <si>
    <t>WA - Kimberley</t>
  </si>
  <si>
    <t>NT - Alice Springs</t>
  </si>
  <si>
    <t>NT - Barkly</t>
  </si>
  <si>
    <t>NT - Northern</t>
  </si>
  <si>
    <t>QLD - High</t>
  </si>
  <si>
    <t>QLD - Moderate/High</t>
  </si>
  <si>
    <t>QLD - Moderate/Low</t>
  </si>
  <si>
    <t>QLD - Low</t>
  </si>
  <si>
    <t>Category</t>
  </si>
  <si>
    <t>Product</t>
  </si>
  <si>
    <t>Region of origin</t>
  </si>
  <si>
    <t>Quantity Unit</t>
  </si>
  <si>
    <t>AusLCI Emissions intensity</t>
  </si>
  <si>
    <t>System boundary</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</si>
  <si>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</si>
  <si>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</si>
  <si>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</si>
  <si>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</si>
  <si>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</si>
  <si>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</si>
  <si>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Calves born</t>
  </si>
  <si>
    <t>Calving season (select)</t>
  </si>
  <si>
    <t>Yes</t>
  </si>
  <si>
    <t>Proportion born this season</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</si>
  <si>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</si>
  <si>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Births</t>
  </si>
  <si>
    <t>Proportion born last season</t>
  </si>
  <si>
    <t>Proportion born earlier than last season</t>
  </si>
  <si>
    <t>MC</t>
  </si>
  <si>
    <t>Livestock purchases</t>
  </si>
  <si>
    <t>⚠️ Livestock sales are not automatically reflected in the duration and head tables below - you will need to manually adjust head count and average liveweight</t>
  </si>
  <si>
    <t>Transaction name</t>
  </si>
  <si>
    <t>Purchase date</t>
  </si>
  <si>
    <t>Class (select)</t>
  </si>
  <si>
    <t>Purchase class (select)</t>
  </si>
  <si>
    <t>Source region (Select)</t>
  </si>
  <si>
    <t>Quantity (head)</t>
  </si>
  <si>
    <t>Liveweight (kg/head) Method 1</t>
  </si>
  <si>
    <t>Liveweight (kg/head) Method 2</t>
  </si>
  <si>
    <t>Cows from Barry</t>
  </si>
  <si>
    <t>Cattle, for prime beef</t>
  </si>
  <si>
    <t>Livestock sales</t>
  </si>
  <si>
    <t>Sale date</t>
  </si>
  <si>
    <t>Head sold</t>
  </si>
  <si>
    <t>Average weight per head (kg)</t>
  </si>
  <si>
    <t>Total liveweight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</si>
</sst>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 numFmtId="171" formatCode="[$-F800]dddd\,\ mmmm\ dd\,\ yyyy"/>
  </numFmts>
  <fonts count="6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1">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57" fillId="4" borderId="2">
      <alignment horizontal="left" vertical="center"/>
    </xf>
    <xf numFmtId="0" fontId="35" fillId="4" borderId="2">
      <alignment horizontal="left" vertical="center"/>
    </xf>
    <xf numFmtId="0" fontId="58" fillId="15" borderId="2">
      <alignment horizontal="center" vertical="center"/>
    </xf>
    <xf numFmtId="0" fontId="59" fillId="16" borderId="2">
      <alignment horizontal="center" vertical="center"/>
    </xf>
  </cellStyleXfs>
  <cellXfs count="129">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9" fontId="35" fillId="4" borderId="2" xfId="14" applyFont="1" applyFill="1" applyBorder="1" applyAlignment="1">
      <alignment horizontal="center" vertical="center"/>
    </xf>
    <xf numFmtId="0" fontId="48" fillId="4" borderId="0" xfId="61">
      <alignment horizontal="left" vertical="center"/>
    </xf>
    <xf numFmtId="0" fontId="47" fillId="4" borderId="0" xfId="60">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39"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6" fillId="11" borderId="0" xfId="63">
      <alignment horizontal="center" vertical="center"/>
    </xf>
    <xf numFmtId="0" fontId="56"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7" fillId="4" borderId="2" xfId="65">
      <alignment horizontal="left" vertical="center"/>
    </xf>
    <xf numFmtId="0" fontId="35" fillId="4" borderId="2" xfId="66">
      <alignment horizontal="left" vertical="center"/>
    </xf>
    <xf numFmtId="0" fontId="58" fillId="15" borderId="2" xfId="67">
      <alignment horizontal="center" vertical="center"/>
    </xf>
    <xf numFmtId="0" fontId="59"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xf numFmtId="0" fontId="60" fillId="4" borderId="0" xfId="8" applyFont="1">
      <alignment horizontal="left" vertical="center"/>
    </xf>
    <xf numFmtId="0" fontId="0" fillId="0" borderId="0" xfId="8" applyFont="1" applyFill="1" applyAlignment="1">
      <alignment horizontal="left" vertical="center" wrapText="1"/>
    </xf>
    <xf numFmtId="15" fontId="2" fillId="0" borderId="2" xfId="15" applyNumberFormat="1">
      <alignment horizontal="center" vertical="center"/>
    </xf>
    <xf numFmtId="0" fontId="3" fillId="12" borderId="2" xfId="16" applyAlignment="1">
      <alignment horizontal="center" vertical="center" wrapText="1"/>
    </xf>
    <xf numFmtId="0" fontId="3" fillId="12" borderId="20" xfId="16" applyBorder="1">
      <alignment horizontal="center" vertical="center"/>
    </xf>
    <xf numFmtId="0" fontId="2" fillId="0" borderId="20" xfId="15" applyBorder="1">
      <alignment horizontal="center" vertical="center"/>
    </xf>
    <xf numFmtId="0" fontId="3" fillId="12" borderId="20" xfId="16" applyBorder="1" applyAlignment="1">
      <alignment horizontal="center" vertical="center" wrapText="1"/>
    </xf>
    <xf numFmtId="0" fontId="2" fillId="0" borderId="20" xfId="59" applyBorder="1">
      <alignment horizontal="center" vertical="center"/>
    </xf>
    <xf numFmtId="171" fontId="0" fillId="0" borderId="0" xfId="8" applyNumberFormat="1" applyFont="1" applyFill="1">
      <alignment horizontal="left" vertical="center"/>
    </xf>
    <xf numFmtId="0" fontId="62" fillId="9" borderId="5" xfId="36" applyFont="1">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7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71"/>
      <tableStyleElement type="headerRow" dxfId="170"/>
      <tableStyleElement type="totalRow" dxfId="169"/>
      <tableStyleElement type="firstColumn" dxfId="168"/>
      <tableStyleElement type="firstRowStripe" dxfId="167"/>
      <tableStyleElement type="secondRowStripe" dxfId="166"/>
    </tableStyle>
    <tableStyle name="Equation table" pivot="0" count="6" xr9:uid="{B247698E-E41D-4CCD-AA0A-C14817E9DE65}">
      <tableStyleElement type="wholeTable" dxfId="165"/>
      <tableStyleElement type="headerRow" dxfId="164"/>
      <tableStyleElement type="totalRow" dxfId="163"/>
      <tableStyleElement type="firstColumn" dxfId="162"/>
      <tableStyleElement type="firstRowStripe" dxfId="161"/>
      <tableStyleElement type="secondRowStripe" dxfId="160"/>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84622CD-CCF3-4BB9-AAA9-4F75EF631CF3}" name="Table_Input_LivestockSales" displayName="Table_Input_LivestockSales" ref="D206:I216" totalsRowShown="0">
  <autoFilter ref="D206:I216" xr:uid="{484622CD-CCF3-4BB9-AAA9-4F75EF631CF3}"/>
  <tableColumns count="6">
    <tableColumn id="6" xr3:uid="{CDF84216-F7B9-40D1-AFD9-FE7E96D516CD}" name="Transaction name" dataCellStyle="Input text"/>
    <tableColumn id="1" xr3:uid="{C3EE20E5-16CC-4D42-BB24-8ED3BA173150}" name="Class (select)" dataCellStyle="Input select"/>
    <tableColumn id="2" xr3:uid="{2319C54C-6BCC-4688-AF90-D7B3E007A56A}" name="Sale date" dataDxfId="123"/>
    <tableColumn id="3" xr3:uid="{FFF87D22-C444-400F-A9E3-B63C23903C22}" name="Head sold"/>
    <tableColumn id="4" xr3:uid="{982592FC-38BE-4790-8221-A7B450A87F12}" name="Average weight per head (kg)"/>
    <tableColumn id="5" xr3:uid="{4D9005EC-85A8-4B62-864C-7560018F5AE8}" name="Total liveweight sold" dataCellStyle="Input number general calculated">
      <calculatedColumnFormula>G207*H207</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B6424C-3730-40E0-8F0E-53BDFDC2DDBB}" name="Table_Input_LivestockPurchases_Beefcattle" displayName="Table_Input_LivestockPurchases_Beefcattle" ref="D190:K200" totalsRowShown="0">
  <autoFilter ref="D190:K200" xr:uid="{AAB6424C-3730-40E0-8F0E-53BDFDC2DDBB}"/>
  <tableColumns count="8">
    <tableColumn id="9" xr3:uid="{E413D398-059C-46F8-959D-F752EC623685}" name="Transaction name" dataCellStyle="Input text"/>
    <tableColumn id="13" xr3:uid="{95075BFA-3616-4C2A-88F3-1897B1E37A7B}" name="Purchase date" dataCellStyle="Input text"/>
    <tableColumn id="11" xr3:uid="{DF2FFE07-9B1A-4D5B-A8B1-F7E6AEBB6A62}" name="Class (select)" dataDxfId="122" dataCellStyle="Input select"/>
    <tableColumn id="2" xr3:uid="{4A67C945-12D3-415F-A1EE-3BDD0F8CF7AE}" name="Purchase class (select)" dataDxfId="121" dataCellStyle="Input select"/>
    <tableColumn id="6" xr3:uid="{5D779678-C4CF-422D-AA9D-2D15A1B27090}" name="Source region (Select)" dataDxfId="120" dataCellStyle="Input select"/>
    <tableColumn id="3" xr3:uid="{9210F4BA-44CB-4DF4-B75A-C059B7B26A6D}" name="Quantity (head)" dataCellStyle="Input number general"/>
    <tableColumn id="12" xr3:uid="{96622F60-FA87-4184-BE9C-1FFED6D305AF}"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calculatedColumnFormula>
    </tableColumn>
    <tableColumn id="4" xr3:uid="{E49A5DEE-F088-4823-B1E0-3155C3135E84}" name="Liveweight (kg/head) Method 2" dataCellStyle="Input number general"/>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1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1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1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1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1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1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1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1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1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0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0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0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0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0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0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0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0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0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0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9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9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9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9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9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9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9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9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9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9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8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8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8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8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8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8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8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8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7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7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7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7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7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7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7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7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7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7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6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6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6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6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6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6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6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6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6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6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5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5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5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5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5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54" dataCellStyle="Content normal">
      <calculatedColumnFormula>D351</calculatedColumnFormula>
    </tableColumn>
    <tableColumn id="2" xr3:uid="{B172192B-EDB5-47A5-A010-C82516ED13B5}" name="Bulls &lt; 1 year" dataDxfId="53" dataCellStyle="Content normal">
      <calculatedColumnFormula>E351</calculatedColumnFormula>
    </tableColumn>
    <tableColumn id="3" xr3:uid="{F83B528D-B6D7-4E92-967F-018ED1475D9B}" name="Bulls &gt; 1 year" dataDxfId="52" dataCellStyle="Content normal">
      <calculatedColumnFormula>F351</calculatedColumnFormula>
    </tableColumn>
    <tableColumn id="4" xr3:uid="{E83019D4-F113-4C9E-ADA7-433997A968A1}" name="Cows &lt; 1 year" dataDxfId="51" dataCellStyle="Content normal">
      <calculatedColumnFormula>G351</calculatedColumnFormula>
    </tableColumn>
    <tableColumn id="5" xr3:uid="{B51413B2-710F-409C-8C3C-6B72C8E99B49}" name="Cows 1-2 years" dataDxfId="50" dataCellStyle="Content normal">
      <calculatedColumnFormula>H351</calculatedColumnFormula>
    </tableColumn>
    <tableColumn id="6" xr3:uid="{F7B12596-1E7F-417C-83F5-67964BA7AAAE}" name="Cows 2-3 years" dataDxfId="49" dataCellStyle="Content normal">
      <calculatedColumnFormula>I351</calculatedColumnFormula>
    </tableColumn>
    <tableColumn id="7" xr3:uid="{C1B8EAD9-BCCE-49FF-9E3D-15E99DEC329C}" name="Cows &gt; 3 years" dataDxfId="48" dataCellStyle="Content normal">
      <calculatedColumnFormula>I351</calculatedColumnFormula>
    </tableColumn>
    <tableColumn id="8" xr3:uid="{6AB556D2-AF6C-4E98-9AA1-A8C6DC5F5CA9}" name="Steers &lt; 1 year" dataDxfId="47" dataCellStyle="Content normal">
      <calculatedColumnFormula>J351</calculatedColumnFormula>
    </tableColumn>
    <tableColumn id="9" xr3:uid="{46DC3CBA-6FB0-4A95-A39E-B2179DC8CFE6}" name="Steers 1-2 years" dataDxfId="46" dataCellStyle="Content normal">
      <calculatedColumnFormula>K351</calculatedColumnFormula>
    </tableColumn>
    <tableColumn id="10" xr3:uid="{105CEA90-EFAD-4757-B82A-B19E9A3F2664}" name="Steers 2-3 years" dataDxfId="45" dataCellStyle="Content normal"/>
    <tableColumn id="11" xr3:uid="{5E2A59D6-56CA-4967-885E-8602CA905B74}" name="Steers &gt;3 years" dataDxfId="44" dataCellStyle="Content normal"/>
    <tableColumn id="12" xr3:uid="{1C306FC1-FFBA-4C23-8EAD-1C07A5BAAA50}" name="State abbreviation" dataDxfId="43" dataCellStyle="Content normal"/>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4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4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4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3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3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3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3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3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3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3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3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6840E84-168C-4D51-8D9B-9C727DE4F3B7}" name="Table_LivestockClasses_Beefcattle" displayName="Table_LivestockClasses_Beefcattle" ref="O18:O28" totalsRowShown="0">
  <autoFilter ref="O18:O28" xr:uid="{96840E84-168C-4D51-8D9B-9C727DE4F3B7}">
    <filterColumn colId="0" hiddenButton="1"/>
  </autoFilter>
  <tableColumns count="1">
    <tableColumn id="1" xr3:uid="{CD48EEBA-CF4F-4128-AFAB-EF1C4DB2B2F6}" name="Livestock class"/>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BDCE2C1-1DAE-4F51-B816-0663A2C29F7F}" name="Table_ProductRegions_Beefcattle" displayName="Table_ProductRegions_Beefcattle" ref="O32:P48" totalsRowShown="0">
  <autoFilter ref="O32:P48" xr:uid="{1BDCE2C1-1DAE-4F51-B816-0663A2C29F7F}">
    <filterColumn colId="0" hiddenButton="1"/>
    <filterColumn colId="1" hiddenButton="1"/>
  </autoFilter>
  <tableColumns count="2">
    <tableColumn id="1" xr3:uid="{7CEB6087-9B2E-44BD-8AA5-D51377AD33C5}" name="Region"/>
    <tableColumn id="2" xr3:uid="{0DFFD971-A522-4909-A69C-36510AE29EA8}" name="Scope3 regio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C55191B-DB63-4195-A32C-1EB0F853942B}" name="Table_SourceData_Scope3_Animals" displayName="Table_SourceData_Scope3_Animals" ref="D442:I483" totalsRowShown="0">
  <autoFilter ref="D442:I483" xr:uid="{5C55191B-DB63-4195-A32C-1EB0F853942B}">
    <filterColumn colId="0" hiddenButton="1"/>
    <filterColumn colId="1" hiddenButton="1"/>
    <filterColumn colId="2" hiddenButton="1"/>
    <filterColumn colId="3" hiddenButton="1"/>
    <filterColumn colId="4" hiddenButton="1"/>
    <filterColumn colId="5" hiddenButton="1"/>
  </autoFilter>
  <tableColumns count="6">
    <tableColumn id="1" xr3:uid="{7793090E-597F-44C8-AA49-22FDAF8875F7}" name="Category" dataDxfId="31" dataCellStyle="Content normal">
      <calculatedColumnFormula array="1">Common_InputFunctions.Utility_DisplayArrayInTable(Scope3_SourceData.Scope3_Livestock_Data(), Table_SourceData_Scope3_Animals[[#Headers],[Category]], 0, 2)</calculatedColumnFormula>
    </tableColumn>
    <tableColumn id="2" xr3:uid="{34CFBD68-D325-49E3-BE34-15C96076F56D}" name="Product" dataDxfId="30" dataCellStyle="Content normal">
      <calculatedColumnFormula array="1">Common_InputFunctions.Utility_DisplayArrayInTable(Scope3_SourceData.Scope3_Livestock_Data(), Table_SourceData_Scope3_Animals[[#Headers],[Category]], 0, 2)</calculatedColumnFormula>
    </tableColumn>
    <tableColumn id="3" xr3:uid="{9098013F-A42C-4602-80FA-CC368A14B7F3}" name="Region of origin" dataDxfId="29" dataCellStyle="Content normal">
      <calculatedColumnFormula array="1">Common_InputFunctions.Utility_DisplayArrayInTable(Scope3_SourceData.Scope3_Livestock_Data(), Table_SourceData_Scope3_Animals[[#Headers],[Category]], 0, 2)</calculatedColumnFormula>
    </tableColumn>
    <tableColumn id="8" xr3:uid="{B90A1B39-9D35-495F-9B1F-4D3676101762}" name="Quantity Unit" dataDxfId="28" dataCellStyle="Content normal">
      <calculatedColumnFormula array="1">Common_InputFunctions.Utility_DisplayArrayInTable(Scope3_SourceData.Scope3_Livestock_Data(), Table_SourceData_Scope3_Animals[[#Headers],[Category]], 0, 2)</calculatedColumnFormula>
    </tableColumn>
    <tableColumn id="9" xr3:uid="{E30E1207-239F-46CB-BE0D-207732FCA5D1}" name="AusLCI Emissions intensity" dataDxfId="27" dataCellStyle="Content normal">
      <calculatedColumnFormula array="1">Common_InputFunctions.Utility_DisplayArrayInTable(Scope3_SourceData.Scope3_Livestock_Data(), Table_SourceData_Scope3_Animals[[#Headers],[Category]], 0, 2)</calculatedColumnFormula>
    </tableColumn>
    <tableColumn id="10" xr3:uid="{825B4580-EAEB-450A-BF1D-8F3B7E2F002A}" name="System boundary" dataDxfId="26"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4A4AD8-D37F-44A9-84F4-A59BC0A6848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146C230-F63E-4B2E-ACA5-B2857E87A884}" name="State/Territory">
      <calculatedColumnFormula array="1">Common_InputFunctions.Utility_DisplayArrayInTable(Common_SourceData.Common_SourceData_AustralianStatesTerritories_Data(),Table_AustralianStates[[#Headers],[State/Territory]],0)</calculatedColumnFormula>
    </tableColumn>
    <tableColumn id="2" xr3:uid="{910B531D-BF25-4447-941F-B63CDA018252}" name="Common Name">
      <calculatedColumnFormula array="1">Common_InputFunctions.Utility_DisplayArrayInTable(Common_SourceData.Common_SourceData_AustralianStatesTerritories_Data(),Table_AustralianStates[[#Headers],[State/Territory]],0)</calculatedColumnFormula>
    </tableColumn>
    <tableColumn id="3" xr3:uid="{8F67BDCC-3AD0-4EB1-9194-8B9E9E233F4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9E21B2-3CAE-4D68-8065-FDC9D9E947E8}" name="Table_WASA4Areas" displayName="Table_WASA4Areas" ref="D20:D30" totalsRowShown="0">
  <autoFilter ref="D20:D30" xr:uid="{5FA81339-C6C8-4D36-BEEA-6C4AEDD9E676}">
    <filterColumn colId="0" hiddenButton="1"/>
  </autoFilter>
  <tableColumns count="1">
    <tableColumn id="1" xr3:uid="{31276103-29EA-4DA2-9C0B-ED1DC171EA9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E06579-D408-48CD-AC44-5FF27E5735C8}" name="Table_GWPData" displayName="Table_GWPData" ref="D36:E43" totalsRowShown="0">
  <autoFilter ref="D36:E43" xr:uid="{B8E87A66-3E41-4AD3-925D-01EE21B43D7A}">
    <filterColumn colId="0" hiddenButton="1"/>
    <filterColumn colId="1" hiddenButton="1"/>
  </autoFilter>
  <tableColumns count="2">
    <tableColumn id="1" xr3:uid="{63E97C28-E1DB-495C-9034-F5AB7C2498CD}" name="Gas">
      <calculatedColumnFormula array="1">Common_InputFunctions.Utility_DisplayArrayInTable(Common_SourceData.Common_SourceData_GWP_Data(), Table_GWPData[[#Headers],[Gas]], 0)</calculatedColumnFormula>
    </tableColumn>
    <tableColumn id="2" xr3:uid="{3E5BE3E3-AF06-4307-A9A2-FBCC1DBADD53}"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84F6272-D155-4BA3-99B0-C9F6E7463AF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7D4B9280-ABFD-47EB-AEB3-5A13A4E2E367}" name="Gas">
      <calculatedColumnFormula array="1">Common_InputFunctions.Utility_DisplayArrayInTable(Common_SourceData.Common_SourceData_ConvertGasElementalToMolecular_Data(),Table_GasToMolecularConversionFactor[[#Headers],[Gas]], 0)</calculatedColumnFormula>
    </tableColumn>
    <tableColumn id="5" xr3:uid="{0B3FD21F-D9A0-465D-840B-0597FA3C6A27}" name="Conversion factor">
      <calculatedColumnFormula array="1">Common_InputFunctions.Utility_DisplayArrayInTable(Common_SourceData.Common_SourceData_ConvertGasElementalToMolecular_Data(),Table_GasToMolecularConversionFactor[[#Headers],[Gas]], 0)</calculatedColumnFormula>
    </tableColumn>
    <tableColumn id="2" xr3:uid="{2C38FB22-EF63-4B06-B565-98A8C3FC36D5}"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2F957DE-9BE1-480C-A6C9-9BD9CAB217D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6940B4A-5A02-4300-82BC-96F672D3098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1ADE98F-9FAE-4DB7-B481-483885409BD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B9844FE-EB5C-44CC-9088-8DC4F212CB3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76F39DDC-F3E5-4613-90F5-5D7AA6EA889D}" name="MAT" totalsRowDxfId="159" totalsRowCellStyle="Content bold">
      <calculatedColumnFormula array="1">Common_InputFunctions.Utility_DisplayArrayInTable(Common_SourceData.Common_SourceData_ClimateZones_Data(), Table_SourceData_ClimateZones[[#Headers],[Climate zone]], 0)</calculatedColumnFormula>
    </tableColumn>
    <tableColumn id="3" xr3:uid="{DF59FA5C-53A9-491F-9769-0C308660EAAD}" name="MAP" totalsRowDxfId="158" totalsRowCellStyle="Content bold">
      <calculatedColumnFormula array="1">Common_InputFunctions.Utility_DisplayArrayInTable(Common_SourceData.Common_SourceData_ClimateZones_Data(), Table_SourceData_ClimateZones[[#Headers],[Climate zone]], 0)</calculatedColumnFormula>
    </tableColumn>
    <tableColumn id="4" xr3:uid="{1E1CC794-BDEE-4201-98B3-52B3C8E326B6}" name="Frost days per year" totalsRowDxfId="157" totalsRowCellStyle="Content bold">
      <calculatedColumnFormula array="1">Common_InputFunctions.Utility_DisplayArrayInTable(Common_SourceData.Common_SourceData_ClimateZones_Data(), Table_SourceData_ClimateZones[[#Headers],[Climate zone]], 0)</calculatedColumnFormula>
    </tableColumn>
    <tableColumn id="5" xr3:uid="{3787A44D-D2C9-4708-9FFC-11F628169C0D}" name="Elevation" totalsRowDxfId="156" totalsRowCellStyle="Content bold">
      <calculatedColumnFormula array="1">Common_InputFunctions.Utility_DisplayArrayInTable(Common_SourceData.Common_SourceData_ClimateZones_Data(), Table_SourceData_ClimateZones[[#Headers],[Climate zone]], 0)</calculatedColumnFormula>
    </tableColumn>
    <tableColumn id="6" xr3:uid="{E06AB760-AF56-4E50-AD1B-1E861BBC0B39}" name="MAP:PET" totalsRowDxfId="155" totalsRowCellStyle="Content bold">
      <calculatedColumnFormula array="1">Common_InputFunctions.Utility_DisplayArrayInTable(Common_SourceData.Common_SourceData_ClimateZones_Data(), Table_SourceData_ClimateZones[[#Headers],[Climate zone]], 0)</calculatedColumnFormula>
    </tableColumn>
    <tableColumn id="7" xr3:uid="{51BF2A73-1EE7-418A-9A4D-7E49D944E3BD}" name="Min temp" totalsRowDxfId="154" totalsRowCellStyle="Content bold">
      <calculatedColumnFormula array="1">Common_InputFunctions.Utility_DisplayArrayInTable(Common_SourceData.Common_SourceData_ClimateZones_Data(), Table_SourceData_ClimateZones[[#Headers],[Climate zone]], 0)</calculatedColumnFormula>
    </tableColumn>
    <tableColumn id="8" xr3:uid="{E29091F2-919D-48E1-9F8B-A5488BEC7066}" name="Max temp" totalsRowDxfId="153" totalsRowCellStyle="Content bold">
      <calculatedColumnFormula array="1">Common_InputFunctions.Utility_DisplayArrayInTable(Common_SourceData.Common_SourceData_ClimateZones_Data(), Table_SourceData_ClimateZones[[#Headers],[Climate zone]], 0)</calculatedColumnFormula>
    </tableColumn>
    <tableColumn id="9" xr3:uid="{A5ABE2CE-D46A-4478-9F2A-51D3795113A2}" name="Min rainfall" totalsRowDxfId="152" totalsRowCellStyle="Content bold">
      <calculatedColumnFormula array="1">Common_InputFunctions.Utility_DisplayArrayInTable(Common_SourceData.Common_SourceData_ClimateZones_Data(), Table_SourceData_ClimateZones[[#Headers],[Climate zone]], 0)</calculatedColumnFormula>
    </tableColumn>
    <tableColumn id="10" xr3:uid="{C3FC9DDE-8242-4CB8-BAE8-52C782B7D9BE}" name="Max rainfall" totalsRowDxfId="151" totalsRowCellStyle="Content bold">
      <calculatedColumnFormula array="1">Common_InputFunctions.Utility_DisplayArrayInTable(Common_SourceData.Common_SourceData_ClimateZones_Data(), Table_SourceData_ClimateZones[[#Headers],[Climate zone]], 0)</calculatedColumnFormula>
    </tableColumn>
    <tableColumn id="11" xr3:uid="{C34F942A-F0B9-48A7-96A1-94EED6121AFE}" name="Min frost days" totalsRowDxfId="150" totalsRowCellStyle="Content bold">
      <calculatedColumnFormula array="1">Common_InputFunctions.Utility_DisplayArrayInTable(Common_SourceData.Common_SourceData_ClimateZones_Data(), Table_SourceData_ClimateZones[[#Headers],[Climate zone]], 0)</calculatedColumnFormula>
    </tableColumn>
    <tableColumn id="15" xr3:uid="{E3B92838-94F6-4121-A5EF-64BE93D9CB9A}" name="Max frost days" totalsRowDxfId="149" totalsRowCellStyle="Content bold">
      <calculatedColumnFormula array="1">Common_InputFunctions.Utility_DisplayArrayInTable(Common_SourceData.Common_SourceData_ClimateZones_Data(), Table_SourceData_ClimateZones[[#Headers],[Climate zone]], 0)</calculatedColumnFormula>
    </tableColumn>
    <tableColumn id="12" xr3:uid="{D3524A52-0657-452F-850B-69A506439B6E}" name="Min elevation" totalsRowDxfId="148" totalsRowCellStyle="Content bold">
      <calculatedColumnFormula array="1">Common_InputFunctions.Utility_DisplayArrayInTable(Common_SourceData.Common_SourceData_ClimateZones_Data(), Table_SourceData_ClimateZones[[#Headers],[Climate zone]], 0)</calculatedColumnFormula>
    </tableColumn>
    <tableColumn id="16" xr3:uid="{CF670D3D-5678-496A-96E7-3517EA18CB58}" name="Max elevation" totalsRowDxfId="147" totalsRowCellStyle="Content bold">
      <calculatedColumnFormula array="1">Common_InputFunctions.Utility_DisplayArrayInTable(Common_SourceData.Common_SourceData_ClimateZones_Data(), Table_SourceData_ClimateZones[[#Headers],[Climate zone]], 0)</calculatedColumnFormula>
    </tableColumn>
    <tableColumn id="13" xr3:uid="{7AF214CB-0EA5-4772-BDAD-8EB463CF8068}" name="Min MAP:PET" totalsRowDxfId="146" totalsRowCellStyle="Content bold">
      <calculatedColumnFormula array="1">Common_InputFunctions.Utility_DisplayArrayInTable(Common_SourceData.Common_SourceData_ClimateZones_Data(), Table_SourceData_ClimateZones[[#Headers],[Climate zone]], 0)</calculatedColumnFormula>
    </tableColumn>
    <tableColumn id="17" xr3:uid="{6714CD2F-CABE-495E-BF65-55674E59BCE3}" name="Max MAP:PET" totalsRowDxfId="14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0A2712-941F-4B34-B8BE-4D7D129413A4}"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C80F95A0-0C48-4FA1-9A63-7AB683AC074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8D2238E-C2B8-4705-8625-CFA1EDB08D98}" name="Wet or Dry Zone" totalsRowDxfId="14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E89933-EDBF-45C0-85E7-E95F18A8EE4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70C1258A-D012-49B8-9BB8-0C2C964731E4}" name="Temperature Zone">
      <calculatedColumnFormula array="1">Common_InputFunctions.Utility_DisplayArrayInTable(Common_SourceData.Common_SourceData_TemperatureZones_Data(),Table_SourceData_TemperatureZones[[#Headers],[Temperature Zone]],0)</calculatedColumnFormula>
    </tableColumn>
    <tableColumn id="2" xr3:uid="{7181AE95-72D1-4D72-814C-97AA98D1B240}" name="MAT">
      <calculatedColumnFormula array="1">Common_InputFunctions.Utility_DisplayArrayInTable(Common_SourceData.Common_SourceData_TemperatureZones_Data(),Table_SourceData_TemperatureZones[[#Headers],[Temperature Zone]],0)</calculatedColumnFormula>
    </tableColumn>
    <tableColumn id="3" xr3:uid="{BCE718A9-3B1F-4BD2-80F9-C2742BA2018C}" name="Min MAT">
      <calculatedColumnFormula array="1">Common_InputFunctions.Utility_DisplayArrayInTable(Common_SourceData.Common_SourceData_TemperatureZones_Data(),Table_SourceData_TemperatureZones[[#Headers],[Temperature Zone]],0)</calculatedColumnFormula>
    </tableColumn>
    <tableColumn id="4" xr3:uid="{4A695658-AF3B-46FC-BED9-35B6DD742EB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CE010B1-4497-435F-8E08-AD01F4811AF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A8E673AF-8FBF-434D-BDE1-B95E681B5DFB}" name="Rainfall Zone">
      <calculatedColumnFormula array="1">Common_InputFunctions.Utility_DisplayArrayInTable(Common_SourceData.Common_SourceData_RainfallZones_Data(),Table_SourceData_RainfallZones[[#Headers],[Rainfall Zone]],0)</calculatedColumnFormula>
    </tableColumn>
    <tableColumn id="2" xr3:uid="{C92E7EFE-240C-40FA-973D-6725E047B6EB}" name="Annual rainfall">
      <calculatedColumnFormula array="1">Common_InputFunctions.Utility_DisplayArrayInTable(Common_SourceData.Common_SourceData_RainfallZones_Data(),Table_SourceData_RainfallZones[[#Headers],[Rainfall Zone]],0)</calculatedColumnFormula>
    </tableColumn>
    <tableColumn id="3" xr3:uid="{EF921746-B038-4CF7-BE15-8C64F3B00FE7}" name="Min rainfall">
      <calculatedColumnFormula array="1">Common_InputFunctions.Utility_DisplayArrayInTable(Common_SourceData.Common_SourceData_RainfallZones_Data(),Table_SourceData_RainfallZones[[#Headers],[Rainfall Zone]],0)</calculatedColumnFormula>
    </tableColumn>
    <tableColumn id="4" xr3:uid="{54D062E7-1434-42FD-B814-5108D800151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B0EEB92-631D-49A8-9FB7-141C834229DA}"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F8C29DC-49BF-419F-8011-4361AE8BD017}" name="Leaching Zone">
      <calculatedColumnFormula array="1">Common_InputFunctions.Utility_DisplayArrayInTable(Common_SourceData.Common_SourceData_LeachingZones_Data(), Table_SourceData_LeachingZones[[#Headers],[Leaching Zone]], 0)</calculatedColumnFormula>
    </tableColumn>
    <tableColumn id="2" xr3:uid="{509CFCDE-F9E6-4637-8120-894163CA071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423CB63-B684-4925-BDCE-3BD9A715CF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0E42A113-6683-4AC8-B2CE-FBCF71DCAC97}" name="Data source">
      <calculatedColumnFormula array="1">Common_InputFunctions.Utility_DisplayArrayInTable(Common_SourceData.Common_SourceData_DataScores_Scope3_Data(), Table_SourceData_DataScores_Scope3[[#Headers],[Data source]], 0)</calculatedColumnFormula>
    </tableColumn>
    <tableColumn id="2" xr3:uid="{29E436E6-73FE-4473-842D-E16872FFEF8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03C1137-7186-414A-B000-03A0AC011680}" name="Table_SourceData_FracWET" displayName="Table_SourceData_FracWET" ref="D134:E136" totalsRowShown="0">
  <autoFilter ref="D134:E136" xr:uid="{308E99BE-FE1F-47A4-B2CA-97217277C4E9}">
    <filterColumn colId="0" hiddenButton="1"/>
    <filterColumn colId="1" hiddenButton="1"/>
  </autoFilter>
  <tableColumns count="2">
    <tableColumn id="1" xr3:uid="{DE0327F0-F5B2-42B6-A175-92633730D2A1}" name="Is in leaching zone">
      <calculatedColumnFormula array="1">Common_InputFunctions.Utility_DisplayArrayInTable(Common_SourceData.Common_SourceData_FracWET_Data(),Table_SourceData_FracWET[[#Headers],[Is in leaching zone]],0)</calculatedColumnFormula>
    </tableColumn>
    <tableColumn id="2" xr3:uid="{9F84E7CA-9812-4E8C-BBFF-CAD384C5DDFC}" name="FracWET" dataDxfId="14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D3BE446-D951-4309-9838-2B861636038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2836BEA-2CD1-453A-947D-A152145BC8DB}" name="Production system j">
      <calculatedColumnFormula array="1">Common_InputFunctions.Utility_DisplayArrayInTable(Common_SourceData.Common_SourceData_EFN2O_Data(), Table_SourceData_Common_EFN2O[[#Headers],[Production system j]], 0)</calculatedColumnFormula>
    </tableColumn>
    <tableColumn id="2" xr3:uid="{883D6495-4E12-4C93-B44C-63A826F006E2}" name="EFN2O">
      <calculatedColumnFormula array="1">Common_InputFunctions.Utility_DisplayArrayInTable(Common_SourceData.Common_SourceData_EFN2O_Data(), Table_SourceData_Common_EFN2O[[#Headers],[Production system j]], 0)</calculatedColumnFormula>
    </tableColumn>
    <tableColumn id="3" xr3:uid="{778A6AEF-6F18-4901-BED1-EFCF4ABCA8D2}" name="Production system only">
      <calculatedColumnFormula array="1">Common_InputFunctions.Utility_DisplayArrayInTable(Common_SourceData.Common_SourceData_EFN2O_Data(), Table_SourceData_Common_EFN2O[[#Headers],[Production system j]], 0)</calculatedColumnFormula>
    </tableColumn>
    <tableColumn id="4" xr3:uid="{53667FE9-07D3-42D0-A5D6-05A4202964D9}" name="Irrigation method">
      <calculatedColumnFormula array="1">Common_InputFunctions.Utility_DisplayArrayInTable(Common_SourceData.Common_SourceData_EFN2O_Data(), Table_SourceData_Common_EFN2O[[#Headers],[Production system j]], 0)</calculatedColumnFormula>
    </tableColumn>
    <tableColumn id="5" xr3:uid="{E47B793B-7103-4156-8040-24DE67F3DBB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857E24-F5FC-4AFE-8759-12CF86A7C2E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22994B13-61B9-4E3B-8452-4D3FEF3BD7B2}" name="Irrigation type i">
      <calculatedColumnFormula array="1">Common_InputFunctions.Utility_DisplayArrayInTable(Common_SourceData.Common_SourceData_FracWETIrrigation_Data(), Table_SourceData_FracWETIrrigation[[#Headers],[Irrigation type i]], 0)</calculatedColumnFormula>
    </tableColumn>
    <tableColumn id="2" xr3:uid="{36EE5413-4B6B-40C3-9F89-AEFD920CB118}" name="FracWET" dataDxfId="14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62E7CF4-610E-4376-8F88-B570EB2D470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40C446C-C766-46E9-97D7-D4E67EC769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A935F0A5-E00B-4BBD-8B70-5440E793549B}" name="EFPRP" dataDxfId="14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C6C6EC3-C3B5-42D6-8253-BAF7DD546A8F}"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BC52D0A-8301-4540-A51E-458BE91D3414}" name="Month">
      <calculatedColumnFormula array="1">Common_InputFunctions.Utility_DisplayArrayInTable(Common_SourceData.Common_SourceData_MonthsToSeasons_Data(), Table_SourceData_Common_MonthToSeason[[#Headers],[Month]], 0)</calculatedColumnFormula>
    </tableColumn>
    <tableColumn id="2" xr3:uid="{3CF3E42F-4A1C-433C-A7B1-13B558F713D6}" name="Season" dataDxfId="14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D1DDAF2-BE30-48C3-8708-13965853440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91E3D79-1DC9-488F-8571-89E94C584D4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C16709FA-7F6C-41F2-8969-8A4676C9A91C}" name="MAT (ºC)" dataDxfId="1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41CB6D5-618C-415C-BE78-F8D92C70A008}" name="Anaerobic lagoon" dataDxfId="1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BB6DB359-6A60-4C58-A997-E566294B8FEB}" name="Digester / covered lagoons" dataDxfId="1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BD115F14-9D3B-49DA-B1EC-FC0AD8E91255}" name="Liquid systems" dataDxfId="1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3DA7235-6486-4740-83ED-70BF54A9BA4A}" name="Daily spread" dataDxfId="1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1B6FD7A-D12B-4C65-BF50-47FCE7C02A24}" name="Composting (passive windrow)" dataDxfId="1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B652731-FAE1-496F-82D7-897600EF2CDA}" name="Solid storage" dataDxfId="1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6E268F1-F6E7-4E19-AE9F-546BC55CB87F}" name="Pit storage" dataDxfId="1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EA7F2C2-4F93-4ADB-ADC2-D5049C7508E3}" name="Deep litter" dataDxfId="1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E9BA32E6-08D2-416D-9B9F-2D0EDB6B5638}" name="Poultry manure with bedding" dataDxfId="1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A7FCAA7E-9538-4060-8FA4-55F61E36DD2D}" name="Poultry manure without bedding" dataDxfId="1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ABFD1685-A5D4-4835-82B1-D115D7662492}" name="Direct processing" dataDxfId="1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8A2E75D-A196-495E-8C57-E8A46FC4E710}" name="Direct application" dataDxfId="1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6C029AD-C7C0-4DB8-9F63-0A5C1CCE12C5}" name="Pasture range and paddock" dataDxfId="1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D814589B-335A-408E-AB59-3ED061607E41}" name="MAT raw" dataDxfId="1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4F55AFF-F114-4D7A-AF25-81B1AE987116}"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9477084-2CDC-46A4-BD3F-4E3F6298E125}"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D016D6C-B452-4DB0-946C-0519F5F9DDB2}" name="EFNi &amp; EFN2Oi" dataDxfId="12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0696731-6602-481C-9AD7-5F0AC3A93169}" name="Table_SourceData_LivestockProduct_Beefcattle" displayName="Table_SourceData_LivestockProduct_Beefcattle" ref="D31:E39" totalsRowShown="0">
  <autoFilter ref="D31:E39" xr:uid="{A0696731-6602-481C-9AD7-5F0AC3A93169}"/>
  <tableColumns count="2">
    <tableColumn id="1" xr3:uid="{88A6411F-53B6-4E98-851C-0DD006E062B8}" name="Product">
      <calculatedColumnFormula array="1">Common_InputFunctions.Utility_DisplayArrayInTable(CommonLivestock_SourceData.SourceData_Livestock_Product_BeefCattle_Data(),Table_SourceData_LivestockProduct_Beefcattle[[#Headers],[Product]],0)</calculatedColumnFormula>
    </tableColumn>
    <tableColumn id="2" xr3:uid="{8C2AFE58-34F9-46E4-8545-3D658D7FB2E8}" name="Source region" dataDxfId="2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711E95C-01C8-48A7-BB52-9F827483965C}" name="Table_SourceData_LivestockProduct_Sheep" displayName="Table_SourceData_LivestockProduct_Sheep" ref="D43:E50" totalsRowShown="0" dataDxfId="24" dataCellStyle="Content normal">
  <autoFilter ref="D43:E50" xr:uid="{F711E95C-01C8-48A7-BB52-9F827483965C}"/>
  <tableColumns count="2">
    <tableColumn id="1" xr3:uid="{08B90907-6C3E-412D-8433-9F6039F4029A}" name="Product" dataDxfId="2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2A2C2767-D99F-48A4-9B18-54570969BE83}" name="Source region" dataDxfId="2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A75A840-CA11-4C7B-8899-C3A821D14E27}" name="Table_SourceData_LivestockProduct_Chickens" displayName="Table_SourceData_LivestockProduct_Chickens" ref="D54:E55" totalsRowShown="0" dataDxfId="21" dataCellStyle="Content normal">
  <autoFilter ref="D54:E55" xr:uid="{2A75A840-CA11-4C7B-8899-C3A821D14E27}"/>
  <tableColumns count="2">
    <tableColumn id="1" xr3:uid="{F170FD6C-DD1B-4B8F-AF9E-3B62B67338A0}" name="Product" dataDxfId="20"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C8B45611-E4B1-4ECC-9EF4-F757FA5DE25B}" name="Source region" dataDxfId="1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D888E1E-7753-4DC0-B298-BEAC22F6BD88}" name="Table_SourceData_LivestockProduct_Dairycattle" displayName="Table_SourceData_LivestockProduct_Dairycattle" ref="D59:E60" totalsRowShown="0" dataDxfId="18" dataCellStyle="Content normal">
  <autoFilter ref="D59:E60" xr:uid="{2D888E1E-7753-4DC0-B298-BEAC22F6BD88}"/>
  <tableColumns count="2">
    <tableColumn id="1" xr3:uid="{C9C3D59B-D677-4AA1-B0C2-2067DFB471D5}" name="Product" dataDxfId="1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5888C74E-925A-47DD-9FC9-F51F54E7CA27}" name="Source region" dataDxfId="1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DB6C08B-3AF7-4AD1-AB80-46559AA7950B}" name="Table_SourceData_LivestockProduct_Pigs" displayName="Table_SourceData_LivestockProduct_Pigs" ref="D64:E65" totalsRowShown="0" dataDxfId="15" dataCellStyle="Content normal">
  <autoFilter ref="D64:E65" xr:uid="{4DB6C08B-3AF7-4AD1-AB80-46559AA7950B}"/>
  <tableColumns count="2">
    <tableColumn id="1" xr3:uid="{89BE89CD-FE25-4013-84CD-7E8828148DA3}" name="Product" dataDxfId="1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13E0366C-4D01-41B3-AF78-84B193706A78}" name="Source region" dataDxfId="1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26" Type="http://schemas.openxmlformats.org/officeDocument/2006/relationships/table" Target="../tables/table27.xml"/><Relationship Id="rId3" Type="http://schemas.openxmlformats.org/officeDocument/2006/relationships/table" Target="../tables/table4.xml"/><Relationship Id="rId21" Type="http://schemas.openxmlformats.org/officeDocument/2006/relationships/table" Target="../tables/table22.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5" Type="http://schemas.openxmlformats.org/officeDocument/2006/relationships/table" Target="../tables/table26.xml"/><Relationship Id="rId2" Type="http://schemas.openxmlformats.org/officeDocument/2006/relationships/table" Target="../tables/table3.xml"/><Relationship Id="rId16" Type="http://schemas.openxmlformats.org/officeDocument/2006/relationships/table" Target="../tables/table17.xml"/><Relationship Id="rId20" Type="http://schemas.openxmlformats.org/officeDocument/2006/relationships/table" Target="../tables/table21.xml"/><Relationship Id="rId1" Type="http://schemas.openxmlformats.org/officeDocument/2006/relationships/printerSettings" Target="../printerSettings/printerSettings3.bin"/><Relationship Id="rId6" Type="http://schemas.openxmlformats.org/officeDocument/2006/relationships/table" Target="../tables/table7.xml"/><Relationship Id="rId11" Type="http://schemas.openxmlformats.org/officeDocument/2006/relationships/table" Target="../tables/table12.xml"/><Relationship Id="rId24" Type="http://schemas.openxmlformats.org/officeDocument/2006/relationships/table" Target="../tables/table25.xml"/><Relationship Id="rId5" Type="http://schemas.openxmlformats.org/officeDocument/2006/relationships/table" Target="../tables/table6.xml"/><Relationship Id="rId15" Type="http://schemas.openxmlformats.org/officeDocument/2006/relationships/table" Target="../tables/table16.xml"/><Relationship Id="rId23" Type="http://schemas.openxmlformats.org/officeDocument/2006/relationships/table" Target="../tables/table24.xml"/><Relationship Id="rId28" Type="http://schemas.openxmlformats.org/officeDocument/2006/relationships/table" Target="../tables/table29.xml"/><Relationship Id="rId10" Type="http://schemas.openxmlformats.org/officeDocument/2006/relationships/table" Target="../tables/table11.xml"/><Relationship Id="rId19" Type="http://schemas.openxmlformats.org/officeDocument/2006/relationships/table" Target="../tables/table20.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 Id="rId22" Type="http://schemas.openxmlformats.org/officeDocument/2006/relationships/table" Target="../tables/table23.xml"/><Relationship Id="rId27" Type="http://schemas.openxmlformats.org/officeDocument/2006/relationships/table" Target="../tables/table28.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6.xml"/><Relationship Id="rId13" Type="http://schemas.openxmlformats.org/officeDocument/2006/relationships/table" Target="../tables/table41.xml"/><Relationship Id="rId18" Type="http://schemas.openxmlformats.org/officeDocument/2006/relationships/table" Target="../tables/table46.xml"/><Relationship Id="rId3" Type="http://schemas.openxmlformats.org/officeDocument/2006/relationships/table" Target="../tables/table31.xml"/><Relationship Id="rId7" Type="http://schemas.openxmlformats.org/officeDocument/2006/relationships/table" Target="../tables/table35.xml"/><Relationship Id="rId12" Type="http://schemas.openxmlformats.org/officeDocument/2006/relationships/table" Target="../tables/table40.xml"/><Relationship Id="rId17" Type="http://schemas.openxmlformats.org/officeDocument/2006/relationships/table" Target="../tables/table45.xml"/><Relationship Id="rId2" Type="http://schemas.openxmlformats.org/officeDocument/2006/relationships/table" Target="../tables/table30.xml"/><Relationship Id="rId16" Type="http://schemas.openxmlformats.org/officeDocument/2006/relationships/table" Target="../tables/table44.xml"/><Relationship Id="rId1" Type="http://schemas.openxmlformats.org/officeDocument/2006/relationships/printerSettings" Target="../printerSettings/printerSettings4.bin"/><Relationship Id="rId6" Type="http://schemas.openxmlformats.org/officeDocument/2006/relationships/table" Target="../tables/table34.xml"/><Relationship Id="rId11" Type="http://schemas.openxmlformats.org/officeDocument/2006/relationships/table" Target="../tables/table39.xml"/><Relationship Id="rId5" Type="http://schemas.openxmlformats.org/officeDocument/2006/relationships/table" Target="../tables/table33.xml"/><Relationship Id="rId15" Type="http://schemas.openxmlformats.org/officeDocument/2006/relationships/table" Target="../tables/table43.xml"/><Relationship Id="rId10" Type="http://schemas.openxmlformats.org/officeDocument/2006/relationships/table" Target="../tables/table38.xml"/><Relationship Id="rId4" Type="http://schemas.openxmlformats.org/officeDocument/2006/relationships/table" Target="../tables/table32.xml"/><Relationship Id="rId9" Type="http://schemas.openxmlformats.org/officeDocument/2006/relationships/table" Target="../tables/table37.xml"/><Relationship Id="rId14" Type="http://schemas.openxmlformats.org/officeDocument/2006/relationships/table" Target="../tables/table4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8.xml"/><Relationship Id="rId7" Type="http://schemas.openxmlformats.org/officeDocument/2006/relationships/table" Target="../tables/table52.xml"/><Relationship Id="rId2" Type="http://schemas.openxmlformats.org/officeDocument/2006/relationships/table" Target="../tables/table47.xml"/><Relationship Id="rId1" Type="http://schemas.openxmlformats.org/officeDocument/2006/relationships/printerSettings" Target="../printerSettings/printerSettings5.bin"/><Relationship Id="rId6" Type="http://schemas.openxmlformats.org/officeDocument/2006/relationships/table" Target="../tables/table51.xml"/><Relationship Id="rId5" Type="http://schemas.openxmlformats.org/officeDocument/2006/relationships/table" Target="../tables/table50.xml"/><Relationship Id="rId4" Type="http://schemas.openxmlformats.org/officeDocument/2006/relationships/table" Target="../tables/table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0"/>
  <sheetViews>
    <sheetView zoomScaleNormal="100" workbookViewId="0">
      <selection activeCell="A20" sqref="A20"/>
    </sheetView>
  </sheetViews>
  <sheetFormatPr defaultRowHeight="15" x14ac:dyDescent="0.25"/>
  <sheetData>
    <row r="1" spans="1:1" ht="25.5" x14ac:dyDescent="0.35">
      <c r="A1" s="62" t="e" vm="1">
        <v>#VALUE!</v>
      </c>
    </row>
    <row r="3" spans="1:1" ht="15.75" x14ac:dyDescent="0.25">
      <c r="A3" s="116" t="str">
        <f>HYPERLINK("#'Home'!A1", "Home")</f>
        <v>Home</v>
      </c>
    </row>
    <row r="4" spans="1:1" ht="15.75" x14ac:dyDescent="0.25">
      <c r="A4" s="17" t="str">
        <f>HYPERLINK("#'Results'!A1", "Results")</f>
        <v>Results</v>
      </c>
    </row>
    <row r="7" spans="1:1" x14ac:dyDescent="0.25">
      <c r="A7" s="19" t="s">
        <v>0</v>
      </c>
    </row>
    <row r="8" spans="1:1" ht="15.75" x14ac:dyDescent="0.25">
      <c r="A8" s="17" t="str">
        <f>HYPERLINK("#'Input - Site'!A1", "Site")</f>
        <v>Site</v>
      </c>
    </row>
    <row r="9" spans="1:1" ht="15.75" x14ac:dyDescent="0.25">
      <c r="A9" s="17" t="str">
        <f>HYPERLINK("#'Input - Pasture Beef'!A1", "Pasture Beef")</f>
        <v>Pasture Beef</v>
      </c>
    </row>
    <row r="12" spans="1:1" x14ac:dyDescent="0.25">
      <c r="A12" s="18" t="s">
        <v>60</v>
      </c>
    </row>
    <row r="13" spans="1:1" ht="15.75" x14ac:dyDescent="0.25">
      <c r="A13" s="17" t="str">
        <f>HYPERLINK("#'3.2.1.1-2 Enteric Methane'!A1", "3.2.1.1-2 Enteric Methane")</f>
        <v>3.2.1.1-2 Enteric Methane</v>
      </c>
    </row>
    <row r="16" spans="1:1" x14ac:dyDescent="0.25">
      <c r="A16" s="128" t="s">
        <v>1</v>
      </c>
    </row>
    <row r="17" spans="1:1" ht="15.75" x14ac:dyDescent="0.25">
      <c r="A17" s="17" t="str">
        <f>HYPERLINK("#'Constants - Pasture Beef'!A1", "Constants - Pasture Beef")</f>
        <v>Constants - Pasture Beef</v>
      </c>
    </row>
    <row r="18" spans="1:1" ht="15.75" x14ac:dyDescent="0.25">
      <c r="A18" s="17" t="str">
        <f>HYPERLINK("#'Constants - Common'!A1", "Constants - Common")</f>
        <v>Constants - Common</v>
      </c>
    </row>
    <row r="19" spans="1:1" ht="15.75" x14ac:dyDescent="0.25">
      <c r="A19" s="17" t="str">
        <f>HYPERLINK("#'Constants - Common Livestock'!A1", "Constants - Common Livestock")</f>
        <v>Constants - Common Livestock</v>
      </c>
    </row>
    <row r="20" spans="1:1" ht="15.75" x14ac:dyDescent="0.25">
      <c r="A20"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0" sqref="A20"/>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2" t="e" vm="1">
        <v>#VALUE!</v>
      </c>
      <c r="C1" s="104" t="s">
        <v>265</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16" t="str">
        <f>HYPERLINK("#'Results'!A1", "Results")</f>
        <v>Results</v>
      </c>
      <c r="C4" s="21"/>
      <c r="D4" s="6" t="s">
        <v>2</v>
      </c>
      <c r="E4" s="23"/>
      <c r="F4" s="23"/>
      <c r="G4" s="23"/>
      <c r="H4" s="6"/>
      <c r="I4" s="6"/>
      <c r="J4" s="6"/>
      <c r="K4" s="24"/>
    </row>
    <row r="5" spans="1:11" ht="20.100000000000001" customHeight="1" x14ac:dyDescent="0.3">
      <c r="C5" s="21"/>
      <c r="D5" s="25"/>
      <c r="E5" s="26"/>
      <c r="F5" s="26"/>
      <c r="G5" s="26"/>
      <c r="H5" s="23"/>
      <c r="I5" s="21"/>
      <c r="J5" s="21"/>
      <c r="K5" s="21"/>
    </row>
    <row r="6" spans="1:11" ht="20.100000000000001" customHeight="1" x14ac:dyDescent="0.25">
      <c r="C6" s="21"/>
      <c r="D6" s="103" t="s">
        <v>86</v>
      </c>
      <c r="E6" s="103" t="s">
        <v>121</v>
      </c>
      <c r="F6" s="103" t="s">
        <v>122</v>
      </c>
      <c r="G6" s="103" t="s">
        <v>99</v>
      </c>
      <c r="H6" s="103" t="s">
        <v>123</v>
      </c>
      <c r="I6" s="103" t="s">
        <v>124</v>
      </c>
      <c r="J6" s="103" t="s">
        <v>100</v>
      </c>
      <c r="K6" s="21"/>
    </row>
    <row r="7" spans="1:11" ht="20.100000000000001" customHeight="1" x14ac:dyDescent="0.25">
      <c r="A7" s="19" t="s">
        <v>0</v>
      </c>
      <c r="C7" s="21"/>
      <c r="D7" s="1" t="s">
        <v>264</v>
      </c>
      <c r="E7" s="101" t="e">
        <f>VEERG_3_2_1_1__1_TotalAnnualMethaneFromEntericFermentation_Result</f>
        <v>#NAME?</v>
      </c>
      <c r="F7" s="101">
        <f ca="1">VEERG_3_2_1_1__1_TotalAnnualMethaneFromEntericFermentation_Result_Method2</f>
        <v>54.699181903674365</v>
      </c>
      <c r="G7" s="51" t="s">
        <v>116</v>
      </c>
      <c r="H7" s="101">
        <f ca="1">'3.2.1.1-2 Enteric Methane'!E133</f>
        <v>1528.6811521013833</v>
      </c>
      <c r="I7" s="101">
        <f ca="1">'3.2.1.1-2 Enteric Methane'!V166</f>
        <v>1531.5770933028823</v>
      </c>
      <c r="J7" s="51" t="s">
        <v>119</v>
      </c>
      <c r="K7" s="21"/>
    </row>
    <row r="8" spans="1:11" ht="20.100000000000001" customHeight="1" x14ac:dyDescent="0.3">
      <c r="A8" s="17" t="str">
        <f>HYPERLINK("#'Input - Site'!A1", "Site")</f>
        <v>Site</v>
      </c>
      <c r="C8" s="21"/>
      <c r="D8" s="28" t="s">
        <v>98</v>
      </c>
      <c r="E8" s="22"/>
      <c r="F8" s="22"/>
      <c r="G8" s="28"/>
      <c r="H8" s="102">
        <f ca="1">SUM(H7:H7)</f>
        <v>1528.6811521013833</v>
      </c>
      <c r="I8" s="102">
        <f ca="1">SUM(I7:I7)</f>
        <v>1531.5770933028823</v>
      </c>
      <c r="J8" s="97" t="s">
        <v>119</v>
      </c>
      <c r="K8" s="21"/>
    </row>
    <row r="9" spans="1:11" ht="20.100000000000001" customHeight="1" x14ac:dyDescent="0.25">
      <c r="A9" s="17" t="str">
        <f>HYPERLINK("#'Input - Pasture Beef'!A1", "Pasture Beef")</f>
        <v>Pasture Beef</v>
      </c>
      <c r="C9" s="21"/>
      <c r="D9" s="1"/>
      <c r="E9" s="1"/>
      <c r="F9" s="1"/>
      <c r="G9" s="23"/>
      <c r="H9" s="21"/>
      <c r="I9" s="1"/>
      <c r="J9" s="1"/>
      <c r="K9" s="21"/>
    </row>
    <row r="10" spans="1:11" ht="20.100000000000001" customHeight="1" x14ac:dyDescent="0.25">
      <c r="C10" s="21"/>
      <c r="D10" s="21"/>
      <c r="E10" s="21"/>
      <c r="F10" s="21"/>
      <c r="G10" s="21"/>
      <c r="H10" s="21"/>
      <c r="I10" s="21"/>
      <c r="J10" s="21"/>
      <c r="K10" s="21"/>
    </row>
    <row r="11" spans="1:11" ht="20.100000000000001" customHeight="1" x14ac:dyDescent="0.25">
      <c r="C11" s="21"/>
      <c r="D11" s="21"/>
      <c r="E11" s="21"/>
      <c r="F11" s="21"/>
      <c r="G11" s="21"/>
      <c r="H11" s="21"/>
      <c r="I11" s="21"/>
      <c r="J11" s="21"/>
      <c r="K11" s="21"/>
    </row>
    <row r="12" spans="1:11" ht="20.100000000000001" customHeight="1" x14ac:dyDescent="0.25">
      <c r="A12" s="18" t="s">
        <v>60</v>
      </c>
      <c r="C12" s="21"/>
      <c r="D12" s="21"/>
      <c r="E12" s="21"/>
      <c r="F12" s="21"/>
      <c r="G12" s="21"/>
      <c r="H12" s="21"/>
      <c r="I12" s="21"/>
      <c r="J12" s="21"/>
      <c r="K12" s="21"/>
    </row>
    <row r="13" spans="1:11" ht="20.100000000000001" customHeight="1" x14ac:dyDescent="0.25">
      <c r="A13" s="17" t="str">
        <f>HYPERLINK("#'3.2.1.1-2 Enteric Methane'!A1", "3.2.1.1-2 Enteric Methane")</f>
        <v>3.2.1.1-2 Enteric Methane</v>
      </c>
      <c r="C13" s="21"/>
      <c r="D13" s="21"/>
      <c r="E13" s="21"/>
      <c r="F13" s="21"/>
      <c r="G13" s="21"/>
      <c r="H13" s="21"/>
      <c r="I13" s="21"/>
      <c r="J13" s="21"/>
      <c r="K13" s="21"/>
    </row>
    <row r="14" spans="1:11" ht="20.100000000000001" customHeight="1" x14ac:dyDescent="0.25">
      <c r="C14" s="21"/>
      <c r="D14" s="21"/>
      <c r="E14" s="21"/>
      <c r="F14" s="21"/>
      <c r="G14" s="21"/>
      <c r="H14" s="21"/>
      <c r="I14" s="21"/>
      <c r="J14" s="21"/>
      <c r="K14" s="21"/>
    </row>
    <row r="15" spans="1:11" ht="20.100000000000001" customHeight="1" x14ac:dyDescent="0.25">
      <c r="C15" s="21"/>
      <c r="D15" s="21"/>
      <c r="E15" s="21"/>
      <c r="F15" s="21"/>
      <c r="G15" s="21"/>
      <c r="H15" s="21"/>
      <c r="I15" s="21"/>
      <c r="J15" s="21"/>
      <c r="K15" s="21"/>
    </row>
    <row r="16" spans="1:11" ht="20.100000000000001" customHeight="1" x14ac:dyDescent="0.3">
      <c r="A16" s="128" t="s">
        <v>1</v>
      </c>
      <c r="C16" s="21"/>
      <c r="D16" s="1"/>
      <c r="E16" s="1"/>
      <c r="F16" s="1"/>
      <c r="G16" s="1"/>
      <c r="H16" s="26"/>
      <c r="I16" s="21"/>
      <c r="J16" s="21"/>
      <c r="K16" s="21"/>
    </row>
    <row r="17" spans="1:11" ht="20.100000000000001" customHeight="1" x14ac:dyDescent="0.3">
      <c r="A17" s="17" t="str">
        <f>HYPERLINK("#'Constants - Pasture Beef'!A1", "Constants - Pasture Beef")</f>
        <v>Constants - Pasture Beef</v>
      </c>
      <c r="C17" s="21"/>
      <c r="D17" s="1"/>
      <c r="E17" s="1"/>
      <c r="F17" s="1"/>
      <c r="G17" s="1"/>
      <c r="H17" s="26"/>
      <c r="I17" s="21"/>
      <c r="J17" s="21"/>
      <c r="K17" s="21"/>
    </row>
    <row r="18" spans="1:11" ht="20.100000000000001" customHeight="1" x14ac:dyDescent="0.3">
      <c r="A18" s="17" t="str">
        <f>HYPERLINK("#'Constants - Common'!A1", "Constants - Common")</f>
        <v>Constants - Common</v>
      </c>
      <c r="C18" s="21"/>
      <c r="D18" s="1"/>
      <c r="E18" s="1"/>
      <c r="F18" s="1"/>
      <c r="G18" s="1"/>
      <c r="H18" s="26"/>
      <c r="I18" s="21"/>
      <c r="J18" s="21"/>
      <c r="K18" s="21"/>
    </row>
    <row r="19" spans="1:11" ht="20.100000000000001" customHeight="1" x14ac:dyDescent="0.3">
      <c r="A19" s="17" t="str">
        <f>HYPERLINK("#'Constants - Common Livestock'!A1", "Constants - Common Livestock")</f>
        <v>Constants - Common Livestock</v>
      </c>
      <c r="C19" s="21"/>
      <c r="D19" s="1"/>
      <c r="E19" s="1"/>
      <c r="F19" s="1"/>
      <c r="G19" s="1"/>
      <c r="H19" s="26"/>
      <c r="I19" s="21"/>
      <c r="J19" s="21"/>
      <c r="K19" s="21"/>
    </row>
    <row r="20" spans="1:11" ht="20.100000000000001" customHeight="1" x14ac:dyDescent="0.3">
      <c r="A20" s="17" t="str">
        <f>HYPERLINK("#'Acknowledgements'!A1", "Acknowledgements")</f>
        <v>Acknowledgements</v>
      </c>
      <c r="C20" s="21"/>
      <c r="D20" s="1"/>
      <c r="E20" s="1"/>
      <c r="F20" s="1"/>
      <c r="G20" s="1"/>
      <c r="H20" s="26"/>
      <c r="I20" s="21"/>
      <c r="J20" s="21"/>
      <c r="K20" s="21"/>
    </row>
    <row r="21" spans="1:11" ht="20.100000000000001" customHeight="1" x14ac:dyDescent="0.3">
      <c r="C21" s="21"/>
      <c r="D21" s="1"/>
      <c r="E21" s="1"/>
      <c r="F21" s="1"/>
      <c r="G21" s="1"/>
      <c r="H21" s="26"/>
      <c r="I21" s="21"/>
      <c r="J21" s="21"/>
      <c r="K21" s="21"/>
    </row>
    <row r="22" spans="1:11" ht="20.100000000000001" customHeight="1" x14ac:dyDescent="0.3">
      <c r="C22" s="21"/>
      <c r="D22" s="1"/>
      <c r="E22" s="1"/>
      <c r="F22" s="1"/>
      <c r="G22" s="1"/>
      <c r="H22" s="26"/>
      <c r="I22" s="21"/>
      <c r="J22" s="21"/>
      <c r="K22" s="21"/>
    </row>
    <row r="23" spans="1:11" ht="20.100000000000001" customHeight="1" x14ac:dyDescent="0.3">
      <c r="C23" s="21"/>
      <c r="D23" s="1"/>
      <c r="E23" s="1"/>
      <c r="F23" s="1"/>
      <c r="G23" s="1"/>
      <c r="H23" s="26"/>
      <c r="I23" s="21"/>
      <c r="J23" s="21"/>
      <c r="K23" s="21"/>
    </row>
    <row r="24" spans="1:11" ht="20.100000000000001" customHeight="1" x14ac:dyDescent="0.3">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100"/>
      <c r="J38" s="100"/>
      <c r="K38" s="21"/>
    </row>
    <row r="39" spans="3:11" ht="20.100000000000001" customHeight="1" x14ac:dyDescent="0.25">
      <c r="C39" s="21"/>
      <c r="D39" s="1"/>
      <c r="E39" s="1"/>
      <c r="F39" s="1"/>
      <c r="G39" s="1"/>
      <c r="H39" s="1"/>
      <c r="I39" s="100"/>
      <c r="J39" s="100"/>
      <c r="K39" s="21"/>
    </row>
    <row r="40" spans="3:11" ht="20.100000000000001" customHeight="1" x14ac:dyDescent="0.25">
      <c r="C40" s="21"/>
      <c r="D40" s="1"/>
      <c r="E40" s="1"/>
      <c r="F40" s="1"/>
      <c r="G40" s="1"/>
      <c r="H40" s="1"/>
      <c r="I40" s="100"/>
      <c r="J40" s="100"/>
      <c r="K40" s="21"/>
    </row>
    <row r="41" spans="3:11" ht="20.100000000000001" customHeight="1" x14ac:dyDescent="0.25">
      <c r="C41" s="21"/>
      <c r="D41" s="1"/>
      <c r="E41" s="1"/>
      <c r="F41" s="1"/>
      <c r="G41" s="1"/>
      <c r="H41" s="1"/>
      <c r="I41" s="100"/>
      <c r="J41" s="100"/>
      <c r="K41" s="21"/>
    </row>
    <row r="42" spans="3:11" ht="20.100000000000001" customHeight="1" x14ac:dyDescent="0.25">
      <c r="C42" s="21"/>
      <c r="D42" s="1"/>
      <c r="E42" s="1"/>
      <c r="F42" s="1"/>
      <c r="G42" s="1"/>
      <c r="H42" s="1"/>
      <c r="I42" s="100"/>
      <c r="J42" s="100"/>
      <c r="K42" s="21"/>
    </row>
    <row r="43" spans="3:11" ht="20.100000000000001" customHeight="1" x14ac:dyDescent="0.25">
      <c r="C43" s="21"/>
      <c r="D43" s="1"/>
      <c r="E43" s="1"/>
      <c r="F43" s="1"/>
      <c r="G43" s="1"/>
      <c r="H43" s="1"/>
      <c r="I43" s="100"/>
      <c r="J43" s="100"/>
      <c r="K43" s="21"/>
    </row>
    <row r="44" spans="3:11" ht="20.100000000000001" customHeight="1" x14ac:dyDescent="0.25">
      <c r="C44" s="21"/>
      <c r="D44" s="1"/>
      <c r="E44" s="1"/>
      <c r="F44" s="1"/>
      <c r="G44" s="1"/>
      <c r="H44" s="1"/>
      <c r="I44" s="100"/>
      <c r="J44" s="100"/>
      <c r="K44" s="21"/>
    </row>
    <row r="45" spans="3:11" ht="20.100000000000001" customHeight="1" x14ac:dyDescent="0.25">
      <c r="C45" s="21"/>
      <c r="D45" s="1"/>
      <c r="E45" s="1"/>
      <c r="F45" s="1"/>
      <c r="G45" s="1"/>
      <c r="H45" s="1"/>
      <c r="I45" s="100"/>
      <c r="J45" s="100"/>
      <c r="K45" s="21"/>
    </row>
    <row r="46" spans="3:11" ht="20.100000000000001" customHeight="1" x14ac:dyDescent="0.25">
      <c r="C46" s="21"/>
      <c r="D46" s="1"/>
      <c r="E46" s="1"/>
      <c r="F46" s="1"/>
      <c r="G46" s="1"/>
      <c r="H46" s="1"/>
      <c r="I46" s="100"/>
      <c r="J46" s="100"/>
      <c r="K46" s="21"/>
    </row>
    <row r="47" spans="3:11" ht="20.100000000000001" customHeight="1" x14ac:dyDescent="0.25">
      <c r="C47" s="21"/>
      <c r="D47" s="1"/>
      <c r="E47" s="1"/>
      <c r="F47" s="1"/>
      <c r="G47" s="1"/>
      <c r="H47" s="1"/>
      <c r="I47" s="100"/>
      <c r="J47" s="100"/>
      <c r="K47" s="21"/>
    </row>
    <row r="48" spans="3:11" ht="20.100000000000001" customHeight="1" x14ac:dyDescent="0.25">
      <c r="C48" s="21"/>
      <c r="D48" s="1"/>
      <c r="E48" s="1"/>
      <c r="F48" s="1"/>
      <c r="G48" s="1"/>
      <c r="H48" s="1"/>
      <c r="I48" s="100"/>
      <c r="J48" s="100"/>
      <c r="K48" s="21"/>
    </row>
    <row r="49" spans="3:11" ht="20.100000000000001" customHeight="1" x14ac:dyDescent="0.25">
      <c r="C49" s="21"/>
      <c r="D49" s="1"/>
      <c r="E49" s="1"/>
      <c r="F49" s="1"/>
      <c r="G49" s="1"/>
      <c r="H49" s="100"/>
      <c r="I49" s="100"/>
      <c r="J49" s="100"/>
      <c r="K49" s="21"/>
    </row>
    <row r="50" spans="3:11" ht="20.100000000000001" customHeight="1" x14ac:dyDescent="0.25">
      <c r="C50" s="21"/>
      <c r="D50" s="1"/>
      <c r="E50" s="1"/>
      <c r="F50" s="1"/>
      <c r="G50" s="1"/>
      <c r="H50" s="100"/>
      <c r="I50" s="100"/>
      <c r="J50" s="100"/>
      <c r="K50" s="21"/>
    </row>
    <row r="51" spans="3:11" ht="20.100000000000001" customHeight="1" x14ac:dyDescent="0.25">
      <c r="C51" s="21"/>
      <c r="D51" s="1"/>
      <c r="E51" s="1"/>
      <c r="F51" s="1"/>
      <c r="G51" s="1"/>
      <c r="H51" s="100"/>
      <c r="I51" s="100"/>
      <c r="J51" s="100"/>
      <c r="K51" s="21"/>
    </row>
    <row r="52" spans="3:11" ht="20.100000000000001" customHeight="1" x14ac:dyDescent="0.25">
      <c r="C52" s="21"/>
      <c r="D52" s="1"/>
      <c r="E52" s="1"/>
      <c r="F52" s="1"/>
      <c r="G52" s="1"/>
      <c r="H52" s="100"/>
      <c r="I52" s="100"/>
      <c r="J52" s="100"/>
      <c r="K52" s="21"/>
    </row>
    <row r="53" spans="3:11" ht="20.100000000000001" customHeight="1" x14ac:dyDescent="0.25">
      <c r="C53" s="21"/>
      <c r="D53" s="1"/>
      <c r="E53" s="1"/>
      <c r="F53" s="1"/>
      <c r="G53" s="1"/>
      <c r="H53" s="100"/>
      <c r="I53" s="100"/>
      <c r="J53" s="100"/>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0" sqref="A20"/>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74</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3"/>
      <c r="D4" s="63"/>
      <c r="E4" s="63"/>
      <c r="F4" s="63"/>
      <c r="G4" s="63"/>
      <c r="H4" s="63"/>
      <c r="I4" s="63"/>
      <c r="J4" s="63"/>
      <c r="K4" s="63"/>
    </row>
    <row r="5" spans="1:24" ht="20.100000000000001" customHeight="1" x14ac:dyDescent="0.25">
      <c r="A5"/>
      <c r="D5" s="6" t="s">
        <v>9</v>
      </c>
      <c r="N5" s="38"/>
    </row>
    <row r="6" spans="1:24" ht="20.100000000000001" customHeight="1" x14ac:dyDescent="0.25">
      <c r="A6"/>
      <c r="D6" s="14"/>
      <c r="N6" s="39"/>
    </row>
    <row r="7" spans="1:24" ht="20.100000000000001" customHeight="1" x14ac:dyDescent="0.25">
      <c r="A7" s="19" t="s">
        <v>0</v>
      </c>
      <c r="D7" s="1" t="s">
        <v>4</v>
      </c>
      <c r="E7" s="31" t="s">
        <v>3</v>
      </c>
      <c r="F7" s="2"/>
    </row>
    <row r="8" spans="1:24" ht="20.100000000000001" customHeight="1" x14ac:dyDescent="0.25">
      <c r="A8" s="115" t="str">
        <f>HYPERLINK("#'Input - Site'!A1", "Site")</f>
        <v>Site</v>
      </c>
      <c r="D8" s="10" t="s">
        <v>58</v>
      </c>
      <c r="E8" s="31" t="s">
        <v>59</v>
      </c>
    </row>
    <row r="9" spans="1:24" ht="20.100000000000001" customHeight="1" x14ac:dyDescent="0.25">
      <c r="A9" s="17" t="str">
        <f>HYPERLINK("#'Input - Pasture Beef'!A1", "Pasture Beef")</f>
        <v>Pasture Beef</v>
      </c>
      <c r="N9" s="40"/>
    </row>
    <row r="10" spans="1:24" ht="20.100000000000001" customHeight="1" x14ac:dyDescent="0.25">
      <c r="A10"/>
      <c r="D10" s="87" t="s">
        <v>73</v>
      </c>
      <c r="E10" s="85"/>
      <c r="F10" s="88"/>
      <c r="G10" s="82"/>
      <c r="N10" s="40"/>
    </row>
    <row r="11" spans="1:24" ht="20.100000000000001" customHeight="1" x14ac:dyDescent="0.25">
      <c r="A11"/>
      <c r="N11" s="41"/>
    </row>
    <row r="12" spans="1:24" ht="20.100000000000001" customHeight="1" x14ac:dyDescent="0.25">
      <c r="A12" s="18" t="s">
        <v>60</v>
      </c>
      <c r="D12" s="10" t="s">
        <v>77</v>
      </c>
      <c r="E12" s="60">
        <v>45292</v>
      </c>
      <c r="F12" s="2" t="s">
        <v>56</v>
      </c>
    </row>
    <row r="13" spans="1:24" ht="20.100000000000001" customHeight="1" x14ac:dyDescent="0.25">
      <c r="A13" s="17" t="str">
        <f>HYPERLINK("#'3.2.1.1-2 Enteric Methane'!A1", "3.2.1.1-2 Enteric Methane")</f>
        <v>3.2.1.1-2 Enteric Methane</v>
      </c>
      <c r="D13" s="10" t="s">
        <v>78</v>
      </c>
      <c r="E13" s="64">
        <f>DATE(YEAR(E12)+1,MONTH(E12),DAY(E12))-1</f>
        <v>45657</v>
      </c>
      <c r="F13" s="2" t="s">
        <v>11</v>
      </c>
      <c r="N13" s="36"/>
      <c r="O13" s="36"/>
    </row>
    <row r="14" spans="1:24" ht="20.100000000000001" customHeight="1" x14ac:dyDescent="0.25">
      <c r="A14"/>
      <c r="N14" s="36"/>
      <c r="O14" s="36"/>
    </row>
    <row r="15" spans="1:24" ht="20.100000000000001" customHeight="1" x14ac:dyDescent="0.25">
      <c r="A15"/>
      <c r="N15" s="36"/>
      <c r="O15" s="36"/>
    </row>
    <row r="16" spans="1:24" ht="20.100000000000001" customHeight="1" x14ac:dyDescent="0.25">
      <c r="A16" s="128" t="s">
        <v>1</v>
      </c>
      <c r="D16" s="6" t="s">
        <v>8</v>
      </c>
      <c r="N16" s="36"/>
      <c r="O16" s="36"/>
    </row>
    <row r="17" spans="1:25" ht="20.100000000000001" customHeight="1" x14ac:dyDescent="0.25">
      <c r="A17" s="17" t="str">
        <f>HYPERLINK("#'Constants - Pasture Beef'!A1", "Constants - Pasture Beef")</f>
        <v>Constants - Pasture Beef</v>
      </c>
    </row>
    <row r="18" spans="1:25" ht="20.100000000000001" customHeight="1" x14ac:dyDescent="0.25">
      <c r="A18" s="17" t="str">
        <f>HYPERLINK("#'Constants - Common'!A1", "Constants - Common")</f>
        <v>Constants - Common</v>
      </c>
      <c r="D18" s="89" t="s">
        <v>10</v>
      </c>
      <c r="E18" s="84"/>
      <c r="F18" s="84"/>
      <c r="G18" s="80"/>
    </row>
    <row r="19" spans="1:25" ht="20.100000000000001" customHeight="1" x14ac:dyDescent="0.25">
      <c r="A19" s="17" t="str">
        <f>HYPERLINK("#'Constants - Common Livestock'!A1", "Constants - Common Livestock")</f>
        <v>Constants - Common Livestock</v>
      </c>
      <c r="D19" s="86" t="s">
        <v>57</v>
      </c>
      <c r="E19" s="83"/>
      <c r="F19" s="83"/>
      <c r="G19" s="81"/>
      <c r="N19" s="38"/>
    </row>
    <row r="20" spans="1:25" ht="20.100000000000001" customHeight="1" x14ac:dyDescent="0.25">
      <c r="A20" s="17" t="str">
        <f>HYPERLINK("#'Acknowledgements'!A1", "Acknowledgements")</f>
        <v>Acknowledgements</v>
      </c>
      <c r="D20" s="1"/>
      <c r="E20" s="30"/>
      <c r="F20" s="2"/>
      <c r="N20" s="39"/>
    </row>
    <row r="21" spans="1:25" ht="20.100000000000001" customHeight="1" x14ac:dyDescent="0.25">
      <c r="A21"/>
      <c r="D21" s="1" t="s">
        <v>5</v>
      </c>
      <c r="E21" s="37" t="s">
        <v>179</v>
      </c>
      <c r="F21" s="2" t="s">
        <v>7</v>
      </c>
    </row>
    <row r="22" spans="1:25" ht="20.100000000000001" customHeight="1" x14ac:dyDescent="0.25">
      <c r="A22"/>
    </row>
    <row r="23" spans="1:25" ht="20.100000000000001" customHeight="1" x14ac:dyDescent="0.25">
      <c r="A23"/>
    </row>
    <row r="24" spans="1:25" ht="20.100000000000001" customHeight="1" x14ac:dyDescent="0.25">
      <c r="A24"/>
    </row>
    <row r="25" spans="1:25" ht="20.100000000000001" customHeight="1" x14ac:dyDescent="0.25">
      <c r="A25"/>
      <c r="N25" s="39"/>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6"/>
      <c r="M30" s="46"/>
      <c r="N30" s="46"/>
      <c r="O30" s="46"/>
      <c r="P30" s="46"/>
      <c r="Q30" s="46"/>
      <c r="R30" s="46"/>
      <c r="S30" s="46"/>
      <c r="T30" s="46"/>
      <c r="U30" s="46"/>
      <c r="V30" s="46"/>
      <c r="W30" s="46"/>
      <c r="X30" s="46"/>
      <c r="Y30" s="46"/>
    </row>
    <row r="31" spans="1:25" ht="20.100000000000001" customHeight="1" x14ac:dyDescent="0.25">
      <c r="A31"/>
      <c r="L31" s="44"/>
      <c r="M31" s="44"/>
      <c r="N31" s="44"/>
      <c r="O31" s="44"/>
      <c r="P31" s="44"/>
      <c r="Q31" s="44"/>
      <c r="R31" s="44"/>
      <c r="S31" s="44"/>
      <c r="T31" s="44"/>
      <c r="U31" s="44"/>
      <c r="V31" s="44"/>
      <c r="W31" s="44"/>
      <c r="X31" s="44"/>
      <c r="Y31" s="44"/>
    </row>
    <row r="32" spans="1:25" ht="20.100000000000001" customHeight="1" x14ac:dyDescent="0.25">
      <c r="A32"/>
      <c r="L32" s="44"/>
      <c r="M32" s="44"/>
      <c r="N32" s="44"/>
      <c r="O32" s="44"/>
      <c r="P32" s="44"/>
      <c r="Q32" s="44"/>
      <c r="R32" s="44"/>
      <c r="S32" s="44"/>
      <c r="T32" s="44"/>
      <c r="U32" s="44"/>
      <c r="V32" s="44"/>
      <c r="W32" s="44"/>
      <c r="X32" s="44"/>
      <c r="Y32" s="44"/>
    </row>
    <row r="33" spans="1:25" ht="20.100000000000001" customHeight="1" x14ac:dyDescent="0.25">
      <c r="A33"/>
      <c r="L33" s="44"/>
      <c r="M33" s="44"/>
      <c r="N33" s="44"/>
      <c r="O33" s="44"/>
      <c r="P33" s="44"/>
      <c r="Q33" s="44"/>
      <c r="R33" s="44"/>
      <c r="S33" s="44"/>
      <c r="T33" s="44"/>
      <c r="U33" s="44"/>
      <c r="V33" s="44"/>
      <c r="W33" s="44"/>
      <c r="X33" s="44"/>
      <c r="Y33" s="44"/>
    </row>
    <row r="34" spans="1:25" ht="20.100000000000001" customHeight="1" x14ac:dyDescent="0.25">
      <c r="A34"/>
      <c r="J34" s="57"/>
      <c r="K34" s="67"/>
      <c r="L34" s="44"/>
      <c r="M34" s="44"/>
      <c r="N34" s="44"/>
      <c r="O34" s="44"/>
      <c r="P34" s="44"/>
      <c r="Q34" s="44"/>
      <c r="R34" s="44"/>
      <c r="S34" s="44"/>
      <c r="T34" s="44"/>
      <c r="U34" s="44"/>
      <c r="V34" s="44"/>
      <c r="W34" s="44"/>
      <c r="X34" s="44"/>
      <c r="Y34" s="44"/>
    </row>
    <row r="35" spans="1:25" ht="20.100000000000001" customHeight="1" x14ac:dyDescent="0.25">
      <c r="A35"/>
      <c r="J35" s="57"/>
      <c r="K35" s="67"/>
      <c r="L35" s="44"/>
      <c r="M35" s="44"/>
      <c r="N35" s="44"/>
      <c r="O35" s="44"/>
      <c r="P35" s="44"/>
      <c r="Q35" s="44"/>
      <c r="R35" s="44"/>
      <c r="S35" s="44"/>
      <c r="T35" s="44"/>
      <c r="U35" s="44"/>
      <c r="V35" s="44"/>
      <c r="W35" s="44"/>
      <c r="X35" s="44"/>
      <c r="Y35" s="44"/>
    </row>
    <row r="36" spans="1:25" ht="20.100000000000001" customHeight="1" x14ac:dyDescent="0.25">
      <c r="A36"/>
      <c r="D36" s="65"/>
      <c r="E36" s="65"/>
      <c r="F36" s="66"/>
      <c r="G36" s="57"/>
      <c r="H36" s="57"/>
      <c r="I36" s="58"/>
      <c r="J36" s="57"/>
      <c r="K36" s="67"/>
      <c r="L36" s="44"/>
      <c r="M36" s="44"/>
      <c r="N36" s="44"/>
      <c r="O36" s="44"/>
      <c r="P36" s="44"/>
      <c r="Q36" s="44"/>
      <c r="R36" s="44"/>
      <c r="S36" s="44"/>
      <c r="T36" s="44"/>
      <c r="U36" s="44"/>
      <c r="V36" s="44"/>
      <c r="W36" s="44"/>
      <c r="X36" s="44"/>
      <c r="Y36" s="44"/>
    </row>
    <row r="37" spans="1:25" ht="20.100000000000001" customHeight="1" x14ac:dyDescent="0.25">
      <c r="A37"/>
      <c r="D37" s="65"/>
      <c r="E37" s="65"/>
      <c r="F37" s="66"/>
      <c r="G37" s="57"/>
      <c r="H37" s="57"/>
      <c r="I37" s="58"/>
      <c r="J37" s="57"/>
      <c r="K37" s="67"/>
      <c r="L37" s="44"/>
      <c r="M37" s="44"/>
      <c r="N37" s="44"/>
      <c r="O37" s="44"/>
      <c r="P37" s="44"/>
      <c r="Q37" s="44"/>
      <c r="R37" s="44"/>
      <c r="S37" s="44"/>
      <c r="T37" s="44"/>
      <c r="U37" s="44"/>
      <c r="V37" s="44"/>
      <c r="W37" s="44"/>
      <c r="X37" s="44"/>
      <c r="Y37" s="44"/>
    </row>
    <row r="38" spans="1:25" ht="20.100000000000001" customHeight="1" x14ac:dyDescent="0.25">
      <c r="A38"/>
      <c r="D38" s="65"/>
      <c r="E38" s="65"/>
      <c r="F38" s="66"/>
      <c r="G38" s="57"/>
      <c r="H38" s="57"/>
      <c r="I38" s="58"/>
      <c r="J38" s="57"/>
      <c r="K38" s="67"/>
      <c r="L38" s="44"/>
      <c r="M38" s="44"/>
      <c r="N38" s="44"/>
      <c r="O38" s="44"/>
      <c r="P38" s="44"/>
      <c r="Q38" s="44"/>
      <c r="R38" s="44"/>
      <c r="S38" s="44"/>
      <c r="T38" s="44"/>
      <c r="U38" s="44"/>
      <c r="V38" s="44"/>
      <c r="W38" s="44"/>
      <c r="X38" s="44"/>
      <c r="Y38" s="44"/>
    </row>
    <row r="39" spans="1:25" ht="20.100000000000001" customHeight="1" x14ac:dyDescent="0.25">
      <c r="A39"/>
      <c r="D39" s="65"/>
      <c r="E39" s="65"/>
      <c r="F39" s="66"/>
      <c r="G39" s="57"/>
      <c r="H39" s="57"/>
      <c r="I39" s="58"/>
      <c r="J39" s="57"/>
      <c r="K39" s="67"/>
      <c r="L39" s="44"/>
      <c r="M39" s="44"/>
      <c r="N39" s="44"/>
      <c r="O39" s="44"/>
      <c r="P39" s="44"/>
      <c r="Q39" s="44"/>
      <c r="R39" s="44"/>
      <c r="S39" s="44"/>
      <c r="T39" s="44"/>
      <c r="U39" s="44"/>
      <c r="V39" s="44"/>
      <c r="W39" s="44"/>
      <c r="X39" s="44"/>
      <c r="Y39" s="44"/>
    </row>
    <row r="40" spans="1:25" ht="20.100000000000001" customHeight="1" x14ac:dyDescent="0.25">
      <c r="A40"/>
      <c r="D40" s="68"/>
      <c r="E40" s="68"/>
      <c r="F40" s="68"/>
      <c r="G40" s="69"/>
      <c r="H40" s="70"/>
      <c r="I40" s="70"/>
      <c r="J40" s="70"/>
      <c r="K40" s="70"/>
      <c r="L40" s="47"/>
      <c r="M40" s="47"/>
      <c r="N40" s="47"/>
      <c r="O40" s="47"/>
      <c r="P40" s="47"/>
      <c r="Q40" s="47"/>
      <c r="R40" s="47"/>
      <c r="S40" s="47"/>
      <c r="T40" s="47"/>
      <c r="U40" s="47"/>
      <c r="V40" s="47"/>
      <c r="W40" s="47"/>
      <c r="X40" s="47"/>
      <c r="Y40" s="47"/>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1"/>
      <c r="E47" s="71"/>
      <c r="F47" s="71"/>
      <c r="G47" s="71"/>
      <c r="H47" s="71"/>
    </row>
    <row r="48" spans="1:25" ht="20.100000000000001" customHeight="1" x14ac:dyDescent="0.25">
      <c r="A48"/>
      <c r="D48" s="32"/>
      <c r="E48" s="32"/>
      <c r="F48" s="33"/>
      <c r="G48" s="33"/>
      <c r="H48" s="32"/>
    </row>
    <row r="49" spans="1:8" ht="20.100000000000001" customHeight="1" x14ac:dyDescent="0.25">
      <c r="A49"/>
      <c r="D49" s="32"/>
      <c r="E49" s="32"/>
      <c r="F49" s="33"/>
      <c r="G49" s="33"/>
      <c r="H49" s="32"/>
    </row>
    <row r="50" spans="1:8" ht="20.100000000000001" customHeight="1" x14ac:dyDescent="0.25">
      <c r="A50"/>
      <c r="D50" s="32"/>
      <c r="E50" s="32"/>
      <c r="F50" s="33"/>
      <c r="G50" s="33"/>
      <c r="H50" s="32"/>
    </row>
    <row r="51" spans="1:8" ht="20.100000000000001" customHeight="1" x14ac:dyDescent="0.25">
      <c r="A51"/>
      <c r="D51" s="72"/>
      <c r="E51" s="73"/>
      <c r="F51" s="73"/>
      <c r="G51" s="73"/>
      <c r="H51" s="74"/>
    </row>
    <row r="52" spans="1:8" ht="20.100000000000001" customHeight="1" x14ac:dyDescent="0.25">
      <c r="A52"/>
    </row>
    <row r="53" spans="1:8" ht="20.100000000000001" customHeight="1" x14ac:dyDescent="0.25">
      <c r="A53"/>
    </row>
    <row r="54" spans="1:8" ht="20.100000000000001" customHeight="1" x14ac:dyDescent="0.25">
      <c r="A54"/>
      <c r="G54" s="75"/>
    </row>
    <row r="55" spans="1:8" ht="20.100000000000001" customHeight="1" x14ac:dyDescent="0.25">
      <c r="A55"/>
      <c r="D55" s="6"/>
    </row>
    <row r="56" spans="1:8" ht="20.100000000000001" customHeight="1" x14ac:dyDescent="0.25">
      <c r="A56"/>
    </row>
    <row r="57" spans="1:8" ht="20.100000000000001" customHeight="1" x14ac:dyDescent="0.25">
      <c r="A57"/>
      <c r="D57" s="20"/>
      <c r="F57" s="76"/>
    </row>
    <row r="58" spans="1:8" ht="20.100000000000001" customHeight="1" x14ac:dyDescent="0.25">
      <c r="A58"/>
      <c r="D58" s="1"/>
      <c r="E58" s="77"/>
    </row>
    <row r="59" spans="1:8" ht="20.100000000000001" customHeight="1" x14ac:dyDescent="0.25">
      <c r="A59"/>
      <c r="D59" s="1"/>
      <c r="E59" s="77"/>
    </row>
    <row r="60" spans="1:8" ht="20.100000000000001" customHeight="1" x14ac:dyDescent="0.25">
      <c r="A60"/>
      <c r="D60" s="1"/>
      <c r="E60" s="78"/>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7"/>
    </row>
    <row r="65" spans="1:9" ht="20.100000000000001" customHeight="1" x14ac:dyDescent="0.25">
      <c r="A65"/>
      <c r="D65" s="1"/>
      <c r="E65" s="77"/>
    </row>
    <row r="66" spans="1:9" ht="20.100000000000001" customHeight="1" x14ac:dyDescent="0.25">
      <c r="A66"/>
      <c r="D66" s="1"/>
      <c r="E66" s="78"/>
    </row>
    <row r="67" spans="1:9" ht="20.100000000000001" customHeight="1" x14ac:dyDescent="0.25">
      <c r="A67"/>
    </row>
    <row r="68" spans="1:9" ht="20.100000000000001" customHeight="1" x14ac:dyDescent="0.25">
      <c r="A68"/>
    </row>
    <row r="69" spans="1:9" ht="20.100000000000001" customHeight="1" x14ac:dyDescent="0.25">
      <c r="A69"/>
      <c r="D69" s="56"/>
      <c r="E69" s="56"/>
      <c r="F69" s="56"/>
      <c r="G69" s="56"/>
      <c r="H69" s="56"/>
      <c r="I69" s="56"/>
    </row>
    <row r="70" spans="1:9" ht="20.100000000000001" customHeight="1" x14ac:dyDescent="0.25">
      <c r="A70"/>
      <c r="D70" s="56"/>
      <c r="E70" s="56"/>
      <c r="F70" s="56"/>
      <c r="G70" s="56"/>
      <c r="H70" s="56"/>
      <c r="I70" s="56"/>
    </row>
    <row r="71" spans="1:9" ht="20.100000000000001" customHeight="1" x14ac:dyDescent="0.25">
      <c r="A71"/>
      <c r="D71" s="56"/>
      <c r="E71" s="56"/>
      <c r="F71" s="56"/>
      <c r="G71" s="56"/>
      <c r="H71" s="56"/>
      <c r="I71" s="56"/>
    </row>
    <row r="72" spans="1:9" ht="20.100000000000001" customHeight="1" x14ac:dyDescent="0.25">
      <c r="A72"/>
      <c r="D72" s="56"/>
      <c r="E72" s="56"/>
      <c r="F72" s="56"/>
      <c r="G72" s="56"/>
      <c r="H72" s="56"/>
      <c r="I72" s="56"/>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9"/>
    </row>
    <row r="79" spans="1:9" ht="20.100000000000001" customHeight="1" x14ac:dyDescent="0.25">
      <c r="A79"/>
      <c r="D79" s="79"/>
    </row>
    <row r="80" spans="1:9" ht="20.100000000000001" customHeight="1" x14ac:dyDescent="0.25">
      <c r="A80"/>
      <c r="D80" s="79"/>
    </row>
    <row r="81" spans="1:4" ht="20.100000000000001" customHeight="1" x14ac:dyDescent="0.25">
      <c r="A81"/>
      <c r="D81" s="79"/>
    </row>
    <row r="82" spans="1:4" ht="20.100000000000001" customHeight="1" x14ac:dyDescent="0.25">
      <c r="A82"/>
      <c r="D82" s="79"/>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AA350"/>
  <sheetViews>
    <sheetView showGridLines="0" topLeftCell="D184"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3" customWidth="1"/>
    <col min="19" max="24" width="30.7109375" style="53" customWidth="1"/>
    <col min="25" max="25" width="4.7109375" style="53" customWidth="1"/>
  </cols>
  <sheetData>
    <row r="1" spans="1:25" s="62" customFormat="1" ht="30" customHeight="1" x14ac:dyDescent="0.35">
      <c r="A1" s="62" t="e" vm="1">
        <v>#VALUE!</v>
      </c>
      <c r="C1" s="62" t="s">
        <v>125</v>
      </c>
      <c r="Q1" s="53"/>
      <c r="R1" s="53"/>
      <c r="S1" s="53"/>
      <c r="T1" s="53"/>
      <c r="U1" s="53"/>
      <c r="V1" s="53"/>
      <c r="W1" s="53"/>
      <c r="X1" s="53"/>
      <c r="Y1" s="53"/>
    </row>
    <row r="2" spans="1:25" s="9" customFormat="1" ht="20.100000000000001" customHeight="1" x14ac:dyDescent="0.25">
      <c r="A2"/>
      <c r="Q2" s="53"/>
      <c r="R2" s="53"/>
      <c r="S2" s="53"/>
      <c r="T2" s="53"/>
      <c r="U2" s="53"/>
      <c r="V2" s="53"/>
      <c r="W2" s="53"/>
      <c r="X2" s="53"/>
      <c r="Y2" s="53"/>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D5" s="6" t="s">
        <v>80</v>
      </c>
      <c r="P5" s="3"/>
      <c r="T5" s="7"/>
    </row>
    <row r="6" spans="1:25" ht="20.100000000000001" customHeight="1" x14ac:dyDescent="0.25">
      <c r="P6" s="3"/>
      <c r="T6" s="7"/>
    </row>
    <row r="7" spans="1:25" ht="20.100000000000001" customHeight="1" x14ac:dyDescent="0.25">
      <c r="A7" s="19" t="s">
        <v>0</v>
      </c>
      <c r="D7" s="1" t="s">
        <v>5</v>
      </c>
      <c r="E7" s="49" t="str">
        <f>X_Cell_Site_State</f>
        <v>Western Australia</v>
      </c>
      <c r="P7" s="3"/>
      <c r="T7" s="7"/>
    </row>
    <row r="8" spans="1:25" ht="20.100000000000001" customHeight="1" x14ac:dyDescent="0.25">
      <c r="A8" s="17" t="str">
        <f>HYPERLINK("#'Input - Site'!A1", "Site")</f>
        <v>Site</v>
      </c>
      <c r="D8" s="1" t="s">
        <v>165</v>
      </c>
      <c r="E8" s="37" t="s">
        <v>170</v>
      </c>
      <c r="F8" s="2" t="s">
        <v>7</v>
      </c>
      <c r="P8" s="3"/>
      <c r="T8" s="7"/>
    </row>
    <row r="9" spans="1:25" ht="20.100000000000001" customHeight="1" x14ac:dyDescent="0.25">
      <c r="A9" s="115" t="str">
        <f>HYPERLINK("#'Input - Pasture Beef'!A1", "Pasture Beef")</f>
        <v>Pasture Beef</v>
      </c>
      <c r="D9" s="1" t="s">
        <v>192</v>
      </c>
      <c r="E9" s="37" t="s">
        <v>200</v>
      </c>
      <c r="F9" s="2" t="s">
        <v>7</v>
      </c>
      <c r="T9" s="7"/>
    </row>
    <row r="10" spans="1:25" ht="20.100000000000001" customHeight="1" x14ac:dyDescent="0.25">
      <c r="T10" s="7"/>
    </row>
    <row r="11" spans="1:25" ht="20.100000000000001" customHeight="1" x14ac:dyDescent="0.25">
      <c r="T11" s="7"/>
    </row>
    <row r="12" spans="1:25" ht="20.100000000000001" customHeight="1" x14ac:dyDescent="0.25">
      <c r="A12" s="18" t="s">
        <v>60</v>
      </c>
      <c r="T12" s="7"/>
    </row>
    <row r="13" spans="1:25" ht="20.100000000000001" customHeight="1" x14ac:dyDescent="0.25">
      <c r="A13" s="17" t="str">
        <f>HYPERLINK("#'3.2.1.1-2 Enteric Methane'!A1", "3.2.1.1-2 Enteric Methane")</f>
        <v>3.2.1.1-2 Enteric Methane</v>
      </c>
      <c r="D13" s="87" t="s">
        <v>142</v>
      </c>
      <c r="E13" s="88"/>
      <c r="F13" s="88"/>
      <c r="G13" s="82"/>
      <c r="T13" s="36"/>
    </row>
    <row r="14" spans="1:25" ht="20.100000000000001" customHeight="1" x14ac:dyDescent="0.25">
      <c r="T14" s="36"/>
    </row>
    <row r="15" spans="1:25" ht="20.100000000000001" customHeight="1" x14ac:dyDescent="0.25">
      <c r="D15" s="45" t="s">
        <v>139</v>
      </c>
      <c r="T15" s="36"/>
    </row>
    <row r="16" spans="1:25" ht="20.100000000000001" customHeight="1" x14ac:dyDescent="0.25">
      <c r="A16" s="128" t="s">
        <v>1</v>
      </c>
      <c r="D16" s="59" t="s">
        <v>140</v>
      </c>
      <c r="E16" s="59" t="s">
        <v>103</v>
      </c>
      <c r="F16" s="59" t="s">
        <v>102</v>
      </c>
      <c r="G16" s="59" t="s">
        <v>126</v>
      </c>
      <c r="H16" s="59" t="s">
        <v>127</v>
      </c>
      <c r="I16" s="59" t="s">
        <v>128</v>
      </c>
      <c r="J16" s="59" t="s">
        <v>129</v>
      </c>
      <c r="K16" s="59" t="s">
        <v>130</v>
      </c>
      <c r="L16" s="59" t="s">
        <v>131</v>
      </c>
      <c r="M16" s="59" t="s">
        <v>132</v>
      </c>
      <c r="N16" s="59" t="s">
        <v>133</v>
      </c>
      <c r="T16" s="36"/>
    </row>
    <row r="17" spans="1:20" ht="20.100000000000001" customHeight="1" x14ac:dyDescent="0.25">
      <c r="A17" s="17" t="str">
        <f>HYPERLINK("#'Constants - Pasture Beef'!A1", "Constants - Pasture Beef")</f>
        <v>Constants - Pasture Beef</v>
      </c>
      <c r="D17" s="1" t="s">
        <v>134</v>
      </c>
      <c r="E17" s="49">
        <v>91.25</v>
      </c>
      <c r="F17" s="49">
        <v>91.25</v>
      </c>
      <c r="G17" s="49">
        <v>91.25</v>
      </c>
      <c r="H17" s="49">
        <v>91.25</v>
      </c>
      <c r="I17" s="49">
        <v>91.25</v>
      </c>
      <c r="J17" s="49">
        <v>91.25</v>
      </c>
      <c r="K17" s="49">
        <v>91.25</v>
      </c>
      <c r="L17" s="49">
        <v>91.25</v>
      </c>
      <c r="M17" s="49">
        <v>91.25</v>
      </c>
      <c r="N17" s="49">
        <v>91.25</v>
      </c>
      <c r="O17" s="2" t="s">
        <v>46</v>
      </c>
      <c r="T17" s="7"/>
    </row>
    <row r="18" spans="1:20" ht="20.100000000000001" customHeight="1" x14ac:dyDescent="0.25">
      <c r="A18" s="17" t="str">
        <f>HYPERLINK("#'Constants - Common'!A1", "Constants - Common")</f>
        <v>Constants - Common</v>
      </c>
      <c r="D18" s="1" t="s">
        <v>135</v>
      </c>
      <c r="E18" s="49">
        <v>91.25</v>
      </c>
      <c r="F18" s="49">
        <v>91.25</v>
      </c>
      <c r="G18" s="49">
        <v>91.25</v>
      </c>
      <c r="H18" s="49">
        <v>91.25</v>
      </c>
      <c r="I18" s="49">
        <v>91.25</v>
      </c>
      <c r="J18" s="49">
        <v>91.25</v>
      </c>
      <c r="K18" s="49">
        <v>91.25</v>
      </c>
      <c r="L18" s="49">
        <v>91.25</v>
      </c>
      <c r="M18" s="49">
        <v>91.25</v>
      </c>
      <c r="N18" s="49">
        <v>91.25</v>
      </c>
      <c r="O18" s="2" t="s">
        <v>46</v>
      </c>
      <c r="T18" s="7"/>
    </row>
    <row r="19" spans="1:20" ht="20.100000000000001" customHeight="1" x14ac:dyDescent="0.25">
      <c r="A19" s="17" t="str">
        <f>HYPERLINK("#'Constants - Common Livestock'!A1", "Constants - Common Livestock")</f>
        <v>Constants - Common Livestock</v>
      </c>
      <c r="D19" s="1" t="s">
        <v>136</v>
      </c>
      <c r="E19" s="49">
        <v>91.25</v>
      </c>
      <c r="F19" s="49">
        <v>91.25</v>
      </c>
      <c r="G19" s="49">
        <v>91.25</v>
      </c>
      <c r="H19" s="49">
        <v>91.25</v>
      </c>
      <c r="I19" s="49">
        <v>91.25</v>
      </c>
      <c r="J19" s="49">
        <v>91.25</v>
      </c>
      <c r="K19" s="49">
        <v>91.25</v>
      </c>
      <c r="L19" s="49">
        <v>91.25</v>
      </c>
      <c r="M19" s="49">
        <v>91.25</v>
      </c>
      <c r="N19" s="49">
        <v>91.25</v>
      </c>
      <c r="O19" s="2" t="s">
        <v>46</v>
      </c>
      <c r="T19" s="7"/>
    </row>
    <row r="20" spans="1:20" ht="20.100000000000001" customHeight="1" x14ac:dyDescent="0.25">
      <c r="A20" s="17" t="str">
        <f>HYPERLINK("#'Acknowledgements'!A1", "Acknowledgements")</f>
        <v>Acknowledgements</v>
      </c>
      <c r="D20" s="1" t="s">
        <v>137</v>
      </c>
      <c r="E20" s="49">
        <v>91.25</v>
      </c>
      <c r="F20" s="49">
        <v>91.25</v>
      </c>
      <c r="G20" s="49">
        <v>91.25</v>
      </c>
      <c r="H20" s="49">
        <v>91.25</v>
      </c>
      <c r="I20" s="49">
        <v>91.25</v>
      </c>
      <c r="J20" s="49">
        <v>91.25</v>
      </c>
      <c r="K20" s="49">
        <v>91.25</v>
      </c>
      <c r="L20" s="49">
        <v>91.25</v>
      </c>
      <c r="M20" s="49">
        <v>91.25</v>
      </c>
      <c r="N20" s="49">
        <v>91.25</v>
      </c>
      <c r="O20" s="2" t="s">
        <v>46</v>
      </c>
      <c r="T20" s="7"/>
    </row>
    <row r="21" spans="1:20" ht="20.100000000000001" customHeight="1" x14ac:dyDescent="0.25">
      <c r="T21" s="7"/>
    </row>
    <row r="22" spans="1:20" ht="20.100000000000001" customHeight="1" x14ac:dyDescent="0.25">
      <c r="D22" s="59" t="s">
        <v>141</v>
      </c>
      <c r="E22" s="59" t="s">
        <v>103</v>
      </c>
      <c r="F22" s="59" t="s">
        <v>102</v>
      </c>
      <c r="G22" s="59" t="s">
        <v>126</v>
      </c>
      <c r="H22" s="59" t="s">
        <v>127</v>
      </c>
      <c r="I22" s="59" t="s">
        <v>128</v>
      </c>
      <c r="J22" s="59" t="s">
        <v>129</v>
      </c>
      <c r="K22" s="59" t="s">
        <v>130</v>
      </c>
      <c r="L22" s="59" t="s">
        <v>131</v>
      </c>
      <c r="M22" s="59" t="s">
        <v>132</v>
      </c>
      <c r="N22" s="59" t="s">
        <v>133</v>
      </c>
      <c r="T22" s="7"/>
    </row>
    <row r="23" spans="1:20" ht="20.100000000000001" customHeight="1" x14ac:dyDescent="0.25">
      <c r="D23" s="1" t="str">
        <f>TEXT(X_Cell_Site_StartDate, "mmmm yyyy")</f>
        <v>January 2024</v>
      </c>
      <c r="E23" s="61">
        <f t="shared" ref="E23:N34" si="0">DAY(EOMONTH($D23,0))</f>
        <v>31</v>
      </c>
      <c r="F23" s="61">
        <f t="shared" si="0"/>
        <v>31</v>
      </c>
      <c r="G23" s="61">
        <f t="shared" si="0"/>
        <v>31</v>
      </c>
      <c r="H23" s="61">
        <f t="shared" si="0"/>
        <v>31</v>
      </c>
      <c r="I23" s="61">
        <f t="shared" si="0"/>
        <v>31</v>
      </c>
      <c r="J23" s="61">
        <f t="shared" si="0"/>
        <v>31</v>
      </c>
      <c r="K23" s="61">
        <f t="shared" si="0"/>
        <v>31</v>
      </c>
      <c r="L23" s="61">
        <f t="shared" si="0"/>
        <v>31</v>
      </c>
      <c r="M23" s="61">
        <f t="shared" si="0"/>
        <v>31</v>
      </c>
      <c r="N23" s="61">
        <f t="shared" si="0"/>
        <v>31</v>
      </c>
      <c r="O23" s="2" t="s">
        <v>46</v>
      </c>
      <c r="T23" s="7"/>
    </row>
    <row r="24" spans="1:20" ht="20.100000000000001" customHeight="1" x14ac:dyDescent="0.25">
      <c r="D24" s="1" t="str">
        <f>TEXT(EDATE(X_Cell_Site_StartDate,1), "mmmm yyyy")</f>
        <v>February 2024</v>
      </c>
      <c r="E24" s="61">
        <f t="shared" si="0"/>
        <v>29</v>
      </c>
      <c r="F24" s="61">
        <f t="shared" si="0"/>
        <v>29</v>
      </c>
      <c r="G24" s="61">
        <f t="shared" si="0"/>
        <v>29</v>
      </c>
      <c r="H24" s="61">
        <f t="shared" si="0"/>
        <v>29</v>
      </c>
      <c r="I24" s="61">
        <f t="shared" si="0"/>
        <v>29</v>
      </c>
      <c r="J24" s="61">
        <f t="shared" si="0"/>
        <v>29</v>
      </c>
      <c r="K24" s="61">
        <f t="shared" si="0"/>
        <v>29</v>
      </c>
      <c r="L24" s="61">
        <f t="shared" si="0"/>
        <v>29</v>
      </c>
      <c r="M24" s="61">
        <f t="shared" si="0"/>
        <v>29</v>
      </c>
      <c r="N24" s="61">
        <f t="shared" si="0"/>
        <v>29</v>
      </c>
      <c r="O24" s="2" t="s">
        <v>46</v>
      </c>
      <c r="T24" s="7"/>
    </row>
    <row r="25" spans="1:20" ht="20.100000000000001" customHeight="1" x14ac:dyDescent="0.25">
      <c r="D25" s="1" t="str">
        <f>TEXT(EDATE(X_Cell_Site_StartDate,2), "mmmm yyyy")</f>
        <v>March 2024</v>
      </c>
      <c r="E25" s="61">
        <f t="shared" si="0"/>
        <v>31</v>
      </c>
      <c r="F25" s="61">
        <f t="shared" si="0"/>
        <v>31</v>
      </c>
      <c r="G25" s="61">
        <f t="shared" si="0"/>
        <v>31</v>
      </c>
      <c r="H25" s="61">
        <f t="shared" si="0"/>
        <v>31</v>
      </c>
      <c r="I25" s="61">
        <f t="shared" si="0"/>
        <v>31</v>
      </c>
      <c r="J25" s="61">
        <f t="shared" si="0"/>
        <v>31</v>
      </c>
      <c r="K25" s="61">
        <f t="shared" si="0"/>
        <v>31</v>
      </c>
      <c r="L25" s="61">
        <f t="shared" si="0"/>
        <v>31</v>
      </c>
      <c r="M25" s="61">
        <f t="shared" si="0"/>
        <v>31</v>
      </c>
      <c r="N25" s="61">
        <f t="shared" si="0"/>
        <v>31</v>
      </c>
      <c r="O25" s="2" t="s">
        <v>46</v>
      </c>
      <c r="T25" s="7"/>
    </row>
    <row r="26" spans="1:20" ht="20.100000000000001" customHeight="1" x14ac:dyDescent="0.25">
      <c r="D26" s="1" t="str">
        <f>TEXT(EDATE(X_Cell_Site_StartDate,3), "mmmm yyyy")</f>
        <v>April 2024</v>
      </c>
      <c r="E26" s="61">
        <f t="shared" si="0"/>
        <v>30</v>
      </c>
      <c r="F26" s="61">
        <f t="shared" si="0"/>
        <v>30</v>
      </c>
      <c r="G26" s="61">
        <f t="shared" si="0"/>
        <v>30</v>
      </c>
      <c r="H26" s="61">
        <f t="shared" si="0"/>
        <v>30</v>
      </c>
      <c r="I26" s="61">
        <f t="shared" si="0"/>
        <v>30</v>
      </c>
      <c r="J26" s="61">
        <f t="shared" si="0"/>
        <v>30</v>
      </c>
      <c r="K26" s="61">
        <f t="shared" si="0"/>
        <v>30</v>
      </c>
      <c r="L26" s="61">
        <f t="shared" si="0"/>
        <v>30</v>
      </c>
      <c r="M26" s="61">
        <f t="shared" si="0"/>
        <v>30</v>
      </c>
      <c r="N26" s="61">
        <f t="shared" si="0"/>
        <v>30</v>
      </c>
      <c r="O26" s="2" t="s">
        <v>46</v>
      </c>
      <c r="T26" s="7"/>
    </row>
    <row r="27" spans="1:20" ht="20.100000000000001" customHeight="1" x14ac:dyDescent="0.25">
      <c r="D27" s="1" t="str">
        <f>TEXT(EDATE(X_Cell_Site_StartDate,4), "mmmm yyyy")</f>
        <v>May 2024</v>
      </c>
      <c r="E27" s="61">
        <f t="shared" si="0"/>
        <v>31</v>
      </c>
      <c r="F27" s="61">
        <f t="shared" si="0"/>
        <v>31</v>
      </c>
      <c r="G27" s="61">
        <f t="shared" si="0"/>
        <v>31</v>
      </c>
      <c r="H27" s="61">
        <f t="shared" si="0"/>
        <v>31</v>
      </c>
      <c r="I27" s="61">
        <f t="shared" si="0"/>
        <v>31</v>
      </c>
      <c r="J27" s="61">
        <f t="shared" si="0"/>
        <v>31</v>
      </c>
      <c r="K27" s="61">
        <f t="shared" si="0"/>
        <v>31</v>
      </c>
      <c r="L27" s="61">
        <f t="shared" si="0"/>
        <v>31</v>
      </c>
      <c r="M27" s="61">
        <f t="shared" si="0"/>
        <v>31</v>
      </c>
      <c r="N27" s="61">
        <f t="shared" si="0"/>
        <v>31</v>
      </c>
      <c r="O27" s="2" t="s">
        <v>46</v>
      </c>
      <c r="T27" s="7"/>
    </row>
    <row r="28" spans="1:20" ht="20.100000000000001" customHeight="1" x14ac:dyDescent="0.25">
      <c r="D28" s="1" t="str">
        <f>TEXT(EDATE(X_Cell_Site_StartDate,5), "mmmm yyyy")</f>
        <v>June 2024</v>
      </c>
      <c r="E28" s="61">
        <f t="shared" si="0"/>
        <v>30</v>
      </c>
      <c r="F28" s="61">
        <f t="shared" si="0"/>
        <v>30</v>
      </c>
      <c r="G28" s="61">
        <f t="shared" si="0"/>
        <v>30</v>
      </c>
      <c r="H28" s="61">
        <f t="shared" si="0"/>
        <v>30</v>
      </c>
      <c r="I28" s="61">
        <f t="shared" si="0"/>
        <v>30</v>
      </c>
      <c r="J28" s="61">
        <f t="shared" si="0"/>
        <v>30</v>
      </c>
      <c r="K28" s="61">
        <f t="shared" si="0"/>
        <v>30</v>
      </c>
      <c r="L28" s="61">
        <f t="shared" si="0"/>
        <v>30</v>
      </c>
      <c r="M28" s="61">
        <f t="shared" si="0"/>
        <v>30</v>
      </c>
      <c r="N28" s="61">
        <f t="shared" si="0"/>
        <v>30</v>
      </c>
      <c r="O28" s="2" t="s">
        <v>46</v>
      </c>
      <c r="T28" s="7"/>
    </row>
    <row r="29" spans="1:20" ht="20.100000000000001" customHeight="1" x14ac:dyDescent="0.25">
      <c r="D29" s="1" t="str">
        <f>TEXT(EDATE(X_Cell_Site_StartDate,6), "mmmm yyyy")</f>
        <v>July 2024</v>
      </c>
      <c r="E29" s="61">
        <f t="shared" si="0"/>
        <v>31</v>
      </c>
      <c r="F29" s="61">
        <f t="shared" si="0"/>
        <v>31</v>
      </c>
      <c r="G29" s="61">
        <f t="shared" si="0"/>
        <v>31</v>
      </c>
      <c r="H29" s="61">
        <f t="shared" si="0"/>
        <v>31</v>
      </c>
      <c r="I29" s="61">
        <f t="shared" si="0"/>
        <v>31</v>
      </c>
      <c r="J29" s="61">
        <f t="shared" si="0"/>
        <v>31</v>
      </c>
      <c r="K29" s="61">
        <f t="shared" si="0"/>
        <v>31</v>
      </c>
      <c r="L29" s="61">
        <f t="shared" si="0"/>
        <v>31</v>
      </c>
      <c r="M29" s="61">
        <f t="shared" si="0"/>
        <v>31</v>
      </c>
      <c r="N29" s="61">
        <f t="shared" si="0"/>
        <v>31</v>
      </c>
      <c r="O29" s="2" t="s">
        <v>46</v>
      </c>
      <c r="T29" s="7"/>
    </row>
    <row r="30" spans="1:20" ht="20.100000000000001" customHeight="1" x14ac:dyDescent="0.25">
      <c r="D30" s="1" t="str">
        <f>TEXT(EDATE(X_Cell_Site_StartDate,7), "mmmm yyyy")</f>
        <v>August 2024</v>
      </c>
      <c r="E30" s="61">
        <f t="shared" si="0"/>
        <v>31</v>
      </c>
      <c r="F30" s="61">
        <f t="shared" si="0"/>
        <v>31</v>
      </c>
      <c r="G30" s="61">
        <f t="shared" si="0"/>
        <v>31</v>
      </c>
      <c r="H30" s="61">
        <f t="shared" si="0"/>
        <v>31</v>
      </c>
      <c r="I30" s="61">
        <f t="shared" si="0"/>
        <v>31</v>
      </c>
      <c r="J30" s="61">
        <f t="shared" si="0"/>
        <v>31</v>
      </c>
      <c r="K30" s="61">
        <f t="shared" si="0"/>
        <v>31</v>
      </c>
      <c r="L30" s="61">
        <f t="shared" si="0"/>
        <v>31</v>
      </c>
      <c r="M30" s="61">
        <f t="shared" si="0"/>
        <v>31</v>
      </c>
      <c r="N30" s="61">
        <f t="shared" si="0"/>
        <v>31</v>
      </c>
      <c r="O30" s="2" t="s">
        <v>46</v>
      </c>
      <c r="T30" s="7"/>
    </row>
    <row r="31" spans="1:20" ht="20.100000000000001" customHeight="1" x14ac:dyDescent="0.25">
      <c r="D31" s="1" t="str">
        <f>TEXT(EDATE(X_Cell_Site_StartDate,8), "mmmm yyyy")</f>
        <v>September 2024</v>
      </c>
      <c r="E31" s="61">
        <f t="shared" si="0"/>
        <v>30</v>
      </c>
      <c r="F31" s="61">
        <f t="shared" si="0"/>
        <v>30</v>
      </c>
      <c r="G31" s="61">
        <f t="shared" si="0"/>
        <v>30</v>
      </c>
      <c r="H31" s="61">
        <f t="shared" si="0"/>
        <v>30</v>
      </c>
      <c r="I31" s="61">
        <f t="shared" si="0"/>
        <v>30</v>
      </c>
      <c r="J31" s="61">
        <f t="shared" si="0"/>
        <v>30</v>
      </c>
      <c r="K31" s="61">
        <f t="shared" si="0"/>
        <v>30</v>
      </c>
      <c r="L31" s="61">
        <f t="shared" si="0"/>
        <v>30</v>
      </c>
      <c r="M31" s="61">
        <f t="shared" si="0"/>
        <v>30</v>
      </c>
      <c r="N31" s="61">
        <f t="shared" si="0"/>
        <v>30</v>
      </c>
      <c r="O31" s="2" t="s">
        <v>46</v>
      </c>
      <c r="T31" s="7"/>
    </row>
    <row r="32" spans="1:20" ht="20.100000000000001" customHeight="1" x14ac:dyDescent="0.25">
      <c r="D32" s="1" t="str">
        <f>TEXT(EDATE(X_Cell_Site_StartDate,9), "mmmm yyyy")</f>
        <v>October 2024</v>
      </c>
      <c r="E32" s="61">
        <f t="shared" si="0"/>
        <v>31</v>
      </c>
      <c r="F32" s="61">
        <f t="shared" si="0"/>
        <v>31</v>
      </c>
      <c r="G32" s="61">
        <f t="shared" si="0"/>
        <v>31</v>
      </c>
      <c r="H32" s="61">
        <f t="shared" si="0"/>
        <v>31</v>
      </c>
      <c r="I32" s="61">
        <f t="shared" si="0"/>
        <v>31</v>
      </c>
      <c r="J32" s="61">
        <f t="shared" si="0"/>
        <v>31</v>
      </c>
      <c r="K32" s="61">
        <f t="shared" si="0"/>
        <v>31</v>
      </c>
      <c r="L32" s="61">
        <f t="shared" si="0"/>
        <v>31</v>
      </c>
      <c r="M32" s="61">
        <f t="shared" si="0"/>
        <v>31</v>
      </c>
      <c r="N32" s="61">
        <f t="shared" si="0"/>
        <v>31</v>
      </c>
      <c r="O32" s="2" t="s">
        <v>46</v>
      </c>
      <c r="T32" s="7"/>
    </row>
    <row r="33" spans="4:20" ht="20.100000000000001" customHeight="1" x14ac:dyDescent="0.25">
      <c r="D33" s="1" t="str">
        <f>TEXT(EDATE(X_Cell_Site_StartDate,10), "mmmm yyyy")</f>
        <v>November 2024</v>
      </c>
      <c r="E33" s="61">
        <f t="shared" si="0"/>
        <v>30</v>
      </c>
      <c r="F33" s="61">
        <f t="shared" si="0"/>
        <v>30</v>
      </c>
      <c r="G33" s="61">
        <f t="shared" si="0"/>
        <v>30</v>
      </c>
      <c r="H33" s="61">
        <f t="shared" si="0"/>
        <v>30</v>
      </c>
      <c r="I33" s="61">
        <f t="shared" si="0"/>
        <v>30</v>
      </c>
      <c r="J33" s="61">
        <f t="shared" si="0"/>
        <v>30</v>
      </c>
      <c r="K33" s="61">
        <f t="shared" si="0"/>
        <v>30</v>
      </c>
      <c r="L33" s="61">
        <f t="shared" si="0"/>
        <v>30</v>
      </c>
      <c r="M33" s="61">
        <f t="shared" si="0"/>
        <v>30</v>
      </c>
      <c r="N33" s="61">
        <f t="shared" si="0"/>
        <v>30</v>
      </c>
      <c r="O33" s="2" t="s">
        <v>46</v>
      </c>
      <c r="T33" s="7"/>
    </row>
    <row r="34" spans="4:20" ht="20.100000000000001" customHeight="1" x14ac:dyDescent="0.25">
      <c r="D34" s="1" t="str">
        <f>TEXT(EDATE(X_Cell_Site_StartDate,11), "mmmm yyyy")</f>
        <v>December 2024</v>
      </c>
      <c r="E34" s="61">
        <f t="shared" si="0"/>
        <v>31</v>
      </c>
      <c r="F34" s="61">
        <f t="shared" si="0"/>
        <v>31</v>
      </c>
      <c r="G34" s="61">
        <f t="shared" si="0"/>
        <v>31</v>
      </c>
      <c r="H34" s="61">
        <f t="shared" si="0"/>
        <v>31</v>
      </c>
      <c r="I34" s="61">
        <f t="shared" si="0"/>
        <v>31</v>
      </c>
      <c r="J34" s="61">
        <f t="shared" si="0"/>
        <v>31</v>
      </c>
      <c r="K34" s="61">
        <f t="shared" si="0"/>
        <v>31</v>
      </c>
      <c r="L34" s="61">
        <f t="shared" si="0"/>
        <v>31</v>
      </c>
      <c r="M34" s="61">
        <f t="shared" si="0"/>
        <v>31</v>
      </c>
      <c r="N34" s="61">
        <f t="shared" si="0"/>
        <v>31</v>
      </c>
      <c r="O34" s="2" t="s">
        <v>46</v>
      </c>
      <c r="T34" s="7"/>
    </row>
    <row r="35" spans="4:20" ht="20.100000000000001" customHeight="1" x14ac:dyDescent="0.25">
      <c r="T35" s="7"/>
    </row>
    <row r="36" spans="4:20" ht="20.100000000000001" customHeight="1" x14ac:dyDescent="0.25">
      <c r="T36" s="7"/>
    </row>
    <row r="37" spans="4:20" ht="20.100000000000001" customHeight="1" x14ac:dyDescent="0.25">
      <c r="D37" s="45" t="s">
        <v>81</v>
      </c>
      <c r="T37" s="7"/>
    </row>
    <row r="38" spans="4:20" ht="20.100000000000001" customHeight="1" x14ac:dyDescent="0.25">
      <c r="D38" s="59" t="s">
        <v>107</v>
      </c>
      <c r="E38" s="59" t="s">
        <v>103</v>
      </c>
      <c r="F38" s="59" t="s">
        <v>102</v>
      </c>
      <c r="G38" s="59" t="s">
        <v>126</v>
      </c>
      <c r="H38" s="59" t="s">
        <v>127</v>
      </c>
      <c r="I38" s="59" t="s">
        <v>128</v>
      </c>
      <c r="J38" s="59" t="s">
        <v>129</v>
      </c>
      <c r="K38" s="59" t="s">
        <v>130</v>
      </c>
      <c r="L38" s="59" t="s">
        <v>131</v>
      </c>
      <c r="M38" s="59" t="s">
        <v>132</v>
      </c>
      <c r="N38" s="59" t="s">
        <v>133</v>
      </c>
      <c r="T38" s="7"/>
    </row>
    <row r="39" spans="4:20" ht="20.100000000000001" customHeight="1" x14ac:dyDescent="0.25">
      <c r="D39" s="1" t="s">
        <v>134</v>
      </c>
      <c r="E39" s="61">
        <v>100</v>
      </c>
      <c r="F39" s="61">
        <v>100</v>
      </c>
      <c r="G39" s="61">
        <v>100</v>
      </c>
      <c r="H39" s="61">
        <v>100</v>
      </c>
      <c r="I39" s="61">
        <v>100</v>
      </c>
      <c r="J39" s="61">
        <v>100</v>
      </c>
      <c r="K39" s="61">
        <v>100</v>
      </c>
      <c r="L39" s="61">
        <v>100</v>
      </c>
      <c r="M39" s="61">
        <v>100</v>
      </c>
      <c r="N39" s="61">
        <v>100</v>
      </c>
      <c r="O39" s="2" t="s">
        <v>81</v>
      </c>
      <c r="T39" s="7"/>
    </row>
    <row r="40" spans="4:20" ht="20.100000000000001" customHeight="1" x14ac:dyDescent="0.25">
      <c r="D40" s="1" t="s">
        <v>135</v>
      </c>
      <c r="E40" s="61">
        <v>100</v>
      </c>
      <c r="F40" s="61">
        <v>100</v>
      </c>
      <c r="G40" s="61">
        <v>100</v>
      </c>
      <c r="H40" s="61">
        <v>100</v>
      </c>
      <c r="I40" s="61">
        <v>100</v>
      </c>
      <c r="J40" s="61">
        <v>100</v>
      </c>
      <c r="K40" s="61">
        <v>100</v>
      </c>
      <c r="L40" s="61">
        <v>100</v>
      </c>
      <c r="M40" s="61">
        <v>100</v>
      </c>
      <c r="N40" s="61">
        <v>100</v>
      </c>
      <c r="O40" s="2" t="s">
        <v>81</v>
      </c>
      <c r="T40" s="7"/>
    </row>
    <row r="41" spans="4:20" ht="20.100000000000001" customHeight="1" x14ac:dyDescent="0.25">
      <c r="D41" s="1" t="s">
        <v>136</v>
      </c>
      <c r="E41" s="61">
        <v>100</v>
      </c>
      <c r="F41" s="61">
        <v>100</v>
      </c>
      <c r="G41" s="61">
        <v>100</v>
      </c>
      <c r="H41" s="61">
        <v>100</v>
      </c>
      <c r="I41" s="61">
        <v>100</v>
      </c>
      <c r="J41" s="61">
        <v>100</v>
      </c>
      <c r="K41" s="61">
        <v>100</v>
      </c>
      <c r="L41" s="61">
        <v>100</v>
      </c>
      <c r="M41" s="61">
        <v>100</v>
      </c>
      <c r="N41" s="61">
        <v>100</v>
      </c>
      <c r="O41" s="2" t="s">
        <v>81</v>
      </c>
      <c r="T41" s="7"/>
    </row>
    <row r="42" spans="4:20" ht="20.100000000000001" customHeight="1" x14ac:dyDescent="0.25">
      <c r="D42" s="1" t="s">
        <v>137</v>
      </c>
      <c r="E42" s="61">
        <v>100</v>
      </c>
      <c r="F42" s="61">
        <v>100</v>
      </c>
      <c r="G42" s="61">
        <v>100</v>
      </c>
      <c r="H42" s="61">
        <v>100</v>
      </c>
      <c r="I42" s="61">
        <v>100</v>
      </c>
      <c r="J42" s="61">
        <v>100</v>
      </c>
      <c r="K42" s="61">
        <v>100</v>
      </c>
      <c r="L42" s="61">
        <v>100</v>
      </c>
      <c r="M42" s="61">
        <v>100</v>
      </c>
      <c r="N42" s="61">
        <v>100</v>
      </c>
      <c r="O42" s="2" t="s">
        <v>81</v>
      </c>
      <c r="T42" s="7"/>
    </row>
    <row r="43" spans="4:20" ht="20.100000000000001" customHeight="1" x14ac:dyDescent="0.25">
      <c r="O43" s="2"/>
      <c r="T43" s="7"/>
    </row>
    <row r="44" spans="4:20" ht="20.100000000000001" customHeight="1" x14ac:dyDescent="0.25">
      <c r="D44" s="59" t="s">
        <v>108</v>
      </c>
      <c r="E44" s="59" t="s">
        <v>103</v>
      </c>
      <c r="F44" s="59" t="s">
        <v>102</v>
      </c>
      <c r="G44" s="59" t="s">
        <v>126</v>
      </c>
      <c r="H44" s="59" t="s">
        <v>127</v>
      </c>
      <c r="I44" s="59" t="s">
        <v>128</v>
      </c>
      <c r="J44" s="59" t="s">
        <v>129</v>
      </c>
      <c r="K44" s="59" t="s">
        <v>130</v>
      </c>
      <c r="L44" s="59" t="s">
        <v>131</v>
      </c>
      <c r="M44" s="59" t="s">
        <v>132</v>
      </c>
      <c r="N44" s="59" t="s">
        <v>133</v>
      </c>
      <c r="O44" s="2"/>
      <c r="T44" s="7"/>
    </row>
    <row r="45" spans="4:20" ht="20.100000000000001" customHeight="1" x14ac:dyDescent="0.25">
      <c r="D45" s="1" t="str">
        <f>TEXT(X_Cell_Site_StartDate, "mmmm yyyy")</f>
        <v>January 2024</v>
      </c>
      <c r="E45" s="61">
        <v>100</v>
      </c>
      <c r="F45" s="61">
        <v>100</v>
      </c>
      <c r="G45" s="61">
        <v>100</v>
      </c>
      <c r="H45" s="61">
        <v>100</v>
      </c>
      <c r="I45" s="61">
        <v>100</v>
      </c>
      <c r="J45" s="61">
        <v>100</v>
      </c>
      <c r="K45" s="61">
        <v>100</v>
      </c>
      <c r="L45" s="61">
        <v>100</v>
      </c>
      <c r="M45" s="61">
        <v>100</v>
      </c>
      <c r="N45" s="61">
        <v>100</v>
      </c>
      <c r="O45" s="2" t="s">
        <v>81</v>
      </c>
      <c r="T45" s="7"/>
    </row>
    <row r="46" spans="4:20" ht="20.100000000000001" customHeight="1" x14ac:dyDescent="0.25">
      <c r="D46" s="1" t="str">
        <f>TEXT(EDATE(X_Cell_Site_StartDate,1), "mmmm yyyy")</f>
        <v>February 2024</v>
      </c>
      <c r="E46" s="61">
        <v>100</v>
      </c>
      <c r="F46" s="61">
        <v>100</v>
      </c>
      <c r="G46" s="61">
        <v>100</v>
      </c>
      <c r="H46" s="61">
        <v>100</v>
      </c>
      <c r="I46" s="61">
        <v>100</v>
      </c>
      <c r="J46" s="61">
        <v>100</v>
      </c>
      <c r="K46" s="61">
        <v>100</v>
      </c>
      <c r="L46" s="61">
        <v>100</v>
      </c>
      <c r="M46" s="61">
        <v>100</v>
      </c>
      <c r="N46" s="61">
        <v>100</v>
      </c>
      <c r="O46" s="2" t="s">
        <v>81</v>
      </c>
      <c r="T46" s="7"/>
    </row>
    <row r="47" spans="4:20" ht="20.100000000000001" customHeight="1" x14ac:dyDescent="0.25">
      <c r="D47" s="1" t="str">
        <f>TEXT(EDATE(X_Cell_Site_StartDate,2), "mmmm yyyy")</f>
        <v>March 2024</v>
      </c>
      <c r="E47" s="61">
        <v>100</v>
      </c>
      <c r="F47" s="61">
        <v>100</v>
      </c>
      <c r="G47" s="61">
        <v>100</v>
      </c>
      <c r="H47" s="61">
        <v>100</v>
      </c>
      <c r="I47" s="61">
        <v>100</v>
      </c>
      <c r="J47" s="61">
        <v>100</v>
      </c>
      <c r="K47" s="61">
        <v>100</v>
      </c>
      <c r="L47" s="61">
        <v>100</v>
      </c>
      <c r="M47" s="61">
        <v>100</v>
      </c>
      <c r="N47" s="61">
        <v>100</v>
      </c>
      <c r="O47" s="2" t="s">
        <v>81</v>
      </c>
      <c r="T47" s="7"/>
    </row>
    <row r="48" spans="4:20" ht="20.100000000000001" customHeight="1" x14ac:dyDescent="0.25">
      <c r="D48" s="1" t="str">
        <f>TEXT(EDATE(X_Cell_Site_StartDate,3), "mmmm yyyy")</f>
        <v>April 2024</v>
      </c>
      <c r="E48" s="61">
        <v>100</v>
      </c>
      <c r="F48" s="61">
        <v>100</v>
      </c>
      <c r="G48" s="61">
        <v>100</v>
      </c>
      <c r="H48" s="61">
        <v>100</v>
      </c>
      <c r="I48" s="61">
        <v>100</v>
      </c>
      <c r="J48" s="61">
        <v>100</v>
      </c>
      <c r="K48" s="61">
        <v>100</v>
      </c>
      <c r="L48" s="61">
        <v>100</v>
      </c>
      <c r="M48" s="61">
        <v>100</v>
      </c>
      <c r="N48" s="61">
        <v>100</v>
      </c>
      <c r="O48" s="2" t="s">
        <v>81</v>
      </c>
      <c r="T48" s="7"/>
    </row>
    <row r="49" spans="4:20" ht="20.100000000000001" customHeight="1" x14ac:dyDescent="0.25">
      <c r="D49" s="1" t="str">
        <f>TEXT(EDATE(X_Cell_Site_StartDate,4), "mmmm yyyy")</f>
        <v>May 2024</v>
      </c>
      <c r="E49" s="61">
        <v>100</v>
      </c>
      <c r="F49" s="61">
        <v>100</v>
      </c>
      <c r="G49" s="61">
        <v>100</v>
      </c>
      <c r="H49" s="61">
        <v>100</v>
      </c>
      <c r="I49" s="61">
        <v>100</v>
      </c>
      <c r="J49" s="61">
        <v>100</v>
      </c>
      <c r="K49" s="61">
        <v>100</v>
      </c>
      <c r="L49" s="61">
        <v>100</v>
      </c>
      <c r="M49" s="61">
        <v>100</v>
      </c>
      <c r="N49" s="61">
        <v>100</v>
      </c>
      <c r="O49" s="2" t="s">
        <v>81</v>
      </c>
      <c r="T49" s="7"/>
    </row>
    <row r="50" spans="4:20" ht="20.100000000000001" customHeight="1" x14ac:dyDescent="0.25">
      <c r="D50" s="1" t="str">
        <f>TEXT(EDATE(X_Cell_Site_StartDate,5), "mmmm yyyy")</f>
        <v>June 2024</v>
      </c>
      <c r="E50" s="61">
        <v>100</v>
      </c>
      <c r="F50" s="61">
        <v>100</v>
      </c>
      <c r="G50" s="61">
        <v>100</v>
      </c>
      <c r="H50" s="61">
        <v>100</v>
      </c>
      <c r="I50" s="61">
        <v>100</v>
      </c>
      <c r="J50" s="61">
        <v>100</v>
      </c>
      <c r="K50" s="61">
        <v>100</v>
      </c>
      <c r="L50" s="61">
        <v>100</v>
      </c>
      <c r="M50" s="61">
        <v>100</v>
      </c>
      <c r="N50" s="61">
        <v>100</v>
      </c>
      <c r="O50" s="2" t="s">
        <v>81</v>
      </c>
      <c r="P50" s="3"/>
      <c r="T50" s="7"/>
    </row>
    <row r="51" spans="4:20" ht="20.100000000000001" customHeight="1" x14ac:dyDescent="0.25">
      <c r="D51" s="1" t="str">
        <f>TEXT(EDATE(X_Cell_Site_StartDate,6), "mmmm yyyy")</f>
        <v>July 2024</v>
      </c>
      <c r="E51" s="61">
        <v>100</v>
      </c>
      <c r="F51" s="61">
        <v>100</v>
      </c>
      <c r="G51" s="61">
        <v>100</v>
      </c>
      <c r="H51" s="61">
        <v>100</v>
      </c>
      <c r="I51" s="61">
        <v>100</v>
      </c>
      <c r="J51" s="61">
        <v>100</v>
      </c>
      <c r="K51" s="61">
        <v>100</v>
      </c>
      <c r="L51" s="61">
        <v>100</v>
      </c>
      <c r="M51" s="61">
        <v>100</v>
      </c>
      <c r="N51" s="61">
        <v>100</v>
      </c>
      <c r="O51" s="2" t="s">
        <v>81</v>
      </c>
      <c r="P51" s="3"/>
      <c r="T51" s="7"/>
    </row>
    <row r="52" spans="4:20" ht="20.100000000000001" customHeight="1" x14ac:dyDescent="0.25">
      <c r="D52" s="1" t="str">
        <f>TEXT(EDATE(X_Cell_Site_StartDate,7), "mmmm yyyy")</f>
        <v>August 2024</v>
      </c>
      <c r="E52" s="61">
        <v>100</v>
      </c>
      <c r="F52" s="61">
        <v>100</v>
      </c>
      <c r="G52" s="61">
        <v>100</v>
      </c>
      <c r="H52" s="61">
        <v>100</v>
      </c>
      <c r="I52" s="61">
        <v>100</v>
      </c>
      <c r="J52" s="61">
        <v>100</v>
      </c>
      <c r="K52" s="61">
        <v>100</v>
      </c>
      <c r="L52" s="61">
        <v>100</v>
      </c>
      <c r="M52" s="61">
        <v>100</v>
      </c>
      <c r="N52" s="61">
        <v>100</v>
      </c>
      <c r="O52" s="2" t="s">
        <v>81</v>
      </c>
      <c r="P52" s="3"/>
      <c r="T52" s="7"/>
    </row>
    <row r="53" spans="4:20" ht="20.100000000000001" customHeight="1" x14ac:dyDescent="0.25">
      <c r="D53" s="1" t="str">
        <f>TEXT(EDATE(X_Cell_Site_StartDate,8), "mmmm yyyy")</f>
        <v>September 2024</v>
      </c>
      <c r="E53" s="61">
        <v>100</v>
      </c>
      <c r="F53" s="61">
        <v>100</v>
      </c>
      <c r="G53" s="61">
        <v>100</v>
      </c>
      <c r="H53" s="61">
        <v>100</v>
      </c>
      <c r="I53" s="61">
        <v>100</v>
      </c>
      <c r="J53" s="61">
        <v>100</v>
      </c>
      <c r="K53" s="61">
        <v>100</v>
      </c>
      <c r="L53" s="61">
        <v>100</v>
      </c>
      <c r="M53" s="61">
        <v>100</v>
      </c>
      <c r="N53" s="61">
        <v>100</v>
      </c>
      <c r="O53" s="2" t="s">
        <v>81</v>
      </c>
      <c r="P53" s="3"/>
      <c r="T53" s="7"/>
    </row>
    <row r="54" spans="4:20" ht="20.100000000000001" customHeight="1" x14ac:dyDescent="0.25">
      <c r="D54" s="1" t="str">
        <f>TEXT(EDATE(X_Cell_Site_StartDate,9), "mmmm yyyy")</f>
        <v>October 2024</v>
      </c>
      <c r="E54" s="61">
        <v>100</v>
      </c>
      <c r="F54" s="61">
        <v>100</v>
      </c>
      <c r="G54" s="61">
        <v>100</v>
      </c>
      <c r="H54" s="61">
        <v>100</v>
      </c>
      <c r="I54" s="61">
        <v>100</v>
      </c>
      <c r="J54" s="61">
        <v>100</v>
      </c>
      <c r="K54" s="61">
        <v>100</v>
      </c>
      <c r="L54" s="61">
        <v>100</v>
      </c>
      <c r="M54" s="61">
        <v>100</v>
      </c>
      <c r="N54" s="61">
        <v>100</v>
      </c>
      <c r="O54" s="2" t="s">
        <v>81</v>
      </c>
      <c r="P54" s="3"/>
      <c r="T54" s="7"/>
    </row>
    <row r="55" spans="4:20" ht="20.100000000000001" customHeight="1" x14ac:dyDescent="0.25">
      <c r="D55" s="1" t="str">
        <f>TEXT(EDATE(X_Cell_Site_StartDate,10), "mmmm yyyy")</f>
        <v>November 2024</v>
      </c>
      <c r="E55" s="61">
        <v>100</v>
      </c>
      <c r="F55" s="61">
        <v>100</v>
      </c>
      <c r="G55" s="61">
        <v>100</v>
      </c>
      <c r="H55" s="61">
        <v>100</v>
      </c>
      <c r="I55" s="61">
        <v>100</v>
      </c>
      <c r="J55" s="61">
        <v>100</v>
      </c>
      <c r="K55" s="61">
        <v>100</v>
      </c>
      <c r="L55" s="61">
        <v>100</v>
      </c>
      <c r="M55" s="61">
        <v>100</v>
      </c>
      <c r="N55" s="61">
        <v>100</v>
      </c>
      <c r="O55" s="2" t="s">
        <v>81</v>
      </c>
      <c r="P55" s="3"/>
      <c r="T55" s="7"/>
    </row>
    <row r="56" spans="4:20" ht="20.100000000000001" customHeight="1" x14ac:dyDescent="0.25">
      <c r="D56" s="1" t="str">
        <f>TEXT(EDATE(X_Cell_Site_StartDate,11), "mmmm yyyy")</f>
        <v>December 2024</v>
      </c>
      <c r="E56" s="61">
        <v>100</v>
      </c>
      <c r="F56" s="61">
        <v>100</v>
      </c>
      <c r="G56" s="61">
        <v>100</v>
      </c>
      <c r="H56" s="61">
        <v>100</v>
      </c>
      <c r="I56" s="61">
        <v>100</v>
      </c>
      <c r="J56" s="61">
        <v>100</v>
      </c>
      <c r="K56" s="61">
        <v>100</v>
      </c>
      <c r="L56" s="61">
        <v>100</v>
      </c>
      <c r="M56" s="61">
        <v>100</v>
      </c>
      <c r="N56" s="61">
        <v>100</v>
      </c>
      <c r="O56" s="2" t="s">
        <v>81</v>
      </c>
      <c r="P56" s="3"/>
      <c r="T56" s="7"/>
    </row>
    <row r="57" spans="4:20" ht="20.100000000000001" customHeight="1" x14ac:dyDescent="0.25">
      <c r="P57" s="3"/>
      <c r="T57" s="7"/>
    </row>
    <row r="58" spans="4:20" ht="20.100000000000001" customHeight="1" x14ac:dyDescent="0.25">
      <c r="P58" s="3"/>
      <c r="T58" s="7"/>
    </row>
    <row r="59" spans="4:20" ht="20.100000000000001" customHeight="1" x14ac:dyDescent="0.25">
      <c r="D59" s="45" t="s">
        <v>111</v>
      </c>
      <c r="P59" s="3"/>
      <c r="T59" s="7"/>
    </row>
    <row r="60" spans="4:20" ht="20.100000000000001" customHeight="1" x14ac:dyDescent="0.25">
      <c r="D60" s="59" t="s">
        <v>140</v>
      </c>
      <c r="E60" s="59" t="s">
        <v>103</v>
      </c>
      <c r="F60" s="59" t="s">
        <v>102</v>
      </c>
      <c r="G60" s="59" t="s">
        <v>126</v>
      </c>
      <c r="H60" s="59" t="s">
        <v>127</v>
      </c>
      <c r="I60" s="59" t="s">
        <v>128</v>
      </c>
      <c r="J60" s="59" t="s">
        <v>129</v>
      </c>
      <c r="K60" s="59" t="s">
        <v>130</v>
      </c>
      <c r="L60" s="59" t="s">
        <v>131</v>
      </c>
      <c r="M60" s="59" t="s">
        <v>132</v>
      </c>
      <c r="N60" s="59" t="s">
        <v>133</v>
      </c>
      <c r="P60" s="3"/>
      <c r="T60" s="7"/>
    </row>
    <row r="61" spans="4:20" ht="20.100000000000001" customHeight="1" x14ac:dyDescent="0.25">
      <c r="D61" s="1" t="s">
        <v>134</v>
      </c>
      <c r="E61" s="49">
        <f>InputFunctions_PastureBeef.LookupLiveweightFromSeason($E$7,$E$8,$D61,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1" s="49">
        <f>InputFunctions_PastureBeef.LookupLiveweightFromSeason($E$7,$E$8,$D61,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1" s="49">
        <f>InputFunctions_PastureBeef.LookupLiveweightFromSeason($E$7,$E$8,$D61,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1" s="49">
        <f>InputFunctions_PastureBeef.LookupLiveweightFromSeason($E$7,$E$8,$D61,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1" s="49">
        <f>InputFunctions_PastureBeef.LookupLiveweightFromSeason($E$7,$E$8,$D61,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1" s="49">
        <f>InputFunctions_PastureBeef.LookupLiveweightFromSeason($E$7,$E$8,$D61,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1" s="49">
        <f>InputFunctions_PastureBeef.LookupLiveweightFromSeason($E$7,$E$8,$D61,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1" s="49">
        <f>InputFunctions_PastureBeef.LookupLiveweightFromSeason($E$7,$E$8,$D61,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1" s="49">
        <f>InputFunctions_PastureBeef.LookupLiveweightFromSeason($E$7,$E$8,$D61,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1" s="49">
        <f>InputFunctions_PastureBeef.LookupLiveweightFromSeason($E$7,$E$8,$D61,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1" s="2" t="s">
        <v>105</v>
      </c>
      <c r="P61" s="3"/>
      <c r="T61" s="7"/>
    </row>
    <row r="62" spans="4:20" ht="20.100000000000001" customHeight="1" x14ac:dyDescent="0.25">
      <c r="D62" s="1" t="s">
        <v>135</v>
      </c>
      <c r="E62" s="49">
        <f>InputFunctions_PastureBeef.LookupLiveweightFromSeason($E$7,$E$8,$D62,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2" s="49">
        <f>InputFunctions_PastureBeef.LookupLiveweightFromSeason($E$7,$E$8,$D62,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2" s="49">
        <f>InputFunctions_PastureBeef.LookupLiveweightFromSeason($E$7,$E$8,$D62,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2" s="49">
        <f>InputFunctions_PastureBeef.LookupLiveweightFromSeason($E$7,$E$8,$D62,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2" s="49">
        <f>InputFunctions_PastureBeef.LookupLiveweightFromSeason($E$7,$E$8,$D62,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2" s="49">
        <f>InputFunctions_PastureBeef.LookupLiveweightFromSeason($E$7,$E$8,$D62,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2" s="49">
        <f>InputFunctions_PastureBeef.LookupLiveweightFromSeason($E$7,$E$8,$D62,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2" s="49">
        <f>InputFunctions_PastureBeef.LookupLiveweightFromSeason($E$7,$E$8,$D62,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2" s="49">
        <f>InputFunctions_PastureBeef.LookupLiveweightFromSeason($E$7,$E$8,$D62,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2" s="49">
        <f>InputFunctions_PastureBeef.LookupLiveweightFromSeason($E$7,$E$8,$D62,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2" s="2" t="s">
        <v>105</v>
      </c>
      <c r="P62" s="3"/>
      <c r="T62" s="7"/>
    </row>
    <row r="63" spans="4:20" ht="20.100000000000001" customHeight="1" x14ac:dyDescent="0.25">
      <c r="D63" s="1" t="s">
        <v>136</v>
      </c>
      <c r="E63" s="49">
        <f>InputFunctions_PastureBeef.LookupLiveweightFromSeason($E$7,$E$8,$D63,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3" s="49">
        <f>InputFunctions_PastureBeef.LookupLiveweightFromSeason($E$7,$E$8,$D63,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3" s="49">
        <f>InputFunctions_PastureBeef.LookupLiveweightFromSeason($E$7,$E$8,$D63,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3" s="49">
        <f>InputFunctions_PastureBeef.LookupLiveweightFromSeason($E$7,$E$8,$D63,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3" s="49">
        <f>InputFunctions_PastureBeef.LookupLiveweightFromSeason($E$7,$E$8,$D63,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3" s="49">
        <f>InputFunctions_PastureBeef.LookupLiveweightFromSeason($E$7,$E$8,$D63,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3" s="49">
        <f>InputFunctions_PastureBeef.LookupLiveweightFromSeason($E$7,$E$8,$D63,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3" s="49">
        <f>InputFunctions_PastureBeef.LookupLiveweightFromSeason($E$7,$E$8,$D63,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3" s="49">
        <f>InputFunctions_PastureBeef.LookupLiveweightFromSeason($E$7,$E$8,$D63,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3" s="49">
        <f>InputFunctions_PastureBeef.LookupLiveweightFromSeason($E$7,$E$8,$D63,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3" s="2" t="s">
        <v>105</v>
      </c>
      <c r="P63" s="3"/>
      <c r="T63" s="7"/>
    </row>
    <row r="64" spans="4:20" ht="20.100000000000001" customHeight="1" x14ac:dyDescent="0.25">
      <c r="D64" s="1" t="s">
        <v>137</v>
      </c>
      <c r="E64" s="49">
        <f>InputFunctions_PastureBeef.LookupLiveweightFromSeason($E$7,$E$8,$D64,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4" s="49">
        <f>InputFunctions_PastureBeef.LookupLiveweightFromSeason($E$7,$E$8,$D64,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4" s="49">
        <f>InputFunctions_PastureBeef.LookupLiveweightFromSeason($E$7,$E$8,$D64,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4" s="49">
        <f>InputFunctions_PastureBeef.LookupLiveweightFromSeason($E$7,$E$8,$D64,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4" s="49">
        <f>InputFunctions_PastureBeef.LookupLiveweightFromSeason($E$7,$E$8,$D64,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4" s="49">
        <f>InputFunctions_PastureBeef.LookupLiveweightFromSeason($E$7,$E$8,$D64,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4" s="49">
        <f>InputFunctions_PastureBeef.LookupLiveweightFromSeason($E$7,$E$8,$D64,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4" s="49">
        <f>InputFunctions_PastureBeef.LookupLiveweightFromSeason($E$7,$E$8,$D64,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4" s="49">
        <f>InputFunctions_PastureBeef.LookupLiveweightFromSeason($E$7,$E$8,$D64,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4" s="49">
        <f>InputFunctions_PastureBeef.LookupLiveweightFromSeason($E$7,$E$8,$D64,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4" s="2" t="s">
        <v>105</v>
      </c>
      <c r="P64" s="3"/>
      <c r="T64" s="7"/>
    </row>
    <row r="65" spans="4:20" ht="20.100000000000001" customHeight="1" x14ac:dyDescent="0.25">
      <c r="O65" s="2"/>
      <c r="P65" s="3"/>
      <c r="T65" s="7"/>
    </row>
    <row r="66" spans="4:20" ht="20.100000000000001" customHeight="1" x14ac:dyDescent="0.25">
      <c r="D66" s="59" t="s">
        <v>141</v>
      </c>
      <c r="E66" s="59" t="s">
        <v>103</v>
      </c>
      <c r="F66" s="59" t="s">
        <v>102</v>
      </c>
      <c r="G66" s="59" t="s">
        <v>126</v>
      </c>
      <c r="H66" s="59" t="s">
        <v>127</v>
      </c>
      <c r="I66" s="59" t="s">
        <v>128</v>
      </c>
      <c r="J66" s="59" t="s">
        <v>129</v>
      </c>
      <c r="K66" s="59" t="s">
        <v>130</v>
      </c>
      <c r="L66" s="59" t="s">
        <v>131</v>
      </c>
      <c r="M66" s="59" t="s">
        <v>132</v>
      </c>
      <c r="N66" s="59" t="s">
        <v>133</v>
      </c>
      <c r="O66" s="2"/>
      <c r="P66" s="3"/>
      <c r="T66" s="7"/>
    </row>
    <row r="67" spans="4:20" ht="20.100000000000001" customHeight="1" x14ac:dyDescent="0.25">
      <c r="D67" s="1" t="str">
        <f>TEXT(X_Cell_Site_StartDate, "mmmm yyyy")</f>
        <v>January 2024</v>
      </c>
      <c r="E67" s="61">
        <f>InputFunctions_PastureBeef.LookupLiveweightFromMonth($E$7,$E$8,$D67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1">
        <f>InputFunctions_PastureBeef.LookupLiveweightFromMonth($E$7,$E$8,$D67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1">
        <f>InputFunctions_PastureBeef.LookupLiveweightFromMonth($E$7,$E$8,$D67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1">
        <f>InputFunctions_PastureBeef.LookupLiveweightFromMonth($E$7,$E$8,$D67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1">
        <f>InputFunctions_PastureBeef.LookupLiveweightFromMonth($E$7,$E$8,$D67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1">
        <f>InputFunctions_PastureBeef.LookupLiveweightFromMonth($E$7,$E$8,$D67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1">
        <f>InputFunctions_PastureBeef.LookupLiveweightFromMonth($E$7,$E$8,$D67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1">
        <f>InputFunctions_PastureBeef.LookupLiveweightFromMonth($E$7,$E$8,$D67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1">
        <f>InputFunctions_PastureBeef.LookupLiveweightFromMonth($E$7,$E$8,$D67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1">
        <f>InputFunctions_PastureBeef.LookupLiveweightFromMonth($E$7,$E$8,$D67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105</v>
      </c>
      <c r="P67" s="3"/>
      <c r="T67" s="7"/>
    </row>
    <row r="68" spans="4:20" ht="20.100000000000001" customHeight="1" x14ac:dyDescent="0.25">
      <c r="D68" s="1" t="str">
        <f>TEXT(EDATE(X_Cell_Site_StartDate,1), "mmmm yyyy")</f>
        <v>February 2024</v>
      </c>
      <c r="E68" s="61">
        <f>InputFunctions_PastureBeef.LookupLiveweightFromMonth($E$7,$E$8,$D68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8" s="61">
        <f>InputFunctions_PastureBeef.LookupLiveweightFromMonth($E$7,$E$8,$D68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8" s="61">
        <f>InputFunctions_PastureBeef.LookupLiveweightFromMonth($E$7,$E$8,$D68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8" s="61">
        <f>InputFunctions_PastureBeef.LookupLiveweightFromMonth($E$7,$E$8,$D68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8" s="61">
        <f>InputFunctions_PastureBeef.LookupLiveweightFromMonth($E$7,$E$8,$D68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8" s="61">
        <f>InputFunctions_PastureBeef.LookupLiveweightFromMonth($E$7,$E$8,$D68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8" s="61">
        <f>InputFunctions_PastureBeef.LookupLiveweightFromMonth($E$7,$E$8,$D68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8" s="61">
        <f>InputFunctions_PastureBeef.LookupLiveweightFromMonth($E$7,$E$8,$D68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8" s="61">
        <f>InputFunctions_PastureBeef.LookupLiveweightFromMonth($E$7,$E$8,$D68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8" s="61">
        <f>InputFunctions_PastureBeef.LookupLiveweightFromMonth($E$7,$E$8,$D68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8" s="2" t="s">
        <v>105</v>
      </c>
      <c r="P68" s="3"/>
      <c r="T68" s="7"/>
    </row>
    <row r="69" spans="4:20" ht="20.100000000000001" customHeight="1" x14ac:dyDescent="0.25">
      <c r="D69" s="1" t="str">
        <f>TEXT(EDATE(X_Cell_Site_StartDate,2), "mmmm yyyy")</f>
        <v>March 2024</v>
      </c>
      <c r="E69" s="61">
        <f>InputFunctions_PastureBeef.LookupLiveweightFromMonth($E$7,$E$8,$D69,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1">
        <f>InputFunctions_PastureBeef.LookupLiveweightFromMonth($E$7,$E$8,$D69,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1">
        <f>InputFunctions_PastureBeef.LookupLiveweightFromMonth($E$7,$E$8,$D69,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1">
        <f>InputFunctions_PastureBeef.LookupLiveweightFromMonth($E$7,$E$8,$D69,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1">
        <f>InputFunctions_PastureBeef.LookupLiveweightFromMonth($E$7,$E$8,$D69,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1">
        <f>InputFunctions_PastureBeef.LookupLiveweightFromMonth($E$7,$E$8,$D69,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1">
        <f>InputFunctions_PastureBeef.LookupLiveweightFromMonth($E$7,$E$8,$D69,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1">
        <f>InputFunctions_PastureBeef.LookupLiveweightFromMonth($E$7,$E$8,$D69,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1">
        <f>InputFunctions_PastureBeef.LookupLiveweightFromMonth($E$7,$E$8,$D69,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1">
        <f>InputFunctions_PastureBeef.LookupLiveweightFromMonth($E$7,$E$8,$D69,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105</v>
      </c>
      <c r="P69" s="3"/>
      <c r="T69" s="7"/>
    </row>
    <row r="70" spans="4:20" ht="20.100000000000001" customHeight="1" x14ac:dyDescent="0.25">
      <c r="D70" s="1" t="str">
        <f>TEXT(EDATE(X_Cell_Site_StartDate,3), "mmmm yyyy")</f>
        <v>April 2024</v>
      </c>
      <c r="E70" s="61">
        <f>InputFunctions_PastureBeef.LookupLiveweightFromMonth($E$7,$E$8,$D70,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1">
        <f>InputFunctions_PastureBeef.LookupLiveweightFromMonth($E$7,$E$8,$D70,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1">
        <f>InputFunctions_PastureBeef.LookupLiveweightFromMonth($E$7,$E$8,$D70,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1">
        <f>InputFunctions_PastureBeef.LookupLiveweightFromMonth($E$7,$E$8,$D70,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1">
        <f>InputFunctions_PastureBeef.LookupLiveweightFromMonth($E$7,$E$8,$D70,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1">
        <f>InputFunctions_PastureBeef.LookupLiveweightFromMonth($E$7,$E$8,$D70,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1">
        <f>InputFunctions_PastureBeef.LookupLiveweightFromMonth($E$7,$E$8,$D70,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1">
        <f>InputFunctions_PastureBeef.LookupLiveweightFromMonth($E$7,$E$8,$D70,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1">
        <f>InputFunctions_PastureBeef.LookupLiveweightFromMonth($E$7,$E$8,$D70,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1">
        <f>InputFunctions_PastureBeef.LookupLiveweightFromMonth($E$7,$E$8,$D70,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105</v>
      </c>
      <c r="P70" s="3"/>
      <c r="T70" s="7"/>
    </row>
    <row r="71" spans="4:20" ht="20.100000000000001" customHeight="1" x14ac:dyDescent="0.25">
      <c r="D71" s="1" t="str">
        <f>TEXT(EDATE(X_Cell_Site_StartDate,4), "mmmm yyyy")</f>
        <v>May 2024</v>
      </c>
      <c r="E71" s="61">
        <f>InputFunctions_PastureBeef.LookupLiveweightFromMonth($E$7,$E$8,$D71,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1" s="61">
        <f>InputFunctions_PastureBeef.LookupLiveweightFromMonth($E$7,$E$8,$D71,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1" s="61">
        <f>InputFunctions_PastureBeef.LookupLiveweightFromMonth($E$7,$E$8,$D71,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1" s="61">
        <f>InputFunctions_PastureBeef.LookupLiveweightFromMonth($E$7,$E$8,$D71,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1" s="61">
        <f>InputFunctions_PastureBeef.LookupLiveweightFromMonth($E$7,$E$8,$D71,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1" s="61">
        <f>InputFunctions_PastureBeef.LookupLiveweightFromMonth($E$7,$E$8,$D71,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1" s="61">
        <f>InputFunctions_PastureBeef.LookupLiveweightFromMonth($E$7,$E$8,$D71,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1" s="61">
        <f>InputFunctions_PastureBeef.LookupLiveweightFromMonth($E$7,$E$8,$D71,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1" s="61">
        <f>InputFunctions_PastureBeef.LookupLiveweightFromMonth($E$7,$E$8,$D71,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1" s="61">
        <f>InputFunctions_PastureBeef.LookupLiveweightFromMonth($E$7,$E$8,$D71,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1" s="2" t="s">
        <v>105</v>
      </c>
      <c r="P71" s="3"/>
      <c r="T71" s="7"/>
    </row>
    <row r="72" spans="4:20" ht="20.100000000000001" customHeight="1" x14ac:dyDescent="0.25">
      <c r="D72" s="1" t="str">
        <f>TEXT(EDATE(X_Cell_Site_StartDate,5), "mmmm yyyy")</f>
        <v>June 2024</v>
      </c>
      <c r="E72" s="61">
        <f>InputFunctions_PastureBeef.LookupLiveweightFromMonth($E$7,$E$8,$D72,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1">
        <f>InputFunctions_PastureBeef.LookupLiveweightFromMonth($E$7,$E$8,$D72,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1">
        <f>InputFunctions_PastureBeef.LookupLiveweightFromMonth($E$7,$E$8,$D72,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1">
        <f>InputFunctions_PastureBeef.LookupLiveweightFromMonth($E$7,$E$8,$D72,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1">
        <f>InputFunctions_PastureBeef.LookupLiveweightFromMonth($E$7,$E$8,$D72,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1">
        <f>InputFunctions_PastureBeef.LookupLiveweightFromMonth($E$7,$E$8,$D72,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1">
        <f>InputFunctions_PastureBeef.LookupLiveweightFromMonth($E$7,$E$8,$D72,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1">
        <f>InputFunctions_PastureBeef.LookupLiveweightFromMonth($E$7,$E$8,$D72,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1">
        <f>InputFunctions_PastureBeef.LookupLiveweightFromMonth($E$7,$E$8,$D72,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1">
        <f>InputFunctions_PastureBeef.LookupLiveweightFromMonth($E$7,$E$8,$D72,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105</v>
      </c>
      <c r="T72" s="7"/>
    </row>
    <row r="73" spans="4:20" ht="20.100000000000001" customHeight="1" x14ac:dyDescent="0.25">
      <c r="D73" s="1" t="str">
        <f>TEXT(EDATE(X_Cell_Site_StartDate,6), "mmmm yyyy")</f>
        <v>July 2024</v>
      </c>
      <c r="E73" s="61">
        <f>InputFunctions_PastureBeef.LookupLiveweightFromMonth($E$7,$E$8,$D73,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1">
        <f>InputFunctions_PastureBeef.LookupLiveweightFromMonth($E$7,$E$8,$D73,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1">
        <f>InputFunctions_PastureBeef.LookupLiveweightFromMonth($E$7,$E$8,$D73,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1">
        <f>InputFunctions_PastureBeef.LookupLiveweightFromMonth($E$7,$E$8,$D73,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1">
        <f>InputFunctions_PastureBeef.LookupLiveweightFromMonth($E$7,$E$8,$D73,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1">
        <f>InputFunctions_PastureBeef.LookupLiveweightFromMonth($E$7,$E$8,$D73,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1">
        <f>InputFunctions_PastureBeef.LookupLiveweightFromMonth($E$7,$E$8,$D73,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1">
        <f>InputFunctions_PastureBeef.LookupLiveweightFromMonth($E$7,$E$8,$D73,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1">
        <f>InputFunctions_PastureBeef.LookupLiveweightFromMonth($E$7,$E$8,$D73,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1">
        <f>InputFunctions_PastureBeef.LookupLiveweightFromMonth($E$7,$E$8,$D73,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105</v>
      </c>
      <c r="T73" s="7"/>
    </row>
    <row r="74" spans="4:20" ht="20.100000000000001" customHeight="1" x14ac:dyDescent="0.25">
      <c r="D74" s="1" t="str">
        <f>TEXT(EDATE(X_Cell_Site_StartDate,7), "mmmm yyyy")</f>
        <v>August 2024</v>
      </c>
      <c r="E74" s="61">
        <f>InputFunctions_PastureBeef.LookupLiveweightFromMonth($E$7,$E$8,$D74,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4" s="61">
        <f>InputFunctions_PastureBeef.LookupLiveweightFromMonth($E$7,$E$8,$D74,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4" s="61">
        <f>InputFunctions_PastureBeef.LookupLiveweightFromMonth($E$7,$E$8,$D74,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4" s="61">
        <f>InputFunctions_PastureBeef.LookupLiveweightFromMonth($E$7,$E$8,$D74,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4" s="61">
        <f>InputFunctions_PastureBeef.LookupLiveweightFromMonth($E$7,$E$8,$D74,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4" s="61">
        <f>InputFunctions_PastureBeef.LookupLiveweightFromMonth($E$7,$E$8,$D74,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4" s="61">
        <f>InputFunctions_PastureBeef.LookupLiveweightFromMonth($E$7,$E$8,$D74,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4" s="61">
        <f>InputFunctions_PastureBeef.LookupLiveweightFromMonth($E$7,$E$8,$D74,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4" s="61">
        <f>InputFunctions_PastureBeef.LookupLiveweightFromMonth($E$7,$E$8,$D74,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4" s="61">
        <f>InputFunctions_PastureBeef.LookupLiveweightFromMonth($E$7,$E$8,$D74,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4" s="2" t="s">
        <v>105</v>
      </c>
      <c r="T74" s="7"/>
    </row>
    <row r="75" spans="4:20" ht="20.100000000000001" customHeight="1" x14ac:dyDescent="0.25">
      <c r="D75" s="1" t="str">
        <f>TEXT(EDATE(X_Cell_Site_StartDate,8), "mmmm yyyy")</f>
        <v>September 2024</v>
      </c>
      <c r="E75" s="61">
        <f>InputFunctions_PastureBeef.LookupLiveweightFromMonth($E$7,$E$8,$D75,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1">
        <f>InputFunctions_PastureBeef.LookupLiveweightFromMonth($E$7,$E$8,$D75,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1">
        <f>InputFunctions_PastureBeef.LookupLiveweightFromMonth($E$7,$E$8,$D75,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1">
        <f>InputFunctions_PastureBeef.LookupLiveweightFromMonth($E$7,$E$8,$D75,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1">
        <f>InputFunctions_PastureBeef.LookupLiveweightFromMonth($E$7,$E$8,$D75,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1">
        <f>InputFunctions_PastureBeef.LookupLiveweightFromMonth($E$7,$E$8,$D75,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1">
        <f>InputFunctions_PastureBeef.LookupLiveweightFromMonth($E$7,$E$8,$D75,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1">
        <f>InputFunctions_PastureBeef.LookupLiveweightFromMonth($E$7,$E$8,$D75,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1">
        <f>InputFunctions_PastureBeef.LookupLiveweightFromMonth($E$7,$E$8,$D75,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1">
        <f>InputFunctions_PastureBeef.LookupLiveweightFromMonth($E$7,$E$8,$D75,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105</v>
      </c>
      <c r="T75" s="7"/>
    </row>
    <row r="76" spans="4:20" ht="20.100000000000001" customHeight="1" x14ac:dyDescent="0.25">
      <c r="D76" s="1" t="str">
        <f>TEXT(EDATE(X_Cell_Site_StartDate,9), "mmmm yyyy")</f>
        <v>October 2024</v>
      </c>
      <c r="E76" s="61">
        <f>InputFunctions_PastureBeef.LookupLiveweightFromMonth($E$7,$E$8,$D76,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1">
        <f>InputFunctions_PastureBeef.LookupLiveweightFromMonth($E$7,$E$8,$D76,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1">
        <f>InputFunctions_PastureBeef.LookupLiveweightFromMonth($E$7,$E$8,$D76,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1">
        <f>InputFunctions_PastureBeef.LookupLiveweightFromMonth($E$7,$E$8,$D76,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1">
        <f>InputFunctions_PastureBeef.LookupLiveweightFromMonth($E$7,$E$8,$D76,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1">
        <f>InputFunctions_PastureBeef.LookupLiveweightFromMonth($E$7,$E$8,$D76,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1">
        <f>InputFunctions_PastureBeef.LookupLiveweightFromMonth($E$7,$E$8,$D76,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1">
        <f>InputFunctions_PastureBeef.LookupLiveweightFromMonth($E$7,$E$8,$D76,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1">
        <f>InputFunctions_PastureBeef.LookupLiveweightFromMonth($E$7,$E$8,$D76,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1">
        <f>InputFunctions_PastureBeef.LookupLiveweightFromMonth($E$7,$E$8,$D76,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105</v>
      </c>
      <c r="T76" s="7"/>
    </row>
    <row r="77" spans="4:20" ht="20.100000000000001" customHeight="1" x14ac:dyDescent="0.25">
      <c r="D77" s="1" t="str">
        <f>TEXT(EDATE(X_Cell_Site_StartDate,10), "mmmm yyyy")</f>
        <v>November 2024</v>
      </c>
      <c r="E77" s="61">
        <f>InputFunctions_PastureBeef.LookupLiveweightFromMonth($E$7,$E$8,$D77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7" s="61">
        <f>InputFunctions_PastureBeef.LookupLiveweightFromMonth($E$7,$E$8,$D77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7" s="61">
        <f>InputFunctions_PastureBeef.LookupLiveweightFromMonth($E$7,$E$8,$D77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7" s="61">
        <f>InputFunctions_PastureBeef.LookupLiveweightFromMonth($E$7,$E$8,$D77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7" s="61">
        <f>InputFunctions_PastureBeef.LookupLiveweightFromMonth($E$7,$E$8,$D77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7" s="61">
        <f>InputFunctions_PastureBeef.LookupLiveweightFromMonth($E$7,$E$8,$D77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7" s="61">
        <f>InputFunctions_PastureBeef.LookupLiveweightFromMonth($E$7,$E$8,$D77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7" s="61">
        <f>InputFunctions_PastureBeef.LookupLiveweightFromMonth($E$7,$E$8,$D77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7" s="61">
        <f>InputFunctions_PastureBeef.LookupLiveweightFromMonth($E$7,$E$8,$D77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7" s="61">
        <f>InputFunctions_PastureBeef.LookupLiveweightFromMonth($E$7,$E$8,$D77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7" s="2" t="s">
        <v>105</v>
      </c>
      <c r="T77" s="7"/>
    </row>
    <row r="78" spans="4:20" ht="20.100000000000001" customHeight="1" x14ac:dyDescent="0.25">
      <c r="D78" s="1" t="str">
        <f>TEXT(EDATE(X_Cell_Site_StartDate,11), "mmmm yyyy")</f>
        <v>December 2024</v>
      </c>
      <c r="E78" s="61">
        <f>InputFunctions_PastureBeef.LookupLiveweightFromMonth($E$7,$E$8,$D78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8" s="61">
        <f>InputFunctions_PastureBeef.LookupLiveweightFromMonth($E$7,$E$8,$D78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8" s="61">
        <f>InputFunctions_PastureBeef.LookupLiveweightFromMonth($E$7,$E$8,$D78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8" s="61">
        <f>InputFunctions_PastureBeef.LookupLiveweightFromMonth($E$7,$E$8,$D78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8" s="61">
        <f>InputFunctions_PastureBeef.LookupLiveweightFromMonth($E$7,$E$8,$D78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8" s="61">
        <f>InputFunctions_PastureBeef.LookupLiveweightFromMonth($E$7,$E$8,$D78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8" s="61">
        <f>InputFunctions_PastureBeef.LookupLiveweightFromMonth($E$7,$E$8,$D78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8" s="61">
        <f>InputFunctions_PastureBeef.LookupLiveweightFromMonth($E$7,$E$8,$D78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8" s="61">
        <f>InputFunctions_PastureBeef.LookupLiveweightFromMonth($E$7,$E$8,$D78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8" s="61">
        <f>InputFunctions_PastureBeef.LookupLiveweightFromMonth($E$7,$E$8,$D78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8" s="2" t="s">
        <v>105</v>
      </c>
      <c r="T78" s="7"/>
    </row>
    <row r="79" spans="4:20" ht="20.100000000000001" customHeight="1" x14ac:dyDescent="0.25">
      <c r="T79" s="7"/>
    </row>
    <row r="80" spans="4:20" ht="20.100000000000001" customHeight="1" x14ac:dyDescent="0.25">
      <c r="T80" s="7"/>
    </row>
    <row r="81" spans="4:20" ht="20.100000000000001" customHeight="1" x14ac:dyDescent="0.25">
      <c r="D81" s="45" t="s">
        <v>138</v>
      </c>
      <c r="T81" s="7"/>
    </row>
    <row r="82" spans="4:20" ht="20.100000000000001" customHeight="1" x14ac:dyDescent="0.25">
      <c r="D82" s="59" t="s">
        <v>140</v>
      </c>
      <c r="E82" s="59" t="s">
        <v>103</v>
      </c>
      <c r="F82" s="59" t="s">
        <v>102</v>
      </c>
      <c r="G82" s="59" t="s">
        <v>126</v>
      </c>
      <c r="H82" s="59" t="s">
        <v>127</v>
      </c>
      <c r="I82" s="59" t="s">
        <v>128</v>
      </c>
      <c r="J82" s="59" t="s">
        <v>129</v>
      </c>
      <c r="K82" s="59" t="s">
        <v>130</v>
      </c>
      <c r="L82" s="59" t="s">
        <v>131</v>
      </c>
      <c r="M82" s="59" t="s">
        <v>132</v>
      </c>
      <c r="N82" s="59" t="s">
        <v>133</v>
      </c>
      <c r="T82" s="7"/>
    </row>
    <row r="83" spans="4:20" ht="20.100000000000001" customHeight="1" x14ac:dyDescent="0.25">
      <c r="D83" s="1" t="s">
        <v>134</v>
      </c>
      <c r="E83" s="49">
        <f>InputFunctions_PastureBeef.LookupLiveweightFromSeason($E$7,$E$8,$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3" s="49">
        <f>InputFunctions_PastureBeef.LookupLiveweightFromSeason($E$7,$E$8,$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3" s="49">
        <f>InputFunctions_PastureBeef.LookupLiveweightFromSeason($E$7,$E$8,$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3" s="49">
        <f>InputFunctions_PastureBeef.LookupLiveweightFromSeason($E$7,$E$8,$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3" s="49">
        <f>InputFunctions_PastureBeef.LookupLiveweightFromSeason($E$7,$E$8,$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3" s="49">
        <f>InputFunctions_PastureBeef.LookupLiveweightFromSeason($E$7,$E$8,$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3" s="49">
        <f>InputFunctions_PastureBeef.LookupLiveweightFromSeason($E$7,$E$8,$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3" s="49">
        <f>InputFunctions_PastureBeef.LookupLiveweightFromSeason($E$7,$E$8,$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3" s="49">
        <f>InputFunctions_PastureBeef.LookupLiveweightFromSeason($E$7,$E$8,$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3" s="49">
        <f>InputFunctions_PastureBeef.LookupLiveweightFromSeason($E$7,$E$8,$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3" s="2" t="s">
        <v>106</v>
      </c>
      <c r="T83" s="7"/>
    </row>
    <row r="84" spans="4:20" ht="20.100000000000001" customHeight="1" x14ac:dyDescent="0.25">
      <c r="D84" s="1" t="s">
        <v>135</v>
      </c>
      <c r="E84" s="49">
        <f>InputFunctions_PastureBeef.LookupLiveweightFromSeason($E$7,$E$8,$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4" s="49">
        <f>InputFunctions_PastureBeef.LookupLiveweightFromSeason($E$7,$E$8,$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4" s="49">
        <f>InputFunctions_PastureBeef.LookupLiveweightFromSeason($E$7,$E$8,$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4" s="49">
        <f>InputFunctions_PastureBeef.LookupLiveweightFromSeason($E$7,$E$8,$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4" s="49">
        <f>InputFunctions_PastureBeef.LookupLiveweightFromSeason($E$7,$E$8,$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4" s="49">
        <f>InputFunctions_PastureBeef.LookupLiveweightFromSeason($E$7,$E$8,$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4" s="49">
        <f>InputFunctions_PastureBeef.LookupLiveweightFromSeason($E$7,$E$8,$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4" s="49">
        <f>InputFunctions_PastureBeef.LookupLiveweightFromSeason($E$7,$E$8,$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4" s="49">
        <f>InputFunctions_PastureBeef.LookupLiveweightFromSeason($E$7,$E$8,$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4" s="49">
        <f>InputFunctions_PastureBeef.LookupLiveweightFromSeason($E$7,$E$8,$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4" s="2" t="s">
        <v>106</v>
      </c>
      <c r="T84" s="7"/>
    </row>
    <row r="85" spans="4:20" ht="20.100000000000001" customHeight="1" x14ac:dyDescent="0.25">
      <c r="D85" s="1" t="s">
        <v>136</v>
      </c>
      <c r="E85" s="49">
        <f>InputFunctions_PastureBeef.LookupLiveweightFromSeason($E$7,$E$8,$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5" s="49">
        <f>InputFunctions_PastureBeef.LookupLiveweightFromSeason($E$7,$E$8,$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5" s="49">
        <f>InputFunctions_PastureBeef.LookupLiveweightFromSeason($E$7,$E$8,$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5" s="49">
        <f>InputFunctions_PastureBeef.LookupLiveweightFromSeason($E$7,$E$8,$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5" s="49">
        <f>InputFunctions_PastureBeef.LookupLiveweightFromSeason($E$7,$E$8,$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5" s="49">
        <f>InputFunctions_PastureBeef.LookupLiveweightFromSeason($E$7,$E$8,$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5" s="49">
        <f>InputFunctions_PastureBeef.LookupLiveweightFromSeason($E$7,$E$8,$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5" s="49">
        <f>InputFunctions_PastureBeef.LookupLiveweightFromSeason($E$7,$E$8,$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5" s="49">
        <f>InputFunctions_PastureBeef.LookupLiveweightFromSeason($E$7,$E$8,$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5" s="49">
        <f>InputFunctions_PastureBeef.LookupLiveweightFromSeason($E$7,$E$8,$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5" s="2" t="s">
        <v>106</v>
      </c>
      <c r="T85" s="7"/>
    </row>
    <row r="86" spans="4:20" ht="20.100000000000001" customHeight="1" x14ac:dyDescent="0.25">
      <c r="D86" s="1" t="s">
        <v>137</v>
      </c>
      <c r="E86" s="49">
        <f>InputFunctions_PastureBeef.LookupLiveweightFromSeason($E$7,$E$8,$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6" s="49">
        <f>InputFunctions_PastureBeef.LookupLiveweightFromSeason($E$7,$E$8,$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6" s="49">
        <f>InputFunctions_PastureBeef.LookupLiveweightFromSeason($E$7,$E$8,$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6" s="49">
        <f>InputFunctions_PastureBeef.LookupLiveweightFromSeason($E$7,$E$8,$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6" s="49">
        <f>InputFunctions_PastureBeef.LookupLiveweightFromSeason($E$7,$E$8,$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6" s="49">
        <f>InputFunctions_PastureBeef.LookupLiveweightFromSeason($E$7,$E$8,$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6" s="49">
        <f>InputFunctions_PastureBeef.LookupLiveweightFromSeason($E$7,$E$8,$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6" s="49">
        <f>InputFunctions_PastureBeef.LookupLiveweightFromSeason($E$7,$E$8,$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6" s="49">
        <f>InputFunctions_PastureBeef.LookupLiveweightFromSeason($E$7,$E$8,$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6" s="49">
        <f>InputFunctions_PastureBeef.LookupLiveweightFromSeason($E$7,$E$8,$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6" s="2" t="s">
        <v>106</v>
      </c>
      <c r="T86" s="7"/>
    </row>
    <row r="87" spans="4:20" ht="20.100000000000001" customHeight="1" x14ac:dyDescent="0.25">
      <c r="O87" s="2"/>
      <c r="T87" s="7"/>
    </row>
    <row r="88" spans="4:20" ht="20.100000000000001" customHeight="1" x14ac:dyDescent="0.25">
      <c r="D88" s="59" t="s">
        <v>141</v>
      </c>
      <c r="E88" s="59" t="s">
        <v>103</v>
      </c>
      <c r="F88" s="59" t="s">
        <v>102</v>
      </c>
      <c r="G88" s="59" t="s">
        <v>126</v>
      </c>
      <c r="H88" s="59" t="s">
        <v>127</v>
      </c>
      <c r="I88" s="59" t="s">
        <v>128</v>
      </c>
      <c r="J88" s="59" t="s">
        <v>129</v>
      </c>
      <c r="K88" s="59" t="s">
        <v>130</v>
      </c>
      <c r="L88" s="59" t="s">
        <v>131</v>
      </c>
      <c r="M88" s="59" t="s">
        <v>132</v>
      </c>
      <c r="N88" s="59" t="s">
        <v>133</v>
      </c>
      <c r="O88" s="2"/>
      <c r="T88" s="7"/>
    </row>
    <row r="89" spans="4:20" ht="20.100000000000001" customHeight="1" x14ac:dyDescent="0.25">
      <c r="D89" s="1" t="str">
        <f>TEXT(X_Cell_Site_StartDate, "mmmm yyyy")</f>
        <v>January 2024</v>
      </c>
      <c r="E89" s="61">
        <f>InputFunctions_PastureBeef.LookupLiveweightFromMonth($E$7,$E$8,$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1">
        <f>InputFunctions_PastureBeef.LookupLiveweightFromMonth($E$7,$E$8,$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1">
        <f>InputFunctions_PastureBeef.LookupLiveweightFromMonth($E$7,$E$8,$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1">
        <f>InputFunctions_PastureBeef.LookupLiveweightFromMonth($E$7,$E$8,$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1">
        <f>InputFunctions_PastureBeef.LookupLiveweightFromMonth($E$7,$E$8,$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1">
        <f>InputFunctions_PastureBeef.LookupLiveweightFromMonth($E$7,$E$8,$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1">
        <f>InputFunctions_PastureBeef.LookupLiveweightFromMonth($E$7,$E$8,$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1">
        <f>InputFunctions_PastureBeef.LookupLiveweightFromMonth($E$7,$E$8,$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1">
        <f>InputFunctions_PastureBeef.LookupLiveweightFromMonth($E$7,$E$8,$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1">
        <f>InputFunctions_PastureBeef.LookupLiveweightFromMonth($E$7,$E$8,$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106</v>
      </c>
      <c r="T89" s="7"/>
    </row>
    <row r="90" spans="4:20" ht="20.100000000000001" customHeight="1" x14ac:dyDescent="0.25">
      <c r="D90" s="1" t="str">
        <f>TEXT(EDATE(X_Cell_Site_StartDate,1), "mmmm yyyy")</f>
        <v>February 2024</v>
      </c>
      <c r="E90" s="61">
        <f>InputFunctions_PastureBeef.LookupLiveweightFromMonth($E$7,$E$8,$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0" s="61">
        <f>InputFunctions_PastureBeef.LookupLiveweightFromMonth($E$7,$E$8,$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0" s="61">
        <f>InputFunctions_PastureBeef.LookupLiveweightFromMonth($E$7,$E$8,$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0" s="61">
        <f>InputFunctions_PastureBeef.LookupLiveweightFromMonth($E$7,$E$8,$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0" s="61">
        <f>InputFunctions_PastureBeef.LookupLiveweightFromMonth($E$7,$E$8,$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0" s="61">
        <f>InputFunctions_PastureBeef.LookupLiveweightFromMonth($E$7,$E$8,$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0" s="61">
        <f>InputFunctions_PastureBeef.LookupLiveweightFromMonth($E$7,$E$8,$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0" s="61">
        <f>InputFunctions_PastureBeef.LookupLiveweightFromMonth($E$7,$E$8,$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0" s="61">
        <f>InputFunctions_PastureBeef.LookupLiveweightFromMonth($E$7,$E$8,$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0" s="61">
        <f>InputFunctions_PastureBeef.LookupLiveweightFromMonth($E$7,$E$8,$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0" s="2" t="s">
        <v>106</v>
      </c>
      <c r="T90" s="7"/>
    </row>
    <row r="91" spans="4:20" ht="20.100000000000001" customHeight="1" x14ac:dyDescent="0.25">
      <c r="D91" s="1" t="str">
        <f>TEXT(EDATE(X_Cell_Site_StartDate,2), "mmmm yyyy")</f>
        <v>March 2024</v>
      </c>
      <c r="E91" s="61">
        <f>InputFunctions_PastureBeef.LookupLiveweightFromMonth($E$7,$E$8,$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1">
        <f>InputFunctions_PastureBeef.LookupLiveweightFromMonth($E$7,$E$8,$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1">
        <f>InputFunctions_PastureBeef.LookupLiveweightFromMonth($E$7,$E$8,$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1">
        <f>InputFunctions_PastureBeef.LookupLiveweightFromMonth($E$7,$E$8,$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1">
        <f>InputFunctions_PastureBeef.LookupLiveweightFromMonth($E$7,$E$8,$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1">
        <f>InputFunctions_PastureBeef.LookupLiveweightFromMonth($E$7,$E$8,$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1">
        <f>InputFunctions_PastureBeef.LookupLiveweightFromMonth($E$7,$E$8,$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1">
        <f>InputFunctions_PastureBeef.LookupLiveweightFromMonth($E$7,$E$8,$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1">
        <f>InputFunctions_PastureBeef.LookupLiveweightFromMonth($E$7,$E$8,$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1">
        <f>InputFunctions_PastureBeef.LookupLiveweightFromMonth($E$7,$E$8,$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106</v>
      </c>
      <c r="T91" s="7"/>
    </row>
    <row r="92" spans="4:20" ht="20.100000000000001" customHeight="1" x14ac:dyDescent="0.25">
      <c r="D92" s="1" t="str">
        <f>TEXT(EDATE(X_Cell_Site_StartDate,3), "mmmm yyyy")</f>
        <v>April 2024</v>
      </c>
      <c r="E92" s="61">
        <f>InputFunctions_PastureBeef.LookupLiveweightFromMonth($E$7,$E$8,$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1">
        <f>InputFunctions_PastureBeef.LookupLiveweightFromMonth($E$7,$E$8,$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1">
        <f>InputFunctions_PastureBeef.LookupLiveweightFromMonth($E$7,$E$8,$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1">
        <f>InputFunctions_PastureBeef.LookupLiveweightFromMonth($E$7,$E$8,$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1">
        <f>InputFunctions_PastureBeef.LookupLiveweightFromMonth($E$7,$E$8,$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1">
        <f>InputFunctions_PastureBeef.LookupLiveweightFromMonth($E$7,$E$8,$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1">
        <f>InputFunctions_PastureBeef.LookupLiveweightFromMonth($E$7,$E$8,$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1">
        <f>InputFunctions_PastureBeef.LookupLiveweightFromMonth($E$7,$E$8,$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1">
        <f>InputFunctions_PastureBeef.LookupLiveweightFromMonth($E$7,$E$8,$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1">
        <f>InputFunctions_PastureBeef.LookupLiveweightFromMonth($E$7,$E$8,$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106</v>
      </c>
      <c r="T92" s="7"/>
    </row>
    <row r="93" spans="4:20" ht="20.100000000000001" customHeight="1" x14ac:dyDescent="0.25">
      <c r="D93" s="1" t="str">
        <f>TEXT(EDATE(X_Cell_Site_StartDate,4), "mmmm yyyy")</f>
        <v>May 2024</v>
      </c>
      <c r="E93" s="61">
        <f>InputFunctions_PastureBeef.LookupLiveweightFromMonth($E$7,$E$8,$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3" s="61">
        <f>InputFunctions_PastureBeef.LookupLiveweightFromMonth($E$7,$E$8,$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3" s="61">
        <f>InputFunctions_PastureBeef.LookupLiveweightFromMonth($E$7,$E$8,$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3" s="61">
        <f>InputFunctions_PastureBeef.LookupLiveweightFromMonth($E$7,$E$8,$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3" s="61">
        <f>InputFunctions_PastureBeef.LookupLiveweightFromMonth($E$7,$E$8,$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3" s="61">
        <f>InputFunctions_PastureBeef.LookupLiveweightFromMonth($E$7,$E$8,$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3" s="61">
        <f>InputFunctions_PastureBeef.LookupLiveweightFromMonth($E$7,$E$8,$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3" s="61">
        <f>InputFunctions_PastureBeef.LookupLiveweightFromMonth($E$7,$E$8,$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3" s="61">
        <f>InputFunctions_PastureBeef.LookupLiveweightFromMonth($E$7,$E$8,$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3" s="61">
        <f>InputFunctions_PastureBeef.LookupLiveweightFromMonth($E$7,$E$8,$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3" s="2" t="s">
        <v>106</v>
      </c>
      <c r="T93" s="7"/>
    </row>
    <row r="94" spans="4:20" ht="20.100000000000001" customHeight="1" x14ac:dyDescent="0.25">
      <c r="D94" s="1" t="str">
        <f>TEXT(EDATE(X_Cell_Site_StartDate,5), "mmmm yyyy")</f>
        <v>June 2024</v>
      </c>
      <c r="E94" s="61">
        <f>InputFunctions_PastureBeef.LookupLiveweightFromMonth($E$7,$E$8,$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1">
        <f>InputFunctions_PastureBeef.LookupLiveweightFromMonth($E$7,$E$8,$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1">
        <f>InputFunctions_PastureBeef.LookupLiveweightFromMonth($E$7,$E$8,$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1">
        <f>InputFunctions_PastureBeef.LookupLiveweightFromMonth($E$7,$E$8,$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1">
        <f>InputFunctions_PastureBeef.LookupLiveweightFromMonth($E$7,$E$8,$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1">
        <f>InputFunctions_PastureBeef.LookupLiveweightFromMonth($E$7,$E$8,$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1">
        <f>InputFunctions_PastureBeef.LookupLiveweightFromMonth($E$7,$E$8,$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1">
        <f>InputFunctions_PastureBeef.LookupLiveweightFromMonth($E$7,$E$8,$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1">
        <f>InputFunctions_PastureBeef.LookupLiveweightFromMonth($E$7,$E$8,$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1">
        <f>InputFunctions_PastureBeef.LookupLiveweightFromMonth($E$7,$E$8,$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106</v>
      </c>
      <c r="T94" s="7"/>
    </row>
    <row r="95" spans="4:20" ht="20.100000000000001" customHeight="1" x14ac:dyDescent="0.25">
      <c r="D95" s="1" t="str">
        <f>TEXT(EDATE(X_Cell_Site_StartDate,6), "mmmm yyyy")</f>
        <v>July 2024</v>
      </c>
      <c r="E95" s="61">
        <f>InputFunctions_PastureBeef.LookupLiveweightFromMonth($E$7,$E$8,$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1">
        <f>InputFunctions_PastureBeef.LookupLiveweightFromMonth($E$7,$E$8,$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1">
        <f>InputFunctions_PastureBeef.LookupLiveweightFromMonth($E$7,$E$8,$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1">
        <f>InputFunctions_PastureBeef.LookupLiveweightFromMonth($E$7,$E$8,$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1">
        <f>InputFunctions_PastureBeef.LookupLiveweightFromMonth($E$7,$E$8,$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1">
        <f>InputFunctions_PastureBeef.LookupLiveweightFromMonth($E$7,$E$8,$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1">
        <f>InputFunctions_PastureBeef.LookupLiveweightFromMonth($E$7,$E$8,$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1">
        <f>InputFunctions_PastureBeef.LookupLiveweightFromMonth($E$7,$E$8,$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1">
        <f>InputFunctions_PastureBeef.LookupLiveweightFromMonth($E$7,$E$8,$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1">
        <f>InputFunctions_PastureBeef.LookupLiveweightFromMonth($E$7,$E$8,$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106</v>
      </c>
      <c r="T95" s="7"/>
    </row>
    <row r="96" spans="4:20" ht="20.100000000000001" customHeight="1" x14ac:dyDescent="0.25">
      <c r="D96" s="1" t="str">
        <f>TEXT(EDATE(X_Cell_Site_StartDate,7), "mmmm yyyy")</f>
        <v>August 2024</v>
      </c>
      <c r="E96" s="61">
        <f>InputFunctions_PastureBeef.LookupLiveweightFromMonth($E$7,$E$8,$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6" s="61">
        <f>InputFunctions_PastureBeef.LookupLiveweightFromMonth($E$7,$E$8,$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6" s="61">
        <f>InputFunctions_PastureBeef.LookupLiveweightFromMonth($E$7,$E$8,$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6" s="61">
        <f>InputFunctions_PastureBeef.LookupLiveweightFromMonth($E$7,$E$8,$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6" s="61">
        <f>InputFunctions_PastureBeef.LookupLiveweightFromMonth($E$7,$E$8,$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6" s="61">
        <f>InputFunctions_PastureBeef.LookupLiveweightFromMonth($E$7,$E$8,$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6" s="61">
        <f>InputFunctions_PastureBeef.LookupLiveweightFromMonth($E$7,$E$8,$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6" s="61">
        <f>InputFunctions_PastureBeef.LookupLiveweightFromMonth($E$7,$E$8,$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6" s="61">
        <f>InputFunctions_PastureBeef.LookupLiveweightFromMonth($E$7,$E$8,$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6" s="61">
        <f>InputFunctions_PastureBeef.LookupLiveweightFromMonth($E$7,$E$8,$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6" s="2" t="s">
        <v>106</v>
      </c>
      <c r="T96" s="7"/>
    </row>
    <row r="97" spans="4:20" ht="20.100000000000001" customHeight="1" x14ac:dyDescent="0.25">
      <c r="D97" s="1" t="str">
        <f>TEXT(EDATE(X_Cell_Site_StartDate,8), "mmmm yyyy")</f>
        <v>September 2024</v>
      </c>
      <c r="E97" s="61">
        <f>InputFunctions_PastureBeef.LookupLiveweightFromMonth($E$7,$E$8,$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1">
        <f>InputFunctions_PastureBeef.LookupLiveweightFromMonth($E$7,$E$8,$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1">
        <f>InputFunctions_PastureBeef.LookupLiveweightFromMonth($E$7,$E$8,$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1">
        <f>InputFunctions_PastureBeef.LookupLiveweightFromMonth($E$7,$E$8,$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1">
        <f>InputFunctions_PastureBeef.LookupLiveweightFromMonth($E$7,$E$8,$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1">
        <f>InputFunctions_PastureBeef.LookupLiveweightFromMonth($E$7,$E$8,$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1">
        <f>InputFunctions_PastureBeef.LookupLiveweightFromMonth($E$7,$E$8,$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1">
        <f>InputFunctions_PastureBeef.LookupLiveweightFromMonth($E$7,$E$8,$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1">
        <f>InputFunctions_PastureBeef.LookupLiveweightFromMonth($E$7,$E$8,$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1">
        <f>InputFunctions_PastureBeef.LookupLiveweightFromMonth($E$7,$E$8,$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106</v>
      </c>
      <c r="T97" s="7"/>
    </row>
    <row r="98" spans="4:20" ht="20.100000000000001" customHeight="1" x14ac:dyDescent="0.25">
      <c r="D98" s="1" t="str">
        <f>TEXT(EDATE(X_Cell_Site_StartDate,9), "mmmm yyyy")</f>
        <v>October 2024</v>
      </c>
      <c r="E98" s="61">
        <f>InputFunctions_PastureBeef.LookupLiveweightFromMonth($E$7,$E$8,$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1">
        <f>InputFunctions_PastureBeef.LookupLiveweightFromMonth($E$7,$E$8,$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1">
        <f>InputFunctions_PastureBeef.LookupLiveweightFromMonth($E$7,$E$8,$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1">
        <f>InputFunctions_PastureBeef.LookupLiveweightFromMonth($E$7,$E$8,$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1">
        <f>InputFunctions_PastureBeef.LookupLiveweightFromMonth($E$7,$E$8,$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1">
        <f>InputFunctions_PastureBeef.LookupLiveweightFromMonth($E$7,$E$8,$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1">
        <f>InputFunctions_PastureBeef.LookupLiveweightFromMonth($E$7,$E$8,$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1">
        <f>InputFunctions_PastureBeef.LookupLiveweightFromMonth($E$7,$E$8,$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1">
        <f>InputFunctions_PastureBeef.LookupLiveweightFromMonth($E$7,$E$8,$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1">
        <f>InputFunctions_PastureBeef.LookupLiveweightFromMonth($E$7,$E$8,$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106</v>
      </c>
      <c r="T98" s="7"/>
    </row>
    <row r="99" spans="4:20" ht="20.100000000000001" customHeight="1" x14ac:dyDescent="0.25">
      <c r="D99" s="1" t="str">
        <f>TEXT(EDATE(X_Cell_Site_StartDate,10), "mmmm yyyy")</f>
        <v>November 2024</v>
      </c>
      <c r="E99" s="61">
        <f>InputFunctions_PastureBeef.LookupLiveweightFromMonth($E$7,$E$8,$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9" s="61">
        <f>InputFunctions_PastureBeef.LookupLiveweightFromMonth($E$7,$E$8,$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9" s="61">
        <f>InputFunctions_PastureBeef.LookupLiveweightFromMonth($E$7,$E$8,$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9" s="61">
        <f>InputFunctions_PastureBeef.LookupLiveweightFromMonth($E$7,$E$8,$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9" s="61">
        <f>InputFunctions_PastureBeef.LookupLiveweightFromMonth($E$7,$E$8,$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9" s="61">
        <f>InputFunctions_PastureBeef.LookupLiveweightFromMonth($E$7,$E$8,$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9" s="61">
        <f>InputFunctions_PastureBeef.LookupLiveweightFromMonth($E$7,$E$8,$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9" s="61">
        <f>InputFunctions_PastureBeef.LookupLiveweightFromMonth($E$7,$E$8,$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9" s="61">
        <f>InputFunctions_PastureBeef.LookupLiveweightFromMonth($E$7,$E$8,$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9" s="61">
        <f>InputFunctions_PastureBeef.LookupLiveweightFromMonth($E$7,$E$8,$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9" s="2" t="s">
        <v>106</v>
      </c>
      <c r="T99" s="7"/>
    </row>
    <row r="100" spans="4:20" ht="20.100000000000001" customHeight="1" x14ac:dyDescent="0.25">
      <c r="D100" s="1" t="str">
        <f>TEXT(EDATE(X_Cell_Site_StartDate,11), "mmmm yyyy")</f>
        <v>December 2024</v>
      </c>
      <c r="E100" s="61">
        <f>InputFunctions_PastureBeef.LookupLiveweightFromMonth($E$7,$E$8,$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100" s="61">
        <f>InputFunctions_PastureBeef.LookupLiveweightFromMonth($E$7,$E$8,$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100" s="61">
        <f>InputFunctions_PastureBeef.LookupLiveweightFromMonth($E$7,$E$8,$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100" s="61">
        <f>InputFunctions_PastureBeef.LookupLiveweightFromMonth($E$7,$E$8,$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100" s="61">
        <f>InputFunctions_PastureBeef.LookupLiveweightFromMonth($E$7,$E$8,$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100" s="61">
        <f>InputFunctions_PastureBeef.LookupLiveweightFromMonth($E$7,$E$8,$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100" s="61">
        <f>InputFunctions_PastureBeef.LookupLiveweightFromMonth($E$7,$E$8,$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100" s="61">
        <f>InputFunctions_PastureBeef.LookupLiveweightFromMonth($E$7,$E$8,$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100" s="61">
        <f>InputFunctions_PastureBeef.LookupLiveweightFromMonth($E$7,$E$8,$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100" s="61">
        <f>InputFunctions_PastureBeef.LookupLiveweightFromMonth($E$7,$E$8,$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100" s="2" t="s">
        <v>106</v>
      </c>
      <c r="T100" s="7"/>
    </row>
    <row r="101" spans="4:20" ht="20.100000000000001" customHeight="1" x14ac:dyDescent="0.25">
      <c r="T101" s="7"/>
    </row>
    <row r="102" spans="4:20" ht="20.100000000000001" customHeight="1" x14ac:dyDescent="0.25">
      <c r="T102" s="7"/>
    </row>
    <row r="103" spans="4:20" ht="20.100000000000001" customHeight="1" x14ac:dyDescent="0.25">
      <c r="D103" s="45" t="s">
        <v>190</v>
      </c>
      <c r="K103" s="2"/>
      <c r="L103" s="2"/>
      <c r="M103" s="2"/>
      <c r="N103" s="2"/>
      <c r="O103" s="2"/>
      <c r="T103" s="7"/>
    </row>
    <row r="104" spans="4:20" ht="20.100000000000001" customHeight="1" x14ac:dyDescent="0.25">
      <c r="D104" s="59" t="s">
        <v>107</v>
      </c>
      <c r="E104" s="59"/>
      <c r="F104" s="59"/>
      <c r="G104" s="59"/>
      <c r="T104" s="7"/>
    </row>
    <row r="105" spans="4:20" ht="20.100000000000001" customHeight="1" x14ac:dyDescent="0.25">
      <c r="D105" s="1" t="s">
        <v>207</v>
      </c>
      <c r="E105" s="37" t="s">
        <v>137</v>
      </c>
      <c r="F105" s="2" t="s">
        <v>7</v>
      </c>
      <c r="T105" s="7"/>
    </row>
    <row r="106" spans="4:20" ht="20.100000000000001" customHeight="1" x14ac:dyDescent="0.25">
      <c r="T106" s="7"/>
    </row>
    <row r="107" spans="4:20" ht="20.100000000000001" customHeight="1" x14ac:dyDescent="0.25"/>
    <row r="108" spans="4:20" ht="20.100000000000001" customHeight="1" x14ac:dyDescent="0.25">
      <c r="K108" s="1" t="s">
        <v>295</v>
      </c>
    </row>
    <row r="109" spans="4:20" ht="20.100000000000001" customHeight="1" x14ac:dyDescent="0.25"/>
    <row r="110" spans="4:20" ht="20.100000000000001" customHeight="1" x14ac:dyDescent="0.25">
      <c r="E110" s="59" t="s">
        <v>296</v>
      </c>
      <c r="F110" s="59" t="s">
        <v>127</v>
      </c>
      <c r="G110" s="59" t="s">
        <v>128</v>
      </c>
      <c r="H110" s="59" t="s">
        <v>129</v>
      </c>
      <c r="L110" s="1" t="s">
        <v>126</v>
      </c>
      <c r="M110" s="1" t="s">
        <v>130</v>
      </c>
      <c r="N110" s="2"/>
      <c r="O110" s="2"/>
    </row>
    <row r="111" spans="4:20" ht="20.100000000000001" customHeight="1" x14ac:dyDescent="0.25">
      <c r="D111" s="1" t="str">
        <f>"Proportion of cows &gt; 1 years in calf in " &amp; E105</f>
        <v>Proportion of cows &gt; 1 years in calf in Winter</v>
      </c>
      <c r="E111" s="37" t="s">
        <v>297</v>
      </c>
      <c r="F111" s="43">
        <v>0.7</v>
      </c>
      <c r="G111" s="43">
        <v>0.5</v>
      </c>
      <c r="H111" s="43">
        <v>0.5</v>
      </c>
      <c r="I111" s="2" t="s">
        <v>13</v>
      </c>
      <c r="L111" s="49">
        <f>MAX(0, G42-G41)</f>
        <v>0</v>
      </c>
      <c r="M111" s="49">
        <f>MAX(0,K42-K41)</f>
        <v>0</v>
      </c>
      <c r="N111" s="2"/>
      <c r="O111" s="2"/>
    </row>
    <row r="112" spans="4:20" ht="20.100000000000001" customHeight="1" x14ac:dyDescent="0.25">
      <c r="D112" s="1" t="s">
        <v>134</v>
      </c>
      <c r="E112" s="37" t="s">
        <v>297</v>
      </c>
      <c r="F112" s="43">
        <v>0.1</v>
      </c>
      <c r="G112" s="43">
        <v>0.4</v>
      </c>
      <c r="H112" s="43">
        <v>0.4</v>
      </c>
      <c r="I112" s="2" t="s">
        <v>13</v>
      </c>
      <c r="L112" s="49">
        <f>MAX(0, G39-G42)</f>
        <v>0</v>
      </c>
      <c r="M112" s="49">
        <f>MAX(0,K39-K42)</f>
        <v>0</v>
      </c>
    </row>
    <row r="113" spans="4:15" ht="20.100000000000001" customHeight="1" x14ac:dyDescent="0.25">
      <c r="D113" s="1" t="s">
        <v>135</v>
      </c>
      <c r="E113" s="37" t="s">
        <v>297</v>
      </c>
      <c r="F113" s="43">
        <v>0.1</v>
      </c>
      <c r="G113" s="43">
        <v>0</v>
      </c>
      <c r="H113" s="43">
        <v>0</v>
      </c>
      <c r="I113" s="2" t="s">
        <v>13</v>
      </c>
      <c r="L113" s="49">
        <f>MAX(0, G40-G39)</f>
        <v>0</v>
      </c>
      <c r="M113" s="49">
        <f>MAX(0,K40-K39)</f>
        <v>0</v>
      </c>
    </row>
    <row r="114" spans="4:15" ht="20.100000000000001" customHeight="1" x14ac:dyDescent="0.25">
      <c r="D114" s="1" t="s">
        <v>136</v>
      </c>
      <c r="E114" s="37" t="s">
        <v>110</v>
      </c>
      <c r="F114" s="43">
        <v>0</v>
      </c>
      <c r="G114" s="43">
        <v>0</v>
      </c>
      <c r="H114" s="43">
        <v>0</v>
      </c>
      <c r="I114" s="2" t="s">
        <v>13</v>
      </c>
      <c r="L114" s="49">
        <f>MAX(0,G41-G40)</f>
        <v>0</v>
      </c>
      <c r="M114" s="49">
        <f>MAX(0,K41-K40)</f>
        <v>0</v>
      </c>
    </row>
    <row r="115" spans="4:15" ht="20.100000000000001" customHeight="1" x14ac:dyDescent="0.25">
      <c r="J115" s="1" t="s">
        <v>298</v>
      </c>
    </row>
    <row r="116" spans="4:15" ht="20.100000000000001" customHeight="1" x14ac:dyDescent="0.25"/>
    <row r="117" spans="4:15" ht="20.100000000000001" customHeight="1" x14ac:dyDescent="0.25"/>
    <row r="118" spans="4:15" ht="20.100000000000001" customHeight="1" x14ac:dyDescent="0.25">
      <c r="D118" s="59" t="s">
        <v>108</v>
      </c>
      <c r="E118" s="59"/>
      <c r="F118" s="59"/>
      <c r="G118" s="59"/>
      <c r="L118" s="119" t="s">
        <v>299</v>
      </c>
    </row>
    <row r="119" spans="4:15" ht="20.100000000000001" customHeight="1" x14ac:dyDescent="0.25">
      <c r="D119" s="1" t="s">
        <v>253</v>
      </c>
      <c r="E119" s="37" t="s">
        <v>251</v>
      </c>
      <c r="F119" s="2" t="s">
        <v>7</v>
      </c>
      <c r="J119" s="50" t="s">
        <v>103</v>
      </c>
    </row>
    <row r="120" spans="4:15" ht="20.100000000000001" customHeight="1" x14ac:dyDescent="0.25">
      <c r="D120" s="1" t="s">
        <v>249</v>
      </c>
      <c r="E120" s="49" t="str">
        <f>TEXT(EDATE(E119,1), "mmmm yyyy")</f>
        <v>September 2024</v>
      </c>
      <c r="J120" s="1" t="s">
        <v>81</v>
      </c>
      <c r="K120" s="1" t="s">
        <v>300</v>
      </c>
      <c r="L120" s="1" t="s">
        <v>298</v>
      </c>
      <c r="M120" s="1" t="s">
        <v>301</v>
      </c>
      <c r="N120" s="1" t="s">
        <v>302</v>
      </c>
      <c r="O120" s="1" t="s">
        <v>303</v>
      </c>
    </row>
    <row r="121" spans="4:15" ht="20.100000000000001" customHeight="1" x14ac:dyDescent="0.25">
      <c r="D121" s="1" t="s">
        <v>250</v>
      </c>
      <c r="E121" s="49" t="str">
        <f>TEXT(EDATE(E119,2), "mmmm yyyy")</f>
        <v>October 2024</v>
      </c>
      <c r="J121" s="49">
        <f>E39</f>
        <v>100</v>
      </c>
      <c r="K121" s="49">
        <f>MAX(0, E39-E42)</f>
        <v>0</v>
      </c>
      <c r="L121" s="1">
        <f>K121/J121</f>
        <v>0</v>
      </c>
      <c r="M121" s="1">
        <f>K124/J121</f>
        <v>0</v>
      </c>
      <c r="N121" s="2">
        <f>1-(L121+M121)</f>
        <v>1</v>
      </c>
      <c r="O121" s="50">
        <f>(L121*6)+(M121*4)+(N121*0)</f>
        <v>0</v>
      </c>
    </row>
    <row r="122" spans="4:15" ht="20.100000000000001" customHeight="1" x14ac:dyDescent="0.25">
      <c r="J122" s="49">
        <f>E40</f>
        <v>100</v>
      </c>
      <c r="K122" s="49">
        <f>MAX(0, E40-E39)</f>
        <v>0</v>
      </c>
      <c r="L122" s="1">
        <f>K122/J122</f>
        <v>0</v>
      </c>
      <c r="M122" s="1">
        <f>K121/J122</f>
        <v>0</v>
      </c>
      <c r="N122" s="2">
        <f>1-(L122+M122)</f>
        <v>1</v>
      </c>
      <c r="O122" s="50">
        <f t="shared" ref="O122:O124" si="1">(L122*6)+(M122*4)+(N122*0)</f>
        <v>0</v>
      </c>
    </row>
    <row r="123" spans="4:15" ht="20.100000000000001" customHeight="1" x14ac:dyDescent="0.25">
      <c r="J123" s="49">
        <f>E41</f>
        <v>100</v>
      </c>
      <c r="K123" s="49">
        <f>MAX(0,E41-E40)</f>
        <v>0</v>
      </c>
      <c r="L123" s="1">
        <f>K123/J123</f>
        <v>0</v>
      </c>
      <c r="M123" s="1">
        <f>K122/J123</f>
        <v>0</v>
      </c>
      <c r="N123" s="2">
        <f>1-(L123+M123)</f>
        <v>1</v>
      </c>
      <c r="O123" s="50">
        <f t="shared" si="1"/>
        <v>0</v>
      </c>
    </row>
    <row r="124" spans="4:15" ht="20.100000000000001" customHeight="1" x14ac:dyDescent="0.25">
      <c r="E124" s="59" t="s">
        <v>127</v>
      </c>
      <c r="F124" s="59" t="s">
        <v>128</v>
      </c>
      <c r="G124" s="59" t="s">
        <v>129</v>
      </c>
      <c r="J124" s="49">
        <f>E42</f>
        <v>100</v>
      </c>
      <c r="K124" s="49">
        <f>MAX(0, E42-E41)</f>
        <v>0</v>
      </c>
      <c r="L124" s="1">
        <f>K124/J124</f>
        <v>0</v>
      </c>
      <c r="M124" s="2">
        <f>K123/J124</f>
        <v>0</v>
      </c>
      <c r="N124" s="2">
        <f>1-(L124+M124)</f>
        <v>1</v>
      </c>
      <c r="O124" s="50">
        <f t="shared" si="1"/>
        <v>0</v>
      </c>
    </row>
    <row r="125" spans="4:15" ht="20.100000000000001" customHeight="1" x14ac:dyDescent="0.25">
      <c r="D125" s="1" t="str">
        <f>E119</f>
        <v>August 2024</v>
      </c>
      <c r="E125" s="43">
        <v>0.25</v>
      </c>
      <c r="F125" s="43">
        <v>0.25</v>
      </c>
      <c r="G125" s="43">
        <v>0.25</v>
      </c>
      <c r="H125" s="2" t="s">
        <v>13</v>
      </c>
      <c r="L125" s="2"/>
      <c r="M125" s="2"/>
      <c r="N125" s="2"/>
      <c r="O125" s="2"/>
    </row>
    <row r="126" spans="4:15" ht="20.100000000000001" customHeight="1" x14ac:dyDescent="0.25">
      <c r="D126" s="1" t="str">
        <f>E120</f>
        <v>September 2024</v>
      </c>
      <c r="E126" s="43">
        <v>0.25</v>
      </c>
      <c r="F126" s="43">
        <v>0.25</v>
      </c>
      <c r="G126" s="43">
        <v>0.25</v>
      </c>
      <c r="H126" s="2" t="s">
        <v>13</v>
      </c>
    </row>
    <row r="127" spans="4:15" ht="20.100000000000001" customHeight="1" x14ac:dyDescent="0.25">
      <c r="D127" s="1" t="str">
        <f>E121</f>
        <v>October 2024</v>
      </c>
      <c r="E127" s="43">
        <v>0.25</v>
      </c>
      <c r="F127" s="43">
        <v>0.25</v>
      </c>
      <c r="G127" s="43">
        <v>0.25</v>
      </c>
      <c r="H127" s="2" t="s">
        <v>13</v>
      </c>
    </row>
    <row r="128" spans="4:15" ht="20.100000000000001" customHeight="1" x14ac:dyDescent="0.25">
      <c r="D128" s="1" t="str">
        <f>"Proportion of cows &gt; 1 years in calf in " &amp; D125 &amp; " to " &amp; D127</f>
        <v>Proportion of cows &gt; 1 years in calf in August 2024 to October 2024</v>
      </c>
      <c r="E128" s="90">
        <f>SUM(E125:E127)</f>
        <v>0.75</v>
      </c>
      <c r="F128" s="90">
        <f>SUM(F125:F127)</f>
        <v>0.75</v>
      </c>
      <c r="G128" s="90">
        <f>SUM(G125:G127)</f>
        <v>0.75</v>
      </c>
      <c r="H128" s="2" t="s">
        <v>13</v>
      </c>
    </row>
    <row r="129" spans="4:15" ht="20.100000000000001" customHeight="1" x14ac:dyDescent="0.25"/>
    <row r="130" spans="4:15" ht="20.100000000000001" customHeight="1" x14ac:dyDescent="0.25">
      <c r="K130" s="2"/>
      <c r="L130" s="2"/>
      <c r="M130" s="2"/>
      <c r="N130" s="2"/>
      <c r="O130" s="2"/>
    </row>
    <row r="131" spans="4:15" ht="20.100000000000001" customHeight="1" x14ac:dyDescent="0.25">
      <c r="D131" s="45" t="s">
        <v>12</v>
      </c>
      <c r="K131" s="2"/>
      <c r="L131" s="2"/>
      <c r="M131" s="2"/>
      <c r="N131" s="2"/>
      <c r="O131" s="2"/>
    </row>
    <row r="132" spans="4:15" ht="20.100000000000001" customHeight="1" x14ac:dyDescent="0.25">
      <c r="D132" s="59" t="s">
        <v>140</v>
      </c>
      <c r="E132" s="59" t="s">
        <v>103</v>
      </c>
      <c r="F132" s="59" t="s">
        <v>102</v>
      </c>
      <c r="G132" s="59" t="s">
        <v>126</v>
      </c>
      <c r="H132" s="59" t="s">
        <v>127</v>
      </c>
      <c r="I132" s="59" t="s">
        <v>128</v>
      </c>
      <c r="J132" s="59" t="s">
        <v>129</v>
      </c>
      <c r="K132" s="59" t="s">
        <v>130</v>
      </c>
      <c r="L132" s="59" t="s">
        <v>131</v>
      </c>
      <c r="M132" s="59" t="s">
        <v>132</v>
      </c>
      <c r="N132" s="59" t="s">
        <v>133</v>
      </c>
    </row>
    <row r="133" spans="4:15" ht="20.100000000000001" customHeight="1" x14ac:dyDescent="0.25">
      <c r="D133" s="1" t="s">
        <v>134</v>
      </c>
      <c r="E133" s="49">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33" s="49">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33" s="49">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33" s="49">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33" s="49">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33" s="49">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33" s="49">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33" s="49">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33" s="49">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33" s="49">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33" s="2" t="s">
        <v>112</v>
      </c>
    </row>
    <row r="134" spans="4:15" ht="20.100000000000001" customHeight="1" x14ac:dyDescent="0.25">
      <c r="D134" s="1" t="s">
        <v>135</v>
      </c>
      <c r="E134" s="49">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34" s="49">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34" s="49">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34" s="49">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34" s="49">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34" s="49">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34" s="49">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34" s="49">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34" s="49">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34" s="49">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34" s="2" t="s">
        <v>112</v>
      </c>
    </row>
    <row r="135" spans="4:15" ht="20.100000000000001" customHeight="1" x14ac:dyDescent="0.25">
      <c r="D135" s="1" t="s">
        <v>136</v>
      </c>
      <c r="E135" s="49">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35" s="49">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35" s="49">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35" s="49">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35" s="49">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35" s="49">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35" s="49">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35" s="49">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35" s="49">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35" s="49">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35" s="2" t="s">
        <v>112</v>
      </c>
    </row>
    <row r="136" spans="4:15" ht="20.100000000000001" customHeight="1" x14ac:dyDescent="0.25">
      <c r="D136" s="1" t="s">
        <v>137</v>
      </c>
      <c r="E136" s="49">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36" s="49">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36" s="49">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36" s="49">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36" s="49">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36" s="49">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36" s="49">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36" s="49">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36" s="49">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36" s="49">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36" s="2" t="s">
        <v>112</v>
      </c>
    </row>
    <row r="137" spans="4:15" ht="20.100000000000001" customHeight="1" x14ac:dyDescent="0.25"/>
    <row r="138" spans="4:15" ht="20.100000000000001" customHeight="1" x14ac:dyDescent="0.25">
      <c r="D138" s="59" t="s">
        <v>141</v>
      </c>
      <c r="E138" s="59" t="s">
        <v>103</v>
      </c>
      <c r="F138" s="59" t="s">
        <v>102</v>
      </c>
      <c r="G138" s="59" t="s">
        <v>126</v>
      </c>
      <c r="H138" s="59" t="s">
        <v>127</v>
      </c>
      <c r="I138" s="59" t="s">
        <v>128</v>
      </c>
      <c r="J138" s="59" t="s">
        <v>129</v>
      </c>
      <c r="K138" s="59" t="s">
        <v>130</v>
      </c>
      <c r="L138" s="59" t="s">
        <v>131</v>
      </c>
      <c r="M138" s="59" t="s">
        <v>132</v>
      </c>
      <c r="N138" s="59" t="s">
        <v>133</v>
      </c>
    </row>
    <row r="139" spans="4:15" ht="20.100000000000001" customHeight="1" x14ac:dyDescent="0.25">
      <c r="D139" s="1" t="str">
        <f>TEXT(X_Cell_Site_StartDate, "mmmm yyyy")</f>
        <v>January 2024</v>
      </c>
      <c r="E139" s="61">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9" s="61">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9" s="61">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9" s="61">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9" s="61">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9" s="61">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9" s="61">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9" s="61">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9" s="61">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9" s="61">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9" s="2" t="s">
        <v>112</v>
      </c>
    </row>
    <row r="140" spans="4:15" ht="20.100000000000001" customHeight="1" x14ac:dyDescent="0.25">
      <c r="D140" s="1" t="str">
        <f>TEXT(EDATE(X_Cell_Site_StartDate,1), "mmmm yyyy")</f>
        <v>February 2024</v>
      </c>
      <c r="E140" s="61">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0" s="61">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0" s="61">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0" s="61">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0" s="61">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0" s="61">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0" s="61">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0" s="61">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0" s="61">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0" s="61">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0" s="2" t="s">
        <v>112</v>
      </c>
    </row>
    <row r="141" spans="4:15" ht="20.100000000000001" customHeight="1" x14ac:dyDescent="0.25">
      <c r="D141" s="1" t="str">
        <f>TEXT(EDATE(X_Cell_Site_StartDate,2), "mmmm yyyy")</f>
        <v>March 2024</v>
      </c>
      <c r="E141" s="61">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1" s="61">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1" s="61">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1" s="61">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1" s="61">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1" s="61">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1" s="61">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1" s="61">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1" s="61">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1" s="61">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1" s="2" t="s">
        <v>112</v>
      </c>
    </row>
    <row r="142" spans="4:15" ht="20.100000000000001" customHeight="1" x14ac:dyDescent="0.25">
      <c r="D142" s="1" t="str">
        <f>TEXT(EDATE(X_Cell_Site_StartDate,3), "mmmm yyyy")</f>
        <v>April 2024</v>
      </c>
      <c r="E142" s="61">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2" s="61">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2" s="61">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2" s="61">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2" s="61">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2" s="61">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2" s="61">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2" s="61">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2" s="61">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2" s="61">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2" s="2" t="s">
        <v>112</v>
      </c>
    </row>
    <row r="143" spans="4:15" ht="20.100000000000001" customHeight="1" x14ac:dyDescent="0.25">
      <c r="D143" s="1" t="str">
        <f>TEXT(EDATE(X_Cell_Site_StartDate,4), "mmmm yyyy")</f>
        <v>May 2024</v>
      </c>
      <c r="E143" s="61">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3" s="61">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3" s="61">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3" s="61">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3" s="61">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3" s="61">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3" s="61">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3" s="61">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3" s="61">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3" s="61">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3" s="2" t="s">
        <v>112</v>
      </c>
    </row>
    <row r="144" spans="4:15" ht="20.100000000000001" customHeight="1" x14ac:dyDescent="0.25">
      <c r="D144" s="1" t="str">
        <f>TEXT(EDATE(X_Cell_Site_StartDate,5), "mmmm yyyy")</f>
        <v>June 2024</v>
      </c>
      <c r="E144" s="61">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4" s="61">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4" s="61">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4" s="61">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4" s="61">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4" s="61">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4" s="61">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4" s="61">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4" s="61">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4" s="61">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4" s="2" t="s">
        <v>112</v>
      </c>
    </row>
    <row r="145" spans="4:15" ht="20.100000000000001" customHeight="1" x14ac:dyDescent="0.25">
      <c r="D145" s="1" t="str">
        <f>TEXT(EDATE(X_Cell_Site_StartDate,6), "mmmm yyyy")</f>
        <v>July 2024</v>
      </c>
      <c r="E145" s="61">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5" s="61">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5" s="61">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5" s="61">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5" s="61">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5" s="61">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5" s="61">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5" s="61">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5" s="61">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5" s="61">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5" s="2" t="s">
        <v>112</v>
      </c>
    </row>
    <row r="146" spans="4:15" ht="20.100000000000001" customHeight="1" x14ac:dyDescent="0.25">
      <c r="D146" s="1" t="str">
        <f>TEXT(EDATE(X_Cell_Site_StartDate,7), "mmmm yyyy")</f>
        <v>August 2024</v>
      </c>
      <c r="E146" s="61">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6" s="61">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6" s="61">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6" s="61">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6" s="61">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6" s="61">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6" s="61">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6" s="61">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6" s="61">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6" s="61">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6" s="2" t="s">
        <v>112</v>
      </c>
    </row>
    <row r="147" spans="4:15" ht="20.100000000000001" customHeight="1" x14ac:dyDescent="0.25">
      <c r="D147" s="1" t="str">
        <f>TEXT(EDATE(X_Cell_Site_StartDate,8), "mmmm yyyy")</f>
        <v>September 2024</v>
      </c>
      <c r="E147" s="61">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7" s="61">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7" s="61">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7" s="61">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7" s="61">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7" s="61">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7" s="61">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7" s="61">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7" s="61">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7" s="61">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7" s="2" t="s">
        <v>112</v>
      </c>
    </row>
    <row r="148" spans="4:15" ht="20.100000000000001" customHeight="1" x14ac:dyDescent="0.25">
      <c r="D148" s="1" t="str">
        <f>TEXT(EDATE(X_Cell_Site_StartDate,9), "mmmm yyyy")</f>
        <v>October 2024</v>
      </c>
      <c r="E148" s="61">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8" s="61">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8" s="61">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8" s="61">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8" s="61">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8" s="61">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8" s="61">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8" s="61">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8" s="61">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8" s="61">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8" s="2" t="s">
        <v>112</v>
      </c>
    </row>
    <row r="149" spans="4:15" ht="20.100000000000001" customHeight="1" x14ac:dyDescent="0.25">
      <c r="D149" s="1" t="str">
        <f>TEXT(EDATE(X_Cell_Site_StartDate,10), "mmmm yyyy")</f>
        <v>November 2024</v>
      </c>
      <c r="E149" s="61">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9" s="61">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9" s="61">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9" s="61">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9" s="61">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9" s="61">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9" s="61">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9" s="61">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9" s="61">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9" s="61">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9" s="2" t="s">
        <v>112</v>
      </c>
    </row>
    <row r="150" spans="4:15" ht="20.100000000000001" customHeight="1" x14ac:dyDescent="0.25">
      <c r="D150" s="1" t="str">
        <f>TEXT(EDATE(X_Cell_Site_StartDate,11), "mmmm yyyy")</f>
        <v>December 2024</v>
      </c>
      <c r="E150" s="61">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50" s="61">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50" s="61">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50" s="61">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50" s="61">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50" s="61">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50" s="61">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50" s="61">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50" s="61">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50" s="61">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50" s="2" t="s">
        <v>112</v>
      </c>
    </row>
    <row r="151" spans="4:15" ht="20.100000000000001" customHeight="1" x14ac:dyDescent="0.25"/>
    <row r="152" spans="4:15" ht="20.100000000000001" customHeight="1" x14ac:dyDescent="0.25"/>
    <row r="153" spans="4:15" ht="20.100000000000001" customHeight="1" x14ac:dyDescent="0.25">
      <c r="D153" s="45" t="s">
        <v>83</v>
      </c>
      <c r="K153" s="2"/>
      <c r="L153" s="2"/>
      <c r="M153" s="2"/>
      <c r="N153" s="2"/>
      <c r="O153" s="2"/>
    </row>
    <row r="154" spans="4:15" ht="20.100000000000001" customHeight="1" x14ac:dyDescent="0.25">
      <c r="D154" s="59" t="s">
        <v>140</v>
      </c>
      <c r="E154" s="59" t="s">
        <v>103</v>
      </c>
      <c r="F154" s="59" t="s">
        <v>102</v>
      </c>
      <c r="G154" s="59" t="s">
        <v>126</v>
      </c>
      <c r="H154" s="59" t="s">
        <v>127</v>
      </c>
      <c r="I154" s="59" t="s">
        <v>128</v>
      </c>
      <c r="J154" s="59" t="s">
        <v>129</v>
      </c>
      <c r="K154" s="59" t="s">
        <v>130</v>
      </c>
      <c r="L154" s="59" t="s">
        <v>131</v>
      </c>
      <c r="M154" s="59" t="s">
        <v>132</v>
      </c>
      <c r="N154" s="59" t="s">
        <v>133</v>
      </c>
    </row>
    <row r="155" spans="4:15" ht="20.100000000000001" customHeight="1" x14ac:dyDescent="0.25">
      <c r="D155" s="1" t="s">
        <v>134</v>
      </c>
      <c r="E155" s="49">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F155" s="49">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G155" s="49">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H155" s="49">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I155" s="49">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J155" s="49">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K155" s="49">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L155" s="49">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M155" s="49">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N155" s="49">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O155" s="2" t="s">
        <v>112</v>
      </c>
    </row>
    <row r="156" spans="4:15" ht="20.100000000000001" customHeight="1" x14ac:dyDescent="0.25">
      <c r="D156" s="1" t="s">
        <v>135</v>
      </c>
      <c r="E156" s="49">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F156" s="49">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G156" s="49">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H156" s="49">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I156" s="49">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J156" s="49">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K156" s="49">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L156" s="49">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M156" s="49">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N156" s="49">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O156" s="2" t="s">
        <v>112</v>
      </c>
    </row>
    <row r="157" spans="4:15" ht="20.100000000000001" customHeight="1" x14ac:dyDescent="0.25">
      <c r="D157" s="1" t="s">
        <v>136</v>
      </c>
      <c r="E157" s="49">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F157" s="49">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G157" s="49">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H157" s="49">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I157" s="49">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J157" s="49">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K157" s="49">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L157" s="49">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M157" s="49">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N157" s="49">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O157" s="2" t="s">
        <v>112</v>
      </c>
    </row>
    <row r="158" spans="4:15" ht="20.100000000000001" customHeight="1" x14ac:dyDescent="0.25">
      <c r="D158" s="1" t="s">
        <v>137</v>
      </c>
      <c r="E158" s="49">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F158" s="49">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G158" s="49">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H158" s="49">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I158" s="49">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J158" s="49">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K158" s="49">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L158" s="49">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M158" s="49">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N158" s="49">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O158" s="2" t="s">
        <v>112</v>
      </c>
    </row>
    <row r="159" spans="4:15" ht="20.100000000000001" customHeight="1" x14ac:dyDescent="0.25"/>
    <row r="160" spans="4:15" ht="20.100000000000001" customHeight="1" x14ac:dyDescent="0.25">
      <c r="D160" s="59" t="s">
        <v>141</v>
      </c>
      <c r="E160" s="59" t="s">
        <v>103</v>
      </c>
      <c r="F160" s="59" t="s">
        <v>102</v>
      </c>
      <c r="G160" s="59" t="s">
        <v>126</v>
      </c>
      <c r="H160" s="59" t="s">
        <v>127</v>
      </c>
      <c r="I160" s="59" t="s">
        <v>128</v>
      </c>
      <c r="J160" s="59" t="s">
        <v>129</v>
      </c>
      <c r="K160" s="59" t="s">
        <v>130</v>
      </c>
      <c r="L160" s="59" t="s">
        <v>131</v>
      </c>
      <c r="M160" s="59" t="s">
        <v>132</v>
      </c>
      <c r="N160" s="59" t="s">
        <v>133</v>
      </c>
    </row>
    <row r="161" spans="4:15" ht="20.100000000000001" customHeight="1" x14ac:dyDescent="0.25">
      <c r="D161" s="1" t="str">
        <f>TEXT(X_Cell_Site_StartDate, "mmmm yyyy")</f>
        <v>January 2024</v>
      </c>
      <c r="E161" s="61">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1" s="61">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1" s="61">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1" s="61">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1" s="61">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1" s="61">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1" s="61">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1" s="61">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1" s="61">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1" s="61">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1" s="2" t="s">
        <v>112</v>
      </c>
    </row>
    <row r="162" spans="4:15" ht="20.100000000000001" customHeight="1" x14ac:dyDescent="0.25">
      <c r="D162" s="1" t="str">
        <f>TEXT(EDATE(X_Cell_Site_StartDate,1), "mmmm yyyy")</f>
        <v>February 2024</v>
      </c>
      <c r="E162" s="61">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2" s="61">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2" s="61">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2" s="61">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2" s="61">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2" s="61">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2" s="61">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2" s="61">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2" s="61">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2" s="61">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2" s="2" t="s">
        <v>112</v>
      </c>
    </row>
    <row r="163" spans="4:15" ht="20.100000000000001" customHeight="1" x14ac:dyDescent="0.25">
      <c r="D163" s="1" t="str">
        <f>TEXT(EDATE(X_Cell_Site_StartDate,2), "mmmm yyyy")</f>
        <v>March 2024</v>
      </c>
      <c r="E163" s="61">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3" s="61">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3" s="61">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3" s="61">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3" s="61">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3" s="61">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3" s="61">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3" s="61">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3" s="61">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3" s="61">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3" s="2" t="s">
        <v>112</v>
      </c>
    </row>
    <row r="164" spans="4:15" ht="20.100000000000001" customHeight="1" x14ac:dyDescent="0.25">
      <c r="D164" s="1" t="str">
        <f>TEXT(EDATE(X_Cell_Site_StartDate,3), "mmmm yyyy")</f>
        <v>April 2024</v>
      </c>
      <c r="E164" s="61">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4" s="61">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4" s="61">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4" s="61">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4" s="61">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4" s="61">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4" s="61">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4" s="61">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4" s="61">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4" s="61">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4" s="2" t="s">
        <v>112</v>
      </c>
    </row>
    <row r="165" spans="4:15" ht="20.100000000000001" customHeight="1" x14ac:dyDescent="0.25">
      <c r="D165" s="1" t="str">
        <f>TEXT(EDATE(X_Cell_Site_StartDate,4), "mmmm yyyy")</f>
        <v>May 2024</v>
      </c>
      <c r="E165" s="61">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5" s="61">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5" s="61">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5" s="61">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5" s="61">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5" s="61">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5" s="61">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5" s="61">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5" s="61">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5" s="61">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5" s="2" t="s">
        <v>112</v>
      </c>
    </row>
    <row r="166" spans="4:15" ht="20.100000000000001" customHeight="1" x14ac:dyDescent="0.25">
      <c r="D166" s="1" t="str">
        <f>TEXT(EDATE(X_Cell_Site_StartDate,5), "mmmm yyyy")</f>
        <v>June 2024</v>
      </c>
      <c r="E166" s="61">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6" s="61">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6" s="61">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6" s="61">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6" s="61">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6" s="61">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6" s="61">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6" s="61">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6" s="61">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6" s="61">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6" s="2" t="s">
        <v>112</v>
      </c>
    </row>
    <row r="167" spans="4:15" ht="20.100000000000001" customHeight="1" x14ac:dyDescent="0.25">
      <c r="D167" s="1" t="str">
        <f>TEXT(EDATE(X_Cell_Site_StartDate,6), "mmmm yyyy")</f>
        <v>July 2024</v>
      </c>
      <c r="E167" s="61">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7" s="61">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7" s="61">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7" s="61">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7" s="61">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7" s="61">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7" s="61">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7" s="61">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7" s="61">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7" s="61">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7" s="2" t="s">
        <v>112</v>
      </c>
    </row>
    <row r="168" spans="4:15" ht="20.100000000000001" customHeight="1" x14ac:dyDescent="0.25">
      <c r="D168" s="1" t="str">
        <f>TEXT(EDATE(X_Cell_Site_StartDate,7), "mmmm yyyy")</f>
        <v>August 2024</v>
      </c>
      <c r="E168" s="61">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8" s="61">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8" s="61">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8" s="61">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8" s="61">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8" s="61">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8" s="61">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8" s="61">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8" s="61">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8" s="61">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8" s="2" t="s">
        <v>112</v>
      </c>
    </row>
    <row r="169" spans="4:15" ht="20.100000000000001" customHeight="1" x14ac:dyDescent="0.25">
      <c r="D169" s="1" t="str">
        <f>TEXT(EDATE(X_Cell_Site_StartDate,8), "mmmm yyyy")</f>
        <v>September 2024</v>
      </c>
      <c r="E169" s="61">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9" s="61">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9" s="61">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9" s="61">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9" s="61">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9" s="61">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9" s="61">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9" s="61">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9" s="61">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9" s="61">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9" s="2" t="s">
        <v>112</v>
      </c>
    </row>
    <row r="170" spans="4:15" ht="20.100000000000001" customHeight="1" x14ac:dyDescent="0.25">
      <c r="D170" s="1" t="str">
        <f>TEXT(EDATE(X_Cell_Site_StartDate,9), "mmmm yyyy")</f>
        <v>October 2024</v>
      </c>
      <c r="E170" s="61">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0" s="61">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0" s="61">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0" s="61">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0" s="61">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0" s="61">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0" s="61">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0" s="61">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0" s="61">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0" s="61">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0" s="2" t="s">
        <v>112</v>
      </c>
    </row>
    <row r="171" spans="4:15" ht="20.100000000000001" customHeight="1" x14ac:dyDescent="0.25">
      <c r="D171" s="1" t="str">
        <f>TEXT(EDATE(X_Cell_Site_StartDate,10), "mmmm yyyy")</f>
        <v>November 2024</v>
      </c>
      <c r="E171" s="61">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1" s="61">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1" s="61">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1" s="61">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1" s="61">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1" s="61">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1" s="61">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1" s="61">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1" s="61">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1" s="61">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1" s="2" t="s">
        <v>112</v>
      </c>
    </row>
    <row r="172" spans="4:15" ht="20.100000000000001" customHeight="1" x14ac:dyDescent="0.25">
      <c r="D172" s="1" t="str">
        <f>TEXT(EDATE(X_Cell_Site_StartDate,11), "mmmm yyyy")</f>
        <v>December 2024</v>
      </c>
      <c r="E172" s="61">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72" s="61">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72" s="61">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72" s="61">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72" s="61">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72" s="61">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72" s="61">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72" s="61">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72" s="61">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72" s="61">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72" s="2" t="s">
        <v>112</v>
      </c>
    </row>
    <row r="173" spans="4:15" ht="20.100000000000001" customHeight="1" x14ac:dyDescent="0.25">
      <c r="L173" s="2"/>
      <c r="M173" s="2"/>
      <c r="N173" s="2"/>
      <c r="O173" s="2"/>
    </row>
    <row r="174" spans="4:15" ht="20.100000000000001" customHeight="1" x14ac:dyDescent="0.25">
      <c r="L174" s="2"/>
      <c r="M174" s="2"/>
      <c r="N174" s="2"/>
      <c r="O174" s="2"/>
    </row>
    <row r="175" spans="4:15" ht="20.100000000000001" customHeight="1" x14ac:dyDescent="0.25">
      <c r="D175" s="45" t="s">
        <v>219</v>
      </c>
      <c r="L175" s="2"/>
      <c r="M175" s="2"/>
      <c r="N175" s="2"/>
      <c r="O175" s="2"/>
    </row>
    <row r="176" spans="4:15" ht="20.100000000000001" customHeight="1" x14ac:dyDescent="0.25"/>
    <row r="177" spans="4:15" ht="20.100000000000001" customHeight="1" x14ac:dyDescent="0.25">
      <c r="D177" s="1" t="s">
        <v>220</v>
      </c>
      <c r="E177" s="37" t="s">
        <v>110</v>
      </c>
      <c r="F177" s="2" t="s">
        <v>7</v>
      </c>
      <c r="L177" s="2"/>
      <c r="M177" s="2"/>
      <c r="N177" s="2"/>
      <c r="O177" s="2"/>
    </row>
    <row r="178" spans="4:15" ht="20.100000000000001" customHeight="1" x14ac:dyDescent="0.25"/>
    <row r="179" spans="4:15" ht="20.100000000000001" customHeight="1" x14ac:dyDescent="0.25">
      <c r="D179" s="59" t="s">
        <v>15</v>
      </c>
      <c r="E179" s="59" t="s">
        <v>221</v>
      </c>
      <c r="L179" s="2"/>
      <c r="M179" s="2"/>
      <c r="N179" s="2"/>
      <c r="O179" s="2"/>
    </row>
    <row r="180" spans="4:15" ht="20.100000000000001" customHeight="1" x14ac:dyDescent="0.25">
      <c r="D180" s="1" t="s">
        <v>109</v>
      </c>
      <c r="E180" s="106">
        <f>IF($E$177="Yes",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80" s="2" t="s">
        <v>13</v>
      </c>
      <c r="L180" s="2"/>
      <c r="M180" s="2"/>
      <c r="N180" s="2"/>
      <c r="O180" s="2"/>
    </row>
    <row r="181" spans="4:15" ht="20.100000000000001" customHeight="1" x14ac:dyDescent="0.25">
      <c r="D181" s="1" t="s">
        <v>222</v>
      </c>
      <c r="E181" s="106">
        <f>IF($E$177="Yes",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1" s="2" t="s">
        <v>13</v>
      </c>
      <c r="L181" s="2"/>
      <c r="M181" s="2"/>
      <c r="N181" s="2"/>
      <c r="O181" s="2"/>
    </row>
    <row r="182" spans="4:15" ht="20.100000000000001" customHeight="1" x14ac:dyDescent="0.25">
      <c r="L182" s="2"/>
      <c r="M182" s="2"/>
      <c r="N182" s="2"/>
      <c r="O182" s="2"/>
    </row>
    <row r="183" spans="4:15" ht="20.100000000000001" customHeight="1" x14ac:dyDescent="0.25"/>
    <row r="184" spans="4:15" ht="20.100000000000001" customHeight="1" x14ac:dyDescent="0.25">
      <c r="D184" s="1" t="s">
        <v>232</v>
      </c>
      <c r="E184" s="37" t="s">
        <v>234</v>
      </c>
      <c r="F184" s="2" t="s">
        <v>7</v>
      </c>
      <c r="L184" s="2"/>
      <c r="M184" s="2"/>
      <c r="N184" s="2"/>
      <c r="O184" s="2"/>
    </row>
    <row r="185" spans="4:15" ht="20.100000000000001" customHeight="1" x14ac:dyDescent="0.25">
      <c r="E185" s="37" t="s">
        <v>95</v>
      </c>
      <c r="F185" s="2" t="s">
        <v>7</v>
      </c>
    </row>
    <row r="186" spans="4:15" ht="20.100000000000001" customHeight="1" x14ac:dyDescent="0.25"/>
    <row r="187" spans="4:15" ht="20.100000000000001" customHeight="1" x14ac:dyDescent="0.25"/>
    <row r="188" spans="4:15" ht="20.100000000000001" customHeight="1" x14ac:dyDescent="0.25">
      <c r="D188" s="6" t="s">
        <v>304</v>
      </c>
    </row>
    <row r="189" spans="4:15" ht="20.100000000000001" customHeight="1" x14ac:dyDescent="0.25">
      <c r="D189" s="98" t="s">
        <v>305</v>
      </c>
    </row>
    <row r="190" spans="4:15" ht="20.100000000000001" customHeight="1" x14ac:dyDescent="0.25">
      <c r="D190" s="35" t="s">
        <v>306</v>
      </c>
      <c r="E190" s="35" t="s">
        <v>307</v>
      </c>
      <c r="F190" s="35" t="s">
        <v>308</v>
      </c>
      <c r="G190" s="35" t="s">
        <v>309</v>
      </c>
      <c r="H190" s="35" t="s">
        <v>310</v>
      </c>
      <c r="I190" s="35" t="s">
        <v>311</v>
      </c>
      <c r="J190" s="120" t="s">
        <v>312</v>
      </c>
      <c r="K190" s="120" t="s">
        <v>313</v>
      </c>
    </row>
    <row r="191" spans="4:15" ht="20.100000000000001" customHeight="1" x14ac:dyDescent="0.25">
      <c r="D191" s="31" t="s">
        <v>314</v>
      </c>
      <c r="E191" s="121">
        <v>45547</v>
      </c>
      <c r="F191" s="37" t="s">
        <v>130</v>
      </c>
      <c r="G191" s="122" t="s">
        <v>315</v>
      </c>
      <c r="H191" s="37" t="s">
        <v>275</v>
      </c>
      <c r="I191" s="61">
        <v>100</v>
      </c>
      <c r="J191" s="49" cm="1">
        <f t="array" ref="J19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191" s="61">
        <v>205</v>
      </c>
    </row>
    <row r="192" spans="4:15" ht="20.100000000000001" customHeight="1" x14ac:dyDescent="0.25">
      <c r="D192" s="31"/>
      <c r="E192" s="31"/>
      <c r="F192" s="123"/>
      <c r="G192" s="122"/>
      <c r="H192" s="37"/>
      <c r="I192" s="61"/>
      <c r="J192" s="49" cm="1">
        <f t="array" ref="J19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2" s="61"/>
    </row>
    <row r="193" spans="4:27" ht="20.100000000000001" customHeight="1" x14ac:dyDescent="0.25">
      <c r="D193" s="31"/>
      <c r="E193" s="31"/>
      <c r="F193" s="123"/>
      <c r="G193" s="122"/>
      <c r="H193" s="37"/>
      <c r="I193" s="61"/>
      <c r="J193" s="49" cm="1">
        <f t="array" ref="J19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3" s="61"/>
    </row>
    <row r="194" spans="4:27" ht="20.100000000000001" customHeight="1" x14ac:dyDescent="0.25">
      <c r="D194" s="31"/>
      <c r="E194" s="31"/>
      <c r="F194" s="123"/>
      <c r="G194" s="122"/>
      <c r="H194" s="37"/>
      <c r="I194" s="61"/>
      <c r="J194" s="49" cm="1">
        <f t="array" ref="J19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4" s="61"/>
    </row>
    <row r="195" spans="4:27" ht="20.100000000000001" customHeight="1" x14ac:dyDescent="0.25">
      <c r="D195" s="31"/>
      <c r="E195" s="31"/>
      <c r="F195" s="123"/>
      <c r="G195" s="122"/>
      <c r="H195" s="37"/>
      <c r="I195" s="61"/>
      <c r="J195" s="49" cm="1">
        <f t="array" ref="J19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5" s="61"/>
    </row>
    <row r="196" spans="4:27" ht="20.100000000000001" customHeight="1" x14ac:dyDescent="0.25">
      <c r="D196" s="31"/>
      <c r="E196" s="31"/>
      <c r="F196" s="123"/>
      <c r="G196" s="122"/>
      <c r="H196" s="37"/>
      <c r="I196" s="61"/>
      <c r="J196" s="49" cm="1">
        <f t="array" ref="J19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6" s="61"/>
    </row>
    <row r="197" spans="4:27" ht="20.100000000000001" customHeight="1" x14ac:dyDescent="0.25">
      <c r="D197" s="31"/>
      <c r="E197" s="31"/>
      <c r="F197" s="123"/>
      <c r="G197" s="122"/>
      <c r="H197" s="37"/>
      <c r="I197" s="61"/>
      <c r="J197" s="49" cm="1">
        <f t="array" ref="J19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7" s="61"/>
    </row>
    <row r="198" spans="4:27" ht="20.100000000000001" customHeight="1" x14ac:dyDescent="0.25">
      <c r="D198" s="31"/>
      <c r="E198" s="31"/>
      <c r="F198" s="123"/>
      <c r="G198" s="122"/>
      <c r="H198" s="37"/>
      <c r="I198" s="61"/>
      <c r="J198" s="49" cm="1">
        <f t="array" ref="J19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8" s="61"/>
    </row>
    <row r="199" spans="4:27" ht="20.100000000000001" customHeight="1" x14ac:dyDescent="0.25">
      <c r="D199" s="31"/>
      <c r="E199" s="31"/>
      <c r="F199" s="123"/>
      <c r="G199" s="122"/>
      <c r="H199" s="37"/>
      <c r="I199" s="61"/>
      <c r="J199" s="49" cm="1">
        <f t="array" ref="J19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9" s="61"/>
    </row>
    <row r="200" spans="4:27" ht="20.100000000000001" customHeight="1" x14ac:dyDescent="0.25">
      <c r="D200" s="124"/>
      <c r="E200" s="124"/>
      <c r="F200" s="123"/>
      <c r="G200" s="125"/>
      <c r="H200" s="123"/>
      <c r="I200" s="126"/>
      <c r="J200" s="49" cm="1">
        <f t="array" ref="J20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200" s="126"/>
    </row>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c r="D204" s="6" t="s">
        <v>316</v>
      </c>
    </row>
    <row r="205" spans="4:27" ht="20.100000000000001" customHeight="1" x14ac:dyDescent="0.25">
      <c r="D205" s="98" t="s">
        <v>305</v>
      </c>
      <c r="Q205" s="1"/>
      <c r="Z205" s="53"/>
    </row>
    <row r="206" spans="4:27" ht="20.100000000000001" customHeight="1" x14ac:dyDescent="0.25">
      <c r="D206" s="35" t="s">
        <v>306</v>
      </c>
      <c r="E206" s="35" t="s">
        <v>308</v>
      </c>
      <c r="F206" s="35" t="s">
        <v>317</v>
      </c>
      <c r="G206" s="35" t="s">
        <v>318</v>
      </c>
      <c r="H206" s="35" t="s">
        <v>319</v>
      </c>
      <c r="I206" s="35" t="s">
        <v>320</v>
      </c>
      <c r="Q206" s="1"/>
      <c r="R206" s="1"/>
      <c r="Z206" s="53"/>
      <c r="AA206" s="53"/>
    </row>
    <row r="207" spans="4:27" ht="20.100000000000001" customHeight="1" x14ac:dyDescent="0.25">
      <c r="D207" s="31"/>
      <c r="E207" s="37" t="s">
        <v>102</v>
      </c>
      <c r="F207" s="127">
        <v>45566</v>
      </c>
      <c r="G207" s="35">
        <v>10</v>
      </c>
      <c r="H207" s="35">
        <v>500</v>
      </c>
      <c r="I207" s="49">
        <f t="shared" ref="I207:I216" si="2">G207*H207</f>
        <v>5000</v>
      </c>
      <c r="Q207" s="1"/>
      <c r="R207" s="1"/>
      <c r="Z207" s="53"/>
      <c r="AA207" s="53"/>
    </row>
    <row r="208" spans="4:27" ht="20.100000000000001" customHeight="1" x14ac:dyDescent="0.25">
      <c r="D208" s="31"/>
      <c r="E208" s="37"/>
      <c r="F208" s="127"/>
      <c r="G208" s="35"/>
      <c r="H208" s="35"/>
      <c r="I208" s="49">
        <f t="shared" si="2"/>
        <v>0</v>
      </c>
      <c r="Q208" s="1"/>
      <c r="R208" s="1"/>
      <c r="Z208" s="53"/>
      <c r="AA208" s="53"/>
    </row>
    <row r="209" spans="4:27" ht="20.100000000000001" customHeight="1" x14ac:dyDescent="0.25">
      <c r="D209" s="31"/>
      <c r="E209" s="37"/>
      <c r="F209" s="127"/>
      <c r="G209" s="35"/>
      <c r="H209" s="35"/>
      <c r="I209" s="49">
        <f t="shared" si="2"/>
        <v>0</v>
      </c>
      <c r="Q209" s="1"/>
      <c r="R209" s="1"/>
      <c r="Z209" s="53"/>
      <c r="AA209" s="53"/>
    </row>
    <row r="210" spans="4:27" ht="20.100000000000001" customHeight="1" x14ac:dyDescent="0.25">
      <c r="D210" s="31"/>
      <c r="E210" s="37"/>
      <c r="F210" s="127"/>
      <c r="G210" s="35"/>
      <c r="H210" s="35"/>
      <c r="I210" s="49">
        <f t="shared" si="2"/>
        <v>0</v>
      </c>
      <c r="Q210" s="1"/>
      <c r="R210" s="1"/>
      <c r="Z210" s="53"/>
      <c r="AA210" s="53"/>
    </row>
    <row r="211" spans="4:27" ht="20.100000000000001" customHeight="1" x14ac:dyDescent="0.25">
      <c r="D211" s="31"/>
      <c r="E211" s="37"/>
      <c r="F211" s="127"/>
      <c r="G211" s="35"/>
      <c r="H211" s="35"/>
      <c r="I211" s="49">
        <f t="shared" si="2"/>
        <v>0</v>
      </c>
      <c r="Q211" s="1"/>
      <c r="R211" s="1"/>
      <c r="Z211" s="53"/>
      <c r="AA211" s="53"/>
    </row>
    <row r="212" spans="4:27" ht="20.100000000000001" customHeight="1" x14ac:dyDescent="0.25">
      <c r="D212" s="31"/>
      <c r="E212" s="37"/>
      <c r="F212" s="127"/>
      <c r="G212" s="35"/>
      <c r="H212" s="35"/>
      <c r="I212" s="49">
        <f t="shared" si="2"/>
        <v>0</v>
      </c>
      <c r="Q212" s="1"/>
      <c r="R212" s="1"/>
      <c r="Z212" s="53"/>
      <c r="AA212" s="53"/>
    </row>
    <row r="213" spans="4:27" ht="20.100000000000001" customHeight="1" x14ac:dyDescent="0.25">
      <c r="D213" s="31"/>
      <c r="E213" s="37"/>
      <c r="F213" s="127"/>
      <c r="G213" s="35"/>
      <c r="H213" s="35"/>
      <c r="I213" s="49">
        <f t="shared" si="2"/>
        <v>0</v>
      </c>
      <c r="Q213" s="1"/>
      <c r="R213" s="1"/>
      <c r="Z213" s="53"/>
      <c r="AA213" s="53"/>
    </row>
    <row r="214" spans="4:27" ht="20.100000000000001" customHeight="1" x14ac:dyDescent="0.25">
      <c r="D214" s="31"/>
      <c r="E214" s="37"/>
      <c r="F214" s="127"/>
      <c r="G214" s="35"/>
      <c r="H214" s="35"/>
      <c r="I214" s="49">
        <f t="shared" si="2"/>
        <v>0</v>
      </c>
      <c r="Q214" s="1"/>
      <c r="R214" s="1"/>
      <c r="Z214" s="53"/>
      <c r="AA214" s="53"/>
    </row>
    <row r="215" spans="4:27" ht="20.100000000000001" customHeight="1" x14ac:dyDescent="0.25">
      <c r="D215" s="31"/>
      <c r="E215" s="37"/>
      <c r="F215" s="127"/>
      <c r="G215" s="35"/>
      <c r="H215" s="35"/>
      <c r="I215" s="49">
        <f t="shared" si="2"/>
        <v>0</v>
      </c>
      <c r="Q215" s="1"/>
      <c r="R215" s="1"/>
      <c r="Z215" s="53"/>
      <c r="AA215" s="53"/>
    </row>
    <row r="216" spans="4:27" ht="20.100000000000001" customHeight="1" x14ac:dyDescent="0.25">
      <c r="D216" s="31"/>
      <c r="E216" s="37"/>
      <c r="F216" s="127"/>
      <c r="G216" s="35"/>
      <c r="H216" s="35"/>
      <c r="I216" s="49">
        <f t="shared" si="2"/>
        <v>0</v>
      </c>
      <c r="Q216" s="1"/>
      <c r="Z216" s="53"/>
    </row>
    <row r="217" spans="4:27" ht="20.100000000000001" customHeight="1" x14ac:dyDescent="0.25"/>
    <row r="218" spans="4:27" ht="20.100000000000001" customHeight="1" x14ac:dyDescent="0.25"/>
    <row r="219" spans="4:27" ht="20.100000000000001" customHeight="1" x14ac:dyDescent="0.25"/>
    <row r="220" spans="4:27" ht="20.100000000000001" customHeight="1" x14ac:dyDescent="0.25"/>
    <row r="221" spans="4:27" ht="20.100000000000001" customHeight="1" x14ac:dyDescent="0.25"/>
    <row r="222" spans="4:27" ht="20.100000000000001" customHeight="1" x14ac:dyDescent="0.25"/>
    <row r="223" spans="4:27" ht="20.100000000000001" customHeight="1" x14ac:dyDescent="0.25"/>
    <row r="227" spans="11:15" x14ac:dyDescent="0.25">
      <c r="L227" s="2"/>
      <c r="M227" s="2"/>
      <c r="N227" s="2"/>
      <c r="O227" s="2"/>
    </row>
    <row r="228" spans="11:15" x14ac:dyDescent="0.25">
      <c r="L228" s="2"/>
      <c r="M228" s="2"/>
      <c r="N228" s="2"/>
      <c r="O228" s="2"/>
    </row>
    <row r="229" spans="11:15" x14ac:dyDescent="0.25">
      <c r="L229" s="2"/>
      <c r="M229" s="2"/>
      <c r="N229" s="2"/>
      <c r="O229" s="2"/>
    </row>
    <row r="232" spans="11:15" x14ac:dyDescent="0.25">
      <c r="L232" s="2"/>
      <c r="M232" s="2"/>
      <c r="N232" s="2"/>
      <c r="O232" s="2"/>
    </row>
    <row r="233" spans="11:15" x14ac:dyDescent="0.25">
      <c r="L233" s="2"/>
      <c r="M233" s="2"/>
      <c r="N233" s="2"/>
      <c r="O233" s="2"/>
    </row>
    <row r="234" spans="11:15" x14ac:dyDescent="0.25">
      <c r="K234" s="2"/>
      <c r="L234" s="2"/>
      <c r="M234" s="2"/>
      <c r="N234" s="2"/>
      <c r="O234" s="2"/>
    </row>
    <row r="237" spans="11:15" x14ac:dyDescent="0.25">
      <c r="L237" s="2"/>
      <c r="M237" s="2"/>
      <c r="N237" s="2"/>
      <c r="O237" s="2"/>
    </row>
    <row r="238" spans="11:15" x14ac:dyDescent="0.25">
      <c r="L238" s="2"/>
      <c r="M238" s="2"/>
      <c r="N238" s="2"/>
      <c r="O238" s="2"/>
    </row>
    <row r="239" spans="11:15" x14ac:dyDescent="0.25">
      <c r="K239" s="2"/>
      <c r="L239" s="2"/>
      <c r="M239" s="2"/>
      <c r="N239" s="2"/>
      <c r="O239" s="2"/>
    </row>
    <row r="242" spans="11:15" x14ac:dyDescent="0.25">
      <c r="L242" s="2"/>
      <c r="M242" s="2"/>
      <c r="N242" s="2"/>
      <c r="O242" s="2"/>
    </row>
    <row r="243" spans="11:15" x14ac:dyDescent="0.25">
      <c r="L243" s="2"/>
      <c r="M243" s="2"/>
      <c r="N243" s="2"/>
      <c r="O243" s="2"/>
    </row>
    <row r="244" spans="11:15" x14ac:dyDescent="0.25">
      <c r="K244" s="2"/>
      <c r="L244" s="2"/>
      <c r="M244" s="2"/>
      <c r="N244" s="2"/>
      <c r="O244" s="2"/>
    </row>
    <row r="249" spans="11:15" x14ac:dyDescent="0.25">
      <c r="K249" s="2"/>
    </row>
    <row r="250" spans="11:15" x14ac:dyDescent="0.25">
      <c r="K250" s="2"/>
    </row>
    <row r="251" spans="11:15" x14ac:dyDescent="0.25">
      <c r="K251" s="2"/>
      <c r="L251" s="2"/>
      <c r="M251" s="2"/>
      <c r="N251" s="2"/>
      <c r="O251" s="2"/>
    </row>
    <row r="252" spans="11:15" x14ac:dyDescent="0.25">
      <c r="K252" s="2"/>
      <c r="L252" s="2"/>
      <c r="M252" s="2"/>
      <c r="N252" s="2"/>
      <c r="O252" s="2"/>
    </row>
    <row r="253" spans="11:15" x14ac:dyDescent="0.25">
      <c r="K253" s="2"/>
      <c r="L253" s="2"/>
      <c r="M253" s="2"/>
      <c r="N253" s="2"/>
      <c r="O253" s="2"/>
    </row>
    <row r="255" spans="11:15" x14ac:dyDescent="0.25">
      <c r="K255" s="2"/>
    </row>
    <row r="256" spans="11:15" x14ac:dyDescent="0.25">
      <c r="L256" s="2"/>
      <c r="M256" s="2"/>
      <c r="N256" s="2"/>
      <c r="O256" s="2"/>
    </row>
    <row r="257" spans="11:15" x14ac:dyDescent="0.25">
      <c r="K257" s="2"/>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L261" s="2"/>
      <c r="M261" s="2"/>
      <c r="N261" s="2"/>
      <c r="O261" s="2"/>
    </row>
    <row r="262" spans="11:15" x14ac:dyDescent="0.25">
      <c r="K262" s="2"/>
      <c r="L262" s="2"/>
      <c r="M262" s="2"/>
      <c r="N262" s="2"/>
      <c r="O262" s="2"/>
    </row>
    <row r="263" spans="11:15" x14ac:dyDescent="0.25">
      <c r="L263" s="2"/>
      <c r="M263" s="2"/>
      <c r="N263" s="2"/>
      <c r="O263" s="2"/>
    </row>
    <row r="266" spans="11:15" x14ac:dyDescent="0.25">
      <c r="L266" s="2"/>
      <c r="M266" s="2"/>
      <c r="N266" s="2"/>
      <c r="O266" s="2"/>
    </row>
    <row r="267" spans="11:15" x14ac:dyDescent="0.25">
      <c r="L267" s="2"/>
      <c r="M267" s="2"/>
      <c r="N267" s="2"/>
      <c r="O267" s="2"/>
    </row>
    <row r="268" spans="11:15" x14ac:dyDescent="0.25">
      <c r="K268" s="2"/>
      <c r="L268" s="2"/>
      <c r="M268" s="2"/>
      <c r="N268" s="2"/>
      <c r="O268" s="2"/>
    </row>
    <row r="273" spans="11:11" x14ac:dyDescent="0.25">
      <c r="K273" s="2"/>
    </row>
    <row r="278" spans="11:11" x14ac:dyDescent="0.25">
      <c r="K278" s="2"/>
    </row>
    <row r="283" spans="11:11" x14ac:dyDescent="0.25">
      <c r="K283" s="2"/>
    </row>
    <row r="284" spans="11:11" x14ac:dyDescent="0.25">
      <c r="K284" s="2"/>
    </row>
    <row r="285" spans="11:11" x14ac:dyDescent="0.25">
      <c r="K285" s="2"/>
    </row>
    <row r="286" spans="11:11" x14ac:dyDescent="0.25">
      <c r="K286" s="2"/>
    </row>
    <row r="287" spans="11:11" x14ac:dyDescent="0.25">
      <c r="K287" s="2"/>
    </row>
    <row r="289" spans="11:11" x14ac:dyDescent="0.25">
      <c r="K289" s="2"/>
    </row>
    <row r="291" spans="11:11" x14ac:dyDescent="0.25">
      <c r="K291" s="2"/>
    </row>
    <row r="292" spans="11:11" x14ac:dyDescent="0.25">
      <c r="K292" s="2"/>
    </row>
    <row r="293" spans="11:11" x14ac:dyDescent="0.25">
      <c r="K293" s="2"/>
    </row>
    <row r="294" spans="11:11" x14ac:dyDescent="0.25">
      <c r="K294" s="2"/>
    </row>
    <row r="296" spans="11:11" x14ac:dyDescent="0.25">
      <c r="K296" s="2"/>
    </row>
    <row r="304" spans="11:11" x14ac:dyDescent="0.25">
      <c r="K304" s="2"/>
    </row>
    <row r="305" spans="11:11" x14ac:dyDescent="0.25">
      <c r="K305" s="2"/>
    </row>
    <row r="306" spans="11:11" x14ac:dyDescent="0.25">
      <c r="K306" s="2"/>
    </row>
    <row r="309" spans="11:11" x14ac:dyDescent="0.25">
      <c r="K309" s="2"/>
    </row>
    <row r="310" spans="11:11" x14ac:dyDescent="0.25">
      <c r="K310" s="2"/>
    </row>
    <row r="311" spans="11:11" x14ac:dyDescent="0.25">
      <c r="K311" s="2"/>
    </row>
    <row r="314" spans="11:11" x14ac:dyDescent="0.25">
      <c r="K314" s="2"/>
    </row>
    <row r="315" spans="11:11" x14ac:dyDescent="0.25">
      <c r="K315" s="2"/>
    </row>
    <row r="316" spans="11:11" x14ac:dyDescent="0.25">
      <c r="K316" s="2"/>
    </row>
    <row r="319" spans="11:11" x14ac:dyDescent="0.25">
      <c r="K319" s="2"/>
    </row>
    <row r="320" spans="11:11" x14ac:dyDescent="0.25">
      <c r="K320" s="2"/>
    </row>
    <row r="321" spans="11:11" x14ac:dyDescent="0.25">
      <c r="K321" s="2"/>
    </row>
    <row r="328" spans="11:11" x14ac:dyDescent="0.25">
      <c r="K328" s="2"/>
    </row>
    <row r="329" spans="11:11" x14ac:dyDescent="0.25">
      <c r="K329" s="2"/>
    </row>
    <row r="330" spans="11:11" x14ac:dyDescent="0.25">
      <c r="K330" s="2"/>
    </row>
    <row r="333" spans="11:11" x14ac:dyDescent="0.25">
      <c r="K333" s="2"/>
    </row>
    <row r="334" spans="11:11" x14ac:dyDescent="0.25">
      <c r="K334" s="2"/>
    </row>
    <row r="335" spans="11:11" x14ac:dyDescent="0.25">
      <c r="K335" s="2"/>
    </row>
    <row r="338" spans="4:11" x14ac:dyDescent="0.25">
      <c r="K338" s="2"/>
    </row>
    <row r="339" spans="4:11" x14ac:dyDescent="0.25">
      <c r="K339" s="2"/>
    </row>
    <row r="340" spans="4:11" x14ac:dyDescent="0.25">
      <c r="K340" s="2"/>
    </row>
    <row r="343" spans="4:11" x14ac:dyDescent="0.25">
      <c r="K343" s="2"/>
    </row>
    <row r="344" spans="4:11" x14ac:dyDescent="0.25">
      <c r="K344" s="2"/>
    </row>
    <row r="345" spans="4:11" x14ac:dyDescent="0.25">
      <c r="K345" s="2"/>
    </row>
    <row r="350" spans="4:11" x14ac:dyDescent="0.25">
      <c r="D350" s="98"/>
    </row>
  </sheetData>
  <conditionalFormatting sqref="E103:O103 L110:O111 M124:N124 I125 L125:O125 L173:O175 L177:O177 L179:O182 L184:O184 J214:J216 J219:J221 J234:K234 J239:K239 J244:K244 J249:K253 J255:K255 J257:K260 J262:K262 J268:K268 J273:K273 J278:K278 J283:K287 J289:K289 J291:K294 J296:K296">
    <cfRule type="cellIs" dxfId="12" priority="12" operator="lessThan">
      <formula>0</formula>
    </cfRule>
  </conditionalFormatting>
  <conditionalFormatting sqref="F239:F240">
    <cfRule type="cellIs" dxfId="11" priority="11" operator="lessThan">
      <formula>0</formula>
    </cfRule>
  </conditionalFormatting>
  <conditionalFormatting sqref="F244:F245">
    <cfRule type="cellIs" dxfId="10" priority="10" operator="lessThan">
      <formula>0</formula>
    </cfRule>
  </conditionalFormatting>
  <conditionalFormatting sqref="F249:F250">
    <cfRule type="cellIs" dxfId="9" priority="9" operator="lessThan">
      <formula>0</formula>
    </cfRule>
  </conditionalFormatting>
  <conditionalFormatting sqref="F273:F274">
    <cfRule type="cellIs" dxfId="8" priority="8" operator="lessThan">
      <formula>0</formula>
    </cfRule>
  </conditionalFormatting>
  <conditionalFormatting sqref="F278:F279">
    <cfRule type="cellIs" dxfId="7" priority="7" operator="lessThan">
      <formula>0</formula>
    </cfRule>
  </conditionalFormatting>
  <conditionalFormatting sqref="F283:F284">
    <cfRule type="cellIs" dxfId="6" priority="6" operator="lessThan">
      <formula>0</formula>
    </cfRule>
  </conditionalFormatting>
  <conditionalFormatting sqref="H124:K124">
    <cfRule type="cellIs" dxfId="5" priority="4" operator="lessThan">
      <formula>0</formula>
    </cfRule>
  </conditionalFormatting>
  <conditionalFormatting sqref="I130:O131">
    <cfRule type="cellIs" dxfId="4" priority="5" operator="lessThan">
      <formula>0</formula>
    </cfRule>
  </conditionalFormatting>
  <conditionalFormatting sqref="I153:O153">
    <cfRule type="cellIs" dxfId="3" priority="3" operator="lessThan">
      <formula>0</formula>
    </cfRule>
  </conditionalFormatting>
  <conditionalFormatting sqref="K123:K124">
    <cfRule type="cellIs" dxfId="2" priority="2" operator="lessThan">
      <formula>0</formula>
    </cfRule>
  </conditionalFormatting>
  <conditionalFormatting sqref="N121:N123">
    <cfRule type="cellIs" dxfId="1" priority="1" operator="lessThan">
      <formula>0</formula>
    </cfRule>
  </conditionalFormatting>
  <conditionalFormatting sqref="P43:R43">
    <cfRule type="cellIs" dxfId="0" priority="13" operator="lessThan">
      <formula>0</formula>
    </cfRule>
  </conditionalFormatting>
  <dataValidations count="12">
    <dataValidation type="list" allowBlank="1" showInputMessage="1" showErrorMessage="1" sqref="D266" xr:uid="{CF22A2DF-3AD7-48F2-A254-52E4DBFABE5D}">
      <formula1>INDIRECT("Table_SourceData_PoultryMMSStage1[MMS]")</formula1>
    </dataValidation>
    <dataValidation type="list" allowBlank="1" showInputMessage="1" showErrorMessage="1" sqref="E238 E243 E248 E282 E277 E272 E177" xr:uid="{A3BDDA50-853E-4E3F-BA71-A476A2F603AA}">
      <formula1>"Yes, No"</formula1>
    </dataValidation>
    <dataValidation type="list" allowBlank="1" showInputMessage="1" showErrorMessage="1" sqref="E15 E37 E59 E81" xr:uid="{CDB10CF7-2144-4055-85C1-FD144089C209}">
      <formula1>INDIRECT("Table_SourceData_Dairy_WjCowsHeifers[Breed]")</formula1>
    </dataValidation>
    <dataValidation type="list" allowBlank="1" showInputMessage="1" showErrorMessage="1" sqref="E8" xr:uid="{BE3BA67D-A0BD-4C4B-A495-BCFA31E5C2BE}">
      <formula1>INDIRECT("Table_SourceData_PastureBeef_Region_" &amp; SUBSTITUTE($E$7, " ", "") &amp; "[Region]")</formula1>
    </dataValidation>
    <dataValidation type="list" allowBlank="1" showInputMessage="1" showErrorMessage="1" sqref="E9" xr:uid="{4ADCC18D-B06B-4280-ACF9-6B02B4430A91}">
      <formula1>INDIRECT("Table_SourceData_PastureBeef_FeedIntakeAdjustment[Breed]")</formula1>
    </dataValidation>
    <dataValidation type="list" allowBlank="1" showInputMessage="1" showErrorMessage="1" sqref="E185" xr:uid="{D6935CAF-CAA8-4362-9192-56F01D97F0AB}">
      <formula1>INDIRECT("Table_SourceData_PastureBeef_IrrigationMethods[Irrigation method]")</formula1>
    </dataValidation>
    <dataValidation type="list" allowBlank="1" showInputMessage="1" showErrorMessage="1" sqref="E184" xr:uid="{632BA6BA-B408-4F6F-8243-A59FC8B93ABC}">
      <formula1>INDIRECT("Table_SourceData_PastureBeef_CropProdSystems[Production system]")</formula1>
    </dataValidation>
    <dataValidation type="list" allowBlank="1" showInputMessage="1" showErrorMessage="1" sqref="E105" xr:uid="{9B2EE8FF-3BDF-438F-B28E-8412387560DB}">
      <formula1>"Spring, Summer, Autumn, Winter"</formula1>
    </dataValidation>
    <dataValidation type="list" allowBlank="1" showInputMessage="1" showErrorMessage="1" sqref="H191:H200" xr:uid="{CA225E8D-99C9-4FEB-9BD6-A5329A5E4770}">
      <formula1>INDIRECT("Table_ProductRegions_Beefcattle[Region]")</formula1>
    </dataValidation>
    <dataValidation type="list" allowBlank="1" showInputMessage="1" showErrorMessage="1" sqref="G191:G200" xr:uid="{F2C23C41-5832-452F-8B6B-AB3B57439A2B}">
      <formula1>INDIRECT(TRIM("Table_SourceData_LivestockProduct_Beefcattle[Product]"))</formula1>
    </dataValidation>
    <dataValidation type="list" allowBlank="1" showInputMessage="1" showErrorMessage="1" sqref="F191:F200 E207:E216" xr:uid="{ED1D42F0-95BB-41C2-9A69-21EC70D6A70A}">
      <formula1>INDIRECT("Table_LivestockClasses_Beefcattle[Livestock class]")</formula1>
    </dataValidation>
    <dataValidation type="list" allowBlank="1" showInputMessage="1" showErrorMessage="1" sqref="E119" xr:uid="{56EF6073-9A79-4B5D-B735-E866E98237E5}">
      <formula1>$D$23:$D$34</formula1>
    </dataValidation>
  </dataValidations>
  <pageMargins left="0.7" right="0.7" top="0.75" bottom="0.75" header="0.3" footer="0.3"/>
  <pageSetup paperSize="9"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J133"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2" t="e" vm="1">
        <v>#VALUE!</v>
      </c>
      <c r="C1" s="8" t="s">
        <v>255</v>
      </c>
    </row>
    <row r="2" spans="1:35" s="9" customFormat="1" ht="20.100000000000001" customHeight="1" x14ac:dyDescent="0.25">
      <c r="A2"/>
    </row>
    <row r="3" spans="1:35" ht="20.100000000000001" customHeight="1" x14ac:dyDescent="0.25">
      <c r="A3" s="17" t="str">
        <f>HYPERLINK("#'Home'!A1", "Home")</f>
        <v>Home</v>
      </c>
      <c r="C3" s="4"/>
      <c r="D3" s="4" t="s">
        <v>84</v>
      </c>
      <c r="E3" s="4"/>
      <c r="F3" s="4"/>
      <c r="G3" s="4"/>
      <c r="H3" s="4"/>
      <c r="I3" s="4"/>
      <c r="J3" s="4"/>
      <c r="K3" s="4"/>
      <c r="L3" s="4"/>
      <c r="M3" s="4"/>
      <c r="N3" s="4"/>
      <c r="O3" s="4"/>
      <c r="P3" s="4"/>
      <c r="Q3" s="4"/>
      <c r="R3" s="4"/>
      <c r="T3" s="4"/>
      <c r="U3" s="4" t="s">
        <v>85</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D6" s="5" t="str" cm="1">
        <f t="array" ref="D6">EntericMethane_PastureBeef_Equations.VEERG_3_2_1_1__4_AdditionalIntakeForMilkProduction_Source()</f>
        <v>VEERG 2026: 3.2.1.1, Equation (4)</v>
      </c>
    </row>
    <row r="7" spans="1:35" ht="20.100000000000001" customHeight="1" x14ac:dyDescent="0.25">
      <c r="A7" s="19" t="s">
        <v>0</v>
      </c>
      <c r="D7" s="13" t="s">
        <v>20</v>
      </c>
      <c r="E7" s="13" t="s">
        <v>252</v>
      </c>
    </row>
    <row r="8" spans="1:35" ht="20.100000000000001" customHeight="1" x14ac:dyDescent="0.25">
      <c r="A8" s="17" t="str">
        <f>HYPERLINK("#'Input - Site'!A1", "Site")</f>
        <v>Site</v>
      </c>
    </row>
    <row r="9" spans="1:35" ht="20.100000000000001" customHeight="1" x14ac:dyDescent="0.25">
      <c r="A9" s="17" t="str">
        <f>HYPERLINK("#'Input - Pasture Beef'!A1", "Pasture Beef")</f>
        <v>Pasture Beef</v>
      </c>
    </row>
    <row r="10" spans="1:35" ht="20.100000000000001" customHeight="1" x14ac:dyDescent="0.25">
      <c r="D10" s="50" t="s">
        <v>23</v>
      </c>
      <c r="E10" s="1" t="str" cm="1">
        <f t="array" ref="E10">EntericMethane_PastureBeef_Equations.VEERG_3_2_1_1__4_AdditionalIntakeForMilkProduction_Variable()</f>
        <v>MA_jk45</v>
      </c>
    </row>
    <row r="11" spans="1:35" ht="20.100000000000001" customHeight="1" x14ac:dyDescent="0.25">
      <c r="D11" s="50" t="s">
        <v>14</v>
      </c>
      <c r="E11" s="51" t="str" cm="1">
        <f t="array" ref="E11">EntericMethane_PastureBeef_Equations.VEERG_3_2_1_1__4_AdditionalIntakeForMilkProduction_Unit()</f>
        <v>fraction</v>
      </c>
    </row>
    <row r="12" spans="1:35" ht="20.100000000000001" customHeight="1" x14ac:dyDescent="0.25">
      <c r="A12" s="18" t="s">
        <v>60</v>
      </c>
    </row>
    <row r="13" spans="1:35" ht="20.100000000000001" customHeight="1" x14ac:dyDescent="0.25">
      <c r="A13" s="117" t="str">
        <f>HYPERLINK("#'3.2.1.1-2 Enteric Methane'!A1", "3.2.1.1-2 Enteric Methane")</f>
        <v>3.2.1.1-2 Enteric Methane</v>
      </c>
      <c r="D13" s="108" t="str" cm="1">
        <f t="array" ref="D13:E16">_xlfn.CHOOSECOLS(EntericMethane_PastureBeef_Equations.VEERG_3_2_1_1__4_AdditionalIntakeForMilkProduction_ArgumentsVariation(), 1, 2)</f>
        <v>LC_jk45</v>
      </c>
      <c r="E13" s="113" t="str">
        <v>proportion of cows greater than 1 year in calf in the season of calving expressed as a fraction</v>
      </c>
      <c r="F13" s="114"/>
      <c r="G13" s="112"/>
      <c r="H13" s="108" t="str" cm="1">
        <f t="array" ref="H13:I16">_xlfn.CHOOSECOLS(EntericMethane_PastureBeef_Equations.VEERG_3_2_1_1__4_AdditionalIntakeForMilkProduction_ArgumentsVariation(), 3,4)</f>
        <v>fraction</v>
      </c>
      <c r="I13" s="110" t="str">
        <v>Input</v>
      </c>
      <c r="J13" s="107" t="str" cm="1">
        <f t="array" aca="1" ref="J13" ca="1">HYPERLINK(Common_InputFunctions.Utility_SourceHyperlink($D$18), $D$18)</f>
        <v>M1_Table_LC_j_k-4-5</v>
      </c>
    </row>
    <row r="14" spans="1:35" ht="20.100000000000001" customHeight="1" x14ac:dyDescent="0.25">
      <c r="D14" s="108" t="str">
        <v>FA_jk45calv</v>
      </c>
      <c r="E14" s="113" t="str">
        <v>feed adjustment value for lactating cows in the season of calving expressed as a fraction</v>
      </c>
      <c r="F14" s="114"/>
      <c r="G14" s="112"/>
      <c r="H14" s="108" t="str">
        <v>fraction</v>
      </c>
      <c r="I14" s="109" t="str">
        <v>Constant</v>
      </c>
      <c r="J14" s="108"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D15" s="108" t="str">
        <v>FA_jk45after</v>
      </c>
      <c r="E15" s="113" t="str">
        <v>feed adjustment value for lactating cows in the season immediately after calving expressed as a fraction</v>
      </c>
      <c r="F15" s="114"/>
      <c r="G15" s="112"/>
      <c r="H15" s="108" t="str">
        <v>fraction</v>
      </c>
      <c r="I15" s="109" t="str">
        <v>Constant</v>
      </c>
      <c r="J15" s="108"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28" t="s">
        <v>1</v>
      </c>
      <c r="D16" s="108" t="str">
        <v>b</v>
      </c>
      <c r="E16" s="113" t="str">
        <v>breed of cattle</v>
      </c>
      <c r="F16" s="114"/>
      <c r="G16" s="112"/>
      <c r="H16" s="108" t="str">
        <v/>
      </c>
      <c r="I16" s="110" t="str">
        <v>Input</v>
      </c>
      <c r="J16" s="108" t="str">
        <f>X_Cell_PastureBeef_Breed</f>
        <v>Hereford or Shorthorn breeds</v>
      </c>
    </row>
    <row r="17" spans="1:34" ht="20.100000000000001" customHeight="1" x14ac:dyDescent="0.25">
      <c r="A17" s="17" t="str">
        <f>HYPERLINK("#'Constants - Pasture Beef'!A1", "Constants - Pasture Beef")</f>
        <v>Constants - Pasture Beef</v>
      </c>
    </row>
    <row r="18" spans="1:34" ht="20.100000000000001" customHeight="1" x14ac:dyDescent="0.25">
      <c r="A18" s="17" t="str">
        <f>HYPERLINK("#'Constants - Common'!A1", "Constants - Common")</f>
        <v>Constants - Common</v>
      </c>
      <c r="D18" s="92" t="s">
        <v>191</v>
      </c>
    </row>
    <row r="19" spans="1:34" ht="20.100000000000001" customHeight="1" x14ac:dyDescent="0.25">
      <c r="A19" s="17" t="str">
        <f>HYPERLINK("#'Constants - Common Livestock'!A1", "Constants - Common Livestock")</f>
        <v>Constants - Common Livestock</v>
      </c>
      <c r="D19" s="91" t="s">
        <v>214</v>
      </c>
      <c r="U19" s="92" t="s">
        <v>210</v>
      </c>
    </row>
    <row r="20" spans="1:34" ht="20.100000000000001" customHeight="1" x14ac:dyDescent="0.25">
      <c r="A20" s="17" t="str">
        <f>HYPERLINK("#'Acknowledgements'!A1", "Acknowledgements")</f>
        <v>Acknowledgements</v>
      </c>
      <c r="D20" s="48" t="s">
        <v>145</v>
      </c>
      <c r="E20" s="111" t="s">
        <v>127</v>
      </c>
      <c r="F20" s="111" t="s">
        <v>128</v>
      </c>
      <c r="G20" s="111" t="s">
        <v>129</v>
      </c>
      <c r="U20" s="91" t="s">
        <v>211</v>
      </c>
    </row>
    <row r="21" spans="1:34" ht="20.100000000000001" customHeight="1" x14ac:dyDescent="0.25">
      <c r="D21" s="49">
        <f>'Input - Pasture Beef'!$E$104</f>
        <v>0</v>
      </c>
      <c r="E21" s="49">
        <f>'Input - Pasture Beef'!$E$107</f>
        <v>0</v>
      </c>
      <c r="F21" s="49">
        <f>'Input - Pasture Beef'!$F$107</f>
        <v>0</v>
      </c>
      <c r="G21" s="49">
        <f>'Input - Pasture Beef'!$G$107</f>
        <v>0</v>
      </c>
      <c r="H21" s="2" t="s">
        <v>79</v>
      </c>
      <c r="U21" s="48" t="s">
        <v>104</v>
      </c>
      <c r="V21" s="111" t="s">
        <v>127</v>
      </c>
      <c r="W21" s="111" t="s">
        <v>128</v>
      </c>
      <c r="X21" s="111" t="s">
        <v>129</v>
      </c>
    </row>
    <row r="22" spans="1:34" ht="20.100000000000001" customHeight="1" x14ac:dyDescent="0.25">
      <c r="U22" s="49" t="e">
        <f>TEXT(EDATE('Input - Pasture Beef'!$D$117,0), "mmmm") &amp; ", " &amp; TEXT(EDATE('Input - Pasture Beef'!$D$118,0), "mmmm") &amp; ", " &amp; TEXT(EDATE('Input - Pasture Beef'!$D$119,0), "mmmm")</f>
        <v>#VALUE!</v>
      </c>
      <c r="V22" s="49" t="str">
        <f>'Input - Pasture Beef'!$E$120</f>
        <v>September 2024</v>
      </c>
      <c r="W22" s="49">
        <f>'Input - Pasture Beef'!$F$120</f>
        <v>0</v>
      </c>
      <c r="X22" s="49">
        <f>'Input - Pasture Beef'!$G$120</f>
        <v>0</v>
      </c>
      <c r="Y22" s="2" t="s">
        <v>79</v>
      </c>
    </row>
    <row r="23" spans="1:34" ht="20.100000000000001" customHeight="1" x14ac:dyDescent="0.25">
      <c r="D23" s="92" t="s">
        <v>201</v>
      </c>
      <c r="U23" s="49" t="e">
        <f>TEXT(EDATE('Input - Pasture Beef'!$D$119,1), "mmmm") &amp; ", " &amp; TEXT(EDATE('Input - Pasture Beef'!$D$119,2), "mmmm") &amp; ", " &amp; TEXT(EDATE('Input - Pasture Beef'!$D$119,3), "mmmm")</f>
        <v>#VALUE!</v>
      </c>
      <c r="Y23" s="2"/>
    </row>
    <row r="24" spans="1:34" ht="20.100000000000001" customHeight="1" x14ac:dyDescent="0.25">
      <c r="D24" s="91" t="s">
        <v>202</v>
      </c>
      <c r="Y24" s="2"/>
    </row>
    <row r="25" spans="1:34" ht="20.100000000000001" customHeight="1" x14ac:dyDescent="0.25">
      <c r="D25" s="48" t="s">
        <v>145</v>
      </c>
      <c r="E25" s="48" t="s">
        <v>207</v>
      </c>
      <c r="F25" s="48" t="s">
        <v>248</v>
      </c>
      <c r="G25" s="48" t="s">
        <v>103</v>
      </c>
      <c r="H25" s="48" t="s">
        <v>102</v>
      </c>
      <c r="I25" s="48" t="s">
        <v>126</v>
      </c>
      <c r="J25" s="48" t="s">
        <v>127</v>
      </c>
      <c r="K25" s="48" t="s">
        <v>128</v>
      </c>
      <c r="L25" s="48" t="s">
        <v>129</v>
      </c>
      <c r="M25" s="48" t="s">
        <v>130</v>
      </c>
      <c r="N25" s="48" t="s">
        <v>131</v>
      </c>
      <c r="O25" s="48" t="s">
        <v>132</v>
      </c>
      <c r="P25" s="48" t="s">
        <v>133</v>
      </c>
      <c r="U25" s="92" t="s">
        <v>212</v>
      </c>
    </row>
    <row r="26" spans="1:34" ht="20.100000000000001" customHeight="1" x14ac:dyDescent="0.25">
      <c r="D26" s="49" t="s">
        <v>134</v>
      </c>
      <c r="E26" s="49" t="e" cm="1">
        <f t="array" ref="E26">_xlfn.IFS(D21=D26, "Calving season", D21=D29, "Season after calving", D21=D27, "", D21=D28, "")</f>
        <v>#N/A</v>
      </c>
      <c r="F26" s="49" t="e" cm="1">
        <f t="array" ref="F26">_xlfn.IFS(E26="Calving season", $J$14, E26="Season after calving", $J$15, E26="", "")</f>
        <v>#N/A</v>
      </c>
      <c r="G26" s="49">
        <v>1</v>
      </c>
      <c r="H26" s="49">
        <v>1</v>
      </c>
      <c r="I26" s="49">
        <v>1</v>
      </c>
      <c r="J26" s="49" cm="1">
        <f t="array" ref="J26">IFERROR(EntericMethane_PastureBeef_Equations.VEERG_3_2_1_1__4_AdditionalIntakeForMilkProduction(E$21,$F26), 1)</f>
        <v>1</v>
      </c>
      <c r="K26" s="49" cm="1">
        <f t="array" ref="K26">IFERROR(EntericMethane_PastureBeef_Equations.VEERG_3_2_1_1__4_AdditionalIntakeForMilkProduction(F$21,$F26), 1)</f>
        <v>1</v>
      </c>
      <c r="L26" s="49" cm="1">
        <f t="array" ref="L26">IFERROR(EntericMethane_PastureBeef_Equations.VEERG_3_2_1_1__4_AdditionalIntakeForMilkProduction(G$21,$F26), 1)</f>
        <v>1</v>
      </c>
      <c r="M26" s="49">
        <v>1</v>
      </c>
      <c r="N26" s="49">
        <v>1</v>
      </c>
      <c r="O26" s="49">
        <v>1</v>
      </c>
      <c r="P26" s="49">
        <v>1</v>
      </c>
      <c r="Q26" s="2" t="str">
        <f>$E$11</f>
        <v>fraction</v>
      </c>
      <c r="U26" s="91" t="s">
        <v>213</v>
      </c>
    </row>
    <row r="27" spans="1:34" ht="20.100000000000001" customHeight="1" x14ac:dyDescent="0.25">
      <c r="D27" s="49" t="s">
        <v>135</v>
      </c>
      <c r="E27" s="49" t="e" cm="1">
        <f t="array" ref="E27">_xlfn.IFS(D21=D27, "Calving season", D21=D26, "Season after calving", D21=D28, "", D21=D29, "")</f>
        <v>#N/A</v>
      </c>
      <c r="F27" s="49" t="e" cm="1">
        <f t="array" ref="F27">_xlfn.IFS(E27="Calving season", $J$14, E27="Season after calving", $J$15, E27="", "")</f>
        <v>#N/A</v>
      </c>
      <c r="G27" s="49">
        <v>1</v>
      </c>
      <c r="H27" s="49">
        <v>1</v>
      </c>
      <c r="I27" s="49">
        <v>1</v>
      </c>
      <c r="J27" s="49" cm="1">
        <f t="array" ref="J27">IFERROR(EntericMethane_PastureBeef_Equations.VEERG_3_2_1_1__4_AdditionalIntakeForMilkProduction(E$21,$F27), 1)</f>
        <v>1</v>
      </c>
      <c r="K27" s="49" cm="1">
        <f t="array" ref="K27">IFERROR(EntericMethane_PastureBeef_Equations.VEERG_3_2_1_1__4_AdditionalIntakeForMilkProduction(F$21,$F27), 1)</f>
        <v>1</v>
      </c>
      <c r="L27" s="49" cm="1">
        <f t="array" ref="L27">IFERROR(EntericMethane_PastureBeef_Equations.VEERG_3_2_1_1__4_AdditionalIntakeForMilkProduction(G$21,$F27), 1)</f>
        <v>1</v>
      </c>
      <c r="M27" s="49">
        <v>1</v>
      </c>
      <c r="N27" s="49">
        <v>1</v>
      </c>
      <c r="O27" s="49">
        <v>1</v>
      </c>
      <c r="P27" s="49">
        <v>1</v>
      </c>
      <c r="Q27" s="2" t="str">
        <f t="shared" ref="Q27:Q29" si="0">$E$11</f>
        <v>fraction</v>
      </c>
      <c r="U27" s="48" t="s">
        <v>104</v>
      </c>
      <c r="V27" s="48" t="s">
        <v>207</v>
      </c>
      <c r="W27" s="48" t="s">
        <v>248</v>
      </c>
      <c r="X27" s="48" t="s">
        <v>103</v>
      </c>
      <c r="Y27" s="48" t="s">
        <v>102</v>
      </c>
      <c r="Z27" s="48" t="s">
        <v>126</v>
      </c>
      <c r="AA27" s="48" t="s">
        <v>127</v>
      </c>
      <c r="AB27" s="48" t="s">
        <v>128</v>
      </c>
      <c r="AC27" s="48" t="s">
        <v>129</v>
      </c>
      <c r="AD27" s="48" t="s">
        <v>130</v>
      </c>
      <c r="AE27" s="48" t="s">
        <v>131</v>
      </c>
      <c r="AF27" s="48" t="s">
        <v>132</v>
      </c>
      <c r="AG27" s="48" t="s">
        <v>133</v>
      </c>
    </row>
    <row r="28" spans="1:34" ht="20.100000000000001" customHeight="1" x14ac:dyDescent="0.25">
      <c r="D28" s="49" t="s">
        <v>136</v>
      </c>
      <c r="E28" s="49" t="e" cm="1">
        <f t="array" ref="E28">_xlfn.IFS(D21=D28, "Calving season", D21=D27, "Season after calving", D21=D29, "", D21=D26, "")</f>
        <v>#N/A</v>
      </c>
      <c r="F28" s="49" t="e" cm="1">
        <f t="array" ref="F28">_xlfn.IFS(E28="Calving season", $J$14, E28="Season after calving", $J$15, E28="", "")</f>
        <v>#N/A</v>
      </c>
      <c r="G28" s="49">
        <v>1</v>
      </c>
      <c r="H28" s="49">
        <v>1</v>
      </c>
      <c r="I28" s="49">
        <v>1</v>
      </c>
      <c r="J28" s="49" cm="1">
        <f t="array" ref="J28">IFERROR(EntericMethane_PastureBeef_Equations.VEERG_3_2_1_1__4_AdditionalIntakeForMilkProduction(E$21,$F28), 1)</f>
        <v>1</v>
      </c>
      <c r="K28" s="49" cm="1">
        <f t="array" ref="K28">IFERROR(EntericMethane_PastureBeef_Equations.VEERG_3_2_1_1__4_AdditionalIntakeForMilkProduction(F$21,$F28), 1)</f>
        <v>1</v>
      </c>
      <c r="L28" s="49" cm="1">
        <f t="array" ref="L28">IFERROR(EntericMethane_PastureBeef_Equations.VEERG_3_2_1_1__4_AdditionalIntakeForMilkProduction(G$21,$F28), 1)</f>
        <v>1</v>
      </c>
      <c r="M28" s="49">
        <v>1</v>
      </c>
      <c r="N28" s="49">
        <v>1</v>
      </c>
      <c r="O28" s="49">
        <v>1</v>
      </c>
      <c r="P28" s="49">
        <v>1</v>
      </c>
      <c r="Q28" s="2" t="str">
        <f t="shared" si="0"/>
        <v>fraction</v>
      </c>
      <c r="U28" s="49" t="str">
        <f>TEXT(X_Cell_Site_StartDate,"mmmm")</f>
        <v>January</v>
      </c>
      <c r="V28" s="49" t="str" cm="1">
        <f t="array" ref="V28">IFERROR(_xlfn.IFS(SUMPRODUCT(ISNUMBER(SEARCH(TRIM(_xlfn.TEXTSPLIT($U$22,",")),U28))*1)&gt;0,"Calving season",SUMPRODUCT(ISNUMBER(SEARCH(TRIM(_xlfn.TEXTSPLIT($U$23,",")),U28))*1)&gt;0,"Season after calving"), "")</f>
        <v/>
      </c>
      <c r="W28" s="49" t="str" cm="1">
        <f t="array" ref="W28">_xlfn.IFS(V28="Calving season", $J$14, V28="Season after calving", $J$15, V28="", "")</f>
        <v/>
      </c>
      <c r="X28" s="49">
        <v>1</v>
      </c>
      <c r="Y28" s="49">
        <v>1</v>
      </c>
      <c r="Z28" s="49">
        <v>1</v>
      </c>
      <c r="AA28" s="49" cm="1">
        <f t="array" ref="AA28">IFERROR(EntericMethane_PastureBeef_Equations.VEERG_3_2_1_1__4_AdditionalIntakeForMilkProduction(V$22,$W28), 1)</f>
        <v>1</v>
      </c>
      <c r="AB28" s="49" cm="1">
        <f t="array" ref="AB28">IFERROR(EntericMethane_PastureBeef_Equations.VEERG_3_2_1_1__4_AdditionalIntakeForMilkProduction(W$22,$W28), 1)</f>
        <v>1</v>
      </c>
      <c r="AC28" s="49" cm="1">
        <f t="array" ref="AC28">IFERROR(EntericMethane_PastureBeef_Equations.VEERG_3_2_1_1__4_AdditionalIntakeForMilkProduction(X$22,$W28), 1)</f>
        <v>1</v>
      </c>
      <c r="AD28" s="49">
        <v>1</v>
      </c>
      <c r="AE28" s="49">
        <v>1</v>
      </c>
      <c r="AF28" s="49">
        <v>1</v>
      </c>
      <c r="AG28" s="49">
        <v>1</v>
      </c>
      <c r="AH28" s="2" t="str">
        <f>$E$11</f>
        <v>fraction</v>
      </c>
    </row>
    <row r="29" spans="1:34" ht="20.100000000000001" customHeight="1" x14ac:dyDescent="0.25">
      <c r="D29" s="49" t="s">
        <v>137</v>
      </c>
      <c r="E29" s="49" t="e" cm="1">
        <f t="array" ref="E29">_xlfn.IFS(D21=D29, "Calving season", D21=D28, "Season after calving", D21=D26, "", D21=D27, "")</f>
        <v>#N/A</v>
      </c>
      <c r="F29" s="49" t="e" cm="1">
        <f t="array" ref="F29">_xlfn.IFS(E29="Calving season", $J$14, E29="Season after calving", $J$15, E29="", "")</f>
        <v>#N/A</v>
      </c>
      <c r="G29" s="49">
        <v>1</v>
      </c>
      <c r="H29" s="49">
        <v>1</v>
      </c>
      <c r="I29" s="49">
        <v>1</v>
      </c>
      <c r="J29" s="49" cm="1">
        <f t="array" ref="J29">IFERROR(EntericMethane_PastureBeef_Equations.VEERG_3_2_1_1__4_AdditionalIntakeForMilkProduction(E$21,$F29), 1)</f>
        <v>1</v>
      </c>
      <c r="K29" s="49" cm="1">
        <f t="array" ref="K29">IFERROR(EntericMethane_PastureBeef_Equations.VEERG_3_2_1_1__4_AdditionalIntakeForMilkProduction(F$21,$F29), 1)</f>
        <v>1</v>
      </c>
      <c r="L29" s="49" cm="1">
        <f t="array" ref="L29">IFERROR(EntericMethane_PastureBeef_Equations.VEERG_3_2_1_1__4_AdditionalIntakeForMilkProduction(G$21,$F29), 1)</f>
        <v>1</v>
      </c>
      <c r="M29" s="49">
        <v>1</v>
      </c>
      <c r="N29" s="49">
        <v>1</v>
      </c>
      <c r="O29" s="49">
        <v>1</v>
      </c>
      <c r="P29" s="49">
        <v>1</v>
      </c>
      <c r="Q29" s="2" t="str">
        <f t="shared" si="0"/>
        <v>fraction</v>
      </c>
      <c r="U29" s="49" t="str">
        <f>TEXT(EDATE(X_Cell_Site_StartDate,1), "mmmm")</f>
        <v>February</v>
      </c>
      <c r="V29" s="49" t="str" cm="1">
        <f t="array" ref="V29">IFERROR(_xlfn.IFS(SUMPRODUCT(ISNUMBER(SEARCH(TRIM(_xlfn.TEXTSPLIT($U$22,",")),U29))*1)&gt;0,"Calving season",SUMPRODUCT(ISNUMBER(SEARCH(TRIM(_xlfn.TEXTSPLIT($U$23,",")),U29))*1)&gt;0,"Season after calving"), "")</f>
        <v/>
      </c>
      <c r="W29" s="49" t="str" cm="1">
        <f t="array" ref="W29">_xlfn.IFS(V29="Calving season", $J$14, V29="Season after calving", $J$15, V29="", "")</f>
        <v/>
      </c>
      <c r="X29" s="49">
        <v>1</v>
      </c>
      <c r="Y29" s="49">
        <v>1</v>
      </c>
      <c r="Z29" s="49">
        <v>1</v>
      </c>
      <c r="AA29" s="49" cm="1">
        <f t="array" ref="AA29">IFERROR(EntericMethane_PastureBeef_Equations.VEERG_3_2_1_1__4_AdditionalIntakeForMilkProduction(V$22,$W29), 1)</f>
        <v>1</v>
      </c>
      <c r="AB29" s="49" cm="1">
        <f t="array" ref="AB29">IFERROR(EntericMethane_PastureBeef_Equations.VEERG_3_2_1_1__4_AdditionalIntakeForMilkProduction(W$22,$W29), 1)</f>
        <v>1</v>
      </c>
      <c r="AC29" s="49" cm="1">
        <f t="array" ref="AC29">IFERROR(EntericMethane_PastureBeef_Equations.VEERG_3_2_1_1__4_AdditionalIntakeForMilkProduction(X$22,$W29), 1)</f>
        <v>1</v>
      </c>
      <c r="AD29" s="49">
        <v>1</v>
      </c>
      <c r="AE29" s="49">
        <v>1</v>
      </c>
      <c r="AF29" s="49">
        <v>1</v>
      </c>
      <c r="AG29" s="49">
        <v>1</v>
      </c>
      <c r="AH29" s="2" t="str">
        <f t="shared" ref="AH29:AH39" si="1">$E$11</f>
        <v>fraction</v>
      </c>
    </row>
    <row r="30" spans="1:34" ht="20.100000000000001" customHeight="1" x14ac:dyDescent="0.25">
      <c r="U30" s="49" t="str">
        <f>TEXT(EDATE(X_Cell_Site_StartDate,2), "mmmm")</f>
        <v>March</v>
      </c>
      <c r="V30" s="49" t="str" cm="1">
        <f t="array" ref="V30">IFERROR(_xlfn.IFS(SUMPRODUCT(ISNUMBER(SEARCH(TRIM(_xlfn.TEXTSPLIT($U$22,",")),U30))*1)&gt;0,"Calving season",SUMPRODUCT(ISNUMBER(SEARCH(TRIM(_xlfn.TEXTSPLIT($U$23,",")),U30))*1)&gt;0,"Season after calving"), "")</f>
        <v/>
      </c>
      <c r="W30" s="49" t="str" cm="1">
        <f t="array" ref="W30">_xlfn.IFS(V30="Calving season", $J$14, V30="Season after calving", $J$15, V30="", "")</f>
        <v/>
      </c>
      <c r="X30" s="49">
        <v>1</v>
      </c>
      <c r="Y30" s="49">
        <v>1</v>
      </c>
      <c r="Z30" s="49">
        <v>1</v>
      </c>
      <c r="AA30" s="49" cm="1">
        <f t="array" ref="AA30">IFERROR(EntericMethane_PastureBeef_Equations.VEERG_3_2_1_1__4_AdditionalIntakeForMilkProduction(V$22,$W30), 1)</f>
        <v>1</v>
      </c>
      <c r="AB30" s="49" cm="1">
        <f t="array" ref="AB30">IFERROR(EntericMethane_PastureBeef_Equations.VEERG_3_2_1_1__4_AdditionalIntakeForMilkProduction(W$22,$W30), 1)</f>
        <v>1</v>
      </c>
      <c r="AC30" s="49" cm="1">
        <f t="array" ref="AC30">IFERROR(EntericMethane_PastureBeef_Equations.VEERG_3_2_1_1__4_AdditionalIntakeForMilkProduction(X$22,$W30), 1)</f>
        <v>1</v>
      </c>
      <c r="AD30" s="49">
        <v>1</v>
      </c>
      <c r="AE30" s="49">
        <v>1</v>
      </c>
      <c r="AF30" s="49">
        <v>1</v>
      </c>
      <c r="AG30" s="49">
        <v>1</v>
      </c>
      <c r="AH30" s="2" t="str">
        <f t="shared" si="1"/>
        <v>fraction</v>
      </c>
    </row>
    <row r="31" spans="1:34" ht="20.100000000000001" customHeight="1" x14ac:dyDescent="0.25">
      <c r="U31" s="49" t="str">
        <f>TEXT(EDATE(X_Cell_Site_StartDate,3), "mmmm")</f>
        <v>April</v>
      </c>
      <c r="V31" s="49" t="str" cm="1">
        <f t="array" ref="V31">IFERROR(_xlfn.IFS(SUMPRODUCT(ISNUMBER(SEARCH(TRIM(_xlfn.TEXTSPLIT($U$22,",")),U31))*1)&gt;0,"Calving season",SUMPRODUCT(ISNUMBER(SEARCH(TRIM(_xlfn.TEXTSPLIT($U$23,",")),U31))*1)&gt;0,"Season after calving"), "")</f>
        <v/>
      </c>
      <c r="W31" s="49" t="str" cm="1">
        <f t="array" ref="W31">_xlfn.IFS(V31="Calving season", $J$14, V31="Season after calving", $J$15, V31="", "")</f>
        <v/>
      </c>
      <c r="X31" s="49">
        <v>1</v>
      </c>
      <c r="Y31" s="49">
        <v>1</v>
      </c>
      <c r="Z31" s="49">
        <v>1</v>
      </c>
      <c r="AA31" s="49" cm="1">
        <f t="array" ref="AA31">IFERROR(EntericMethane_PastureBeef_Equations.VEERG_3_2_1_1__4_AdditionalIntakeForMilkProduction(V$22,$W31), 1)</f>
        <v>1</v>
      </c>
      <c r="AB31" s="49" cm="1">
        <f t="array" ref="AB31">IFERROR(EntericMethane_PastureBeef_Equations.VEERG_3_2_1_1__4_AdditionalIntakeForMilkProduction(W$22,$W31), 1)</f>
        <v>1</v>
      </c>
      <c r="AC31" s="49" cm="1">
        <f t="array" ref="AC31">IFERROR(EntericMethane_PastureBeef_Equations.VEERG_3_2_1_1__4_AdditionalIntakeForMilkProduction(X$22,$W31), 1)</f>
        <v>1</v>
      </c>
      <c r="AD31" s="49">
        <v>1</v>
      </c>
      <c r="AE31" s="49">
        <v>1</v>
      </c>
      <c r="AF31" s="49">
        <v>1</v>
      </c>
      <c r="AG31" s="49">
        <v>1</v>
      </c>
      <c r="AH31" s="2" t="str">
        <f t="shared" si="1"/>
        <v>fraction</v>
      </c>
    </row>
    <row r="32" spans="1:34" ht="20.100000000000001" customHeight="1" x14ac:dyDescent="0.25">
      <c r="C32" s="42"/>
      <c r="D32" s="42"/>
      <c r="E32" s="42"/>
      <c r="F32" s="42"/>
      <c r="G32" s="42"/>
      <c r="H32" s="42"/>
      <c r="I32" s="42"/>
      <c r="J32" s="42"/>
      <c r="K32" s="42"/>
      <c r="L32" s="42"/>
      <c r="M32" s="42"/>
      <c r="N32" s="42"/>
      <c r="O32" s="42"/>
      <c r="P32" s="42"/>
      <c r="Q32" s="42"/>
      <c r="R32" s="42"/>
      <c r="U32" s="49" t="str">
        <f>TEXT(EDATE(X_Cell_Site_StartDate,4), "mmmm")</f>
        <v>May</v>
      </c>
      <c r="V32" s="49" t="str" cm="1">
        <f t="array" ref="V32">IFERROR(_xlfn.IFS(SUMPRODUCT(ISNUMBER(SEARCH(TRIM(_xlfn.TEXTSPLIT($U$22,",")),U32))*1)&gt;0,"Calving season",SUMPRODUCT(ISNUMBER(SEARCH(TRIM(_xlfn.TEXTSPLIT($U$23,",")),U32))*1)&gt;0,"Season after calving"), "")</f>
        <v/>
      </c>
      <c r="W32" s="49" t="str" cm="1">
        <f t="array" ref="W32">_xlfn.IFS(V32="Calving season", $J$14, V32="Season after calving", $J$15, V32="", "")</f>
        <v/>
      </c>
      <c r="X32" s="49">
        <v>1</v>
      </c>
      <c r="Y32" s="49">
        <v>1</v>
      </c>
      <c r="Z32" s="49">
        <v>1</v>
      </c>
      <c r="AA32" s="49" cm="1">
        <f t="array" ref="AA32">IFERROR(EntericMethane_PastureBeef_Equations.VEERG_3_2_1_1__4_AdditionalIntakeForMilkProduction(V$22,$W32), 1)</f>
        <v>1</v>
      </c>
      <c r="AB32" s="49" cm="1">
        <f t="array" ref="AB32">IFERROR(EntericMethane_PastureBeef_Equations.VEERG_3_2_1_1__4_AdditionalIntakeForMilkProduction(W$22,$W32), 1)</f>
        <v>1</v>
      </c>
      <c r="AC32" s="49" cm="1">
        <f t="array" ref="AC32">IFERROR(EntericMethane_PastureBeef_Equations.VEERG_3_2_1_1__4_AdditionalIntakeForMilkProduction(X$22,$W32), 1)</f>
        <v>1</v>
      </c>
      <c r="AD32" s="49">
        <v>1</v>
      </c>
      <c r="AE32" s="49">
        <v>1</v>
      </c>
      <c r="AF32" s="49">
        <v>1</v>
      </c>
      <c r="AG32" s="49">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49" t="str">
        <f>TEXT(EDATE(X_Cell_Site_StartDate,5), "mmmm")</f>
        <v>June</v>
      </c>
      <c r="V33" s="49" t="str" cm="1">
        <f t="array" ref="V33">IFERROR(_xlfn.IFS(SUMPRODUCT(ISNUMBER(SEARCH(TRIM(_xlfn.TEXTSPLIT($U$22,",")),U33))*1)&gt;0,"Calving season",SUMPRODUCT(ISNUMBER(SEARCH(TRIM(_xlfn.TEXTSPLIT($U$23,",")),U33))*1)&gt;0,"Season after calving"), "")</f>
        <v/>
      </c>
      <c r="W33" s="49" t="str" cm="1">
        <f t="array" ref="W33">_xlfn.IFS(V33="Calving season", $J$14, V33="Season after calving", $J$15, V33="", "")</f>
        <v/>
      </c>
      <c r="X33" s="49">
        <v>1</v>
      </c>
      <c r="Y33" s="49">
        <v>1</v>
      </c>
      <c r="Z33" s="49">
        <v>1</v>
      </c>
      <c r="AA33" s="49" cm="1">
        <f t="array" ref="AA33">IFERROR(EntericMethane_PastureBeef_Equations.VEERG_3_2_1_1__4_AdditionalIntakeForMilkProduction(V$22,$W33), 1)</f>
        <v>1</v>
      </c>
      <c r="AB33" s="49" cm="1">
        <f t="array" ref="AB33">IFERROR(EntericMethane_PastureBeef_Equations.VEERG_3_2_1_1__4_AdditionalIntakeForMilkProduction(W$22,$W33), 1)</f>
        <v>1</v>
      </c>
      <c r="AC33" s="49" cm="1">
        <f t="array" ref="AC33">IFERROR(EntericMethane_PastureBeef_Equations.VEERG_3_2_1_1__4_AdditionalIntakeForMilkProduction(X$22,$W33), 1)</f>
        <v>1</v>
      </c>
      <c r="AD33" s="49">
        <v>1</v>
      </c>
      <c r="AE33" s="49">
        <v>1</v>
      </c>
      <c r="AF33" s="49">
        <v>1</v>
      </c>
      <c r="AG33" s="49">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49" t="str">
        <f>TEXT(EDATE(X_Cell_Site_StartDate,6), "mmmm")</f>
        <v>July</v>
      </c>
      <c r="V34" s="49" t="str" cm="1">
        <f t="array" ref="V34">IFERROR(_xlfn.IFS(SUMPRODUCT(ISNUMBER(SEARCH(TRIM(_xlfn.TEXTSPLIT($U$22,",")),U34))*1)&gt;0,"Calving season",SUMPRODUCT(ISNUMBER(SEARCH(TRIM(_xlfn.TEXTSPLIT($U$23,",")),U34))*1)&gt;0,"Season after calving"), "")</f>
        <v/>
      </c>
      <c r="W34" s="49" t="str" cm="1">
        <f t="array" ref="W34">_xlfn.IFS(V34="Calving season", $J$14, V34="Season after calving", $J$15, V34="", "")</f>
        <v/>
      </c>
      <c r="X34" s="49">
        <v>1</v>
      </c>
      <c r="Y34" s="49">
        <v>1</v>
      </c>
      <c r="Z34" s="49">
        <v>1</v>
      </c>
      <c r="AA34" s="49" cm="1">
        <f t="array" ref="AA34">IFERROR(EntericMethane_PastureBeef_Equations.VEERG_3_2_1_1__4_AdditionalIntakeForMilkProduction(V$22,$W34), 1)</f>
        <v>1</v>
      </c>
      <c r="AB34" s="49" cm="1">
        <f t="array" ref="AB34">IFERROR(EntericMethane_PastureBeef_Equations.VEERG_3_2_1_1__4_AdditionalIntakeForMilkProduction(W$22,$W34), 1)</f>
        <v>1</v>
      </c>
      <c r="AC34" s="49" cm="1">
        <f t="array" ref="AC34">IFERROR(EntericMethane_PastureBeef_Equations.VEERG_3_2_1_1__4_AdditionalIntakeForMilkProduction(X$22,$W34), 1)</f>
        <v>1</v>
      </c>
      <c r="AD34" s="49">
        <v>1</v>
      </c>
      <c r="AE34" s="49">
        <v>1</v>
      </c>
      <c r="AF34" s="49">
        <v>1</v>
      </c>
      <c r="AG34" s="49">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49" t="str">
        <f>TEXT(EDATE(X_Cell_Site_StartDate,7), "mmmm")</f>
        <v>August</v>
      </c>
      <c r="V35" s="49" t="str" cm="1">
        <f t="array" ref="V35">IFERROR(_xlfn.IFS(SUMPRODUCT(ISNUMBER(SEARCH(TRIM(_xlfn.TEXTSPLIT($U$22,",")),U35))*1)&gt;0,"Calving season",SUMPRODUCT(ISNUMBER(SEARCH(TRIM(_xlfn.TEXTSPLIT($U$23,",")),U35))*1)&gt;0,"Season after calving"), "")</f>
        <v/>
      </c>
      <c r="W35" s="49" t="str" cm="1">
        <f t="array" ref="W35">_xlfn.IFS(V35="Calving season", $J$14, V35="Season after calving", $J$15, V35="", "")</f>
        <v/>
      </c>
      <c r="X35" s="49">
        <v>1</v>
      </c>
      <c r="Y35" s="49">
        <v>1</v>
      </c>
      <c r="Z35" s="49">
        <v>1</v>
      </c>
      <c r="AA35" s="49" cm="1">
        <f t="array" ref="AA35">IFERROR(EntericMethane_PastureBeef_Equations.VEERG_3_2_1_1__4_AdditionalIntakeForMilkProduction(V$22,$W35), 1)</f>
        <v>1</v>
      </c>
      <c r="AB35" s="49" cm="1">
        <f t="array" ref="AB35">IFERROR(EntericMethane_PastureBeef_Equations.VEERG_3_2_1_1__4_AdditionalIntakeForMilkProduction(W$22,$W35), 1)</f>
        <v>1</v>
      </c>
      <c r="AC35" s="49" cm="1">
        <f t="array" ref="AC35">IFERROR(EntericMethane_PastureBeef_Equations.VEERG_3_2_1_1__4_AdditionalIntakeForMilkProduction(X$22,$W35), 1)</f>
        <v>1</v>
      </c>
      <c r="AD35" s="49">
        <v>1</v>
      </c>
      <c r="AE35" s="49">
        <v>1</v>
      </c>
      <c r="AF35" s="49">
        <v>1</v>
      </c>
      <c r="AG35" s="49">
        <v>1</v>
      </c>
      <c r="AH35" s="2" t="str">
        <f t="shared" si="1"/>
        <v>fraction</v>
      </c>
    </row>
    <row r="36" spans="4:34" ht="20.100000000000001" customHeight="1" x14ac:dyDescent="0.25">
      <c r="U36" s="49" t="str">
        <f>TEXT(EDATE(X_Cell_Site_StartDate,8), "mmmm")</f>
        <v>September</v>
      </c>
      <c r="V36" s="49" t="str" cm="1">
        <f t="array" ref="V36">IFERROR(_xlfn.IFS(SUMPRODUCT(ISNUMBER(SEARCH(TRIM(_xlfn.TEXTSPLIT($U$22,",")),U36))*1)&gt;0,"Calving season",SUMPRODUCT(ISNUMBER(SEARCH(TRIM(_xlfn.TEXTSPLIT($U$23,",")),U36))*1)&gt;0,"Season after calving"), "")</f>
        <v/>
      </c>
      <c r="W36" s="49" t="str" cm="1">
        <f t="array" ref="W36">_xlfn.IFS(V36="Calving season", $J$14, V36="Season after calving", $J$15, V36="", "")</f>
        <v/>
      </c>
      <c r="X36" s="49">
        <v>1</v>
      </c>
      <c r="Y36" s="49">
        <v>1</v>
      </c>
      <c r="Z36" s="49">
        <v>1</v>
      </c>
      <c r="AA36" s="49" cm="1">
        <f t="array" ref="AA36">IFERROR(EntericMethane_PastureBeef_Equations.VEERG_3_2_1_1__4_AdditionalIntakeForMilkProduction(V$22,$W36), 1)</f>
        <v>1</v>
      </c>
      <c r="AB36" s="49" cm="1">
        <f t="array" ref="AB36">IFERROR(EntericMethane_PastureBeef_Equations.VEERG_3_2_1_1__4_AdditionalIntakeForMilkProduction(W$22,$W36), 1)</f>
        <v>1</v>
      </c>
      <c r="AC36" s="49" cm="1">
        <f t="array" ref="AC36">IFERROR(EntericMethane_PastureBeef_Equations.VEERG_3_2_1_1__4_AdditionalIntakeForMilkProduction(X$22,$W36), 1)</f>
        <v>1</v>
      </c>
      <c r="AD36" s="49">
        <v>1</v>
      </c>
      <c r="AE36" s="49">
        <v>1</v>
      </c>
      <c r="AF36" s="49">
        <v>1</v>
      </c>
      <c r="AG36" s="49">
        <v>1</v>
      </c>
      <c r="AH36" s="2" t="str">
        <f t="shared" si="1"/>
        <v>fraction</v>
      </c>
    </row>
    <row r="37" spans="4:34" ht="20.100000000000001" customHeight="1" x14ac:dyDescent="0.25">
      <c r="G37" s="6" t="str" cm="1">
        <f t="array" ref="G37">EntericMethane_PastureBeef_Equations.VEERG_3_2_1_1__3_FeedIntakeForGrazingBeef_LatexEquation()</f>
        <v>I_{jkl}=(1.185+0.00454\times W_{jkl}-0.0000026\times W_{jkl}^{2}+0.315\times LWG_{jkl})^2\times MA_{jk=4,5}</v>
      </c>
      <c r="U37" s="49" t="str">
        <f>TEXT(EDATE(X_Cell_Site_StartDate,9), "mmmm")</f>
        <v>October</v>
      </c>
      <c r="V37" s="49" t="str" cm="1">
        <f t="array" ref="V37">IFERROR(_xlfn.IFS(SUMPRODUCT(ISNUMBER(SEARCH(TRIM(_xlfn.TEXTSPLIT($U$22,",")),U37))*1)&gt;0,"Calving season",SUMPRODUCT(ISNUMBER(SEARCH(TRIM(_xlfn.TEXTSPLIT($U$23,",")),U37))*1)&gt;0,"Season after calving"), "")</f>
        <v/>
      </c>
      <c r="W37" s="49" t="str" cm="1">
        <f t="array" ref="W37">_xlfn.IFS(V37="Calving season", $J$14, V37="Season after calving", $J$15, V37="", "")</f>
        <v/>
      </c>
      <c r="X37" s="49">
        <v>1</v>
      </c>
      <c r="Y37" s="49">
        <v>1</v>
      </c>
      <c r="Z37" s="49">
        <v>1</v>
      </c>
      <c r="AA37" s="49" cm="1">
        <f t="array" ref="AA37">IFERROR(EntericMethane_PastureBeef_Equations.VEERG_3_2_1_1__4_AdditionalIntakeForMilkProduction(V$22,$W37), 1)</f>
        <v>1</v>
      </c>
      <c r="AB37" s="49" cm="1">
        <f t="array" ref="AB37">IFERROR(EntericMethane_PastureBeef_Equations.VEERG_3_2_1_1__4_AdditionalIntakeForMilkProduction(W$22,$W37), 1)</f>
        <v>1</v>
      </c>
      <c r="AC37" s="49" cm="1">
        <f t="array" ref="AC37">IFERROR(EntericMethane_PastureBeef_Equations.VEERG_3_2_1_1__4_AdditionalIntakeForMilkProduction(X$22,$W37), 1)</f>
        <v>1</v>
      </c>
      <c r="AD37" s="49">
        <v>1</v>
      </c>
      <c r="AE37" s="49">
        <v>1</v>
      </c>
      <c r="AF37" s="49">
        <v>1</v>
      </c>
      <c r="AG37" s="49">
        <v>1</v>
      </c>
      <c r="AH37" s="2" t="str">
        <f t="shared" si="1"/>
        <v>fraction</v>
      </c>
    </row>
    <row r="38" spans="4:34" ht="20.100000000000001" customHeight="1" x14ac:dyDescent="0.25">
      <c r="D38" s="50" t="s">
        <v>23</v>
      </c>
      <c r="E38" s="1" t="str" cm="1">
        <f t="array" ref="E38">EntericMethane_PastureBeef_Equations.VEERG_3_2_1_1__3_FeedIntakeForGrazingBeef_Variable()</f>
        <v>I_jkl</v>
      </c>
      <c r="U38" s="49" t="str">
        <f>TEXT(EDATE(X_Cell_Site_StartDate,10), "mmmm")</f>
        <v>November</v>
      </c>
      <c r="V38" s="49" t="str" cm="1">
        <f t="array" ref="V38">IFERROR(_xlfn.IFS(SUMPRODUCT(ISNUMBER(SEARCH(TRIM(_xlfn.TEXTSPLIT($U$22,",")),U38))*1)&gt;0,"Calving season",SUMPRODUCT(ISNUMBER(SEARCH(TRIM(_xlfn.TEXTSPLIT($U$23,",")),U38))*1)&gt;0,"Season after calving"), "")</f>
        <v/>
      </c>
      <c r="W38" s="49" t="str" cm="1">
        <f t="array" ref="W38">_xlfn.IFS(V38="Calving season", $J$14, V38="Season after calving", $J$15, V38="", "")</f>
        <v/>
      </c>
      <c r="X38" s="49">
        <v>1</v>
      </c>
      <c r="Y38" s="49">
        <v>1</v>
      </c>
      <c r="Z38" s="49">
        <v>1</v>
      </c>
      <c r="AA38" s="49" cm="1">
        <f t="array" ref="AA38">IFERROR(EntericMethane_PastureBeef_Equations.VEERG_3_2_1_1__4_AdditionalIntakeForMilkProduction(V$22,$W38), 1)</f>
        <v>1</v>
      </c>
      <c r="AB38" s="49" cm="1">
        <f t="array" ref="AB38">IFERROR(EntericMethane_PastureBeef_Equations.VEERG_3_2_1_1__4_AdditionalIntakeForMilkProduction(W$22,$W38), 1)</f>
        <v>1</v>
      </c>
      <c r="AC38" s="49" cm="1">
        <f t="array" ref="AC38">IFERROR(EntericMethane_PastureBeef_Equations.VEERG_3_2_1_1__4_AdditionalIntakeForMilkProduction(X$22,$W38), 1)</f>
        <v>1</v>
      </c>
      <c r="AD38" s="49">
        <v>1</v>
      </c>
      <c r="AE38" s="49">
        <v>1</v>
      </c>
      <c r="AF38" s="49">
        <v>1</v>
      </c>
      <c r="AG38" s="49">
        <v>1</v>
      </c>
      <c r="AH38" s="2" t="str">
        <f t="shared" si="1"/>
        <v>fraction</v>
      </c>
    </row>
    <row r="39" spans="4:34" ht="20.100000000000001" customHeight="1" x14ac:dyDescent="0.25">
      <c r="D39" s="50" t="s">
        <v>14</v>
      </c>
      <c r="E39" s="51" t="str" cm="1">
        <f t="array" ref="E39">EntericMethane_PastureBeef_Equations.VEERG_3_2_1_1__3_FeedIntakeForGrazingBeef_Unit()</f>
        <v>kg DM/head/day</v>
      </c>
      <c r="U39" s="49" t="str">
        <f>TEXT(EDATE(X_Cell_Site_StartDate,11), "mmmm")</f>
        <v>December</v>
      </c>
      <c r="V39" s="49" t="str" cm="1">
        <f t="array" ref="V39">IFERROR(_xlfn.IFS(SUMPRODUCT(ISNUMBER(SEARCH(TRIM(_xlfn.TEXTSPLIT($U$22,",")),U39))*1)&gt;0,"Calving season",SUMPRODUCT(ISNUMBER(SEARCH(TRIM(_xlfn.TEXTSPLIT($U$23,",")),U39))*1)&gt;0,"Season after calving"), "")</f>
        <v/>
      </c>
      <c r="W39" s="49" t="str" cm="1">
        <f t="array" ref="W39">_xlfn.IFS(V39="Calving season", $J$14, V39="Season after calving", $J$15, V39="", "")</f>
        <v/>
      </c>
      <c r="X39" s="49">
        <v>1</v>
      </c>
      <c r="Y39" s="49">
        <v>1</v>
      </c>
      <c r="Z39" s="49">
        <v>1</v>
      </c>
      <c r="AA39" s="49" cm="1">
        <f t="array" ref="AA39">IFERROR(EntericMethane_PastureBeef_Equations.VEERG_3_2_1_1__4_AdditionalIntakeForMilkProduction(V$22,$W39), 1)</f>
        <v>1</v>
      </c>
      <c r="AB39" s="49" cm="1">
        <f t="array" ref="AB39">IFERROR(EntericMethane_PastureBeef_Equations.VEERG_3_2_1_1__4_AdditionalIntakeForMilkProduction(W$22,$W39), 1)</f>
        <v>1</v>
      </c>
      <c r="AC39" s="49" cm="1">
        <f t="array" ref="AC39">IFERROR(EntericMethane_PastureBeef_Equations.VEERG_3_2_1_1__4_AdditionalIntakeForMilkProduction(X$22,$W39), 1)</f>
        <v>1</v>
      </c>
      <c r="AD39" s="49">
        <v>1</v>
      </c>
      <c r="AE39" s="49">
        <v>1</v>
      </c>
      <c r="AF39" s="49">
        <v>1</v>
      </c>
      <c r="AG39" s="49">
        <v>1</v>
      </c>
      <c r="AH39" s="2" t="str">
        <f t="shared" si="1"/>
        <v>fraction</v>
      </c>
    </row>
    <row r="40" spans="4:34" ht="20.100000000000001" customHeight="1" x14ac:dyDescent="0.25"/>
    <row r="41" spans="4:34" ht="20.100000000000001" customHeight="1" x14ac:dyDescent="0.25">
      <c r="D41" s="108" t="str" cm="1">
        <f t="array" ref="D41:E43">_xlfn.CHOOSECOLS(EntericMethane_PastureBeef_Equations.VEERG_3_2_1_1__3_FeedIntakeForGrazingBeef_Arguments(), 1, 2)</f>
        <v>W_jkl</v>
      </c>
      <c r="E41" s="113" t="str">
        <v>liveweight (kg)</v>
      </c>
      <c r="F41" s="112"/>
      <c r="G41" s="108" t="str" cm="1">
        <f t="array" ref="G41:H43">_xlfn.CHOOSECOLS(EntericMethane_PastureBeef_Equations.VEERG_3_2_1_1__3_FeedIntakeForGrazingBeef_Arguments(), 3,4)</f>
        <v>kg</v>
      </c>
      <c r="H41" s="110" t="str">
        <v>Input</v>
      </c>
      <c r="I41" s="107" t="str" cm="1">
        <f t="array" aca="1" ref="I41" ca="1">HYPERLINK(Common_InputFunctions.Utility_SourceHyperlink($D$45), $D$45)</f>
        <v>M1_Table_W_j_k_l</v>
      </c>
      <c r="U41" s="92" t="s">
        <v>254</v>
      </c>
    </row>
    <row r="42" spans="4:34" ht="20.100000000000001" customHeight="1" x14ac:dyDescent="0.25">
      <c r="D42" s="108" t="str">
        <v>LWG_jkl</v>
      </c>
      <c r="E42" s="113" t="str">
        <v>live weight gain (kg/head/day)</v>
      </c>
      <c r="F42" s="112"/>
      <c r="G42" s="108" t="str">
        <v>kg/head/day</v>
      </c>
      <c r="H42" s="110" t="str">
        <v>Input</v>
      </c>
      <c r="I42" s="107" t="str" cm="1">
        <f t="array" aca="1" ref="I42" ca="1">HYPERLINK(Common_InputFunctions.Utility_SourceHyperlink($D$53), $D$53)</f>
        <v>M1_Table_LWG_j_k_l</v>
      </c>
      <c r="U42" s="91" t="s">
        <v>215</v>
      </c>
    </row>
    <row r="43" spans="4:34" ht="20.100000000000001" customHeight="1" x14ac:dyDescent="0.25">
      <c r="D43" s="108" t="str">
        <v>MA_jk45</v>
      </c>
      <c r="E43" s="113" t="str">
        <v>additional intake for milk production in cows greater than 2 years</v>
      </c>
      <c r="F43" s="112"/>
      <c r="G43" s="108" t="str">
        <v>kg/head/day</v>
      </c>
      <c r="H43" s="109" t="str">
        <v>Calculated from 3.2.1.1, (4)</v>
      </c>
      <c r="I43" s="107" t="str" cm="1">
        <f t="array" aca="1" ref="I43" ca="1">HYPERLINK(Common_InputFunctions.Utility_SourceHyperlink($D$23), $D$23)</f>
        <v>M1_Table_MA_j_k-4-5</v>
      </c>
      <c r="U43" s="48" t="s">
        <v>104</v>
      </c>
      <c r="V43" s="111" t="s">
        <v>103</v>
      </c>
      <c r="W43" s="111" t="s">
        <v>102</v>
      </c>
      <c r="X43" s="111" t="s">
        <v>126</v>
      </c>
      <c r="Y43" s="111" t="s">
        <v>127</v>
      </c>
      <c r="Z43" s="111" t="s">
        <v>128</v>
      </c>
      <c r="AA43" s="111" t="s">
        <v>129</v>
      </c>
      <c r="AB43" s="111" t="s">
        <v>130</v>
      </c>
      <c r="AC43" s="111" t="s">
        <v>131</v>
      </c>
      <c r="AD43" s="111" t="s">
        <v>132</v>
      </c>
      <c r="AE43" s="111" t="s">
        <v>133</v>
      </c>
      <c r="AF43" s="2"/>
    </row>
    <row r="44" spans="4:34" ht="20.100000000000001" customHeight="1" x14ac:dyDescent="0.25">
      <c r="U44" s="49" t="str">
        <f>TEXT(X_Cell_Site_StartDate,"mmmm")</f>
        <v>January</v>
      </c>
      <c r="V44" s="49" cm="1">
        <f t="array" aca="1" ref="V44:AE55" ca="1">OFFSET(X_Table_PastureBeef_Liveweight_Method2,1,1,12,10)</f>
        <v>380</v>
      </c>
      <c r="W44" s="49">
        <f ca="1"/>
        <v>780</v>
      </c>
      <c r="X44" s="49">
        <f ca="1"/>
        <v>300</v>
      </c>
      <c r="Y44" s="49">
        <f ca="1"/>
        <v>450</v>
      </c>
      <c r="Z44" s="49">
        <f ca="1"/>
        <v>530</v>
      </c>
      <c r="AA44" s="49">
        <f ca="1"/>
        <v>530</v>
      </c>
      <c r="AB44" s="49">
        <f ca="1"/>
        <v>340</v>
      </c>
      <c r="AC44" s="49">
        <f ca="1"/>
        <v>470</v>
      </c>
      <c r="AD44" s="49">
        <f ca="1"/>
        <v>470</v>
      </c>
      <c r="AE44" s="49">
        <f ca="1"/>
        <v>470</v>
      </c>
      <c r="AF44" s="2" t="s">
        <v>105</v>
      </c>
    </row>
    <row r="45" spans="4:34" ht="20.100000000000001" customHeight="1" x14ac:dyDescent="0.25">
      <c r="D45" s="92" t="s">
        <v>230</v>
      </c>
      <c r="U45" s="49" t="str">
        <f>TEXT(EDATE(X_Cell_Site_StartDate,1), "mmmm")</f>
        <v>February</v>
      </c>
      <c r="V45" s="49">
        <f ca="1"/>
        <v>380</v>
      </c>
      <c r="W45" s="49">
        <f ca="1"/>
        <v>780</v>
      </c>
      <c r="X45" s="49">
        <f ca="1"/>
        <v>300</v>
      </c>
      <c r="Y45" s="49">
        <f ca="1"/>
        <v>450</v>
      </c>
      <c r="Z45" s="49">
        <f ca="1"/>
        <v>530</v>
      </c>
      <c r="AA45" s="49">
        <f ca="1"/>
        <v>530</v>
      </c>
      <c r="AB45" s="49">
        <f ca="1"/>
        <v>340</v>
      </c>
      <c r="AC45" s="49">
        <f ca="1"/>
        <v>470</v>
      </c>
      <c r="AD45" s="49">
        <f ca="1"/>
        <v>470</v>
      </c>
      <c r="AE45" s="49">
        <f ca="1"/>
        <v>470</v>
      </c>
      <c r="AF45" s="2" t="s">
        <v>105</v>
      </c>
    </row>
    <row r="46" spans="4:34" ht="20.100000000000001" customHeight="1" x14ac:dyDescent="0.25">
      <c r="D46" s="91" t="s">
        <v>205</v>
      </c>
      <c r="U46" s="49" t="str">
        <f>TEXT(EDATE(X_Cell_Site_StartDate,2), "mmmm")</f>
        <v>March</v>
      </c>
      <c r="V46" s="49">
        <f ca="1"/>
        <v>100</v>
      </c>
      <c r="W46" s="49">
        <f ca="1"/>
        <v>680</v>
      </c>
      <c r="X46" s="49">
        <f ca="1"/>
        <v>80</v>
      </c>
      <c r="Y46" s="49">
        <f ca="1"/>
        <v>320</v>
      </c>
      <c r="Z46" s="49">
        <f ca="1"/>
        <v>480</v>
      </c>
      <c r="AA46" s="49">
        <f ca="1"/>
        <v>480</v>
      </c>
      <c r="AB46" s="49">
        <f ca="1"/>
        <v>100</v>
      </c>
      <c r="AC46" s="49">
        <f ca="1"/>
        <v>340</v>
      </c>
      <c r="AD46" s="49">
        <f ca="1"/>
        <v>340</v>
      </c>
      <c r="AE46" s="49">
        <f ca="1"/>
        <v>340</v>
      </c>
      <c r="AF46" s="2" t="s">
        <v>105</v>
      </c>
    </row>
    <row r="47" spans="4:34" ht="20.100000000000001" customHeight="1" x14ac:dyDescent="0.25">
      <c r="D47" s="48" t="s">
        <v>145</v>
      </c>
      <c r="E47" s="111" t="s">
        <v>103</v>
      </c>
      <c r="F47" s="111" t="s">
        <v>102</v>
      </c>
      <c r="G47" s="111" t="s">
        <v>126</v>
      </c>
      <c r="H47" s="111" t="s">
        <v>127</v>
      </c>
      <c r="I47" s="111" t="s">
        <v>128</v>
      </c>
      <c r="J47" s="111" t="s">
        <v>129</v>
      </c>
      <c r="K47" s="111" t="s">
        <v>130</v>
      </c>
      <c r="L47" s="111" t="s">
        <v>131</v>
      </c>
      <c r="M47" s="111" t="s">
        <v>132</v>
      </c>
      <c r="N47" s="111" t="s">
        <v>133</v>
      </c>
      <c r="U47" s="49" t="str">
        <f>TEXT(EDATE(X_Cell_Site_StartDate,3), "mmmm")</f>
        <v>April</v>
      </c>
      <c r="V47" s="49">
        <f ca="1"/>
        <v>100</v>
      </c>
      <c r="W47" s="49">
        <f ca="1"/>
        <v>680</v>
      </c>
      <c r="X47" s="49">
        <f ca="1"/>
        <v>80</v>
      </c>
      <c r="Y47" s="49">
        <f ca="1"/>
        <v>320</v>
      </c>
      <c r="Z47" s="49">
        <f ca="1"/>
        <v>480</v>
      </c>
      <c r="AA47" s="49">
        <f ca="1"/>
        <v>480</v>
      </c>
      <c r="AB47" s="49">
        <f ca="1"/>
        <v>100</v>
      </c>
      <c r="AC47" s="49">
        <f ca="1"/>
        <v>340</v>
      </c>
      <c r="AD47" s="49">
        <f ca="1"/>
        <v>340</v>
      </c>
      <c r="AE47" s="49">
        <f ca="1"/>
        <v>340</v>
      </c>
      <c r="AF47" s="2" t="s">
        <v>105</v>
      </c>
    </row>
    <row r="48" spans="4:34" ht="20.100000000000001" customHeight="1" x14ac:dyDescent="0.25">
      <c r="D48" s="49" t="str">
        <f>INDEX(X_Table_PastureBeef_Liveweight_Method1,2,1)</f>
        <v>Spring</v>
      </c>
      <c r="E48" s="49" cm="1">
        <f t="array" aca="1" ref="E48:N51" ca="1">OFFSET(X_Table_PastureBeef_Liveweight_Method1, 1,1, 4,10)</f>
        <v>340</v>
      </c>
      <c r="F48" s="49">
        <f ca="1"/>
        <v>800</v>
      </c>
      <c r="G48" s="49">
        <f ca="1"/>
        <v>260</v>
      </c>
      <c r="H48" s="49">
        <f ca="1"/>
        <v>420</v>
      </c>
      <c r="I48" s="49">
        <f ca="1"/>
        <v>550</v>
      </c>
      <c r="J48" s="49">
        <f ca="1"/>
        <v>550</v>
      </c>
      <c r="K48" s="49">
        <f ca="1"/>
        <v>300</v>
      </c>
      <c r="L48" s="49">
        <f ca="1"/>
        <v>480</v>
      </c>
      <c r="M48" s="49">
        <f ca="1"/>
        <v>480</v>
      </c>
      <c r="N48" s="49">
        <f ca="1"/>
        <v>480</v>
      </c>
      <c r="O48" s="2" t="s">
        <v>105</v>
      </c>
      <c r="P48" s="2"/>
      <c r="Q48" s="2"/>
      <c r="U48" s="49" t="str">
        <f>TEXT(EDATE(X_Cell_Site_StartDate,4), "mmmm")</f>
        <v>May</v>
      </c>
      <c r="V48" s="49">
        <f ca="1"/>
        <v>100</v>
      </c>
      <c r="W48" s="49">
        <f ca="1"/>
        <v>680</v>
      </c>
      <c r="X48" s="49">
        <f ca="1"/>
        <v>80</v>
      </c>
      <c r="Y48" s="49">
        <f ca="1"/>
        <v>320</v>
      </c>
      <c r="Z48" s="49">
        <f ca="1"/>
        <v>480</v>
      </c>
      <c r="AA48" s="49">
        <f ca="1"/>
        <v>480</v>
      </c>
      <c r="AB48" s="49">
        <f ca="1"/>
        <v>100</v>
      </c>
      <c r="AC48" s="49">
        <f ca="1"/>
        <v>340</v>
      </c>
      <c r="AD48" s="49">
        <f ca="1"/>
        <v>340</v>
      </c>
      <c r="AE48" s="49">
        <f ca="1"/>
        <v>340</v>
      </c>
      <c r="AF48" s="2" t="s">
        <v>105</v>
      </c>
    </row>
    <row r="49" spans="4:34" ht="20.100000000000001" customHeight="1" x14ac:dyDescent="0.25">
      <c r="D49" s="49" t="str">
        <f>INDEX(X_Table_PastureBeef_Liveweight_Method1,3,1)</f>
        <v>Summer</v>
      </c>
      <c r="E49" s="49">
        <f ca="1"/>
        <v>380</v>
      </c>
      <c r="F49" s="49">
        <f ca="1"/>
        <v>780</v>
      </c>
      <c r="G49" s="49">
        <f ca="1"/>
        <v>300</v>
      </c>
      <c r="H49" s="49">
        <f ca="1"/>
        <v>450</v>
      </c>
      <c r="I49" s="49">
        <f ca="1"/>
        <v>530</v>
      </c>
      <c r="J49" s="49">
        <f ca="1"/>
        <v>530</v>
      </c>
      <c r="K49" s="49">
        <f ca="1"/>
        <v>340</v>
      </c>
      <c r="L49" s="49">
        <f ca="1"/>
        <v>470</v>
      </c>
      <c r="M49" s="49">
        <f ca="1"/>
        <v>470</v>
      </c>
      <c r="N49" s="49">
        <f ca="1"/>
        <v>470</v>
      </c>
      <c r="O49" s="2" t="s">
        <v>105</v>
      </c>
      <c r="P49" s="2"/>
      <c r="Q49" s="2"/>
      <c r="U49" s="49" t="str">
        <f>TEXT(EDATE(X_Cell_Site_StartDate,5), "mmmm")</f>
        <v>June</v>
      </c>
      <c r="V49" s="49">
        <f ca="1"/>
        <v>190</v>
      </c>
      <c r="W49" s="49">
        <f ca="1"/>
        <v>700</v>
      </c>
      <c r="X49" s="49">
        <f ca="1"/>
        <v>150</v>
      </c>
      <c r="Y49" s="49">
        <f ca="1"/>
        <v>330</v>
      </c>
      <c r="Z49" s="49">
        <f ca="1"/>
        <v>490</v>
      </c>
      <c r="AA49" s="49">
        <f ca="1"/>
        <v>490</v>
      </c>
      <c r="AB49" s="49">
        <f ca="1"/>
        <v>170</v>
      </c>
      <c r="AC49" s="49">
        <f ca="1"/>
        <v>360</v>
      </c>
      <c r="AD49" s="49">
        <f ca="1"/>
        <v>360</v>
      </c>
      <c r="AE49" s="49">
        <f ca="1"/>
        <v>360</v>
      </c>
      <c r="AF49" s="2" t="s">
        <v>105</v>
      </c>
    </row>
    <row r="50" spans="4:34" ht="20.100000000000001" customHeight="1" x14ac:dyDescent="0.25">
      <c r="D50" s="49" t="str">
        <f>INDEX(X_Table_PastureBeef_Liveweight_Method1,4,1)</f>
        <v>Autumn</v>
      </c>
      <c r="E50" s="49">
        <f ca="1"/>
        <v>100</v>
      </c>
      <c r="F50" s="49">
        <f ca="1"/>
        <v>680</v>
      </c>
      <c r="G50" s="49">
        <f ca="1"/>
        <v>80</v>
      </c>
      <c r="H50" s="49">
        <f ca="1"/>
        <v>320</v>
      </c>
      <c r="I50" s="49">
        <f ca="1"/>
        <v>480</v>
      </c>
      <c r="J50" s="49">
        <f ca="1"/>
        <v>480</v>
      </c>
      <c r="K50" s="49">
        <f ca="1"/>
        <v>100</v>
      </c>
      <c r="L50" s="49">
        <f ca="1"/>
        <v>340</v>
      </c>
      <c r="M50" s="49">
        <f ca="1"/>
        <v>340</v>
      </c>
      <c r="N50" s="49">
        <f ca="1"/>
        <v>340</v>
      </c>
      <c r="O50" s="2" t="s">
        <v>105</v>
      </c>
      <c r="P50" s="2"/>
      <c r="Q50" s="2"/>
      <c r="U50" s="49" t="str">
        <f>TEXT(EDATE(X_Cell_Site_StartDate,6), "mmmm")</f>
        <v>July</v>
      </c>
      <c r="V50" s="49">
        <f ca="1"/>
        <v>190</v>
      </c>
      <c r="W50" s="49">
        <f ca="1"/>
        <v>700</v>
      </c>
      <c r="X50" s="49">
        <f ca="1"/>
        <v>150</v>
      </c>
      <c r="Y50" s="49">
        <f ca="1"/>
        <v>330</v>
      </c>
      <c r="Z50" s="49">
        <f ca="1"/>
        <v>490</v>
      </c>
      <c r="AA50" s="49">
        <f ca="1"/>
        <v>490</v>
      </c>
      <c r="AB50" s="49">
        <f ca="1"/>
        <v>170</v>
      </c>
      <c r="AC50" s="49">
        <f ca="1"/>
        <v>360</v>
      </c>
      <c r="AD50" s="49">
        <f ca="1"/>
        <v>360</v>
      </c>
      <c r="AE50" s="49">
        <f ca="1"/>
        <v>360</v>
      </c>
      <c r="AF50" s="2" t="s">
        <v>105</v>
      </c>
    </row>
    <row r="51" spans="4:34" ht="20.100000000000001" customHeight="1" x14ac:dyDescent="0.25">
      <c r="D51" s="49" t="str">
        <f>INDEX(X_Table_PastureBeef_Liveweight_Method1,5,1)</f>
        <v>Winter</v>
      </c>
      <c r="E51" s="49">
        <f ca="1"/>
        <v>190</v>
      </c>
      <c r="F51" s="49">
        <f ca="1"/>
        <v>700</v>
      </c>
      <c r="G51" s="49">
        <f ca="1"/>
        <v>150</v>
      </c>
      <c r="H51" s="49">
        <f ca="1"/>
        <v>330</v>
      </c>
      <c r="I51" s="49">
        <f ca="1"/>
        <v>490</v>
      </c>
      <c r="J51" s="49">
        <f ca="1"/>
        <v>490</v>
      </c>
      <c r="K51" s="49">
        <f ca="1"/>
        <v>170</v>
      </c>
      <c r="L51" s="49">
        <f ca="1"/>
        <v>360</v>
      </c>
      <c r="M51" s="49">
        <f ca="1"/>
        <v>360</v>
      </c>
      <c r="N51" s="49">
        <f ca="1"/>
        <v>360</v>
      </c>
      <c r="O51" s="2" t="s">
        <v>105</v>
      </c>
      <c r="P51" s="2"/>
      <c r="Q51" s="2"/>
      <c r="U51" s="49" t="str">
        <f>TEXT(EDATE(X_Cell_Site_StartDate,7), "mmmm")</f>
        <v>August</v>
      </c>
      <c r="V51" s="49">
        <f ca="1"/>
        <v>190</v>
      </c>
      <c r="W51" s="49">
        <f ca="1"/>
        <v>700</v>
      </c>
      <c r="X51" s="49">
        <f ca="1"/>
        <v>150</v>
      </c>
      <c r="Y51" s="49">
        <f ca="1"/>
        <v>330</v>
      </c>
      <c r="Z51" s="49">
        <f ca="1"/>
        <v>490</v>
      </c>
      <c r="AA51" s="49">
        <f ca="1"/>
        <v>490</v>
      </c>
      <c r="AB51" s="49">
        <f ca="1"/>
        <v>170</v>
      </c>
      <c r="AC51" s="49">
        <f ca="1"/>
        <v>360</v>
      </c>
      <c r="AD51" s="49">
        <f ca="1"/>
        <v>360</v>
      </c>
      <c r="AE51" s="49">
        <f ca="1"/>
        <v>360</v>
      </c>
      <c r="AF51" s="2" t="s">
        <v>105</v>
      </c>
      <c r="AG51" s="2"/>
      <c r="AH51" s="2"/>
    </row>
    <row r="52" spans="4:34" ht="20.100000000000001" customHeight="1" x14ac:dyDescent="0.25">
      <c r="U52" s="49" t="str">
        <f>TEXT(EDATE(X_Cell_Site_StartDate,8), "mmmm")</f>
        <v>September</v>
      </c>
      <c r="V52" s="49">
        <f ca="1"/>
        <v>340</v>
      </c>
      <c r="W52" s="49">
        <f ca="1"/>
        <v>800</v>
      </c>
      <c r="X52" s="49">
        <f ca="1"/>
        <v>260</v>
      </c>
      <c r="Y52" s="49">
        <f ca="1"/>
        <v>420</v>
      </c>
      <c r="Z52" s="49">
        <f ca="1"/>
        <v>550</v>
      </c>
      <c r="AA52" s="49">
        <f ca="1"/>
        <v>550</v>
      </c>
      <c r="AB52" s="49">
        <f ca="1"/>
        <v>300</v>
      </c>
      <c r="AC52" s="49">
        <f ca="1"/>
        <v>480</v>
      </c>
      <c r="AD52" s="49">
        <f ca="1"/>
        <v>480</v>
      </c>
      <c r="AE52" s="49">
        <f ca="1"/>
        <v>480</v>
      </c>
      <c r="AF52" s="2" t="s">
        <v>105</v>
      </c>
      <c r="AG52" s="2"/>
      <c r="AH52" s="2"/>
    </row>
    <row r="53" spans="4:34" ht="20.100000000000001" customHeight="1" x14ac:dyDescent="0.25">
      <c r="D53" s="92" t="s">
        <v>203</v>
      </c>
      <c r="U53" s="49" t="str">
        <f>TEXT(EDATE(X_Cell_Site_StartDate,9), "mmmm")</f>
        <v>October</v>
      </c>
      <c r="V53" s="49">
        <f ca="1"/>
        <v>340</v>
      </c>
      <c r="W53" s="49">
        <f ca="1"/>
        <v>800</v>
      </c>
      <c r="X53" s="49">
        <f ca="1"/>
        <v>260</v>
      </c>
      <c r="Y53" s="49">
        <f ca="1"/>
        <v>420</v>
      </c>
      <c r="Z53" s="49">
        <f ca="1"/>
        <v>550</v>
      </c>
      <c r="AA53" s="49">
        <f ca="1"/>
        <v>550</v>
      </c>
      <c r="AB53" s="49">
        <f ca="1"/>
        <v>300</v>
      </c>
      <c r="AC53" s="49">
        <f ca="1"/>
        <v>480</v>
      </c>
      <c r="AD53" s="49">
        <f ca="1"/>
        <v>480</v>
      </c>
      <c r="AE53" s="49">
        <f ca="1"/>
        <v>480</v>
      </c>
      <c r="AF53" s="2" t="s">
        <v>105</v>
      </c>
      <c r="AG53" s="2"/>
      <c r="AH53" s="2"/>
    </row>
    <row r="54" spans="4:34" ht="20.100000000000001" customHeight="1" x14ac:dyDescent="0.25">
      <c r="D54" s="91" t="s">
        <v>204</v>
      </c>
      <c r="U54" s="49" t="str">
        <f>TEXT(EDATE(X_Cell_Site_StartDate,10), "mmmm")</f>
        <v>November</v>
      </c>
      <c r="V54" s="49">
        <f ca="1"/>
        <v>340</v>
      </c>
      <c r="W54" s="49">
        <f ca="1"/>
        <v>800</v>
      </c>
      <c r="X54" s="49">
        <f ca="1"/>
        <v>260</v>
      </c>
      <c r="Y54" s="49">
        <f ca="1"/>
        <v>420</v>
      </c>
      <c r="Z54" s="49">
        <f ca="1"/>
        <v>550</v>
      </c>
      <c r="AA54" s="49">
        <f ca="1"/>
        <v>550</v>
      </c>
      <c r="AB54" s="49">
        <f ca="1"/>
        <v>300</v>
      </c>
      <c r="AC54" s="49">
        <f ca="1"/>
        <v>480</v>
      </c>
      <c r="AD54" s="49">
        <f ca="1"/>
        <v>480</v>
      </c>
      <c r="AE54" s="49">
        <f ca="1"/>
        <v>480</v>
      </c>
      <c r="AF54" s="2" t="s">
        <v>105</v>
      </c>
      <c r="AG54" s="2"/>
      <c r="AH54" s="2"/>
    </row>
    <row r="55" spans="4:34" ht="20.100000000000001" customHeight="1" x14ac:dyDescent="0.25">
      <c r="D55" s="48" t="s">
        <v>145</v>
      </c>
      <c r="E55" s="111" t="s">
        <v>103</v>
      </c>
      <c r="F55" s="111" t="s">
        <v>102</v>
      </c>
      <c r="G55" s="111" t="s">
        <v>126</v>
      </c>
      <c r="H55" s="111" t="s">
        <v>127</v>
      </c>
      <c r="I55" s="111" t="s">
        <v>128</v>
      </c>
      <c r="J55" s="111" t="s">
        <v>129</v>
      </c>
      <c r="K55" s="111" t="s">
        <v>130</v>
      </c>
      <c r="L55" s="111" t="s">
        <v>131</v>
      </c>
      <c r="M55" s="111" t="s">
        <v>132</v>
      </c>
      <c r="N55" s="111" t="s">
        <v>133</v>
      </c>
      <c r="U55" s="49" t="str">
        <f>TEXT(EDATE(X_Cell_Site_StartDate,11), "mmmm")</f>
        <v>December</v>
      </c>
      <c r="V55" s="49">
        <f ca="1"/>
        <v>380</v>
      </c>
      <c r="W55" s="49">
        <f ca="1"/>
        <v>780</v>
      </c>
      <c r="X55" s="49">
        <f ca="1"/>
        <v>300</v>
      </c>
      <c r="Y55" s="49">
        <f ca="1"/>
        <v>450</v>
      </c>
      <c r="Z55" s="49">
        <f ca="1"/>
        <v>530</v>
      </c>
      <c r="AA55" s="49">
        <f ca="1"/>
        <v>530</v>
      </c>
      <c r="AB55" s="49">
        <f ca="1"/>
        <v>340</v>
      </c>
      <c r="AC55" s="49">
        <f ca="1"/>
        <v>470</v>
      </c>
      <c r="AD55" s="49">
        <f ca="1"/>
        <v>470</v>
      </c>
      <c r="AE55" s="49">
        <f ca="1"/>
        <v>470</v>
      </c>
      <c r="AF55" s="2" t="s">
        <v>105</v>
      </c>
      <c r="AG55" s="2"/>
      <c r="AH55" s="2"/>
    </row>
    <row r="56" spans="4:34" ht="20.100000000000001" customHeight="1" x14ac:dyDescent="0.25">
      <c r="D56" s="49" t="str">
        <f>INDEX(X_Table_PastureBeef_LiveweightGain_Method1,2,1)</f>
        <v>Spring</v>
      </c>
      <c r="E56" s="49" cm="1">
        <f t="array" aca="1" ref="E56:N59" ca="1">OFFSET(X_Table_PastureBeef_LiveweightGain_Method1, 1,1, 4,10)</f>
        <v>1.64</v>
      </c>
      <c r="F56" s="49">
        <f ca="1"/>
        <v>1.1000000000000001</v>
      </c>
      <c r="G56" s="49">
        <f ca="1"/>
        <v>1.21</v>
      </c>
      <c r="H56" s="49">
        <f ca="1"/>
        <v>0.99</v>
      </c>
      <c r="I56" s="49">
        <f ca="1"/>
        <v>0.66</v>
      </c>
      <c r="J56" s="49">
        <f ca="1"/>
        <v>0.66</v>
      </c>
      <c r="K56" s="49">
        <f ca="1"/>
        <v>1.42</v>
      </c>
      <c r="L56" s="49">
        <f ca="1"/>
        <v>1.1000000000000001</v>
      </c>
      <c r="M56" s="49">
        <f ca="1"/>
        <v>1.1000000000000001</v>
      </c>
      <c r="N56" s="49">
        <f ca="1"/>
        <v>1.1000000000000001</v>
      </c>
      <c r="O56" s="2" t="s">
        <v>105</v>
      </c>
      <c r="P56" s="2"/>
      <c r="Q56" s="2"/>
      <c r="AG56" s="2"/>
      <c r="AH56" s="2"/>
    </row>
    <row r="57" spans="4:34" ht="20.100000000000001" customHeight="1" x14ac:dyDescent="0.25">
      <c r="D57" s="49" t="str">
        <f>INDEX(X_Table_PastureBeef_LiveweightGain_Method1,3,1)</f>
        <v>Summer</v>
      </c>
      <c r="E57" s="49">
        <f ca="1"/>
        <v>0.44</v>
      </c>
      <c r="F57" s="49">
        <f ca="1"/>
        <v>-0.22</v>
      </c>
      <c r="G57" s="49">
        <f ca="1"/>
        <v>0.44</v>
      </c>
      <c r="H57" s="49">
        <f ca="1"/>
        <v>0.33</v>
      </c>
      <c r="I57" s="49">
        <f ca="1"/>
        <v>-0.22</v>
      </c>
      <c r="J57" s="49">
        <f ca="1"/>
        <v>-0.22</v>
      </c>
      <c r="K57" s="49">
        <f ca="1"/>
        <v>0.44</v>
      </c>
      <c r="L57" s="49">
        <f ca="1"/>
        <v>-0.11</v>
      </c>
      <c r="M57" s="49">
        <f ca="1"/>
        <v>-0.11</v>
      </c>
      <c r="N57" s="49">
        <f ca="1"/>
        <v>-0.11</v>
      </c>
      <c r="O57" s="2" t="s">
        <v>105</v>
      </c>
      <c r="P57" s="2"/>
      <c r="Q57" s="2"/>
      <c r="U57" s="92" t="s">
        <v>216</v>
      </c>
      <c r="AG57" s="2"/>
      <c r="AH57" s="2"/>
    </row>
    <row r="58" spans="4:34" ht="20.100000000000001" customHeight="1" x14ac:dyDescent="0.25">
      <c r="D58" s="49" t="str">
        <f>INDEX(X_Table_PastureBeef_LiveweightGain_Method1,4,1)</f>
        <v>Autumn</v>
      </c>
      <c r="E58" s="49">
        <f ca="1"/>
        <v>0.6</v>
      </c>
      <c r="F58" s="49">
        <f ca="1"/>
        <v>0</v>
      </c>
      <c r="G58" s="49">
        <f ca="1"/>
        <v>0.6</v>
      </c>
      <c r="H58" s="49">
        <f ca="1"/>
        <v>0.22</v>
      </c>
      <c r="I58" s="49">
        <f ca="1"/>
        <v>-0.55000000000000004</v>
      </c>
      <c r="J58" s="49">
        <f ca="1"/>
        <v>-0.55000000000000004</v>
      </c>
      <c r="K58" s="49">
        <f ca="1"/>
        <v>0.6</v>
      </c>
      <c r="L58" s="49">
        <f ca="1"/>
        <v>0</v>
      </c>
      <c r="M58" s="49">
        <f ca="1"/>
        <v>0</v>
      </c>
      <c r="N58" s="49">
        <f ca="1"/>
        <v>0</v>
      </c>
      <c r="O58" s="2" t="s">
        <v>105</v>
      </c>
      <c r="P58" s="2"/>
      <c r="Q58" s="2"/>
      <c r="U58" s="91" t="s">
        <v>217</v>
      </c>
      <c r="AG58" s="2"/>
      <c r="AH58" s="2"/>
    </row>
    <row r="59" spans="4:34" ht="20.100000000000001" customHeight="1" x14ac:dyDescent="0.25">
      <c r="D59" s="49" t="str">
        <f>INDEX(X_Table_PastureBeef_LiveweightGain_Method1,5,1)</f>
        <v>Winter</v>
      </c>
      <c r="E59" s="49">
        <f ca="1"/>
        <v>0.99</v>
      </c>
      <c r="F59" s="49">
        <f ca="1"/>
        <v>0.22</v>
      </c>
      <c r="G59" s="49">
        <f ca="1"/>
        <v>0.77</v>
      </c>
      <c r="H59" s="49">
        <f ca="1"/>
        <v>0.11</v>
      </c>
      <c r="I59" s="49">
        <f ca="1"/>
        <v>0.11</v>
      </c>
      <c r="J59" s="49">
        <f ca="1"/>
        <v>0.11</v>
      </c>
      <c r="K59" s="49">
        <f ca="1"/>
        <v>0.77</v>
      </c>
      <c r="L59" s="49">
        <f ca="1"/>
        <v>0.44</v>
      </c>
      <c r="M59" s="49">
        <f ca="1"/>
        <v>0.44</v>
      </c>
      <c r="N59" s="49">
        <f ca="1"/>
        <v>0.44</v>
      </c>
      <c r="O59" s="2" t="s">
        <v>105</v>
      </c>
      <c r="P59" s="2"/>
      <c r="Q59" s="2"/>
      <c r="U59" s="48" t="s">
        <v>104</v>
      </c>
      <c r="V59" s="111" t="s">
        <v>103</v>
      </c>
      <c r="W59" s="111" t="s">
        <v>102</v>
      </c>
      <c r="X59" s="111" t="s">
        <v>126</v>
      </c>
      <c r="Y59" s="111" t="s">
        <v>127</v>
      </c>
      <c r="Z59" s="111" t="s">
        <v>128</v>
      </c>
      <c r="AA59" s="111" t="s">
        <v>129</v>
      </c>
      <c r="AB59" s="111" t="s">
        <v>130</v>
      </c>
      <c r="AC59" s="111" t="s">
        <v>131</v>
      </c>
      <c r="AD59" s="111" t="s">
        <v>132</v>
      </c>
      <c r="AE59" s="111" t="s">
        <v>133</v>
      </c>
      <c r="AG59" s="2"/>
      <c r="AH59" s="2"/>
    </row>
    <row r="60" spans="4:34" ht="20.100000000000001" customHeight="1" x14ac:dyDescent="0.25">
      <c r="U60" s="49" t="str">
        <f>TEXT(X_Cell_Site_StartDate,"mmmm")</f>
        <v>January</v>
      </c>
      <c r="V60" s="49" cm="1">
        <f t="array" aca="1" ref="V60:AE71" ca="1">OFFSET(X_Table_PastureBeef_LiveweightGain_Method2,1,1,12,10)</f>
        <v>0.44</v>
      </c>
      <c r="W60" s="49">
        <f ca="1"/>
        <v>-0.22</v>
      </c>
      <c r="X60" s="49">
        <f ca="1"/>
        <v>0.44</v>
      </c>
      <c r="Y60" s="49">
        <f ca="1"/>
        <v>0.33</v>
      </c>
      <c r="Z60" s="49">
        <f ca="1"/>
        <v>-0.22</v>
      </c>
      <c r="AA60" s="49">
        <f ca="1"/>
        <v>-0.22</v>
      </c>
      <c r="AB60" s="49">
        <f ca="1"/>
        <v>0.44</v>
      </c>
      <c r="AC60" s="49">
        <f ca="1"/>
        <v>-0.11</v>
      </c>
      <c r="AD60" s="49">
        <f ca="1"/>
        <v>-0.11</v>
      </c>
      <c r="AE60" s="49">
        <f ca="1"/>
        <v>-0.11</v>
      </c>
      <c r="AF60" s="2" t="s">
        <v>106</v>
      </c>
      <c r="AG60" s="2"/>
      <c r="AH60" s="2"/>
    </row>
    <row r="61" spans="4:34" ht="20.100000000000001" customHeight="1" x14ac:dyDescent="0.25">
      <c r="D61" s="92" t="s">
        <v>206</v>
      </c>
      <c r="U61" s="49" t="str">
        <f>TEXT(EDATE(X_Cell_Site_StartDate,1), "mmmm")</f>
        <v>February</v>
      </c>
      <c r="V61" s="49">
        <f ca="1"/>
        <v>0.44</v>
      </c>
      <c r="W61" s="49">
        <f ca="1"/>
        <v>-0.22</v>
      </c>
      <c r="X61" s="49">
        <f ca="1"/>
        <v>0.44</v>
      </c>
      <c r="Y61" s="49">
        <f ca="1"/>
        <v>0.33</v>
      </c>
      <c r="Z61" s="49">
        <f ca="1"/>
        <v>-0.22</v>
      </c>
      <c r="AA61" s="49">
        <f ca="1"/>
        <v>-0.22</v>
      </c>
      <c r="AB61" s="49">
        <f ca="1"/>
        <v>0.44</v>
      </c>
      <c r="AC61" s="49">
        <f ca="1"/>
        <v>-0.11</v>
      </c>
      <c r="AD61" s="49">
        <f ca="1"/>
        <v>-0.11</v>
      </c>
      <c r="AE61" s="49">
        <f ca="1"/>
        <v>-0.11</v>
      </c>
      <c r="AF61" s="2" t="s">
        <v>106</v>
      </c>
      <c r="AG61" s="2"/>
      <c r="AH61" s="2"/>
    </row>
    <row r="62" spans="4:34" ht="20.100000000000001" customHeight="1" x14ac:dyDescent="0.25">
      <c r="D62" s="91" t="s">
        <v>114</v>
      </c>
      <c r="U62" s="49" t="str">
        <f>TEXT(EDATE(X_Cell_Site_StartDate,2), "mmmm")</f>
        <v>March</v>
      </c>
      <c r="V62" s="49">
        <f ca="1"/>
        <v>0.6</v>
      </c>
      <c r="W62" s="49">
        <f ca="1"/>
        <v>0</v>
      </c>
      <c r="X62" s="49">
        <f ca="1"/>
        <v>0.6</v>
      </c>
      <c r="Y62" s="49">
        <f ca="1"/>
        <v>0.22</v>
      </c>
      <c r="Z62" s="49">
        <f ca="1"/>
        <v>-0.55000000000000004</v>
      </c>
      <c r="AA62" s="49">
        <f ca="1"/>
        <v>-0.55000000000000004</v>
      </c>
      <c r="AB62" s="49">
        <f ca="1"/>
        <v>0.6</v>
      </c>
      <c r="AC62" s="49">
        <f ca="1"/>
        <v>0</v>
      </c>
      <c r="AD62" s="49">
        <f ca="1"/>
        <v>0</v>
      </c>
      <c r="AE62" s="49">
        <f ca="1"/>
        <v>0</v>
      </c>
      <c r="AF62" s="2" t="s">
        <v>106</v>
      </c>
      <c r="AG62" s="2"/>
      <c r="AH62" s="2"/>
    </row>
    <row r="63" spans="4:34" ht="20.100000000000001" customHeight="1" x14ac:dyDescent="0.25">
      <c r="D63" s="48" t="s">
        <v>145</v>
      </c>
      <c r="E63" s="48" t="s">
        <v>103</v>
      </c>
      <c r="F63" s="48" t="s">
        <v>102</v>
      </c>
      <c r="G63" s="48" t="s">
        <v>126</v>
      </c>
      <c r="H63" s="48" t="s">
        <v>127</v>
      </c>
      <c r="I63" s="48" t="s">
        <v>128</v>
      </c>
      <c r="J63" s="48" t="s">
        <v>129</v>
      </c>
      <c r="K63" s="48" t="s">
        <v>130</v>
      </c>
      <c r="L63" s="48" t="s">
        <v>131</v>
      </c>
      <c r="M63" s="48" t="s">
        <v>132</v>
      </c>
      <c r="N63" s="48" t="s">
        <v>133</v>
      </c>
      <c r="U63" s="49" t="str">
        <f>TEXT(EDATE(X_Cell_Site_StartDate,3), "mmmm")</f>
        <v>April</v>
      </c>
      <c r="V63" s="49">
        <f ca="1"/>
        <v>0.6</v>
      </c>
      <c r="W63" s="49">
        <f ca="1"/>
        <v>0</v>
      </c>
      <c r="X63" s="49">
        <f ca="1"/>
        <v>0.6</v>
      </c>
      <c r="Y63" s="49">
        <f ca="1"/>
        <v>0.22</v>
      </c>
      <c r="Z63" s="49">
        <f ca="1"/>
        <v>-0.55000000000000004</v>
      </c>
      <c r="AA63" s="49">
        <f ca="1"/>
        <v>-0.55000000000000004</v>
      </c>
      <c r="AB63" s="49">
        <f ca="1"/>
        <v>0.6</v>
      </c>
      <c r="AC63" s="49">
        <f ca="1"/>
        <v>0</v>
      </c>
      <c r="AD63" s="49">
        <f ca="1"/>
        <v>0</v>
      </c>
      <c r="AE63" s="49">
        <f ca="1"/>
        <v>0</v>
      </c>
      <c r="AF63" s="2" t="s">
        <v>106</v>
      </c>
      <c r="AG63" s="2"/>
      <c r="AH63" s="2"/>
    </row>
    <row r="64" spans="4:34" ht="20.100000000000001" customHeight="1" x14ac:dyDescent="0.25">
      <c r="D64" s="49" t="s">
        <v>134</v>
      </c>
      <c r="E64" s="49" cm="1">
        <f t="array" aca="1" ref="E64" ca="1">EntericMethane_PastureBeef_Equations.VEERG_3_2_1_1__3_FeedIntakeForGrazingBeef(E48,E56,G26)</f>
        <v>8.6709047296000001</v>
      </c>
      <c r="F64" s="49" cm="1">
        <f t="array" aca="1" ref="F64" ca="1">EntericMethane_PastureBeef_Equations.VEERG_3_2_1_1__3_FeedIntakeForGrazingBeef(F48,F56,H26)</f>
        <v>12.246500250000002</v>
      </c>
      <c r="G64" s="49" cm="1">
        <f t="array" aca="1" ref="G64" ca="1">EntericMethane_PastureBeef_Equations.VEERG_3_2_1_1__3_FeedIntakeForGrazingBeef(G48,G56,I26)</f>
        <v>6.6089612241000006</v>
      </c>
      <c r="H64" s="49" cm="1">
        <f t="array" aca="1" ref="H64" ca="1">EntericMethane_PastureBeef_Equations.VEERG_3_2_1_1__3_FeedIntakeForGrazingBeef(H48,H56,J26)</f>
        <v>8.6730839001000017</v>
      </c>
      <c r="I64" s="49" cm="1">
        <f t="array" aca="1" ref="I64" ca="1">EntericMethane_PastureBeef_Equations.VEERG_3_2_1_1__3_FeedIntakeForGrazingBeef(I48,I56,K26)</f>
        <v>9.6310915600000016</v>
      </c>
      <c r="J64" s="49" cm="1">
        <f t="array" aca="1" ref="J64" ca="1">EntericMethane_PastureBeef_Equations.VEERG_3_2_1_1__3_FeedIntakeForGrazingBeef(J48,J56,L26)</f>
        <v>9.6310915600000016</v>
      </c>
      <c r="K64" s="49" cm="1">
        <f t="array" aca="1" ref="K64" ca="1">EntericMethane_PastureBeef_Equations.VEERG_3_2_1_1__3_FeedIntakeForGrazingBeef(K48,K56,M26)</f>
        <v>7.6192560899999977</v>
      </c>
      <c r="L64" s="49" cm="1">
        <f t="array" aca="1" ref="L64" ca="1">EntericMethane_PastureBeef_Equations.VEERG_3_2_1_1__3_FeedIntakeForGrazingBeef(L48,L56,N26)</f>
        <v>9.6824279555999979</v>
      </c>
      <c r="M64" s="49" cm="1">
        <f t="array" aca="1" ref="M64" ca="1">EntericMethane_PastureBeef_Equations.VEERG_3_2_1_1__3_FeedIntakeForGrazingBeef(M48,M56,O26)</f>
        <v>9.6824279555999979</v>
      </c>
      <c r="N64" s="49" cm="1">
        <f t="array" aca="1" ref="N64" ca="1">EntericMethane_PastureBeef_Equations.VEERG_3_2_1_1__3_FeedIntakeForGrazingBeef(N48,N56,P26)</f>
        <v>9.6824279555999979</v>
      </c>
      <c r="O64" s="2" t="str">
        <f>$E$39</f>
        <v>kg DM/head/day</v>
      </c>
      <c r="P64" s="2"/>
      <c r="Q64" s="2"/>
      <c r="U64" s="49" t="str">
        <f>TEXT(EDATE(X_Cell_Site_StartDate,4), "mmmm")</f>
        <v>May</v>
      </c>
      <c r="V64" s="49">
        <f ca="1"/>
        <v>0.6</v>
      </c>
      <c r="W64" s="49">
        <f ca="1"/>
        <v>0</v>
      </c>
      <c r="X64" s="49">
        <f ca="1"/>
        <v>0.6</v>
      </c>
      <c r="Y64" s="49">
        <f ca="1"/>
        <v>0.22</v>
      </c>
      <c r="Z64" s="49">
        <f ca="1"/>
        <v>-0.55000000000000004</v>
      </c>
      <c r="AA64" s="49">
        <f ca="1"/>
        <v>-0.55000000000000004</v>
      </c>
      <c r="AB64" s="49">
        <f ca="1"/>
        <v>0.6</v>
      </c>
      <c r="AC64" s="49">
        <f ca="1"/>
        <v>0</v>
      </c>
      <c r="AD64" s="49">
        <f ca="1"/>
        <v>0</v>
      </c>
      <c r="AE64" s="49">
        <f ca="1"/>
        <v>0</v>
      </c>
      <c r="AF64" s="2" t="s">
        <v>106</v>
      </c>
    </row>
    <row r="65" spans="3:34" ht="20.100000000000001" customHeight="1" x14ac:dyDescent="0.25">
      <c r="D65" s="49" t="s">
        <v>135</v>
      </c>
      <c r="E65" s="49" cm="1">
        <f t="array" aca="1" ref="E65" ca="1">EntericMethane_PastureBeef_Equations.VEERG_3_2_1_1__3_FeedIntakeForGrazingBeef(E49,E57,G27)</f>
        <v>7.1468536895999959</v>
      </c>
      <c r="F65" s="49" cm="1">
        <f t="array" aca="1" ref="F65" ca="1">EntericMethane_PastureBeef_Equations.VEERG_3_2_1_1__3_FeedIntakeForGrazingBeef(F49,F57,H27)</f>
        <v>9.4559940036000008</v>
      </c>
      <c r="G65" s="49" cm="1">
        <f t="array" aca="1" ref="G65" ca="1">EntericMethane_PastureBeef_Equations.VEERG_3_2_1_1__3_FeedIntakeForGrazingBeef(G49,G57,I27)</f>
        <v>6.010342559999998</v>
      </c>
      <c r="H65" s="49" cm="1">
        <f t="array" aca="1" ref="H65" ca="1">EntericMethane_PastureBeef_Equations.VEERG_3_2_1_1__3_FeedIntakeForGrazingBeef(H49,H57,J27)</f>
        <v>7.8705497025</v>
      </c>
      <c r="I65" s="49" cm="1">
        <f t="array" aca="1" ref="I65" ca="1">EntericMethane_PastureBeef_Equations.VEERG_3_2_1_1__3_FeedIntakeForGrazingBeef(I49,I57,K27)</f>
        <v>7.7928072335999978</v>
      </c>
      <c r="J65" s="49" cm="1">
        <f t="array" aca="1" ref="J65" ca="1">EntericMethane_PastureBeef_Equations.VEERG_3_2_1_1__3_FeedIntakeForGrazingBeef(J49,J57,L27)</f>
        <v>7.7928072335999978</v>
      </c>
      <c r="K65" s="49" cm="1">
        <f t="array" aca="1" ref="K65" ca="1">EntericMethane_PastureBeef_Equations.VEERG_3_2_1_1__3_FeedIntakeForGrazingBeef(K49,K57,M27)</f>
        <v>6.5876408896000003</v>
      </c>
      <c r="L65" s="49" cm="1">
        <f t="array" aca="1" ref="L65" ca="1">EntericMethane_PastureBeef_Equations.VEERG_3_2_1_1__3_FeedIntakeForGrazingBeef(L49,L57,N27)</f>
        <v>7.3430702361</v>
      </c>
      <c r="M65" s="49" cm="1">
        <f t="array" aca="1" ref="M65" ca="1">EntericMethane_PastureBeef_Equations.VEERG_3_2_1_1__3_FeedIntakeForGrazingBeef(M49,M57,O27)</f>
        <v>7.3430702361</v>
      </c>
      <c r="N65" s="49" cm="1">
        <f t="array" aca="1" ref="N65" ca="1">EntericMethane_PastureBeef_Equations.VEERG_3_2_1_1__3_FeedIntakeForGrazingBeef(N49,N57,P27)</f>
        <v>7.3430702361</v>
      </c>
      <c r="O65" s="2" t="str">
        <f>$E$39</f>
        <v>kg DM/head/day</v>
      </c>
      <c r="P65" s="2"/>
      <c r="Q65" s="2"/>
      <c r="U65" s="49" t="str">
        <f>TEXT(EDATE(X_Cell_Site_StartDate,5), "mmmm")</f>
        <v>June</v>
      </c>
      <c r="V65" s="49">
        <f ca="1"/>
        <v>0.99</v>
      </c>
      <c r="W65" s="49">
        <f ca="1"/>
        <v>0.22</v>
      </c>
      <c r="X65" s="49">
        <f ca="1"/>
        <v>0.77</v>
      </c>
      <c r="Y65" s="49">
        <f ca="1"/>
        <v>0.11</v>
      </c>
      <c r="Z65" s="49">
        <f ca="1"/>
        <v>0.11</v>
      </c>
      <c r="AA65" s="49">
        <f ca="1"/>
        <v>0.11</v>
      </c>
      <c r="AB65" s="49">
        <f ca="1"/>
        <v>0.77</v>
      </c>
      <c r="AC65" s="49">
        <f ca="1"/>
        <v>0.44</v>
      </c>
      <c r="AD65" s="49">
        <f ca="1"/>
        <v>0.44</v>
      </c>
      <c r="AE65" s="49">
        <f ca="1"/>
        <v>0.44</v>
      </c>
      <c r="AF65" s="2" t="s">
        <v>106</v>
      </c>
    </row>
    <row r="66" spans="3:34" ht="20.100000000000001" customHeight="1" x14ac:dyDescent="0.25">
      <c r="D66" s="49" t="s">
        <v>136</v>
      </c>
      <c r="E66" s="49" cm="1">
        <f t="array" aca="1" ref="E66" ca="1">EntericMethane_PastureBeef_Equations.VEERG_3_2_1_1__3_FeedIntakeForGrazingBeef(E50,E58,G28)</f>
        <v>3.247204</v>
      </c>
      <c r="F66" s="49" cm="1">
        <f t="array" aca="1" ref="F66" ca="1">EntericMethane_PastureBeef_Equations.VEERG_3_2_1_1__3_FeedIntakeForGrazingBeef(F50,F58,H28)</f>
        <v>9.4246544015999998</v>
      </c>
      <c r="G66" s="49" cm="1">
        <f t="array" aca="1" ref="G66" ca="1">EntericMethane_PastureBeef_Equations.VEERG_3_2_1_1__3_FeedIntakeForGrazingBeef(G50,G58,I28)</f>
        <v>2.9603267136000002</v>
      </c>
      <c r="H66" s="49" cm="1">
        <f t="array" aca="1" ref="H66" ca="1">EntericMethane_PastureBeef_Equations.VEERG_3_2_1_1__3_FeedIntakeForGrazingBeef(H50,H58,J28)</f>
        <v>5.9577975395999987</v>
      </c>
      <c r="I66" s="49" cm="1">
        <f t="array" aca="1" ref="I66" ca="1">EntericMethane_PastureBeef_Equations.VEERG_3_2_1_1__3_FeedIntakeForGrazingBeef(I50,I58,K28)</f>
        <v>6.7179974480999993</v>
      </c>
      <c r="J66" s="49" cm="1">
        <f t="array" aca="1" ref="J66" ca="1">EntericMethane_PastureBeef_Equations.VEERG_3_2_1_1__3_FeedIntakeForGrazingBeef(J50,J58,L28)</f>
        <v>6.7179974480999993</v>
      </c>
      <c r="K66" s="49" cm="1">
        <f t="array" aca="1" ref="K66" ca="1">EntericMethane_PastureBeef_Equations.VEERG_3_2_1_1__3_FeedIntakeForGrazingBeef(K50,K58,M28)</f>
        <v>3.247204</v>
      </c>
      <c r="L66" s="49" cm="1">
        <f t="array" aca="1" ref="L66" ca="1">EntericMethane_PastureBeef_Equations.VEERG_3_2_1_1__3_FeedIntakeForGrazingBeef(L50,L58,N28)</f>
        <v>5.8953782416000013</v>
      </c>
      <c r="M66" s="49" cm="1">
        <f t="array" aca="1" ref="M66" ca="1">EntericMethane_PastureBeef_Equations.VEERG_3_2_1_1__3_FeedIntakeForGrazingBeef(M50,M58,O28)</f>
        <v>5.8953782416000013</v>
      </c>
      <c r="N66" s="49" cm="1">
        <f t="array" aca="1" ref="N66" ca="1">EntericMethane_PastureBeef_Equations.VEERG_3_2_1_1__3_FeedIntakeForGrazingBeef(N50,N58,P28)</f>
        <v>5.8953782416000013</v>
      </c>
      <c r="O66" s="2" t="str">
        <f>$E$39</f>
        <v>kg DM/head/day</v>
      </c>
      <c r="P66" s="2"/>
      <c r="Q66" s="2"/>
      <c r="U66" s="49" t="str">
        <f>TEXT(EDATE(X_Cell_Site_StartDate,6), "mmmm")</f>
        <v>July</v>
      </c>
      <c r="V66" s="49">
        <f ca="1"/>
        <v>0.99</v>
      </c>
      <c r="W66" s="49">
        <f ca="1"/>
        <v>0.22</v>
      </c>
      <c r="X66" s="49">
        <f ca="1"/>
        <v>0.77</v>
      </c>
      <c r="Y66" s="49">
        <f ca="1"/>
        <v>0.11</v>
      </c>
      <c r="Z66" s="49">
        <f ca="1"/>
        <v>0.11</v>
      </c>
      <c r="AA66" s="49">
        <f ca="1"/>
        <v>0.11</v>
      </c>
      <c r="AB66" s="49">
        <f ca="1"/>
        <v>0.77</v>
      </c>
      <c r="AC66" s="49">
        <f ca="1"/>
        <v>0.44</v>
      </c>
      <c r="AD66" s="49">
        <f ca="1"/>
        <v>0.44</v>
      </c>
      <c r="AE66" s="49">
        <f ca="1"/>
        <v>0.44</v>
      </c>
      <c r="AF66" s="2" t="s">
        <v>106</v>
      </c>
    </row>
    <row r="67" spans="3:34" ht="20.100000000000001" customHeight="1" x14ac:dyDescent="0.25">
      <c r="D67" s="49" t="s">
        <v>137</v>
      </c>
      <c r="E67" s="49" cm="1">
        <f t="array" aca="1" ref="E67" ca="1">EntericMethane_PastureBeef_Equations.VEERG_3_2_1_1__3_FeedIntakeForGrazingBeef(E51,E59,G29)</f>
        <v>5.1328980481000004</v>
      </c>
      <c r="F67" s="49" cm="1">
        <f t="array" aca="1" ref="F67" ca="1">EntericMethane_PastureBeef_Equations.VEERG_3_2_1_1__3_FeedIntakeForGrazingBeef(F51,F59,H29)</f>
        <v>9.9748588899999984</v>
      </c>
      <c r="G67" s="49" cm="1">
        <f t="array" aca="1" ref="G67" ca="1">EntericMethane_PastureBeef_Equations.VEERG_3_2_1_1__3_FeedIntakeForGrazingBeef(G51,G59,I29)</f>
        <v>4.202705002500001</v>
      </c>
      <c r="H67" s="49" cm="1">
        <f t="array" aca="1" ref="H67" ca="1">EntericMethane_PastureBeef_Equations.VEERG_3_2_1_1__3_FeedIntakeForGrazingBeef(H51,H59,J29)</f>
        <v>5.9278127841000021</v>
      </c>
      <c r="I67" s="49" cm="1">
        <f t="array" aca="1" ref="I67" ca="1">EntericMethane_PastureBeef_Equations.VEERG_3_2_1_1__3_FeedIntakeForGrazingBeef(I51,I59,K29)</f>
        <v>7.952343600099999</v>
      </c>
      <c r="J67" s="49" cm="1">
        <f t="array" aca="1" ref="J67" ca="1">EntericMethane_PastureBeef_Equations.VEERG_3_2_1_1__3_FeedIntakeForGrazingBeef(J51,J59,L29)</f>
        <v>7.952343600099999</v>
      </c>
      <c r="K67" s="49" cm="1">
        <f t="array" aca="1" ref="K67" ca="1">EntericMethane_PastureBeef_Equations.VEERG_3_2_1_1__3_FeedIntakeForGrazingBeef(K51,K59,M29)</f>
        <v>4.5122681240999984</v>
      </c>
      <c r="L67" s="49" cm="1">
        <f t="array" aca="1" ref="L67" ca="1">EntericMethane_PastureBeef_Equations.VEERG_3_2_1_1__3_FeedIntakeForGrazingBeef(L51,L59,N29)</f>
        <v>6.8698506815999991</v>
      </c>
      <c r="M67" s="49" cm="1">
        <f t="array" aca="1" ref="M67" ca="1">EntericMethane_PastureBeef_Equations.VEERG_3_2_1_1__3_FeedIntakeForGrazingBeef(M51,M59,O29)</f>
        <v>6.8698506815999991</v>
      </c>
      <c r="N67" s="49" cm="1">
        <f t="array" aca="1" ref="N67" ca="1">EntericMethane_PastureBeef_Equations.VEERG_3_2_1_1__3_FeedIntakeForGrazingBeef(N51,N59,P29)</f>
        <v>6.8698506815999991</v>
      </c>
      <c r="O67" s="2" t="str">
        <f>$E$39</f>
        <v>kg DM/head/day</v>
      </c>
      <c r="P67" s="2"/>
      <c r="Q67" s="2"/>
      <c r="U67" s="49" t="str">
        <f>TEXT(EDATE(X_Cell_Site_StartDate,7), "mmmm")</f>
        <v>August</v>
      </c>
      <c r="V67" s="49">
        <f ca="1"/>
        <v>0.99</v>
      </c>
      <c r="W67" s="49">
        <f ca="1"/>
        <v>0.22</v>
      </c>
      <c r="X67" s="49">
        <f ca="1"/>
        <v>0.77</v>
      </c>
      <c r="Y67" s="49">
        <f ca="1"/>
        <v>0.11</v>
      </c>
      <c r="Z67" s="49">
        <f ca="1"/>
        <v>0.11</v>
      </c>
      <c r="AA67" s="49">
        <f ca="1"/>
        <v>0.11</v>
      </c>
      <c r="AB67" s="49">
        <f ca="1"/>
        <v>0.77</v>
      </c>
      <c r="AC67" s="49">
        <f ca="1"/>
        <v>0.44</v>
      </c>
      <c r="AD67" s="49">
        <f ca="1"/>
        <v>0.44</v>
      </c>
      <c r="AE67" s="49">
        <f ca="1"/>
        <v>0.44</v>
      </c>
      <c r="AF67" s="2" t="s">
        <v>106</v>
      </c>
    </row>
    <row r="68" spans="3:34" ht="20.100000000000001" customHeight="1" x14ac:dyDescent="0.25">
      <c r="U68" s="49" t="str">
        <f>TEXT(EDATE(X_Cell_Site_StartDate,8), "mmmm")</f>
        <v>September</v>
      </c>
      <c r="V68" s="49">
        <f ca="1"/>
        <v>1.64</v>
      </c>
      <c r="W68" s="49">
        <f ca="1"/>
        <v>1.1000000000000001</v>
      </c>
      <c r="X68" s="49">
        <f ca="1"/>
        <v>1.21</v>
      </c>
      <c r="Y68" s="49">
        <f ca="1"/>
        <v>0.99</v>
      </c>
      <c r="Z68" s="49">
        <f ca="1"/>
        <v>0.66</v>
      </c>
      <c r="AA68" s="49">
        <f ca="1"/>
        <v>0.66</v>
      </c>
      <c r="AB68" s="49">
        <f ca="1"/>
        <v>1.42</v>
      </c>
      <c r="AC68" s="49">
        <f ca="1"/>
        <v>1.1000000000000001</v>
      </c>
      <c r="AD68" s="49">
        <f ca="1"/>
        <v>1.1000000000000001</v>
      </c>
      <c r="AE68" s="49">
        <f ca="1"/>
        <v>1.1000000000000001</v>
      </c>
      <c r="AF68" s="2" t="s">
        <v>106</v>
      </c>
      <c r="AG68" s="2"/>
      <c r="AH68" s="2"/>
    </row>
    <row r="69" spans="3:34" ht="20.100000000000001" customHeight="1" x14ac:dyDescent="0.25">
      <c r="U69" s="49" t="str">
        <f>TEXT(EDATE(X_Cell_Site_StartDate,9), "mmmm")</f>
        <v>October</v>
      </c>
      <c r="V69" s="49">
        <f ca="1"/>
        <v>1.64</v>
      </c>
      <c r="W69" s="49">
        <f ca="1"/>
        <v>1.1000000000000001</v>
      </c>
      <c r="X69" s="49">
        <f ca="1"/>
        <v>1.21</v>
      </c>
      <c r="Y69" s="49">
        <f ca="1"/>
        <v>0.99</v>
      </c>
      <c r="Z69" s="49">
        <f ca="1"/>
        <v>0.66</v>
      </c>
      <c r="AA69" s="49">
        <f ca="1"/>
        <v>0.66</v>
      </c>
      <c r="AB69" s="49">
        <f ca="1"/>
        <v>1.42</v>
      </c>
      <c r="AC69" s="49">
        <f ca="1"/>
        <v>1.1000000000000001</v>
      </c>
      <c r="AD69" s="49">
        <f ca="1"/>
        <v>1.1000000000000001</v>
      </c>
      <c r="AE69" s="49">
        <f ca="1"/>
        <v>1.1000000000000001</v>
      </c>
      <c r="AF69" s="2" t="s">
        <v>106</v>
      </c>
      <c r="AG69" s="2"/>
      <c r="AH69" s="2"/>
    </row>
    <row r="70" spans="3:34" ht="20.100000000000001" customHeight="1" x14ac:dyDescent="0.25">
      <c r="C70" s="42"/>
      <c r="D70" s="42"/>
      <c r="E70" s="42"/>
      <c r="F70" s="42"/>
      <c r="G70" s="42"/>
      <c r="H70" s="42"/>
      <c r="I70" s="42"/>
      <c r="J70" s="42"/>
      <c r="K70" s="42"/>
      <c r="L70" s="42"/>
      <c r="M70" s="42"/>
      <c r="N70" s="42"/>
      <c r="O70" s="42"/>
      <c r="P70" s="42"/>
      <c r="Q70" s="42"/>
      <c r="R70" s="42"/>
      <c r="U70" s="49" t="str">
        <f>TEXT(EDATE(X_Cell_Site_StartDate,10), "mmmm")</f>
        <v>November</v>
      </c>
      <c r="V70" s="49">
        <f ca="1"/>
        <v>1.64</v>
      </c>
      <c r="W70" s="49">
        <f ca="1"/>
        <v>1.1000000000000001</v>
      </c>
      <c r="X70" s="49">
        <f ca="1"/>
        <v>1.21</v>
      </c>
      <c r="Y70" s="49">
        <f ca="1"/>
        <v>0.99</v>
      </c>
      <c r="Z70" s="49">
        <f ca="1"/>
        <v>0.66</v>
      </c>
      <c r="AA70" s="49">
        <f ca="1"/>
        <v>0.66</v>
      </c>
      <c r="AB70" s="49">
        <f ca="1"/>
        <v>1.42</v>
      </c>
      <c r="AC70" s="49">
        <f ca="1"/>
        <v>1.1000000000000001</v>
      </c>
      <c r="AD70" s="49">
        <f ca="1"/>
        <v>1.1000000000000001</v>
      </c>
      <c r="AE70" s="49">
        <f ca="1"/>
        <v>1.1000000000000001</v>
      </c>
      <c r="AF70" s="2" t="s">
        <v>106</v>
      </c>
      <c r="AG70" s="2"/>
      <c r="AH70" s="2"/>
    </row>
    <row r="71" spans="3:34" ht="20.100000000000001" customHeight="1" x14ac:dyDescent="0.25">
      <c r="D71" s="6" t="str" cm="1">
        <f t="array" ref="D71">EntericMethane_PastureBeef_Equations.VEERG_3_2_1_1__2_DailyEntericMethaneProduction_Title()</f>
        <v>Daily production of enteric methane</v>
      </c>
      <c r="U71" s="49" t="str">
        <f>TEXT(EDATE(X_Cell_Site_StartDate,11), "mmmm")</f>
        <v>December</v>
      </c>
      <c r="V71" s="49">
        <f ca="1"/>
        <v>0.44</v>
      </c>
      <c r="W71" s="49">
        <f ca="1"/>
        <v>-0.22</v>
      </c>
      <c r="X71" s="49">
        <f ca="1"/>
        <v>0.44</v>
      </c>
      <c r="Y71" s="49">
        <f ca="1"/>
        <v>0.33</v>
      </c>
      <c r="Z71" s="49">
        <f ca="1"/>
        <v>-0.22</v>
      </c>
      <c r="AA71" s="49">
        <f ca="1"/>
        <v>-0.22</v>
      </c>
      <c r="AB71" s="49">
        <f ca="1"/>
        <v>0.44</v>
      </c>
      <c r="AC71" s="49">
        <f ca="1"/>
        <v>-0.11</v>
      </c>
      <c r="AD71" s="49">
        <f ca="1"/>
        <v>-0.11</v>
      </c>
      <c r="AE71" s="49">
        <f ca="1"/>
        <v>-0.11</v>
      </c>
      <c r="AF71" s="2" t="s">
        <v>106</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2" t="s">
        <v>218</v>
      </c>
      <c r="AG73" s="2"/>
      <c r="AH73" s="2"/>
    </row>
    <row r="74" spans="3:34" ht="20.100000000000001" customHeight="1" x14ac:dyDescent="0.25">
      <c r="U74" s="91" t="s">
        <v>113</v>
      </c>
      <c r="AG74" s="2"/>
      <c r="AH74" s="2"/>
    </row>
    <row r="75" spans="3:34" ht="20.100000000000001" customHeight="1" x14ac:dyDescent="0.25">
      <c r="U75" s="48" t="s">
        <v>104</v>
      </c>
      <c r="V75" s="48" t="s">
        <v>103</v>
      </c>
      <c r="W75" s="48" t="s">
        <v>102</v>
      </c>
      <c r="X75" s="48" t="s">
        <v>126</v>
      </c>
      <c r="Y75" s="48" t="s">
        <v>127</v>
      </c>
      <c r="Z75" s="48" t="s">
        <v>128</v>
      </c>
      <c r="AA75" s="48" t="s">
        <v>129</v>
      </c>
      <c r="AB75" s="48" t="s">
        <v>130</v>
      </c>
      <c r="AC75" s="48" t="s">
        <v>131</v>
      </c>
      <c r="AD75" s="48" t="s">
        <v>132</v>
      </c>
      <c r="AE75" s="48" t="s">
        <v>133</v>
      </c>
      <c r="AG75" s="2"/>
      <c r="AH75" s="2"/>
    </row>
    <row r="76" spans="3:34" ht="20.100000000000001" customHeight="1" x14ac:dyDescent="0.25">
      <c r="U76" s="49" t="str">
        <f>TEXT(X_Cell_Site_StartDate,"mmmm")</f>
        <v>January</v>
      </c>
      <c r="V76" s="49" cm="1">
        <f t="array" aca="1" ref="V76" ca="1">EntericMethane_PastureBeef_Equations.VEERG_3_2_1_1__3_FeedIntakeForGrazingBeef(V44,V60,X28)</f>
        <v>7.1468536895999959</v>
      </c>
      <c r="W76" s="49" cm="1">
        <f t="array" aca="1" ref="W76" ca="1">EntericMethane_PastureBeef_Equations.VEERG_3_2_1_1__3_FeedIntakeForGrazingBeef(W44,W60,Y28)</f>
        <v>9.4559940036000008</v>
      </c>
      <c r="X76" s="49" cm="1">
        <f t="array" aca="1" ref="X76" ca="1">EntericMethane_PastureBeef_Equations.VEERG_3_2_1_1__3_FeedIntakeForGrazingBeef(X44,X60,Z28)</f>
        <v>6.010342559999998</v>
      </c>
      <c r="Y76" s="49" cm="1">
        <f t="array" aca="1" ref="Y76" ca="1">EntericMethane_PastureBeef_Equations.VEERG_3_2_1_1__3_FeedIntakeForGrazingBeef(Y44,Y60,AA28)</f>
        <v>7.8705497025</v>
      </c>
      <c r="Z76" s="49" cm="1">
        <f t="array" aca="1" ref="Z76" ca="1">EntericMethane_PastureBeef_Equations.VEERG_3_2_1_1__3_FeedIntakeForGrazingBeef(Z44,Z60,AB28)</f>
        <v>7.7928072335999978</v>
      </c>
      <c r="AA76" s="49" cm="1">
        <f t="array" aca="1" ref="AA76" ca="1">EntericMethane_PastureBeef_Equations.VEERG_3_2_1_1__3_FeedIntakeForGrazingBeef(AA44,AA60,AC28)</f>
        <v>7.7928072335999978</v>
      </c>
      <c r="AB76" s="49" cm="1">
        <f t="array" aca="1" ref="AB76" ca="1">EntericMethane_PastureBeef_Equations.VEERG_3_2_1_1__3_FeedIntakeForGrazingBeef(AB44,AB60,AD28)</f>
        <v>6.5876408896000003</v>
      </c>
      <c r="AC76" s="49" cm="1">
        <f t="array" aca="1" ref="AC76" ca="1">EntericMethane_PastureBeef_Equations.VEERG_3_2_1_1__3_FeedIntakeForGrazingBeef(AC44,AC60,AE28)</f>
        <v>7.3430702361</v>
      </c>
      <c r="AD76" s="49" cm="1">
        <f t="array" aca="1" ref="AD76" ca="1">EntericMethane_PastureBeef_Equations.VEERG_3_2_1_1__3_FeedIntakeForGrazingBeef(AD44,AD60,AF28)</f>
        <v>7.3430702361</v>
      </c>
      <c r="AE76" s="49" cm="1">
        <f t="array" aca="1" ref="AE76" ca="1">EntericMethane_PastureBeef_Equations.VEERG_3_2_1_1__3_FeedIntakeForGrazingBeef(AE44,AE60,AG28)</f>
        <v>7.3430702361</v>
      </c>
      <c r="AF76" s="2" t="str">
        <f t="shared" ref="AF76:AF87" si="2">$E$39</f>
        <v>kg DM/head/day</v>
      </c>
      <c r="AG76" s="2"/>
      <c r="AH76" s="2"/>
    </row>
    <row r="77" spans="3:34" ht="20.100000000000001" customHeight="1" x14ac:dyDescent="0.25">
      <c r="D77" s="50" t="s">
        <v>23</v>
      </c>
      <c r="E77" s="1" t="str" cm="1">
        <f t="array" ref="E77">EntericMethane_PastureBeef_Equations.VEERG_3_2_1_1__2_DailyEntericMethaneProduction_Variable()</f>
        <v>M_jkl</v>
      </c>
      <c r="U77" s="49" t="str">
        <f>TEXT(EDATE(X_Cell_Site_StartDate,1), "mmmm")</f>
        <v>February</v>
      </c>
      <c r="V77" s="49" cm="1">
        <f t="array" aca="1" ref="V77" ca="1">EntericMethane_PastureBeef_Equations.VEERG_3_2_1_1__3_FeedIntakeForGrazingBeef(V45,V61,X29)</f>
        <v>7.1468536895999959</v>
      </c>
      <c r="W77" s="49" cm="1">
        <f t="array" aca="1" ref="W77" ca="1">EntericMethane_PastureBeef_Equations.VEERG_3_2_1_1__3_FeedIntakeForGrazingBeef(W45,W61,Y29)</f>
        <v>9.4559940036000008</v>
      </c>
      <c r="X77" s="49" cm="1">
        <f t="array" aca="1" ref="X77" ca="1">EntericMethane_PastureBeef_Equations.VEERG_3_2_1_1__3_FeedIntakeForGrazingBeef(X45,X61,Z29)</f>
        <v>6.010342559999998</v>
      </c>
      <c r="Y77" s="49" cm="1">
        <f t="array" aca="1" ref="Y77" ca="1">EntericMethane_PastureBeef_Equations.VEERG_3_2_1_1__3_FeedIntakeForGrazingBeef(Y45,Y61,AA29)</f>
        <v>7.8705497025</v>
      </c>
      <c r="Z77" s="49" cm="1">
        <f t="array" aca="1" ref="Z77" ca="1">EntericMethane_PastureBeef_Equations.VEERG_3_2_1_1__3_FeedIntakeForGrazingBeef(Z45,Z61,AB29)</f>
        <v>7.7928072335999978</v>
      </c>
      <c r="AA77" s="49" cm="1">
        <f t="array" aca="1" ref="AA77" ca="1">EntericMethane_PastureBeef_Equations.VEERG_3_2_1_1__3_FeedIntakeForGrazingBeef(AA45,AA61,AC29)</f>
        <v>7.7928072335999978</v>
      </c>
      <c r="AB77" s="49" cm="1">
        <f t="array" aca="1" ref="AB77" ca="1">EntericMethane_PastureBeef_Equations.VEERG_3_2_1_1__3_FeedIntakeForGrazingBeef(AB45,AB61,AD29)</f>
        <v>6.5876408896000003</v>
      </c>
      <c r="AC77" s="49" cm="1">
        <f t="array" aca="1" ref="AC77" ca="1">EntericMethane_PastureBeef_Equations.VEERG_3_2_1_1__3_FeedIntakeForGrazingBeef(AC45,AC61,AE29)</f>
        <v>7.3430702361</v>
      </c>
      <c r="AD77" s="49" cm="1">
        <f t="array" aca="1" ref="AD77" ca="1">EntericMethane_PastureBeef_Equations.VEERG_3_2_1_1__3_FeedIntakeForGrazingBeef(AD45,AD61,AF29)</f>
        <v>7.3430702361</v>
      </c>
      <c r="AE77" s="49" cm="1">
        <f t="array" aca="1" ref="AE77" ca="1">EntericMethane_PastureBeef_Equations.VEERG_3_2_1_1__3_FeedIntakeForGrazingBeef(AE45,AE61,AG29)</f>
        <v>7.3430702361</v>
      </c>
      <c r="AF77" s="2" t="str">
        <f t="shared" si="2"/>
        <v>kg DM/head/day</v>
      </c>
      <c r="AG77" s="2"/>
      <c r="AH77" s="2"/>
    </row>
    <row r="78" spans="3:34" ht="20.100000000000001" customHeight="1" x14ac:dyDescent="0.25">
      <c r="D78" s="50" t="s">
        <v>14</v>
      </c>
      <c r="E78" s="51" t="str" cm="1">
        <f t="array" ref="E78">EntericMethane_PastureBeef_Equations.VEERG_3_2_1_1__2_DailyEntericMethaneProduction_Unit()</f>
        <v>kg CH4/head/day</v>
      </c>
      <c r="U78" s="49" t="str">
        <f>TEXT(EDATE(X_Cell_Site_StartDate,2), "mmmm")</f>
        <v>March</v>
      </c>
      <c r="V78" s="49" cm="1">
        <f t="array" aca="1" ref="V78" ca="1">EntericMethane_PastureBeef_Equations.VEERG_3_2_1_1__3_FeedIntakeForGrazingBeef(V46,V62,X30)</f>
        <v>3.247204</v>
      </c>
      <c r="W78" s="49" cm="1">
        <f t="array" aca="1" ref="W78" ca="1">EntericMethane_PastureBeef_Equations.VEERG_3_2_1_1__3_FeedIntakeForGrazingBeef(W46,W62,Y30)</f>
        <v>9.4246544015999998</v>
      </c>
      <c r="X78" s="49" cm="1">
        <f t="array" aca="1" ref="X78" ca="1">EntericMethane_PastureBeef_Equations.VEERG_3_2_1_1__3_FeedIntakeForGrazingBeef(X46,X62,Z30)</f>
        <v>2.9603267136000002</v>
      </c>
      <c r="Y78" s="49" cm="1">
        <f t="array" aca="1" ref="Y78" ca="1">EntericMethane_PastureBeef_Equations.VEERG_3_2_1_1__3_FeedIntakeForGrazingBeef(Y46,Y62,AA30)</f>
        <v>5.9577975395999987</v>
      </c>
      <c r="Z78" s="49" cm="1">
        <f t="array" aca="1" ref="Z78" ca="1">EntericMethane_PastureBeef_Equations.VEERG_3_2_1_1__3_FeedIntakeForGrazingBeef(Z46,Z62,AB30)</f>
        <v>6.7179974480999993</v>
      </c>
      <c r="AA78" s="49" cm="1">
        <f t="array" aca="1" ref="AA78" ca="1">EntericMethane_PastureBeef_Equations.VEERG_3_2_1_1__3_FeedIntakeForGrazingBeef(AA46,AA62,AC30)</f>
        <v>6.7179974480999993</v>
      </c>
      <c r="AB78" s="49" cm="1">
        <f t="array" aca="1" ref="AB78" ca="1">EntericMethane_PastureBeef_Equations.VEERG_3_2_1_1__3_FeedIntakeForGrazingBeef(AB46,AB62,AD30)</f>
        <v>3.247204</v>
      </c>
      <c r="AC78" s="49" cm="1">
        <f t="array" aca="1" ref="AC78" ca="1">EntericMethane_PastureBeef_Equations.VEERG_3_2_1_1__3_FeedIntakeForGrazingBeef(AC46,AC62,AE30)</f>
        <v>5.8953782416000013</v>
      </c>
      <c r="AD78" s="49" cm="1">
        <f t="array" aca="1" ref="AD78" ca="1">EntericMethane_PastureBeef_Equations.VEERG_3_2_1_1__3_FeedIntakeForGrazingBeef(AD46,AD62,AF30)</f>
        <v>5.8953782416000013</v>
      </c>
      <c r="AE78" s="49" cm="1">
        <f t="array" aca="1" ref="AE78" ca="1">EntericMethane_PastureBeef_Equations.VEERG_3_2_1_1__3_FeedIntakeForGrazingBeef(AE46,AE62,AG30)</f>
        <v>5.8953782416000013</v>
      </c>
      <c r="AF78" s="2" t="str">
        <f t="shared" si="2"/>
        <v>kg DM/head/day</v>
      </c>
      <c r="AG78" s="2"/>
      <c r="AH78" s="2"/>
    </row>
    <row r="79" spans="3:34" ht="20.100000000000001" customHeight="1" x14ac:dyDescent="0.25">
      <c r="U79" s="49" t="str">
        <f>TEXT(EDATE(X_Cell_Site_StartDate,3), "mmmm")</f>
        <v>April</v>
      </c>
      <c r="V79" s="49" cm="1">
        <f t="array" aca="1" ref="V79" ca="1">EntericMethane_PastureBeef_Equations.VEERG_3_2_1_1__3_FeedIntakeForGrazingBeef(V47,V63,X31)</f>
        <v>3.247204</v>
      </c>
      <c r="W79" s="49" cm="1">
        <f t="array" aca="1" ref="W79" ca="1">EntericMethane_PastureBeef_Equations.VEERG_3_2_1_1__3_FeedIntakeForGrazingBeef(W47,W63,Y31)</f>
        <v>9.4246544015999998</v>
      </c>
      <c r="X79" s="49" cm="1">
        <f t="array" aca="1" ref="X79" ca="1">EntericMethane_PastureBeef_Equations.VEERG_3_2_1_1__3_FeedIntakeForGrazingBeef(X47,X63,Z31)</f>
        <v>2.9603267136000002</v>
      </c>
      <c r="Y79" s="49" cm="1">
        <f t="array" aca="1" ref="Y79" ca="1">EntericMethane_PastureBeef_Equations.VEERG_3_2_1_1__3_FeedIntakeForGrazingBeef(Y47,Y63,AA31)</f>
        <v>5.9577975395999987</v>
      </c>
      <c r="Z79" s="49" cm="1">
        <f t="array" aca="1" ref="Z79" ca="1">EntericMethane_PastureBeef_Equations.VEERG_3_2_1_1__3_FeedIntakeForGrazingBeef(Z47,Z63,AB31)</f>
        <v>6.7179974480999993</v>
      </c>
      <c r="AA79" s="49" cm="1">
        <f t="array" aca="1" ref="AA79" ca="1">EntericMethane_PastureBeef_Equations.VEERG_3_2_1_1__3_FeedIntakeForGrazingBeef(AA47,AA63,AC31)</f>
        <v>6.7179974480999993</v>
      </c>
      <c r="AB79" s="49" cm="1">
        <f t="array" aca="1" ref="AB79" ca="1">EntericMethane_PastureBeef_Equations.VEERG_3_2_1_1__3_FeedIntakeForGrazingBeef(AB47,AB63,AD31)</f>
        <v>3.247204</v>
      </c>
      <c r="AC79" s="49" cm="1">
        <f t="array" aca="1" ref="AC79" ca="1">EntericMethane_PastureBeef_Equations.VEERG_3_2_1_1__3_FeedIntakeForGrazingBeef(AC47,AC63,AE31)</f>
        <v>5.8953782416000013</v>
      </c>
      <c r="AD79" s="49" cm="1">
        <f t="array" aca="1" ref="AD79" ca="1">EntericMethane_PastureBeef_Equations.VEERG_3_2_1_1__3_FeedIntakeForGrazingBeef(AD47,AD63,AF31)</f>
        <v>5.8953782416000013</v>
      </c>
      <c r="AE79" s="49" cm="1">
        <f t="array" aca="1" ref="AE79" ca="1">EntericMethane_PastureBeef_Equations.VEERG_3_2_1_1__3_FeedIntakeForGrazingBeef(AE47,AE63,AG31)</f>
        <v>5.8953782416000013</v>
      </c>
      <c r="AF79" s="2" t="str">
        <f t="shared" si="2"/>
        <v>kg DM/head/day</v>
      </c>
      <c r="AG79" s="2"/>
      <c r="AH79" s="2"/>
    </row>
    <row r="80" spans="3:34" ht="20.100000000000001" customHeight="1" x14ac:dyDescent="0.25">
      <c r="D80" s="108" t="str" cm="1">
        <f t="array" ref="D80:E80">_xlfn.CHOOSECOLS(EntericMethane_PastureBeef_Equations.VEERG_3_2_1_1__2_DailyEntericMethaneProduction_Arguments(), 1, 2)</f>
        <v>I_jkl</v>
      </c>
      <c r="E80" s="113" t="str">
        <v>dry matter intake</v>
      </c>
      <c r="F80" s="112"/>
      <c r="G80" s="108" t="str" cm="1">
        <f t="array" ref="G80:H80">_xlfn.CHOOSECOLS(EntericMethane_PastureBeef_Equations.VEERG_3_2_1_1__2_DailyEntericMethaneProduction_Arguments(), 3,4)</f>
        <v>kg DM/head/day</v>
      </c>
      <c r="H80" s="109" t="str">
        <v>Calculated from 3.2.1.1, (3)</v>
      </c>
      <c r="I80" s="107" t="str" cm="1">
        <f t="array" aca="1" ref="I80" ca="1">HYPERLINK(Common_InputFunctions.Utility_SourceHyperlink($D$61), $D$61)</f>
        <v>M1_Table_I_j_k_l</v>
      </c>
      <c r="U80" s="49" t="str">
        <f>TEXT(EDATE(X_Cell_Site_StartDate,4), "mmmm")</f>
        <v>May</v>
      </c>
      <c r="V80" s="49" cm="1">
        <f t="array" aca="1" ref="V80" ca="1">EntericMethane_PastureBeef_Equations.VEERG_3_2_1_1__3_FeedIntakeForGrazingBeef(V48,V64,X32)</f>
        <v>3.247204</v>
      </c>
      <c r="W80" s="49" cm="1">
        <f t="array" aca="1" ref="W80" ca="1">EntericMethane_PastureBeef_Equations.VEERG_3_2_1_1__3_FeedIntakeForGrazingBeef(W48,W64,Y32)</f>
        <v>9.4246544015999998</v>
      </c>
      <c r="X80" s="49" cm="1">
        <f t="array" aca="1" ref="X80" ca="1">EntericMethane_PastureBeef_Equations.VEERG_3_2_1_1__3_FeedIntakeForGrazingBeef(X48,X64,Z32)</f>
        <v>2.9603267136000002</v>
      </c>
      <c r="Y80" s="49" cm="1">
        <f t="array" aca="1" ref="Y80" ca="1">EntericMethane_PastureBeef_Equations.VEERG_3_2_1_1__3_FeedIntakeForGrazingBeef(Y48,Y64,AA32)</f>
        <v>5.9577975395999987</v>
      </c>
      <c r="Z80" s="49" cm="1">
        <f t="array" aca="1" ref="Z80" ca="1">EntericMethane_PastureBeef_Equations.VEERG_3_2_1_1__3_FeedIntakeForGrazingBeef(Z48,Z64,AB32)</f>
        <v>6.7179974480999993</v>
      </c>
      <c r="AA80" s="49" cm="1">
        <f t="array" aca="1" ref="AA80" ca="1">EntericMethane_PastureBeef_Equations.VEERG_3_2_1_1__3_FeedIntakeForGrazingBeef(AA48,AA64,AC32)</f>
        <v>6.7179974480999993</v>
      </c>
      <c r="AB80" s="49" cm="1">
        <f t="array" aca="1" ref="AB80" ca="1">EntericMethane_PastureBeef_Equations.VEERG_3_2_1_1__3_FeedIntakeForGrazingBeef(AB48,AB64,AD32)</f>
        <v>3.247204</v>
      </c>
      <c r="AC80" s="49" cm="1">
        <f t="array" aca="1" ref="AC80" ca="1">EntericMethane_PastureBeef_Equations.VEERG_3_2_1_1__3_FeedIntakeForGrazingBeef(AC48,AC64,AE32)</f>
        <v>5.8953782416000013</v>
      </c>
      <c r="AD80" s="49" cm="1">
        <f t="array" aca="1" ref="AD80" ca="1">EntericMethane_PastureBeef_Equations.VEERG_3_2_1_1__3_FeedIntakeForGrazingBeef(AD48,AD64,AF32)</f>
        <v>5.8953782416000013</v>
      </c>
      <c r="AE80" s="49" cm="1">
        <f t="array" aca="1" ref="AE80" ca="1">EntericMethane_PastureBeef_Equations.VEERG_3_2_1_1__3_FeedIntakeForGrazingBeef(AE48,AE64,AG32)</f>
        <v>5.8953782416000013</v>
      </c>
      <c r="AF80" s="2" t="str">
        <f t="shared" si="2"/>
        <v>kg DM/head/day</v>
      </c>
    </row>
    <row r="81" spans="3:35" ht="20.100000000000001" customHeight="1" x14ac:dyDescent="0.25">
      <c r="U81" s="49" t="str">
        <f>TEXT(EDATE(X_Cell_Site_StartDate,5), "mmmm")</f>
        <v>June</v>
      </c>
      <c r="V81" s="49" cm="1">
        <f t="array" aca="1" ref="V81" ca="1">EntericMethane_PastureBeef_Equations.VEERG_3_2_1_1__3_FeedIntakeForGrazingBeef(V49,V65,X33)</f>
        <v>5.1328980481000004</v>
      </c>
      <c r="W81" s="49" cm="1">
        <f t="array" aca="1" ref="W81" ca="1">EntericMethane_PastureBeef_Equations.VEERG_3_2_1_1__3_FeedIntakeForGrazingBeef(W49,W65,Y33)</f>
        <v>9.9748588899999984</v>
      </c>
      <c r="X81" s="49" cm="1">
        <f t="array" aca="1" ref="X81" ca="1">EntericMethane_PastureBeef_Equations.VEERG_3_2_1_1__3_FeedIntakeForGrazingBeef(X49,X65,Z33)</f>
        <v>4.202705002500001</v>
      </c>
      <c r="Y81" s="49" cm="1">
        <f t="array" aca="1" ref="Y81" ca="1">EntericMethane_PastureBeef_Equations.VEERG_3_2_1_1__3_FeedIntakeForGrazingBeef(Y49,Y65,AA33)</f>
        <v>5.9278127841000021</v>
      </c>
      <c r="Z81" s="49" cm="1">
        <f t="array" aca="1" ref="Z81" ca="1">EntericMethane_PastureBeef_Equations.VEERG_3_2_1_1__3_FeedIntakeForGrazingBeef(Z49,Z65,AB33)</f>
        <v>7.952343600099999</v>
      </c>
      <c r="AA81" s="49" cm="1">
        <f t="array" aca="1" ref="AA81" ca="1">EntericMethane_PastureBeef_Equations.VEERG_3_2_1_1__3_FeedIntakeForGrazingBeef(AA49,AA65,AC33)</f>
        <v>7.952343600099999</v>
      </c>
      <c r="AB81" s="49" cm="1">
        <f t="array" aca="1" ref="AB81" ca="1">EntericMethane_PastureBeef_Equations.VEERG_3_2_1_1__3_FeedIntakeForGrazingBeef(AB49,AB65,AD33)</f>
        <v>4.5122681240999984</v>
      </c>
      <c r="AC81" s="49" cm="1">
        <f t="array" aca="1" ref="AC81" ca="1">EntericMethane_PastureBeef_Equations.VEERG_3_2_1_1__3_FeedIntakeForGrazingBeef(AC49,AC65,AE33)</f>
        <v>6.8698506815999991</v>
      </c>
      <c r="AD81" s="49" cm="1">
        <f t="array" aca="1" ref="AD81" ca="1">EntericMethane_PastureBeef_Equations.VEERG_3_2_1_1__3_FeedIntakeForGrazingBeef(AD49,AD65,AF33)</f>
        <v>6.8698506815999991</v>
      </c>
      <c r="AE81" s="49" cm="1">
        <f t="array" aca="1" ref="AE81" ca="1">EntericMethane_PastureBeef_Equations.VEERG_3_2_1_1__3_FeedIntakeForGrazingBeef(AE49,AE65,AG33)</f>
        <v>6.8698506815999991</v>
      </c>
      <c r="AF81" s="2" t="str">
        <f t="shared" si="2"/>
        <v>kg DM/head/day</v>
      </c>
    </row>
    <row r="82" spans="3:35" ht="20.100000000000001" customHeight="1" x14ac:dyDescent="0.25">
      <c r="D82" s="92" t="s">
        <v>256</v>
      </c>
      <c r="U82" s="49" t="str">
        <f>TEXT(EDATE(X_Cell_Site_StartDate,6), "mmmm")</f>
        <v>July</v>
      </c>
      <c r="V82" s="49" cm="1">
        <f t="array" aca="1" ref="V82" ca="1">EntericMethane_PastureBeef_Equations.VEERG_3_2_1_1__3_FeedIntakeForGrazingBeef(V50,V66,X34)</f>
        <v>5.1328980481000004</v>
      </c>
      <c r="W82" s="49" cm="1">
        <f t="array" aca="1" ref="W82" ca="1">EntericMethane_PastureBeef_Equations.VEERG_3_2_1_1__3_FeedIntakeForGrazingBeef(W50,W66,Y34)</f>
        <v>9.9748588899999984</v>
      </c>
      <c r="X82" s="49" cm="1">
        <f t="array" aca="1" ref="X82" ca="1">EntericMethane_PastureBeef_Equations.VEERG_3_2_1_1__3_FeedIntakeForGrazingBeef(X50,X66,Z34)</f>
        <v>4.202705002500001</v>
      </c>
      <c r="Y82" s="49" cm="1">
        <f t="array" aca="1" ref="Y82" ca="1">EntericMethane_PastureBeef_Equations.VEERG_3_2_1_1__3_FeedIntakeForGrazingBeef(Y50,Y66,AA34)</f>
        <v>5.9278127841000021</v>
      </c>
      <c r="Z82" s="49" cm="1">
        <f t="array" aca="1" ref="Z82" ca="1">EntericMethane_PastureBeef_Equations.VEERG_3_2_1_1__3_FeedIntakeForGrazingBeef(Z50,Z66,AB34)</f>
        <v>7.952343600099999</v>
      </c>
      <c r="AA82" s="49" cm="1">
        <f t="array" aca="1" ref="AA82" ca="1">EntericMethane_PastureBeef_Equations.VEERG_3_2_1_1__3_FeedIntakeForGrazingBeef(AA50,AA66,AC34)</f>
        <v>7.952343600099999</v>
      </c>
      <c r="AB82" s="49" cm="1">
        <f t="array" aca="1" ref="AB82" ca="1">EntericMethane_PastureBeef_Equations.VEERG_3_2_1_1__3_FeedIntakeForGrazingBeef(AB50,AB66,AD34)</f>
        <v>4.5122681240999984</v>
      </c>
      <c r="AC82" s="49" cm="1">
        <f t="array" aca="1" ref="AC82" ca="1">EntericMethane_PastureBeef_Equations.VEERG_3_2_1_1__3_FeedIntakeForGrazingBeef(AC50,AC66,AE34)</f>
        <v>6.8698506815999991</v>
      </c>
      <c r="AD82" s="49" cm="1">
        <f t="array" aca="1" ref="AD82" ca="1">EntericMethane_PastureBeef_Equations.VEERG_3_2_1_1__3_FeedIntakeForGrazingBeef(AD50,AD66,AF34)</f>
        <v>6.8698506815999991</v>
      </c>
      <c r="AE82" s="49" cm="1">
        <f t="array" aca="1" ref="AE82" ca="1">EntericMethane_PastureBeef_Equations.VEERG_3_2_1_1__3_FeedIntakeForGrazingBeef(AE50,AE66,AG34)</f>
        <v>6.8698506815999991</v>
      </c>
      <c r="AF82" s="2" t="str">
        <f t="shared" si="2"/>
        <v>kg DM/head/day</v>
      </c>
    </row>
    <row r="83" spans="3:35" ht="20.100000000000001" customHeight="1" x14ac:dyDescent="0.25">
      <c r="D83" s="91" t="s">
        <v>257</v>
      </c>
      <c r="U83" s="49" t="str">
        <f>TEXT(EDATE(X_Cell_Site_StartDate,7), "mmmm")</f>
        <v>August</v>
      </c>
      <c r="V83" s="49" cm="1">
        <f t="array" aca="1" ref="V83" ca="1">EntericMethane_PastureBeef_Equations.VEERG_3_2_1_1__3_FeedIntakeForGrazingBeef(V51,V67,X35)</f>
        <v>5.1328980481000004</v>
      </c>
      <c r="W83" s="49" cm="1">
        <f t="array" aca="1" ref="W83" ca="1">EntericMethane_PastureBeef_Equations.VEERG_3_2_1_1__3_FeedIntakeForGrazingBeef(W51,W67,Y35)</f>
        <v>9.9748588899999984</v>
      </c>
      <c r="X83" s="49" cm="1">
        <f t="array" aca="1" ref="X83" ca="1">EntericMethane_PastureBeef_Equations.VEERG_3_2_1_1__3_FeedIntakeForGrazingBeef(X51,X67,Z35)</f>
        <v>4.202705002500001</v>
      </c>
      <c r="Y83" s="49" cm="1">
        <f t="array" aca="1" ref="Y83" ca="1">EntericMethane_PastureBeef_Equations.VEERG_3_2_1_1__3_FeedIntakeForGrazingBeef(Y51,Y67,AA35)</f>
        <v>5.9278127841000021</v>
      </c>
      <c r="Z83" s="49" cm="1">
        <f t="array" aca="1" ref="Z83" ca="1">EntericMethane_PastureBeef_Equations.VEERG_3_2_1_1__3_FeedIntakeForGrazingBeef(Z51,Z67,AB35)</f>
        <v>7.952343600099999</v>
      </c>
      <c r="AA83" s="49" cm="1">
        <f t="array" aca="1" ref="AA83" ca="1">EntericMethane_PastureBeef_Equations.VEERG_3_2_1_1__3_FeedIntakeForGrazingBeef(AA51,AA67,AC35)</f>
        <v>7.952343600099999</v>
      </c>
      <c r="AB83" s="49" cm="1">
        <f t="array" aca="1" ref="AB83" ca="1">EntericMethane_PastureBeef_Equations.VEERG_3_2_1_1__3_FeedIntakeForGrazingBeef(AB51,AB67,AD35)</f>
        <v>4.5122681240999984</v>
      </c>
      <c r="AC83" s="49" cm="1">
        <f t="array" aca="1" ref="AC83" ca="1">EntericMethane_PastureBeef_Equations.VEERG_3_2_1_1__3_FeedIntakeForGrazingBeef(AC51,AC67,AE35)</f>
        <v>6.8698506815999991</v>
      </c>
      <c r="AD83" s="49" cm="1">
        <f t="array" aca="1" ref="AD83" ca="1">EntericMethane_PastureBeef_Equations.VEERG_3_2_1_1__3_FeedIntakeForGrazingBeef(AD51,AD67,AF35)</f>
        <v>6.8698506815999991</v>
      </c>
      <c r="AE83" s="49" cm="1">
        <f t="array" aca="1" ref="AE83" ca="1">EntericMethane_PastureBeef_Equations.VEERG_3_2_1_1__3_FeedIntakeForGrazingBeef(AE51,AE67,AG35)</f>
        <v>6.8698506815999991</v>
      </c>
      <c r="AF83" s="2" t="str">
        <f t="shared" si="2"/>
        <v>kg DM/head/day</v>
      </c>
    </row>
    <row r="84" spans="3:35" ht="20.100000000000001" customHeight="1" x14ac:dyDescent="0.25">
      <c r="D84" s="48" t="s">
        <v>145</v>
      </c>
      <c r="E84" s="48" t="s">
        <v>103</v>
      </c>
      <c r="F84" s="48" t="s">
        <v>102</v>
      </c>
      <c r="G84" s="48" t="s">
        <v>126</v>
      </c>
      <c r="H84" s="48" t="s">
        <v>127</v>
      </c>
      <c r="I84" s="48" t="s">
        <v>128</v>
      </c>
      <c r="J84" s="48" t="s">
        <v>129</v>
      </c>
      <c r="K84" s="48" t="s">
        <v>130</v>
      </c>
      <c r="L84" s="48" t="s">
        <v>131</v>
      </c>
      <c r="M84" s="48" t="s">
        <v>132</v>
      </c>
      <c r="N84" s="48" t="s">
        <v>133</v>
      </c>
      <c r="U84" s="49" t="str">
        <f>TEXT(EDATE(X_Cell_Site_StartDate,8), "mmmm")</f>
        <v>September</v>
      </c>
      <c r="V84" s="49" cm="1">
        <f t="array" aca="1" ref="V84" ca="1">EntericMethane_PastureBeef_Equations.VEERG_3_2_1_1__3_FeedIntakeForGrazingBeef(V52,V68,X36)</f>
        <v>8.6709047296000001</v>
      </c>
      <c r="W84" s="49" cm="1">
        <f t="array" aca="1" ref="W84" ca="1">EntericMethane_PastureBeef_Equations.VEERG_3_2_1_1__3_FeedIntakeForGrazingBeef(W52,W68,Y36)</f>
        <v>12.246500250000002</v>
      </c>
      <c r="X84" s="49" cm="1">
        <f t="array" aca="1" ref="X84" ca="1">EntericMethane_PastureBeef_Equations.VEERG_3_2_1_1__3_FeedIntakeForGrazingBeef(X52,X68,Z36)</f>
        <v>6.6089612241000006</v>
      </c>
      <c r="Y84" s="49" cm="1">
        <f t="array" aca="1" ref="Y84" ca="1">EntericMethane_PastureBeef_Equations.VEERG_3_2_1_1__3_FeedIntakeForGrazingBeef(Y52,Y68,AA36)</f>
        <v>8.6730839001000017</v>
      </c>
      <c r="Z84" s="49" cm="1">
        <f t="array" aca="1" ref="Z84" ca="1">EntericMethane_PastureBeef_Equations.VEERG_3_2_1_1__3_FeedIntakeForGrazingBeef(Z52,Z68,AB36)</f>
        <v>9.6310915600000016</v>
      </c>
      <c r="AA84" s="49" cm="1">
        <f t="array" aca="1" ref="AA84" ca="1">EntericMethane_PastureBeef_Equations.VEERG_3_2_1_1__3_FeedIntakeForGrazingBeef(AA52,AA68,AC36)</f>
        <v>9.6310915600000016</v>
      </c>
      <c r="AB84" s="49" cm="1">
        <f t="array" aca="1" ref="AB84" ca="1">EntericMethane_PastureBeef_Equations.VEERG_3_2_1_1__3_FeedIntakeForGrazingBeef(AB52,AB68,AD36)</f>
        <v>7.6192560899999977</v>
      </c>
      <c r="AC84" s="49" cm="1">
        <f t="array" aca="1" ref="AC84" ca="1">EntericMethane_PastureBeef_Equations.VEERG_3_2_1_1__3_FeedIntakeForGrazingBeef(AC52,AC68,AE36)</f>
        <v>9.6824279555999979</v>
      </c>
      <c r="AD84" s="49" cm="1">
        <f t="array" aca="1" ref="AD84" ca="1">EntericMethane_PastureBeef_Equations.VEERG_3_2_1_1__3_FeedIntakeForGrazingBeef(AD52,AD68,AF36)</f>
        <v>9.6824279555999979</v>
      </c>
      <c r="AE84" s="49" cm="1">
        <f t="array" aca="1" ref="AE84" ca="1">EntericMethane_PastureBeef_Equations.VEERG_3_2_1_1__3_FeedIntakeForGrazingBeef(AE52,AE68,AG36)</f>
        <v>9.6824279555999979</v>
      </c>
      <c r="AF84" s="2" t="str">
        <f t="shared" si="2"/>
        <v>kg DM/head/day</v>
      </c>
      <c r="AG84" s="2"/>
      <c r="AH84" s="2"/>
    </row>
    <row r="85" spans="3:35" ht="20.100000000000001" customHeight="1" x14ac:dyDescent="0.25">
      <c r="D85" s="49" t="s">
        <v>134</v>
      </c>
      <c r="E85" s="49" cm="1">
        <f t="array" aca="1" ref="E85" ca="1">EntericMethane_PastureBeef_Equations.VEERG_3_2_1_1__2_DailyEntericMethaneProduction(E64)</f>
        <v>0.17948772790272</v>
      </c>
      <c r="F85" s="49" cm="1">
        <f t="array" aca="1" ref="F85" ca="1">EntericMethane_PastureBeef_Equations.VEERG_3_2_1_1__2_DailyEntericMethaneProduction(F64)</f>
        <v>0.25350255517500003</v>
      </c>
      <c r="G85" s="49" cm="1">
        <f t="array" aca="1" ref="G85" ca="1">EntericMethane_PastureBeef_Equations.VEERG_3_2_1_1__2_DailyEntericMethaneProduction(G64)</f>
        <v>0.13680549733887001</v>
      </c>
      <c r="H85" s="49" cm="1">
        <f t="array" aca="1" ref="H85" ca="1">EntericMethane_PastureBeef_Equations.VEERG_3_2_1_1__2_DailyEntericMethaneProduction(H64)</f>
        <v>0.17953283673207002</v>
      </c>
      <c r="I85" s="49" cm="1">
        <f t="array" aca="1" ref="I85" ca="1">EntericMethane_PastureBeef_Equations.VEERG_3_2_1_1__2_DailyEntericMethaneProduction(I64)</f>
        <v>0.19936359529200001</v>
      </c>
      <c r="J85" s="49" cm="1">
        <f t="array" aca="1" ref="J85" ca="1">EntericMethane_PastureBeef_Equations.VEERG_3_2_1_1__2_DailyEntericMethaneProduction(J64)</f>
        <v>0.19936359529200001</v>
      </c>
      <c r="K85" s="49" cm="1">
        <f t="array" aca="1" ref="K85" ca="1">EntericMethane_PastureBeef_Equations.VEERG_3_2_1_1__2_DailyEntericMethaneProduction(K64)</f>
        <v>0.15771860106299995</v>
      </c>
      <c r="L85" s="49" cm="1">
        <f t="array" aca="1" ref="L85" ca="1">EntericMethane_PastureBeef_Equations.VEERG_3_2_1_1__2_DailyEntericMethaneProduction(L64)</f>
        <v>0.20042625868091996</v>
      </c>
      <c r="M85" s="49" cm="1">
        <f t="array" aca="1" ref="M85" ca="1">EntericMethane_PastureBeef_Equations.VEERG_3_2_1_1__2_DailyEntericMethaneProduction(M64)</f>
        <v>0.20042625868091996</v>
      </c>
      <c r="N85" s="49" cm="1">
        <f t="array" aca="1" ref="N85" ca="1">EntericMethane_PastureBeef_Equations.VEERG_3_2_1_1__2_DailyEntericMethaneProduction(N64)</f>
        <v>0.20042625868091996</v>
      </c>
      <c r="O85" s="2" t="str">
        <f>G80</f>
        <v>kg DM/head/day</v>
      </c>
      <c r="P85" s="2"/>
      <c r="Q85" s="2"/>
      <c r="U85" s="49" t="str">
        <f>TEXT(EDATE(X_Cell_Site_StartDate,9), "mmmm")</f>
        <v>October</v>
      </c>
      <c r="V85" s="49" cm="1">
        <f t="array" aca="1" ref="V85" ca="1">EntericMethane_PastureBeef_Equations.VEERG_3_2_1_1__3_FeedIntakeForGrazingBeef(V53,V69,X37)</f>
        <v>8.6709047296000001</v>
      </c>
      <c r="W85" s="49" cm="1">
        <f t="array" aca="1" ref="W85" ca="1">EntericMethane_PastureBeef_Equations.VEERG_3_2_1_1__3_FeedIntakeForGrazingBeef(W53,W69,Y37)</f>
        <v>12.246500250000002</v>
      </c>
      <c r="X85" s="49" cm="1">
        <f t="array" aca="1" ref="X85" ca="1">EntericMethane_PastureBeef_Equations.VEERG_3_2_1_1__3_FeedIntakeForGrazingBeef(X53,X69,Z37)</f>
        <v>6.6089612241000006</v>
      </c>
      <c r="Y85" s="49" cm="1">
        <f t="array" aca="1" ref="Y85" ca="1">EntericMethane_PastureBeef_Equations.VEERG_3_2_1_1__3_FeedIntakeForGrazingBeef(Y53,Y69,AA37)</f>
        <v>8.6730839001000017</v>
      </c>
      <c r="Z85" s="49" cm="1">
        <f t="array" aca="1" ref="Z85" ca="1">EntericMethane_PastureBeef_Equations.VEERG_3_2_1_1__3_FeedIntakeForGrazingBeef(Z53,Z69,AB37)</f>
        <v>9.6310915600000016</v>
      </c>
      <c r="AA85" s="49" cm="1">
        <f t="array" aca="1" ref="AA85" ca="1">EntericMethane_PastureBeef_Equations.VEERG_3_2_1_1__3_FeedIntakeForGrazingBeef(AA53,AA69,AC37)</f>
        <v>9.6310915600000016</v>
      </c>
      <c r="AB85" s="49" cm="1">
        <f t="array" aca="1" ref="AB85" ca="1">EntericMethane_PastureBeef_Equations.VEERG_3_2_1_1__3_FeedIntakeForGrazingBeef(AB53,AB69,AD37)</f>
        <v>7.6192560899999977</v>
      </c>
      <c r="AC85" s="49" cm="1">
        <f t="array" aca="1" ref="AC85" ca="1">EntericMethane_PastureBeef_Equations.VEERG_3_2_1_1__3_FeedIntakeForGrazingBeef(AC53,AC69,AE37)</f>
        <v>9.6824279555999979</v>
      </c>
      <c r="AD85" s="49" cm="1">
        <f t="array" aca="1" ref="AD85" ca="1">EntericMethane_PastureBeef_Equations.VEERG_3_2_1_1__3_FeedIntakeForGrazingBeef(AD53,AD69,AF37)</f>
        <v>9.6824279555999979</v>
      </c>
      <c r="AE85" s="49" cm="1">
        <f t="array" aca="1" ref="AE85" ca="1">EntericMethane_PastureBeef_Equations.VEERG_3_2_1_1__3_FeedIntakeForGrazingBeef(AE53,AE69,AG37)</f>
        <v>9.6824279555999979</v>
      </c>
      <c r="AF85" s="2" t="str">
        <f t="shared" si="2"/>
        <v>kg DM/head/day</v>
      </c>
      <c r="AG85" s="2"/>
      <c r="AH85" s="2"/>
    </row>
    <row r="86" spans="3:35" ht="20.100000000000001" customHeight="1" x14ac:dyDescent="0.25">
      <c r="D86" s="49" t="s">
        <v>135</v>
      </c>
      <c r="E86" s="49" cm="1">
        <f t="array" aca="1" ref="E86" ca="1">EntericMethane_PastureBeef_Equations.VEERG_3_2_1_1__2_DailyEntericMethaneProduction(E65)</f>
        <v>0.14793987137471989</v>
      </c>
      <c r="F86" s="49" cm="1">
        <f t="array" aca="1" ref="F86" ca="1">EntericMethane_PastureBeef_Equations.VEERG_3_2_1_1__2_DailyEntericMethaneProduction(F65)</f>
        <v>0.19573907587452002</v>
      </c>
      <c r="G86" s="49" cm="1">
        <f t="array" aca="1" ref="G86" ca="1">EntericMethane_PastureBeef_Equations.VEERG_3_2_1_1__2_DailyEntericMethaneProduction(G65)</f>
        <v>0.12441409099199996</v>
      </c>
      <c r="H86" s="49" cm="1">
        <f t="array" aca="1" ref="H86" ca="1">EntericMethane_PastureBeef_Equations.VEERG_3_2_1_1__2_DailyEntericMethaneProduction(H65)</f>
        <v>0.16292037884175001</v>
      </c>
      <c r="I86" s="49" cm="1">
        <f t="array" aca="1" ref="I86" ca="1">EntericMethane_PastureBeef_Equations.VEERG_3_2_1_1__2_DailyEntericMethaneProduction(I65)</f>
        <v>0.16131110973551996</v>
      </c>
      <c r="J86" s="49" cm="1">
        <f t="array" aca="1" ref="J86" ca="1">EntericMethane_PastureBeef_Equations.VEERG_3_2_1_1__2_DailyEntericMethaneProduction(J65)</f>
        <v>0.16131110973551996</v>
      </c>
      <c r="K86" s="49" cm="1">
        <f t="array" aca="1" ref="K86" ca="1">EntericMethane_PastureBeef_Equations.VEERG_3_2_1_1__2_DailyEntericMethaneProduction(K65)</f>
        <v>0.13636416641471999</v>
      </c>
      <c r="L86" s="49" cm="1">
        <f t="array" aca="1" ref="L86" ca="1">EntericMethane_PastureBeef_Equations.VEERG_3_2_1_1__2_DailyEntericMethaneProduction(L65)</f>
        <v>0.15200155388727002</v>
      </c>
      <c r="M86" s="49" cm="1">
        <f t="array" aca="1" ref="M86" ca="1">EntericMethane_PastureBeef_Equations.VEERG_3_2_1_1__2_DailyEntericMethaneProduction(M65)</f>
        <v>0.15200155388727002</v>
      </c>
      <c r="N86" s="49" cm="1">
        <f t="array" aca="1" ref="N86" ca="1">EntericMethane_PastureBeef_Equations.VEERG_3_2_1_1__2_DailyEntericMethaneProduction(N65)</f>
        <v>0.15200155388727002</v>
      </c>
      <c r="O86" s="2"/>
      <c r="P86" s="2"/>
      <c r="Q86" s="2"/>
      <c r="U86" s="49" t="str">
        <f>TEXT(EDATE(X_Cell_Site_StartDate,10), "mmmm")</f>
        <v>November</v>
      </c>
      <c r="V86" s="49" cm="1">
        <f t="array" aca="1" ref="V86" ca="1">EntericMethane_PastureBeef_Equations.VEERG_3_2_1_1__3_FeedIntakeForGrazingBeef(V54,V70,X38)</f>
        <v>8.6709047296000001</v>
      </c>
      <c r="W86" s="49" cm="1">
        <f t="array" aca="1" ref="W86" ca="1">EntericMethane_PastureBeef_Equations.VEERG_3_2_1_1__3_FeedIntakeForGrazingBeef(W54,W70,Y38)</f>
        <v>12.246500250000002</v>
      </c>
      <c r="X86" s="49" cm="1">
        <f t="array" aca="1" ref="X86" ca="1">EntericMethane_PastureBeef_Equations.VEERG_3_2_1_1__3_FeedIntakeForGrazingBeef(X54,X70,Z38)</f>
        <v>6.6089612241000006</v>
      </c>
      <c r="Y86" s="49" cm="1">
        <f t="array" aca="1" ref="Y86" ca="1">EntericMethane_PastureBeef_Equations.VEERG_3_2_1_1__3_FeedIntakeForGrazingBeef(Y54,Y70,AA38)</f>
        <v>8.6730839001000017</v>
      </c>
      <c r="Z86" s="49" cm="1">
        <f t="array" aca="1" ref="Z86" ca="1">EntericMethane_PastureBeef_Equations.VEERG_3_2_1_1__3_FeedIntakeForGrazingBeef(Z54,Z70,AB38)</f>
        <v>9.6310915600000016</v>
      </c>
      <c r="AA86" s="49" cm="1">
        <f t="array" aca="1" ref="AA86" ca="1">EntericMethane_PastureBeef_Equations.VEERG_3_2_1_1__3_FeedIntakeForGrazingBeef(AA54,AA70,AC38)</f>
        <v>9.6310915600000016</v>
      </c>
      <c r="AB86" s="49" cm="1">
        <f t="array" aca="1" ref="AB86" ca="1">EntericMethane_PastureBeef_Equations.VEERG_3_2_1_1__3_FeedIntakeForGrazingBeef(AB54,AB70,AD38)</f>
        <v>7.6192560899999977</v>
      </c>
      <c r="AC86" s="49" cm="1">
        <f t="array" aca="1" ref="AC86" ca="1">EntericMethane_PastureBeef_Equations.VEERG_3_2_1_1__3_FeedIntakeForGrazingBeef(AC54,AC70,AE38)</f>
        <v>9.6824279555999979</v>
      </c>
      <c r="AD86" s="49" cm="1">
        <f t="array" aca="1" ref="AD86" ca="1">EntericMethane_PastureBeef_Equations.VEERG_3_2_1_1__3_FeedIntakeForGrazingBeef(AD54,AD70,AF38)</f>
        <v>9.6824279555999979</v>
      </c>
      <c r="AE86" s="49" cm="1">
        <f t="array" aca="1" ref="AE86" ca="1">EntericMethane_PastureBeef_Equations.VEERG_3_2_1_1__3_FeedIntakeForGrazingBeef(AE54,AE70,AG38)</f>
        <v>9.6824279555999979</v>
      </c>
      <c r="AF86" s="2" t="str">
        <f t="shared" si="2"/>
        <v>kg DM/head/day</v>
      </c>
      <c r="AG86" s="2"/>
      <c r="AH86" s="2"/>
    </row>
    <row r="87" spans="3:35" ht="20.100000000000001" customHeight="1" x14ac:dyDescent="0.25">
      <c r="D87" s="49" t="s">
        <v>136</v>
      </c>
      <c r="E87" s="49" cm="1">
        <f t="array" aca="1" ref="E87" ca="1">EntericMethane_PastureBeef_Equations.VEERG_3_2_1_1__2_DailyEntericMethaneProduction(E66)</f>
        <v>6.7217122800000001E-2</v>
      </c>
      <c r="F87" s="49" cm="1">
        <f t="array" aca="1" ref="F87" ca="1">EntericMethane_PastureBeef_Equations.VEERG_3_2_1_1__2_DailyEntericMethaneProduction(F66)</f>
        <v>0.19509034611311998</v>
      </c>
      <c r="G87" s="49" cm="1">
        <f t="array" aca="1" ref="G87" ca="1">EntericMethane_PastureBeef_Equations.VEERG_3_2_1_1__2_DailyEntericMethaneProduction(G66)</f>
        <v>6.1278762971520004E-2</v>
      </c>
      <c r="H87" s="49" cm="1">
        <f t="array" aca="1" ref="H87" ca="1">EntericMethane_PastureBeef_Equations.VEERG_3_2_1_1__2_DailyEntericMethaneProduction(H66)</f>
        <v>0.12332640906971998</v>
      </c>
      <c r="I87" s="49" cm="1">
        <f t="array" aca="1" ref="I87" ca="1">EntericMethane_PastureBeef_Equations.VEERG_3_2_1_1__2_DailyEntericMethaneProduction(I66)</f>
        <v>0.13906254717566999</v>
      </c>
      <c r="J87" s="49" cm="1">
        <f t="array" aca="1" ref="J87" ca="1">EntericMethane_PastureBeef_Equations.VEERG_3_2_1_1__2_DailyEntericMethaneProduction(J66)</f>
        <v>0.13906254717566999</v>
      </c>
      <c r="K87" s="49" cm="1">
        <f t="array" aca="1" ref="K87" ca="1">EntericMethane_PastureBeef_Equations.VEERG_3_2_1_1__2_DailyEntericMethaneProduction(K66)</f>
        <v>6.7217122800000001E-2</v>
      </c>
      <c r="L87" s="49" cm="1">
        <f t="array" aca="1" ref="L87" ca="1">EntericMethane_PastureBeef_Equations.VEERG_3_2_1_1__2_DailyEntericMethaneProduction(L66)</f>
        <v>0.12203432960112003</v>
      </c>
      <c r="M87" s="49" cm="1">
        <f t="array" aca="1" ref="M87" ca="1">EntericMethane_PastureBeef_Equations.VEERG_3_2_1_1__2_DailyEntericMethaneProduction(M66)</f>
        <v>0.12203432960112003</v>
      </c>
      <c r="N87" s="49" cm="1">
        <f t="array" aca="1" ref="N87" ca="1">EntericMethane_PastureBeef_Equations.VEERG_3_2_1_1__2_DailyEntericMethaneProduction(N66)</f>
        <v>0.12203432960112003</v>
      </c>
      <c r="O87" s="2"/>
      <c r="P87" s="2"/>
      <c r="Q87" s="2"/>
      <c r="U87" s="49" t="str">
        <f>TEXT(EDATE(X_Cell_Site_StartDate,11), "mmmm")</f>
        <v>December</v>
      </c>
      <c r="V87" s="49" cm="1">
        <f t="array" aca="1" ref="V87" ca="1">EntericMethane_PastureBeef_Equations.VEERG_3_2_1_1__3_FeedIntakeForGrazingBeef(V55,V71,X39)</f>
        <v>7.1468536895999959</v>
      </c>
      <c r="W87" s="49" cm="1">
        <f t="array" aca="1" ref="W87" ca="1">EntericMethane_PastureBeef_Equations.VEERG_3_2_1_1__3_FeedIntakeForGrazingBeef(W55,W71,Y39)</f>
        <v>9.4559940036000008</v>
      </c>
      <c r="X87" s="49" cm="1">
        <f t="array" aca="1" ref="X87" ca="1">EntericMethane_PastureBeef_Equations.VEERG_3_2_1_1__3_FeedIntakeForGrazingBeef(X55,X71,Z39)</f>
        <v>6.010342559999998</v>
      </c>
      <c r="Y87" s="49" cm="1">
        <f t="array" aca="1" ref="Y87" ca="1">EntericMethane_PastureBeef_Equations.VEERG_3_2_1_1__3_FeedIntakeForGrazingBeef(Y55,Y71,AA39)</f>
        <v>7.8705497025</v>
      </c>
      <c r="Z87" s="49" cm="1">
        <f t="array" aca="1" ref="Z87" ca="1">EntericMethane_PastureBeef_Equations.VEERG_3_2_1_1__3_FeedIntakeForGrazingBeef(Z55,Z71,AB39)</f>
        <v>7.7928072335999978</v>
      </c>
      <c r="AA87" s="49" cm="1">
        <f t="array" aca="1" ref="AA87" ca="1">EntericMethane_PastureBeef_Equations.VEERG_3_2_1_1__3_FeedIntakeForGrazingBeef(AA55,AA71,AC39)</f>
        <v>7.7928072335999978</v>
      </c>
      <c r="AB87" s="49" cm="1">
        <f t="array" aca="1" ref="AB87" ca="1">EntericMethane_PastureBeef_Equations.VEERG_3_2_1_1__3_FeedIntakeForGrazingBeef(AB55,AB71,AD39)</f>
        <v>6.5876408896000003</v>
      </c>
      <c r="AC87" s="49" cm="1">
        <f t="array" aca="1" ref="AC87" ca="1">EntericMethane_PastureBeef_Equations.VEERG_3_2_1_1__3_FeedIntakeForGrazingBeef(AC55,AC71,AE39)</f>
        <v>7.3430702361</v>
      </c>
      <c r="AD87" s="49" cm="1">
        <f t="array" aca="1" ref="AD87" ca="1">EntericMethane_PastureBeef_Equations.VEERG_3_2_1_1__3_FeedIntakeForGrazingBeef(AD55,AD71,AF39)</f>
        <v>7.3430702361</v>
      </c>
      <c r="AE87" s="49" cm="1">
        <f t="array" aca="1" ref="AE87" ca="1">EntericMethane_PastureBeef_Equations.VEERG_3_2_1_1__3_FeedIntakeForGrazingBeef(AE55,AE71,AG39)</f>
        <v>7.3430702361</v>
      </c>
      <c r="AF87" s="2" t="str">
        <f t="shared" si="2"/>
        <v>kg DM/head/day</v>
      </c>
      <c r="AG87" s="2"/>
      <c r="AH87" s="2"/>
    </row>
    <row r="88" spans="3:35" ht="20.100000000000001" customHeight="1" x14ac:dyDescent="0.25">
      <c r="D88" s="49" t="s">
        <v>137</v>
      </c>
      <c r="E88" s="49" cm="1">
        <f t="array" aca="1" ref="E88" ca="1">EntericMethane_PastureBeef_Equations.VEERG_3_2_1_1__2_DailyEntericMethaneProduction(E67)</f>
        <v>0.10625098959567</v>
      </c>
      <c r="F88" s="49" cm="1">
        <f t="array" aca="1" ref="F88" ca="1">EntericMethane_PastureBeef_Equations.VEERG_3_2_1_1__2_DailyEntericMethaneProduction(F67)</f>
        <v>0.20647957902299996</v>
      </c>
      <c r="G88" s="49" cm="1">
        <f t="array" aca="1" ref="G88" ca="1">EntericMethane_PastureBeef_Equations.VEERG_3_2_1_1__2_DailyEntericMethaneProduction(G67)</f>
        <v>8.6995993551750014E-2</v>
      </c>
      <c r="H88" s="49" cm="1">
        <f t="array" aca="1" ref="H88" ca="1">EntericMethane_PastureBeef_Equations.VEERG_3_2_1_1__2_DailyEntericMethaneProduction(H67)</f>
        <v>0.12270572463087004</v>
      </c>
      <c r="I88" s="49" cm="1">
        <f t="array" aca="1" ref="I88" ca="1">EntericMethane_PastureBeef_Equations.VEERG_3_2_1_1__2_DailyEntericMethaneProduction(I67)</f>
        <v>0.16461351252206999</v>
      </c>
      <c r="J88" s="49" cm="1">
        <f t="array" aca="1" ref="J88" ca="1">EntericMethane_PastureBeef_Equations.VEERG_3_2_1_1__2_DailyEntericMethaneProduction(J67)</f>
        <v>0.16461351252206999</v>
      </c>
      <c r="K88" s="49" cm="1">
        <f t="array" aca="1" ref="K88" ca="1">EntericMethane_PastureBeef_Equations.VEERG_3_2_1_1__2_DailyEntericMethaneProduction(K67)</f>
        <v>9.3403950168869973E-2</v>
      </c>
      <c r="L88" s="49" cm="1">
        <f t="array" aca="1" ref="L88" ca="1">EntericMethane_PastureBeef_Equations.VEERG_3_2_1_1__2_DailyEntericMethaneProduction(L67)</f>
        <v>0.14220590910911998</v>
      </c>
      <c r="M88" s="49" cm="1">
        <f t="array" aca="1" ref="M88" ca="1">EntericMethane_PastureBeef_Equations.VEERG_3_2_1_1__2_DailyEntericMethaneProduction(M67)</f>
        <v>0.14220590910911998</v>
      </c>
      <c r="N88" s="49" cm="1">
        <f t="array" aca="1" ref="N88" ca="1">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2"/>
      <c r="D91" s="42"/>
      <c r="E91" s="42"/>
      <c r="F91" s="42"/>
      <c r="G91" s="42"/>
      <c r="H91" s="42"/>
      <c r="I91" s="42"/>
      <c r="J91" s="42"/>
      <c r="K91" s="42"/>
      <c r="L91" s="42"/>
      <c r="M91" s="42"/>
      <c r="N91" s="42"/>
      <c r="O91" s="42"/>
      <c r="P91" s="42"/>
      <c r="Q91" s="42"/>
      <c r="R91" s="42"/>
      <c r="T91" s="42"/>
      <c r="U91" s="42"/>
      <c r="V91" s="42"/>
      <c r="W91" s="42"/>
      <c r="X91" s="42"/>
      <c r="Y91" s="42"/>
      <c r="Z91" s="42"/>
      <c r="AA91" s="42"/>
      <c r="AB91" s="42"/>
      <c r="AC91" s="42"/>
      <c r="AD91" s="42"/>
      <c r="AE91" s="42"/>
      <c r="AF91" s="42"/>
      <c r="AG91" s="42"/>
      <c r="AH91" s="42"/>
      <c r="AI91" s="42"/>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2" t="s">
        <v>262</v>
      </c>
    </row>
    <row r="95" spans="3:35" ht="20.100000000000001" customHeight="1" x14ac:dyDescent="0.25">
      <c r="U95" s="91" t="s">
        <v>263</v>
      </c>
    </row>
    <row r="96" spans="3:35" ht="20.100000000000001" customHeight="1" x14ac:dyDescent="0.25">
      <c r="U96" s="48" t="s">
        <v>104</v>
      </c>
      <c r="V96" s="48" t="s">
        <v>103</v>
      </c>
      <c r="W96" s="48" t="s">
        <v>102</v>
      </c>
      <c r="X96" s="48" t="s">
        <v>126</v>
      </c>
      <c r="Y96" s="48" t="s">
        <v>127</v>
      </c>
      <c r="Z96" s="48" t="s">
        <v>128</v>
      </c>
      <c r="AA96" s="48" t="s">
        <v>129</v>
      </c>
      <c r="AB96" s="48" t="s">
        <v>130</v>
      </c>
      <c r="AC96" s="48" t="s">
        <v>131</v>
      </c>
      <c r="AD96" s="48" t="s">
        <v>132</v>
      </c>
      <c r="AE96" s="48" t="s">
        <v>133</v>
      </c>
    </row>
    <row r="97" spans="4:35" ht="20.100000000000001" customHeight="1" x14ac:dyDescent="0.25">
      <c r="D97" s="50" t="s">
        <v>23</v>
      </c>
      <c r="E97" s="1" t="str" cm="1">
        <f t="array" ref="E97">EntericMethane_PastureBeef_Equations.VEERG_3_2_1_1__1_TotalAnnualMethaneFromEntericFermentation_Variable()</f>
        <v>E_enteric</v>
      </c>
      <c r="U97" s="49" t="str">
        <f>TEXT(X_Cell_Site_StartDate,"mmmm")</f>
        <v>January</v>
      </c>
      <c r="V97" s="49" cm="1">
        <f t="array" aca="1" ref="V97" ca="1">EntericMethane_PastureBeef_Equations.VEERG_3_2_1_1__2_DailyEntericMethaneProduction(V76)</f>
        <v>0.14793987137471989</v>
      </c>
      <c r="W97" s="49" cm="1">
        <f t="array" aca="1" ref="W97" ca="1">EntericMethane_PastureBeef_Equations.VEERG_3_2_1_1__2_DailyEntericMethaneProduction(W76)</f>
        <v>0.19573907587452002</v>
      </c>
      <c r="X97" s="49" cm="1">
        <f t="array" aca="1" ref="X97" ca="1">EntericMethane_PastureBeef_Equations.VEERG_3_2_1_1__2_DailyEntericMethaneProduction(X76)</f>
        <v>0.12441409099199996</v>
      </c>
      <c r="Y97" s="49" cm="1">
        <f t="array" aca="1" ref="Y97" ca="1">EntericMethane_PastureBeef_Equations.VEERG_3_2_1_1__2_DailyEntericMethaneProduction(Y76)</f>
        <v>0.16292037884175001</v>
      </c>
      <c r="Z97" s="49" cm="1">
        <f t="array" aca="1" ref="Z97" ca="1">EntericMethane_PastureBeef_Equations.VEERG_3_2_1_1__2_DailyEntericMethaneProduction(Z76)</f>
        <v>0.16131110973551996</v>
      </c>
      <c r="AA97" s="49" cm="1">
        <f t="array" aca="1" ref="AA97" ca="1">EntericMethane_PastureBeef_Equations.VEERG_3_2_1_1__2_DailyEntericMethaneProduction(AA76)</f>
        <v>0.16131110973551996</v>
      </c>
      <c r="AB97" s="49" cm="1">
        <f t="array" aca="1" ref="AB97" ca="1">EntericMethane_PastureBeef_Equations.VEERG_3_2_1_1__2_DailyEntericMethaneProduction(AB76)</f>
        <v>0.13636416641471999</v>
      </c>
      <c r="AC97" s="49" cm="1">
        <f t="array" aca="1" ref="AC97" ca="1">EntericMethane_PastureBeef_Equations.VEERG_3_2_1_1__2_DailyEntericMethaneProduction(AC76)</f>
        <v>0.15200155388727002</v>
      </c>
      <c r="AD97" s="49" cm="1">
        <f t="array" aca="1" ref="AD97" ca="1">EntericMethane_PastureBeef_Equations.VEERG_3_2_1_1__2_DailyEntericMethaneProduction(AD76)</f>
        <v>0.15200155388727002</v>
      </c>
      <c r="AE97" s="49" cm="1">
        <f t="array" aca="1" ref="AE97" ca="1">EntericMethane_PastureBeef_Equations.VEERG_3_2_1_1__2_DailyEntericMethaneProduction(AE76)</f>
        <v>0.15200155388727002</v>
      </c>
      <c r="AF97" s="2" t="str">
        <f>$G$80</f>
        <v>kg DM/head/day</v>
      </c>
    </row>
    <row r="98" spans="4:35" ht="20.100000000000001" customHeight="1" x14ac:dyDescent="0.25">
      <c r="D98" s="50" t="s">
        <v>14</v>
      </c>
      <c r="E98" s="51" t="str" cm="1">
        <f t="array" ref="E98">EntericMethane_PastureBeef_Equations.VEERG_3_2_1_1__1_TotalAnnualMethaneFromEntericFermentation_Unit()</f>
        <v>t CH4</v>
      </c>
      <c r="U98" s="49" t="str">
        <f>TEXT(EDATE(X_Cell_Site_StartDate,1), "mmmm")</f>
        <v>February</v>
      </c>
      <c r="V98" s="49" cm="1">
        <f t="array" aca="1" ref="V98" ca="1">EntericMethane_PastureBeef_Equations.VEERG_3_2_1_1__2_DailyEntericMethaneProduction(V77)</f>
        <v>0.14793987137471989</v>
      </c>
      <c r="W98" s="49" cm="1">
        <f t="array" aca="1" ref="W98" ca="1">EntericMethane_PastureBeef_Equations.VEERG_3_2_1_1__2_DailyEntericMethaneProduction(W77)</f>
        <v>0.19573907587452002</v>
      </c>
      <c r="X98" s="49" cm="1">
        <f t="array" aca="1" ref="X98" ca="1">EntericMethane_PastureBeef_Equations.VEERG_3_2_1_1__2_DailyEntericMethaneProduction(X77)</f>
        <v>0.12441409099199996</v>
      </c>
      <c r="Y98" s="49" cm="1">
        <f t="array" aca="1" ref="Y98" ca="1">EntericMethane_PastureBeef_Equations.VEERG_3_2_1_1__2_DailyEntericMethaneProduction(Y77)</f>
        <v>0.16292037884175001</v>
      </c>
      <c r="Z98" s="49" cm="1">
        <f t="array" aca="1" ref="Z98" ca="1">EntericMethane_PastureBeef_Equations.VEERG_3_2_1_1__2_DailyEntericMethaneProduction(Z77)</f>
        <v>0.16131110973551996</v>
      </c>
      <c r="AA98" s="49" cm="1">
        <f t="array" aca="1" ref="AA98" ca="1">EntericMethane_PastureBeef_Equations.VEERG_3_2_1_1__2_DailyEntericMethaneProduction(AA77)</f>
        <v>0.16131110973551996</v>
      </c>
      <c r="AB98" s="49" cm="1">
        <f t="array" aca="1" ref="AB98" ca="1">EntericMethane_PastureBeef_Equations.VEERG_3_2_1_1__2_DailyEntericMethaneProduction(AB77)</f>
        <v>0.13636416641471999</v>
      </c>
      <c r="AC98" s="49" cm="1">
        <f t="array" aca="1" ref="AC98" ca="1">EntericMethane_PastureBeef_Equations.VEERG_3_2_1_1__2_DailyEntericMethaneProduction(AC77)</f>
        <v>0.15200155388727002</v>
      </c>
      <c r="AD98" s="49" cm="1">
        <f t="array" aca="1" ref="AD98" ca="1">EntericMethane_PastureBeef_Equations.VEERG_3_2_1_1__2_DailyEntericMethaneProduction(AD77)</f>
        <v>0.15200155388727002</v>
      </c>
      <c r="AE98" s="49" cm="1">
        <f t="array" aca="1" ref="AE98" ca="1">EntericMethane_PastureBeef_Equations.VEERG_3_2_1_1__2_DailyEntericMethaneProduction(AE77)</f>
        <v>0.15200155388727002</v>
      </c>
      <c r="AF98" s="2"/>
    </row>
    <row r="99" spans="4:35" ht="20.100000000000001" customHeight="1" x14ac:dyDescent="0.25">
      <c r="U99" s="49" t="str">
        <f>TEXT(EDATE(X_Cell_Site_StartDate,2), "mmmm")</f>
        <v>March</v>
      </c>
      <c r="V99" s="49" cm="1">
        <f t="array" aca="1" ref="V99" ca="1">EntericMethane_PastureBeef_Equations.VEERG_3_2_1_1__2_DailyEntericMethaneProduction(V78)</f>
        <v>6.7217122800000001E-2</v>
      </c>
      <c r="W99" s="49" cm="1">
        <f t="array" aca="1" ref="W99" ca="1">EntericMethane_PastureBeef_Equations.VEERG_3_2_1_1__2_DailyEntericMethaneProduction(W78)</f>
        <v>0.19509034611311998</v>
      </c>
      <c r="X99" s="49" cm="1">
        <f t="array" aca="1" ref="X99" ca="1">EntericMethane_PastureBeef_Equations.VEERG_3_2_1_1__2_DailyEntericMethaneProduction(X78)</f>
        <v>6.1278762971520004E-2</v>
      </c>
      <c r="Y99" s="49" cm="1">
        <f t="array" aca="1" ref="Y99" ca="1">EntericMethane_PastureBeef_Equations.VEERG_3_2_1_1__2_DailyEntericMethaneProduction(Y78)</f>
        <v>0.12332640906971998</v>
      </c>
      <c r="Z99" s="49" cm="1">
        <f t="array" aca="1" ref="Z99" ca="1">EntericMethane_PastureBeef_Equations.VEERG_3_2_1_1__2_DailyEntericMethaneProduction(Z78)</f>
        <v>0.13906254717566999</v>
      </c>
      <c r="AA99" s="49" cm="1">
        <f t="array" aca="1" ref="AA99" ca="1">EntericMethane_PastureBeef_Equations.VEERG_3_2_1_1__2_DailyEntericMethaneProduction(AA78)</f>
        <v>0.13906254717566999</v>
      </c>
      <c r="AB99" s="49" cm="1">
        <f t="array" aca="1" ref="AB99" ca="1">EntericMethane_PastureBeef_Equations.VEERG_3_2_1_1__2_DailyEntericMethaneProduction(AB78)</f>
        <v>6.7217122800000001E-2</v>
      </c>
      <c r="AC99" s="49" cm="1">
        <f t="array" aca="1" ref="AC99" ca="1">EntericMethane_PastureBeef_Equations.VEERG_3_2_1_1__2_DailyEntericMethaneProduction(AC78)</f>
        <v>0.12203432960112003</v>
      </c>
      <c r="AD99" s="49" cm="1">
        <f t="array" aca="1" ref="AD99" ca="1">EntericMethane_PastureBeef_Equations.VEERG_3_2_1_1__2_DailyEntericMethaneProduction(AD78)</f>
        <v>0.12203432960112003</v>
      </c>
      <c r="AE99" s="49" cm="1">
        <f t="array" aca="1" ref="AE99" ca="1">EntericMethane_PastureBeef_Equations.VEERG_3_2_1_1__2_DailyEntericMethaneProduction(AE78)</f>
        <v>0.12203432960112003</v>
      </c>
      <c r="AF99" s="2"/>
    </row>
    <row r="100" spans="4:35" ht="20.100000000000001" customHeight="1" x14ac:dyDescent="0.25">
      <c r="D100" s="108" t="str" cm="1">
        <f t="array" ref="D100:E102">_xlfn.CHOOSECOLS(EntericMethane_PastureBeef_Equations.VEERG_3_2_1_1__1_TotalAnnualMethaneFromEntericFermentation_Arguments(), 1, 2)</f>
        <v>D_j</v>
      </c>
      <c r="E100" s="113" t="str">
        <v>number of days the animal is on the farm in each time-period</v>
      </c>
      <c r="F100" s="112"/>
      <c r="G100" s="108" t="str" cm="1">
        <f t="array" ref="G100:H102">_xlfn.CHOOSECOLS(EntericMethane_PastureBeef_Equations.VEERG_3_2_1_1__1_TotalAnnualMethaneFromEntericFermentation_Arguments(), 3,4)</f>
        <v>days</v>
      </c>
      <c r="H100" s="110" t="str">
        <v>Input</v>
      </c>
      <c r="I100" s="107" t="str" cm="1">
        <f t="array" aca="1" ref="I100" ca="1">HYPERLINK(Common_InputFunctions.Utility_SourceHyperlink($D$112), $D$112)</f>
        <v>M1_Table_D_j</v>
      </c>
      <c r="U100" s="49" t="str">
        <f>TEXT(EDATE(X_Cell_Site_StartDate,3), "mmmm")</f>
        <v>April</v>
      </c>
      <c r="V100" s="49" cm="1">
        <f t="array" aca="1" ref="V100" ca="1">EntericMethane_PastureBeef_Equations.VEERG_3_2_1_1__2_DailyEntericMethaneProduction(V79)</f>
        <v>6.7217122800000001E-2</v>
      </c>
      <c r="W100" s="49" cm="1">
        <f t="array" aca="1" ref="W100" ca="1">EntericMethane_PastureBeef_Equations.VEERG_3_2_1_1__2_DailyEntericMethaneProduction(W79)</f>
        <v>0.19509034611311998</v>
      </c>
      <c r="X100" s="49" cm="1">
        <f t="array" aca="1" ref="X100" ca="1">EntericMethane_PastureBeef_Equations.VEERG_3_2_1_1__2_DailyEntericMethaneProduction(X79)</f>
        <v>6.1278762971520004E-2</v>
      </c>
      <c r="Y100" s="49" cm="1">
        <f t="array" aca="1" ref="Y100" ca="1">EntericMethane_PastureBeef_Equations.VEERG_3_2_1_1__2_DailyEntericMethaneProduction(Y79)</f>
        <v>0.12332640906971998</v>
      </c>
      <c r="Z100" s="49" cm="1">
        <f t="array" aca="1" ref="Z100" ca="1">EntericMethane_PastureBeef_Equations.VEERG_3_2_1_1__2_DailyEntericMethaneProduction(Z79)</f>
        <v>0.13906254717566999</v>
      </c>
      <c r="AA100" s="49" cm="1">
        <f t="array" aca="1" ref="AA100" ca="1">EntericMethane_PastureBeef_Equations.VEERG_3_2_1_1__2_DailyEntericMethaneProduction(AA79)</f>
        <v>0.13906254717566999</v>
      </c>
      <c r="AB100" s="49" cm="1">
        <f t="array" aca="1" ref="AB100" ca="1">EntericMethane_PastureBeef_Equations.VEERG_3_2_1_1__2_DailyEntericMethaneProduction(AB79)</f>
        <v>6.7217122800000001E-2</v>
      </c>
      <c r="AC100" s="49" cm="1">
        <f t="array" aca="1" ref="AC100" ca="1">EntericMethane_PastureBeef_Equations.VEERG_3_2_1_1__2_DailyEntericMethaneProduction(AC79)</f>
        <v>0.12203432960112003</v>
      </c>
      <c r="AD100" s="49" cm="1">
        <f t="array" aca="1" ref="AD100" ca="1">EntericMethane_PastureBeef_Equations.VEERG_3_2_1_1__2_DailyEntericMethaneProduction(AD79)</f>
        <v>0.12203432960112003</v>
      </c>
      <c r="AE100" s="49" cm="1">
        <f t="array" aca="1" ref="AE100" ca="1">EntericMethane_PastureBeef_Equations.VEERG_3_2_1_1__2_DailyEntericMethaneProduction(AE79)</f>
        <v>0.12203432960112003</v>
      </c>
      <c r="AF100" s="2"/>
    </row>
    <row r="101" spans="4:35" ht="20.100000000000001" customHeight="1" x14ac:dyDescent="0.25">
      <c r="D101" s="108" t="str">
        <v>M_jkl</v>
      </c>
      <c r="E101" s="113" t="str">
        <v>daily production of enteric methane in each time-period, class and subclass</v>
      </c>
      <c r="F101" s="112"/>
      <c r="G101" s="108" t="str">
        <v>kg CH4/head/day</v>
      </c>
      <c r="H101" s="109" t="str">
        <v>Calculated from 3.2.1.1, (2)</v>
      </c>
      <c r="I101" s="107" t="str" cm="1">
        <f t="array" aca="1" ref="I101" ca="1">HYPERLINK(Common_InputFunctions.Utility_SourceHyperlink($D$82), $D$82)</f>
        <v>M1_Table_M_j_k_l</v>
      </c>
      <c r="U101" s="49" t="str">
        <f>TEXT(EDATE(X_Cell_Site_StartDate,4), "mmmm")</f>
        <v>May</v>
      </c>
      <c r="V101" s="49" cm="1">
        <f t="array" aca="1" ref="V101" ca="1">EntericMethane_PastureBeef_Equations.VEERG_3_2_1_1__2_DailyEntericMethaneProduction(V80)</f>
        <v>6.7217122800000001E-2</v>
      </c>
      <c r="W101" s="49" cm="1">
        <f t="array" aca="1" ref="W101" ca="1">EntericMethane_PastureBeef_Equations.VEERG_3_2_1_1__2_DailyEntericMethaneProduction(W80)</f>
        <v>0.19509034611311998</v>
      </c>
      <c r="X101" s="49" cm="1">
        <f t="array" aca="1" ref="X101" ca="1">EntericMethane_PastureBeef_Equations.VEERG_3_2_1_1__2_DailyEntericMethaneProduction(X80)</f>
        <v>6.1278762971520004E-2</v>
      </c>
      <c r="Y101" s="49" cm="1">
        <f t="array" aca="1" ref="Y101" ca="1">EntericMethane_PastureBeef_Equations.VEERG_3_2_1_1__2_DailyEntericMethaneProduction(Y80)</f>
        <v>0.12332640906971998</v>
      </c>
      <c r="Z101" s="49" cm="1">
        <f t="array" aca="1" ref="Z101" ca="1">EntericMethane_PastureBeef_Equations.VEERG_3_2_1_1__2_DailyEntericMethaneProduction(Z80)</f>
        <v>0.13906254717566999</v>
      </c>
      <c r="AA101" s="49" cm="1">
        <f t="array" aca="1" ref="AA101" ca="1">EntericMethane_PastureBeef_Equations.VEERG_3_2_1_1__2_DailyEntericMethaneProduction(AA80)</f>
        <v>0.13906254717566999</v>
      </c>
      <c r="AB101" s="49" cm="1">
        <f t="array" aca="1" ref="AB101" ca="1">EntericMethane_PastureBeef_Equations.VEERG_3_2_1_1__2_DailyEntericMethaneProduction(AB80)</f>
        <v>6.7217122800000001E-2</v>
      </c>
      <c r="AC101" s="49" cm="1">
        <f t="array" aca="1" ref="AC101" ca="1">EntericMethane_PastureBeef_Equations.VEERG_3_2_1_1__2_DailyEntericMethaneProduction(AC80)</f>
        <v>0.12203432960112003</v>
      </c>
      <c r="AD101" s="49" cm="1">
        <f t="array" aca="1" ref="AD101" ca="1">EntericMethane_PastureBeef_Equations.VEERG_3_2_1_1__2_DailyEntericMethaneProduction(AD80)</f>
        <v>0.12203432960112003</v>
      </c>
      <c r="AE101" s="49" cm="1">
        <f t="array" aca="1" ref="AE101" ca="1">EntericMethane_PastureBeef_Equations.VEERG_3_2_1_1__2_DailyEntericMethaneProduction(AE80)</f>
        <v>0.12203432960112003</v>
      </c>
      <c r="AF101" s="2"/>
    </row>
    <row r="102" spans="4:35" ht="20.100000000000001" customHeight="1" x14ac:dyDescent="0.25">
      <c r="D102" s="108" t="str">
        <v>N_jkl</v>
      </c>
      <c r="E102" s="113" t="str">
        <v>number of beef cattle in each time-period, class and subclass</v>
      </c>
      <c r="F102" s="112"/>
      <c r="G102" s="108" t="str">
        <v>head</v>
      </c>
      <c r="H102" s="110" t="str">
        <v>Input</v>
      </c>
      <c r="I102" s="107" t="str" cm="1">
        <f t="array" aca="1" ref="I102" ca="1">HYPERLINK(Common_InputFunctions.Utility_SourceHyperlink($D$104), $D$104)</f>
        <v>M1_Table_N_j_k_l</v>
      </c>
      <c r="U102" s="49" t="str">
        <f>TEXT(EDATE(X_Cell_Site_StartDate,5), "mmmm")</f>
        <v>June</v>
      </c>
      <c r="V102" s="49" cm="1">
        <f t="array" aca="1" ref="V102" ca="1">EntericMethane_PastureBeef_Equations.VEERG_3_2_1_1__2_DailyEntericMethaneProduction(V81)</f>
        <v>0.10625098959567</v>
      </c>
      <c r="W102" s="49" cm="1">
        <f t="array" aca="1" ref="W102" ca="1">EntericMethane_PastureBeef_Equations.VEERG_3_2_1_1__2_DailyEntericMethaneProduction(W81)</f>
        <v>0.20647957902299996</v>
      </c>
      <c r="X102" s="49" cm="1">
        <f t="array" aca="1" ref="X102" ca="1">EntericMethane_PastureBeef_Equations.VEERG_3_2_1_1__2_DailyEntericMethaneProduction(X81)</f>
        <v>8.6995993551750014E-2</v>
      </c>
      <c r="Y102" s="49" cm="1">
        <f t="array" aca="1" ref="Y102" ca="1">EntericMethane_PastureBeef_Equations.VEERG_3_2_1_1__2_DailyEntericMethaneProduction(Y81)</f>
        <v>0.12270572463087004</v>
      </c>
      <c r="Z102" s="49" cm="1">
        <f t="array" aca="1" ref="Z102" ca="1">EntericMethane_PastureBeef_Equations.VEERG_3_2_1_1__2_DailyEntericMethaneProduction(Z81)</f>
        <v>0.16461351252206999</v>
      </c>
      <c r="AA102" s="49" cm="1">
        <f t="array" aca="1" ref="AA102" ca="1">EntericMethane_PastureBeef_Equations.VEERG_3_2_1_1__2_DailyEntericMethaneProduction(AA81)</f>
        <v>0.16461351252206999</v>
      </c>
      <c r="AB102" s="49" cm="1">
        <f t="array" aca="1" ref="AB102" ca="1">EntericMethane_PastureBeef_Equations.VEERG_3_2_1_1__2_DailyEntericMethaneProduction(AB81)</f>
        <v>9.3403950168869973E-2</v>
      </c>
      <c r="AC102" s="49" cm="1">
        <f t="array" aca="1" ref="AC102" ca="1">EntericMethane_PastureBeef_Equations.VEERG_3_2_1_1__2_DailyEntericMethaneProduction(AC81)</f>
        <v>0.14220590910911998</v>
      </c>
      <c r="AD102" s="49" cm="1">
        <f t="array" aca="1" ref="AD102" ca="1">EntericMethane_PastureBeef_Equations.VEERG_3_2_1_1__2_DailyEntericMethaneProduction(AD81)</f>
        <v>0.14220590910911998</v>
      </c>
      <c r="AE102" s="49" cm="1">
        <f t="array" aca="1" ref="AE102" ca="1">EntericMethane_PastureBeef_Equations.VEERG_3_2_1_1__2_DailyEntericMethaneProduction(AE81)</f>
        <v>0.14220590910911998</v>
      </c>
      <c r="AF102" s="2"/>
    </row>
    <row r="103" spans="4:35" ht="20.100000000000001" customHeight="1" x14ac:dyDescent="0.25">
      <c r="U103" s="49" t="str">
        <f>TEXT(EDATE(X_Cell_Site_StartDate,6), "mmmm")</f>
        <v>July</v>
      </c>
      <c r="V103" s="49" cm="1">
        <f t="array" aca="1" ref="V103" ca="1">EntericMethane_PastureBeef_Equations.VEERG_3_2_1_1__2_DailyEntericMethaneProduction(V82)</f>
        <v>0.10625098959567</v>
      </c>
      <c r="W103" s="49" cm="1">
        <f t="array" aca="1" ref="W103" ca="1">EntericMethane_PastureBeef_Equations.VEERG_3_2_1_1__2_DailyEntericMethaneProduction(W82)</f>
        <v>0.20647957902299996</v>
      </c>
      <c r="X103" s="49" cm="1">
        <f t="array" aca="1" ref="X103" ca="1">EntericMethane_PastureBeef_Equations.VEERG_3_2_1_1__2_DailyEntericMethaneProduction(X82)</f>
        <v>8.6995993551750014E-2</v>
      </c>
      <c r="Y103" s="49" cm="1">
        <f t="array" aca="1" ref="Y103" ca="1">EntericMethane_PastureBeef_Equations.VEERG_3_2_1_1__2_DailyEntericMethaneProduction(Y82)</f>
        <v>0.12270572463087004</v>
      </c>
      <c r="Z103" s="49" cm="1">
        <f t="array" aca="1" ref="Z103" ca="1">EntericMethane_PastureBeef_Equations.VEERG_3_2_1_1__2_DailyEntericMethaneProduction(Z82)</f>
        <v>0.16461351252206999</v>
      </c>
      <c r="AA103" s="49" cm="1">
        <f t="array" aca="1" ref="AA103" ca="1">EntericMethane_PastureBeef_Equations.VEERG_3_2_1_1__2_DailyEntericMethaneProduction(AA82)</f>
        <v>0.16461351252206999</v>
      </c>
      <c r="AB103" s="49" cm="1">
        <f t="array" aca="1" ref="AB103" ca="1">EntericMethane_PastureBeef_Equations.VEERG_3_2_1_1__2_DailyEntericMethaneProduction(AB82)</f>
        <v>9.3403950168869973E-2</v>
      </c>
      <c r="AC103" s="49" cm="1">
        <f t="array" aca="1" ref="AC103" ca="1">EntericMethane_PastureBeef_Equations.VEERG_3_2_1_1__2_DailyEntericMethaneProduction(AC82)</f>
        <v>0.14220590910911998</v>
      </c>
      <c r="AD103" s="49" cm="1">
        <f t="array" aca="1" ref="AD103" ca="1">EntericMethane_PastureBeef_Equations.VEERG_3_2_1_1__2_DailyEntericMethaneProduction(AD82)</f>
        <v>0.14220590910911998</v>
      </c>
      <c r="AE103" s="49" cm="1">
        <f t="array" aca="1" ref="AE103" ca="1">EntericMethane_PastureBeef_Equations.VEERG_3_2_1_1__2_DailyEntericMethaneProduction(AE82)</f>
        <v>0.14220590910911998</v>
      </c>
      <c r="AF103" s="2"/>
    </row>
    <row r="104" spans="4:35" ht="20.100000000000001" customHeight="1" x14ac:dyDescent="0.25">
      <c r="D104" s="92" t="s">
        <v>224</v>
      </c>
      <c r="U104" s="49" t="str">
        <f>TEXT(EDATE(X_Cell_Site_StartDate,7), "mmmm")</f>
        <v>August</v>
      </c>
      <c r="V104" s="49" cm="1">
        <f t="array" aca="1" ref="V104" ca="1">EntericMethane_PastureBeef_Equations.VEERG_3_2_1_1__2_DailyEntericMethaneProduction(V83)</f>
        <v>0.10625098959567</v>
      </c>
      <c r="W104" s="49" cm="1">
        <f t="array" aca="1" ref="W104" ca="1">EntericMethane_PastureBeef_Equations.VEERG_3_2_1_1__2_DailyEntericMethaneProduction(W83)</f>
        <v>0.20647957902299996</v>
      </c>
      <c r="X104" s="49" cm="1">
        <f t="array" aca="1" ref="X104" ca="1">EntericMethane_PastureBeef_Equations.VEERG_3_2_1_1__2_DailyEntericMethaneProduction(X83)</f>
        <v>8.6995993551750014E-2</v>
      </c>
      <c r="Y104" s="49" cm="1">
        <f t="array" aca="1" ref="Y104" ca="1">EntericMethane_PastureBeef_Equations.VEERG_3_2_1_1__2_DailyEntericMethaneProduction(Y83)</f>
        <v>0.12270572463087004</v>
      </c>
      <c r="Z104" s="49" cm="1">
        <f t="array" aca="1" ref="Z104" ca="1">EntericMethane_PastureBeef_Equations.VEERG_3_2_1_1__2_DailyEntericMethaneProduction(Z83)</f>
        <v>0.16461351252206999</v>
      </c>
      <c r="AA104" s="49" cm="1">
        <f t="array" aca="1" ref="AA104" ca="1">EntericMethane_PastureBeef_Equations.VEERG_3_2_1_1__2_DailyEntericMethaneProduction(AA83)</f>
        <v>0.16461351252206999</v>
      </c>
      <c r="AB104" s="49" cm="1">
        <f t="array" aca="1" ref="AB104" ca="1">EntericMethane_PastureBeef_Equations.VEERG_3_2_1_1__2_DailyEntericMethaneProduction(AB83)</f>
        <v>9.3403950168869973E-2</v>
      </c>
      <c r="AC104" s="49" cm="1">
        <f t="array" aca="1" ref="AC104" ca="1">EntericMethane_PastureBeef_Equations.VEERG_3_2_1_1__2_DailyEntericMethaneProduction(AC83)</f>
        <v>0.14220590910911998</v>
      </c>
      <c r="AD104" s="49" cm="1">
        <f t="array" aca="1" ref="AD104" ca="1">EntericMethane_PastureBeef_Equations.VEERG_3_2_1_1__2_DailyEntericMethaneProduction(AD83)</f>
        <v>0.14220590910911998</v>
      </c>
      <c r="AE104" s="49" cm="1">
        <f t="array" aca="1" ref="AE104" ca="1">EntericMethane_PastureBeef_Equations.VEERG_3_2_1_1__2_DailyEntericMethaneProduction(AE83)</f>
        <v>0.14220590910911998</v>
      </c>
      <c r="AF104" s="2"/>
    </row>
    <row r="105" spans="4:35" ht="20.100000000000001" customHeight="1" x14ac:dyDescent="0.25">
      <c r="D105" s="91" t="s">
        <v>225</v>
      </c>
      <c r="U105" s="49" t="str">
        <f>TEXT(EDATE(X_Cell_Site_StartDate,8), "mmmm")</f>
        <v>September</v>
      </c>
      <c r="V105" s="49" cm="1">
        <f t="array" aca="1" ref="V105" ca="1">EntericMethane_PastureBeef_Equations.VEERG_3_2_1_1__2_DailyEntericMethaneProduction(V84)</f>
        <v>0.17948772790272</v>
      </c>
      <c r="W105" s="49" cm="1">
        <f t="array" aca="1" ref="W105" ca="1">EntericMethane_PastureBeef_Equations.VEERG_3_2_1_1__2_DailyEntericMethaneProduction(W84)</f>
        <v>0.25350255517500003</v>
      </c>
      <c r="X105" s="49" cm="1">
        <f t="array" aca="1" ref="X105" ca="1">EntericMethane_PastureBeef_Equations.VEERG_3_2_1_1__2_DailyEntericMethaneProduction(X84)</f>
        <v>0.13680549733887001</v>
      </c>
      <c r="Y105" s="49" cm="1">
        <f t="array" aca="1" ref="Y105" ca="1">EntericMethane_PastureBeef_Equations.VEERG_3_2_1_1__2_DailyEntericMethaneProduction(Y84)</f>
        <v>0.17953283673207002</v>
      </c>
      <c r="Z105" s="49" cm="1">
        <f t="array" aca="1" ref="Z105" ca="1">EntericMethane_PastureBeef_Equations.VEERG_3_2_1_1__2_DailyEntericMethaneProduction(Z84)</f>
        <v>0.19936359529200001</v>
      </c>
      <c r="AA105" s="49" cm="1">
        <f t="array" aca="1" ref="AA105" ca="1">EntericMethane_PastureBeef_Equations.VEERG_3_2_1_1__2_DailyEntericMethaneProduction(AA84)</f>
        <v>0.19936359529200001</v>
      </c>
      <c r="AB105" s="49" cm="1">
        <f t="array" aca="1" ref="AB105" ca="1">EntericMethane_PastureBeef_Equations.VEERG_3_2_1_1__2_DailyEntericMethaneProduction(AB84)</f>
        <v>0.15771860106299995</v>
      </c>
      <c r="AC105" s="49" cm="1">
        <f t="array" aca="1" ref="AC105" ca="1">EntericMethane_PastureBeef_Equations.VEERG_3_2_1_1__2_DailyEntericMethaneProduction(AC84)</f>
        <v>0.20042625868091996</v>
      </c>
      <c r="AD105" s="49" cm="1">
        <f t="array" aca="1" ref="AD105" ca="1">EntericMethane_PastureBeef_Equations.VEERG_3_2_1_1__2_DailyEntericMethaneProduction(AD84)</f>
        <v>0.20042625868091996</v>
      </c>
      <c r="AE105" s="49" cm="1">
        <f t="array" aca="1" ref="AE105" ca="1">EntericMethane_PastureBeef_Equations.VEERG_3_2_1_1__2_DailyEntericMethaneProduction(AE84)</f>
        <v>0.20042625868091996</v>
      </c>
      <c r="AF105" s="2"/>
    </row>
    <row r="106" spans="4:35" ht="20.100000000000001" customHeight="1" x14ac:dyDescent="0.25">
      <c r="D106" s="48" t="s">
        <v>145</v>
      </c>
      <c r="E106" s="111" t="s">
        <v>103</v>
      </c>
      <c r="F106" s="111" t="s">
        <v>102</v>
      </c>
      <c r="G106" s="111" t="s">
        <v>126</v>
      </c>
      <c r="H106" s="111" t="s">
        <v>127</v>
      </c>
      <c r="I106" s="111" t="s">
        <v>128</v>
      </c>
      <c r="J106" s="111" t="s">
        <v>129</v>
      </c>
      <c r="K106" s="111" t="s">
        <v>130</v>
      </c>
      <c r="L106" s="111" t="s">
        <v>131</v>
      </c>
      <c r="M106" s="111" t="s">
        <v>132</v>
      </c>
      <c r="N106" s="111" t="s">
        <v>133</v>
      </c>
      <c r="U106" s="49" t="str">
        <f>TEXT(EDATE(X_Cell_Site_StartDate,9), "mmmm")</f>
        <v>October</v>
      </c>
      <c r="V106" s="49" cm="1">
        <f t="array" aca="1" ref="V106" ca="1">EntericMethane_PastureBeef_Equations.VEERG_3_2_1_1__2_DailyEntericMethaneProduction(V85)</f>
        <v>0.17948772790272</v>
      </c>
      <c r="W106" s="49" cm="1">
        <f t="array" aca="1" ref="W106" ca="1">EntericMethane_PastureBeef_Equations.VEERG_3_2_1_1__2_DailyEntericMethaneProduction(W85)</f>
        <v>0.25350255517500003</v>
      </c>
      <c r="X106" s="49" cm="1">
        <f t="array" aca="1" ref="X106" ca="1">EntericMethane_PastureBeef_Equations.VEERG_3_2_1_1__2_DailyEntericMethaneProduction(X85)</f>
        <v>0.13680549733887001</v>
      </c>
      <c r="Y106" s="49" cm="1">
        <f t="array" aca="1" ref="Y106" ca="1">EntericMethane_PastureBeef_Equations.VEERG_3_2_1_1__2_DailyEntericMethaneProduction(Y85)</f>
        <v>0.17953283673207002</v>
      </c>
      <c r="Z106" s="49" cm="1">
        <f t="array" aca="1" ref="Z106" ca="1">EntericMethane_PastureBeef_Equations.VEERG_3_2_1_1__2_DailyEntericMethaneProduction(Z85)</f>
        <v>0.19936359529200001</v>
      </c>
      <c r="AA106" s="49" cm="1">
        <f t="array" aca="1" ref="AA106" ca="1">EntericMethane_PastureBeef_Equations.VEERG_3_2_1_1__2_DailyEntericMethaneProduction(AA85)</f>
        <v>0.19936359529200001</v>
      </c>
      <c r="AB106" s="49" cm="1">
        <f t="array" aca="1" ref="AB106" ca="1">EntericMethane_PastureBeef_Equations.VEERG_3_2_1_1__2_DailyEntericMethaneProduction(AB85)</f>
        <v>0.15771860106299995</v>
      </c>
      <c r="AC106" s="49" cm="1">
        <f t="array" aca="1" ref="AC106" ca="1">EntericMethane_PastureBeef_Equations.VEERG_3_2_1_1__2_DailyEntericMethaneProduction(AC85)</f>
        <v>0.20042625868091996</v>
      </c>
      <c r="AD106" s="49" cm="1">
        <f t="array" aca="1" ref="AD106" ca="1">EntericMethane_PastureBeef_Equations.VEERG_3_2_1_1__2_DailyEntericMethaneProduction(AD85)</f>
        <v>0.20042625868091996</v>
      </c>
      <c r="AE106" s="49" cm="1">
        <f t="array" aca="1" ref="AE106" ca="1">EntericMethane_PastureBeef_Equations.VEERG_3_2_1_1__2_DailyEntericMethaneProduction(AE85)</f>
        <v>0.20042625868091996</v>
      </c>
      <c r="AF106" s="2"/>
    </row>
    <row r="107" spans="4:35" ht="20.100000000000001" customHeight="1" x14ac:dyDescent="0.25">
      <c r="D107" s="49" t="s">
        <v>134</v>
      </c>
      <c r="E107" s="49" cm="1">
        <f t="array" aca="1" ref="E107:N110" ca="1">OFFSET(X_Table_PastureBeef_Head_Method1,1,1,4,10)</f>
        <v>100</v>
      </c>
      <c r="F107" s="49">
        <f ca="1"/>
        <v>100</v>
      </c>
      <c r="G107" s="49">
        <f ca="1"/>
        <v>100</v>
      </c>
      <c r="H107" s="49">
        <f ca="1"/>
        <v>100</v>
      </c>
      <c r="I107" s="49">
        <f ca="1"/>
        <v>100</v>
      </c>
      <c r="J107" s="49">
        <f ca="1"/>
        <v>100</v>
      </c>
      <c r="K107" s="49">
        <f ca="1"/>
        <v>100</v>
      </c>
      <c r="L107" s="49">
        <f ca="1"/>
        <v>100</v>
      </c>
      <c r="M107" s="49">
        <f ca="1"/>
        <v>100</v>
      </c>
      <c r="N107" s="49">
        <f ca="1"/>
        <v>100</v>
      </c>
      <c r="O107" s="2" t="str">
        <f>G102</f>
        <v>head</v>
      </c>
      <c r="U107" s="49" t="str">
        <f>TEXT(EDATE(X_Cell_Site_StartDate,10), "mmmm")</f>
        <v>November</v>
      </c>
      <c r="V107" s="49" cm="1">
        <f t="array" aca="1" ref="V107" ca="1">EntericMethane_PastureBeef_Equations.VEERG_3_2_1_1__2_DailyEntericMethaneProduction(V86)</f>
        <v>0.17948772790272</v>
      </c>
      <c r="W107" s="49" cm="1">
        <f t="array" aca="1" ref="W107" ca="1">EntericMethane_PastureBeef_Equations.VEERG_3_2_1_1__2_DailyEntericMethaneProduction(W86)</f>
        <v>0.25350255517500003</v>
      </c>
      <c r="X107" s="49" cm="1">
        <f t="array" aca="1" ref="X107" ca="1">EntericMethane_PastureBeef_Equations.VEERG_3_2_1_1__2_DailyEntericMethaneProduction(X86)</f>
        <v>0.13680549733887001</v>
      </c>
      <c r="Y107" s="49" cm="1">
        <f t="array" aca="1" ref="Y107" ca="1">EntericMethane_PastureBeef_Equations.VEERG_3_2_1_1__2_DailyEntericMethaneProduction(Y86)</f>
        <v>0.17953283673207002</v>
      </c>
      <c r="Z107" s="49" cm="1">
        <f t="array" aca="1" ref="Z107" ca="1">EntericMethane_PastureBeef_Equations.VEERG_3_2_1_1__2_DailyEntericMethaneProduction(Z86)</f>
        <v>0.19936359529200001</v>
      </c>
      <c r="AA107" s="49" cm="1">
        <f t="array" aca="1" ref="AA107" ca="1">EntericMethane_PastureBeef_Equations.VEERG_3_2_1_1__2_DailyEntericMethaneProduction(AA86)</f>
        <v>0.19936359529200001</v>
      </c>
      <c r="AB107" s="49" cm="1">
        <f t="array" aca="1" ref="AB107" ca="1">EntericMethane_PastureBeef_Equations.VEERG_3_2_1_1__2_DailyEntericMethaneProduction(AB86)</f>
        <v>0.15771860106299995</v>
      </c>
      <c r="AC107" s="49" cm="1">
        <f t="array" aca="1" ref="AC107" ca="1">EntericMethane_PastureBeef_Equations.VEERG_3_2_1_1__2_DailyEntericMethaneProduction(AC86)</f>
        <v>0.20042625868091996</v>
      </c>
      <c r="AD107" s="49" cm="1">
        <f t="array" aca="1" ref="AD107" ca="1">EntericMethane_PastureBeef_Equations.VEERG_3_2_1_1__2_DailyEntericMethaneProduction(AD86)</f>
        <v>0.20042625868091996</v>
      </c>
      <c r="AE107" s="49" cm="1">
        <f t="array" aca="1" ref="AE107" ca="1">EntericMethane_PastureBeef_Equations.VEERG_3_2_1_1__2_DailyEntericMethaneProduction(AE86)</f>
        <v>0.20042625868091996</v>
      </c>
      <c r="AF107" s="2"/>
    </row>
    <row r="108" spans="4:35" ht="20.100000000000001" customHeight="1" x14ac:dyDescent="0.25">
      <c r="D108" s="49" t="s">
        <v>135</v>
      </c>
      <c r="E108" s="49">
        <f ca="1"/>
        <v>100</v>
      </c>
      <c r="F108" s="49">
        <f ca="1"/>
        <v>100</v>
      </c>
      <c r="G108" s="49">
        <f ca="1"/>
        <v>100</v>
      </c>
      <c r="H108" s="49">
        <f ca="1"/>
        <v>100</v>
      </c>
      <c r="I108" s="49">
        <f ca="1"/>
        <v>100</v>
      </c>
      <c r="J108" s="49">
        <f ca="1"/>
        <v>100</v>
      </c>
      <c r="K108" s="49">
        <f ca="1"/>
        <v>100</v>
      </c>
      <c r="L108" s="49">
        <f ca="1"/>
        <v>100</v>
      </c>
      <c r="M108" s="49">
        <f ca="1"/>
        <v>100</v>
      </c>
      <c r="N108" s="49">
        <f ca="1"/>
        <v>100</v>
      </c>
      <c r="O108" s="2"/>
      <c r="U108" s="49" t="str">
        <f>TEXT(EDATE(X_Cell_Site_StartDate,11), "mmmm")</f>
        <v>December</v>
      </c>
      <c r="V108" s="49" cm="1">
        <f t="array" aca="1" ref="V108" ca="1">EntericMethane_PastureBeef_Equations.VEERG_3_2_1_1__2_DailyEntericMethaneProduction(V87)</f>
        <v>0.14793987137471989</v>
      </c>
      <c r="W108" s="49" cm="1">
        <f t="array" aca="1" ref="W108" ca="1">EntericMethane_PastureBeef_Equations.VEERG_3_2_1_1__2_DailyEntericMethaneProduction(W87)</f>
        <v>0.19573907587452002</v>
      </c>
      <c r="X108" s="49" cm="1">
        <f t="array" aca="1" ref="X108" ca="1">EntericMethane_PastureBeef_Equations.VEERG_3_2_1_1__2_DailyEntericMethaneProduction(X87)</f>
        <v>0.12441409099199996</v>
      </c>
      <c r="Y108" s="49" cm="1">
        <f t="array" aca="1" ref="Y108" ca="1">EntericMethane_PastureBeef_Equations.VEERG_3_2_1_1__2_DailyEntericMethaneProduction(Y87)</f>
        <v>0.16292037884175001</v>
      </c>
      <c r="Z108" s="49" cm="1">
        <f t="array" aca="1" ref="Z108" ca="1">EntericMethane_PastureBeef_Equations.VEERG_3_2_1_1__2_DailyEntericMethaneProduction(Z87)</f>
        <v>0.16131110973551996</v>
      </c>
      <c r="AA108" s="49" cm="1">
        <f t="array" aca="1" ref="AA108" ca="1">EntericMethane_PastureBeef_Equations.VEERG_3_2_1_1__2_DailyEntericMethaneProduction(AA87)</f>
        <v>0.16131110973551996</v>
      </c>
      <c r="AB108" s="49" cm="1">
        <f t="array" aca="1" ref="AB108" ca="1">EntericMethane_PastureBeef_Equations.VEERG_3_2_1_1__2_DailyEntericMethaneProduction(AB87)</f>
        <v>0.13636416641471999</v>
      </c>
      <c r="AC108" s="49" cm="1">
        <f t="array" aca="1" ref="AC108" ca="1">EntericMethane_PastureBeef_Equations.VEERG_3_2_1_1__2_DailyEntericMethaneProduction(AC87)</f>
        <v>0.15200155388727002</v>
      </c>
      <c r="AD108" s="49" cm="1">
        <f t="array" aca="1" ref="AD108" ca="1">EntericMethane_PastureBeef_Equations.VEERG_3_2_1_1__2_DailyEntericMethaneProduction(AD87)</f>
        <v>0.15200155388727002</v>
      </c>
      <c r="AE108" s="49" cm="1">
        <f t="array" aca="1" ref="AE108" ca="1">EntericMethane_PastureBeef_Equations.VEERG_3_2_1_1__2_DailyEntericMethaneProduction(AE87)</f>
        <v>0.15200155388727002</v>
      </c>
      <c r="AF108" s="2"/>
    </row>
    <row r="109" spans="4:35" ht="20.100000000000001" customHeight="1" x14ac:dyDescent="0.25">
      <c r="D109" s="49" t="s">
        <v>136</v>
      </c>
      <c r="E109" s="49">
        <f ca="1"/>
        <v>100</v>
      </c>
      <c r="F109" s="49">
        <f ca="1"/>
        <v>100</v>
      </c>
      <c r="G109" s="49">
        <f ca="1"/>
        <v>100</v>
      </c>
      <c r="H109" s="49">
        <f ca="1"/>
        <v>100</v>
      </c>
      <c r="I109" s="49">
        <f ca="1"/>
        <v>100</v>
      </c>
      <c r="J109" s="49">
        <f ca="1"/>
        <v>100</v>
      </c>
      <c r="K109" s="49">
        <f ca="1"/>
        <v>100</v>
      </c>
      <c r="L109" s="49">
        <f ca="1"/>
        <v>100</v>
      </c>
      <c r="M109" s="49">
        <f ca="1"/>
        <v>100</v>
      </c>
      <c r="N109" s="49">
        <f ca="1"/>
        <v>100</v>
      </c>
      <c r="O109" s="2"/>
    </row>
    <row r="110" spans="4:35" ht="20.100000000000001" customHeight="1" x14ac:dyDescent="0.25">
      <c r="D110" s="49" t="s">
        <v>137</v>
      </c>
      <c r="E110" s="49">
        <f ca="1"/>
        <v>100</v>
      </c>
      <c r="F110" s="49">
        <f ca="1"/>
        <v>100</v>
      </c>
      <c r="G110" s="49">
        <f ca="1"/>
        <v>100</v>
      </c>
      <c r="H110" s="49">
        <f ca="1"/>
        <v>100</v>
      </c>
      <c r="I110" s="49">
        <f ca="1"/>
        <v>100</v>
      </c>
      <c r="J110" s="49">
        <f ca="1"/>
        <v>100</v>
      </c>
      <c r="K110" s="49">
        <f ca="1"/>
        <v>100</v>
      </c>
      <c r="L110" s="49">
        <f ca="1"/>
        <v>100</v>
      </c>
      <c r="M110" s="49">
        <f ca="1"/>
        <v>100</v>
      </c>
      <c r="N110" s="49">
        <f ca="1"/>
        <v>100</v>
      </c>
      <c r="O110" s="2"/>
    </row>
    <row r="111" spans="4:35" ht="20.100000000000001" customHeight="1" x14ac:dyDescent="0.25">
      <c r="T111" s="42"/>
      <c r="U111" s="42"/>
      <c r="V111" s="42"/>
      <c r="W111" s="42"/>
      <c r="X111" s="42"/>
      <c r="Y111" s="42"/>
      <c r="Z111" s="42"/>
      <c r="AA111" s="42"/>
      <c r="AB111" s="42"/>
      <c r="AC111" s="42"/>
      <c r="AD111" s="42"/>
      <c r="AE111" s="42"/>
      <c r="AF111" s="42"/>
      <c r="AG111" s="42"/>
      <c r="AH111" s="42"/>
      <c r="AI111" s="42"/>
    </row>
    <row r="112" spans="4:35" ht="20.100000000000001" customHeight="1" x14ac:dyDescent="0.25">
      <c r="D112" s="92" t="s">
        <v>115</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1" t="s">
        <v>226</v>
      </c>
    </row>
    <row r="114" spans="4:34" ht="20.100000000000001" customHeight="1" x14ac:dyDescent="0.25">
      <c r="D114" s="48" t="s">
        <v>145</v>
      </c>
      <c r="E114" s="111" t="s">
        <v>103</v>
      </c>
      <c r="F114" s="111" t="s">
        <v>102</v>
      </c>
      <c r="G114" s="111" t="s">
        <v>126</v>
      </c>
      <c r="H114" s="111" t="s">
        <v>127</v>
      </c>
      <c r="I114" s="111" t="s">
        <v>128</v>
      </c>
      <c r="J114" s="111" t="s">
        <v>129</v>
      </c>
      <c r="K114" s="111" t="s">
        <v>130</v>
      </c>
      <c r="L114" s="111" t="s">
        <v>131</v>
      </c>
      <c r="M114" s="111" t="s">
        <v>132</v>
      </c>
      <c r="N114" s="111" t="s">
        <v>133</v>
      </c>
      <c r="U114" s="92" t="s">
        <v>227</v>
      </c>
    </row>
    <row r="115" spans="4:34" ht="20.100000000000001" customHeight="1" x14ac:dyDescent="0.25">
      <c r="D115" s="49" t="s">
        <v>134</v>
      </c>
      <c r="E115" s="49" cm="1">
        <f t="array" aca="1" ref="E115:N118" ca="1">OFFSET(X_Table_PastureBeef_Duration_Method1,1,1,4,10)</f>
        <v>91.25</v>
      </c>
      <c r="F115" s="49">
        <f ca="1"/>
        <v>91.25</v>
      </c>
      <c r="G115" s="49">
        <f ca="1"/>
        <v>91.25</v>
      </c>
      <c r="H115" s="49">
        <f ca="1"/>
        <v>91.25</v>
      </c>
      <c r="I115" s="49">
        <f ca="1"/>
        <v>91.25</v>
      </c>
      <c r="J115" s="49">
        <f ca="1"/>
        <v>91.25</v>
      </c>
      <c r="K115" s="49">
        <f ca="1"/>
        <v>91.25</v>
      </c>
      <c r="L115" s="49">
        <f ca="1"/>
        <v>91.25</v>
      </c>
      <c r="M115" s="49">
        <f ca="1"/>
        <v>91.25</v>
      </c>
      <c r="N115" s="49">
        <f ca="1"/>
        <v>91.25</v>
      </c>
      <c r="O115" s="2" t="str">
        <f>G100</f>
        <v>days</v>
      </c>
      <c r="U115" s="91" t="s">
        <v>228</v>
      </c>
      <c r="AH115" s="2"/>
    </row>
    <row r="116" spans="4:34" ht="20.100000000000001" customHeight="1" x14ac:dyDescent="0.25">
      <c r="D116" s="49" t="s">
        <v>135</v>
      </c>
      <c r="E116" s="49">
        <f ca="1"/>
        <v>91.25</v>
      </c>
      <c r="F116" s="49">
        <f ca="1"/>
        <v>91.25</v>
      </c>
      <c r="G116" s="49">
        <f ca="1"/>
        <v>91.25</v>
      </c>
      <c r="H116" s="49">
        <f ca="1"/>
        <v>91.25</v>
      </c>
      <c r="I116" s="49">
        <f ca="1"/>
        <v>91.25</v>
      </c>
      <c r="J116" s="49">
        <f ca="1"/>
        <v>91.25</v>
      </c>
      <c r="K116" s="49">
        <f ca="1"/>
        <v>91.25</v>
      </c>
      <c r="L116" s="49">
        <f ca="1"/>
        <v>91.25</v>
      </c>
      <c r="M116" s="49">
        <f ca="1"/>
        <v>91.25</v>
      </c>
      <c r="N116" s="49">
        <f ca="1"/>
        <v>91.25</v>
      </c>
      <c r="O116" s="2"/>
      <c r="U116" s="48" t="s">
        <v>104</v>
      </c>
      <c r="V116" s="111" t="s">
        <v>103</v>
      </c>
      <c r="W116" s="111" t="s">
        <v>102</v>
      </c>
      <c r="X116" s="111" t="s">
        <v>126</v>
      </c>
      <c r="Y116" s="111" t="s">
        <v>127</v>
      </c>
      <c r="Z116" s="111" t="s">
        <v>128</v>
      </c>
      <c r="AA116" s="111" t="s">
        <v>129</v>
      </c>
      <c r="AB116" s="111" t="s">
        <v>130</v>
      </c>
      <c r="AC116" s="111" t="s">
        <v>131</v>
      </c>
      <c r="AD116" s="111" t="s">
        <v>132</v>
      </c>
      <c r="AE116" s="111" t="s">
        <v>133</v>
      </c>
      <c r="AF116" s="2"/>
      <c r="AH116" s="2"/>
    </row>
    <row r="117" spans="4:34" ht="20.100000000000001" customHeight="1" x14ac:dyDescent="0.25">
      <c r="D117" s="49" t="s">
        <v>136</v>
      </c>
      <c r="E117" s="49">
        <f ca="1"/>
        <v>91.25</v>
      </c>
      <c r="F117" s="49">
        <f ca="1"/>
        <v>91.25</v>
      </c>
      <c r="G117" s="49">
        <f ca="1"/>
        <v>91.25</v>
      </c>
      <c r="H117" s="49">
        <f ca="1"/>
        <v>91.25</v>
      </c>
      <c r="I117" s="49">
        <f ca="1"/>
        <v>91.25</v>
      </c>
      <c r="J117" s="49">
        <f ca="1"/>
        <v>91.25</v>
      </c>
      <c r="K117" s="49">
        <f ca="1"/>
        <v>91.25</v>
      </c>
      <c r="L117" s="49">
        <f ca="1"/>
        <v>91.25</v>
      </c>
      <c r="M117" s="49">
        <f ca="1"/>
        <v>91.25</v>
      </c>
      <c r="N117" s="49">
        <f ca="1"/>
        <v>91.25</v>
      </c>
      <c r="O117" s="2"/>
      <c r="U117" s="49" t="str">
        <f>TEXT(X_Cell_Site_StartDate,"mmmm")</f>
        <v>January</v>
      </c>
      <c r="V117" s="49" cm="1">
        <f t="array" aca="1" ref="V117:AE128" ca="1">OFFSET(X_Table_PastureBeef_Head_Method2,1,1,12,10)</f>
        <v>100</v>
      </c>
      <c r="W117" s="49">
        <f ca="1"/>
        <v>100</v>
      </c>
      <c r="X117" s="49">
        <f ca="1"/>
        <v>100</v>
      </c>
      <c r="Y117" s="49">
        <f ca="1"/>
        <v>100</v>
      </c>
      <c r="Z117" s="49">
        <f ca="1"/>
        <v>100</v>
      </c>
      <c r="AA117" s="49">
        <f ca="1"/>
        <v>100</v>
      </c>
      <c r="AB117" s="49">
        <f ca="1"/>
        <v>100</v>
      </c>
      <c r="AC117" s="49">
        <f ca="1"/>
        <v>100</v>
      </c>
      <c r="AD117" s="49">
        <f ca="1"/>
        <v>100</v>
      </c>
      <c r="AE117" s="49">
        <f ca="1"/>
        <v>100</v>
      </c>
      <c r="AF117" s="2" t="str">
        <f>$G$102</f>
        <v>head</v>
      </c>
      <c r="AH117" s="2"/>
    </row>
    <row r="118" spans="4:34" ht="20.100000000000001" customHeight="1" x14ac:dyDescent="0.25">
      <c r="D118" s="49" t="s">
        <v>137</v>
      </c>
      <c r="E118" s="49">
        <f ca="1"/>
        <v>91.25</v>
      </c>
      <c r="F118" s="49">
        <f ca="1"/>
        <v>91.25</v>
      </c>
      <c r="G118" s="49">
        <f ca="1"/>
        <v>91.25</v>
      </c>
      <c r="H118" s="49">
        <f ca="1"/>
        <v>91.25</v>
      </c>
      <c r="I118" s="49">
        <f ca="1"/>
        <v>91.25</v>
      </c>
      <c r="J118" s="49">
        <f ca="1"/>
        <v>91.25</v>
      </c>
      <c r="K118" s="49">
        <f ca="1"/>
        <v>91.25</v>
      </c>
      <c r="L118" s="49">
        <f ca="1"/>
        <v>91.25</v>
      </c>
      <c r="M118" s="49">
        <f ca="1"/>
        <v>91.25</v>
      </c>
      <c r="N118" s="49">
        <f ca="1"/>
        <v>91.25</v>
      </c>
      <c r="O118" s="2"/>
      <c r="U118" s="49" t="str">
        <f>TEXT(EDATE(X_Cell_Site_StartDate,1), "mmmm")</f>
        <v>February</v>
      </c>
      <c r="V118" s="49">
        <f ca="1"/>
        <v>100</v>
      </c>
      <c r="W118" s="49">
        <f ca="1"/>
        <v>100</v>
      </c>
      <c r="X118" s="49">
        <f ca="1"/>
        <v>100</v>
      </c>
      <c r="Y118" s="49">
        <f ca="1"/>
        <v>100</v>
      </c>
      <c r="Z118" s="49">
        <f ca="1"/>
        <v>100</v>
      </c>
      <c r="AA118" s="49">
        <f ca="1"/>
        <v>100</v>
      </c>
      <c r="AB118" s="49">
        <f ca="1"/>
        <v>100</v>
      </c>
      <c r="AC118" s="49">
        <f ca="1"/>
        <v>100</v>
      </c>
      <c r="AD118" s="49">
        <f ca="1"/>
        <v>100</v>
      </c>
      <c r="AE118" s="49">
        <f ca="1"/>
        <v>100</v>
      </c>
      <c r="AF118" s="2"/>
      <c r="AH118" s="2"/>
    </row>
    <row r="119" spans="4:34" ht="20.100000000000001" customHeight="1" x14ac:dyDescent="0.25">
      <c r="U119" s="49" t="str">
        <f>TEXT(EDATE(X_Cell_Site_StartDate,2), "mmmm")</f>
        <v>March</v>
      </c>
      <c r="V119" s="49">
        <f ca="1"/>
        <v>100</v>
      </c>
      <c r="W119" s="49">
        <f ca="1"/>
        <v>100</v>
      </c>
      <c r="X119" s="49">
        <f ca="1"/>
        <v>100</v>
      </c>
      <c r="Y119" s="49">
        <f ca="1"/>
        <v>100</v>
      </c>
      <c r="Z119" s="49">
        <f ca="1"/>
        <v>100</v>
      </c>
      <c r="AA119" s="49">
        <f ca="1"/>
        <v>100</v>
      </c>
      <c r="AB119" s="49">
        <f ca="1"/>
        <v>100</v>
      </c>
      <c r="AC119" s="49">
        <f ca="1"/>
        <v>100</v>
      </c>
      <c r="AD119" s="49">
        <f ca="1"/>
        <v>100</v>
      </c>
      <c r="AE119" s="49">
        <f ca="1"/>
        <v>100</v>
      </c>
      <c r="AF119" s="2"/>
      <c r="AH119" s="2"/>
    </row>
    <row r="120" spans="4:34" ht="20.100000000000001" customHeight="1" x14ac:dyDescent="0.25">
      <c r="D120" s="92" t="s">
        <v>258</v>
      </c>
      <c r="U120" s="49" t="str">
        <f>TEXT(EDATE(X_Cell_Site_StartDate,3), "mmmm")</f>
        <v>April</v>
      </c>
      <c r="V120" s="49">
        <f ca="1"/>
        <v>100</v>
      </c>
      <c r="W120" s="49">
        <f ca="1"/>
        <v>100</v>
      </c>
      <c r="X120" s="49">
        <f ca="1"/>
        <v>100</v>
      </c>
      <c r="Y120" s="49">
        <f ca="1"/>
        <v>100</v>
      </c>
      <c r="Z120" s="49">
        <f ca="1"/>
        <v>100</v>
      </c>
      <c r="AA120" s="49">
        <f ca="1"/>
        <v>100</v>
      </c>
      <c r="AB120" s="49">
        <f ca="1"/>
        <v>100</v>
      </c>
      <c r="AC120" s="49">
        <f ca="1"/>
        <v>100</v>
      </c>
      <c r="AD120" s="49">
        <f ca="1"/>
        <v>100</v>
      </c>
      <c r="AE120" s="49">
        <f ca="1"/>
        <v>100</v>
      </c>
      <c r="AF120" s="2"/>
      <c r="AH120" s="2"/>
    </row>
    <row r="121" spans="4:34" ht="20.100000000000001" customHeight="1" x14ac:dyDescent="0.25">
      <c r="D121" s="91" t="s">
        <v>259</v>
      </c>
      <c r="U121" s="49" t="str">
        <f>TEXT(EDATE(X_Cell_Site_StartDate,4), "mmmm")</f>
        <v>May</v>
      </c>
      <c r="V121" s="49">
        <f ca="1"/>
        <v>100</v>
      </c>
      <c r="W121" s="49">
        <f ca="1"/>
        <v>100</v>
      </c>
      <c r="X121" s="49">
        <f ca="1"/>
        <v>100</v>
      </c>
      <c r="Y121" s="49">
        <f ca="1"/>
        <v>100</v>
      </c>
      <c r="Z121" s="49">
        <f ca="1"/>
        <v>100</v>
      </c>
      <c r="AA121" s="49">
        <f ca="1"/>
        <v>100</v>
      </c>
      <c r="AB121" s="49">
        <f ca="1"/>
        <v>100</v>
      </c>
      <c r="AC121" s="49">
        <f ca="1"/>
        <v>100</v>
      </c>
      <c r="AD121" s="49">
        <f ca="1"/>
        <v>100</v>
      </c>
      <c r="AE121" s="49">
        <f ca="1"/>
        <v>100</v>
      </c>
      <c r="AF121" s="2"/>
      <c r="AH121" s="2"/>
    </row>
    <row r="122" spans="4:34" ht="20.100000000000001" customHeight="1" x14ac:dyDescent="0.25">
      <c r="D122" s="48" t="s">
        <v>145</v>
      </c>
      <c r="E122" s="48" t="s">
        <v>103</v>
      </c>
      <c r="F122" s="48" t="s">
        <v>102</v>
      </c>
      <c r="G122" s="48" t="s">
        <v>126</v>
      </c>
      <c r="H122" s="48" t="s">
        <v>127</v>
      </c>
      <c r="I122" s="48" t="s">
        <v>128</v>
      </c>
      <c r="J122" s="48" t="s">
        <v>129</v>
      </c>
      <c r="K122" s="48" t="s">
        <v>130</v>
      </c>
      <c r="L122" s="48" t="s">
        <v>131</v>
      </c>
      <c r="M122" s="48" t="s">
        <v>132</v>
      </c>
      <c r="N122" s="48" t="s">
        <v>133</v>
      </c>
      <c r="U122" s="49" t="str">
        <f>TEXT(EDATE(X_Cell_Site_StartDate,5), "mmmm")</f>
        <v>June</v>
      </c>
      <c r="V122" s="49">
        <f ca="1"/>
        <v>100</v>
      </c>
      <c r="W122" s="49">
        <f ca="1"/>
        <v>100</v>
      </c>
      <c r="X122" s="49">
        <f ca="1"/>
        <v>100</v>
      </c>
      <c r="Y122" s="49">
        <f ca="1"/>
        <v>100</v>
      </c>
      <c r="Z122" s="49">
        <f ca="1"/>
        <v>100</v>
      </c>
      <c r="AA122" s="49">
        <f ca="1"/>
        <v>100</v>
      </c>
      <c r="AB122" s="49">
        <f ca="1"/>
        <v>100</v>
      </c>
      <c r="AC122" s="49">
        <f ca="1"/>
        <v>100</v>
      </c>
      <c r="AD122" s="49">
        <f ca="1"/>
        <v>100</v>
      </c>
      <c r="AE122" s="49">
        <f ca="1"/>
        <v>100</v>
      </c>
      <c r="AF122" s="2"/>
      <c r="AH122" s="2"/>
    </row>
    <row r="123" spans="4:34" ht="20.100000000000001" customHeight="1" x14ac:dyDescent="0.25">
      <c r="D123" s="49" t="s">
        <v>134</v>
      </c>
      <c r="E123" s="49" cm="1">
        <f t="array" aca="1" ref="E123" ca="1">EntericMethane_PastureBeef_Equations.VEERG_3_2_1_1__1_TotalAnnualMethaneFromEntericFermentation(E115,E85,E107)</f>
        <v>1.6378255171123202</v>
      </c>
      <c r="F123" s="49" cm="1">
        <f t="array" aca="1" ref="F123" ca="1">EntericMethane_PastureBeef_Equations.VEERG_3_2_1_1__1_TotalAnnualMethaneFromEntericFermentation(F115,F85,F107)</f>
        <v>2.3132108159718756</v>
      </c>
      <c r="G123" s="49" cm="1">
        <f t="array" aca="1" ref="G123" ca="1">EntericMethane_PastureBeef_Equations.VEERG_3_2_1_1__1_TotalAnnualMethaneFromEntericFermentation(G115,G85,G107)</f>
        <v>1.2483501632171887</v>
      </c>
      <c r="H123" s="49" cm="1">
        <f t="array" aca="1" ref="H123" ca="1">EntericMethane_PastureBeef_Equations.VEERG_3_2_1_1__1_TotalAnnualMethaneFromEntericFermentation(H115,H85,H107)</f>
        <v>1.638237135180139</v>
      </c>
      <c r="I123" s="49" cm="1">
        <f t="array" aca="1" ref="I123" ca="1">EntericMethane_PastureBeef_Equations.VEERG_3_2_1_1__1_TotalAnnualMethaneFromEntericFermentation(I115,I85,I107)</f>
        <v>1.8191928070395003</v>
      </c>
      <c r="J123" s="49" cm="1">
        <f t="array" aca="1" ref="J123" ca="1">EntericMethane_PastureBeef_Equations.VEERG_3_2_1_1__1_TotalAnnualMethaneFromEntericFermentation(J115,J85,J107)</f>
        <v>1.8191928070395003</v>
      </c>
      <c r="K123" s="49" cm="1">
        <f t="array" aca="1" ref="K123" ca="1">EntericMethane_PastureBeef_Equations.VEERG_3_2_1_1__1_TotalAnnualMethaneFromEntericFermentation(K115,K85,K107)</f>
        <v>1.4391822346998746</v>
      </c>
      <c r="L123" s="49" cm="1">
        <f t="array" aca="1" ref="L123" ca="1">EntericMethane_PastureBeef_Equations.VEERG_3_2_1_1__1_TotalAnnualMethaneFromEntericFermentation(L115,L85,L107)</f>
        <v>1.8288896104633945</v>
      </c>
      <c r="M123" s="49" cm="1">
        <f t="array" aca="1" ref="M123" ca="1">EntericMethane_PastureBeef_Equations.VEERG_3_2_1_1__1_TotalAnnualMethaneFromEntericFermentation(M115,M85,M107)</f>
        <v>1.8288896104633945</v>
      </c>
      <c r="N123" s="49" cm="1">
        <f t="array" aca="1" ref="N123" ca="1">EntericMethane_PastureBeef_Equations.VEERG_3_2_1_1__1_TotalAnnualMethaneFromEntericFermentation(N115,N85,N107)</f>
        <v>1.8288896104633945</v>
      </c>
      <c r="O123" s="2" t="str">
        <f>E98</f>
        <v>t CH4</v>
      </c>
      <c r="Q123" s="2"/>
      <c r="U123" s="49" t="str">
        <f>TEXT(EDATE(X_Cell_Site_StartDate,6), "mmmm")</f>
        <v>July</v>
      </c>
      <c r="V123" s="49">
        <f ca="1"/>
        <v>100</v>
      </c>
      <c r="W123" s="49">
        <f ca="1"/>
        <v>100</v>
      </c>
      <c r="X123" s="49">
        <f ca="1"/>
        <v>100</v>
      </c>
      <c r="Y123" s="49">
        <f ca="1"/>
        <v>100</v>
      </c>
      <c r="Z123" s="49">
        <f ca="1"/>
        <v>100</v>
      </c>
      <c r="AA123" s="49">
        <f ca="1"/>
        <v>100</v>
      </c>
      <c r="AB123" s="49">
        <f ca="1"/>
        <v>100</v>
      </c>
      <c r="AC123" s="49">
        <f ca="1"/>
        <v>100</v>
      </c>
      <c r="AD123" s="49">
        <f ca="1"/>
        <v>100</v>
      </c>
      <c r="AE123" s="49">
        <f ca="1"/>
        <v>100</v>
      </c>
      <c r="AF123" s="2"/>
      <c r="AH123" s="2"/>
    </row>
    <row r="124" spans="4:34" ht="20.100000000000001" customHeight="1" x14ac:dyDescent="0.25">
      <c r="D124" s="49" t="s">
        <v>135</v>
      </c>
      <c r="E124" s="49" cm="1">
        <f t="array" aca="1" ref="E124" ca="1">EntericMethane_PastureBeef_Equations.VEERG_3_2_1_1__1_TotalAnnualMethaneFromEntericFermentation(E116,E86,E108)</f>
        <v>1.3499513262943192</v>
      </c>
      <c r="F124" s="49" cm="1">
        <f t="array" aca="1" ref="F124" ca="1">EntericMethane_PastureBeef_Equations.VEERG_3_2_1_1__1_TotalAnnualMethaneFromEntericFermentation(F116,F86,F108)</f>
        <v>1.7861190673549951</v>
      </c>
      <c r="G124" s="49" cm="1">
        <f t="array" aca="1" ref="G124" ca="1">EntericMethane_PastureBeef_Equations.VEERG_3_2_1_1__1_TotalAnnualMethaneFromEntericFermentation(G116,G86,G108)</f>
        <v>1.1352785803019998</v>
      </c>
      <c r="H124" s="49" cm="1">
        <f t="array" aca="1" ref="H124" ca="1">EntericMethane_PastureBeef_Equations.VEERG_3_2_1_1__1_TotalAnnualMethaneFromEntericFermentation(H116,H86,H108)</f>
        <v>1.486648456930969</v>
      </c>
      <c r="I124" s="49" cm="1">
        <f t="array" aca="1" ref="I124" ca="1">EntericMethane_PastureBeef_Equations.VEERG_3_2_1_1__1_TotalAnnualMethaneFromEntericFermentation(I116,I86,I108)</f>
        <v>1.4719638763366196</v>
      </c>
      <c r="J124" s="49" cm="1">
        <f t="array" aca="1" ref="J124" ca="1">EntericMethane_PastureBeef_Equations.VEERG_3_2_1_1__1_TotalAnnualMethaneFromEntericFermentation(J116,J86,J108)</f>
        <v>1.4719638763366196</v>
      </c>
      <c r="K124" s="49" cm="1">
        <f t="array" aca="1" ref="K124" ca="1">EntericMethane_PastureBeef_Equations.VEERG_3_2_1_1__1_TotalAnnualMethaneFromEntericFermentation(K116,K86,K108)</f>
        <v>1.2443230185343197</v>
      </c>
      <c r="L124" s="49" cm="1">
        <f t="array" aca="1" ref="L124" ca="1">EntericMethane_PastureBeef_Equations.VEERG_3_2_1_1__1_TotalAnnualMethaneFromEntericFermentation(L116,L86,L108)</f>
        <v>1.3870141792213391</v>
      </c>
      <c r="M124" s="49" cm="1">
        <f t="array" aca="1" ref="M124" ca="1">EntericMethane_PastureBeef_Equations.VEERG_3_2_1_1__1_TotalAnnualMethaneFromEntericFermentation(M116,M86,M108)</f>
        <v>1.3870141792213391</v>
      </c>
      <c r="N124" s="49" cm="1">
        <f t="array" aca="1" ref="N124" ca="1">EntericMethane_PastureBeef_Equations.VEERG_3_2_1_1__1_TotalAnnualMethaneFromEntericFermentation(N116,N86,N108)</f>
        <v>1.3870141792213391</v>
      </c>
      <c r="O124" s="2"/>
      <c r="Q124" s="2"/>
      <c r="U124" s="49" t="str">
        <f>TEXT(EDATE(X_Cell_Site_StartDate,7), "mmmm")</f>
        <v>August</v>
      </c>
      <c r="V124" s="49">
        <f ca="1"/>
        <v>100</v>
      </c>
      <c r="W124" s="49">
        <f ca="1"/>
        <v>100</v>
      </c>
      <c r="X124" s="49">
        <f ca="1"/>
        <v>100</v>
      </c>
      <c r="Y124" s="49">
        <f ca="1"/>
        <v>100</v>
      </c>
      <c r="Z124" s="49">
        <f ca="1"/>
        <v>100</v>
      </c>
      <c r="AA124" s="49">
        <f ca="1"/>
        <v>100</v>
      </c>
      <c r="AB124" s="49">
        <f ca="1"/>
        <v>100</v>
      </c>
      <c r="AC124" s="49">
        <f ca="1"/>
        <v>100</v>
      </c>
      <c r="AD124" s="49">
        <f ca="1"/>
        <v>100</v>
      </c>
      <c r="AE124" s="49">
        <f ca="1"/>
        <v>100</v>
      </c>
      <c r="AF124" s="2"/>
      <c r="AH124" s="2"/>
    </row>
    <row r="125" spans="4:34" ht="20.100000000000001" customHeight="1" x14ac:dyDescent="0.25">
      <c r="D125" s="49" t="s">
        <v>136</v>
      </c>
      <c r="E125" s="49" cm="1">
        <f t="array" aca="1" ref="E125" ca="1">EntericMethane_PastureBeef_Equations.VEERG_3_2_1_1__1_TotalAnnualMethaneFromEntericFermentation(E117,E87,E109)</f>
        <v>0.61335624555000001</v>
      </c>
      <c r="F125" s="49" cm="1">
        <f t="array" aca="1" ref="F125" ca="1">EntericMethane_PastureBeef_Equations.VEERG_3_2_1_1__1_TotalAnnualMethaneFromEntericFermentation(F117,F87,F109)</f>
        <v>1.7801994082822199</v>
      </c>
      <c r="G125" s="49" cm="1">
        <f t="array" aca="1" ref="G125" ca="1">EntericMethane_PastureBeef_Equations.VEERG_3_2_1_1__1_TotalAnnualMethaneFromEntericFermentation(G117,G87,G109)</f>
        <v>0.55916871211511998</v>
      </c>
      <c r="H125" s="49" cm="1">
        <f t="array" aca="1" ref="H125" ca="1">EntericMethane_PastureBeef_Equations.VEERG_3_2_1_1__1_TotalAnnualMethaneFromEntericFermentation(H117,H87,H109)</f>
        <v>1.1253534827611948</v>
      </c>
      <c r="I125" s="49" cm="1">
        <f t="array" aca="1" ref="I125" ca="1">EntericMethane_PastureBeef_Equations.VEERG_3_2_1_1__1_TotalAnnualMethaneFromEntericFermentation(I117,I87,I109)</f>
        <v>1.2689457429779887</v>
      </c>
      <c r="J125" s="49" cm="1">
        <f t="array" aca="1" ref="J125" ca="1">EntericMethane_PastureBeef_Equations.VEERG_3_2_1_1__1_TotalAnnualMethaneFromEntericFermentation(J117,J87,J109)</f>
        <v>1.2689457429779887</v>
      </c>
      <c r="K125" s="49" cm="1">
        <f t="array" aca="1" ref="K125" ca="1">EntericMethane_PastureBeef_Equations.VEERG_3_2_1_1__1_TotalAnnualMethaneFromEntericFermentation(K117,K87,K109)</f>
        <v>0.61335624555000001</v>
      </c>
      <c r="L125" s="49" cm="1">
        <f t="array" aca="1" ref="L125" ca="1">EntericMethane_PastureBeef_Equations.VEERG_3_2_1_1__1_TotalAnnualMethaneFromEntericFermentation(L117,L87,L109)</f>
        <v>1.1135632576102203</v>
      </c>
      <c r="M125" s="49" cm="1">
        <f t="array" aca="1" ref="M125" ca="1">EntericMethane_PastureBeef_Equations.VEERG_3_2_1_1__1_TotalAnnualMethaneFromEntericFermentation(M117,M87,M109)</f>
        <v>1.1135632576102203</v>
      </c>
      <c r="N125" s="49" cm="1">
        <f t="array" aca="1" ref="N125" ca="1">EntericMethane_PastureBeef_Equations.VEERG_3_2_1_1__1_TotalAnnualMethaneFromEntericFermentation(N117,N87,N109)</f>
        <v>1.1135632576102203</v>
      </c>
      <c r="O125" s="2"/>
      <c r="Q125" s="2"/>
      <c r="U125" s="49" t="str">
        <f>TEXT(EDATE(X_Cell_Site_StartDate,8), "mmmm")</f>
        <v>September</v>
      </c>
      <c r="V125" s="49">
        <f ca="1"/>
        <v>100</v>
      </c>
      <c r="W125" s="49">
        <f ca="1"/>
        <v>100</v>
      </c>
      <c r="X125" s="49">
        <f ca="1"/>
        <v>100</v>
      </c>
      <c r="Y125" s="49">
        <f ca="1"/>
        <v>100</v>
      </c>
      <c r="Z125" s="49">
        <f ca="1"/>
        <v>100</v>
      </c>
      <c r="AA125" s="49">
        <f ca="1"/>
        <v>100</v>
      </c>
      <c r="AB125" s="49">
        <f ca="1"/>
        <v>100</v>
      </c>
      <c r="AC125" s="49">
        <f ca="1"/>
        <v>100</v>
      </c>
      <c r="AD125" s="49">
        <f ca="1"/>
        <v>100</v>
      </c>
      <c r="AE125" s="49">
        <f ca="1"/>
        <v>100</v>
      </c>
      <c r="AF125" s="2"/>
      <c r="AH125" s="2"/>
    </row>
    <row r="126" spans="4:34" ht="20.100000000000001" customHeight="1" x14ac:dyDescent="0.25">
      <c r="D126" s="49" t="s">
        <v>137</v>
      </c>
      <c r="E126" s="49" cm="1">
        <f t="array" aca="1" ref="E126" ca="1">EntericMethane_PastureBeef_Equations.VEERG_3_2_1_1__1_TotalAnnualMethaneFromEntericFermentation(E118,E88,E110)</f>
        <v>0.96954028006048887</v>
      </c>
      <c r="F126" s="49" cm="1">
        <f t="array" aca="1" ref="F126" ca="1">EntericMethane_PastureBeef_Equations.VEERG_3_2_1_1__1_TotalAnnualMethaneFromEntericFermentation(F118,F88,F110)</f>
        <v>1.8841261585848745</v>
      </c>
      <c r="G126" s="49" cm="1">
        <f t="array" aca="1" ref="G126" ca="1">EntericMethane_PastureBeef_Equations.VEERG_3_2_1_1__1_TotalAnnualMethaneFromEntericFermentation(G118,G88,G110)</f>
        <v>0.79383844115971891</v>
      </c>
      <c r="H126" s="49" cm="1">
        <f t="array" aca="1" ref="H126" ca="1">EntericMethane_PastureBeef_Equations.VEERG_3_2_1_1__1_TotalAnnualMethaneFromEntericFermentation(H118,H88,H110)</f>
        <v>1.1196897372566892</v>
      </c>
      <c r="I126" s="49" cm="1">
        <f t="array" aca="1" ref="I126" ca="1">EntericMethane_PastureBeef_Equations.VEERG_3_2_1_1__1_TotalAnnualMethaneFromEntericFermentation(I118,I88,I110)</f>
        <v>1.5020983017638887</v>
      </c>
      <c r="J126" s="49" cm="1">
        <f t="array" aca="1" ref="J126" ca="1">EntericMethane_PastureBeef_Equations.VEERG_3_2_1_1__1_TotalAnnualMethaneFromEntericFermentation(J118,J88,J110)</f>
        <v>1.5020983017638887</v>
      </c>
      <c r="K126" s="49" cm="1">
        <f t="array" aca="1" ref="K126" ca="1">EntericMethane_PastureBeef_Equations.VEERG_3_2_1_1__1_TotalAnnualMethaneFromEntericFermentation(K118,K88,K110)</f>
        <v>0.8523110452909386</v>
      </c>
      <c r="L126" s="49" cm="1">
        <f t="array" aca="1" ref="L126" ca="1">EntericMethane_PastureBeef_Equations.VEERG_3_2_1_1__1_TotalAnnualMethaneFromEntericFermentation(L118,L88,L110)</f>
        <v>1.2976289206207199</v>
      </c>
      <c r="M126" s="49" cm="1">
        <f t="array" aca="1" ref="M126" ca="1">EntericMethane_PastureBeef_Equations.VEERG_3_2_1_1__1_TotalAnnualMethaneFromEntericFermentation(M118,M88,M110)</f>
        <v>1.2976289206207199</v>
      </c>
      <c r="N126" s="49" cm="1">
        <f t="array" aca="1" ref="N126" ca="1">EntericMethane_PastureBeef_Equations.VEERG_3_2_1_1__1_TotalAnnualMethaneFromEntericFermentation(N118,N88,N110)</f>
        <v>1.2976289206207199</v>
      </c>
      <c r="O126" s="2"/>
      <c r="Q126" s="2"/>
      <c r="U126" s="49" t="str">
        <f>TEXT(EDATE(X_Cell_Site_StartDate,9), "mmmm")</f>
        <v>October</v>
      </c>
      <c r="V126" s="49">
        <f ca="1"/>
        <v>100</v>
      </c>
      <c r="W126" s="49">
        <f ca="1"/>
        <v>100</v>
      </c>
      <c r="X126" s="49">
        <f ca="1"/>
        <v>100</v>
      </c>
      <c r="Y126" s="49">
        <f ca="1"/>
        <v>100</v>
      </c>
      <c r="Z126" s="49">
        <f ca="1"/>
        <v>100</v>
      </c>
      <c r="AA126" s="49">
        <f ca="1"/>
        <v>100</v>
      </c>
      <c r="AB126" s="49">
        <f ca="1"/>
        <v>100</v>
      </c>
      <c r="AC126" s="49">
        <f ca="1"/>
        <v>100</v>
      </c>
      <c r="AD126" s="49">
        <f ca="1"/>
        <v>100</v>
      </c>
      <c r="AE126" s="49">
        <f ca="1"/>
        <v>100</v>
      </c>
      <c r="AF126" s="2"/>
      <c r="AH126" s="2"/>
    </row>
    <row r="127" spans="4:34" ht="20.100000000000001" customHeight="1" x14ac:dyDescent="0.25">
      <c r="Q127" s="2"/>
      <c r="U127" s="49" t="str">
        <f>TEXT(EDATE(X_Cell_Site_StartDate,10), "mmmm")</f>
        <v>November</v>
      </c>
      <c r="V127" s="49">
        <f ca="1"/>
        <v>100</v>
      </c>
      <c r="W127" s="49">
        <f ca="1"/>
        <v>100</v>
      </c>
      <c r="X127" s="49">
        <f ca="1"/>
        <v>100</v>
      </c>
      <c r="Y127" s="49">
        <f ca="1"/>
        <v>100</v>
      </c>
      <c r="Z127" s="49">
        <f ca="1"/>
        <v>100</v>
      </c>
      <c r="AA127" s="49">
        <f ca="1"/>
        <v>100</v>
      </c>
      <c r="AB127" s="49">
        <f ca="1"/>
        <v>100</v>
      </c>
      <c r="AC127" s="49">
        <f ca="1"/>
        <v>100</v>
      </c>
      <c r="AD127" s="49">
        <f ca="1"/>
        <v>100</v>
      </c>
      <c r="AE127" s="49">
        <f ca="1"/>
        <v>100</v>
      </c>
      <c r="AF127" s="2"/>
    </row>
    <row r="128" spans="4:34" ht="20.100000000000001" customHeight="1" x14ac:dyDescent="0.25">
      <c r="D128" s="93" t="s">
        <v>231</v>
      </c>
      <c r="E128" s="94">
        <f ca="1">SUM(E123:N126)</f>
        <v>54.595755432192263</v>
      </c>
      <c r="F128" s="95" t="str">
        <f>$E$98</f>
        <v>t CH4</v>
      </c>
      <c r="Q128" s="2"/>
      <c r="U128" s="49" t="str">
        <f>TEXT(EDATE(X_Cell_Site_StartDate,11), "mmmm")</f>
        <v>December</v>
      </c>
      <c r="V128" s="49">
        <f ca="1"/>
        <v>100</v>
      </c>
      <c r="W128" s="49">
        <f ca="1"/>
        <v>100</v>
      </c>
      <c r="X128" s="49">
        <f ca="1"/>
        <v>100</v>
      </c>
      <c r="Y128" s="49">
        <f ca="1"/>
        <v>100</v>
      </c>
      <c r="Z128" s="49">
        <f ca="1"/>
        <v>100</v>
      </c>
      <c r="AA128" s="49">
        <f ca="1"/>
        <v>100</v>
      </c>
      <c r="AB128" s="49">
        <f ca="1"/>
        <v>100</v>
      </c>
      <c r="AC128" s="49">
        <f ca="1"/>
        <v>100</v>
      </c>
      <c r="AD128" s="49">
        <f ca="1"/>
        <v>100</v>
      </c>
      <c r="AE128" s="49">
        <f ca="1"/>
        <v>100</v>
      </c>
      <c r="AF128" s="2"/>
    </row>
    <row r="129" spans="4:34" ht="20.100000000000001" customHeight="1" x14ac:dyDescent="0.25">
      <c r="Q129" s="2"/>
    </row>
    <row r="130" spans="4:34" ht="20.100000000000001" customHeight="1" x14ac:dyDescent="0.25">
      <c r="D130" s="54" t="str" cm="1">
        <f t="array" ref="D130:E131">Common_Equations.Common_ConvertCH4ToCO2e_Arguments()</f>
        <v>ECH4</v>
      </c>
      <c r="E130" s="55" t="str">
        <v>Methane emissions (t CH4)</v>
      </c>
      <c r="F130" s="96"/>
      <c r="G130" s="49">
        <f ca="1">E128</f>
        <v>54.595755432192263</v>
      </c>
      <c r="Q130" s="2"/>
      <c r="U130" s="92" t="s">
        <v>117</v>
      </c>
    </row>
    <row r="131" spans="4:34" ht="20.100000000000001" customHeight="1" x14ac:dyDescent="0.25">
      <c r="D131" s="54" t="str">
        <v>GWPCH4</v>
      </c>
      <c r="E131" s="55" t="str">
        <v>Global warming potential for methane (t CO2-e / t CH4)</v>
      </c>
      <c r="F131" s="96"/>
      <c r="G131" s="49">
        <f>Common_InputFunctions.Utility_LookupValueInTableNumber("CH4",Table_GWPData[Gas],Table_GWPData[CO2-e factor])</f>
        <v>28</v>
      </c>
      <c r="U131" s="91" t="s">
        <v>229</v>
      </c>
      <c r="AH131" s="2"/>
    </row>
    <row r="132" spans="4:34" ht="20.100000000000001" customHeight="1" x14ac:dyDescent="0.25">
      <c r="U132" s="48" t="s">
        <v>104</v>
      </c>
      <c r="V132" s="111" t="s">
        <v>103</v>
      </c>
      <c r="W132" s="111" t="s">
        <v>102</v>
      </c>
      <c r="X132" s="111" t="s">
        <v>126</v>
      </c>
      <c r="Y132" s="111" t="s">
        <v>127</v>
      </c>
      <c r="Z132" s="111" t="s">
        <v>128</v>
      </c>
      <c r="AA132" s="111" t="s">
        <v>129</v>
      </c>
      <c r="AB132" s="111" t="s">
        <v>130</v>
      </c>
      <c r="AC132" s="111" t="s">
        <v>131</v>
      </c>
      <c r="AD132" s="111" t="s">
        <v>132</v>
      </c>
      <c r="AE132" s="111" t="s">
        <v>133</v>
      </c>
      <c r="AF132" s="2"/>
      <c r="AH132" s="2"/>
    </row>
    <row r="133" spans="4:34" ht="20.100000000000001" customHeight="1" x14ac:dyDescent="0.25">
      <c r="D133" s="42" t="s">
        <v>82</v>
      </c>
      <c r="E133" s="42" cm="1">
        <f t="array" aca="1" ref="E133" ca="1">Common_Equations.Common_ConvertN2OToCO2e(G130,G131)</f>
        <v>1528.6811521013833</v>
      </c>
      <c r="F133" s="97" t="str" cm="1">
        <f t="array" ref="F133">Common_Equations.Common_ConvertN2OToCO2e_Unit()</f>
        <v>t CO2e</v>
      </c>
      <c r="U133" s="49" t="str">
        <f>TEXT(X_Cell_Site_StartDate,"mmmm")</f>
        <v>January</v>
      </c>
      <c r="V133" s="49" cm="1">
        <f t="array" aca="1" ref="V133:AE144" ca="1">OFFSET(X_Table_PastureBeef_Duration_Method2,1,1,12,10)</f>
        <v>31</v>
      </c>
      <c r="W133" s="49">
        <f ca="1"/>
        <v>31</v>
      </c>
      <c r="X133" s="49">
        <f ca="1"/>
        <v>31</v>
      </c>
      <c r="Y133" s="49">
        <f ca="1"/>
        <v>31</v>
      </c>
      <c r="Z133" s="49">
        <f ca="1"/>
        <v>31</v>
      </c>
      <c r="AA133" s="49">
        <f ca="1"/>
        <v>31</v>
      </c>
      <c r="AB133" s="49">
        <f ca="1"/>
        <v>31</v>
      </c>
      <c r="AC133" s="49">
        <f ca="1"/>
        <v>31</v>
      </c>
      <c r="AD133" s="49">
        <f ca="1"/>
        <v>31</v>
      </c>
      <c r="AE133" s="49">
        <f ca="1"/>
        <v>31</v>
      </c>
      <c r="AF133" s="2" t="str">
        <f>$G$100</f>
        <v>days</v>
      </c>
      <c r="AH133" s="2"/>
    </row>
    <row r="134" spans="4:34" ht="20.100000000000001" customHeight="1" x14ac:dyDescent="0.25">
      <c r="U134" s="49" t="str">
        <f>TEXT(EDATE(X_Cell_Site_StartDate,1), "mmmm")</f>
        <v>February</v>
      </c>
      <c r="V134" s="49">
        <f ca="1"/>
        <v>29</v>
      </c>
      <c r="W134" s="49">
        <f ca="1"/>
        <v>29</v>
      </c>
      <c r="X134" s="49">
        <f ca="1"/>
        <v>29</v>
      </c>
      <c r="Y134" s="49">
        <f ca="1"/>
        <v>29</v>
      </c>
      <c r="Z134" s="49">
        <f ca="1"/>
        <v>29</v>
      </c>
      <c r="AA134" s="49">
        <f ca="1"/>
        <v>29</v>
      </c>
      <c r="AB134" s="49">
        <f ca="1"/>
        <v>29</v>
      </c>
      <c r="AC134" s="49">
        <f ca="1"/>
        <v>29</v>
      </c>
      <c r="AD134" s="49">
        <f ca="1"/>
        <v>29</v>
      </c>
      <c r="AE134" s="49">
        <f ca="1"/>
        <v>29</v>
      </c>
      <c r="AF134" s="2"/>
      <c r="AH134" s="2"/>
    </row>
    <row r="135" spans="4:34" ht="20.100000000000001" customHeight="1" x14ac:dyDescent="0.25">
      <c r="U135" s="49" t="str">
        <f>TEXT(EDATE(X_Cell_Site_StartDate,2), "mmmm")</f>
        <v>March</v>
      </c>
      <c r="V135" s="49">
        <f ca="1"/>
        <v>31</v>
      </c>
      <c r="W135" s="49">
        <f ca="1"/>
        <v>31</v>
      </c>
      <c r="X135" s="49">
        <f ca="1"/>
        <v>31</v>
      </c>
      <c r="Y135" s="49">
        <f ca="1"/>
        <v>31</v>
      </c>
      <c r="Z135" s="49">
        <f ca="1"/>
        <v>31</v>
      </c>
      <c r="AA135" s="49">
        <f ca="1"/>
        <v>31</v>
      </c>
      <c r="AB135" s="49">
        <f ca="1"/>
        <v>31</v>
      </c>
      <c r="AC135" s="49">
        <f ca="1"/>
        <v>31</v>
      </c>
      <c r="AD135" s="49">
        <f ca="1"/>
        <v>31</v>
      </c>
      <c r="AE135" s="49">
        <f ca="1"/>
        <v>31</v>
      </c>
      <c r="AF135" s="2"/>
      <c r="AH135" s="2"/>
    </row>
    <row r="136" spans="4:34" ht="20.100000000000001" customHeight="1" x14ac:dyDescent="0.25">
      <c r="U136" s="49" t="str">
        <f>TEXT(EDATE(X_Cell_Site_StartDate,3), "mmmm")</f>
        <v>April</v>
      </c>
      <c r="V136" s="49">
        <f ca="1"/>
        <v>30</v>
      </c>
      <c r="W136" s="49">
        <f ca="1"/>
        <v>30</v>
      </c>
      <c r="X136" s="49">
        <f ca="1"/>
        <v>30</v>
      </c>
      <c r="Y136" s="49">
        <f ca="1"/>
        <v>30</v>
      </c>
      <c r="Z136" s="49">
        <f ca="1"/>
        <v>30</v>
      </c>
      <c r="AA136" s="49">
        <f ca="1"/>
        <v>30</v>
      </c>
      <c r="AB136" s="49">
        <f ca="1"/>
        <v>30</v>
      </c>
      <c r="AC136" s="49">
        <f ca="1"/>
        <v>30</v>
      </c>
      <c r="AD136" s="49">
        <f ca="1"/>
        <v>30</v>
      </c>
      <c r="AE136" s="49">
        <f ca="1"/>
        <v>30</v>
      </c>
      <c r="AF136" s="2"/>
      <c r="AH136" s="2"/>
    </row>
    <row r="137" spans="4:34" ht="20.100000000000001" customHeight="1" x14ac:dyDescent="0.25">
      <c r="U137" s="49" t="str">
        <f>TEXT(EDATE(X_Cell_Site_StartDate,4), "mmmm")</f>
        <v>May</v>
      </c>
      <c r="V137" s="49">
        <f ca="1"/>
        <v>31</v>
      </c>
      <c r="W137" s="49">
        <f ca="1"/>
        <v>31</v>
      </c>
      <c r="X137" s="49">
        <f ca="1"/>
        <v>31</v>
      </c>
      <c r="Y137" s="49">
        <f ca="1"/>
        <v>31</v>
      </c>
      <c r="Z137" s="49">
        <f ca="1"/>
        <v>31</v>
      </c>
      <c r="AA137" s="49">
        <f ca="1"/>
        <v>31</v>
      </c>
      <c r="AB137" s="49">
        <f ca="1"/>
        <v>31</v>
      </c>
      <c r="AC137" s="49">
        <f ca="1"/>
        <v>31</v>
      </c>
      <c r="AD137" s="49">
        <f ca="1"/>
        <v>31</v>
      </c>
      <c r="AE137" s="49">
        <f ca="1"/>
        <v>31</v>
      </c>
      <c r="AF137" s="2"/>
      <c r="AH137" s="2"/>
    </row>
    <row r="138" spans="4:34" ht="20.100000000000001" customHeight="1" x14ac:dyDescent="0.25">
      <c r="U138" s="49" t="str">
        <f>TEXT(EDATE(X_Cell_Site_StartDate,5), "mmmm")</f>
        <v>June</v>
      </c>
      <c r="V138" s="49">
        <f ca="1"/>
        <v>30</v>
      </c>
      <c r="W138" s="49">
        <f ca="1"/>
        <v>30</v>
      </c>
      <c r="X138" s="49">
        <f ca="1"/>
        <v>30</v>
      </c>
      <c r="Y138" s="49">
        <f ca="1"/>
        <v>30</v>
      </c>
      <c r="Z138" s="49">
        <f ca="1"/>
        <v>30</v>
      </c>
      <c r="AA138" s="49">
        <f ca="1"/>
        <v>30</v>
      </c>
      <c r="AB138" s="49">
        <f ca="1"/>
        <v>30</v>
      </c>
      <c r="AC138" s="49">
        <f ca="1"/>
        <v>30</v>
      </c>
      <c r="AD138" s="49">
        <f ca="1"/>
        <v>30</v>
      </c>
      <c r="AE138" s="49">
        <f ca="1"/>
        <v>30</v>
      </c>
      <c r="AF138" s="2"/>
      <c r="AH138" s="2"/>
    </row>
    <row r="139" spans="4:34" ht="20.100000000000001" customHeight="1" x14ac:dyDescent="0.25">
      <c r="U139" s="49" t="str">
        <f>TEXT(EDATE(X_Cell_Site_StartDate,6), "mmmm")</f>
        <v>July</v>
      </c>
      <c r="V139" s="49">
        <f ca="1"/>
        <v>31</v>
      </c>
      <c r="W139" s="49">
        <f ca="1"/>
        <v>31</v>
      </c>
      <c r="X139" s="49">
        <f ca="1"/>
        <v>31</v>
      </c>
      <c r="Y139" s="49">
        <f ca="1"/>
        <v>31</v>
      </c>
      <c r="Z139" s="49">
        <f ca="1"/>
        <v>31</v>
      </c>
      <c r="AA139" s="49">
        <f ca="1"/>
        <v>31</v>
      </c>
      <c r="AB139" s="49">
        <f ca="1"/>
        <v>31</v>
      </c>
      <c r="AC139" s="49">
        <f ca="1"/>
        <v>31</v>
      </c>
      <c r="AD139" s="49">
        <f ca="1"/>
        <v>31</v>
      </c>
      <c r="AE139" s="49">
        <f ca="1"/>
        <v>31</v>
      </c>
      <c r="AF139" s="2"/>
      <c r="AH139" s="2"/>
    </row>
    <row r="140" spans="4:34" ht="20.100000000000001" customHeight="1" x14ac:dyDescent="0.25">
      <c r="U140" s="49" t="str">
        <f>TEXT(EDATE(X_Cell_Site_StartDate,7), "mmmm")</f>
        <v>August</v>
      </c>
      <c r="V140" s="49">
        <f ca="1"/>
        <v>31</v>
      </c>
      <c r="W140" s="49">
        <f ca="1"/>
        <v>31</v>
      </c>
      <c r="X140" s="49">
        <f ca="1"/>
        <v>31</v>
      </c>
      <c r="Y140" s="49">
        <f ca="1"/>
        <v>31</v>
      </c>
      <c r="Z140" s="49">
        <f ca="1"/>
        <v>31</v>
      </c>
      <c r="AA140" s="49">
        <f ca="1"/>
        <v>31</v>
      </c>
      <c r="AB140" s="49">
        <f ca="1"/>
        <v>31</v>
      </c>
      <c r="AC140" s="49">
        <f ca="1"/>
        <v>31</v>
      </c>
      <c r="AD140" s="49">
        <f ca="1"/>
        <v>31</v>
      </c>
      <c r="AE140" s="49">
        <f ca="1"/>
        <v>31</v>
      </c>
      <c r="AF140" s="2"/>
      <c r="AH140" s="2"/>
    </row>
    <row r="141" spans="4:34" ht="20.100000000000001" customHeight="1" x14ac:dyDescent="0.25">
      <c r="U141" s="49" t="str">
        <f>TEXT(EDATE(X_Cell_Site_StartDate,8), "mmmm")</f>
        <v>September</v>
      </c>
      <c r="V141" s="49">
        <f ca="1"/>
        <v>30</v>
      </c>
      <c r="W141" s="49">
        <f ca="1"/>
        <v>30</v>
      </c>
      <c r="X141" s="49">
        <f ca="1"/>
        <v>30</v>
      </c>
      <c r="Y141" s="49">
        <f ca="1"/>
        <v>30</v>
      </c>
      <c r="Z141" s="49">
        <f ca="1"/>
        <v>30</v>
      </c>
      <c r="AA141" s="49">
        <f ca="1"/>
        <v>30</v>
      </c>
      <c r="AB141" s="49">
        <f ca="1"/>
        <v>30</v>
      </c>
      <c r="AC141" s="49">
        <f ca="1"/>
        <v>30</v>
      </c>
      <c r="AD141" s="49">
        <f ca="1"/>
        <v>30</v>
      </c>
      <c r="AE141" s="49">
        <f ca="1"/>
        <v>30</v>
      </c>
      <c r="AF141" s="2"/>
      <c r="AH141" s="2"/>
    </row>
    <row r="142" spans="4:34" ht="20.100000000000001" customHeight="1" x14ac:dyDescent="0.25">
      <c r="U142" s="49" t="str">
        <f>TEXT(EDATE(X_Cell_Site_StartDate,9), "mmmm")</f>
        <v>October</v>
      </c>
      <c r="V142" s="49">
        <f ca="1"/>
        <v>31</v>
      </c>
      <c r="W142" s="49">
        <f ca="1"/>
        <v>31</v>
      </c>
      <c r="X142" s="49">
        <f ca="1"/>
        <v>31</v>
      </c>
      <c r="Y142" s="49">
        <f ca="1"/>
        <v>31</v>
      </c>
      <c r="Z142" s="49">
        <f ca="1"/>
        <v>31</v>
      </c>
      <c r="AA142" s="49">
        <f ca="1"/>
        <v>31</v>
      </c>
      <c r="AB142" s="49">
        <f ca="1"/>
        <v>31</v>
      </c>
      <c r="AC142" s="49">
        <f ca="1"/>
        <v>31</v>
      </c>
      <c r="AD142" s="49">
        <f ca="1"/>
        <v>31</v>
      </c>
      <c r="AE142" s="49">
        <f ca="1"/>
        <v>31</v>
      </c>
      <c r="AF142" s="2"/>
      <c r="AH142" s="2"/>
    </row>
    <row r="143" spans="4:34" ht="20.100000000000001" customHeight="1" x14ac:dyDescent="0.25">
      <c r="U143" s="49" t="str">
        <f>TEXT(EDATE(X_Cell_Site_StartDate,10), "mmmm")</f>
        <v>November</v>
      </c>
      <c r="V143" s="49">
        <f ca="1"/>
        <v>30</v>
      </c>
      <c r="W143" s="49">
        <f ca="1"/>
        <v>30</v>
      </c>
      <c r="X143" s="49">
        <f ca="1"/>
        <v>30</v>
      </c>
      <c r="Y143" s="49">
        <f ca="1"/>
        <v>30</v>
      </c>
      <c r="Z143" s="49">
        <f ca="1"/>
        <v>30</v>
      </c>
      <c r="AA143" s="49">
        <f ca="1"/>
        <v>30</v>
      </c>
      <c r="AB143" s="49">
        <f ca="1"/>
        <v>30</v>
      </c>
      <c r="AC143" s="49">
        <f ca="1"/>
        <v>30</v>
      </c>
      <c r="AD143" s="49">
        <f ca="1"/>
        <v>30</v>
      </c>
      <c r="AE143" s="49">
        <f ca="1"/>
        <v>30</v>
      </c>
      <c r="AF143" s="2"/>
    </row>
    <row r="144" spans="4:34" ht="20.100000000000001" customHeight="1" x14ac:dyDescent="0.25">
      <c r="U144" s="49" t="str">
        <f>TEXT(EDATE(X_Cell_Site_StartDate,11), "mmmm")</f>
        <v>December</v>
      </c>
      <c r="V144" s="49">
        <f ca="1"/>
        <v>31</v>
      </c>
      <c r="W144" s="49">
        <f ca="1"/>
        <v>31</v>
      </c>
      <c r="X144" s="49">
        <f ca="1"/>
        <v>31</v>
      </c>
      <c r="Y144" s="49">
        <f ca="1"/>
        <v>31</v>
      </c>
      <c r="Z144" s="49">
        <f ca="1"/>
        <v>31</v>
      </c>
      <c r="AA144" s="49">
        <f ca="1"/>
        <v>31</v>
      </c>
      <c r="AB144" s="49">
        <f ca="1"/>
        <v>31</v>
      </c>
      <c r="AC144" s="49">
        <f ca="1"/>
        <v>31</v>
      </c>
      <c r="AD144" s="49">
        <f ca="1"/>
        <v>31</v>
      </c>
      <c r="AE144" s="49">
        <f ca="1"/>
        <v>31</v>
      </c>
      <c r="AF144" s="2"/>
    </row>
    <row r="145" spans="21:32" ht="20.100000000000001" customHeight="1" x14ac:dyDescent="0.25"/>
    <row r="146" spans="21:32" ht="20.100000000000001" customHeight="1" x14ac:dyDescent="0.25">
      <c r="U146" s="92" t="s">
        <v>260</v>
      </c>
    </row>
    <row r="147" spans="21:32" ht="20.100000000000001" customHeight="1" x14ac:dyDescent="0.25">
      <c r="U147" s="91" t="s">
        <v>261</v>
      </c>
    </row>
    <row r="148" spans="21:32" ht="20.100000000000001" customHeight="1" x14ac:dyDescent="0.25">
      <c r="U148" s="48" t="s">
        <v>104</v>
      </c>
      <c r="V148" s="48" t="s">
        <v>103</v>
      </c>
      <c r="W148" s="48" t="s">
        <v>102</v>
      </c>
      <c r="X148" s="48" t="s">
        <v>126</v>
      </c>
      <c r="Y148" s="48" t="s">
        <v>127</v>
      </c>
      <c r="Z148" s="48" t="s">
        <v>128</v>
      </c>
      <c r="AA148" s="48" t="s">
        <v>129</v>
      </c>
      <c r="AB148" s="48" t="s">
        <v>130</v>
      </c>
      <c r="AC148" s="48" t="s">
        <v>131</v>
      </c>
      <c r="AD148" s="48" t="s">
        <v>132</v>
      </c>
      <c r="AE148" s="48" t="s">
        <v>133</v>
      </c>
    </row>
    <row r="149" spans="21:32" ht="20.100000000000001" customHeight="1" x14ac:dyDescent="0.25">
      <c r="U149" s="49" t="str">
        <f t="shared" ref="U149:U160" si="3">U133</f>
        <v>January</v>
      </c>
      <c r="V149" s="49" cm="1">
        <f t="array" aca="1" ref="V149" ca="1">EntericMethane_PastureBeef_Equations.VEERG_3_2_1_1__1_TotalAnnualMethaneFromEntericFermentation(V133,V97,V117)</f>
        <v>0.4586136012616317</v>
      </c>
      <c r="W149" s="49" cm="1">
        <f t="array" aca="1" ref="W149" ca="1">EntericMethane_PastureBeef_Equations.VEERG_3_2_1_1__1_TotalAnnualMethaneFromEntericFermentation(W133,W97,W117)</f>
        <v>0.60679113521101213</v>
      </c>
      <c r="X149" s="49" cm="1">
        <f t="array" aca="1" ref="X149" ca="1">EntericMethane_PastureBeef_Equations.VEERG_3_2_1_1__1_TotalAnnualMethaneFromEntericFermentation(X133,X97,X117)</f>
        <v>0.38568368207519993</v>
      </c>
      <c r="Y149" s="49" cm="1">
        <f t="array" aca="1" ref="Y149" ca="1">EntericMethane_PastureBeef_Equations.VEERG_3_2_1_1__1_TotalAnnualMethaneFromEntericFermentation(Y133,Y97,Y117)</f>
        <v>0.5050531744094251</v>
      </c>
      <c r="Z149" s="49" cm="1">
        <f t="array" aca="1" ref="Z149" ca="1">EntericMethane_PastureBeef_Equations.VEERG_3_2_1_1__1_TotalAnnualMethaneFromEntericFermentation(Z133,Z97,Z117)</f>
        <v>0.50006444018011187</v>
      </c>
      <c r="AA149" s="49" cm="1">
        <f t="array" aca="1" ref="AA149" ca="1">EntericMethane_PastureBeef_Equations.VEERG_3_2_1_1__1_TotalAnnualMethaneFromEntericFermentation(AA133,AA97,AA117)</f>
        <v>0.50006444018011187</v>
      </c>
      <c r="AB149" s="49" cm="1">
        <f t="array" aca="1" ref="AB149" ca="1">EntericMethane_PastureBeef_Equations.VEERG_3_2_1_1__1_TotalAnnualMethaneFromEntericFermentation(AB133,AB97,AB117)</f>
        <v>0.422728915885632</v>
      </c>
      <c r="AC149" s="49" cm="1">
        <f t="array" aca="1" ref="AC149" ca="1">EntericMethane_PastureBeef_Equations.VEERG_3_2_1_1__1_TotalAnnualMethaneFromEntericFermentation(AC133,AC97,AC117)</f>
        <v>0.47120481705053707</v>
      </c>
      <c r="AD149" s="49" cm="1">
        <f t="array" aca="1" ref="AD149" ca="1">EntericMethane_PastureBeef_Equations.VEERG_3_2_1_1__1_TotalAnnualMethaneFromEntericFermentation(AD133,AD97,AD117)</f>
        <v>0.47120481705053707</v>
      </c>
      <c r="AE149" s="49" cm="1">
        <f t="array" aca="1" ref="AE149" ca="1">EntericMethane_PastureBeef_Equations.VEERG_3_2_1_1__1_TotalAnnualMethaneFromEntericFermentation(AE133,AE97,AE117)</f>
        <v>0.47120481705053707</v>
      </c>
      <c r="AF149" s="2" t="str">
        <f>$E$98</f>
        <v>t CH4</v>
      </c>
    </row>
    <row r="150" spans="21:32" ht="20.100000000000001" customHeight="1" x14ac:dyDescent="0.25">
      <c r="U150" s="49" t="str">
        <f t="shared" si="3"/>
        <v>February</v>
      </c>
      <c r="V150" s="49" cm="1">
        <f t="array" aca="1" ref="V150" ca="1">EntericMethane_PastureBeef_Equations.VEERG_3_2_1_1__1_TotalAnnualMethaneFromEntericFermentation(V134,V98,V118)</f>
        <v>0.42902562698668767</v>
      </c>
      <c r="W150" s="49" cm="1">
        <f t="array" aca="1" ref="W150" ca="1">EntericMethane_PastureBeef_Equations.VEERG_3_2_1_1__1_TotalAnnualMethaneFromEntericFermentation(W134,W98,W118)</f>
        <v>0.56764332003610807</v>
      </c>
      <c r="X150" s="49" cm="1">
        <f t="array" aca="1" ref="X150" ca="1">EntericMethane_PastureBeef_Equations.VEERG_3_2_1_1__1_TotalAnnualMethaneFromEntericFermentation(X134,X98,X118)</f>
        <v>0.36080086387679988</v>
      </c>
      <c r="Y150" s="49" cm="1">
        <f t="array" aca="1" ref="Y150" ca="1">EntericMethane_PastureBeef_Equations.VEERG_3_2_1_1__1_TotalAnnualMethaneFromEntericFermentation(Y134,Y98,Y118)</f>
        <v>0.47246909864107506</v>
      </c>
      <c r="Z150" s="49" cm="1">
        <f t="array" aca="1" ref="Z150" ca="1">EntericMethane_PastureBeef_Equations.VEERG_3_2_1_1__1_TotalAnnualMethaneFromEntericFermentation(Z134,Z98,Z118)</f>
        <v>0.46780221823300788</v>
      </c>
      <c r="AA150" s="49" cm="1">
        <f t="array" aca="1" ref="AA150" ca="1">EntericMethane_PastureBeef_Equations.VEERG_3_2_1_1__1_TotalAnnualMethaneFromEntericFermentation(AA134,AA98,AA118)</f>
        <v>0.46780221823300788</v>
      </c>
      <c r="AB150" s="49" cm="1">
        <f t="array" aca="1" ref="AB150" ca="1">EntericMethane_PastureBeef_Equations.VEERG_3_2_1_1__1_TotalAnnualMethaneFromEntericFermentation(AB134,AB98,AB118)</f>
        <v>0.39545608260268794</v>
      </c>
      <c r="AC150" s="49" cm="1">
        <f t="array" aca="1" ref="AC150" ca="1">EntericMethane_PastureBeef_Equations.VEERG_3_2_1_1__1_TotalAnnualMethaneFromEntericFermentation(AC134,AC98,AC118)</f>
        <v>0.4408045062730831</v>
      </c>
      <c r="AD150" s="49" cm="1">
        <f t="array" aca="1" ref="AD150" ca="1">EntericMethane_PastureBeef_Equations.VEERG_3_2_1_1__1_TotalAnnualMethaneFromEntericFermentation(AD134,AD98,AD118)</f>
        <v>0.4408045062730831</v>
      </c>
      <c r="AE150" s="49" cm="1">
        <f t="array" aca="1" ref="AE150" ca="1">EntericMethane_PastureBeef_Equations.VEERG_3_2_1_1__1_TotalAnnualMethaneFromEntericFermentation(AE134,AE98,AE118)</f>
        <v>0.4408045062730831</v>
      </c>
      <c r="AF150" s="2"/>
    </row>
    <row r="151" spans="21:32" ht="20.100000000000001" customHeight="1" x14ac:dyDescent="0.25">
      <c r="U151" s="49" t="str">
        <f t="shared" si="3"/>
        <v>March</v>
      </c>
      <c r="V151" s="49" cm="1">
        <f t="array" aca="1" ref="V151" ca="1">EntericMethane_PastureBeef_Equations.VEERG_3_2_1_1__1_TotalAnnualMethaneFromEntericFermentation(V135,V99,V119)</f>
        <v>0.20837308068000002</v>
      </c>
      <c r="W151" s="49" cm="1">
        <f t="array" aca="1" ref="W151" ca="1">EntericMethane_PastureBeef_Equations.VEERG_3_2_1_1__1_TotalAnnualMethaneFromEntericFermentation(W135,W99,W119)</f>
        <v>0.60478007295067204</v>
      </c>
      <c r="X151" s="49" cm="1">
        <f t="array" aca="1" ref="X151" ca="1">EntericMethane_PastureBeef_Equations.VEERG_3_2_1_1__1_TotalAnnualMethaneFromEntericFermentation(X135,X99,X119)</f>
        <v>0.18996416521171203</v>
      </c>
      <c r="Y151" s="49" cm="1">
        <f t="array" aca="1" ref="Y151" ca="1">EntericMethane_PastureBeef_Equations.VEERG_3_2_1_1__1_TotalAnnualMethaneFromEntericFermentation(Y135,Y99,Y119)</f>
        <v>0.38231186811613199</v>
      </c>
      <c r="Z151" s="49" cm="1">
        <f t="array" aca="1" ref="Z151" ca="1">EntericMethane_PastureBeef_Equations.VEERG_3_2_1_1__1_TotalAnnualMethaneFromEntericFermentation(Z135,Z99,Z119)</f>
        <v>0.431093896244577</v>
      </c>
      <c r="AA151" s="49" cm="1">
        <f t="array" aca="1" ref="AA151" ca="1">EntericMethane_PastureBeef_Equations.VEERG_3_2_1_1__1_TotalAnnualMethaneFromEntericFermentation(AA135,AA99,AA119)</f>
        <v>0.431093896244577</v>
      </c>
      <c r="AB151" s="49" cm="1">
        <f t="array" aca="1" ref="AB151" ca="1">EntericMethane_PastureBeef_Equations.VEERG_3_2_1_1__1_TotalAnnualMethaneFromEntericFermentation(AB135,AB99,AB119)</f>
        <v>0.20837308068000002</v>
      </c>
      <c r="AC151" s="49" cm="1">
        <f t="array" aca="1" ref="AC151" ca="1">EntericMethane_PastureBeef_Equations.VEERG_3_2_1_1__1_TotalAnnualMethaneFromEntericFermentation(AC135,AC99,AC119)</f>
        <v>0.37830642176347212</v>
      </c>
      <c r="AD151" s="49" cm="1">
        <f t="array" aca="1" ref="AD151" ca="1">EntericMethane_PastureBeef_Equations.VEERG_3_2_1_1__1_TotalAnnualMethaneFromEntericFermentation(AD135,AD99,AD119)</f>
        <v>0.37830642176347212</v>
      </c>
      <c r="AE151" s="49" cm="1">
        <f t="array" aca="1" ref="AE151" ca="1">EntericMethane_PastureBeef_Equations.VEERG_3_2_1_1__1_TotalAnnualMethaneFromEntericFermentation(AE135,AE99,AE119)</f>
        <v>0.37830642176347212</v>
      </c>
      <c r="AF151" s="2"/>
    </row>
    <row r="152" spans="21:32" ht="20.100000000000001" customHeight="1" x14ac:dyDescent="0.25">
      <c r="U152" s="49" t="str">
        <f t="shared" si="3"/>
        <v>April</v>
      </c>
      <c r="V152" s="49" cm="1">
        <f t="array" aca="1" ref="V152" ca="1">EntericMethane_PastureBeef_Equations.VEERG_3_2_1_1__1_TotalAnnualMethaneFromEntericFermentation(V136,V100,V120)</f>
        <v>0.2016513684</v>
      </c>
      <c r="W152" s="49" cm="1">
        <f t="array" aca="1" ref="W152" ca="1">EntericMethane_PastureBeef_Equations.VEERG_3_2_1_1__1_TotalAnnualMethaneFromEntericFermentation(W136,W100,W120)</f>
        <v>0.58527103833936001</v>
      </c>
      <c r="X152" s="49" cm="1">
        <f t="array" aca="1" ref="X152" ca="1">EntericMethane_PastureBeef_Equations.VEERG_3_2_1_1__1_TotalAnnualMethaneFromEntericFermentation(X136,X100,X120)</f>
        <v>0.18383628891456003</v>
      </c>
      <c r="Y152" s="49" cm="1">
        <f t="array" aca="1" ref="Y152" ca="1">EntericMethane_PastureBeef_Equations.VEERG_3_2_1_1__1_TotalAnnualMethaneFromEntericFermentation(Y136,Y100,Y120)</f>
        <v>0.36997922720915993</v>
      </c>
      <c r="Z152" s="49" cm="1">
        <f t="array" aca="1" ref="Z152" ca="1">EntericMethane_PastureBeef_Equations.VEERG_3_2_1_1__1_TotalAnnualMethaneFromEntericFermentation(Z136,Z100,Z120)</f>
        <v>0.41718764152700993</v>
      </c>
      <c r="AA152" s="49" cm="1">
        <f t="array" aca="1" ref="AA152" ca="1">EntericMethane_PastureBeef_Equations.VEERG_3_2_1_1__1_TotalAnnualMethaneFromEntericFermentation(AA136,AA100,AA120)</f>
        <v>0.41718764152700993</v>
      </c>
      <c r="AB152" s="49" cm="1">
        <f t="array" aca="1" ref="AB152" ca="1">EntericMethane_PastureBeef_Equations.VEERG_3_2_1_1__1_TotalAnnualMethaneFromEntericFermentation(AB136,AB100,AB120)</f>
        <v>0.2016513684</v>
      </c>
      <c r="AC152" s="49" cm="1">
        <f t="array" aca="1" ref="AC152" ca="1">EntericMethane_PastureBeef_Equations.VEERG_3_2_1_1__1_TotalAnnualMethaneFromEntericFermentation(AC136,AC100,AC120)</f>
        <v>0.36610298880336012</v>
      </c>
      <c r="AD152" s="49" cm="1">
        <f t="array" aca="1" ref="AD152" ca="1">EntericMethane_PastureBeef_Equations.VEERG_3_2_1_1__1_TotalAnnualMethaneFromEntericFermentation(AD136,AD100,AD120)</f>
        <v>0.36610298880336012</v>
      </c>
      <c r="AE152" s="49" cm="1">
        <f t="array" aca="1" ref="AE152" ca="1">EntericMethane_PastureBeef_Equations.VEERG_3_2_1_1__1_TotalAnnualMethaneFromEntericFermentation(AE136,AE100,AE120)</f>
        <v>0.36610298880336012</v>
      </c>
      <c r="AF152" s="2"/>
    </row>
    <row r="153" spans="21:32" ht="20.100000000000001" customHeight="1" x14ac:dyDescent="0.25">
      <c r="U153" s="49" t="str">
        <f t="shared" si="3"/>
        <v>May</v>
      </c>
      <c r="V153" s="49" cm="1">
        <f t="array" aca="1" ref="V153" ca="1">EntericMethane_PastureBeef_Equations.VEERG_3_2_1_1__1_TotalAnnualMethaneFromEntericFermentation(V137,V101,V121)</f>
        <v>0.20837308068000002</v>
      </c>
      <c r="W153" s="49" cm="1">
        <f t="array" aca="1" ref="W153" ca="1">EntericMethane_PastureBeef_Equations.VEERG_3_2_1_1__1_TotalAnnualMethaneFromEntericFermentation(W137,W101,W121)</f>
        <v>0.60478007295067204</v>
      </c>
      <c r="X153" s="49" cm="1">
        <f t="array" aca="1" ref="X153" ca="1">EntericMethane_PastureBeef_Equations.VEERG_3_2_1_1__1_TotalAnnualMethaneFromEntericFermentation(X137,X101,X121)</f>
        <v>0.18996416521171203</v>
      </c>
      <c r="Y153" s="49" cm="1">
        <f t="array" aca="1" ref="Y153" ca="1">EntericMethane_PastureBeef_Equations.VEERG_3_2_1_1__1_TotalAnnualMethaneFromEntericFermentation(Y137,Y101,Y121)</f>
        <v>0.38231186811613199</v>
      </c>
      <c r="Z153" s="49" cm="1">
        <f t="array" aca="1" ref="Z153" ca="1">EntericMethane_PastureBeef_Equations.VEERG_3_2_1_1__1_TotalAnnualMethaneFromEntericFermentation(Z137,Z101,Z121)</f>
        <v>0.431093896244577</v>
      </c>
      <c r="AA153" s="49" cm="1">
        <f t="array" aca="1" ref="AA153" ca="1">EntericMethane_PastureBeef_Equations.VEERG_3_2_1_1__1_TotalAnnualMethaneFromEntericFermentation(AA137,AA101,AA121)</f>
        <v>0.431093896244577</v>
      </c>
      <c r="AB153" s="49" cm="1">
        <f t="array" aca="1" ref="AB153" ca="1">EntericMethane_PastureBeef_Equations.VEERG_3_2_1_1__1_TotalAnnualMethaneFromEntericFermentation(AB137,AB101,AB121)</f>
        <v>0.20837308068000002</v>
      </c>
      <c r="AC153" s="49" cm="1">
        <f t="array" aca="1" ref="AC153" ca="1">EntericMethane_PastureBeef_Equations.VEERG_3_2_1_1__1_TotalAnnualMethaneFromEntericFermentation(AC137,AC101,AC121)</f>
        <v>0.37830642176347212</v>
      </c>
      <c r="AD153" s="49" cm="1">
        <f t="array" aca="1" ref="AD153" ca="1">EntericMethane_PastureBeef_Equations.VEERG_3_2_1_1__1_TotalAnnualMethaneFromEntericFermentation(AD137,AD101,AD121)</f>
        <v>0.37830642176347212</v>
      </c>
      <c r="AE153" s="49" cm="1">
        <f t="array" aca="1" ref="AE153" ca="1">EntericMethane_PastureBeef_Equations.VEERG_3_2_1_1__1_TotalAnnualMethaneFromEntericFermentation(AE137,AE101,AE121)</f>
        <v>0.37830642176347212</v>
      </c>
      <c r="AF153" s="2"/>
    </row>
    <row r="154" spans="21:32" ht="20.100000000000001" customHeight="1" x14ac:dyDescent="0.25">
      <c r="U154" s="49" t="str">
        <f t="shared" si="3"/>
        <v>June</v>
      </c>
      <c r="V154" s="49" cm="1">
        <f t="array" aca="1" ref="V154" ca="1">EntericMethane_PastureBeef_Equations.VEERG_3_2_1_1__1_TotalAnnualMethaneFromEntericFermentation(V138,V102,V122)</f>
        <v>0.31875296878700998</v>
      </c>
      <c r="W154" s="49" cm="1">
        <f t="array" aca="1" ref="W154" ca="1">EntericMethane_PastureBeef_Equations.VEERG_3_2_1_1__1_TotalAnnualMethaneFromEntericFermentation(W138,W102,W122)</f>
        <v>0.61943873706899988</v>
      </c>
      <c r="X154" s="49" cm="1">
        <f t="array" aca="1" ref="X154" ca="1">EntericMethane_PastureBeef_Equations.VEERG_3_2_1_1__1_TotalAnnualMethaneFromEntericFermentation(X138,X102,X122)</f>
        <v>0.26098798065525008</v>
      </c>
      <c r="Y154" s="49" cm="1">
        <f t="array" aca="1" ref="Y154" ca="1">EntericMethane_PastureBeef_Equations.VEERG_3_2_1_1__1_TotalAnnualMethaneFromEntericFermentation(Y138,Y102,Y122)</f>
        <v>0.36811717389261017</v>
      </c>
      <c r="Z154" s="49" cm="1">
        <f t="array" aca="1" ref="Z154" ca="1">EntericMethane_PastureBeef_Equations.VEERG_3_2_1_1__1_TotalAnnualMethaneFromEntericFermentation(Z138,Z102,Z122)</f>
        <v>0.49384053756620999</v>
      </c>
      <c r="AA154" s="49" cm="1">
        <f t="array" aca="1" ref="AA154" ca="1">EntericMethane_PastureBeef_Equations.VEERG_3_2_1_1__1_TotalAnnualMethaneFromEntericFermentation(AA138,AA102,AA122)</f>
        <v>0.49384053756620999</v>
      </c>
      <c r="AB154" s="49" cm="1">
        <f t="array" aca="1" ref="AB154" ca="1">EntericMethane_PastureBeef_Equations.VEERG_3_2_1_1__1_TotalAnnualMethaneFromEntericFermentation(AB138,AB102,AB122)</f>
        <v>0.28021185050660996</v>
      </c>
      <c r="AC154" s="49" cm="1">
        <f t="array" aca="1" ref="AC154" ca="1">EntericMethane_PastureBeef_Equations.VEERG_3_2_1_1__1_TotalAnnualMethaneFromEntericFermentation(AC138,AC102,AC122)</f>
        <v>0.42661772732735997</v>
      </c>
      <c r="AD154" s="49" cm="1">
        <f t="array" aca="1" ref="AD154" ca="1">EntericMethane_PastureBeef_Equations.VEERG_3_2_1_1__1_TotalAnnualMethaneFromEntericFermentation(AD138,AD102,AD122)</f>
        <v>0.42661772732735997</v>
      </c>
      <c r="AE154" s="49" cm="1">
        <f t="array" aca="1" ref="AE154" ca="1">EntericMethane_PastureBeef_Equations.VEERG_3_2_1_1__1_TotalAnnualMethaneFromEntericFermentation(AE138,AE102,AE122)</f>
        <v>0.42661772732735997</v>
      </c>
      <c r="AF154" s="2"/>
    </row>
    <row r="155" spans="21:32" ht="20.100000000000001" customHeight="1" x14ac:dyDescent="0.25">
      <c r="U155" s="49" t="str">
        <f t="shared" si="3"/>
        <v>July</v>
      </c>
      <c r="V155" s="49" cm="1">
        <f t="array" aca="1" ref="V155" ca="1">EntericMethane_PastureBeef_Equations.VEERG_3_2_1_1__1_TotalAnnualMethaneFromEntericFermentation(V139,V103,V123)</f>
        <v>0.32937806774657702</v>
      </c>
      <c r="W155" s="49" cm="1">
        <f t="array" aca="1" ref="W155" ca="1">EntericMethane_PastureBeef_Equations.VEERG_3_2_1_1__1_TotalAnnualMethaneFromEntericFermentation(W139,W103,W123)</f>
        <v>0.64008669497129989</v>
      </c>
      <c r="X155" s="49" cm="1">
        <f t="array" aca="1" ref="X155" ca="1">EntericMethane_PastureBeef_Equations.VEERG_3_2_1_1__1_TotalAnnualMethaneFromEntericFermentation(X139,X103,X123)</f>
        <v>0.26968758001042503</v>
      </c>
      <c r="Y155" s="49" cm="1">
        <f t="array" aca="1" ref="Y155" ca="1">EntericMethane_PastureBeef_Equations.VEERG_3_2_1_1__1_TotalAnnualMethaneFromEntericFermentation(Y139,Y103,Y123)</f>
        <v>0.38038774635569711</v>
      </c>
      <c r="Z155" s="49" cm="1">
        <f t="array" aca="1" ref="Z155" ca="1">EntericMethane_PastureBeef_Equations.VEERG_3_2_1_1__1_TotalAnnualMethaneFromEntericFermentation(Z139,Z103,Z123)</f>
        <v>0.51030188881841698</v>
      </c>
      <c r="AA155" s="49" cm="1">
        <f t="array" aca="1" ref="AA155" ca="1">EntericMethane_PastureBeef_Equations.VEERG_3_2_1_1__1_TotalAnnualMethaneFromEntericFermentation(AA139,AA103,AA123)</f>
        <v>0.51030188881841698</v>
      </c>
      <c r="AB155" s="49" cm="1">
        <f t="array" aca="1" ref="AB155" ca="1">EntericMethane_PastureBeef_Equations.VEERG_3_2_1_1__1_TotalAnnualMethaneFromEntericFermentation(AB139,AB103,AB123)</f>
        <v>0.2895522455234969</v>
      </c>
      <c r="AC155" s="49" cm="1">
        <f t="array" aca="1" ref="AC155" ca="1">EntericMethane_PastureBeef_Equations.VEERG_3_2_1_1__1_TotalAnnualMethaneFromEntericFermentation(AC139,AC103,AC123)</f>
        <v>0.44083831823827196</v>
      </c>
      <c r="AD155" s="49" cm="1">
        <f t="array" aca="1" ref="AD155" ca="1">EntericMethane_PastureBeef_Equations.VEERG_3_2_1_1__1_TotalAnnualMethaneFromEntericFermentation(AD139,AD103,AD123)</f>
        <v>0.44083831823827196</v>
      </c>
      <c r="AE155" s="49" cm="1">
        <f t="array" aca="1" ref="AE155" ca="1">EntericMethane_PastureBeef_Equations.VEERG_3_2_1_1__1_TotalAnnualMethaneFromEntericFermentation(AE139,AE103,AE123)</f>
        <v>0.44083831823827196</v>
      </c>
      <c r="AF155" s="2"/>
    </row>
    <row r="156" spans="21:32" ht="20.100000000000001" customHeight="1" x14ac:dyDescent="0.25">
      <c r="U156" s="49" t="str">
        <f t="shared" si="3"/>
        <v>August</v>
      </c>
      <c r="V156" s="49" cm="1">
        <f t="array" aca="1" ref="V156" ca="1">EntericMethane_PastureBeef_Equations.VEERG_3_2_1_1__1_TotalAnnualMethaneFromEntericFermentation(V140,V104,V124)</f>
        <v>0.32937806774657702</v>
      </c>
      <c r="W156" s="49" cm="1">
        <f t="array" aca="1" ref="W156" ca="1">EntericMethane_PastureBeef_Equations.VEERG_3_2_1_1__1_TotalAnnualMethaneFromEntericFermentation(W140,W104,W124)</f>
        <v>0.64008669497129989</v>
      </c>
      <c r="X156" s="49" cm="1">
        <f t="array" aca="1" ref="X156" ca="1">EntericMethane_PastureBeef_Equations.VEERG_3_2_1_1__1_TotalAnnualMethaneFromEntericFermentation(X140,X104,X124)</f>
        <v>0.26968758001042503</v>
      </c>
      <c r="Y156" s="49" cm="1">
        <f t="array" aca="1" ref="Y156" ca="1">EntericMethane_PastureBeef_Equations.VEERG_3_2_1_1__1_TotalAnnualMethaneFromEntericFermentation(Y140,Y104,Y124)</f>
        <v>0.38038774635569711</v>
      </c>
      <c r="Z156" s="49" cm="1">
        <f t="array" aca="1" ref="Z156" ca="1">EntericMethane_PastureBeef_Equations.VEERG_3_2_1_1__1_TotalAnnualMethaneFromEntericFermentation(Z140,Z104,Z124)</f>
        <v>0.51030188881841698</v>
      </c>
      <c r="AA156" s="49" cm="1">
        <f t="array" aca="1" ref="AA156" ca="1">EntericMethane_PastureBeef_Equations.VEERG_3_2_1_1__1_TotalAnnualMethaneFromEntericFermentation(AA140,AA104,AA124)</f>
        <v>0.51030188881841698</v>
      </c>
      <c r="AB156" s="49" cm="1">
        <f t="array" aca="1" ref="AB156" ca="1">EntericMethane_PastureBeef_Equations.VEERG_3_2_1_1__1_TotalAnnualMethaneFromEntericFermentation(AB140,AB104,AB124)</f>
        <v>0.2895522455234969</v>
      </c>
      <c r="AC156" s="49" cm="1">
        <f t="array" aca="1" ref="AC156" ca="1">EntericMethane_PastureBeef_Equations.VEERG_3_2_1_1__1_TotalAnnualMethaneFromEntericFermentation(AC140,AC104,AC124)</f>
        <v>0.44083831823827196</v>
      </c>
      <c r="AD156" s="49" cm="1">
        <f t="array" aca="1" ref="AD156" ca="1">EntericMethane_PastureBeef_Equations.VEERG_3_2_1_1__1_TotalAnnualMethaneFromEntericFermentation(AD140,AD104,AD124)</f>
        <v>0.44083831823827196</v>
      </c>
      <c r="AE156" s="49" cm="1">
        <f t="array" aca="1" ref="AE156" ca="1">EntericMethane_PastureBeef_Equations.VEERG_3_2_1_1__1_TotalAnnualMethaneFromEntericFermentation(AE140,AE104,AE124)</f>
        <v>0.44083831823827196</v>
      </c>
      <c r="AF156" s="2"/>
    </row>
    <row r="157" spans="21:32" ht="20.100000000000001" customHeight="1" x14ac:dyDescent="0.25">
      <c r="U157" s="49" t="str">
        <f t="shared" si="3"/>
        <v>September</v>
      </c>
      <c r="V157" s="49" cm="1">
        <f t="array" aca="1" ref="V157" ca="1">EntericMethane_PastureBeef_Equations.VEERG_3_2_1_1__1_TotalAnnualMethaneFromEntericFermentation(V141,V105,V125)</f>
        <v>0.53846318370816004</v>
      </c>
      <c r="W157" s="49" cm="1">
        <f t="array" aca="1" ref="W157" ca="1">EntericMethane_PastureBeef_Equations.VEERG_3_2_1_1__1_TotalAnnualMethaneFromEntericFermentation(W141,W105,W125)</f>
        <v>0.76050766552500015</v>
      </c>
      <c r="X157" s="49" cm="1">
        <f t="array" aca="1" ref="X157" ca="1">EntericMethane_PastureBeef_Equations.VEERG_3_2_1_1__1_TotalAnnualMethaneFromEntericFermentation(X141,X105,X125)</f>
        <v>0.41041649201661007</v>
      </c>
      <c r="Y157" s="49" cm="1">
        <f t="array" aca="1" ref="Y157" ca="1">EntericMethane_PastureBeef_Equations.VEERG_3_2_1_1__1_TotalAnnualMethaneFromEntericFermentation(Y141,Y105,Y125)</f>
        <v>0.53859851019621008</v>
      </c>
      <c r="Z157" s="49" cm="1">
        <f t="array" aca="1" ref="Z157" ca="1">EntericMethane_PastureBeef_Equations.VEERG_3_2_1_1__1_TotalAnnualMethaneFromEntericFermentation(Z141,Z105,Z125)</f>
        <v>0.59809078587600006</v>
      </c>
      <c r="AA157" s="49" cm="1">
        <f t="array" aca="1" ref="AA157" ca="1">EntericMethane_PastureBeef_Equations.VEERG_3_2_1_1__1_TotalAnnualMethaneFromEntericFermentation(AA141,AA105,AA125)</f>
        <v>0.59809078587600006</v>
      </c>
      <c r="AB157" s="49" cm="1">
        <f t="array" aca="1" ref="AB157" ca="1">EntericMethane_PastureBeef_Equations.VEERG_3_2_1_1__1_TotalAnnualMethaneFromEntericFermentation(AB141,AB105,AB125)</f>
        <v>0.47315580318899986</v>
      </c>
      <c r="AC157" s="49" cm="1">
        <f t="array" aca="1" ref="AC157" ca="1">EntericMethane_PastureBeef_Equations.VEERG_3_2_1_1__1_TotalAnnualMethaneFromEntericFermentation(AC141,AC105,AC125)</f>
        <v>0.60127877604275992</v>
      </c>
      <c r="AD157" s="49" cm="1">
        <f t="array" aca="1" ref="AD157" ca="1">EntericMethane_PastureBeef_Equations.VEERG_3_2_1_1__1_TotalAnnualMethaneFromEntericFermentation(AD141,AD105,AD125)</f>
        <v>0.60127877604275992</v>
      </c>
      <c r="AE157" s="49" cm="1">
        <f t="array" aca="1" ref="AE157" ca="1">EntericMethane_PastureBeef_Equations.VEERG_3_2_1_1__1_TotalAnnualMethaneFromEntericFermentation(AE141,AE105,AE125)</f>
        <v>0.60127877604275992</v>
      </c>
      <c r="AF157" s="2"/>
    </row>
    <row r="158" spans="21:32" ht="20.100000000000001" customHeight="1" x14ac:dyDescent="0.25">
      <c r="U158" s="49" t="str">
        <f t="shared" si="3"/>
        <v>October</v>
      </c>
      <c r="V158" s="49" cm="1">
        <f t="array" aca="1" ref="V158" ca="1">EntericMethane_PastureBeef_Equations.VEERG_3_2_1_1__1_TotalAnnualMethaneFromEntericFermentation(V142,V106,V126)</f>
        <v>0.556411956498432</v>
      </c>
      <c r="W158" s="49" cm="1">
        <f t="array" aca="1" ref="W158" ca="1">EntericMethane_PastureBeef_Equations.VEERG_3_2_1_1__1_TotalAnnualMethaneFromEntericFermentation(W142,W106,W126)</f>
        <v>0.78585792104250007</v>
      </c>
      <c r="X158" s="49" cm="1">
        <f t="array" aca="1" ref="X158" ca="1">EntericMethane_PastureBeef_Equations.VEERG_3_2_1_1__1_TotalAnnualMethaneFromEntericFermentation(X142,X106,X126)</f>
        <v>0.42409704175049701</v>
      </c>
      <c r="Y158" s="49" cm="1">
        <f t="array" aca="1" ref="Y158" ca="1">EntericMethane_PastureBeef_Equations.VEERG_3_2_1_1__1_TotalAnnualMethaneFromEntericFermentation(Y142,Y106,Y126)</f>
        <v>0.556551793869417</v>
      </c>
      <c r="Z158" s="49" cm="1">
        <f t="array" aca="1" ref="Z158" ca="1">EntericMethane_PastureBeef_Equations.VEERG_3_2_1_1__1_TotalAnnualMethaneFromEntericFermentation(Z142,Z106,Z126)</f>
        <v>0.6180271454052001</v>
      </c>
      <c r="AA158" s="49" cm="1">
        <f t="array" aca="1" ref="AA158" ca="1">EntericMethane_PastureBeef_Equations.VEERG_3_2_1_1__1_TotalAnnualMethaneFromEntericFermentation(AA142,AA106,AA126)</f>
        <v>0.6180271454052001</v>
      </c>
      <c r="AB158" s="49" cm="1">
        <f t="array" aca="1" ref="AB158" ca="1">EntericMethane_PastureBeef_Equations.VEERG_3_2_1_1__1_TotalAnnualMethaneFromEntericFermentation(AB142,AB106,AB126)</f>
        <v>0.4889276632952998</v>
      </c>
      <c r="AC158" s="49" cm="1">
        <f t="array" aca="1" ref="AC158" ca="1">EntericMethane_PastureBeef_Equations.VEERG_3_2_1_1__1_TotalAnnualMethaneFromEntericFermentation(AC142,AC106,AC126)</f>
        <v>0.62132140191085194</v>
      </c>
      <c r="AD158" s="49" cm="1">
        <f t="array" aca="1" ref="AD158" ca="1">EntericMethane_PastureBeef_Equations.VEERG_3_2_1_1__1_TotalAnnualMethaneFromEntericFermentation(AD142,AD106,AD126)</f>
        <v>0.62132140191085194</v>
      </c>
      <c r="AE158" s="49" cm="1">
        <f t="array" aca="1" ref="AE158" ca="1">EntericMethane_PastureBeef_Equations.VEERG_3_2_1_1__1_TotalAnnualMethaneFromEntericFermentation(AE142,AE106,AE126)</f>
        <v>0.62132140191085194</v>
      </c>
      <c r="AF158" s="2"/>
    </row>
    <row r="159" spans="21:32" ht="20.100000000000001" customHeight="1" x14ac:dyDescent="0.25">
      <c r="U159" s="49" t="str">
        <f t="shared" si="3"/>
        <v>November</v>
      </c>
      <c r="V159" s="49" cm="1">
        <f t="array" aca="1" ref="V159" ca="1">EntericMethane_PastureBeef_Equations.VEERG_3_2_1_1__1_TotalAnnualMethaneFromEntericFermentation(V143,V107,V127)</f>
        <v>0.53846318370816004</v>
      </c>
      <c r="W159" s="49" cm="1">
        <f t="array" aca="1" ref="W159" ca="1">EntericMethane_PastureBeef_Equations.VEERG_3_2_1_1__1_TotalAnnualMethaneFromEntericFermentation(W143,W107,W127)</f>
        <v>0.76050766552500015</v>
      </c>
      <c r="X159" s="49" cm="1">
        <f t="array" aca="1" ref="X159" ca="1">EntericMethane_PastureBeef_Equations.VEERG_3_2_1_1__1_TotalAnnualMethaneFromEntericFermentation(X143,X107,X127)</f>
        <v>0.41041649201661007</v>
      </c>
      <c r="Y159" s="49" cm="1">
        <f t="array" aca="1" ref="Y159" ca="1">EntericMethane_PastureBeef_Equations.VEERG_3_2_1_1__1_TotalAnnualMethaneFromEntericFermentation(Y143,Y107,Y127)</f>
        <v>0.53859851019621008</v>
      </c>
      <c r="Z159" s="49" cm="1">
        <f t="array" aca="1" ref="Z159" ca="1">EntericMethane_PastureBeef_Equations.VEERG_3_2_1_1__1_TotalAnnualMethaneFromEntericFermentation(Z143,Z107,Z127)</f>
        <v>0.59809078587600006</v>
      </c>
      <c r="AA159" s="49" cm="1">
        <f t="array" aca="1" ref="AA159" ca="1">EntericMethane_PastureBeef_Equations.VEERG_3_2_1_1__1_TotalAnnualMethaneFromEntericFermentation(AA143,AA107,AA127)</f>
        <v>0.59809078587600006</v>
      </c>
      <c r="AB159" s="49" cm="1">
        <f t="array" aca="1" ref="AB159" ca="1">EntericMethane_PastureBeef_Equations.VEERG_3_2_1_1__1_TotalAnnualMethaneFromEntericFermentation(AB143,AB107,AB127)</f>
        <v>0.47315580318899986</v>
      </c>
      <c r="AC159" s="49" cm="1">
        <f t="array" aca="1" ref="AC159" ca="1">EntericMethane_PastureBeef_Equations.VEERG_3_2_1_1__1_TotalAnnualMethaneFromEntericFermentation(AC143,AC107,AC127)</f>
        <v>0.60127877604275992</v>
      </c>
      <c r="AD159" s="49" cm="1">
        <f t="array" aca="1" ref="AD159" ca="1">EntericMethane_PastureBeef_Equations.VEERG_3_2_1_1__1_TotalAnnualMethaneFromEntericFermentation(AD143,AD107,AD127)</f>
        <v>0.60127877604275992</v>
      </c>
      <c r="AE159" s="49" cm="1">
        <f t="array" aca="1" ref="AE159" ca="1">EntericMethane_PastureBeef_Equations.VEERG_3_2_1_1__1_TotalAnnualMethaneFromEntericFermentation(AE143,AE107,AE127)</f>
        <v>0.60127877604275992</v>
      </c>
      <c r="AF159" s="2"/>
    </row>
    <row r="160" spans="21:32" ht="20.100000000000001" customHeight="1" x14ac:dyDescent="0.25">
      <c r="U160" s="49" t="str">
        <f t="shared" si="3"/>
        <v>December</v>
      </c>
      <c r="V160" s="49" cm="1">
        <f t="array" aca="1" ref="V160" ca="1">EntericMethane_PastureBeef_Equations.VEERG_3_2_1_1__1_TotalAnnualMethaneFromEntericFermentation(V144,V108,V128)</f>
        <v>0.4586136012616317</v>
      </c>
      <c r="W160" s="49" cm="1">
        <f t="array" aca="1" ref="W160" ca="1">EntericMethane_PastureBeef_Equations.VEERG_3_2_1_1__1_TotalAnnualMethaneFromEntericFermentation(W144,W108,W128)</f>
        <v>0.60679113521101213</v>
      </c>
      <c r="X160" s="49" cm="1">
        <f t="array" aca="1" ref="X160" ca="1">EntericMethane_PastureBeef_Equations.VEERG_3_2_1_1__1_TotalAnnualMethaneFromEntericFermentation(X144,X108,X128)</f>
        <v>0.38568368207519993</v>
      </c>
      <c r="Y160" s="49" cm="1">
        <f t="array" aca="1" ref="Y160" ca="1">EntericMethane_PastureBeef_Equations.VEERG_3_2_1_1__1_TotalAnnualMethaneFromEntericFermentation(Y144,Y108,Y128)</f>
        <v>0.5050531744094251</v>
      </c>
      <c r="Z160" s="49" cm="1">
        <f t="array" aca="1" ref="Z160" ca="1">EntericMethane_PastureBeef_Equations.VEERG_3_2_1_1__1_TotalAnnualMethaneFromEntericFermentation(Z144,Z108,Z128)</f>
        <v>0.50006444018011187</v>
      </c>
      <c r="AA160" s="49" cm="1">
        <f t="array" aca="1" ref="AA160" ca="1">EntericMethane_PastureBeef_Equations.VEERG_3_2_1_1__1_TotalAnnualMethaneFromEntericFermentation(AA144,AA108,AA128)</f>
        <v>0.50006444018011187</v>
      </c>
      <c r="AB160" s="49" cm="1">
        <f t="array" aca="1" ref="AB160" ca="1">EntericMethane_PastureBeef_Equations.VEERG_3_2_1_1__1_TotalAnnualMethaneFromEntericFermentation(AB144,AB108,AB128)</f>
        <v>0.422728915885632</v>
      </c>
      <c r="AC160" s="49" cm="1">
        <f t="array" aca="1" ref="AC160" ca="1">EntericMethane_PastureBeef_Equations.VEERG_3_2_1_1__1_TotalAnnualMethaneFromEntericFermentation(AC144,AC108,AC128)</f>
        <v>0.47120481705053707</v>
      </c>
      <c r="AD160" s="49" cm="1">
        <f t="array" aca="1" ref="AD160" ca="1">EntericMethane_PastureBeef_Equations.VEERG_3_2_1_1__1_TotalAnnualMethaneFromEntericFermentation(AD144,AD108,AD128)</f>
        <v>0.47120481705053707</v>
      </c>
      <c r="AE160" s="49" cm="1">
        <f t="array" aca="1" ref="AE160" ca="1">EntericMethane_PastureBeef_Equations.VEERG_3_2_1_1__1_TotalAnnualMethaneFromEntericFermentation(AE144,AE108,AE128)</f>
        <v>0.47120481705053707</v>
      </c>
      <c r="AF160" s="2"/>
    </row>
    <row r="161" spans="21:24" ht="20.100000000000001" customHeight="1" x14ac:dyDescent="0.25">
      <c r="U161" s="93" t="s">
        <v>231</v>
      </c>
      <c r="V161" s="94">
        <f ca="1">SUM(V149:AE160)</f>
        <v>54.699181903674365</v>
      </c>
      <c r="W161" s="95">
        <f ca="1">V140</f>
        <v>31</v>
      </c>
    </row>
    <row r="162" spans="21:24" ht="20.100000000000001" customHeight="1" x14ac:dyDescent="0.25"/>
    <row r="163" spans="21:24" ht="20.100000000000001" customHeight="1" x14ac:dyDescent="0.25">
      <c r="U163" s="54" t="str" cm="1">
        <f t="array" ref="U163:V164">Common_Equations.Common_ConvertCH4ToCO2e_Arguments()</f>
        <v>ECH4</v>
      </c>
      <c r="V163" s="55" t="str">
        <v>Methane emissions (t CH4)</v>
      </c>
      <c r="W163" s="96"/>
      <c r="X163" s="49">
        <f ca="1">V161</f>
        <v>54.699181903674365</v>
      </c>
    </row>
    <row r="164" spans="21:24" ht="20.100000000000001" customHeight="1" x14ac:dyDescent="0.25">
      <c r="U164" s="54" t="str">
        <v>GWPCH4</v>
      </c>
      <c r="V164" s="55" t="str">
        <v>Global warming potential for methane (t CO2-e / t CH4)</v>
      </c>
      <c r="W164" s="96"/>
      <c r="X164" s="49">
        <f>Common_InputFunctions.Utility_LookupValueInTableNumber("CH4",Table_GWPData[Gas],Table_GWPData[CO2-e factor])</f>
        <v>28</v>
      </c>
    </row>
    <row r="165" spans="21:24" ht="20.100000000000001" customHeight="1" x14ac:dyDescent="0.25"/>
    <row r="166" spans="21:24" ht="20.100000000000001" customHeight="1" x14ac:dyDescent="0.25">
      <c r="U166" s="42" t="s">
        <v>82</v>
      </c>
      <c r="V166" s="42" cm="1">
        <f t="array" aca="1" ref="V166" ca="1">Common_Equations.Common_ConvertN2OToCO2e(X163,X164)</f>
        <v>1531.5770933028823</v>
      </c>
      <c r="W166" s="97"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83"/>
  <sheetViews>
    <sheetView showGridLines="0" topLeftCell="J2"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2" t="e" vm="1">
        <v>#VALUE!</v>
      </c>
      <c r="C1" s="8" t="s">
        <v>143</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1"/>
    </row>
    <row r="5" spans="1:21" ht="20.100000000000001" customHeight="1" x14ac:dyDescent="0.25">
      <c r="D5" s="6" t="s">
        <v>233</v>
      </c>
      <c r="G5" s="6" t="s">
        <v>92</v>
      </c>
      <c r="M5" s="1" t="s">
        <v>167</v>
      </c>
      <c r="O5" s="1" t="s">
        <v>168</v>
      </c>
      <c r="Q5" s="1" t="s">
        <v>169</v>
      </c>
      <c r="S5" s="1" t="s">
        <v>180</v>
      </c>
    </row>
    <row r="6" spans="1:21" ht="20.100000000000001" customHeight="1" x14ac:dyDescent="0.25">
      <c r="M6" s="1"/>
    </row>
    <row r="7" spans="1:21" ht="20.100000000000001" customHeight="1" x14ac:dyDescent="0.25">
      <c r="A7" s="19" t="s">
        <v>0</v>
      </c>
      <c r="D7" s="35" t="s">
        <v>91</v>
      </c>
      <c r="G7" s="35" t="s">
        <v>90</v>
      </c>
      <c r="M7" t="s">
        <v>144</v>
      </c>
      <c r="O7" s="35" t="s">
        <v>144</v>
      </c>
      <c r="Q7" s="35" t="s">
        <v>144</v>
      </c>
      <c r="S7" s="35" t="s">
        <v>144</v>
      </c>
    </row>
    <row r="8" spans="1:21" ht="20.100000000000001" customHeight="1" x14ac:dyDescent="0.25">
      <c r="A8" s="17" t="str">
        <f>HYPERLINK("#'Input - Site'!A1", "Site")</f>
        <v>Site</v>
      </c>
      <c r="D8" s="35" t="str">
        <f>'Constants - Common'!$F$187</f>
        <v>Pasture</v>
      </c>
      <c r="G8" s="35" t="s">
        <v>93</v>
      </c>
      <c r="M8" s="35" t="s">
        <v>170</v>
      </c>
      <c r="O8" s="35" t="s">
        <v>172</v>
      </c>
      <c r="Q8" s="35" t="s">
        <v>175</v>
      </c>
      <c r="S8" s="35" t="s">
        <v>163</v>
      </c>
    </row>
    <row r="9" spans="1:21" ht="20.100000000000001" customHeight="1" x14ac:dyDescent="0.25">
      <c r="A9" s="17" t="str">
        <f>HYPERLINK("#'Input - Pasture Beef'!A1", "Pasture Beef")</f>
        <v>Pasture Beef</v>
      </c>
      <c r="D9" s="1" t="str">
        <f>'Constants - Common'!$F$188</f>
        <v>Crop</v>
      </c>
      <c r="G9" s="35" t="s">
        <v>94</v>
      </c>
      <c r="M9" s="35" t="s">
        <v>171</v>
      </c>
      <c r="O9" s="35" t="s">
        <v>173</v>
      </c>
      <c r="Q9" s="35" t="s">
        <v>176</v>
      </c>
    </row>
    <row r="10" spans="1:21" ht="20.100000000000001" customHeight="1" x14ac:dyDescent="0.25">
      <c r="G10" s="1" t="s">
        <v>95</v>
      </c>
      <c r="M10" s="35" t="s">
        <v>166</v>
      </c>
      <c r="O10" s="35" t="s">
        <v>174</v>
      </c>
      <c r="Q10" s="35" t="s">
        <v>177</v>
      </c>
      <c r="S10" s="1" t="s">
        <v>181</v>
      </c>
    </row>
    <row r="11" spans="1:21" ht="20.100000000000001" customHeight="1" x14ac:dyDescent="0.25">
      <c r="G11" s="1" t="s">
        <v>96</v>
      </c>
      <c r="M11" s="1"/>
      <c r="Q11" s="35" t="s">
        <v>178</v>
      </c>
    </row>
    <row r="12" spans="1:21" ht="20.100000000000001" customHeight="1" x14ac:dyDescent="0.25">
      <c r="A12" s="18" t="s">
        <v>60</v>
      </c>
      <c r="G12" s="1" t="s">
        <v>97</v>
      </c>
      <c r="M12" s="1"/>
      <c r="S12" s="35" t="s">
        <v>144</v>
      </c>
    </row>
    <row r="13" spans="1:21" ht="20.100000000000001" customHeight="1" x14ac:dyDescent="0.25">
      <c r="A13" s="17" t="str">
        <f>HYPERLINK("#'3.2.1.1-2 Enteric Methane'!A1", "3.2.1.1-2 Enteric Methane")</f>
        <v>3.2.1.1-2 Enteric Methane</v>
      </c>
      <c r="M13" s="1"/>
      <c r="S13" s="35" t="s">
        <v>163</v>
      </c>
    </row>
    <row r="14" spans="1:21" ht="20.100000000000001" customHeight="1" x14ac:dyDescent="0.25">
      <c r="D14" s="6" t="str" cm="1">
        <f t="array" ref="D14">SourceData_PastureBeef.SourceData_PastureBeef_Liveweight_Title()</f>
        <v>Beef pasture cattle - Liveweight (kg) (Wjkl)</v>
      </c>
      <c r="M14" s="1"/>
    </row>
    <row r="15" spans="1:21" ht="20.100000000000001" customHeight="1" x14ac:dyDescent="0.25">
      <c r="D15" s="5" t="str" cm="1">
        <f t="array" ref="D15">SourceData_PastureBeef.SourceData_PastureBeef_Liveweight_Source()</f>
        <v>VEERG 2026: Table A.1.2.1</v>
      </c>
      <c r="M15" s="1"/>
      <c r="S15" s="1" t="s">
        <v>182</v>
      </c>
    </row>
    <row r="16" spans="1:21" ht="20.100000000000001" customHeight="1" x14ac:dyDescent="0.25">
      <c r="A16" s="128" t="s">
        <v>1</v>
      </c>
      <c r="D16" s="1" t="str" cm="1">
        <f t="array" ref="D16">SourceData_PastureBeef.SourceData_PastureBeef_Liveweight_Variable()</f>
        <v>Wjkl</v>
      </c>
      <c r="M16" s="1"/>
    </row>
    <row r="17" spans="1:19" ht="20.100000000000001" customHeight="1" x14ac:dyDescent="0.25">
      <c r="A17" s="118" t="str">
        <f>HYPERLINK("#'Constants - Pasture Beef'!A1", "Constants - Pasture Beef")</f>
        <v>Constants - Pasture Beef</v>
      </c>
      <c r="D17" s="51" t="str" cm="1">
        <f t="array" ref="D17">SourceData_PastureBeef.SourceData_PastureBeef_Liveweight_Unit()</f>
        <v>kg</v>
      </c>
      <c r="M17" s="1"/>
      <c r="O17" s="1" t="s">
        <v>269</v>
      </c>
      <c r="S17" s="35" t="s">
        <v>144</v>
      </c>
    </row>
    <row r="18" spans="1:19" ht="20.100000000000001" customHeight="1" x14ac:dyDescent="0.25">
      <c r="A18" s="17" t="str">
        <f>HYPERLINK("#'Constants - Common'!A1", "Constants - Common")</f>
        <v>Constants - Common</v>
      </c>
      <c r="D18" s="35" t="s">
        <v>5</v>
      </c>
      <c r="E18" s="35" t="s">
        <v>144</v>
      </c>
      <c r="F18" s="35" t="s">
        <v>145</v>
      </c>
      <c r="G18" s="35" t="s">
        <v>146</v>
      </c>
      <c r="H18" s="35" t="s">
        <v>147</v>
      </c>
      <c r="I18" s="35" t="s">
        <v>148</v>
      </c>
      <c r="J18" s="35" t="s">
        <v>149</v>
      </c>
      <c r="K18" s="35" t="s">
        <v>150</v>
      </c>
      <c r="L18" s="35" t="s">
        <v>151</v>
      </c>
      <c r="M18" s="35" t="s">
        <v>152</v>
      </c>
      <c r="O18" s="35" t="s">
        <v>270</v>
      </c>
      <c r="S18" s="35" t="s">
        <v>163</v>
      </c>
    </row>
    <row r="19" spans="1:19" ht="20.100000000000001" customHeight="1" x14ac:dyDescent="0.25">
      <c r="A19" s="17" t="str">
        <f>HYPERLINK("#'Constants - Common Livestock'!A1", "Constants - Common Livestock")</f>
        <v>Constants - Common Livestock</v>
      </c>
      <c r="D19" s="35" t="str" cm="1">
        <f t="array" ref="D19">Common_InputFunctions.Utility_DisplayArrayInTable(SourceData_PastureBeef.SourceData_PastureBeef_Liveweight_Data(), Table_SourceData_PastureBeef_Liveweight[[#Headers],[State]], 0)</f>
        <v>ACT/NSW</v>
      </c>
      <c r="E19" s="35" t="str" cm="1">
        <f t="array" ref="E19">Common_InputFunctions.Utility_DisplayArrayInTable(SourceData_PastureBeef.SourceData_PastureBeef_Liveweight_Data(), Table_SourceData_PastureBeef_Liveweight[[#Headers],[State]], 0)</f>
        <v>n/a</v>
      </c>
      <c r="F19" s="35" t="str" cm="1">
        <f t="array" ref="F19">Common_InputFunctions.Utility_DisplayArrayInTable(SourceData_PastureBeef.SourceData_PastureBeef_Liveweight_Data(), Table_SourceData_PastureBeef_Liveweight[[#Headers],[State]], 0)</f>
        <v>Spring</v>
      </c>
      <c r="G19" s="35" cm="1">
        <f t="array" ref="G19">Common_InputFunctions.Utility_DisplayArrayInTable(SourceData_PastureBeef.SourceData_PastureBeef_Liveweight_Data(), Table_SourceData_PastureBeef_Liveweight[[#Headers],[State]], 0)</f>
        <v>80</v>
      </c>
      <c r="H19" s="35" cm="1">
        <f t="array" ref="H19">Common_InputFunctions.Utility_DisplayArrayInTable(SourceData_PastureBeef.SourceData_PastureBeef_Liveweight_Data(), Table_SourceData_PastureBeef_Liveweight[[#Headers],[State]], 0)</f>
        <v>480</v>
      </c>
      <c r="I19" s="35" cm="1">
        <f t="array" ref="I19">Common_InputFunctions.Utility_DisplayArrayInTable(SourceData_PastureBeef.SourceData_PastureBeef_Liveweight_Data(), Table_SourceData_PastureBeef_Liveweight[[#Headers],[State]], 0)</f>
        <v>75</v>
      </c>
      <c r="J19" s="35" cm="1">
        <f t="array" ref="J19">Common_InputFunctions.Utility_DisplayArrayInTable(SourceData_PastureBeef.SourceData_PastureBeef_Liveweight_Data(), Table_SourceData_PastureBeef_Liveweight[[#Headers],[State]], 0)</f>
        <v>300</v>
      </c>
      <c r="K19" s="35" cm="1">
        <f t="array" ref="K19">Common_InputFunctions.Utility_DisplayArrayInTable(SourceData_PastureBeef.SourceData_PastureBeef_Liveweight_Data(), Table_SourceData_PastureBeef_Liveweight[[#Headers],[State]], 0)</f>
        <v>440</v>
      </c>
      <c r="L19" s="35" cm="1">
        <f t="array" ref="L19">Common_InputFunctions.Utility_DisplayArrayInTable(SourceData_PastureBeef.SourceData_PastureBeef_Liveweight_Data(), Table_SourceData_PastureBeef_Liveweight[[#Headers],[State]], 0)</f>
        <v>75</v>
      </c>
      <c r="M19" s="35" cm="1">
        <f t="array" ref="M19">Common_InputFunctions.Utility_DisplayArrayInTable(SourceData_PastureBeef.SourceData_PastureBeef_Liveweight_Data(), Table_SourceData_PastureBeef_Liveweight[[#Headers],[State]], 0)</f>
        <v>380</v>
      </c>
      <c r="O19" s="35" t="str">
        <f>Table_SourceData_PastureBeef_LiveweightAllStates[[#Headers],[Bulls &lt; 1 year]]</f>
        <v>Bulls &lt; 1 year</v>
      </c>
    </row>
    <row r="20" spans="1:19" ht="20.100000000000001" customHeight="1" x14ac:dyDescent="0.25">
      <c r="A20" s="17" t="str">
        <f>HYPERLINK("#'Acknowledgements'!A1", "Acknowledgements")</f>
        <v>Acknowledgements</v>
      </c>
      <c r="D20" s="1" t="str" cm="1">
        <f t="array" ref="D20">Common_InputFunctions.Utility_DisplayArrayInTable(SourceData_PastureBeef.SourceData_PastureBeef_Liveweight_Data(), Table_SourceData_PastureBeef_Liveweight[[#Headers],[State]], 0)</f>
        <v>ACT/NSW</v>
      </c>
      <c r="E20" s="35" t="str" cm="1">
        <f t="array" ref="E20">Common_InputFunctions.Utility_DisplayArrayInTable(SourceData_PastureBeef.SourceData_PastureBeef_Liveweight_Data(), Table_SourceData_PastureBeef_Liveweight[[#Headers],[State]], 0)</f>
        <v>n/a</v>
      </c>
      <c r="F20" s="35" t="str" cm="1">
        <f t="array" ref="F20">Common_InputFunctions.Utility_DisplayArrayInTable(SourceData_PastureBeef.SourceData_PastureBeef_Liveweight_Data(), Table_SourceData_PastureBeef_Liveweight[[#Headers],[State]], 0)</f>
        <v>Summer</v>
      </c>
      <c r="G20" s="35" cm="1">
        <f t="array" ref="G20">Common_InputFunctions.Utility_DisplayArrayInTable(SourceData_PastureBeef.SourceData_PastureBeef_Liveweight_Data(), Table_SourceData_PastureBeef_Liveweight[[#Headers],[State]], 0)</f>
        <v>170</v>
      </c>
      <c r="H20" s="35" cm="1">
        <f t="array" ref="H20">Common_InputFunctions.Utility_DisplayArrayInTable(SourceData_PastureBeef.SourceData_PastureBeef_Liveweight_Data(), Table_SourceData_PastureBeef_Liveweight[[#Headers],[State]], 0)</f>
        <v>520</v>
      </c>
      <c r="I20" s="35" cm="1">
        <f t="array" ref="I20">Common_InputFunctions.Utility_DisplayArrayInTable(SourceData_PastureBeef.SourceData_PastureBeef_Liveweight_Data(), Table_SourceData_PastureBeef_Liveweight[[#Headers],[State]], 0)</f>
        <v>160</v>
      </c>
      <c r="J20" s="35" cm="1">
        <f t="array" ref="J20">Common_InputFunctions.Utility_DisplayArrayInTable(SourceData_PastureBeef.SourceData_PastureBeef_Liveweight_Data(), Table_SourceData_PastureBeef_Liveweight[[#Headers],[State]], 0)</f>
        <v>360</v>
      </c>
      <c r="K20" s="35" cm="1">
        <f t="array" ref="K20">Common_InputFunctions.Utility_DisplayArrayInTable(SourceData_PastureBeef.SourceData_PastureBeef_Liveweight_Data(), Table_SourceData_PastureBeef_Liveweight[[#Headers],[State]], 0)</f>
        <v>470</v>
      </c>
      <c r="L20" s="35" cm="1">
        <f t="array" ref="L20">Common_InputFunctions.Utility_DisplayArrayInTable(SourceData_PastureBeef.SourceData_PastureBeef_Liveweight_Data(), Table_SourceData_PastureBeef_Liveweight[[#Headers],[State]], 0)</f>
        <v>160</v>
      </c>
      <c r="M20" s="35" cm="1">
        <f t="array" ref="M20">Common_InputFunctions.Utility_DisplayArrayInTable(SourceData_PastureBeef.SourceData_PastureBeef_Liveweight_Data(), Table_SourceData_PastureBeef_Liveweight[[#Headers],[State]], 0)</f>
        <v>420</v>
      </c>
      <c r="O20" s="35" t="str">
        <f>Table_SourceData_PastureBeef_LiveweightAllStates[[#Headers],[Bulls &gt; 1 year]]</f>
        <v>Bulls &gt; 1 year</v>
      </c>
      <c r="S20" s="1" t="s">
        <v>183</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5" t="str" cm="1">
        <f t="array" ref="E21">Common_InputFunctions.Utility_DisplayArrayInTable(SourceData_PastureBeef.SourceData_PastureBeef_Liveweight_Data(), Table_SourceData_PastureBeef_Liveweight[[#Headers],[State]], 0)</f>
        <v>n/a</v>
      </c>
      <c r="F21" s="35" t="str" cm="1">
        <f t="array" ref="F21">Common_InputFunctions.Utility_DisplayArrayInTable(SourceData_PastureBeef.SourceData_PastureBeef_Liveweight_Data(), Table_SourceData_PastureBeef_Liveweight[[#Headers],[State]], 0)</f>
        <v>Autumn</v>
      </c>
      <c r="G21" s="35" cm="1">
        <f t="array" ref="G21">Common_InputFunctions.Utility_DisplayArrayInTable(SourceData_PastureBeef.SourceData_PastureBeef_Liveweight_Data(), Table_SourceData_PastureBeef_Liveweight[[#Headers],[State]], 0)</f>
        <v>240</v>
      </c>
      <c r="H21" s="35" cm="1">
        <f t="array" ref="H21">Common_InputFunctions.Utility_DisplayArrayInTable(SourceData_PastureBeef.SourceData_PastureBeef_Liveweight_Data(), Table_SourceData_PastureBeef_Liveweight[[#Headers],[State]], 0)</f>
        <v>550</v>
      </c>
      <c r="I21" s="35" cm="1">
        <f t="array" ref="I21">Common_InputFunctions.Utility_DisplayArrayInTable(SourceData_PastureBeef.SourceData_PastureBeef_Liveweight_Data(), Table_SourceData_PastureBeef_Liveweight[[#Headers],[State]], 0)</f>
        <v>220</v>
      </c>
      <c r="J21" s="35" cm="1">
        <f t="array" ref="J21">Common_InputFunctions.Utility_DisplayArrayInTable(SourceData_PastureBeef.SourceData_PastureBeef_Liveweight_Data(), Table_SourceData_PastureBeef_Liveweight[[#Headers],[State]], 0)</f>
        <v>390</v>
      </c>
      <c r="K21" s="35" cm="1">
        <f t="array" ref="K21">Common_InputFunctions.Utility_DisplayArrayInTable(SourceData_PastureBeef.SourceData_PastureBeef_Liveweight_Data(), Table_SourceData_PastureBeef_Liveweight[[#Headers],[State]], 0)</f>
        <v>490</v>
      </c>
      <c r="L21" s="35" cm="1">
        <f t="array" ref="L21">Common_InputFunctions.Utility_DisplayArrayInTable(SourceData_PastureBeef.SourceData_PastureBeef_Liveweight_Data(), Table_SourceData_PastureBeef_Liveweight[[#Headers],[State]], 0)</f>
        <v>220</v>
      </c>
      <c r="M21" s="35" cm="1">
        <f t="array" ref="M21">Common_InputFunctions.Utility_DisplayArrayInTable(SourceData_PastureBeef.SourceData_PastureBeef_Liveweight_Data(), Table_SourceData_PastureBeef_Liveweight[[#Headers],[State]], 0)</f>
        <v>450</v>
      </c>
      <c r="O21" s="35" t="str">
        <f>Table_SourceData_PastureBeef_LiveweightAllStates[[#Headers],[Cows &lt; 1 year]]</f>
        <v>Cows &lt; 1 year</v>
      </c>
    </row>
    <row r="22" spans="1:19" ht="20.100000000000001" customHeight="1" x14ac:dyDescent="0.25">
      <c r="D22" s="1" t="str" cm="1">
        <f t="array" ref="D22">Common_InputFunctions.Utility_DisplayArrayInTable(SourceData_PastureBeef.SourceData_PastureBeef_Liveweight_Data(), Table_SourceData_PastureBeef_Liveweight[[#Headers],[State]], 0)</f>
        <v>ACT/NSW</v>
      </c>
      <c r="E22" s="35" t="str" cm="1">
        <f t="array" ref="E22">Common_InputFunctions.Utility_DisplayArrayInTable(SourceData_PastureBeef.SourceData_PastureBeef_Liveweight_Data(), Table_SourceData_PastureBeef_Liveweight[[#Headers],[State]], 0)</f>
        <v>n/a</v>
      </c>
      <c r="F22" s="35" t="str" cm="1">
        <f t="array" ref="F22">Common_InputFunctions.Utility_DisplayArrayInTable(SourceData_PastureBeef.SourceData_PastureBeef_Liveweight_Data(), Table_SourceData_PastureBeef_Liveweight[[#Headers],[State]], 0)</f>
        <v>Winter</v>
      </c>
      <c r="G22" s="35" cm="1">
        <f t="array" ref="G22">Common_InputFunctions.Utility_DisplayArrayInTable(SourceData_PastureBeef.SourceData_PastureBeef_Liveweight_Data(), Table_SourceData_PastureBeef_Liveweight[[#Headers],[State]], 0)</f>
        <v>280</v>
      </c>
      <c r="H22" s="35" cm="1">
        <f t="array" ref="H22">Common_InputFunctions.Utility_DisplayArrayInTable(SourceData_PastureBeef.SourceData_PastureBeef_Liveweight_Data(), Table_SourceData_PastureBeef_Liveweight[[#Headers],[State]], 0)</f>
        <v>560</v>
      </c>
      <c r="I22" s="35" cm="1">
        <f t="array" ref="I22">Common_InputFunctions.Utility_DisplayArrayInTable(SourceData_PastureBeef.SourceData_PastureBeef_Liveweight_Data(), Table_SourceData_PastureBeef_Liveweight[[#Headers],[State]], 0)</f>
        <v>260</v>
      </c>
      <c r="J22" s="35" cm="1">
        <f t="array" ref="J22">Common_InputFunctions.Utility_DisplayArrayInTable(SourceData_PastureBeef.SourceData_PastureBeef_Liveweight_Data(), Table_SourceData_PastureBeef_Liveweight[[#Headers],[State]], 0)</f>
        <v>410</v>
      </c>
      <c r="K22" s="35" cm="1">
        <f t="array" ref="K22">Common_InputFunctions.Utility_DisplayArrayInTable(SourceData_PastureBeef.SourceData_PastureBeef_Liveweight_Data(), Table_SourceData_PastureBeef_Liveweight[[#Headers],[State]], 0)</f>
        <v>500</v>
      </c>
      <c r="L22" s="35" cm="1">
        <f t="array" ref="L22">Common_InputFunctions.Utility_DisplayArrayInTable(SourceData_PastureBeef.SourceData_PastureBeef_Liveweight_Data(), Table_SourceData_PastureBeef_Liveweight[[#Headers],[State]], 0)</f>
        <v>260</v>
      </c>
      <c r="M22" s="35" cm="1">
        <f t="array" ref="M22">Common_InputFunctions.Utility_DisplayArrayInTable(SourceData_PastureBeef.SourceData_PastureBeef_Liveweight_Data(), Table_SourceData_PastureBeef_Liveweight[[#Headers],[State]], 0)</f>
        <v>460</v>
      </c>
      <c r="O22" s="35" t="str">
        <f>Table_SourceData_PastureBeef_LiveweightAllStates[[#Headers],[Cows 1-2 years]]</f>
        <v>Cows 1-2 years</v>
      </c>
      <c r="S22" s="35" t="s">
        <v>144</v>
      </c>
    </row>
    <row r="23" spans="1:19" ht="20.100000000000001" customHeight="1" x14ac:dyDescent="0.25">
      <c r="D23" s="1" t="str" cm="1">
        <f t="array" ref="D23">Common_InputFunctions.Utility_DisplayArrayInTable(SourceData_PastureBeef.SourceData_PastureBeef_Liveweight_Data(), Table_SourceData_PastureBeef_Liveweight[[#Headers],[State]], 0)</f>
        <v>South Australia</v>
      </c>
      <c r="E23" s="35" t="str" cm="1">
        <f t="array" ref="E23">Common_InputFunctions.Utility_DisplayArrayInTable(SourceData_PastureBeef.SourceData_PastureBeef_Liveweight_Data(), Table_SourceData_PastureBeef_Liveweight[[#Headers],[State]], 0)</f>
        <v>n/a</v>
      </c>
      <c r="F23" s="35" t="str" cm="1">
        <f t="array" ref="F23">Common_InputFunctions.Utility_DisplayArrayInTable(SourceData_PastureBeef.SourceData_PastureBeef_Liveweight_Data(), Table_SourceData_PastureBeef_Liveweight[[#Headers],[State]], 0)</f>
        <v>Spring</v>
      </c>
      <c r="G23" s="35" cm="1">
        <f t="array" ref="G23">Common_InputFunctions.Utility_DisplayArrayInTable(SourceData_PastureBeef.SourceData_PastureBeef_Liveweight_Data(), Table_SourceData_PastureBeef_Liveweight[[#Headers],[State]], 0)</f>
        <v>250</v>
      </c>
      <c r="H23" s="35" cm="1">
        <f t="array" ref="H23">Common_InputFunctions.Utility_DisplayArrayInTable(SourceData_PastureBeef.SourceData_PastureBeef_Liveweight_Data(), Table_SourceData_PastureBeef_Liveweight[[#Headers],[State]], 0)</f>
        <v>800</v>
      </c>
      <c r="I23" s="35" cm="1">
        <f t="array" ref="I23">Common_InputFunctions.Utility_DisplayArrayInTable(SourceData_PastureBeef.SourceData_PastureBeef_Liveweight_Data(), Table_SourceData_PastureBeef_Liveweight[[#Headers],[State]], 0)</f>
        <v>220</v>
      </c>
      <c r="J23" s="35" cm="1">
        <f t="array" ref="J23">Common_InputFunctions.Utility_DisplayArrayInTable(SourceData_PastureBeef.SourceData_PastureBeef_Liveweight_Data(), Table_SourceData_PastureBeef_Liveweight[[#Headers],[State]], 0)</f>
        <v>400</v>
      </c>
      <c r="K23" s="35" cm="1">
        <f t="array" ref="K23">Common_InputFunctions.Utility_DisplayArrayInTable(SourceData_PastureBeef.SourceData_PastureBeef_Liveweight_Data(), Table_SourceData_PastureBeef_Liveweight[[#Headers],[State]], 0)</f>
        <v>500</v>
      </c>
      <c r="L23" s="35" cm="1">
        <f t="array" ref="L23">Common_InputFunctions.Utility_DisplayArrayInTable(SourceData_PastureBeef.SourceData_PastureBeef_Liveweight_Data(), Table_SourceData_PastureBeef_Liveweight[[#Headers],[State]], 0)</f>
        <v>230</v>
      </c>
      <c r="M23" s="35" cm="1">
        <f t="array" ref="M23">Common_InputFunctions.Utility_DisplayArrayInTable(SourceData_PastureBeef.SourceData_PastureBeef_Liveweight_Data(), Table_SourceData_PastureBeef_Liveweight[[#Headers],[State]], 0)</f>
        <v>420</v>
      </c>
      <c r="O23" s="35" t="str">
        <f>Table_SourceData_PastureBeef_LiveweightAllStates[[#Headers],[Cows 2-3 years]]</f>
        <v>Cows 2-3 years</v>
      </c>
      <c r="S23" s="35" t="s">
        <v>163</v>
      </c>
    </row>
    <row r="24" spans="1:19" ht="20.100000000000001" customHeight="1" x14ac:dyDescent="0.25">
      <c r="D24" s="1" t="str" cm="1">
        <f t="array" ref="D24">Common_InputFunctions.Utility_DisplayArrayInTable(SourceData_PastureBeef.SourceData_PastureBeef_Liveweight_Data(), Table_SourceData_PastureBeef_Liveweight[[#Headers],[State]], 0)</f>
        <v>South Australia</v>
      </c>
      <c r="E24" s="35" t="str" cm="1">
        <f t="array" ref="E24">Common_InputFunctions.Utility_DisplayArrayInTable(SourceData_PastureBeef.SourceData_PastureBeef_Liveweight_Data(), Table_SourceData_PastureBeef_Liveweight[[#Headers],[State]], 0)</f>
        <v>n/a</v>
      </c>
      <c r="F24" s="35" t="str" cm="1">
        <f t="array" ref="F24">Common_InputFunctions.Utility_DisplayArrayInTable(SourceData_PastureBeef.SourceData_PastureBeef_Liveweight_Data(), Table_SourceData_PastureBeef_Liveweight[[#Headers],[State]], 0)</f>
        <v>Summer</v>
      </c>
      <c r="G24" s="35" cm="1">
        <f t="array" ref="G24">Common_InputFunctions.Utility_DisplayArrayInTable(SourceData_PastureBeef.SourceData_PastureBeef_Liveweight_Data(), Table_SourceData_PastureBeef_Liveweight[[#Headers],[State]], 0)</f>
        <v>320</v>
      </c>
      <c r="H24" s="35" cm="1">
        <f t="array" ref="H24">Common_InputFunctions.Utility_DisplayArrayInTable(SourceData_PastureBeef.SourceData_PastureBeef_Liveweight_Data(), Table_SourceData_PastureBeef_Liveweight[[#Headers],[State]], 0)</f>
        <v>800</v>
      </c>
      <c r="I24" s="35" cm="1">
        <f t="array" ref="I24">Common_InputFunctions.Utility_DisplayArrayInTable(SourceData_PastureBeef.SourceData_PastureBeef_Liveweight_Data(), Table_SourceData_PastureBeef_Liveweight[[#Headers],[State]], 0)</f>
        <v>280</v>
      </c>
      <c r="J24" s="35" cm="1">
        <f t="array" ref="J24">Common_InputFunctions.Utility_DisplayArrayInTable(SourceData_PastureBeef.SourceData_PastureBeef_Liveweight_Data(), Table_SourceData_PastureBeef_Liveweight[[#Headers],[State]], 0)</f>
        <v>420</v>
      </c>
      <c r="K24" s="35" cm="1">
        <f t="array" ref="K24">Common_InputFunctions.Utility_DisplayArrayInTable(SourceData_PastureBeef.SourceData_PastureBeef_Liveweight_Data(), Table_SourceData_PastureBeef_Liveweight[[#Headers],[State]], 0)</f>
        <v>500</v>
      </c>
      <c r="L24" s="35" cm="1">
        <f t="array" ref="L24">Common_InputFunctions.Utility_DisplayArrayInTable(SourceData_PastureBeef.SourceData_PastureBeef_Liveweight_Data(), Table_SourceData_PastureBeef_Liveweight[[#Headers],[State]], 0)</f>
        <v>290</v>
      </c>
      <c r="M24" s="35" cm="1">
        <f t="array" ref="M24">Common_InputFunctions.Utility_DisplayArrayInTable(SourceData_PastureBeef.SourceData_PastureBeef_Liveweight_Data(), Table_SourceData_PastureBeef_Liveweight[[#Headers],[State]], 0)</f>
        <v>420</v>
      </c>
      <c r="O24" s="35" t="str">
        <f>Table_SourceData_PastureBeef_LiveweightAllStates[[#Headers],[Cows &gt; 3 years]]</f>
        <v>Cows &gt; 3 years</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5" t="str" cm="1">
        <f t="array" ref="E25">Common_InputFunctions.Utility_DisplayArrayInTable(SourceData_PastureBeef.SourceData_PastureBeef_Liveweight_Data(), Table_SourceData_PastureBeef_Liveweight[[#Headers],[State]], 0)</f>
        <v>n/a</v>
      </c>
      <c r="F25" s="35" t="str" cm="1">
        <f t="array" ref="F25">Common_InputFunctions.Utility_DisplayArrayInTable(SourceData_PastureBeef.SourceData_PastureBeef_Liveweight_Data(), Table_SourceData_PastureBeef_Liveweight[[#Headers],[State]], 0)</f>
        <v>Autumn</v>
      </c>
      <c r="G25" s="35" cm="1">
        <f t="array" ref="G25">Common_InputFunctions.Utility_DisplayArrayInTable(SourceData_PastureBeef.SourceData_PastureBeef_Liveweight_Data(), Table_SourceData_PastureBeef_Liveweight[[#Headers],[State]], 0)</f>
        <v>80</v>
      </c>
      <c r="H25" s="35" cm="1">
        <f t="array" ref="H25">Common_InputFunctions.Utility_DisplayArrayInTable(SourceData_PastureBeef.SourceData_PastureBeef_Liveweight_Data(), Table_SourceData_PastureBeef_Liveweight[[#Headers],[State]], 0)</f>
        <v>700</v>
      </c>
      <c r="I25" s="35" cm="1">
        <f t="array" ref="I25">Common_InputFunctions.Utility_DisplayArrayInTable(SourceData_PastureBeef.SourceData_PastureBeef_Liveweight_Data(), Table_SourceData_PastureBeef_Liveweight[[#Headers],[State]], 0)</f>
        <v>70</v>
      </c>
      <c r="J25" s="35" cm="1">
        <f t="array" ref="J25">Common_InputFunctions.Utility_DisplayArrayInTable(SourceData_PastureBeef.SourceData_PastureBeef_Liveweight_Data(), Table_SourceData_PastureBeef_Liveweight[[#Headers],[State]], 0)</f>
        <v>300</v>
      </c>
      <c r="K25" s="35" cm="1">
        <f t="array" ref="K25">Common_InputFunctions.Utility_DisplayArrayInTable(SourceData_PastureBeef.SourceData_PastureBeef_Liveweight_Data(), Table_SourceData_PastureBeef_Liveweight[[#Headers],[State]], 0)</f>
        <v>450</v>
      </c>
      <c r="L25" s="35" cm="1">
        <f t="array" ref="L25">Common_InputFunctions.Utility_DisplayArrayInTable(SourceData_PastureBeef.SourceData_PastureBeef_Liveweight_Data(), Table_SourceData_PastureBeef_Liveweight[[#Headers],[State]], 0)</f>
        <v>75</v>
      </c>
      <c r="M25" s="35" cm="1">
        <f t="array" ref="M25">Common_InputFunctions.Utility_DisplayArrayInTable(SourceData_PastureBeef.SourceData_PastureBeef_Liveweight_Data(), Table_SourceData_PastureBeef_Liveweight[[#Headers],[State]], 0)</f>
        <v>400</v>
      </c>
      <c r="O25" s="35" t="str">
        <f>Table_SourceData_PastureBeef_LiveweightAllStates[[#Headers],[Steers &lt; 1 year]]</f>
        <v>Steers &lt; 1 year</v>
      </c>
      <c r="S25" s="1" t="s">
        <v>184</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5" t="str" cm="1">
        <f t="array" ref="E26">Common_InputFunctions.Utility_DisplayArrayInTable(SourceData_PastureBeef.SourceData_PastureBeef_Liveweight_Data(), Table_SourceData_PastureBeef_Liveweight[[#Headers],[State]], 0)</f>
        <v>n/a</v>
      </c>
      <c r="F26" s="35" t="str" cm="1">
        <f t="array" ref="F26">Common_InputFunctions.Utility_DisplayArrayInTable(SourceData_PastureBeef.SourceData_PastureBeef_Liveweight_Data(), Table_SourceData_PastureBeef_Liveweight[[#Headers],[State]], 0)</f>
        <v>Winter</v>
      </c>
      <c r="G26" s="35" cm="1">
        <f t="array" ref="G26">Common_InputFunctions.Utility_DisplayArrayInTable(SourceData_PastureBeef.SourceData_PastureBeef_Liveweight_Data(), Table_SourceData_PastureBeef_Liveweight[[#Headers],[State]], 0)</f>
        <v>160</v>
      </c>
      <c r="H26" s="35" cm="1">
        <f t="array" ref="H26">Common_InputFunctions.Utility_DisplayArrayInTable(SourceData_PastureBeef.SourceData_PastureBeef_Liveweight_Data(), Table_SourceData_PastureBeef_Liveweight[[#Headers],[State]], 0)</f>
        <v>700</v>
      </c>
      <c r="I26" s="35" cm="1">
        <f t="array" ref="I26">Common_InputFunctions.Utility_DisplayArrayInTable(SourceData_PastureBeef.SourceData_PastureBeef_Liveweight_Data(), Table_SourceData_PastureBeef_Liveweight[[#Headers],[State]], 0)</f>
        <v>140</v>
      </c>
      <c r="J26" s="35" cm="1">
        <f t="array" ref="J26">Common_InputFunctions.Utility_DisplayArrayInTable(SourceData_PastureBeef.SourceData_PastureBeef_Liveweight_Data(), Table_SourceData_PastureBeef_Liveweight[[#Headers],[State]], 0)</f>
        <v>350</v>
      </c>
      <c r="K26" s="35" cm="1">
        <f t="array" ref="K26">Common_InputFunctions.Utility_DisplayArrayInTable(SourceData_PastureBeef.SourceData_PastureBeef_Liveweight_Data(), Table_SourceData_PastureBeef_Liveweight[[#Headers],[State]], 0)</f>
        <v>450</v>
      </c>
      <c r="L26" s="35" cm="1">
        <f t="array" ref="L26">Common_InputFunctions.Utility_DisplayArrayInTable(SourceData_PastureBeef.SourceData_PastureBeef_Liveweight_Data(), Table_SourceData_PastureBeef_Liveweight[[#Headers],[State]], 0)</f>
        <v>150</v>
      </c>
      <c r="M26" s="35" cm="1">
        <f t="array" ref="M26">Common_InputFunctions.Utility_DisplayArrayInTable(SourceData_PastureBeef.SourceData_PastureBeef_Liveweight_Data(), Table_SourceData_PastureBeef_Liveweight[[#Headers],[State]], 0)</f>
        <v>400</v>
      </c>
      <c r="O26" s="35" t="str">
        <f>Table_SourceData_PastureBeef_LiveweightAllStates[[#Headers],[Steers 1-2 years]]</f>
        <v>Steers 1-2 years</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5" t="str" cm="1">
        <f t="array" ref="E27">Common_InputFunctions.Utility_DisplayArrayInTable(SourceData_PastureBeef.SourceData_PastureBeef_Liveweight_Data(), Table_SourceData_PastureBeef_Liveweight[[#Headers],[State]], 0)</f>
        <v>n/a</v>
      </c>
      <c r="F27" s="35" t="str" cm="1">
        <f t="array" ref="F27">Common_InputFunctions.Utility_DisplayArrayInTable(SourceData_PastureBeef.SourceData_PastureBeef_Liveweight_Data(), Table_SourceData_PastureBeef_Liveweight[[#Headers],[State]], 0)</f>
        <v>Spring</v>
      </c>
      <c r="G27" s="35" cm="1">
        <f t="array" ref="G27">Common_InputFunctions.Utility_DisplayArrayInTable(SourceData_PastureBeef.SourceData_PastureBeef_Liveweight_Data(), Table_SourceData_PastureBeef_Liveweight[[#Headers],[State]], 0)</f>
        <v>105</v>
      </c>
      <c r="H27" s="35" cm="1">
        <f t="array" ref="H27">Common_InputFunctions.Utility_DisplayArrayInTable(SourceData_PastureBeef.SourceData_PastureBeef_Liveweight_Data(), Table_SourceData_PastureBeef_Liveweight[[#Headers],[State]], 0)</f>
        <v>700</v>
      </c>
      <c r="I27" s="35" cm="1">
        <f t="array" ref="I27">Common_InputFunctions.Utility_DisplayArrayInTable(SourceData_PastureBeef.SourceData_PastureBeef_Liveweight_Data(), Table_SourceData_PastureBeef_Liveweight[[#Headers],[State]], 0)</f>
        <v>85</v>
      </c>
      <c r="J27" s="35" cm="1">
        <f t="array" ref="J27">Common_InputFunctions.Utility_DisplayArrayInTable(SourceData_PastureBeef.SourceData_PastureBeef_Liveweight_Data(), Table_SourceData_PastureBeef_Liveweight[[#Headers],[State]], 0)</f>
        <v>300</v>
      </c>
      <c r="K27" s="35" cm="1">
        <f t="array" ref="K27">Common_InputFunctions.Utility_DisplayArrayInTable(SourceData_PastureBeef.SourceData_PastureBeef_Liveweight_Data(), Table_SourceData_PastureBeef_Liveweight[[#Headers],[State]], 0)</f>
        <v>490</v>
      </c>
      <c r="L27" s="35" cm="1">
        <f t="array" ref="L27">Common_InputFunctions.Utility_DisplayArrayInTable(SourceData_PastureBeef.SourceData_PastureBeef_Liveweight_Data(), Table_SourceData_PastureBeef_Liveweight[[#Headers],[State]], 0)</f>
        <v>90</v>
      </c>
      <c r="M27" s="35" cm="1">
        <f t="array" ref="M27">Common_InputFunctions.Utility_DisplayArrayInTable(SourceData_PastureBeef.SourceData_PastureBeef_Liveweight_Data(), Table_SourceData_PastureBeef_Liveweight[[#Headers],[State]], 0)</f>
        <v>480</v>
      </c>
      <c r="O27" s="35" t="str">
        <f>Table_SourceData_PastureBeef_LiveweightAllStates[[#Headers],[Steers 2-3 years]]</f>
        <v>Steers 2-3 years</v>
      </c>
      <c r="S27" s="35" t="s">
        <v>144</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5" t="str" cm="1">
        <f t="array" ref="E28">Common_InputFunctions.Utility_DisplayArrayInTable(SourceData_PastureBeef.SourceData_PastureBeef_Liveweight_Data(), Table_SourceData_PastureBeef_Liveweight[[#Headers],[State]], 0)</f>
        <v>n/a</v>
      </c>
      <c r="F28" s="35" t="str" cm="1">
        <f t="array" ref="F28">Common_InputFunctions.Utility_DisplayArrayInTable(SourceData_PastureBeef.SourceData_PastureBeef_Liveweight_Data(), Table_SourceData_PastureBeef_Liveweight[[#Headers],[State]], 0)</f>
        <v>Summer</v>
      </c>
      <c r="G28" s="35" cm="1">
        <f t="array" ref="G28">Common_InputFunctions.Utility_DisplayArrayInTable(SourceData_PastureBeef.SourceData_PastureBeef_Liveweight_Data(), Table_SourceData_PastureBeef_Liveweight[[#Headers],[State]], 0)</f>
        <v>480</v>
      </c>
      <c r="H28" s="35" cm="1">
        <f t="array" ref="H28">Common_InputFunctions.Utility_DisplayArrayInTable(SourceData_PastureBeef.SourceData_PastureBeef_Liveweight_Data(), Table_SourceData_PastureBeef_Liveweight[[#Headers],[State]], 0)</f>
        <v>750</v>
      </c>
      <c r="I28" s="35" cm="1">
        <f t="array" ref="I28">Common_InputFunctions.Utility_DisplayArrayInTable(SourceData_PastureBeef.SourceData_PastureBeef_Liveweight_Data(), Table_SourceData_PastureBeef_Liveweight[[#Headers],[State]], 0)</f>
        <v>150</v>
      </c>
      <c r="J28" s="35" cm="1">
        <f t="array" ref="J28">Common_InputFunctions.Utility_DisplayArrayInTable(SourceData_PastureBeef.SourceData_PastureBeef_Liveweight_Data(), Table_SourceData_PastureBeef_Liveweight[[#Headers],[State]], 0)</f>
        <v>350</v>
      </c>
      <c r="K28" s="35" cm="1">
        <f t="array" ref="K28">Common_InputFunctions.Utility_DisplayArrayInTable(SourceData_PastureBeef.SourceData_PastureBeef_Liveweight_Data(), Table_SourceData_PastureBeef_Liveweight[[#Headers],[State]], 0)</f>
        <v>530</v>
      </c>
      <c r="L28" s="35" cm="1">
        <f t="array" ref="L28">Common_InputFunctions.Utility_DisplayArrayInTable(SourceData_PastureBeef.SourceData_PastureBeef_Liveweight_Data(), Table_SourceData_PastureBeef_Liveweight[[#Headers],[State]], 0)</f>
        <v>160</v>
      </c>
      <c r="M28" s="35" cm="1">
        <f t="array" ref="M28">Common_InputFunctions.Utility_DisplayArrayInTable(SourceData_PastureBeef.SourceData_PastureBeef_Liveweight_Data(), Table_SourceData_PastureBeef_Liveweight[[#Headers],[State]], 0)</f>
        <v>460</v>
      </c>
      <c r="O28" s="35" t="str">
        <f>Table_SourceData_PastureBeef_LiveweightAllStates[[#Headers],[Steers &gt;3 years]]</f>
        <v>Steers &gt;3 years</v>
      </c>
      <c r="S28" s="35" t="s">
        <v>163</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5" t="str" cm="1">
        <f t="array" ref="E29">Common_InputFunctions.Utility_DisplayArrayInTable(SourceData_PastureBeef.SourceData_PastureBeef_Liveweight_Data(), Table_SourceData_PastureBeef_Liveweight[[#Headers],[State]], 0)</f>
        <v>n/a</v>
      </c>
      <c r="F29" s="35" t="str" cm="1">
        <f t="array" ref="F29">Common_InputFunctions.Utility_DisplayArrayInTable(SourceData_PastureBeef.SourceData_PastureBeef_Liveweight_Data(), Table_SourceData_PastureBeef_Liveweight[[#Headers],[State]], 0)</f>
        <v>Autumn</v>
      </c>
      <c r="G29" s="35" cm="1">
        <f t="array" ref="G29">Common_InputFunctions.Utility_DisplayArrayInTable(SourceData_PastureBeef.SourceData_PastureBeef_Liveweight_Data(), Table_SourceData_PastureBeef_Liveweight[[#Headers],[State]], 0)</f>
        <v>250</v>
      </c>
      <c r="H29" s="35" cm="1">
        <f t="array" ref="H29">Common_InputFunctions.Utility_DisplayArrayInTable(SourceData_PastureBeef.SourceData_PastureBeef_Liveweight_Data(), Table_SourceData_PastureBeef_Liveweight[[#Headers],[State]], 0)</f>
        <v>725</v>
      </c>
      <c r="I29" s="35" cm="1">
        <f t="array" ref="I29">Common_InputFunctions.Utility_DisplayArrayInTable(SourceData_PastureBeef.SourceData_PastureBeef_Liveweight_Data(), Table_SourceData_PastureBeef_Liveweight[[#Headers],[State]], 0)</f>
        <v>200</v>
      </c>
      <c r="J29" s="35" cm="1">
        <f t="array" ref="J29">Common_InputFunctions.Utility_DisplayArrayInTable(SourceData_PastureBeef.SourceData_PastureBeef_Liveweight_Data(), Table_SourceData_PastureBeef_Liveweight[[#Headers],[State]], 0)</f>
        <v>360</v>
      </c>
      <c r="K29" s="35" cm="1">
        <f t="array" ref="K29">Common_InputFunctions.Utility_DisplayArrayInTable(SourceData_PastureBeef.SourceData_PastureBeef_Liveweight_Data(), Table_SourceData_PastureBeef_Liveweight[[#Headers],[State]], 0)</f>
        <v>500</v>
      </c>
      <c r="L29" s="35" cm="1">
        <f t="array" ref="L29">Common_InputFunctions.Utility_DisplayArrayInTable(SourceData_PastureBeef.SourceData_PastureBeef_Liveweight_Data(), Table_SourceData_PastureBeef_Liveweight[[#Headers],[State]], 0)</f>
        <v>215</v>
      </c>
      <c r="M29" s="35"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5" t="str" cm="1">
        <f t="array" ref="E30">Common_InputFunctions.Utility_DisplayArrayInTable(SourceData_PastureBeef.SourceData_PastureBeef_Liveweight_Data(), Table_SourceData_PastureBeef_Liveweight[[#Headers],[State]], 0)</f>
        <v>n/a</v>
      </c>
      <c r="F30" s="35" t="str" cm="1">
        <f t="array" ref="F30">Common_InputFunctions.Utility_DisplayArrayInTable(SourceData_PastureBeef.SourceData_PastureBeef_Liveweight_Data(), Table_SourceData_PastureBeef_Liveweight[[#Headers],[State]], 0)</f>
        <v>Winter</v>
      </c>
      <c r="G30" s="35" cm="1">
        <f t="array" ref="G30">Common_InputFunctions.Utility_DisplayArrayInTable(SourceData_PastureBeef.SourceData_PastureBeef_Liveweight_Data(), Table_SourceData_PastureBeef_Liveweight[[#Headers],[State]], 0)</f>
        <v>260</v>
      </c>
      <c r="H30" s="35" cm="1">
        <f t="array" ref="H30">Common_InputFunctions.Utility_DisplayArrayInTable(SourceData_PastureBeef.SourceData_PastureBeef_Liveweight_Data(), Table_SourceData_PastureBeef_Liveweight[[#Headers],[State]], 0)</f>
        <v>700</v>
      </c>
      <c r="I30" s="35" cm="1">
        <f t="array" ref="I30">Common_InputFunctions.Utility_DisplayArrayInTable(SourceData_PastureBeef.SourceData_PastureBeef_Liveweight_Data(), Table_SourceData_PastureBeef_Liveweight[[#Headers],[State]], 0)</f>
        <v>210</v>
      </c>
      <c r="J30" s="35" cm="1">
        <f t="array" ref="J30">Common_InputFunctions.Utility_DisplayArrayInTable(SourceData_PastureBeef.SourceData_PastureBeef_Liveweight_Data(), Table_SourceData_PastureBeef_Liveweight[[#Headers],[State]], 0)</f>
        <v>380</v>
      </c>
      <c r="K30" s="35" cm="1">
        <f t="array" ref="K30">Common_InputFunctions.Utility_DisplayArrayInTable(SourceData_PastureBeef.SourceData_PastureBeef_Liveweight_Data(), Table_SourceData_PastureBeef_Liveweight[[#Headers],[State]], 0)</f>
        <v>460</v>
      </c>
      <c r="L30" s="35" cm="1">
        <f t="array" ref="L30">Common_InputFunctions.Utility_DisplayArrayInTable(SourceData_PastureBeef.SourceData_PastureBeef_Liveweight_Data(), Table_SourceData_PastureBeef_Liveweight[[#Headers],[State]], 0)</f>
        <v>230</v>
      </c>
      <c r="M30" s="35"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5" t="str" cm="1">
        <f t="array" ref="E31">Common_InputFunctions.Utility_DisplayArrayInTable(SourceData_PastureBeef.SourceData_PastureBeef_Liveweight_Data(), Table_SourceData_PastureBeef_Liveweight[[#Headers],[State]], 0)</f>
        <v>n/a</v>
      </c>
      <c r="F31" s="35" t="str" cm="1">
        <f t="array" ref="F31">Common_InputFunctions.Utility_DisplayArrayInTable(SourceData_PastureBeef.SourceData_PastureBeef_Liveweight_Data(), Table_SourceData_PastureBeef_Liveweight[[#Headers],[State]], 0)</f>
        <v>Spring</v>
      </c>
      <c r="G31" s="35" cm="1">
        <f t="array" ref="G31">Common_InputFunctions.Utility_DisplayArrayInTable(SourceData_PastureBeef.SourceData_PastureBeef_Liveweight_Data(), Table_SourceData_PastureBeef_Liveweight[[#Headers],[State]], 0)</f>
        <v>250</v>
      </c>
      <c r="H31" s="35" cm="1">
        <f t="array" ref="H31">Common_InputFunctions.Utility_DisplayArrayInTable(SourceData_PastureBeef.SourceData_PastureBeef_Liveweight_Data(), Table_SourceData_PastureBeef_Liveweight[[#Headers],[State]], 0)</f>
        <v>820</v>
      </c>
      <c r="I31" s="35" cm="1">
        <f t="array" ref="I31">Common_InputFunctions.Utility_DisplayArrayInTable(SourceData_PastureBeef.SourceData_PastureBeef_Liveweight_Data(), Table_SourceData_PastureBeef_Liveweight[[#Headers],[State]], 0)</f>
        <v>240</v>
      </c>
      <c r="J31" s="35" cm="1">
        <f t="array" ref="J31">Common_InputFunctions.Utility_DisplayArrayInTable(SourceData_PastureBeef.SourceData_PastureBeef_Liveweight_Data(), Table_SourceData_PastureBeef_Liveweight[[#Headers],[State]], 0)</f>
        <v>410</v>
      </c>
      <c r="K31" s="35" cm="1">
        <f t="array" ref="K31">Common_InputFunctions.Utility_DisplayArrayInTable(SourceData_PastureBeef.SourceData_PastureBeef_Liveweight_Data(), Table_SourceData_PastureBeef_Liveweight[[#Headers],[State]], 0)</f>
        <v>560</v>
      </c>
      <c r="L31" s="35" cm="1">
        <f t="array" ref="L31">Common_InputFunctions.Utility_DisplayArrayInTable(SourceData_PastureBeef.SourceData_PastureBeef_Liveweight_Data(), Table_SourceData_PastureBeef_Liveweight[[#Headers],[State]], 0)</f>
        <v>240</v>
      </c>
      <c r="M31" s="35" cm="1">
        <f t="array" ref="M31">Common_InputFunctions.Utility_DisplayArrayInTable(SourceData_PastureBeef.SourceData_PastureBeef_Liveweight_Data(), Table_SourceData_PastureBeef_Liveweight[[#Headers],[State]], 0)</f>
        <v>510</v>
      </c>
      <c r="O31" s="1" t="s">
        <v>271</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5" t="str" cm="1">
        <f t="array" ref="E32">Common_InputFunctions.Utility_DisplayArrayInTable(SourceData_PastureBeef.SourceData_PastureBeef_Liveweight_Data(), Table_SourceData_PastureBeef_Liveweight[[#Headers],[State]], 0)</f>
        <v>n/a</v>
      </c>
      <c r="F32" s="35" t="str" cm="1">
        <f t="array" ref="F32">Common_InputFunctions.Utility_DisplayArrayInTable(SourceData_PastureBeef.SourceData_PastureBeef_Liveweight_Data(), Table_SourceData_PastureBeef_Liveweight[[#Headers],[State]], 0)</f>
        <v>Summer</v>
      </c>
      <c r="G32" s="35" cm="1">
        <f t="array" ref="G32">Common_InputFunctions.Utility_DisplayArrayInTable(SourceData_PastureBeef.SourceData_PastureBeef_Liveweight_Data(), Table_SourceData_PastureBeef_Liveweight[[#Headers],[State]], 0)</f>
        <v>280</v>
      </c>
      <c r="H32" s="35" cm="1">
        <f t="array" ref="H32">Common_InputFunctions.Utility_DisplayArrayInTable(SourceData_PastureBeef.SourceData_PastureBeef_Liveweight_Data(), Table_SourceData_PastureBeef_Liveweight[[#Headers],[State]], 0)</f>
        <v>850</v>
      </c>
      <c r="I32" s="35" cm="1">
        <f t="array" ref="I32">Common_InputFunctions.Utility_DisplayArrayInTable(SourceData_PastureBeef.SourceData_PastureBeef_Liveweight_Data(), Table_SourceData_PastureBeef_Liveweight[[#Headers],[State]], 0)</f>
        <v>260</v>
      </c>
      <c r="J32" s="35" cm="1">
        <f t="array" ref="J32">Common_InputFunctions.Utility_DisplayArrayInTable(SourceData_PastureBeef.SourceData_PastureBeef_Liveweight_Data(), Table_SourceData_PastureBeef_Liveweight[[#Headers],[State]], 0)</f>
        <v>440</v>
      </c>
      <c r="K32" s="35" cm="1">
        <f t="array" ref="K32">Common_InputFunctions.Utility_DisplayArrayInTable(SourceData_PastureBeef.SourceData_PastureBeef_Liveweight_Data(), Table_SourceData_PastureBeef_Liveweight[[#Headers],[State]], 0)</f>
        <v>550</v>
      </c>
      <c r="L32" s="35" cm="1">
        <f t="array" ref="L32">Common_InputFunctions.Utility_DisplayArrayInTable(SourceData_PastureBeef.SourceData_PastureBeef_Liveweight_Data(), Table_SourceData_PastureBeef_Liveweight[[#Headers],[State]], 0)</f>
        <v>270</v>
      </c>
      <c r="M32" s="35" cm="1">
        <f t="array" ref="M32">Common_InputFunctions.Utility_DisplayArrayInTable(SourceData_PastureBeef.SourceData_PastureBeef_Liveweight_Data(), Table_SourceData_PastureBeef_Liveweight[[#Headers],[State]], 0)</f>
        <v>520</v>
      </c>
      <c r="O32" s="35" t="s">
        <v>144</v>
      </c>
      <c r="P32" s="35" t="s">
        <v>272</v>
      </c>
    </row>
    <row r="33" spans="4:16" ht="20.100000000000001" customHeight="1" x14ac:dyDescent="0.25">
      <c r="D33" s="1" t="str" cm="1">
        <f t="array" ref="D33">Common_InputFunctions.Utility_DisplayArrayInTable(SourceData_PastureBeef.SourceData_PastureBeef_Liveweight_Data(), Table_SourceData_PastureBeef_Liveweight[[#Headers],[State]], 0)</f>
        <v>Victoria</v>
      </c>
      <c r="E33" s="35" t="str" cm="1">
        <f t="array" ref="E33">Common_InputFunctions.Utility_DisplayArrayInTable(SourceData_PastureBeef.SourceData_PastureBeef_Liveweight_Data(), Table_SourceData_PastureBeef_Liveweight[[#Headers],[State]], 0)</f>
        <v>n/a</v>
      </c>
      <c r="F33" s="35" t="str" cm="1">
        <f t="array" ref="F33">Common_InputFunctions.Utility_DisplayArrayInTable(SourceData_PastureBeef.SourceData_PastureBeef_Liveweight_Data(), Table_SourceData_PastureBeef_Liveweight[[#Headers],[State]], 0)</f>
        <v>Autumn</v>
      </c>
      <c r="G33" s="35" cm="1">
        <f t="array" ref="G33">Common_InputFunctions.Utility_DisplayArrayInTable(SourceData_PastureBeef.SourceData_PastureBeef_Liveweight_Data(), Table_SourceData_PastureBeef_Liveweight[[#Headers],[State]], 0)</f>
        <v>100</v>
      </c>
      <c r="H33" s="35" cm="1">
        <f t="array" ref="H33">Common_InputFunctions.Utility_DisplayArrayInTable(SourceData_PastureBeef.SourceData_PastureBeef_Liveweight_Data(), Table_SourceData_PastureBeef_Liveweight[[#Headers],[State]], 0)</f>
        <v>700</v>
      </c>
      <c r="I33" s="35" cm="1">
        <f t="array" ref="I33">Common_InputFunctions.Utility_DisplayArrayInTable(SourceData_PastureBeef.SourceData_PastureBeef_Liveweight_Data(), Table_SourceData_PastureBeef_Liveweight[[#Headers],[State]], 0)</f>
        <v>95</v>
      </c>
      <c r="J33" s="35" cm="1">
        <f t="array" ref="J33">Common_InputFunctions.Utility_DisplayArrayInTable(SourceData_PastureBeef.SourceData_PastureBeef_Liveweight_Data(), Table_SourceData_PastureBeef_Liveweight[[#Headers],[State]], 0)</f>
        <v>300</v>
      </c>
      <c r="K33" s="35" cm="1">
        <f t="array" ref="K33">Common_InputFunctions.Utility_DisplayArrayInTable(SourceData_PastureBeef.SourceData_PastureBeef_Liveweight_Data(), Table_SourceData_PastureBeef_Liveweight[[#Headers],[State]], 0)</f>
        <v>450</v>
      </c>
      <c r="L33" s="35" cm="1">
        <f t="array" ref="L33">Common_InputFunctions.Utility_DisplayArrayInTable(SourceData_PastureBeef.SourceData_PastureBeef_Liveweight_Data(), Table_SourceData_PastureBeef_Liveweight[[#Headers],[State]], 0)</f>
        <v>95</v>
      </c>
      <c r="M33" s="35" cm="1">
        <f t="array" ref="M33">Common_InputFunctions.Utility_DisplayArrayInTable(SourceData_PastureBeef.SourceData_PastureBeef_Liveweight_Data(), Table_SourceData_PastureBeef_Liveweight[[#Headers],[State]], 0)</f>
        <v>410</v>
      </c>
      <c r="O33" s="35" t="s">
        <v>65</v>
      </c>
      <c r="P33" s="35" t="s">
        <v>66</v>
      </c>
    </row>
    <row r="34" spans="4:16" ht="20.100000000000001" customHeight="1" x14ac:dyDescent="0.25">
      <c r="D34" s="1" t="str" cm="1">
        <f t="array" ref="D34">Common_InputFunctions.Utility_DisplayArrayInTable(SourceData_PastureBeef.SourceData_PastureBeef_Liveweight_Data(), Table_SourceData_PastureBeef_Liveweight[[#Headers],[State]], 0)</f>
        <v>Victoria</v>
      </c>
      <c r="E34" s="35" t="str" cm="1">
        <f t="array" ref="E34">Common_InputFunctions.Utility_DisplayArrayInTable(SourceData_PastureBeef.SourceData_PastureBeef_Liveweight_Data(), Table_SourceData_PastureBeef_Liveweight[[#Headers],[State]], 0)</f>
        <v>n/a</v>
      </c>
      <c r="F34" s="35" t="str" cm="1">
        <f t="array" ref="F34">Common_InputFunctions.Utility_DisplayArrayInTable(SourceData_PastureBeef.SourceData_PastureBeef_Liveweight_Data(), Table_SourceData_PastureBeef_Liveweight[[#Headers],[State]], 0)</f>
        <v>Winter</v>
      </c>
      <c r="G34" s="35" cm="1">
        <f t="array" ref="G34">Common_InputFunctions.Utility_DisplayArrayInTable(SourceData_PastureBeef.SourceData_PastureBeef_Liveweight_Data(), Table_SourceData_PastureBeef_Liveweight[[#Headers],[State]], 0)</f>
        <v>150</v>
      </c>
      <c r="H34" s="35" cm="1">
        <f t="array" ref="H34">Common_InputFunctions.Utility_DisplayArrayInTable(SourceData_PastureBeef.SourceData_PastureBeef_Liveweight_Data(), Table_SourceData_PastureBeef_Liveweight[[#Headers],[State]], 0)</f>
        <v>720</v>
      </c>
      <c r="I34" s="35" cm="1">
        <f t="array" ref="I34">Common_InputFunctions.Utility_DisplayArrayInTable(SourceData_PastureBeef.SourceData_PastureBeef_Liveweight_Data(), Table_SourceData_PastureBeef_Liveweight[[#Headers],[State]], 0)</f>
        <v>140</v>
      </c>
      <c r="J34" s="35" cm="1">
        <f t="array" ref="J34">Common_InputFunctions.Utility_DisplayArrayInTable(SourceData_PastureBeef.SourceData_PastureBeef_Liveweight_Data(), Table_SourceData_PastureBeef_Liveweight[[#Headers],[State]], 0)</f>
        <v>320</v>
      </c>
      <c r="K34" s="35" cm="1">
        <f t="array" ref="K34">Common_InputFunctions.Utility_DisplayArrayInTable(SourceData_PastureBeef.SourceData_PastureBeef_Liveweight_Data(), Table_SourceData_PastureBeef_Liveweight[[#Headers],[State]], 0)</f>
        <v>470</v>
      </c>
      <c r="L34" s="35" cm="1">
        <f t="array" ref="L34">Common_InputFunctions.Utility_DisplayArrayInTable(SourceData_PastureBeef.SourceData_PastureBeef_Liveweight_Data(), Table_SourceData_PastureBeef_Liveweight[[#Headers],[State]], 0)</f>
        <v>140</v>
      </c>
      <c r="M34" s="35" cm="1">
        <f t="array" ref="M34">Common_InputFunctions.Utility_DisplayArrayInTable(SourceData_PastureBeef.SourceData_PastureBeef_Liveweight_Data(), Table_SourceData_PastureBeef_Liveweight[[#Headers],[State]], 0)</f>
        <v>440</v>
      </c>
      <c r="O34" s="35" t="s">
        <v>66</v>
      </c>
      <c r="P34" s="35" t="s">
        <v>66</v>
      </c>
    </row>
    <row r="35" spans="4: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5" t="str" cm="1">
        <f t="array" ref="E35">Common_InputFunctions.Utility_DisplayArrayInTable(SourceData_PastureBeef.SourceData_PastureBeef_Liveweight_Data(), Table_SourceData_PastureBeef_Liveweight[[#Headers],[State]], 0)</f>
        <v>South West</v>
      </c>
      <c r="F35" s="35" t="str" cm="1">
        <f t="array" ref="F35">Common_InputFunctions.Utility_DisplayArrayInTable(SourceData_PastureBeef.SourceData_PastureBeef_Liveweight_Data(), Table_SourceData_PastureBeef_Liveweight[[#Headers],[State]], 0)</f>
        <v>Spring</v>
      </c>
      <c r="G35" s="35" cm="1">
        <f t="array" ref="G35">Common_InputFunctions.Utility_DisplayArrayInTable(SourceData_PastureBeef.SourceData_PastureBeef_Liveweight_Data(), Table_SourceData_PastureBeef_Liveweight[[#Headers],[State]], 0)</f>
        <v>340</v>
      </c>
      <c r="H35" s="35" cm="1">
        <f t="array" ref="H35">Common_InputFunctions.Utility_DisplayArrayInTable(SourceData_PastureBeef.SourceData_PastureBeef_Liveweight_Data(), Table_SourceData_PastureBeef_Liveweight[[#Headers],[State]], 0)</f>
        <v>800</v>
      </c>
      <c r="I35" s="35" cm="1">
        <f t="array" ref="I35">Common_InputFunctions.Utility_DisplayArrayInTable(SourceData_PastureBeef.SourceData_PastureBeef_Liveweight_Data(), Table_SourceData_PastureBeef_Liveweight[[#Headers],[State]], 0)</f>
        <v>260</v>
      </c>
      <c r="J35" s="35" cm="1">
        <f t="array" ref="J35">Common_InputFunctions.Utility_DisplayArrayInTable(SourceData_PastureBeef.SourceData_PastureBeef_Liveweight_Data(), Table_SourceData_PastureBeef_Liveweight[[#Headers],[State]], 0)</f>
        <v>420</v>
      </c>
      <c r="K35" s="35" cm="1">
        <f t="array" ref="K35">Common_InputFunctions.Utility_DisplayArrayInTable(SourceData_PastureBeef.SourceData_PastureBeef_Liveweight_Data(), Table_SourceData_PastureBeef_Liveweight[[#Headers],[State]], 0)</f>
        <v>550</v>
      </c>
      <c r="L35" s="35" cm="1">
        <f t="array" ref="L35">Common_InputFunctions.Utility_DisplayArrayInTable(SourceData_PastureBeef.SourceData_PastureBeef_Liveweight_Data(), Table_SourceData_PastureBeef_Liveweight[[#Headers],[State]], 0)</f>
        <v>300</v>
      </c>
      <c r="M35" s="35" cm="1">
        <f t="array" ref="M35">Common_InputFunctions.Utility_DisplayArrayInTable(SourceData_PastureBeef.SourceData_PastureBeef_Liveweight_Data(), Table_SourceData_PastureBeef_Liveweight[[#Headers],[State]], 0)</f>
        <v>480</v>
      </c>
      <c r="O35" s="35" t="s">
        <v>69</v>
      </c>
      <c r="P35" s="35" t="s">
        <v>69</v>
      </c>
    </row>
    <row r="36" spans="4: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5" t="str" cm="1">
        <f t="array" ref="E36">Common_InputFunctions.Utility_DisplayArrayInTable(SourceData_PastureBeef.SourceData_PastureBeef_Liveweight_Data(), Table_SourceData_PastureBeef_Liveweight[[#Headers],[State]], 0)</f>
        <v>South West</v>
      </c>
      <c r="F36" s="35" t="str" cm="1">
        <f t="array" ref="F36">Common_InputFunctions.Utility_DisplayArrayInTable(SourceData_PastureBeef.SourceData_PastureBeef_Liveweight_Data(), Table_SourceData_PastureBeef_Liveweight[[#Headers],[State]], 0)</f>
        <v>Summer</v>
      </c>
      <c r="G36" s="35" cm="1">
        <f t="array" ref="G36">Common_InputFunctions.Utility_DisplayArrayInTable(SourceData_PastureBeef.SourceData_PastureBeef_Liveweight_Data(), Table_SourceData_PastureBeef_Liveweight[[#Headers],[State]], 0)</f>
        <v>380</v>
      </c>
      <c r="H36" s="35" cm="1">
        <f t="array" ref="H36">Common_InputFunctions.Utility_DisplayArrayInTable(SourceData_PastureBeef.SourceData_PastureBeef_Liveweight_Data(), Table_SourceData_PastureBeef_Liveweight[[#Headers],[State]], 0)</f>
        <v>780</v>
      </c>
      <c r="I36" s="35" cm="1">
        <f t="array" ref="I36">Common_InputFunctions.Utility_DisplayArrayInTable(SourceData_PastureBeef.SourceData_PastureBeef_Liveweight_Data(), Table_SourceData_PastureBeef_Liveweight[[#Headers],[State]], 0)</f>
        <v>300</v>
      </c>
      <c r="J36" s="35" cm="1">
        <f t="array" ref="J36">Common_InputFunctions.Utility_DisplayArrayInTable(SourceData_PastureBeef.SourceData_PastureBeef_Liveweight_Data(), Table_SourceData_PastureBeef_Liveweight[[#Headers],[State]], 0)</f>
        <v>450</v>
      </c>
      <c r="K36" s="35" cm="1">
        <f t="array" ref="K36">Common_InputFunctions.Utility_DisplayArrayInTable(SourceData_PastureBeef.SourceData_PastureBeef_Liveweight_Data(), Table_SourceData_PastureBeef_Liveweight[[#Headers],[State]], 0)</f>
        <v>530</v>
      </c>
      <c r="L36" s="35" cm="1">
        <f t="array" ref="L36">Common_InputFunctions.Utility_DisplayArrayInTable(SourceData_PastureBeef.SourceData_PastureBeef_Liveweight_Data(), Table_SourceData_PastureBeef_Liveweight[[#Headers],[State]], 0)</f>
        <v>340</v>
      </c>
      <c r="M36" s="35" cm="1">
        <f t="array" ref="M36">Common_InputFunctions.Utility_DisplayArrayInTable(SourceData_PastureBeef.SourceData_PastureBeef_Liveweight_Data(), Table_SourceData_PastureBeef_Liveweight[[#Headers],[State]], 0)</f>
        <v>470</v>
      </c>
      <c r="O36" s="35" t="s">
        <v>70</v>
      </c>
      <c r="P36" s="35" t="s">
        <v>70</v>
      </c>
    </row>
    <row r="37" spans="4:16"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5" t="str" cm="1">
        <f t="array" ref="E37">Common_InputFunctions.Utility_DisplayArrayInTable(SourceData_PastureBeef.SourceData_PastureBeef_Liveweight_Data(), Table_SourceData_PastureBeef_Liveweight[[#Headers],[State]], 0)</f>
        <v>South West</v>
      </c>
      <c r="F37" s="35" t="str" cm="1">
        <f t="array" ref="F37">Common_InputFunctions.Utility_DisplayArrayInTable(SourceData_PastureBeef.SourceData_PastureBeef_Liveweight_Data(), Table_SourceData_PastureBeef_Liveweight[[#Headers],[State]], 0)</f>
        <v>Autumn</v>
      </c>
      <c r="G37" s="35" cm="1">
        <f t="array" ref="G37">Common_InputFunctions.Utility_DisplayArrayInTable(SourceData_PastureBeef.SourceData_PastureBeef_Liveweight_Data(), Table_SourceData_PastureBeef_Liveweight[[#Headers],[State]], 0)</f>
        <v>100</v>
      </c>
      <c r="H37" s="35" cm="1">
        <f t="array" ref="H37">Common_InputFunctions.Utility_DisplayArrayInTable(SourceData_PastureBeef.SourceData_PastureBeef_Liveweight_Data(), Table_SourceData_PastureBeef_Liveweight[[#Headers],[State]], 0)</f>
        <v>680</v>
      </c>
      <c r="I37" s="35" cm="1">
        <f t="array" ref="I37">Common_InputFunctions.Utility_DisplayArrayInTable(SourceData_PastureBeef.SourceData_PastureBeef_Liveweight_Data(), Table_SourceData_PastureBeef_Liveweight[[#Headers],[State]], 0)</f>
        <v>80</v>
      </c>
      <c r="J37" s="35" cm="1">
        <f t="array" ref="J37">Common_InputFunctions.Utility_DisplayArrayInTable(SourceData_PastureBeef.SourceData_PastureBeef_Liveweight_Data(), Table_SourceData_PastureBeef_Liveweight[[#Headers],[State]], 0)</f>
        <v>320</v>
      </c>
      <c r="K37" s="35" cm="1">
        <f t="array" ref="K37">Common_InputFunctions.Utility_DisplayArrayInTable(SourceData_PastureBeef.SourceData_PastureBeef_Liveweight_Data(), Table_SourceData_PastureBeef_Liveweight[[#Headers],[State]], 0)</f>
        <v>480</v>
      </c>
      <c r="L37" s="35" cm="1">
        <f t="array" ref="L37">Common_InputFunctions.Utility_DisplayArrayInTable(SourceData_PastureBeef.SourceData_PastureBeef_Liveweight_Data(), Table_SourceData_PastureBeef_Liveweight[[#Headers],[State]], 0)</f>
        <v>100</v>
      </c>
      <c r="M37" s="35" cm="1">
        <f t="array" ref="M37">Common_InputFunctions.Utility_DisplayArrayInTable(SourceData_PastureBeef.SourceData_PastureBeef_Liveweight_Data(), Table_SourceData_PastureBeef_Liveweight[[#Headers],[State]], 0)</f>
        <v>340</v>
      </c>
      <c r="O37" s="35" t="s">
        <v>71</v>
      </c>
      <c r="P37" s="35" t="s">
        <v>71</v>
      </c>
    </row>
    <row r="38" spans="4:16"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5" t="str" cm="1">
        <f t="array" ref="E38">Common_InputFunctions.Utility_DisplayArrayInTable(SourceData_PastureBeef.SourceData_PastureBeef_Liveweight_Data(), Table_SourceData_PastureBeef_Liveweight[[#Headers],[State]], 0)</f>
        <v>South West</v>
      </c>
      <c r="F38" s="35" t="str" cm="1">
        <f t="array" ref="F38">Common_InputFunctions.Utility_DisplayArrayInTable(SourceData_PastureBeef.SourceData_PastureBeef_Liveweight_Data(), Table_SourceData_PastureBeef_Liveweight[[#Headers],[State]], 0)</f>
        <v>Winter</v>
      </c>
      <c r="G38" s="35" cm="1">
        <f t="array" ref="G38">Common_InputFunctions.Utility_DisplayArrayInTable(SourceData_PastureBeef.SourceData_PastureBeef_Liveweight_Data(), Table_SourceData_PastureBeef_Liveweight[[#Headers],[State]], 0)</f>
        <v>190</v>
      </c>
      <c r="H38" s="35" cm="1">
        <f t="array" ref="H38">Common_InputFunctions.Utility_DisplayArrayInTable(SourceData_PastureBeef.SourceData_PastureBeef_Liveweight_Data(), Table_SourceData_PastureBeef_Liveweight[[#Headers],[State]], 0)</f>
        <v>700</v>
      </c>
      <c r="I38" s="35" cm="1">
        <f t="array" ref="I38">Common_InputFunctions.Utility_DisplayArrayInTable(SourceData_PastureBeef.SourceData_PastureBeef_Liveweight_Data(), Table_SourceData_PastureBeef_Liveweight[[#Headers],[State]], 0)</f>
        <v>150</v>
      </c>
      <c r="J38" s="35" cm="1">
        <f t="array" ref="J38">Common_InputFunctions.Utility_DisplayArrayInTable(SourceData_PastureBeef.SourceData_PastureBeef_Liveweight_Data(), Table_SourceData_PastureBeef_Liveweight[[#Headers],[State]], 0)</f>
        <v>330</v>
      </c>
      <c r="K38" s="35" cm="1">
        <f t="array" ref="K38">Common_InputFunctions.Utility_DisplayArrayInTable(SourceData_PastureBeef.SourceData_PastureBeef_Liveweight_Data(), Table_SourceData_PastureBeef_Liveweight[[#Headers],[State]], 0)</f>
        <v>490</v>
      </c>
      <c r="L38" s="35" cm="1">
        <f t="array" ref="L38">Common_InputFunctions.Utility_DisplayArrayInTable(SourceData_PastureBeef.SourceData_PastureBeef_Liveweight_Data(), Table_SourceData_PastureBeef_Liveweight[[#Headers],[State]], 0)</f>
        <v>170</v>
      </c>
      <c r="M38" s="35" cm="1">
        <f t="array" ref="M38">Common_InputFunctions.Utility_DisplayArrayInTable(SourceData_PastureBeef.SourceData_PastureBeef_Liveweight_Data(), Table_SourceData_PastureBeef_Liveweight[[#Headers],[State]], 0)</f>
        <v>360</v>
      </c>
      <c r="O38" s="35" t="s">
        <v>273</v>
      </c>
      <c r="P38" s="35" t="s">
        <v>72</v>
      </c>
    </row>
    <row r="39" spans="4:16"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5" t="str" cm="1">
        <f t="array" ref="E39">Common_InputFunctions.Utility_DisplayArrayInTable(SourceData_PastureBeef.SourceData_PastureBeef_Liveweight_Data(), Table_SourceData_PastureBeef_Liveweight[[#Headers],[State]], 0)</f>
        <v>Pilbara</v>
      </c>
      <c r="F39" s="35" t="str" cm="1">
        <f t="array" ref="F39">Common_InputFunctions.Utility_DisplayArrayInTable(SourceData_PastureBeef.SourceData_PastureBeef_Liveweight_Data(), Table_SourceData_PastureBeef_Liveweight[[#Headers],[State]], 0)</f>
        <v>Spring</v>
      </c>
      <c r="G39" s="35" cm="1">
        <f t="array" ref="G39">Common_InputFunctions.Utility_DisplayArrayInTable(SourceData_PastureBeef.SourceData_PastureBeef_Liveweight_Data(), Table_SourceData_PastureBeef_Liveweight[[#Headers],[State]], 0)</f>
        <v>80</v>
      </c>
      <c r="H39" s="35" cm="1">
        <f t="array" ref="H39">Common_InputFunctions.Utility_DisplayArrayInTable(SourceData_PastureBeef.SourceData_PastureBeef_Liveweight_Data(), Table_SourceData_PastureBeef_Liveweight[[#Headers],[State]], 0)</f>
        <v>450</v>
      </c>
      <c r="I39" s="35" cm="1">
        <f t="array" ref="I39">Common_InputFunctions.Utility_DisplayArrayInTable(SourceData_PastureBeef.SourceData_PastureBeef_Liveweight_Data(), Table_SourceData_PastureBeef_Liveweight[[#Headers],[State]], 0)</f>
        <v>70</v>
      </c>
      <c r="J39" s="35" cm="1">
        <f t="array" ref="J39">Common_InputFunctions.Utility_DisplayArrayInTable(SourceData_PastureBeef.SourceData_PastureBeef_Liveweight_Data(), Table_SourceData_PastureBeef_Liveweight[[#Headers],[State]], 0)</f>
        <v>260</v>
      </c>
      <c r="K39" s="35" cm="1">
        <f t="array" ref="K39">Common_InputFunctions.Utility_DisplayArrayInTable(SourceData_PastureBeef.SourceData_PastureBeef_Liveweight_Data(), Table_SourceData_PastureBeef_Liveweight[[#Headers],[State]], 0)</f>
        <v>340</v>
      </c>
      <c r="L39" s="35" cm="1">
        <f t="array" ref="L39">Common_InputFunctions.Utility_DisplayArrayInTable(SourceData_PastureBeef.SourceData_PastureBeef_Liveweight_Data(), Table_SourceData_PastureBeef_Liveweight[[#Headers],[State]], 0)</f>
        <v>80</v>
      </c>
      <c r="M39" s="35" cm="1">
        <f t="array" ref="M39">Common_InputFunctions.Utility_DisplayArrayInTable(SourceData_PastureBeef.SourceData_PastureBeef_Liveweight_Data(), Table_SourceData_PastureBeef_Liveweight[[#Headers],[State]], 0)</f>
        <v>370</v>
      </c>
      <c r="O39" s="35" t="s">
        <v>274</v>
      </c>
      <c r="P39" s="35" t="s">
        <v>72</v>
      </c>
    </row>
    <row r="40" spans="4:16"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5" t="str" cm="1">
        <f t="array" ref="E40">Common_InputFunctions.Utility_DisplayArrayInTable(SourceData_PastureBeef.SourceData_PastureBeef_Liveweight_Data(), Table_SourceData_PastureBeef_Liveweight[[#Headers],[State]], 0)</f>
        <v>Pilbara</v>
      </c>
      <c r="F40" s="35" t="str" cm="1">
        <f t="array" ref="F40">Common_InputFunctions.Utility_DisplayArrayInTable(SourceData_PastureBeef.SourceData_PastureBeef_Liveweight_Data(), Table_SourceData_PastureBeef_Liveweight[[#Headers],[State]], 0)</f>
        <v>Summer</v>
      </c>
      <c r="G40" s="35" cm="1">
        <f t="array" ref="G40">Common_InputFunctions.Utility_DisplayArrayInTable(SourceData_PastureBeef.SourceData_PastureBeef_Liveweight_Data(), Table_SourceData_PastureBeef_Liveweight[[#Headers],[State]], 0)</f>
        <v>150</v>
      </c>
      <c r="H40" s="35" cm="1">
        <f t="array" ref="H40">Common_InputFunctions.Utility_DisplayArrayInTable(SourceData_PastureBeef.SourceData_PastureBeef_Liveweight_Data(), Table_SourceData_PastureBeef_Liveweight[[#Headers],[State]], 0)</f>
        <v>500</v>
      </c>
      <c r="I40" s="35" cm="1">
        <f t="array" ref="I40">Common_InputFunctions.Utility_DisplayArrayInTable(SourceData_PastureBeef.SourceData_PastureBeef_Liveweight_Data(), Table_SourceData_PastureBeef_Liveweight[[#Headers],[State]], 0)</f>
        <v>140</v>
      </c>
      <c r="J40" s="35" cm="1">
        <f t="array" ref="J40">Common_InputFunctions.Utility_DisplayArrayInTable(SourceData_PastureBeef.SourceData_PastureBeef_Liveweight_Data(), Table_SourceData_PastureBeef_Liveweight[[#Headers],[State]], 0)</f>
        <v>310</v>
      </c>
      <c r="K40" s="35" cm="1">
        <f t="array" ref="K40">Common_InputFunctions.Utility_DisplayArrayInTable(SourceData_PastureBeef.SourceData_PastureBeef_Liveweight_Data(), Table_SourceData_PastureBeef_Liveweight[[#Headers],[State]], 0)</f>
        <v>360</v>
      </c>
      <c r="L40" s="35" cm="1">
        <f t="array" ref="L40">Common_InputFunctions.Utility_DisplayArrayInTable(SourceData_PastureBeef.SourceData_PastureBeef_Liveweight_Data(), Table_SourceData_PastureBeef_Liveweight[[#Headers],[State]], 0)</f>
        <v>150</v>
      </c>
      <c r="M40" s="35" cm="1">
        <f t="array" ref="M40">Common_InputFunctions.Utility_DisplayArrayInTable(SourceData_PastureBeef.SourceData_PastureBeef_Liveweight_Data(), Table_SourceData_PastureBeef_Liveweight[[#Headers],[State]], 0)</f>
        <v>400</v>
      </c>
      <c r="O40" s="35" t="s">
        <v>275</v>
      </c>
      <c r="P40" s="35" t="s">
        <v>72</v>
      </c>
    </row>
    <row r="41" spans="4:16"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5" t="str" cm="1">
        <f t="array" ref="E41">Common_InputFunctions.Utility_DisplayArrayInTable(SourceData_PastureBeef.SourceData_PastureBeef_Liveweight_Data(), Table_SourceData_PastureBeef_Liveweight[[#Headers],[State]], 0)</f>
        <v>Pilbara</v>
      </c>
      <c r="F41" s="35" t="str" cm="1">
        <f t="array" ref="F41">Common_InputFunctions.Utility_DisplayArrayInTable(SourceData_PastureBeef.SourceData_PastureBeef_Liveweight_Data(), Table_SourceData_PastureBeef_Liveweight[[#Headers],[State]], 0)</f>
        <v>Autumn</v>
      </c>
      <c r="G41" s="35" cm="1">
        <f t="array" ref="G41">Common_InputFunctions.Utility_DisplayArrayInTable(SourceData_PastureBeef.SourceData_PastureBeef_Liveweight_Data(), Table_SourceData_PastureBeef_Liveweight[[#Headers],[State]], 0)</f>
        <v>230</v>
      </c>
      <c r="H41" s="35" cm="1">
        <f t="array" ref="H41">Common_InputFunctions.Utility_DisplayArrayInTable(SourceData_PastureBeef.SourceData_PastureBeef_Liveweight_Data(), Table_SourceData_PastureBeef_Liveweight[[#Headers],[State]], 0)</f>
        <v>550</v>
      </c>
      <c r="I41" s="35" cm="1">
        <f t="array" ref="I41">Common_InputFunctions.Utility_DisplayArrayInTable(SourceData_PastureBeef.SourceData_PastureBeef_Liveweight_Data(), Table_SourceData_PastureBeef_Liveweight[[#Headers],[State]], 0)</f>
        <v>220</v>
      </c>
      <c r="J41" s="35" cm="1">
        <f t="array" ref="J41">Common_InputFunctions.Utility_DisplayArrayInTable(SourceData_PastureBeef.SourceData_PastureBeef_Liveweight_Data(), Table_SourceData_PastureBeef_Liveweight[[#Headers],[State]], 0)</f>
        <v>330</v>
      </c>
      <c r="K41" s="35" cm="1">
        <f t="array" ref="K41">Common_InputFunctions.Utility_DisplayArrayInTable(SourceData_PastureBeef.SourceData_PastureBeef_Liveweight_Data(), Table_SourceData_PastureBeef_Liveweight[[#Headers],[State]], 0)</f>
        <v>380</v>
      </c>
      <c r="L41" s="35" cm="1">
        <f t="array" ref="L41">Common_InputFunctions.Utility_DisplayArrayInTable(SourceData_PastureBeef.SourceData_PastureBeef_Liveweight_Data(), Table_SourceData_PastureBeef_Liveweight[[#Headers],[State]], 0)</f>
        <v>230</v>
      </c>
      <c r="M41" s="35" cm="1">
        <f t="array" ref="M41">Common_InputFunctions.Utility_DisplayArrayInTable(SourceData_PastureBeef.SourceData_PastureBeef_Liveweight_Data(), Table_SourceData_PastureBeef_Liveweight[[#Headers],[State]], 0)</f>
        <v>420</v>
      </c>
      <c r="O41" s="35" t="s">
        <v>276</v>
      </c>
      <c r="P41" s="35" t="s">
        <v>67</v>
      </c>
    </row>
    <row r="42" spans="4:16"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5" t="str" cm="1">
        <f t="array" ref="E42">Common_InputFunctions.Utility_DisplayArrayInTable(SourceData_PastureBeef.SourceData_PastureBeef_Liveweight_Data(), Table_SourceData_PastureBeef_Liveweight[[#Headers],[State]], 0)</f>
        <v>Pilbara</v>
      </c>
      <c r="F42" s="35" t="str" cm="1">
        <f t="array" ref="F42">Common_InputFunctions.Utility_DisplayArrayInTable(SourceData_PastureBeef.SourceData_PastureBeef_Liveweight_Data(), Table_SourceData_PastureBeef_Liveweight[[#Headers],[State]], 0)</f>
        <v>Winter</v>
      </c>
      <c r="G42" s="35" cm="1">
        <f t="array" ref="G42">Common_InputFunctions.Utility_DisplayArrayInTable(SourceData_PastureBeef.SourceData_PastureBeef_Liveweight_Data(), Table_SourceData_PastureBeef_Liveweight[[#Headers],[State]], 0)</f>
        <v>250</v>
      </c>
      <c r="H42" s="35" cm="1">
        <f t="array" ref="H42">Common_InputFunctions.Utility_DisplayArrayInTable(SourceData_PastureBeef.SourceData_PastureBeef_Liveweight_Data(), Table_SourceData_PastureBeef_Liveweight[[#Headers],[State]], 0)</f>
        <v>500</v>
      </c>
      <c r="I42" s="35" cm="1">
        <f t="array" ref="I42">Common_InputFunctions.Utility_DisplayArrayInTable(SourceData_PastureBeef.SourceData_PastureBeef_Liveweight_Data(), Table_SourceData_PastureBeef_Liveweight[[#Headers],[State]], 0)</f>
        <v>240</v>
      </c>
      <c r="J42" s="35" cm="1">
        <f t="array" ref="J42">Common_InputFunctions.Utility_DisplayArrayInTable(SourceData_PastureBeef.SourceData_PastureBeef_Liveweight_Data(), Table_SourceData_PastureBeef_Liveweight[[#Headers],[State]], 0)</f>
        <v>340</v>
      </c>
      <c r="K42" s="35" cm="1">
        <f t="array" ref="K42">Common_InputFunctions.Utility_DisplayArrayInTable(SourceData_PastureBeef.SourceData_PastureBeef_Liveweight_Data(), Table_SourceData_PastureBeef_Liveweight[[#Headers],[State]], 0)</f>
        <v>360</v>
      </c>
      <c r="L42" s="35" cm="1">
        <f t="array" ref="L42">Common_InputFunctions.Utility_DisplayArrayInTable(SourceData_PastureBeef.SourceData_PastureBeef_Liveweight_Data(), Table_SourceData_PastureBeef_Liveweight[[#Headers],[State]], 0)</f>
        <v>250</v>
      </c>
      <c r="M42" s="35" cm="1">
        <f t="array" ref="M42">Common_InputFunctions.Utility_DisplayArrayInTable(SourceData_PastureBeef.SourceData_PastureBeef_Liveweight_Data(), Table_SourceData_PastureBeef_Liveweight[[#Headers],[State]], 0)</f>
        <v>390</v>
      </c>
      <c r="O42" s="35" t="s">
        <v>277</v>
      </c>
      <c r="P42" s="35" t="s">
        <v>67</v>
      </c>
    </row>
    <row r="43" spans="4:16"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5" t="str" cm="1">
        <f t="array" ref="E43">Common_InputFunctions.Utility_DisplayArrayInTable(SourceData_PastureBeef.SourceData_PastureBeef_Liveweight_Data(), Table_SourceData_PastureBeef_Liveweight[[#Headers],[State]], 0)</f>
        <v>Kimberley</v>
      </c>
      <c r="F43" s="35" t="str" cm="1">
        <f t="array" ref="F43">Common_InputFunctions.Utility_DisplayArrayInTable(SourceData_PastureBeef.SourceData_PastureBeef_Liveweight_Data(), Table_SourceData_PastureBeef_Liveweight[[#Headers],[State]], 0)</f>
        <v>Spring</v>
      </c>
      <c r="G43" s="35" cm="1">
        <f t="array" ref="G43">Common_InputFunctions.Utility_DisplayArrayInTable(SourceData_PastureBeef.SourceData_PastureBeef_Liveweight_Data(), Table_SourceData_PastureBeef_Liveweight[[#Headers],[State]], 0)</f>
        <v>220</v>
      </c>
      <c r="H43" s="35" cm="1">
        <f t="array" ref="H43">Common_InputFunctions.Utility_DisplayArrayInTable(SourceData_PastureBeef.SourceData_PastureBeef_Liveweight_Data(), Table_SourceData_PastureBeef_Liveweight[[#Headers],[State]], 0)</f>
        <v>500</v>
      </c>
      <c r="I43" s="35" cm="1">
        <f t="array" ref="I43">Common_InputFunctions.Utility_DisplayArrayInTable(SourceData_PastureBeef.SourceData_PastureBeef_Liveweight_Data(), Table_SourceData_PastureBeef_Liveweight[[#Headers],[State]], 0)</f>
        <v>180</v>
      </c>
      <c r="J43" s="35" cm="1">
        <f t="array" ref="J43">Common_InputFunctions.Utility_DisplayArrayInTable(SourceData_PastureBeef.SourceData_PastureBeef_Liveweight_Data(), Table_SourceData_PastureBeef_Liveweight[[#Headers],[State]], 0)</f>
        <v>300</v>
      </c>
      <c r="K43" s="35" cm="1">
        <f t="array" ref="K43">Common_InputFunctions.Utility_DisplayArrayInTable(SourceData_PastureBeef.SourceData_PastureBeef_Liveweight_Data(), Table_SourceData_PastureBeef_Liveweight[[#Headers],[State]], 0)</f>
        <v>320</v>
      </c>
      <c r="L43" s="35" cm="1">
        <f t="array" ref="L43">Common_InputFunctions.Utility_DisplayArrayInTable(SourceData_PastureBeef.SourceData_PastureBeef_Liveweight_Data(), Table_SourceData_PastureBeef_Liveweight[[#Headers],[State]], 0)</f>
        <v>210</v>
      </c>
      <c r="M43" s="35" cm="1">
        <f t="array" ref="M43">Common_InputFunctions.Utility_DisplayArrayInTable(SourceData_PastureBeef.SourceData_PastureBeef_Liveweight_Data(), Table_SourceData_PastureBeef_Liveweight[[#Headers],[State]], 0)</f>
        <v>340</v>
      </c>
      <c r="O43" s="35" t="s">
        <v>278</v>
      </c>
      <c r="P43" s="35" t="s">
        <v>67</v>
      </c>
    </row>
    <row r="44" spans="4:16"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5" t="str" cm="1">
        <f t="array" ref="E44">Common_InputFunctions.Utility_DisplayArrayInTable(SourceData_PastureBeef.SourceData_PastureBeef_Liveweight_Data(), Table_SourceData_PastureBeef_Liveweight[[#Headers],[State]], 0)</f>
        <v>Kimberley</v>
      </c>
      <c r="F44" s="35" t="str" cm="1">
        <f t="array" ref="F44">Common_InputFunctions.Utility_DisplayArrayInTable(SourceData_PastureBeef.SourceData_PastureBeef_Liveweight_Data(), Table_SourceData_PastureBeef_Liveweight[[#Headers],[State]], 0)</f>
        <v>Summer</v>
      </c>
      <c r="G44" s="35" cm="1">
        <f t="array" ref="G44">Common_InputFunctions.Utility_DisplayArrayInTable(SourceData_PastureBeef.SourceData_PastureBeef_Liveweight_Data(), Table_SourceData_PastureBeef_Liveweight[[#Headers],[State]], 0)</f>
        <v>110</v>
      </c>
      <c r="H44" s="35" cm="1">
        <f t="array" ref="H44">Common_InputFunctions.Utility_DisplayArrayInTable(SourceData_PastureBeef.SourceData_PastureBeef_Liveweight_Data(), Table_SourceData_PastureBeef_Liveweight[[#Headers],[State]], 0)</f>
        <v>550</v>
      </c>
      <c r="I44" s="35" cm="1">
        <f t="array" ref="I44">Common_InputFunctions.Utility_DisplayArrayInTable(SourceData_PastureBeef.SourceData_PastureBeef_Liveweight_Data(), Table_SourceData_PastureBeef_Liveweight[[#Headers],[State]], 0)</f>
        <v>90</v>
      </c>
      <c r="J44" s="35" cm="1">
        <f t="array" ref="J44">Common_InputFunctions.Utility_DisplayArrayInTable(SourceData_PastureBeef.SourceData_PastureBeef_Liveweight_Data(), Table_SourceData_PastureBeef_Liveweight[[#Headers],[State]], 0)</f>
        <v>220</v>
      </c>
      <c r="K44" s="35" cm="1">
        <f t="array" ref="K44">Common_InputFunctions.Utility_DisplayArrayInTable(SourceData_PastureBeef.SourceData_PastureBeef_Liveweight_Data(), Table_SourceData_PastureBeef_Liveweight[[#Headers],[State]], 0)</f>
        <v>380</v>
      </c>
      <c r="L44" s="35" cm="1">
        <f t="array" ref="L44">Common_InputFunctions.Utility_DisplayArrayInTable(SourceData_PastureBeef.SourceData_PastureBeef_Liveweight_Data(), Table_SourceData_PastureBeef_Liveweight[[#Headers],[State]], 0)</f>
        <v>100</v>
      </c>
      <c r="M44" s="35" cm="1">
        <f t="array" ref="M44">Common_InputFunctions.Utility_DisplayArrayInTable(SourceData_PastureBeef.SourceData_PastureBeef_Liveweight_Data(), Table_SourceData_PastureBeef_Liveweight[[#Headers],[State]], 0)</f>
        <v>390</v>
      </c>
      <c r="O44" s="35" t="s">
        <v>279</v>
      </c>
      <c r="P44" s="35" t="s">
        <v>68</v>
      </c>
    </row>
    <row r="45" spans="4:16"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5" t="str" cm="1">
        <f t="array" ref="E45">Common_InputFunctions.Utility_DisplayArrayInTable(SourceData_PastureBeef.SourceData_PastureBeef_Liveweight_Data(), Table_SourceData_PastureBeef_Liveweight[[#Headers],[State]], 0)</f>
        <v>Kimberley</v>
      </c>
      <c r="F45" s="35" t="str" cm="1">
        <f t="array" ref="F45">Common_InputFunctions.Utility_DisplayArrayInTable(SourceData_PastureBeef.SourceData_PastureBeef_Liveweight_Data(), Table_SourceData_PastureBeef_Liveweight[[#Headers],[State]], 0)</f>
        <v>Autumn</v>
      </c>
      <c r="G45" s="35" cm="1">
        <f t="array" ref="G45">Common_InputFunctions.Utility_DisplayArrayInTable(SourceData_PastureBeef.SourceData_PastureBeef_Liveweight_Data(), Table_SourceData_PastureBeef_Liveweight[[#Headers],[State]], 0)</f>
        <v>170</v>
      </c>
      <c r="H45" s="35" cm="1">
        <f t="array" ref="H45">Common_InputFunctions.Utility_DisplayArrayInTable(SourceData_PastureBeef.SourceData_PastureBeef_Liveweight_Data(), Table_SourceData_PastureBeef_Liveweight[[#Headers],[State]], 0)</f>
        <v>600</v>
      </c>
      <c r="I45" s="35" cm="1">
        <f t="array" ref="I45">Common_InputFunctions.Utility_DisplayArrayInTable(SourceData_PastureBeef.SourceData_PastureBeef_Liveweight_Data(), Table_SourceData_PastureBeef_Liveweight[[#Headers],[State]], 0)</f>
        <v>140</v>
      </c>
      <c r="J45" s="35" cm="1">
        <f t="array" ref="J45">Common_InputFunctions.Utility_DisplayArrayInTable(SourceData_PastureBeef.SourceData_PastureBeef_Liveweight_Data(), Table_SourceData_PastureBeef_Liveweight[[#Headers],[State]], 0)</f>
        <v>270</v>
      </c>
      <c r="K45" s="35" cm="1">
        <f t="array" ref="K45">Common_InputFunctions.Utility_DisplayArrayInTable(SourceData_PastureBeef.SourceData_PastureBeef_Liveweight_Data(), Table_SourceData_PastureBeef_Liveweight[[#Headers],[State]], 0)</f>
        <v>390</v>
      </c>
      <c r="L45" s="35" cm="1">
        <f t="array" ref="L45">Common_InputFunctions.Utility_DisplayArrayInTable(SourceData_PastureBeef.SourceData_PastureBeef_Liveweight_Data(), Table_SourceData_PastureBeef_Liveweight[[#Headers],[State]], 0)</f>
        <v>160</v>
      </c>
      <c r="M45" s="35" cm="1">
        <f t="array" ref="M45">Common_InputFunctions.Utility_DisplayArrayInTable(SourceData_PastureBeef.SourceData_PastureBeef_Liveweight_Data(), Table_SourceData_PastureBeef_Liveweight[[#Headers],[State]], 0)</f>
        <v>430</v>
      </c>
      <c r="O45" s="35" t="s">
        <v>280</v>
      </c>
      <c r="P45" s="35" t="s">
        <v>68</v>
      </c>
    </row>
    <row r="46" spans="4:16"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5" t="str" cm="1">
        <f t="array" ref="E46">Common_InputFunctions.Utility_DisplayArrayInTable(SourceData_PastureBeef.SourceData_PastureBeef_Liveweight_Data(), Table_SourceData_PastureBeef_Liveweight[[#Headers],[State]], 0)</f>
        <v>Kimberley</v>
      </c>
      <c r="F46" s="35" t="str" cm="1">
        <f t="array" ref="F46">Common_InputFunctions.Utility_DisplayArrayInTable(SourceData_PastureBeef.SourceData_PastureBeef_Liveweight_Data(), Table_SourceData_PastureBeef_Liveweight[[#Headers],[State]], 0)</f>
        <v>Winter</v>
      </c>
      <c r="G46" s="35" cm="1">
        <f t="array" ref="G46">Common_InputFunctions.Utility_DisplayArrayInTable(SourceData_PastureBeef.SourceData_PastureBeef_Liveweight_Data(), Table_SourceData_PastureBeef_Liveweight[[#Headers],[State]], 0)</f>
        <v>200</v>
      </c>
      <c r="H46" s="35" cm="1">
        <f t="array" ref="H46">Common_InputFunctions.Utility_DisplayArrayInTable(SourceData_PastureBeef.SourceData_PastureBeef_Liveweight_Data(), Table_SourceData_PastureBeef_Liveweight[[#Headers],[State]], 0)</f>
        <v>550</v>
      </c>
      <c r="I46" s="35" cm="1">
        <f t="array" ref="I46">Common_InputFunctions.Utility_DisplayArrayInTable(SourceData_PastureBeef.SourceData_PastureBeef_Liveweight_Data(), Table_SourceData_PastureBeef_Liveweight[[#Headers],[State]], 0)</f>
        <v>150</v>
      </c>
      <c r="J46" s="35" cm="1">
        <f t="array" ref="J46">Common_InputFunctions.Utility_DisplayArrayInTable(SourceData_PastureBeef.SourceData_PastureBeef_Liveweight_Data(), Table_SourceData_PastureBeef_Liveweight[[#Headers],[State]], 0)</f>
        <v>280</v>
      </c>
      <c r="K46" s="35" cm="1">
        <f t="array" ref="K46">Common_InputFunctions.Utility_DisplayArrayInTable(SourceData_PastureBeef.SourceData_PastureBeef_Liveweight_Data(), Table_SourceData_PastureBeef_Liveweight[[#Headers],[State]], 0)</f>
        <v>350</v>
      </c>
      <c r="L46" s="35" cm="1">
        <f t="array" ref="L46">Common_InputFunctions.Utility_DisplayArrayInTable(SourceData_PastureBeef.SourceData_PastureBeef_Liveweight_Data(), Table_SourceData_PastureBeef_Liveweight[[#Headers],[State]], 0)</f>
        <v>190</v>
      </c>
      <c r="M46" s="35" cm="1">
        <f t="array" ref="M46">Common_InputFunctions.Utility_DisplayArrayInTable(SourceData_PastureBeef.SourceData_PastureBeef_Liveweight_Data(), Table_SourceData_PastureBeef_Liveweight[[#Headers],[State]], 0)</f>
        <v>400</v>
      </c>
      <c r="O46" s="35" t="s">
        <v>281</v>
      </c>
      <c r="P46" s="35" t="s">
        <v>68</v>
      </c>
    </row>
    <row r="47" spans="4:16" ht="20.100000000000001" customHeight="1" x14ac:dyDescent="0.25">
      <c r="M47" s="1"/>
      <c r="O47" s="35" t="s">
        <v>282</v>
      </c>
      <c r="P47" s="35" t="s">
        <v>68</v>
      </c>
    </row>
    <row r="48" spans="4:16" ht="20.100000000000001" customHeight="1" x14ac:dyDescent="0.25">
      <c r="M48" s="1"/>
      <c r="O48" s="1" t="s">
        <v>266</v>
      </c>
      <c r="P48" s="1" t="s">
        <v>266</v>
      </c>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1" t="str" cm="1">
        <f t="array" ref="D52">SourceData_PastureBeef.SourceData_PastureBeef_LiveweightNTQLD_Unit()</f>
        <v>kg</v>
      </c>
      <c r="M52" s="1"/>
    </row>
    <row r="53" spans="4:16" ht="20.100000000000001" customHeight="1" x14ac:dyDescent="0.25">
      <c r="D53" s="35" t="s">
        <v>5</v>
      </c>
      <c r="E53" s="35" t="s">
        <v>144</v>
      </c>
      <c r="F53" s="35" t="s">
        <v>145</v>
      </c>
      <c r="G53" s="35" t="s">
        <v>164</v>
      </c>
      <c r="H53" s="35" t="s">
        <v>153</v>
      </c>
      <c r="I53" s="35" t="s">
        <v>154</v>
      </c>
      <c r="J53" s="35" t="s">
        <v>155</v>
      </c>
      <c r="K53" s="35" t="s">
        <v>156</v>
      </c>
      <c r="L53" s="35" t="s">
        <v>157</v>
      </c>
      <c r="M53" s="35" t="s">
        <v>158</v>
      </c>
      <c r="N53" s="35" t="s">
        <v>159</v>
      </c>
      <c r="O53" s="35" t="s">
        <v>160</v>
      </c>
      <c r="P53" s="35" t="s">
        <v>161</v>
      </c>
    </row>
    <row r="54" spans="4:16" ht="20.100000000000001" customHeight="1" x14ac:dyDescent="0.25">
      <c r="D54" s="35" t="str" cm="1">
        <f t="array" ref="D54">Common_InputFunctions.Utility_DisplayArrayInTable(SourceData_PastureBeef.SourceData_PastureBeef_LiveweightNTQLD_Data(),Table_SourceData_PastureBeef_LiveweightNTQD[[#Headers],[State]], 0)</f>
        <v>Northern Territory</v>
      </c>
      <c r="E54" s="35" t="str" cm="1">
        <f t="array" ref="E54">Common_InputFunctions.Utility_DisplayArrayInTable(SourceData_PastureBeef.SourceData_PastureBeef_LiveweightNTQLD_Data(),Table_SourceData_PastureBeef_LiveweightNTQD[[#Headers],[State]], 0)</f>
        <v>Alice Springs</v>
      </c>
      <c r="F54" s="35" t="str" cm="1">
        <f t="array" ref="F54">Common_InputFunctions.Utility_DisplayArrayInTable(SourceData_PastureBeef.SourceData_PastureBeef_LiveweightNTQLD_Data(),Table_SourceData_PastureBeef_LiveweightNTQD[[#Headers],[State]], 0)</f>
        <v>Spring</v>
      </c>
      <c r="G54" s="35" cm="1">
        <f t="array" ref="G54">Common_InputFunctions.Utility_DisplayArrayInTable(SourceData_PastureBeef.SourceData_PastureBeef_LiveweightNTQLD_Data(),Table_SourceData_PastureBeef_LiveweightNTQD[[#Headers],[State]], 0)</f>
        <v>220</v>
      </c>
      <c r="H54" s="35" cm="1">
        <f t="array" ref="H54">Common_InputFunctions.Utility_DisplayArrayInTable(SourceData_PastureBeef.SourceData_PastureBeef_LiveweightNTQLD_Data(),Table_SourceData_PastureBeef_LiveweightNTQD[[#Headers],[State]], 0)</f>
        <v>706</v>
      </c>
      <c r="I54" s="35" cm="1">
        <f t="array" ref="I54">Common_InputFunctions.Utility_DisplayArrayInTable(SourceData_PastureBeef.SourceData_PastureBeef_LiveweightNTQLD_Data(),Table_SourceData_PastureBeef_LiveweightNTQD[[#Headers],[State]], 0)</f>
        <v>208</v>
      </c>
      <c r="J54" s="35" cm="1">
        <f t="array" ref="J54">Common_InputFunctions.Utility_DisplayArrayInTable(SourceData_PastureBeef.SourceData_PastureBeef_LiveweightNTQLD_Data(),Table_SourceData_PastureBeef_LiveweightNTQD[[#Headers],[State]], 0)</f>
        <v>323</v>
      </c>
      <c r="K54" s="35" cm="1">
        <f t="array" ref="K54">Common_InputFunctions.Utility_DisplayArrayInTable(SourceData_PastureBeef.SourceData_PastureBeef_LiveweightNTQLD_Data(),Table_SourceData_PastureBeef_LiveweightNTQD[[#Headers],[State]], 0)</f>
        <v>415</v>
      </c>
      <c r="L54" s="35" cm="1">
        <f t="array" ref="L54">Common_InputFunctions.Utility_DisplayArrayInTable(SourceData_PastureBeef.SourceData_PastureBeef_LiveweightNTQLD_Data(),Table_SourceData_PastureBeef_LiveweightNTQD[[#Headers],[State]], 0)</f>
        <v>467</v>
      </c>
      <c r="M54" s="35" cm="1">
        <f t="array" ref="M54">Common_InputFunctions.Utility_DisplayArrayInTable(SourceData_PastureBeef.SourceData_PastureBeef_LiveweightNTQLD_Data(),Table_SourceData_PastureBeef_LiveweightNTQD[[#Headers],[State]], 0)</f>
        <v>223</v>
      </c>
      <c r="N54" s="35" cm="1">
        <f t="array" ref="N54">Common_InputFunctions.Utility_DisplayArrayInTable(SourceData_PastureBeef.SourceData_PastureBeef_LiveweightNTQLD_Data(),Table_SourceData_PastureBeef_LiveweightNTQD[[#Headers],[State]], 0)</f>
        <v>371</v>
      </c>
      <c r="O54" s="35" cm="1">
        <f t="array" ref="O54">Common_InputFunctions.Utility_DisplayArrayInTable(SourceData_PastureBeef.SourceData_PastureBeef_LiveweightNTQLD_Data(),Table_SourceData_PastureBeef_LiveweightNTQD[[#Headers],[State]], 0)</f>
        <v>493</v>
      </c>
      <c r="P54" s="35"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5" t="str" cm="1">
        <f t="array" ref="E55">Common_InputFunctions.Utility_DisplayArrayInTable(SourceData_PastureBeef.SourceData_PastureBeef_LiveweightNTQLD_Data(),Table_SourceData_PastureBeef_LiveweightNTQD[[#Headers],[State]], 0)</f>
        <v>Alice Springs</v>
      </c>
      <c r="F55" s="35" t="str" cm="1">
        <f t="array" ref="F55">Common_InputFunctions.Utility_DisplayArrayInTable(SourceData_PastureBeef.SourceData_PastureBeef_LiveweightNTQLD_Data(),Table_SourceData_PastureBeef_LiveweightNTQD[[#Headers],[State]], 0)</f>
        <v>Summer</v>
      </c>
      <c r="G55" s="35" cm="1">
        <f t="array" ref="G55">Common_InputFunctions.Utility_DisplayArrayInTable(SourceData_PastureBeef.SourceData_PastureBeef_LiveweightNTQLD_Data(),Table_SourceData_PastureBeef_LiveweightNTQD[[#Headers],[State]], 0)</f>
        <v>110</v>
      </c>
      <c r="H55" s="35" cm="1">
        <f t="array" ref="H55">Common_InputFunctions.Utility_DisplayArrayInTable(SourceData_PastureBeef.SourceData_PastureBeef_LiveweightNTQLD_Data(),Table_SourceData_PastureBeef_LiveweightNTQD[[#Headers],[State]], 0)</f>
        <v>703</v>
      </c>
      <c r="I55" s="35" cm="1">
        <f t="array" ref="I55">Common_InputFunctions.Utility_DisplayArrayInTable(SourceData_PastureBeef.SourceData_PastureBeef_LiveweightNTQLD_Data(),Table_SourceData_PastureBeef_LiveweightNTQD[[#Headers],[State]], 0)</f>
        <v>112</v>
      </c>
      <c r="J55" s="35" cm="1">
        <f t="array" ref="J55">Common_InputFunctions.Utility_DisplayArrayInTable(SourceData_PastureBeef.SourceData_PastureBeef_LiveweightNTQLD_Data(),Table_SourceData_PastureBeef_LiveweightNTQD[[#Headers],[State]], 0)</f>
        <v>256</v>
      </c>
      <c r="K55" s="35" cm="1">
        <f t="array" ref="K55">Common_InputFunctions.Utility_DisplayArrayInTable(SourceData_PastureBeef.SourceData_PastureBeef_LiveweightNTQLD_Data(),Table_SourceData_PastureBeef_LiveweightNTQD[[#Headers],[State]], 0)</f>
        <v>368</v>
      </c>
      <c r="L55" s="35" cm="1">
        <f t="array" ref="L55">Common_InputFunctions.Utility_DisplayArrayInTable(SourceData_PastureBeef.SourceData_PastureBeef_LiveweightNTQLD_Data(),Table_SourceData_PastureBeef_LiveweightNTQD[[#Headers],[State]], 0)</f>
        <v>465</v>
      </c>
      <c r="M55" s="35" cm="1">
        <f t="array" ref="M55">Common_InputFunctions.Utility_DisplayArrayInTable(SourceData_PastureBeef.SourceData_PastureBeef_LiveweightNTQLD_Data(),Table_SourceData_PastureBeef_LiveweightNTQD[[#Headers],[State]], 0)</f>
        <v>108</v>
      </c>
      <c r="N55" s="35" cm="1">
        <f t="array" ref="N55">Common_InputFunctions.Utility_DisplayArrayInTable(SourceData_PastureBeef.SourceData_PastureBeef_LiveweightNTQLD_Data(),Table_SourceData_PastureBeef_LiveweightNTQD[[#Headers],[State]], 0)</f>
        <v>280</v>
      </c>
      <c r="O55" s="35" cm="1">
        <f t="array" ref="O55">Common_InputFunctions.Utility_DisplayArrayInTable(SourceData_PastureBeef.SourceData_PastureBeef_LiveweightNTQLD_Data(),Table_SourceData_PastureBeef_LiveweightNTQD[[#Headers],[State]], 0)</f>
        <v>421</v>
      </c>
      <c r="P55" s="35"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5" t="str" cm="1">
        <f t="array" ref="E56">Common_InputFunctions.Utility_DisplayArrayInTable(SourceData_PastureBeef.SourceData_PastureBeef_LiveweightNTQLD_Data(),Table_SourceData_PastureBeef_LiveweightNTQD[[#Headers],[State]], 0)</f>
        <v>Alice Springs</v>
      </c>
      <c r="F56" s="35" t="str" cm="1">
        <f t="array" ref="F56">Common_InputFunctions.Utility_DisplayArrayInTable(SourceData_PastureBeef.SourceData_PastureBeef_LiveweightNTQLD_Data(),Table_SourceData_PastureBeef_LiveweightNTQD[[#Headers],[State]], 0)</f>
        <v>Autumn</v>
      </c>
      <c r="G56" s="35" cm="1">
        <f t="array" ref="G56">Common_InputFunctions.Utility_DisplayArrayInTable(SourceData_PastureBeef.SourceData_PastureBeef_LiveweightNTQLD_Data(),Table_SourceData_PastureBeef_LiveweightNTQD[[#Headers],[State]], 0)</f>
        <v>170</v>
      </c>
      <c r="H56" s="35" cm="1">
        <f t="array" ref="H56">Common_InputFunctions.Utility_DisplayArrayInTable(SourceData_PastureBeef.SourceData_PastureBeef_LiveweightNTQLD_Data(),Table_SourceData_PastureBeef_LiveweightNTQD[[#Headers],[State]], 0)</f>
        <v>721</v>
      </c>
      <c r="I56" s="35" cm="1">
        <f t="array" ref="I56">Common_InputFunctions.Utility_DisplayArrayInTable(SourceData_PastureBeef.SourceData_PastureBeef_LiveweightNTQLD_Data(),Table_SourceData_PastureBeef_LiveweightNTQD[[#Headers],[State]], 0)</f>
        <v>169</v>
      </c>
      <c r="J56" s="35" cm="1">
        <f t="array" ref="J56">Common_InputFunctions.Utility_DisplayArrayInTable(SourceData_PastureBeef.SourceData_PastureBeef_LiveweightNTQLD_Data(),Table_SourceData_PastureBeef_LiveweightNTQD[[#Headers],[State]], 0)</f>
        <v>306</v>
      </c>
      <c r="K56" s="35" cm="1">
        <f t="array" ref="K56">Common_InputFunctions.Utility_DisplayArrayInTable(SourceData_PastureBeef.SourceData_PastureBeef_LiveweightNTQLD_Data(),Table_SourceData_PastureBeef_LiveweightNTQD[[#Headers],[State]], 0)</f>
        <v>392</v>
      </c>
      <c r="L56" s="35" cm="1">
        <f t="array" ref="L56">Common_InputFunctions.Utility_DisplayArrayInTable(SourceData_PastureBeef.SourceData_PastureBeef_LiveweightNTQLD_Data(),Table_SourceData_PastureBeef_LiveweightNTQD[[#Headers],[State]], 0)</f>
        <v>464</v>
      </c>
      <c r="M56" s="35" cm="1">
        <f t="array" ref="M56">Common_InputFunctions.Utility_DisplayArrayInTable(SourceData_PastureBeef.SourceData_PastureBeef_LiveweightNTQLD_Data(),Table_SourceData_PastureBeef_LiveweightNTQD[[#Headers],[State]], 0)</f>
        <v>176</v>
      </c>
      <c r="N56" s="35" cm="1">
        <f t="array" ref="N56">Common_InputFunctions.Utility_DisplayArrayInTable(SourceData_PastureBeef.SourceData_PastureBeef_LiveweightNTQLD_Data(),Table_SourceData_PastureBeef_LiveweightNTQD[[#Headers],[State]], 0)</f>
        <v>339</v>
      </c>
      <c r="O56" s="35" cm="1">
        <f t="array" ref="O56">Common_InputFunctions.Utility_DisplayArrayInTable(SourceData_PastureBeef.SourceData_PastureBeef_LiveweightNTQLD_Data(),Table_SourceData_PastureBeef_LiveweightNTQD[[#Headers],[State]], 0)</f>
        <v>470</v>
      </c>
      <c r="P56" s="35"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5" t="str" cm="1">
        <f t="array" ref="E57">Common_InputFunctions.Utility_DisplayArrayInTable(SourceData_PastureBeef.SourceData_PastureBeef_LiveweightNTQLD_Data(),Table_SourceData_PastureBeef_LiveweightNTQD[[#Headers],[State]], 0)</f>
        <v>Alice Springs</v>
      </c>
      <c r="F57" s="35" t="str" cm="1">
        <f t="array" ref="F57">Common_InputFunctions.Utility_DisplayArrayInTable(SourceData_PastureBeef.SourceData_PastureBeef_LiveweightNTQLD_Data(),Table_SourceData_PastureBeef_LiveweightNTQD[[#Headers],[State]], 0)</f>
        <v>Winter</v>
      </c>
      <c r="G57" s="35" cm="1">
        <f t="array" ref="G57">Common_InputFunctions.Utility_DisplayArrayInTable(SourceData_PastureBeef.SourceData_PastureBeef_LiveweightNTQLD_Data(),Table_SourceData_PastureBeef_LiveweightNTQD[[#Headers],[State]], 0)</f>
        <v>200</v>
      </c>
      <c r="H57" s="35" cm="1">
        <f t="array" ref="H57">Common_InputFunctions.Utility_DisplayArrayInTable(SourceData_PastureBeef.SourceData_PastureBeef_LiveweightNTQLD_Data(),Table_SourceData_PastureBeef_LiveweightNTQD[[#Headers],[State]], 0)</f>
        <v>727</v>
      </c>
      <c r="I57" s="35" cm="1">
        <f t="array" ref="I57">Common_InputFunctions.Utility_DisplayArrayInTable(SourceData_PastureBeef.SourceData_PastureBeef_LiveweightNTQLD_Data(),Table_SourceData_PastureBeef_LiveweightNTQD[[#Headers],[State]], 0)</f>
        <v>211</v>
      </c>
      <c r="J57" s="35" cm="1">
        <f t="array" ref="J57">Common_InputFunctions.Utility_DisplayArrayInTable(SourceData_PastureBeef.SourceData_PastureBeef_LiveweightNTQLD_Data(),Table_SourceData_PastureBeef_LiveweightNTQD[[#Headers],[State]], 0)</f>
        <v>338</v>
      </c>
      <c r="K57" s="35" cm="1">
        <f t="array" ref="K57">Common_InputFunctions.Utility_DisplayArrayInTable(SourceData_PastureBeef.SourceData_PastureBeef_LiveweightNTQLD_Data(),Table_SourceData_PastureBeef_LiveweightNTQD[[#Headers],[State]], 0)</f>
        <v>432</v>
      </c>
      <c r="L57" s="35" cm="1">
        <f t="array" ref="L57">Common_InputFunctions.Utility_DisplayArrayInTable(SourceData_PastureBeef.SourceData_PastureBeef_LiveweightNTQLD_Data(),Table_SourceData_PastureBeef_LiveweightNTQD[[#Headers],[State]], 0)</f>
        <v>492</v>
      </c>
      <c r="M57" s="35" cm="1">
        <f t="array" ref="M57">Common_InputFunctions.Utility_DisplayArrayInTable(SourceData_PastureBeef.SourceData_PastureBeef_LiveweightNTQLD_Data(),Table_SourceData_PastureBeef_LiveweightNTQD[[#Headers],[State]], 0)</f>
        <v>222</v>
      </c>
      <c r="N57" s="35" cm="1">
        <f t="array" ref="N57">Common_InputFunctions.Utility_DisplayArrayInTable(SourceData_PastureBeef.SourceData_PastureBeef_LiveweightNTQLD_Data(),Table_SourceData_PastureBeef_LiveweightNTQD[[#Headers],[State]], 0)</f>
        <v>377</v>
      </c>
      <c r="O57" s="35" cm="1">
        <f t="array" ref="O57">Common_InputFunctions.Utility_DisplayArrayInTable(SourceData_PastureBeef.SourceData_PastureBeef_LiveweightNTQLD_Data(),Table_SourceData_PastureBeef_LiveweightNTQD[[#Headers],[State]], 0)</f>
        <v>498</v>
      </c>
      <c r="P57" s="35"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5" t="str" cm="1">
        <f t="array" ref="E58">Common_InputFunctions.Utility_DisplayArrayInTable(SourceData_PastureBeef.SourceData_PastureBeef_LiveweightNTQLD_Data(),Table_SourceData_PastureBeef_LiveweightNTQD[[#Headers],[State]], 0)</f>
        <v>Barkly</v>
      </c>
      <c r="F58" s="35" t="str" cm="1">
        <f t="array" ref="F58">Common_InputFunctions.Utility_DisplayArrayInTable(SourceData_PastureBeef.SourceData_PastureBeef_LiveweightNTQLD_Data(),Table_SourceData_PastureBeef_LiveweightNTQD[[#Headers],[State]], 0)</f>
        <v>Spring</v>
      </c>
      <c r="G58" s="35" cm="1">
        <f t="array" ref="G58">Common_InputFunctions.Utility_DisplayArrayInTable(SourceData_PastureBeef.SourceData_PastureBeef_LiveweightNTQLD_Data(),Table_SourceData_PastureBeef_LiveweightNTQD[[#Headers],[State]], 0)</f>
        <v>220</v>
      </c>
      <c r="H58" s="35" cm="1">
        <f t="array" ref="H58">Common_InputFunctions.Utility_DisplayArrayInTable(SourceData_PastureBeef.SourceData_PastureBeef_LiveweightNTQLD_Data(),Table_SourceData_PastureBeef_LiveweightNTQD[[#Headers],[State]], 0)</f>
        <v>620</v>
      </c>
      <c r="I58" s="35" cm="1">
        <f t="array" ref="I58">Common_InputFunctions.Utility_DisplayArrayInTable(SourceData_PastureBeef.SourceData_PastureBeef_LiveweightNTQLD_Data(),Table_SourceData_PastureBeef_LiveweightNTQD[[#Headers],[State]], 0)</f>
        <v>227</v>
      </c>
      <c r="J58" s="35" cm="1">
        <f t="array" ref="J58">Common_InputFunctions.Utility_DisplayArrayInTable(SourceData_PastureBeef.SourceData_PastureBeef_LiveweightNTQLD_Data(),Table_SourceData_PastureBeef_LiveweightNTQD[[#Headers],[State]], 0)</f>
        <v>319</v>
      </c>
      <c r="K58" s="35" cm="1">
        <f t="array" ref="K58">Common_InputFunctions.Utility_DisplayArrayInTable(SourceData_PastureBeef.SourceData_PastureBeef_LiveweightNTQLD_Data(),Table_SourceData_PastureBeef_LiveweightNTQD[[#Headers],[State]], 0)</f>
        <v>398</v>
      </c>
      <c r="L58" s="35" cm="1">
        <f t="array" ref="L58">Common_InputFunctions.Utility_DisplayArrayInTable(SourceData_PastureBeef.SourceData_PastureBeef_LiveweightNTQLD_Data(),Table_SourceData_PastureBeef_LiveweightNTQD[[#Headers],[State]], 0)</f>
        <v>452</v>
      </c>
      <c r="M58" s="35" cm="1">
        <f t="array" ref="M58">Common_InputFunctions.Utility_DisplayArrayInTable(SourceData_PastureBeef.SourceData_PastureBeef_LiveweightNTQLD_Data(),Table_SourceData_PastureBeef_LiveweightNTQD[[#Headers],[State]], 0)</f>
        <v>216</v>
      </c>
      <c r="N58" s="35" cm="1">
        <f t="array" ref="N58">Common_InputFunctions.Utility_DisplayArrayInTable(SourceData_PastureBeef.SourceData_PastureBeef_LiveweightNTQLD_Data(),Table_SourceData_PastureBeef_LiveweightNTQD[[#Headers],[State]], 0)</f>
        <v>334</v>
      </c>
      <c r="O58" s="35" t="str" cm="1">
        <f t="array" ref="O58">Common_InputFunctions.Utility_DisplayArrayInTable(SourceData_PastureBeef.SourceData_PastureBeef_LiveweightNTQLD_Data(),Table_SourceData_PastureBeef_LiveweightNTQD[[#Headers],[State]], 0)</f>
        <v>NO</v>
      </c>
      <c r="P58" s="35"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5" t="str" cm="1">
        <f t="array" ref="E59">Common_InputFunctions.Utility_DisplayArrayInTable(SourceData_PastureBeef.SourceData_PastureBeef_LiveweightNTQLD_Data(),Table_SourceData_PastureBeef_LiveweightNTQD[[#Headers],[State]], 0)</f>
        <v>Barkly</v>
      </c>
      <c r="F59" s="35" t="str" cm="1">
        <f t="array" ref="F59">Common_InputFunctions.Utility_DisplayArrayInTable(SourceData_PastureBeef.SourceData_PastureBeef_LiveweightNTQLD_Data(),Table_SourceData_PastureBeef_LiveweightNTQD[[#Headers],[State]], 0)</f>
        <v>Summer</v>
      </c>
      <c r="G59" s="35" cm="1">
        <f t="array" ref="G59">Common_InputFunctions.Utility_DisplayArrayInTable(SourceData_PastureBeef.SourceData_PastureBeef_LiveweightNTQLD_Data(),Table_SourceData_PastureBeef_LiveweightNTQD[[#Headers],[State]], 0)</f>
        <v>110</v>
      </c>
      <c r="H59" s="35" cm="1">
        <f t="array" ref="H59">Common_InputFunctions.Utility_DisplayArrayInTable(SourceData_PastureBeef.SourceData_PastureBeef_LiveweightNTQLD_Data(),Table_SourceData_PastureBeef_LiveweightNTQD[[#Headers],[State]], 0)</f>
        <v>650</v>
      </c>
      <c r="I59" s="35" cm="1">
        <f t="array" ref="I59">Common_InputFunctions.Utility_DisplayArrayInTable(SourceData_PastureBeef.SourceData_PastureBeef_LiveweightNTQLD_Data(),Table_SourceData_PastureBeef_LiveweightNTQD[[#Headers],[State]], 0)</f>
        <v>108</v>
      </c>
      <c r="J59" s="35" cm="1">
        <f t="array" ref="J59">Common_InputFunctions.Utility_DisplayArrayInTable(SourceData_PastureBeef.SourceData_PastureBeef_LiveweightNTQLD_Data(),Table_SourceData_PastureBeef_LiveweightNTQD[[#Headers],[State]], 0)</f>
        <v>262</v>
      </c>
      <c r="K59" s="35" cm="1">
        <f t="array" ref="K59">Common_InputFunctions.Utility_DisplayArrayInTable(SourceData_PastureBeef.SourceData_PastureBeef_LiveweightNTQLD_Data(),Table_SourceData_PastureBeef_LiveweightNTQD[[#Headers],[State]], 0)</f>
        <v>346</v>
      </c>
      <c r="L59" s="35" cm="1">
        <f t="array" ref="L59">Common_InputFunctions.Utility_DisplayArrayInTable(SourceData_PastureBeef.SourceData_PastureBeef_LiveweightNTQLD_Data(),Table_SourceData_PastureBeef_LiveweightNTQD[[#Headers],[State]], 0)</f>
        <v>430</v>
      </c>
      <c r="M59" s="35" cm="1">
        <f t="array" ref="M59">Common_InputFunctions.Utility_DisplayArrayInTable(SourceData_PastureBeef.SourceData_PastureBeef_LiveweightNTQLD_Data(),Table_SourceData_PastureBeef_LiveweightNTQD[[#Headers],[State]], 0)</f>
        <v>111</v>
      </c>
      <c r="N59" s="35" cm="1">
        <f t="array" ref="N59">Common_InputFunctions.Utility_DisplayArrayInTable(SourceData_PastureBeef.SourceData_PastureBeef_LiveweightNTQLD_Data(),Table_SourceData_PastureBeef_LiveweightNTQD[[#Headers],[State]], 0)</f>
        <v>236</v>
      </c>
      <c r="O59" s="35" t="str" cm="1">
        <f t="array" ref="O59">Common_InputFunctions.Utility_DisplayArrayInTable(SourceData_PastureBeef.SourceData_PastureBeef_LiveweightNTQLD_Data(),Table_SourceData_PastureBeef_LiveweightNTQD[[#Headers],[State]], 0)</f>
        <v>NO</v>
      </c>
      <c r="P59" s="35"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5" t="str" cm="1">
        <f t="array" ref="E60">Common_InputFunctions.Utility_DisplayArrayInTable(SourceData_PastureBeef.SourceData_PastureBeef_LiveweightNTQLD_Data(),Table_SourceData_PastureBeef_LiveweightNTQD[[#Headers],[State]], 0)</f>
        <v>Barkly</v>
      </c>
      <c r="F60" s="35" t="str" cm="1">
        <f t="array" ref="F60">Common_InputFunctions.Utility_DisplayArrayInTable(SourceData_PastureBeef.SourceData_PastureBeef_LiveweightNTQLD_Data(),Table_SourceData_PastureBeef_LiveweightNTQD[[#Headers],[State]], 0)</f>
        <v>Autumn</v>
      </c>
      <c r="G60" s="35" cm="1">
        <f t="array" ref="G60">Common_InputFunctions.Utility_DisplayArrayInTable(SourceData_PastureBeef.SourceData_PastureBeef_LiveweightNTQLD_Data(),Table_SourceData_PastureBeef_LiveweightNTQD[[#Headers],[State]], 0)</f>
        <v>170</v>
      </c>
      <c r="H60" s="35" cm="1">
        <f t="array" ref="H60">Common_InputFunctions.Utility_DisplayArrayInTable(SourceData_PastureBeef.SourceData_PastureBeef_LiveweightNTQLD_Data(),Table_SourceData_PastureBeef_LiveweightNTQD[[#Headers],[State]], 0)</f>
        <v>670</v>
      </c>
      <c r="I60" s="35" cm="1">
        <f t="array" ref="I60">Common_InputFunctions.Utility_DisplayArrayInTable(SourceData_PastureBeef.SourceData_PastureBeef_LiveweightNTQLD_Data(),Table_SourceData_PastureBeef_LiveweightNTQD[[#Headers],[State]], 0)</f>
        <v>170</v>
      </c>
      <c r="J60" s="35" cm="1">
        <f t="array" ref="J60">Common_InputFunctions.Utility_DisplayArrayInTable(SourceData_PastureBeef.SourceData_PastureBeef_LiveweightNTQLD_Data(),Table_SourceData_PastureBeef_LiveweightNTQD[[#Headers],[State]], 0)</f>
        <v>266</v>
      </c>
      <c r="K60" s="35" cm="1">
        <f t="array" ref="K60">Common_InputFunctions.Utility_DisplayArrayInTable(SourceData_PastureBeef.SourceData_PastureBeef_LiveweightNTQLD_Data(),Table_SourceData_PastureBeef_LiveweightNTQD[[#Headers],[State]], 0)</f>
        <v>363</v>
      </c>
      <c r="L60" s="35" cm="1">
        <f t="array" ref="L60">Common_InputFunctions.Utility_DisplayArrayInTable(SourceData_PastureBeef.SourceData_PastureBeef_LiveweightNTQLD_Data(),Table_SourceData_PastureBeef_LiveweightNTQD[[#Headers],[State]], 0)</f>
        <v>444</v>
      </c>
      <c r="M60" s="35" cm="1">
        <f t="array" ref="M60">Common_InputFunctions.Utility_DisplayArrayInTable(SourceData_PastureBeef.SourceData_PastureBeef_LiveweightNTQLD_Data(),Table_SourceData_PastureBeef_LiveweightNTQD[[#Headers],[State]], 0)</f>
        <v>169</v>
      </c>
      <c r="N60" s="35" cm="1">
        <f t="array" ref="N60">Common_InputFunctions.Utility_DisplayArrayInTable(SourceData_PastureBeef.SourceData_PastureBeef_LiveweightNTQLD_Data(),Table_SourceData_PastureBeef_LiveweightNTQD[[#Headers],[State]], 0)</f>
        <v>282</v>
      </c>
      <c r="O60" s="35" t="str" cm="1">
        <f t="array" ref="O60">Common_InputFunctions.Utility_DisplayArrayInTable(SourceData_PastureBeef.SourceData_PastureBeef_LiveweightNTQLD_Data(),Table_SourceData_PastureBeef_LiveweightNTQD[[#Headers],[State]], 0)</f>
        <v>NO</v>
      </c>
      <c r="P60" s="35"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5" t="str" cm="1">
        <f t="array" ref="E61">Common_InputFunctions.Utility_DisplayArrayInTable(SourceData_PastureBeef.SourceData_PastureBeef_LiveweightNTQLD_Data(),Table_SourceData_PastureBeef_LiveweightNTQD[[#Headers],[State]], 0)</f>
        <v>Barkly</v>
      </c>
      <c r="F61" s="35" t="str" cm="1">
        <f t="array" ref="F61">Common_InputFunctions.Utility_DisplayArrayInTable(SourceData_PastureBeef.SourceData_PastureBeef_LiveweightNTQLD_Data(),Table_SourceData_PastureBeef_LiveweightNTQD[[#Headers],[State]], 0)</f>
        <v>Winter</v>
      </c>
      <c r="G61" s="35" cm="1">
        <f t="array" ref="G61">Common_InputFunctions.Utility_DisplayArrayInTable(SourceData_PastureBeef.SourceData_PastureBeef_LiveweightNTQLD_Data(),Table_SourceData_PastureBeef_LiveweightNTQD[[#Headers],[State]], 0)</f>
        <v>200</v>
      </c>
      <c r="H61" s="35" cm="1">
        <f t="array" ref="H61">Common_InputFunctions.Utility_DisplayArrayInTable(SourceData_PastureBeef.SourceData_PastureBeef_LiveweightNTQLD_Data(),Table_SourceData_PastureBeef_LiveweightNTQD[[#Headers],[State]], 0)</f>
        <v>660</v>
      </c>
      <c r="I61" s="35" cm="1">
        <f t="array" ref="I61">Common_InputFunctions.Utility_DisplayArrayInTable(SourceData_PastureBeef.SourceData_PastureBeef_LiveweightNTQLD_Data(),Table_SourceData_PastureBeef_LiveweightNTQD[[#Headers],[State]], 0)</f>
        <v>225</v>
      </c>
      <c r="J61" s="35" cm="1">
        <f t="array" ref="J61">Common_InputFunctions.Utility_DisplayArrayInTable(SourceData_PastureBeef.SourceData_PastureBeef_LiveweightNTQLD_Data(),Table_SourceData_PastureBeef_LiveweightNTQD[[#Headers],[State]], 0)</f>
        <v>307</v>
      </c>
      <c r="K61" s="35" cm="1">
        <f t="array" ref="K61">Common_InputFunctions.Utility_DisplayArrayInTable(SourceData_PastureBeef.SourceData_PastureBeef_LiveweightNTQLD_Data(),Table_SourceData_PastureBeef_LiveweightNTQD[[#Headers],[State]], 0)</f>
        <v>398</v>
      </c>
      <c r="L61" s="35" cm="1">
        <f t="array" ref="L61">Common_InputFunctions.Utility_DisplayArrayInTable(SourceData_PastureBeef.SourceData_PastureBeef_LiveweightNTQLD_Data(),Table_SourceData_PastureBeef_LiveweightNTQD[[#Headers],[State]], 0)</f>
        <v>452</v>
      </c>
      <c r="M61" s="35" cm="1">
        <f t="array" ref="M61">Common_InputFunctions.Utility_DisplayArrayInTable(SourceData_PastureBeef.SourceData_PastureBeef_LiveweightNTQLD_Data(),Table_SourceData_PastureBeef_LiveweightNTQD[[#Headers],[State]], 0)</f>
        <v>214</v>
      </c>
      <c r="N61" s="35" cm="1">
        <f t="array" ref="N61">Common_InputFunctions.Utility_DisplayArrayInTable(SourceData_PastureBeef.SourceData_PastureBeef_LiveweightNTQLD_Data(),Table_SourceData_PastureBeef_LiveweightNTQD[[#Headers],[State]], 0)</f>
        <v>326</v>
      </c>
      <c r="O61" s="35" t="str" cm="1">
        <f t="array" ref="O61">Common_InputFunctions.Utility_DisplayArrayInTable(SourceData_PastureBeef.SourceData_PastureBeef_LiveweightNTQLD_Data(),Table_SourceData_PastureBeef_LiveweightNTQD[[#Headers],[State]], 0)</f>
        <v>NO</v>
      </c>
      <c r="P61" s="35"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5" t="str" cm="1">
        <f t="array" ref="E62">Common_InputFunctions.Utility_DisplayArrayInTable(SourceData_PastureBeef.SourceData_PastureBeef_LiveweightNTQLD_Data(),Table_SourceData_PastureBeef_LiveweightNTQD[[#Headers],[State]], 0)</f>
        <v>Northern</v>
      </c>
      <c r="F62" s="35" t="str" cm="1">
        <f t="array" ref="F62">Common_InputFunctions.Utility_DisplayArrayInTable(SourceData_PastureBeef.SourceData_PastureBeef_LiveweightNTQLD_Data(),Table_SourceData_PastureBeef_LiveweightNTQD[[#Headers],[State]], 0)</f>
        <v>Spring</v>
      </c>
      <c r="G62" s="35" cm="1">
        <f t="array" ref="G62">Common_InputFunctions.Utility_DisplayArrayInTable(SourceData_PastureBeef.SourceData_PastureBeef_LiveweightNTQLD_Data(),Table_SourceData_PastureBeef_LiveweightNTQD[[#Headers],[State]], 0)</f>
        <v>220</v>
      </c>
      <c r="H62" s="35" cm="1">
        <f t="array" ref="H62">Common_InputFunctions.Utility_DisplayArrayInTable(SourceData_PastureBeef.SourceData_PastureBeef_LiveweightNTQLD_Data(),Table_SourceData_PastureBeef_LiveweightNTQD[[#Headers],[State]], 0)</f>
        <v>620</v>
      </c>
      <c r="I62" s="35" cm="1">
        <f t="array" ref="I62">Common_InputFunctions.Utility_DisplayArrayInTable(SourceData_PastureBeef.SourceData_PastureBeef_LiveweightNTQLD_Data(),Table_SourceData_PastureBeef_LiveweightNTQD[[#Headers],[State]], 0)</f>
        <v>177</v>
      </c>
      <c r="J62" s="35" cm="1">
        <f t="array" ref="J62">Common_InputFunctions.Utility_DisplayArrayInTable(SourceData_PastureBeef.SourceData_PastureBeef_LiveweightNTQLD_Data(),Table_SourceData_PastureBeef_LiveweightNTQD[[#Headers],[State]], 0)</f>
        <v>267</v>
      </c>
      <c r="K62" s="35" cm="1">
        <f t="array" ref="K62">Common_InputFunctions.Utility_DisplayArrayInTable(SourceData_PastureBeef.SourceData_PastureBeef_LiveweightNTQLD_Data(),Table_SourceData_PastureBeef_LiveweightNTQD[[#Headers],[State]], 0)</f>
        <v>365</v>
      </c>
      <c r="L62" s="35" cm="1">
        <f t="array" ref="L62">Common_InputFunctions.Utility_DisplayArrayInTable(SourceData_PastureBeef.SourceData_PastureBeef_LiveweightNTQLD_Data(),Table_SourceData_PastureBeef_LiveweightNTQD[[#Headers],[State]], 0)</f>
        <v>406</v>
      </c>
      <c r="M62" s="35" cm="1">
        <f t="array" ref="M62">Common_InputFunctions.Utility_DisplayArrayInTable(SourceData_PastureBeef.SourceData_PastureBeef_LiveweightNTQLD_Data(),Table_SourceData_PastureBeef_LiveweightNTQD[[#Headers],[State]], 0)</f>
        <v>231</v>
      </c>
      <c r="N62" s="35" cm="1">
        <f t="array" ref="N62">Common_InputFunctions.Utility_DisplayArrayInTable(SourceData_PastureBeef.SourceData_PastureBeef_LiveweightNTQLD_Data(),Table_SourceData_PastureBeef_LiveweightNTQD[[#Headers],[State]], 0)</f>
        <v>249</v>
      </c>
      <c r="O62" s="35" cm="1">
        <f t="array" ref="O62">Common_InputFunctions.Utility_DisplayArrayInTable(SourceData_PastureBeef.SourceData_PastureBeef_LiveweightNTQLD_Data(),Table_SourceData_PastureBeef_LiveweightNTQD[[#Headers],[State]], 0)</f>
        <v>324</v>
      </c>
      <c r="P62" s="35"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5" t="str" cm="1">
        <f t="array" ref="E63">Common_InputFunctions.Utility_DisplayArrayInTable(SourceData_PastureBeef.SourceData_PastureBeef_LiveweightNTQLD_Data(),Table_SourceData_PastureBeef_LiveweightNTQD[[#Headers],[State]], 0)</f>
        <v>Northern</v>
      </c>
      <c r="F63" s="35" t="str" cm="1">
        <f t="array" ref="F63">Common_InputFunctions.Utility_DisplayArrayInTable(SourceData_PastureBeef.SourceData_PastureBeef_LiveweightNTQLD_Data(),Table_SourceData_PastureBeef_LiveweightNTQD[[#Headers],[State]], 0)</f>
        <v>Summer</v>
      </c>
      <c r="G63" s="35" cm="1">
        <f t="array" ref="G63">Common_InputFunctions.Utility_DisplayArrayInTable(SourceData_PastureBeef.SourceData_PastureBeef_LiveweightNTQLD_Data(),Table_SourceData_PastureBeef_LiveweightNTQD[[#Headers],[State]], 0)</f>
        <v>110</v>
      </c>
      <c r="H63" s="35" cm="1">
        <f t="array" ref="H63">Common_InputFunctions.Utility_DisplayArrayInTable(SourceData_PastureBeef.SourceData_PastureBeef_LiveweightNTQLD_Data(),Table_SourceData_PastureBeef_LiveweightNTQD[[#Headers],[State]], 0)</f>
        <v>650</v>
      </c>
      <c r="I63" s="35" cm="1">
        <f t="array" ref="I63">Common_InputFunctions.Utility_DisplayArrayInTable(SourceData_PastureBeef.SourceData_PastureBeef_LiveweightNTQLD_Data(),Table_SourceData_PastureBeef_LiveweightNTQD[[#Headers],[State]], 0)</f>
        <v>102</v>
      </c>
      <c r="J63" s="35" cm="1">
        <f t="array" ref="J63">Common_InputFunctions.Utility_DisplayArrayInTable(SourceData_PastureBeef.SourceData_PastureBeef_LiveweightNTQLD_Data(),Table_SourceData_PastureBeef_LiveweightNTQD[[#Headers],[State]], 0)</f>
        <v>203</v>
      </c>
      <c r="K63" s="35" cm="1">
        <f t="array" ref="K63">Common_InputFunctions.Utility_DisplayArrayInTable(SourceData_PastureBeef.SourceData_PastureBeef_LiveweightNTQLD_Data(),Table_SourceData_PastureBeef_LiveweightNTQD[[#Headers],[State]], 0)</f>
        <v>299</v>
      </c>
      <c r="L63" s="35" cm="1">
        <f t="array" ref="L63">Common_InputFunctions.Utility_DisplayArrayInTable(SourceData_PastureBeef.SourceData_PastureBeef_LiveweightNTQLD_Data(),Table_SourceData_PastureBeef_LiveweightNTQD[[#Headers],[State]], 0)</f>
        <v>380</v>
      </c>
      <c r="M63" s="35" cm="1">
        <f t="array" ref="M63">Common_InputFunctions.Utility_DisplayArrayInTable(SourceData_PastureBeef.SourceData_PastureBeef_LiveweightNTQLD_Data(),Table_SourceData_PastureBeef_LiveweightNTQD[[#Headers],[State]], 0)</f>
        <v>102</v>
      </c>
      <c r="N63" s="35" cm="1">
        <f t="array" ref="N63">Common_InputFunctions.Utility_DisplayArrayInTable(SourceData_PastureBeef.SourceData_PastureBeef_LiveweightNTQLD_Data(),Table_SourceData_PastureBeef_LiveweightNTQD[[#Headers],[State]], 0)</f>
        <v>218</v>
      </c>
      <c r="O63" s="35" cm="1">
        <f t="array" ref="O63">Common_InputFunctions.Utility_DisplayArrayInTable(SourceData_PastureBeef.SourceData_PastureBeef_LiveweightNTQLD_Data(),Table_SourceData_PastureBeef_LiveweightNTQD[[#Headers],[State]], 0)</f>
        <v>263</v>
      </c>
      <c r="P63" s="35"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5" t="str" cm="1">
        <f t="array" ref="E64">Common_InputFunctions.Utility_DisplayArrayInTable(SourceData_PastureBeef.SourceData_PastureBeef_LiveweightNTQLD_Data(),Table_SourceData_PastureBeef_LiveweightNTQD[[#Headers],[State]], 0)</f>
        <v>Northern</v>
      </c>
      <c r="F64" s="35" t="str" cm="1">
        <f t="array" ref="F64">Common_InputFunctions.Utility_DisplayArrayInTable(SourceData_PastureBeef.SourceData_PastureBeef_LiveweightNTQLD_Data(),Table_SourceData_PastureBeef_LiveweightNTQD[[#Headers],[State]], 0)</f>
        <v>Autumn</v>
      </c>
      <c r="G64" s="35" cm="1">
        <f t="array" ref="G64">Common_InputFunctions.Utility_DisplayArrayInTable(SourceData_PastureBeef.SourceData_PastureBeef_LiveweightNTQLD_Data(),Table_SourceData_PastureBeef_LiveweightNTQD[[#Headers],[State]], 0)</f>
        <v>170</v>
      </c>
      <c r="H64" s="35" cm="1">
        <f t="array" ref="H64">Common_InputFunctions.Utility_DisplayArrayInTable(SourceData_PastureBeef.SourceData_PastureBeef_LiveweightNTQLD_Data(),Table_SourceData_PastureBeef_LiveweightNTQD[[#Headers],[State]], 0)</f>
        <v>670</v>
      </c>
      <c r="I64" s="35" cm="1">
        <f t="array" ref="I64">Common_InputFunctions.Utility_DisplayArrayInTable(SourceData_PastureBeef.SourceData_PastureBeef_LiveweightNTQLD_Data(),Table_SourceData_PastureBeef_LiveweightNTQD[[#Headers],[State]], 0)</f>
        <v>173</v>
      </c>
      <c r="J64" s="35" cm="1">
        <f t="array" ref="J64">Common_InputFunctions.Utility_DisplayArrayInTable(SourceData_PastureBeef.SourceData_PastureBeef_LiveweightNTQLD_Data(),Table_SourceData_PastureBeef_LiveweightNTQD[[#Headers],[State]], 0)</f>
        <v>250</v>
      </c>
      <c r="K64" s="35" cm="1">
        <f t="array" ref="K64">Common_InputFunctions.Utility_DisplayArrayInTable(SourceData_PastureBeef.SourceData_PastureBeef_LiveweightNTQLD_Data(),Table_SourceData_PastureBeef_LiveweightNTQD[[#Headers],[State]], 0)</f>
        <v>336</v>
      </c>
      <c r="L64" s="35" cm="1">
        <f t="array" ref="L64">Common_InputFunctions.Utility_DisplayArrayInTable(SourceData_PastureBeef.SourceData_PastureBeef_LiveweightNTQLD_Data(),Table_SourceData_PastureBeef_LiveweightNTQD[[#Headers],[State]], 0)</f>
        <v>414</v>
      </c>
      <c r="M64" s="35" cm="1">
        <f t="array" ref="M64">Common_InputFunctions.Utility_DisplayArrayInTable(SourceData_PastureBeef.SourceData_PastureBeef_LiveweightNTQLD_Data(),Table_SourceData_PastureBeef_LiveweightNTQD[[#Headers],[State]], 0)</f>
        <v>175</v>
      </c>
      <c r="N64" s="35" cm="1">
        <f t="array" ref="N64">Common_InputFunctions.Utility_DisplayArrayInTable(SourceData_PastureBeef.SourceData_PastureBeef_LiveweightNTQLD_Data(),Table_SourceData_PastureBeef_LiveweightNTQD[[#Headers],[State]], 0)</f>
        <v>243</v>
      </c>
      <c r="O64" s="35" cm="1">
        <f t="array" ref="O64">Common_InputFunctions.Utility_DisplayArrayInTable(SourceData_PastureBeef.SourceData_PastureBeef_LiveweightNTQLD_Data(),Table_SourceData_PastureBeef_LiveweightNTQD[[#Headers],[State]], 0)</f>
        <v>304</v>
      </c>
      <c r="P64" s="35"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5" t="str" cm="1">
        <f t="array" ref="E65">Common_InputFunctions.Utility_DisplayArrayInTable(SourceData_PastureBeef.SourceData_PastureBeef_LiveweightNTQLD_Data(),Table_SourceData_PastureBeef_LiveweightNTQD[[#Headers],[State]], 0)</f>
        <v>Northern</v>
      </c>
      <c r="F65" s="35" t="str" cm="1">
        <f t="array" ref="F65">Common_InputFunctions.Utility_DisplayArrayInTable(SourceData_PastureBeef.SourceData_PastureBeef_LiveweightNTQLD_Data(),Table_SourceData_PastureBeef_LiveweightNTQD[[#Headers],[State]], 0)</f>
        <v>Winter</v>
      </c>
      <c r="G65" s="35" cm="1">
        <f t="array" ref="G65">Common_InputFunctions.Utility_DisplayArrayInTable(SourceData_PastureBeef.SourceData_PastureBeef_LiveweightNTQLD_Data(),Table_SourceData_PastureBeef_LiveweightNTQD[[#Headers],[State]], 0)</f>
        <v>200</v>
      </c>
      <c r="H65" s="35" cm="1">
        <f t="array" ref="H65">Common_InputFunctions.Utility_DisplayArrayInTable(SourceData_PastureBeef.SourceData_PastureBeef_LiveweightNTQLD_Data(),Table_SourceData_PastureBeef_LiveweightNTQD[[#Headers],[State]], 0)</f>
        <v>660</v>
      </c>
      <c r="I65" s="35" cm="1">
        <f t="array" ref="I65">Common_InputFunctions.Utility_DisplayArrayInTable(SourceData_PastureBeef.SourceData_PastureBeef_LiveweightNTQLD_Data(),Table_SourceData_PastureBeef_LiveweightNTQD[[#Headers],[State]], 0)</f>
        <v>202</v>
      </c>
      <c r="J65" s="35" cm="1">
        <f t="array" ref="J65">Common_InputFunctions.Utility_DisplayArrayInTable(SourceData_PastureBeef.SourceData_PastureBeef_LiveweightNTQLD_Data(),Table_SourceData_PastureBeef_LiveweightNTQD[[#Headers],[State]], 0)</f>
        <v>272</v>
      </c>
      <c r="K65" s="35" cm="1">
        <f t="array" ref="K65">Common_InputFunctions.Utility_DisplayArrayInTable(SourceData_PastureBeef.SourceData_PastureBeef_LiveweightNTQLD_Data(),Table_SourceData_PastureBeef_LiveweightNTQD[[#Headers],[State]], 0)</f>
        <v>365</v>
      </c>
      <c r="L65" s="35" cm="1">
        <f t="array" ref="L65">Common_InputFunctions.Utility_DisplayArrayInTable(SourceData_PastureBeef.SourceData_PastureBeef_LiveweightNTQLD_Data(),Table_SourceData_PastureBeef_LiveweightNTQD[[#Headers],[State]], 0)</f>
        <v>390</v>
      </c>
      <c r="M65" s="35" cm="1">
        <f t="array" ref="M65">Common_InputFunctions.Utility_DisplayArrayInTable(SourceData_PastureBeef.SourceData_PastureBeef_LiveweightNTQLD_Data(),Table_SourceData_PastureBeef_LiveweightNTQD[[#Headers],[State]], 0)</f>
        <v>208</v>
      </c>
      <c r="N65" s="35" cm="1">
        <f t="array" ref="N65">Common_InputFunctions.Utility_DisplayArrayInTable(SourceData_PastureBeef.SourceData_PastureBeef_LiveweightNTQLD_Data(),Table_SourceData_PastureBeef_LiveweightNTQD[[#Headers],[State]], 0)</f>
        <v>260</v>
      </c>
      <c r="O65" s="35" cm="1">
        <f t="array" ref="O65">Common_InputFunctions.Utility_DisplayArrayInTable(SourceData_PastureBeef.SourceData_PastureBeef_LiveweightNTQLD_Data(),Table_SourceData_PastureBeef_LiveweightNTQD[[#Headers],[State]], 0)</f>
        <v>337</v>
      </c>
      <c r="P65" s="35"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5" t="str" cm="1">
        <f t="array" ref="E66">Common_InputFunctions.Utility_DisplayArrayInTable(SourceData_PastureBeef.SourceData_PastureBeef_LiveweightNTQLD_Data(),Table_SourceData_PastureBeef_LiveweightNTQD[[#Headers],[State]], 0)</f>
        <v>High</v>
      </c>
      <c r="F66" s="35" t="str" cm="1">
        <f t="array" ref="F66">Common_InputFunctions.Utility_DisplayArrayInTable(SourceData_PastureBeef.SourceData_PastureBeef_LiveweightNTQLD_Data(),Table_SourceData_PastureBeef_LiveweightNTQD[[#Headers],[State]], 0)</f>
        <v>Spring</v>
      </c>
      <c r="G66" s="35" cm="1">
        <f t="array" ref="G66">Common_InputFunctions.Utility_DisplayArrayInTable(SourceData_PastureBeef.SourceData_PastureBeef_LiveweightNTQLD_Data(),Table_SourceData_PastureBeef_LiveweightNTQD[[#Headers],[State]], 0)</f>
        <v>260</v>
      </c>
      <c r="H66" s="35" cm="1">
        <f t="array" ref="H66">Common_InputFunctions.Utility_DisplayArrayInTable(SourceData_PastureBeef.SourceData_PastureBeef_LiveweightNTQLD_Data(),Table_SourceData_PastureBeef_LiveweightNTQD[[#Headers],[State]], 0)</f>
        <v>705</v>
      </c>
      <c r="I66" s="35" cm="1">
        <f t="array" ref="I66">Common_InputFunctions.Utility_DisplayArrayInTable(SourceData_PastureBeef.SourceData_PastureBeef_LiveweightNTQLD_Data(),Table_SourceData_PastureBeef_LiveweightNTQD[[#Headers],[State]], 0)</f>
        <v>215</v>
      </c>
      <c r="J66" s="35" cm="1">
        <f t="array" ref="J66">Common_InputFunctions.Utility_DisplayArrayInTable(SourceData_PastureBeef.SourceData_PastureBeef_LiveweightNTQLD_Data(),Table_SourceData_PastureBeef_LiveweightNTQD[[#Headers],[State]], 0)</f>
        <v>302</v>
      </c>
      <c r="K66" s="35" cm="1">
        <f t="array" ref="K66">Common_InputFunctions.Utility_DisplayArrayInTable(SourceData_PastureBeef.SourceData_PastureBeef_LiveweightNTQLD_Data(),Table_SourceData_PastureBeef_LiveweightNTQD[[#Headers],[State]], 0)</f>
        <v>416</v>
      </c>
      <c r="L66" s="35" cm="1">
        <f t="array" ref="L66">Common_InputFunctions.Utility_DisplayArrayInTable(SourceData_PastureBeef.SourceData_PastureBeef_LiveweightNTQLD_Data(),Table_SourceData_PastureBeef_LiveweightNTQD[[#Headers],[State]], 0)</f>
        <v>519</v>
      </c>
      <c r="M66" s="35" cm="1">
        <f t="array" ref="M66">Common_InputFunctions.Utility_DisplayArrayInTable(SourceData_PastureBeef.SourceData_PastureBeef_LiveweightNTQLD_Data(),Table_SourceData_PastureBeef_LiveweightNTQD[[#Headers],[State]], 0)</f>
        <v>234</v>
      </c>
      <c r="N66" s="35" cm="1">
        <f t="array" ref="N66">Common_InputFunctions.Utility_DisplayArrayInTable(SourceData_PastureBeef.SourceData_PastureBeef_LiveweightNTQLD_Data(),Table_SourceData_PastureBeef_LiveweightNTQD[[#Headers],[State]], 0)</f>
        <v>455</v>
      </c>
      <c r="O66" s="35" cm="1">
        <f t="array" ref="O66">Common_InputFunctions.Utility_DisplayArrayInTable(SourceData_PastureBeef.SourceData_PastureBeef_LiveweightNTQLD_Data(),Table_SourceData_PastureBeef_LiveweightNTQD[[#Headers],[State]], 0)</f>
        <v>551</v>
      </c>
      <c r="P66" s="35"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5" t="str" cm="1">
        <f t="array" ref="E67">Common_InputFunctions.Utility_DisplayArrayInTable(SourceData_PastureBeef.SourceData_PastureBeef_LiveweightNTQLD_Data(),Table_SourceData_PastureBeef_LiveweightNTQD[[#Headers],[State]], 0)</f>
        <v>High</v>
      </c>
      <c r="F67" s="35" t="str" cm="1">
        <f t="array" ref="F67">Common_InputFunctions.Utility_DisplayArrayInTable(SourceData_PastureBeef.SourceData_PastureBeef_LiveweightNTQLD_Data(),Table_SourceData_PastureBeef_LiveweightNTQD[[#Headers],[State]], 0)</f>
        <v>Summer</v>
      </c>
      <c r="G67" s="35" cm="1">
        <f t="array" ref="G67">Common_InputFunctions.Utility_DisplayArrayInTable(SourceData_PastureBeef.SourceData_PastureBeef_LiveweightNTQLD_Data(),Table_SourceData_PastureBeef_LiveweightNTQD[[#Headers],[State]], 0)</f>
        <v>153</v>
      </c>
      <c r="H67" s="35" cm="1">
        <f t="array" ref="H67">Common_InputFunctions.Utility_DisplayArrayInTable(SourceData_PastureBeef.SourceData_PastureBeef_LiveweightNTQLD_Data(),Table_SourceData_PastureBeef_LiveweightNTQD[[#Headers],[State]], 0)</f>
        <v>703</v>
      </c>
      <c r="I67" s="35" cm="1">
        <f t="array" ref="I67">Common_InputFunctions.Utility_DisplayArrayInTable(SourceData_PastureBeef.SourceData_PastureBeef_LiveweightNTQLD_Data(),Table_SourceData_PastureBeef_LiveweightNTQD[[#Headers],[State]], 0)</f>
        <v>118</v>
      </c>
      <c r="J67" s="35" cm="1">
        <f t="array" ref="J67">Common_InputFunctions.Utility_DisplayArrayInTable(SourceData_PastureBeef.SourceData_PastureBeef_LiveweightNTQLD_Data(),Table_SourceData_PastureBeef_LiveweightNTQD[[#Headers],[State]], 0)</f>
        <v>277</v>
      </c>
      <c r="K67" s="35" cm="1">
        <f t="array" ref="K67">Common_InputFunctions.Utility_DisplayArrayInTable(SourceData_PastureBeef.SourceData_PastureBeef_LiveweightNTQLD_Data(),Table_SourceData_PastureBeef_LiveweightNTQD[[#Headers],[State]], 0)</f>
        <v>397</v>
      </c>
      <c r="L67" s="35" cm="1">
        <f t="array" ref="L67">Common_InputFunctions.Utility_DisplayArrayInTable(SourceData_PastureBeef.SourceData_PastureBeef_LiveweightNTQLD_Data(),Table_SourceData_PastureBeef_LiveweightNTQD[[#Headers],[State]], 0)</f>
        <v>483</v>
      </c>
      <c r="M67" s="35" cm="1">
        <f t="array" ref="M67">Common_InputFunctions.Utility_DisplayArrayInTable(SourceData_PastureBeef.SourceData_PastureBeef_LiveweightNTQLD_Data(),Table_SourceData_PastureBeef_LiveweightNTQD[[#Headers],[State]], 0)</f>
        <v>111</v>
      </c>
      <c r="N67" s="35" cm="1">
        <f t="array" ref="N67">Common_InputFunctions.Utility_DisplayArrayInTable(SourceData_PastureBeef.SourceData_PastureBeef_LiveweightNTQLD_Data(),Table_SourceData_PastureBeef_LiveweightNTQD[[#Headers],[State]], 0)</f>
        <v>304</v>
      </c>
      <c r="O67" s="35" cm="1">
        <f t="array" ref="O67">Common_InputFunctions.Utility_DisplayArrayInTable(SourceData_PastureBeef.SourceData_PastureBeef_LiveweightNTQLD_Data(),Table_SourceData_PastureBeef_LiveweightNTQD[[#Headers],[State]], 0)</f>
        <v>521</v>
      </c>
      <c r="P67" s="35"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5" t="str" cm="1">
        <f t="array" ref="E68">Common_InputFunctions.Utility_DisplayArrayInTable(SourceData_PastureBeef.SourceData_PastureBeef_LiveweightNTQLD_Data(),Table_SourceData_PastureBeef_LiveweightNTQD[[#Headers],[State]], 0)</f>
        <v>High</v>
      </c>
      <c r="F68" s="35" t="str" cm="1">
        <f t="array" ref="F68">Common_InputFunctions.Utility_DisplayArrayInTable(SourceData_PastureBeef.SourceData_PastureBeef_LiveweightNTQLD_Data(),Table_SourceData_PastureBeef_LiveweightNTQD[[#Headers],[State]], 0)</f>
        <v>Autumn</v>
      </c>
      <c r="G68" s="35" cm="1">
        <f t="array" ref="G68">Common_InputFunctions.Utility_DisplayArrayInTable(SourceData_PastureBeef.SourceData_PastureBeef_LiveweightNTQLD_Data(),Table_SourceData_PastureBeef_LiveweightNTQD[[#Headers],[State]], 0)</f>
        <v>168</v>
      </c>
      <c r="H68" s="35" cm="1">
        <f t="array" ref="H68">Common_InputFunctions.Utility_DisplayArrayInTable(SourceData_PastureBeef.SourceData_PastureBeef_LiveweightNTQLD_Data(),Table_SourceData_PastureBeef_LiveweightNTQD[[#Headers],[State]], 0)</f>
        <v>718</v>
      </c>
      <c r="I68" s="35" cm="1">
        <f t="array" ref="I68">Common_InputFunctions.Utility_DisplayArrayInTable(SourceData_PastureBeef.SourceData_PastureBeef_LiveweightNTQLD_Data(),Table_SourceData_PastureBeef_LiveweightNTQD[[#Headers],[State]], 0)</f>
        <v>191</v>
      </c>
      <c r="J68" s="35" cm="1">
        <f t="array" ref="J68">Common_InputFunctions.Utility_DisplayArrayInTable(SourceData_PastureBeef.SourceData_PastureBeef_LiveweightNTQLD_Data(),Table_SourceData_PastureBeef_LiveweightNTQD[[#Headers],[State]], 0)</f>
        <v>319</v>
      </c>
      <c r="K68" s="35" cm="1">
        <f t="array" ref="K68">Common_InputFunctions.Utility_DisplayArrayInTable(SourceData_PastureBeef.SourceData_PastureBeef_LiveweightNTQLD_Data(),Table_SourceData_PastureBeef_LiveweightNTQD[[#Headers],[State]], 0)</f>
        <v>440</v>
      </c>
      <c r="L68" s="35" cm="1">
        <f t="array" ref="L68">Common_InputFunctions.Utility_DisplayArrayInTable(SourceData_PastureBeef.SourceData_PastureBeef_LiveweightNTQLD_Data(),Table_SourceData_PastureBeef_LiveweightNTQD[[#Headers],[State]], 0)</f>
        <v>506</v>
      </c>
      <c r="M68" s="35" cm="1">
        <f t="array" ref="M68">Common_InputFunctions.Utility_DisplayArrayInTable(SourceData_PastureBeef.SourceData_PastureBeef_LiveweightNTQLD_Data(),Table_SourceData_PastureBeef_LiveweightNTQD[[#Headers],[State]], 0)</f>
        <v>188</v>
      </c>
      <c r="N68" s="35" cm="1">
        <f t="array" ref="N68">Common_InputFunctions.Utility_DisplayArrayInTable(SourceData_PastureBeef.SourceData_PastureBeef_LiveweightNTQLD_Data(),Table_SourceData_PastureBeef_LiveweightNTQD[[#Headers],[State]], 0)</f>
        <v>326</v>
      </c>
      <c r="O68" s="35" cm="1">
        <f t="array" ref="O68">Common_InputFunctions.Utility_DisplayArrayInTable(SourceData_PastureBeef.SourceData_PastureBeef_LiveweightNTQLD_Data(),Table_SourceData_PastureBeef_LiveweightNTQD[[#Headers],[State]], 0)</f>
        <v>520</v>
      </c>
      <c r="P68" s="35"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5" t="str" cm="1">
        <f t="array" ref="E69">Common_InputFunctions.Utility_DisplayArrayInTable(SourceData_PastureBeef.SourceData_PastureBeef_LiveweightNTQLD_Data(),Table_SourceData_PastureBeef_LiveweightNTQD[[#Headers],[State]], 0)</f>
        <v>High</v>
      </c>
      <c r="F69" s="35" t="str" cm="1">
        <f t="array" ref="F69">Common_InputFunctions.Utility_DisplayArrayInTable(SourceData_PastureBeef.SourceData_PastureBeef_LiveweightNTQLD_Data(),Table_SourceData_PastureBeef_LiveweightNTQD[[#Headers],[State]], 0)</f>
        <v>Winter</v>
      </c>
      <c r="G69" s="35" cm="1">
        <f t="array" ref="G69">Common_InputFunctions.Utility_DisplayArrayInTable(SourceData_PastureBeef.SourceData_PastureBeef_LiveweightNTQLD_Data(),Table_SourceData_PastureBeef_LiveweightNTQD[[#Headers],[State]], 0)</f>
        <v>235</v>
      </c>
      <c r="H69" s="35" cm="1">
        <f t="array" ref="H69">Common_InputFunctions.Utility_DisplayArrayInTable(SourceData_PastureBeef.SourceData_PastureBeef_LiveweightNTQLD_Data(),Table_SourceData_PastureBeef_LiveweightNTQD[[#Headers],[State]], 0)</f>
        <v>722</v>
      </c>
      <c r="I69" s="35" cm="1">
        <f t="array" ref="I69">Common_InputFunctions.Utility_DisplayArrayInTable(SourceData_PastureBeef.SourceData_PastureBeef_LiveweightNTQLD_Data(),Table_SourceData_PastureBeef_LiveweightNTQD[[#Headers],[State]], 0)</f>
        <v>207</v>
      </c>
      <c r="J69" s="35" cm="1">
        <f t="array" ref="J69">Common_InputFunctions.Utility_DisplayArrayInTable(SourceData_PastureBeef.SourceData_PastureBeef_LiveweightNTQLD_Data(),Table_SourceData_PastureBeef_LiveweightNTQD[[#Headers],[State]], 0)</f>
        <v>352</v>
      </c>
      <c r="K69" s="35" cm="1">
        <f t="array" ref="K69">Common_InputFunctions.Utility_DisplayArrayInTable(SourceData_PastureBeef.SourceData_PastureBeef_LiveweightNTQLD_Data(),Table_SourceData_PastureBeef_LiveweightNTQD[[#Headers],[State]], 0)</f>
        <v>470</v>
      </c>
      <c r="L69" s="35" cm="1">
        <f t="array" ref="L69">Common_InputFunctions.Utility_DisplayArrayInTable(SourceData_PastureBeef.SourceData_PastureBeef_LiveweightNTQLD_Data(),Table_SourceData_PastureBeef_LiveweightNTQD[[#Headers],[State]], 0)</f>
        <v>514</v>
      </c>
      <c r="M69" s="35" cm="1">
        <f t="array" ref="M69">Common_InputFunctions.Utility_DisplayArrayInTable(SourceData_PastureBeef.SourceData_PastureBeef_LiveweightNTQLD_Data(),Table_SourceData_PastureBeef_LiveweightNTQD[[#Headers],[State]], 0)</f>
        <v>209</v>
      </c>
      <c r="N69" s="35" cm="1">
        <f t="array" ref="N69">Common_InputFunctions.Utility_DisplayArrayInTable(SourceData_PastureBeef.SourceData_PastureBeef_LiveweightNTQLD_Data(),Table_SourceData_PastureBeef_LiveweightNTQD[[#Headers],[State]], 0)</f>
        <v>421</v>
      </c>
      <c r="O69" s="35" cm="1">
        <f t="array" ref="O69">Common_InputFunctions.Utility_DisplayArrayInTable(SourceData_PastureBeef.SourceData_PastureBeef_LiveweightNTQLD_Data(),Table_SourceData_PastureBeef_LiveweightNTQD[[#Headers],[State]], 0)</f>
        <v>512</v>
      </c>
      <c r="P69" s="35"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5" t="str" cm="1">
        <f t="array" ref="E70">Common_InputFunctions.Utility_DisplayArrayInTable(SourceData_PastureBeef.SourceData_PastureBeef_LiveweightNTQLD_Data(),Table_SourceData_PastureBeef_LiveweightNTQD[[#Headers],[State]], 0)</f>
        <v>Moderate/High</v>
      </c>
      <c r="F70" s="35" t="str" cm="1">
        <f t="array" ref="F70">Common_InputFunctions.Utility_DisplayArrayInTable(SourceData_PastureBeef.SourceData_PastureBeef_LiveweightNTQLD_Data(),Table_SourceData_PastureBeef_LiveweightNTQD[[#Headers],[State]], 0)</f>
        <v>Spring</v>
      </c>
      <c r="G70" s="35" cm="1">
        <f t="array" ref="G70">Common_InputFunctions.Utility_DisplayArrayInTable(SourceData_PastureBeef.SourceData_PastureBeef_LiveweightNTQLD_Data(),Table_SourceData_PastureBeef_LiveweightNTQD[[#Headers],[State]], 0)</f>
        <v>230</v>
      </c>
      <c r="H70" s="35" cm="1">
        <f t="array" ref="H70">Common_InputFunctions.Utility_DisplayArrayInTable(SourceData_PastureBeef.SourceData_PastureBeef_LiveweightNTQLD_Data(),Table_SourceData_PastureBeef_LiveweightNTQD[[#Headers],[State]], 0)</f>
        <v>674</v>
      </c>
      <c r="I70" s="35" cm="1">
        <f t="array" ref="I70">Common_InputFunctions.Utility_DisplayArrayInTable(SourceData_PastureBeef.SourceData_PastureBeef_LiveweightNTQLD_Data(),Table_SourceData_PastureBeef_LiveweightNTQD[[#Headers],[State]], 0)</f>
        <v>217</v>
      </c>
      <c r="J70" s="35" cm="1">
        <f t="array" ref="J70">Common_InputFunctions.Utility_DisplayArrayInTable(SourceData_PastureBeef.SourceData_PastureBeef_LiveweightNTQLD_Data(),Table_SourceData_PastureBeef_LiveweightNTQD[[#Headers],[State]], 0)</f>
        <v>344</v>
      </c>
      <c r="K70" s="35" cm="1">
        <f t="array" ref="K70">Common_InputFunctions.Utility_DisplayArrayInTable(SourceData_PastureBeef.SourceData_PastureBeef_LiveweightNTQLD_Data(),Table_SourceData_PastureBeef_LiveweightNTQD[[#Headers],[State]], 0)</f>
        <v>357</v>
      </c>
      <c r="L70" s="35" cm="1">
        <f t="array" ref="L70">Common_InputFunctions.Utility_DisplayArrayInTable(SourceData_PastureBeef.SourceData_PastureBeef_LiveweightNTQLD_Data(),Table_SourceData_PastureBeef_LiveweightNTQD[[#Headers],[State]], 0)</f>
        <v>467</v>
      </c>
      <c r="M70" s="35" cm="1">
        <f t="array" ref="M70">Common_InputFunctions.Utility_DisplayArrayInTable(SourceData_PastureBeef.SourceData_PastureBeef_LiveweightNTQLD_Data(),Table_SourceData_PastureBeef_LiveweightNTQD[[#Headers],[State]], 0)</f>
        <v>242</v>
      </c>
      <c r="N70" s="35" cm="1">
        <f t="array" ref="N70">Common_InputFunctions.Utility_DisplayArrayInTable(SourceData_PastureBeef.SourceData_PastureBeef_LiveweightNTQLD_Data(),Table_SourceData_PastureBeef_LiveweightNTQD[[#Headers],[State]], 0)</f>
        <v>370</v>
      </c>
      <c r="O70" s="35" cm="1">
        <f t="array" ref="O70">Common_InputFunctions.Utility_DisplayArrayInTable(SourceData_PastureBeef.SourceData_PastureBeef_LiveweightNTQLD_Data(),Table_SourceData_PastureBeef_LiveweightNTQD[[#Headers],[State]], 0)</f>
        <v>550</v>
      </c>
      <c r="P70" s="35"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5" t="str" cm="1">
        <f t="array" ref="E71">Common_InputFunctions.Utility_DisplayArrayInTable(SourceData_PastureBeef.SourceData_PastureBeef_LiveweightNTQLD_Data(),Table_SourceData_PastureBeef_LiveweightNTQD[[#Headers],[State]], 0)</f>
        <v>Moderate/High</v>
      </c>
      <c r="F71" s="35" t="str" cm="1">
        <f t="array" ref="F71">Common_InputFunctions.Utility_DisplayArrayInTable(SourceData_PastureBeef.SourceData_PastureBeef_LiveweightNTQLD_Data(),Table_SourceData_PastureBeef_LiveweightNTQD[[#Headers],[State]], 0)</f>
        <v>Summer</v>
      </c>
      <c r="G71" s="35" cm="1">
        <f t="array" ref="G71">Common_InputFunctions.Utility_DisplayArrayInTable(SourceData_PastureBeef.SourceData_PastureBeef_LiveweightNTQLD_Data(),Table_SourceData_PastureBeef_LiveweightNTQD[[#Headers],[State]], 0)</f>
        <v>113</v>
      </c>
      <c r="H71" s="35" cm="1">
        <f t="array" ref="H71">Common_InputFunctions.Utility_DisplayArrayInTable(SourceData_PastureBeef.SourceData_PastureBeef_LiveweightNTQLD_Data(),Table_SourceData_PastureBeef_LiveweightNTQD[[#Headers],[State]], 0)</f>
        <v>669</v>
      </c>
      <c r="I71" s="35" cm="1">
        <f t="array" ref="I71">Common_InputFunctions.Utility_DisplayArrayInTable(SourceData_PastureBeef.SourceData_PastureBeef_LiveweightNTQLD_Data(),Table_SourceData_PastureBeef_LiveweightNTQD[[#Headers],[State]], 0)</f>
        <v>113</v>
      </c>
      <c r="J71" s="35" cm="1">
        <f t="array" ref="J71">Common_InputFunctions.Utility_DisplayArrayInTable(SourceData_PastureBeef.SourceData_PastureBeef_LiveweightNTQLD_Data(),Table_SourceData_PastureBeef_LiveweightNTQD[[#Headers],[State]], 0)</f>
        <v>283</v>
      </c>
      <c r="K71" s="35" cm="1">
        <f t="array" ref="K71">Common_InputFunctions.Utility_DisplayArrayInTable(SourceData_PastureBeef.SourceData_PastureBeef_LiveweightNTQLD_Data(),Table_SourceData_PastureBeef_LiveweightNTQD[[#Headers],[State]], 0)</f>
        <v>361</v>
      </c>
      <c r="L71" s="35" cm="1">
        <f t="array" ref="L71">Common_InputFunctions.Utility_DisplayArrayInTable(SourceData_PastureBeef.SourceData_PastureBeef_LiveweightNTQLD_Data(),Table_SourceData_PastureBeef_LiveweightNTQD[[#Headers],[State]], 0)</f>
        <v>477</v>
      </c>
      <c r="M71" s="35" cm="1">
        <f t="array" ref="M71">Common_InputFunctions.Utility_DisplayArrayInTable(SourceData_PastureBeef.SourceData_PastureBeef_LiveweightNTQLD_Data(),Table_SourceData_PastureBeef_LiveweightNTQD[[#Headers],[State]], 0)</f>
        <v>120</v>
      </c>
      <c r="N71" s="35" cm="1">
        <f t="array" ref="N71">Common_InputFunctions.Utility_DisplayArrayInTable(SourceData_PastureBeef.SourceData_PastureBeef_LiveweightNTQLD_Data(),Table_SourceData_PastureBeef_LiveweightNTQD[[#Headers],[State]], 0)</f>
        <v>273</v>
      </c>
      <c r="O71" s="35" cm="1">
        <f t="array" ref="O71">Common_InputFunctions.Utility_DisplayArrayInTable(SourceData_PastureBeef.SourceData_PastureBeef_LiveweightNTQLD_Data(),Table_SourceData_PastureBeef_LiveweightNTQD[[#Headers],[State]], 0)</f>
        <v>545</v>
      </c>
      <c r="P71" s="35"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5" t="str" cm="1">
        <f t="array" ref="E72">Common_InputFunctions.Utility_DisplayArrayInTable(SourceData_PastureBeef.SourceData_PastureBeef_LiveweightNTQLD_Data(),Table_SourceData_PastureBeef_LiveweightNTQD[[#Headers],[State]], 0)</f>
        <v>Moderate/High</v>
      </c>
      <c r="F72" s="35" t="str" cm="1">
        <f t="array" ref="F72">Common_InputFunctions.Utility_DisplayArrayInTable(SourceData_PastureBeef.SourceData_PastureBeef_LiveweightNTQLD_Data(),Table_SourceData_PastureBeef_LiveweightNTQD[[#Headers],[State]], 0)</f>
        <v>Autumn</v>
      </c>
      <c r="G72" s="35" cm="1">
        <f t="array" ref="G72">Common_InputFunctions.Utility_DisplayArrayInTable(SourceData_PastureBeef.SourceData_PastureBeef_LiveweightNTQLD_Data(),Table_SourceData_PastureBeef_LiveweightNTQD[[#Headers],[State]], 0)</f>
        <v>172</v>
      </c>
      <c r="H72" s="35" cm="1">
        <f t="array" ref="H72">Common_InputFunctions.Utility_DisplayArrayInTable(SourceData_PastureBeef.SourceData_PastureBeef_LiveweightNTQLD_Data(),Table_SourceData_PastureBeef_LiveweightNTQD[[#Headers],[State]], 0)</f>
        <v>685</v>
      </c>
      <c r="I72" s="35" cm="1">
        <f t="array" ref="I72">Common_InputFunctions.Utility_DisplayArrayInTable(SourceData_PastureBeef.SourceData_PastureBeef_LiveweightNTQLD_Data(),Table_SourceData_PastureBeef_LiveweightNTQD[[#Headers],[State]], 0)</f>
        <v>172</v>
      </c>
      <c r="J72" s="35" cm="1">
        <f t="array" ref="J72">Common_InputFunctions.Utility_DisplayArrayInTable(SourceData_PastureBeef.SourceData_PastureBeef_LiveweightNTQLD_Data(),Table_SourceData_PastureBeef_LiveweightNTQD[[#Headers],[State]], 0)</f>
        <v>309</v>
      </c>
      <c r="K72" s="35" cm="1">
        <f t="array" ref="K72">Common_InputFunctions.Utility_DisplayArrayInTable(SourceData_PastureBeef.SourceData_PastureBeef_LiveweightNTQLD_Data(),Table_SourceData_PastureBeef_LiveweightNTQD[[#Headers],[State]], 0)</f>
        <v>376</v>
      </c>
      <c r="L72" s="35" cm="1">
        <f t="array" ref="L72">Common_InputFunctions.Utility_DisplayArrayInTable(SourceData_PastureBeef.SourceData_PastureBeef_LiveweightNTQLD_Data(),Table_SourceData_PastureBeef_LiveweightNTQD[[#Headers],[State]], 0)</f>
        <v>471</v>
      </c>
      <c r="M72" s="35" cm="1">
        <f t="array" ref="M72">Common_InputFunctions.Utility_DisplayArrayInTable(SourceData_PastureBeef.SourceData_PastureBeef_LiveweightNTQLD_Data(),Table_SourceData_PastureBeef_LiveweightNTQD[[#Headers],[State]], 0)</f>
        <v>238</v>
      </c>
      <c r="N72" s="35" cm="1">
        <f t="array" ref="N72">Common_InputFunctions.Utility_DisplayArrayInTable(SourceData_PastureBeef.SourceData_PastureBeef_LiveweightNTQLD_Data(),Table_SourceData_PastureBeef_LiveweightNTQD[[#Headers],[State]], 0)</f>
        <v>329</v>
      </c>
      <c r="O72" s="35" cm="1">
        <f t="array" ref="O72">Common_InputFunctions.Utility_DisplayArrayInTable(SourceData_PastureBeef.SourceData_PastureBeef_LiveweightNTQLD_Data(),Table_SourceData_PastureBeef_LiveweightNTQD[[#Headers],[State]], 0)</f>
        <v>573</v>
      </c>
      <c r="P72" s="35"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5" t="str" cm="1">
        <f t="array" ref="E73">Common_InputFunctions.Utility_DisplayArrayInTable(SourceData_PastureBeef.SourceData_PastureBeef_LiveweightNTQLD_Data(),Table_SourceData_PastureBeef_LiveweightNTQD[[#Headers],[State]], 0)</f>
        <v>Moderate/High</v>
      </c>
      <c r="F73" s="35" t="str" cm="1">
        <f t="array" ref="F73">Common_InputFunctions.Utility_DisplayArrayInTable(SourceData_PastureBeef.SourceData_PastureBeef_LiveweightNTQLD_Data(),Table_SourceData_PastureBeef_LiveweightNTQD[[#Headers],[State]], 0)</f>
        <v>Winter</v>
      </c>
      <c r="G73" s="35" cm="1">
        <f t="array" ref="G73">Common_InputFunctions.Utility_DisplayArrayInTable(SourceData_PastureBeef.SourceData_PastureBeef_LiveweightNTQLD_Data(),Table_SourceData_PastureBeef_LiveweightNTQD[[#Headers],[State]], 0)</f>
        <v>241</v>
      </c>
      <c r="H73" s="35" cm="1">
        <f t="array" ref="H73">Common_InputFunctions.Utility_DisplayArrayInTable(SourceData_PastureBeef.SourceData_PastureBeef_LiveweightNTQLD_Data(),Table_SourceData_PastureBeef_LiveweightNTQD[[#Headers],[State]], 0)</f>
        <v>692</v>
      </c>
      <c r="I73" s="35" cm="1">
        <f t="array" ref="I73">Common_InputFunctions.Utility_DisplayArrayInTable(SourceData_PastureBeef.SourceData_PastureBeef_LiveweightNTQLD_Data(),Table_SourceData_PastureBeef_LiveweightNTQD[[#Headers],[State]], 0)</f>
        <v>208</v>
      </c>
      <c r="J73" s="35" cm="1">
        <f t="array" ref="J73">Common_InputFunctions.Utility_DisplayArrayInTable(SourceData_PastureBeef.SourceData_PastureBeef_LiveweightNTQLD_Data(),Table_SourceData_PastureBeef_LiveweightNTQD[[#Headers],[State]], 0)</f>
        <v>344</v>
      </c>
      <c r="K73" s="35" cm="1">
        <f t="array" ref="K73">Common_InputFunctions.Utility_DisplayArrayInTable(SourceData_PastureBeef.SourceData_PastureBeef_LiveweightNTQLD_Data(),Table_SourceData_PastureBeef_LiveweightNTQD[[#Headers],[State]], 0)</f>
        <v>364</v>
      </c>
      <c r="L73" s="35" cm="1">
        <f t="array" ref="L73">Common_InputFunctions.Utility_DisplayArrayInTable(SourceData_PastureBeef.SourceData_PastureBeef_LiveweightNTQLD_Data(),Table_SourceData_PastureBeef_LiveweightNTQD[[#Headers],[State]], 0)</f>
        <v>484</v>
      </c>
      <c r="M73" s="35" cm="1">
        <f t="array" ref="M73">Common_InputFunctions.Utility_DisplayArrayInTable(SourceData_PastureBeef.SourceData_PastureBeef_LiveweightNTQLD_Data(),Table_SourceData_PastureBeef_LiveweightNTQD[[#Headers],[State]], 0)</f>
        <v>260</v>
      </c>
      <c r="N73" s="35" cm="1">
        <f t="array" ref="N73">Common_InputFunctions.Utility_DisplayArrayInTable(SourceData_PastureBeef.SourceData_PastureBeef_LiveweightNTQLD_Data(),Table_SourceData_PastureBeef_LiveweightNTQD[[#Headers],[State]], 0)</f>
        <v>350</v>
      </c>
      <c r="O73" s="35" cm="1">
        <f t="array" ref="O73">Common_InputFunctions.Utility_DisplayArrayInTable(SourceData_PastureBeef.SourceData_PastureBeef_LiveweightNTQLD_Data(),Table_SourceData_PastureBeef_LiveweightNTQD[[#Headers],[State]], 0)</f>
        <v>567</v>
      </c>
      <c r="P73" s="35"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5" t="str" cm="1">
        <f t="array" ref="E74">Common_InputFunctions.Utility_DisplayArrayInTable(SourceData_PastureBeef.SourceData_PastureBeef_LiveweightNTQLD_Data(),Table_SourceData_PastureBeef_LiveweightNTQD[[#Headers],[State]], 0)</f>
        <v>Moderate/Low</v>
      </c>
      <c r="F74" s="35" t="str" cm="1">
        <f t="array" ref="F74">Common_InputFunctions.Utility_DisplayArrayInTable(SourceData_PastureBeef.SourceData_PastureBeef_LiveweightNTQLD_Data(),Table_SourceData_PastureBeef_LiveweightNTQD[[#Headers],[State]], 0)</f>
        <v>Spring</v>
      </c>
      <c r="G74" s="35" cm="1">
        <f t="array" ref="G74">Common_InputFunctions.Utility_DisplayArrayInTable(SourceData_PastureBeef.SourceData_PastureBeef_LiveweightNTQLD_Data(),Table_SourceData_PastureBeef_LiveweightNTQD[[#Headers],[State]], 0)</f>
        <v>236</v>
      </c>
      <c r="H74" s="35" cm="1">
        <f t="array" ref="H74">Common_InputFunctions.Utility_DisplayArrayInTable(SourceData_PastureBeef.SourceData_PastureBeef_LiveweightNTQLD_Data(),Table_SourceData_PastureBeef_LiveweightNTQD[[#Headers],[State]], 0)</f>
        <v>674</v>
      </c>
      <c r="I74" s="35" cm="1">
        <f t="array" ref="I74">Common_InputFunctions.Utility_DisplayArrayInTable(SourceData_PastureBeef.SourceData_PastureBeef_LiveweightNTQLD_Data(),Table_SourceData_PastureBeef_LiveweightNTQD[[#Headers],[State]], 0)</f>
        <v>178</v>
      </c>
      <c r="J74" s="35" cm="1">
        <f t="array" ref="J74">Common_InputFunctions.Utility_DisplayArrayInTable(SourceData_PastureBeef.SourceData_PastureBeef_LiveweightNTQLD_Data(),Table_SourceData_PastureBeef_LiveweightNTQD[[#Headers],[State]], 0)</f>
        <v>310</v>
      </c>
      <c r="K74" s="35" cm="1">
        <f t="array" ref="K74">Common_InputFunctions.Utility_DisplayArrayInTable(SourceData_PastureBeef.SourceData_PastureBeef_LiveweightNTQLD_Data(),Table_SourceData_PastureBeef_LiveweightNTQD[[#Headers],[State]], 0)</f>
        <v>428</v>
      </c>
      <c r="L74" s="35" cm="1">
        <f t="array" ref="L74">Common_InputFunctions.Utility_DisplayArrayInTable(SourceData_PastureBeef.SourceData_PastureBeef_LiveweightNTQLD_Data(),Table_SourceData_PastureBeef_LiveweightNTQD[[#Headers],[State]], 0)</f>
        <v>466</v>
      </c>
      <c r="M74" s="35" cm="1">
        <f t="array" ref="M74">Common_InputFunctions.Utility_DisplayArrayInTable(SourceData_PastureBeef.SourceData_PastureBeef_LiveweightNTQLD_Data(),Table_SourceData_PastureBeef_LiveweightNTQD[[#Headers],[State]], 0)</f>
        <v>193</v>
      </c>
      <c r="N74" s="35" cm="1">
        <f t="array" ref="N74">Common_InputFunctions.Utility_DisplayArrayInTable(SourceData_PastureBeef.SourceData_PastureBeef_LiveweightNTQLD_Data(),Table_SourceData_PastureBeef_LiveweightNTQD[[#Headers],[State]], 0)</f>
        <v>370</v>
      </c>
      <c r="O74" s="35" cm="1">
        <f t="array" ref="O74">Common_InputFunctions.Utility_DisplayArrayInTable(SourceData_PastureBeef.SourceData_PastureBeef_LiveweightNTQLD_Data(),Table_SourceData_PastureBeef_LiveweightNTQD[[#Headers],[State]], 0)</f>
        <v>519</v>
      </c>
      <c r="P74" s="35"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5" t="str" cm="1">
        <f t="array" ref="E75">Common_InputFunctions.Utility_DisplayArrayInTable(SourceData_PastureBeef.SourceData_PastureBeef_LiveweightNTQLD_Data(),Table_SourceData_PastureBeef_LiveweightNTQD[[#Headers],[State]], 0)</f>
        <v>Moderate/Low</v>
      </c>
      <c r="F75" s="35" t="str" cm="1">
        <f t="array" ref="F75">Common_InputFunctions.Utility_DisplayArrayInTable(SourceData_PastureBeef.SourceData_PastureBeef_LiveweightNTQLD_Data(),Table_SourceData_PastureBeef_LiveweightNTQD[[#Headers],[State]], 0)</f>
        <v>Summer</v>
      </c>
      <c r="G75" s="35" cm="1">
        <f t="array" ref="G75">Common_InputFunctions.Utility_DisplayArrayInTable(SourceData_PastureBeef.SourceData_PastureBeef_LiveweightNTQLD_Data(),Table_SourceData_PastureBeef_LiveweightNTQD[[#Headers],[State]], 0)</f>
        <v>120</v>
      </c>
      <c r="H75" s="35" cm="1">
        <f t="array" ref="H75">Common_InputFunctions.Utility_DisplayArrayInTable(SourceData_PastureBeef.SourceData_PastureBeef_LiveweightNTQLD_Data(),Table_SourceData_PastureBeef_LiveweightNTQD[[#Headers],[State]], 0)</f>
        <v>669</v>
      </c>
      <c r="I75" s="35" cm="1">
        <f t="array" ref="I75">Common_InputFunctions.Utility_DisplayArrayInTable(SourceData_PastureBeef.SourceData_PastureBeef_LiveweightNTQLD_Data(),Table_SourceData_PastureBeef_LiveweightNTQD[[#Headers],[State]], 0)</f>
        <v>112</v>
      </c>
      <c r="J75" s="35" cm="1">
        <f t="array" ref="J75">Common_InputFunctions.Utility_DisplayArrayInTable(SourceData_PastureBeef.SourceData_PastureBeef_LiveweightNTQLD_Data(),Table_SourceData_PastureBeef_LiveweightNTQD[[#Headers],[State]], 0)</f>
        <v>250</v>
      </c>
      <c r="K75" s="35" cm="1">
        <f t="array" ref="K75">Common_InputFunctions.Utility_DisplayArrayInTable(SourceData_PastureBeef.SourceData_PastureBeef_LiveweightNTQLD_Data(),Table_SourceData_PastureBeef_LiveweightNTQD[[#Headers],[State]], 0)</f>
        <v>390</v>
      </c>
      <c r="L75" s="35" cm="1">
        <f t="array" ref="L75">Common_InputFunctions.Utility_DisplayArrayInTable(SourceData_PastureBeef.SourceData_PastureBeef_LiveweightNTQLD_Data(),Table_SourceData_PastureBeef_LiveweightNTQD[[#Headers],[State]], 0)</f>
        <v>448</v>
      </c>
      <c r="M75" s="35" cm="1">
        <f t="array" ref="M75">Common_InputFunctions.Utility_DisplayArrayInTable(SourceData_PastureBeef.SourceData_PastureBeef_LiveweightNTQLD_Data(),Table_SourceData_PastureBeef_LiveweightNTQD[[#Headers],[State]], 0)</f>
        <v>115</v>
      </c>
      <c r="N75" s="35" cm="1">
        <f t="array" ref="N75">Common_InputFunctions.Utility_DisplayArrayInTable(SourceData_PastureBeef.SourceData_PastureBeef_LiveweightNTQLD_Data(),Table_SourceData_PastureBeef_LiveweightNTQD[[#Headers],[State]], 0)</f>
        <v>273</v>
      </c>
      <c r="O75" s="35" cm="1">
        <f t="array" ref="O75">Common_InputFunctions.Utility_DisplayArrayInTable(SourceData_PastureBeef.SourceData_PastureBeef_LiveweightNTQLD_Data(),Table_SourceData_PastureBeef_LiveweightNTQD[[#Headers],[State]], 0)</f>
        <v>433</v>
      </c>
      <c r="P75" s="35"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5" t="str" cm="1">
        <f t="array" ref="E76">Common_InputFunctions.Utility_DisplayArrayInTable(SourceData_PastureBeef.SourceData_PastureBeef_LiveweightNTQLD_Data(),Table_SourceData_PastureBeef_LiveweightNTQD[[#Headers],[State]], 0)</f>
        <v>Moderate/Low</v>
      </c>
      <c r="F76" s="35" t="str" cm="1">
        <f t="array" ref="F76">Common_InputFunctions.Utility_DisplayArrayInTable(SourceData_PastureBeef.SourceData_PastureBeef_LiveweightNTQLD_Data(),Table_SourceData_PastureBeef_LiveweightNTQD[[#Headers],[State]], 0)</f>
        <v>Autumn</v>
      </c>
      <c r="G76" s="35" cm="1">
        <f t="array" ref="G76">Common_InputFunctions.Utility_DisplayArrayInTable(SourceData_PastureBeef.SourceData_PastureBeef_LiveweightNTQLD_Data(),Table_SourceData_PastureBeef_LiveweightNTQD[[#Headers],[State]], 0)</f>
        <v>125</v>
      </c>
      <c r="H76" s="35" cm="1">
        <f t="array" ref="H76">Common_InputFunctions.Utility_DisplayArrayInTable(SourceData_PastureBeef.SourceData_PastureBeef_LiveweightNTQLD_Data(),Table_SourceData_PastureBeef_LiveweightNTQD[[#Headers],[State]], 0)</f>
        <v>685</v>
      </c>
      <c r="I76" s="35" cm="1">
        <f t="array" ref="I76">Common_InputFunctions.Utility_DisplayArrayInTable(SourceData_PastureBeef.SourceData_PastureBeef_LiveweightNTQLD_Data(),Table_SourceData_PastureBeef_LiveweightNTQD[[#Headers],[State]], 0)</f>
        <v>140</v>
      </c>
      <c r="J76" s="35" cm="1">
        <f t="array" ref="J76">Common_InputFunctions.Utility_DisplayArrayInTable(SourceData_PastureBeef.SourceData_PastureBeef_LiveweightNTQLD_Data(),Table_SourceData_PastureBeef_LiveweightNTQD[[#Headers],[State]], 0)</f>
        <v>277</v>
      </c>
      <c r="K76" s="35" cm="1">
        <f t="array" ref="K76">Common_InputFunctions.Utility_DisplayArrayInTable(SourceData_PastureBeef.SourceData_PastureBeef_LiveweightNTQLD_Data(),Table_SourceData_PastureBeef_LiveweightNTQD[[#Headers],[State]], 0)</f>
        <v>407</v>
      </c>
      <c r="L76" s="35" cm="1">
        <f t="array" ref="L76">Common_InputFunctions.Utility_DisplayArrayInTable(SourceData_PastureBeef.SourceData_PastureBeef_LiveweightNTQLD_Data(),Table_SourceData_PastureBeef_LiveweightNTQD[[#Headers],[State]], 0)</f>
        <v>455</v>
      </c>
      <c r="M76" s="35" cm="1">
        <f t="array" ref="M76">Common_InputFunctions.Utility_DisplayArrayInTable(SourceData_PastureBeef.SourceData_PastureBeef_LiveweightNTQLD_Data(),Table_SourceData_PastureBeef_LiveweightNTQD[[#Headers],[State]], 0)</f>
        <v>141</v>
      </c>
      <c r="N76" s="35" cm="1">
        <f t="array" ref="N76">Common_InputFunctions.Utility_DisplayArrayInTable(SourceData_PastureBeef.SourceData_PastureBeef_LiveweightNTQLD_Data(),Table_SourceData_PastureBeef_LiveweightNTQD[[#Headers],[State]], 0)</f>
        <v>296</v>
      </c>
      <c r="O76" s="35" cm="1">
        <f t="array" ref="O76">Common_InputFunctions.Utility_DisplayArrayInTable(SourceData_PastureBeef.SourceData_PastureBeef_LiveweightNTQLD_Data(),Table_SourceData_PastureBeef_LiveweightNTQD[[#Headers],[State]], 0)</f>
        <v>445</v>
      </c>
      <c r="P76" s="35"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5" t="str" cm="1">
        <f t="array" ref="E77">Common_InputFunctions.Utility_DisplayArrayInTable(SourceData_PastureBeef.SourceData_PastureBeef_LiveweightNTQLD_Data(),Table_SourceData_PastureBeef_LiveweightNTQD[[#Headers],[State]], 0)</f>
        <v>Moderate/Low</v>
      </c>
      <c r="F77" s="35" t="str" cm="1">
        <f t="array" ref="F77">Common_InputFunctions.Utility_DisplayArrayInTable(SourceData_PastureBeef.SourceData_PastureBeef_LiveweightNTQLD_Data(),Table_SourceData_PastureBeef_LiveweightNTQD[[#Headers],[State]], 0)</f>
        <v>Winter</v>
      </c>
      <c r="G77" s="35" cm="1">
        <f t="array" ref="G77">Common_InputFunctions.Utility_DisplayArrayInTable(SourceData_PastureBeef.SourceData_PastureBeef_LiveweightNTQLD_Data(),Table_SourceData_PastureBeef_LiveweightNTQD[[#Headers],[State]], 0)</f>
        <v>180</v>
      </c>
      <c r="H77" s="35" cm="1">
        <f t="array" ref="H77">Common_InputFunctions.Utility_DisplayArrayInTable(SourceData_PastureBeef.SourceData_PastureBeef_LiveweightNTQLD_Data(),Table_SourceData_PastureBeef_LiveweightNTQD[[#Headers],[State]], 0)</f>
        <v>692</v>
      </c>
      <c r="I77" s="35" cm="1">
        <f t="array" ref="I77">Common_InputFunctions.Utility_DisplayArrayInTable(SourceData_PastureBeef.SourceData_PastureBeef_LiveweightNTQLD_Data(),Table_SourceData_PastureBeef_LiveweightNTQD[[#Headers],[State]], 0)</f>
        <v>183</v>
      </c>
      <c r="J77" s="35" cm="1">
        <f t="array" ref="J77">Common_InputFunctions.Utility_DisplayArrayInTable(SourceData_PastureBeef.SourceData_PastureBeef_LiveweightNTQLD_Data(),Table_SourceData_PastureBeef_LiveweightNTQD[[#Headers],[State]], 0)</f>
        <v>316</v>
      </c>
      <c r="K77" s="35" cm="1">
        <f t="array" ref="K77">Common_InputFunctions.Utility_DisplayArrayInTable(SourceData_PastureBeef.SourceData_PastureBeef_LiveweightNTQLD_Data(),Table_SourceData_PastureBeef_LiveweightNTQD[[#Headers],[State]], 0)</f>
        <v>438</v>
      </c>
      <c r="L77" s="35" cm="1">
        <f t="array" ref="L77">Common_InputFunctions.Utility_DisplayArrayInTable(SourceData_PastureBeef.SourceData_PastureBeef_LiveweightNTQLD_Data(),Table_SourceData_PastureBeef_LiveweightNTQD[[#Headers],[State]], 0)</f>
        <v>468</v>
      </c>
      <c r="M77" s="35" cm="1">
        <f t="array" ref="M77">Common_InputFunctions.Utility_DisplayArrayInTable(SourceData_PastureBeef.SourceData_PastureBeef_LiveweightNTQLD_Data(),Table_SourceData_PastureBeef_LiveweightNTQD[[#Headers],[State]], 0)</f>
        <v>189</v>
      </c>
      <c r="N77" s="35" cm="1">
        <f t="array" ref="N77">Common_InputFunctions.Utility_DisplayArrayInTable(SourceData_PastureBeef.SourceData_PastureBeef_LiveweightNTQLD_Data(),Table_SourceData_PastureBeef_LiveweightNTQD[[#Headers],[State]], 0)</f>
        <v>354</v>
      </c>
      <c r="O77" s="35" cm="1">
        <f t="array" ref="O77">Common_InputFunctions.Utility_DisplayArrayInTable(SourceData_PastureBeef.SourceData_PastureBeef_LiveweightNTQLD_Data(),Table_SourceData_PastureBeef_LiveweightNTQD[[#Headers],[State]], 0)</f>
        <v>500</v>
      </c>
      <c r="P77" s="35"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5" t="str" cm="1">
        <f t="array" ref="E78">Common_InputFunctions.Utility_DisplayArrayInTable(SourceData_PastureBeef.SourceData_PastureBeef_LiveweightNTQLD_Data(),Table_SourceData_PastureBeef_LiveweightNTQD[[#Headers],[State]], 0)</f>
        <v>Low</v>
      </c>
      <c r="F78" s="35" t="str" cm="1">
        <f t="array" ref="F78">Common_InputFunctions.Utility_DisplayArrayInTable(SourceData_PastureBeef.SourceData_PastureBeef_LiveweightNTQLD_Data(),Table_SourceData_PastureBeef_LiveweightNTQD[[#Headers],[State]], 0)</f>
        <v>Spring</v>
      </c>
      <c r="G78" s="35" cm="1">
        <f t="array" ref="G78">Common_InputFunctions.Utility_DisplayArrayInTable(SourceData_PastureBeef.SourceData_PastureBeef_LiveweightNTQLD_Data(),Table_SourceData_PastureBeef_LiveweightNTQD[[#Headers],[State]], 0)</f>
        <v>190</v>
      </c>
      <c r="H78" s="35" cm="1">
        <f t="array" ref="H78">Common_InputFunctions.Utility_DisplayArrayInTable(SourceData_PastureBeef.SourceData_PastureBeef_LiveweightNTQLD_Data(),Table_SourceData_PastureBeef_LiveweightNTQD[[#Headers],[State]], 0)</f>
        <v>617</v>
      </c>
      <c r="I78" s="35" cm="1">
        <f t="array" ref="I78">Common_InputFunctions.Utility_DisplayArrayInTable(SourceData_PastureBeef.SourceData_PastureBeef_LiveweightNTQLD_Data(),Table_SourceData_PastureBeef_LiveweightNTQD[[#Headers],[State]], 0)</f>
        <v>174</v>
      </c>
      <c r="J78" s="35" cm="1">
        <f t="array" ref="J78">Common_InputFunctions.Utility_DisplayArrayInTable(SourceData_PastureBeef.SourceData_PastureBeef_LiveweightNTQLD_Data(),Table_SourceData_PastureBeef_LiveweightNTQD[[#Headers],[State]], 0)</f>
        <v>265</v>
      </c>
      <c r="K78" s="35" cm="1">
        <f t="array" ref="K78">Common_InputFunctions.Utility_DisplayArrayInTable(SourceData_PastureBeef.SourceData_PastureBeef_LiveweightNTQLD_Data(),Table_SourceData_PastureBeef_LiveweightNTQD[[#Headers],[State]], 0)</f>
        <v>371</v>
      </c>
      <c r="L78" s="35" cm="1">
        <f t="array" ref="L78">Common_InputFunctions.Utility_DisplayArrayInTable(SourceData_PastureBeef.SourceData_PastureBeef_LiveweightNTQLD_Data(),Table_SourceData_PastureBeef_LiveweightNTQD[[#Headers],[State]], 0)</f>
        <v>415</v>
      </c>
      <c r="M78" s="35" cm="1">
        <f t="array" ref="M78">Common_InputFunctions.Utility_DisplayArrayInTable(SourceData_PastureBeef.SourceData_PastureBeef_LiveweightNTQLD_Data(),Table_SourceData_PastureBeef_LiveweightNTQD[[#Headers],[State]], 0)</f>
        <v>170</v>
      </c>
      <c r="N78" s="35" cm="1">
        <f t="array" ref="N78">Common_InputFunctions.Utility_DisplayArrayInTable(SourceData_PastureBeef.SourceData_PastureBeef_LiveweightNTQLD_Data(),Table_SourceData_PastureBeef_LiveweightNTQD[[#Headers],[State]], 0)</f>
        <v>272</v>
      </c>
      <c r="O78" s="35" cm="1">
        <f t="array" ref="O78">Common_InputFunctions.Utility_DisplayArrayInTable(SourceData_PastureBeef.SourceData_PastureBeef_LiveweightNTQLD_Data(),Table_SourceData_PastureBeef_LiveweightNTQD[[#Headers],[State]], 0)</f>
        <v>392</v>
      </c>
      <c r="P78" s="35"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5" t="str" cm="1">
        <f t="array" ref="E79">Common_InputFunctions.Utility_DisplayArrayInTable(SourceData_PastureBeef.SourceData_PastureBeef_LiveweightNTQLD_Data(),Table_SourceData_PastureBeef_LiveweightNTQD[[#Headers],[State]], 0)</f>
        <v>Low</v>
      </c>
      <c r="F79" s="35" t="str" cm="1">
        <f t="array" ref="F79">Common_InputFunctions.Utility_DisplayArrayInTable(SourceData_PastureBeef.SourceData_PastureBeef_LiveweightNTQLD_Data(),Table_SourceData_PastureBeef_LiveweightNTQD[[#Headers],[State]], 0)</f>
        <v>Summer</v>
      </c>
      <c r="G79" s="35" cm="1">
        <f t="array" ref="G79">Common_InputFunctions.Utility_DisplayArrayInTable(SourceData_PastureBeef.SourceData_PastureBeef_LiveweightNTQLD_Data(),Table_SourceData_PastureBeef_LiveweightNTQD[[#Headers],[State]], 0)</f>
        <v>119</v>
      </c>
      <c r="H79" s="35" cm="1">
        <f t="array" ref="H79">Common_InputFunctions.Utility_DisplayArrayInTable(SourceData_PastureBeef.SourceData_PastureBeef_LiveweightNTQLD_Data(),Table_SourceData_PastureBeef_LiveweightNTQD[[#Headers],[State]], 0)</f>
        <v>591</v>
      </c>
      <c r="I79" s="35" cm="1">
        <f t="array" ref="I79">Common_InputFunctions.Utility_DisplayArrayInTable(SourceData_PastureBeef.SourceData_PastureBeef_LiveweightNTQLD_Data(),Table_SourceData_PastureBeef_LiveweightNTQD[[#Headers],[State]], 0)</f>
        <v>140</v>
      </c>
      <c r="J79" s="35" cm="1">
        <f t="array" ref="J79">Common_InputFunctions.Utility_DisplayArrayInTable(SourceData_PastureBeef.SourceData_PastureBeef_LiveweightNTQLD_Data(),Table_SourceData_PastureBeef_LiveweightNTQD[[#Headers],[State]], 0)</f>
        <v>205</v>
      </c>
      <c r="K79" s="35" cm="1">
        <f t="array" ref="K79">Common_InputFunctions.Utility_DisplayArrayInTable(SourceData_PastureBeef.SourceData_PastureBeef_LiveweightNTQLD_Data(),Table_SourceData_PastureBeef_LiveweightNTQD[[#Headers],[State]], 0)</f>
        <v>310</v>
      </c>
      <c r="L79" s="35" cm="1">
        <f t="array" ref="L79">Common_InputFunctions.Utility_DisplayArrayInTable(SourceData_PastureBeef.SourceData_PastureBeef_LiveweightNTQLD_Data(),Table_SourceData_PastureBeef_LiveweightNTQD[[#Headers],[State]], 0)</f>
        <v>405</v>
      </c>
      <c r="M79" s="35" cm="1">
        <f t="array" ref="M79">Common_InputFunctions.Utility_DisplayArrayInTable(SourceData_PastureBeef.SourceData_PastureBeef_LiveweightNTQLD_Data(),Table_SourceData_PastureBeef_LiveweightNTQD[[#Headers],[State]], 0)</f>
        <v>133</v>
      </c>
      <c r="N79" s="35" cm="1">
        <f t="array" ref="N79">Common_InputFunctions.Utility_DisplayArrayInTable(SourceData_PastureBeef.SourceData_PastureBeef_LiveweightNTQLD_Data(),Table_SourceData_PastureBeef_LiveweightNTQD[[#Headers],[State]], 0)</f>
        <v>218</v>
      </c>
      <c r="O79" s="35" cm="1">
        <f t="array" ref="O79">Common_InputFunctions.Utility_DisplayArrayInTable(SourceData_PastureBeef.SourceData_PastureBeef_LiveweightNTQLD_Data(),Table_SourceData_PastureBeef_LiveweightNTQD[[#Headers],[State]], 0)</f>
        <v>315</v>
      </c>
      <c r="P79" s="35"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5" t="str" cm="1">
        <f t="array" ref="E80">Common_InputFunctions.Utility_DisplayArrayInTable(SourceData_PastureBeef.SourceData_PastureBeef_LiveweightNTQLD_Data(),Table_SourceData_PastureBeef_LiveweightNTQD[[#Headers],[State]], 0)</f>
        <v>Low</v>
      </c>
      <c r="F80" s="35" t="str" cm="1">
        <f t="array" ref="F80">Common_InputFunctions.Utility_DisplayArrayInTable(SourceData_PastureBeef.SourceData_PastureBeef_LiveweightNTQLD_Data(),Table_SourceData_PastureBeef_LiveweightNTQD[[#Headers],[State]], 0)</f>
        <v>Autumn</v>
      </c>
      <c r="G80" s="35" cm="1">
        <f t="array" ref="G80">Common_InputFunctions.Utility_DisplayArrayInTable(SourceData_PastureBeef.SourceData_PastureBeef_LiveweightNTQLD_Data(),Table_SourceData_PastureBeef_LiveweightNTQD[[#Headers],[State]], 0)</f>
        <v>175</v>
      </c>
      <c r="H80" s="35" cm="1">
        <f t="array" ref="H80">Common_InputFunctions.Utility_DisplayArrayInTable(SourceData_PastureBeef.SourceData_PastureBeef_LiveweightNTQLD_Data(),Table_SourceData_PastureBeef_LiveweightNTQD[[#Headers],[State]], 0)</f>
        <v>610</v>
      </c>
      <c r="I80" s="35" cm="1">
        <f t="array" ref="I80">Common_InputFunctions.Utility_DisplayArrayInTable(SourceData_PastureBeef.SourceData_PastureBeef_LiveweightNTQLD_Data(),Table_SourceData_PastureBeef_LiveweightNTQD[[#Headers],[State]], 0)</f>
        <v>163</v>
      </c>
      <c r="J80" s="35" cm="1">
        <f t="array" ref="J80">Common_InputFunctions.Utility_DisplayArrayInTable(SourceData_PastureBeef.SourceData_PastureBeef_LiveweightNTQLD_Data(),Table_SourceData_PastureBeef_LiveweightNTQD[[#Headers],[State]], 0)</f>
        <v>232</v>
      </c>
      <c r="K80" s="35" cm="1">
        <f t="array" ref="K80">Common_InputFunctions.Utility_DisplayArrayInTable(SourceData_PastureBeef.SourceData_PastureBeef_LiveweightNTQLD_Data(),Table_SourceData_PastureBeef_LiveweightNTQD[[#Headers],[State]], 0)</f>
        <v>351</v>
      </c>
      <c r="L80" s="35" cm="1">
        <f t="array" ref="L80">Common_InputFunctions.Utility_DisplayArrayInTable(SourceData_PastureBeef.SourceData_PastureBeef_LiveweightNTQLD_Data(),Table_SourceData_PastureBeef_LiveweightNTQD[[#Headers],[State]], 0)</f>
        <v>427</v>
      </c>
      <c r="M80" s="35" cm="1">
        <f t="array" ref="M80">Common_InputFunctions.Utility_DisplayArrayInTable(SourceData_PastureBeef.SourceData_PastureBeef_LiveweightNTQLD_Data(),Table_SourceData_PastureBeef_LiveweightNTQD[[#Headers],[State]], 0)</f>
        <v>146</v>
      </c>
      <c r="N80" s="35" cm="1">
        <f t="array" ref="N80">Common_InputFunctions.Utility_DisplayArrayInTable(SourceData_PastureBeef.SourceData_PastureBeef_LiveweightNTQLD_Data(),Table_SourceData_PastureBeef_LiveweightNTQD[[#Headers],[State]], 0)</f>
        <v>242</v>
      </c>
      <c r="O80" s="35" cm="1">
        <f t="array" ref="O80">Common_InputFunctions.Utility_DisplayArrayInTable(SourceData_PastureBeef.SourceData_PastureBeef_LiveweightNTQLD_Data(),Table_SourceData_PastureBeef_LiveweightNTQD[[#Headers],[State]], 0)</f>
        <v>320</v>
      </c>
      <c r="P80" s="35"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5" t="str" cm="1">
        <f t="array" ref="E81">Common_InputFunctions.Utility_DisplayArrayInTable(SourceData_PastureBeef.SourceData_PastureBeef_LiveweightNTQLD_Data(),Table_SourceData_PastureBeef_LiveweightNTQD[[#Headers],[State]], 0)</f>
        <v>Low</v>
      </c>
      <c r="F81" s="35" t="str" cm="1">
        <f t="array" ref="F81">Common_InputFunctions.Utility_DisplayArrayInTable(SourceData_PastureBeef.SourceData_PastureBeef_LiveweightNTQLD_Data(),Table_SourceData_PastureBeef_LiveweightNTQD[[#Headers],[State]], 0)</f>
        <v>Winter</v>
      </c>
      <c r="G81" s="35" cm="1">
        <f t="array" ref="G81">Common_InputFunctions.Utility_DisplayArrayInTable(SourceData_PastureBeef.SourceData_PastureBeef_LiveweightNTQLD_Data(),Table_SourceData_PastureBeef_LiveweightNTQD[[#Headers],[State]], 0)</f>
        <v>192</v>
      </c>
      <c r="H81" s="35" cm="1">
        <f t="array" ref="H81">Common_InputFunctions.Utility_DisplayArrayInTable(SourceData_PastureBeef.SourceData_PastureBeef_LiveweightNTQLD_Data(),Table_SourceData_PastureBeef_LiveweightNTQD[[#Headers],[State]], 0)</f>
        <v>615</v>
      </c>
      <c r="I81" s="35" cm="1">
        <f t="array" ref="I81">Common_InputFunctions.Utility_DisplayArrayInTable(SourceData_PastureBeef.SourceData_PastureBeef_LiveweightNTQLD_Data(),Table_SourceData_PastureBeef_LiveweightNTQD[[#Headers],[State]], 0)</f>
        <v>162</v>
      </c>
      <c r="J81" s="35" cm="1">
        <f t="array" ref="J81">Common_InputFunctions.Utility_DisplayArrayInTable(SourceData_PastureBeef.SourceData_PastureBeef_LiveweightNTQLD_Data(),Table_SourceData_PastureBeef_LiveweightNTQD[[#Headers],[State]], 0)</f>
        <v>255</v>
      </c>
      <c r="K81" s="35" cm="1">
        <f t="array" ref="K81">Common_InputFunctions.Utility_DisplayArrayInTable(SourceData_PastureBeef.SourceData_PastureBeef_LiveweightNTQLD_Data(),Table_SourceData_PastureBeef_LiveweightNTQD[[#Headers],[State]], 0)</f>
        <v>364</v>
      </c>
      <c r="L81" s="35" cm="1">
        <f t="array" ref="L81">Common_InputFunctions.Utility_DisplayArrayInTable(SourceData_PastureBeef.SourceData_PastureBeef_LiveweightNTQLD_Data(),Table_SourceData_PastureBeef_LiveweightNTQD[[#Headers],[State]], 0)</f>
        <v>420</v>
      </c>
      <c r="M81" s="35" cm="1">
        <f t="array" ref="M81">Common_InputFunctions.Utility_DisplayArrayInTable(SourceData_PastureBeef.SourceData_PastureBeef_LiveweightNTQLD_Data(),Table_SourceData_PastureBeef_LiveweightNTQD[[#Headers],[State]], 0)</f>
        <v>157</v>
      </c>
      <c r="N81" s="35" cm="1">
        <f t="array" ref="N81">Common_InputFunctions.Utility_DisplayArrayInTable(SourceData_PastureBeef.SourceData_PastureBeef_LiveweightNTQLD_Data(),Table_SourceData_PastureBeef_LiveweightNTQD[[#Headers],[State]], 0)</f>
        <v>261</v>
      </c>
      <c r="O81" s="35" cm="1">
        <f t="array" ref="O81">Common_InputFunctions.Utility_DisplayArrayInTable(SourceData_PastureBeef.SourceData_PastureBeef_LiveweightNTQLD_Data(),Table_SourceData_PastureBeef_LiveweightNTQD[[#Headers],[State]], 0)</f>
        <v>342</v>
      </c>
      <c r="P81" s="35"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162</v>
      </c>
      <c r="M84" s="1"/>
    </row>
    <row r="85" spans="4:22" ht="20.100000000000001" customHeight="1" x14ac:dyDescent="0.25">
      <c r="D85" s="35" t="s">
        <v>5</v>
      </c>
      <c r="E85" s="35" t="s">
        <v>144</v>
      </c>
      <c r="F85" s="35" t="s">
        <v>145</v>
      </c>
      <c r="G85" s="105" t="s">
        <v>103</v>
      </c>
      <c r="H85" s="105" t="s">
        <v>102</v>
      </c>
      <c r="I85" s="105" t="s">
        <v>126</v>
      </c>
      <c r="J85" s="105" t="s">
        <v>127</v>
      </c>
      <c r="K85" s="105" t="s">
        <v>128</v>
      </c>
      <c r="L85" s="105" t="s">
        <v>129</v>
      </c>
      <c r="M85" s="105" t="s">
        <v>130</v>
      </c>
      <c r="N85" s="105" t="s">
        <v>131</v>
      </c>
      <c r="O85" s="105" t="s">
        <v>132</v>
      </c>
      <c r="P85" s="105" t="s">
        <v>133</v>
      </c>
      <c r="V85" s="1"/>
    </row>
    <row r="86" spans="4:22" ht="20.100000000000001" customHeight="1" x14ac:dyDescent="0.25">
      <c r="D86" s="35" t="s">
        <v>65</v>
      </c>
      <c r="E86" s="35" t="s">
        <v>163</v>
      </c>
      <c r="F86" s="35" t="str">
        <f>F19</f>
        <v>Spring</v>
      </c>
      <c r="G86" s="35">
        <f>G19</f>
        <v>80</v>
      </c>
      <c r="H86" s="35">
        <f t="shared" ref="H86:K89" si="0">H19</f>
        <v>480</v>
      </c>
      <c r="I86" s="35">
        <f>I19</f>
        <v>75</v>
      </c>
      <c r="J86" s="35">
        <f>J19</f>
        <v>300</v>
      </c>
      <c r="K86" s="35">
        <f>K19</f>
        <v>440</v>
      </c>
      <c r="L86" s="35">
        <f>K19</f>
        <v>440</v>
      </c>
      <c r="M86" s="35">
        <f>L19</f>
        <v>75</v>
      </c>
      <c r="N86" s="35">
        <f>M19</f>
        <v>380</v>
      </c>
      <c r="O86" s="35">
        <f>M19</f>
        <v>380</v>
      </c>
      <c r="P86" s="35">
        <f>M19</f>
        <v>380</v>
      </c>
      <c r="V86" s="1"/>
    </row>
    <row r="87" spans="4:22" ht="20.100000000000001" customHeight="1" x14ac:dyDescent="0.25">
      <c r="D87" s="35" t="s">
        <v>65</v>
      </c>
      <c r="E87" s="35" t="s">
        <v>163</v>
      </c>
      <c r="F87" s="35" t="s">
        <v>135</v>
      </c>
      <c r="G87" s="35">
        <f t="shared" ref="G87" si="1">G20</f>
        <v>170</v>
      </c>
      <c r="H87" s="35">
        <f t="shared" si="0"/>
        <v>520</v>
      </c>
      <c r="I87" s="35">
        <f t="shared" si="0"/>
        <v>160</v>
      </c>
      <c r="J87" s="35">
        <f t="shared" si="0"/>
        <v>360</v>
      </c>
      <c r="K87" s="35">
        <f t="shared" si="0"/>
        <v>470</v>
      </c>
      <c r="L87" s="35">
        <f t="shared" ref="L87:N89" si="2">K20</f>
        <v>470</v>
      </c>
      <c r="M87" s="35">
        <f t="shared" si="2"/>
        <v>160</v>
      </c>
      <c r="N87" s="35">
        <f t="shared" si="2"/>
        <v>420</v>
      </c>
      <c r="O87" s="35">
        <f t="shared" ref="O87:O89" si="3">M20</f>
        <v>420</v>
      </c>
      <c r="P87" s="35">
        <f t="shared" ref="P87:P89" si="4">M20</f>
        <v>420</v>
      </c>
      <c r="V87" s="1"/>
    </row>
    <row r="88" spans="4:22" ht="20.100000000000001" customHeight="1" x14ac:dyDescent="0.25">
      <c r="D88" s="35" t="s">
        <v>65</v>
      </c>
      <c r="E88" s="35" t="s">
        <v>163</v>
      </c>
      <c r="F88" s="35" t="s">
        <v>136</v>
      </c>
      <c r="G88" s="35">
        <f t="shared" ref="G88" si="5">G21</f>
        <v>240</v>
      </c>
      <c r="H88" s="35">
        <f t="shared" si="0"/>
        <v>550</v>
      </c>
      <c r="I88" s="35">
        <f t="shared" si="0"/>
        <v>220</v>
      </c>
      <c r="J88" s="35">
        <f t="shared" si="0"/>
        <v>390</v>
      </c>
      <c r="K88" s="35">
        <f t="shared" si="0"/>
        <v>490</v>
      </c>
      <c r="L88" s="35">
        <f t="shared" si="2"/>
        <v>490</v>
      </c>
      <c r="M88" s="35">
        <f t="shared" si="2"/>
        <v>220</v>
      </c>
      <c r="N88" s="35">
        <f t="shared" si="2"/>
        <v>450</v>
      </c>
      <c r="O88" s="35">
        <f t="shared" si="3"/>
        <v>450</v>
      </c>
      <c r="P88" s="35">
        <f t="shared" si="4"/>
        <v>450</v>
      </c>
      <c r="V88" s="1"/>
    </row>
    <row r="89" spans="4:22" ht="20.100000000000001" customHeight="1" x14ac:dyDescent="0.25">
      <c r="D89" s="35" t="s">
        <v>65</v>
      </c>
      <c r="E89" s="35" t="s">
        <v>163</v>
      </c>
      <c r="F89" s="35" t="s">
        <v>137</v>
      </c>
      <c r="G89" s="35">
        <f t="shared" ref="G89" si="6">G22</f>
        <v>280</v>
      </c>
      <c r="H89" s="35">
        <f t="shared" si="0"/>
        <v>560</v>
      </c>
      <c r="I89" s="35">
        <f t="shared" si="0"/>
        <v>260</v>
      </c>
      <c r="J89" s="35">
        <f t="shared" si="0"/>
        <v>410</v>
      </c>
      <c r="K89" s="35">
        <f t="shared" si="0"/>
        <v>500</v>
      </c>
      <c r="L89" s="35">
        <f t="shared" si="2"/>
        <v>500</v>
      </c>
      <c r="M89" s="35">
        <f t="shared" si="2"/>
        <v>260</v>
      </c>
      <c r="N89" s="35">
        <f t="shared" si="2"/>
        <v>460</v>
      </c>
      <c r="O89" s="35">
        <f t="shared" si="3"/>
        <v>460</v>
      </c>
      <c r="P89" s="35">
        <f t="shared" si="4"/>
        <v>460</v>
      </c>
      <c r="V89" s="1"/>
    </row>
    <row r="90" spans="4:22" ht="20.100000000000001" customHeight="1" x14ac:dyDescent="0.25">
      <c r="D90" s="35" t="s">
        <v>66</v>
      </c>
      <c r="E90" s="35" t="s">
        <v>163</v>
      </c>
      <c r="F90" s="35" t="str">
        <f>F23</f>
        <v>Spring</v>
      </c>
      <c r="G90" s="35">
        <f>G19</f>
        <v>80</v>
      </c>
      <c r="H90" s="35">
        <f t="shared" ref="H90:J90" si="7">H19</f>
        <v>480</v>
      </c>
      <c r="I90" s="35">
        <f t="shared" si="7"/>
        <v>75</v>
      </c>
      <c r="J90" s="35">
        <f t="shared" si="7"/>
        <v>300</v>
      </c>
      <c r="K90" s="35">
        <f>K19</f>
        <v>440</v>
      </c>
      <c r="L90" s="35">
        <f>K19</f>
        <v>440</v>
      </c>
      <c r="M90" s="35">
        <f>L19</f>
        <v>75</v>
      </c>
      <c r="N90" s="35">
        <f>M19</f>
        <v>380</v>
      </c>
      <c r="O90" s="35">
        <f>M19</f>
        <v>380</v>
      </c>
      <c r="P90" s="35">
        <f>M19</f>
        <v>380</v>
      </c>
      <c r="V90" s="1"/>
    </row>
    <row r="91" spans="4:22" ht="20.100000000000001" customHeight="1" x14ac:dyDescent="0.25">
      <c r="D91" s="35" t="s">
        <v>66</v>
      </c>
      <c r="E91" s="35" t="s">
        <v>163</v>
      </c>
      <c r="F91" s="35" t="s">
        <v>135</v>
      </c>
      <c r="G91" s="35">
        <f t="shared" ref="G91:K91" si="8">G20</f>
        <v>170</v>
      </c>
      <c r="H91" s="35">
        <f t="shared" si="8"/>
        <v>520</v>
      </c>
      <c r="I91" s="35">
        <f t="shared" si="8"/>
        <v>160</v>
      </c>
      <c r="J91" s="35">
        <f t="shared" si="8"/>
        <v>360</v>
      </c>
      <c r="K91" s="35">
        <f t="shared" si="8"/>
        <v>470</v>
      </c>
      <c r="L91" s="35">
        <f t="shared" ref="L91:M93" si="9">K20</f>
        <v>470</v>
      </c>
      <c r="M91" s="35">
        <f t="shared" si="9"/>
        <v>160</v>
      </c>
      <c r="N91" s="35">
        <f t="shared" ref="N91:N117" si="10">M20</f>
        <v>420</v>
      </c>
      <c r="O91" s="35">
        <f t="shared" ref="O91:O93" si="11">M20</f>
        <v>420</v>
      </c>
      <c r="P91" s="35">
        <f t="shared" ref="P91:P93" si="12">M20</f>
        <v>420</v>
      </c>
    </row>
    <row r="92" spans="4:22" ht="20.100000000000001" customHeight="1" x14ac:dyDescent="0.25">
      <c r="D92" s="35" t="s">
        <v>66</v>
      </c>
      <c r="E92" s="35" t="s">
        <v>163</v>
      </c>
      <c r="F92" s="35" t="s">
        <v>136</v>
      </c>
      <c r="G92" s="35">
        <f t="shared" ref="G92:K92" si="13">G21</f>
        <v>240</v>
      </c>
      <c r="H92" s="35">
        <f t="shared" si="13"/>
        <v>550</v>
      </c>
      <c r="I92" s="35">
        <f t="shared" si="13"/>
        <v>220</v>
      </c>
      <c r="J92" s="35">
        <f t="shared" si="13"/>
        <v>390</v>
      </c>
      <c r="K92" s="35">
        <f t="shared" si="13"/>
        <v>490</v>
      </c>
      <c r="L92" s="35">
        <f t="shared" si="9"/>
        <v>490</v>
      </c>
      <c r="M92" s="35">
        <f t="shared" si="9"/>
        <v>220</v>
      </c>
      <c r="N92" s="35">
        <f t="shared" si="10"/>
        <v>450</v>
      </c>
      <c r="O92" s="35">
        <f t="shared" si="11"/>
        <v>450</v>
      </c>
      <c r="P92" s="35">
        <f t="shared" si="12"/>
        <v>450</v>
      </c>
    </row>
    <row r="93" spans="4:22" ht="20.100000000000001" customHeight="1" x14ac:dyDescent="0.25">
      <c r="D93" s="35" t="s">
        <v>66</v>
      </c>
      <c r="E93" s="35" t="s">
        <v>163</v>
      </c>
      <c r="F93" s="35" t="s">
        <v>137</v>
      </c>
      <c r="G93" s="35">
        <f t="shared" ref="G93:K93" si="14">G22</f>
        <v>280</v>
      </c>
      <c r="H93" s="35">
        <f t="shared" si="14"/>
        <v>560</v>
      </c>
      <c r="I93" s="35">
        <f t="shared" si="14"/>
        <v>260</v>
      </c>
      <c r="J93" s="35">
        <f t="shared" si="14"/>
        <v>410</v>
      </c>
      <c r="K93" s="35">
        <f t="shared" si="14"/>
        <v>500</v>
      </c>
      <c r="L93" s="35">
        <f t="shared" si="9"/>
        <v>500</v>
      </c>
      <c r="M93" s="35">
        <f t="shared" si="9"/>
        <v>260</v>
      </c>
      <c r="N93" s="35">
        <f t="shared" si="10"/>
        <v>460</v>
      </c>
      <c r="O93" s="35">
        <f t="shared" si="11"/>
        <v>460</v>
      </c>
      <c r="P93" s="35">
        <f t="shared" si="12"/>
        <v>460</v>
      </c>
    </row>
    <row r="94" spans="4:22" ht="20.100000000000001" customHeight="1" x14ac:dyDescent="0.25">
      <c r="D94" s="35" t="s">
        <v>69</v>
      </c>
      <c r="E94" s="35" t="s">
        <v>163</v>
      </c>
      <c r="F94" s="35" t="str">
        <f>F27</f>
        <v>Spring</v>
      </c>
      <c r="G94" s="35">
        <f>G23</f>
        <v>250</v>
      </c>
      <c r="H94" s="35">
        <f t="shared" ref="H94:I94" si="15">H23</f>
        <v>800</v>
      </c>
      <c r="I94" s="35">
        <f t="shared" si="15"/>
        <v>220</v>
      </c>
      <c r="J94" s="35">
        <f>J23</f>
        <v>400</v>
      </c>
      <c r="K94" s="35">
        <f>K23</f>
        <v>500</v>
      </c>
      <c r="L94" s="35">
        <f>K23</f>
        <v>500</v>
      </c>
      <c r="M94" s="35">
        <f>L23</f>
        <v>230</v>
      </c>
      <c r="N94" s="35">
        <f>M23</f>
        <v>420</v>
      </c>
      <c r="O94" s="35">
        <f>M23</f>
        <v>420</v>
      </c>
      <c r="P94" s="35">
        <f>M23</f>
        <v>420</v>
      </c>
    </row>
    <row r="95" spans="4:22" ht="20.100000000000001" customHeight="1" x14ac:dyDescent="0.25">
      <c r="D95" s="35" t="s">
        <v>69</v>
      </c>
      <c r="E95" s="35" t="s">
        <v>163</v>
      </c>
      <c r="F95" s="35" t="s">
        <v>135</v>
      </c>
      <c r="G95" s="35">
        <f t="shared" ref="G95:K95" si="16">G24</f>
        <v>320</v>
      </c>
      <c r="H95" s="35">
        <f t="shared" si="16"/>
        <v>800</v>
      </c>
      <c r="I95" s="35">
        <f t="shared" si="16"/>
        <v>280</v>
      </c>
      <c r="J95" s="35">
        <f t="shared" si="16"/>
        <v>420</v>
      </c>
      <c r="K95" s="35">
        <f t="shared" si="16"/>
        <v>500</v>
      </c>
      <c r="L95" s="35">
        <f t="shared" ref="L95:M97" si="17">K24</f>
        <v>500</v>
      </c>
      <c r="M95" s="35">
        <f t="shared" si="17"/>
        <v>290</v>
      </c>
      <c r="N95" s="35">
        <f t="shared" si="10"/>
        <v>420</v>
      </c>
      <c r="O95" s="35">
        <f t="shared" ref="O95:O97" si="18">M24</f>
        <v>420</v>
      </c>
      <c r="P95" s="35">
        <f t="shared" ref="P95:P97" si="19">M24</f>
        <v>420</v>
      </c>
    </row>
    <row r="96" spans="4:22" ht="20.100000000000001" customHeight="1" x14ac:dyDescent="0.25">
      <c r="D96" s="35" t="s">
        <v>69</v>
      </c>
      <c r="E96" s="35" t="s">
        <v>163</v>
      </c>
      <c r="F96" s="35" t="s">
        <v>136</v>
      </c>
      <c r="G96" s="35">
        <f t="shared" ref="G96:K96" si="20">G25</f>
        <v>80</v>
      </c>
      <c r="H96" s="35">
        <f t="shared" si="20"/>
        <v>700</v>
      </c>
      <c r="I96" s="35">
        <f t="shared" si="20"/>
        <v>70</v>
      </c>
      <c r="J96" s="35">
        <f t="shared" si="20"/>
        <v>300</v>
      </c>
      <c r="K96" s="35">
        <f t="shared" si="20"/>
        <v>450</v>
      </c>
      <c r="L96" s="35">
        <f t="shared" si="17"/>
        <v>450</v>
      </c>
      <c r="M96" s="35">
        <f t="shared" si="17"/>
        <v>75</v>
      </c>
      <c r="N96" s="35">
        <f t="shared" si="10"/>
        <v>400</v>
      </c>
      <c r="O96" s="35">
        <f t="shared" si="18"/>
        <v>400</v>
      </c>
      <c r="P96" s="35">
        <f t="shared" si="19"/>
        <v>400</v>
      </c>
    </row>
    <row r="97" spans="4:16" ht="20.100000000000001" customHeight="1" x14ac:dyDescent="0.25">
      <c r="D97" s="35" t="s">
        <v>69</v>
      </c>
      <c r="E97" s="35" t="s">
        <v>163</v>
      </c>
      <c r="F97" s="35" t="s">
        <v>137</v>
      </c>
      <c r="G97" s="35">
        <f t="shared" ref="G97:K97" si="21">G26</f>
        <v>160</v>
      </c>
      <c r="H97" s="35">
        <f t="shared" si="21"/>
        <v>700</v>
      </c>
      <c r="I97" s="35">
        <f t="shared" si="21"/>
        <v>140</v>
      </c>
      <c r="J97" s="35">
        <f t="shared" si="21"/>
        <v>350</v>
      </c>
      <c r="K97" s="35">
        <f t="shared" si="21"/>
        <v>450</v>
      </c>
      <c r="L97" s="35">
        <f t="shared" si="17"/>
        <v>450</v>
      </c>
      <c r="M97" s="35">
        <f t="shared" si="17"/>
        <v>150</v>
      </c>
      <c r="N97" s="35">
        <f t="shared" si="10"/>
        <v>400</v>
      </c>
      <c r="O97" s="35">
        <f t="shared" si="18"/>
        <v>400</v>
      </c>
      <c r="P97" s="35">
        <f t="shared" si="19"/>
        <v>400</v>
      </c>
    </row>
    <row r="98" spans="4:16" ht="20.100000000000001" customHeight="1" x14ac:dyDescent="0.25">
      <c r="D98" s="35" t="s">
        <v>70</v>
      </c>
      <c r="E98" s="35" t="s">
        <v>163</v>
      </c>
      <c r="F98" s="35" t="str">
        <f>F31</f>
        <v>Spring</v>
      </c>
      <c r="G98" s="35">
        <f>G27</f>
        <v>105</v>
      </c>
      <c r="H98" s="35">
        <f t="shared" ref="H98:K98" si="22">H27</f>
        <v>700</v>
      </c>
      <c r="I98" s="35">
        <f t="shared" si="22"/>
        <v>85</v>
      </c>
      <c r="J98" s="35">
        <f t="shared" si="22"/>
        <v>300</v>
      </c>
      <c r="K98" s="35">
        <f t="shared" si="22"/>
        <v>490</v>
      </c>
      <c r="L98" s="35">
        <f>K27</f>
        <v>490</v>
      </c>
      <c r="M98" s="35">
        <f>L27</f>
        <v>90</v>
      </c>
      <c r="N98" s="35">
        <f>M27</f>
        <v>480</v>
      </c>
      <c r="O98" s="35">
        <f>M27</f>
        <v>480</v>
      </c>
      <c r="P98" s="35">
        <f>M27</f>
        <v>480</v>
      </c>
    </row>
    <row r="99" spans="4:16" ht="20.100000000000001" customHeight="1" x14ac:dyDescent="0.25">
      <c r="D99" s="35" t="s">
        <v>70</v>
      </c>
      <c r="E99" s="35" t="s">
        <v>163</v>
      </c>
      <c r="F99" s="35" t="s">
        <v>135</v>
      </c>
      <c r="G99" s="35">
        <f t="shared" ref="G99:K99" si="23">G28</f>
        <v>480</v>
      </c>
      <c r="H99" s="35">
        <f t="shared" si="23"/>
        <v>750</v>
      </c>
      <c r="I99" s="35">
        <f t="shared" si="23"/>
        <v>150</v>
      </c>
      <c r="J99" s="35">
        <f t="shared" si="23"/>
        <v>350</v>
      </c>
      <c r="K99" s="35">
        <f t="shared" si="23"/>
        <v>530</v>
      </c>
      <c r="L99" s="35">
        <f t="shared" ref="L99:M101" si="24">K28</f>
        <v>530</v>
      </c>
      <c r="M99" s="35">
        <f t="shared" si="24"/>
        <v>160</v>
      </c>
      <c r="N99" s="35">
        <f t="shared" si="10"/>
        <v>460</v>
      </c>
      <c r="O99" s="35">
        <f t="shared" ref="O99:O101" si="25">M28</f>
        <v>460</v>
      </c>
      <c r="P99" s="35">
        <f t="shared" ref="P99:P101" si="26">M28</f>
        <v>460</v>
      </c>
    </row>
    <row r="100" spans="4:16" ht="20.100000000000001" customHeight="1" x14ac:dyDescent="0.25">
      <c r="D100" s="35" t="s">
        <v>70</v>
      </c>
      <c r="E100" s="35" t="s">
        <v>163</v>
      </c>
      <c r="F100" s="35" t="s">
        <v>136</v>
      </c>
      <c r="G100" s="35">
        <f t="shared" ref="G100:K100" si="27">G29</f>
        <v>250</v>
      </c>
      <c r="H100" s="35">
        <f t="shared" si="27"/>
        <v>725</v>
      </c>
      <c r="I100" s="35">
        <f t="shared" si="27"/>
        <v>200</v>
      </c>
      <c r="J100" s="35">
        <f t="shared" si="27"/>
        <v>360</v>
      </c>
      <c r="K100" s="35">
        <f t="shared" si="27"/>
        <v>500</v>
      </c>
      <c r="L100" s="35">
        <f t="shared" si="24"/>
        <v>500</v>
      </c>
      <c r="M100" s="35">
        <f t="shared" si="24"/>
        <v>215</v>
      </c>
      <c r="N100" s="35">
        <f t="shared" si="10"/>
        <v>490</v>
      </c>
      <c r="O100" s="35">
        <f t="shared" si="25"/>
        <v>490</v>
      </c>
      <c r="P100" s="35">
        <f t="shared" si="26"/>
        <v>490</v>
      </c>
    </row>
    <row r="101" spans="4:16" ht="20.100000000000001" customHeight="1" x14ac:dyDescent="0.25">
      <c r="D101" s="35" t="s">
        <v>70</v>
      </c>
      <c r="E101" s="35" t="s">
        <v>163</v>
      </c>
      <c r="F101" s="35" t="s">
        <v>137</v>
      </c>
      <c r="G101" s="35">
        <f t="shared" ref="G101:K101" si="28">G30</f>
        <v>260</v>
      </c>
      <c r="H101" s="35">
        <f t="shared" si="28"/>
        <v>700</v>
      </c>
      <c r="I101" s="35">
        <f t="shared" si="28"/>
        <v>210</v>
      </c>
      <c r="J101" s="35">
        <f t="shared" si="28"/>
        <v>380</v>
      </c>
      <c r="K101" s="35">
        <f t="shared" si="28"/>
        <v>460</v>
      </c>
      <c r="L101" s="35">
        <f t="shared" si="24"/>
        <v>460</v>
      </c>
      <c r="M101" s="35">
        <f t="shared" si="24"/>
        <v>230</v>
      </c>
      <c r="N101" s="35">
        <f t="shared" si="10"/>
        <v>470</v>
      </c>
      <c r="O101" s="35">
        <f t="shared" si="25"/>
        <v>470</v>
      </c>
      <c r="P101" s="35">
        <f t="shared" si="26"/>
        <v>470</v>
      </c>
    </row>
    <row r="102" spans="4:16" ht="20.100000000000001" customHeight="1" x14ac:dyDescent="0.25">
      <c r="D102" s="35" t="s">
        <v>71</v>
      </c>
      <c r="E102" s="35" t="s">
        <v>163</v>
      </c>
      <c r="F102" s="35" t="str">
        <f>F35</f>
        <v>Spring</v>
      </c>
      <c r="G102" s="35">
        <f>G31</f>
        <v>250</v>
      </c>
      <c r="H102" s="35">
        <f t="shared" ref="H102:J102" si="29">H31</f>
        <v>820</v>
      </c>
      <c r="I102" s="35">
        <f t="shared" si="29"/>
        <v>240</v>
      </c>
      <c r="J102" s="35">
        <f t="shared" si="29"/>
        <v>410</v>
      </c>
      <c r="K102" s="35">
        <f>K31</f>
        <v>560</v>
      </c>
      <c r="L102" s="35">
        <f>K31</f>
        <v>560</v>
      </c>
      <c r="M102" s="35">
        <f>L31</f>
        <v>240</v>
      </c>
      <c r="N102" s="35">
        <f>M31</f>
        <v>510</v>
      </c>
      <c r="O102" s="35">
        <f>M31</f>
        <v>510</v>
      </c>
      <c r="P102" s="35">
        <f>M31</f>
        <v>510</v>
      </c>
    </row>
    <row r="103" spans="4:16" ht="20.100000000000001" customHeight="1" x14ac:dyDescent="0.25">
      <c r="D103" s="35" t="s">
        <v>71</v>
      </c>
      <c r="E103" s="35" t="s">
        <v>163</v>
      </c>
      <c r="F103" s="35" t="s">
        <v>135</v>
      </c>
      <c r="G103" s="35">
        <f t="shared" ref="G103:K103" si="30">G32</f>
        <v>280</v>
      </c>
      <c r="H103" s="35">
        <f t="shared" si="30"/>
        <v>850</v>
      </c>
      <c r="I103" s="35">
        <f t="shared" si="30"/>
        <v>260</v>
      </c>
      <c r="J103" s="35">
        <f t="shared" si="30"/>
        <v>440</v>
      </c>
      <c r="K103" s="35">
        <f t="shared" si="30"/>
        <v>550</v>
      </c>
      <c r="L103" s="35">
        <f t="shared" ref="L103:M105" si="31">K32</f>
        <v>550</v>
      </c>
      <c r="M103" s="35">
        <f t="shared" si="31"/>
        <v>270</v>
      </c>
      <c r="N103" s="35">
        <f t="shared" si="10"/>
        <v>520</v>
      </c>
      <c r="O103" s="35">
        <f t="shared" ref="O103:O105" si="32">M32</f>
        <v>520</v>
      </c>
      <c r="P103" s="35">
        <f t="shared" ref="P103:P105" si="33">M32</f>
        <v>520</v>
      </c>
    </row>
    <row r="104" spans="4:16" ht="20.100000000000001" customHeight="1" x14ac:dyDescent="0.25">
      <c r="D104" s="35" t="s">
        <v>71</v>
      </c>
      <c r="E104" s="35" t="s">
        <v>163</v>
      </c>
      <c r="F104" s="35" t="s">
        <v>136</v>
      </c>
      <c r="G104" s="35">
        <f t="shared" ref="G104:K104" si="34">G33</f>
        <v>100</v>
      </c>
      <c r="H104" s="35">
        <f t="shared" si="34"/>
        <v>700</v>
      </c>
      <c r="I104" s="35">
        <f t="shared" si="34"/>
        <v>95</v>
      </c>
      <c r="J104" s="35">
        <f t="shared" si="34"/>
        <v>300</v>
      </c>
      <c r="K104" s="35">
        <f t="shared" si="34"/>
        <v>450</v>
      </c>
      <c r="L104" s="35">
        <f t="shared" si="31"/>
        <v>450</v>
      </c>
      <c r="M104" s="35">
        <f t="shared" si="31"/>
        <v>95</v>
      </c>
      <c r="N104" s="35">
        <f t="shared" si="10"/>
        <v>410</v>
      </c>
      <c r="O104" s="35">
        <f t="shared" si="32"/>
        <v>410</v>
      </c>
      <c r="P104" s="35">
        <f t="shared" si="33"/>
        <v>410</v>
      </c>
    </row>
    <row r="105" spans="4:16" ht="20.100000000000001" customHeight="1" x14ac:dyDescent="0.25">
      <c r="D105" s="35" t="s">
        <v>71</v>
      </c>
      <c r="E105" s="35" t="s">
        <v>163</v>
      </c>
      <c r="F105" s="35" t="s">
        <v>137</v>
      </c>
      <c r="G105" s="35">
        <f t="shared" ref="G105:K105" si="35">G34</f>
        <v>150</v>
      </c>
      <c r="H105" s="35">
        <f t="shared" si="35"/>
        <v>720</v>
      </c>
      <c r="I105" s="35">
        <f t="shared" si="35"/>
        <v>140</v>
      </c>
      <c r="J105" s="35">
        <f t="shared" si="35"/>
        <v>320</v>
      </c>
      <c r="K105" s="35">
        <f t="shared" si="35"/>
        <v>470</v>
      </c>
      <c r="L105" s="35">
        <f t="shared" si="31"/>
        <v>470</v>
      </c>
      <c r="M105" s="35">
        <f t="shared" si="31"/>
        <v>140</v>
      </c>
      <c r="N105" s="35">
        <f t="shared" si="10"/>
        <v>440</v>
      </c>
      <c r="O105" s="35">
        <f t="shared" si="32"/>
        <v>440</v>
      </c>
      <c r="P105" s="35">
        <f t="shared" si="33"/>
        <v>440</v>
      </c>
    </row>
    <row r="106" spans="4:16" ht="20.100000000000001" customHeight="1" x14ac:dyDescent="0.25">
      <c r="D106" s="35" t="s">
        <v>72</v>
      </c>
      <c r="E106" s="35" t="str">
        <f>E35</f>
        <v>South West</v>
      </c>
      <c r="F106" s="35" t="str">
        <f t="shared" ref="F106:K106" si="36">F35</f>
        <v>Spring</v>
      </c>
      <c r="G106" s="35">
        <f t="shared" si="36"/>
        <v>340</v>
      </c>
      <c r="H106" s="35">
        <f t="shared" si="36"/>
        <v>800</v>
      </c>
      <c r="I106" s="35">
        <f t="shared" si="36"/>
        <v>260</v>
      </c>
      <c r="J106" s="35">
        <f t="shared" si="36"/>
        <v>420</v>
      </c>
      <c r="K106" s="35">
        <f t="shared" si="36"/>
        <v>550</v>
      </c>
      <c r="L106" s="35">
        <f>K35</f>
        <v>550</v>
      </c>
      <c r="M106" s="35">
        <f>L35</f>
        <v>300</v>
      </c>
      <c r="N106" s="35">
        <f>M35</f>
        <v>480</v>
      </c>
      <c r="O106" s="35">
        <f>M35</f>
        <v>480</v>
      </c>
      <c r="P106" s="35">
        <f>M35</f>
        <v>480</v>
      </c>
    </row>
    <row r="107" spans="4:16" ht="20.100000000000001" customHeight="1" x14ac:dyDescent="0.25">
      <c r="D107" s="35" t="s">
        <v>72</v>
      </c>
      <c r="E107" s="35" t="str">
        <f t="shared" ref="E107:K107" si="37">E36</f>
        <v>South West</v>
      </c>
      <c r="F107" s="35" t="str">
        <f t="shared" si="37"/>
        <v>Summer</v>
      </c>
      <c r="G107" s="35">
        <f t="shared" si="37"/>
        <v>380</v>
      </c>
      <c r="H107" s="35">
        <f t="shared" si="37"/>
        <v>780</v>
      </c>
      <c r="I107" s="35">
        <f t="shared" si="37"/>
        <v>300</v>
      </c>
      <c r="J107" s="35">
        <f t="shared" si="37"/>
        <v>450</v>
      </c>
      <c r="K107" s="35">
        <f t="shared" si="37"/>
        <v>530</v>
      </c>
      <c r="L107" s="35">
        <f t="shared" ref="L107:M117" si="38">K36</f>
        <v>530</v>
      </c>
      <c r="M107" s="35">
        <f t="shared" si="38"/>
        <v>340</v>
      </c>
      <c r="N107" s="35">
        <f t="shared" si="10"/>
        <v>470</v>
      </c>
      <c r="O107" s="35">
        <f t="shared" ref="O107:O117" si="39">M36</f>
        <v>470</v>
      </c>
      <c r="P107" s="35">
        <f t="shared" ref="P107:P117" si="40">M36</f>
        <v>470</v>
      </c>
    </row>
    <row r="108" spans="4:16" ht="20.100000000000001" customHeight="1" x14ac:dyDescent="0.25">
      <c r="D108" s="35" t="s">
        <v>72</v>
      </c>
      <c r="E108" s="35" t="str">
        <f t="shared" ref="E108:K108" si="41">E37</f>
        <v>South West</v>
      </c>
      <c r="F108" s="35" t="str">
        <f t="shared" si="41"/>
        <v>Autumn</v>
      </c>
      <c r="G108" s="35">
        <f t="shared" si="41"/>
        <v>100</v>
      </c>
      <c r="H108" s="35">
        <f t="shared" si="41"/>
        <v>680</v>
      </c>
      <c r="I108" s="35">
        <f t="shared" si="41"/>
        <v>80</v>
      </c>
      <c r="J108" s="35">
        <f t="shared" si="41"/>
        <v>320</v>
      </c>
      <c r="K108" s="35">
        <f t="shared" si="41"/>
        <v>480</v>
      </c>
      <c r="L108" s="35">
        <f t="shared" si="38"/>
        <v>480</v>
      </c>
      <c r="M108" s="35">
        <f t="shared" si="38"/>
        <v>100</v>
      </c>
      <c r="N108" s="35">
        <f t="shared" si="10"/>
        <v>340</v>
      </c>
      <c r="O108" s="35">
        <f t="shared" si="39"/>
        <v>340</v>
      </c>
      <c r="P108" s="35">
        <f t="shared" si="40"/>
        <v>340</v>
      </c>
    </row>
    <row r="109" spans="4:16" ht="20.100000000000001" customHeight="1" x14ac:dyDescent="0.25">
      <c r="D109" s="35" t="s">
        <v>72</v>
      </c>
      <c r="E109" s="35" t="str">
        <f t="shared" ref="E109:K109" si="42">E38</f>
        <v>South West</v>
      </c>
      <c r="F109" s="35" t="str">
        <f t="shared" si="42"/>
        <v>Winter</v>
      </c>
      <c r="G109" s="35">
        <f t="shared" si="42"/>
        <v>190</v>
      </c>
      <c r="H109" s="35">
        <f t="shared" si="42"/>
        <v>700</v>
      </c>
      <c r="I109" s="35">
        <f t="shared" si="42"/>
        <v>150</v>
      </c>
      <c r="J109" s="35">
        <f t="shared" si="42"/>
        <v>330</v>
      </c>
      <c r="K109" s="35">
        <f t="shared" si="42"/>
        <v>490</v>
      </c>
      <c r="L109" s="35">
        <f t="shared" si="38"/>
        <v>490</v>
      </c>
      <c r="M109" s="35">
        <f t="shared" si="38"/>
        <v>170</v>
      </c>
      <c r="N109" s="35">
        <f t="shared" si="10"/>
        <v>360</v>
      </c>
      <c r="O109" s="35">
        <f t="shared" si="39"/>
        <v>360</v>
      </c>
      <c r="P109" s="35">
        <f t="shared" si="40"/>
        <v>360</v>
      </c>
    </row>
    <row r="110" spans="4:16" ht="20.100000000000001" customHeight="1" x14ac:dyDescent="0.25">
      <c r="D110" s="35" t="s">
        <v>72</v>
      </c>
      <c r="E110" s="35" t="str">
        <f t="shared" ref="E110:K110" si="43">E39</f>
        <v>Pilbara</v>
      </c>
      <c r="F110" s="35" t="str">
        <f t="shared" si="43"/>
        <v>Spring</v>
      </c>
      <c r="G110" s="35">
        <f t="shared" si="43"/>
        <v>80</v>
      </c>
      <c r="H110" s="35">
        <f t="shared" si="43"/>
        <v>450</v>
      </c>
      <c r="I110" s="35">
        <f t="shared" si="43"/>
        <v>70</v>
      </c>
      <c r="J110" s="35">
        <f t="shared" si="43"/>
        <v>260</v>
      </c>
      <c r="K110" s="35">
        <f t="shared" si="43"/>
        <v>340</v>
      </c>
      <c r="L110" s="35">
        <f t="shared" si="38"/>
        <v>340</v>
      </c>
      <c r="M110" s="35">
        <f t="shared" si="38"/>
        <v>80</v>
      </c>
      <c r="N110" s="35">
        <f t="shared" si="10"/>
        <v>370</v>
      </c>
      <c r="O110" s="35">
        <f t="shared" si="39"/>
        <v>370</v>
      </c>
      <c r="P110" s="35">
        <f t="shared" si="40"/>
        <v>370</v>
      </c>
    </row>
    <row r="111" spans="4:16" ht="20.100000000000001" customHeight="1" x14ac:dyDescent="0.25">
      <c r="D111" s="35" t="s">
        <v>72</v>
      </c>
      <c r="E111" s="35" t="str">
        <f t="shared" ref="E111:K111" si="44">E40</f>
        <v>Pilbara</v>
      </c>
      <c r="F111" s="35" t="str">
        <f t="shared" si="44"/>
        <v>Summer</v>
      </c>
      <c r="G111" s="35">
        <f t="shared" si="44"/>
        <v>150</v>
      </c>
      <c r="H111" s="35">
        <f t="shared" si="44"/>
        <v>500</v>
      </c>
      <c r="I111" s="35">
        <f t="shared" si="44"/>
        <v>140</v>
      </c>
      <c r="J111" s="35">
        <f t="shared" si="44"/>
        <v>310</v>
      </c>
      <c r="K111" s="35">
        <f t="shared" si="44"/>
        <v>360</v>
      </c>
      <c r="L111" s="35">
        <f t="shared" si="38"/>
        <v>360</v>
      </c>
      <c r="M111" s="35">
        <f t="shared" si="38"/>
        <v>150</v>
      </c>
      <c r="N111" s="35">
        <f t="shared" si="10"/>
        <v>400</v>
      </c>
      <c r="O111" s="35">
        <f t="shared" si="39"/>
        <v>400</v>
      </c>
      <c r="P111" s="35">
        <f t="shared" si="40"/>
        <v>400</v>
      </c>
    </row>
    <row r="112" spans="4:16" ht="20.100000000000001" customHeight="1" x14ac:dyDescent="0.25">
      <c r="D112" s="35" t="s">
        <v>72</v>
      </c>
      <c r="E112" s="35" t="str">
        <f t="shared" ref="E112:K112" si="45">E41</f>
        <v>Pilbara</v>
      </c>
      <c r="F112" s="35" t="str">
        <f t="shared" si="45"/>
        <v>Autumn</v>
      </c>
      <c r="G112" s="35">
        <f t="shared" si="45"/>
        <v>230</v>
      </c>
      <c r="H112" s="35">
        <f t="shared" si="45"/>
        <v>550</v>
      </c>
      <c r="I112" s="35">
        <f t="shared" si="45"/>
        <v>220</v>
      </c>
      <c r="J112" s="35">
        <f t="shared" si="45"/>
        <v>330</v>
      </c>
      <c r="K112" s="35">
        <f t="shared" si="45"/>
        <v>380</v>
      </c>
      <c r="L112" s="35">
        <f t="shared" si="38"/>
        <v>380</v>
      </c>
      <c r="M112" s="35">
        <f t="shared" si="38"/>
        <v>230</v>
      </c>
      <c r="N112" s="35">
        <f t="shared" si="10"/>
        <v>420</v>
      </c>
      <c r="O112" s="35">
        <f t="shared" si="39"/>
        <v>420</v>
      </c>
      <c r="P112" s="35">
        <f t="shared" si="40"/>
        <v>420</v>
      </c>
    </row>
    <row r="113" spans="4:22" ht="20.100000000000001" customHeight="1" x14ac:dyDescent="0.25">
      <c r="D113" s="35" t="s">
        <v>72</v>
      </c>
      <c r="E113" s="35" t="str">
        <f t="shared" ref="E113:K113" si="46">E42</f>
        <v>Pilbara</v>
      </c>
      <c r="F113" s="35" t="str">
        <f t="shared" si="46"/>
        <v>Winter</v>
      </c>
      <c r="G113" s="35">
        <f t="shared" si="46"/>
        <v>250</v>
      </c>
      <c r="H113" s="35">
        <f t="shared" si="46"/>
        <v>500</v>
      </c>
      <c r="I113" s="35">
        <f t="shared" si="46"/>
        <v>240</v>
      </c>
      <c r="J113" s="35">
        <f t="shared" si="46"/>
        <v>340</v>
      </c>
      <c r="K113" s="35">
        <f t="shared" si="46"/>
        <v>360</v>
      </c>
      <c r="L113" s="35">
        <f t="shared" si="38"/>
        <v>360</v>
      </c>
      <c r="M113" s="35">
        <f t="shared" si="38"/>
        <v>250</v>
      </c>
      <c r="N113" s="35">
        <f t="shared" si="10"/>
        <v>390</v>
      </c>
      <c r="O113" s="35">
        <f t="shared" si="39"/>
        <v>390</v>
      </c>
      <c r="P113" s="35">
        <f t="shared" si="40"/>
        <v>390</v>
      </c>
    </row>
    <row r="114" spans="4:22" ht="20.100000000000001" customHeight="1" x14ac:dyDescent="0.25">
      <c r="D114" s="35" t="s">
        <v>72</v>
      </c>
      <c r="E114" s="35" t="str">
        <f t="shared" ref="E114:K114" si="47">E43</f>
        <v>Kimberley</v>
      </c>
      <c r="F114" s="35" t="str">
        <f t="shared" si="47"/>
        <v>Spring</v>
      </c>
      <c r="G114" s="35">
        <f t="shared" si="47"/>
        <v>220</v>
      </c>
      <c r="H114" s="35">
        <f t="shared" si="47"/>
        <v>500</v>
      </c>
      <c r="I114" s="35">
        <f t="shared" si="47"/>
        <v>180</v>
      </c>
      <c r="J114" s="35">
        <f t="shared" si="47"/>
        <v>300</v>
      </c>
      <c r="K114" s="35">
        <f t="shared" si="47"/>
        <v>320</v>
      </c>
      <c r="L114" s="35">
        <f t="shared" si="38"/>
        <v>320</v>
      </c>
      <c r="M114" s="35">
        <f t="shared" si="38"/>
        <v>210</v>
      </c>
      <c r="N114" s="35">
        <f t="shared" si="10"/>
        <v>340</v>
      </c>
      <c r="O114" s="35">
        <f t="shared" si="39"/>
        <v>340</v>
      </c>
      <c r="P114" s="35">
        <f t="shared" si="40"/>
        <v>340</v>
      </c>
    </row>
    <row r="115" spans="4:22" ht="20.100000000000001" customHeight="1" x14ac:dyDescent="0.25">
      <c r="D115" s="35" t="s">
        <v>72</v>
      </c>
      <c r="E115" s="35" t="str">
        <f t="shared" ref="E115:K115" si="48">E44</f>
        <v>Kimberley</v>
      </c>
      <c r="F115" s="35" t="str">
        <f t="shared" si="48"/>
        <v>Summer</v>
      </c>
      <c r="G115" s="35">
        <f t="shared" si="48"/>
        <v>110</v>
      </c>
      <c r="H115" s="35">
        <f t="shared" si="48"/>
        <v>550</v>
      </c>
      <c r="I115" s="35">
        <f t="shared" si="48"/>
        <v>90</v>
      </c>
      <c r="J115" s="35">
        <f t="shared" si="48"/>
        <v>220</v>
      </c>
      <c r="K115" s="35">
        <f t="shared" si="48"/>
        <v>380</v>
      </c>
      <c r="L115" s="35">
        <f t="shared" si="38"/>
        <v>380</v>
      </c>
      <c r="M115" s="35">
        <f t="shared" si="38"/>
        <v>100</v>
      </c>
      <c r="N115" s="35">
        <f t="shared" si="10"/>
        <v>390</v>
      </c>
      <c r="O115" s="35">
        <f t="shared" si="39"/>
        <v>390</v>
      </c>
      <c r="P115" s="35">
        <f t="shared" si="40"/>
        <v>390</v>
      </c>
      <c r="V115" s="1"/>
    </row>
    <row r="116" spans="4:22" ht="20.100000000000001" customHeight="1" x14ac:dyDescent="0.25">
      <c r="D116" s="35" t="s">
        <v>72</v>
      </c>
      <c r="E116" s="35" t="str">
        <f t="shared" ref="E116:K116" si="49">E45</f>
        <v>Kimberley</v>
      </c>
      <c r="F116" s="35" t="str">
        <f t="shared" si="49"/>
        <v>Autumn</v>
      </c>
      <c r="G116" s="35">
        <f t="shared" si="49"/>
        <v>170</v>
      </c>
      <c r="H116" s="35">
        <f t="shared" si="49"/>
        <v>600</v>
      </c>
      <c r="I116" s="35">
        <f t="shared" si="49"/>
        <v>140</v>
      </c>
      <c r="J116" s="35">
        <f t="shared" si="49"/>
        <v>270</v>
      </c>
      <c r="K116" s="35">
        <f t="shared" si="49"/>
        <v>390</v>
      </c>
      <c r="L116" s="35">
        <f t="shared" si="38"/>
        <v>390</v>
      </c>
      <c r="M116" s="35">
        <f t="shared" si="38"/>
        <v>160</v>
      </c>
      <c r="N116" s="35">
        <f t="shared" si="10"/>
        <v>430</v>
      </c>
      <c r="O116" s="35">
        <f t="shared" si="39"/>
        <v>430</v>
      </c>
      <c r="P116" s="35">
        <f t="shared" si="40"/>
        <v>430</v>
      </c>
      <c r="V116" s="1"/>
    </row>
    <row r="117" spans="4:22" ht="20.100000000000001" customHeight="1" x14ac:dyDescent="0.25">
      <c r="D117" s="35" t="s">
        <v>72</v>
      </c>
      <c r="E117" s="35" t="str">
        <f t="shared" ref="E117:K117" si="50">E46</f>
        <v>Kimberley</v>
      </c>
      <c r="F117" s="35" t="str">
        <f t="shared" si="50"/>
        <v>Winter</v>
      </c>
      <c r="G117" s="35">
        <f t="shared" si="50"/>
        <v>200</v>
      </c>
      <c r="H117" s="35">
        <f t="shared" si="50"/>
        <v>550</v>
      </c>
      <c r="I117" s="35">
        <f t="shared" si="50"/>
        <v>150</v>
      </c>
      <c r="J117" s="35">
        <f t="shared" si="50"/>
        <v>280</v>
      </c>
      <c r="K117" s="35">
        <f t="shared" si="50"/>
        <v>350</v>
      </c>
      <c r="L117" s="35">
        <f t="shared" si="38"/>
        <v>350</v>
      </c>
      <c r="M117" s="35">
        <f t="shared" si="38"/>
        <v>190</v>
      </c>
      <c r="N117" s="35">
        <f t="shared" si="10"/>
        <v>400</v>
      </c>
      <c r="O117" s="35">
        <f t="shared" si="39"/>
        <v>400</v>
      </c>
      <c r="P117" s="35">
        <f t="shared" si="40"/>
        <v>400</v>
      </c>
      <c r="V117" s="1"/>
    </row>
    <row r="118" spans="4:22" ht="20.100000000000001" customHeight="1" x14ac:dyDescent="0.25">
      <c r="D118" s="35" t="s">
        <v>67</v>
      </c>
      <c r="E118" s="35" t="str">
        <f>E54</f>
        <v>Alice Springs</v>
      </c>
      <c r="F118" s="35" t="str">
        <f t="shared" ref="F118:P118" si="51">F54</f>
        <v>Spring</v>
      </c>
      <c r="G118" s="35">
        <f t="shared" si="51"/>
        <v>220</v>
      </c>
      <c r="H118" s="35">
        <f t="shared" si="51"/>
        <v>706</v>
      </c>
      <c r="I118" s="35">
        <f t="shared" si="51"/>
        <v>208</v>
      </c>
      <c r="J118" s="35">
        <f t="shared" si="51"/>
        <v>323</v>
      </c>
      <c r="K118" s="35">
        <f t="shared" si="51"/>
        <v>415</v>
      </c>
      <c r="L118" s="35">
        <f t="shared" si="51"/>
        <v>467</v>
      </c>
      <c r="M118" s="35">
        <f t="shared" si="51"/>
        <v>223</v>
      </c>
      <c r="N118" s="35">
        <f t="shared" si="51"/>
        <v>371</v>
      </c>
      <c r="O118" s="35">
        <f t="shared" si="51"/>
        <v>493</v>
      </c>
      <c r="P118" s="35">
        <f t="shared" si="51"/>
        <v>585</v>
      </c>
    </row>
    <row r="119" spans="4:22" ht="20.100000000000001" customHeight="1" x14ac:dyDescent="0.25">
      <c r="D119" s="35" t="s">
        <v>67</v>
      </c>
      <c r="E119" s="35" t="str">
        <f t="shared" ref="E119:P119" si="52">E55</f>
        <v>Alice Springs</v>
      </c>
      <c r="F119" s="35" t="str">
        <f t="shared" si="52"/>
        <v>Summer</v>
      </c>
      <c r="G119" s="35">
        <f t="shared" si="52"/>
        <v>110</v>
      </c>
      <c r="H119" s="35">
        <f t="shared" si="52"/>
        <v>703</v>
      </c>
      <c r="I119" s="35">
        <f t="shared" si="52"/>
        <v>112</v>
      </c>
      <c r="J119" s="35">
        <f t="shared" si="52"/>
        <v>256</v>
      </c>
      <c r="K119" s="35">
        <f t="shared" si="52"/>
        <v>368</v>
      </c>
      <c r="L119" s="35">
        <f t="shared" si="52"/>
        <v>465</v>
      </c>
      <c r="M119" s="35">
        <f t="shared" si="52"/>
        <v>108</v>
      </c>
      <c r="N119" s="35">
        <f t="shared" si="52"/>
        <v>280</v>
      </c>
      <c r="O119" s="35">
        <f t="shared" si="52"/>
        <v>421</v>
      </c>
      <c r="P119" s="35">
        <f t="shared" si="52"/>
        <v>543</v>
      </c>
    </row>
    <row r="120" spans="4:22" ht="20.100000000000001" customHeight="1" x14ac:dyDescent="0.25">
      <c r="D120" s="35" t="s">
        <v>67</v>
      </c>
      <c r="E120" s="35" t="str">
        <f t="shared" ref="E120:P120" si="53">E56</f>
        <v>Alice Springs</v>
      </c>
      <c r="F120" s="35" t="str">
        <f t="shared" si="53"/>
        <v>Autumn</v>
      </c>
      <c r="G120" s="35">
        <f t="shared" si="53"/>
        <v>170</v>
      </c>
      <c r="H120" s="35">
        <f t="shared" si="53"/>
        <v>721</v>
      </c>
      <c r="I120" s="35">
        <f t="shared" si="53"/>
        <v>169</v>
      </c>
      <c r="J120" s="35">
        <f t="shared" si="53"/>
        <v>306</v>
      </c>
      <c r="K120" s="35">
        <f t="shared" si="53"/>
        <v>392</v>
      </c>
      <c r="L120" s="35">
        <f t="shared" si="53"/>
        <v>464</v>
      </c>
      <c r="M120" s="35">
        <f t="shared" si="53"/>
        <v>176</v>
      </c>
      <c r="N120" s="35">
        <f t="shared" si="53"/>
        <v>339</v>
      </c>
      <c r="O120" s="35">
        <f t="shared" si="53"/>
        <v>470</v>
      </c>
      <c r="P120" s="35">
        <f t="shared" si="53"/>
        <v>580</v>
      </c>
    </row>
    <row r="121" spans="4:22" ht="20.100000000000001" customHeight="1" x14ac:dyDescent="0.25">
      <c r="D121" s="35" t="s">
        <v>67</v>
      </c>
      <c r="E121" s="35" t="str">
        <f t="shared" ref="E121:P121" si="54">E57</f>
        <v>Alice Springs</v>
      </c>
      <c r="F121" s="35" t="str">
        <f t="shared" si="54"/>
        <v>Winter</v>
      </c>
      <c r="G121" s="35">
        <f t="shared" si="54"/>
        <v>200</v>
      </c>
      <c r="H121" s="35">
        <f t="shared" si="54"/>
        <v>727</v>
      </c>
      <c r="I121" s="35">
        <f t="shared" si="54"/>
        <v>211</v>
      </c>
      <c r="J121" s="35">
        <f t="shared" si="54"/>
        <v>338</v>
      </c>
      <c r="K121" s="35">
        <f t="shared" si="54"/>
        <v>432</v>
      </c>
      <c r="L121" s="35">
        <f t="shared" si="54"/>
        <v>492</v>
      </c>
      <c r="M121" s="35">
        <f t="shared" si="54"/>
        <v>222</v>
      </c>
      <c r="N121" s="35">
        <f t="shared" si="54"/>
        <v>377</v>
      </c>
      <c r="O121" s="35">
        <f t="shared" si="54"/>
        <v>498</v>
      </c>
      <c r="P121" s="35">
        <f t="shared" si="54"/>
        <v>590</v>
      </c>
    </row>
    <row r="122" spans="4:22" ht="20.100000000000001" customHeight="1" x14ac:dyDescent="0.25">
      <c r="D122" s="35" t="s">
        <v>67</v>
      </c>
      <c r="E122" s="35" t="str">
        <f t="shared" ref="E122:P122" si="55">E58</f>
        <v>Barkly</v>
      </c>
      <c r="F122" s="35" t="str">
        <f t="shared" si="55"/>
        <v>Spring</v>
      </c>
      <c r="G122" s="35">
        <f t="shared" si="55"/>
        <v>220</v>
      </c>
      <c r="H122" s="35">
        <f t="shared" si="55"/>
        <v>620</v>
      </c>
      <c r="I122" s="35">
        <f t="shared" si="55"/>
        <v>227</v>
      </c>
      <c r="J122" s="35">
        <f t="shared" si="55"/>
        <v>319</v>
      </c>
      <c r="K122" s="35">
        <f t="shared" si="55"/>
        <v>398</v>
      </c>
      <c r="L122" s="35">
        <f t="shared" si="55"/>
        <v>452</v>
      </c>
      <c r="M122" s="35">
        <f t="shared" si="55"/>
        <v>216</v>
      </c>
      <c r="N122" s="35">
        <f t="shared" si="55"/>
        <v>334</v>
      </c>
      <c r="O122" s="35" t="str">
        <f t="shared" si="55"/>
        <v>NO</v>
      </c>
      <c r="P122" s="35" t="str">
        <f t="shared" si="55"/>
        <v>NO</v>
      </c>
    </row>
    <row r="123" spans="4:22" ht="20.100000000000001" customHeight="1" x14ac:dyDescent="0.25">
      <c r="D123" s="35" t="s">
        <v>67</v>
      </c>
      <c r="E123" s="35" t="str">
        <f t="shared" ref="E123:P123" si="56">E59</f>
        <v>Barkly</v>
      </c>
      <c r="F123" s="35" t="str">
        <f t="shared" si="56"/>
        <v>Summer</v>
      </c>
      <c r="G123" s="35">
        <f t="shared" si="56"/>
        <v>110</v>
      </c>
      <c r="H123" s="35">
        <f t="shared" si="56"/>
        <v>650</v>
      </c>
      <c r="I123" s="35">
        <f t="shared" si="56"/>
        <v>108</v>
      </c>
      <c r="J123" s="35">
        <f t="shared" si="56"/>
        <v>262</v>
      </c>
      <c r="K123" s="35">
        <f t="shared" si="56"/>
        <v>346</v>
      </c>
      <c r="L123" s="35">
        <f t="shared" si="56"/>
        <v>430</v>
      </c>
      <c r="M123" s="35">
        <f t="shared" si="56"/>
        <v>111</v>
      </c>
      <c r="N123" s="35">
        <f t="shared" si="56"/>
        <v>236</v>
      </c>
      <c r="O123" s="35" t="str">
        <f t="shared" si="56"/>
        <v>NO</v>
      </c>
      <c r="P123" s="35" t="str">
        <f t="shared" si="56"/>
        <v>NO</v>
      </c>
    </row>
    <row r="124" spans="4:22" ht="20.100000000000001" customHeight="1" x14ac:dyDescent="0.25">
      <c r="D124" s="35" t="s">
        <v>67</v>
      </c>
      <c r="E124" s="35" t="str">
        <f t="shared" ref="E124:P124" si="57">E60</f>
        <v>Barkly</v>
      </c>
      <c r="F124" s="35" t="str">
        <f t="shared" si="57"/>
        <v>Autumn</v>
      </c>
      <c r="G124" s="35">
        <f t="shared" si="57"/>
        <v>170</v>
      </c>
      <c r="H124" s="35">
        <f t="shared" si="57"/>
        <v>670</v>
      </c>
      <c r="I124" s="35">
        <f t="shared" si="57"/>
        <v>170</v>
      </c>
      <c r="J124" s="35">
        <f t="shared" si="57"/>
        <v>266</v>
      </c>
      <c r="K124" s="35">
        <f t="shared" si="57"/>
        <v>363</v>
      </c>
      <c r="L124" s="35">
        <f t="shared" si="57"/>
        <v>444</v>
      </c>
      <c r="M124" s="35">
        <f t="shared" si="57"/>
        <v>169</v>
      </c>
      <c r="N124" s="35">
        <f t="shared" si="57"/>
        <v>282</v>
      </c>
      <c r="O124" s="35" t="str">
        <f t="shared" si="57"/>
        <v>NO</v>
      </c>
      <c r="P124" s="35" t="str">
        <f t="shared" si="57"/>
        <v>NO</v>
      </c>
    </row>
    <row r="125" spans="4:22" ht="20.100000000000001" customHeight="1" x14ac:dyDescent="0.25">
      <c r="D125" s="35" t="s">
        <v>67</v>
      </c>
      <c r="E125" s="35" t="str">
        <f t="shared" ref="E125:P125" si="58">E61</f>
        <v>Barkly</v>
      </c>
      <c r="F125" s="35" t="str">
        <f t="shared" si="58"/>
        <v>Winter</v>
      </c>
      <c r="G125" s="35">
        <f t="shared" si="58"/>
        <v>200</v>
      </c>
      <c r="H125" s="35">
        <f t="shared" si="58"/>
        <v>660</v>
      </c>
      <c r="I125" s="35">
        <f t="shared" si="58"/>
        <v>225</v>
      </c>
      <c r="J125" s="35">
        <f t="shared" si="58"/>
        <v>307</v>
      </c>
      <c r="K125" s="35">
        <f t="shared" si="58"/>
        <v>398</v>
      </c>
      <c r="L125" s="35">
        <f t="shared" si="58"/>
        <v>452</v>
      </c>
      <c r="M125" s="35">
        <f t="shared" si="58"/>
        <v>214</v>
      </c>
      <c r="N125" s="35">
        <f t="shared" si="58"/>
        <v>326</v>
      </c>
      <c r="O125" s="35" t="str">
        <f t="shared" si="58"/>
        <v>NO</v>
      </c>
      <c r="P125" s="35" t="str">
        <f t="shared" si="58"/>
        <v>NO</v>
      </c>
      <c r="V125" s="1"/>
    </row>
    <row r="126" spans="4:22" ht="20.100000000000001" customHeight="1" x14ac:dyDescent="0.25">
      <c r="D126" s="35" t="s">
        <v>67</v>
      </c>
      <c r="E126" s="35" t="str">
        <f t="shared" ref="E126:P126" si="59">E62</f>
        <v>Northern</v>
      </c>
      <c r="F126" s="35" t="str">
        <f t="shared" si="59"/>
        <v>Spring</v>
      </c>
      <c r="G126" s="35">
        <f t="shared" si="59"/>
        <v>220</v>
      </c>
      <c r="H126" s="35">
        <f t="shared" si="59"/>
        <v>620</v>
      </c>
      <c r="I126" s="35">
        <f t="shared" si="59"/>
        <v>177</v>
      </c>
      <c r="J126" s="35">
        <f t="shared" si="59"/>
        <v>267</v>
      </c>
      <c r="K126" s="35">
        <f t="shared" si="59"/>
        <v>365</v>
      </c>
      <c r="L126" s="35">
        <f t="shared" si="59"/>
        <v>406</v>
      </c>
      <c r="M126" s="35">
        <f t="shared" si="59"/>
        <v>231</v>
      </c>
      <c r="N126" s="35">
        <f t="shared" si="59"/>
        <v>249</v>
      </c>
      <c r="O126" s="35">
        <f t="shared" si="59"/>
        <v>324</v>
      </c>
      <c r="P126" s="35" t="str">
        <f t="shared" si="59"/>
        <v>NO</v>
      </c>
      <c r="V126" s="1"/>
    </row>
    <row r="127" spans="4:22" ht="20.100000000000001" customHeight="1" x14ac:dyDescent="0.25">
      <c r="D127" s="35" t="s">
        <v>67</v>
      </c>
      <c r="E127" s="35" t="str">
        <f t="shared" ref="E127:P127" si="60">E63</f>
        <v>Northern</v>
      </c>
      <c r="F127" s="35" t="str">
        <f t="shared" si="60"/>
        <v>Summer</v>
      </c>
      <c r="G127" s="35">
        <f t="shared" si="60"/>
        <v>110</v>
      </c>
      <c r="H127" s="35">
        <f t="shared" si="60"/>
        <v>650</v>
      </c>
      <c r="I127" s="35">
        <f t="shared" si="60"/>
        <v>102</v>
      </c>
      <c r="J127" s="35">
        <f t="shared" si="60"/>
        <v>203</v>
      </c>
      <c r="K127" s="35">
        <f t="shared" si="60"/>
        <v>299</v>
      </c>
      <c r="L127" s="35">
        <f t="shared" si="60"/>
        <v>380</v>
      </c>
      <c r="M127" s="35">
        <f t="shared" si="60"/>
        <v>102</v>
      </c>
      <c r="N127" s="35">
        <f t="shared" si="60"/>
        <v>218</v>
      </c>
      <c r="O127" s="35">
        <f t="shared" si="60"/>
        <v>263</v>
      </c>
      <c r="P127" s="35" t="str">
        <f t="shared" si="60"/>
        <v>NO</v>
      </c>
      <c r="V127" s="1"/>
    </row>
    <row r="128" spans="4:22" ht="20.100000000000001" customHeight="1" x14ac:dyDescent="0.25">
      <c r="D128" s="35" t="s">
        <v>67</v>
      </c>
      <c r="E128" s="35" t="str">
        <f t="shared" ref="E128:P128" si="61">E64</f>
        <v>Northern</v>
      </c>
      <c r="F128" s="35" t="str">
        <f t="shared" si="61"/>
        <v>Autumn</v>
      </c>
      <c r="G128" s="35">
        <f t="shared" si="61"/>
        <v>170</v>
      </c>
      <c r="H128" s="35">
        <f t="shared" si="61"/>
        <v>670</v>
      </c>
      <c r="I128" s="35">
        <f t="shared" si="61"/>
        <v>173</v>
      </c>
      <c r="J128" s="35">
        <f t="shared" si="61"/>
        <v>250</v>
      </c>
      <c r="K128" s="35">
        <f t="shared" si="61"/>
        <v>336</v>
      </c>
      <c r="L128" s="35">
        <f t="shared" si="61"/>
        <v>414</v>
      </c>
      <c r="M128" s="35">
        <f t="shared" si="61"/>
        <v>175</v>
      </c>
      <c r="N128" s="35">
        <f t="shared" si="61"/>
        <v>243</v>
      </c>
      <c r="O128" s="35">
        <f t="shared" si="61"/>
        <v>304</v>
      </c>
      <c r="P128" s="35" t="str">
        <f t="shared" si="61"/>
        <v>NO</v>
      </c>
      <c r="V128" s="1"/>
    </row>
    <row r="129" spans="4:22" ht="20.100000000000001" customHeight="1" x14ac:dyDescent="0.25">
      <c r="D129" s="35" t="s">
        <v>67</v>
      </c>
      <c r="E129" s="35" t="str">
        <f t="shared" ref="E129:P129" si="62">E65</f>
        <v>Northern</v>
      </c>
      <c r="F129" s="35" t="str">
        <f t="shared" si="62"/>
        <v>Winter</v>
      </c>
      <c r="G129" s="35">
        <f t="shared" si="62"/>
        <v>200</v>
      </c>
      <c r="H129" s="35">
        <f t="shared" si="62"/>
        <v>660</v>
      </c>
      <c r="I129" s="35">
        <f t="shared" si="62"/>
        <v>202</v>
      </c>
      <c r="J129" s="35">
        <f t="shared" si="62"/>
        <v>272</v>
      </c>
      <c r="K129" s="35">
        <f t="shared" si="62"/>
        <v>365</v>
      </c>
      <c r="L129" s="35">
        <f t="shared" si="62"/>
        <v>390</v>
      </c>
      <c r="M129" s="35">
        <f t="shared" si="62"/>
        <v>208</v>
      </c>
      <c r="N129" s="35">
        <f t="shared" si="62"/>
        <v>260</v>
      </c>
      <c r="O129" s="35">
        <f t="shared" si="62"/>
        <v>337</v>
      </c>
      <c r="P129" s="35" t="str">
        <f t="shared" si="62"/>
        <v>NO</v>
      </c>
      <c r="V129" s="1"/>
    </row>
    <row r="130" spans="4:22" ht="20.100000000000001" customHeight="1" x14ac:dyDescent="0.25">
      <c r="D130" s="35" t="s">
        <v>68</v>
      </c>
      <c r="E130" s="35" t="str">
        <f t="shared" ref="E130:P130" si="63">E66</f>
        <v>High</v>
      </c>
      <c r="F130" s="35" t="str">
        <f t="shared" si="63"/>
        <v>Spring</v>
      </c>
      <c r="G130" s="35">
        <f t="shared" si="63"/>
        <v>260</v>
      </c>
      <c r="H130" s="35">
        <f t="shared" si="63"/>
        <v>705</v>
      </c>
      <c r="I130" s="35">
        <f t="shared" si="63"/>
        <v>215</v>
      </c>
      <c r="J130" s="35">
        <f t="shared" si="63"/>
        <v>302</v>
      </c>
      <c r="K130" s="35">
        <f t="shared" si="63"/>
        <v>416</v>
      </c>
      <c r="L130" s="35">
        <f t="shared" si="63"/>
        <v>519</v>
      </c>
      <c r="M130" s="35">
        <f t="shared" si="63"/>
        <v>234</v>
      </c>
      <c r="N130" s="35">
        <f t="shared" si="63"/>
        <v>455</v>
      </c>
      <c r="O130" s="35">
        <f t="shared" si="63"/>
        <v>551</v>
      </c>
      <c r="P130" s="35">
        <f t="shared" si="63"/>
        <v>660</v>
      </c>
      <c r="V130" s="1"/>
    </row>
    <row r="131" spans="4:22" ht="20.100000000000001" customHeight="1" x14ac:dyDescent="0.25">
      <c r="D131" s="35" t="s">
        <v>68</v>
      </c>
      <c r="E131" s="35" t="str">
        <f t="shared" ref="E131:P131" si="64">E67</f>
        <v>High</v>
      </c>
      <c r="F131" s="35" t="str">
        <f t="shared" si="64"/>
        <v>Summer</v>
      </c>
      <c r="G131" s="35">
        <f t="shared" si="64"/>
        <v>153</v>
      </c>
      <c r="H131" s="35">
        <f t="shared" si="64"/>
        <v>703</v>
      </c>
      <c r="I131" s="35">
        <f t="shared" si="64"/>
        <v>118</v>
      </c>
      <c r="J131" s="35">
        <f t="shared" si="64"/>
        <v>277</v>
      </c>
      <c r="K131" s="35">
        <f t="shared" si="64"/>
        <v>397</v>
      </c>
      <c r="L131" s="35">
        <f t="shared" si="64"/>
        <v>483</v>
      </c>
      <c r="M131" s="35">
        <f t="shared" si="64"/>
        <v>111</v>
      </c>
      <c r="N131" s="35">
        <f t="shared" si="64"/>
        <v>304</v>
      </c>
      <c r="O131" s="35">
        <f t="shared" si="64"/>
        <v>521</v>
      </c>
      <c r="P131" s="35">
        <f t="shared" si="64"/>
        <v>547</v>
      </c>
    </row>
    <row r="132" spans="4:22" ht="20.100000000000001" customHeight="1" x14ac:dyDescent="0.25">
      <c r="D132" s="35" t="s">
        <v>68</v>
      </c>
      <c r="E132" s="35" t="str">
        <f t="shared" ref="E132:P132" si="65">E68</f>
        <v>High</v>
      </c>
      <c r="F132" s="35" t="str">
        <f t="shared" si="65"/>
        <v>Autumn</v>
      </c>
      <c r="G132" s="35">
        <f t="shared" si="65"/>
        <v>168</v>
      </c>
      <c r="H132" s="35">
        <f t="shared" si="65"/>
        <v>718</v>
      </c>
      <c r="I132" s="35">
        <f t="shared" si="65"/>
        <v>191</v>
      </c>
      <c r="J132" s="35">
        <f t="shared" si="65"/>
        <v>319</v>
      </c>
      <c r="K132" s="35">
        <f t="shared" si="65"/>
        <v>440</v>
      </c>
      <c r="L132" s="35">
        <f t="shared" si="65"/>
        <v>506</v>
      </c>
      <c r="M132" s="35">
        <f t="shared" si="65"/>
        <v>188</v>
      </c>
      <c r="N132" s="35">
        <f t="shared" si="65"/>
        <v>326</v>
      </c>
      <c r="O132" s="35">
        <f t="shared" si="65"/>
        <v>520</v>
      </c>
      <c r="P132" s="35">
        <f t="shared" si="65"/>
        <v>582</v>
      </c>
    </row>
    <row r="133" spans="4:22" ht="20.100000000000001" customHeight="1" x14ac:dyDescent="0.25">
      <c r="D133" s="35" t="s">
        <v>68</v>
      </c>
      <c r="E133" s="35" t="str">
        <f t="shared" ref="E133:P133" si="66">E69</f>
        <v>High</v>
      </c>
      <c r="F133" s="35" t="str">
        <f t="shared" si="66"/>
        <v>Winter</v>
      </c>
      <c r="G133" s="35">
        <f t="shared" si="66"/>
        <v>235</v>
      </c>
      <c r="H133" s="35">
        <f t="shared" si="66"/>
        <v>722</v>
      </c>
      <c r="I133" s="35">
        <f t="shared" si="66"/>
        <v>207</v>
      </c>
      <c r="J133" s="35">
        <f t="shared" si="66"/>
        <v>352</v>
      </c>
      <c r="K133" s="35">
        <f t="shared" si="66"/>
        <v>470</v>
      </c>
      <c r="L133" s="35">
        <f t="shared" si="66"/>
        <v>514</v>
      </c>
      <c r="M133" s="35">
        <f t="shared" si="66"/>
        <v>209</v>
      </c>
      <c r="N133" s="35">
        <f t="shared" si="66"/>
        <v>421</v>
      </c>
      <c r="O133" s="35">
        <f t="shared" si="66"/>
        <v>512</v>
      </c>
      <c r="P133" s="35">
        <f t="shared" si="66"/>
        <v>605</v>
      </c>
    </row>
    <row r="134" spans="4:22" ht="20.100000000000001" customHeight="1" x14ac:dyDescent="0.25">
      <c r="D134" s="35" t="s">
        <v>68</v>
      </c>
      <c r="E134" s="35" t="str">
        <f t="shared" ref="E134:P134" si="67">E70</f>
        <v>Moderate/High</v>
      </c>
      <c r="F134" s="35" t="str">
        <f t="shared" si="67"/>
        <v>Spring</v>
      </c>
      <c r="G134" s="35">
        <f t="shared" si="67"/>
        <v>230</v>
      </c>
      <c r="H134" s="35">
        <f t="shared" si="67"/>
        <v>674</v>
      </c>
      <c r="I134" s="35">
        <f t="shared" si="67"/>
        <v>217</v>
      </c>
      <c r="J134" s="35">
        <f t="shared" si="67"/>
        <v>344</v>
      </c>
      <c r="K134" s="35">
        <f t="shared" si="67"/>
        <v>357</v>
      </c>
      <c r="L134" s="35">
        <f t="shared" si="67"/>
        <v>467</v>
      </c>
      <c r="M134" s="35">
        <f t="shared" si="67"/>
        <v>242</v>
      </c>
      <c r="N134" s="35">
        <f t="shared" si="67"/>
        <v>370</v>
      </c>
      <c r="O134" s="35">
        <f t="shared" si="67"/>
        <v>550</v>
      </c>
      <c r="P134" s="35">
        <f t="shared" si="67"/>
        <v>620</v>
      </c>
    </row>
    <row r="135" spans="4:22" ht="20.100000000000001" customHeight="1" x14ac:dyDescent="0.25">
      <c r="D135" s="35" t="s">
        <v>68</v>
      </c>
      <c r="E135" s="35" t="str">
        <f t="shared" ref="E135:P135" si="68">E71</f>
        <v>Moderate/High</v>
      </c>
      <c r="F135" s="35" t="str">
        <f t="shared" si="68"/>
        <v>Summer</v>
      </c>
      <c r="G135" s="35">
        <f t="shared" si="68"/>
        <v>113</v>
      </c>
      <c r="H135" s="35">
        <f t="shared" si="68"/>
        <v>669</v>
      </c>
      <c r="I135" s="35">
        <f t="shared" si="68"/>
        <v>113</v>
      </c>
      <c r="J135" s="35">
        <f t="shared" si="68"/>
        <v>283</v>
      </c>
      <c r="K135" s="35">
        <f t="shared" si="68"/>
        <v>361</v>
      </c>
      <c r="L135" s="35">
        <f t="shared" si="68"/>
        <v>477</v>
      </c>
      <c r="M135" s="35">
        <f t="shared" si="68"/>
        <v>120</v>
      </c>
      <c r="N135" s="35">
        <f t="shared" si="68"/>
        <v>273</v>
      </c>
      <c r="O135" s="35">
        <f t="shared" si="68"/>
        <v>545</v>
      </c>
      <c r="P135" s="35">
        <f t="shared" si="68"/>
        <v>553</v>
      </c>
    </row>
    <row r="136" spans="4:22" ht="20.100000000000001" customHeight="1" x14ac:dyDescent="0.25">
      <c r="D136" s="35" t="s">
        <v>68</v>
      </c>
      <c r="E136" s="35" t="str">
        <f t="shared" ref="E136:P136" si="69">E72</f>
        <v>Moderate/High</v>
      </c>
      <c r="F136" s="35" t="str">
        <f t="shared" si="69"/>
        <v>Autumn</v>
      </c>
      <c r="G136" s="35">
        <f t="shared" si="69"/>
        <v>172</v>
      </c>
      <c r="H136" s="35">
        <f t="shared" si="69"/>
        <v>685</v>
      </c>
      <c r="I136" s="35">
        <f t="shared" si="69"/>
        <v>172</v>
      </c>
      <c r="J136" s="35">
        <f t="shared" si="69"/>
        <v>309</v>
      </c>
      <c r="K136" s="35">
        <f t="shared" si="69"/>
        <v>376</v>
      </c>
      <c r="L136" s="35">
        <f t="shared" si="69"/>
        <v>471</v>
      </c>
      <c r="M136" s="35">
        <f t="shared" si="69"/>
        <v>238</v>
      </c>
      <c r="N136" s="35">
        <f t="shared" si="69"/>
        <v>329</v>
      </c>
      <c r="O136" s="35">
        <f t="shared" si="69"/>
        <v>573</v>
      </c>
      <c r="P136" s="35">
        <f t="shared" si="69"/>
        <v>620</v>
      </c>
    </row>
    <row r="137" spans="4:22" ht="20.100000000000001" customHeight="1" x14ac:dyDescent="0.25">
      <c r="D137" s="35" t="s">
        <v>68</v>
      </c>
      <c r="E137" s="35" t="str">
        <f t="shared" ref="E137:P137" si="70">E73</f>
        <v>Moderate/High</v>
      </c>
      <c r="F137" s="35" t="str">
        <f t="shared" si="70"/>
        <v>Winter</v>
      </c>
      <c r="G137" s="35">
        <f t="shared" si="70"/>
        <v>241</v>
      </c>
      <c r="H137" s="35">
        <f t="shared" si="70"/>
        <v>692</v>
      </c>
      <c r="I137" s="35">
        <f t="shared" si="70"/>
        <v>208</v>
      </c>
      <c r="J137" s="35">
        <f t="shared" si="70"/>
        <v>344</v>
      </c>
      <c r="K137" s="35">
        <f t="shared" si="70"/>
        <v>364</v>
      </c>
      <c r="L137" s="35">
        <f t="shared" si="70"/>
        <v>484</v>
      </c>
      <c r="M137" s="35">
        <f t="shared" si="70"/>
        <v>260</v>
      </c>
      <c r="N137" s="35">
        <f t="shared" si="70"/>
        <v>350</v>
      </c>
      <c r="O137" s="35">
        <f t="shared" si="70"/>
        <v>567</v>
      </c>
      <c r="P137" s="35">
        <f t="shared" si="70"/>
        <v>620</v>
      </c>
    </row>
    <row r="138" spans="4:22" ht="20.100000000000001" customHeight="1" x14ac:dyDescent="0.25">
      <c r="D138" s="35" t="s">
        <v>68</v>
      </c>
      <c r="E138" s="35" t="str">
        <f t="shared" ref="E138:P138" si="71">E74</f>
        <v>Moderate/Low</v>
      </c>
      <c r="F138" s="35" t="str">
        <f t="shared" si="71"/>
        <v>Spring</v>
      </c>
      <c r="G138" s="35">
        <f t="shared" si="71"/>
        <v>236</v>
      </c>
      <c r="H138" s="35">
        <f t="shared" si="71"/>
        <v>674</v>
      </c>
      <c r="I138" s="35">
        <f t="shared" si="71"/>
        <v>178</v>
      </c>
      <c r="J138" s="35">
        <f t="shared" si="71"/>
        <v>310</v>
      </c>
      <c r="K138" s="35">
        <f t="shared" si="71"/>
        <v>428</v>
      </c>
      <c r="L138" s="35">
        <f t="shared" si="71"/>
        <v>466</v>
      </c>
      <c r="M138" s="35">
        <f t="shared" si="71"/>
        <v>193</v>
      </c>
      <c r="N138" s="35">
        <f t="shared" si="71"/>
        <v>370</v>
      </c>
      <c r="O138" s="35">
        <f t="shared" si="71"/>
        <v>519</v>
      </c>
      <c r="P138" s="35">
        <f t="shared" si="71"/>
        <v>565</v>
      </c>
    </row>
    <row r="139" spans="4:22" ht="20.100000000000001" customHeight="1" x14ac:dyDescent="0.25">
      <c r="D139" s="35" t="s">
        <v>68</v>
      </c>
      <c r="E139" s="35" t="str">
        <f t="shared" ref="E139:P139" si="72">E75</f>
        <v>Moderate/Low</v>
      </c>
      <c r="F139" s="35" t="str">
        <f t="shared" si="72"/>
        <v>Summer</v>
      </c>
      <c r="G139" s="35">
        <f t="shared" si="72"/>
        <v>120</v>
      </c>
      <c r="H139" s="35">
        <f t="shared" si="72"/>
        <v>669</v>
      </c>
      <c r="I139" s="35">
        <f t="shared" si="72"/>
        <v>112</v>
      </c>
      <c r="J139" s="35">
        <f t="shared" si="72"/>
        <v>250</v>
      </c>
      <c r="K139" s="35">
        <f t="shared" si="72"/>
        <v>390</v>
      </c>
      <c r="L139" s="35">
        <f t="shared" si="72"/>
        <v>448</v>
      </c>
      <c r="M139" s="35">
        <f t="shared" si="72"/>
        <v>115</v>
      </c>
      <c r="N139" s="35">
        <f t="shared" si="72"/>
        <v>273</v>
      </c>
      <c r="O139" s="35">
        <f t="shared" si="72"/>
        <v>433</v>
      </c>
      <c r="P139" s="35">
        <f t="shared" si="72"/>
        <v>556</v>
      </c>
    </row>
    <row r="140" spans="4:22" ht="20.100000000000001" customHeight="1" x14ac:dyDescent="0.25">
      <c r="D140" s="35" t="s">
        <v>68</v>
      </c>
      <c r="E140" s="35" t="str">
        <f t="shared" ref="E140:P140" si="73">E76</f>
        <v>Moderate/Low</v>
      </c>
      <c r="F140" s="35" t="str">
        <f t="shared" si="73"/>
        <v>Autumn</v>
      </c>
      <c r="G140" s="35">
        <f t="shared" si="73"/>
        <v>125</v>
      </c>
      <c r="H140" s="35">
        <f t="shared" si="73"/>
        <v>685</v>
      </c>
      <c r="I140" s="35">
        <f t="shared" si="73"/>
        <v>140</v>
      </c>
      <c r="J140" s="35">
        <f t="shared" si="73"/>
        <v>277</v>
      </c>
      <c r="K140" s="35">
        <f t="shared" si="73"/>
        <v>407</v>
      </c>
      <c r="L140" s="35">
        <f t="shared" si="73"/>
        <v>455</v>
      </c>
      <c r="M140" s="35">
        <f t="shared" si="73"/>
        <v>141</v>
      </c>
      <c r="N140" s="35">
        <f t="shared" si="73"/>
        <v>296</v>
      </c>
      <c r="O140" s="35">
        <f t="shared" si="73"/>
        <v>445</v>
      </c>
      <c r="P140" s="35">
        <f t="shared" si="73"/>
        <v>593</v>
      </c>
    </row>
    <row r="141" spans="4:22" ht="20.100000000000001" customHeight="1" x14ac:dyDescent="0.25">
      <c r="D141" s="35" t="s">
        <v>68</v>
      </c>
      <c r="E141" s="35" t="str">
        <f t="shared" ref="E141:P141" si="74">E77</f>
        <v>Moderate/Low</v>
      </c>
      <c r="F141" s="35" t="str">
        <f t="shared" si="74"/>
        <v>Winter</v>
      </c>
      <c r="G141" s="35">
        <f t="shared" si="74"/>
        <v>180</v>
      </c>
      <c r="H141" s="35">
        <f t="shared" si="74"/>
        <v>692</v>
      </c>
      <c r="I141" s="35">
        <f t="shared" si="74"/>
        <v>183</v>
      </c>
      <c r="J141" s="35">
        <f t="shared" si="74"/>
        <v>316</v>
      </c>
      <c r="K141" s="35">
        <f t="shared" si="74"/>
        <v>438</v>
      </c>
      <c r="L141" s="35">
        <f t="shared" si="74"/>
        <v>468</v>
      </c>
      <c r="M141" s="35">
        <f t="shared" si="74"/>
        <v>189</v>
      </c>
      <c r="N141" s="35">
        <f t="shared" si="74"/>
        <v>354</v>
      </c>
      <c r="O141" s="35">
        <f t="shared" si="74"/>
        <v>500</v>
      </c>
      <c r="P141" s="35">
        <f t="shared" si="74"/>
        <v>553</v>
      </c>
    </row>
    <row r="142" spans="4:22" ht="20.100000000000001" customHeight="1" x14ac:dyDescent="0.25">
      <c r="D142" s="35" t="s">
        <v>68</v>
      </c>
      <c r="E142" s="35" t="str">
        <f t="shared" ref="E142:P142" si="75">E78</f>
        <v>Low</v>
      </c>
      <c r="F142" s="35" t="str">
        <f t="shared" si="75"/>
        <v>Spring</v>
      </c>
      <c r="G142" s="35">
        <f t="shared" si="75"/>
        <v>190</v>
      </c>
      <c r="H142" s="35">
        <f t="shared" si="75"/>
        <v>617</v>
      </c>
      <c r="I142" s="35">
        <f t="shared" si="75"/>
        <v>174</v>
      </c>
      <c r="J142" s="35">
        <f t="shared" si="75"/>
        <v>265</v>
      </c>
      <c r="K142" s="35">
        <f t="shared" si="75"/>
        <v>371</v>
      </c>
      <c r="L142" s="35">
        <f t="shared" si="75"/>
        <v>415</v>
      </c>
      <c r="M142" s="35">
        <f t="shared" si="75"/>
        <v>170</v>
      </c>
      <c r="N142" s="35">
        <f t="shared" si="75"/>
        <v>272</v>
      </c>
      <c r="O142" s="35">
        <f t="shared" si="75"/>
        <v>392</v>
      </c>
      <c r="P142" s="35">
        <f t="shared" si="75"/>
        <v>531</v>
      </c>
    </row>
    <row r="143" spans="4:22" ht="20.100000000000001" customHeight="1" x14ac:dyDescent="0.25">
      <c r="D143" s="35" t="s">
        <v>68</v>
      </c>
      <c r="E143" s="35" t="str">
        <f t="shared" ref="E143:P143" si="76">E79</f>
        <v>Low</v>
      </c>
      <c r="F143" s="35" t="str">
        <f t="shared" si="76"/>
        <v>Summer</v>
      </c>
      <c r="G143" s="35">
        <f t="shared" si="76"/>
        <v>119</v>
      </c>
      <c r="H143" s="35">
        <f t="shared" si="76"/>
        <v>591</v>
      </c>
      <c r="I143" s="35">
        <f t="shared" si="76"/>
        <v>140</v>
      </c>
      <c r="J143" s="35">
        <f t="shared" si="76"/>
        <v>205</v>
      </c>
      <c r="K143" s="35">
        <f t="shared" si="76"/>
        <v>310</v>
      </c>
      <c r="L143" s="35">
        <f t="shared" si="76"/>
        <v>405</v>
      </c>
      <c r="M143" s="35">
        <f t="shared" si="76"/>
        <v>133</v>
      </c>
      <c r="N143" s="35">
        <f t="shared" si="76"/>
        <v>218</v>
      </c>
      <c r="O143" s="35">
        <f t="shared" si="76"/>
        <v>315</v>
      </c>
      <c r="P143" s="35">
        <f t="shared" si="76"/>
        <v>445</v>
      </c>
    </row>
    <row r="144" spans="4:22" ht="20.100000000000001" customHeight="1" x14ac:dyDescent="0.25">
      <c r="D144" s="35" t="s">
        <v>68</v>
      </c>
      <c r="E144" s="35" t="str">
        <f t="shared" ref="E144:P144" si="77">E80</f>
        <v>Low</v>
      </c>
      <c r="F144" s="35" t="str">
        <f t="shared" si="77"/>
        <v>Autumn</v>
      </c>
      <c r="G144" s="35">
        <f t="shared" si="77"/>
        <v>175</v>
      </c>
      <c r="H144" s="35">
        <f t="shared" si="77"/>
        <v>610</v>
      </c>
      <c r="I144" s="35">
        <f t="shared" si="77"/>
        <v>163</v>
      </c>
      <c r="J144" s="35">
        <f t="shared" si="77"/>
        <v>232</v>
      </c>
      <c r="K144" s="35">
        <f t="shared" si="77"/>
        <v>351</v>
      </c>
      <c r="L144" s="35">
        <f t="shared" si="77"/>
        <v>427</v>
      </c>
      <c r="M144" s="35">
        <f t="shared" si="77"/>
        <v>146</v>
      </c>
      <c r="N144" s="35">
        <f t="shared" si="77"/>
        <v>242</v>
      </c>
      <c r="O144" s="35">
        <f t="shared" si="77"/>
        <v>320</v>
      </c>
      <c r="P144" s="35">
        <f t="shared" si="77"/>
        <v>471</v>
      </c>
    </row>
    <row r="145" spans="4:16" ht="20.100000000000001" customHeight="1" x14ac:dyDescent="0.25">
      <c r="D145" s="35" t="s">
        <v>68</v>
      </c>
      <c r="E145" s="35" t="str">
        <f t="shared" ref="E145:P145" si="78">E81</f>
        <v>Low</v>
      </c>
      <c r="F145" s="35" t="str">
        <f t="shared" si="78"/>
        <v>Winter</v>
      </c>
      <c r="G145" s="35">
        <f t="shared" si="78"/>
        <v>192</v>
      </c>
      <c r="H145" s="35">
        <f t="shared" si="78"/>
        <v>615</v>
      </c>
      <c r="I145" s="35">
        <f t="shared" si="78"/>
        <v>162</v>
      </c>
      <c r="J145" s="35">
        <f t="shared" si="78"/>
        <v>255</v>
      </c>
      <c r="K145" s="35">
        <f t="shared" si="78"/>
        <v>364</v>
      </c>
      <c r="L145" s="35">
        <f t="shared" si="78"/>
        <v>420</v>
      </c>
      <c r="M145" s="35">
        <f t="shared" si="78"/>
        <v>157</v>
      </c>
      <c r="N145" s="35">
        <f t="shared" si="78"/>
        <v>261</v>
      </c>
      <c r="O145" s="35">
        <f t="shared" si="78"/>
        <v>342</v>
      </c>
      <c r="P145" s="35">
        <f t="shared" si="78"/>
        <v>484</v>
      </c>
    </row>
    <row r="146" spans="4:16" ht="20.100000000000001" customHeight="1" x14ac:dyDescent="0.25">
      <c r="D146" s="1" t="s">
        <v>266</v>
      </c>
      <c r="E146" s="1" t="s">
        <v>163</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163</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163</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163</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1" t="str" cm="1">
        <f t="array" ref="D153">SourceData_PastureBeef.SourceData_PastureBeef_LiveweightGain_Unit()</f>
        <v>kg</v>
      </c>
      <c r="M153" s="1"/>
    </row>
    <row r="154" spans="4:16" ht="20.100000000000001" customHeight="1" x14ac:dyDescent="0.25">
      <c r="D154" s="35" t="s">
        <v>5</v>
      </c>
      <c r="E154" s="35" t="s">
        <v>144</v>
      </c>
      <c r="F154" s="35" t="s">
        <v>145</v>
      </c>
      <c r="G154" s="35" t="s">
        <v>164</v>
      </c>
      <c r="H154" s="35" t="s">
        <v>153</v>
      </c>
      <c r="I154" s="35" t="s">
        <v>185</v>
      </c>
      <c r="J154" s="35" t="s">
        <v>149</v>
      </c>
      <c r="K154" s="35" t="s">
        <v>186</v>
      </c>
      <c r="L154" s="35" t="s">
        <v>158</v>
      </c>
      <c r="M154" s="35" t="s">
        <v>187</v>
      </c>
    </row>
    <row r="155" spans="4:16" ht="20.100000000000001" customHeight="1" x14ac:dyDescent="0.25">
      <c r="D155" s="35" t="str" cm="1">
        <f t="array" ref="D155">Common_InputFunctions.Utility_DisplayArrayInTable(SourceData_PastureBeef.SourceData_PastureBeef_LiveweightGain_Data(), Table_SourceData_PastureBeef_LiveweightGain[[#Headers],[State]],0)</f>
        <v>ACT/NSW</v>
      </c>
      <c r="E155" s="35" t="str" cm="1">
        <f t="array" ref="E155">Common_InputFunctions.Utility_DisplayArrayInTable(SourceData_PastureBeef.SourceData_PastureBeef_LiveweightGain_Data(), Table_SourceData_PastureBeef_LiveweightGain[[#Headers],[State]],0)</f>
        <v>n/a</v>
      </c>
      <c r="F155" s="35" t="str" cm="1">
        <f t="array" ref="F155">Common_InputFunctions.Utility_DisplayArrayInTable(SourceData_PastureBeef.SourceData_PastureBeef_LiveweightGain_Data(), Table_SourceData_PastureBeef_LiveweightGain[[#Headers],[State]],0)</f>
        <v>Spring</v>
      </c>
      <c r="G155" s="35" cm="1">
        <f t="array" ref="G155">Common_InputFunctions.Utility_DisplayArrayInTable(SourceData_PastureBeef.SourceData_PastureBeef_LiveweightGain_Data(), Table_SourceData_PastureBeef_LiveweightGain[[#Headers],[State]],0)</f>
        <v>0.5</v>
      </c>
      <c r="H155" s="35" cm="1">
        <f t="array" ref="H155">Common_InputFunctions.Utility_DisplayArrayInTable(SourceData_PastureBeef.SourceData_PastureBeef_LiveweightGain_Data(), Table_SourceData_PastureBeef_LiveweightGain[[#Headers],[State]],0)</f>
        <v>0.2</v>
      </c>
      <c r="I155" s="35" cm="1">
        <f t="array" ref="I155">Common_InputFunctions.Utility_DisplayArrayInTable(SourceData_PastureBeef.SourceData_PastureBeef_LiveweightGain_Data(), Table_SourceData_PastureBeef_LiveweightGain[[#Headers],[State]],0)</f>
        <v>0.5</v>
      </c>
      <c r="J155" s="35" cm="1">
        <f t="array" ref="J155">Common_InputFunctions.Utility_DisplayArrayInTable(SourceData_PastureBeef.SourceData_PastureBeef_LiveweightGain_Data(), Table_SourceData_PastureBeef_LiveweightGain[[#Headers],[State]],0)</f>
        <v>0.4</v>
      </c>
      <c r="K155" s="35" cm="1">
        <f t="array" ref="K155">Common_InputFunctions.Utility_DisplayArrayInTable(SourceData_PastureBeef.SourceData_PastureBeef_LiveweightGain_Data(), Table_SourceData_PastureBeef_LiveweightGain[[#Headers],[State]],0)</f>
        <v>0.3</v>
      </c>
      <c r="L155" s="35" cm="1">
        <f t="array" ref="L155">Common_InputFunctions.Utility_DisplayArrayInTable(SourceData_PastureBeef.SourceData_PastureBeef_LiveweightGain_Data(), Table_SourceData_PastureBeef_LiveweightGain[[#Headers],[State]],0)</f>
        <v>0.5</v>
      </c>
      <c r="M155" s="35"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5" t="str" cm="1">
        <f t="array" ref="E156">Common_InputFunctions.Utility_DisplayArrayInTable(SourceData_PastureBeef.SourceData_PastureBeef_LiveweightGain_Data(), Table_SourceData_PastureBeef_LiveweightGain[[#Headers],[State]],0)</f>
        <v>n/a</v>
      </c>
      <c r="F156" s="35" t="str" cm="1">
        <f t="array" ref="F156">Common_InputFunctions.Utility_DisplayArrayInTable(SourceData_PastureBeef.SourceData_PastureBeef_LiveweightGain_Data(), Table_SourceData_PastureBeef_LiveweightGain[[#Headers],[State]],0)</f>
        <v>Summer</v>
      </c>
      <c r="G156" s="35" cm="1">
        <f t="array" ref="G156">Common_InputFunctions.Utility_DisplayArrayInTable(SourceData_PastureBeef.SourceData_PastureBeef_LiveweightGain_Data(), Table_SourceData_PastureBeef_LiveweightGain[[#Headers],[State]],0)</f>
        <v>1</v>
      </c>
      <c r="H156" s="35" cm="1">
        <f t="array" ref="H156">Common_InputFunctions.Utility_DisplayArrayInTable(SourceData_PastureBeef.SourceData_PastureBeef_LiveweightGain_Data(), Table_SourceData_PastureBeef_LiveweightGain[[#Headers],[State]],0)</f>
        <v>0.4</v>
      </c>
      <c r="I156" s="35" cm="1">
        <f t="array" ref="I156">Common_InputFunctions.Utility_DisplayArrayInTable(SourceData_PastureBeef.SourceData_PastureBeef_LiveweightGain_Data(), Table_SourceData_PastureBeef_LiveweightGain[[#Headers],[State]],0)</f>
        <v>0.9</v>
      </c>
      <c r="J156" s="35" cm="1">
        <f t="array" ref="J156">Common_InputFunctions.Utility_DisplayArrayInTable(SourceData_PastureBeef.SourceData_PastureBeef_LiveweightGain_Data(), Table_SourceData_PastureBeef_LiveweightGain[[#Headers],[State]],0)</f>
        <v>0.7</v>
      </c>
      <c r="K156" s="35" cm="1">
        <f t="array" ref="K156">Common_InputFunctions.Utility_DisplayArrayInTable(SourceData_PastureBeef.SourceData_PastureBeef_LiveweightGain_Data(), Table_SourceData_PastureBeef_LiveweightGain[[#Headers],[State]],0)</f>
        <v>0.3</v>
      </c>
      <c r="L156" s="35" cm="1">
        <f t="array" ref="L156">Common_InputFunctions.Utility_DisplayArrayInTable(SourceData_PastureBeef.SourceData_PastureBeef_LiveweightGain_Data(), Table_SourceData_PastureBeef_LiveweightGain[[#Headers],[State]],0)</f>
        <v>0.9</v>
      </c>
      <c r="M156" s="35"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5" t="str" cm="1">
        <f t="array" ref="E157">Common_InputFunctions.Utility_DisplayArrayInTable(SourceData_PastureBeef.SourceData_PastureBeef_LiveweightGain_Data(), Table_SourceData_PastureBeef_LiveweightGain[[#Headers],[State]],0)</f>
        <v>n/a</v>
      </c>
      <c r="F157" s="35" t="str" cm="1">
        <f t="array" ref="F157">Common_InputFunctions.Utility_DisplayArrayInTable(SourceData_PastureBeef.SourceData_PastureBeef_LiveweightGain_Data(), Table_SourceData_PastureBeef_LiveweightGain[[#Headers],[State]],0)</f>
        <v>Autumn</v>
      </c>
      <c r="G157" s="35" cm="1">
        <f t="array" ref="G157">Common_InputFunctions.Utility_DisplayArrayInTable(SourceData_PastureBeef.SourceData_PastureBeef_LiveweightGain_Data(), Table_SourceData_PastureBeef_LiveweightGain[[#Headers],[State]],0)</f>
        <v>0.8</v>
      </c>
      <c r="H157" s="35" cm="1">
        <f t="array" ref="H157">Common_InputFunctions.Utility_DisplayArrayInTable(SourceData_PastureBeef.SourceData_PastureBeef_LiveweightGain_Data(), Table_SourceData_PastureBeef_LiveweightGain[[#Headers],[State]],0)</f>
        <v>0.3</v>
      </c>
      <c r="I157" s="35" cm="1">
        <f t="array" ref="I157">Common_InputFunctions.Utility_DisplayArrayInTable(SourceData_PastureBeef.SourceData_PastureBeef_LiveweightGain_Data(), Table_SourceData_PastureBeef_LiveweightGain[[#Headers],[State]],0)</f>
        <v>0.7</v>
      </c>
      <c r="J157" s="35" cm="1">
        <f t="array" ref="J157">Common_InputFunctions.Utility_DisplayArrayInTable(SourceData_PastureBeef.SourceData_PastureBeef_LiveweightGain_Data(), Table_SourceData_PastureBeef_LiveweightGain[[#Headers],[State]],0)</f>
        <v>0.3</v>
      </c>
      <c r="K157" s="35" cm="1">
        <f t="array" ref="K157">Common_InputFunctions.Utility_DisplayArrayInTable(SourceData_PastureBeef.SourceData_PastureBeef_LiveweightGain_Data(), Table_SourceData_PastureBeef_LiveweightGain[[#Headers],[State]],0)</f>
        <v>0.2</v>
      </c>
      <c r="L157" s="35" cm="1">
        <f t="array" ref="L157">Common_InputFunctions.Utility_DisplayArrayInTable(SourceData_PastureBeef.SourceData_PastureBeef_LiveweightGain_Data(), Table_SourceData_PastureBeef_LiveweightGain[[#Headers],[State]],0)</f>
        <v>0.7</v>
      </c>
      <c r="M157" s="35"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5" t="str" cm="1">
        <f t="array" ref="E158">Common_InputFunctions.Utility_DisplayArrayInTable(SourceData_PastureBeef.SourceData_PastureBeef_LiveweightGain_Data(), Table_SourceData_PastureBeef_LiveweightGain[[#Headers],[State]],0)</f>
        <v>n/a</v>
      </c>
      <c r="F158" s="35" t="str" cm="1">
        <f t="array" ref="F158">Common_InputFunctions.Utility_DisplayArrayInTable(SourceData_PastureBeef.SourceData_PastureBeef_LiveweightGain_Data(), Table_SourceData_PastureBeef_LiveweightGain[[#Headers],[State]],0)</f>
        <v>Winter</v>
      </c>
      <c r="G158" s="35" cm="1">
        <f t="array" ref="G158">Common_InputFunctions.Utility_DisplayArrayInTable(SourceData_PastureBeef.SourceData_PastureBeef_LiveweightGain_Data(), Table_SourceData_PastureBeef_LiveweightGain[[#Headers],[State]],0)</f>
        <v>0.4</v>
      </c>
      <c r="H158" s="35" cm="1">
        <f t="array" ref="H158">Common_InputFunctions.Utility_DisplayArrayInTable(SourceData_PastureBeef.SourceData_PastureBeef_LiveweightGain_Data(), Table_SourceData_PastureBeef_LiveweightGain[[#Headers],[State]],0)</f>
        <v>0.1</v>
      </c>
      <c r="I158" s="35" cm="1">
        <f t="array" ref="I158">Common_InputFunctions.Utility_DisplayArrayInTable(SourceData_PastureBeef.SourceData_PastureBeef_LiveweightGain_Data(), Table_SourceData_PastureBeef_LiveweightGain[[#Headers],[State]],0)</f>
        <v>0.4</v>
      </c>
      <c r="J158" s="35" cm="1">
        <f t="array" ref="J158">Common_InputFunctions.Utility_DisplayArrayInTable(SourceData_PastureBeef.SourceData_PastureBeef_LiveweightGain_Data(), Table_SourceData_PastureBeef_LiveweightGain[[#Headers],[State]],0)</f>
        <v>0.2</v>
      </c>
      <c r="K158" s="35" cm="1">
        <f t="array" ref="K158">Common_InputFunctions.Utility_DisplayArrayInTable(SourceData_PastureBeef.SourceData_PastureBeef_LiveweightGain_Data(), Table_SourceData_PastureBeef_LiveweightGain[[#Headers],[State]],0)</f>
        <v>0.1</v>
      </c>
      <c r="L158" s="35" cm="1">
        <f t="array" ref="L158">Common_InputFunctions.Utility_DisplayArrayInTable(SourceData_PastureBeef.SourceData_PastureBeef_LiveweightGain_Data(), Table_SourceData_PastureBeef_LiveweightGain[[#Headers],[State]],0)</f>
        <v>0.4</v>
      </c>
      <c r="M158" s="35"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5" t="str" cm="1">
        <f t="array" ref="E159">Common_InputFunctions.Utility_DisplayArrayInTable(SourceData_PastureBeef.SourceData_PastureBeef_LiveweightGain_Data(), Table_SourceData_PastureBeef_LiveweightGain[[#Headers],[State]],0)</f>
        <v>n/a</v>
      </c>
      <c r="F159" s="35" t="str" cm="1">
        <f t="array" ref="F159">Common_InputFunctions.Utility_DisplayArrayInTable(SourceData_PastureBeef.SourceData_PastureBeef_LiveweightGain_Data(), Table_SourceData_PastureBeef_LiveweightGain[[#Headers],[State]],0)</f>
        <v>Spring</v>
      </c>
      <c r="G159" s="35" cm="1">
        <f t="array" ref="G159">Common_InputFunctions.Utility_DisplayArrayInTable(SourceData_PastureBeef.SourceData_PastureBeef_LiveweightGain_Data(), Table_SourceData_PastureBeef_LiveweightGain[[#Headers],[State]],0)</f>
        <v>0.99</v>
      </c>
      <c r="H159" s="35" cm="1">
        <f t="array" ref="H159">Common_InputFunctions.Utility_DisplayArrayInTable(SourceData_PastureBeef.SourceData_PastureBeef_LiveweightGain_Data(), Table_SourceData_PastureBeef_LiveweightGain[[#Headers],[State]],0)</f>
        <v>1.1000000000000001</v>
      </c>
      <c r="I159" s="35" cm="1">
        <f t="array" ref="I159">Common_InputFunctions.Utility_DisplayArrayInTable(SourceData_PastureBeef.SourceData_PastureBeef_LiveweightGain_Data(), Table_SourceData_PastureBeef_LiveweightGain[[#Headers],[State]],0)</f>
        <v>0.88</v>
      </c>
      <c r="J159" s="35" cm="1">
        <f t="array" ref="J159">Common_InputFunctions.Utility_DisplayArrayInTable(SourceData_PastureBeef.SourceData_PastureBeef_LiveweightGain_Data(), Table_SourceData_PastureBeef_LiveweightGain[[#Headers],[State]],0)</f>
        <v>0.55000000000000004</v>
      </c>
      <c r="K159" s="35" cm="1">
        <f t="array" ref="K159">Common_InputFunctions.Utility_DisplayArrayInTable(SourceData_PastureBeef.SourceData_PastureBeef_LiveweightGain_Data(), Table_SourceData_PastureBeef_LiveweightGain[[#Headers],[State]],0)</f>
        <v>0.55000000000000004</v>
      </c>
      <c r="L159" s="35" cm="1">
        <f t="array" ref="L159">Common_InputFunctions.Utility_DisplayArrayInTable(SourceData_PastureBeef.SourceData_PastureBeef_LiveweightGain_Data(), Table_SourceData_PastureBeef_LiveweightGain[[#Headers],[State]],0)</f>
        <v>0.88</v>
      </c>
      <c r="M159" s="35"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5" t="str" cm="1">
        <f t="array" ref="E160">Common_InputFunctions.Utility_DisplayArrayInTable(SourceData_PastureBeef.SourceData_PastureBeef_LiveweightGain_Data(), Table_SourceData_PastureBeef_LiveweightGain[[#Headers],[State]],0)</f>
        <v>n/a</v>
      </c>
      <c r="F160" s="35" t="str" cm="1">
        <f t="array" ref="F160">Common_InputFunctions.Utility_DisplayArrayInTable(SourceData_PastureBeef.SourceData_PastureBeef_LiveweightGain_Data(), Table_SourceData_PastureBeef_LiveweightGain[[#Headers],[State]],0)</f>
        <v>Summer</v>
      </c>
      <c r="G160" s="35" cm="1">
        <f t="array" ref="G160">Common_InputFunctions.Utility_DisplayArrayInTable(SourceData_PastureBeef.SourceData_PastureBeef_LiveweightGain_Data(), Table_SourceData_PastureBeef_LiveweightGain[[#Headers],[State]],0)</f>
        <v>0.77</v>
      </c>
      <c r="H160" s="35" cm="1">
        <f t="array" ref="H160">Common_InputFunctions.Utility_DisplayArrayInTable(SourceData_PastureBeef.SourceData_PastureBeef_LiveweightGain_Data(), Table_SourceData_PastureBeef_LiveweightGain[[#Headers],[State]],0)</f>
        <v>0</v>
      </c>
      <c r="I160" s="35" cm="1">
        <f t="array" ref="I160">Common_InputFunctions.Utility_DisplayArrayInTable(SourceData_PastureBeef.SourceData_PastureBeef_LiveweightGain_Data(), Table_SourceData_PastureBeef_LiveweightGain[[#Headers],[State]],0)</f>
        <v>0.66</v>
      </c>
      <c r="J160" s="35" cm="1">
        <f t="array" ref="J160">Common_InputFunctions.Utility_DisplayArrayInTable(SourceData_PastureBeef.SourceData_PastureBeef_LiveweightGain_Data(), Table_SourceData_PastureBeef_LiveweightGain[[#Headers],[State]],0)</f>
        <v>0.22</v>
      </c>
      <c r="K160" s="35" cm="1">
        <f t="array" ref="K160">Common_InputFunctions.Utility_DisplayArrayInTable(SourceData_PastureBeef.SourceData_PastureBeef_LiveweightGain_Data(), Table_SourceData_PastureBeef_LiveweightGain[[#Headers],[State]],0)</f>
        <v>0</v>
      </c>
      <c r="L160" s="35" cm="1">
        <f t="array" ref="L160">Common_InputFunctions.Utility_DisplayArrayInTable(SourceData_PastureBeef.SourceData_PastureBeef_LiveweightGain_Data(), Table_SourceData_PastureBeef_LiveweightGain[[#Headers],[State]],0)</f>
        <v>0.66</v>
      </c>
      <c r="M160" s="35"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5" t="str" cm="1">
        <f t="array" ref="E161">Common_InputFunctions.Utility_DisplayArrayInTable(SourceData_PastureBeef.SourceData_PastureBeef_LiveweightGain_Data(), Table_SourceData_PastureBeef_LiveweightGain[[#Headers],[State]],0)</f>
        <v>n/a</v>
      </c>
      <c r="F161" s="35" t="str" cm="1">
        <f t="array" ref="F161">Common_InputFunctions.Utility_DisplayArrayInTable(SourceData_PastureBeef.SourceData_PastureBeef_LiveweightGain_Data(), Table_SourceData_PastureBeef_LiveweightGain[[#Headers],[State]],0)</f>
        <v>Autumn</v>
      </c>
      <c r="G161" s="35" cm="1">
        <f t="array" ref="G161">Common_InputFunctions.Utility_DisplayArrayInTable(SourceData_PastureBeef.SourceData_PastureBeef_LiveweightGain_Data(), Table_SourceData_PastureBeef_LiveweightGain[[#Headers],[State]],0)</f>
        <v>0.9</v>
      </c>
      <c r="H161" s="35" cm="1">
        <f t="array" ref="H161">Common_InputFunctions.Utility_DisplayArrayInTable(SourceData_PastureBeef.SourceData_PastureBeef_LiveweightGain_Data(), Table_SourceData_PastureBeef_LiveweightGain[[#Headers],[State]],0)</f>
        <v>-1.1000000000000001</v>
      </c>
      <c r="I161" s="35" cm="1">
        <f t="array" ref="I161">Common_InputFunctions.Utility_DisplayArrayInTable(SourceData_PastureBeef.SourceData_PastureBeef_LiveweightGain_Data(), Table_SourceData_PastureBeef_LiveweightGain[[#Headers],[State]],0)</f>
        <v>0.7</v>
      </c>
      <c r="J161" s="35" cm="1">
        <f t="array" ref="J161">Common_InputFunctions.Utility_DisplayArrayInTable(SourceData_PastureBeef.SourceData_PastureBeef_LiveweightGain_Data(), Table_SourceData_PastureBeef_LiveweightGain[[#Headers],[State]],0)</f>
        <v>0.22</v>
      </c>
      <c r="K161" s="35" cm="1">
        <f t="array" ref="K161">Common_InputFunctions.Utility_DisplayArrayInTable(SourceData_PastureBeef.SourceData_PastureBeef_LiveweightGain_Data(), Table_SourceData_PastureBeef_LiveweightGain[[#Headers],[State]],0)</f>
        <v>-0.55000000000000004</v>
      </c>
      <c r="L161" s="35" cm="1">
        <f t="array" ref="L161">Common_InputFunctions.Utility_DisplayArrayInTable(SourceData_PastureBeef.SourceData_PastureBeef_LiveweightGain_Data(), Table_SourceData_PastureBeef_LiveweightGain[[#Headers],[State]],0)</f>
        <v>0.8</v>
      </c>
      <c r="M161" s="35"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5" t="str" cm="1">
        <f t="array" ref="E162">Common_InputFunctions.Utility_DisplayArrayInTable(SourceData_PastureBeef.SourceData_PastureBeef_LiveweightGain_Data(), Table_SourceData_PastureBeef_LiveweightGain[[#Headers],[State]],0)</f>
        <v>n/a</v>
      </c>
      <c r="F162" s="35" t="str" cm="1">
        <f t="array" ref="F162">Common_InputFunctions.Utility_DisplayArrayInTable(SourceData_PastureBeef.SourceData_PastureBeef_LiveweightGain_Data(), Table_SourceData_PastureBeef_LiveweightGain[[#Headers],[State]],0)</f>
        <v>Winter</v>
      </c>
      <c r="G162" s="35" cm="1">
        <f t="array" ref="G162">Common_InputFunctions.Utility_DisplayArrayInTable(SourceData_PastureBeef.SourceData_PastureBeef_LiveweightGain_Data(), Table_SourceData_PastureBeef_LiveweightGain[[#Headers],[State]],0)</f>
        <v>0.88</v>
      </c>
      <c r="H162" s="35" cm="1">
        <f t="array" ref="H162">Common_InputFunctions.Utility_DisplayArrayInTable(SourceData_PastureBeef.SourceData_PastureBeef_LiveweightGain_Data(), Table_SourceData_PastureBeef_LiveweightGain[[#Headers],[State]],0)</f>
        <v>0</v>
      </c>
      <c r="I162" s="35" cm="1">
        <f t="array" ref="I162">Common_InputFunctions.Utility_DisplayArrayInTable(SourceData_PastureBeef.SourceData_PastureBeef_LiveweightGain_Data(), Table_SourceData_PastureBeef_LiveweightGain[[#Headers],[State]],0)</f>
        <v>0.77</v>
      </c>
      <c r="J162" s="35" cm="1">
        <f t="array" ref="J162">Common_InputFunctions.Utility_DisplayArrayInTable(SourceData_PastureBeef.SourceData_PastureBeef_LiveweightGain_Data(), Table_SourceData_PastureBeef_LiveweightGain[[#Headers],[State]],0)</f>
        <v>0.55000000000000004</v>
      </c>
      <c r="K162" s="35" cm="1">
        <f t="array" ref="K162">Common_InputFunctions.Utility_DisplayArrayInTable(SourceData_PastureBeef.SourceData_PastureBeef_LiveweightGain_Data(), Table_SourceData_PastureBeef_LiveweightGain[[#Headers],[State]],0)</f>
        <v>0</v>
      </c>
      <c r="L162" s="35" cm="1">
        <f t="array" ref="L162">Common_InputFunctions.Utility_DisplayArrayInTable(SourceData_PastureBeef.SourceData_PastureBeef_LiveweightGain_Data(), Table_SourceData_PastureBeef_LiveweightGain[[#Headers],[State]],0)</f>
        <v>0.82</v>
      </c>
      <c r="M162" s="35"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5" t="str" cm="1">
        <f t="array" ref="E163">Common_InputFunctions.Utility_DisplayArrayInTable(SourceData_PastureBeef.SourceData_PastureBeef_LiveweightGain_Data(), Table_SourceData_PastureBeef_LiveweightGain[[#Headers],[State]],0)</f>
        <v>n/a</v>
      </c>
      <c r="F163" s="35" t="str" cm="1">
        <f t="array" ref="F163">Common_InputFunctions.Utility_DisplayArrayInTable(SourceData_PastureBeef.SourceData_PastureBeef_LiveweightGain_Data(), Table_SourceData_PastureBeef_LiveweightGain[[#Headers],[State]],0)</f>
        <v>Spring</v>
      </c>
      <c r="G163" s="35" cm="1">
        <f t="array" ref="G163">Common_InputFunctions.Utility_DisplayArrayInTable(SourceData_PastureBeef.SourceData_PastureBeef_LiveweightGain_Data(), Table_SourceData_PastureBeef_LiveweightGain[[#Headers],[State]],0)</f>
        <v>1</v>
      </c>
      <c r="H163" s="35" cm="1">
        <f t="array" ref="H163">Common_InputFunctions.Utility_DisplayArrayInTable(SourceData_PastureBeef.SourceData_PastureBeef_LiveweightGain_Data(), Table_SourceData_PastureBeef_LiveweightGain[[#Headers],[State]],0)</f>
        <v>0.5</v>
      </c>
      <c r="I163" s="35" cm="1">
        <f t="array" ref="I163">Common_InputFunctions.Utility_DisplayArrayInTable(SourceData_PastureBeef.SourceData_PastureBeef_LiveweightGain_Data(), Table_SourceData_PastureBeef_LiveweightGain[[#Headers],[State]],0)</f>
        <v>1</v>
      </c>
      <c r="J163" s="35" cm="1">
        <f t="array" ref="J163">Common_InputFunctions.Utility_DisplayArrayInTable(SourceData_PastureBeef.SourceData_PastureBeef_LiveweightGain_Data(), Table_SourceData_PastureBeef_LiveweightGain[[#Headers],[State]],0)</f>
        <v>1</v>
      </c>
      <c r="K163" s="35" cm="1">
        <f t="array" ref="K163">Common_InputFunctions.Utility_DisplayArrayInTable(SourceData_PastureBeef.SourceData_PastureBeef_LiveweightGain_Data(), Table_SourceData_PastureBeef_LiveweightGain[[#Headers],[State]],0)</f>
        <v>-0.44</v>
      </c>
      <c r="L163" s="35" cm="1">
        <f t="array" ref="L163">Common_InputFunctions.Utility_DisplayArrayInTable(SourceData_PastureBeef.SourceData_PastureBeef_LiveweightGain_Data(), Table_SourceData_PastureBeef_LiveweightGain[[#Headers],[State]],0)</f>
        <v>1</v>
      </c>
      <c r="M163" s="35"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5" t="str" cm="1">
        <f t="array" ref="E164">Common_InputFunctions.Utility_DisplayArrayInTable(SourceData_PastureBeef.SourceData_PastureBeef_LiveweightGain_Data(), Table_SourceData_PastureBeef_LiveweightGain[[#Headers],[State]],0)</f>
        <v>n/a</v>
      </c>
      <c r="F164" s="35" t="str" cm="1">
        <f t="array" ref="F164">Common_InputFunctions.Utility_DisplayArrayInTable(SourceData_PastureBeef.SourceData_PastureBeef_LiveweightGain_Data(), Table_SourceData_PastureBeef_LiveweightGain[[#Headers],[State]],0)</f>
        <v>Summer</v>
      </c>
      <c r="G164" s="35" cm="1">
        <f t="array" ref="G164">Common_InputFunctions.Utility_DisplayArrayInTable(SourceData_PastureBeef.SourceData_PastureBeef_LiveweightGain_Data(), Table_SourceData_PastureBeef_LiveweightGain[[#Headers],[State]],0)</f>
        <v>0.82</v>
      </c>
      <c r="H164" s="35" cm="1">
        <f t="array" ref="H164">Common_InputFunctions.Utility_DisplayArrayInTable(SourceData_PastureBeef.SourceData_PastureBeef_LiveweightGain_Data(), Table_SourceData_PastureBeef_LiveweightGain[[#Headers],[State]],0)</f>
        <v>0.55000000000000004</v>
      </c>
      <c r="I164" s="35" cm="1">
        <f t="array" ref="I164">Common_InputFunctions.Utility_DisplayArrayInTable(SourceData_PastureBeef.SourceData_PastureBeef_LiveweightGain_Data(), Table_SourceData_PastureBeef_LiveweightGain[[#Headers],[State]],0)</f>
        <v>0.71</v>
      </c>
      <c r="J164" s="35" cm="1">
        <f t="array" ref="J164">Common_InputFunctions.Utility_DisplayArrayInTable(SourceData_PastureBeef.SourceData_PastureBeef_LiveweightGain_Data(), Table_SourceData_PastureBeef_LiveweightGain[[#Headers],[State]],0)</f>
        <v>0.55000000000000004</v>
      </c>
      <c r="K164" s="35" cm="1">
        <f t="array" ref="K164">Common_InputFunctions.Utility_DisplayArrayInTable(SourceData_PastureBeef.SourceData_PastureBeef_LiveweightGain_Data(), Table_SourceData_PastureBeef_LiveweightGain[[#Headers],[State]],0)</f>
        <v>0.99</v>
      </c>
      <c r="L164" s="35" cm="1">
        <f t="array" ref="L164">Common_InputFunctions.Utility_DisplayArrayInTable(SourceData_PastureBeef.SourceData_PastureBeef_LiveweightGain_Data(), Table_SourceData_PastureBeef_LiveweightGain[[#Headers],[State]],0)</f>
        <v>0.77</v>
      </c>
      <c r="M164" s="35"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5" t="str" cm="1">
        <f t="array" ref="E165">Common_InputFunctions.Utility_DisplayArrayInTable(SourceData_PastureBeef.SourceData_PastureBeef_LiveweightGain_Data(), Table_SourceData_PastureBeef_LiveweightGain[[#Headers],[State]],0)</f>
        <v>n/a</v>
      </c>
      <c r="F165" s="35" t="str" cm="1">
        <f t="array" ref="F165">Common_InputFunctions.Utility_DisplayArrayInTable(SourceData_PastureBeef.SourceData_PastureBeef_LiveweightGain_Data(), Table_SourceData_PastureBeef_LiveweightGain[[#Headers],[State]],0)</f>
        <v>Autumn</v>
      </c>
      <c r="G165" s="35" cm="1">
        <f t="array" ref="G165">Common_InputFunctions.Utility_DisplayArrayInTable(SourceData_PastureBeef.SourceData_PastureBeef_LiveweightGain_Data(), Table_SourceData_PastureBeef_LiveweightGain[[#Headers],[State]],0)</f>
        <v>0.77</v>
      </c>
      <c r="H165" s="35" cm="1">
        <f t="array" ref="H165">Common_InputFunctions.Utility_DisplayArrayInTable(SourceData_PastureBeef.SourceData_PastureBeef_LiveweightGain_Data(), Table_SourceData_PastureBeef_LiveweightGain[[#Headers],[State]],0)</f>
        <v>0.5</v>
      </c>
      <c r="I165" s="35" cm="1">
        <f t="array" ref="I165">Common_InputFunctions.Utility_DisplayArrayInTable(SourceData_PastureBeef.SourceData_PastureBeef_LiveweightGain_Data(), Table_SourceData_PastureBeef_LiveweightGain[[#Headers],[State]],0)</f>
        <v>0.55000000000000004</v>
      </c>
      <c r="J165" s="35" cm="1">
        <f t="array" ref="J165">Common_InputFunctions.Utility_DisplayArrayInTable(SourceData_PastureBeef.SourceData_PastureBeef_LiveweightGain_Data(), Table_SourceData_PastureBeef_LiveweightGain[[#Headers],[State]],0)</f>
        <v>0.11</v>
      </c>
      <c r="K165" s="35" cm="1">
        <f t="array" ref="K165">Common_InputFunctions.Utility_DisplayArrayInTable(SourceData_PastureBeef.SourceData_PastureBeef_LiveweightGain_Data(), Table_SourceData_PastureBeef_LiveweightGain[[#Headers],[State]],0)</f>
        <v>-0.33</v>
      </c>
      <c r="L165" s="35" cm="1">
        <f t="array" ref="L165">Common_InputFunctions.Utility_DisplayArrayInTable(SourceData_PastureBeef.SourceData_PastureBeef_LiveweightGain_Data(), Table_SourceData_PastureBeef_LiveweightGain[[#Headers],[State]],0)</f>
        <v>0.6</v>
      </c>
      <c r="M165" s="35"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5" t="str" cm="1">
        <f t="array" ref="E166">Common_InputFunctions.Utility_DisplayArrayInTable(SourceData_PastureBeef.SourceData_PastureBeef_LiveweightGain_Data(), Table_SourceData_PastureBeef_LiveweightGain[[#Headers],[State]],0)</f>
        <v>n/a</v>
      </c>
      <c r="F166" s="35" t="str" cm="1">
        <f t="array" ref="F166">Common_InputFunctions.Utility_DisplayArrayInTable(SourceData_PastureBeef.SourceData_PastureBeef_LiveweightGain_Data(), Table_SourceData_PastureBeef_LiveweightGain[[#Headers],[State]],0)</f>
        <v>Winter</v>
      </c>
      <c r="G166" s="35" cm="1">
        <f t="array" ref="G166">Common_InputFunctions.Utility_DisplayArrayInTable(SourceData_PastureBeef.SourceData_PastureBeef_LiveweightGain_Data(), Table_SourceData_PastureBeef_LiveweightGain[[#Headers],[State]],0)</f>
        <v>0.11</v>
      </c>
      <c r="H166" s="35" cm="1">
        <f t="array" ref="H166">Common_InputFunctions.Utility_DisplayArrayInTable(SourceData_PastureBeef.SourceData_PastureBeef_LiveweightGain_Data(), Table_SourceData_PastureBeef_LiveweightGain[[#Headers],[State]],0)</f>
        <v>-0.27</v>
      </c>
      <c r="I166" s="35" cm="1">
        <f t="array" ref="I166">Common_InputFunctions.Utility_DisplayArrayInTable(SourceData_PastureBeef.SourceData_PastureBeef_LiveweightGain_Data(), Table_SourceData_PastureBeef_LiveweightGain[[#Headers],[State]],0)</f>
        <v>0.11</v>
      </c>
      <c r="J166" s="35" cm="1">
        <f t="array" ref="J166">Common_InputFunctions.Utility_DisplayArrayInTable(SourceData_PastureBeef.SourceData_PastureBeef_LiveweightGain_Data(), Table_SourceData_PastureBeef_LiveweightGain[[#Headers],[State]],0)</f>
        <v>0.22</v>
      </c>
      <c r="K166" s="35" cm="1">
        <f t="array" ref="K166">Common_InputFunctions.Utility_DisplayArrayInTable(SourceData_PastureBeef.SourceData_PastureBeef_LiveweightGain_Data(), Table_SourceData_PastureBeef_LiveweightGain[[#Headers],[State]],0)</f>
        <v>-0.44</v>
      </c>
      <c r="L166" s="35" cm="1">
        <f t="array" ref="L166">Common_InputFunctions.Utility_DisplayArrayInTable(SourceData_PastureBeef.SourceData_PastureBeef_LiveweightGain_Data(), Table_SourceData_PastureBeef_LiveweightGain[[#Headers],[State]],0)</f>
        <v>0.16</v>
      </c>
      <c r="M166" s="35"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5" t="str" cm="1">
        <f t="array" ref="E167">Common_InputFunctions.Utility_DisplayArrayInTable(SourceData_PastureBeef.SourceData_PastureBeef_LiveweightGain_Data(), Table_SourceData_PastureBeef_LiveweightGain[[#Headers],[State]],0)</f>
        <v>n/a</v>
      </c>
      <c r="F167" s="35" t="str" cm="1">
        <f t="array" ref="F167">Common_InputFunctions.Utility_DisplayArrayInTable(SourceData_PastureBeef.SourceData_PastureBeef_LiveweightGain_Data(), Table_SourceData_PastureBeef_LiveweightGain[[#Headers],[State]],0)</f>
        <v>Spring</v>
      </c>
      <c r="G167" s="35" cm="1">
        <f t="array" ref="G167">Common_InputFunctions.Utility_DisplayArrayInTable(SourceData_PastureBeef.SourceData_PastureBeef_LiveweightGain_Data(), Table_SourceData_PastureBeef_LiveweightGain[[#Headers],[State]],0)</f>
        <v>1.1000000000000001</v>
      </c>
      <c r="H167" s="35" cm="1">
        <f t="array" ref="H167">Common_InputFunctions.Utility_DisplayArrayInTable(SourceData_PastureBeef.SourceData_PastureBeef_LiveweightGain_Data(), Table_SourceData_PastureBeef_LiveweightGain[[#Headers],[State]],0)</f>
        <v>1.1000000000000001</v>
      </c>
      <c r="I167" s="35" cm="1">
        <f t="array" ref="I167">Common_InputFunctions.Utility_DisplayArrayInTable(SourceData_PastureBeef.SourceData_PastureBeef_LiveweightGain_Data(), Table_SourceData_PastureBeef_LiveweightGain[[#Headers],[State]],0)</f>
        <v>1.1000000000000001</v>
      </c>
      <c r="J167" s="35" cm="1">
        <f t="array" ref="J167">Common_InputFunctions.Utility_DisplayArrayInTable(SourceData_PastureBeef.SourceData_PastureBeef_LiveweightGain_Data(), Table_SourceData_PastureBeef_LiveweightGain[[#Headers],[State]],0)</f>
        <v>0.99</v>
      </c>
      <c r="K167" s="35" cm="1">
        <f t="array" ref="K167">Common_InputFunctions.Utility_DisplayArrayInTable(SourceData_PastureBeef.SourceData_PastureBeef_LiveweightGain_Data(), Table_SourceData_PastureBeef_LiveweightGain[[#Headers],[State]],0)</f>
        <v>0.99</v>
      </c>
      <c r="L167" s="35" cm="1">
        <f t="array" ref="L167">Common_InputFunctions.Utility_DisplayArrayInTable(SourceData_PastureBeef.SourceData_PastureBeef_LiveweightGain_Data(), Table_SourceData_PastureBeef_LiveweightGain[[#Headers],[State]],0)</f>
        <v>1.1000000000000001</v>
      </c>
      <c r="M167" s="35"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5" t="str" cm="1">
        <f t="array" ref="E168">Common_InputFunctions.Utility_DisplayArrayInTable(SourceData_PastureBeef.SourceData_PastureBeef_LiveweightGain_Data(), Table_SourceData_PastureBeef_LiveweightGain[[#Headers],[State]],0)</f>
        <v>n/a</v>
      </c>
      <c r="F168" s="35" t="str" cm="1">
        <f t="array" ref="F168">Common_InputFunctions.Utility_DisplayArrayInTable(SourceData_PastureBeef.SourceData_PastureBeef_LiveweightGain_Data(), Table_SourceData_PastureBeef_LiveweightGain[[#Headers],[State]],0)</f>
        <v>Summer</v>
      </c>
      <c r="G168" s="35" cm="1">
        <f t="array" ref="G168">Common_InputFunctions.Utility_DisplayArrayInTable(SourceData_PastureBeef.SourceData_PastureBeef_LiveweightGain_Data(), Table_SourceData_PastureBeef_LiveweightGain[[#Headers],[State]],0)</f>
        <v>0.33</v>
      </c>
      <c r="H168" s="35" cm="1">
        <f t="array" ref="H168">Common_InputFunctions.Utility_DisplayArrayInTable(SourceData_PastureBeef.SourceData_PastureBeef_LiveweightGain_Data(), Table_SourceData_PastureBeef_LiveweightGain[[#Headers],[State]],0)</f>
        <v>0.33</v>
      </c>
      <c r="I168" s="35" cm="1">
        <f t="array" ref="I168">Common_InputFunctions.Utility_DisplayArrayInTable(SourceData_PastureBeef.SourceData_PastureBeef_LiveweightGain_Data(), Table_SourceData_PastureBeef_LiveweightGain[[#Headers],[State]],0)</f>
        <v>0.22</v>
      </c>
      <c r="J168" s="35" cm="1">
        <f t="array" ref="J168">Common_InputFunctions.Utility_DisplayArrayInTable(SourceData_PastureBeef.SourceData_PastureBeef_LiveweightGain_Data(), Table_SourceData_PastureBeef_LiveweightGain[[#Headers],[State]],0)</f>
        <v>0.33</v>
      </c>
      <c r="K168" s="35" cm="1">
        <f t="array" ref="K168">Common_InputFunctions.Utility_DisplayArrayInTable(SourceData_PastureBeef.SourceData_PastureBeef_LiveweightGain_Data(), Table_SourceData_PastureBeef_LiveweightGain[[#Headers],[State]],0)</f>
        <v>-0.1</v>
      </c>
      <c r="L168" s="35" cm="1">
        <f t="array" ref="L168">Common_InputFunctions.Utility_DisplayArrayInTable(SourceData_PastureBeef.SourceData_PastureBeef_LiveweightGain_Data(), Table_SourceData_PastureBeef_LiveweightGain[[#Headers],[State]],0)</f>
        <v>0.33</v>
      </c>
      <c r="M168" s="35"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5" t="str" cm="1">
        <f t="array" ref="E169">Common_InputFunctions.Utility_DisplayArrayInTable(SourceData_PastureBeef.SourceData_PastureBeef_LiveweightGain_Data(), Table_SourceData_PastureBeef_LiveweightGain[[#Headers],[State]],0)</f>
        <v>n/a</v>
      </c>
      <c r="F169" s="35" t="str" cm="1">
        <f t="array" ref="F169">Common_InputFunctions.Utility_DisplayArrayInTable(SourceData_PastureBeef.SourceData_PastureBeef_LiveweightGain_Data(), Table_SourceData_PastureBeef_LiveweightGain[[#Headers],[State]],0)</f>
        <v>Autumn</v>
      </c>
      <c r="G169" s="35" cm="1">
        <f t="array" ref="G169">Common_InputFunctions.Utility_DisplayArrayInTable(SourceData_PastureBeef.SourceData_PastureBeef_LiveweightGain_Data(), Table_SourceData_PastureBeef_LiveweightGain[[#Headers],[State]],0)</f>
        <v>0.5</v>
      </c>
      <c r="H169" s="35" cm="1">
        <f t="array" ref="H169">Common_InputFunctions.Utility_DisplayArrayInTable(SourceData_PastureBeef.SourceData_PastureBeef_LiveweightGain_Data(), Table_SourceData_PastureBeef_LiveweightGain[[#Headers],[State]],0)</f>
        <v>0.2</v>
      </c>
      <c r="I169" s="35" cm="1">
        <f t="array" ref="I169">Common_InputFunctions.Utility_DisplayArrayInTable(SourceData_PastureBeef.SourceData_PastureBeef_LiveweightGain_Data(), Table_SourceData_PastureBeef_LiveweightGain[[#Headers],[State]],0)</f>
        <v>0.55000000000000004</v>
      </c>
      <c r="J169" s="35" cm="1">
        <f t="array" ref="J169">Common_InputFunctions.Utility_DisplayArrayInTable(SourceData_PastureBeef.SourceData_PastureBeef_LiveweightGain_Data(), Table_SourceData_PastureBeef_LiveweightGain[[#Headers],[State]],0)</f>
        <v>0.44</v>
      </c>
      <c r="K169" s="35" cm="1">
        <f t="array" ref="K169">Common_InputFunctions.Utility_DisplayArrayInTable(SourceData_PastureBeef.SourceData_PastureBeef_LiveweightGain_Data(), Table_SourceData_PastureBeef_LiveweightGain[[#Headers],[State]],0)</f>
        <v>0.2</v>
      </c>
      <c r="L169" s="35" cm="1">
        <f t="array" ref="L169">Common_InputFunctions.Utility_DisplayArrayInTable(SourceData_PastureBeef.SourceData_PastureBeef_LiveweightGain_Data(), Table_SourceData_PastureBeef_LiveweightGain[[#Headers],[State]],0)</f>
        <v>0.55000000000000004</v>
      </c>
      <c r="M169" s="35"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5" t="str" cm="1">
        <f t="array" ref="E170">Common_InputFunctions.Utility_DisplayArrayInTable(SourceData_PastureBeef.SourceData_PastureBeef_LiveweightGain_Data(), Table_SourceData_PastureBeef_LiveweightGain[[#Headers],[State]],0)</f>
        <v>n/a</v>
      </c>
      <c r="F170" s="35" t="str" cm="1">
        <f t="array" ref="F170">Common_InputFunctions.Utility_DisplayArrayInTable(SourceData_PastureBeef.SourceData_PastureBeef_LiveweightGain_Data(), Table_SourceData_PastureBeef_LiveweightGain[[#Headers],[State]],0)</f>
        <v>Winter</v>
      </c>
      <c r="G170" s="35" cm="1">
        <f t="array" ref="G170">Common_InputFunctions.Utility_DisplayArrayInTable(SourceData_PastureBeef.SourceData_PastureBeef_LiveweightGain_Data(), Table_SourceData_PastureBeef_LiveweightGain[[#Headers],[State]],0)</f>
        <v>0.55000000000000004</v>
      </c>
      <c r="H170" s="35" cm="1">
        <f t="array" ref="H170">Common_InputFunctions.Utility_DisplayArrayInTable(SourceData_PastureBeef.SourceData_PastureBeef_LiveweightGain_Data(), Table_SourceData_PastureBeef_LiveweightGain[[#Headers],[State]],0)</f>
        <v>0.22</v>
      </c>
      <c r="I170" s="35" cm="1">
        <f t="array" ref="I170">Common_InputFunctions.Utility_DisplayArrayInTable(SourceData_PastureBeef.SourceData_PastureBeef_LiveweightGain_Data(), Table_SourceData_PastureBeef_LiveweightGain[[#Headers],[State]],0)</f>
        <v>0.49</v>
      </c>
      <c r="J170" s="35" cm="1">
        <f t="array" ref="J170">Common_InputFunctions.Utility_DisplayArrayInTable(SourceData_PastureBeef.SourceData_PastureBeef_LiveweightGain_Data(), Table_SourceData_PastureBeef_LiveweightGain[[#Headers],[State]],0)</f>
        <v>0.22</v>
      </c>
      <c r="K170" s="35" cm="1">
        <f t="array" ref="K170">Common_InputFunctions.Utility_DisplayArrayInTable(SourceData_PastureBeef.SourceData_PastureBeef_LiveweightGain_Data(), Table_SourceData_PastureBeef_LiveweightGain[[#Headers],[State]],0)</f>
        <v>0.22</v>
      </c>
      <c r="L170" s="35" cm="1">
        <f t="array" ref="L170">Common_InputFunctions.Utility_DisplayArrayInTable(SourceData_PastureBeef.SourceData_PastureBeef_LiveweightGain_Data(), Table_SourceData_PastureBeef_LiveweightGain[[#Headers],[State]],0)</f>
        <v>0.49</v>
      </c>
      <c r="M170" s="35"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5" t="str" cm="1">
        <f t="array" ref="E171">Common_InputFunctions.Utility_DisplayArrayInTable(SourceData_PastureBeef.SourceData_PastureBeef_LiveweightGain_Data(), Table_SourceData_PastureBeef_LiveweightGain[[#Headers],[State]],0)</f>
        <v>South West</v>
      </c>
      <c r="F171" s="35" t="str" cm="1">
        <f t="array" ref="F171">Common_InputFunctions.Utility_DisplayArrayInTable(SourceData_PastureBeef.SourceData_PastureBeef_LiveweightGain_Data(), Table_SourceData_PastureBeef_LiveweightGain[[#Headers],[State]],0)</f>
        <v>Spring</v>
      </c>
      <c r="G171" s="35" cm="1">
        <f t="array" ref="G171">Common_InputFunctions.Utility_DisplayArrayInTable(SourceData_PastureBeef.SourceData_PastureBeef_LiveweightGain_Data(), Table_SourceData_PastureBeef_LiveweightGain[[#Headers],[State]],0)</f>
        <v>1.64</v>
      </c>
      <c r="H171" s="35" cm="1">
        <f t="array" ref="H171">Common_InputFunctions.Utility_DisplayArrayInTable(SourceData_PastureBeef.SourceData_PastureBeef_LiveweightGain_Data(), Table_SourceData_PastureBeef_LiveweightGain[[#Headers],[State]],0)</f>
        <v>1.1000000000000001</v>
      </c>
      <c r="I171" s="35" cm="1">
        <f t="array" ref="I171">Common_InputFunctions.Utility_DisplayArrayInTable(SourceData_PastureBeef.SourceData_PastureBeef_LiveweightGain_Data(), Table_SourceData_PastureBeef_LiveweightGain[[#Headers],[State]],0)</f>
        <v>1.21</v>
      </c>
      <c r="J171" s="35" cm="1">
        <f t="array" ref="J171">Common_InputFunctions.Utility_DisplayArrayInTable(SourceData_PastureBeef.SourceData_PastureBeef_LiveweightGain_Data(), Table_SourceData_PastureBeef_LiveweightGain[[#Headers],[State]],0)</f>
        <v>0.99</v>
      </c>
      <c r="K171" s="35" cm="1">
        <f t="array" ref="K171">Common_InputFunctions.Utility_DisplayArrayInTable(SourceData_PastureBeef.SourceData_PastureBeef_LiveweightGain_Data(), Table_SourceData_PastureBeef_LiveweightGain[[#Headers],[State]],0)</f>
        <v>0.66</v>
      </c>
      <c r="L171" s="35" cm="1">
        <f t="array" ref="L171">Common_InputFunctions.Utility_DisplayArrayInTable(SourceData_PastureBeef.SourceData_PastureBeef_LiveweightGain_Data(), Table_SourceData_PastureBeef_LiveweightGain[[#Headers],[State]],0)</f>
        <v>1.42</v>
      </c>
      <c r="M171" s="35"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5" t="str" cm="1">
        <f t="array" ref="E172">Common_InputFunctions.Utility_DisplayArrayInTable(SourceData_PastureBeef.SourceData_PastureBeef_LiveweightGain_Data(), Table_SourceData_PastureBeef_LiveweightGain[[#Headers],[State]],0)</f>
        <v>South West</v>
      </c>
      <c r="F172" s="35" t="str" cm="1">
        <f t="array" ref="F172">Common_InputFunctions.Utility_DisplayArrayInTable(SourceData_PastureBeef.SourceData_PastureBeef_LiveweightGain_Data(), Table_SourceData_PastureBeef_LiveweightGain[[#Headers],[State]],0)</f>
        <v>Summer</v>
      </c>
      <c r="G172" s="35" cm="1">
        <f t="array" ref="G172">Common_InputFunctions.Utility_DisplayArrayInTable(SourceData_PastureBeef.SourceData_PastureBeef_LiveweightGain_Data(), Table_SourceData_PastureBeef_LiveweightGain[[#Headers],[State]],0)</f>
        <v>0.44</v>
      </c>
      <c r="H172" s="35" cm="1">
        <f t="array" ref="H172">Common_InputFunctions.Utility_DisplayArrayInTable(SourceData_PastureBeef.SourceData_PastureBeef_LiveweightGain_Data(), Table_SourceData_PastureBeef_LiveweightGain[[#Headers],[State]],0)</f>
        <v>-0.22</v>
      </c>
      <c r="I172" s="35" cm="1">
        <f t="array" ref="I172">Common_InputFunctions.Utility_DisplayArrayInTable(SourceData_PastureBeef.SourceData_PastureBeef_LiveweightGain_Data(), Table_SourceData_PastureBeef_LiveweightGain[[#Headers],[State]],0)</f>
        <v>0.44</v>
      </c>
      <c r="J172" s="35" cm="1">
        <f t="array" ref="J172">Common_InputFunctions.Utility_DisplayArrayInTable(SourceData_PastureBeef.SourceData_PastureBeef_LiveweightGain_Data(), Table_SourceData_PastureBeef_LiveweightGain[[#Headers],[State]],0)</f>
        <v>0.33</v>
      </c>
      <c r="K172" s="35" cm="1">
        <f t="array" ref="K172">Common_InputFunctions.Utility_DisplayArrayInTable(SourceData_PastureBeef.SourceData_PastureBeef_LiveweightGain_Data(), Table_SourceData_PastureBeef_LiveweightGain[[#Headers],[State]],0)</f>
        <v>-0.22</v>
      </c>
      <c r="L172" s="35" cm="1">
        <f t="array" ref="L172">Common_InputFunctions.Utility_DisplayArrayInTable(SourceData_PastureBeef.SourceData_PastureBeef_LiveweightGain_Data(), Table_SourceData_PastureBeef_LiveweightGain[[#Headers],[State]],0)</f>
        <v>0.44</v>
      </c>
      <c r="M172" s="35"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5" t="str" cm="1">
        <f t="array" ref="E173">Common_InputFunctions.Utility_DisplayArrayInTable(SourceData_PastureBeef.SourceData_PastureBeef_LiveweightGain_Data(), Table_SourceData_PastureBeef_LiveweightGain[[#Headers],[State]],0)</f>
        <v>South West</v>
      </c>
      <c r="F173" s="35" t="str" cm="1">
        <f t="array" ref="F173">Common_InputFunctions.Utility_DisplayArrayInTable(SourceData_PastureBeef.SourceData_PastureBeef_LiveweightGain_Data(), Table_SourceData_PastureBeef_LiveweightGain[[#Headers],[State]],0)</f>
        <v>Autumn</v>
      </c>
      <c r="G173" s="35" cm="1">
        <f t="array" ref="G173">Common_InputFunctions.Utility_DisplayArrayInTable(SourceData_PastureBeef.SourceData_PastureBeef_LiveweightGain_Data(), Table_SourceData_PastureBeef_LiveweightGain[[#Headers],[State]],0)</f>
        <v>0.6</v>
      </c>
      <c r="H173" s="35" cm="1">
        <f t="array" ref="H173">Common_InputFunctions.Utility_DisplayArrayInTable(SourceData_PastureBeef.SourceData_PastureBeef_LiveweightGain_Data(), Table_SourceData_PastureBeef_LiveweightGain[[#Headers],[State]],0)</f>
        <v>0</v>
      </c>
      <c r="I173" s="35" cm="1">
        <f t="array" ref="I173">Common_InputFunctions.Utility_DisplayArrayInTable(SourceData_PastureBeef.SourceData_PastureBeef_LiveweightGain_Data(), Table_SourceData_PastureBeef_LiveweightGain[[#Headers],[State]],0)</f>
        <v>0.6</v>
      </c>
      <c r="J173" s="35" cm="1">
        <f t="array" ref="J173">Common_InputFunctions.Utility_DisplayArrayInTable(SourceData_PastureBeef.SourceData_PastureBeef_LiveweightGain_Data(), Table_SourceData_PastureBeef_LiveweightGain[[#Headers],[State]],0)</f>
        <v>0.22</v>
      </c>
      <c r="K173" s="35" cm="1">
        <f t="array" ref="K173">Common_InputFunctions.Utility_DisplayArrayInTable(SourceData_PastureBeef.SourceData_PastureBeef_LiveweightGain_Data(), Table_SourceData_PastureBeef_LiveweightGain[[#Headers],[State]],0)</f>
        <v>-0.55000000000000004</v>
      </c>
      <c r="L173" s="35" cm="1">
        <f t="array" ref="L173">Common_InputFunctions.Utility_DisplayArrayInTable(SourceData_PastureBeef.SourceData_PastureBeef_LiveweightGain_Data(), Table_SourceData_PastureBeef_LiveweightGain[[#Headers],[State]],0)</f>
        <v>0.6</v>
      </c>
      <c r="M173" s="35"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5" t="str" cm="1">
        <f t="array" ref="E174">Common_InputFunctions.Utility_DisplayArrayInTable(SourceData_PastureBeef.SourceData_PastureBeef_LiveweightGain_Data(), Table_SourceData_PastureBeef_LiveweightGain[[#Headers],[State]],0)</f>
        <v>South West</v>
      </c>
      <c r="F174" s="35" t="str" cm="1">
        <f t="array" ref="F174">Common_InputFunctions.Utility_DisplayArrayInTable(SourceData_PastureBeef.SourceData_PastureBeef_LiveweightGain_Data(), Table_SourceData_PastureBeef_LiveweightGain[[#Headers],[State]],0)</f>
        <v>Winter</v>
      </c>
      <c r="G174" s="35" cm="1">
        <f t="array" ref="G174">Common_InputFunctions.Utility_DisplayArrayInTable(SourceData_PastureBeef.SourceData_PastureBeef_LiveweightGain_Data(), Table_SourceData_PastureBeef_LiveweightGain[[#Headers],[State]],0)</f>
        <v>0.99</v>
      </c>
      <c r="H174" s="35" cm="1">
        <f t="array" ref="H174">Common_InputFunctions.Utility_DisplayArrayInTable(SourceData_PastureBeef.SourceData_PastureBeef_LiveweightGain_Data(), Table_SourceData_PastureBeef_LiveweightGain[[#Headers],[State]],0)</f>
        <v>0.22</v>
      </c>
      <c r="I174" s="35" cm="1">
        <f t="array" ref="I174">Common_InputFunctions.Utility_DisplayArrayInTable(SourceData_PastureBeef.SourceData_PastureBeef_LiveweightGain_Data(), Table_SourceData_PastureBeef_LiveweightGain[[#Headers],[State]],0)</f>
        <v>0.77</v>
      </c>
      <c r="J174" s="35" cm="1">
        <f t="array" ref="J174">Common_InputFunctions.Utility_DisplayArrayInTable(SourceData_PastureBeef.SourceData_PastureBeef_LiveweightGain_Data(), Table_SourceData_PastureBeef_LiveweightGain[[#Headers],[State]],0)</f>
        <v>0.11</v>
      </c>
      <c r="K174" s="35" cm="1">
        <f t="array" ref="K174">Common_InputFunctions.Utility_DisplayArrayInTable(SourceData_PastureBeef.SourceData_PastureBeef_LiveweightGain_Data(), Table_SourceData_PastureBeef_LiveweightGain[[#Headers],[State]],0)</f>
        <v>0.11</v>
      </c>
      <c r="L174" s="35" cm="1">
        <f t="array" ref="L174">Common_InputFunctions.Utility_DisplayArrayInTable(SourceData_PastureBeef.SourceData_PastureBeef_LiveweightGain_Data(), Table_SourceData_PastureBeef_LiveweightGain[[#Headers],[State]],0)</f>
        <v>0.77</v>
      </c>
      <c r="M174" s="35"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5" t="str" cm="1">
        <f t="array" ref="E175">Common_InputFunctions.Utility_DisplayArrayInTable(SourceData_PastureBeef.SourceData_PastureBeef_LiveweightGain_Data(), Table_SourceData_PastureBeef_LiveweightGain[[#Headers],[State]],0)</f>
        <v>Pilbara</v>
      </c>
      <c r="F175" s="35" t="str" cm="1">
        <f t="array" ref="F175">Common_InputFunctions.Utility_DisplayArrayInTable(SourceData_PastureBeef.SourceData_PastureBeef_LiveweightGain_Data(), Table_SourceData_PastureBeef_LiveweightGain[[#Headers],[State]],0)</f>
        <v>Spring</v>
      </c>
      <c r="G175" s="35" cm="1">
        <f t="array" ref="G175">Common_InputFunctions.Utility_DisplayArrayInTable(SourceData_PastureBeef.SourceData_PastureBeef_LiveweightGain_Data(), Table_SourceData_PastureBeef_LiveweightGain[[#Headers],[State]],0)</f>
        <v>0.7</v>
      </c>
      <c r="H175" s="35" cm="1">
        <f t="array" ref="H175">Common_InputFunctions.Utility_DisplayArrayInTable(SourceData_PastureBeef.SourceData_PastureBeef_LiveweightGain_Data(), Table_SourceData_PastureBeef_LiveweightGain[[#Headers],[State]],0)</f>
        <v>-0.55000000000000004</v>
      </c>
      <c r="I175" s="35" cm="1">
        <f t="array" ref="I175">Common_InputFunctions.Utility_DisplayArrayInTable(SourceData_PastureBeef.SourceData_PastureBeef_LiveweightGain_Data(), Table_SourceData_PastureBeef_LiveweightGain[[#Headers],[State]],0)</f>
        <v>0.7</v>
      </c>
      <c r="J175" s="35" cm="1">
        <f t="array" ref="J175">Common_InputFunctions.Utility_DisplayArrayInTable(SourceData_PastureBeef.SourceData_PastureBeef_LiveweightGain_Data(), Table_SourceData_PastureBeef_LiveweightGain[[#Headers],[State]],0)</f>
        <v>0.22</v>
      </c>
      <c r="K175" s="35" cm="1">
        <f t="array" ref="K175">Common_InputFunctions.Utility_DisplayArrayInTable(SourceData_PastureBeef.SourceData_PastureBeef_LiveweightGain_Data(), Table_SourceData_PastureBeef_LiveweightGain[[#Headers],[State]],0)</f>
        <v>-0.22</v>
      </c>
      <c r="L175" s="35" cm="1">
        <f t="array" ref="L175">Common_InputFunctions.Utility_DisplayArrayInTable(SourceData_PastureBeef.SourceData_PastureBeef_LiveweightGain_Data(), Table_SourceData_PastureBeef_LiveweightGain[[#Headers],[State]],0)</f>
        <v>0.7</v>
      </c>
      <c r="M175" s="35"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5" t="str" cm="1">
        <f t="array" ref="E176">Common_InputFunctions.Utility_DisplayArrayInTable(SourceData_PastureBeef.SourceData_PastureBeef_LiveweightGain_Data(), Table_SourceData_PastureBeef_LiveweightGain[[#Headers],[State]],0)</f>
        <v>Pilbara</v>
      </c>
      <c r="F176" s="35" t="str" cm="1">
        <f t="array" ref="F176">Common_InputFunctions.Utility_DisplayArrayInTable(SourceData_PastureBeef.SourceData_PastureBeef_LiveweightGain_Data(), Table_SourceData_PastureBeef_LiveweightGain[[#Headers],[State]],0)</f>
        <v>Summer</v>
      </c>
      <c r="G176" s="35" cm="1">
        <f t="array" ref="G176">Common_InputFunctions.Utility_DisplayArrayInTable(SourceData_PastureBeef.SourceData_PastureBeef_LiveweightGain_Data(), Table_SourceData_PastureBeef_LiveweightGain[[#Headers],[State]],0)</f>
        <v>0.77</v>
      </c>
      <c r="H176" s="35" cm="1">
        <f t="array" ref="H176">Common_InputFunctions.Utility_DisplayArrayInTable(SourceData_PastureBeef.SourceData_PastureBeef_LiveweightGain_Data(), Table_SourceData_PastureBeef_LiveweightGain[[#Headers],[State]],0)</f>
        <v>0.55000000000000004</v>
      </c>
      <c r="I176" s="35" cm="1">
        <f t="array" ref="I176">Common_InputFunctions.Utility_DisplayArrayInTable(SourceData_PastureBeef.SourceData_PastureBeef_LiveweightGain_Data(), Table_SourceData_PastureBeef_LiveweightGain[[#Headers],[State]],0)</f>
        <v>0.77</v>
      </c>
      <c r="J176" s="35" cm="1">
        <f t="array" ref="J176">Common_InputFunctions.Utility_DisplayArrayInTable(SourceData_PastureBeef.SourceData_PastureBeef_LiveweightGain_Data(), Table_SourceData_PastureBeef_LiveweightGain[[#Headers],[State]],0)</f>
        <v>0.66</v>
      </c>
      <c r="K176" s="35" cm="1">
        <f t="array" ref="K176">Common_InputFunctions.Utility_DisplayArrayInTable(SourceData_PastureBeef.SourceData_PastureBeef_LiveweightGain_Data(), Table_SourceData_PastureBeef_LiveweightGain[[#Headers],[State]],0)</f>
        <v>0.55000000000000004</v>
      </c>
      <c r="L176" s="35" cm="1">
        <f t="array" ref="L176">Common_InputFunctions.Utility_DisplayArrayInTable(SourceData_PastureBeef.SourceData_PastureBeef_LiveweightGain_Data(), Table_SourceData_PastureBeef_LiveweightGain[[#Headers],[State]],0)</f>
        <v>0.77</v>
      </c>
      <c r="M176" s="35"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5" t="str" cm="1">
        <f t="array" ref="E177">Common_InputFunctions.Utility_DisplayArrayInTable(SourceData_PastureBeef.SourceData_PastureBeef_LiveweightGain_Data(), Table_SourceData_PastureBeef_LiveweightGain[[#Headers],[State]],0)</f>
        <v>Pilbara</v>
      </c>
      <c r="F177" s="35" t="str" cm="1">
        <f t="array" ref="F177">Common_InputFunctions.Utility_DisplayArrayInTable(SourceData_PastureBeef.SourceData_PastureBeef_LiveweightGain_Data(), Table_SourceData_PastureBeef_LiveweightGain[[#Headers],[State]],0)</f>
        <v>Autumn</v>
      </c>
      <c r="G177" s="35" cm="1">
        <f t="array" ref="G177">Common_InputFunctions.Utility_DisplayArrayInTable(SourceData_PastureBeef.SourceData_PastureBeef_LiveweightGain_Data(), Table_SourceData_PastureBeef_LiveweightGain[[#Headers],[State]],0)</f>
        <v>0.88</v>
      </c>
      <c r="H177" s="35" cm="1">
        <f t="array" ref="H177">Common_InputFunctions.Utility_DisplayArrayInTable(SourceData_PastureBeef.SourceData_PastureBeef_LiveweightGain_Data(), Table_SourceData_PastureBeef_LiveweightGain[[#Headers],[State]],0)</f>
        <v>0.55000000000000004</v>
      </c>
      <c r="I177" s="35" cm="1">
        <f t="array" ref="I177">Common_InputFunctions.Utility_DisplayArrayInTable(SourceData_PastureBeef.SourceData_PastureBeef_LiveweightGain_Data(), Table_SourceData_PastureBeef_LiveweightGain[[#Headers],[State]],0)</f>
        <v>0.88</v>
      </c>
      <c r="J177" s="35" cm="1">
        <f t="array" ref="J177">Common_InputFunctions.Utility_DisplayArrayInTable(SourceData_PastureBeef.SourceData_PastureBeef_LiveweightGain_Data(), Table_SourceData_PastureBeef_LiveweightGain[[#Headers],[State]],0)</f>
        <v>0.22</v>
      </c>
      <c r="K177" s="35" cm="1">
        <f t="array" ref="K177">Common_InputFunctions.Utility_DisplayArrayInTable(SourceData_PastureBeef.SourceData_PastureBeef_LiveweightGain_Data(), Table_SourceData_PastureBeef_LiveweightGain[[#Headers],[State]],0)</f>
        <v>0.22</v>
      </c>
      <c r="L177" s="35" cm="1">
        <f t="array" ref="L177">Common_InputFunctions.Utility_DisplayArrayInTable(SourceData_PastureBeef.SourceData_PastureBeef_LiveweightGain_Data(), Table_SourceData_PastureBeef_LiveweightGain[[#Headers],[State]],0)</f>
        <v>0.88</v>
      </c>
      <c r="M177" s="35"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5" t="str" cm="1">
        <f t="array" ref="E178">Common_InputFunctions.Utility_DisplayArrayInTable(SourceData_PastureBeef.SourceData_PastureBeef_LiveweightGain_Data(), Table_SourceData_PastureBeef_LiveweightGain[[#Headers],[State]],0)</f>
        <v>Pilbara</v>
      </c>
      <c r="F178" s="35" t="str" cm="1">
        <f t="array" ref="F178">Common_InputFunctions.Utility_DisplayArrayInTable(SourceData_PastureBeef.SourceData_PastureBeef_LiveweightGain_Data(), Table_SourceData_PastureBeef_LiveweightGain[[#Headers],[State]],0)</f>
        <v>Winter</v>
      </c>
      <c r="G178" s="35" cm="1">
        <f t="array" ref="G178">Common_InputFunctions.Utility_DisplayArrayInTable(SourceData_PastureBeef.SourceData_PastureBeef_LiveweightGain_Data(), Table_SourceData_PastureBeef_LiveweightGain[[#Headers],[State]],0)</f>
        <v>0.22</v>
      </c>
      <c r="H178" s="35" cm="1">
        <f t="array" ref="H178">Common_InputFunctions.Utility_DisplayArrayInTable(SourceData_PastureBeef.SourceData_PastureBeef_LiveweightGain_Data(), Table_SourceData_PastureBeef_LiveweightGain[[#Headers],[State]],0)</f>
        <v>-0.55000000000000004</v>
      </c>
      <c r="I178" s="35" cm="1">
        <f t="array" ref="I178">Common_InputFunctions.Utility_DisplayArrayInTable(SourceData_PastureBeef.SourceData_PastureBeef_LiveweightGain_Data(), Table_SourceData_PastureBeef_LiveweightGain[[#Headers],[State]],0)</f>
        <v>0.22</v>
      </c>
      <c r="J178" s="35" cm="1">
        <f t="array" ref="J178">Common_InputFunctions.Utility_DisplayArrayInTable(SourceData_PastureBeef.SourceData_PastureBeef_LiveweightGain_Data(), Table_SourceData_PastureBeef_LiveweightGain[[#Headers],[State]],0)</f>
        <v>0.11</v>
      </c>
      <c r="K178" s="35" cm="1">
        <f t="array" ref="K178">Common_InputFunctions.Utility_DisplayArrayInTable(SourceData_PastureBeef.SourceData_PastureBeef_LiveweightGain_Data(), Table_SourceData_PastureBeef_LiveweightGain[[#Headers],[State]],0)</f>
        <v>-0.22</v>
      </c>
      <c r="L178" s="35" cm="1">
        <f t="array" ref="L178">Common_InputFunctions.Utility_DisplayArrayInTable(SourceData_PastureBeef.SourceData_PastureBeef_LiveweightGain_Data(), Table_SourceData_PastureBeef_LiveweightGain[[#Headers],[State]],0)</f>
        <v>0.22</v>
      </c>
      <c r="M178" s="35"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5" t="str" cm="1">
        <f t="array" ref="E179">Common_InputFunctions.Utility_DisplayArrayInTable(SourceData_PastureBeef.SourceData_PastureBeef_LiveweightGain_Data(), Table_SourceData_PastureBeef_LiveweightGain[[#Headers],[State]],0)</f>
        <v>Kimberley</v>
      </c>
      <c r="F179" s="35" t="str" cm="1">
        <f t="array" ref="F179">Common_InputFunctions.Utility_DisplayArrayInTable(SourceData_PastureBeef.SourceData_PastureBeef_LiveweightGain_Data(), Table_SourceData_PastureBeef_LiveweightGain[[#Headers],[State]],0)</f>
        <v>Spring</v>
      </c>
      <c r="G179" s="35" cm="1">
        <f t="array" ref="G179">Common_InputFunctions.Utility_DisplayArrayInTable(SourceData_PastureBeef.SourceData_PastureBeef_LiveweightGain_Data(), Table_SourceData_PastureBeef_LiveweightGain[[#Headers],[State]],0)</f>
        <v>0.22</v>
      </c>
      <c r="H179" s="35" cm="1">
        <f t="array" ref="H179">Common_InputFunctions.Utility_DisplayArrayInTable(SourceData_PastureBeef.SourceData_PastureBeef_LiveweightGain_Data(), Table_SourceData_PastureBeef_LiveweightGain[[#Headers],[State]],0)</f>
        <v>-0.55000000000000004</v>
      </c>
      <c r="I179" s="35" cm="1">
        <f t="array" ref="I179">Common_InputFunctions.Utility_DisplayArrayInTable(SourceData_PastureBeef.SourceData_PastureBeef_LiveweightGain_Data(), Table_SourceData_PastureBeef_LiveweightGain[[#Headers],[State]],0)</f>
        <v>0.33</v>
      </c>
      <c r="J179" s="35" cm="1">
        <f t="array" ref="J179">Common_InputFunctions.Utility_DisplayArrayInTable(SourceData_PastureBeef.SourceData_PastureBeef_LiveweightGain_Data(), Table_SourceData_PastureBeef_LiveweightGain[[#Headers],[State]],0)</f>
        <v>0.22</v>
      </c>
      <c r="K179" s="35" cm="1">
        <f t="array" ref="K179">Common_InputFunctions.Utility_DisplayArrayInTable(SourceData_PastureBeef.SourceData_PastureBeef_LiveweightGain_Data(), Table_SourceData_PastureBeef_LiveweightGain[[#Headers],[State]],0)</f>
        <v>-0.33</v>
      </c>
      <c r="L179" s="35" cm="1">
        <f t="array" ref="L179">Common_InputFunctions.Utility_DisplayArrayInTable(SourceData_PastureBeef.SourceData_PastureBeef_LiveweightGain_Data(), Table_SourceData_PastureBeef_LiveweightGain[[#Headers],[State]],0)</f>
        <v>0.22</v>
      </c>
      <c r="M179" s="35"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5" t="str" cm="1">
        <f t="array" ref="E180">Common_InputFunctions.Utility_DisplayArrayInTable(SourceData_PastureBeef.SourceData_PastureBeef_LiveweightGain_Data(), Table_SourceData_PastureBeef_LiveweightGain[[#Headers],[State]],0)</f>
        <v>Kimberley</v>
      </c>
      <c r="F180" s="35" t="str" cm="1">
        <f t="array" ref="F180">Common_InputFunctions.Utility_DisplayArrayInTable(SourceData_PastureBeef.SourceData_PastureBeef_LiveweightGain_Data(), Table_SourceData_PastureBeef_LiveweightGain[[#Headers],[State]],0)</f>
        <v>Summer</v>
      </c>
      <c r="G180" s="35" cm="1">
        <f t="array" ref="G180">Common_InputFunctions.Utility_DisplayArrayInTable(SourceData_PastureBeef.SourceData_PastureBeef_LiveweightGain_Data(), Table_SourceData_PastureBeef_LiveweightGain[[#Headers],[State]],0)</f>
        <v>0.8</v>
      </c>
      <c r="H180" s="35" cm="1">
        <f t="array" ref="H180">Common_InputFunctions.Utility_DisplayArrayInTable(SourceData_PastureBeef.SourceData_PastureBeef_LiveweightGain_Data(), Table_SourceData_PastureBeef_LiveweightGain[[#Headers],[State]],0)</f>
        <v>0.55000000000000004</v>
      </c>
      <c r="I180" s="35" cm="1">
        <f t="array" ref="I180">Common_InputFunctions.Utility_DisplayArrayInTable(SourceData_PastureBeef.SourceData_PastureBeef_LiveweightGain_Data(), Table_SourceData_PastureBeef_LiveweightGain[[#Headers],[State]],0)</f>
        <v>0.7</v>
      </c>
      <c r="J180" s="35" cm="1">
        <f t="array" ref="J180">Common_InputFunctions.Utility_DisplayArrayInTable(SourceData_PastureBeef.SourceData_PastureBeef_LiveweightGain_Data(), Table_SourceData_PastureBeef_LiveweightGain[[#Headers],[State]],0)</f>
        <v>0.44</v>
      </c>
      <c r="K180" s="35" cm="1">
        <f t="array" ref="K180">Common_InputFunctions.Utility_DisplayArrayInTable(SourceData_PastureBeef.SourceData_PastureBeef_LiveweightGain_Data(), Table_SourceData_PastureBeef_LiveweightGain[[#Headers],[State]],0)</f>
        <v>0.66</v>
      </c>
      <c r="L180" s="35" cm="1">
        <f t="array" ref="L180">Common_InputFunctions.Utility_DisplayArrayInTable(SourceData_PastureBeef.SourceData_PastureBeef_LiveweightGain_Data(), Table_SourceData_PastureBeef_LiveweightGain[[#Headers],[State]],0)</f>
        <v>0.8</v>
      </c>
      <c r="M180" s="35"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5" t="str" cm="1">
        <f t="array" ref="E181">Common_InputFunctions.Utility_DisplayArrayInTable(SourceData_PastureBeef.SourceData_PastureBeef_LiveweightGain_Data(), Table_SourceData_PastureBeef_LiveweightGain[[#Headers],[State]],0)</f>
        <v>Kimberley</v>
      </c>
      <c r="F181" s="35" t="str" cm="1">
        <f t="array" ref="F181">Common_InputFunctions.Utility_DisplayArrayInTable(SourceData_PastureBeef.SourceData_PastureBeef_LiveweightGain_Data(), Table_SourceData_PastureBeef_LiveweightGain[[#Headers],[State]],0)</f>
        <v>Autumn</v>
      </c>
      <c r="G181" s="35" cm="1">
        <f t="array" ref="G181">Common_InputFunctions.Utility_DisplayArrayInTable(SourceData_PastureBeef.SourceData_PastureBeef_LiveweightGain_Data(), Table_SourceData_PastureBeef_LiveweightGain[[#Headers],[State]],0)</f>
        <v>0.66</v>
      </c>
      <c r="H181" s="35" cm="1">
        <f t="array" ref="H181">Common_InputFunctions.Utility_DisplayArrayInTable(SourceData_PastureBeef.SourceData_PastureBeef_LiveweightGain_Data(), Table_SourceData_PastureBeef_LiveweightGain[[#Headers],[State]],0)</f>
        <v>0.55000000000000004</v>
      </c>
      <c r="I181" s="35" cm="1">
        <f t="array" ref="I181">Common_InputFunctions.Utility_DisplayArrayInTable(SourceData_PastureBeef.SourceData_PastureBeef_LiveweightGain_Data(), Table_SourceData_PastureBeef_LiveweightGain[[#Headers],[State]],0)</f>
        <v>0.55000000000000004</v>
      </c>
      <c r="J181" s="35" cm="1">
        <f t="array" ref="J181">Common_InputFunctions.Utility_DisplayArrayInTable(SourceData_PastureBeef.SourceData_PastureBeef_LiveweightGain_Data(), Table_SourceData_PastureBeef_LiveweightGain[[#Headers],[State]],0)</f>
        <v>0.55000000000000004</v>
      </c>
      <c r="K181" s="35" cm="1">
        <f t="array" ref="K181">Common_InputFunctions.Utility_DisplayArrayInTable(SourceData_PastureBeef.SourceData_PastureBeef_LiveweightGain_Data(), Table_SourceData_PastureBeef_LiveweightGain[[#Headers],[State]],0)</f>
        <v>0.11</v>
      </c>
      <c r="L181" s="35" cm="1">
        <f t="array" ref="L181">Common_InputFunctions.Utility_DisplayArrayInTable(SourceData_PastureBeef.SourceData_PastureBeef_LiveweightGain_Data(), Table_SourceData_PastureBeef_LiveweightGain[[#Headers],[State]],0)</f>
        <v>0.66</v>
      </c>
      <c r="M181" s="35"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5" t="str" cm="1">
        <f t="array" ref="E182">Common_InputFunctions.Utility_DisplayArrayInTable(SourceData_PastureBeef.SourceData_PastureBeef_LiveweightGain_Data(), Table_SourceData_PastureBeef_LiveweightGain[[#Headers],[State]],0)</f>
        <v>Kimberley</v>
      </c>
      <c r="F182" s="35" t="str" cm="1">
        <f t="array" ref="F182">Common_InputFunctions.Utility_DisplayArrayInTable(SourceData_PastureBeef.SourceData_PastureBeef_LiveweightGain_Data(), Table_SourceData_PastureBeef_LiveweightGain[[#Headers],[State]],0)</f>
        <v>Winter</v>
      </c>
      <c r="G182" s="35" cm="1">
        <f t="array" ref="G182">Common_InputFunctions.Utility_DisplayArrayInTable(SourceData_PastureBeef.SourceData_PastureBeef_LiveweightGain_Data(), Table_SourceData_PastureBeef_LiveweightGain[[#Headers],[State]],0)</f>
        <v>0.33</v>
      </c>
      <c r="H182" s="35" cm="1">
        <f t="array" ref="H182">Common_InputFunctions.Utility_DisplayArrayInTable(SourceData_PastureBeef.SourceData_PastureBeef_LiveweightGain_Data(), Table_SourceData_PastureBeef_LiveweightGain[[#Headers],[State]],0)</f>
        <v>-0.55000000000000004</v>
      </c>
      <c r="I182" s="35" cm="1">
        <f t="array" ref="I182">Common_InputFunctions.Utility_DisplayArrayInTable(SourceData_PastureBeef.SourceData_PastureBeef_LiveweightGain_Data(), Table_SourceData_PastureBeef_LiveweightGain[[#Headers],[State]],0)</f>
        <v>0.11</v>
      </c>
      <c r="J182" s="35" cm="1">
        <f t="array" ref="J182">Common_InputFunctions.Utility_DisplayArrayInTable(SourceData_PastureBeef.SourceData_PastureBeef_LiveweightGain_Data(), Table_SourceData_PastureBeef_LiveweightGain[[#Headers],[State]],0)</f>
        <v>0.11</v>
      </c>
      <c r="K182" s="35" cm="1">
        <f t="array" ref="K182">Common_InputFunctions.Utility_DisplayArrayInTable(SourceData_PastureBeef.SourceData_PastureBeef_LiveweightGain_Data(), Table_SourceData_PastureBeef_LiveweightGain[[#Headers],[State]],0)</f>
        <v>-0.44</v>
      </c>
      <c r="L182" s="35" cm="1">
        <f t="array" ref="L182">Common_InputFunctions.Utility_DisplayArrayInTable(SourceData_PastureBeef.SourceData_PastureBeef_LiveweightGain_Data(), Table_SourceData_PastureBeef_LiveweightGain[[#Headers],[State]],0)</f>
        <v>0.33</v>
      </c>
      <c r="M182" s="35"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1" t="str" cm="1">
        <f t="array" ref="D188">SourceData_PastureBeef.SourceData_PastureBeef_LiveweightGainNTQLD_Unit()</f>
        <v>kg</v>
      </c>
      <c r="M188" s="1"/>
    </row>
    <row r="189" spans="4:16" x14ac:dyDescent="0.25">
      <c r="D189" s="35" t="s">
        <v>5</v>
      </c>
      <c r="E189" s="35" t="s">
        <v>144</v>
      </c>
      <c r="F189" s="35" t="s">
        <v>145</v>
      </c>
      <c r="G189" s="35" t="s">
        <v>164</v>
      </c>
      <c r="H189" s="35" t="s">
        <v>153</v>
      </c>
      <c r="I189" s="35" t="s">
        <v>185</v>
      </c>
      <c r="J189" s="35" t="s">
        <v>149</v>
      </c>
      <c r="K189" s="35" t="s">
        <v>188</v>
      </c>
      <c r="L189" s="35" t="s">
        <v>189</v>
      </c>
      <c r="M189" s="35" t="s">
        <v>158</v>
      </c>
      <c r="N189" s="35" t="s">
        <v>159</v>
      </c>
      <c r="O189" s="35" t="s">
        <v>160</v>
      </c>
      <c r="P189" s="35" t="s">
        <v>161</v>
      </c>
    </row>
    <row r="190" spans="4:16" x14ac:dyDescent="0.25">
      <c r="D190" s="35" t="str" cm="1">
        <f t="array" ref="D190">Common_InputFunctions.Utility_DisplayArrayInTable(SourceData_PastureBeef.SourceData_PastureBeef_LiveweightGainNTQLD_Data(),Table_SourceData_PastureBeef_LiveweightGainNTQLD[[#Headers],[State]],0)</f>
        <v>Northern Territory</v>
      </c>
      <c r="E190" s="35" t="str" cm="1">
        <f t="array" ref="E190">Common_InputFunctions.Utility_DisplayArrayInTable(SourceData_PastureBeef.SourceData_PastureBeef_LiveweightGainNTQLD_Data(),Table_SourceData_PastureBeef_LiveweightGainNTQLD[[#Headers],[State]],0)</f>
        <v>Alice Springs</v>
      </c>
      <c r="F190" s="35" t="str" cm="1">
        <f t="array" ref="F190">Common_InputFunctions.Utility_DisplayArrayInTable(SourceData_PastureBeef.SourceData_PastureBeef_LiveweightGainNTQLD_Data(),Table_SourceData_PastureBeef_LiveweightGainNTQLD[[#Headers],[State]],0)</f>
        <v>Spring</v>
      </c>
      <c r="G190" s="35" cm="1">
        <f t="array" ref="G190">Common_InputFunctions.Utility_DisplayArrayInTable(SourceData_PastureBeef.SourceData_PastureBeef_LiveweightGainNTQLD_Data(),Table_SourceData_PastureBeef_LiveweightGainNTQLD[[#Headers],[State]],0)</f>
        <v>0.22</v>
      </c>
      <c r="H190" s="35" cm="1">
        <f t="array" ref="H190">Common_InputFunctions.Utility_DisplayArrayInTable(SourceData_PastureBeef.SourceData_PastureBeef_LiveweightGainNTQLD_Data(),Table_SourceData_PastureBeef_LiveweightGainNTQLD[[#Headers],[State]],0)</f>
        <v>-0.23</v>
      </c>
      <c r="I190" s="35" cm="1">
        <f t="array" ref="I190">Common_InputFunctions.Utility_DisplayArrayInTable(SourceData_PastureBeef.SourceData_PastureBeef_LiveweightGainNTQLD_Data(),Table_SourceData_PastureBeef_LiveweightGainNTQLD[[#Headers],[State]],0)</f>
        <v>0.25</v>
      </c>
      <c r="J190" s="35" cm="1">
        <f t="array" ref="J190">Common_InputFunctions.Utility_DisplayArrayInTable(SourceData_PastureBeef.SourceData_PastureBeef_LiveweightGainNTQLD_Data(),Table_SourceData_PastureBeef_LiveweightGainNTQLD[[#Headers],[State]],0)</f>
        <v>0.17</v>
      </c>
      <c r="K190" s="35" cm="1">
        <f t="array" ref="K190">Common_InputFunctions.Utility_DisplayArrayInTable(SourceData_PastureBeef.SourceData_PastureBeef_LiveweightGainNTQLD_Data(),Table_SourceData_PastureBeef_LiveweightGainNTQLD[[#Headers],[State]],0)</f>
        <v>0.18</v>
      </c>
      <c r="L190" s="35" cm="1">
        <f t="array" ref="L190">Common_InputFunctions.Utility_DisplayArrayInTable(SourceData_PastureBeef.SourceData_PastureBeef_LiveweightGainNTQLD_Data(),Table_SourceData_PastureBeef_LiveweightGainNTQLD[[#Headers],[State]],0)</f>
        <v>-0.28000000000000003</v>
      </c>
      <c r="M190" s="35" cm="1">
        <f t="array" ref="M190">Common_InputFunctions.Utility_DisplayArrayInTable(SourceData_PastureBeef.SourceData_PastureBeef_LiveweightGainNTQLD_Data(),Table_SourceData_PastureBeef_LiveweightGainNTQLD[[#Headers],[State]],0)</f>
        <v>0.32</v>
      </c>
      <c r="N190" s="35" cm="1">
        <f t="array" ref="N190">Common_InputFunctions.Utility_DisplayArrayInTable(SourceData_PastureBeef.SourceData_PastureBeef_LiveweightGainNTQLD_Data(),Table_SourceData_PastureBeef_LiveweightGainNTQLD[[#Headers],[State]],0)</f>
        <v>0.24</v>
      </c>
      <c r="O190" s="35" cm="1">
        <f t="array" ref="O190">Common_InputFunctions.Utility_DisplayArrayInTable(SourceData_PastureBeef.SourceData_PastureBeef_LiveweightGainNTQLD_Data(),Table_SourceData_PastureBeef_LiveweightGainNTQLD[[#Headers],[State]],0)</f>
        <v>0.25</v>
      </c>
      <c r="P190" s="35"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5" t="str" cm="1">
        <f t="array" ref="E191">Common_InputFunctions.Utility_DisplayArrayInTable(SourceData_PastureBeef.SourceData_PastureBeef_LiveweightGainNTQLD_Data(),Table_SourceData_PastureBeef_LiveweightGainNTQLD[[#Headers],[State]],0)</f>
        <v>Alice Springs</v>
      </c>
      <c r="F191" s="35" t="str" cm="1">
        <f t="array" ref="F191">Common_InputFunctions.Utility_DisplayArrayInTable(SourceData_PastureBeef.SourceData_PastureBeef_LiveweightGainNTQLD_Data(),Table_SourceData_PastureBeef_LiveweightGainNTQLD[[#Headers],[State]],0)</f>
        <v>Summer</v>
      </c>
      <c r="G191" s="35" cm="1">
        <f t="array" ref="G191">Common_InputFunctions.Utility_DisplayArrayInTable(SourceData_PastureBeef.SourceData_PastureBeef_LiveweightGainNTQLD_Data(),Table_SourceData_PastureBeef_LiveweightGainNTQLD[[#Headers],[State]],0)</f>
        <v>0.66</v>
      </c>
      <c r="H191" s="35" cm="1">
        <f t="array" ref="H191">Common_InputFunctions.Utility_DisplayArrayInTable(SourceData_PastureBeef.SourceData_PastureBeef_LiveweightGainNTQLD_Data(),Table_SourceData_PastureBeef_LiveweightGainNTQLD[[#Headers],[State]],0)</f>
        <v>0.2</v>
      </c>
      <c r="I191" s="35" cm="1">
        <f t="array" ref="I191">Common_InputFunctions.Utility_DisplayArrayInTable(SourceData_PastureBeef.SourceData_PastureBeef_LiveweightGainNTQLD_Data(),Table_SourceData_PastureBeef_LiveweightGainNTQLD[[#Headers],[State]],0)</f>
        <v>0.62</v>
      </c>
      <c r="J191" s="35" cm="1">
        <f t="array" ref="J191">Common_InputFunctions.Utility_DisplayArrayInTable(SourceData_PastureBeef.SourceData_PastureBeef_LiveweightGainNTQLD_Data(),Table_SourceData_PastureBeef_LiveweightGainNTQLD[[#Headers],[State]],0)</f>
        <v>0.54</v>
      </c>
      <c r="K191" s="35" cm="1">
        <f t="array" ref="K191">Common_InputFunctions.Utility_DisplayArrayInTable(SourceData_PastureBeef.SourceData_PastureBeef_LiveweightGainNTQLD_Data(),Table_SourceData_PastureBeef_LiveweightGainNTQLD[[#Headers],[State]],0)</f>
        <v>0.38</v>
      </c>
      <c r="L191" s="35" cm="1">
        <f t="array" ref="L191">Common_InputFunctions.Utility_DisplayArrayInTable(SourceData_PastureBeef.SourceData_PastureBeef_LiveweightGainNTQLD_Data(),Table_SourceData_PastureBeef_LiveweightGainNTQLD[[#Headers],[State]],0)</f>
        <v>0.27</v>
      </c>
      <c r="M191" s="35" cm="1">
        <f t="array" ref="M191">Common_InputFunctions.Utility_DisplayArrayInTable(SourceData_PastureBeef.SourceData_PastureBeef_LiveweightGainNTQLD_Data(),Table_SourceData_PastureBeef_LiveweightGainNTQLD[[#Headers],[State]],0)</f>
        <v>0.75</v>
      </c>
      <c r="N191" s="35" cm="1">
        <f t="array" ref="N191">Common_InputFunctions.Utility_DisplayArrayInTable(SourceData_PastureBeef.SourceData_PastureBeef_LiveweightGainNTQLD_Data(),Table_SourceData_PastureBeef_LiveweightGainNTQLD[[#Headers],[State]],0)</f>
        <v>0.64</v>
      </c>
      <c r="O191" s="35" cm="1">
        <f t="array" ref="O191">Common_InputFunctions.Utility_DisplayArrayInTable(SourceData_PastureBeef.SourceData_PastureBeef_LiveweightGainNTQLD_Data(),Table_SourceData_PastureBeef_LiveweightGainNTQLD[[#Headers],[State]],0)</f>
        <v>0.55000000000000004</v>
      </c>
      <c r="P191" s="35"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5" t="str" cm="1">
        <f t="array" ref="E192">Common_InputFunctions.Utility_DisplayArrayInTable(SourceData_PastureBeef.SourceData_PastureBeef_LiveweightGainNTQLD_Data(),Table_SourceData_PastureBeef_LiveweightGainNTQLD[[#Headers],[State]],0)</f>
        <v>Alice Springs</v>
      </c>
      <c r="F192" s="35" t="str" cm="1">
        <f t="array" ref="F192">Common_InputFunctions.Utility_DisplayArrayInTable(SourceData_PastureBeef.SourceData_PastureBeef_LiveweightGainNTQLD_Data(),Table_SourceData_PastureBeef_LiveweightGainNTQLD[[#Headers],[State]],0)</f>
        <v>Autumn</v>
      </c>
      <c r="G192" s="35" cm="1">
        <f t="array" ref="G192">Common_InputFunctions.Utility_DisplayArrayInTable(SourceData_PastureBeef.SourceData_PastureBeef_LiveweightGainNTQLD_Data(),Table_SourceData_PastureBeef_LiveweightGainNTQLD[[#Headers],[State]],0)</f>
        <v>0.49</v>
      </c>
      <c r="H192" s="35" cm="1">
        <f t="array" ref="H192">Common_InputFunctions.Utility_DisplayArrayInTable(SourceData_PastureBeef.SourceData_PastureBeef_LiveweightGainNTQLD_Data(),Table_SourceData_PastureBeef_LiveweightGainNTQLD[[#Headers],[State]],0)</f>
        <v>0.13</v>
      </c>
      <c r="I192" s="35" cm="1">
        <f t="array" ref="I192">Common_InputFunctions.Utility_DisplayArrayInTable(SourceData_PastureBeef.SourceData_PastureBeef_LiveweightGainNTQLD_Data(),Table_SourceData_PastureBeef_LiveweightGainNTQLD[[#Headers],[State]],0)</f>
        <v>0.54</v>
      </c>
      <c r="J192" s="35" cm="1">
        <f t="array" ref="J192">Common_InputFunctions.Utility_DisplayArrayInTable(SourceData_PastureBeef.SourceData_PastureBeef_LiveweightGainNTQLD_Data(),Table_SourceData_PastureBeef_LiveweightGainNTQLD[[#Headers],[State]],0)</f>
        <v>0.45</v>
      </c>
      <c r="K192" s="35" cm="1">
        <f t="array" ref="K192">Common_InputFunctions.Utility_DisplayArrayInTable(SourceData_PastureBeef.SourceData_PastureBeef_LiveweightGainNTQLD_Data(),Table_SourceData_PastureBeef_LiveweightGainNTQLD[[#Headers],[State]],0)</f>
        <v>0.35</v>
      </c>
      <c r="L192" s="35" cm="1">
        <f t="array" ref="L192">Common_InputFunctions.Utility_DisplayArrayInTable(SourceData_PastureBeef.SourceData_PastureBeef_LiveweightGainNTQLD_Data(),Table_SourceData_PastureBeef_LiveweightGainNTQLD[[#Headers],[State]],0)</f>
        <v>0.15</v>
      </c>
      <c r="M192" s="35" cm="1">
        <f t="array" ref="M192">Common_InputFunctions.Utility_DisplayArrayInTable(SourceData_PastureBeef.SourceData_PastureBeef_LiveweightGainNTQLD_Data(),Table_SourceData_PastureBeef_LiveweightGainNTQLD[[#Headers],[State]],0)</f>
        <v>0.63</v>
      </c>
      <c r="N192" s="35" cm="1">
        <f t="array" ref="N192">Common_InputFunctions.Utility_DisplayArrayInTable(SourceData_PastureBeef.SourceData_PastureBeef_LiveweightGainNTQLD_Data(),Table_SourceData_PastureBeef_LiveweightGainNTQLD[[#Headers],[State]],0)</f>
        <v>0.54</v>
      </c>
      <c r="O192" s="35" cm="1">
        <f t="array" ref="O192">Common_InputFunctions.Utility_DisplayArrayInTable(SourceData_PastureBeef.SourceData_PastureBeef_LiveweightGainNTQLD_Data(),Table_SourceData_PastureBeef_LiveweightGainNTQLD[[#Headers],[State]],0)</f>
        <v>0.42</v>
      </c>
      <c r="P192" s="35"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5" t="str" cm="1">
        <f t="array" ref="E193">Common_InputFunctions.Utility_DisplayArrayInTable(SourceData_PastureBeef.SourceData_PastureBeef_LiveweightGainNTQLD_Data(),Table_SourceData_PastureBeef_LiveweightGainNTQLD[[#Headers],[State]],0)</f>
        <v>Alice Springs</v>
      </c>
      <c r="F193" s="35" t="str" cm="1">
        <f t="array" ref="F193">Common_InputFunctions.Utility_DisplayArrayInTable(SourceData_PastureBeef.SourceData_PastureBeef_LiveweightGainNTQLD_Data(),Table_SourceData_PastureBeef_LiveweightGainNTQLD[[#Headers],[State]],0)</f>
        <v>Winter</v>
      </c>
      <c r="G193" s="35" cm="1">
        <f t="array" ref="G193">Common_InputFunctions.Utility_DisplayArrayInTable(SourceData_PastureBeef.SourceData_PastureBeef_LiveweightGainNTQLD_Data(),Table_SourceData_PastureBeef_LiveweightGainNTQLD[[#Headers],[State]],0)</f>
        <v>0.27</v>
      </c>
      <c r="H193" s="35" cm="1">
        <f t="array" ref="H193">Common_InputFunctions.Utility_DisplayArrayInTable(SourceData_PastureBeef.SourceData_PastureBeef_LiveweightGainNTQLD_Data(),Table_SourceData_PastureBeef_LiveweightGainNTQLD[[#Headers],[State]],0)</f>
        <v>-0.8</v>
      </c>
      <c r="I193" s="35" cm="1">
        <f t="array" ref="I193">Common_InputFunctions.Utility_DisplayArrayInTable(SourceData_PastureBeef.SourceData_PastureBeef_LiveweightGainNTQLD_Data(),Table_SourceData_PastureBeef_LiveweightGainNTQLD[[#Headers],[State]],0)</f>
        <v>0.22</v>
      </c>
      <c r="J193" s="35" cm="1">
        <f t="array" ref="J193">Common_InputFunctions.Utility_DisplayArrayInTable(SourceData_PastureBeef.SourceData_PastureBeef_LiveweightGainNTQLD_Data(),Table_SourceData_PastureBeef_LiveweightGainNTQLD[[#Headers],[State]],0)</f>
        <v>0.09</v>
      </c>
      <c r="K193" s="35" cm="1">
        <f t="array" ref="K193">Common_InputFunctions.Utility_DisplayArrayInTable(SourceData_PastureBeef.SourceData_PastureBeef_LiveweightGainNTQLD_Data(),Table_SourceData_PastureBeef_LiveweightGainNTQLD[[#Headers],[State]],0)</f>
        <v>0.12</v>
      </c>
      <c r="L193" s="35" cm="1">
        <f t="array" ref="L193">Common_InputFunctions.Utility_DisplayArrayInTable(SourceData_PastureBeef.SourceData_PastureBeef_LiveweightGainNTQLD_Data(),Table_SourceData_PastureBeef_LiveweightGainNTQLD[[#Headers],[State]],0)</f>
        <v>0.02</v>
      </c>
      <c r="M193" s="35" cm="1">
        <f t="array" ref="M193">Common_InputFunctions.Utility_DisplayArrayInTable(SourceData_PastureBeef.SourceData_PastureBeef_LiveweightGainNTQLD_Data(),Table_SourceData_PastureBeef_LiveweightGainNTQLD[[#Headers],[State]],0)</f>
        <v>0.25</v>
      </c>
      <c r="N193" s="35" cm="1">
        <f t="array" ref="N193">Common_InputFunctions.Utility_DisplayArrayInTable(SourceData_PastureBeef.SourceData_PastureBeef_LiveweightGainNTQLD_Data(),Table_SourceData_PastureBeef_LiveweightGainNTQLD[[#Headers],[State]],0)</f>
        <v>0.18</v>
      </c>
      <c r="O193" s="35" cm="1">
        <f t="array" ref="O193">Common_InputFunctions.Utility_DisplayArrayInTable(SourceData_PastureBeef.SourceData_PastureBeef_LiveweightGainNTQLD_Data(),Table_SourceData_PastureBeef_LiveweightGainNTQLD[[#Headers],[State]],0)</f>
        <v>0.12</v>
      </c>
      <c r="P193" s="35"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5" t="str" cm="1">
        <f t="array" ref="E194">Common_InputFunctions.Utility_DisplayArrayInTable(SourceData_PastureBeef.SourceData_PastureBeef_LiveweightGainNTQLD_Data(),Table_SourceData_PastureBeef_LiveweightGainNTQLD[[#Headers],[State]],0)</f>
        <v>Barkly</v>
      </c>
      <c r="F194" s="35" t="str" cm="1">
        <f t="array" ref="F194">Common_InputFunctions.Utility_DisplayArrayInTable(SourceData_PastureBeef.SourceData_PastureBeef_LiveweightGainNTQLD_Data(),Table_SourceData_PastureBeef_LiveweightGainNTQLD[[#Headers],[State]],0)</f>
        <v>Spring</v>
      </c>
      <c r="G194" s="35" cm="1">
        <f t="array" ref="G194">Common_InputFunctions.Utility_DisplayArrayInTable(SourceData_PastureBeef.SourceData_PastureBeef_LiveweightGainNTQLD_Data(),Table_SourceData_PastureBeef_LiveweightGainNTQLD[[#Headers],[State]],0)</f>
        <v>0.22</v>
      </c>
      <c r="H194" s="35" cm="1">
        <f t="array" ref="H194">Common_InputFunctions.Utility_DisplayArrayInTable(SourceData_PastureBeef.SourceData_PastureBeef_LiveweightGainNTQLD_Data(),Table_SourceData_PastureBeef_LiveweightGainNTQLD[[#Headers],[State]],0)</f>
        <v>-0.44</v>
      </c>
      <c r="I194" s="35" cm="1">
        <f t="array" ref="I194">Common_InputFunctions.Utility_DisplayArrayInTable(SourceData_PastureBeef.SourceData_PastureBeef_LiveweightGainNTQLD_Data(),Table_SourceData_PastureBeef_LiveweightGainNTQLD[[#Headers],[State]],0)</f>
        <v>0.2</v>
      </c>
      <c r="J194" s="35" cm="1">
        <f t="array" ref="J194">Common_InputFunctions.Utility_DisplayArrayInTable(SourceData_PastureBeef.SourceData_PastureBeef_LiveweightGainNTQLD_Data(),Table_SourceData_PastureBeef_LiveweightGainNTQLD[[#Headers],[State]],0)</f>
        <v>0.21</v>
      </c>
      <c r="K194" s="35" cm="1">
        <f t="array" ref="K194">Common_InputFunctions.Utility_DisplayArrayInTable(SourceData_PastureBeef.SourceData_PastureBeef_LiveweightGainNTQLD_Data(),Table_SourceData_PastureBeef_LiveweightGainNTQLD[[#Headers],[State]],0)</f>
        <v>0.18</v>
      </c>
      <c r="L194" s="35" cm="1">
        <f t="array" ref="L194">Common_InputFunctions.Utility_DisplayArrayInTable(SourceData_PastureBeef.SourceData_PastureBeef_LiveweightGainNTQLD_Data(),Table_SourceData_PastureBeef_LiveweightGainNTQLD[[#Headers],[State]],0)</f>
        <v>0.01</v>
      </c>
      <c r="M194" s="35" cm="1">
        <f t="array" ref="M194">Common_InputFunctions.Utility_DisplayArrayInTable(SourceData_PastureBeef.SourceData_PastureBeef_LiveweightGainNTQLD_Data(),Table_SourceData_PastureBeef_LiveweightGainNTQLD[[#Headers],[State]],0)</f>
        <v>0.12</v>
      </c>
      <c r="N194" s="35" cm="1">
        <f t="array" ref="N194">Common_InputFunctions.Utility_DisplayArrayInTable(SourceData_PastureBeef.SourceData_PastureBeef_LiveweightGainNTQLD_Data(),Table_SourceData_PastureBeef_LiveweightGainNTQLD[[#Headers],[State]],0)</f>
        <v>0.09</v>
      </c>
      <c r="O194" s="35" t="str" cm="1">
        <f t="array" ref="O194">Common_InputFunctions.Utility_DisplayArrayInTable(SourceData_PastureBeef.SourceData_PastureBeef_LiveweightGainNTQLD_Data(),Table_SourceData_PastureBeef_LiveweightGainNTQLD[[#Headers],[State]],0)</f>
        <v>NO</v>
      </c>
      <c r="P194" s="35"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5" t="str" cm="1">
        <f t="array" ref="E195">Common_InputFunctions.Utility_DisplayArrayInTable(SourceData_PastureBeef.SourceData_PastureBeef_LiveweightGainNTQLD_Data(),Table_SourceData_PastureBeef_LiveweightGainNTQLD[[#Headers],[State]],0)</f>
        <v>Barkly</v>
      </c>
      <c r="F195" s="35" t="str" cm="1">
        <f t="array" ref="F195">Common_InputFunctions.Utility_DisplayArrayInTable(SourceData_PastureBeef.SourceData_PastureBeef_LiveweightGainNTQLD_Data(),Table_SourceData_PastureBeef_LiveweightGainNTQLD[[#Headers],[State]],0)</f>
        <v>Summer</v>
      </c>
      <c r="G195" s="35" cm="1">
        <f t="array" ref="G195">Common_InputFunctions.Utility_DisplayArrayInTable(SourceData_PastureBeef.SourceData_PastureBeef_LiveweightGainNTQLD_Data(),Table_SourceData_PastureBeef_LiveweightGainNTQLD[[#Headers],[State]],0)</f>
        <v>0.66</v>
      </c>
      <c r="H195" s="35" cm="1">
        <f t="array" ref="H195">Common_InputFunctions.Utility_DisplayArrayInTable(SourceData_PastureBeef.SourceData_PastureBeef_LiveweightGainNTQLD_Data(),Table_SourceData_PastureBeef_LiveweightGainNTQLD[[#Headers],[State]],0)</f>
        <v>0.22</v>
      </c>
      <c r="I195" s="35" cm="1">
        <f t="array" ref="I195">Common_InputFunctions.Utility_DisplayArrayInTable(SourceData_PastureBeef.SourceData_PastureBeef_LiveweightGainNTQLD_Data(),Table_SourceData_PastureBeef_LiveweightGainNTQLD[[#Headers],[State]],0)</f>
        <v>0.68</v>
      </c>
      <c r="J195" s="35" cm="1">
        <f t="array" ref="J195">Common_InputFunctions.Utility_DisplayArrayInTable(SourceData_PastureBeef.SourceData_PastureBeef_LiveweightGainNTQLD_Data(),Table_SourceData_PastureBeef_LiveweightGainNTQLD[[#Headers],[State]],0)</f>
        <v>0.22</v>
      </c>
      <c r="K195" s="35" cm="1">
        <f t="array" ref="K195">Common_InputFunctions.Utility_DisplayArrayInTable(SourceData_PastureBeef.SourceData_PastureBeef_LiveweightGainNTQLD_Data(),Table_SourceData_PastureBeef_LiveweightGainNTQLD[[#Headers],[State]],0)</f>
        <v>0.24</v>
      </c>
      <c r="L195" s="35" cm="1">
        <f t="array" ref="L195">Common_InputFunctions.Utility_DisplayArrayInTable(SourceData_PastureBeef.SourceData_PastureBeef_LiveweightGainNTQLD_Data(),Table_SourceData_PastureBeef_LiveweightGainNTQLD[[#Headers],[State]],0)</f>
        <v>0.25</v>
      </c>
      <c r="M195" s="35" cm="1">
        <f t="array" ref="M195">Common_InputFunctions.Utility_DisplayArrayInTable(SourceData_PastureBeef.SourceData_PastureBeef_LiveweightGainNTQLD_Data(),Table_SourceData_PastureBeef_LiveweightGainNTQLD[[#Headers],[State]],0)</f>
        <v>0.64</v>
      </c>
      <c r="N195" s="35" cm="1">
        <f t="array" ref="N195">Common_InputFunctions.Utility_DisplayArrayInTable(SourceData_PastureBeef.SourceData_PastureBeef_LiveweightGainNTQLD_Data(),Table_SourceData_PastureBeef_LiveweightGainNTQLD[[#Headers],[State]],0)</f>
        <v>0.37</v>
      </c>
      <c r="O195" s="35" t="str" cm="1">
        <f t="array" ref="O195">Common_InputFunctions.Utility_DisplayArrayInTable(SourceData_PastureBeef.SourceData_PastureBeef_LiveweightGainNTQLD_Data(),Table_SourceData_PastureBeef_LiveweightGainNTQLD[[#Headers],[State]],0)</f>
        <v>NO</v>
      </c>
      <c r="P195" s="35"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5" t="str" cm="1">
        <f t="array" ref="E196">Common_InputFunctions.Utility_DisplayArrayInTable(SourceData_PastureBeef.SourceData_PastureBeef_LiveweightGainNTQLD_Data(),Table_SourceData_PastureBeef_LiveweightGainNTQLD[[#Headers],[State]],0)</f>
        <v>Barkly</v>
      </c>
      <c r="F196" s="35" t="str" cm="1">
        <f t="array" ref="F196">Common_InputFunctions.Utility_DisplayArrayInTable(SourceData_PastureBeef.SourceData_PastureBeef_LiveweightGainNTQLD_Data(),Table_SourceData_PastureBeef_LiveweightGainNTQLD[[#Headers],[State]],0)</f>
        <v>Autumn</v>
      </c>
      <c r="G196" s="35" cm="1">
        <f t="array" ref="G196">Common_InputFunctions.Utility_DisplayArrayInTable(SourceData_PastureBeef.SourceData_PastureBeef_LiveweightGainNTQLD_Data(),Table_SourceData_PastureBeef_LiveweightGainNTQLD[[#Headers],[State]],0)</f>
        <v>0.49</v>
      </c>
      <c r="H196" s="35" cm="1">
        <f t="array" ref="H196">Common_InputFunctions.Utility_DisplayArrayInTable(SourceData_PastureBeef.SourceData_PastureBeef_LiveweightGainNTQLD_Data(),Table_SourceData_PastureBeef_LiveweightGainNTQLD[[#Headers],[State]],0)</f>
        <v>0.05</v>
      </c>
      <c r="I196" s="35" cm="1">
        <f t="array" ref="I196">Common_InputFunctions.Utility_DisplayArrayInTable(SourceData_PastureBeef.SourceData_PastureBeef_LiveweightGainNTQLD_Data(),Table_SourceData_PastureBeef_LiveweightGainNTQLD[[#Headers],[State]],0)</f>
        <v>0.64</v>
      </c>
      <c r="J196" s="35" cm="1">
        <f t="array" ref="J196">Common_InputFunctions.Utility_DisplayArrayInTable(SourceData_PastureBeef.SourceData_PastureBeef_LiveweightGainNTQLD_Data(),Table_SourceData_PastureBeef_LiveweightGainNTQLD[[#Headers],[State]],0)</f>
        <v>0.25</v>
      </c>
      <c r="K196" s="35" cm="1">
        <f t="array" ref="K196">Common_InputFunctions.Utility_DisplayArrayInTable(SourceData_PastureBeef.SourceData_PastureBeef_LiveweightGainNTQLD_Data(),Table_SourceData_PastureBeef_LiveweightGainNTQLD[[#Headers],[State]],0)</f>
        <v>0.28999999999999998</v>
      </c>
      <c r="L196" s="35" cm="1">
        <f t="array" ref="L196">Common_InputFunctions.Utility_DisplayArrayInTable(SourceData_PastureBeef.SourceData_PastureBeef_LiveweightGainNTQLD_Data(),Table_SourceData_PastureBeef_LiveweightGainNTQLD[[#Headers],[State]],0)</f>
        <v>0.12</v>
      </c>
      <c r="M196" s="35" cm="1">
        <f t="array" ref="M196">Common_InputFunctions.Utility_DisplayArrayInTable(SourceData_PastureBeef.SourceData_PastureBeef_LiveweightGainNTQLD_Data(),Table_SourceData_PastureBeef_LiveweightGainNTQLD[[#Headers],[State]],0)</f>
        <v>0.56999999999999995</v>
      </c>
      <c r="N196" s="35" cm="1">
        <f t="array" ref="N196">Common_InputFunctions.Utility_DisplayArrayInTable(SourceData_PastureBeef.SourceData_PastureBeef_LiveweightGainNTQLD_Data(),Table_SourceData_PastureBeef_LiveweightGainNTQLD[[#Headers],[State]],0)</f>
        <v>0.49</v>
      </c>
      <c r="O196" s="35" t="str" cm="1">
        <f t="array" ref="O196">Common_InputFunctions.Utility_DisplayArrayInTable(SourceData_PastureBeef.SourceData_PastureBeef_LiveweightGainNTQLD_Data(),Table_SourceData_PastureBeef_LiveweightGainNTQLD[[#Headers],[State]],0)</f>
        <v>NO</v>
      </c>
      <c r="P196" s="35"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5" t="str" cm="1">
        <f t="array" ref="E197">Common_InputFunctions.Utility_DisplayArrayInTable(SourceData_PastureBeef.SourceData_PastureBeef_LiveweightGainNTQLD_Data(),Table_SourceData_PastureBeef_LiveweightGainNTQLD[[#Headers],[State]],0)</f>
        <v>Barkly</v>
      </c>
      <c r="F197" s="35" t="str" cm="1">
        <f t="array" ref="F197">Common_InputFunctions.Utility_DisplayArrayInTable(SourceData_PastureBeef.SourceData_PastureBeef_LiveweightGainNTQLD_Data(),Table_SourceData_PastureBeef_LiveweightGainNTQLD[[#Headers],[State]],0)</f>
        <v>Winter</v>
      </c>
      <c r="G197" s="35" cm="1">
        <f t="array" ref="G197">Common_InputFunctions.Utility_DisplayArrayInTable(SourceData_PastureBeef.SourceData_PastureBeef_LiveweightGainNTQLD_Data(),Table_SourceData_PastureBeef_LiveweightGainNTQLD[[#Headers],[State]],0)</f>
        <v>0.27</v>
      </c>
      <c r="H197" s="35" cm="1">
        <f t="array" ref="H197">Common_InputFunctions.Utility_DisplayArrayInTable(SourceData_PastureBeef.SourceData_PastureBeef_LiveweightGainNTQLD_Data(),Table_SourceData_PastureBeef_LiveweightGainNTQLD[[#Headers],[State]],0)</f>
        <v>-0.27</v>
      </c>
      <c r="I197" s="35" cm="1">
        <f t="array" ref="I197">Common_InputFunctions.Utility_DisplayArrayInTable(SourceData_PastureBeef.SourceData_PastureBeef_LiveweightGainNTQLD_Data(),Table_SourceData_PastureBeef_LiveweightGainNTQLD[[#Headers],[State]],0)</f>
        <v>0.31</v>
      </c>
      <c r="J197" s="35" cm="1">
        <f t="array" ref="J197">Common_InputFunctions.Utility_DisplayArrayInTable(SourceData_PastureBeef.SourceData_PastureBeef_LiveweightGainNTQLD_Data(),Table_SourceData_PastureBeef_LiveweightGainNTQLD[[#Headers],[State]],0)</f>
        <v>0.28999999999999998</v>
      </c>
      <c r="K197" s="35" cm="1">
        <f t="array" ref="K197">Common_InputFunctions.Utility_DisplayArrayInTable(SourceData_PastureBeef.SourceData_PastureBeef_LiveweightGainNTQLD_Data(),Table_SourceData_PastureBeef_LiveweightGainNTQLD[[#Headers],[State]],0)</f>
        <v>0.19</v>
      </c>
      <c r="L197" s="35" cm="1">
        <f t="array" ref="L197">Common_InputFunctions.Utility_DisplayArrayInTable(SourceData_PastureBeef.SourceData_PastureBeef_LiveweightGainNTQLD_Data(),Table_SourceData_PastureBeef_LiveweightGainNTQLD[[#Headers],[State]],0)</f>
        <v>0.04</v>
      </c>
      <c r="M197" s="35" cm="1">
        <f t="array" ref="M197">Common_InputFunctions.Utility_DisplayArrayInTable(SourceData_PastureBeef.SourceData_PastureBeef_LiveweightGainNTQLD_Data(),Table_SourceData_PastureBeef_LiveweightGainNTQLD[[#Headers],[State]],0)</f>
        <v>0.26</v>
      </c>
      <c r="N197" s="35" cm="1">
        <f t="array" ref="N197">Common_InputFunctions.Utility_DisplayArrayInTable(SourceData_PastureBeef.SourceData_PastureBeef_LiveweightGainNTQLD_Data(),Table_SourceData_PastureBeef_LiveweightGainNTQLD[[#Headers],[State]],0)</f>
        <v>0.28000000000000003</v>
      </c>
      <c r="O197" s="35" t="str" cm="1">
        <f t="array" ref="O197">Common_InputFunctions.Utility_DisplayArrayInTable(SourceData_PastureBeef.SourceData_PastureBeef_LiveweightGainNTQLD_Data(),Table_SourceData_PastureBeef_LiveweightGainNTQLD[[#Headers],[State]],0)</f>
        <v>NO</v>
      </c>
      <c r="P197" s="35"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5" t="str" cm="1">
        <f t="array" ref="E198">Common_InputFunctions.Utility_DisplayArrayInTable(SourceData_PastureBeef.SourceData_PastureBeef_LiveweightGainNTQLD_Data(),Table_SourceData_PastureBeef_LiveweightGainNTQLD[[#Headers],[State]],0)</f>
        <v>Northern</v>
      </c>
      <c r="F198" s="35" t="str" cm="1">
        <f t="array" ref="F198">Common_InputFunctions.Utility_DisplayArrayInTable(SourceData_PastureBeef.SourceData_PastureBeef_LiveweightGainNTQLD_Data(),Table_SourceData_PastureBeef_LiveweightGainNTQLD[[#Headers],[State]],0)</f>
        <v>Spring</v>
      </c>
      <c r="G198" s="35" cm="1">
        <f t="array" ref="G198">Common_InputFunctions.Utility_DisplayArrayInTable(SourceData_PastureBeef.SourceData_PastureBeef_LiveweightGainNTQLD_Data(),Table_SourceData_PastureBeef_LiveweightGainNTQLD[[#Headers],[State]],0)</f>
        <v>0.22</v>
      </c>
      <c r="H198" s="35" cm="1">
        <f t="array" ref="H198">Common_InputFunctions.Utility_DisplayArrayInTable(SourceData_PastureBeef.SourceData_PastureBeef_LiveweightGainNTQLD_Data(),Table_SourceData_PastureBeef_LiveweightGainNTQLD[[#Headers],[State]],0)</f>
        <v>-0.44</v>
      </c>
      <c r="I198" s="35" cm="1">
        <f t="array" ref="I198">Common_InputFunctions.Utility_DisplayArrayInTable(SourceData_PastureBeef.SourceData_PastureBeef_LiveweightGainNTQLD_Data(),Table_SourceData_PastureBeef_LiveweightGainNTQLD[[#Headers],[State]],0)</f>
        <v>0</v>
      </c>
      <c r="J198" s="35" cm="1">
        <f t="array" ref="J198">Common_InputFunctions.Utility_DisplayArrayInTable(SourceData_PastureBeef.SourceData_PastureBeef_LiveweightGainNTQLD_Data(),Table_SourceData_PastureBeef_LiveweightGainNTQLD[[#Headers],[State]],0)</f>
        <v>0.15</v>
      </c>
      <c r="K198" s="35" cm="1">
        <f t="array" ref="K198">Common_InputFunctions.Utility_DisplayArrayInTable(SourceData_PastureBeef.SourceData_PastureBeef_LiveweightGainNTQLD_Data(),Table_SourceData_PastureBeef_LiveweightGainNTQLD[[#Headers],[State]],0)</f>
        <v>0.08</v>
      </c>
      <c r="L198" s="35" cm="1">
        <f t="array" ref="L198">Common_InputFunctions.Utility_DisplayArrayInTable(SourceData_PastureBeef.SourceData_PastureBeef_LiveweightGainNTQLD_Data(),Table_SourceData_PastureBeef_LiveweightGainNTQLD[[#Headers],[State]],0)</f>
        <v>0.17</v>
      </c>
      <c r="M198" s="35" cm="1">
        <f t="array" ref="M198">Common_InputFunctions.Utility_DisplayArrayInTable(SourceData_PastureBeef.SourceData_PastureBeef_LiveweightGainNTQLD_Data(),Table_SourceData_PastureBeef_LiveweightGainNTQLD[[#Headers],[State]],0)</f>
        <v>0.06</v>
      </c>
      <c r="N198" s="35" cm="1">
        <f t="array" ref="N198">Common_InputFunctions.Utility_DisplayArrayInTable(SourceData_PastureBeef.SourceData_PastureBeef_LiveweightGainNTQLD_Data(),Table_SourceData_PastureBeef_LiveweightGainNTQLD[[#Headers],[State]],0)</f>
        <v>0.02</v>
      </c>
      <c r="O198" s="35" cm="1">
        <f t="array" ref="O198">Common_InputFunctions.Utility_DisplayArrayInTable(SourceData_PastureBeef.SourceData_PastureBeef_LiveweightGainNTQLD_Data(),Table_SourceData_PastureBeef_LiveweightGainNTQLD[[#Headers],[State]],0)</f>
        <v>-0.14000000000000001</v>
      </c>
      <c r="P198" s="35"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5" t="str" cm="1">
        <f t="array" ref="E199">Common_InputFunctions.Utility_DisplayArrayInTable(SourceData_PastureBeef.SourceData_PastureBeef_LiveweightGainNTQLD_Data(),Table_SourceData_PastureBeef_LiveweightGainNTQLD[[#Headers],[State]],0)</f>
        <v>Northern</v>
      </c>
      <c r="F199" s="35" t="str" cm="1">
        <f t="array" ref="F199">Common_InputFunctions.Utility_DisplayArrayInTable(SourceData_PastureBeef.SourceData_PastureBeef_LiveweightGainNTQLD_Data(),Table_SourceData_PastureBeef_LiveweightGainNTQLD[[#Headers],[State]],0)</f>
        <v>Summer</v>
      </c>
      <c r="G199" s="35" cm="1">
        <f t="array" ref="G199">Common_InputFunctions.Utility_DisplayArrayInTable(SourceData_PastureBeef.SourceData_PastureBeef_LiveweightGainNTQLD_Data(),Table_SourceData_PastureBeef_LiveweightGainNTQLD[[#Headers],[State]],0)</f>
        <v>0.66</v>
      </c>
      <c r="H199" s="35" cm="1">
        <f t="array" ref="H199">Common_InputFunctions.Utility_DisplayArrayInTable(SourceData_PastureBeef.SourceData_PastureBeef_LiveweightGainNTQLD_Data(),Table_SourceData_PastureBeef_LiveweightGainNTQLD[[#Headers],[State]],0)</f>
        <v>0.22</v>
      </c>
      <c r="I199" s="35" cm="1">
        <f t="array" ref="I199">Common_InputFunctions.Utility_DisplayArrayInTable(SourceData_PastureBeef.SourceData_PastureBeef_LiveweightGainNTQLD_Data(),Table_SourceData_PastureBeef_LiveweightGainNTQLD[[#Headers],[State]],0)</f>
        <v>0.79</v>
      </c>
      <c r="J199" s="35" cm="1">
        <f t="array" ref="J199">Common_InputFunctions.Utility_DisplayArrayInTable(SourceData_PastureBeef.SourceData_PastureBeef_LiveweightGainNTQLD_Data(),Table_SourceData_PastureBeef_LiveweightGainNTQLD[[#Headers],[State]],0)</f>
        <v>0.4</v>
      </c>
      <c r="K199" s="35" cm="1">
        <f t="array" ref="K199">Common_InputFunctions.Utility_DisplayArrayInTable(SourceData_PastureBeef.SourceData_PastureBeef_LiveweightGainNTQLD_Data(),Table_SourceData_PastureBeef_LiveweightGainNTQLD[[#Headers],[State]],0)</f>
        <v>0.38</v>
      </c>
      <c r="L199" s="35" cm="1">
        <f t="array" ref="L199">Common_InputFunctions.Utility_DisplayArrayInTable(SourceData_PastureBeef.SourceData_PastureBeef_LiveweightGainNTQLD_Data(),Table_SourceData_PastureBeef_LiveweightGainNTQLD[[#Headers],[State]],0)</f>
        <v>0.27</v>
      </c>
      <c r="M199" s="35" cm="1">
        <f t="array" ref="M199">Common_InputFunctions.Utility_DisplayArrayInTable(SourceData_PastureBeef.SourceData_PastureBeef_LiveweightGainNTQLD_Data(),Table_SourceData_PastureBeef_LiveweightGainNTQLD[[#Headers],[State]],0)</f>
        <v>0.8</v>
      </c>
      <c r="N199" s="35" cm="1">
        <f t="array" ref="N199">Common_InputFunctions.Utility_DisplayArrayInTable(SourceData_PastureBeef.SourceData_PastureBeef_LiveweightGainNTQLD_Data(),Table_SourceData_PastureBeef_LiveweightGainNTQLD[[#Headers],[State]],0)</f>
        <v>0.16</v>
      </c>
      <c r="O199" s="35" cm="1">
        <f t="array" ref="O199">Common_InputFunctions.Utility_DisplayArrayInTable(SourceData_PastureBeef.SourceData_PastureBeef_LiveweightGainNTQLD_Data(),Table_SourceData_PastureBeef_LiveweightGainNTQLD[[#Headers],[State]],0)</f>
        <v>0.3</v>
      </c>
      <c r="P199" s="35"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5" t="str" cm="1">
        <f t="array" ref="E200">Common_InputFunctions.Utility_DisplayArrayInTable(SourceData_PastureBeef.SourceData_PastureBeef_LiveweightGainNTQLD_Data(),Table_SourceData_PastureBeef_LiveweightGainNTQLD[[#Headers],[State]],0)</f>
        <v>Northern</v>
      </c>
      <c r="F200" s="35" t="str" cm="1">
        <f t="array" ref="F200">Common_InputFunctions.Utility_DisplayArrayInTable(SourceData_PastureBeef.SourceData_PastureBeef_LiveweightGainNTQLD_Data(),Table_SourceData_PastureBeef_LiveweightGainNTQLD[[#Headers],[State]],0)</f>
        <v>Autumn</v>
      </c>
      <c r="G200" s="35" cm="1">
        <f t="array" ref="G200">Common_InputFunctions.Utility_DisplayArrayInTable(SourceData_PastureBeef.SourceData_PastureBeef_LiveweightGainNTQLD_Data(),Table_SourceData_PastureBeef_LiveweightGainNTQLD[[#Headers],[State]],0)</f>
        <v>0.49</v>
      </c>
      <c r="H200" s="35" cm="1">
        <f t="array" ref="H200">Common_InputFunctions.Utility_DisplayArrayInTable(SourceData_PastureBeef.SourceData_PastureBeef_LiveweightGainNTQLD_Data(),Table_SourceData_PastureBeef_LiveweightGainNTQLD[[#Headers],[State]],0)</f>
        <v>0.05</v>
      </c>
      <c r="I200" s="35" cm="1">
        <f t="array" ref="I200">Common_InputFunctions.Utility_DisplayArrayInTable(SourceData_PastureBeef.SourceData_PastureBeef_LiveweightGainNTQLD_Data(),Table_SourceData_PastureBeef_LiveweightGainNTQLD[[#Headers],[State]],0)</f>
        <v>0.55000000000000004</v>
      </c>
      <c r="J200" s="35" cm="1">
        <f t="array" ref="J200">Common_InputFunctions.Utility_DisplayArrayInTable(SourceData_PastureBeef.SourceData_PastureBeef_LiveweightGainNTQLD_Data(),Table_SourceData_PastureBeef_LiveweightGainNTQLD[[#Headers],[State]],0)</f>
        <v>0.38</v>
      </c>
      <c r="K200" s="35" cm="1">
        <f t="array" ref="K200">Common_InputFunctions.Utility_DisplayArrayInTable(SourceData_PastureBeef.SourceData_PastureBeef_LiveweightGainNTQLD_Data(),Table_SourceData_PastureBeef_LiveweightGainNTQLD[[#Headers],[State]],0)</f>
        <v>0.36</v>
      </c>
      <c r="L200" s="35" cm="1">
        <f t="array" ref="L200">Common_InputFunctions.Utility_DisplayArrayInTable(SourceData_PastureBeef.SourceData_PastureBeef_LiveweightGainNTQLD_Data(),Table_SourceData_PastureBeef_LiveweightGainNTQLD[[#Headers],[State]],0)</f>
        <v>0.06</v>
      </c>
      <c r="M200" s="35" cm="1">
        <f t="array" ref="M200">Common_InputFunctions.Utility_DisplayArrayInTable(SourceData_PastureBeef.SourceData_PastureBeef_LiveweightGainNTQLD_Data(),Table_SourceData_PastureBeef_LiveweightGainNTQLD[[#Headers],[State]],0)</f>
        <v>0.57999999999999996</v>
      </c>
      <c r="N200" s="35" cm="1">
        <f t="array" ref="N200">Common_InputFunctions.Utility_DisplayArrayInTable(SourceData_PastureBeef.SourceData_PastureBeef_LiveweightGainNTQLD_Data(),Table_SourceData_PastureBeef_LiveweightGainNTQLD[[#Headers],[State]],0)</f>
        <v>0.23</v>
      </c>
      <c r="O200" s="35" cm="1">
        <f t="array" ref="O200">Common_InputFunctions.Utility_DisplayArrayInTable(SourceData_PastureBeef.SourceData_PastureBeef_LiveweightGainNTQLD_Data(),Table_SourceData_PastureBeef_LiveweightGainNTQLD[[#Headers],[State]],0)</f>
        <v>0.4</v>
      </c>
      <c r="P200" s="35"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5" t="str" cm="1">
        <f t="array" ref="E201">Common_InputFunctions.Utility_DisplayArrayInTable(SourceData_PastureBeef.SourceData_PastureBeef_LiveweightGainNTQLD_Data(),Table_SourceData_PastureBeef_LiveweightGainNTQLD[[#Headers],[State]],0)</f>
        <v>Northern</v>
      </c>
      <c r="F201" s="35" t="str" cm="1">
        <f t="array" ref="F201">Common_InputFunctions.Utility_DisplayArrayInTable(SourceData_PastureBeef.SourceData_PastureBeef_LiveweightGainNTQLD_Data(),Table_SourceData_PastureBeef_LiveweightGainNTQLD[[#Headers],[State]],0)</f>
        <v>Winter</v>
      </c>
      <c r="G201" s="35" cm="1">
        <f t="array" ref="G201">Common_InputFunctions.Utility_DisplayArrayInTable(SourceData_PastureBeef.SourceData_PastureBeef_LiveweightGainNTQLD_Data(),Table_SourceData_PastureBeef_LiveweightGainNTQLD[[#Headers],[State]],0)</f>
        <v>0.27</v>
      </c>
      <c r="H201" s="35" cm="1">
        <f t="array" ref="H201">Common_InputFunctions.Utility_DisplayArrayInTable(SourceData_PastureBeef.SourceData_PastureBeef_LiveweightGainNTQLD_Data(),Table_SourceData_PastureBeef_LiveweightGainNTQLD[[#Headers],[State]],0)</f>
        <v>-0.27</v>
      </c>
      <c r="I201" s="35" cm="1">
        <f t="array" ref="I201">Common_InputFunctions.Utility_DisplayArrayInTable(SourceData_PastureBeef.SourceData_PastureBeef_LiveweightGainNTQLD_Data(),Table_SourceData_PastureBeef_LiveweightGainNTQLD[[#Headers],[State]],0)</f>
        <v>0.02</v>
      </c>
      <c r="J201" s="35" cm="1">
        <f t="array" ref="J201">Common_InputFunctions.Utility_DisplayArrayInTable(SourceData_PastureBeef.SourceData_PastureBeef_LiveweightGainNTQLD_Data(),Table_SourceData_PastureBeef_LiveweightGainNTQLD[[#Headers],[State]],0)</f>
        <v>0.09</v>
      </c>
      <c r="K201" s="35" cm="1">
        <f t="array" ref="K201">Common_InputFunctions.Utility_DisplayArrayInTable(SourceData_PastureBeef.SourceData_PastureBeef_LiveweightGainNTQLD_Data(),Table_SourceData_PastureBeef_LiveweightGainNTQLD[[#Headers],[State]],0)</f>
        <v>0.16</v>
      </c>
      <c r="L201" s="35" cm="1">
        <f t="array" ref="L201">Common_InputFunctions.Utility_DisplayArrayInTable(SourceData_PastureBeef.SourceData_PastureBeef_LiveweightGainNTQLD_Data(),Table_SourceData_PastureBeef_LiveweightGainNTQLD[[#Headers],[State]],0)</f>
        <v>-0.04</v>
      </c>
      <c r="M201" s="35" cm="1">
        <f t="array" ref="M201">Common_InputFunctions.Utility_DisplayArrayInTable(SourceData_PastureBeef.SourceData_PastureBeef_LiveweightGainNTQLD_Data(),Table_SourceData_PastureBeef_LiveweightGainNTQLD[[#Headers],[State]],0)</f>
        <v>0.21</v>
      </c>
      <c r="N201" s="35" cm="1">
        <f t="array" ref="N201">Common_InputFunctions.Utility_DisplayArrayInTable(SourceData_PastureBeef.SourceData_PastureBeef_LiveweightGainNTQLD_Data(),Table_SourceData_PastureBeef_LiveweightGainNTQLD[[#Headers],[State]],0)</f>
        <v>0.03</v>
      </c>
      <c r="O201" s="35" cm="1">
        <f t="array" ref="O201">Common_InputFunctions.Utility_DisplayArrayInTable(SourceData_PastureBeef.SourceData_PastureBeef_LiveweightGainNTQLD_Data(),Table_SourceData_PastureBeef_LiveweightGainNTQLD[[#Headers],[State]],0)</f>
        <v>0.11</v>
      </c>
      <c r="P201" s="35"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5" t="str" cm="1">
        <f t="array" ref="E202">Common_InputFunctions.Utility_DisplayArrayInTable(SourceData_PastureBeef.SourceData_PastureBeef_LiveweightGainNTQLD_Data(),Table_SourceData_PastureBeef_LiveweightGainNTQLD[[#Headers],[State]],0)</f>
        <v>High</v>
      </c>
      <c r="F202" s="35" t="str" cm="1">
        <f t="array" ref="F202">Common_InputFunctions.Utility_DisplayArrayInTable(SourceData_PastureBeef.SourceData_PastureBeef_LiveweightGainNTQLD_Data(),Table_SourceData_PastureBeef_LiveweightGainNTQLD[[#Headers],[State]],0)</f>
        <v>Spring</v>
      </c>
      <c r="G202" s="35" cm="1">
        <f t="array" ref="G202">Common_InputFunctions.Utility_DisplayArrayInTable(SourceData_PastureBeef.SourceData_PastureBeef_LiveweightGainNTQLD_Data(),Table_SourceData_PastureBeef_LiveweightGainNTQLD[[#Headers],[State]],0)</f>
        <v>0.27</v>
      </c>
      <c r="H202" s="35" cm="1">
        <f t="array" ref="H202">Common_InputFunctions.Utility_DisplayArrayInTable(SourceData_PastureBeef.SourceData_PastureBeef_LiveweightGainNTQLD_Data(),Table_SourceData_PastureBeef_LiveweightGainNTQLD[[#Headers],[State]],0)</f>
        <v>-0.19</v>
      </c>
      <c r="I202" s="35" cm="1">
        <f t="array" ref="I202">Common_InputFunctions.Utility_DisplayArrayInTable(SourceData_PastureBeef.SourceData_PastureBeef_LiveweightGainNTQLD_Data(),Table_SourceData_PastureBeef_LiveweightGainNTQLD[[#Headers],[State]],0)</f>
        <v>0.38</v>
      </c>
      <c r="J202" s="35" cm="1">
        <f t="array" ref="J202">Common_InputFunctions.Utility_DisplayArrayInTable(SourceData_PastureBeef.SourceData_PastureBeef_LiveweightGainNTQLD_Data(),Table_SourceData_PastureBeef_LiveweightGainNTQLD[[#Headers],[State]],0)</f>
        <v>0.25</v>
      </c>
      <c r="K202" s="35" cm="1">
        <f t="array" ref="K202">Common_InputFunctions.Utility_DisplayArrayInTable(SourceData_PastureBeef.SourceData_PastureBeef_LiveweightGainNTQLD_Data(),Table_SourceData_PastureBeef_LiveweightGainNTQLD[[#Headers],[State]],0)</f>
        <v>7.0000000000000007E-2</v>
      </c>
      <c r="L202" s="35" cm="1">
        <f t="array" ref="L202">Common_InputFunctions.Utility_DisplayArrayInTable(SourceData_PastureBeef.SourceData_PastureBeef_LiveweightGainNTQLD_Data(),Table_SourceData_PastureBeef_LiveweightGainNTQLD[[#Headers],[State]],0)</f>
        <v>0.05</v>
      </c>
      <c r="M202" s="35" cm="1">
        <f t="array" ref="M202">Common_InputFunctions.Utility_DisplayArrayInTable(SourceData_PastureBeef.SourceData_PastureBeef_LiveweightGainNTQLD_Data(),Table_SourceData_PastureBeef_LiveweightGainNTQLD[[#Headers],[State]],0)</f>
        <v>0.52</v>
      </c>
      <c r="N202" s="35" cm="1">
        <f t="array" ref="N202">Common_InputFunctions.Utility_DisplayArrayInTable(SourceData_PastureBeef.SourceData_PastureBeef_LiveweightGainNTQLD_Data(),Table_SourceData_PastureBeef_LiveweightGainNTQLD[[#Headers],[State]],0)</f>
        <v>0.55000000000000004</v>
      </c>
      <c r="O202" s="35" cm="1">
        <f t="array" ref="O202">Common_InputFunctions.Utility_DisplayArrayInTable(SourceData_PastureBeef.SourceData_PastureBeef_LiveweightGainNTQLD_Data(),Table_SourceData_PastureBeef_LiveweightGainNTQLD[[#Headers],[State]],0)</f>
        <v>0.19</v>
      </c>
      <c r="P202" s="35"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5" t="str" cm="1">
        <f t="array" ref="E203">Common_InputFunctions.Utility_DisplayArrayInTable(SourceData_PastureBeef.SourceData_PastureBeef_LiveweightGainNTQLD_Data(),Table_SourceData_PastureBeef_LiveweightGainNTQLD[[#Headers],[State]],0)</f>
        <v>High</v>
      </c>
      <c r="F203" s="35" t="str" cm="1">
        <f t="array" ref="F203">Common_InputFunctions.Utility_DisplayArrayInTable(SourceData_PastureBeef.SourceData_PastureBeef_LiveweightGainNTQLD_Data(),Table_SourceData_PastureBeef_LiveweightGainNTQLD[[#Headers],[State]],0)</f>
        <v>Summer</v>
      </c>
      <c r="G203" s="35" cm="1">
        <f t="array" ref="G203">Common_InputFunctions.Utility_DisplayArrayInTable(SourceData_PastureBeef.SourceData_PastureBeef_LiveweightGainNTQLD_Data(),Table_SourceData_PastureBeef_LiveweightGainNTQLD[[#Headers],[State]],0)</f>
        <v>0.16</v>
      </c>
      <c r="H203" s="35" cm="1">
        <f t="array" ref="H203">Common_InputFunctions.Utility_DisplayArrayInTable(SourceData_PastureBeef.SourceData_PastureBeef_LiveweightGainNTQLD_Data(),Table_SourceData_PastureBeef_LiveweightGainNTQLD[[#Headers],[State]],0)</f>
        <v>0.16</v>
      </c>
      <c r="I203" s="35" cm="1">
        <f t="array" ref="I203">Common_InputFunctions.Utility_DisplayArrayInTable(SourceData_PastureBeef.SourceData_PastureBeef_LiveweightGainNTQLD_Data(),Table_SourceData_PastureBeef_LiveweightGainNTQLD[[#Headers],[State]],0)</f>
        <v>0.8</v>
      </c>
      <c r="J203" s="35" cm="1">
        <f t="array" ref="J203">Common_InputFunctions.Utility_DisplayArrayInTable(SourceData_PastureBeef.SourceData_PastureBeef_LiveweightGainNTQLD_Data(),Table_SourceData_PastureBeef_LiveweightGainNTQLD[[#Headers],[State]],0)</f>
        <v>0.56999999999999995</v>
      </c>
      <c r="K203" s="35" cm="1">
        <f t="array" ref="K203">Common_InputFunctions.Utility_DisplayArrayInTable(SourceData_PastureBeef.SourceData_PastureBeef_LiveweightGainNTQLD_Data(),Table_SourceData_PastureBeef_LiveweightGainNTQLD[[#Headers],[State]],0)</f>
        <v>0.76</v>
      </c>
      <c r="L203" s="35" cm="1">
        <f t="array" ref="L203">Common_InputFunctions.Utility_DisplayArrayInTable(SourceData_PastureBeef.SourceData_PastureBeef_LiveweightGainNTQLD_Data(),Table_SourceData_PastureBeef_LiveweightGainNTQLD[[#Headers],[State]],0)</f>
        <v>0.49</v>
      </c>
      <c r="M203" s="35" cm="1">
        <f t="array" ref="M203">Common_InputFunctions.Utility_DisplayArrayInTable(SourceData_PastureBeef.SourceData_PastureBeef_LiveweightGainNTQLD_Data(),Table_SourceData_PastureBeef_LiveweightGainNTQLD[[#Headers],[State]],0)</f>
        <v>0.84</v>
      </c>
      <c r="N203" s="35" cm="1">
        <f t="array" ref="N203">Common_InputFunctions.Utility_DisplayArrayInTable(SourceData_PastureBeef.SourceData_PastureBeef_LiveweightGainNTQLD_Data(),Table_SourceData_PastureBeef_LiveweightGainNTQLD[[#Headers],[State]],0)</f>
        <v>0.51</v>
      </c>
      <c r="O203" s="35" cm="1">
        <f t="array" ref="O203">Common_InputFunctions.Utility_DisplayArrayInTable(SourceData_PastureBeef.SourceData_PastureBeef_LiveweightGainNTQLD_Data(),Table_SourceData_PastureBeef_LiveweightGainNTQLD[[#Headers],[State]],0)</f>
        <v>0.36</v>
      </c>
      <c r="P203" s="35"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5" t="str" cm="1">
        <f t="array" ref="E204">Common_InputFunctions.Utility_DisplayArrayInTable(SourceData_PastureBeef.SourceData_PastureBeef_LiveweightGainNTQLD_Data(),Table_SourceData_PastureBeef_LiveweightGainNTQLD[[#Headers],[State]],0)</f>
        <v>High</v>
      </c>
      <c r="F204" s="35" t="str" cm="1">
        <f t="array" ref="F204">Common_InputFunctions.Utility_DisplayArrayInTable(SourceData_PastureBeef.SourceData_PastureBeef_LiveweightGainNTQLD_Data(),Table_SourceData_PastureBeef_LiveweightGainNTQLD[[#Headers],[State]],0)</f>
        <v>Autumn</v>
      </c>
      <c r="G204" s="35" cm="1">
        <f t="array" ref="G204">Common_InputFunctions.Utility_DisplayArrayInTable(SourceData_PastureBeef.SourceData_PastureBeef_LiveweightGainNTQLD_Data(),Table_SourceData_PastureBeef_LiveweightGainNTQLD[[#Headers],[State]],0)</f>
        <v>0.45</v>
      </c>
      <c r="H204" s="35" cm="1">
        <f t="array" ref="H204">Common_InputFunctions.Utility_DisplayArrayInTable(SourceData_PastureBeef.SourceData_PastureBeef_LiveweightGainNTQLD_Data(),Table_SourceData_PastureBeef_LiveweightGainNTQLD[[#Headers],[State]],0)</f>
        <v>0.1</v>
      </c>
      <c r="I204" s="35" cm="1">
        <f t="array" ref="I204">Common_InputFunctions.Utility_DisplayArrayInTable(SourceData_PastureBeef.SourceData_PastureBeef_LiveweightGainNTQLD_Data(),Table_SourceData_PastureBeef_LiveweightGainNTQLD[[#Headers],[State]],0)</f>
        <v>0.49</v>
      </c>
      <c r="J204" s="35" cm="1">
        <f t="array" ref="J204">Common_InputFunctions.Utility_DisplayArrayInTable(SourceData_PastureBeef.SourceData_PastureBeef_LiveweightGainNTQLD_Data(),Table_SourceData_PastureBeef_LiveweightGainNTQLD[[#Headers],[State]],0)</f>
        <v>0.41</v>
      </c>
      <c r="K204" s="35" cm="1">
        <f t="array" ref="K204">Common_InputFunctions.Utility_DisplayArrayInTable(SourceData_PastureBeef.SourceData_PastureBeef_LiveweightGainNTQLD_Data(),Table_SourceData_PastureBeef_LiveweightGainNTQLD[[#Headers],[State]],0)</f>
        <v>0.4</v>
      </c>
      <c r="L204" s="35" cm="1">
        <f t="array" ref="L204">Common_InputFunctions.Utility_DisplayArrayInTable(SourceData_PastureBeef.SourceData_PastureBeef_LiveweightGainNTQLD_Data(),Table_SourceData_PastureBeef_LiveweightGainNTQLD[[#Headers],[State]],0)</f>
        <v>0.17</v>
      </c>
      <c r="M204" s="35" cm="1">
        <f t="array" ref="M204">Common_InputFunctions.Utility_DisplayArrayInTable(SourceData_PastureBeef.SourceData_PastureBeef_LiveweightGainNTQLD_Data(),Table_SourceData_PastureBeef_LiveweightGainNTQLD[[#Headers],[State]],0)</f>
        <v>0.54</v>
      </c>
      <c r="N204" s="35" cm="1">
        <f t="array" ref="N204">Common_InputFunctions.Utility_DisplayArrayInTable(SourceData_PastureBeef.SourceData_PastureBeef_LiveweightGainNTQLD_Data(),Table_SourceData_PastureBeef_LiveweightGainNTQLD[[#Headers],[State]],0)</f>
        <v>0.64</v>
      </c>
      <c r="O204" s="35" cm="1">
        <f t="array" ref="O204">Common_InputFunctions.Utility_DisplayArrayInTable(SourceData_PastureBeef.SourceData_PastureBeef_LiveweightGainNTQLD_Data(),Table_SourceData_PastureBeef_LiveweightGainNTQLD[[#Headers],[State]],0)</f>
        <v>-0.05</v>
      </c>
      <c r="P204" s="35"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5" t="str" cm="1">
        <f t="array" ref="E205">Common_InputFunctions.Utility_DisplayArrayInTable(SourceData_PastureBeef.SourceData_PastureBeef_LiveweightGainNTQLD_Data(),Table_SourceData_PastureBeef_LiveweightGainNTQLD[[#Headers],[State]],0)</f>
        <v>High</v>
      </c>
      <c r="F205" s="35" t="str" cm="1">
        <f t="array" ref="F205">Common_InputFunctions.Utility_DisplayArrayInTable(SourceData_PastureBeef.SourceData_PastureBeef_LiveweightGainNTQLD_Data(),Table_SourceData_PastureBeef_LiveweightGainNTQLD[[#Headers],[State]],0)</f>
        <v>Winter</v>
      </c>
      <c r="G205" s="35" cm="1">
        <f t="array" ref="G205">Common_InputFunctions.Utility_DisplayArrayInTable(SourceData_PastureBeef.SourceData_PastureBeef_LiveweightGainNTQLD_Data(),Table_SourceData_PastureBeef_LiveweightGainNTQLD[[#Headers],[State]],0)</f>
        <v>0.51</v>
      </c>
      <c r="H205" s="35" cm="1">
        <f t="array" ref="H205">Common_InputFunctions.Utility_DisplayArrayInTable(SourceData_PastureBeef.SourceData_PastureBeef_LiveweightGainNTQLD_Data(),Table_SourceData_PastureBeef_LiveweightGainNTQLD[[#Headers],[State]],0)</f>
        <v>-7.0000000000000007E-2</v>
      </c>
      <c r="I205" s="35" cm="1">
        <f t="array" ref="I205">Common_InputFunctions.Utility_DisplayArrayInTable(SourceData_PastureBeef.SourceData_PastureBeef_LiveweightGainNTQLD_Data(),Table_SourceData_PastureBeef_LiveweightGainNTQLD[[#Headers],[State]],0)</f>
        <v>0.13</v>
      </c>
      <c r="J205" s="35" cm="1">
        <f t="array" ref="J205">Common_InputFunctions.Utility_DisplayArrayInTable(SourceData_PastureBeef.SourceData_PastureBeef_LiveweightGainNTQLD_Data(),Table_SourceData_PastureBeef_LiveweightGainNTQLD[[#Headers],[State]],0)</f>
        <v>-0.09</v>
      </c>
      <c r="K205" s="35" cm="1">
        <f t="array" ref="K205">Common_InputFunctions.Utility_DisplayArrayInTable(SourceData_PastureBeef.SourceData_PastureBeef_LiveweightGainNTQLD_Data(),Table_SourceData_PastureBeef_LiveweightGainNTQLD[[#Headers],[State]],0)</f>
        <v>-0.13</v>
      </c>
      <c r="L205" s="35" cm="1">
        <f t="array" ref="L205">Common_InputFunctions.Utility_DisplayArrayInTable(SourceData_PastureBeef.SourceData_PastureBeef_LiveweightGainNTQLD_Data(),Table_SourceData_PastureBeef_LiveweightGainNTQLD[[#Headers],[State]],0)</f>
        <v>7.0000000000000007E-2</v>
      </c>
      <c r="M205" s="35" cm="1">
        <f t="array" ref="M205">Common_InputFunctions.Utility_DisplayArrayInTable(SourceData_PastureBeef.SourceData_PastureBeef_LiveweightGainNTQLD_Data(),Table_SourceData_PastureBeef_LiveweightGainNTQLD[[#Headers],[State]],0)</f>
        <v>0.25</v>
      </c>
      <c r="N205" s="35" cm="1">
        <f t="array" ref="N205">Common_InputFunctions.Utility_DisplayArrayInTable(SourceData_PastureBeef.SourceData_PastureBeef_LiveweightGainNTQLD_Data(),Table_SourceData_PastureBeef_LiveweightGainNTQLD[[#Headers],[State]],0)</f>
        <v>0.71</v>
      </c>
      <c r="O205" s="35" cm="1">
        <f t="array" ref="O205">Common_InputFunctions.Utility_DisplayArrayInTable(SourceData_PastureBeef.SourceData_PastureBeef_LiveweightGainNTQLD_Data(),Table_SourceData_PastureBeef_LiveweightGainNTQLD[[#Headers],[State]],0)</f>
        <v>0.17</v>
      </c>
      <c r="P205" s="35"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5" t="str" cm="1">
        <f t="array" ref="E206">Common_InputFunctions.Utility_DisplayArrayInTable(SourceData_PastureBeef.SourceData_PastureBeef_LiveweightGainNTQLD_Data(),Table_SourceData_PastureBeef_LiveweightGainNTQLD[[#Headers],[State]],0)</f>
        <v>Moderate/High</v>
      </c>
      <c r="F206" s="35" t="str" cm="1">
        <f t="array" ref="F206">Common_InputFunctions.Utility_DisplayArrayInTable(SourceData_PastureBeef.SourceData_PastureBeef_LiveweightGainNTQLD_Data(),Table_SourceData_PastureBeef_LiveweightGainNTQLD[[#Headers],[State]],0)</f>
        <v>Spring</v>
      </c>
      <c r="G206" s="35" cm="1">
        <f t="array" ref="G206">Common_InputFunctions.Utility_DisplayArrayInTable(SourceData_PastureBeef.SourceData_PastureBeef_LiveweightGainNTQLD_Data(),Table_SourceData_PastureBeef_LiveweightGainNTQLD[[#Headers],[State]],0)</f>
        <v>-0.12</v>
      </c>
      <c r="H206" s="35" cm="1">
        <f t="array" ref="H206">Common_InputFunctions.Utility_DisplayArrayInTable(SourceData_PastureBeef.SourceData_PastureBeef_LiveweightGainNTQLD_Data(),Table_SourceData_PastureBeef_LiveweightGainNTQLD[[#Headers],[State]],0)</f>
        <v>-0.19</v>
      </c>
      <c r="I206" s="35" cm="1">
        <f t="array" ref="I206">Common_InputFunctions.Utility_DisplayArrayInTable(SourceData_PastureBeef.SourceData_PastureBeef_LiveweightGainNTQLD_Data(),Table_SourceData_PastureBeef_LiveweightGainNTQLD[[#Headers],[State]],0)</f>
        <v>0.41</v>
      </c>
      <c r="J206" s="35" cm="1">
        <f t="array" ref="J206">Common_InputFunctions.Utility_DisplayArrayInTable(SourceData_PastureBeef.SourceData_PastureBeef_LiveweightGainNTQLD_Data(),Table_SourceData_PastureBeef_LiveweightGainNTQLD[[#Headers],[State]],0)</f>
        <v>0.09</v>
      </c>
      <c r="K206" s="35" cm="1">
        <f t="array" ref="K206">Common_InputFunctions.Utility_DisplayArrayInTable(SourceData_PastureBeef.SourceData_PastureBeef_LiveweightGainNTQLD_Data(),Table_SourceData_PastureBeef_LiveweightGainNTQLD[[#Headers],[State]],0)</f>
        <v>0.41</v>
      </c>
      <c r="L206" s="35" cm="1">
        <f t="array" ref="L206">Common_InputFunctions.Utility_DisplayArrayInTable(SourceData_PastureBeef.SourceData_PastureBeef_LiveweightGainNTQLD_Data(),Table_SourceData_PastureBeef_LiveweightGainNTQLD[[#Headers],[State]],0)</f>
        <v>-0.19</v>
      </c>
      <c r="M206" s="35" cm="1">
        <f t="array" ref="M206">Common_InputFunctions.Utility_DisplayArrayInTable(SourceData_PastureBeef.SourceData_PastureBeef_LiveweightGainNTQLD_Data(),Table_SourceData_PastureBeef_LiveweightGainNTQLD[[#Headers],[State]],0)</f>
        <v>7.0000000000000007E-2</v>
      </c>
      <c r="N206" s="35" cm="1">
        <f t="array" ref="N206">Common_InputFunctions.Utility_DisplayArrayInTable(SourceData_PastureBeef.SourceData_PastureBeef_LiveweightGainNTQLD_Data(),Table_SourceData_PastureBeef_LiveweightGainNTQLD[[#Headers],[State]],0)</f>
        <v>1.07</v>
      </c>
      <c r="O206" s="35" cm="1">
        <f t="array" ref="O206">Common_InputFunctions.Utility_DisplayArrayInTable(SourceData_PastureBeef.SourceData_PastureBeef_LiveweightGainNTQLD_Data(),Table_SourceData_PastureBeef_LiveweightGainNTQLD[[#Headers],[State]],0)</f>
        <v>-0.08</v>
      </c>
      <c r="P206" s="35"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5" t="str" cm="1">
        <f t="array" ref="E207">Common_InputFunctions.Utility_DisplayArrayInTable(SourceData_PastureBeef.SourceData_PastureBeef_LiveweightGainNTQLD_Data(),Table_SourceData_PastureBeef_LiveweightGainNTQLD[[#Headers],[State]],0)</f>
        <v>Moderate/High</v>
      </c>
      <c r="F207" s="35" t="str" cm="1">
        <f t="array" ref="F207">Common_InputFunctions.Utility_DisplayArrayInTable(SourceData_PastureBeef.SourceData_PastureBeef_LiveweightGainNTQLD_Data(),Table_SourceData_PastureBeef_LiveweightGainNTQLD[[#Headers],[State]],0)</f>
        <v>Summer</v>
      </c>
      <c r="G207" s="35" cm="1">
        <f t="array" ref="G207">Common_InputFunctions.Utility_DisplayArrayInTable(SourceData_PastureBeef.SourceData_PastureBeef_LiveweightGainNTQLD_Data(),Table_SourceData_PastureBeef_LiveweightGainNTQLD[[#Headers],[State]],0)</f>
        <v>0.65</v>
      </c>
      <c r="H207" s="35" cm="1">
        <f t="array" ref="H207">Common_InputFunctions.Utility_DisplayArrayInTable(SourceData_PastureBeef.SourceData_PastureBeef_LiveweightGainNTQLD_Data(),Table_SourceData_PastureBeef_LiveweightGainNTQLD[[#Headers],[State]],0)</f>
        <v>0.19</v>
      </c>
      <c r="I207" s="35" cm="1">
        <f t="array" ref="I207">Common_InputFunctions.Utility_DisplayArrayInTable(SourceData_PastureBeef.SourceData_PastureBeef_LiveweightGainNTQLD_Data(),Table_SourceData_PastureBeef_LiveweightGainNTQLD[[#Headers],[State]],0)</f>
        <v>0.65</v>
      </c>
      <c r="J207" s="35" cm="1">
        <f t="array" ref="J207">Common_InputFunctions.Utility_DisplayArrayInTable(SourceData_PastureBeef.SourceData_PastureBeef_LiveweightGainNTQLD_Data(),Table_SourceData_PastureBeef_LiveweightGainNTQLD[[#Headers],[State]],0)</f>
        <v>0.51</v>
      </c>
      <c r="K207" s="35" cm="1">
        <f t="array" ref="K207">Common_InputFunctions.Utility_DisplayArrayInTable(SourceData_PastureBeef.SourceData_PastureBeef_LiveweightGainNTQLD_Data(),Table_SourceData_PastureBeef_LiveweightGainNTQLD[[#Headers],[State]],0)</f>
        <v>0.18</v>
      </c>
      <c r="L207" s="35" cm="1">
        <f t="array" ref="L207">Common_InputFunctions.Utility_DisplayArrayInTable(SourceData_PastureBeef.SourceData_PastureBeef_LiveweightGainNTQLD_Data(),Table_SourceData_PastureBeef_LiveweightGainNTQLD[[#Headers],[State]],0)</f>
        <v>0.63</v>
      </c>
      <c r="M207" s="35" cm="1">
        <f t="array" ref="M207">Common_InputFunctions.Utility_DisplayArrayInTable(SourceData_PastureBeef.SourceData_PastureBeef_LiveweightGainNTQLD_Data(),Table_SourceData_PastureBeef_LiveweightGainNTQLD[[#Headers],[State]],0)</f>
        <v>1.3</v>
      </c>
      <c r="N207" s="35" cm="1">
        <f t="array" ref="N207">Common_InputFunctions.Utility_DisplayArrayInTable(SourceData_PastureBeef.SourceData_PastureBeef_LiveweightGainNTQLD_Data(),Table_SourceData_PastureBeef_LiveweightGainNTQLD[[#Headers],[State]],0)</f>
        <v>0.48</v>
      </c>
      <c r="O207" s="35" cm="1">
        <f t="array" ref="O207">Common_InputFunctions.Utility_DisplayArrayInTable(SourceData_PastureBeef.SourceData_PastureBeef_LiveweightGainNTQLD_Data(),Table_SourceData_PastureBeef_LiveweightGainNTQLD[[#Headers],[State]],0)</f>
        <v>1.1200000000000001</v>
      </c>
      <c r="P207" s="35"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5" t="str" cm="1">
        <f t="array" ref="E208">Common_InputFunctions.Utility_DisplayArrayInTable(SourceData_PastureBeef.SourceData_PastureBeef_LiveweightGainNTQLD_Data(),Table_SourceData_PastureBeef_LiveweightGainNTQLD[[#Headers],[State]],0)</f>
        <v>Moderate/High</v>
      </c>
      <c r="F208" s="35" t="str" cm="1">
        <f t="array" ref="F208">Common_InputFunctions.Utility_DisplayArrayInTable(SourceData_PastureBeef.SourceData_PastureBeef_LiveweightGainNTQLD_Data(),Table_SourceData_PastureBeef_LiveweightGainNTQLD[[#Headers],[State]],0)</f>
        <v>Autumn</v>
      </c>
      <c r="G208" s="35" cm="1">
        <f t="array" ref="G208">Common_InputFunctions.Utility_DisplayArrayInTable(SourceData_PastureBeef.SourceData_PastureBeef_LiveweightGainNTQLD_Data(),Table_SourceData_PastureBeef_LiveweightGainNTQLD[[#Headers],[State]],0)</f>
        <v>0.7</v>
      </c>
      <c r="H208" s="35" cm="1">
        <f t="array" ref="H208">Common_InputFunctions.Utility_DisplayArrayInTable(SourceData_PastureBeef.SourceData_PastureBeef_LiveweightGainNTQLD_Data(),Table_SourceData_PastureBeef_LiveweightGainNTQLD[[#Headers],[State]],0)</f>
        <v>0.13</v>
      </c>
      <c r="I208" s="35" cm="1">
        <f t="array" ref="I208">Common_InputFunctions.Utility_DisplayArrayInTable(SourceData_PastureBeef.SourceData_PastureBeef_LiveweightGainNTQLD_Data(),Table_SourceData_PastureBeef_LiveweightGainNTQLD[[#Headers],[State]],0)</f>
        <v>0.52</v>
      </c>
      <c r="J208" s="35" cm="1">
        <f t="array" ref="J208">Common_InputFunctions.Utility_DisplayArrayInTable(SourceData_PastureBeef.SourceData_PastureBeef_LiveweightGainNTQLD_Data(),Table_SourceData_PastureBeef_LiveweightGainNTQLD[[#Headers],[State]],0)</f>
        <v>0.34</v>
      </c>
      <c r="K208" s="35" cm="1">
        <f t="array" ref="K208">Common_InputFunctions.Utility_DisplayArrayInTable(SourceData_PastureBeef.SourceData_PastureBeef_LiveweightGainNTQLD_Data(),Table_SourceData_PastureBeef_LiveweightGainNTQLD[[#Headers],[State]],0)</f>
        <v>0.02</v>
      </c>
      <c r="L208" s="35" cm="1">
        <f t="array" ref="L208">Common_InputFunctions.Utility_DisplayArrayInTable(SourceData_PastureBeef.SourceData_PastureBeef_LiveweightGainNTQLD_Data(),Table_SourceData_PastureBeef_LiveweightGainNTQLD[[#Headers],[State]],0)</f>
        <v>0.04</v>
      </c>
      <c r="M208" s="35" cm="1">
        <f t="array" ref="M208">Common_InputFunctions.Utility_DisplayArrayInTable(SourceData_PastureBeef.SourceData_PastureBeef_LiveweightGainNTQLD_Data(),Table_SourceData_PastureBeef_LiveweightGainNTQLD[[#Headers],[State]],0)</f>
        <v>0.77</v>
      </c>
      <c r="N208" s="35" cm="1">
        <f t="array" ref="N208">Common_InputFunctions.Utility_DisplayArrayInTable(SourceData_PastureBeef.SourceData_PastureBeef_LiveweightGainNTQLD_Data(),Table_SourceData_PastureBeef_LiveweightGainNTQLD[[#Headers],[State]],0)</f>
        <v>0.42</v>
      </c>
      <c r="O208" s="35" cm="1">
        <f t="array" ref="O208">Common_InputFunctions.Utility_DisplayArrayInTable(SourceData_PastureBeef.SourceData_PastureBeef_LiveweightGainNTQLD_Data(),Table_SourceData_PastureBeef_LiveweightGainNTQLD[[#Headers],[State]],0)</f>
        <v>0.12</v>
      </c>
      <c r="P208" s="35"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5" t="str" cm="1">
        <f t="array" ref="E209">Common_InputFunctions.Utility_DisplayArrayInTable(SourceData_PastureBeef.SourceData_PastureBeef_LiveweightGainNTQLD_Data(),Table_SourceData_PastureBeef_LiveweightGainNTQLD[[#Headers],[State]],0)</f>
        <v>Moderate/High</v>
      </c>
      <c r="F209" s="35" t="str" cm="1">
        <f t="array" ref="F209">Common_InputFunctions.Utility_DisplayArrayInTable(SourceData_PastureBeef.SourceData_PastureBeef_LiveweightGainNTQLD_Data(),Table_SourceData_PastureBeef_LiveweightGainNTQLD[[#Headers],[State]],0)</f>
        <v>Winter</v>
      </c>
      <c r="G209" s="35" cm="1">
        <f t="array" ref="G209">Common_InputFunctions.Utility_DisplayArrayInTable(SourceData_PastureBeef.SourceData_PastureBeef_LiveweightGainNTQLD_Data(),Table_SourceData_PastureBeef_LiveweightGainNTQLD[[#Headers],[State]],0)</f>
        <v>0.32</v>
      </c>
      <c r="H209" s="35" cm="1">
        <f t="array" ref="H209">Common_InputFunctions.Utility_DisplayArrayInTable(SourceData_PastureBeef.SourceData_PastureBeef_LiveweightGainNTQLD_Data(),Table_SourceData_PastureBeef_LiveweightGainNTQLD[[#Headers],[State]],0)</f>
        <v>-0.06</v>
      </c>
      <c r="I209" s="35" cm="1">
        <f t="array" ref="I209">Common_InputFunctions.Utility_DisplayArrayInTable(SourceData_PastureBeef.SourceData_PastureBeef_LiveweightGainNTQLD_Data(),Table_SourceData_PastureBeef_LiveweightGainNTQLD[[#Headers],[State]],0)</f>
        <v>0.25</v>
      </c>
      <c r="J209" s="35" cm="1">
        <f t="array" ref="J209">Common_InputFunctions.Utility_DisplayArrayInTable(SourceData_PastureBeef.SourceData_PastureBeef_LiveweightGainNTQLD_Data(),Table_SourceData_PastureBeef_LiveweightGainNTQLD[[#Headers],[State]],0)</f>
        <v>0.19</v>
      </c>
      <c r="K209" s="35" cm="1">
        <f t="array" ref="K209">Common_InputFunctions.Utility_DisplayArrayInTable(SourceData_PastureBeef.SourceData_PastureBeef_LiveweightGainNTQLD_Data(),Table_SourceData_PastureBeef_LiveweightGainNTQLD[[#Headers],[State]],0)</f>
        <v>-0.1</v>
      </c>
      <c r="L209" s="35" cm="1">
        <f t="array" ref="L209">Common_InputFunctions.Utility_DisplayArrayInTable(SourceData_PastureBeef.SourceData_PastureBeef_LiveweightGainNTQLD_Data(),Table_SourceData_PastureBeef_LiveweightGainNTQLD[[#Headers],[State]],0)</f>
        <v>-0.02</v>
      </c>
      <c r="M209" s="35" cm="1">
        <f t="array" ref="M209">Common_InputFunctions.Utility_DisplayArrayInTable(SourceData_PastureBeef.SourceData_PastureBeef_LiveweightGainNTQLD_Data(),Table_SourceData_PastureBeef_LiveweightGainNTQLD[[#Headers],[State]],0)</f>
        <v>0.02</v>
      </c>
      <c r="N209" s="35" cm="1">
        <f t="array" ref="N209">Common_InputFunctions.Utility_DisplayArrayInTable(SourceData_PastureBeef.SourceData_PastureBeef_LiveweightGainNTQLD_Data(),Table_SourceData_PastureBeef_LiveweightGainNTQLD[[#Headers],[State]],0)</f>
        <v>0.23</v>
      </c>
      <c r="O209" s="35" cm="1">
        <f t="array" ref="O209">Common_InputFunctions.Utility_DisplayArrayInTable(SourceData_PastureBeef.SourceData_PastureBeef_LiveweightGainNTQLD_Data(),Table_SourceData_PastureBeef_LiveweightGainNTQLD[[#Headers],[State]],0)</f>
        <v>-0.13</v>
      </c>
      <c r="P209" s="35"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5" t="str" cm="1">
        <f t="array" ref="E210">Common_InputFunctions.Utility_DisplayArrayInTable(SourceData_PastureBeef.SourceData_PastureBeef_LiveweightGainNTQLD_Data(),Table_SourceData_PastureBeef_LiveweightGainNTQLD[[#Headers],[State]],0)</f>
        <v>Moderate/Low</v>
      </c>
      <c r="F210" s="35" t="str" cm="1">
        <f t="array" ref="F210">Common_InputFunctions.Utility_DisplayArrayInTable(SourceData_PastureBeef.SourceData_PastureBeef_LiveweightGainNTQLD_Data(),Table_SourceData_PastureBeef_LiveweightGainNTQLD[[#Headers],[State]],0)</f>
        <v>Spring</v>
      </c>
      <c r="G210" s="35" cm="1">
        <f t="array" ref="G210">Common_InputFunctions.Utility_DisplayArrayInTable(SourceData_PastureBeef.SourceData_PastureBeef_LiveweightGainNTQLD_Data(),Table_SourceData_PastureBeef_LiveweightGainNTQLD[[#Headers],[State]],0)</f>
        <v>0.62</v>
      </c>
      <c r="H210" s="35" cm="1">
        <f t="array" ref="H210">Common_InputFunctions.Utility_DisplayArrayInTable(SourceData_PastureBeef.SourceData_PastureBeef_LiveweightGainNTQLD_Data(),Table_SourceData_PastureBeef_LiveweightGainNTQLD[[#Headers],[State]],0)</f>
        <v>-0.19</v>
      </c>
      <c r="I210" s="35" cm="1">
        <f t="array" ref="I210">Common_InputFunctions.Utility_DisplayArrayInTable(SourceData_PastureBeef.SourceData_PastureBeef_LiveweightGainNTQLD_Data(),Table_SourceData_PastureBeef_LiveweightGainNTQLD[[#Headers],[State]],0)</f>
        <v>0.37</v>
      </c>
      <c r="J210" s="35" cm="1">
        <f t="array" ref="J210">Common_InputFunctions.Utility_DisplayArrayInTable(SourceData_PastureBeef.SourceData_PastureBeef_LiveweightGainNTQLD_Data(),Table_SourceData_PastureBeef_LiveweightGainNTQLD[[#Headers],[State]],0)</f>
        <v>0.41</v>
      </c>
      <c r="K210" s="35" cm="1">
        <f t="array" ref="K210">Common_InputFunctions.Utility_DisplayArrayInTable(SourceData_PastureBeef.SourceData_PastureBeef_LiveweightGainNTQLD_Data(),Table_SourceData_PastureBeef_LiveweightGainNTQLD[[#Headers],[State]],0)</f>
        <v>0.06</v>
      </c>
      <c r="L210" s="35" cm="1">
        <f t="array" ref="L210">Common_InputFunctions.Utility_DisplayArrayInTable(SourceData_PastureBeef.SourceData_PastureBeef_LiveweightGainNTQLD_Data(),Table_SourceData_PastureBeef_LiveweightGainNTQLD[[#Headers],[State]],0)</f>
        <v>-0.02</v>
      </c>
      <c r="M210" s="35" cm="1">
        <f t="array" ref="M210">Common_InputFunctions.Utility_DisplayArrayInTable(SourceData_PastureBeef.SourceData_PastureBeef_LiveweightGainNTQLD_Data(),Table_SourceData_PastureBeef_LiveweightGainNTQLD[[#Headers],[State]],0)</f>
        <v>0.47</v>
      </c>
      <c r="N210" s="35" cm="1">
        <f t="array" ref="N210">Common_InputFunctions.Utility_DisplayArrayInTable(SourceData_PastureBeef.SourceData_PastureBeef_LiveweightGainNTQLD_Data(),Table_SourceData_PastureBeef_LiveweightGainNTQLD[[#Headers],[State]],0)</f>
        <v>0.44</v>
      </c>
      <c r="O210" s="35" cm="1">
        <f t="array" ref="O210">Common_InputFunctions.Utility_DisplayArrayInTable(SourceData_PastureBeef.SourceData_PastureBeef_LiveweightGainNTQLD_Data(),Table_SourceData_PastureBeef_LiveweightGainNTQLD[[#Headers],[State]],0)</f>
        <v>0.3</v>
      </c>
      <c r="P210" s="35"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5" t="str" cm="1">
        <f t="array" ref="E211">Common_InputFunctions.Utility_DisplayArrayInTable(SourceData_PastureBeef.SourceData_PastureBeef_LiveweightGainNTQLD_Data(),Table_SourceData_PastureBeef_LiveweightGainNTQLD[[#Headers],[State]],0)</f>
        <v>Moderate/Low</v>
      </c>
      <c r="F211" s="35" t="str" cm="1">
        <f t="array" ref="F211">Common_InputFunctions.Utility_DisplayArrayInTable(SourceData_PastureBeef.SourceData_PastureBeef_LiveweightGainNTQLD_Data(),Table_SourceData_PastureBeef_LiveweightGainNTQLD[[#Headers],[State]],0)</f>
        <v>Summer</v>
      </c>
      <c r="G211" s="35" cm="1">
        <f t="array" ref="G211">Common_InputFunctions.Utility_DisplayArrayInTable(SourceData_PastureBeef.SourceData_PastureBeef_LiveweightGainNTQLD_Data(),Table_SourceData_PastureBeef_LiveweightGainNTQLD[[#Headers],[State]],0)</f>
        <v>0.05</v>
      </c>
      <c r="H211" s="35" cm="1">
        <f t="array" ref="H211">Common_InputFunctions.Utility_DisplayArrayInTable(SourceData_PastureBeef.SourceData_PastureBeef_LiveweightGainNTQLD_Data(),Table_SourceData_PastureBeef_LiveweightGainNTQLD[[#Headers],[State]],0)</f>
        <v>0.19</v>
      </c>
      <c r="I211" s="35" cm="1">
        <f t="array" ref="I211">Common_InputFunctions.Utility_DisplayArrayInTable(SourceData_PastureBeef.SourceData_PastureBeef_LiveweightGainNTQLD_Data(),Table_SourceData_PastureBeef_LiveweightGainNTQLD[[#Headers],[State]],0)</f>
        <v>0.31</v>
      </c>
      <c r="J211" s="35" cm="1">
        <f t="array" ref="J211">Common_InputFunctions.Utility_DisplayArrayInTable(SourceData_PastureBeef.SourceData_PastureBeef_LiveweightGainNTQLD_Data(),Table_SourceData_PastureBeef_LiveweightGainNTQLD[[#Headers],[State]],0)</f>
        <v>0.54</v>
      </c>
      <c r="K211" s="35" cm="1">
        <f t="array" ref="K211">Common_InputFunctions.Utility_DisplayArrayInTable(SourceData_PastureBeef.SourceData_PastureBeef_LiveweightGainNTQLD_Data(),Table_SourceData_PastureBeef_LiveweightGainNTQLD[[#Headers],[State]],0)</f>
        <v>0.53</v>
      </c>
      <c r="L211" s="35" cm="1">
        <f t="array" ref="L211">Common_InputFunctions.Utility_DisplayArrayInTable(SourceData_PastureBeef.SourceData_PastureBeef_LiveweightGainNTQLD_Data(),Table_SourceData_PastureBeef_LiveweightGainNTQLD[[#Headers],[State]],0)</f>
        <v>0.15</v>
      </c>
      <c r="M211" s="35" cm="1">
        <f t="array" ref="M211">Common_InputFunctions.Utility_DisplayArrayInTable(SourceData_PastureBeef.SourceData_PastureBeef_LiveweightGainNTQLD_Data(),Table_SourceData_PastureBeef_LiveweightGainNTQLD[[#Headers],[State]],0)</f>
        <v>0.28000000000000003</v>
      </c>
      <c r="N211" s="35" cm="1">
        <f t="array" ref="N211">Common_InputFunctions.Utility_DisplayArrayInTable(SourceData_PastureBeef.SourceData_PastureBeef_LiveweightGainNTQLD_Data(),Table_SourceData_PastureBeef_LiveweightGainNTQLD[[#Headers],[State]],0)</f>
        <v>0.56999999999999995</v>
      </c>
      <c r="O211" s="35" cm="1">
        <f t="array" ref="O211">Common_InputFunctions.Utility_DisplayArrayInTable(SourceData_PastureBeef.SourceData_PastureBeef_LiveweightGainNTQLD_Data(),Table_SourceData_PastureBeef_LiveweightGainNTQLD[[#Headers],[State]],0)</f>
        <v>0.42</v>
      </c>
      <c r="P211" s="35"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5" t="str" cm="1">
        <f t="array" ref="E212">Common_InputFunctions.Utility_DisplayArrayInTable(SourceData_PastureBeef.SourceData_PastureBeef_LiveweightGainNTQLD_Data(),Table_SourceData_PastureBeef_LiveweightGainNTQLD[[#Headers],[State]],0)</f>
        <v>Moderate/Low</v>
      </c>
      <c r="F212" s="35" t="str" cm="1">
        <f t="array" ref="F212">Common_InputFunctions.Utility_DisplayArrayInTable(SourceData_PastureBeef.SourceData_PastureBeef_LiveweightGainNTQLD_Data(),Table_SourceData_PastureBeef_LiveweightGainNTQLD[[#Headers],[State]],0)</f>
        <v>Autumn</v>
      </c>
      <c r="G212" s="35" cm="1">
        <f t="array" ref="G212">Common_InputFunctions.Utility_DisplayArrayInTable(SourceData_PastureBeef.SourceData_PastureBeef_LiveweightGainNTQLD_Data(),Table_SourceData_PastureBeef_LiveweightGainNTQLD[[#Headers],[State]],0)</f>
        <v>0.33</v>
      </c>
      <c r="H212" s="35" cm="1">
        <f t="array" ref="H212">Common_InputFunctions.Utility_DisplayArrayInTable(SourceData_PastureBeef.SourceData_PastureBeef_LiveweightGainNTQLD_Data(),Table_SourceData_PastureBeef_LiveweightGainNTQLD[[#Headers],[State]],0)</f>
        <v>0.13</v>
      </c>
      <c r="I212" s="35" cm="1">
        <f t="array" ref="I212">Common_InputFunctions.Utility_DisplayArrayInTable(SourceData_PastureBeef.SourceData_PastureBeef_LiveweightGainNTQLD_Data(),Table_SourceData_PastureBeef_LiveweightGainNTQLD[[#Headers],[State]],0)</f>
        <v>0.39</v>
      </c>
      <c r="J212" s="35" cm="1">
        <f t="array" ref="J212">Common_InputFunctions.Utility_DisplayArrayInTable(SourceData_PastureBeef.SourceData_PastureBeef_LiveweightGainNTQLD_Data(),Table_SourceData_PastureBeef_LiveweightGainNTQLD[[#Headers],[State]],0)</f>
        <v>0.36</v>
      </c>
      <c r="K212" s="35" cm="1">
        <f t="array" ref="K212">Common_InputFunctions.Utility_DisplayArrayInTable(SourceData_PastureBeef.SourceData_PastureBeef_LiveweightGainNTQLD_Data(),Table_SourceData_PastureBeef_LiveweightGainNTQLD[[#Headers],[State]],0)</f>
        <v>0.26</v>
      </c>
      <c r="L212" s="35" cm="1">
        <f t="array" ref="L212">Common_InputFunctions.Utility_DisplayArrayInTable(SourceData_PastureBeef.SourceData_PastureBeef_LiveweightGainNTQLD_Data(),Table_SourceData_PastureBeef_LiveweightGainNTQLD[[#Headers],[State]],0)</f>
        <v>0.11</v>
      </c>
      <c r="M212" s="35" cm="1">
        <f t="array" ref="M212">Common_InputFunctions.Utility_DisplayArrayInTable(SourceData_PastureBeef.SourceData_PastureBeef_LiveweightGainNTQLD_Data(),Table_SourceData_PastureBeef_LiveweightGainNTQLD[[#Headers],[State]],0)</f>
        <v>0.4</v>
      </c>
      <c r="N212" s="35" cm="1">
        <f t="array" ref="N212">Common_InputFunctions.Utility_DisplayArrayInTable(SourceData_PastureBeef.SourceData_PastureBeef_LiveweightGainNTQLD_Data(),Table_SourceData_PastureBeef_LiveweightGainNTQLD[[#Headers],[State]],0)</f>
        <v>0.44</v>
      </c>
      <c r="O212" s="35" cm="1">
        <f t="array" ref="O212">Common_InputFunctions.Utility_DisplayArrayInTable(SourceData_PastureBeef.SourceData_PastureBeef_LiveweightGainNTQLD_Data(),Table_SourceData_PastureBeef_LiveweightGainNTQLD[[#Headers],[State]],0)</f>
        <v>0.37</v>
      </c>
      <c r="P212" s="35"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5" t="str" cm="1">
        <f t="array" ref="E213">Common_InputFunctions.Utility_DisplayArrayInTable(SourceData_PastureBeef.SourceData_PastureBeef_LiveweightGainNTQLD_Data(),Table_SourceData_PastureBeef_LiveweightGainNTQLD[[#Headers],[State]],0)</f>
        <v>Moderate/Low</v>
      </c>
      <c r="F213" s="35" t="str" cm="1">
        <f t="array" ref="F213">Common_InputFunctions.Utility_DisplayArrayInTable(SourceData_PastureBeef.SourceData_PastureBeef_LiveweightGainNTQLD_Data(),Table_SourceData_PastureBeef_LiveweightGainNTQLD[[#Headers],[State]],0)</f>
        <v>Winter</v>
      </c>
      <c r="G213" s="35" cm="1">
        <f t="array" ref="G213">Common_InputFunctions.Utility_DisplayArrayInTable(SourceData_PastureBeef.SourceData_PastureBeef_LiveweightGainNTQLD_Data(),Table_SourceData_PastureBeef_LiveweightGainNTQLD[[#Headers],[State]],0)</f>
        <v>0.61</v>
      </c>
      <c r="H213" s="35" cm="1">
        <f t="array" ref="H213">Common_InputFunctions.Utility_DisplayArrayInTable(SourceData_PastureBeef.SourceData_PastureBeef_LiveweightGainNTQLD_Data(),Table_SourceData_PastureBeef_LiveweightGainNTQLD[[#Headers],[State]],0)</f>
        <v>-0.06</v>
      </c>
      <c r="I213" s="35" cm="1">
        <f t="array" ref="I213">Common_InputFunctions.Utility_DisplayArrayInTable(SourceData_PastureBeef.SourceData_PastureBeef_LiveweightGainNTQLD_Data(),Table_SourceData_PastureBeef_LiveweightGainNTQLD[[#Headers],[State]],0)</f>
        <v>0.21</v>
      </c>
      <c r="J213" s="35" cm="1">
        <f t="array" ref="J213">Common_InputFunctions.Utility_DisplayArrayInTable(SourceData_PastureBeef.SourceData_PastureBeef_LiveweightGainNTQLD_Data(),Table_SourceData_PastureBeef_LiveweightGainNTQLD[[#Headers],[State]],0)</f>
        <v>0.18</v>
      </c>
      <c r="K213" s="35" cm="1">
        <f t="array" ref="K213">Common_InputFunctions.Utility_DisplayArrayInTable(SourceData_PastureBeef.SourceData_PastureBeef_LiveweightGainNTQLD_Data(),Table_SourceData_PastureBeef_LiveweightGainNTQLD[[#Headers],[State]],0)</f>
        <v>0.12</v>
      </c>
      <c r="L213" s="35" cm="1">
        <f t="array" ref="L213">Common_InputFunctions.Utility_DisplayArrayInTable(SourceData_PastureBeef.SourceData_PastureBeef_LiveweightGainNTQLD_Data(),Table_SourceData_PastureBeef_LiveweightGainNTQLD[[#Headers],[State]],0)</f>
        <v>0.06</v>
      </c>
      <c r="M213" s="35" cm="1">
        <f t="array" ref="M213">Common_InputFunctions.Utility_DisplayArrayInTable(SourceData_PastureBeef.SourceData_PastureBeef_LiveweightGainNTQLD_Data(),Table_SourceData_PastureBeef_LiveweightGainNTQLD[[#Headers],[State]],0)</f>
        <v>0.28999999999999998</v>
      </c>
      <c r="N213" s="35" cm="1">
        <f t="array" ref="N213">Common_InputFunctions.Utility_DisplayArrayInTable(SourceData_PastureBeef.SourceData_PastureBeef_LiveweightGainNTQLD_Data(),Table_SourceData_PastureBeef_LiveweightGainNTQLD[[#Headers],[State]],0)</f>
        <v>0.41</v>
      </c>
      <c r="O213" s="35" cm="1">
        <f t="array" ref="O213">Common_InputFunctions.Utility_DisplayArrayInTable(SourceData_PastureBeef.SourceData_PastureBeef_LiveweightGainNTQLD_Data(),Table_SourceData_PastureBeef_LiveweightGainNTQLD[[#Headers],[State]],0)</f>
        <v>0.41</v>
      </c>
      <c r="P213" s="35"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5" t="str" cm="1">
        <f t="array" ref="E214">Common_InputFunctions.Utility_DisplayArrayInTable(SourceData_PastureBeef.SourceData_PastureBeef_LiveweightGainNTQLD_Data(),Table_SourceData_PastureBeef_LiveweightGainNTQLD[[#Headers],[State]],0)</f>
        <v>Low</v>
      </c>
      <c r="F214" s="35" t="str" cm="1">
        <f t="array" ref="F214">Common_InputFunctions.Utility_DisplayArrayInTable(SourceData_PastureBeef.SourceData_PastureBeef_LiveweightGainNTQLD_Data(),Table_SourceData_PastureBeef_LiveweightGainNTQLD[[#Headers],[State]],0)</f>
        <v>Spring</v>
      </c>
      <c r="G214" s="35" cm="1">
        <f t="array" ref="G214">Common_InputFunctions.Utility_DisplayArrayInTable(SourceData_PastureBeef.SourceData_PastureBeef_LiveweightGainNTQLD_Data(),Table_SourceData_PastureBeef_LiveweightGainNTQLD[[#Headers],[State]],0)</f>
        <v>-0.2</v>
      </c>
      <c r="H214" s="35" cm="1">
        <f t="array" ref="H214">Common_InputFunctions.Utility_DisplayArrayInTable(SourceData_PastureBeef.SourceData_PastureBeef_LiveweightGainNTQLD_Data(),Table_SourceData_PastureBeef_LiveweightGainNTQLD[[#Headers],[State]],0)</f>
        <v>0.02</v>
      </c>
      <c r="I214" s="35" cm="1">
        <f t="array" ref="I214">Common_InputFunctions.Utility_DisplayArrayInTable(SourceData_PastureBeef.SourceData_PastureBeef_LiveweightGainNTQLD_Data(),Table_SourceData_PastureBeef_LiveweightGainNTQLD[[#Headers],[State]],0)</f>
        <v>0.24</v>
      </c>
      <c r="J214" s="35" cm="1">
        <f t="array" ref="J214">Common_InputFunctions.Utility_DisplayArrayInTable(SourceData_PastureBeef.SourceData_PastureBeef_LiveweightGainNTQLD_Data(),Table_SourceData_PastureBeef_LiveweightGainNTQLD[[#Headers],[State]],0)</f>
        <v>0.3</v>
      </c>
      <c r="K214" s="35" cm="1">
        <f t="array" ref="K214">Common_InputFunctions.Utility_DisplayArrayInTable(SourceData_PastureBeef.SourceData_PastureBeef_LiveweightGainNTQLD_Data(),Table_SourceData_PastureBeef_LiveweightGainNTQLD[[#Headers],[State]],0)</f>
        <v>0.23</v>
      </c>
      <c r="L214" s="35" cm="1">
        <f t="array" ref="L214">Common_InputFunctions.Utility_DisplayArrayInTable(SourceData_PastureBeef.SourceData_PastureBeef_LiveweightGainNTQLD_Data(),Table_SourceData_PastureBeef_LiveweightGainNTQLD[[#Headers],[State]],0)</f>
        <v>-0.05</v>
      </c>
      <c r="M214" s="35" cm="1">
        <f t="array" ref="M214">Common_InputFunctions.Utility_DisplayArrayInTable(SourceData_PastureBeef.SourceData_PastureBeef_LiveweightGainNTQLD_Data(),Table_SourceData_PastureBeef_LiveweightGainNTQLD[[#Headers],[State]],0)</f>
        <v>0.34</v>
      </c>
      <c r="N214" s="35" cm="1">
        <f t="array" ref="N214">Common_InputFunctions.Utility_DisplayArrayInTable(SourceData_PastureBeef.SourceData_PastureBeef_LiveweightGainNTQLD_Data(),Table_SourceData_PastureBeef_LiveweightGainNTQLD[[#Headers],[State]],0)</f>
        <v>0.3</v>
      </c>
      <c r="O214" s="35" cm="1">
        <f t="array" ref="O214">Common_InputFunctions.Utility_DisplayArrayInTable(SourceData_PastureBeef.SourceData_PastureBeef_LiveweightGainNTQLD_Data(),Table_SourceData_PastureBeef_LiveweightGainNTQLD[[#Headers],[State]],0)</f>
        <v>0.56999999999999995</v>
      </c>
      <c r="P214" s="35"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5" t="str" cm="1">
        <f t="array" ref="E215">Common_InputFunctions.Utility_DisplayArrayInTable(SourceData_PastureBeef.SourceData_PastureBeef_LiveweightGainNTQLD_Data(),Table_SourceData_PastureBeef_LiveweightGainNTQLD[[#Headers],[State]],0)</f>
        <v>Low</v>
      </c>
      <c r="F215" s="35" t="str" cm="1">
        <f t="array" ref="F215">Common_InputFunctions.Utility_DisplayArrayInTable(SourceData_PastureBeef.SourceData_PastureBeef_LiveweightGainNTQLD_Data(),Table_SourceData_PastureBeef_LiveweightGainNTQLD[[#Headers],[State]],0)</f>
        <v>Summer</v>
      </c>
      <c r="G215" s="35" cm="1">
        <f t="array" ref="G215">Common_InputFunctions.Utility_DisplayArrayInTable(SourceData_PastureBeef.SourceData_PastureBeef_LiveweightGainNTQLD_Data(),Table_SourceData_PastureBeef_LiveweightGainNTQLD[[#Headers],[State]],0)</f>
        <v>0.62</v>
      </c>
      <c r="H215" s="35" cm="1">
        <f t="array" ref="H215">Common_InputFunctions.Utility_DisplayArrayInTable(SourceData_PastureBeef.SourceData_PastureBeef_LiveweightGainNTQLD_Data(),Table_SourceData_PastureBeef_LiveweightGainNTQLD[[#Headers],[State]],0)</f>
        <v>0.21</v>
      </c>
      <c r="I215" s="35" cm="1">
        <f t="array" ref="I215">Common_InputFunctions.Utility_DisplayArrayInTable(SourceData_PastureBeef.SourceData_PastureBeef_LiveweightGainNTQLD_Data(),Table_SourceData_PastureBeef_LiveweightGainNTQLD[[#Headers],[State]],0)</f>
        <v>0.25</v>
      </c>
      <c r="J215" s="35" cm="1">
        <f t="array" ref="J215">Common_InputFunctions.Utility_DisplayArrayInTable(SourceData_PastureBeef.SourceData_PastureBeef_LiveweightGainNTQLD_Data(),Table_SourceData_PastureBeef_LiveweightGainNTQLD[[#Headers],[State]],0)</f>
        <v>0.32</v>
      </c>
      <c r="K215" s="35" cm="1">
        <f t="array" ref="K215">Common_InputFunctions.Utility_DisplayArrayInTable(SourceData_PastureBeef.SourceData_PastureBeef_LiveweightGainNTQLD_Data(),Table_SourceData_PastureBeef_LiveweightGainNTQLD[[#Headers],[State]],0)</f>
        <v>0.47</v>
      </c>
      <c r="L215" s="35" cm="1">
        <f t="array" ref="L215">Common_InputFunctions.Utility_DisplayArrayInTable(SourceData_PastureBeef.SourceData_PastureBeef_LiveweightGainNTQLD_Data(),Table_SourceData_PastureBeef_LiveweightGainNTQLD[[#Headers],[State]],0)</f>
        <v>0.31</v>
      </c>
      <c r="M215" s="35" cm="1">
        <f t="array" ref="M215">Common_InputFunctions.Utility_DisplayArrayInTable(SourceData_PastureBeef.SourceData_PastureBeef_LiveweightGainNTQLD_Data(),Table_SourceData_PastureBeef_LiveweightGainNTQLD[[#Headers],[State]],0)</f>
        <v>0.14000000000000001</v>
      </c>
      <c r="N215" s="35" cm="1">
        <f t="array" ref="N215">Common_InputFunctions.Utility_DisplayArrayInTable(SourceData_PastureBeef.SourceData_PastureBeef_LiveweightGainNTQLD_Data(),Table_SourceData_PastureBeef_LiveweightGainNTQLD[[#Headers],[State]],0)</f>
        <v>0.4</v>
      </c>
      <c r="O215" s="35" cm="1">
        <f t="array" ref="O215">Common_InputFunctions.Utility_DisplayArrayInTable(SourceData_PastureBeef.SourceData_PastureBeef_LiveweightGainNTQLD_Data(),Table_SourceData_PastureBeef_LiveweightGainNTQLD[[#Headers],[State]],0)</f>
        <v>0.26</v>
      </c>
      <c r="P215" s="35"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5" t="str" cm="1">
        <f t="array" ref="E216">Common_InputFunctions.Utility_DisplayArrayInTable(SourceData_PastureBeef.SourceData_PastureBeef_LiveweightGainNTQLD_Data(),Table_SourceData_PastureBeef_LiveweightGainNTQLD[[#Headers],[State]],0)</f>
        <v>Low</v>
      </c>
      <c r="F216" s="35" t="str" cm="1">
        <f t="array" ref="F216">Common_InputFunctions.Utility_DisplayArrayInTable(SourceData_PastureBeef.SourceData_PastureBeef_LiveweightGainNTQLD_Data(),Table_SourceData_PastureBeef_LiveweightGainNTQLD[[#Headers],[State]],0)</f>
        <v>Autumn</v>
      </c>
      <c r="G216" s="35" cm="1">
        <f t="array" ref="G216">Common_InputFunctions.Utility_DisplayArrayInTable(SourceData_PastureBeef.SourceData_PastureBeef_LiveweightGainNTQLD_Data(),Table_SourceData_PastureBeef_LiveweightGainNTQLD[[#Headers],[State]],0)</f>
        <v>0.4</v>
      </c>
      <c r="H216" s="35" cm="1">
        <f t="array" ref="H216">Common_InputFunctions.Utility_DisplayArrayInTable(SourceData_PastureBeef.SourceData_PastureBeef_LiveweightGainNTQLD_Data(),Table_SourceData_PastureBeef_LiveweightGainNTQLD[[#Headers],[State]],0)</f>
        <v>0.13</v>
      </c>
      <c r="I216" s="35" cm="1">
        <f t="array" ref="I216">Common_InputFunctions.Utility_DisplayArrayInTable(SourceData_PastureBeef.SourceData_PastureBeef_LiveweightGainNTQLD_Data(),Table_SourceData_PastureBeef_LiveweightGainNTQLD[[#Headers],[State]],0)</f>
        <v>0.12</v>
      </c>
      <c r="J216" s="35" cm="1">
        <f t="array" ref="J216">Common_InputFunctions.Utility_DisplayArrayInTable(SourceData_PastureBeef.SourceData_PastureBeef_LiveweightGainNTQLD_Data(),Table_SourceData_PastureBeef_LiveweightGainNTQLD[[#Headers],[State]],0)</f>
        <v>0.27</v>
      </c>
      <c r="K216" s="35" cm="1">
        <f t="array" ref="K216">Common_InputFunctions.Utility_DisplayArrayInTable(SourceData_PastureBeef.SourceData_PastureBeef_LiveweightGainNTQLD_Data(),Table_SourceData_PastureBeef_LiveweightGainNTQLD[[#Headers],[State]],0)</f>
        <v>0.3</v>
      </c>
      <c r="L216" s="35" cm="1">
        <f t="array" ref="L216">Common_InputFunctions.Utility_DisplayArrayInTable(SourceData_PastureBeef.SourceData_PastureBeef_LiveweightGainNTQLD_Data(),Table_SourceData_PastureBeef_LiveweightGainNTQLD[[#Headers],[State]],0)</f>
        <v>0.08</v>
      </c>
      <c r="M216" s="35" cm="1">
        <f t="array" ref="M216">Common_InputFunctions.Utility_DisplayArrayInTable(SourceData_PastureBeef.SourceData_PastureBeef_LiveweightGainNTQLD_Data(),Table_SourceData_PastureBeef_LiveweightGainNTQLD[[#Headers],[State]],0)</f>
        <v>0.13</v>
      </c>
      <c r="N216" s="35" cm="1">
        <f t="array" ref="N216">Common_InputFunctions.Utility_DisplayArrayInTable(SourceData_PastureBeef.SourceData_PastureBeef_LiveweightGainNTQLD_Data(),Table_SourceData_PastureBeef_LiveweightGainNTQLD[[#Headers],[State]],0)</f>
        <v>0.24</v>
      </c>
      <c r="O216" s="35" cm="1">
        <f t="array" ref="O216">Common_InputFunctions.Utility_DisplayArrayInTable(SourceData_PastureBeef.SourceData_PastureBeef_LiveweightGainNTQLD_Data(),Table_SourceData_PastureBeef_LiveweightGainNTQLD[[#Headers],[State]],0)</f>
        <v>0.15</v>
      </c>
      <c r="P216" s="35"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5" t="str" cm="1">
        <f t="array" ref="E217">Common_InputFunctions.Utility_DisplayArrayInTable(SourceData_PastureBeef.SourceData_PastureBeef_LiveweightGainNTQLD_Data(),Table_SourceData_PastureBeef_LiveweightGainNTQLD[[#Headers],[State]],0)</f>
        <v>Low</v>
      </c>
      <c r="F217" s="35" t="str" cm="1">
        <f t="array" ref="F217">Common_InputFunctions.Utility_DisplayArrayInTable(SourceData_PastureBeef.SourceData_PastureBeef_LiveweightGainNTQLD_Data(),Table_SourceData_PastureBeef_LiveweightGainNTQLD[[#Headers],[State]],0)</f>
        <v>Winter</v>
      </c>
      <c r="G217" s="35" cm="1">
        <f t="array" ref="G217">Common_InputFunctions.Utility_DisplayArrayInTable(SourceData_PastureBeef.SourceData_PastureBeef_LiveweightGainNTQLD_Data(),Table_SourceData_PastureBeef_LiveweightGainNTQLD[[#Headers],[State]],0)</f>
        <v>0.08</v>
      </c>
      <c r="H217" s="35" cm="1">
        <f t="array" ref="H217">Common_InputFunctions.Utility_DisplayArrayInTable(SourceData_PastureBeef.SourceData_PastureBeef_LiveweightGainNTQLD_Data(),Table_SourceData_PastureBeef_LiveweightGainNTQLD[[#Headers],[State]],0)</f>
        <v>0.04</v>
      </c>
      <c r="I217" s="35" cm="1">
        <f t="array" ref="I217">Common_InputFunctions.Utility_DisplayArrayInTable(SourceData_PastureBeef.SourceData_PastureBeef_LiveweightGainNTQLD_Data(),Table_SourceData_PastureBeef_LiveweightGainNTQLD[[#Headers],[State]],0)</f>
        <v>0.06</v>
      </c>
      <c r="J217" s="35" cm="1">
        <f t="array" ref="J217">Common_InputFunctions.Utility_DisplayArrayInTable(SourceData_PastureBeef.SourceData_PastureBeef_LiveweightGainNTQLD_Data(),Table_SourceData_PastureBeef_LiveweightGainNTQLD[[#Headers],[State]],0)</f>
        <v>0.18</v>
      </c>
      <c r="K217" s="35" cm="1">
        <f t="array" ref="K217">Common_InputFunctions.Utility_DisplayArrayInTable(SourceData_PastureBeef.SourceData_PastureBeef_LiveweightGainNTQLD_Data(),Table_SourceData_PastureBeef_LiveweightGainNTQLD[[#Headers],[State]],0)</f>
        <v>0.11</v>
      </c>
      <c r="L217" s="35" cm="1">
        <f t="array" ref="L217">Common_InputFunctions.Utility_DisplayArrayInTable(SourceData_PastureBeef.SourceData_PastureBeef_LiveweightGainNTQLD_Data(),Table_SourceData_PastureBeef_LiveweightGainNTQLD[[#Headers],[State]],0)</f>
        <v>-7.0000000000000007E-2</v>
      </c>
      <c r="M217" s="35" cm="1">
        <f t="array" ref="M217">Common_InputFunctions.Utility_DisplayArrayInTable(SourceData_PastureBeef.SourceData_PastureBeef_LiveweightGainNTQLD_Data(),Table_SourceData_PastureBeef_LiveweightGainNTQLD[[#Headers],[State]],0)</f>
        <v>0.13</v>
      </c>
      <c r="N217" s="35" cm="1">
        <f t="array" ref="N217">Common_InputFunctions.Utility_DisplayArrayInTable(SourceData_PastureBeef.SourceData_PastureBeef_LiveweightGainNTQLD_Data(),Table_SourceData_PastureBeef_LiveweightGainNTQLD[[#Headers],[State]],0)</f>
        <v>0.16</v>
      </c>
      <c r="O217" s="35" cm="1">
        <f t="array" ref="O217">Common_InputFunctions.Utility_DisplayArrayInTable(SourceData_PastureBeef.SourceData_PastureBeef_LiveweightGainNTQLD_Data(),Table_SourceData_PastureBeef_LiveweightGainNTQLD[[#Headers],[State]],0)</f>
        <v>0.4</v>
      </c>
      <c r="P217" s="35"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162</v>
      </c>
      <c r="M220" s="1"/>
    </row>
    <row r="221" spans="4:16" x14ac:dyDescent="0.25">
      <c r="M221" s="1"/>
    </row>
    <row r="222" spans="4:16" x14ac:dyDescent="0.25">
      <c r="D222" s="35" t="s">
        <v>5</v>
      </c>
      <c r="E222" s="35" t="s">
        <v>144</v>
      </c>
      <c r="F222" s="35" t="s">
        <v>145</v>
      </c>
      <c r="G222" s="105" t="s">
        <v>103</v>
      </c>
      <c r="H222" s="105" t="s">
        <v>102</v>
      </c>
      <c r="I222" s="105" t="s">
        <v>126</v>
      </c>
      <c r="J222" s="105" t="s">
        <v>127</v>
      </c>
      <c r="K222" s="105" t="s">
        <v>128</v>
      </c>
      <c r="L222" s="105" t="s">
        <v>129</v>
      </c>
      <c r="M222" s="105" t="s">
        <v>130</v>
      </c>
      <c r="N222" s="105" t="s">
        <v>131</v>
      </c>
      <c r="O222" s="105" t="s">
        <v>132</v>
      </c>
      <c r="P222" s="105" t="s">
        <v>133</v>
      </c>
    </row>
    <row r="223" spans="4:16" x14ac:dyDescent="0.25">
      <c r="D223" s="35" t="s">
        <v>65</v>
      </c>
      <c r="E223" s="35" t="s">
        <v>163</v>
      </c>
      <c r="F223" s="35" t="str">
        <f>F155</f>
        <v>Spring</v>
      </c>
      <c r="G223" s="35">
        <f>G155</f>
        <v>0.5</v>
      </c>
      <c r="H223" s="35">
        <f t="shared" ref="H223:J223" si="83">H155</f>
        <v>0.2</v>
      </c>
      <c r="I223" s="35">
        <f t="shared" si="83"/>
        <v>0.5</v>
      </c>
      <c r="J223" s="35">
        <f t="shared" si="83"/>
        <v>0.4</v>
      </c>
      <c r="K223" s="35">
        <f>K155</f>
        <v>0.3</v>
      </c>
      <c r="L223" s="35">
        <f>K155</f>
        <v>0.3</v>
      </c>
      <c r="M223" s="35">
        <f>L155</f>
        <v>0.5</v>
      </c>
      <c r="N223" s="35">
        <f>M155</f>
        <v>0.4</v>
      </c>
      <c r="O223" s="35">
        <f>M155</f>
        <v>0.4</v>
      </c>
      <c r="P223" s="35">
        <f>M155</f>
        <v>0.4</v>
      </c>
    </row>
    <row r="224" spans="4:16" x14ac:dyDescent="0.25">
      <c r="D224" s="35" t="s">
        <v>65</v>
      </c>
      <c r="E224" s="35" t="s">
        <v>163</v>
      </c>
      <c r="F224" s="35" t="str">
        <f t="shared" ref="F224:K226" si="84">F156</f>
        <v>Summer</v>
      </c>
      <c r="G224" s="35">
        <f t="shared" si="84"/>
        <v>1</v>
      </c>
      <c r="H224" s="35">
        <f t="shared" si="84"/>
        <v>0.4</v>
      </c>
      <c r="I224" s="35">
        <f t="shared" si="84"/>
        <v>0.9</v>
      </c>
      <c r="J224" s="35">
        <f t="shared" si="84"/>
        <v>0.7</v>
      </c>
      <c r="K224" s="35">
        <f t="shared" si="84"/>
        <v>0.3</v>
      </c>
      <c r="L224" s="35">
        <f t="shared" ref="L224:M226" si="85">K156</f>
        <v>0.3</v>
      </c>
      <c r="M224" s="35">
        <f t="shared" si="85"/>
        <v>0.9</v>
      </c>
      <c r="N224" s="35">
        <f t="shared" ref="N224:N226" si="86">M156</f>
        <v>0.4</v>
      </c>
      <c r="O224" s="35">
        <f t="shared" ref="O224:O226" si="87">M156</f>
        <v>0.4</v>
      </c>
      <c r="P224" s="35">
        <f t="shared" ref="P224:P226" si="88">M156</f>
        <v>0.4</v>
      </c>
    </row>
    <row r="225" spans="4:16" x14ac:dyDescent="0.25">
      <c r="D225" s="35" t="s">
        <v>65</v>
      </c>
      <c r="E225" s="35" t="s">
        <v>163</v>
      </c>
      <c r="F225" s="35" t="str">
        <f t="shared" si="84"/>
        <v>Autumn</v>
      </c>
      <c r="G225" s="35">
        <f t="shared" si="84"/>
        <v>0.8</v>
      </c>
      <c r="H225" s="35">
        <f t="shared" si="84"/>
        <v>0.3</v>
      </c>
      <c r="I225" s="35">
        <f t="shared" si="84"/>
        <v>0.7</v>
      </c>
      <c r="J225" s="35">
        <f t="shared" si="84"/>
        <v>0.3</v>
      </c>
      <c r="K225" s="35">
        <f t="shared" si="84"/>
        <v>0.2</v>
      </c>
      <c r="L225" s="35">
        <f t="shared" si="85"/>
        <v>0.2</v>
      </c>
      <c r="M225" s="35">
        <f t="shared" si="85"/>
        <v>0.7</v>
      </c>
      <c r="N225" s="35">
        <f t="shared" si="86"/>
        <v>0.3</v>
      </c>
      <c r="O225" s="35">
        <f t="shared" si="87"/>
        <v>0.3</v>
      </c>
      <c r="P225" s="35">
        <f t="shared" si="88"/>
        <v>0.3</v>
      </c>
    </row>
    <row r="226" spans="4:16" x14ac:dyDescent="0.25">
      <c r="D226" s="35" t="s">
        <v>65</v>
      </c>
      <c r="E226" s="35" t="s">
        <v>163</v>
      </c>
      <c r="F226" s="35" t="str">
        <f t="shared" si="84"/>
        <v>Winter</v>
      </c>
      <c r="G226" s="35">
        <f t="shared" si="84"/>
        <v>0.4</v>
      </c>
      <c r="H226" s="35">
        <f t="shared" si="84"/>
        <v>0.1</v>
      </c>
      <c r="I226" s="35">
        <f t="shared" si="84"/>
        <v>0.4</v>
      </c>
      <c r="J226" s="35">
        <f t="shared" si="84"/>
        <v>0.2</v>
      </c>
      <c r="K226" s="35">
        <f t="shared" si="84"/>
        <v>0.1</v>
      </c>
      <c r="L226" s="35">
        <f t="shared" si="85"/>
        <v>0.1</v>
      </c>
      <c r="M226" s="35">
        <f t="shared" si="85"/>
        <v>0.4</v>
      </c>
      <c r="N226" s="35">
        <f t="shared" si="86"/>
        <v>0.1</v>
      </c>
      <c r="O226" s="35">
        <f t="shared" si="87"/>
        <v>0.1</v>
      </c>
      <c r="P226" s="35">
        <f t="shared" si="88"/>
        <v>0.1</v>
      </c>
    </row>
    <row r="227" spans="4:16" x14ac:dyDescent="0.25">
      <c r="D227" s="35" t="s">
        <v>66</v>
      </c>
      <c r="E227" s="35" t="s">
        <v>163</v>
      </c>
      <c r="F227" s="35" t="str">
        <f>F155</f>
        <v>Spring</v>
      </c>
      <c r="G227" s="35">
        <f>G155</f>
        <v>0.5</v>
      </c>
      <c r="H227" s="35">
        <f t="shared" ref="H227:J227" si="89">H155</f>
        <v>0.2</v>
      </c>
      <c r="I227" s="35">
        <f t="shared" si="89"/>
        <v>0.5</v>
      </c>
      <c r="J227" s="35">
        <f t="shared" si="89"/>
        <v>0.4</v>
      </c>
      <c r="K227" s="35">
        <f>K155</f>
        <v>0.3</v>
      </c>
      <c r="L227" s="35">
        <f>K155</f>
        <v>0.3</v>
      </c>
      <c r="M227" s="35">
        <f t="shared" ref="M227" si="90">L155</f>
        <v>0.5</v>
      </c>
      <c r="N227" s="35">
        <f>M155</f>
        <v>0.4</v>
      </c>
      <c r="O227" s="35">
        <f>M155</f>
        <v>0.4</v>
      </c>
      <c r="P227" s="35">
        <f>M155</f>
        <v>0.4</v>
      </c>
    </row>
    <row r="228" spans="4:16" x14ac:dyDescent="0.25">
      <c r="D228" s="35" t="s">
        <v>66</v>
      </c>
      <c r="E228" s="35" t="s">
        <v>163</v>
      </c>
      <c r="F228" s="35" t="str">
        <f t="shared" ref="F228:K230" si="91">F156</f>
        <v>Summer</v>
      </c>
      <c r="G228" s="35">
        <f t="shared" si="91"/>
        <v>1</v>
      </c>
      <c r="H228" s="35">
        <f t="shared" si="91"/>
        <v>0.4</v>
      </c>
      <c r="I228" s="35">
        <f t="shared" si="91"/>
        <v>0.9</v>
      </c>
      <c r="J228" s="35">
        <f t="shared" si="91"/>
        <v>0.7</v>
      </c>
      <c r="K228" s="35">
        <f t="shared" si="91"/>
        <v>0.3</v>
      </c>
      <c r="L228" s="35">
        <f t="shared" ref="L228:N228" si="92">K156</f>
        <v>0.3</v>
      </c>
      <c r="M228" s="35">
        <f t="shared" si="92"/>
        <v>0.9</v>
      </c>
      <c r="N228" s="35">
        <f t="shared" si="92"/>
        <v>0.4</v>
      </c>
      <c r="O228" s="35">
        <f t="shared" ref="O228:O230" si="93">M156</f>
        <v>0.4</v>
      </c>
      <c r="P228" s="35">
        <f t="shared" ref="P228:P230" si="94">M156</f>
        <v>0.4</v>
      </c>
    </row>
    <row r="229" spans="4:16" x14ac:dyDescent="0.25">
      <c r="D229" s="35" t="s">
        <v>66</v>
      </c>
      <c r="E229" s="35" t="s">
        <v>163</v>
      </c>
      <c r="F229" s="35" t="str">
        <f t="shared" si="91"/>
        <v>Autumn</v>
      </c>
      <c r="G229" s="35">
        <f t="shared" si="91"/>
        <v>0.8</v>
      </c>
      <c r="H229" s="35">
        <f t="shared" si="91"/>
        <v>0.3</v>
      </c>
      <c r="I229" s="35">
        <f t="shared" si="91"/>
        <v>0.7</v>
      </c>
      <c r="J229" s="35">
        <f t="shared" si="91"/>
        <v>0.3</v>
      </c>
      <c r="K229" s="35">
        <f t="shared" si="91"/>
        <v>0.2</v>
      </c>
      <c r="L229" s="35">
        <f t="shared" ref="L229:N229" si="95">K157</f>
        <v>0.2</v>
      </c>
      <c r="M229" s="35">
        <f t="shared" si="95"/>
        <v>0.7</v>
      </c>
      <c r="N229" s="35">
        <f t="shared" si="95"/>
        <v>0.3</v>
      </c>
      <c r="O229" s="35">
        <f t="shared" si="93"/>
        <v>0.3</v>
      </c>
      <c r="P229" s="35">
        <f t="shared" si="94"/>
        <v>0.3</v>
      </c>
    </row>
    <row r="230" spans="4:16" x14ac:dyDescent="0.25">
      <c r="D230" s="35" t="s">
        <v>66</v>
      </c>
      <c r="E230" s="35" t="s">
        <v>163</v>
      </c>
      <c r="F230" s="35" t="str">
        <f t="shared" si="91"/>
        <v>Winter</v>
      </c>
      <c r="G230" s="35">
        <f t="shared" si="91"/>
        <v>0.4</v>
      </c>
      <c r="H230" s="35">
        <f t="shared" si="91"/>
        <v>0.1</v>
      </c>
      <c r="I230" s="35">
        <f t="shared" si="91"/>
        <v>0.4</v>
      </c>
      <c r="J230" s="35">
        <f t="shared" si="91"/>
        <v>0.2</v>
      </c>
      <c r="K230" s="35">
        <f t="shared" si="91"/>
        <v>0.1</v>
      </c>
      <c r="L230" s="35">
        <f t="shared" ref="L230:N230" si="96">K158</f>
        <v>0.1</v>
      </c>
      <c r="M230" s="35">
        <f t="shared" si="96"/>
        <v>0.4</v>
      </c>
      <c r="N230" s="35">
        <f t="shared" si="96"/>
        <v>0.1</v>
      </c>
      <c r="O230" s="35">
        <f t="shared" si="93"/>
        <v>0.1</v>
      </c>
      <c r="P230" s="35">
        <f t="shared" si="94"/>
        <v>0.1</v>
      </c>
    </row>
    <row r="231" spans="4:16" x14ac:dyDescent="0.25">
      <c r="D231" s="35" t="s">
        <v>69</v>
      </c>
      <c r="E231" s="35" t="s">
        <v>163</v>
      </c>
      <c r="F231" s="35" t="str">
        <f>F159</f>
        <v>Spring</v>
      </c>
      <c r="G231" s="35">
        <f>G159</f>
        <v>0.99</v>
      </c>
      <c r="H231" s="35">
        <f t="shared" ref="H231:J231" si="97">H159</f>
        <v>1.1000000000000001</v>
      </c>
      <c r="I231" s="35">
        <f t="shared" si="97"/>
        <v>0.88</v>
      </c>
      <c r="J231" s="35">
        <f t="shared" si="97"/>
        <v>0.55000000000000004</v>
      </c>
      <c r="K231" s="35">
        <f>K159</f>
        <v>0.55000000000000004</v>
      </c>
      <c r="L231" s="35">
        <f>K159</f>
        <v>0.55000000000000004</v>
      </c>
      <c r="M231" s="35">
        <f t="shared" ref="M231" si="98">L159</f>
        <v>0.88</v>
      </c>
      <c r="N231" s="35">
        <f>M159</f>
        <v>0.22</v>
      </c>
      <c r="O231" s="35">
        <f>M159</f>
        <v>0.22</v>
      </c>
      <c r="P231" s="35">
        <f>M159</f>
        <v>0.22</v>
      </c>
    </row>
    <row r="232" spans="4:16" x14ac:dyDescent="0.25">
      <c r="D232" s="35" t="s">
        <v>69</v>
      </c>
      <c r="E232" s="35" t="s">
        <v>163</v>
      </c>
      <c r="F232" s="35" t="str">
        <f t="shared" ref="F232:K254" si="99">F160</f>
        <v>Summer</v>
      </c>
      <c r="G232" s="35">
        <f t="shared" si="99"/>
        <v>0.77</v>
      </c>
      <c r="H232" s="35">
        <f t="shared" si="99"/>
        <v>0</v>
      </c>
      <c r="I232" s="35">
        <f t="shared" si="99"/>
        <v>0.66</v>
      </c>
      <c r="J232" s="35">
        <f t="shared" si="99"/>
        <v>0.22</v>
      </c>
      <c r="K232" s="35">
        <f t="shared" si="99"/>
        <v>0</v>
      </c>
      <c r="L232" s="35">
        <f t="shared" ref="L232:N232" si="100">K160</f>
        <v>0</v>
      </c>
      <c r="M232" s="35">
        <f t="shared" si="100"/>
        <v>0.66</v>
      </c>
      <c r="N232" s="35">
        <f t="shared" si="100"/>
        <v>0</v>
      </c>
      <c r="O232" s="35">
        <f t="shared" ref="O232:O254" si="101">M160</f>
        <v>0</v>
      </c>
      <c r="P232" s="35">
        <f t="shared" ref="P232:P254" si="102">M160</f>
        <v>0</v>
      </c>
    </row>
    <row r="233" spans="4:16" x14ac:dyDescent="0.25">
      <c r="D233" s="35" t="s">
        <v>69</v>
      </c>
      <c r="E233" s="35" t="s">
        <v>163</v>
      </c>
      <c r="F233" s="35" t="str">
        <f t="shared" si="99"/>
        <v>Autumn</v>
      </c>
      <c r="G233" s="35">
        <f t="shared" si="99"/>
        <v>0.9</v>
      </c>
      <c r="H233" s="35">
        <f t="shared" si="99"/>
        <v>-1.1000000000000001</v>
      </c>
      <c r="I233" s="35">
        <f t="shared" si="99"/>
        <v>0.7</v>
      </c>
      <c r="J233" s="35">
        <f t="shared" si="99"/>
        <v>0.22</v>
      </c>
      <c r="K233" s="35">
        <f t="shared" si="99"/>
        <v>-0.55000000000000004</v>
      </c>
      <c r="L233" s="35">
        <f t="shared" ref="L233:N233" si="103">K161</f>
        <v>-0.55000000000000004</v>
      </c>
      <c r="M233" s="35">
        <f t="shared" si="103"/>
        <v>0.8</v>
      </c>
      <c r="N233" s="35">
        <f t="shared" si="103"/>
        <v>-0.22</v>
      </c>
      <c r="O233" s="35">
        <f t="shared" si="101"/>
        <v>-0.22</v>
      </c>
      <c r="P233" s="35">
        <f t="shared" si="102"/>
        <v>-0.22</v>
      </c>
    </row>
    <row r="234" spans="4:16" x14ac:dyDescent="0.25">
      <c r="D234" s="35" t="s">
        <v>69</v>
      </c>
      <c r="E234" s="35" t="s">
        <v>163</v>
      </c>
      <c r="F234" s="35" t="str">
        <f t="shared" si="99"/>
        <v>Winter</v>
      </c>
      <c r="G234" s="35">
        <f t="shared" si="99"/>
        <v>0.88</v>
      </c>
      <c r="H234" s="35">
        <f t="shared" si="99"/>
        <v>0</v>
      </c>
      <c r="I234" s="35">
        <f t="shared" si="99"/>
        <v>0.77</v>
      </c>
      <c r="J234" s="35">
        <f t="shared" si="99"/>
        <v>0.55000000000000004</v>
      </c>
      <c r="K234" s="35">
        <f t="shared" si="99"/>
        <v>0</v>
      </c>
      <c r="L234" s="35">
        <f t="shared" ref="L234:N234" si="104">K162</f>
        <v>0</v>
      </c>
      <c r="M234" s="35">
        <f t="shared" si="104"/>
        <v>0.82</v>
      </c>
      <c r="N234" s="35">
        <f t="shared" si="104"/>
        <v>0</v>
      </c>
      <c r="O234" s="35">
        <f t="shared" si="101"/>
        <v>0</v>
      </c>
      <c r="P234" s="35">
        <f t="shared" si="102"/>
        <v>0</v>
      </c>
    </row>
    <row r="235" spans="4:16" x14ac:dyDescent="0.25">
      <c r="D235" s="35" t="s">
        <v>70</v>
      </c>
      <c r="E235" s="35" t="s">
        <v>163</v>
      </c>
      <c r="F235" s="35" t="str">
        <f t="shared" si="99"/>
        <v>Spring</v>
      </c>
      <c r="G235" s="35">
        <f t="shared" si="99"/>
        <v>1</v>
      </c>
      <c r="H235" s="35">
        <f t="shared" si="99"/>
        <v>0.5</v>
      </c>
      <c r="I235" s="35">
        <f t="shared" si="99"/>
        <v>1</v>
      </c>
      <c r="J235" s="35">
        <f t="shared" si="99"/>
        <v>1</v>
      </c>
      <c r="K235" s="35">
        <f t="shared" si="99"/>
        <v>-0.44</v>
      </c>
      <c r="L235" s="35">
        <f t="shared" ref="L235:N235" si="105">K163</f>
        <v>-0.44</v>
      </c>
      <c r="M235" s="35">
        <f t="shared" si="105"/>
        <v>1</v>
      </c>
      <c r="N235" s="35">
        <f t="shared" si="105"/>
        <v>0.5</v>
      </c>
      <c r="O235" s="35">
        <f t="shared" si="101"/>
        <v>0.5</v>
      </c>
      <c r="P235" s="35">
        <f t="shared" si="102"/>
        <v>0.5</v>
      </c>
    </row>
    <row r="236" spans="4:16" x14ac:dyDescent="0.25">
      <c r="D236" s="35" t="s">
        <v>70</v>
      </c>
      <c r="E236" s="35" t="s">
        <v>163</v>
      </c>
      <c r="F236" s="35" t="str">
        <f t="shared" si="99"/>
        <v>Summer</v>
      </c>
      <c r="G236" s="35">
        <f t="shared" si="99"/>
        <v>0.82</v>
      </c>
      <c r="H236" s="35">
        <f t="shared" si="99"/>
        <v>0.55000000000000004</v>
      </c>
      <c r="I236" s="35">
        <f t="shared" si="99"/>
        <v>0.71</v>
      </c>
      <c r="J236" s="35">
        <f t="shared" si="99"/>
        <v>0.55000000000000004</v>
      </c>
      <c r="K236" s="35">
        <f t="shared" si="99"/>
        <v>0.99</v>
      </c>
      <c r="L236" s="35">
        <f t="shared" ref="L236:N236" si="106">K164</f>
        <v>0.99</v>
      </c>
      <c r="M236" s="35">
        <f t="shared" si="106"/>
        <v>0.77</v>
      </c>
      <c r="N236" s="35">
        <f t="shared" si="106"/>
        <v>0.5</v>
      </c>
      <c r="O236" s="35">
        <f t="shared" si="101"/>
        <v>0.5</v>
      </c>
      <c r="P236" s="35">
        <f t="shared" si="102"/>
        <v>0.5</v>
      </c>
    </row>
    <row r="237" spans="4:16" x14ac:dyDescent="0.25">
      <c r="D237" s="35" t="s">
        <v>70</v>
      </c>
      <c r="E237" s="35" t="s">
        <v>163</v>
      </c>
      <c r="F237" s="35" t="str">
        <f t="shared" si="99"/>
        <v>Autumn</v>
      </c>
      <c r="G237" s="35">
        <f t="shared" si="99"/>
        <v>0.77</v>
      </c>
      <c r="H237" s="35">
        <f t="shared" si="99"/>
        <v>0.5</v>
      </c>
      <c r="I237" s="35">
        <f t="shared" si="99"/>
        <v>0.55000000000000004</v>
      </c>
      <c r="J237" s="35">
        <f t="shared" si="99"/>
        <v>0.11</v>
      </c>
      <c r="K237" s="35">
        <f t="shared" si="99"/>
        <v>-0.33</v>
      </c>
      <c r="L237" s="35">
        <f t="shared" ref="L237:N237" si="107">K165</f>
        <v>-0.33</v>
      </c>
      <c r="M237" s="35">
        <f t="shared" si="107"/>
        <v>0.6</v>
      </c>
      <c r="N237" s="35">
        <f t="shared" si="107"/>
        <v>0.33</v>
      </c>
      <c r="O237" s="35">
        <f t="shared" si="101"/>
        <v>0.33</v>
      </c>
      <c r="P237" s="35">
        <f t="shared" si="102"/>
        <v>0.33</v>
      </c>
    </row>
    <row r="238" spans="4:16" x14ac:dyDescent="0.25">
      <c r="D238" s="35" t="s">
        <v>70</v>
      </c>
      <c r="E238" s="35" t="s">
        <v>163</v>
      </c>
      <c r="F238" s="35" t="str">
        <f t="shared" si="99"/>
        <v>Winter</v>
      </c>
      <c r="G238" s="35">
        <f t="shared" si="99"/>
        <v>0.11</v>
      </c>
      <c r="H238" s="35">
        <f t="shared" si="99"/>
        <v>-0.27</v>
      </c>
      <c r="I238" s="35">
        <f t="shared" si="99"/>
        <v>0.11</v>
      </c>
      <c r="J238" s="35">
        <f t="shared" si="99"/>
        <v>0.22</v>
      </c>
      <c r="K238" s="35">
        <f t="shared" si="99"/>
        <v>-0.44</v>
      </c>
      <c r="L238" s="35">
        <f t="shared" ref="L238:N238" si="108">K166</f>
        <v>-0.44</v>
      </c>
      <c r="M238" s="35">
        <f t="shared" si="108"/>
        <v>0.16</v>
      </c>
      <c r="N238" s="35">
        <f t="shared" si="108"/>
        <v>-0.22</v>
      </c>
      <c r="O238" s="35">
        <f t="shared" si="101"/>
        <v>-0.22</v>
      </c>
      <c r="P238" s="35">
        <f t="shared" si="102"/>
        <v>-0.22</v>
      </c>
    </row>
    <row r="239" spans="4:16" x14ac:dyDescent="0.25">
      <c r="D239" s="35" t="s">
        <v>71</v>
      </c>
      <c r="E239" s="35" t="s">
        <v>163</v>
      </c>
      <c r="F239" s="35" t="str">
        <f t="shared" si="99"/>
        <v>Spring</v>
      </c>
      <c r="G239" s="35">
        <f t="shared" si="99"/>
        <v>1.1000000000000001</v>
      </c>
      <c r="H239" s="35">
        <f t="shared" si="99"/>
        <v>1.1000000000000001</v>
      </c>
      <c r="I239" s="35">
        <f t="shared" si="99"/>
        <v>1.1000000000000001</v>
      </c>
      <c r="J239" s="35">
        <f t="shared" si="99"/>
        <v>0.99</v>
      </c>
      <c r="K239" s="35">
        <f t="shared" si="99"/>
        <v>0.99</v>
      </c>
      <c r="L239" s="35">
        <f t="shared" ref="L239:N239" si="109">K167</f>
        <v>0.99</v>
      </c>
      <c r="M239" s="35">
        <f t="shared" si="109"/>
        <v>1.1000000000000001</v>
      </c>
      <c r="N239" s="35">
        <f t="shared" si="109"/>
        <v>0.77</v>
      </c>
      <c r="O239" s="35">
        <f t="shared" si="101"/>
        <v>0.77</v>
      </c>
      <c r="P239" s="35">
        <f t="shared" si="102"/>
        <v>0.77</v>
      </c>
    </row>
    <row r="240" spans="4:16" x14ac:dyDescent="0.25">
      <c r="D240" s="35" t="s">
        <v>71</v>
      </c>
      <c r="E240" s="35" t="s">
        <v>163</v>
      </c>
      <c r="F240" s="35" t="str">
        <f t="shared" si="99"/>
        <v>Summer</v>
      </c>
      <c r="G240" s="35">
        <f t="shared" si="99"/>
        <v>0.33</v>
      </c>
      <c r="H240" s="35">
        <f t="shared" si="99"/>
        <v>0.33</v>
      </c>
      <c r="I240" s="35">
        <f t="shared" si="99"/>
        <v>0.22</v>
      </c>
      <c r="J240" s="35">
        <f t="shared" si="99"/>
        <v>0.33</v>
      </c>
      <c r="K240" s="35">
        <f t="shared" si="99"/>
        <v>-0.1</v>
      </c>
      <c r="L240" s="35">
        <f t="shared" ref="L240:N240" si="110">K168</f>
        <v>-0.1</v>
      </c>
      <c r="M240" s="35">
        <f t="shared" si="110"/>
        <v>0.33</v>
      </c>
      <c r="N240" s="35">
        <f t="shared" si="110"/>
        <v>0.11</v>
      </c>
      <c r="O240" s="35">
        <f t="shared" si="101"/>
        <v>0.11</v>
      </c>
      <c r="P240" s="35">
        <f t="shared" si="102"/>
        <v>0.11</v>
      </c>
    </row>
    <row r="241" spans="4:16" x14ac:dyDescent="0.25">
      <c r="D241" s="35" t="s">
        <v>71</v>
      </c>
      <c r="E241" s="35" t="s">
        <v>163</v>
      </c>
      <c r="F241" s="35" t="str">
        <f t="shared" si="99"/>
        <v>Autumn</v>
      </c>
      <c r="G241" s="35">
        <f t="shared" si="99"/>
        <v>0.5</v>
      </c>
      <c r="H241" s="35">
        <f t="shared" si="99"/>
        <v>0.2</v>
      </c>
      <c r="I241" s="35">
        <f t="shared" si="99"/>
        <v>0.55000000000000004</v>
      </c>
      <c r="J241" s="35">
        <f t="shared" si="99"/>
        <v>0.44</v>
      </c>
      <c r="K241" s="35">
        <f t="shared" si="99"/>
        <v>0.2</v>
      </c>
      <c r="L241" s="35">
        <f t="shared" ref="L241:N241" si="111">K169</f>
        <v>0.2</v>
      </c>
      <c r="M241" s="35">
        <f t="shared" si="111"/>
        <v>0.55000000000000004</v>
      </c>
      <c r="N241" s="35">
        <f t="shared" si="111"/>
        <v>0.2</v>
      </c>
      <c r="O241" s="35">
        <f t="shared" si="101"/>
        <v>0.2</v>
      </c>
      <c r="P241" s="35">
        <f t="shared" si="102"/>
        <v>0.2</v>
      </c>
    </row>
    <row r="242" spans="4:16" x14ac:dyDescent="0.25">
      <c r="D242" s="35" t="s">
        <v>71</v>
      </c>
      <c r="E242" s="35" t="s">
        <v>163</v>
      </c>
      <c r="F242" s="35" t="str">
        <f t="shared" si="99"/>
        <v>Winter</v>
      </c>
      <c r="G242" s="35">
        <f t="shared" si="99"/>
        <v>0.55000000000000004</v>
      </c>
      <c r="H242" s="35">
        <f t="shared" si="99"/>
        <v>0.22</v>
      </c>
      <c r="I242" s="35">
        <f t="shared" si="99"/>
        <v>0.49</v>
      </c>
      <c r="J242" s="35">
        <f t="shared" si="99"/>
        <v>0.22</v>
      </c>
      <c r="K242" s="35">
        <f t="shared" si="99"/>
        <v>0.22</v>
      </c>
      <c r="L242" s="35">
        <f t="shared" ref="L242:N242" si="112">K170</f>
        <v>0.22</v>
      </c>
      <c r="M242" s="35">
        <f t="shared" si="112"/>
        <v>0.49</v>
      </c>
      <c r="N242" s="35">
        <f t="shared" si="112"/>
        <v>0.33</v>
      </c>
      <c r="O242" s="35">
        <f t="shared" si="101"/>
        <v>0.33</v>
      </c>
      <c r="P242" s="35">
        <f t="shared" si="102"/>
        <v>0.33</v>
      </c>
    </row>
    <row r="243" spans="4:16" x14ac:dyDescent="0.25">
      <c r="D243" s="35" t="s">
        <v>72</v>
      </c>
      <c r="E243" s="35" t="str">
        <f>E171</f>
        <v>South West</v>
      </c>
      <c r="F243" s="35" t="str">
        <f t="shared" si="99"/>
        <v>Spring</v>
      </c>
      <c r="G243" s="35">
        <f t="shared" si="99"/>
        <v>1.64</v>
      </c>
      <c r="H243" s="35">
        <f t="shared" si="99"/>
        <v>1.1000000000000001</v>
      </c>
      <c r="I243" s="35">
        <f t="shared" si="99"/>
        <v>1.21</v>
      </c>
      <c r="J243" s="35">
        <f t="shared" si="99"/>
        <v>0.99</v>
      </c>
      <c r="K243" s="35">
        <f t="shared" si="99"/>
        <v>0.66</v>
      </c>
      <c r="L243" s="35">
        <f t="shared" ref="L243:N243" si="113">K171</f>
        <v>0.66</v>
      </c>
      <c r="M243" s="35">
        <f t="shared" si="113"/>
        <v>1.42</v>
      </c>
      <c r="N243" s="35">
        <f t="shared" si="113"/>
        <v>1.1000000000000001</v>
      </c>
      <c r="O243" s="35">
        <f t="shared" si="101"/>
        <v>1.1000000000000001</v>
      </c>
      <c r="P243" s="35">
        <f t="shared" si="102"/>
        <v>1.1000000000000001</v>
      </c>
    </row>
    <row r="244" spans="4:16" x14ac:dyDescent="0.25">
      <c r="D244" s="35" t="s">
        <v>72</v>
      </c>
      <c r="E244" s="35" t="str">
        <f t="shared" ref="E244:E254" si="114">E172</f>
        <v>South West</v>
      </c>
      <c r="F244" s="35" t="str">
        <f t="shared" si="99"/>
        <v>Summer</v>
      </c>
      <c r="G244" s="35">
        <f t="shared" si="99"/>
        <v>0.44</v>
      </c>
      <c r="H244" s="35">
        <f t="shared" si="99"/>
        <v>-0.22</v>
      </c>
      <c r="I244" s="35">
        <f t="shared" si="99"/>
        <v>0.44</v>
      </c>
      <c r="J244" s="35">
        <f t="shared" si="99"/>
        <v>0.33</v>
      </c>
      <c r="K244" s="35">
        <f t="shared" si="99"/>
        <v>-0.22</v>
      </c>
      <c r="L244" s="35">
        <f t="shared" ref="L244:N244" si="115">K172</f>
        <v>-0.22</v>
      </c>
      <c r="M244" s="35">
        <f t="shared" si="115"/>
        <v>0.44</v>
      </c>
      <c r="N244" s="35">
        <f t="shared" si="115"/>
        <v>-0.11</v>
      </c>
      <c r="O244" s="35">
        <f t="shared" si="101"/>
        <v>-0.11</v>
      </c>
      <c r="P244" s="35">
        <f t="shared" si="102"/>
        <v>-0.11</v>
      </c>
    </row>
    <row r="245" spans="4:16" x14ac:dyDescent="0.25">
      <c r="D245" s="35" t="s">
        <v>72</v>
      </c>
      <c r="E245" s="35" t="str">
        <f t="shared" si="114"/>
        <v>South West</v>
      </c>
      <c r="F245" s="35" t="str">
        <f t="shared" si="99"/>
        <v>Autumn</v>
      </c>
      <c r="G245" s="35">
        <f t="shared" si="99"/>
        <v>0.6</v>
      </c>
      <c r="H245" s="35">
        <f t="shared" si="99"/>
        <v>0</v>
      </c>
      <c r="I245" s="35">
        <f t="shared" si="99"/>
        <v>0.6</v>
      </c>
      <c r="J245" s="35">
        <f t="shared" si="99"/>
        <v>0.22</v>
      </c>
      <c r="K245" s="35">
        <f t="shared" si="99"/>
        <v>-0.55000000000000004</v>
      </c>
      <c r="L245" s="35">
        <f t="shared" ref="L245:N245" si="116">K173</f>
        <v>-0.55000000000000004</v>
      </c>
      <c r="M245" s="35">
        <f t="shared" si="116"/>
        <v>0.6</v>
      </c>
      <c r="N245" s="35">
        <f t="shared" si="116"/>
        <v>0</v>
      </c>
      <c r="O245" s="35">
        <f t="shared" si="101"/>
        <v>0</v>
      </c>
      <c r="P245" s="35">
        <f t="shared" si="102"/>
        <v>0</v>
      </c>
    </row>
    <row r="246" spans="4:16" x14ac:dyDescent="0.25">
      <c r="D246" s="35" t="s">
        <v>72</v>
      </c>
      <c r="E246" s="35" t="str">
        <f t="shared" si="114"/>
        <v>South West</v>
      </c>
      <c r="F246" s="35" t="str">
        <f t="shared" si="99"/>
        <v>Winter</v>
      </c>
      <c r="G246" s="35">
        <f t="shared" si="99"/>
        <v>0.99</v>
      </c>
      <c r="H246" s="35">
        <f t="shared" si="99"/>
        <v>0.22</v>
      </c>
      <c r="I246" s="35">
        <f t="shared" si="99"/>
        <v>0.77</v>
      </c>
      <c r="J246" s="35">
        <f t="shared" si="99"/>
        <v>0.11</v>
      </c>
      <c r="K246" s="35">
        <f t="shared" si="99"/>
        <v>0.11</v>
      </c>
      <c r="L246" s="35">
        <f t="shared" ref="L246:N246" si="117">K174</f>
        <v>0.11</v>
      </c>
      <c r="M246" s="35">
        <f t="shared" si="117"/>
        <v>0.77</v>
      </c>
      <c r="N246" s="35">
        <f t="shared" si="117"/>
        <v>0.44</v>
      </c>
      <c r="O246" s="35">
        <f t="shared" si="101"/>
        <v>0.44</v>
      </c>
      <c r="P246" s="35">
        <f t="shared" si="102"/>
        <v>0.44</v>
      </c>
    </row>
    <row r="247" spans="4:16" x14ac:dyDescent="0.25">
      <c r="D247" s="35" t="s">
        <v>72</v>
      </c>
      <c r="E247" s="35" t="str">
        <f t="shared" si="114"/>
        <v>Pilbara</v>
      </c>
      <c r="F247" s="35" t="str">
        <f t="shared" si="99"/>
        <v>Spring</v>
      </c>
      <c r="G247" s="35">
        <f t="shared" si="99"/>
        <v>0.7</v>
      </c>
      <c r="H247" s="35">
        <f t="shared" si="99"/>
        <v>-0.55000000000000004</v>
      </c>
      <c r="I247" s="35">
        <f t="shared" si="99"/>
        <v>0.7</v>
      </c>
      <c r="J247" s="35">
        <f t="shared" si="99"/>
        <v>0.22</v>
      </c>
      <c r="K247" s="35">
        <f t="shared" si="99"/>
        <v>-0.22</v>
      </c>
      <c r="L247" s="35">
        <f t="shared" ref="L247:N247" si="118">K175</f>
        <v>-0.22</v>
      </c>
      <c r="M247" s="35">
        <f t="shared" si="118"/>
        <v>0.7</v>
      </c>
      <c r="N247" s="35">
        <f t="shared" si="118"/>
        <v>-0.22</v>
      </c>
      <c r="O247" s="35">
        <f t="shared" si="101"/>
        <v>-0.22</v>
      </c>
      <c r="P247" s="35">
        <f t="shared" si="102"/>
        <v>-0.22</v>
      </c>
    </row>
    <row r="248" spans="4:16" x14ac:dyDescent="0.25">
      <c r="D248" s="35" t="s">
        <v>72</v>
      </c>
      <c r="E248" s="35" t="str">
        <f t="shared" si="114"/>
        <v>Pilbara</v>
      </c>
      <c r="F248" s="35" t="str">
        <f t="shared" si="99"/>
        <v>Summer</v>
      </c>
      <c r="G248" s="35">
        <f t="shared" si="99"/>
        <v>0.77</v>
      </c>
      <c r="H248" s="35">
        <f t="shared" si="99"/>
        <v>0.55000000000000004</v>
      </c>
      <c r="I248" s="35">
        <f t="shared" si="99"/>
        <v>0.77</v>
      </c>
      <c r="J248" s="35">
        <f t="shared" si="99"/>
        <v>0.66</v>
      </c>
      <c r="K248" s="35">
        <f t="shared" si="99"/>
        <v>0.55000000000000004</v>
      </c>
      <c r="L248" s="35">
        <f t="shared" ref="L248:N248" si="119">K176</f>
        <v>0.55000000000000004</v>
      </c>
      <c r="M248" s="35">
        <f t="shared" si="119"/>
        <v>0.77</v>
      </c>
      <c r="N248" s="35">
        <f t="shared" si="119"/>
        <v>0.33</v>
      </c>
      <c r="O248" s="35">
        <f t="shared" si="101"/>
        <v>0.33</v>
      </c>
      <c r="P248" s="35">
        <f t="shared" si="102"/>
        <v>0.33</v>
      </c>
    </row>
    <row r="249" spans="4:16" x14ac:dyDescent="0.25">
      <c r="D249" s="35" t="s">
        <v>72</v>
      </c>
      <c r="E249" s="35" t="str">
        <f t="shared" si="114"/>
        <v>Pilbara</v>
      </c>
      <c r="F249" s="35" t="str">
        <f t="shared" si="99"/>
        <v>Autumn</v>
      </c>
      <c r="G249" s="35">
        <f t="shared" si="99"/>
        <v>0.88</v>
      </c>
      <c r="H249" s="35">
        <f t="shared" si="99"/>
        <v>0.55000000000000004</v>
      </c>
      <c r="I249" s="35">
        <f t="shared" si="99"/>
        <v>0.88</v>
      </c>
      <c r="J249" s="35">
        <f t="shared" si="99"/>
        <v>0.22</v>
      </c>
      <c r="K249" s="35">
        <f t="shared" si="99"/>
        <v>0.22</v>
      </c>
      <c r="L249" s="35">
        <f t="shared" ref="L249:N249" si="120">K177</f>
        <v>0.22</v>
      </c>
      <c r="M249" s="35">
        <f t="shared" si="120"/>
        <v>0.88</v>
      </c>
      <c r="N249" s="35">
        <f t="shared" si="120"/>
        <v>0.22</v>
      </c>
      <c r="O249" s="35">
        <f t="shared" si="101"/>
        <v>0.22</v>
      </c>
      <c r="P249" s="35">
        <f t="shared" si="102"/>
        <v>0.22</v>
      </c>
    </row>
    <row r="250" spans="4:16" x14ac:dyDescent="0.25">
      <c r="D250" s="35" t="s">
        <v>72</v>
      </c>
      <c r="E250" s="35" t="str">
        <f t="shared" si="114"/>
        <v>Pilbara</v>
      </c>
      <c r="F250" s="35" t="str">
        <f t="shared" si="99"/>
        <v>Winter</v>
      </c>
      <c r="G250" s="35">
        <f t="shared" si="99"/>
        <v>0.22</v>
      </c>
      <c r="H250" s="35">
        <f t="shared" si="99"/>
        <v>-0.55000000000000004</v>
      </c>
      <c r="I250" s="35">
        <f t="shared" si="99"/>
        <v>0.22</v>
      </c>
      <c r="J250" s="35">
        <f t="shared" si="99"/>
        <v>0.11</v>
      </c>
      <c r="K250" s="35">
        <f t="shared" si="99"/>
        <v>-0.22</v>
      </c>
      <c r="L250" s="35">
        <f t="shared" ref="L250:N250" si="121">K178</f>
        <v>-0.22</v>
      </c>
      <c r="M250" s="35">
        <f t="shared" si="121"/>
        <v>0.22</v>
      </c>
      <c r="N250" s="35">
        <f t="shared" si="121"/>
        <v>-0.33</v>
      </c>
      <c r="O250" s="35">
        <f t="shared" si="101"/>
        <v>-0.33</v>
      </c>
      <c r="P250" s="35">
        <f t="shared" si="102"/>
        <v>-0.33</v>
      </c>
    </row>
    <row r="251" spans="4:16" x14ac:dyDescent="0.25">
      <c r="D251" s="35" t="s">
        <v>72</v>
      </c>
      <c r="E251" s="35" t="str">
        <f t="shared" si="114"/>
        <v>Kimberley</v>
      </c>
      <c r="F251" s="35" t="str">
        <f t="shared" si="99"/>
        <v>Spring</v>
      </c>
      <c r="G251" s="35">
        <f t="shared" si="99"/>
        <v>0.22</v>
      </c>
      <c r="H251" s="35">
        <f t="shared" si="99"/>
        <v>-0.55000000000000004</v>
      </c>
      <c r="I251" s="35">
        <f t="shared" si="99"/>
        <v>0.33</v>
      </c>
      <c r="J251" s="35">
        <f t="shared" si="99"/>
        <v>0.22</v>
      </c>
      <c r="K251" s="35">
        <f t="shared" si="99"/>
        <v>-0.33</v>
      </c>
      <c r="L251" s="35">
        <f t="shared" ref="L251:N251" si="122">K179</f>
        <v>-0.33</v>
      </c>
      <c r="M251" s="35">
        <f t="shared" si="122"/>
        <v>0.22</v>
      </c>
      <c r="N251" s="35">
        <f t="shared" si="122"/>
        <v>-0.55000000000000004</v>
      </c>
      <c r="O251" s="35">
        <f t="shared" si="101"/>
        <v>-0.55000000000000004</v>
      </c>
      <c r="P251" s="35">
        <f t="shared" si="102"/>
        <v>-0.55000000000000004</v>
      </c>
    </row>
    <row r="252" spans="4:16" x14ac:dyDescent="0.25">
      <c r="D252" s="35" t="s">
        <v>72</v>
      </c>
      <c r="E252" s="35" t="str">
        <f t="shared" si="114"/>
        <v>Kimberley</v>
      </c>
      <c r="F252" s="35" t="str">
        <f t="shared" si="99"/>
        <v>Summer</v>
      </c>
      <c r="G252" s="35">
        <f t="shared" si="99"/>
        <v>0.8</v>
      </c>
      <c r="H252" s="35">
        <f t="shared" si="99"/>
        <v>0.55000000000000004</v>
      </c>
      <c r="I252" s="35">
        <f t="shared" si="99"/>
        <v>0.7</v>
      </c>
      <c r="J252" s="35">
        <f t="shared" si="99"/>
        <v>0.44</v>
      </c>
      <c r="K252" s="35">
        <f t="shared" si="99"/>
        <v>0.66</v>
      </c>
      <c r="L252" s="35">
        <f t="shared" ref="L252:N252" si="123">K180</f>
        <v>0.66</v>
      </c>
      <c r="M252" s="35">
        <f t="shared" si="123"/>
        <v>0.8</v>
      </c>
      <c r="N252" s="35">
        <f t="shared" si="123"/>
        <v>0.55000000000000004</v>
      </c>
      <c r="O252" s="35">
        <f t="shared" si="101"/>
        <v>0.55000000000000004</v>
      </c>
      <c r="P252" s="35">
        <f t="shared" si="102"/>
        <v>0.55000000000000004</v>
      </c>
    </row>
    <row r="253" spans="4:16" x14ac:dyDescent="0.25">
      <c r="D253" s="35" t="s">
        <v>72</v>
      </c>
      <c r="E253" s="35" t="str">
        <f t="shared" si="114"/>
        <v>Kimberley</v>
      </c>
      <c r="F253" s="35" t="str">
        <f t="shared" si="99"/>
        <v>Autumn</v>
      </c>
      <c r="G253" s="35">
        <f t="shared" si="99"/>
        <v>0.66</v>
      </c>
      <c r="H253" s="35">
        <f t="shared" si="99"/>
        <v>0.55000000000000004</v>
      </c>
      <c r="I253" s="35">
        <f t="shared" si="99"/>
        <v>0.55000000000000004</v>
      </c>
      <c r="J253" s="35">
        <f t="shared" si="99"/>
        <v>0.55000000000000004</v>
      </c>
      <c r="K253" s="35">
        <f t="shared" si="99"/>
        <v>0.11</v>
      </c>
      <c r="L253" s="35">
        <f t="shared" ref="L253:N253" si="124">K181</f>
        <v>0.11</v>
      </c>
      <c r="M253" s="35">
        <f t="shared" si="124"/>
        <v>0.66</v>
      </c>
      <c r="N253" s="35">
        <f t="shared" si="124"/>
        <v>0.55000000000000004</v>
      </c>
      <c r="O253" s="35">
        <f t="shared" si="101"/>
        <v>0.55000000000000004</v>
      </c>
      <c r="P253" s="35">
        <f t="shared" si="102"/>
        <v>0.55000000000000004</v>
      </c>
    </row>
    <row r="254" spans="4:16" x14ac:dyDescent="0.25">
      <c r="D254" s="35" t="s">
        <v>72</v>
      </c>
      <c r="E254" s="35" t="str">
        <f t="shared" si="114"/>
        <v>Kimberley</v>
      </c>
      <c r="F254" s="35" t="str">
        <f t="shared" si="99"/>
        <v>Winter</v>
      </c>
      <c r="G254" s="35">
        <f t="shared" si="99"/>
        <v>0.33</v>
      </c>
      <c r="H254" s="35">
        <f t="shared" si="99"/>
        <v>-0.55000000000000004</v>
      </c>
      <c r="I254" s="35">
        <f t="shared" si="99"/>
        <v>0.11</v>
      </c>
      <c r="J254" s="35">
        <f t="shared" si="99"/>
        <v>0.11</v>
      </c>
      <c r="K254" s="35">
        <f t="shared" si="99"/>
        <v>-0.44</v>
      </c>
      <c r="L254" s="35">
        <f t="shared" ref="L254:N254" si="125">K182</f>
        <v>-0.44</v>
      </c>
      <c r="M254" s="35">
        <f t="shared" si="125"/>
        <v>0.33</v>
      </c>
      <c r="N254" s="35">
        <f t="shared" si="125"/>
        <v>-0.55000000000000004</v>
      </c>
      <c r="O254" s="35">
        <f t="shared" si="101"/>
        <v>-0.55000000000000004</v>
      </c>
      <c r="P254" s="35">
        <f t="shared" si="102"/>
        <v>-0.55000000000000004</v>
      </c>
    </row>
    <row r="255" spans="4:16" x14ac:dyDescent="0.25">
      <c r="D255" s="35" t="s">
        <v>67</v>
      </c>
      <c r="E255" s="35" t="str">
        <f>E190</f>
        <v>Alice Springs</v>
      </c>
      <c r="F255" s="35" t="str">
        <f>F190</f>
        <v>Spring</v>
      </c>
      <c r="G255" s="35">
        <f>G190</f>
        <v>0.22</v>
      </c>
      <c r="H255" s="35">
        <f t="shared" ref="H255:P255" si="126">H190</f>
        <v>-0.23</v>
      </c>
      <c r="I255" s="35">
        <f t="shared" si="126"/>
        <v>0.25</v>
      </c>
      <c r="J255" s="35">
        <f t="shared" si="126"/>
        <v>0.17</v>
      </c>
      <c r="K255" s="35">
        <f t="shared" si="126"/>
        <v>0.18</v>
      </c>
      <c r="L255" s="35">
        <f t="shared" si="126"/>
        <v>-0.28000000000000003</v>
      </c>
      <c r="M255" s="35">
        <f t="shared" si="126"/>
        <v>0.32</v>
      </c>
      <c r="N255" s="35">
        <f t="shared" si="126"/>
        <v>0.24</v>
      </c>
      <c r="O255" s="35">
        <f t="shared" si="126"/>
        <v>0.25</v>
      </c>
      <c r="P255" s="35">
        <f t="shared" si="126"/>
        <v>-0.05</v>
      </c>
    </row>
    <row r="256" spans="4:16" x14ac:dyDescent="0.25">
      <c r="D256" s="35" t="s">
        <v>67</v>
      </c>
      <c r="E256" s="35" t="str">
        <f t="shared" ref="E256:P282" si="127">E191</f>
        <v>Alice Springs</v>
      </c>
      <c r="F256" s="35" t="str">
        <f t="shared" si="127"/>
        <v>Summer</v>
      </c>
      <c r="G256" s="35">
        <f t="shared" si="127"/>
        <v>0.66</v>
      </c>
      <c r="H256" s="35">
        <f t="shared" si="127"/>
        <v>0.2</v>
      </c>
      <c r="I256" s="35">
        <f t="shared" si="127"/>
        <v>0.62</v>
      </c>
      <c r="J256" s="35">
        <f t="shared" si="127"/>
        <v>0.54</v>
      </c>
      <c r="K256" s="35">
        <f t="shared" si="127"/>
        <v>0.38</v>
      </c>
      <c r="L256" s="35">
        <f t="shared" si="127"/>
        <v>0.27</v>
      </c>
      <c r="M256" s="35">
        <f t="shared" si="127"/>
        <v>0.75</v>
      </c>
      <c r="N256" s="35">
        <f t="shared" si="127"/>
        <v>0.64</v>
      </c>
      <c r="O256" s="35">
        <f t="shared" si="127"/>
        <v>0.55000000000000004</v>
      </c>
      <c r="P256" s="35">
        <f t="shared" si="127"/>
        <v>0.48</v>
      </c>
    </row>
    <row r="257" spans="4:16" x14ac:dyDescent="0.25">
      <c r="D257" s="35" t="s">
        <v>67</v>
      </c>
      <c r="E257" s="35" t="str">
        <f t="shared" si="127"/>
        <v>Alice Springs</v>
      </c>
      <c r="F257" s="35" t="str">
        <f t="shared" si="127"/>
        <v>Autumn</v>
      </c>
      <c r="G257" s="35">
        <f t="shared" si="127"/>
        <v>0.49</v>
      </c>
      <c r="H257" s="35">
        <f t="shared" si="127"/>
        <v>0.13</v>
      </c>
      <c r="I257" s="35">
        <f t="shared" si="127"/>
        <v>0.54</v>
      </c>
      <c r="J257" s="35">
        <f t="shared" si="127"/>
        <v>0.45</v>
      </c>
      <c r="K257" s="35">
        <f t="shared" si="127"/>
        <v>0.35</v>
      </c>
      <c r="L257" s="35">
        <f t="shared" si="127"/>
        <v>0.15</v>
      </c>
      <c r="M257" s="35">
        <f t="shared" si="127"/>
        <v>0.63</v>
      </c>
      <c r="N257" s="35">
        <f t="shared" si="127"/>
        <v>0.54</v>
      </c>
      <c r="O257" s="35">
        <f t="shared" si="127"/>
        <v>0.42</v>
      </c>
      <c r="P257" s="35">
        <f t="shared" si="127"/>
        <v>0.26</v>
      </c>
    </row>
    <row r="258" spans="4:16" x14ac:dyDescent="0.25">
      <c r="D258" s="35" t="s">
        <v>67</v>
      </c>
      <c r="E258" s="35" t="str">
        <f t="shared" si="127"/>
        <v>Alice Springs</v>
      </c>
      <c r="F258" s="35" t="str">
        <f t="shared" si="127"/>
        <v>Winter</v>
      </c>
      <c r="G258" s="35">
        <f t="shared" si="127"/>
        <v>0.27</v>
      </c>
      <c r="H258" s="35">
        <f t="shared" si="127"/>
        <v>-0.8</v>
      </c>
      <c r="I258" s="35">
        <f t="shared" si="127"/>
        <v>0.22</v>
      </c>
      <c r="J258" s="35">
        <f t="shared" si="127"/>
        <v>0.09</v>
      </c>
      <c r="K258" s="35">
        <f t="shared" si="127"/>
        <v>0.12</v>
      </c>
      <c r="L258" s="35">
        <f t="shared" si="127"/>
        <v>0.02</v>
      </c>
      <c r="M258" s="35">
        <f t="shared" si="127"/>
        <v>0.25</v>
      </c>
      <c r="N258" s="35">
        <f t="shared" si="127"/>
        <v>0.18</v>
      </c>
      <c r="O258" s="35">
        <f t="shared" si="127"/>
        <v>0.12</v>
      </c>
      <c r="P258" s="35">
        <f t="shared" si="127"/>
        <v>0.03</v>
      </c>
    </row>
    <row r="259" spans="4:16" x14ac:dyDescent="0.25">
      <c r="D259" s="35" t="s">
        <v>67</v>
      </c>
      <c r="E259" s="35" t="str">
        <f t="shared" si="127"/>
        <v>Barkly</v>
      </c>
      <c r="F259" s="35" t="str">
        <f t="shared" si="127"/>
        <v>Spring</v>
      </c>
      <c r="G259" s="35">
        <f t="shared" si="127"/>
        <v>0.22</v>
      </c>
      <c r="H259" s="35">
        <f t="shared" si="127"/>
        <v>-0.44</v>
      </c>
      <c r="I259" s="35">
        <f t="shared" si="127"/>
        <v>0.2</v>
      </c>
      <c r="J259" s="35">
        <f t="shared" si="127"/>
        <v>0.21</v>
      </c>
      <c r="K259" s="35">
        <f t="shared" si="127"/>
        <v>0.18</v>
      </c>
      <c r="L259" s="35">
        <f t="shared" si="127"/>
        <v>0.01</v>
      </c>
      <c r="M259" s="35">
        <f t="shared" si="127"/>
        <v>0.12</v>
      </c>
      <c r="N259" s="35">
        <f t="shared" si="127"/>
        <v>0.09</v>
      </c>
      <c r="O259" s="35" t="str">
        <f t="shared" si="127"/>
        <v>NO</v>
      </c>
      <c r="P259" s="35" t="str">
        <f t="shared" si="127"/>
        <v>NO</v>
      </c>
    </row>
    <row r="260" spans="4:16" x14ac:dyDescent="0.25">
      <c r="D260" s="35" t="s">
        <v>67</v>
      </c>
      <c r="E260" s="35" t="str">
        <f t="shared" si="127"/>
        <v>Barkly</v>
      </c>
      <c r="F260" s="35" t="str">
        <f t="shared" si="127"/>
        <v>Summer</v>
      </c>
      <c r="G260" s="35">
        <f t="shared" si="127"/>
        <v>0.66</v>
      </c>
      <c r="H260" s="35">
        <f t="shared" si="127"/>
        <v>0.22</v>
      </c>
      <c r="I260" s="35">
        <f t="shared" si="127"/>
        <v>0.68</v>
      </c>
      <c r="J260" s="35">
        <f t="shared" si="127"/>
        <v>0.22</v>
      </c>
      <c r="K260" s="35">
        <f t="shared" si="127"/>
        <v>0.24</v>
      </c>
      <c r="L260" s="35">
        <f t="shared" si="127"/>
        <v>0.25</v>
      </c>
      <c r="M260" s="35">
        <f t="shared" si="127"/>
        <v>0.64</v>
      </c>
      <c r="N260" s="35">
        <f t="shared" si="127"/>
        <v>0.37</v>
      </c>
      <c r="O260" s="35" t="str">
        <f t="shared" si="127"/>
        <v>NO</v>
      </c>
      <c r="P260" s="35" t="str">
        <f t="shared" si="127"/>
        <v>NO</v>
      </c>
    </row>
    <row r="261" spans="4:16" x14ac:dyDescent="0.25">
      <c r="D261" s="35" t="s">
        <v>67</v>
      </c>
      <c r="E261" s="35" t="str">
        <f t="shared" si="127"/>
        <v>Barkly</v>
      </c>
      <c r="F261" s="35" t="str">
        <f t="shared" si="127"/>
        <v>Autumn</v>
      </c>
      <c r="G261" s="35">
        <f t="shared" si="127"/>
        <v>0.49</v>
      </c>
      <c r="H261" s="35">
        <f t="shared" si="127"/>
        <v>0.05</v>
      </c>
      <c r="I261" s="35">
        <f t="shared" si="127"/>
        <v>0.64</v>
      </c>
      <c r="J261" s="35">
        <f t="shared" si="127"/>
        <v>0.25</v>
      </c>
      <c r="K261" s="35">
        <f t="shared" si="127"/>
        <v>0.28999999999999998</v>
      </c>
      <c r="L261" s="35">
        <f t="shared" si="127"/>
        <v>0.12</v>
      </c>
      <c r="M261" s="35">
        <f t="shared" si="127"/>
        <v>0.56999999999999995</v>
      </c>
      <c r="N261" s="35">
        <f t="shared" si="127"/>
        <v>0.49</v>
      </c>
      <c r="O261" s="35" t="str">
        <f t="shared" si="127"/>
        <v>NO</v>
      </c>
      <c r="P261" s="35" t="str">
        <f t="shared" si="127"/>
        <v>NO</v>
      </c>
    </row>
    <row r="262" spans="4:16" x14ac:dyDescent="0.25">
      <c r="D262" s="35" t="s">
        <v>67</v>
      </c>
      <c r="E262" s="35" t="str">
        <f t="shared" si="127"/>
        <v>Barkly</v>
      </c>
      <c r="F262" s="35" t="str">
        <f t="shared" si="127"/>
        <v>Winter</v>
      </c>
      <c r="G262" s="35">
        <f t="shared" si="127"/>
        <v>0.27</v>
      </c>
      <c r="H262" s="35">
        <f t="shared" si="127"/>
        <v>-0.27</v>
      </c>
      <c r="I262" s="35">
        <f t="shared" si="127"/>
        <v>0.31</v>
      </c>
      <c r="J262" s="35">
        <f t="shared" si="127"/>
        <v>0.28999999999999998</v>
      </c>
      <c r="K262" s="35">
        <f t="shared" si="127"/>
        <v>0.19</v>
      </c>
      <c r="L262" s="35">
        <f t="shared" si="127"/>
        <v>0.04</v>
      </c>
      <c r="M262" s="35">
        <f t="shared" si="127"/>
        <v>0.26</v>
      </c>
      <c r="N262" s="35">
        <f t="shared" si="127"/>
        <v>0.28000000000000003</v>
      </c>
      <c r="O262" s="35" t="str">
        <f t="shared" si="127"/>
        <v>NO</v>
      </c>
      <c r="P262" s="35" t="str">
        <f t="shared" si="127"/>
        <v>NO</v>
      </c>
    </row>
    <row r="263" spans="4:16" x14ac:dyDescent="0.25">
      <c r="D263" s="35" t="s">
        <v>67</v>
      </c>
      <c r="E263" s="35" t="str">
        <f t="shared" si="127"/>
        <v>Northern</v>
      </c>
      <c r="F263" s="35" t="str">
        <f t="shared" si="127"/>
        <v>Spring</v>
      </c>
      <c r="G263" s="35">
        <f t="shared" si="127"/>
        <v>0.22</v>
      </c>
      <c r="H263" s="35">
        <f t="shared" si="127"/>
        <v>-0.44</v>
      </c>
      <c r="I263" s="35">
        <f t="shared" si="127"/>
        <v>0</v>
      </c>
      <c r="J263" s="35">
        <f t="shared" si="127"/>
        <v>0.15</v>
      </c>
      <c r="K263" s="35">
        <f t="shared" si="127"/>
        <v>0.08</v>
      </c>
      <c r="L263" s="35">
        <f t="shared" si="127"/>
        <v>0.17</v>
      </c>
      <c r="M263" s="35">
        <f t="shared" si="127"/>
        <v>0.06</v>
      </c>
      <c r="N263" s="35">
        <f t="shared" si="127"/>
        <v>0.02</v>
      </c>
      <c r="O263" s="35">
        <f t="shared" si="127"/>
        <v>-0.14000000000000001</v>
      </c>
      <c r="P263" s="35" t="str">
        <f t="shared" si="127"/>
        <v>NO</v>
      </c>
    </row>
    <row r="264" spans="4:16" x14ac:dyDescent="0.25">
      <c r="D264" s="35" t="s">
        <v>67</v>
      </c>
      <c r="E264" s="35" t="str">
        <f t="shared" si="127"/>
        <v>Northern</v>
      </c>
      <c r="F264" s="35" t="str">
        <f t="shared" si="127"/>
        <v>Summer</v>
      </c>
      <c r="G264" s="35">
        <f t="shared" si="127"/>
        <v>0.66</v>
      </c>
      <c r="H264" s="35">
        <f t="shared" si="127"/>
        <v>0.22</v>
      </c>
      <c r="I264" s="35">
        <f t="shared" si="127"/>
        <v>0.79</v>
      </c>
      <c r="J264" s="35">
        <f t="shared" si="127"/>
        <v>0.4</v>
      </c>
      <c r="K264" s="35">
        <f t="shared" si="127"/>
        <v>0.38</v>
      </c>
      <c r="L264" s="35">
        <f t="shared" si="127"/>
        <v>0.27</v>
      </c>
      <c r="M264" s="35">
        <f t="shared" si="127"/>
        <v>0.8</v>
      </c>
      <c r="N264" s="35">
        <f t="shared" si="127"/>
        <v>0.16</v>
      </c>
      <c r="O264" s="35">
        <f t="shared" si="127"/>
        <v>0.3</v>
      </c>
      <c r="P264" s="35" t="str">
        <f t="shared" si="127"/>
        <v>NO</v>
      </c>
    </row>
    <row r="265" spans="4:16" x14ac:dyDescent="0.25">
      <c r="D265" s="35" t="s">
        <v>67</v>
      </c>
      <c r="E265" s="35" t="str">
        <f t="shared" si="127"/>
        <v>Northern</v>
      </c>
      <c r="F265" s="35" t="str">
        <f t="shared" si="127"/>
        <v>Autumn</v>
      </c>
      <c r="G265" s="35">
        <f t="shared" si="127"/>
        <v>0.49</v>
      </c>
      <c r="H265" s="35">
        <f t="shared" si="127"/>
        <v>0.05</v>
      </c>
      <c r="I265" s="35">
        <f t="shared" si="127"/>
        <v>0.55000000000000004</v>
      </c>
      <c r="J265" s="35">
        <f t="shared" si="127"/>
        <v>0.38</v>
      </c>
      <c r="K265" s="35">
        <f t="shared" si="127"/>
        <v>0.36</v>
      </c>
      <c r="L265" s="35">
        <f t="shared" si="127"/>
        <v>0.06</v>
      </c>
      <c r="M265" s="35">
        <f t="shared" si="127"/>
        <v>0.57999999999999996</v>
      </c>
      <c r="N265" s="35">
        <f t="shared" si="127"/>
        <v>0.23</v>
      </c>
      <c r="O265" s="35">
        <f t="shared" si="127"/>
        <v>0.4</v>
      </c>
      <c r="P265" s="35" t="str">
        <f t="shared" si="127"/>
        <v>NO</v>
      </c>
    </row>
    <row r="266" spans="4:16" x14ac:dyDescent="0.25">
      <c r="D266" s="35" t="s">
        <v>67</v>
      </c>
      <c r="E266" s="35" t="str">
        <f t="shared" si="127"/>
        <v>Northern</v>
      </c>
      <c r="F266" s="35" t="str">
        <f t="shared" si="127"/>
        <v>Winter</v>
      </c>
      <c r="G266" s="35">
        <f t="shared" si="127"/>
        <v>0.27</v>
      </c>
      <c r="H266" s="35">
        <f t="shared" si="127"/>
        <v>-0.27</v>
      </c>
      <c r="I266" s="35">
        <f t="shared" si="127"/>
        <v>0.02</v>
      </c>
      <c r="J266" s="35">
        <f t="shared" si="127"/>
        <v>0.09</v>
      </c>
      <c r="K266" s="35">
        <f t="shared" si="127"/>
        <v>0.16</v>
      </c>
      <c r="L266" s="35">
        <f t="shared" si="127"/>
        <v>-0.04</v>
      </c>
      <c r="M266" s="35">
        <f t="shared" si="127"/>
        <v>0.21</v>
      </c>
      <c r="N266" s="35">
        <f t="shared" si="127"/>
        <v>0.03</v>
      </c>
      <c r="O266" s="35">
        <f t="shared" si="127"/>
        <v>0.11</v>
      </c>
      <c r="P266" s="35" t="str">
        <f t="shared" si="127"/>
        <v>NO</v>
      </c>
    </row>
    <row r="267" spans="4:16" x14ac:dyDescent="0.25">
      <c r="D267" s="35" t="s">
        <v>68</v>
      </c>
      <c r="E267" s="35" t="str">
        <f t="shared" si="127"/>
        <v>High</v>
      </c>
      <c r="F267" s="35" t="str">
        <f t="shared" si="127"/>
        <v>Spring</v>
      </c>
      <c r="G267" s="35">
        <f t="shared" si="127"/>
        <v>0.27</v>
      </c>
      <c r="H267" s="35">
        <f t="shared" si="127"/>
        <v>-0.19</v>
      </c>
      <c r="I267" s="35">
        <f t="shared" si="127"/>
        <v>0.38</v>
      </c>
      <c r="J267" s="35">
        <f t="shared" si="127"/>
        <v>0.25</v>
      </c>
      <c r="K267" s="35">
        <f t="shared" si="127"/>
        <v>7.0000000000000007E-2</v>
      </c>
      <c r="L267" s="35">
        <f t="shared" si="127"/>
        <v>0.05</v>
      </c>
      <c r="M267" s="35">
        <f t="shared" si="127"/>
        <v>0.52</v>
      </c>
      <c r="N267" s="35">
        <f t="shared" si="127"/>
        <v>0.55000000000000004</v>
      </c>
      <c r="O267" s="35">
        <f t="shared" si="127"/>
        <v>0.19</v>
      </c>
      <c r="P267" s="35">
        <f t="shared" si="127"/>
        <v>0.6</v>
      </c>
    </row>
    <row r="268" spans="4:16" x14ac:dyDescent="0.25">
      <c r="D268" s="35" t="s">
        <v>68</v>
      </c>
      <c r="E268" s="35" t="str">
        <f t="shared" si="127"/>
        <v>High</v>
      </c>
      <c r="F268" s="35" t="str">
        <f t="shared" si="127"/>
        <v>Summer</v>
      </c>
      <c r="G268" s="35">
        <f t="shared" si="127"/>
        <v>0.16</v>
      </c>
      <c r="H268" s="35">
        <f t="shared" si="127"/>
        <v>0.16</v>
      </c>
      <c r="I268" s="35">
        <f t="shared" si="127"/>
        <v>0.8</v>
      </c>
      <c r="J268" s="35">
        <f t="shared" si="127"/>
        <v>0.56999999999999995</v>
      </c>
      <c r="K268" s="35">
        <f t="shared" si="127"/>
        <v>0.76</v>
      </c>
      <c r="L268" s="35">
        <f t="shared" si="127"/>
        <v>0.49</v>
      </c>
      <c r="M268" s="35">
        <f t="shared" si="127"/>
        <v>0.84</v>
      </c>
      <c r="N268" s="35">
        <f t="shared" si="127"/>
        <v>0.51</v>
      </c>
      <c r="O268" s="35">
        <f t="shared" si="127"/>
        <v>0.36</v>
      </c>
      <c r="P268" s="35">
        <f t="shared" si="127"/>
        <v>0.17</v>
      </c>
    </row>
    <row r="269" spans="4:16" x14ac:dyDescent="0.25">
      <c r="D269" s="35" t="s">
        <v>68</v>
      </c>
      <c r="E269" s="35" t="str">
        <f t="shared" si="127"/>
        <v>High</v>
      </c>
      <c r="F269" s="35" t="str">
        <f t="shared" si="127"/>
        <v>Autumn</v>
      </c>
      <c r="G269" s="35">
        <f t="shared" si="127"/>
        <v>0.45</v>
      </c>
      <c r="H269" s="35">
        <f t="shared" si="127"/>
        <v>0.1</v>
      </c>
      <c r="I269" s="35">
        <f t="shared" si="127"/>
        <v>0.49</v>
      </c>
      <c r="J269" s="35">
        <f t="shared" si="127"/>
        <v>0.41</v>
      </c>
      <c r="K269" s="35">
        <f t="shared" si="127"/>
        <v>0.4</v>
      </c>
      <c r="L269" s="35">
        <f t="shared" si="127"/>
        <v>0.17</v>
      </c>
      <c r="M269" s="35">
        <f t="shared" si="127"/>
        <v>0.54</v>
      </c>
      <c r="N269" s="35">
        <f t="shared" si="127"/>
        <v>0.64</v>
      </c>
      <c r="O269" s="35">
        <f t="shared" si="127"/>
        <v>-0.05</v>
      </c>
      <c r="P269" s="35">
        <f t="shared" si="127"/>
        <v>0.32</v>
      </c>
    </row>
    <row r="270" spans="4:16" x14ac:dyDescent="0.25">
      <c r="D270" s="35" t="s">
        <v>68</v>
      </c>
      <c r="E270" s="35" t="str">
        <f t="shared" si="127"/>
        <v>High</v>
      </c>
      <c r="F270" s="35" t="str">
        <f t="shared" si="127"/>
        <v>Winter</v>
      </c>
      <c r="G270" s="35">
        <f t="shared" si="127"/>
        <v>0.51</v>
      </c>
      <c r="H270" s="35">
        <f t="shared" si="127"/>
        <v>-7.0000000000000007E-2</v>
      </c>
      <c r="I270" s="35">
        <f t="shared" si="127"/>
        <v>0.13</v>
      </c>
      <c r="J270" s="35">
        <f t="shared" si="127"/>
        <v>-0.09</v>
      </c>
      <c r="K270" s="35">
        <f t="shared" si="127"/>
        <v>-0.13</v>
      </c>
      <c r="L270" s="35">
        <f t="shared" si="127"/>
        <v>7.0000000000000007E-2</v>
      </c>
      <c r="M270" s="35">
        <f t="shared" si="127"/>
        <v>0.25</v>
      </c>
      <c r="N270" s="35">
        <f t="shared" si="127"/>
        <v>0.71</v>
      </c>
      <c r="O270" s="35">
        <f t="shared" si="127"/>
        <v>0.17</v>
      </c>
      <c r="P270" s="35">
        <f t="shared" si="127"/>
        <v>0.43</v>
      </c>
    </row>
    <row r="271" spans="4:16" x14ac:dyDescent="0.25">
      <c r="D271" s="35" t="s">
        <v>68</v>
      </c>
      <c r="E271" s="35" t="str">
        <f t="shared" si="127"/>
        <v>Moderate/High</v>
      </c>
      <c r="F271" s="35" t="str">
        <f t="shared" si="127"/>
        <v>Spring</v>
      </c>
      <c r="G271" s="35">
        <f t="shared" si="127"/>
        <v>-0.12</v>
      </c>
      <c r="H271" s="35">
        <f t="shared" si="127"/>
        <v>-0.19</v>
      </c>
      <c r="I271" s="35">
        <f t="shared" si="127"/>
        <v>0.41</v>
      </c>
      <c r="J271" s="35">
        <f t="shared" si="127"/>
        <v>0.09</v>
      </c>
      <c r="K271" s="35">
        <f t="shared" si="127"/>
        <v>0.41</v>
      </c>
      <c r="L271" s="35">
        <f t="shared" si="127"/>
        <v>-0.19</v>
      </c>
      <c r="M271" s="35">
        <f t="shared" si="127"/>
        <v>7.0000000000000007E-2</v>
      </c>
      <c r="N271" s="35">
        <f t="shared" si="127"/>
        <v>1.07</v>
      </c>
      <c r="O271" s="35">
        <f t="shared" si="127"/>
        <v>-0.08</v>
      </c>
      <c r="P271" s="35">
        <f t="shared" si="127"/>
        <v>0</v>
      </c>
    </row>
    <row r="272" spans="4:16" x14ac:dyDescent="0.25">
      <c r="D272" s="35" t="s">
        <v>68</v>
      </c>
      <c r="E272" s="35" t="str">
        <f t="shared" si="127"/>
        <v>Moderate/High</v>
      </c>
      <c r="F272" s="35" t="str">
        <f t="shared" si="127"/>
        <v>Summer</v>
      </c>
      <c r="G272" s="35">
        <f t="shared" si="127"/>
        <v>0.65</v>
      </c>
      <c r="H272" s="35">
        <f t="shared" si="127"/>
        <v>0.19</v>
      </c>
      <c r="I272" s="35">
        <f t="shared" si="127"/>
        <v>0.65</v>
      </c>
      <c r="J272" s="35">
        <f t="shared" si="127"/>
        <v>0.51</v>
      </c>
      <c r="K272" s="35">
        <f t="shared" si="127"/>
        <v>0.18</v>
      </c>
      <c r="L272" s="35">
        <f t="shared" si="127"/>
        <v>0.63</v>
      </c>
      <c r="M272" s="35">
        <f t="shared" si="127"/>
        <v>1.3</v>
      </c>
      <c r="N272" s="35">
        <f t="shared" si="127"/>
        <v>0.48</v>
      </c>
      <c r="O272" s="35">
        <f t="shared" si="127"/>
        <v>1.1200000000000001</v>
      </c>
      <c r="P272" s="35">
        <f t="shared" si="127"/>
        <v>0.38</v>
      </c>
    </row>
    <row r="273" spans="4:16" x14ac:dyDescent="0.25">
      <c r="D273" s="35" t="s">
        <v>68</v>
      </c>
      <c r="E273" s="35" t="str">
        <f t="shared" si="127"/>
        <v>Moderate/High</v>
      </c>
      <c r="F273" s="35" t="str">
        <f t="shared" si="127"/>
        <v>Autumn</v>
      </c>
      <c r="G273" s="35">
        <f t="shared" si="127"/>
        <v>0.7</v>
      </c>
      <c r="H273" s="35">
        <f t="shared" si="127"/>
        <v>0.13</v>
      </c>
      <c r="I273" s="35">
        <f t="shared" si="127"/>
        <v>0.52</v>
      </c>
      <c r="J273" s="35">
        <f t="shared" si="127"/>
        <v>0.34</v>
      </c>
      <c r="K273" s="35">
        <f t="shared" si="127"/>
        <v>0.02</v>
      </c>
      <c r="L273" s="35">
        <f t="shared" si="127"/>
        <v>0.04</v>
      </c>
      <c r="M273" s="35">
        <f t="shared" si="127"/>
        <v>0.77</v>
      </c>
      <c r="N273" s="35">
        <f t="shared" si="127"/>
        <v>0.42</v>
      </c>
      <c r="O273" s="35">
        <f t="shared" si="127"/>
        <v>0.12</v>
      </c>
      <c r="P273" s="35">
        <f t="shared" si="127"/>
        <v>0.74</v>
      </c>
    </row>
    <row r="274" spans="4:16" x14ac:dyDescent="0.25">
      <c r="D274" s="35" t="s">
        <v>68</v>
      </c>
      <c r="E274" s="35" t="str">
        <f t="shared" si="127"/>
        <v>Moderate/High</v>
      </c>
      <c r="F274" s="35" t="str">
        <f t="shared" si="127"/>
        <v>Winter</v>
      </c>
      <c r="G274" s="35">
        <f t="shared" si="127"/>
        <v>0.32</v>
      </c>
      <c r="H274" s="35">
        <f t="shared" si="127"/>
        <v>-0.06</v>
      </c>
      <c r="I274" s="35">
        <f t="shared" si="127"/>
        <v>0.25</v>
      </c>
      <c r="J274" s="35">
        <f t="shared" si="127"/>
        <v>0.19</v>
      </c>
      <c r="K274" s="35">
        <f t="shared" si="127"/>
        <v>-0.1</v>
      </c>
      <c r="L274" s="35">
        <f t="shared" si="127"/>
        <v>-0.02</v>
      </c>
      <c r="M274" s="35">
        <f t="shared" si="127"/>
        <v>0.02</v>
      </c>
      <c r="N274" s="35">
        <f t="shared" si="127"/>
        <v>0.23</v>
      </c>
      <c r="O274" s="35">
        <f t="shared" si="127"/>
        <v>-0.13</v>
      </c>
      <c r="P274" s="35">
        <f t="shared" si="127"/>
        <v>0</v>
      </c>
    </row>
    <row r="275" spans="4:16" x14ac:dyDescent="0.25">
      <c r="D275" s="35" t="s">
        <v>68</v>
      </c>
      <c r="E275" s="35" t="str">
        <f t="shared" si="127"/>
        <v>Moderate/Low</v>
      </c>
      <c r="F275" s="35" t="str">
        <f t="shared" si="127"/>
        <v>Spring</v>
      </c>
      <c r="G275" s="35">
        <f t="shared" si="127"/>
        <v>0.62</v>
      </c>
      <c r="H275" s="35">
        <f t="shared" si="127"/>
        <v>-0.19</v>
      </c>
      <c r="I275" s="35">
        <f t="shared" si="127"/>
        <v>0.37</v>
      </c>
      <c r="J275" s="35">
        <f t="shared" si="127"/>
        <v>0.41</v>
      </c>
      <c r="K275" s="35">
        <f t="shared" si="127"/>
        <v>0.06</v>
      </c>
      <c r="L275" s="35">
        <f t="shared" si="127"/>
        <v>-0.02</v>
      </c>
      <c r="M275" s="35">
        <f t="shared" si="127"/>
        <v>0.47</v>
      </c>
      <c r="N275" s="35">
        <f t="shared" si="127"/>
        <v>0.44</v>
      </c>
      <c r="O275" s="35">
        <f t="shared" si="127"/>
        <v>0.3</v>
      </c>
      <c r="P275" s="35">
        <f t="shared" si="127"/>
        <v>0.13</v>
      </c>
    </row>
    <row r="276" spans="4:16" x14ac:dyDescent="0.25">
      <c r="D276" s="35" t="s">
        <v>68</v>
      </c>
      <c r="E276" s="35" t="str">
        <f t="shared" si="127"/>
        <v>Moderate/Low</v>
      </c>
      <c r="F276" s="35" t="str">
        <f t="shared" si="127"/>
        <v>Summer</v>
      </c>
      <c r="G276" s="35">
        <f t="shared" si="127"/>
        <v>0.05</v>
      </c>
      <c r="H276" s="35">
        <f t="shared" ref="H276:P276" si="128">H211</f>
        <v>0.19</v>
      </c>
      <c r="I276" s="35">
        <f t="shared" si="128"/>
        <v>0.31</v>
      </c>
      <c r="J276" s="35">
        <f t="shared" si="128"/>
        <v>0.54</v>
      </c>
      <c r="K276" s="35">
        <f t="shared" si="128"/>
        <v>0.53</v>
      </c>
      <c r="L276" s="35">
        <f t="shared" si="128"/>
        <v>0.15</v>
      </c>
      <c r="M276" s="35">
        <f t="shared" si="128"/>
        <v>0.28000000000000003</v>
      </c>
      <c r="N276" s="35">
        <f t="shared" si="128"/>
        <v>0.56999999999999995</v>
      </c>
      <c r="O276" s="35">
        <f t="shared" si="128"/>
        <v>0.42</v>
      </c>
      <c r="P276" s="35">
        <f t="shared" si="128"/>
        <v>0.4</v>
      </c>
    </row>
    <row r="277" spans="4:16" x14ac:dyDescent="0.25">
      <c r="D277" s="35" t="s">
        <v>68</v>
      </c>
      <c r="E277" s="35" t="str">
        <f t="shared" si="127"/>
        <v>Moderate/Low</v>
      </c>
      <c r="F277" s="35" t="str">
        <f t="shared" si="127"/>
        <v>Autumn</v>
      </c>
      <c r="G277" s="35">
        <f t="shared" ref="G277:P277" si="129">G212</f>
        <v>0.33</v>
      </c>
      <c r="H277" s="35">
        <f t="shared" si="129"/>
        <v>0.13</v>
      </c>
      <c r="I277" s="35">
        <f t="shared" si="129"/>
        <v>0.39</v>
      </c>
      <c r="J277" s="35">
        <f t="shared" si="129"/>
        <v>0.36</v>
      </c>
      <c r="K277" s="35">
        <f t="shared" si="129"/>
        <v>0.26</v>
      </c>
      <c r="L277" s="35">
        <f t="shared" si="129"/>
        <v>0.11</v>
      </c>
      <c r="M277" s="35">
        <f t="shared" si="129"/>
        <v>0.4</v>
      </c>
      <c r="N277" s="35">
        <f t="shared" si="129"/>
        <v>0.44</v>
      </c>
      <c r="O277" s="35">
        <f t="shared" si="129"/>
        <v>0.37</v>
      </c>
      <c r="P277" s="35">
        <f t="shared" si="129"/>
        <v>-0.01</v>
      </c>
    </row>
    <row r="278" spans="4:16" x14ac:dyDescent="0.25">
      <c r="D278" s="35" t="s">
        <v>68</v>
      </c>
      <c r="E278" s="35" t="str">
        <f t="shared" si="127"/>
        <v>Moderate/Low</v>
      </c>
      <c r="F278" s="35" t="str">
        <f t="shared" si="127"/>
        <v>Winter</v>
      </c>
      <c r="G278" s="35">
        <f t="shared" ref="G278:P278" si="130">G213</f>
        <v>0.61</v>
      </c>
      <c r="H278" s="35">
        <f t="shared" si="130"/>
        <v>-0.06</v>
      </c>
      <c r="I278" s="35">
        <f t="shared" si="130"/>
        <v>0.21</v>
      </c>
      <c r="J278" s="35">
        <f t="shared" si="130"/>
        <v>0.18</v>
      </c>
      <c r="K278" s="35">
        <f t="shared" si="130"/>
        <v>0.12</v>
      </c>
      <c r="L278" s="35">
        <f t="shared" si="130"/>
        <v>0.06</v>
      </c>
      <c r="M278" s="35">
        <f t="shared" si="130"/>
        <v>0.28999999999999998</v>
      </c>
      <c r="N278" s="35">
        <f t="shared" si="130"/>
        <v>0.41</v>
      </c>
      <c r="O278" s="35">
        <f t="shared" si="130"/>
        <v>0.41</v>
      </c>
      <c r="P278" s="35">
        <f t="shared" si="130"/>
        <v>-0.15</v>
      </c>
    </row>
    <row r="279" spans="4:16" x14ac:dyDescent="0.25">
      <c r="D279" s="35" t="s">
        <v>68</v>
      </c>
      <c r="E279" s="35" t="str">
        <f t="shared" si="127"/>
        <v>Low</v>
      </c>
      <c r="F279" s="35" t="str">
        <f t="shared" si="127"/>
        <v>Spring</v>
      </c>
      <c r="G279" s="35">
        <f t="shared" ref="G279:P279" si="131">G214</f>
        <v>-0.2</v>
      </c>
      <c r="H279" s="35">
        <f t="shared" si="131"/>
        <v>0.02</v>
      </c>
      <c r="I279" s="35">
        <f t="shared" si="131"/>
        <v>0.24</v>
      </c>
      <c r="J279" s="35">
        <f t="shared" si="131"/>
        <v>0.3</v>
      </c>
      <c r="K279" s="35">
        <f t="shared" si="131"/>
        <v>0.23</v>
      </c>
      <c r="L279" s="35">
        <f t="shared" si="131"/>
        <v>-0.05</v>
      </c>
      <c r="M279" s="35">
        <f t="shared" si="131"/>
        <v>0.34</v>
      </c>
      <c r="N279" s="35">
        <f t="shared" si="131"/>
        <v>0.3</v>
      </c>
      <c r="O279" s="35">
        <f t="shared" si="131"/>
        <v>0.56999999999999995</v>
      </c>
      <c r="P279" s="35">
        <f t="shared" si="131"/>
        <v>0.52</v>
      </c>
    </row>
    <row r="280" spans="4:16" x14ac:dyDescent="0.25">
      <c r="D280" s="35" t="s">
        <v>68</v>
      </c>
      <c r="E280" s="35" t="str">
        <f t="shared" si="127"/>
        <v>Low</v>
      </c>
      <c r="F280" s="35" t="str">
        <f t="shared" si="127"/>
        <v>Summer</v>
      </c>
      <c r="G280" s="35">
        <f t="shared" ref="G280:P280" si="132">G215</f>
        <v>0.62</v>
      </c>
      <c r="H280" s="35">
        <f t="shared" si="132"/>
        <v>0.21</v>
      </c>
      <c r="I280" s="35">
        <f t="shared" si="132"/>
        <v>0.25</v>
      </c>
      <c r="J280" s="35">
        <f t="shared" si="132"/>
        <v>0.32</v>
      </c>
      <c r="K280" s="35">
        <f t="shared" si="132"/>
        <v>0.47</v>
      </c>
      <c r="L280" s="35">
        <f t="shared" si="132"/>
        <v>0.31</v>
      </c>
      <c r="M280" s="35">
        <f t="shared" si="132"/>
        <v>0.14000000000000001</v>
      </c>
      <c r="N280" s="35">
        <f t="shared" si="132"/>
        <v>0.4</v>
      </c>
      <c r="O280" s="35">
        <f t="shared" si="132"/>
        <v>0.26</v>
      </c>
      <c r="P280" s="35">
        <f t="shared" si="132"/>
        <v>0.43</v>
      </c>
    </row>
    <row r="281" spans="4:16" x14ac:dyDescent="0.25">
      <c r="D281" s="35" t="s">
        <v>68</v>
      </c>
      <c r="E281" s="35" t="str">
        <f t="shared" si="127"/>
        <v>Low</v>
      </c>
      <c r="F281" s="35" t="str">
        <f t="shared" si="127"/>
        <v>Autumn</v>
      </c>
      <c r="G281" s="35">
        <f t="shared" ref="G281:P281" si="133">G216</f>
        <v>0.4</v>
      </c>
      <c r="H281" s="35">
        <f t="shared" si="133"/>
        <v>0.13</v>
      </c>
      <c r="I281" s="35">
        <f t="shared" si="133"/>
        <v>0.12</v>
      </c>
      <c r="J281" s="35">
        <f t="shared" si="133"/>
        <v>0.27</v>
      </c>
      <c r="K281" s="35">
        <f t="shared" si="133"/>
        <v>0.3</v>
      </c>
      <c r="L281" s="35">
        <f t="shared" si="133"/>
        <v>0.08</v>
      </c>
      <c r="M281" s="35">
        <f t="shared" si="133"/>
        <v>0.13</v>
      </c>
      <c r="N281" s="35">
        <f t="shared" si="133"/>
        <v>0.24</v>
      </c>
      <c r="O281" s="35">
        <f t="shared" si="133"/>
        <v>0.15</v>
      </c>
      <c r="P281" s="35">
        <f t="shared" si="133"/>
        <v>0.21</v>
      </c>
    </row>
    <row r="282" spans="4:16" x14ac:dyDescent="0.25">
      <c r="D282" s="35" t="s">
        <v>68</v>
      </c>
      <c r="E282" s="35" t="str">
        <f t="shared" si="127"/>
        <v>Low</v>
      </c>
      <c r="F282" s="35" t="str">
        <f t="shared" si="127"/>
        <v>Winter</v>
      </c>
      <c r="G282" s="35">
        <f t="shared" ref="G282:P282" si="134">G217</f>
        <v>0.08</v>
      </c>
      <c r="H282" s="35">
        <f t="shared" si="134"/>
        <v>0.04</v>
      </c>
      <c r="I282" s="35">
        <f t="shared" si="134"/>
        <v>0.06</v>
      </c>
      <c r="J282" s="35">
        <f t="shared" si="134"/>
        <v>0.18</v>
      </c>
      <c r="K282" s="35">
        <f t="shared" si="134"/>
        <v>0.11</v>
      </c>
      <c r="L282" s="35">
        <f t="shared" si="134"/>
        <v>-7.0000000000000007E-2</v>
      </c>
      <c r="M282" s="35">
        <f t="shared" si="134"/>
        <v>0.13</v>
      </c>
      <c r="N282" s="35">
        <f t="shared" si="134"/>
        <v>0.16</v>
      </c>
      <c r="O282" s="35">
        <f t="shared" si="134"/>
        <v>0.4</v>
      </c>
      <c r="P282" s="35">
        <f t="shared" si="134"/>
        <v>0.33</v>
      </c>
    </row>
    <row r="283" spans="4:16" x14ac:dyDescent="0.25">
      <c r="M283" s="21"/>
    </row>
    <row r="284" spans="4:16" x14ac:dyDescent="0.25">
      <c r="M284" s="21"/>
    </row>
    <row r="285" spans="4:16" ht="23.25" x14ac:dyDescent="0.25">
      <c r="D285" s="6" t="str" cm="1">
        <f t="array" ref="D285">SourceData_PastureBeef.SourceData_PastureBeef_DryMatterDigestibility_Title()</f>
        <v>Beef pasture cattle - Dry matter digestibility of feed intake (fraction) (DMDj)</v>
      </c>
      <c r="M285" s="21"/>
    </row>
    <row r="286" spans="4:16" x14ac:dyDescent="0.25">
      <c r="D286" s="5" t="str" cm="1">
        <f t="array" ref="D286">SourceData_PastureBeef.SourceData_PastureBeef_DryMatterDigestibility_Source()</f>
        <v>VEERG 2026: Table A.1.2.5</v>
      </c>
      <c r="M286" s="21"/>
    </row>
    <row r="287" spans="4:16" x14ac:dyDescent="0.25">
      <c r="D287" s="1" t="str" cm="1">
        <f t="array" ref="D287">SourceData_PastureBeef.SourceData_PastureBeef_DryMatterDigestibility_Variable()</f>
        <v>DMDj</v>
      </c>
      <c r="M287" s="21"/>
    </row>
    <row r="288" spans="4:16" x14ac:dyDescent="0.25">
      <c r="D288" s="51" t="str" cm="1">
        <f t="array" ref="D288">SourceData_PastureBeef.SourceData_PastureBeef_DryMatterDigestibility_Unit()</f>
        <v>fraction</v>
      </c>
      <c r="M288" s="21"/>
    </row>
    <row r="289" spans="4:13" x14ac:dyDescent="0.25">
      <c r="D289" s="52" t="str" cm="1">
        <f t="array" ref="D289">SourceData_PastureBeef.SourceData_PastureBeef_DryMatterDigestibility_Variation()</f>
        <v>VARIATION ON SOURCE: Split ACT and NSW into separate rows. Duplicated QLD and NT rows with regions from table A.1.2.2 to aid lookup</v>
      </c>
      <c r="M289" s="21"/>
    </row>
    <row r="290" spans="4:13" x14ac:dyDescent="0.25">
      <c r="D290" s="35" t="s">
        <v>5</v>
      </c>
      <c r="E290" s="35" t="s">
        <v>144</v>
      </c>
      <c r="F290" s="35" t="s">
        <v>134</v>
      </c>
      <c r="G290" s="35" t="s">
        <v>135</v>
      </c>
      <c r="H290" s="35" t="s">
        <v>136</v>
      </c>
      <c r="I290" s="35" t="s">
        <v>137</v>
      </c>
      <c r="M290" s="21"/>
    </row>
    <row r="291" spans="4:13" x14ac:dyDescent="0.25">
      <c r="D291" s="35" t="str" cm="1">
        <f t="array" ref="D291">Common_InputFunctions.Utility_DisplayArrayInTable(SourceData_PastureBeef.SourceData_PastureBeef_DryMatterDigestibility_Data(), Table_SourceData_PastureBeef_DryMatterDigestibility[[#Headers],[State]], 0)</f>
        <v>ACT</v>
      </c>
      <c r="E291" s="35" t="str" cm="1">
        <f t="array" ref="E291">Common_InputFunctions.Utility_DisplayArrayInTable(SourceData_PastureBeef.SourceData_PastureBeef_DryMatterDigestibility_Data(), Table_SourceData_PastureBeef_DryMatterDigestibility[[#Headers],[State]], 0)</f>
        <v>n/a</v>
      </c>
      <c r="F291" s="35" cm="1">
        <f t="array" ref="F291">Common_InputFunctions.Utility_DisplayArrayInTable(SourceData_PastureBeef.SourceData_PastureBeef_DryMatterDigestibility_Data(), Table_SourceData_PastureBeef_DryMatterDigestibility[[#Headers],[State]], 0)</f>
        <v>0.55000000000000004</v>
      </c>
      <c r="G291" s="35" cm="1">
        <f t="array" ref="G291">Common_InputFunctions.Utility_DisplayArrayInTable(SourceData_PastureBeef.SourceData_PastureBeef_DryMatterDigestibility_Data(), Table_SourceData_PastureBeef_DryMatterDigestibility[[#Headers],[State]], 0)</f>
        <v>0.65</v>
      </c>
      <c r="H291" s="35" cm="1">
        <f t="array" ref="H291">Common_InputFunctions.Utility_DisplayArrayInTable(SourceData_PastureBeef.SourceData_PastureBeef_DryMatterDigestibility_Data(), Table_SourceData_PastureBeef_DryMatterDigestibility[[#Headers],[State]], 0)</f>
        <v>0.6</v>
      </c>
      <c r="I291" s="35" cm="1">
        <f t="array" ref="I291">Common_InputFunctions.Utility_DisplayArrayInTable(SourceData_PastureBeef.SourceData_PastureBeef_DryMatterDigestibility_Data(), Table_SourceData_PastureBeef_DryMatterDigestibility[[#Headers],[State]], 0)</f>
        <v>0.5</v>
      </c>
      <c r="M291" s="21"/>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5" t="str" cm="1">
        <f t="array" ref="E292">Common_InputFunctions.Utility_DisplayArrayInTable(SourceData_PastureBeef.SourceData_PastureBeef_DryMatterDigestibility_Data(), Table_SourceData_PastureBeef_DryMatterDigestibility[[#Headers],[State]], 0)</f>
        <v>n/a</v>
      </c>
      <c r="F292" s="35" cm="1">
        <f t="array" ref="F292">Common_InputFunctions.Utility_DisplayArrayInTable(SourceData_PastureBeef.SourceData_PastureBeef_DryMatterDigestibility_Data(), Table_SourceData_PastureBeef_DryMatterDigestibility[[#Headers],[State]], 0)</f>
        <v>0.55000000000000004</v>
      </c>
      <c r="G292" s="35" cm="1">
        <f t="array" ref="G292">Common_InputFunctions.Utility_DisplayArrayInTable(SourceData_PastureBeef.SourceData_PastureBeef_DryMatterDigestibility_Data(), Table_SourceData_PastureBeef_DryMatterDigestibility[[#Headers],[State]], 0)</f>
        <v>0.65</v>
      </c>
      <c r="H292" s="35" cm="1">
        <f t="array" ref="H292">Common_InputFunctions.Utility_DisplayArrayInTable(SourceData_PastureBeef.SourceData_PastureBeef_DryMatterDigestibility_Data(), Table_SourceData_PastureBeef_DryMatterDigestibility[[#Headers],[State]], 0)</f>
        <v>0.6</v>
      </c>
      <c r="I292" s="35" cm="1">
        <f t="array" ref="I292">Common_InputFunctions.Utility_DisplayArrayInTable(SourceData_PastureBeef.SourceData_PastureBeef_DryMatterDigestibility_Data(), Table_SourceData_PastureBeef_DryMatterDigestibility[[#Headers],[State]], 0)</f>
        <v>0.5</v>
      </c>
      <c r="M292" s="21"/>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5" t="str" cm="1">
        <f t="array" ref="E293">Common_InputFunctions.Utility_DisplayArrayInTable(SourceData_PastureBeef.SourceData_PastureBeef_DryMatterDigestibility_Data(), Table_SourceData_PastureBeef_DryMatterDigestibility[[#Headers],[State]], 0)</f>
        <v>Alice Springs</v>
      </c>
      <c r="F293" s="35" cm="1">
        <f t="array" ref="F293">Common_InputFunctions.Utility_DisplayArrayInTable(SourceData_PastureBeef.SourceData_PastureBeef_DryMatterDigestibility_Data(), Table_SourceData_PastureBeef_DryMatterDigestibility[[#Headers],[State]], 0)</f>
        <v>0.55000000000000004</v>
      </c>
      <c r="G293" s="35" cm="1">
        <f t="array" ref="G293">Common_InputFunctions.Utility_DisplayArrayInTable(SourceData_PastureBeef.SourceData_PastureBeef_DryMatterDigestibility_Data(), Table_SourceData_PastureBeef_DryMatterDigestibility[[#Headers],[State]], 0)</f>
        <v>0.61</v>
      </c>
      <c r="H293" s="35" cm="1">
        <f t="array" ref="H293">Common_InputFunctions.Utility_DisplayArrayInTable(SourceData_PastureBeef.SourceData_PastureBeef_DryMatterDigestibility_Data(), Table_SourceData_PastureBeef_DryMatterDigestibility[[#Headers],[State]], 0)</f>
        <v>0.56999999999999995</v>
      </c>
      <c r="I293" s="35" cm="1">
        <f t="array" ref="I293">Common_InputFunctions.Utility_DisplayArrayInTable(SourceData_PastureBeef.SourceData_PastureBeef_DryMatterDigestibility_Data(), Table_SourceData_PastureBeef_DryMatterDigestibility[[#Headers],[State]], 0)</f>
        <v>0.54</v>
      </c>
      <c r="M293" s="21"/>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5" t="str" cm="1">
        <f t="array" ref="E294">Common_InputFunctions.Utility_DisplayArrayInTable(SourceData_PastureBeef.SourceData_PastureBeef_DryMatterDigestibility_Data(), Table_SourceData_PastureBeef_DryMatterDigestibility[[#Headers],[State]], 0)</f>
        <v>Barkly</v>
      </c>
      <c r="F294" s="35" cm="1">
        <f t="array" ref="F294">Common_InputFunctions.Utility_DisplayArrayInTable(SourceData_PastureBeef.SourceData_PastureBeef_DryMatterDigestibility_Data(), Table_SourceData_PastureBeef_DryMatterDigestibility[[#Headers],[State]], 0)</f>
        <v>0.55000000000000004</v>
      </c>
      <c r="G294" s="35" cm="1">
        <f t="array" ref="G294">Common_InputFunctions.Utility_DisplayArrayInTable(SourceData_PastureBeef.SourceData_PastureBeef_DryMatterDigestibility_Data(), Table_SourceData_PastureBeef_DryMatterDigestibility[[#Headers],[State]], 0)</f>
        <v>0.61</v>
      </c>
      <c r="H294" s="35" cm="1">
        <f t="array" ref="H294">Common_InputFunctions.Utility_DisplayArrayInTable(SourceData_PastureBeef.SourceData_PastureBeef_DryMatterDigestibility_Data(), Table_SourceData_PastureBeef_DryMatterDigestibility[[#Headers],[State]], 0)</f>
        <v>0.56999999999999995</v>
      </c>
      <c r="I294" s="35" cm="1">
        <f t="array" ref="I294">Common_InputFunctions.Utility_DisplayArrayInTable(SourceData_PastureBeef.SourceData_PastureBeef_DryMatterDigestibility_Data(), Table_SourceData_PastureBeef_DryMatterDigestibility[[#Headers],[State]], 0)</f>
        <v>0.54</v>
      </c>
      <c r="M294" s="21"/>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5" t="str" cm="1">
        <f t="array" ref="E295">Common_InputFunctions.Utility_DisplayArrayInTable(SourceData_PastureBeef.SourceData_PastureBeef_DryMatterDigestibility_Data(), Table_SourceData_PastureBeef_DryMatterDigestibility[[#Headers],[State]], 0)</f>
        <v>Northern</v>
      </c>
      <c r="F295" s="35" cm="1">
        <f t="array" ref="F295">Common_InputFunctions.Utility_DisplayArrayInTable(SourceData_PastureBeef.SourceData_PastureBeef_DryMatterDigestibility_Data(), Table_SourceData_PastureBeef_DryMatterDigestibility[[#Headers],[State]], 0)</f>
        <v>0.55000000000000004</v>
      </c>
      <c r="G295" s="35" cm="1">
        <f t="array" ref="G295">Common_InputFunctions.Utility_DisplayArrayInTable(SourceData_PastureBeef.SourceData_PastureBeef_DryMatterDigestibility_Data(), Table_SourceData_PastureBeef_DryMatterDigestibility[[#Headers],[State]], 0)</f>
        <v>0.61</v>
      </c>
      <c r="H295" s="35" cm="1">
        <f t="array" ref="H295">Common_InputFunctions.Utility_DisplayArrayInTable(SourceData_PastureBeef.SourceData_PastureBeef_DryMatterDigestibility_Data(), Table_SourceData_PastureBeef_DryMatterDigestibility[[#Headers],[State]], 0)</f>
        <v>0.56999999999999995</v>
      </c>
      <c r="I295" s="35" cm="1">
        <f t="array" ref="I295">Common_InputFunctions.Utility_DisplayArrayInTable(SourceData_PastureBeef.SourceData_PastureBeef_DryMatterDigestibility_Data(), Table_SourceData_PastureBeef_DryMatterDigestibility[[#Headers],[State]], 0)</f>
        <v>0.54</v>
      </c>
      <c r="M295" s="21"/>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5" t="str" cm="1">
        <f t="array" ref="E296">Common_InputFunctions.Utility_DisplayArrayInTable(SourceData_PastureBeef.SourceData_PastureBeef_DryMatterDigestibility_Data(), Table_SourceData_PastureBeef_DryMatterDigestibility[[#Headers],[State]], 0)</f>
        <v>High</v>
      </c>
      <c r="F296" s="35" cm="1">
        <f t="array" ref="F296">Common_InputFunctions.Utility_DisplayArrayInTable(SourceData_PastureBeef.SourceData_PastureBeef_DryMatterDigestibility_Data(), Table_SourceData_PastureBeef_DryMatterDigestibility[[#Headers],[State]], 0)</f>
        <v>0.53</v>
      </c>
      <c r="G296" s="35" cm="1">
        <f t="array" ref="G296">Common_InputFunctions.Utility_DisplayArrayInTable(SourceData_PastureBeef.SourceData_PastureBeef_DryMatterDigestibility_Data(), Table_SourceData_PastureBeef_DryMatterDigestibility[[#Headers],[State]], 0)</f>
        <v>0.56999999999999995</v>
      </c>
      <c r="H296" s="35" cm="1">
        <f t="array" ref="H296">Common_InputFunctions.Utility_DisplayArrayInTable(SourceData_PastureBeef.SourceData_PastureBeef_DryMatterDigestibility_Data(), Table_SourceData_PastureBeef_DryMatterDigestibility[[#Headers],[State]], 0)</f>
        <v>0.55000000000000004</v>
      </c>
      <c r="I296" s="35" cm="1">
        <f t="array" ref="I296">Common_InputFunctions.Utility_DisplayArrayInTable(SourceData_PastureBeef.SourceData_PastureBeef_DryMatterDigestibility_Data(), Table_SourceData_PastureBeef_DryMatterDigestibility[[#Headers],[State]], 0)</f>
        <v>0.51</v>
      </c>
      <c r="M296" s="21"/>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5" t="str" cm="1">
        <f t="array" ref="E297">Common_InputFunctions.Utility_DisplayArrayInTable(SourceData_PastureBeef.SourceData_PastureBeef_DryMatterDigestibility_Data(), Table_SourceData_PastureBeef_DryMatterDigestibility[[#Headers],[State]], 0)</f>
        <v>Moderate/High</v>
      </c>
      <c r="F297" s="35" cm="1">
        <f t="array" ref="F297">Common_InputFunctions.Utility_DisplayArrayInTable(SourceData_PastureBeef.SourceData_PastureBeef_DryMatterDigestibility_Data(), Table_SourceData_PastureBeef_DryMatterDigestibility[[#Headers],[State]], 0)</f>
        <v>0.53</v>
      </c>
      <c r="G297" s="35" cm="1">
        <f t="array" ref="G297">Common_InputFunctions.Utility_DisplayArrayInTable(SourceData_PastureBeef.SourceData_PastureBeef_DryMatterDigestibility_Data(), Table_SourceData_PastureBeef_DryMatterDigestibility[[#Headers],[State]], 0)</f>
        <v>0.56999999999999995</v>
      </c>
      <c r="H297" s="35" cm="1">
        <f t="array" ref="H297">Common_InputFunctions.Utility_DisplayArrayInTable(SourceData_PastureBeef.SourceData_PastureBeef_DryMatterDigestibility_Data(), Table_SourceData_PastureBeef_DryMatterDigestibility[[#Headers],[State]], 0)</f>
        <v>0.55000000000000004</v>
      </c>
      <c r="I297" s="35" cm="1">
        <f t="array" ref="I297">Common_InputFunctions.Utility_DisplayArrayInTable(SourceData_PastureBeef.SourceData_PastureBeef_DryMatterDigestibility_Data(), Table_SourceData_PastureBeef_DryMatterDigestibility[[#Headers],[State]], 0)</f>
        <v>0.51</v>
      </c>
      <c r="M297" s="21"/>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5" t="str" cm="1">
        <f t="array" ref="E298">Common_InputFunctions.Utility_DisplayArrayInTable(SourceData_PastureBeef.SourceData_PastureBeef_DryMatterDigestibility_Data(), Table_SourceData_PastureBeef_DryMatterDigestibility[[#Headers],[State]], 0)</f>
        <v>Moderate/Low</v>
      </c>
      <c r="F298" s="35" cm="1">
        <f t="array" ref="F298">Common_InputFunctions.Utility_DisplayArrayInTable(SourceData_PastureBeef.SourceData_PastureBeef_DryMatterDigestibility_Data(), Table_SourceData_PastureBeef_DryMatterDigestibility[[#Headers],[State]], 0)</f>
        <v>0.53</v>
      </c>
      <c r="G298" s="35" cm="1">
        <f t="array" ref="G298">Common_InputFunctions.Utility_DisplayArrayInTable(SourceData_PastureBeef.SourceData_PastureBeef_DryMatterDigestibility_Data(), Table_SourceData_PastureBeef_DryMatterDigestibility[[#Headers],[State]], 0)</f>
        <v>0.56999999999999995</v>
      </c>
      <c r="H298" s="35" cm="1">
        <f t="array" ref="H298">Common_InputFunctions.Utility_DisplayArrayInTable(SourceData_PastureBeef.SourceData_PastureBeef_DryMatterDigestibility_Data(), Table_SourceData_PastureBeef_DryMatterDigestibility[[#Headers],[State]], 0)</f>
        <v>0.55000000000000004</v>
      </c>
      <c r="I298" s="35" cm="1">
        <f t="array" ref="I298">Common_InputFunctions.Utility_DisplayArrayInTable(SourceData_PastureBeef.SourceData_PastureBeef_DryMatterDigestibility_Data(), Table_SourceData_PastureBeef_DryMatterDigestibility[[#Headers],[State]], 0)</f>
        <v>0.51</v>
      </c>
      <c r="M298" s="21"/>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5" t="str" cm="1">
        <f t="array" ref="E299">Common_InputFunctions.Utility_DisplayArrayInTable(SourceData_PastureBeef.SourceData_PastureBeef_DryMatterDigestibility_Data(), Table_SourceData_PastureBeef_DryMatterDigestibility[[#Headers],[State]], 0)</f>
        <v>Low</v>
      </c>
      <c r="F299" s="35" cm="1">
        <f t="array" ref="F299">Common_InputFunctions.Utility_DisplayArrayInTable(SourceData_PastureBeef.SourceData_PastureBeef_DryMatterDigestibility_Data(), Table_SourceData_PastureBeef_DryMatterDigestibility[[#Headers],[State]], 0)</f>
        <v>0.53</v>
      </c>
      <c r="G299" s="35" cm="1">
        <f t="array" ref="G299">Common_InputFunctions.Utility_DisplayArrayInTable(SourceData_PastureBeef.SourceData_PastureBeef_DryMatterDigestibility_Data(), Table_SourceData_PastureBeef_DryMatterDigestibility[[#Headers],[State]], 0)</f>
        <v>0.56999999999999995</v>
      </c>
      <c r="H299" s="35" cm="1">
        <f t="array" ref="H299">Common_InputFunctions.Utility_DisplayArrayInTable(SourceData_PastureBeef.SourceData_PastureBeef_DryMatterDigestibility_Data(), Table_SourceData_PastureBeef_DryMatterDigestibility[[#Headers],[State]], 0)</f>
        <v>0.55000000000000004</v>
      </c>
      <c r="I299" s="35" cm="1">
        <f t="array" ref="I299">Common_InputFunctions.Utility_DisplayArrayInTable(SourceData_PastureBeef.SourceData_PastureBeef_DryMatterDigestibility_Data(), Table_SourceData_PastureBeef_DryMatterDigestibility[[#Headers],[State]], 0)</f>
        <v>0.51</v>
      </c>
      <c r="M299" s="21"/>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5" t="str" cm="1">
        <f t="array" ref="E300">Common_InputFunctions.Utility_DisplayArrayInTable(SourceData_PastureBeef.SourceData_PastureBeef_DryMatterDigestibility_Data(), Table_SourceData_PastureBeef_DryMatterDigestibility[[#Headers],[State]], 0)</f>
        <v>n/a</v>
      </c>
      <c r="F300" s="35" cm="1">
        <f t="array" ref="F300">Common_InputFunctions.Utility_DisplayArrayInTable(SourceData_PastureBeef.SourceData_PastureBeef_DryMatterDigestibility_Data(), Table_SourceData_PastureBeef_DryMatterDigestibility[[#Headers],[State]], 0)</f>
        <v>0.7</v>
      </c>
      <c r="G300" s="35" cm="1">
        <f t="array" ref="G300">Common_InputFunctions.Utility_DisplayArrayInTable(SourceData_PastureBeef.SourceData_PastureBeef_DryMatterDigestibility_Data(), Table_SourceData_PastureBeef_DryMatterDigestibility[[#Headers],[State]], 0)</f>
        <v>0.55000000000000004</v>
      </c>
      <c r="H300" s="35" cm="1">
        <f t="array" ref="H300">Common_InputFunctions.Utility_DisplayArrayInTable(SourceData_PastureBeef.SourceData_PastureBeef_DryMatterDigestibility_Data(), Table_SourceData_PastureBeef_DryMatterDigestibility[[#Headers],[State]], 0)</f>
        <v>0.55000000000000004</v>
      </c>
      <c r="I300" s="35" cm="1">
        <f t="array" ref="I300">Common_InputFunctions.Utility_DisplayArrayInTable(SourceData_PastureBeef.SourceData_PastureBeef_DryMatterDigestibility_Data(), Table_SourceData_PastureBeef_DryMatterDigestibility[[#Headers],[State]], 0)</f>
        <v>0.75</v>
      </c>
      <c r="M300" s="21"/>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5" t="str" cm="1">
        <f t="array" ref="E301">Common_InputFunctions.Utility_DisplayArrayInTable(SourceData_PastureBeef.SourceData_PastureBeef_DryMatterDigestibility_Data(), Table_SourceData_PastureBeef_DryMatterDigestibility[[#Headers],[State]], 0)</f>
        <v>n/a</v>
      </c>
      <c r="F301" s="35" cm="1">
        <f t="array" ref="F301">Common_InputFunctions.Utility_DisplayArrayInTable(SourceData_PastureBeef.SourceData_PastureBeef_DryMatterDigestibility_Data(), Table_SourceData_PastureBeef_DryMatterDigestibility[[#Headers],[State]], 0)</f>
        <v>0.75</v>
      </c>
      <c r="G301" s="35" cm="1">
        <f t="array" ref="G301">Common_InputFunctions.Utility_DisplayArrayInTable(SourceData_PastureBeef.SourceData_PastureBeef_DryMatterDigestibility_Data(), Table_SourceData_PastureBeef_DryMatterDigestibility[[#Headers],[State]], 0)</f>
        <v>0.6</v>
      </c>
      <c r="H301" s="35" cm="1">
        <f t="array" ref="H301">Common_InputFunctions.Utility_DisplayArrayInTable(SourceData_PastureBeef.SourceData_PastureBeef_DryMatterDigestibility_Data(), Table_SourceData_PastureBeef_DryMatterDigestibility[[#Headers],[State]], 0)</f>
        <v>0.7</v>
      </c>
      <c r="I301" s="35" cm="1">
        <f t="array" ref="I301">Common_InputFunctions.Utility_DisplayArrayInTable(SourceData_PastureBeef.SourceData_PastureBeef_DryMatterDigestibility_Data(), Table_SourceData_PastureBeef_DryMatterDigestibility[[#Headers],[State]], 0)</f>
        <v>0.75</v>
      </c>
      <c r="M301" s="21"/>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5" t="str" cm="1">
        <f t="array" ref="E302">Common_InputFunctions.Utility_DisplayArrayInTable(SourceData_PastureBeef.SourceData_PastureBeef_DryMatterDigestibility_Data(), Table_SourceData_PastureBeef_DryMatterDigestibility[[#Headers],[State]], 0)</f>
        <v>n/a</v>
      </c>
      <c r="F302" s="35" cm="1">
        <f t="array" ref="F302">Common_InputFunctions.Utility_DisplayArrayInTable(SourceData_PastureBeef.SourceData_PastureBeef_DryMatterDigestibility_Data(), Table_SourceData_PastureBeef_DryMatterDigestibility[[#Headers],[State]], 0)</f>
        <v>0.8</v>
      </c>
      <c r="G302" s="35" cm="1">
        <f t="array" ref="G302">Common_InputFunctions.Utility_DisplayArrayInTable(SourceData_PastureBeef.SourceData_PastureBeef_DryMatterDigestibility_Data(), Table_SourceData_PastureBeef_DryMatterDigestibility[[#Headers],[State]], 0)</f>
        <v>0.55000000000000004</v>
      </c>
      <c r="H302" s="35" cm="1">
        <f t="array" ref="H302">Common_InputFunctions.Utility_DisplayArrayInTable(SourceData_PastureBeef.SourceData_PastureBeef_DryMatterDigestibility_Data(), Table_SourceData_PastureBeef_DryMatterDigestibility[[#Headers],[State]], 0)</f>
        <v>0.6</v>
      </c>
      <c r="I302" s="35" cm="1">
        <f t="array" ref="I302">Common_InputFunctions.Utility_DisplayArrayInTable(SourceData_PastureBeef.SourceData_PastureBeef_DryMatterDigestibility_Data(), Table_SourceData_PastureBeef_DryMatterDigestibility[[#Headers],[State]], 0)</f>
        <v>0.76</v>
      </c>
      <c r="M302" s="21"/>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5" t="str" cm="1">
        <f t="array" ref="E303">Common_InputFunctions.Utility_DisplayArrayInTable(SourceData_PastureBeef.SourceData_PastureBeef_DryMatterDigestibility_Data(), Table_SourceData_PastureBeef_DryMatterDigestibility[[#Headers],[State]], 0)</f>
        <v>South West</v>
      </c>
      <c r="F303" s="35" cm="1">
        <f t="array" ref="F303">Common_InputFunctions.Utility_DisplayArrayInTable(SourceData_PastureBeef.SourceData_PastureBeef_DryMatterDigestibility_Data(), Table_SourceData_PastureBeef_DryMatterDigestibility[[#Headers],[State]], 0)</f>
        <v>0.8</v>
      </c>
      <c r="G303" s="35" cm="1">
        <f t="array" ref="G303">Common_InputFunctions.Utility_DisplayArrayInTable(SourceData_PastureBeef.SourceData_PastureBeef_DryMatterDigestibility_Data(), Table_SourceData_PastureBeef_DryMatterDigestibility[[#Headers],[State]], 0)</f>
        <v>0.57999999999999996</v>
      </c>
      <c r="H303" s="35" cm="1">
        <f t="array" ref="H303">Common_InputFunctions.Utility_DisplayArrayInTable(SourceData_PastureBeef.SourceData_PastureBeef_DryMatterDigestibility_Data(), Table_SourceData_PastureBeef_DryMatterDigestibility[[#Headers],[State]], 0)</f>
        <v>0.5</v>
      </c>
      <c r="I303" s="35" cm="1">
        <f t="array" ref="I303">Common_InputFunctions.Utility_DisplayArrayInTable(SourceData_PastureBeef.SourceData_PastureBeef_DryMatterDigestibility_Data(), Table_SourceData_PastureBeef_DryMatterDigestibility[[#Headers],[State]], 0)</f>
        <v>0.75</v>
      </c>
      <c r="M303" s="21"/>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5" t="str" cm="1">
        <f t="array" ref="E304">Common_InputFunctions.Utility_DisplayArrayInTable(SourceData_PastureBeef.SourceData_PastureBeef_DryMatterDigestibility_Data(), Table_SourceData_PastureBeef_DryMatterDigestibility[[#Headers],[State]], 0)</f>
        <v>Pilbara</v>
      </c>
      <c r="F304" s="35" cm="1">
        <f t="array" ref="F304">Common_InputFunctions.Utility_DisplayArrayInTable(SourceData_PastureBeef.SourceData_PastureBeef_DryMatterDigestibility_Data(), Table_SourceData_PastureBeef_DryMatterDigestibility[[#Headers],[State]], 0)</f>
        <v>0.4</v>
      </c>
      <c r="G304" s="35" cm="1">
        <f t="array" ref="G304">Common_InputFunctions.Utility_DisplayArrayInTable(SourceData_PastureBeef.SourceData_PastureBeef_DryMatterDigestibility_Data(), Table_SourceData_PastureBeef_DryMatterDigestibility[[#Headers],[State]], 0)</f>
        <v>0.65</v>
      </c>
      <c r="H304" s="35" cm="1">
        <f t="array" ref="H304">Common_InputFunctions.Utility_DisplayArrayInTable(SourceData_PastureBeef.SourceData_PastureBeef_DryMatterDigestibility_Data(), Table_SourceData_PastureBeef_DryMatterDigestibility[[#Headers],[State]], 0)</f>
        <v>0.55000000000000004</v>
      </c>
      <c r="I304" s="35" cm="1">
        <f t="array" ref="I304">Common_InputFunctions.Utility_DisplayArrayInTable(SourceData_PastureBeef.SourceData_PastureBeef_DryMatterDigestibility_Data(), Table_SourceData_PastureBeef_DryMatterDigestibility[[#Headers],[State]], 0)</f>
        <v>0.45</v>
      </c>
      <c r="M304" s="21"/>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5" t="str" cm="1">
        <f t="array" ref="E305">Common_InputFunctions.Utility_DisplayArrayInTable(SourceData_PastureBeef.SourceData_PastureBeef_DryMatterDigestibility_Data(), Table_SourceData_PastureBeef_DryMatterDigestibility[[#Headers],[State]], 0)</f>
        <v>Kimberley</v>
      </c>
      <c r="F305" s="35" cm="1">
        <f t="array" ref="F305">Common_InputFunctions.Utility_DisplayArrayInTable(SourceData_PastureBeef.SourceData_PastureBeef_DryMatterDigestibility_Data(), Table_SourceData_PastureBeef_DryMatterDigestibility[[#Headers],[State]], 0)</f>
        <v>0.4</v>
      </c>
      <c r="G305" s="35" cm="1">
        <f t="array" ref="G305">Common_InputFunctions.Utility_DisplayArrayInTable(SourceData_PastureBeef.SourceData_PastureBeef_DryMatterDigestibility_Data(), Table_SourceData_PastureBeef_DryMatterDigestibility[[#Headers],[State]], 0)</f>
        <v>0.65</v>
      </c>
      <c r="H305" s="35" cm="1">
        <f t="array" ref="H305">Common_InputFunctions.Utility_DisplayArrayInTable(SourceData_PastureBeef.SourceData_PastureBeef_DryMatterDigestibility_Data(), Table_SourceData_PastureBeef_DryMatterDigestibility[[#Headers],[State]], 0)</f>
        <v>0.55000000000000004</v>
      </c>
      <c r="I305" s="35" cm="1">
        <f t="array" ref="I305">Common_InputFunctions.Utility_DisplayArrayInTable(SourceData_PastureBeef.SourceData_PastureBeef_DryMatterDigestibility_Data(), Table_SourceData_PastureBeef_DryMatterDigestibility[[#Headers],[State]], 0)</f>
        <v>0.45</v>
      </c>
      <c r="M305" s="21"/>
    </row>
    <row r="306" spans="4:13" x14ac:dyDescent="0.25">
      <c r="M306" s="21"/>
    </row>
    <row r="307" spans="4:13" x14ac:dyDescent="0.25">
      <c r="M307" s="21"/>
    </row>
    <row r="308" spans="4:13" ht="23.25" x14ac:dyDescent="0.25">
      <c r="D308" s="6" t="str" cm="1">
        <f t="array" ref="D308">SourceData_PastureBeef.SourceData_PastureBeef_CrudeProteinContent_Title()</f>
        <v>Beef pasture cattle - Crude protein content of feed intake (fraction) (CPj)</v>
      </c>
      <c r="M308" s="21"/>
    </row>
    <row r="309" spans="4:13" x14ac:dyDescent="0.25">
      <c r="D309" s="5" t="str" cm="1">
        <f t="array" ref="D309">SourceData_PastureBeef.SourceData_PastureBeef_CrudeProteinContent_Source()</f>
        <v>VEERG 2026: Table A.1.2.6</v>
      </c>
      <c r="M309" s="21"/>
    </row>
    <row r="310" spans="4:13" x14ac:dyDescent="0.25">
      <c r="D310" s="1" t="str" cm="1">
        <f t="array" ref="D310">SourceData_PastureBeef.SourceData_PastureBeef_CrudeProteinContent_Variable()</f>
        <v>CPj</v>
      </c>
      <c r="M310" s="21"/>
    </row>
    <row r="311" spans="4:13" x14ac:dyDescent="0.25">
      <c r="D311" s="51" t="str" cm="1">
        <f t="array" ref="D311">SourceData_PastureBeef.SourceData_PastureBeef_CrudeProteinContent_Unit()</f>
        <v>fraction</v>
      </c>
      <c r="M311" s="21"/>
    </row>
    <row r="312" spans="4:13" x14ac:dyDescent="0.25">
      <c r="D312" s="52" t="str" cm="1">
        <f t="array" ref="D312">SourceData_PastureBeef.SourceData_PastureBeef_CrudeProteinContent_Variation()</f>
        <v>VARIATION ON SOURCE: Split ACT and NSW into separate rows. Duplicated QLD and NT rows with regions from table A.1.2.2 to aid lookup</v>
      </c>
      <c r="M312" s="21"/>
    </row>
    <row r="313" spans="4:13" x14ac:dyDescent="0.25">
      <c r="D313" s="35" t="s">
        <v>5</v>
      </c>
      <c r="E313" s="35" t="s">
        <v>144</v>
      </c>
      <c r="F313" s="35" t="s">
        <v>134</v>
      </c>
      <c r="G313" s="35" t="s">
        <v>135</v>
      </c>
      <c r="H313" s="35" t="s">
        <v>136</v>
      </c>
      <c r="I313" s="35" t="s">
        <v>137</v>
      </c>
      <c r="M313" s="21"/>
    </row>
    <row r="314" spans="4:13" x14ac:dyDescent="0.25">
      <c r="D314" s="35" t="str" cm="1">
        <f t="array" ref="D314">Common_InputFunctions.Utility_DisplayArrayInTable(SourceData_PastureBeef.SourceData_PastureBeef_CrudeProteinContent_Data(), Table_SourceData_PastureBeef_CrudeProtein[[#Headers],[State]], 0)</f>
        <v>ACT</v>
      </c>
      <c r="E314" s="35" t="str" cm="1">
        <f t="array" ref="E314">Common_InputFunctions.Utility_DisplayArrayInTable(SourceData_PastureBeef.SourceData_PastureBeef_CrudeProteinContent_Data(), Table_SourceData_PastureBeef_CrudeProtein[[#Headers],[State]], 0)</f>
        <v>n/a</v>
      </c>
      <c r="F314" s="35" cm="1">
        <f t="array" ref="F314">Common_InputFunctions.Utility_DisplayArrayInTable(SourceData_PastureBeef.SourceData_PastureBeef_CrudeProteinContent_Data(), Table_SourceData_PastureBeef_CrudeProtein[[#Headers],[State]], 0)</f>
        <v>7.0000000000000007E-2</v>
      </c>
      <c r="G314" s="35" cm="1">
        <f t="array" ref="G314">Common_InputFunctions.Utility_DisplayArrayInTable(SourceData_PastureBeef.SourceData_PastureBeef_CrudeProteinContent_Data(), Table_SourceData_PastureBeef_CrudeProtein[[#Headers],[State]], 0)</f>
        <v>0.13</v>
      </c>
      <c r="H314" s="35" cm="1">
        <f t="array" ref="H314">Common_InputFunctions.Utility_DisplayArrayInTable(SourceData_PastureBeef.SourceData_PastureBeef_CrudeProteinContent_Data(), Table_SourceData_PastureBeef_CrudeProtein[[#Headers],[State]], 0)</f>
        <v>0.1</v>
      </c>
      <c r="I314" s="35" cm="1">
        <f t="array" ref="I314">Common_InputFunctions.Utility_DisplayArrayInTable(SourceData_PastureBeef.SourceData_PastureBeef_CrudeProteinContent_Data(), Table_SourceData_PastureBeef_CrudeProtein[[#Headers],[State]], 0)</f>
        <v>0.06</v>
      </c>
      <c r="M314" s="21"/>
    </row>
    <row r="315" spans="4:13" x14ac:dyDescent="0.25">
      <c r="D315" s="35" t="str" cm="1">
        <f t="array" ref="D315">Common_InputFunctions.Utility_DisplayArrayInTable(SourceData_PastureBeef.SourceData_PastureBeef_CrudeProteinContent_Data(), Table_SourceData_PastureBeef_CrudeProtein[[#Headers],[State]], 0)</f>
        <v>NSW</v>
      </c>
      <c r="E315" s="35" t="str" cm="1">
        <f t="array" ref="E315">Common_InputFunctions.Utility_DisplayArrayInTable(SourceData_PastureBeef.SourceData_PastureBeef_CrudeProteinContent_Data(), Table_SourceData_PastureBeef_CrudeProtein[[#Headers],[State]], 0)</f>
        <v>n/a</v>
      </c>
      <c r="F315" s="35" cm="1">
        <f t="array" ref="F315">Common_InputFunctions.Utility_DisplayArrayInTable(SourceData_PastureBeef.SourceData_PastureBeef_CrudeProteinContent_Data(), Table_SourceData_PastureBeef_CrudeProtein[[#Headers],[State]], 0)</f>
        <v>7.0000000000000007E-2</v>
      </c>
      <c r="G315" s="35" cm="1">
        <f t="array" ref="G315">Common_InputFunctions.Utility_DisplayArrayInTable(SourceData_PastureBeef.SourceData_PastureBeef_CrudeProteinContent_Data(), Table_SourceData_PastureBeef_CrudeProtein[[#Headers],[State]], 0)</f>
        <v>0.13</v>
      </c>
      <c r="H315" s="35" cm="1">
        <f t="array" ref="H315">Common_InputFunctions.Utility_DisplayArrayInTable(SourceData_PastureBeef.SourceData_PastureBeef_CrudeProteinContent_Data(), Table_SourceData_PastureBeef_CrudeProtein[[#Headers],[State]], 0)</f>
        <v>0.1</v>
      </c>
      <c r="I315" s="35" cm="1">
        <f t="array" ref="I315">Common_InputFunctions.Utility_DisplayArrayInTable(SourceData_PastureBeef.SourceData_PastureBeef_CrudeProteinContent_Data(), Table_SourceData_PastureBeef_CrudeProtein[[#Headers],[State]], 0)</f>
        <v>0.06</v>
      </c>
      <c r="M315" s="21"/>
    </row>
    <row r="316" spans="4:13" x14ac:dyDescent="0.25">
      <c r="D316" s="35" t="str" cm="1">
        <f t="array" ref="D316">Common_InputFunctions.Utility_DisplayArrayInTable(SourceData_PastureBeef.SourceData_PastureBeef_CrudeProteinContent_Data(), Table_SourceData_PastureBeef_CrudeProtein[[#Headers],[State]], 0)</f>
        <v>NT</v>
      </c>
      <c r="E316" s="35" t="str" cm="1">
        <f t="array" ref="E316">Common_InputFunctions.Utility_DisplayArrayInTable(SourceData_PastureBeef.SourceData_PastureBeef_CrudeProteinContent_Data(), Table_SourceData_PastureBeef_CrudeProtein[[#Headers],[State]], 0)</f>
        <v>Alice Springs</v>
      </c>
      <c r="F316" s="35" cm="1">
        <f t="array" ref="F316">Common_InputFunctions.Utility_DisplayArrayInTable(SourceData_PastureBeef.SourceData_PastureBeef_CrudeProteinContent_Data(), Table_SourceData_PastureBeef_CrudeProtein[[#Headers],[State]], 0)</f>
        <v>5.8000000000000003E-2</v>
      </c>
      <c r="G316" s="35" cm="1">
        <f t="array" ref="G316">Common_InputFunctions.Utility_DisplayArrayInTable(SourceData_PastureBeef.SourceData_PastureBeef_CrudeProteinContent_Data(), Table_SourceData_PastureBeef_CrudeProtein[[#Headers],[State]], 0)</f>
        <v>9.1999999999999998E-2</v>
      </c>
      <c r="H316" s="35" cm="1">
        <f t="array" ref="H316">Common_InputFunctions.Utility_DisplayArrayInTable(SourceData_PastureBeef.SourceData_PastureBeef_CrudeProteinContent_Data(), Table_SourceData_PastureBeef_CrudeProtein[[#Headers],[State]], 0)</f>
        <v>7.4999999999999997E-2</v>
      </c>
      <c r="I316" s="35" cm="1">
        <f t="array" ref="I316">Common_InputFunctions.Utility_DisplayArrayInTable(SourceData_PastureBeef.SourceData_PastureBeef_CrudeProteinContent_Data(), Table_SourceData_PastureBeef_CrudeProtein[[#Headers],[State]], 0)</f>
        <v>5.2999999999999999E-2</v>
      </c>
      <c r="M316" s="21"/>
    </row>
    <row r="317" spans="4:13" x14ac:dyDescent="0.25">
      <c r="D317" s="35" t="str" cm="1">
        <f t="array" ref="D317">Common_InputFunctions.Utility_DisplayArrayInTable(SourceData_PastureBeef.SourceData_PastureBeef_CrudeProteinContent_Data(), Table_SourceData_PastureBeef_CrudeProtein[[#Headers],[State]], 0)</f>
        <v>NT</v>
      </c>
      <c r="E317" s="35" t="str" cm="1">
        <f t="array" ref="E317">Common_InputFunctions.Utility_DisplayArrayInTable(SourceData_PastureBeef.SourceData_PastureBeef_CrudeProteinContent_Data(), Table_SourceData_PastureBeef_CrudeProtein[[#Headers],[State]], 0)</f>
        <v>Barkly</v>
      </c>
      <c r="F317" s="35" cm="1">
        <f t="array" ref="F317">Common_InputFunctions.Utility_DisplayArrayInTable(SourceData_PastureBeef.SourceData_PastureBeef_CrudeProteinContent_Data(), Table_SourceData_PastureBeef_CrudeProtein[[#Headers],[State]], 0)</f>
        <v>5.8000000000000003E-2</v>
      </c>
      <c r="G317" s="35" cm="1">
        <f t="array" ref="G317">Common_InputFunctions.Utility_DisplayArrayInTable(SourceData_PastureBeef.SourceData_PastureBeef_CrudeProteinContent_Data(), Table_SourceData_PastureBeef_CrudeProtein[[#Headers],[State]], 0)</f>
        <v>9.1999999999999998E-2</v>
      </c>
      <c r="H317" s="35" cm="1">
        <f t="array" ref="H317">Common_InputFunctions.Utility_DisplayArrayInTable(SourceData_PastureBeef.SourceData_PastureBeef_CrudeProteinContent_Data(), Table_SourceData_PastureBeef_CrudeProtein[[#Headers],[State]], 0)</f>
        <v>7.4999999999999997E-2</v>
      </c>
      <c r="I317" s="35" cm="1">
        <f t="array" ref="I317">Common_InputFunctions.Utility_DisplayArrayInTable(SourceData_PastureBeef.SourceData_PastureBeef_CrudeProteinContent_Data(), Table_SourceData_PastureBeef_CrudeProtein[[#Headers],[State]], 0)</f>
        <v>5.2999999999999999E-2</v>
      </c>
      <c r="M317" s="21"/>
    </row>
    <row r="318" spans="4:13" x14ac:dyDescent="0.25">
      <c r="D318" s="35" t="str" cm="1">
        <f t="array" ref="D318">Common_InputFunctions.Utility_DisplayArrayInTable(SourceData_PastureBeef.SourceData_PastureBeef_CrudeProteinContent_Data(), Table_SourceData_PastureBeef_CrudeProtein[[#Headers],[State]], 0)</f>
        <v>NT</v>
      </c>
      <c r="E318" s="35" t="str" cm="1">
        <f t="array" ref="E318">Common_InputFunctions.Utility_DisplayArrayInTable(SourceData_PastureBeef.SourceData_PastureBeef_CrudeProteinContent_Data(), Table_SourceData_PastureBeef_CrudeProtein[[#Headers],[State]], 0)</f>
        <v>Northern</v>
      </c>
      <c r="F318" s="35" cm="1">
        <f t="array" ref="F318">Common_InputFunctions.Utility_DisplayArrayInTable(SourceData_PastureBeef.SourceData_PastureBeef_CrudeProteinContent_Data(), Table_SourceData_PastureBeef_CrudeProtein[[#Headers],[State]], 0)</f>
        <v>5.8000000000000003E-2</v>
      </c>
      <c r="G318" s="35" cm="1">
        <f t="array" ref="G318">Common_InputFunctions.Utility_DisplayArrayInTable(SourceData_PastureBeef.SourceData_PastureBeef_CrudeProteinContent_Data(), Table_SourceData_PastureBeef_CrudeProtein[[#Headers],[State]], 0)</f>
        <v>9.1999999999999998E-2</v>
      </c>
      <c r="H318" s="35" cm="1">
        <f t="array" ref="H318">Common_InputFunctions.Utility_DisplayArrayInTable(SourceData_PastureBeef.SourceData_PastureBeef_CrudeProteinContent_Data(), Table_SourceData_PastureBeef_CrudeProtein[[#Headers],[State]], 0)</f>
        <v>7.4999999999999997E-2</v>
      </c>
      <c r="I318" s="35" cm="1">
        <f t="array" ref="I318">Common_InputFunctions.Utility_DisplayArrayInTable(SourceData_PastureBeef.SourceData_PastureBeef_CrudeProteinContent_Data(), Table_SourceData_PastureBeef_CrudeProtein[[#Headers],[State]], 0)</f>
        <v>5.2999999999999999E-2</v>
      </c>
      <c r="M318" s="21"/>
    </row>
    <row r="319" spans="4:13" x14ac:dyDescent="0.25">
      <c r="D319" s="35" t="str" cm="1">
        <f t="array" ref="D319">Common_InputFunctions.Utility_DisplayArrayInTable(SourceData_PastureBeef.SourceData_PastureBeef_CrudeProteinContent_Data(), Table_SourceData_PastureBeef_CrudeProtein[[#Headers],[State]], 0)</f>
        <v>QLD</v>
      </c>
      <c r="E319" s="35" t="str" cm="1">
        <f t="array" ref="E319">Common_InputFunctions.Utility_DisplayArrayInTable(SourceData_PastureBeef.SourceData_PastureBeef_CrudeProteinContent_Data(), Table_SourceData_PastureBeef_CrudeProtein[[#Headers],[State]], 0)</f>
        <v>High</v>
      </c>
      <c r="F319" s="35" cm="1">
        <f t="array" ref="F319">Common_InputFunctions.Utility_DisplayArrayInTable(SourceData_PastureBeef.SourceData_PastureBeef_CrudeProteinContent_Data(), Table_SourceData_PastureBeef_CrudeProtein[[#Headers],[State]], 0)</f>
        <v>7.1999999999999995E-2</v>
      </c>
      <c r="G319" s="35" cm="1">
        <f t="array" ref="G319">Common_InputFunctions.Utility_DisplayArrayInTable(SourceData_PastureBeef.SourceData_PastureBeef_CrudeProteinContent_Data(), Table_SourceData_PastureBeef_CrudeProtein[[#Headers],[State]], 0)</f>
        <v>9.9000000000000005E-2</v>
      </c>
      <c r="H319" s="35" cm="1">
        <f t="array" ref="H319">Common_InputFunctions.Utility_DisplayArrayInTable(SourceData_PastureBeef.SourceData_PastureBeef_CrudeProteinContent_Data(), Table_SourceData_PastureBeef_CrudeProtein[[#Headers],[State]], 0)</f>
        <v>7.8E-2</v>
      </c>
      <c r="I319" s="35"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5" t="str" cm="1">
        <f t="array" ref="D320">Common_InputFunctions.Utility_DisplayArrayInTable(SourceData_PastureBeef.SourceData_PastureBeef_CrudeProteinContent_Data(), Table_SourceData_PastureBeef_CrudeProtein[[#Headers],[State]], 0)</f>
        <v>QLD</v>
      </c>
      <c r="E320" s="35" t="str" cm="1">
        <f t="array" ref="E320">Common_InputFunctions.Utility_DisplayArrayInTable(SourceData_PastureBeef.SourceData_PastureBeef_CrudeProteinContent_Data(), Table_SourceData_PastureBeef_CrudeProtein[[#Headers],[State]], 0)</f>
        <v>Moderate/High</v>
      </c>
      <c r="F320" s="35" cm="1">
        <f t="array" ref="F320">Common_InputFunctions.Utility_DisplayArrayInTable(SourceData_PastureBeef.SourceData_PastureBeef_CrudeProteinContent_Data(), Table_SourceData_PastureBeef_CrudeProtein[[#Headers],[State]], 0)</f>
        <v>7.1999999999999995E-2</v>
      </c>
      <c r="G320" s="35" cm="1">
        <f t="array" ref="G320">Common_InputFunctions.Utility_DisplayArrayInTable(SourceData_PastureBeef.SourceData_PastureBeef_CrudeProteinContent_Data(), Table_SourceData_PastureBeef_CrudeProtein[[#Headers],[State]], 0)</f>
        <v>9.9000000000000005E-2</v>
      </c>
      <c r="H320" s="35" cm="1">
        <f t="array" ref="H320">Common_InputFunctions.Utility_DisplayArrayInTable(SourceData_PastureBeef.SourceData_PastureBeef_CrudeProteinContent_Data(), Table_SourceData_PastureBeef_CrudeProtein[[#Headers],[State]], 0)</f>
        <v>7.8E-2</v>
      </c>
      <c r="I320" s="35"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5" t="str" cm="1">
        <f t="array" ref="D321">Common_InputFunctions.Utility_DisplayArrayInTable(SourceData_PastureBeef.SourceData_PastureBeef_CrudeProteinContent_Data(), Table_SourceData_PastureBeef_CrudeProtein[[#Headers],[State]], 0)</f>
        <v>QLD</v>
      </c>
      <c r="E321" s="35" t="str" cm="1">
        <f t="array" ref="E321">Common_InputFunctions.Utility_DisplayArrayInTable(SourceData_PastureBeef.SourceData_PastureBeef_CrudeProteinContent_Data(), Table_SourceData_PastureBeef_CrudeProtein[[#Headers],[State]], 0)</f>
        <v>Moderate/Low</v>
      </c>
      <c r="F321" s="35" cm="1">
        <f t="array" ref="F321">Common_InputFunctions.Utility_DisplayArrayInTable(SourceData_PastureBeef.SourceData_PastureBeef_CrudeProteinContent_Data(), Table_SourceData_PastureBeef_CrudeProtein[[#Headers],[State]], 0)</f>
        <v>7.1999999999999995E-2</v>
      </c>
      <c r="G321" s="35" cm="1">
        <f t="array" ref="G321">Common_InputFunctions.Utility_DisplayArrayInTable(SourceData_PastureBeef.SourceData_PastureBeef_CrudeProteinContent_Data(), Table_SourceData_PastureBeef_CrudeProtein[[#Headers],[State]], 0)</f>
        <v>9.9000000000000005E-2</v>
      </c>
      <c r="H321" s="35" cm="1">
        <f t="array" ref="H321">Common_InputFunctions.Utility_DisplayArrayInTable(SourceData_PastureBeef.SourceData_PastureBeef_CrudeProteinContent_Data(), Table_SourceData_PastureBeef_CrudeProtein[[#Headers],[State]], 0)</f>
        <v>7.8E-2</v>
      </c>
      <c r="I321" s="35"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5" t="str" cm="1">
        <f t="array" ref="D322">Common_InputFunctions.Utility_DisplayArrayInTable(SourceData_PastureBeef.SourceData_PastureBeef_CrudeProteinContent_Data(), Table_SourceData_PastureBeef_CrudeProtein[[#Headers],[State]], 0)</f>
        <v>QLD</v>
      </c>
      <c r="E322" s="35" t="str" cm="1">
        <f t="array" ref="E322">Common_InputFunctions.Utility_DisplayArrayInTable(SourceData_PastureBeef.SourceData_PastureBeef_CrudeProteinContent_Data(), Table_SourceData_PastureBeef_CrudeProtein[[#Headers],[State]], 0)</f>
        <v>Low</v>
      </c>
      <c r="F322" s="35" cm="1">
        <f t="array" ref="F322">Common_InputFunctions.Utility_DisplayArrayInTable(SourceData_PastureBeef.SourceData_PastureBeef_CrudeProteinContent_Data(), Table_SourceData_PastureBeef_CrudeProtein[[#Headers],[State]], 0)</f>
        <v>7.1999999999999995E-2</v>
      </c>
      <c r="G322" s="35" cm="1">
        <f t="array" ref="G322">Common_InputFunctions.Utility_DisplayArrayInTable(SourceData_PastureBeef.SourceData_PastureBeef_CrudeProteinContent_Data(), Table_SourceData_PastureBeef_CrudeProtein[[#Headers],[State]], 0)</f>
        <v>9.9000000000000005E-2</v>
      </c>
      <c r="H322" s="35" cm="1">
        <f t="array" ref="H322">Common_InputFunctions.Utility_DisplayArrayInTable(SourceData_PastureBeef.SourceData_PastureBeef_CrudeProteinContent_Data(), Table_SourceData_PastureBeef_CrudeProtein[[#Headers],[State]], 0)</f>
        <v>7.8E-2</v>
      </c>
      <c r="I322" s="35"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5" t="str" cm="1">
        <f t="array" ref="D323">Common_InputFunctions.Utility_DisplayArrayInTable(SourceData_PastureBeef.SourceData_PastureBeef_CrudeProteinContent_Data(), Table_SourceData_PastureBeef_CrudeProtein[[#Headers],[State]], 0)</f>
        <v>SA</v>
      </c>
      <c r="E323" s="35" t="str" cm="1">
        <f t="array" ref="E323">Common_InputFunctions.Utility_DisplayArrayInTable(SourceData_PastureBeef.SourceData_PastureBeef_CrudeProteinContent_Data(), Table_SourceData_PastureBeef_CrudeProtein[[#Headers],[State]], 0)</f>
        <v>n/a</v>
      </c>
      <c r="F323" s="35" cm="1">
        <f t="array" ref="F323">Common_InputFunctions.Utility_DisplayArrayInTable(SourceData_PastureBeef.SourceData_PastureBeef_CrudeProteinContent_Data(), Table_SourceData_PastureBeef_CrudeProtein[[#Headers],[State]], 0)</f>
        <v>0.16</v>
      </c>
      <c r="G323" s="35" cm="1">
        <f t="array" ref="G323">Common_InputFunctions.Utility_DisplayArrayInTable(SourceData_PastureBeef.SourceData_PastureBeef_CrudeProteinContent_Data(), Table_SourceData_PastureBeef_CrudeProtein[[#Headers],[State]], 0)</f>
        <v>7.0000000000000007E-2</v>
      </c>
      <c r="H323" s="35" cm="1">
        <f t="array" ref="H323">Common_InputFunctions.Utility_DisplayArrayInTable(SourceData_PastureBeef.SourceData_PastureBeef_CrudeProteinContent_Data(), Table_SourceData_PastureBeef_CrudeProtein[[#Headers],[State]], 0)</f>
        <v>0.09</v>
      </c>
      <c r="I323" s="35" cm="1">
        <f t="array" ref="I323">Common_InputFunctions.Utility_DisplayArrayInTable(SourceData_PastureBeef.SourceData_PastureBeef_CrudeProteinContent_Data(), Table_SourceData_PastureBeef_CrudeProtein[[#Headers],[State]], 0)</f>
        <v>0.2</v>
      </c>
      <c r="M323" s="1"/>
    </row>
    <row r="324" spans="4:13" x14ac:dyDescent="0.25">
      <c r="D324" s="35" t="str" cm="1">
        <f t="array" ref="D324">Common_InputFunctions.Utility_DisplayArrayInTable(SourceData_PastureBeef.SourceData_PastureBeef_CrudeProteinContent_Data(), Table_SourceData_PastureBeef_CrudeProtein[[#Headers],[State]], 0)</f>
        <v>TAS</v>
      </c>
      <c r="E324" s="35" t="str" cm="1">
        <f t="array" ref="E324">Common_InputFunctions.Utility_DisplayArrayInTable(SourceData_PastureBeef.SourceData_PastureBeef_CrudeProteinContent_Data(), Table_SourceData_PastureBeef_CrudeProtein[[#Headers],[State]], 0)</f>
        <v>n/a</v>
      </c>
      <c r="F324" s="35" cm="1">
        <f t="array" ref="F324">Common_InputFunctions.Utility_DisplayArrayInTable(SourceData_PastureBeef.SourceData_PastureBeef_CrudeProteinContent_Data(), Table_SourceData_PastureBeef_CrudeProtein[[#Headers],[State]], 0)</f>
        <v>0.2</v>
      </c>
      <c r="G324" s="35" cm="1">
        <f t="array" ref="G324">Common_InputFunctions.Utility_DisplayArrayInTable(SourceData_PastureBeef.SourceData_PastureBeef_CrudeProteinContent_Data(), Table_SourceData_PastureBeef_CrudeProtein[[#Headers],[State]], 0)</f>
        <v>0.1</v>
      </c>
      <c r="H324" s="35" cm="1">
        <f t="array" ref="H324">Common_InputFunctions.Utility_DisplayArrayInTable(SourceData_PastureBeef.SourceData_PastureBeef_CrudeProteinContent_Data(), Table_SourceData_PastureBeef_CrudeProtein[[#Headers],[State]], 0)</f>
        <v>0.16</v>
      </c>
      <c r="I324" s="35" cm="1">
        <f t="array" ref="I324">Common_InputFunctions.Utility_DisplayArrayInTable(SourceData_PastureBeef.SourceData_PastureBeef_CrudeProteinContent_Data(), Table_SourceData_PastureBeef_CrudeProtein[[#Headers],[State]], 0)</f>
        <v>0.2</v>
      </c>
      <c r="M324" s="1"/>
    </row>
    <row r="325" spans="4:13" x14ac:dyDescent="0.25">
      <c r="D325" s="35" t="str" cm="1">
        <f t="array" ref="D325">Common_InputFunctions.Utility_DisplayArrayInTable(SourceData_PastureBeef.SourceData_PastureBeef_CrudeProteinContent_Data(), Table_SourceData_PastureBeef_CrudeProtein[[#Headers],[State]], 0)</f>
        <v>VIC</v>
      </c>
      <c r="E325" s="35" t="str" cm="1">
        <f t="array" ref="E325">Common_InputFunctions.Utility_DisplayArrayInTable(SourceData_PastureBeef.SourceData_PastureBeef_CrudeProteinContent_Data(), Table_SourceData_PastureBeef_CrudeProtein[[#Headers],[State]], 0)</f>
        <v>n/a</v>
      </c>
      <c r="F325" s="35" cm="1">
        <f t="array" ref="F325">Common_InputFunctions.Utility_DisplayArrayInTable(SourceData_PastureBeef.SourceData_PastureBeef_CrudeProteinContent_Data(), Table_SourceData_PastureBeef_CrudeProtein[[#Headers],[State]], 0)</f>
        <v>0.25</v>
      </c>
      <c r="G325" s="35" cm="1">
        <f t="array" ref="G325">Common_InputFunctions.Utility_DisplayArrayInTable(SourceData_PastureBeef.SourceData_PastureBeef_CrudeProteinContent_Data(), Table_SourceData_PastureBeef_CrudeProtein[[#Headers],[State]], 0)</f>
        <v>7.0000000000000007E-2</v>
      </c>
      <c r="H325" s="35" cm="1">
        <f t="array" ref="H325">Common_InputFunctions.Utility_DisplayArrayInTable(SourceData_PastureBeef.SourceData_PastureBeef_CrudeProteinContent_Data(), Table_SourceData_PastureBeef_CrudeProtein[[#Headers],[State]], 0)</f>
        <v>0.1</v>
      </c>
      <c r="I325" s="35" cm="1">
        <f t="array" ref="I325">Common_InputFunctions.Utility_DisplayArrayInTable(SourceData_PastureBeef.SourceData_PastureBeef_CrudeProteinContent_Data(), Table_SourceData_PastureBeef_CrudeProtein[[#Headers],[State]], 0)</f>
        <v>0.21</v>
      </c>
      <c r="M325" s="1"/>
    </row>
    <row r="326" spans="4:13" x14ac:dyDescent="0.25">
      <c r="D326" s="35" t="str" cm="1">
        <f t="array" ref="D326">Common_InputFunctions.Utility_DisplayArrayInTable(SourceData_PastureBeef.SourceData_PastureBeef_CrudeProteinContent_Data(), Table_SourceData_PastureBeef_CrudeProtein[[#Headers],[State]], 0)</f>
        <v>WA</v>
      </c>
      <c r="E326" s="35" t="str" cm="1">
        <f t="array" ref="E326">Common_InputFunctions.Utility_DisplayArrayInTable(SourceData_PastureBeef.SourceData_PastureBeef_CrudeProteinContent_Data(), Table_SourceData_PastureBeef_CrudeProtein[[#Headers],[State]], 0)</f>
        <v>South West</v>
      </c>
      <c r="F326" s="35" cm="1">
        <f t="array" ref="F326">Common_InputFunctions.Utility_DisplayArrayInTable(SourceData_PastureBeef.SourceData_PastureBeef_CrudeProteinContent_Data(), Table_SourceData_PastureBeef_CrudeProtein[[#Headers],[State]], 0)</f>
        <v>0.2</v>
      </c>
      <c r="G326" s="35" cm="1">
        <f t="array" ref="G326">Common_InputFunctions.Utility_DisplayArrayInTable(SourceData_PastureBeef.SourceData_PastureBeef_CrudeProteinContent_Data(), Table_SourceData_PastureBeef_CrudeProtein[[#Headers],[State]], 0)</f>
        <v>0.09</v>
      </c>
      <c r="H326" s="35" cm="1">
        <f t="array" ref="H326">Common_InputFunctions.Utility_DisplayArrayInTable(SourceData_PastureBeef.SourceData_PastureBeef_CrudeProteinContent_Data(), Table_SourceData_PastureBeef_CrudeProtein[[#Headers],[State]], 0)</f>
        <v>0.06</v>
      </c>
      <c r="I326" s="35" cm="1">
        <f t="array" ref="I326">Common_InputFunctions.Utility_DisplayArrayInTable(SourceData_PastureBeef.SourceData_PastureBeef_CrudeProteinContent_Data(), Table_SourceData_PastureBeef_CrudeProtein[[#Headers],[State]], 0)</f>
        <v>0.2</v>
      </c>
      <c r="M326" s="1"/>
    </row>
    <row r="327" spans="4:13" x14ac:dyDescent="0.25">
      <c r="D327" s="35" t="str" cm="1">
        <f t="array" ref="D327">Common_InputFunctions.Utility_DisplayArrayInTable(SourceData_PastureBeef.SourceData_PastureBeef_CrudeProteinContent_Data(), Table_SourceData_PastureBeef_CrudeProtein[[#Headers],[State]], 0)</f>
        <v>WA</v>
      </c>
      <c r="E327" s="35" t="str" cm="1">
        <f t="array" ref="E327">Common_InputFunctions.Utility_DisplayArrayInTable(SourceData_PastureBeef.SourceData_PastureBeef_CrudeProteinContent_Data(), Table_SourceData_PastureBeef_CrudeProtein[[#Headers],[State]], 0)</f>
        <v>Pilbara</v>
      </c>
      <c r="F327" s="35" cm="1">
        <f t="array" ref="F327">Common_InputFunctions.Utility_DisplayArrayInTable(SourceData_PastureBeef.SourceData_PastureBeef_CrudeProteinContent_Data(), Table_SourceData_PastureBeef_CrudeProtein[[#Headers],[State]], 0)</f>
        <v>0.04</v>
      </c>
      <c r="G327" s="35" cm="1">
        <f t="array" ref="G327">Common_InputFunctions.Utility_DisplayArrayInTable(SourceData_PastureBeef.SourceData_PastureBeef_CrudeProteinContent_Data(), Table_SourceData_PastureBeef_CrudeProtein[[#Headers],[State]], 0)</f>
        <v>0.12</v>
      </c>
      <c r="H327" s="35" cm="1">
        <f t="array" ref="H327">Common_InputFunctions.Utility_DisplayArrayInTable(SourceData_PastureBeef.SourceData_PastureBeef_CrudeProteinContent_Data(), Table_SourceData_PastureBeef_CrudeProtein[[#Headers],[State]], 0)</f>
        <v>0.09</v>
      </c>
      <c r="I327" s="35" cm="1">
        <f t="array" ref="I327">Common_InputFunctions.Utility_DisplayArrayInTable(SourceData_PastureBeef.SourceData_PastureBeef_CrudeProteinContent_Data(), Table_SourceData_PastureBeef_CrudeProtein[[#Headers],[State]], 0)</f>
        <v>0.06</v>
      </c>
      <c r="M327" s="1"/>
    </row>
    <row r="328" spans="4:13" x14ac:dyDescent="0.25">
      <c r="D328" s="35" t="str" cm="1">
        <f t="array" ref="D328">Common_InputFunctions.Utility_DisplayArrayInTable(SourceData_PastureBeef.SourceData_PastureBeef_CrudeProteinContent_Data(), Table_SourceData_PastureBeef_CrudeProtein[[#Headers],[State]], 0)</f>
        <v>WA</v>
      </c>
      <c r="E328" s="35" t="str" cm="1">
        <f t="array" ref="E328">Common_InputFunctions.Utility_DisplayArrayInTable(SourceData_PastureBeef.SourceData_PastureBeef_CrudeProteinContent_Data(), Table_SourceData_PastureBeef_CrudeProtein[[#Headers],[State]], 0)</f>
        <v>Kimberley</v>
      </c>
      <c r="F328" s="35" cm="1">
        <f t="array" ref="F328">Common_InputFunctions.Utility_DisplayArrayInTable(SourceData_PastureBeef.SourceData_PastureBeef_CrudeProteinContent_Data(), Table_SourceData_PastureBeef_CrudeProtein[[#Headers],[State]], 0)</f>
        <v>0.04</v>
      </c>
      <c r="G328" s="35" cm="1">
        <f t="array" ref="G328">Common_InputFunctions.Utility_DisplayArrayInTable(SourceData_PastureBeef.SourceData_PastureBeef_CrudeProteinContent_Data(), Table_SourceData_PastureBeef_CrudeProtein[[#Headers],[State]], 0)</f>
        <v>0.12</v>
      </c>
      <c r="H328" s="35" cm="1">
        <f t="array" ref="H328">Common_InputFunctions.Utility_DisplayArrayInTable(SourceData_PastureBeef.SourceData_PastureBeef_CrudeProteinContent_Data(), Table_SourceData_PastureBeef_CrudeProtein[[#Headers],[State]], 0)</f>
        <v>0.09</v>
      </c>
      <c r="I328" s="35"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2" t="s">
        <v>209</v>
      </c>
      <c r="M333" s="1"/>
    </row>
    <row r="334" spans="4:13" x14ac:dyDescent="0.25">
      <c r="D334" s="35" t="s">
        <v>101</v>
      </c>
      <c r="E334" s="35" t="s">
        <v>145</v>
      </c>
      <c r="F334" s="35" t="s">
        <v>193</v>
      </c>
      <c r="G334" s="35" t="s">
        <v>194</v>
      </c>
      <c r="I334" s="35" t="s">
        <v>101</v>
      </c>
      <c r="J334" s="35" t="s">
        <v>145</v>
      </c>
      <c r="K334" s="35" t="s">
        <v>193</v>
      </c>
      <c r="L334" s="35" t="s">
        <v>194</v>
      </c>
      <c r="M334" s="1"/>
    </row>
    <row r="335" spans="4:13" x14ac:dyDescent="0.25">
      <c r="D335" s="35" t="str" cm="1">
        <f t="array" ref="D335">Common_InputFunctions.Utility_DisplayArrayInTable(SourceData_PastureBeef.SourceData_PastureBeef_FeedAdjustmentAndMilkProduction_Data(), Table_SourceData_PastureBeef_FeedIntakeAdjustment[[#Headers],[Breed]], 0)</f>
        <v>Hereford or Shorthorn breeds</v>
      </c>
      <c r="E335" s="35" t="str" cm="1">
        <f t="array" ref="E335">Common_InputFunctions.Utility_DisplayArrayInTable(SourceData_PastureBeef.SourceData_PastureBeef_FeedAdjustmentAndMilkProduction_Data(), Table_SourceData_PastureBeef_FeedIntakeAdjustment[[#Headers],[Breed]], 0)</f>
        <v>Spring</v>
      </c>
      <c r="F335" s="35" cm="1">
        <f t="array" ref="F335">Common_InputFunctions.Utility_DisplayArrayInTable(SourceData_PastureBeef.SourceData_PastureBeef_FeedAdjustmentAndMilkProduction_Data(), Table_SourceData_PastureBeef_FeedIntakeAdjustment[[#Headers],[Breed]], 0)</f>
        <v>1.3</v>
      </c>
      <c r="G335" s="35" cm="1">
        <f t="array" ref="G335">Common_InputFunctions.Utility_DisplayArrayInTable(SourceData_PastureBeef.SourceData_PastureBeef_FeedAdjustmentAndMilkProduction_Data(), Table_SourceData_PastureBeef_FeedIntakeAdjustment[[#Headers],[Breed]], 0)</f>
        <v>6</v>
      </c>
      <c r="I335" s="35" t="str">
        <f>Table_SourceData_PastureBeef_FeedIntakeAdjustment[[#This Row],[Breed]]</f>
        <v>Hereford or Shorthorn breeds</v>
      </c>
      <c r="J335" s="35" t="s">
        <v>207</v>
      </c>
      <c r="K335" s="35">
        <f>Table_SourceData_PastureBeef_FeedIntakeAdjustment[[#This Row],[Feed adjustment]]</f>
        <v>1.3</v>
      </c>
      <c r="L335" s="35">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5" t="str" cm="1">
        <f t="array" ref="E336">Common_InputFunctions.Utility_DisplayArrayInTable(SourceData_PastureBeef.SourceData_PastureBeef_FeedAdjustmentAndMilkProduction_Data(), Table_SourceData_PastureBeef_FeedIntakeAdjustment[[#Headers],[Breed]], 0)</f>
        <v>Summer</v>
      </c>
      <c r="F336" s="35" cm="1">
        <f t="array" ref="F336">Common_InputFunctions.Utility_DisplayArrayInTable(SourceData_PastureBeef.SourceData_PastureBeef_FeedAdjustmentAndMilkProduction_Data(), Table_SourceData_PastureBeef_FeedIntakeAdjustment[[#Headers],[Breed]], 0)</f>
        <v>1.1000000000000001</v>
      </c>
      <c r="G336" s="35"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5" t="s">
        <v>208</v>
      </c>
      <c r="K336" s="35">
        <f>Table_SourceData_PastureBeef_FeedIntakeAdjustment[[#This Row],[Feed adjustment]]</f>
        <v>1.1000000000000001</v>
      </c>
      <c r="L336" s="35">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5" t="str" cm="1">
        <f t="array" ref="E337">Common_InputFunctions.Utility_DisplayArrayInTable(SourceData_PastureBeef.SourceData_PastureBeef_FeedAdjustmentAndMilkProduction_Data(), Table_SourceData_PastureBeef_FeedIntakeAdjustment[[#Headers],[Breed]], 0)</f>
        <v>Autumn</v>
      </c>
      <c r="F337" s="35" cm="1">
        <f t="array" ref="F337">Common_InputFunctions.Utility_DisplayArrayInTable(SourceData_PastureBeef.SourceData_PastureBeef_FeedAdjustmentAndMilkProduction_Data(), Table_SourceData_PastureBeef_FeedIntakeAdjustment[[#Headers],[Breed]], 0)</f>
        <v>0</v>
      </c>
      <c r="G337" s="35"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5" t="s">
        <v>207</v>
      </c>
      <c r="K337" s="35">
        <f>F340</f>
        <v>1.3</v>
      </c>
      <c r="L337" s="35">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5" t="str" cm="1">
        <f t="array" ref="E338">Common_InputFunctions.Utility_DisplayArrayInTable(SourceData_PastureBeef.SourceData_PastureBeef_FeedAdjustmentAndMilkProduction_Data(), Table_SourceData_PastureBeef_FeedIntakeAdjustment[[#Headers],[Breed]], 0)</f>
        <v>Winter</v>
      </c>
      <c r="F338" s="35" cm="1">
        <f t="array" ref="F338">Common_InputFunctions.Utility_DisplayArrayInTable(SourceData_PastureBeef.SourceData_PastureBeef_FeedAdjustmentAndMilkProduction_Data(), Table_SourceData_PastureBeef_FeedIntakeAdjustment[[#Headers],[Breed]], 0)</f>
        <v>0</v>
      </c>
      <c r="G338" s="35"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5" t="s">
        <v>208</v>
      </c>
      <c r="K338" s="35">
        <f t="shared" ref="K338" si="136">F341</f>
        <v>1.1000000000000001</v>
      </c>
      <c r="L338" s="35">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5" t="str" cm="1">
        <f t="array" ref="E339">Common_InputFunctions.Utility_DisplayArrayInTable(SourceData_PastureBeef.SourceData_PastureBeef_FeedAdjustmentAndMilkProduction_Data(), Table_SourceData_PastureBeef_FeedIntakeAdjustment[[#Headers],[Breed]], 0)</f>
        <v>Spring</v>
      </c>
      <c r="F339" s="35" cm="1">
        <f t="array" ref="F339">Common_InputFunctions.Utility_DisplayArrayInTable(SourceData_PastureBeef.SourceData_PastureBeef_FeedAdjustmentAndMilkProduction_Data(), Table_SourceData_PastureBeef_FeedIntakeAdjustment[[#Headers],[Breed]], 0)</f>
        <v>0</v>
      </c>
      <c r="G339" s="35"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5" t="str" cm="1">
        <f t="array" ref="E340">Common_InputFunctions.Utility_DisplayArrayInTable(SourceData_PastureBeef.SourceData_PastureBeef_FeedAdjustmentAndMilkProduction_Data(), Table_SourceData_PastureBeef_FeedIntakeAdjustment[[#Headers],[Breed]], 0)</f>
        <v>Summer</v>
      </c>
      <c r="F340" s="35" cm="1">
        <f t="array" ref="F340">Common_InputFunctions.Utility_DisplayArrayInTable(SourceData_PastureBeef.SourceData_PastureBeef_FeedAdjustmentAndMilkProduction_Data(), Table_SourceData_PastureBeef_FeedIntakeAdjustment[[#Headers],[Breed]], 0)</f>
        <v>1.3</v>
      </c>
      <c r="G340" s="35"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5" t="str" cm="1">
        <f t="array" ref="E341">Common_InputFunctions.Utility_DisplayArrayInTable(SourceData_PastureBeef.SourceData_PastureBeef_FeedAdjustmentAndMilkProduction_Data(), Table_SourceData_PastureBeef_FeedIntakeAdjustment[[#Headers],[Breed]], 0)</f>
        <v>Autumn</v>
      </c>
      <c r="F341" s="35" cm="1">
        <f t="array" ref="F341">Common_InputFunctions.Utility_DisplayArrayInTable(SourceData_PastureBeef.SourceData_PastureBeef_FeedAdjustmentAndMilkProduction_Data(), Table_SourceData_PastureBeef_FeedIntakeAdjustment[[#Headers],[Breed]], 0)</f>
        <v>1.1000000000000001</v>
      </c>
      <c r="G341" s="35"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5" t="str" cm="1">
        <f t="array" ref="E342">Common_InputFunctions.Utility_DisplayArrayInTable(SourceData_PastureBeef.SourceData_PastureBeef_FeedAdjustmentAndMilkProduction_Data(), Table_SourceData_PastureBeef_FeedIntakeAdjustment[[#Headers],[Breed]], 0)</f>
        <v>Winter</v>
      </c>
      <c r="F342" s="35" cm="1">
        <f t="array" ref="F342">Common_InputFunctions.Utility_DisplayArrayInTable(SourceData_PastureBeef.SourceData_PastureBeef_FeedAdjustmentAndMilkProduction_Data(), Table_SourceData_PastureBeef_FeedIntakeAdjustment[[#Headers],[Breed]], 0)</f>
        <v>0</v>
      </c>
      <c r="G342" s="35"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1" t="str" cm="1">
        <f t="array" ref="D348">SourceData_PastureBeef.SourceData_PastureBeef_StandardReferenceWeights_Unit()</f>
        <v>kg</v>
      </c>
      <c r="M348" s="1"/>
    </row>
    <row r="349" spans="4:13" x14ac:dyDescent="0.25">
      <c r="D349" s="52" t="str" cm="1">
        <f t="array" ref="D349">SourceData_PastureBeef.SourceData_PastureBeef_StandardReferenceWeights_Variation()</f>
        <v>VARIATION ON SOURCE: Split ACT and NSW into separate rows. Added 'State abbreviation' column to aid lookup.</v>
      </c>
      <c r="M349" s="1"/>
    </row>
    <row r="350" spans="4:13" x14ac:dyDescent="0.25">
      <c r="D350" s="35" t="s">
        <v>5</v>
      </c>
      <c r="E350" s="35" t="s">
        <v>195</v>
      </c>
      <c r="F350" s="35" t="s">
        <v>196</v>
      </c>
      <c r="G350" s="35" t="s">
        <v>154</v>
      </c>
      <c r="H350" s="35" t="s">
        <v>155</v>
      </c>
      <c r="I350" s="35" t="s">
        <v>197</v>
      </c>
      <c r="J350" s="35" t="s">
        <v>158</v>
      </c>
      <c r="K350" s="35" t="s">
        <v>187</v>
      </c>
      <c r="L350" s="35" t="s">
        <v>198</v>
      </c>
      <c r="M350" s="1"/>
    </row>
    <row r="351" spans="4:13" x14ac:dyDescent="0.25">
      <c r="D351" s="35" t="str" cm="1">
        <f t="array" ref="D351">Common_InputFunctions.Utility_DisplayArrayInTable(SourceData_PastureBeef.SourceData_PastureBeef_StandardReferenceWeights_Data(), Table_SourceData_PastureBeef_StandardReferenceWeights[[#Headers],[State]], 0)</f>
        <v>ACT</v>
      </c>
      <c r="E351" s="35" cm="1">
        <f t="array" ref="E351">Common_InputFunctions.Utility_DisplayArrayInTable(SourceData_PastureBeef.SourceData_PastureBeef_StandardReferenceWeights_Data(), Table_SourceData_PastureBeef_StandardReferenceWeights[[#Headers],[State]], 0)</f>
        <v>700</v>
      </c>
      <c r="F351" s="35" cm="1">
        <f t="array" ref="F351">Common_InputFunctions.Utility_DisplayArrayInTable(SourceData_PastureBeef.SourceData_PastureBeef_StandardReferenceWeights_Data(), Table_SourceData_PastureBeef_StandardReferenceWeights[[#Headers],[State]], 0)</f>
        <v>700</v>
      </c>
      <c r="G351" s="35" cm="1">
        <f t="array" ref="G351">Common_InputFunctions.Utility_DisplayArrayInTable(SourceData_PastureBeef.SourceData_PastureBeef_StandardReferenceWeights_Data(), Table_SourceData_PastureBeef_StandardReferenceWeights[[#Headers],[State]], 0)</f>
        <v>500</v>
      </c>
      <c r="H351" s="35" cm="1">
        <f t="array" ref="H351">Common_InputFunctions.Utility_DisplayArrayInTable(SourceData_PastureBeef.SourceData_PastureBeef_StandardReferenceWeights_Data(), Table_SourceData_PastureBeef_StandardReferenceWeights[[#Headers],[State]], 0)</f>
        <v>500</v>
      </c>
      <c r="I351" s="35" cm="1">
        <f t="array" ref="I351">Common_InputFunctions.Utility_DisplayArrayInTable(SourceData_PastureBeef.SourceData_PastureBeef_StandardReferenceWeights_Data(), Table_SourceData_PastureBeef_StandardReferenceWeights[[#Headers],[State]], 0)</f>
        <v>500</v>
      </c>
      <c r="J351" s="35" cm="1">
        <f t="array" ref="J351">Common_InputFunctions.Utility_DisplayArrayInTable(SourceData_PastureBeef.SourceData_PastureBeef_StandardReferenceWeights_Data(), Table_SourceData_PastureBeef_StandardReferenceWeights[[#Headers],[State]], 0)</f>
        <v>600</v>
      </c>
      <c r="K351" s="35" cm="1">
        <f t="array" ref="K351">Common_InputFunctions.Utility_DisplayArrayInTable(SourceData_PastureBeef.SourceData_PastureBeef_StandardReferenceWeights_Data(), Table_SourceData_PastureBeef_StandardReferenceWeights[[#Headers],[State]], 0)</f>
        <v>600</v>
      </c>
      <c r="L351" s="35"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5" cm="1">
        <f t="array" ref="E352">Common_InputFunctions.Utility_DisplayArrayInTable(SourceData_PastureBeef.SourceData_PastureBeef_StandardReferenceWeights_Data(), Table_SourceData_PastureBeef_StandardReferenceWeights[[#Headers],[State]], 0)</f>
        <v>700</v>
      </c>
      <c r="F352" s="35" cm="1">
        <f t="array" ref="F352">Common_InputFunctions.Utility_DisplayArrayInTable(SourceData_PastureBeef.SourceData_PastureBeef_StandardReferenceWeights_Data(), Table_SourceData_PastureBeef_StandardReferenceWeights[[#Headers],[State]], 0)</f>
        <v>700</v>
      </c>
      <c r="G352" s="35" cm="1">
        <f t="array" ref="G352">Common_InputFunctions.Utility_DisplayArrayInTable(SourceData_PastureBeef.SourceData_PastureBeef_StandardReferenceWeights_Data(), Table_SourceData_PastureBeef_StandardReferenceWeights[[#Headers],[State]], 0)</f>
        <v>500</v>
      </c>
      <c r="H352" s="35" cm="1">
        <f t="array" ref="H352">Common_InputFunctions.Utility_DisplayArrayInTable(SourceData_PastureBeef.SourceData_PastureBeef_StandardReferenceWeights_Data(), Table_SourceData_PastureBeef_StandardReferenceWeights[[#Headers],[State]], 0)</f>
        <v>500</v>
      </c>
      <c r="I352" s="35" cm="1">
        <f t="array" ref="I352">Common_InputFunctions.Utility_DisplayArrayInTable(SourceData_PastureBeef.SourceData_PastureBeef_StandardReferenceWeights_Data(), Table_SourceData_PastureBeef_StandardReferenceWeights[[#Headers],[State]], 0)</f>
        <v>500</v>
      </c>
      <c r="J352" s="35" cm="1">
        <f t="array" ref="J352">Common_InputFunctions.Utility_DisplayArrayInTable(SourceData_PastureBeef.SourceData_PastureBeef_StandardReferenceWeights_Data(), Table_SourceData_PastureBeef_StandardReferenceWeights[[#Headers],[State]], 0)</f>
        <v>600</v>
      </c>
      <c r="K352" s="35" cm="1">
        <f t="array" ref="K352">Common_InputFunctions.Utility_DisplayArrayInTable(SourceData_PastureBeef.SourceData_PastureBeef_StandardReferenceWeights_Data(), Table_SourceData_PastureBeef_StandardReferenceWeights[[#Headers],[State]], 0)</f>
        <v>600</v>
      </c>
      <c r="L352" s="35"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5" cm="1">
        <f t="array" ref="E353">Common_InputFunctions.Utility_DisplayArrayInTable(SourceData_PastureBeef.SourceData_PastureBeef_StandardReferenceWeights_Data(), Table_SourceData_PastureBeef_StandardReferenceWeights[[#Headers],[State]], 0)</f>
        <v>770</v>
      </c>
      <c r="F353" s="35" cm="1">
        <f t="array" ref="F353">Common_InputFunctions.Utility_DisplayArrayInTable(SourceData_PastureBeef.SourceData_PastureBeef_StandardReferenceWeights_Data(), Table_SourceData_PastureBeef_StandardReferenceWeights[[#Headers],[State]], 0)</f>
        <v>770</v>
      </c>
      <c r="G353" s="35" cm="1">
        <f t="array" ref="G353">Common_InputFunctions.Utility_DisplayArrayInTable(SourceData_PastureBeef.SourceData_PastureBeef_StandardReferenceWeights_Data(), Table_SourceData_PastureBeef_StandardReferenceWeights[[#Headers],[State]], 0)</f>
        <v>550</v>
      </c>
      <c r="H353" s="35" cm="1">
        <f t="array" ref="H353">Common_InputFunctions.Utility_DisplayArrayInTable(SourceData_PastureBeef.SourceData_PastureBeef_StandardReferenceWeights_Data(), Table_SourceData_PastureBeef_StandardReferenceWeights[[#Headers],[State]], 0)</f>
        <v>550</v>
      </c>
      <c r="I353" s="35" cm="1">
        <f t="array" ref="I353">Common_InputFunctions.Utility_DisplayArrayInTable(SourceData_PastureBeef.SourceData_PastureBeef_StandardReferenceWeights_Data(), Table_SourceData_PastureBeef_StandardReferenceWeights[[#Headers],[State]], 0)</f>
        <v>550</v>
      </c>
      <c r="J353" s="35" cm="1">
        <f t="array" ref="J353">Common_InputFunctions.Utility_DisplayArrayInTable(SourceData_PastureBeef.SourceData_PastureBeef_StandardReferenceWeights_Data(), Table_SourceData_PastureBeef_StandardReferenceWeights[[#Headers],[State]], 0)</f>
        <v>660</v>
      </c>
      <c r="K353" s="35" cm="1">
        <f t="array" ref="K353">Common_InputFunctions.Utility_DisplayArrayInTable(SourceData_PastureBeef.SourceData_PastureBeef_StandardReferenceWeights_Data(), Table_SourceData_PastureBeef_StandardReferenceWeights[[#Headers],[State]], 0)</f>
        <v>660</v>
      </c>
      <c r="L353" s="35"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5" cm="1">
        <f t="array" ref="E354">Common_InputFunctions.Utility_DisplayArrayInTable(SourceData_PastureBeef.SourceData_PastureBeef_StandardReferenceWeights_Data(), Table_SourceData_PastureBeef_StandardReferenceWeights[[#Headers],[State]], 0)</f>
        <v>770</v>
      </c>
      <c r="F354" s="35" cm="1">
        <f t="array" ref="F354">Common_InputFunctions.Utility_DisplayArrayInTable(SourceData_PastureBeef.SourceData_PastureBeef_StandardReferenceWeights_Data(), Table_SourceData_PastureBeef_StandardReferenceWeights[[#Headers],[State]], 0)</f>
        <v>770</v>
      </c>
      <c r="G354" s="35" cm="1">
        <f t="array" ref="G354">Common_InputFunctions.Utility_DisplayArrayInTable(SourceData_PastureBeef.SourceData_PastureBeef_StandardReferenceWeights_Data(), Table_SourceData_PastureBeef_StandardReferenceWeights[[#Headers],[State]], 0)</f>
        <v>550</v>
      </c>
      <c r="H354" s="35" cm="1">
        <f t="array" ref="H354">Common_InputFunctions.Utility_DisplayArrayInTable(SourceData_PastureBeef.SourceData_PastureBeef_StandardReferenceWeights_Data(), Table_SourceData_PastureBeef_StandardReferenceWeights[[#Headers],[State]], 0)</f>
        <v>550</v>
      </c>
      <c r="I354" s="35" cm="1">
        <f t="array" ref="I354">Common_InputFunctions.Utility_DisplayArrayInTable(SourceData_PastureBeef.SourceData_PastureBeef_StandardReferenceWeights_Data(), Table_SourceData_PastureBeef_StandardReferenceWeights[[#Headers],[State]], 0)</f>
        <v>550</v>
      </c>
      <c r="J354" s="35" cm="1">
        <f t="array" ref="J354">Common_InputFunctions.Utility_DisplayArrayInTable(SourceData_PastureBeef.SourceData_PastureBeef_StandardReferenceWeights_Data(), Table_SourceData_PastureBeef_StandardReferenceWeights[[#Headers],[State]], 0)</f>
        <v>660</v>
      </c>
      <c r="K354" s="35" cm="1">
        <f t="array" ref="K354">Common_InputFunctions.Utility_DisplayArrayInTable(SourceData_PastureBeef.SourceData_PastureBeef_StandardReferenceWeights_Data(), Table_SourceData_PastureBeef_StandardReferenceWeights[[#Headers],[State]], 0)</f>
        <v>660</v>
      </c>
      <c r="L354" s="35"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5" cm="1">
        <f t="array" ref="E355">Common_InputFunctions.Utility_DisplayArrayInTable(SourceData_PastureBeef.SourceData_PastureBeef_StandardReferenceWeights_Data(), Table_SourceData_PastureBeef_StandardReferenceWeights[[#Headers],[State]], 0)</f>
        <v>770</v>
      </c>
      <c r="F355" s="35" cm="1">
        <f t="array" ref="F355">Common_InputFunctions.Utility_DisplayArrayInTable(SourceData_PastureBeef.SourceData_PastureBeef_StandardReferenceWeights_Data(), Table_SourceData_PastureBeef_StandardReferenceWeights[[#Headers],[State]], 0)</f>
        <v>770</v>
      </c>
      <c r="G355" s="35" cm="1">
        <f t="array" ref="G355">Common_InputFunctions.Utility_DisplayArrayInTable(SourceData_PastureBeef.SourceData_PastureBeef_StandardReferenceWeights_Data(), Table_SourceData_PastureBeef_StandardReferenceWeights[[#Headers],[State]], 0)</f>
        <v>550</v>
      </c>
      <c r="H355" s="35" cm="1">
        <f t="array" ref="H355">Common_InputFunctions.Utility_DisplayArrayInTable(SourceData_PastureBeef.SourceData_PastureBeef_StandardReferenceWeights_Data(), Table_SourceData_PastureBeef_StandardReferenceWeights[[#Headers],[State]], 0)</f>
        <v>550</v>
      </c>
      <c r="I355" s="35" cm="1">
        <f t="array" ref="I355">Common_InputFunctions.Utility_DisplayArrayInTable(SourceData_PastureBeef.SourceData_PastureBeef_StandardReferenceWeights_Data(), Table_SourceData_PastureBeef_StandardReferenceWeights[[#Headers],[State]], 0)</f>
        <v>550</v>
      </c>
      <c r="J355" s="35" cm="1">
        <f t="array" ref="J355">Common_InputFunctions.Utility_DisplayArrayInTable(SourceData_PastureBeef.SourceData_PastureBeef_StandardReferenceWeights_Data(), Table_SourceData_PastureBeef_StandardReferenceWeights[[#Headers],[State]], 0)</f>
        <v>660</v>
      </c>
      <c r="K355" s="35" cm="1">
        <f t="array" ref="K355">Common_InputFunctions.Utility_DisplayArrayInTable(SourceData_PastureBeef.SourceData_PastureBeef_StandardReferenceWeights_Data(), Table_SourceData_PastureBeef_StandardReferenceWeights[[#Headers],[State]], 0)</f>
        <v>660</v>
      </c>
      <c r="L355" s="35"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5" cm="1">
        <f t="array" ref="E356">Common_InputFunctions.Utility_DisplayArrayInTable(SourceData_PastureBeef.SourceData_PastureBeef_StandardReferenceWeights_Data(), Table_SourceData_PastureBeef_StandardReferenceWeights[[#Headers],[State]], 0)</f>
        <v>770</v>
      </c>
      <c r="F356" s="35" cm="1">
        <f t="array" ref="F356">Common_InputFunctions.Utility_DisplayArrayInTable(SourceData_PastureBeef.SourceData_PastureBeef_StandardReferenceWeights_Data(), Table_SourceData_PastureBeef_StandardReferenceWeights[[#Headers],[State]], 0)</f>
        <v>770</v>
      </c>
      <c r="G356" s="35" cm="1">
        <f t="array" ref="G356">Common_InputFunctions.Utility_DisplayArrayInTable(SourceData_PastureBeef.SourceData_PastureBeef_StandardReferenceWeights_Data(), Table_SourceData_PastureBeef_StandardReferenceWeights[[#Headers],[State]], 0)</f>
        <v>550</v>
      </c>
      <c r="H356" s="35" cm="1">
        <f t="array" ref="H356">Common_InputFunctions.Utility_DisplayArrayInTable(SourceData_PastureBeef.SourceData_PastureBeef_StandardReferenceWeights_Data(), Table_SourceData_PastureBeef_StandardReferenceWeights[[#Headers],[State]], 0)</f>
        <v>550</v>
      </c>
      <c r="I356" s="35" cm="1">
        <f t="array" ref="I356">Common_InputFunctions.Utility_DisplayArrayInTable(SourceData_PastureBeef.SourceData_PastureBeef_StandardReferenceWeights_Data(), Table_SourceData_PastureBeef_StandardReferenceWeights[[#Headers],[State]], 0)</f>
        <v>550</v>
      </c>
      <c r="J356" s="35" cm="1">
        <f t="array" ref="J356">Common_InputFunctions.Utility_DisplayArrayInTable(SourceData_PastureBeef.SourceData_PastureBeef_StandardReferenceWeights_Data(), Table_SourceData_PastureBeef_StandardReferenceWeights[[#Headers],[State]], 0)</f>
        <v>660</v>
      </c>
      <c r="K356" s="35" cm="1">
        <f t="array" ref="K356">Common_InputFunctions.Utility_DisplayArrayInTable(SourceData_PastureBeef.SourceData_PastureBeef_StandardReferenceWeights_Data(), Table_SourceData_PastureBeef_StandardReferenceWeights[[#Headers],[State]], 0)</f>
        <v>660</v>
      </c>
      <c r="L356" s="35"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5" cm="1">
        <f t="array" ref="E357">Common_InputFunctions.Utility_DisplayArrayInTable(SourceData_PastureBeef.SourceData_PastureBeef_StandardReferenceWeights_Data(), Table_SourceData_PastureBeef_StandardReferenceWeights[[#Headers],[State]], 0)</f>
        <v>770</v>
      </c>
      <c r="F357" s="35" cm="1">
        <f t="array" ref="F357">Common_InputFunctions.Utility_DisplayArrayInTable(SourceData_PastureBeef.SourceData_PastureBeef_StandardReferenceWeights_Data(), Table_SourceData_PastureBeef_StandardReferenceWeights[[#Headers],[State]], 0)</f>
        <v>770</v>
      </c>
      <c r="G357" s="35" cm="1">
        <f t="array" ref="G357">Common_InputFunctions.Utility_DisplayArrayInTable(SourceData_PastureBeef.SourceData_PastureBeef_StandardReferenceWeights_Data(), Table_SourceData_PastureBeef_StandardReferenceWeights[[#Headers],[State]], 0)</f>
        <v>550</v>
      </c>
      <c r="H357" s="35" cm="1">
        <f t="array" ref="H357">Common_InputFunctions.Utility_DisplayArrayInTable(SourceData_PastureBeef.SourceData_PastureBeef_StandardReferenceWeights_Data(), Table_SourceData_PastureBeef_StandardReferenceWeights[[#Headers],[State]], 0)</f>
        <v>550</v>
      </c>
      <c r="I357" s="35" cm="1">
        <f t="array" ref="I357">Common_InputFunctions.Utility_DisplayArrayInTable(SourceData_PastureBeef.SourceData_PastureBeef_StandardReferenceWeights_Data(), Table_SourceData_PastureBeef_StandardReferenceWeights[[#Headers],[State]], 0)</f>
        <v>550</v>
      </c>
      <c r="J357" s="35" cm="1">
        <f t="array" ref="J357">Common_InputFunctions.Utility_DisplayArrayInTable(SourceData_PastureBeef.SourceData_PastureBeef_StandardReferenceWeights_Data(), Table_SourceData_PastureBeef_StandardReferenceWeights[[#Headers],[State]], 0)</f>
        <v>660</v>
      </c>
      <c r="K357" s="35" cm="1">
        <f t="array" ref="K357">Common_InputFunctions.Utility_DisplayArrayInTable(SourceData_PastureBeef.SourceData_PastureBeef_StandardReferenceWeights_Data(), Table_SourceData_PastureBeef_StandardReferenceWeights[[#Headers],[State]], 0)</f>
        <v>660</v>
      </c>
      <c r="L357" s="35"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5" cm="1">
        <f t="array" ref="E358">Common_InputFunctions.Utility_DisplayArrayInTable(SourceData_PastureBeef.SourceData_PastureBeef_StandardReferenceWeights_Data(), Table_SourceData_PastureBeef_StandardReferenceWeights[[#Headers],[State]], 0)</f>
        <v>770</v>
      </c>
      <c r="F358" s="35" cm="1">
        <f t="array" ref="F358">Common_InputFunctions.Utility_DisplayArrayInTable(SourceData_PastureBeef.SourceData_PastureBeef_StandardReferenceWeights_Data(), Table_SourceData_PastureBeef_StandardReferenceWeights[[#Headers],[State]], 0)</f>
        <v>770</v>
      </c>
      <c r="G358" s="35" cm="1">
        <f t="array" ref="G358">Common_InputFunctions.Utility_DisplayArrayInTable(SourceData_PastureBeef.SourceData_PastureBeef_StandardReferenceWeights_Data(), Table_SourceData_PastureBeef_StandardReferenceWeights[[#Headers],[State]], 0)</f>
        <v>550</v>
      </c>
      <c r="H358" s="35" cm="1">
        <f t="array" ref="H358">Common_InputFunctions.Utility_DisplayArrayInTable(SourceData_PastureBeef.SourceData_PastureBeef_StandardReferenceWeights_Data(), Table_SourceData_PastureBeef_StandardReferenceWeights[[#Headers],[State]], 0)</f>
        <v>550</v>
      </c>
      <c r="I358" s="35" cm="1">
        <f t="array" ref="I358">Common_InputFunctions.Utility_DisplayArrayInTable(SourceData_PastureBeef.SourceData_PastureBeef_StandardReferenceWeights_Data(), Table_SourceData_PastureBeef_StandardReferenceWeights[[#Headers],[State]], 0)</f>
        <v>550</v>
      </c>
      <c r="J358" s="35" cm="1">
        <f t="array" ref="J358">Common_InputFunctions.Utility_DisplayArrayInTable(SourceData_PastureBeef.SourceData_PastureBeef_StandardReferenceWeights_Data(), Table_SourceData_PastureBeef_StandardReferenceWeights[[#Headers],[State]], 0)</f>
        <v>660</v>
      </c>
      <c r="K358" s="35" cm="1">
        <f t="array" ref="K358">Common_InputFunctions.Utility_DisplayArrayInTable(SourceData_PastureBeef.SourceData_PastureBeef_StandardReferenceWeights_Data(), Table_SourceData_PastureBeef_StandardReferenceWeights[[#Headers],[State]], 0)</f>
        <v>660</v>
      </c>
      <c r="L358" s="35"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5" t="s">
        <v>5</v>
      </c>
      <c r="E361" s="105" t="s">
        <v>103</v>
      </c>
      <c r="F361" s="105" t="s">
        <v>102</v>
      </c>
      <c r="G361" s="105" t="s">
        <v>126</v>
      </c>
      <c r="H361" s="105" t="s">
        <v>127</v>
      </c>
      <c r="I361" s="105" t="s">
        <v>128</v>
      </c>
      <c r="J361" s="105" t="s">
        <v>129</v>
      </c>
      <c r="K361" s="105" t="s">
        <v>130</v>
      </c>
      <c r="L361" s="105" t="s">
        <v>131</v>
      </c>
      <c r="M361" s="105" t="s">
        <v>132</v>
      </c>
      <c r="N361" s="105" t="s">
        <v>133</v>
      </c>
      <c r="O361" s="35" t="s">
        <v>198</v>
      </c>
    </row>
    <row r="362" spans="4:15" x14ac:dyDescent="0.25">
      <c r="D362" s="35" t="str">
        <f>D351</f>
        <v>ACT</v>
      </c>
      <c r="E362" s="35">
        <f t="shared" ref="E362:H362" si="137">E351</f>
        <v>700</v>
      </c>
      <c r="F362" s="35">
        <f t="shared" si="137"/>
        <v>700</v>
      </c>
      <c r="G362" s="35">
        <f t="shared" si="137"/>
        <v>500</v>
      </c>
      <c r="H362" s="35">
        <f t="shared" si="137"/>
        <v>500</v>
      </c>
      <c r="I362" s="35">
        <f>I351</f>
        <v>500</v>
      </c>
      <c r="J362" s="35">
        <f>I351</f>
        <v>500</v>
      </c>
      <c r="K362" s="35">
        <f t="shared" ref="K362" si="138">J351</f>
        <v>600</v>
      </c>
      <c r="L362" s="35">
        <f>K351</f>
        <v>600</v>
      </c>
      <c r="M362" s="35">
        <f>K351</f>
        <v>600</v>
      </c>
      <c r="N362" s="35">
        <f>K351</f>
        <v>600</v>
      </c>
      <c r="O362" s="35" t="str">
        <f>L351</f>
        <v>ACT</v>
      </c>
    </row>
    <row r="363" spans="4:15" x14ac:dyDescent="0.25">
      <c r="D363" s="35" t="str">
        <f t="shared" ref="D363:I363" si="139">D352</f>
        <v>NSW</v>
      </c>
      <c r="E363" s="35">
        <f t="shared" si="139"/>
        <v>700</v>
      </c>
      <c r="F363" s="35">
        <f t="shared" si="139"/>
        <v>700</v>
      </c>
      <c r="G363" s="35">
        <f t="shared" si="139"/>
        <v>500</v>
      </c>
      <c r="H363" s="35">
        <f t="shared" si="139"/>
        <v>500</v>
      </c>
      <c r="I363" s="35">
        <f t="shared" si="139"/>
        <v>500</v>
      </c>
      <c r="J363" s="35">
        <f t="shared" ref="J363:L363" si="140">I352</f>
        <v>500</v>
      </c>
      <c r="K363" s="35">
        <f t="shared" si="140"/>
        <v>600</v>
      </c>
      <c r="L363" s="35">
        <f t="shared" si="140"/>
        <v>600</v>
      </c>
      <c r="M363" s="35">
        <f t="shared" ref="M363:M369" si="141">K352</f>
        <v>600</v>
      </c>
      <c r="N363" s="35">
        <f t="shared" ref="N363:N369" si="142">K352</f>
        <v>600</v>
      </c>
      <c r="O363" s="35" t="str">
        <f t="shared" ref="O363:O369" si="143">L352</f>
        <v>NSW</v>
      </c>
    </row>
    <row r="364" spans="4:15" x14ac:dyDescent="0.25">
      <c r="D364" s="35" t="str">
        <f t="shared" ref="D364:I364" si="144">D353</f>
        <v>Northern Territory</v>
      </c>
      <c r="E364" s="35">
        <f t="shared" si="144"/>
        <v>770</v>
      </c>
      <c r="F364" s="35">
        <f t="shared" si="144"/>
        <v>770</v>
      </c>
      <c r="G364" s="35">
        <f t="shared" si="144"/>
        <v>550</v>
      </c>
      <c r="H364" s="35">
        <f t="shared" si="144"/>
        <v>550</v>
      </c>
      <c r="I364" s="35">
        <f t="shared" si="144"/>
        <v>550</v>
      </c>
      <c r="J364" s="35">
        <f t="shared" ref="J364:L364" si="145">I353</f>
        <v>550</v>
      </c>
      <c r="K364" s="35">
        <f t="shared" si="145"/>
        <v>660</v>
      </c>
      <c r="L364" s="35">
        <f t="shared" si="145"/>
        <v>660</v>
      </c>
      <c r="M364" s="35">
        <f t="shared" si="141"/>
        <v>660</v>
      </c>
      <c r="N364" s="35">
        <f t="shared" si="142"/>
        <v>660</v>
      </c>
      <c r="O364" s="35" t="str">
        <f t="shared" si="143"/>
        <v>NT</v>
      </c>
    </row>
    <row r="365" spans="4:15" x14ac:dyDescent="0.25">
      <c r="D365" s="35" t="str">
        <f t="shared" ref="D365:I365" si="146">D354</f>
        <v>Queensland</v>
      </c>
      <c r="E365" s="35">
        <f t="shared" si="146"/>
        <v>770</v>
      </c>
      <c r="F365" s="35">
        <f t="shared" si="146"/>
        <v>770</v>
      </c>
      <c r="G365" s="35">
        <f t="shared" si="146"/>
        <v>550</v>
      </c>
      <c r="H365" s="35">
        <f t="shared" si="146"/>
        <v>550</v>
      </c>
      <c r="I365" s="35">
        <f t="shared" si="146"/>
        <v>550</v>
      </c>
      <c r="J365" s="35">
        <f t="shared" ref="J365:L365" si="147">I354</f>
        <v>550</v>
      </c>
      <c r="K365" s="35">
        <f t="shared" si="147"/>
        <v>660</v>
      </c>
      <c r="L365" s="35">
        <f t="shared" si="147"/>
        <v>660</v>
      </c>
      <c r="M365" s="35">
        <f t="shared" si="141"/>
        <v>660</v>
      </c>
      <c r="N365" s="35">
        <f t="shared" si="142"/>
        <v>660</v>
      </c>
      <c r="O365" s="35" t="str">
        <f t="shared" si="143"/>
        <v>QLD</v>
      </c>
    </row>
    <row r="366" spans="4:15" x14ac:dyDescent="0.25">
      <c r="D366" s="35" t="str">
        <f t="shared" ref="D366:I366" si="148">D355</f>
        <v>South Australia</v>
      </c>
      <c r="E366" s="35">
        <f t="shared" si="148"/>
        <v>770</v>
      </c>
      <c r="F366" s="35">
        <f t="shared" si="148"/>
        <v>770</v>
      </c>
      <c r="G366" s="35">
        <f t="shared" si="148"/>
        <v>550</v>
      </c>
      <c r="H366" s="35">
        <f t="shared" si="148"/>
        <v>550</v>
      </c>
      <c r="I366" s="35">
        <f t="shared" si="148"/>
        <v>550</v>
      </c>
      <c r="J366" s="35">
        <f t="shared" ref="J366:L366" si="149">I355</f>
        <v>550</v>
      </c>
      <c r="K366" s="35">
        <f t="shared" si="149"/>
        <v>660</v>
      </c>
      <c r="L366" s="35">
        <f t="shared" si="149"/>
        <v>660</v>
      </c>
      <c r="M366" s="35">
        <f t="shared" si="141"/>
        <v>660</v>
      </c>
      <c r="N366" s="35">
        <f t="shared" si="142"/>
        <v>660</v>
      </c>
      <c r="O366" s="35" t="str">
        <f t="shared" si="143"/>
        <v>SA</v>
      </c>
    </row>
    <row r="367" spans="4:15" x14ac:dyDescent="0.25">
      <c r="D367" s="35" t="str">
        <f t="shared" ref="D367:I367" si="150">D356</f>
        <v>Tasmania</v>
      </c>
      <c r="E367" s="35">
        <f t="shared" si="150"/>
        <v>770</v>
      </c>
      <c r="F367" s="35">
        <f t="shared" si="150"/>
        <v>770</v>
      </c>
      <c r="G367" s="35">
        <f t="shared" si="150"/>
        <v>550</v>
      </c>
      <c r="H367" s="35">
        <f t="shared" si="150"/>
        <v>550</v>
      </c>
      <c r="I367" s="35">
        <f t="shared" si="150"/>
        <v>550</v>
      </c>
      <c r="J367" s="35">
        <f t="shared" ref="J367:L367" si="151">I356</f>
        <v>550</v>
      </c>
      <c r="K367" s="35">
        <f t="shared" si="151"/>
        <v>660</v>
      </c>
      <c r="L367" s="35">
        <f t="shared" si="151"/>
        <v>660</v>
      </c>
      <c r="M367" s="35">
        <f t="shared" si="141"/>
        <v>660</v>
      </c>
      <c r="N367" s="35">
        <f t="shared" si="142"/>
        <v>660</v>
      </c>
      <c r="O367" s="35" t="str">
        <f t="shared" si="143"/>
        <v>TAS</v>
      </c>
    </row>
    <row r="368" spans="4:15" x14ac:dyDescent="0.25">
      <c r="D368" s="35" t="str">
        <f t="shared" ref="D368:I368" si="152">D357</f>
        <v>Victoria</v>
      </c>
      <c r="E368" s="35">
        <f t="shared" si="152"/>
        <v>770</v>
      </c>
      <c r="F368" s="35">
        <f t="shared" si="152"/>
        <v>770</v>
      </c>
      <c r="G368" s="35">
        <f t="shared" si="152"/>
        <v>550</v>
      </c>
      <c r="H368" s="35">
        <f t="shared" si="152"/>
        <v>550</v>
      </c>
      <c r="I368" s="35">
        <f t="shared" si="152"/>
        <v>550</v>
      </c>
      <c r="J368" s="35">
        <f t="shared" ref="J368:L368" si="153">I357</f>
        <v>550</v>
      </c>
      <c r="K368" s="35">
        <f t="shared" si="153"/>
        <v>660</v>
      </c>
      <c r="L368" s="35">
        <f t="shared" si="153"/>
        <v>660</v>
      </c>
      <c r="M368" s="35">
        <f t="shared" si="141"/>
        <v>660</v>
      </c>
      <c r="N368" s="35">
        <f t="shared" si="142"/>
        <v>660</v>
      </c>
      <c r="O368" s="35" t="str">
        <f t="shared" si="143"/>
        <v>VIC</v>
      </c>
    </row>
    <row r="369" spans="4:15" x14ac:dyDescent="0.25">
      <c r="D369" s="35" t="str">
        <f t="shared" ref="D369:I369" si="154">D358</f>
        <v>Western Australia</v>
      </c>
      <c r="E369" s="35">
        <f t="shared" si="154"/>
        <v>770</v>
      </c>
      <c r="F369" s="35">
        <f t="shared" si="154"/>
        <v>770</v>
      </c>
      <c r="G369" s="35">
        <f t="shared" si="154"/>
        <v>550</v>
      </c>
      <c r="H369" s="35">
        <f t="shared" si="154"/>
        <v>550</v>
      </c>
      <c r="I369" s="35">
        <f t="shared" si="154"/>
        <v>550</v>
      </c>
      <c r="J369" s="35">
        <f t="shared" ref="J369:L369" si="155">I358</f>
        <v>550</v>
      </c>
      <c r="K369" s="35">
        <f t="shared" si="155"/>
        <v>660</v>
      </c>
      <c r="L369" s="35">
        <f t="shared" si="155"/>
        <v>660</v>
      </c>
      <c r="M369" s="35">
        <f t="shared" si="141"/>
        <v>660</v>
      </c>
      <c r="N369" s="35">
        <f t="shared" si="142"/>
        <v>660</v>
      </c>
      <c r="O369" s="35"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1" t="str" cm="1">
        <f t="array" ref="D375">SourceData_PastureBeef.SourceData_PastureBeef_FractionOfManureToMMS_Unit()</f>
        <v>fraction</v>
      </c>
      <c r="E375" s="99" t="s">
        <v>223</v>
      </c>
      <c r="M375" s="1"/>
    </row>
    <row r="376" spans="4:15" x14ac:dyDescent="0.25">
      <c r="D376" s="52" t="str" cm="1">
        <f t="array" ref="D376">SourceData_PastureBeef.SourceData_PastureBeef_FractionOfManureToMMS_Variation()</f>
        <v>VARIATION ON SOURCE: Removed comma from 'Pasture range and paddock' to aid lookup</v>
      </c>
      <c r="M376" s="1"/>
    </row>
    <row r="377" spans="4:15" x14ac:dyDescent="0.25">
      <c r="D377" s="35" t="s">
        <v>5</v>
      </c>
      <c r="E377" s="35" t="s">
        <v>144</v>
      </c>
      <c r="F377" s="35" t="s">
        <v>109</v>
      </c>
      <c r="G377" s="35" t="s">
        <v>199</v>
      </c>
      <c r="M377" s="1"/>
    </row>
    <row r="378" spans="4:15" x14ac:dyDescent="0.25">
      <c r="D378" s="35" t="str" cm="1">
        <f t="array" ref="D378">Common_InputFunctions.Utility_DisplayArrayInTable(SourceData_PastureBeef.SourceData_PastureBeef_FractionOfManureToMMS_Data(),Table_SourceData_PastureBeef_FractionManureToMMS[[#Headers],[State]], 0)</f>
        <v>ACT</v>
      </c>
      <c r="E378" s="35" t="str" cm="1">
        <f t="array" ref="E378">Common_InputFunctions.Utility_DisplayArrayInTable(SourceData_PastureBeef.SourceData_PastureBeef_FractionOfManureToMMS_Data(),Table_SourceData_PastureBeef_FractionManureToMMS[[#Headers],[State]], 0)</f>
        <v>n/a</v>
      </c>
      <c r="F378" s="35" cm="1">
        <f t="array" ref="F378">Common_InputFunctions.Utility_DisplayArrayInTable(SourceData_PastureBeef.SourceData_PastureBeef_FractionOfManureToMMS_Data(),Table_SourceData_PastureBeef_FractionManureToMMS[[#Headers],[State]], 0)</f>
        <v>99.191999999999993</v>
      </c>
      <c r="G378" s="35"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5" t="str" cm="1">
        <f t="array" ref="E379">Common_InputFunctions.Utility_DisplayArrayInTable(SourceData_PastureBeef.SourceData_PastureBeef_FractionOfManureToMMS_Data(),Table_SourceData_PastureBeef_FractionManureToMMS[[#Headers],[State]], 0)</f>
        <v>n/a</v>
      </c>
      <c r="F379" s="35" cm="1">
        <f t="array" ref="F379">Common_InputFunctions.Utility_DisplayArrayInTable(SourceData_PastureBeef.SourceData_PastureBeef_FractionOfManureToMMS_Data(),Table_SourceData_PastureBeef_FractionManureToMMS[[#Headers],[State]], 0)</f>
        <v>99.451999999999998</v>
      </c>
      <c r="G379" s="35"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5" t="str" cm="1">
        <f t="array" ref="E380">Common_InputFunctions.Utility_DisplayArrayInTable(SourceData_PastureBeef.SourceData_PastureBeef_FractionOfManureToMMS_Data(),Table_SourceData_PastureBeef_FractionManureToMMS[[#Headers],[State]], 0)</f>
        <v>n/a</v>
      </c>
      <c r="F380" s="35" cm="1">
        <f t="array" ref="F380">Common_InputFunctions.Utility_DisplayArrayInTable(SourceData_PastureBeef.SourceData_PastureBeef_FractionOfManureToMMS_Data(),Table_SourceData_PastureBeef_FractionManureToMMS[[#Headers],[State]], 0)</f>
        <v>99.759</v>
      </c>
      <c r="G380" s="35"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5" t="str" cm="1">
        <f t="array" ref="E381">Common_InputFunctions.Utility_DisplayArrayInTable(SourceData_PastureBeef.SourceData_PastureBeef_FractionOfManureToMMS_Data(),Table_SourceData_PastureBeef_FractionManureToMMS[[#Headers],[State]], 0)</f>
        <v>n/a</v>
      </c>
      <c r="F381" s="35" cm="1">
        <f t="array" ref="F381">Common_InputFunctions.Utility_DisplayArrayInTable(SourceData_PastureBeef.SourceData_PastureBeef_FractionOfManureToMMS_Data(),Table_SourceData_PastureBeef_FractionManureToMMS[[#Headers],[State]], 0)</f>
        <v>99.122</v>
      </c>
      <c r="G381" s="35"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5" t="str" cm="1">
        <f t="array" ref="E382">Common_InputFunctions.Utility_DisplayArrayInTable(SourceData_PastureBeef.SourceData_PastureBeef_FractionOfManureToMMS_Data(),Table_SourceData_PastureBeef_FractionManureToMMS[[#Headers],[State]], 0)</f>
        <v>n/a</v>
      </c>
      <c r="F382" s="35" cm="1">
        <f t="array" ref="F382">Common_InputFunctions.Utility_DisplayArrayInTable(SourceData_PastureBeef.SourceData_PastureBeef_FractionOfManureToMMS_Data(),Table_SourceData_PastureBeef_FractionManureToMMS[[#Headers],[State]], 0)</f>
        <v>98.894000000000005</v>
      </c>
      <c r="G382" s="35"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5" t="str" cm="1">
        <f t="array" ref="E383">Common_InputFunctions.Utility_DisplayArrayInTable(SourceData_PastureBeef.SourceData_PastureBeef_FractionOfManureToMMS_Data(),Table_SourceData_PastureBeef_FractionManureToMMS[[#Headers],[State]], 0)</f>
        <v>South West</v>
      </c>
      <c r="F383" s="35" cm="1">
        <f t="array" ref="F383">Common_InputFunctions.Utility_DisplayArrayInTable(SourceData_PastureBeef.SourceData_PastureBeef_FractionOfManureToMMS_Data(),Table_SourceData_PastureBeef_FractionManureToMMS[[#Headers],[State]], 0)</f>
        <v>99.622</v>
      </c>
      <c r="G383" s="35"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5" t="str" cm="1">
        <f t="array" ref="E384">Common_InputFunctions.Utility_DisplayArrayInTable(SourceData_PastureBeef.SourceData_PastureBeef_FractionOfManureToMMS_Data(),Table_SourceData_PastureBeef_FractionManureToMMS[[#Headers],[State]], 0)</f>
        <v>Pilbara</v>
      </c>
      <c r="F384" s="35" cm="1">
        <f t="array" ref="F384">Common_InputFunctions.Utility_DisplayArrayInTable(SourceData_PastureBeef.SourceData_PastureBeef_FractionOfManureToMMS_Data(),Table_SourceData_PastureBeef_FractionManureToMMS[[#Headers],[State]], 0)</f>
        <v>99.998999999999995</v>
      </c>
      <c r="G384" s="35"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5" t="str" cm="1">
        <f t="array" ref="E385">Common_InputFunctions.Utility_DisplayArrayInTable(SourceData_PastureBeef.SourceData_PastureBeef_FractionOfManureToMMS_Data(),Table_SourceData_PastureBeef_FractionManureToMMS[[#Headers],[State]], 0)</f>
        <v>Kimberley</v>
      </c>
      <c r="F385" s="35" cm="1">
        <f t="array" ref="F385">Common_InputFunctions.Utility_DisplayArrayInTable(SourceData_PastureBeef.SourceData_PastureBeef_FractionOfManureToMMS_Data(),Table_SourceData_PastureBeef_FractionManureToMMS[[#Headers],[State]], 0)</f>
        <v>99.998999999999995</v>
      </c>
      <c r="G385" s="35"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5" t="str" cm="1">
        <f t="array" ref="E386">Common_InputFunctions.Utility_DisplayArrayInTable(SourceData_PastureBeef.SourceData_PastureBeef_FractionOfManureToMMS_Data(),Table_SourceData_PastureBeef_FractionManureToMMS[[#Headers],[State]], 0)</f>
        <v>Alice Springs</v>
      </c>
      <c r="F386" s="35" cm="1">
        <f t="array" ref="F386">Common_InputFunctions.Utility_DisplayArrayInTable(SourceData_PastureBeef.SourceData_PastureBeef_FractionOfManureToMMS_Data(),Table_SourceData_PastureBeef_FractionManureToMMS[[#Headers],[State]], 0)</f>
        <v>99.998999999999995</v>
      </c>
      <c r="G386" s="35"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5" t="str" cm="1">
        <f t="array" ref="E387">Common_InputFunctions.Utility_DisplayArrayInTable(SourceData_PastureBeef.SourceData_PastureBeef_FractionOfManureToMMS_Data(),Table_SourceData_PastureBeef_FractionManureToMMS[[#Headers],[State]], 0)</f>
        <v>Barkly</v>
      </c>
      <c r="F387" s="35" cm="1">
        <f t="array" ref="F387">Common_InputFunctions.Utility_DisplayArrayInTable(SourceData_PastureBeef.SourceData_PastureBeef_FractionOfManureToMMS_Data(),Table_SourceData_PastureBeef_FractionManureToMMS[[#Headers],[State]], 0)</f>
        <v>99.994</v>
      </c>
      <c r="G387" s="35"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5" t="str" cm="1">
        <f t="array" ref="E388">Common_InputFunctions.Utility_DisplayArrayInTable(SourceData_PastureBeef.SourceData_PastureBeef_FractionOfManureToMMS_Data(),Table_SourceData_PastureBeef_FractionManureToMMS[[#Headers],[State]], 0)</f>
        <v>Northern</v>
      </c>
      <c r="F388" s="35" cm="1">
        <f t="array" ref="F388">Common_InputFunctions.Utility_DisplayArrayInTable(SourceData_PastureBeef.SourceData_PastureBeef_FractionOfManureToMMS_Data(),Table_SourceData_PastureBeef_FractionManureToMMS[[#Headers],[State]], 0)</f>
        <v>99.998999999999995</v>
      </c>
      <c r="G388" s="35"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5" t="str" cm="1">
        <f t="array" ref="E389">Common_InputFunctions.Utility_DisplayArrayInTable(SourceData_PastureBeef.SourceData_PastureBeef_FractionOfManureToMMS_Data(),Table_SourceData_PastureBeef_FractionManureToMMS[[#Headers],[State]], 0)</f>
        <v>High</v>
      </c>
      <c r="F389" s="35" cm="1">
        <f t="array" ref="F389">Common_InputFunctions.Utility_DisplayArrayInTable(SourceData_PastureBeef.SourceData_PastureBeef_FractionOfManureToMMS_Data(),Table_SourceData_PastureBeef_FractionManureToMMS[[#Headers],[State]], 0)</f>
        <v>99.772999999999996</v>
      </c>
      <c r="G389" s="35"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5" t="str" cm="1">
        <f t="array" ref="E390">Common_InputFunctions.Utility_DisplayArrayInTable(SourceData_PastureBeef.SourceData_PastureBeef_FractionOfManureToMMS_Data(),Table_SourceData_PastureBeef_FractionManureToMMS[[#Headers],[State]], 0)</f>
        <v>Moderate/High</v>
      </c>
      <c r="F390" s="35" cm="1">
        <f t="array" ref="F390">Common_InputFunctions.Utility_DisplayArrayInTable(SourceData_PastureBeef.SourceData_PastureBeef_FractionOfManureToMMS_Data(),Table_SourceData_PastureBeef_FractionManureToMMS[[#Headers],[State]], 0)</f>
        <v>99.897999999999996</v>
      </c>
      <c r="G390" s="35"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5" t="str" cm="1">
        <f t="array" ref="E391">Common_InputFunctions.Utility_DisplayArrayInTable(SourceData_PastureBeef.SourceData_PastureBeef_FractionOfManureToMMS_Data(),Table_SourceData_PastureBeef_FractionManureToMMS[[#Headers],[State]], 0)</f>
        <v>Moderate/Low</v>
      </c>
      <c r="F391" s="35" cm="1">
        <f t="array" ref="F391">Common_InputFunctions.Utility_DisplayArrayInTable(SourceData_PastureBeef.SourceData_PastureBeef_FractionOfManureToMMS_Data(),Table_SourceData_PastureBeef_FractionManureToMMS[[#Headers],[State]], 0)</f>
        <v>99.978999999999999</v>
      </c>
      <c r="G391" s="35"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5" t="str" cm="1">
        <f t="array" ref="E392">Common_InputFunctions.Utility_DisplayArrayInTable(SourceData_PastureBeef.SourceData_PastureBeef_FractionOfManureToMMS_Data(),Table_SourceData_PastureBeef_FractionManureToMMS[[#Headers],[State]], 0)</f>
        <v>Low</v>
      </c>
      <c r="F392" s="35" cm="1">
        <f t="array" ref="F392">Common_InputFunctions.Utility_DisplayArrayInTable(SourceData_PastureBeef.SourceData_PastureBeef_FractionOfManureToMMS_Data(),Table_SourceData_PastureBeef_FractionManureToMMS[[#Headers],[State]], 0)</f>
        <v>99.977000000000004</v>
      </c>
      <c r="G392" s="35"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1" t="str" cm="1">
        <f t="array" ref="D398">SourceData_PastureBeef.SourceData_PastureBeef_MethaneConversionFactorPerRegion_Unit()</f>
        <v>fraction</v>
      </c>
      <c r="M398" s="1"/>
    </row>
    <row r="399" spans="4:13" x14ac:dyDescent="0.25">
      <c r="D399" s="52" t="str" cm="1">
        <f t="array" ref="D399">SourceData_PastureBeef.SourceData_PastureBeef_MethaneConversionFactorPerRegion_Variation()</f>
        <v>VARIATION ON SOURCE: Removed comma from 'Pasture range and paddock' to aid lookup</v>
      </c>
      <c r="M399" s="1"/>
    </row>
    <row r="400" spans="4:13" x14ac:dyDescent="0.25">
      <c r="D400" s="35" t="s">
        <v>5</v>
      </c>
      <c r="E400" s="35" t="s">
        <v>144</v>
      </c>
      <c r="F400" s="35" t="s">
        <v>109</v>
      </c>
      <c r="G400" s="35" t="s">
        <v>199</v>
      </c>
      <c r="M400" s="1"/>
    </row>
    <row r="401" spans="4:13" x14ac:dyDescent="0.25">
      <c r="D401" s="35" t="str" cm="1">
        <f t="array" ref="D401">Common_InputFunctions.Utility_DisplayArrayInTable(SourceData_PastureBeef.SourceData_PastureBeef_MethaneConversionFactorPerRegion_Data(), Table_SourceData_PastureBeef_MethaneConversionFactor[[#Headers],[State]], 0)</f>
        <v>ACT</v>
      </c>
      <c r="E401" s="35" t="str" cm="1">
        <f t="array" ref="E401">Common_InputFunctions.Utility_DisplayArrayInTable(SourceData_PastureBeef.SourceData_PastureBeef_MethaneConversionFactorPerRegion_Data(), Table_SourceData_PastureBeef_MethaneConversionFactor[[#Headers],[State]], 0)</f>
        <v>n/a</v>
      </c>
      <c r="F401" s="35" cm="1">
        <f t="array" ref="F401">Common_InputFunctions.Utility_DisplayArrayInTable(SourceData_PastureBeef.SourceData_PastureBeef_MethaneConversionFactorPerRegion_Data(), Table_SourceData_PastureBeef_MethaneConversionFactor[[#Headers],[State]], 0)</f>
        <v>4.7000000000000002E-3</v>
      </c>
      <c r="G401" s="35"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5" t="str" cm="1">
        <f t="array" ref="D402">Common_InputFunctions.Utility_DisplayArrayInTable(SourceData_PastureBeef.SourceData_PastureBeef_MethaneConversionFactorPerRegion_Data(), Table_SourceData_PastureBeef_MethaneConversionFactor[[#Headers],[State]], 0)</f>
        <v>NSW</v>
      </c>
      <c r="E402" s="35" t="str" cm="1">
        <f t="array" ref="E402">Common_InputFunctions.Utility_DisplayArrayInTable(SourceData_PastureBeef.SourceData_PastureBeef_MethaneConversionFactorPerRegion_Data(), Table_SourceData_PastureBeef_MethaneConversionFactor[[#Headers],[State]], 0)</f>
        <v>n/a</v>
      </c>
      <c r="F402" s="35" cm="1">
        <f t="array" ref="F402">Common_InputFunctions.Utility_DisplayArrayInTable(SourceData_PastureBeef.SourceData_PastureBeef_MethaneConversionFactorPerRegion_Data(), Table_SourceData_PastureBeef_MethaneConversionFactor[[#Headers],[State]], 0)</f>
        <v>4.7000000000000002E-3</v>
      </c>
      <c r="G402" s="35"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5" t="str" cm="1">
        <f t="array" ref="D403">Common_InputFunctions.Utility_DisplayArrayInTable(SourceData_PastureBeef.SourceData_PastureBeef_MethaneConversionFactorPerRegion_Data(), Table_SourceData_PastureBeef_MethaneConversionFactor[[#Headers],[State]], 0)</f>
        <v>SA</v>
      </c>
      <c r="E403" s="35" t="str" cm="1">
        <f t="array" ref="E403">Common_InputFunctions.Utility_DisplayArrayInTable(SourceData_PastureBeef.SourceData_PastureBeef_MethaneConversionFactorPerRegion_Data(), Table_SourceData_PastureBeef_MethaneConversionFactor[[#Headers],[State]], 0)</f>
        <v>n/a</v>
      </c>
      <c r="F403" s="35" cm="1">
        <f t="array" ref="F403">Common_InputFunctions.Utility_DisplayArrayInTable(SourceData_PastureBeef.SourceData_PastureBeef_MethaneConversionFactorPerRegion_Data(), Table_SourceData_PastureBeef_MethaneConversionFactor[[#Headers],[State]], 0)</f>
        <v>4.7000000000000002E-3</v>
      </c>
      <c r="G403" s="35"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5" t="str" cm="1">
        <f t="array" ref="D404">Common_InputFunctions.Utility_DisplayArrayInTable(SourceData_PastureBeef.SourceData_PastureBeef_MethaneConversionFactorPerRegion_Data(), Table_SourceData_PastureBeef_MethaneConversionFactor[[#Headers],[State]], 0)</f>
        <v>TAS</v>
      </c>
      <c r="E404" s="35" t="str" cm="1">
        <f t="array" ref="E404">Common_InputFunctions.Utility_DisplayArrayInTable(SourceData_PastureBeef.SourceData_PastureBeef_MethaneConversionFactorPerRegion_Data(), Table_SourceData_PastureBeef_MethaneConversionFactor[[#Headers],[State]], 0)</f>
        <v>n/a</v>
      </c>
      <c r="F404" s="35" cm="1">
        <f t="array" ref="F404">Common_InputFunctions.Utility_DisplayArrayInTable(SourceData_PastureBeef.SourceData_PastureBeef_MethaneConversionFactorPerRegion_Data(), Table_SourceData_PastureBeef_MethaneConversionFactor[[#Headers],[State]], 0)</f>
        <v>4.7000000000000002E-3</v>
      </c>
      <c r="G404" s="35"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5" t="str" cm="1">
        <f t="array" ref="D405">Common_InputFunctions.Utility_DisplayArrayInTable(SourceData_PastureBeef.SourceData_PastureBeef_MethaneConversionFactorPerRegion_Data(), Table_SourceData_PastureBeef_MethaneConversionFactor[[#Headers],[State]], 0)</f>
        <v>VIC</v>
      </c>
      <c r="E405" s="35" t="str" cm="1">
        <f t="array" ref="E405">Common_InputFunctions.Utility_DisplayArrayInTable(SourceData_PastureBeef.SourceData_PastureBeef_MethaneConversionFactorPerRegion_Data(), Table_SourceData_PastureBeef_MethaneConversionFactor[[#Headers],[State]], 0)</f>
        <v>n/a</v>
      </c>
      <c r="F405" s="35" cm="1">
        <f t="array" ref="F405">Common_InputFunctions.Utility_DisplayArrayInTable(SourceData_PastureBeef.SourceData_PastureBeef_MethaneConversionFactorPerRegion_Data(), Table_SourceData_PastureBeef_MethaneConversionFactor[[#Headers],[State]], 0)</f>
        <v>4.7000000000000002E-3</v>
      </c>
      <c r="G405" s="35"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5" t="str" cm="1">
        <f t="array" ref="D406">Common_InputFunctions.Utility_DisplayArrayInTable(SourceData_PastureBeef.SourceData_PastureBeef_MethaneConversionFactorPerRegion_Data(), Table_SourceData_PastureBeef_MethaneConversionFactor[[#Headers],[State]], 0)</f>
        <v>WA</v>
      </c>
      <c r="E406" s="35" t="str" cm="1">
        <f t="array" ref="E406">Common_InputFunctions.Utility_DisplayArrayInTable(SourceData_PastureBeef.SourceData_PastureBeef_MethaneConversionFactorPerRegion_Data(), Table_SourceData_PastureBeef_MethaneConversionFactor[[#Headers],[State]], 0)</f>
        <v>South West</v>
      </c>
      <c r="F406" s="35" cm="1">
        <f t="array" ref="F406">Common_InputFunctions.Utility_DisplayArrayInTable(SourceData_PastureBeef.SourceData_PastureBeef_MethaneConversionFactorPerRegion_Data(), Table_SourceData_PastureBeef_MethaneConversionFactor[[#Headers],[State]], 0)</f>
        <v>4.7000000000000002E-3</v>
      </c>
      <c r="G406" s="35"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5" t="str" cm="1">
        <f t="array" ref="D407">Common_InputFunctions.Utility_DisplayArrayInTable(SourceData_PastureBeef.SourceData_PastureBeef_MethaneConversionFactorPerRegion_Data(), Table_SourceData_PastureBeef_MethaneConversionFactor[[#Headers],[State]], 0)</f>
        <v>WA</v>
      </c>
      <c r="E407" s="35" t="str" cm="1">
        <f t="array" ref="E407">Common_InputFunctions.Utility_DisplayArrayInTable(SourceData_PastureBeef.SourceData_PastureBeef_MethaneConversionFactorPerRegion_Data(), Table_SourceData_PastureBeef_MethaneConversionFactor[[#Headers],[State]], 0)</f>
        <v>Pilbara</v>
      </c>
      <c r="F407" s="35" cm="1">
        <f t="array" ref="F407">Common_InputFunctions.Utility_DisplayArrayInTable(SourceData_PastureBeef.SourceData_PastureBeef_MethaneConversionFactorPerRegion_Data(), Table_SourceData_PastureBeef_MethaneConversionFactor[[#Headers],[State]], 0)</f>
        <v>4.7000000000000002E-3</v>
      </c>
      <c r="G407" s="35"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5" t="str" cm="1">
        <f t="array" ref="D408">Common_InputFunctions.Utility_DisplayArrayInTable(SourceData_PastureBeef.SourceData_PastureBeef_MethaneConversionFactorPerRegion_Data(), Table_SourceData_PastureBeef_MethaneConversionFactor[[#Headers],[State]], 0)</f>
        <v>WA</v>
      </c>
      <c r="E408" s="35" t="str" cm="1">
        <f t="array" ref="E408">Common_InputFunctions.Utility_DisplayArrayInTable(SourceData_PastureBeef.SourceData_PastureBeef_MethaneConversionFactorPerRegion_Data(), Table_SourceData_PastureBeef_MethaneConversionFactor[[#Headers],[State]], 0)</f>
        <v>Kimberley</v>
      </c>
      <c r="F408" s="35" cm="1">
        <f t="array" ref="F408">Common_InputFunctions.Utility_DisplayArrayInTable(SourceData_PastureBeef.SourceData_PastureBeef_MethaneConversionFactorPerRegion_Data(), Table_SourceData_PastureBeef_MethaneConversionFactor[[#Headers],[State]], 0)</f>
        <v>4.7000000000000002E-3</v>
      </c>
      <c r="G408" s="35"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5" t="str" cm="1">
        <f t="array" ref="D409">Common_InputFunctions.Utility_DisplayArrayInTable(SourceData_PastureBeef.SourceData_PastureBeef_MethaneConversionFactorPerRegion_Data(), Table_SourceData_PastureBeef_MethaneConversionFactor[[#Headers],[State]], 0)</f>
        <v>NT</v>
      </c>
      <c r="E409" s="35" t="str" cm="1">
        <f t="array" ref="E409">Common_InputFunctions.Utility_DisplayArrayInTable(SourceData_PastureBeef.SourceData_PastureBeef_MethaneConversionFactorPerRegion_Data(), Table_SourceData_PastureBeef_MethaneConversionFactor[[#Headers],[State]], 0)</f>
        <v>Alice Springs</v>
      </c>
      <c r="F409" s="35" cm="1">
        <f t="array" ref="F409">Common_InputFunctions.Utility_DisplayArrayInTable(SourceData_PastureBeef.SourceData_PastureBeef_MethaneConversionFactorPerRegion_Data(), Table_SourceData_PastureBeef_MethaneConversionFactor[[#Headers],[State]], 0)</f>
        <v>4.7000000000000002E-3</v>
      </c>
      <c r="G409" s="35"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5" t="str" cm="1">
        <f t="array" ref="D410">Common_InputFunctions.Utility_DisplayArrayInTable(SourceData_PastureBeef.SourceData_PastureBeef_MethaneConversionFactorPerRegion_Data(), Table_SourceData_PastureBeef_MethaneConversionFactor[[#Headers],[State]], 0)</f>
        <v>NT</v>
      </c>
      <c r="E410" s="35" t="str" cm="1">
        <f t="array" ref="E410">Common_InputFunctions.Utility_DisplayArrayInTable(SourceData_PastureBeef.SourceData_PastureBeef_MethaneConversionFactorPerRegion_Data(), Table_SourceData_PastureBeef_MethaneConversionFactor[[#Headers],[State]], 0)</f>
        <v>Barkly</v>
      </c>
      <c r="F410" s="35" cm="1">
        <f t="array" ref="F410">Common_InputFunctions.Utility_DisplayArrayInTable(SourceData_PastureBeef.SourceData_PastureBeef_MethaneConversionFactorPerRegion_Data(), Table_SourceData_PastureBeef_MethaneConversionFactor[[#Headers],[State]], 0)</f>
        <v>4.7000000000000002E-3</v>
      </c>
      <c r="G410" s="35"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5" t="str" cm="1">
        <f t="array" ref="D411">Common_InputFunctions.Utility_DisplayArrayInTable(SourceData_PastureBeef.SourceData_PastureBeef_MethaneConversionFactorPerRegion_Data(), Table_SourceData_PastureBeef_MethaneConversionFactor[[#Headers],[State]], 0)</f>
        <v>NT</v>
      </c>
      <c r="E411" s="35" t="str" cm="1">
        <f t="array" ref="E411">Common_InputFunctions.Utility_DisplayArrayInTable(SourceData_PastureBeef.SourceData_PastureBeef_MethaneConversionFactorPerRegion_Data(), Table_SourceData_PastureBeef_MethaneConversionFactor[[#Headers],[State]], 0)</f>
        <v>Northern</v>
      </c>
      <c r="F411" s="35" cm="1">
        <f t="array" ref="F411">Common_InputFunctions.Utility_DisplayArrayInTable(SourceData_PastureBeef.SourceData_PastureBeef_MethaneConversionFactorPerRegion_Data(), Table_SourceData_PastureBeef_MethaneConversionFactor[[#Headers],[State]], 0)</f>
        <v>4.7000000000000002E-3</v>
      </c>
      <c r="G411" s="35"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5" t="str" cm="1">
        <f t="array" ref="D412">Common_InputFunctions.Utility_DisplayArrayInTable(SourceData_PastureBeef.SourceData_PastureBeef_MethaneConversionFactorPerRegion_Data(), Table_SourceData_PastureBeef_MethaneConversionFactor[[#Headers],[State]], 0)</f>
        <v>QLD</v>
      </c>
      <c r="E412" s="35" t="str" cm="1">
        <f t="array" ref="E412">Common_InputFunctions.Utility_DisplayArrayInTable(SourceData_PastureBeef.SourceData_PastureBeef_MethaneConversionFactorPerRegion_Data(), Table_SourceData_PastureBeef_MethaneConversionFactor[[#Headers],[State]], 0)</f>
        <v>High</v>
      </c>
      <c r="F412" s="35" cm="1">
        <f t="array" ref="F412">Common_InputFunctions.Utility_DisplayArrayInTable(SourceData_PastureBeef.SourceData_PastureBeef_MethaneConversionFactorPerRegion_Data(), Table_SourceData_PastureBeef_MethaneConversionFactor[[#Headers],[State]], 0)</f>
        <v>4.7000000000000002E-3</v>
      </c>
      <c r="G412" s="35"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5" t="str" cm="1">
        <f t="array" ref="D413">Common_InputFunctions.Utility_DisplayArrayInTable(SourceData_PastureBeef.SourceData_PastureBeef_MethaneConversionFactorPerRegion_Data(), Table_SourceData_PastureBeef_MethaneConversionFactor[[#Headers],[State]], 0)</f>
        <v>QLD</v>
      </c>
      <c r="E413" s="35" t="str" cm="1">
        <f t="array" ref="E413">Common_InputFunctions.Utility_DisplayArrayInTable(SourceData_PastureBeef.SourceData_PastureBeef_MethaneConversionFactorPerRegion_Data(), Table_SourceData_PastureBeef_MethaneConversionFactor[[#Headers],[State]], 0)</f>
        <v>Moderate/High</v>
      </c>
      <c r="F413" s="35" cm="1">
        <f t="array" ref="F413">Common_InputFunctions.Utility_DisplayArrayInTable(SourceData_PastureBeef.SourceData_PastureBeef_MethaneConversionFactorPerRegion_Data(), Table_SourceData_PastureBeef_MethaneConversionFactor[[#Headers],[State]], 0)</f>
        <v>4.7000000000000002E-3</v>
      </c>
      <c r="G413" s="35"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5" t="str" cm="1">
        <f t="array" ref="D414">Common_InputFunctions.Utility_DisplayArrayInTable(SourceData_PastureBeef.SourceData_PastureBeef_MethaneConversionFactorPerRegion_Data(), Table_SourceData_PastureBeef_MethaneConversionFactor[[#Headers],[State]], 0)</f>
        <v>QLD</v>
      </c>
      <c r="E414" s="35" t="str" cm="1">
        <f t="array" ref="E414">Common_InputFunctions.Utility_DisplayArrayInTable(SourceData_PastureBeef.SourceData_PastureBeef_MethaneConversionFactorPerRegion_Data(), Table_SourceData_PastureBeef_MethaneConversionFactor[[#Headers],[State]], 0)</f>
        <v>Moderate/Low</v>
      </c>
      <c r="F414" s="35" cm="1">
        <f t="array" ref="F414">Common_InputFunctions.Utility_DisplayArrayInTable(SourceData_PastureBeef.SourceData_PastureBeef_MethaneConversionFactorPerRegion_Data(), Table_SourceData_PastureBeef_MethaneConversionFactor[[#Headers],[State]], 0)</f>
        <v>4.7000000000000002E-3</v>
      </c>
      <c r="G414" s="35"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5" t="str" cm="1">
        <f t="array" ref="D415">Common_InputFunctions.Utility_DisplayArrayInTable(SourceData_PastureBeef.SourceData_PastureBeef_MethaneConversionFactorPerRegion_Data(), Table_SourceData_PastureBeef_MethaneConversionFactor[[#Headers],[State]], 0)</f>
        <v>QLD</v>
      </c>
      <c r="E415" s="35" t="str" cm="1">
        <f t="array" ref="E415">Common_InputFunctions.Utility_DisplayArrayInTable(SourceData_PastureBeef.SourceData_PastureBeef_MethaneConversionFactorPerRegion_Data(), Table_SourceData_PastureBeef_MethaneConversionFactor[[#Headers],[State]], 0)</f>
        <v>Low</v>
      </c>
      <c r="F415" s="35" cm="1">
        <f t="array" ref="F415">Common_InputFunctions.Utility_DisplayArrayInTable(SourceData_PastureBeef.SourceData_PastureBeef_MethaneConversionFactorPerRegion_Data(), Table_SourceData_PastureBeef_MethaneConversionFactor[[#Headers],[State]], 0)</f>
        <v>4.7000000000000002E-3</v>
      </c>
      <c r="G415" s="35"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1" t="str" cm="1">
        <f t="array" ref="D421">SourceData_PastureBeef.SourceData_PastureBeef_AshContentOfFeedIntake_Unit()</f>
        <v>fraction</v>
      </c>
      <c r="M421" s="1"/>
    </row>
    <row r="422" spans="4:13" x14ac:dyDescent="0.25">
      <c r="D422" s="50"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1" t="str" cm="1">
        <f t="array" ref="D427">SourceData_PastureBeef.SourceData_PastureBeef_MethaneEmissionsPotential_Unit()</f>
        <v>m3 CH4 / kg VS</v>
      </c>
      <c r="M427" s="1"/>
    </row>
    <row r="428" spans="4:13" x14ac:dyDescent="0.25">
      <c r="D428" s="50"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1" t="str" cm="1">
        <f t="array" ref="D433">SourceData_PastureBeef.SourceData_PastureBeef_FracGASMSoil_Unit()</f>
        <v>fraction</v>
      </c>
      <c r="M433" s="1"/>
    </row>
    <row r="434" spans="4:13" x14ac:dyDescent="0.25">
      <c r="D434" s="50"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1" t="str" cm="1">
        <f t="array" ref="D439">SourceData_PastureBeef.SourceData_PastureBeef_FracLEACH_Unit()</f>
        <v>fraction</v>
      </c>
      <c r="M439" s="1"/>
    </row>
    <row r="440" spans="4:13" x14ac:dyDescent="0.25">
      <c r="D440" s="50" cm="1">
        <f t="array" ref="D440">SourceData_PastureBeef.SourceData_PastureBeef_FracLEACH_Data()</f>
        <v>0.24</v>
      </c>
      <c r="M440" s="1"/>
    </row>
    <row r="441" spans="4:13" x14ac:dyDescent="0.25">
      <c r="M441" s="1"/>
    </row>
    <row r="442" spans="4:13" x14ac:dyDescent="0.25">
      <c r="D442" s="35" t="s">
        <v>283</v>
      </c>
      <c r="E442" s="35" t="s">
        <v>284</v>
      </c>
      <c r="F442" s="35" t="s">
        <v>285</v>
      </c>
      <c r="G442" s="35" t="s">
        <v>286</v>
      </c>
      <c r="H442" s="35" t="s">
        <v>287</v>
      </c>
      <c r="I442" s="35" t="s">
        <v>288</v>
      </c>
      <c r="M442" s="1"/>
    </row>
    <row r="443" spans="4:13" x14ac:dyDescent="0.25">
      <c r="D443" s="35" t="str" cm="1">
        <f t="array" ref="D443">Common_InputFunctions.Utility_DisplayArrayInTable(Scope3_SourceData.Scope3_Livestock_Data(), Table_SourceData_Scope3_Animals[[#Headers],[Category]], 0, 2)</f>
        <v>Beef cattle</v>
      </c>
      <c r="E443" s="35" t="str" cm="1">
        <f t="array" ref="E443">Common_InputFunctions.Utility_DisplayArrayInTable(Scope3_SourceData.Scope3_Livestock_Data(), Table_SourceData_Scope3_Animals[[#Headers],[Category]], 0, 2)</f>
        <v>Cattle, for manufacturing beef</v>
      </c>
      <c r="F443" s="35" t="str" cm="1">
        <f t="array" ref="F443">Common_InputFunctions.Utility_DisplayArrayInTable(Scope3_SourceData.Scope3_Livestock_Data(), Table_SourceData_Scope3_Animals[[#Headers],[Category]], 0, 2)</f>
        <v>Australia</v>
      </c>
      <c r="G443" s="35" t="str" cm="1">
        <f t="array" ref="G443">Common_InputFunctions.Utility_DisplayArrayInTable(Scope3_SourceData.Scope3_Livestock_Data(), Table_SourceData_Scope3_Animals[[#Headers],[Category]], 0, 2)</f>
        <v>kg liveweight</v>
      </c>
      <c r="H443" s="35" cm="1">
        <f t="array" ref="H443">Common_InputFunctions.Utility_DisplayArrayInTable(Scope3_SourceData.Scope3_Livestock_Data(), Table_SourceData_Scope3_Animals[[#Headers],[Category]], 0, 2)</f>
        <v>11</v>
      </c>
      <c r="I443" s="35" t="str" cm="1">
        <f t="array" ref="I443">Common_InputFunctions.Utility_DisplayArrayInTable(Scope3_SourceData.Scope3_Livestock_Data(), Table_SourceData_Scope3_Animals[[#Headers],[Category]], 0, 2)</f>
        <v>at market</v>
      </c>
      <c r="M443" s="1"/>
    </row>
    <row r="444" spans="4:13" x14ac:dyDescent="0.25">
      <c r="D444" s="35" t="str" cm="1">
        <f t="array" ref="D444">Common_InputFunctions.Utility_DisplayArrayInTable(Scope3_SourceData.Scope3_Livestock_Data(), Table_SourceData_Scope3_Animals[[#Headers],[Category]], 0, 2)</f>
        <v>Beef cattle</v>
      </c>
      <c r="E444" s="35" t="str" cm="1">
        <f t="array" ref="E444">Common_InputFunctions.Utility_DisplayArrayInTable(Scope3_SourceData.Scope3_Livestock_Data(), Table_SourceData_Scope3_Animals[[#Headers],[Category]], 0, 2)</f>
        <v>Cattle, for manufacturing beef</v>
      </c>
      <c r="F444" s="35" t="str" cm="1">
        <f t="array" ref="F444">Common_InputFunctions.Utility_DisplayArrayInTable(Scope3_SourceData.Scope3_Livestock_Data(), Table_SourceData_Scope3_Animals[[#Headers],[Category]], 0, 2)</f>
        <v>NSW</v>
      </c>
      <c r="G444" s="35" t="str" cm="1">
        <f t="array" ref="G444">Common_InputFunctions.Utility_DisplayArrayInTable(Scope3_SourceData.Scope3_Livestock_Data(), Table_SourceData_Scope3_Animals[[#Headers],[Category]], 0, 2)</f>
        <v>kg liveweight</v>
      </c>
      <c r="H444" s="35" cm="1">
        <f t="array" ref="H444">Common_InputFunctions.Utility_DisplayArrayInTable(Scope3_SourceData.Scope3_Livestock_Data(), Table_SourceData_Scope3_Animals[[#Headers],[Category]], 0, 2)</f>
        <v>8.2100000000000009</v>
      </c>
      <c r="I444" s="35" t="str" cm="1">
        <f t="array" ref="I444">Common_InputFunctions.Utility_DisplayArrayInTable(Scope3_SourceData.Scope3_Livestock_Data(), Table_SourceData_Scope3_Animals[[#Headers],[Category]], 0, 2)</f>
        <v>at market</v>
      </c>
      <c r="M444" s="1"/>
    </row>
    <row r="445" spans="4:13" x14ac:dyDescent="0.25">
      <c r="D445" s="35" t="str" cm="1">
        <f t="array" ref="D445">Common_InputFunctions.Utility_DisplayArrayInTable(Scope3_SourceData.Scope3_Livestock_Data(), Table_SourceData_Scope3_Animals[[#Headers],[Category]], 0, 2)</f>
        <v>Beef cattle</v>
      </c>
      <c r="E445" s="35" t="str" cm="1">
        <f t="array" ref="E445">Common_InputFunctions.Utility_DisplayArrayInTable(Scope3_SourceData.Scope3_Livestock_Data(), Table_SourceData_Scope3_Animals[[#Headers],[Category]], 0, 2)</f>
        <v>Cattle, for manufacturing beef</v>
      </c>
      <c r="F445" s="35" t="str" cm="1">
        <f t="array" ref="F445">Common_InputFunctions.Utility_DisplayArrayInTable(Scope3_SourceData.Scope3_Livestock_Data(), Table_SourceData_Scope3_Animals[[#Headers],[Category]], 0, 2)</f>
        <v>NT</v>
      </c>
      <c r="G445" s="35" t="str" cm="1">
        <f t="array" ref="G445">Common_InputFunctions.Utility_DisplayArrayInTable(Scope3_SourceData.Scope3_Livestock_Data(), Table_SourceData_Scope3_Animals[[#Headers],[Category]], 0, 2)</f>
        <v>kg liveweight</v>
      </c>
      <c r="H445" s="35" cm="1">
        <f t="array" ref="H445">Common_InputFunctions.Utility_DisplayArrayInTable(Scope3_SourceData.Scope3_Livestock_Data(), Table_SourceData_Scope3_Animals[[#Headers],[Category]], 0, 2)</f>
        <v>12.2</v>
      </c>
      <c r="I445" s="35" t="str" cm="1">
        <f t="array" ref="I445">Common_InputFunctions.Utility_DisplayArrayInTable(Scope3_SourceData.Scope3_Livestock_Data(), Table_SourceData_Scope3_Animals[[#Headers],[Category]], 0, 2)</f>
        <v>at market</v>
      </c>
      <c r="M445" s="1"/>
    </row>
    <row r="446" spans="4:13" x14ac:dyDescent="0.25">
      <c r="D446" s="35" t="str" cm="1">
        <f t="array" ref="D446">Common_InputFunctions.Utility_DisplayArrayInTable(Scope3_SourceData.Scope3_Livestock_Data(), Table_SourceData_Scope3_Animals[[#Headers],[Category]], 0, 2)</f>
        <v>Beef cattle</v>
      </c>
      <c r="E446" s="35" t="str" cm="1">
        <f t="array" ref="E446">Common_InputFunctions.Utility_DisplayArrayInTable(Scope3_SourceData.Scope3_Livestock_Data(), Table_SourceData_Scope3_Animals[[#Headers],[Category]], 0, 2)</f>
        <v>Cattle, for manufacturing beef</v>
      </c>
      <c r="F446" s="35" t="str" cm="1">
        <f t="array" ref="F446">Common_InputFunctions.Utility_DisplayArrayInTable(Scope3_SourceData.Scope3_Livestock_Data(), Table_SourceData_Scope3_Animals[[#Headers],[Category]], 0, 2)</f>
        <v>QLD</v>
      </c>
      <c r="G446" s="35" t="str" cm="1">
        <f t="array" ref="G446">Common_InputFunctions.Utility_DisplayArrayInTable(Scope3_SourceData.Scope3_Livestock_Data(), Table_SourceData_Scope3_Animals[[#Headers],[Category]], 0, 2)</f>
        <v>kg liveweight</v>
      </c>
      <c r="H446" s="35" cm="1">
        <f t="array" ref="H446">Common_InputFunctions.Utility_DisplayArrayInTable(Scope3_SourceData.Scope3_Livestock_Data(), Table_SourceData_Scope3_Animals[[#Headers],[Category]], 0, 2)</f>
        <v>10.9</v>
      </c>
      <c r="I446" s="35" t="str" cm="1">
        <f t="array" ref="I446">Common_InputFunctions.Utility_DisplayArrayInTable(Scope3_SourceData.Scope3_Livestock_Data(), Table_SourceData_Scope3_Animals[[#Headers],[Category]], 0, 2)</f>
        <v>at market</v>
      </c>
      <c r="M446" s="1"/>
    </row>
    <row r="447" spans="4:13" x14ac:dyDescent="0.25">
      <c r="D447" s="35" t="str" cm="1">
        <f t="array" ref="D447">Common_InputFunctions.Utility_DisplayArrayInTable(Scope3_SourceData.Scope3_Livestock_Data(), Table_SourceData_Scope3_Animals[[#Headers],[Category]], 0, 2)</f>
        <v>Beef cattle</v>
      </c>
      <c r="E447" s="35" t="str" cm="1">
        <f t="array" ref="E447">Common_InputFunctions.Utility_DisplayArrayInTable(Scope3_SourceData.Scope3_Livestock_Data(), Table_SourceData_Scope3_Animals[[#Headers],[Category]], 0, 2)</f>
        <v>Cattle, for manufacturing beef</v>
      </c>
      <c r="F447" s="35" t="str" cm="1">
        <f t="array" ref="F447">Common_InputFunctions.Utility_DisplayArrayInTable(Scope3_SourceData.Scope3_Livestock_Data(), Table_SourceData_Scope3_Animals[[#Headers],[Category]], 0, 2)</f>
        <v>SA</v>
      </c>
      <c r="G447" s="35" t="str" cm="1">
        <f t="array" ref="G447">Common_InputFunctions.Utility_DisplayArrayInTable(Scope3_SourceData.Scope3_Livestock_Data(), Table_SourceData_Scope3_Animals[[#Headers],[Category]], 0, 2)</f>
        <v>kg liveweight</v>
      </c>
      <c r="H447" s="35" cm="1">
        <f t="array" ref="H447">Common_InputFunctions.Utility_DisplayArrayInTable(Scope3_SourceData.Scope3_Livestock_Data(), Table_SourceData_Scope3_Animals[[#Headers],[Category]], 0, 2)</f>
        <v>7.63</v>
      </c>
      <c r="I447" s="35" t="str" cm="1">
        <f t="array" ref="I447">Common_InputFunctions.Utility_DisplayArrayInTable(Scope3_SourceData.Scope3_Livestock_Data(), Table_SourceData_Scope3_Animals[[#Headers],[Category]], 0, 2)</f>
        <v>at market</v>
      </c>
      <c r="M447" s="1"/>
    </row>
    <row r="448" spans="4:13" x14ac:dyDescent="0.25">
      <c r="D448" s="35" t="str" cm="1">
        <f t="array" ref="D448">Common_InputFunctions.Utility_DisplayArrayInTable(Scope3_SourceData.Scope3_Livestock_Data(), Table_SourceData_Scope3_Animals[[#Headers],[Category]], 0, 2)</f>
        <v>Beef cattle</v>
      </c>
      <c r="E448" s="35" t="str" cm="1">
        <f t="array" ref="E448">Common_InputFunctions.Utility_DisplayArrayInTable(Scope3_SourceData.Scope3_Livestock_Data(), Table_SourceData_Scope3_Animals[[#Headers],[Category]], 0, 2)</f>
        <v>Cattle, for manufacturing beef</v>
      </c>
      <c r="F448" s="35" t="str" cm="1">
        <f t="array" ref="F448">Common_InputFunctions.Utility_DisplayArrayInTable(Scope3_SourceData.Scope3_Livestock_Data(), Table_SourceData_Scope3_Animals[[#Headers],[Category]], 0, 2)</f>
        <v>TAS</v>
      </c>
      <c r="G448" s="35" t="str" cm="1">
        <f t="array" ref="G448">Common_InputFunctions.Utility_DisplayArrayInTable(Scope3_SourceData.Scope3_Livestock_Data(), Table_SourceData_Scope3_Animals[[#Headers],[Category]], 0, 2)</f>
        <v>kg liveweight</v>
      </c>
      <c r="H448" s="35" cm="1">
        <f t="array" ref="H448">Common_InputFunctions.Utility_DisplayArrayInTable(Scope3_SourceData.Scope3_Livestock_Data(), Table_SourceData_Scope3_Animals[[#Headers],[Category]], 0, 2)</f>
        <v>8.75</v>
      </c>
      <c r="I448" s="35" t="str" cm="1">
        <f t="array" ref="I448">Common_InputFunctions.Utility_DisplayArrayInTable(Scope3_SourceData.Scope3_Livestock_Data(), Table_SourceData_Scope3_Animals[[#Headers],[Category]], 0, 2)</f>
        <v>at market</v>
      </c>
      <c r="M448" s="1"/>
    </row>
    <row r="449" spans="4:13" x14ac:dyDescent="0.25">
      <c r="D449" s="35" t="str" cm="1">
        <f t="array" ref="D449">Common_InputFunctions.Utility_DisplayArrayInTable(Scope3_SourceData.Scope3_Livestock_Data(), Table_SourceData_Scope3_Animals[[#Headers],[Category]], 0, 2)</f>
        <v>Beef cattle</v>
      </c>
      <c r="E449" s="35" t="str" cm="1">
        <f t="array" ref="E449">Common_InputFunctions.Utility_DisplayArrayInTable(Scope3_SourceData.Scope3_Livestock_Data(), Table_SourceData_Scope3_Animals[[#Headers],[Category]], 0, 2)</f>
        <v>Cattle, for manufacturing beef</v>
      </c>
      <c r="F449" s="35" t="str" cm="1">
        <f t="array" ref="F449">Common_InputFunctions.Utility_DisplayArrayInTable(Scope3_SourceData.Scope3_Livestock_Data(), Table_SourceData_Scope3_Animals[[#Headers],[Category]], 0, 2)</f>
        <v>VIC</v>
      </c>
      <c r="G449" s="35" t="str" cm="1">
        <f t="array" ref="G449">Common_InputFunctions.Utility_DisplayArrayInTable(Scope3_SourceData.Scope3_Livestock_Data(), Table_SourceData_Scope3_Animals[[#Headers],[Category]], 0, 2)</f>
        <v>kg liveweight</v>
      </c>
      <c r="H449" s="35" cm="1">
        <f t="array" ref="H449">Common_InputFunctions.Utility_DisplayArrayInTable(Scope3_SourceData.Scope3_Livestock_Data(), Table_SourceData_Scope3_Animals[[#Headers],[Category]], 0, 2)</f>
        <v>8.17</v>
      </c>
      <c r="I449" s="35" t="str" cm="1">
        <f t="array" ref="I449">Common_InputFunctions.Utility_DisplayArrayInTable(Scope3_SourceData.Scope3_Livestock_Data(), Table_SourceData_Scope3_Animals[[#Headers],[Category]], 0, 2)</f>
        <v>at market</v>
      </c>
      <c r="M449" s="1"/>
    </row>
    <row r="450" spans="4:13" x14ac:dyDescent="0.25">
      <c r="D450" s="35" t="str" cm="1">
        <f t="array" ref="D450">Common_InputFunctions.Utility_DisplayArrayInTable(Scope3_SourceData.Scope3_Livestock_Data(), Table_SourceData_Scope3_Animals[[#Headers],[Category]], 0, 2)</f>
        <v>Beef cattle</v>
      </c>
      <c r="E450" s="35" t="str" cm="1">
        <f t="array" ref="E450">Common_InputFunctions.Utility_DisplayArrayInTable(Scope3_SourceData.Scope3_Livestock_Data(), Table_SourceData_Scope3_Animals[[#Headers],[Category]], 0, 2)</f>
        <v>Cattle, for manufacturing beef</v>
      </c>
      <c r="F450" s="35" t="str" cm="1">
        <f t="array" ref="F450">Common_InputFunctions.Utility_DisplayArrayInTable(Scope3_SourceData.Scope3_Livestock_Data(), Table_SourceData_Scope3_Animals[[#Headers],[Category]], 0, 2)</f>
        <v>WA</v>
      </c>
      <c r="G450" s="35" t="str" cm="1">
        <f t="array" ref="G450">Common_InputFunctions.Utility_DisplayArrayInTable(Scope3_SourceData.Scope3_Livestock_Data(), Table_SourceData_Scope3_Animals[[#Headers],[Category]], 0, 2)</f>
        <v>kg liveweight</v>
      </c>
      <c r="H450" s="35" cm="1">
        <f t="array" ref="H450">Common_InputFunctions.Utility_DisplayArrayInTable(Scope3_SourceData.Scope3_Livestock_Data(), Table_SourceData_Scope3_Animals[[#Headers],[Category]], 0, 2)</f>
        <v>13.1</v>
      </c>
      <c r="I450" s="35" t="str" cm="1">
        <f t="array" ref="I450">Common_InputFunctions.Utility_DisplayArrayInTable(Scope3_SourceData.Scope3_Livestock_Data(), Table_SourceData_Scope3_Animals[[#Headers],[Category]], 0, 2)</f>
        <v>at market</v>
      </c>
      <c r="M450" s="1"/>
    </row>
    <row r="451" spans="4:13" x14ac:dyDescent="0.25">
      <c r="D451" s="35" t="str" cm="1">
        <f t="array" ref="D451">Common_InputFunctions.Utility_DisplayArrayInTable(Scope3_SourceData.Scope3_Livestock_Data(), Table_SourceData_Scope3_Animals[[#Headers],[Category]], 0, 2)</f>
        <v>Beef cattle</v>
      </c>
      <c r="E451" s="35" t="str" cm="1">
        <f t="array" ref="E451">Common_InputFunctions.Utility_DisplayArrayInTable(Scope3_SourceData.Scope3_Livestock_Data(), Table_SourceData_Scope3_Animals[[#Headers],[Category]], 0, 2)</f>
        <v>Cattle, for prime beef</v>
      </c>
      <c r="F451" s="35" t="str" cm="1">
        <f t="array" ref="F451">Common_InputFunctions.Utility_DisplayArrayInTable(Scope3_SourceData.Scope3_Livestock_Data(), Table_SourceData_Scope3_Animals[[#Headers],[Category]], 0, 2)</f>
        <v>Australia</v>
      </c>
      <c r="G451" s="35" t="str" cm="1">
        <f t="array" ref="G451">Common_InputFunctions.Utility_DisplayArrayInTable(Scope3_SourceData.Scope3_Livestock_Data(), Table_SourceData_Scope3_Animals[[#Headers],[Category]], 0, 2)</f>
        <v>kg liveweight</v>
      </c>
      <c r="H451" s="35" cm="1">
        <f t="array" ref="H451">Common_InputFunctions.Utility_DisplayArrayInTable(Scope3_SourceData.Scope3_Livestock_Data(), Table_SourceData_Scope3_Animals[[#Headers],[Category]], 0, 2)</f>
        <v>14.5</v>
      </c>
      <c r="I451" s="35" t="str" cm="1">
        <f t="array" ref="I451">Common_InputFunctions.Utility_DisplayArrayInTable(Scope3_SourceData.Scope3_Livestock_Data(), Table_SourceData_Scope3_Animals[[#Headers],[Category]], 0, 2)</f>
        <v>at market</v>
      </c>
      <c r="M451" s="1"/>
    </row>
    <row r="452" spans="4:13" x14ac:dyDescent="0.25">
      <c r="D452" s="35" t="str" cm="1">
        <f t="array" ref="D452">Common_InputFunctions.Utility_DisplayArrayInTable(Scope3_SourceData.Scope3_Livestock_Data(), Table_SourceData_Scope3_Animals[[#Headers],[Category]], 0, 2)</f>
        <v>Beef cattle</v>
      </c>
      <c r="E452" s="35" t="str" cm="1">
        <f t="array" ref="E452">Common_InputFunctions.Utility_DisplayArrayInTable(Scope3_SourceData.Scope3_Livestock_Data(), Table_SourceData_Scope3_Animals[[#Headers],[Category]], 0, 2)</f>
        <v>Cattle, for prime beef</v>
      </c>
      <c r="F452" s="35" t="str" cm="1">
        <f t="array" ref="F452">Common_InputFunctions.Utility_DisplayArrayInTable(Scope3_SourceData.Scope3_Livestock_Data(), Table_SourceData_Scope3_Animals[[#Headers],[Category]], 0, 2)</f>
        <v>NSW</v>
      </c>
      <c r="G452" s="35" t="str" cm="1">
        <f t="array" ref="G452">Common_InputFunctions.Utility_DisplayArrayInTable(Scope3_SourceData.Scope3_Livestock_Data(), Table_SourceData_Scope3_Animals[[#Headers],[Category]], 0, 2)</f>
        <v>kg liveweight</v>
      </c>
      <c r="H452" s="35" cm="1">
        <f t="array" ref="H452">Common_InputFunctions.Utility_DisplayArrayInTable(Scope3_SourceData.Scope3_Livestock_Data(), Table_SourceData_Scope3_Animals[[#Headers],[Category]], 0, 2)</f>
        <v>11.3</v>
      </c>
      <c r="I452" s="35" t="str" cm="1">
        <f t="array" ref="I452">Common_InputFunctions.Utility_DisplayArrayInTable(Scope3_SourceData.Scope3_Livestock_Data(), Table_SourceData_Scope3_Animals[[#Headers],[Category]], 0, 2)</f>
        <v>at market</v>
      </c>
      <c r="M452" s="1"/>
    </row>
    <row r="453" spans="4:13" x14ac:dyDescent="0.25">
      <c r="D453" s="35" t="str" cm="1">
        <f t="array" ref="D453">Common_InputFunctions.Utility_DisplayArrayInTable(Scope3_SourceData.Scope3_Livestock_Data(), Table_SourceData_Scope3_Animals[[#Headers],[Category]], 0, 2)</f>
        <v>Beef cattle</v>
      </c>
      <c r="E453" s="35" t="str" cm="1">
        <f t="array" ref="E453">Common_InputFunctions.Utility_DisplayArrayInTable(Scope3_SourceData.Scope3_Livestock_Data(), Table_SourceData_Scope3_Animals[[#Headers],[Category]], 0, 2)</f>
        <v>Cattle, for prime beef</v>
      </c>
      <c r="F453" s="35" t="str" cm="1">
        <f t="array" ref="F453">Common_InputFunctions.Utility_DisplayArrayInTable(Scope3_SourceData.Scope3_Livestock_Data(), Table_SourceData_Scope3_Animals[[#Headers],[Category]], 0, 2)</f>
        <v>NT</v>
      </c>
      <c r="G453" s="35" t="str" cm="1">
        <f t="array" ref="G453">Common_InputFunctions.Utility_DisplayArrayInTable(Scope3_SourceData.Scope3_Livestock_Data(), Table_SourceData_Scope3_Animals[[#Headers],[Category]], 0, 2)</f>
        <v>kg liveweight</v>
      </c>
      <c r="H453" s="35" cm="1">
        <f t="array" ref="H453">Common_InputFunctions.Utility_DisplayArrayInTable(Scope3_SourceData.Scope3_Livestock_Data(), Table_SourceData_Scope3_Animals[[#Headers],[Category]], 0, 2)</f>
        <v>18.899999999999999</v>
      </c>
      <c r="I453" s="35" t="str" cm="1">
        <f t="array" ref="I453">Common_InputFunctions.Utility_DisplayArrayInTable(Scope3_SourceData.Scope3_Livestock_Data(), Table_SourceData_Scope3_Animals[[#Headers],[Category]], 0, 2)</f>
        <v>at market</v>
      </c>
      <c r="M453" s="1"/>
    </row>
    <row r="454" spans="4:13" x14ac:dyDescent="0.25">
      <c r="D454" s="35" t="str" cm="1">
        <f t="array" ref="D454">Common_InputFunctions.Utility_DisplayArrayInTable(Scope3_SourceData.Scope3_Livestock_Data(), Table_SourceData_Scope3_Animals[[#Headers],[Category]], 0, 2)</f>
        <v>Beef cattle</v>
      </c>
      <c r="E454" s="35" t="str" cm="1">
        <f t="array" ref="E454">Common_InputFunctions.Utility_DisplayArrayInTable(Scope3_SourceData.Scope3_Livestock_Data(), Table_SourceData_Scope3_Animals[[#Headers],[Category]], 0, 2)</f>
        <v>Cattle, for prime beef</v>
      </c>
      <c r="F454" s="35" t="str" cm="1">
        <f t="array" ref="F454">Common_InputFunctions.Utility_DisplayArrayInTable(Scope3_SourceData.Scope3_Livestock_Data(), Table_SourceData_Scope3_Animals[[#Headers],[Category]], 0, 2)</f>
        <v>QLD</v>
      </c>
      <c r="G454" s="35" t="str" cm="1">
        <f t="array" ref="G454">Common_InputFunctions.Utility_DisplayArrayInTable(Scope3_SourceData.Scope3_Livestock_Data(), Table_SourceData_Scope3_Animals[[#Headers],[Category]], 0, 2)</f>
        <v>kg liveweight</v>
      </c>
      <c r="H454" s="35" cm="1">
        <f t="array" ref="H454">Common_InputFunctions.Utility_DisplayArrayInTable(Scope3_SourceData.Scope3_Livestock_Data(), Table_SourceData_Scope3_Animals[[#Headers],[Category]], 0, 2)</f>
        <v>13.9</v>
      </c>
      <c r="I454" s="35" t="str" cm="1">
        <f t="array" ref="I454">Common_InputFunctions.Utility_DisplayArrayInTable(Scope3_SourceData.Scope3_Livestock_Data(), Table_SourceData_Scope3_Animals[[#Headers],[Category]], 0, 2)</f>
        <v>at market</v>
      </c>
      <c r="M454" s="1"/>
    </row>
    <row r="455" spans="4:13" x14ac:dyDescent="0.25">
      <c r="D455" s="35" t="str" cm="1">
        <f t="array" ref="D455">Common_InputFunctions.Utility_DisplayArrayInTable(Scope3_SourceData.Scope3_Livestock_Data(), Table_SourceData_Scope3_Animals[[#Headers],[Category]], 0, 2)</f>
        <v>Beef cattle</v>
      </c>
      <c r="E455" s="35" t="str" cm="1">
        <f t="array" ref="E455">Common_InputFunctions.Utility_DisplayArrayInTable(Scope3_SourceData.Scope3_Livestock_Data(), Table_SourceData_Scope3_Animals[[#Headers],[Category]], 0, 2)</f>
        <v>Cattle, for prime beef</v>
      </c>
      <c r="F455" s="35" t="str" cm="1">
        <f t="array" ref="F455">Common_InputFunctions.Utility_DisplayArrayInTable(Scope3_SourceData.Scope3_Livestock_Data(), Table_SourceData_Scope3_Animals[[#Headers],[Category]], 0, 2)</f>
        <v>SA</v>
      </c>
      <c r="G455" s="35" t="str" cm="1">
        <f t="array" ref="G455">Common_InputFunctions.Utility_DisplayArrayInTable(Scope3_SourceData.Scope3_Livestock_Data(), Table_SourceData_Scope3_Animals[[#Headers],[Category]], 0, 2)</f>
        <v>kg liveweight</v>
      </c>
      <c r="H455" s="35" cm="1">
        <f t="array" ref="H455">Common_InputFunctions.Utility_DisplayArrayInTable(Scope3_SourceData.Scope3_Livestock_Data(), Table_SourceData_Scope3_Animals[[#Headers],[Category]], 0, 2)</f>
        <v>12.3</v>
      </c>
      <c r="I455" s="35" t="str" cm="1">
        <f t="array" ref="I455">Common_InputFunctions.Utility_DisplayArrayInTable(Scope3_SourceData.Scope3_Livestock_Data(), Table_SourceData_Scope3_Animals[[#Headers],[Category]], 0, 2)</f>
        <v>at market</v>
      </c>
    </row>
    <row r="456" spans="4:13" x14ac:dyDescent="0.25">
      <c r="D456" s="35" t="str" cm="1">
        <f t="array" ref="D456">Common_InputFunctions.Utility_DisplayArrayInTable(Scope3_SourceData.Scope3_Livestock_Data(), Table_SourceData_Scope3_Animals[[#Headers],[Category]], 0, 2)</f>
        <v>Beef cattle</v>
      </c>
      <c r="E456" s="35" t="str" cm="1">
        <f t="array" ref="E456">Common_InputFunctions.Utility_DisplayArrayInTable(Scope3_SourceData.Scope3_Livestock_Data(), Table_SourceData_Scope3_Animals[[#Headers],[Category]], 0, 2)</f>
        <v>Cattle, for prime beef</v>
      </c>
      <c r="F456" s="35" t="str" cm="1">
        <f t="array" ref="F456">Common_InputFunctions.Utility_DisplayArrayInTable(Scope3_SourceData.Scope3_Livestock_Data(), Table_SourceData_Scope3_Animals[[#Headers],[Category]], 0, 2)</f>
        <v>TAS</v>
      </c>
      <c r="G456" s="35" t="str" cm="1">
        <f t="array" ref="G456">Common_InputFunctions.Utility_DisplayArrayInTable(Scope3_SourceData.Scope3_Livestock_Data(), Table_SourceData_Scope3_Animals[[#Headers],[Category]], 0, 2)</f>
        <v>kg liveweight</v>
      </c>
      <c r="H456" s="35" cm="1">
        <f t="array" ref="H456">Common_InputFunctions.Utility_DisplayArrayInTable(Scope3_SourceData.Scope3_Livestock_Data(), Table_SourceData_Scope3_Animals[[#Headers],[Category]], 0, 2)</f>
        <v>11.5</v>
      </c>
      <c r="I456" s="35" t="str" cm="1">
        <f t="array" ref="I456">Common_InputFunctions.Utility_DisplayArrayInTable(Scope3_SourceData.Scope3_Livestock_Data(), Table_SourceData_Scope3_Animals[[#Headers],[Category]], 0, 2)</f>
        <v>at market</v>
      </c>
    </row>
    <row r="457" spans="4:13" x14ac:dyDescent="0.25">
      <c r="D457" s="35" t="str" cm="1">
        <f t="array" ref="D457">Common_InputFunctions.Utility_DisplayArrayInTable(Scope3_SourceData.Scope3_Livestock_Data(), Table_SourceData_Scope3_Animals[[#Headers],[Category]], 0, 2)</f>
        <v>Beef cattle</v>
      </c>
      <c r="E457" s="35" t="str" cm="1">
        <f t="array" ref="E457">Common_InputFunctions.Utility_DisplayArrayInTable(Scope3_SourceData.Scope3_Livestock_Data(), Table_SourceData_Scope3_Animals[[#Headers],[Category]], 0, 2)</f>
        <v>Cattle, for prime beef</v>
      </c>
      <c r="F457" s="35" t="str" cm="1">
        <f t="array" ref="F457">Common_InputFunctions.Utility_DisplayArrayInTable(Scope3_SourceData.Scope3_Livestock_Data(), Table_SourceData_Scope3_Animals[[#Headers],[Category]], 0, 2)</f>
        <v>VIC</v>
      </c>
      <c r="G457" s="35" t="str" cm="1">
        <f t="array" ref="G457">Common_InputFunctions.Utility_DisplayArrayInTable(Scope3_SourceData.Scope3_Livestock_Data(), Table_SourceData_Scope3_Animals[[#Headers],[Category]], 0, 2)</f>
        <v>kg liveweight</v>
      </c>
      <c r="H457" s="35" cm="1">
        <f t="array" ref="H457">Common_InputFunctions.Utility_DisplayArrayInTable(Scope3_SourceData.Scope3_Livestock_Data(), Table_SourceData_Scope3_Animals[[#Headers],[Category]], 0, 2)</f>
        <v>11.5</v>
      </c>
      <c r="I457" s="35" t="str" cm="1">
        <f t="array" ref="I457">Common_InputFunctions.Utility_DisplayArrayInTable(Scope3_SourceData.Scope3_Livestock_Data(), Table_SourceData_Scope3_Animals[[#Headers],[Category]], 0, 2)</f>
        <v>at market</v>
      </c>
    </row>
    <row r="458" spans="4:13" x14ac:dyDescent="0.25">
      <c r="D458" s="35" t="str" cm="1">
        <f t="array" ref="D458">Common_InputFunctions.Utility_DisplayArrayInTable(Scope3_SourceData.Scope3_Livestock_Data(), Table_SourceData_Scope3_Animals[[#Headers],[Category]], 0, 2)</f>
        <v>Beef cattle</v>
      </c>
      <c r="E458" s="35" t="str" cm="1">
        <f t="array" ref="E458">Common_InputFunctions.Utility_DisplayArrayInTable(Scope3_SourceData.Scope3_Livestock_Data(), Table_SourceData_Scope3_Animals[[#Headers],[Category]], 0, 2)</f>
        <v>Cattle, for prime beef</v>
      </c>
      <c r="F458" s="35" t="str" cm="1">
        <f t="array" ref="F458">Common_InputFunctions.Utility_DisplayArrayInTable(Scope3_SourceData.Scope3_Livestock_Data(), Table_SourceData_Scope3_Animals[[#Headers],[Category]], 0, 2)</f>
        <v>WA</v>
      </c>
      <c r="G458" s="35" t="str" cm="1">
        <f t="array" ref="G458">Common_InputFunctions.Utility_DisplayArrayInTable(Scope3_SourceData.Scope3_Livestock_Data(), Table_SourceData_Scope3_Animals[[#Headers],[Category]], 0, 2)</f>
        <v>kg liveweight</v>
      </c>
      <c r="H458" s="35" cm="1">
        <f t="array" ref="H458">Common_InputFunctions.Utility_DisplayArrayInTable(Scope3_SourceData.Scope3_Livestock_Data(), Table_SourceData_Scope3_Animals[[#Headers],[Category]], 0, 2)</f>
        <v>20.8</v>
      </c>
      <c r="I458" s="35" t="str" cm="1">
        <f t="array" ref="I458">Common_InputFunctions.Utility_DisplayArrayInTable(Scope3_SourceData.Scope3_Livestock_Data(), Table_SourceData_Scope3_Animals[[#Headers],[Category]], 0, 2)</f>
        <v>at market</v>
      </c>
    </row>
    <row r="459" spans="4:13" x14ac:dyDescent="0.25">
      <c r="D459" s="35" t="str" cm="1">
        <f t="array" ref="D459">Common_InputFunctions.Utility_DisplayArrayInTable(Scope3_SourceData.Scope3_Livestock_Data(), Table_SourceData_Scope3_Animals[[#Headers],[Category]], 0, 2)</f>
        <v>Beef cattle</v>
      </c>
      <c r="E459" s="35" t="str" cm="1">
        <f t="array" ref="E459">Common_InputFunctions.Utility_DisplayArrayInTable(Scope3_SourceData.Scope3_Livestock_Data(), Table_SourceData_Scope3_Animals[[#Headers],[Category]], 0, 2)</f>
        <v>Cattle, weaners</v>
      </c>
      <c r="F459" s="35" t="str" cm="1">
        <f t="array" ref="F459">Common_InputFunctions.Utility_DisplayArrayInTable(Scope3_SourceData.Scope3_Livestock_Data(), Table_SourceData_Scope3_Animals[[#Headers],[Category]], 0, 2)</f>
        <v>Australia</v>
      </c>
      <c r="G459" s="35" t="str" cm="1">
        <f t="array" ref="G459">Common_InputFunctions.Utility_DisplayArrayInTable(Scope3_SourceData.Scope3_Livestock_Data(), Table_SourceData_Scope3_Animals[[#Headers],[Category]], 0, 2)</f>
        <v>kg liveweight</v>
      </c>
      <c r="H459" s="35" cm="1">
        <f t="array" ref="H459">Common_InputFunctions.Utility_DisplayArrayInTable(Scope3_SourceData.Scope3_Livestock_Data(), Table_SourceData_Scope3_Animals[[#Headers],[Category]], 0, 2)</f>
        <v>15.5</v>
      </c>
      <c r="I459" s="35" t="str" cm="1">
        <f t="array" ref="I459">Common_InputFunctions.Utility_DisplayArrayInTable(Scope3_SourceData.Scope3_Livestock_Data(), Table_SourceData_Scope3_Animals[[#Headers],[Category]], 0, 2)</f>
        <v>at market</v>
      </c>
    </row>
    <row r="460" spans="4:13" x14ac:dyDescent="0.25">
      <c r="D460" s="35" t="str" cm="1">
        <f t="array" ref="D460">Common_InputFunctions.Utility_DisplayArrayInTable(Scope3_SourceData.Scope3_Livestock_Data(), Table_SourceData_Scope3_Animals[[#Headers],[Category]], 0, 2)</f>
        <v>Beef cattle</v>
      </c>
      <c r="E460" s="35" t="str" cm="1">
        <f t="array" ref="E460">Common_InputFunctions.Utility_DisplayArrayInTable(Scope3_SourceData.Scope3_Livestock_Data(), Table_SourceData_Scope3_Animals[[#Headers],[Category]], 0, 2)</f>
        <v>Cattle, weaners</v>
      </c>
      <c r="F460" s="35" t="str" cm="1">
        <f t="array" ref="F460">Common_InputFunctions.Utility_DisplayArrayInTable(Scope3_SourceData.Scope3_Livestock_Data(), Table_SourceData_Scope3_Animals[[#Headers],[Category]], 0, 2)</f>
        <v>NSW</v>
      </c>
      <c r="G460" s="35" t="str" cm="1">
        <f t="array" ref="G460">Common_InputFunctions.Utility_DisplayArrayInTable(Scope3_SourceData.Scope3_Livestock_Data(), Table_SourceData_Scope3_Animals[[#Headers],[Category]], 0, 2)</f>
        <v>kg liveweight</v>
      </c>
      <c r="H460" s="35" cm="1">
        <f t="array" ref="H460">Common_InputFunctions.Utility_DisplayArrayInTable(Scope3_SourceData.Scope3_Livestock_Data(), Table_SourceData_Scope3_Animals[[#Headers],[Category]], 0, 2)</f>
        <v>12.7</v>
      </c>
      <c r="I460" s="35" t="str" cm="1">
        <f t="array" ref="I460">Common_InputFunctions.Utility_DisplayArrayInTable(Scope3_SourceData.Scope3_Livestock_Data(), Table_SourceData_Scope3_Animals[[#Headers],[Category]], 0, 2)</f>
        <v>at market</v>
      </c>
    </row>
    <row r="461" spans="4:13" x14ac:dyDescent="0.25">
      <c r="D461" s="35" t="str" cm="1">
        <f t="array" ref="D461">Common_InputFunctions.Utility_DisplayArrayInTable(Scope3_SourceData.Scope3_Livestock_Data(), Table_SourceData_Scope3_Animals[[#Headers],[Category]], 0, 2)</f>
        <v>Beef cattle</v>
      </c>
      <c r="E461" s="35" t="str" cm="1">
        <f t="array" ref="E461">Common_InputFunctions.Utility_DisplayArrayInTable(Scope3_SourceData.Scope3_Livestock_Data(), Table_SourceData_Scope3_Animals[[#Headers],[Category]], 0, 2)</f>
        <v>Cattle, weaners</v>
      </c>
      <c r="F461" s="35" t="str" cm="1">
        <f t="array" ref="F461">Common_InputFunctions.Utility_DisplayArrayInTable(Scope3_SourceData.Scope3_Livestock_Data(), Table_SourceData_Scope3_Animals[[#Headers],[Category]], 0, 2)</f>
        <v>NT</v>
      </c>
      <c r="G461" s="35" t="str" cm="1">
        <f t="array" ref="G461">Common_InputFunctions.Utility_DisplayArrayInTable(Scope3_SourceData.Scope3_Livestock_Data(), Table_SourceData_Scope3_Animals[[#Headers],[Category]], 0, 2)</f>
        <v>kg liveweight</v>
      </c>
      <c r="H461" s="35" cm="1">
        <f t="array" ref="H461">Common_InputFunctions.Utility_DisplayArrayInTable(Scope3_SourceData.Scope3_Livestock_Data(), Table_SourceData_Scope3_Animals[[#Headers],[Category]], 0, 2)</f>
        <v>19.100000000000001</v>
      </c>
      <c r="I461" s="35" t="str" cm="1">
        <f t="array" ref="I461">Common_InputFunctions.Utility_DisplayArrayInTable(Scope3_SourceData.Scope3_Livestock_Data(), Table_SourceData_Scope3_Animals[[#Headers],[Category]], 0, 2)</f>
        <v>at market</v>
      </c>
    </row>
    <row r="462" spans="4:13" x14ac:dyDescent="0.25">
      <c r="D462" s="35" t="str" cm="1">
        <f t="array" ref="D462">Common_InputFunctions.Utility_DisplayArrayInTable(Scope3_SourceData.Scope3_Livestock_Data(), Table_SourceData_Scope3_Animals[[#Headers],[Category]], 0, 2)</f>
        <v>Beef cattle</v>
      </c>
      <c r="E462" s="35" t="str" cm="1">
        <f t="array" ref="E462">Common_InputFunctions.Utility_DisplayArrayInTable(Scope3_SourceData.Scope3_Livestock_Data(), Table_SourceData_Scope3_Animals[[#Headers],[Category]], 0, 2)</f>
        <v>Cattle, weaners</v>
      </c>
      <c r="F462" s="35" t="str" cm="1">
        <f t="array" ref="F462">Common_InputFunctions.Utility_DisplayArrayInTable(Scope3_SourceData.Scope3_Livestock_Data(), Table_SourceData_Scope3_Animals[[#Headers],[Category]], 0, 2)</f>
        <v>QLD</v>
      </c>
      <c r="G462" s="35" t="str" cm="1">
        <f t="array" ref="G462">Common_InputFunctions.Utility_DisplayArrayInTable(Scope3_SourceData.Scope3_Livestock_Data(), Table_SourceData_Scope3_Animals[[#Headers],[Category]], 0, 2)</f>
        <v>kg liveweight</v>
      </c>
      <c r="H462" s="35" cm="1">
        <f t="array" ref="H462">Common_InputFunctions.Utility_DisplayArrayInTable(Scope3_SourceData.Scope3_Livestock_Data(), Table_SourceData_Scope3_Animals[[#Headers],[Category]], 0, 2)</f>
        <v>20.5</v>
      </c>
      <c r="I462" s="35" t="str" cm="1">
        <f t="array" ref="I462">Common_InputFunctions.Utility_DisplayArrayInTable(Scope3_SourceData.Scope3_Livestock_Data(), Table_SourceData_Scope3_Animals[[#Headers],[Category]], 0, 2)</f>
        <v>at market</v>
      </c>
    </row>
    <row r="463" spans="4:13" x14ac:dyDescent="0.25">
      <c r="D463" s="35" t="str" cm="1">
        <f t="array" ref="D463">Common_InputFunctions.Utility_DisplayArrayInTable(Scope3_SourceData.Scope3_Livestock_Data(), Table_SourceData_Scope3_Animals[[#Headers],[Category]], 0, 2)</f>
        <v>Beef cattle</v>
      </c>
      <c r="E463" s="35" t="str" cm="1">
        <f t="array" ref="E463">Common_InputFunctions.Utility_DisplayArrayInTable(Scope3_SourceData.Scope3_Livestock_Data(), Table_SourceData_Scope3_Animals[[#Headers],[Category]], 0, 2)</f>
        <v>Cattle, weaners</v>
      </c>
      <c r="F463" s="35" t="str" cm="1">
        <f t="array" ref="F463">Common_InputFunctions.Utility_DisplayArrayInTable(Scope3_SourceData.Scope3_Livestock_Data(), Table_SourceData_Scope3_Animals[[#Headers],[Category]], 0, 2)</f>
        <v>SA</v>
      </c>
      <c r="G463" s="35" t="str" cm="1">
        <f t="array" ref="G463">Common_InputFunctions.Utility_DisplayArrayInTable(Scope3_SourceData.Scope3_Livestock_Data(), Table_SourceData_Scope3_Animals[[#Headers],[Category]], 0, 2)</f>
        <v>kg liveweight</v>
      </c>
      <c r="H463" s="35" cm="1">
        <f t="array" ref="H463">Common_InputFunctions.Utility_DisplayArrayInTable(Scope3_SourceData.Scope3_Livestock_Data(), Table_SourceData_Scope3_Animals[[#Headers],[Category]], 0, 2)</f>
        <v>10.8</v>
      </c>
      <c r="I463" s="35" t="str" cm="1">
        <f t="array" ref="I463">Common_InputFunctions.Utility_DisplayArrayInTable(Scope3_SourceData.Scope3_Livestock_Data(), Table_SourceData_Scope3_Animals[[#Headers],[Category]], 0, 2)</f>
        <v>at market</v>
      </c>
    </row>
    <row r="464" spans="4:13" x14ac:dyDescent="0.25">
      <c r="D464" s="35" t="str" cm="1">
        <f t="array" ref="D464">Common_InputFunctions.Utility_DisplayArrayInTable(Scope3_SourceData.Scope3_Livestock_Data(), Table_SourceData_Scope3_Animals[[#Headers],[Category]], 0, 2)</f>
        <v>Beef cattle</v>
      </c>
      <c r="E464" s="35" t="str" cm="1">
        <f t="array" ref="E464">Common_InputFunctions.Utility_DisplayArrayInTable(Scope3_SourceData.Scope3_Livestock_Data(), Table_SourceData_Scope3_Animals[[#Headers],[Category]], 0, 2)</f>
        <v>Cattle, weaners</v>
      </c>
      <c r="F464" s="35" t="str" cm="1">
        <f t="array" ref="F464">Common_InputFunctions.Utility_DisplayArrayInTable(Scope3_SourceData.Scope3_Livestock_Data(), Table_SourceData_Scope3_Animals[[#Headers],[Category]], 0, 2)</f>
        <v>TAS</v>
      </c>
      <c r="G464" s="35" t="str" cm="1">
        <f t="array" ref="G464">Common_InputFunctions.Utility_DisplayArrayInTable(Scope3_SourceData.Scope3_Livestock_Data(), Table_SourceData_Scope3_Animals[[#Headers],[Category]], 0, 2)</f>
        <v>kg liveweight</v>
      </c>
      <c r="H464" s="35" cm="1">
        <f t="array" ref="H464">Common_InputFunctions.Utility_DisplayArrayInTable(Scope3_SourceData.Scope3_Livestock_Data(), Table_SourceData_Scope3_Animals[[#Headers],[Category]], 0, 2)</f>
        <v>13.4</v>
      </c>
      <c r="I464" s="35" t="str" cm="1">
        <f t="array" ref="I464">Common_InputFunctions.Utility_DisplayArrayInTable(Scope3_SourceData.Scope3_Livestock_Data(), Table_SourceData_Scope3_Animals[[#Headers],[Category]], 0, 2)</f>
        <v>at market</v>
      </c>
    </row>
    <row r="465" spans="4:9" x14ac:dyDescent="0.25">
      <c r="D465" s="35" t="str" cm="1">
        <f t="array" ref="D465">Common_InputFunctions.Utility_DisplayArrayInTable(Scope3_SourceData.Scope3_Livestock_Data(), Table_SourceData_Scope3_Animals[[#Headers],[Category]], 0, 2)</f>
        <v>Beef cattle</v>
      </c>
      <c r="E465" s="35" t="str" cm="1">
        <f t="array" ref="E465">Common_InputFunctions.Utility_DisplayArrayInTable(Scope3_SourceData.Scope3_Livestock_Data(), Table_SourceData_Scope3_Animals[[#Headers],[Category]], 0, 2)</f>
        <v>Cattle, weaners</v>
      </c>
      <c r="F465" s="35" t="str" cm="1">
        <f t="array" ref="F465">Common_InputFunctions.Utility_DisplayArrayInTable(Scope3_SourceData.Scope3_Livestock_Data(), Table_SourceData_Scope3_Animals[[#Headers],[Category]], 0, 2)</f>
        <v>VIC</v>
      </c>
      <c r="G465" s="35" t="str" cm="1">
        <f t="array" ref="G465">Common_InputFunctions.Utility_DisplayArrayInTable(Scope3_SourceData.Scope3_Livestock_Data(), Table_SourceData_Scope3_Animals[[#Headers],[Category]], 0, 2)</f>
        <v>kg liveweight</v>
      </c>
      <c r="H465" s="35" cm="1">
        <f t="array" ref="H465">Common_InputFunctions.Utility_DisplayArrayInTable(Scope3_SourceData.Scope3_Livestock_Data(), Table_SourceData_Scope3_Animals[[#Headers],[Category]], 0, 2)</f>
        <v>12</v>
      </c>
      <c r="I465" s="35" t="str" cm="1">
        <f t="array" ref="I465">Common_InputFunctions.Utility_DisplayArrayInTable(Scope3_SourceData.Scope3_Livestock_Data(), Table_SourceData_Scope3_Animals[[#Headers],[Category]], 0, 2)</f>
        <v>at market</v>
      </c>
    </row>
    <row r="466" spans="4:9" x14ac:dyDescent="0.25">
      <c r="D466" s="35" t="str" cm="1">
        <f t="array" ref="D466">Common_InputFunctions.Utility_DisplayArrayInTable(Scope3_SourceData.Scope3_Livestock_Data(), Table_SourceData_Scope3_Animals[[#Headers],[Category]], 0, 2)</f>
        <v>Beef cattle</v>
      </c>
      <c r="E466" s="35" t="str" cm="1">
        <f t="array" ref="E466">Common_InputFunctions.Utility_DisplayArrayInTable(Scope3_SourceData.Scope3_Livestock_Data(), Table_SourceData_Scope3_Animals[[#Headers],[Category]], 0, 2)</f>
        <v>Cattle, weaners</v>
      </c>
      <c r="F466" s="35" t="str" cm="1">
        <f t="array" ref="F466">Common_InputFunctions.Utility_DisplayArrayInTable(Scope3_SourceData.Scope3_Livestock_Data(), Table_SourceData_Scope3_Animals[[#Headers],[Category]], 0, 2)</f>
        <v>WA</v>
      </c>
      <c r="G466" s="35" t="str" cm="1">
        <f t="array" ref="G466">Common_InputFunctions.Utility_DisplayArrayInTable(Scope3_SourceData.Scope3_Livestock_Data(), Table_SourceData_Scope3_Animals[[#Headers],[Category]], 0, 2)</f>
        <v>kg liveweight</v>
      </c>
      <c r="H466" s="35" cm="1">
        <f t="array" ref="H466">Common_InputFunctions.Utility_DisplayArrayInTable(Scope3_SourceData.Scope3_Livestock_Data(), Table_SourceData_Scope3_Animals[[#Headers],[Category]], 0, 2)</f>
        <v>12.4</v>
      </c>
      <c r="I466" s="35" t="str" cm="1">
        <f t="array" ref="I466">Common_InputFunctions.Utility_DisplayArrayInTable(Scope3_SourceData.Scope3_Livestock_Data(), Table_SourceData_Scope3_Animals[[#Headers],[Category]], 0, 2)</f>
        <v>at market</v>
      </c>
    </row>
    <row r="467" spans="4:9" x14ac:dyDescent="0.25">
      <c r="D467" s="35" t="str" cm="1">
        <f t="array" ref="D467">Common_InputFunctions.Utility_DisplayArrayInTable(Scope3_SourceData.Scope3_Livestock_Data(), Table_SourceData_Scope3_Animals[[#Headers],[Category]], 0, 2)</f>
        <v>Chickens</v>
      </c>
      <c r="E467" s="35" t="str" cm="1">
        <f t="array" ref="E467">Common_InputFunctions.Utility_DisplayArrayInTable(Scope3_SourceData.Scope3_Livestock_Data(), Table_SourceData_Scope3_Animals[[#Headers],[Category]], 0, 2)</f>
        <v>Chickens</v>
      </c>
      <c r="F467" s="35" t="str" cm="1">
        <f t="array" ref="F467">Common_InputFunctions.Utility_DisplayArrayInTable(Scope3_SourceData.Scope3_Livestock_Data(), Table_SourceData_Scope3_Animals[[#Headers],[Category]], 0, 2)</f>
        <v>Australia</v>
      </c>
      <c r="G467" s="35" t="str" cm="1">
        <f t="array" ref="G467">Common_InputFunctions.Utility_DisplayArrayInTable(Scope3_SourceData.Scope3_Livestock_Data(), Table_SourceData_Scope3_Animals[[#Headers],[Category]], 0, 2)</f>
        <v>kg liveweight</v>
      </c>
      <c r="H467" s="35" cm="1">
        <f t="array" ref="H467">Common_InputFunctions.Utility_DisplayArrayInTable(Scope3_SourceData.Scope3_Livestock_Data(), Table_SourceData_Scope3_Animals[[#Headers],[Category]], 0, 2)</f>
        <v>1.36</v>
      </c>
      <c r="I467" s="35" t="str" cm="1">
        <f t="array" ref="I467">Common_InputFunctions.Utility_DisplayArrayInTable(Scope3_SourceData.Scope3_Livestock_Data(), Table_SourceData_Scope3_Animals[[#Headers],[Category]], 0, 2)</f>
        <v>at market</v>
      </c>
    </row>
    <row r="468" spans="4:9" x14ac:dyDescent="0.25">
      <c r="D468" s="35" t="str" cm="1">
        <f t="array" ref="D468">Common_InputFunctions.Utility_DisplayArrayInTable(Scope3_SourceData.Scope3_Livestock_Data(), Table_SourceData_Scope3_Animals[[#Headers],[Category]], 0, 2)</f>
        <v>Dairy cattle</v>
      </c>
      <c r="E468" s="35" t="str" cm="1">
        <f t="array" ref="E468">Common_InputFunctions.Utility_DisplayArrayInTable(Scope3_SourceData.Scope3_Livestock_Data(), Table_SourceData_Scope3_Animals[[#Headers],[Category]], 0, 2)</f>
        <v>Dairy cows</v>
      </c>
      <c r="F468" s="35" t="str" cm="1">
        <f t="array" ref="F468">Common_InputFunctions.Utility_DisplayArrayInTable(Scope3_SourceData.Scope3_Livestock_Data(), Table_SourceData_Scope3_Animals[[#Headers],[Category]], 0, 2)</f>
        <v>VIC</v>
      </c>
      <c r="G468" s="35" t="str" cm="1">
        <f t="array" ref="G468">Common_InputFunctions.Utility_DisplayArrayInTable(Scope3_SourceData.Scope3_Livestock_Data(), Table_SourceData_Scope3_Animals[[#Headers],[Category]], 0, 2)</f>
        <v>kg liveweight</v>
      </c>
      <c r="H468" s="35" cm="1">
        <f t="array" ref="H468">Common_InputFunctions.Utility_DisplayArrayInTable(Scope3_SourceData.Scope3_Livestock_Data(), Table_SourceData_Scope3_Animals[[#Headers],[Category]], 0, 2)</f>
        <v>4.41</v>
      </c>
      <c r="I468" s="35" t="str" cm="1">
        <f t="array" ref="I468">Common_InputFunctions.Utility_DisplayArrayInTable(Scope3_SourceData.Scope3_Livestock_Data(), Table_SourceData_Scope3_Animals[[#Headers],[Category]], 0, 2)</f>
        <v>at market</v>
      </c>
    </row>
    <row r="469" spans="4:9" x14ac:dyDescent="0.25">
      <c r="D469" s="35" t="str" cm="1">
        <f t="array" ref="D469">Common_InputFunctions.Utility_DisplayArrayInTable(Scope3_SourceData.Scope3_Livestock_Data(), Table_SourceData_Scope3_Animals[[#Headers],[Category]], 0, 2)</f>
        <v>Pigs</v>
      </c>
      <c r="E469" s="35" t="str" cm="1">
        <f t="array" ref="E469">Common_InputFunctions.Utility_DisplayArrayInTable(Scope3_SourceData.Scope3_Livestock_Data(), Table_SourceData_Scope3_Animals[[#Headers],[Category]], 0, 2)</f>
        <v>Pigs</v>
      </c>
      <c r="F469" s="35" t="str" cm="1">
        <f t="array" ref="F469">Common_InputFunctions.Utility_DisplayArrayInTable(Scope3_SourceData.Scope3_Livestock_Data(), Table_SourceData_Scope3_Animals[[#Headers],[Category]], 0, 2)</f>
        <v>Australia</v>
      </c>
      <c r="G469" s="35" t="str" cm="1">
        <f t="array" ref="G469">Common_InputFunctions.Utility_DisplayArrayInTable(Scope3_SourceData.Scope3_Livestock_Data(), Table_SourceData_Scope3_Animals[[#Headers],[Category]], 0, 2)</f>
        <v>kg liveweight</v>
      </c>
      <c r="H469" s="35" cm="1">
        <f t="array" ref="H469">Common_InputFunctions.Utility_DisplayArrayInTable(Scope3_SourceData.Scope3_Livestock_Data(), Table_SourceData_Scope3_Animals[[#Headers],[Category]], 0, 2)</f>
        <v>3.38</v>
      </c>
      <c r="I469" s="35" t="str" cm="1">
        <f t="array" ref="I469">Common_InputFunctions.Utility_DisplayArrayInTable(Scope3_SourceData.Scope3_Livestock_Data(), Table_SourceData_Scope3_Animals[[#Headers],[Category]], 0, 2)</f>
        <v>at market</v>
      </c>
    </row>
    <row r="470" spans="4:9" x14ac:dyDescent="0.25">
      <c r="D470" s="35" t="str" cm="1">
        <f t="array" ref="D470">Common_InputFunctions.Utility_DisplayArrayInTable(Scope3_SourceData.Scope3_Livestock_Data(), Table_SourceData_Scope3_Animals[[#Headers],[Category]], 0, 2)</f>
        <v>Sheep</v>
      </c>
      <c r="E470" s="35" t="str" cm="1">
        <f t="array" ref="E470">Common_InputFunctions.Utility_DisplayArrayInTable(Scope3_SourceData.Scope3_Livestock_Data(), Table_SourceData_Scope3_Animals[[#Headers],[Category]], 0, 2)</f>
        <v>Sheep, for mutton</v>
      </c>
      <c r="F470" s="35" t="str" cm="1">
        <f t="array" ref="F470">Common_InputFunctions.Utility_DisplayArrayInTable(Scope3_SourceData.Scope3_Livestock_Data(), Table_SourceData_Scope3_Animals[[#Headers],[Category]], 0, 2)</f>
        <v>Australia</v>
      </c>
      <c r="G470" s="35" t="str" cm="1">
        <f t="array" ref="G470">Common_InputFunctions.Utility_DisplayArrayInTable(Scope3_SourceData.Scope3_Livestock_Data(), Table_SourceData_Scope3_Animals[[#Headers],[Category]], 0, 2)</f>
        <v>kg liveweight</v>
      </c>
      <c r="H470" s="35" cm="1">
        <f t="array" ref="H470">Common_InputFunctions.Utility_DisplayArrayInTable(Scope3_SourceData.Scope3_Livestock_Data(), Table_SourceData_Scope3_Animals[[#Headers],[Category]], 0, 2)</f>
        <v>6.81</v>
      </c>
      <c r="I470" s="35" t="str" cm="1">
        <f t="array" ref="I470">Common_InputFunctions.Utility_DisplayArrayInTable(Scope3_SourceData.Scope3_Livestock_Data(), Table_SourceData_Scope3_Animals[[#Headers],[Category]], 0, 2)</f>
        <v>at market</v>
      </c>
    </row>
    <row r="471" spans="4:9" x14ac:dyDescent="0.25">
      <c r="D471" s="35" t="str" cm="1">
        <f t="array" ref="D471">Common_InputFunctions.Utility_DisplayArrayInTable(Scope3_SourceData.Scope3_Livestock_Data(), Table_SourceData_Scope3_Animals[[#Headers],[Category]], 0, 2)</f>
        <v>Sheep</v>
      </c>
      <c r="E471" s="35" t="str" cm="1">
        <f t="array" ref="E471">Common_InputFunctions.Utility_DisplayArrayInTable(Scope3_SourceData.Scope3_Livestock_Data(), Table_SourceData_Scope3_Animals[[#Headers],[Category]], 0, 2)</f>
        <v>Sheep, for mutton</v>
      </c>
      <c r="F471" s="35" t="str" cm="1">
        <f t="array" ref="F471">Common_InputFunctions.Utility_DisplayArrayInTable(Scope3_SourceData.Scope3_Livestock_Data(), Table_SourceData_Scope3_Animals[[#Headers],[Category]], 0, 2)</f>
        <v>NSW</v>
      </c>
      <c r="G471" s="35" t="str" cm="1">
        <f t="array" ref="G471">Common_InputFunctions.Utility_DisplayArrayInTable(Scope3_SourceData.Scope3_Livestock_Data(), Table_SourceData_Scope3_Animals[[#Headers],[Category]], 0, 2)</f>
        <v>kg liveweight</v>
      </c>
      <c r="H471" s="35" cm="1">
        <f t="array" ref="H471">Common_InputFunctions.Utility_DisplayArrayInTable(Scope3_SourceData.Scope3_Livestock_Data(), Table_SourceData_Scope3_Animals[[#Headers],[Category]], 0, 2)</f>
        <v>2.2599999999999998</v>
      </c>
      <c r="I471" s="35" t="str" cm="1">
        <f t="array" ref="I471">Common_InputFunctions.Utility_DisplayArrayInTable(Scope3_SourceData.Scope3_Livestock_Data(), Table_SourceData_Scope3_Animals[[#Headers],[Category]], 0, 2)</f>
        <v>at market</v>
      </c>
    </row>
    <row r="472" spans="4:9" x14ac:dyDescent="0.25">
      <c r="D472" s="35" t="str" cm="1">
        <f t="array" ref="D472">Common_InputFunctions.Utility_DisplayArrayInTable(Scope3_SourceData.Scope3_Livestock_Data(), Table_SourceData_Scope3_Animals[[#Headers],[Category]], 0, 2)</f>
        <v>Sheep</v>
      </c>
      <c r="E472" s="35" t="str" cm="1">
        <f t="array" ref="E472">Common_InputFunctions.Utility_DisplayArrayInTable(Scope3_SourceData.Scope3_Livestock_Data(), Table_SourceData_Scope3_Animals[[#Headers],[Category]], 0, 2)</f>
        <v>Sheep, for mutton</v>
      </c>
      <c r="F472" s="35" t="str" cm="1">
        <f t="array" ref="F472">Common_InputFunctions.Utility_DisplayArrayInTable(Scope3_SourceData.Scope3_Livestock_Data(), Table_SourceData_Scope3_Animals[[#Headers],[Category]], 0, 2)</f>
        <v>QLD</v>
      </c>
      <c r="G472" s="35" t="str" cm="1">
        <f t="array" ref="G472">Common_InputFunctions.Utility_DisplayArrayInTable(Scope3_SourceData.Scope3_Livestock_Data(), Table_SourceData_Scope3_Animals[[#Headers],[Category]], 0, 2)</f>
        <v>kg liveweight</v>
      </c>
      <c r="H472" s="35" cm="1">
        <f t="array" ref="H472">Common_InputFunctions.Utility_DisplayArrayInTable(Scope3_SourceData.Scope3_Livestock_Data(), Table_SourceData_Scope3_Animals[[#Headers],[Category]], 0, 2)</f>
        <v>6.33</v>
      </c>
      <c r="I472" s="35" t="str" cm="1">
        <f t="array" ref="I472">Common_InputFunctions.Utility_DisplayArrayInTable(Scope3_SourceData.Scope3_Livestock_Data(), Table_SourceData_Scope3_Animals[[#Headers],[Category]], 0, 2)</f>
        <v>at market</v>
      </c>
    </row>
    <row r="473" spans="4:9" x14ac:dyDescent="0.25">
      <c r="D473" s="35" t="str" cm="1">
        <f t="array" ref="D473">Common_InputFunctions.Utility_DisplayArrayInTable(Scope3_SourceData.Scope3_Livestock_Data(), Table_SourceData_Scope3_Animals[[#Headers],[Category]], 0, 2)</f>
        <v>Sheep</v>
      </c>
      <c r="E473" s="35" t="str" cm="1">
        <f t="array" ref="E473">Common_InputFunctions.Utility_DisplayArrayInTable(Scope3_SourceData.Scope3_Livestock_Data(), Table_SourceData_Scope3_Animals[[#Headers],[Category]], 0, 2)</f>
        <v>Sheep, for mutton</v>
      </c>
      <c r="F473" s="35" t="str" cm="1">
        <f t="array" ref="F473">Common_InputFunctions.Utility_DisplayArrayInTable(Scope3_SourceData.Scope3_Livestock_Data(), Table_SourceData_Scope3_Animals[[#Headers],[Category]], 0, 2)</f>
        <v>SA</v>
      </c>
      <c r="G473" s="35" t="str" cm="1">
        <f t="array" ref="G473">Common_InputFunctions.Utility_DisplayArrayInTable(Scope3_SourceData.Scope3_Livestock_Data(), Table_SourceData_Scope3_Animals[[#Headers],[Category]], 0, 2)</f>
        <v>kg liveweight</v>
      </c>
      <c r="H473" s="35" cm="1">
        <f t="array" ref="H473">Common_InputFunctions.Utility_DisplayArrayInTable(Scope3_SourceData.Scope3_Livestock_Data(), Table_SourceData_Scope3_Animals[[#Headers],[Category]], 0, 2)</f>
        <v>6.18</v>
      </c>
      <c r="I473" s="35" t="str" cm="1">
        <f t="array" ref="I473">Common_InputFunctions.Utility_DisplayArrayInTable(Scope3_SourceData.Scope3_Livestock_Data(), Table_SourceData_Scope3_Animals[[#Headers],[Category]], 0, 2)</f>
        <v>at market</v>
      </c>
    </row>
    <row r="474" spans="4:9" x14ac:dyDescent="0.25">
      <c r="D474" s="35" t="str" cm="1">
        <f t="array" ref="D474">Common_InputFunctions.Utility_DisplayArrayInTable(Scope3_SourceData.Scope3_Livestock_Data(), Table_SourceData_Scope3_Animals[[#Headers],[Category]], 0, 2)</f>
        <v>Sheep</v>
      </c>
      <c r="E474" s="35" t="str" cm="1">
        <f t="array" ref="E474">Common_InputFunctions.Utility_DisplayArrayInTable(Scope3_SourceData.Scope3_Livestock_Data(), Table_SourceData_Scope3_Animals[[#Headers],[Category]], 0, 2)</f>
        <v>Sheep, for mutton</v>
      </c>
      <c r="F474" s="35" t="str" cm="1">
        <f t="array" ref="F474">Common_InputFunctions.Utility_DisplayArrayInTable(Scope3_SourceData.Scope3_Livestock_Data(), Table_SourceData_Scope3_Animals[[#Headers],[Category]], 0, 2)</f>
        <v>TAS</v>
      </c>
      <c r="G474" s="35" t="str" cm="1">
        <f t="array" ref="G474">Common_InputFunctions.Utility_DisplayArrayInTable(Scope3_SourceData.Scope3_Livestock_Data(), Table_SourceData_Scope3_Animals[[#Headers],[Category]], 0, 2)</f>
        <v>kg liveweight</v>
      </c>
      <c r="H474" s="35" cm="1">
        <f t="array" ref="H474">Common_InputFunctions.Utility_DisplayArrayInTable(Scope3_SourceData.Scope3_Livestock_Data(), Table_SourceData_Scope3_Animals[[#Headers],[Category]], 0, 2)</f>
        <v>7.5</v>
      </c>
      <c r="I474" s="35" t="str" cm="1">
        <f t="array" ref="I474">Common_InputFunctions.Utility_DisplayArrayInTable(Scope3_SourceData.Scope3_Livestock_Data(), Table_SourceData_Scope3_Animals[[#Headers],[Category]], 0, 2)</f>
        <v>at market</v>
      </c>
    </row>
    <row r="475" spans="4:9" x14ac:dyDescent="0.25">
      <c r="D475" s="35" t="str" cm="1">
        <f t="array" ref="D475">Common_InputFunctions.Utility_DisplayArrayInTable(Scope3_SourceData.Scope3_Livestock_Data(), Table_SourceData_Scope3_Animals[[#Headers],[Category]], 0, 2)</f>
        <v>Sheep</v>
      </c>
      <c r="E475" s="35" t="str" cm="1">
        <f t="array" ref="E475">Common_InputFunctions.Utility_DisplayArrayInTable(Scope3_SourceData.Scope3_Livestock_Data(), Table_SourceData_Scope3_Animals[[#Headers],[Category]], 0, 2)</f>
        <v>Sheep, for mutton</v>
      </c>
      <c r="F475" s="35" t="str" cm="1">
        <f t="array" ref="F475">Common_InputFunctions.Utility_DisplayArrayInTable(Scope3_SourceData.Scope3_Livestock_Data(), Table_SourceData_Scope3_Animals[[#Headers],[Category]], 0, 2)</f>
        <v>VIC</v>
      </c>
      <c r="G475" s="35" t="str" cm="1">
        <f t="array" ref="G475">Common_InputFunctions.Utility_DisplayArrayInTable(Scope3_SourceData.Scope3_Livestock_Data(), Table_SourceData_Scope3_Animals[[#Headers],[Category]], 0, 2)</f>
        <v>kg liveweight</v>
      </c>
      <c r="H475" s="35" cm="1">
        <f t="array" ref="H475">Common_InputFunctions.Utility_DisplayArrayInTable(Scope3_SourceData.Scope3_Livestock_Data(), Table_SourceData_Scope3_Animals[[#Headers],[Category]], 0, 2)</f>
        <v>8.08</v>
      </c>
      <c r="I475" s="35" t="str" cm="1">
        <f t="array" ref="I475">Common_InputFunctions.Utility_DisplayArrayInTable(Scope3_SourceData.Scope3_Livestock_Data(), Table_SourceData_Scope3_Animals[[#Headers],[Category]], 0, 2)</f>
        <v>at market</v>
      </c>
    </row>
    <row r="476" spans="4:9" x14ac:dyDescent="0.25">
      <c r="D476" s="35" t="str" cm="1">
        <f t="array" ref="D476">Common_InputFunctions.Utility_DisplayArrayInTable(Scope3_SourceData.Scope3_Livestock_Data(), Table_SourceData_Scope3_Animals[[#Headers],[Category]], 0, 2)</f>
        <v>Sheep</v>
      </c>
      <c r="E476" s="35" t="str" cm="1">
        <f t="array" ref="E476">Common_InputFunctions.Utility_DisplayArrayInTable(Scope3_SourceData.Scope3_Livestock_Data(), Table_SourceData_Scope3_Animals[[#Headers],[Category]], 0, 2)</f>
        <v>Sheep, for mutton</v>
      </c>
      <c r="F476" s="35" t="str" cm="1">
        <f t="array" ref="F476">Common_InputFunctions.Utility_DisplayArrayInTable(Scope3_SourceData.Scope3_Livestock_Data(), Table_SourceData_Scope3_Animals[[#Headers],[Category]], 0, 2)</f>
        <v>WA</v>
      </c>
      <c r="G476" s="35" t="str" cm="1">
        <f t="array" ref="G476">Common_InputFunctions.Utility_DisplayArrayInTable(Scope3_SourceData.Scope3_Livestock_Data(), Table_SourceData_Scope3_Animals[[#Headers],[Category]], 0, 2)</f>
        <v>kg liveweight</v>
      </c>
      <c r="H476" s="35" cm="1">
        <f t="array" ref="H476">Common_InputFunctions.Utility_DisplayArrayInTable(Scope3_SourceData.Scope3_Livestock_Data(), Table_SourceData_Scope3_Animals[[#Headers],[Category]], 0, 2)</f>
        <v>5.45</v>
      </c>
      <c r="I476" s="35" t="str" cm="1">
        <f t="array" ref="I476">Common_InputFunctions.Utility_DisplayArrayInTable(Scope3_SourceData.Scope3_Livestock_Data(), Table_SourceData_Scope3_Animals[[#Headers],[Category]], 0, 2)</f>
        <v>at market</v>
      </c>
    </row>
    <row r="477" spans="4:9" x14ac:dyDescent="0.25">
      <c r="D477" s="35" t="str" cm="1">
        <f t="array" ref="D477">Common_InputFunctions.Utility_DisplayArrayInTable(Scope3_SourceData.Scope3_Livestock_Data(), Table_SourceData_Scope3_Animals[[#Headers],[Category]], 0, 2)</f>
        <v>Sheep</v>
      </c>
      <c r="E477" s="35" t="str" cm="1">
        <f t="array" ref="E477">Common_InputFunctions.Utility_DisplayArrayInTable(Scope3_SourceData.Scope3_Livestock_Data(), Table_SourceData_Scope3_Animals[[#Headers],[Category]], 0, 2)</f>
        <v>Sheep, for prime lamb</v>
      </c>
      <c r="F477" s="35" t="str" cm="1">
        <f t="array" ref="F477">Common_InputFunctions.Utility_DisplayArrayInTable(Scope3_SourceData.Scope3_Livestock_Data(), Table_SourceData_Scope3_Animals[[#Headers],[Category]], 0, 2)</f>
        <v>Australia</v>
      </c>
      <c r="G477" s="35" t="str" cm="1">
        <f t="array" ref="G477">Common_InputFunctions.Utility_DisplayArrayInTable(Scope3_SourceData.Scope3_Livestock_Data(), Table_SourceData_Scope3_Animals[[#Headers],[Category]], 0, 2)</f>
        <v>kg liveweight</v>
      </c>
      <c r="H477" s="35" cm="1">
        <f t="array" ref="H477">Common_InputFunctions.Utility_DisplayArrayInTable(Scope3_SourceData.Scope3_Livestock_Data(), Table_SourceData_Scope3_Animals[[#Headers],[Category]], 0, 2)</f>
        <v>7.15</v>
      </c>
      <c r="I477" s="35" t="str" cm="1">
        <f t="array" ref="I477">Common_InputFunctions.Utility_DisplayArrayInTable(Scope3_SourceData.Scope3_Livestock_Data(), Table_SourceData_Scope3_Animals[[#Headers],[Category]], 0, 2)</f>
        <v>at market</v>
      </c>
    </row>
    <row r="478" spans="4:9" x14ac:dyDescent="0.25">
      <c r="D478" s="35" t="str" cm="1">
        <f t="array" ref="D478">Common_InputFunctions.Utility_DisplayArrayInTable(Scope3_SourceData.Scope3_Livestock_Data(), Table_SourceData_Scope3_Animals[[#Headers],[Category]], 0, 2)</f>
        <v>Sheep</v>
      </c>
      <c r="E478" s="35" t="str" cm="1">
        <f t="array" ref="E478">Common_InputFunctions.Utility_DisplayArrayInTable(Scope3_SourceData.Scope3_Livestock_Data(), Table_SourceData_Scope3_Animals[[#Headers],[Category]], 0, 2)</f>
        <v>Sheep, for prime lamb</v>
      </c>
      <c r="F478" s="35" t="str" cm="1">
        <f t="array" ref="F478">Common_InputFunctions.Utility_DisplayArrayInTable(Scope3_SourceData.Scope3_Livestock_Data(), Table_SourceData_Scope3_Animals[[#Headers],[Category]], 0, 2)</f>
        <v>NSW</v>
      </c>
      <c r="G478" s="35" t="str" cm="1">
        <f t="array" ref="G478">Common_InputFunctions.Utility_DisplayArrayInTable(Scope3_SourceData.Scope3_Livestock_Data(), Table_SourceData_Scope3_Animals[[#Headers],[Category]], 0, 2)</f>
        <v>kg liveweight</v>
      </c>
      <c r="H478" s="35" cm="1">
        <f t="array" ref="H478">Common_InputFunctions.Utility_DisplayArrayInTable(Scope3_SourceData.Scope3_Livestock_Data(), Table_SourceData_Scope3_Animals[[#Headers],[Category]], 0, 2)</f>
        <v>8.2899999999999991</v>
      </c>
      <c r="I478" s="35" t="str" cm="1">
        <f t="array" ref="I478">Common_InputFunctions.Utility_DisplayArrayInTable(Scope3_SourceData.Scope3_Livestock_Data(), Table_SourceData_Scope3_Animals[[#Headers],[Category]], 0, 2)</f>
        <v>at market</v>
      </c>
    </row>
    <row r="479" spans="4:9" x14ac:dyDescent="0.25">
      <c r="D479" s="35" t="str" cm="1">
        <f t="array" ref="D479">Common_InputFunctions.Utility_DisplayArrayInTable(Scope3_SourceData.Scope3_Livestock_Data(), Table_SourceData_Scope3_Animals[[#Headers],[Category]], 0, 2)</f>
        <v>Sheep</v>
      </c>
      <c r="E479" s="35" t="str" cm="1">
        <f t="array" ref="E479">Common_InputFunctions.Utility_DisplayArrayInTable(Scope3_SourceData.Scope3_Livestock_Data(), Table_SourceData_Scope3_Animals[[#Headers],[Category]], 0, 2)</f>
        <v>Sheep, for prime lamb</v>
      </c>
      <c r="F479" s="35" t="str" cm="1">
        <f t="array" ref="F479">Common_InputFunctions.Utility_DisplayArrayInTable(Scope3_SourceData.Scope3_Livestock_Data(), Table_SourceData_Scope3_Animals[[#Headers],[Category]], 0, 2)</f>
        <v>QLD</v>
      </c>
      <c r="G479" s="35" t="str" cm="1">
        <f t="array" ref="G479">Common_InputFunctions.Utility_DisplayArrayInTable(Scope3_SourceData.Scope3_Livestock_Data(), Table_SourceData_Scope3_Animals[[#Headers],[Category]], 0, 2)</f>
        <v>kg liveweight</v>
      </c>
      <c r="H479" s="35" cm="1">
        <f t="array" ref="H479">Common_InputFunctions.Utility_DisplayArrayInTable(Scope3_SourceData.Scope3_Livestock_Data(), Table_SourceData_Scope3_Animals[[#Headers],[Category]], 0, 2)</f>
        <v>6.39</v>
      </c>
      <c r="I479" s="35" t="str" cm="1">
        <f t="array" ref="I479">Common_InputFunctions.Utility_DisplayArrayInTable(Scope3_SourceData.Scope3_Livestock_Data(), Table_SourceData_Scope3_Animals[[#Headers],[Category]], 0, 2)</f>
        <v>at market</v>
      </c>
    </row>
    <row r="480" spans="4:9" x14ac:dyDescent="0.25">
      <c r="D480" s="35" t="str" cm="1">
        <f t="array" ref="D480">Common_InputFunctions.Utility_DisplayArrayInTable(Scope3_SourceData.Scope3_Livestock_Data(), Table_SourceData_Scope3_Animals[[#Headers],[Category]], 0, 2)</f>
        <v>Sheep</v>
      </c>
      <c r="E480" s="35" t="str" cm="1">
        <f t="array" ref="E480">Common_InputFunctions.Utility_DisplayArrayInTable(Scope3_SourceData.Scope3_Livestock_Data(), Table_SourceData_Scope3_Animals[[#Headers],[Category]], 0, 2)</f>
        <v>Sheep, for prime lamb</v>
      </c>
      <c r="F480" s="35" t="str" cm="1">
        <f t="array" ref="F480">Common_InputFunctions.Utility_DisplayArrayInTable(Scope3_SourceData.Scope3_Livestock_Data(), Table_SourceData_Scope3_Animals[[#Headers],[Category]], 0, 2)</f>
        <v>SA</v>
      </c>
      <c r="G480" s="35" t="str" cm="1">
        <f t="array" ref="G480">Common_InputFunctions.Utility_DisplayArrayInTable(Scope3_SourceData.Scope3_Livestock_Data(), Table_SourceData_Scope3_Animals[[#Headers],[Category]], 0, 2)</f>
        <v>kg liveweight</v>
      </c>
      <c r="H480" s="35" cm="1">
        <f t="array" ref="H480">Common_InputFunctions.Utility_DisplayArrayInTable(Scope3_SourceData.Scope3_Livestock_Data(), Table_SourceData_Scope3_Animals[[#Headers],[Category]], 0, 2)</f>
        <v>6.87</v>
      </c>
      <c r="I480" s="35" t="str" cm="1">
        <f t="array" ref="I480">Common_InputFunctions.Utility_DisplayArrayInTable(Scope3_SourceData.Scope3_Livestock_Data(), Table_SourceData_Scope3_Animals[[#Headers],[Category]], 0, 2)</f>
        <v>at market</v>
      </c>
    </row>
    <row r="481" spans="4:9" x14ac:dyDescent="0.25">
      <c r="D481" s="35" t="str" cm="1">
        <f t="array" ref="D481">Common_InputFunctions.Utility_DisplayArrayInTable(Scope3_SourceData.Scope3_Livestock_Data(), Table_SourceData_Scope3_Animals[[#Headers],[Category]], 0, 2)</f>
        <v>Sheep</v>
      </c>
      <c r="E481" s="35" t="str" cm="1">
        <f t="array" ref="E481">Common_InputFunctions.Utility_DisplayArrayInTable(Scope3_SourceData.Scope3_Livestock_Data(), Table_SourceData_Scope3_Animals[[#Headers],[Category]], 0, 2)</f>
        <v>Sheep, for prime lamb</v>
      </c>
      <c r="F481" s="35" t="str" cm="1">
        <f t="array" ref="F481">Common_InputFunctions.Utility_DisplayArrayInTable(Scope3_SourceData.Scope3_Livestock_Data(), Table_SourceData_Scope3_Animals[[#Headers],[Category]], 0, 2)</f>
        <v>TAS</v>
      </c>
      <c r="G481" s="35" t="str" cm="1">
        <f t="array" ref="G481">Common_InputFunctions.Utility_DisplayArrayInTable(Scope3_SourceData.Scope3_Livestock_Data(), Table_SourceData_Scope3_Animals[[#Headers],[Category]], 0, 2)</f>
        <v>kg liveweight</v>
      </c>
      <c r="H481" s="35" cm="1">
        <f t="array" ref="H481">Common_InputFunctions.Utility_DisplayArrayInTable(Scope3_SourceData.Scope3_Livestock_Data(), Table_SourceData_Scope3_Animals[[#Headers],[Category]], 0, 2)</f>
        <v>8.66</v>
      </c>
      <c r="I481" s="35" t="str" cm="1">
        <f t="array" ref="I481">Common_InputFunctions.Utility_DisplayArrayInTable(Scope3_SourceData.Scope3_Livestock_Data(), Table_SourceData_Scope3_Animals[[#Headers],[Category]], 0, 2)</f>
        <v>at market</v>
      </c>
    </row>
    <row r="482" spans="4:9" x14ac:dyDescent="0.25">
      <c r="D482" s="35" t="str" cm="1">
        <f t="array" ref="D482">Common_InputFunctions.Utility_DisplayArrayInTable(Scope3_SourceData.Scope3_Livestock_Data(), Table_SourceData_Scope3_Animals[[#Headers],[Category]], 0, 2)</f>
        <v>Sheep</v>
      </c>
      <c r="E482" s="35" t="str" cm="1">
        <f t="array" ref="E482">Common_InputFunctions.Utility_DisplayArrayInTable(Scope3_SourceData.Scope3_Livestock_Data(), Table_SourceData_Scope3_Animals[[#Headers],[Category]], 0, 2)</f>
        <v>Sheep, for prime lamb</v>
      </c>
      <c r="F482" s="35" t="str" cm="1">
        <f t="array" ref="F482">Common_InputFunctions.Utility_DisplayArrayInTable(Scope3_SourceData.Scope3_Livestock_Data(), Table_SourceData_Scope3_Animals[[#Headers],[Category]], 0, 2)</f>
        <v>VIC</v>
      </c>
      <c r="G482" s="35" t="str" cm="1">
        <f t="array" ref="G482">Common_InputFunctions.Utility_DisplayArrayInTable(Scope3_SourceData.Scope3_Livestock_Data(), Table_SourceData_Scope3_Animals[[#Headers],[Category]], 0, 2)</f>
        <v>kg liveweight</v>
      </c>
      <c r="H482" s="35" cm="1">
        <f t="array" ref="H482">Common_InputFunctions.Utility_DisplayArrayInTable(Scope3_SourceData.Scope3_Livestock_Data(), Table_SourceData_Scope3_Animals[[#Headers],[Category]], 0, 2)</f>
        <v>10</v>
      </c>
      <c r="I482" s="35" t="str" cm="1">
        <f t="array" ref="I482">Common_InputFunctions.Utility_DisplayArrayInTable(Scope3_SourceData.Scope3_Livestock_Data(), Table_SourceData_Scope3_Animals[[#Headers],[Category]], 0, 2)</f>
        <v>at market</v>
      </c>
    </row>
    <row r="483" spans="4:9" x14ac:dyDescent="0.25">
      <c r="D483" s="35" t="str" cm="1">
        <f t="array" ref="D483">Common_InputFunctions.Utility_DisplayArrayInTable(Scope3_SourceData.Scope3_Livestock_Data(), Table_SourceData_Scope3_Animals[[#Headers],[Category]], 0, 2)</f>
        <v>Sheep</v>
      </c>
      <c r="E483" s="35" t="str" cm="1">
        <f t="array" ref="E483">Common_InputFunctions.Utility_DisplayArrayInTable(Scope3_SourceData.Scope3_Livestock_Data(), Table_SourceData_Scope3_Animals[[#Headers],[Category]], 0, 2)</f>
        <v>Sheep, for prime lamb</v>
      </c>
      <c r="F483" s="35" t="str" cm="1">
        <f t="array" ref="F483">Common_InputFunctions.Utility_DisplayArrayInTable(Scope3_SourceData.Scope3_Livestock_Data(), Table_SourceData_Scope3_Animals[[#Headers],[Category]], 0, 2)</f>
        <v>WA</v>
      </c>
      <c r="G483" s="35" t="str" cm="1">
        <f t="array" ref="G483">Common_InputFunctions.Utility_DisplayArrayInTable(Scope3_SourceData.Scope3_Livestock_Data(), Table_SourceData_Scope3_Animals[[#Headers],[Category]], 0, 2)</f>
        <v>kg liveweight</v>
      </c>
      <c r="H483" s="35" cm="1">
        <f t="array" ref="H483">Common_InputFunctions.Utility_DisplayArrayInTable(Scope3_SourceData.Scope3_Livestock_Data(), Table_SourceData_Scope3_Animals[[#Headers],[Category]], 0, 2)</f>
        <v>5.67</v>
      </c>
      <c r="I483" s="35" t="str" cm="1">
        <f t="array" ref="I483">Common_InputFunctions.Utility_DisplayArrayInTable(Scope3_SourceData.Scope3_Livestock_Data(), Table_SourceData_Scope3_Animals[[#Headers],[Category]], 0, 2)</f>
        <v>at market</v>
      </c>
    </row>
  </sheetData>
  <pageMargins left="0.7" right="0.7" top="0.75" bottom="0.75" header="0.3" footer="0.3"/>
  <pageSetup paperSize="9" orientation="portrait" r:id="rId1"/>
  <ignoredErrors>
    <ignoredError sqref="E223:P282" calculatedColumn="1"/>
  </ignoredErrors>
  <tableParts count="2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13459-717D-4FCB-B9F7-5E7F6D53E66D}">
  <dimension ref="A1:BY259"/>
  <sheetViews>
    <sheetView showGridLines="0" tabSelected="1" topLeftCell="A86" zoomScaleNormal="100" workbookViewId="0">
      <selection activeCell="A19" sqref="A19"/>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2" t="e" vm="1">
        <v>#VALUE!</v>
      </c>
      <c r="C1" s="8" t="s">
        <v>61</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HYPERLINK("#'Results'!A1", "Results")</f>
        <v>Results</v>
      </c>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5" t="s">
        <v>16</v>
      </c>
      <c r="E6" s="35" t="s">
        <v>17</v>
      </c>
      <c r="F6" s="35" t="s">
        <v>18</v>
      </c>
    </row>
    <row r="7" spans="1:65" ht="20.100000000000001" customHeight="1" x14ac:dyDescent="0.25">
      <c r="A7" s="19" t="s">
        <v>0</v>
      </c>
      <c r="D7" s="35" t="str" cm="1">
        <f t="array" ref="D7">Common_InputFunctions.Utility_DisplayArrayInTable(Common_SourceData.Common_SourceData_AustralianStatesTerritories_Data(),Table_AustralianStates[[#Headers],[State/Territory]],0)</f>
        <v>New South Wales</v>
      </c>
      <c r="E7" s="35" t="str" cm="1">
        <f t="array" ref="E7">Common_InputFunctions.Utility_DisplayArrayInTable(Common_SourceData.Common_SourceData_AustralianStatesTerritories_Data(),Table_AustralianStates[[#Headers],[State/Territory]],0)</f>
        <v>New South Wales</v>
      </c>
      <c r="F7" s="35"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HYPERLINK("#'Input - Site'!A1", "Site")</f>
        <v>Site</v>
      </c>
      <c r="D8" s="35" t="str" cm="1">
        <f t="array" ref="D8">Common_InputFunctions.Utility_DisplayArrayInTable(Common_SourceData.Common_SourceData_AustralianStatesTerritories_Data(),Table_AustralianStates[[#Headers],[State/Territory]],0)</f>
        <v>Australian Capital Territory</v>
      </c>
      <c r="E8" s="35" t="str" cm="1">
        <f t="array" ref="E8">Common_InputFunctions.Utility_DisplayArrayInTable(Common_SourceData.Common_SourceData_AustralianStatesTerritories_Data(),Table_AustralianStates[[#Headers],[State/Territory]],0)</f>
        <v>ACT</v>
      </c>
      <c r="F8" s="35"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Pasture Beef'!A1", "Pasture Beef")</f>
        <v>Pasture Beef</v>
      </c>
      <c r="D9" s="35" t="str" cm="1">
        <f t="array" ref="D9">Common_InputFunctions.Utility_DisplayArrayInTable(Common_SourceData.Common_SourceData_AustralianStatesTerritories_Data(),Table_AustralianStates[[#Headers],[State/Territory]],0)</f>
        <v>Victoria</v>
      </c>
      <c r="E9" s="35" t="str" cm="1">
        <f t="array" ref="E9">Common_InputFunctions.Utility_DisplayArrayInTable(Common_SourceData.Common_SourceData_AustralianStatesTerritories_Data(),Table_AustralianStates[[#Headers],[State/Territory]],0)</f>
        <v>Victoria</v>
      </c>
      <c r="F9" s="35"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5" t="str" cm="1">
        <f t="array" ref="D10">Common_InputFunctions.Utility_DisplayArrayInTable(Common_SourceData.Common_SourceData_AustralianStatesTerritories_Data(),Table_AustralianStates[[#Headers],[State/Territory]],0)</f>
        <v>Queensland</v>
      </c>
      <c r="E10" s="35" t="str" cm="1">
        <f t="array" ref="E10">Common_InputFunctions.Utility_DisplayArrayInTable(Common_SourceData.Common_SourceData_AustralianStatesTerritories_Data(),Table_AustralianStates[[#Headers],[State/Territory]],0)</f>
        <v>Queensland</v>
      </c>
      <c r="F10" s="35"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5" t="str" cm="1">
        <f t="array" ref="D11">Common_InputFunctions.Utility_DisplayArrayInTable(Common_SourceData.Common_SourceData_AustralianStatesTerritories_Data(),Table_AustralianStates[[#Headers],[State/Territory]],0)</f>
        <v>South Australia</v>
      </c>
      <c r="E11" s="35" t="str" cm="1">
        <f t="array" ref="E11">Common_InputFunctions.Utility_DisplayArrayInTable(Common_SourceData.Common_SourceData_AustralianStatesTerritories_Data(),Table_AustralianStates[[#Headers],[State/Territory]],0)</f>
        <v>South Australia</v>
      </c>
      <c r="F11" s="35"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s="18" t="s">
        <v>60</v>
      </c>
      <c r="D12" s="35" t="str" cm="1">
        <f t="array" ref="D12">Common_InputFunctions.Utility_DisplayArrayInTable(Common_SourceData.Common_SourceData_AustralianStatesTerritories_Data(),Table_AustralianStates[[#Headers],[State/Territory]],0)</f>
        <v>Western Australia</v>
      </c>
      <c r="E12" s="35" t="str" cm="1">
        <f t="array" ref="E12">Common_InputFunctions.Utility_DisplayArrayInTable(Common_SourceData.Common_SourceData_AustralianStatesTerritories_Data(),Table_AustralianStates[[#Headers],[State/Territory]],0)</f>
        <v>Western Australia</v>
      </c>
      <c r="F12" s="35"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7" t="str">
        <f>HYPERLINK("#'3.2.1.1-2 Enteric Methane'!A1", "3.2.1.1-2 Enteric Methane")</f>
        <v>3.2.1.1-2 Enteric Methane</v>
      </c>
      <c r="D13" s="35" t="str" cm="1">
        <f t="array" ref="D13">Common_InputFunctions.Utility_DisplayArrayInTable(Common_SourceData.Common_SourceData_AustralianStatesTerritories_Data(),Table_AustralianStates[[#Headers],[State/Territory]],0)</f>
        <v>Tasmania</v>
      </c>
      <c r="E13" s="35" t="str" cm="1">
        <f t="array" ref="E13">Common_InputFunctions.Utility_DisplayArrayInTable(Common_SourceData.Common_SourceData_AustralianStatesTerritories_Data(),Table_AustralianStates[[#Headers],[State/Territory]],0)</f>
        <v>Tasmania</v>
      </c>
      <c r="F13" s="35"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5" t="str" cm="1">
        <f t="array" ref="D14">Common_InputFunctions.Utility_DisplayArrayInTable(Common_SourceData.Common_SourceData_AustralianStatesTerritories_Data(),Table_AustralianStates[[#Headers],[State/Territory]],0)</f>
        <v>Northern Territory</v>
      </c>
      <c r="E14" s="35" t="str" cm="1">
        <f t="array" ref="E14">Common_InputFunctions.Utility_DisplayArrayInTable(Common_SourceData.Common_SourceData_AustralianStatesTerritories_Data(),Table_AustralianStates[[#Headers],[State/Territory]],0)</f>
        <v>Northern Territory</v>
      </c>
      <c r="F14" s="35"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s="128" t="s">
        <v>1</v>
      </c>
    </row>
    <row r="17" spans="1:4" ht="20.100000000000001" customHeight="1" x14ac:dyDescent="0.25">
      <c r="A17" s="17" t="str">
        <f>HYPERLINK("#'Constants - Pasture Beef'!A1", "Constants - Pasture Beef")</f>
        <v>Constants - Pasture Beef</v>
      </c>
    </row>
    <row r="18" spans="1:4" ht="20.100000000000001" customHeight="1" x14ac:dyDescent="0.25">
      <c r="A18" s="118" t="str">
        <f>HYPERLINK("#'Constants - Common'!A1", "Constants - Common")</f>
        <v>Constants - Common</v>
      </c>
      <c r="D18" s="6" t="str" cm="1">
        <f t="array" ref="D18">Common_SourceData.Common_SourceData_WASA4Areas_Title()</f>
        <v>ABS Statistcal Areas Level 4 - Western Australia</v>
      </c>
    </row>
    <row r="19" spans="1:4" ht="20.100000000000001" customHeight="1" x14ac:dyDescent="0.25">
      <c r="A19" s="17" t="str">
        <f>HYPERLINK("#'Constants - Common Livestock'!A1", "Constants - Common Livestock")</f>
        <v>Constants - Common Livestock</v>
      </c>
      <c r="D19" s="5" t="str" cm="1">
        <f t="array" ref="D19">Common_SourceData.Common_SourceData_WASA4Areas_Source()</f>
        <v>Australian Bureau of Statistics (ABS) - Statistical Areas Level 2 - 2021 - Shapefile</v>
      </c>
    </row>
    <row r="20" spans="1:4" ht="20.100000000000001" customHeight="1" x14ac:dyDescent="0.25">
      <c r="A20" s="17" t="str">
        <f>HYPERLINK("#'Acknowledgements'!A1", "Acknowledgements")</f>
        <v>Acknowledgements</v>
      </c>
      <c r="D20" s="35" t="s">
        <v>19</v>
      </c>
    </row>
    <row r="21" spans="1:4" ht="20.100000000000001" customHeight="1" x14ac:dyDescent="0.25">
      <c r="A21"/>
      <c r="D21" s="35" t="str" cm="1">
        <f t="array" ref="D21">Common_InputFunctions.Utility_DisplayArrayInTable(Common_SourceData.Common_SourceData_WASA4Areas_Data(), Table_WASA4Areas[[#Headers],[SA 4 Name]], 0)</f>
        <v>Bunbury</v>
      </c>
    </row>
    <row r="22" spans="1:4" ht="20.100000000000001" customHeight="1" x14ac:dyDescent="0.25">
      <c r="A22"/>
      <c r="D22" s="35" t="str" cm="1">
        <f t="array" ref="D22">Common_InputFunctions.Utility_DisplayArrayInTable(Common_SourceData.Common_SourceData_WASA4Areas_Data(), Table_WASA4Areas[[#Headers],[SA 4 Name]], 0)</f>
        <v>Mandurah</v>
      </c>
    </row>
    <row r="23" spans="1:4" ht="20.100000000000001" customHeight="1" x14ac:dyDescent="0.25">
      <c r="A23"/>
      <c r="D23" s="35" t="str" cm="1">
        <f t="array" ref="D23">Common_InputFunctions.Utility_DisplayArrayInTable(Common_SourceData.Common_SourceData_WASA4Areas_Data(), Table_WASA4Areas[[#Headers],[SA 4 Name]], 0)</f>
        <v>Perth - Inner</v>
      </c>
    </row>
    <row r="24" spans="1:4" ht="20.100000000000001" customHeight="1" x14ac:dyDescent="0.25">
      <c r="A24"/>
      <c r="D24" s="35" t="str" cm="1">
        <f t="array" ref="D24">Common_InputFunctions.Utility_DisplayArrayInTable(Common_SourceData.Common_SourceData_WASA4Areas_Data(), Table_WASA4Areas[[#Headers],[SA 4 Name]], 0)</f>
        <v>Perth - North East</v>
      </c>
    </row>
    <row r="25" spans="1:4" ht="20.100000000000001" customHeight="1" x14ac:dyDescent="0.25">
      <c r="A25"/>
      <c r="D25" s="35" t="str" cm="1">
        <f t="array" ref="D25">Common_InputFunctions.Utility_DisplayArrayInTable(Common_SourceData.Common_SourceData_WASA4Areas_Data(), Table_WASA4Areas[[#Headers],[SA 4 Name]], 0)</f>
        <v>Perth - North West</v>
      </c>
    </row>
    <row r="26" spans="1:4" ht="20.100000000000001" customHeight="1" x14ac:dyDescent="0.25">
      <c r="A26"/>
      <c r="D26" s="35" t="str" cm="1">
        <f t="array" ref="D26">Common_InputFunctions.Utility_DisplayArrayInTable(Common_SourceData.Common_SourceData_WASA4Areas_Data(), Table_WASA4Areas[[#Headers],[SA 4 Name]], 0)</f>
        <v>Perth - South East</v>
      </c>
    </row>
    <row r="27" spans="1:4" ht="20.100000000000001" customHeight="1" x14ac:dyDescent="0.25">
      <c r="A27"/>
      <c r="D27" s="35" t="str" cm="1">
        <f t="array" ref="D27">Common_InputFunctions.Utility_DisplayArrayInTable(Common_SourceData.Common_SourceData_WASA4Areas_Data(), Table_WASA4Areas[[#Headers],[SA 4 Name]], 0)</f>
        <v>Perth - South West</v>
      </c>
    </row>
    <row r="28" spans="1:4" ht="20.100000000000001" customHeight="1" x14ac:dyDescent="0.25">
      <c r="A28"/>
      <c r="D28" s="35"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5"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5"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5" t="s">
        <v>21</v>
      </c>
      <c r="E36" s="35" t="s">
        <v>22</v>
      </c>
    </row>
    <row r="37" spans="1:8" ht="20.100000000000001" customHeight="1" x14ac:dyDescent="0.25">
      <c r="A37"/>
      <c r="D37" s="35" t="str" cm="1">
        <f t="array" ref="D37">Common_InputFunctions.Utility_DisplayArrayInTable(Common_SourceData.Common_SourceData_GWP_Data(), Table_GWPData[[#Headers],[Gas]], 0)</f>
        <v>CO2</v>
      </c>
      <c r="E37" s="35" cm="1">
        <f t="array" ref="E37">Common_InputFunctions.Utility_DisplayArrayInTable(Common_SourceData.Common_SourceData_GWP_Data(), Table_GWPData[[#Headers],[Gas]], 0)</f>
        <v>1</v>
      </c>
    </row>
    <row r="38" spans="1:8" ht="20.100000000000001" customHeight="1" x14ac:dyDescent="0.25">
      <c r="A38"/>
      <c r="D38" s="35" t="str" cm="1">
        <f t="array" ref="D38">Common_InputFunctions.Utility_DisplayArrayInTable(Common_SourceData.Common_SourceData_GWP_Data(), Table_GWPData[[#Headers],[Gas]], 0)</f>
        <v>CH4</v>
      </c>
      <c r="E38" s="35" cm="1">
        <f t="array" ref="E38">Common_InputFunctions.Utility_DisplayArrayInTable(Common_SourceData.Common_SourceData_GWP_Data(), Table_GWPData[[#Headers],[Gas]], 0)</f>
        <v>28</v>
      </c>
    </row>
    <row r="39" spans="1:8" ht="20.100000000000001" customHeight="1" x14ac:dyDescent="0.25">
      <c r="A39"/>
      <c r="D39" s="35" t="str" cm="1">
        <f t="array" ref="D39">Common_InputFunctions.Utility_DisplayArrayInTable(Common_SourceData.Common_SourceData_GWP_Data(), Table_GWPData[[#Headers],[Gas]], 0)</f>
        <v>N2O</v>
      </c>
      <c r="E39" s="35" cm="1">
        <f t="array" ref="E39">Common_InputFunctions.Utility_DisplayArrayInTable(Common_SourceData.Common_SourceData_GWP_Data(), Table_GWPData[[#Headers],[Gas]], 0)</f>
        <v>265</v>
      </c>
    </row>
    <row r="40" spans="1:8" ht="20.100000000000001" customHeight="1" x14ac:dyDescent="0.25">
      <c r="A40"/>
      <c r="D40" s="35" t="str" cm="1">
        <f t="array" ref="D40">Common_InputFunctions.Utility_DisplayArrayInTable(Common_SourceData.Common_SourceData_GWP_Data(), Table_GWPData[[#Headers],[Gas]], 0)</f>
        <v>CF4</v>
      </c>
      <c r="E40" s="35" cm="1">
        <f t="array" ref="E40">Common_InputFunctions.Utility_DisplayArrayInTable(Common_SourceData.Common_SourceData_GWP_Data(), Table_GWPData[[#Headers],[Gas]], 0)</f>
        <v>6630</v>
      </c>
    </row>
    <row r="41" spans="1:8" ht="20.100000000000001" customHeight="1" x14ac:dyDescent="0.25">
      <c r="A41"/>
      <c r="D41" s="35" t="str" cm="1">
        <f t="array" ref="D41">Common_InputFunctions.Utility_DisplayArrayInTable(Common_SourceData.Common_SourceData_GWP_Data(), Table_GWPData[[#Headers],[Gas]], 0)</f>
        <v>C2F6</v>
      </c>
      <c r="E41" s="35" cm="1">
        <f t="array" ref="E41">Common_InputFunctions.Utility_DisplayArrayInTable(Common_SourceData.Common_SourceData_GWP_Data(), Table_GWPData[[#Headers],[Gas]], 0)</f>
        <v>12200</v>
      </c>
    </row>
    <row r="42" spans="1:8" ht="20.100000000000001" customHeight="1" x14ac:dyDescent="0.25">
      <c r="A42"/>
      <c r="D42" s="35" t="str" cm="1">
        <f t="array" ref="D42">Common_InputFunctions.Utility_DisplayArrayInTable(Common_SourceData.Common_SourceData_GWP_Data(), Table_GWPData[[#Headers],[Gas]], 0)</f>
        <v>SF6</v>
      </c>
      <c r="E42" s="35" cm="1">
        <f t="array" ref="E42">Common_InputFunctions.Utility_DisplayArrayInTable(Common_SourceData.Common_SourceData_GWP_Data(), Table_GWPData[[#Headers],[Gas]], 0)</f>
        <v>22800</v>
      </c>
    </row>
    <row r="43" spans="1:8" ht="20.100000000000001" customHeight="1" x14ac:dyDescent="0.25">
      <c r="A43"/>
      <c r="D43" s="35" t="str" cm="1">
        <f t="array" ref="D43">Common_InputFunctions.Utility_DisplayArrayInTable(Common_SourceData.Common_SourceData_GWP_Data(), Table_GWPData[[#Headers],[Gas]], 0)</f>
        <v>NF3</v>
      </c>
      <c r="E43" s="35"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5" t="s">
        <v>21</v>
      </c>
      <c r="E47" s="35" t="s">
        <v>24</v>
      </c>
      <c r="F47" s="35" t="s">
        <v>25</v>
      </c>
      <c r="G47" s="35" t="s">
        <v>26</v>
      </c>
      <c r="H47" s="35" t="s">
        <v>27</v>
      </c>
    </row>
    <row r="48" spans="1:8" ht="20.100000000000001" customHeight="1" x14ac:dyDescent="0.25">
      <c r="A48"/>
      <c r="D48" s="35" t="str" cm="1">
        <f t="array" ref="D48">Common_InputFunctions.Utility_DisplayArrayInTable(Common_SourceData.Common_SourceData_ConvertGasElementalToMolecular_Data(),Table_GasToMolecularConversionFactor[[#Headers],[Gas]], 0)</f>
        <v>CO2</v>
      </c>
      <c r="E48" s="35" t="str" cm="1">
        <f t="array" ref="E48">Common_InputFunctions.Utility_DisplayArrayInTable(Common_SourceData.Common_SourceData_ConvertGasElementalToMolecular_Data(),Table_GasToMolecularConversionFactor[[#Headers],[Gas]], 0)</f>
        <v>44/12</v>
      </c>
      <c r="F48" s="35" cm="1">
        <f t="array" ref="F48">Common_InputFunctions.Utility_DisplayArrayInTable(Common_SourceData.Common_SourceData_ConvertGasElementalToMolecular_Data(),Table_GasToMolecularConversionFactor[[#Headers],[Gas]], 0)</f>
        <v>44</v>
      </c>
      <c r="G48" s="35" cm="1">
        <f t="array" ref="G48">Common_InputFunctions.Utility_DisplayArrayInTable(Common_SourceData.Common_SourceData_ConvertGasElementalToMolecular_Data(),Table_GasToMolecularConversionFactor[[#Headers],[Gas]], 0)</f>
        <v>12</v>
      </c>
      <c r="H48" s="35">
        <f>Table_GasToMolecularConversionFactor[[#This Row],[Conversion factor 1]]/Table_GasToMolecularConversionFactor[[#This Row],[Conversion factor 2]]</f>
        <v>3.6666666666666665</v>
      </c>
    </row>
    <row r="49" spans="1:8" ht="20.100000000000001" customHeight="1" x14ac:dyDescent="0.25">
      <c r="A49"/>
      <c r="D49" s="35" t="str" cm="1">
        <f t="array" ref="D49">Common_InputFunctions.Utility_DisplayArrayInTable(Common_SourceData.Common_SourceData_ConvertGasElementalToMolecular_Data(),Table_GasToMolecularConversionFactor[[#Headers],[Gas]], 0)</f>
        <v>CH4</v>
      </c>
      <c r="E49" s="35" t="str" cm="1">
        <f t="array" ref="E49">Common_InputFunctions.Utility_DisplayArrayInTable(Common_SourceData.Common_SourceData_ConvertGasElementalToMolecular_Data(),Table_GasToMolecularConversionFactor[[#Headers],[Gas]], 0)</f>
        <v>16/12</v>
      </c>
      <c r="F49" s="35" cm="1">
        <f t="array" ref="F49">Common_InputFunctions.Utility_DisplayArrayInTable(Common_SourceData.Common_SourceData_ConvertGasElementalToMolecular_Data(),Table_GasToMolecularConversionFactor[[#Headers],[Gas]], 0)</f>
        <v>16</v>
      </c>
      <c r="G49" s="35" cm="1">
        <f t="array" ref="G49">Common_InputFunctions.Utility_DisplayArrayInTable(Common_SourceData.Common_SourceData_ConvertGasElementalToMolecular_Data(),Table_GasToMolecularConversionFactor[[#Headers],[Gas]], 0)</f>
        <v>12</v>
      </c>
      <c r="H49" s="35">
        <f>Table_GasToMolecularConversionFactor[[#This Row],[Conversion factor 1]]/Table_GasToMolecularConversionFactor[[#This Row],[Conversion factor 2]]</f>
        <v>1.3333333333333333</v>
      </c>
    </row>
    <row r="50" spans="1:8" ht="20.100000000000001" customHeight="1" x14ac:dyDescent="0.25">
      <c r="A50"/>
      <c r="D50" s="35" t="str" cm="1">
        <f t="array" ref="D50">Common_InputFunctions.Utility_DisplayArrayInTable(Common_SourceData.Common_SourceData_ConvertGasElementalToMolecular_Data(),Table_GasToMolecularConversionFactor[[#Headers],[Gas]], 0)</f>
        <v>N2O</v>
      </c>
      <c r="E50" s="35" t="str" cm="1">
        <f t="array" ref="E50">Common_InputFunctions.Utility_DisplayArrayInTable(Common_SourceData.Common_SourceData_ConvertGasElementalToMolecular_Data(),Table_GasToMolecularConversionFactor[[#Headers],[Gas]], 0)</f>
        <v>44/28</v>
      </c>
      <c r="F50" s="35" cm="1">
        <f t="array" ref="F50">Common_InputFunctions.Utility_DisplayArrayInTable(Common_SourceData.Common_SourceData_ConvertGasElementalToMolecular_Data(),Table_GasToMolecularConversionFactor[[#Headers],[Gas]], 0)</f>
        <v>44</v>
      </c>
      <c r="G50" s="35" cm="1">
        <f t="array" ref="G50">Common_InputFunctions.Utility_DisplayArrayInTable(Common_SourceData.Common_SourceData_ConvertGasElementalToMolecular_Data(),Table_GasToMolecularConversionFactor[[#Headers],[Gas]], 0)</f>
        <v>28</v>
      </c>
      <c r="H50" s="35">
        <f>Table_GasToMolecularConversionFactor[[#This Row],[Conversion factor 1]]/Table_GasToMolecularConversionFactor[[#This Row],[Conversion factor 2]]</f>
        <v>1.5714285714285714</v>
      </c>
    </row>
    <row r="51" spans="1:8" ht="20.100000000000001" customHeight="1" x14ac:dyDescent="0.25">
      <c r="A51"/>
      <c r="D51" s="35" t="str" cm="1">
        <f t="array" ref="D51">Common_InputFunctions.Utility_DisplayArrayInTable(Common_SourceData.Common_SourceData_ConvertGasElementalToMolecular_Data(),Table_GasToMolecularConversionFactor[[#Headers],[Gas]], 0)</f>
        <v>Nox</v>
      </c>
      <c r="E51" s="35" t="str" cm="1">
        <f t="array" ref="E51">Common_InputFunctions.Utility_DisplayArrayInTable(Common_SourceData.Common_SourceData_ConvertGasElementalToMolecular_Data(),Table_GasToMolecularConversionFactor[[#Headers],[Gas]], 0)</f>
        <v>46/14</v>
      </c>
      <c r="F51" s="35" cm="1">
        <f t="array" ref="F51">Common_InputFunctions.Utility_DisplayArrayInTable(Common_SourceData.Common_SourceData_ConvertGasElementalToMolecular_Data(),Table_GasToMolecularConversionFactor[[#Headers],[Gas]], 0)</f>
        <v>46</v>
      </c>
      <c r="G51" s="35" cm="1">
        <f t="array" ref="G51">Common_InputFunctions.Utility_DisplayArrayInTable(Common_SourceData.Common_SourceData_ConvertGasElementalToMolecular_Data(),Table_GasToMolecularConversionFactor[[#Headers],[Gas]], 0)</f>
        <v>14</v>
      </c>
      <c r="H51" s="35">
        <f>Table_GasToMolecularConversionFactor[[#This Row],[Conversion factor 1]]/Table_GasToMolecularConversionFactor[[#This Row],[Conversion factor 2]]</f>
        <v>3.2857142857142856</v>
      </c>
    </row>
    <row r="52" spans="1:8" ht="20.100000000000001" customHeight="1" x14ac:dyDescent="0.25">
      <c r="A52"/>
      <c r="D52" s="35" t="str" cm="1">
        <f t="array" ref="D52">Common_InputFunctions.Utility_DisplayArrayInTable(Common_SourceData.Common_SourceData_ConvertGasElementalToMolecular_Data(),Table_GasToMolecularConversionFactor[[#Headers],[Gas]], 0)</f>
        <v>CO</v>
      </c>
      <c r="E52" s="35" t="str" cm="1">
        <f t="array" ref="E52">Common_InputFunctions.Utility_DisplayArrayInTable(Common_SourceData.Common_SourceData_ConvertGasElementalToMolecular_Data(),Table_GasToMolecularConversionFactor[[#Headers],[Gas]], 0)</f>
        <v>28/12</v>
      </c>
      <c r="F52" s="35" cm="1">
        <f t="array" ref="F52">Common_InputFunctions.Utility_DisplayArrayInTable(Common_SourceData.Common_SourceData_ConvertGasElementalToMolecular_Data(),Table_GasToMolecularConversionFactor[[#Headers],[Gas]], 0)</f>
        <v>28</v>
      </c>
      <c r="G52" s="35" cm="1">
        <f t="array" ref="G52">Common_InputFunctions.Utility_DisplayArrayInTable(Common_SourceData.Common_SourceData_ConvertGasElementalToMolecular_Data(),Table_GasToMolecularConversionFactor[[#Headers],[Gas]], 0)</f>
        <v>12</v>
      </c>
      <c r="H52" s="35">
        <f>Table_GasToMolecularConversionFactor[[#This Row],[Conversion factor 1]]/Table_GasToMolecularConversionFactor[[#This Row],[Conversion factor 2]]</f>
        <v>2.3333333333333335</v>
      </c>
    </row>
    <row r="53" spans="1:8" ht="20.100000000000001" customHeight="1" x14ac:dyDescent="0.25">
      <c r="A53"/>
      <c r="D53" s="35" t="str" cm="1">
        <f t="array" ref="D53">Common_InputFunctions.Utility_DisplayArrayInTable(Common_SourceData.Common_SourceData_ConvertGasElementalToMolecular_Data(),Table_GasToMolecularConversionFactor[[#Headers],[Gas]], 0)</f>
        <v>CO2 Lime</v>
      </c>
      <c r="E53" s="35" t="str" cm="1">
        <f t="array" ref="E53">Common_InputFunctions.Utility_DisplayArrayInTable(Common_SourceData.Common_SourceData_ConvertGasElementalToMolecular_Data(),Table_GasToMolecularConversionFactor[[#Headers],[Gas]], 0)</f>
        <v>44/12</v>
      </c>
      <c r="F53" s="35" cm="1">
        <f t="array" ref="F53">Common_InputFunctions.Utility_DisplayArrayInTable(Common_SourceData.Common_SourceData_ConvertGasElementalToMolecular_Data(),Table_GasToMolecularConversionFactor[[#Headers],[Gas]], 0)</f>
        <v>44</v>
      </c>
      <c r="G53" s="35" cm="1">
        <f t="array" ref="G53">Common_InputFunctions.Utility_DisplayArrayInTable(Common_SourceData.Common_SourceData_ConvertGasElementalToMolecular_Data(),Table_GasToMolecularConversionFactor[[#Headers],[Gas]], 0)</f>
        <v>12</v>
      </c>
      <c r="H53" s="35">
        <f>Table_GasToMolecularConversionFactor[[#This Row],[Conversion factor 1]]/Table_GasToMolecularConversionFactor[[#This Row],[Conversion factor 2]]</f>
        <v>3.6666666666666665</v>
      </c>
    </row>
    <row r="54" spans="1:8" ht="20.100000000000001" customHeight="1" x14ac:dyDescent="0.25">
      <c r="A54"/>
      <c r="D54" s="35" t="str" cm="1">
        <f t="array" ref="D54">Common_InputFunctions.Utility_DisplayArrayInTable(Common_SourceData.Common_SourceData_ConvertGasElementalToMolecular_Data(),Table_GasToMolecularConversionFactor[[#Headers],[Gas]], 0)</f>
        <v>NMVOC</v>
      </c>
      <c r="E54" s="35" t="str" cm="1">
        <f t="array" ref="E54">Common_InputFunctions.Utility_DisplayArrayInTable(Common_SourceData.Common_SourceData_ConvertGasElementalToMolecular_Data(),Table_GasToMolecularConversionFactor[[#Headers],[Gas]], 0)</f>
        <v>14/12</v>
      </c>
      <c r="F54" s="35" cm="1">
        <f t="array" ref="F54">Common_InputFunctions.Utility_DisplayArrayInTable(Common_SourceData.Common_SourceData_ConvertGasElementalToMolecular_Data(),Table_GasToMolecularConversionFactor[[#Headers],[Gas]], 0)</f>
        <v>14</v>
      </c>
      <c r="G54" s="35" cm="1">
        <f t="array" ref="G54">Common_InputFunctions.Utility_DisplayArrayInTable(Common_SourceData.Common_SourceData_ConvertGasElementalToMolecular_Data(),Table_GasToMolecularConversionFactor[[#Headers],[Gas]], 0)</f>
        <v>12</v>
      </c>
      <c r="H54" s="35">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2" t="str" cm="1">
        <f t="array" ref="D59:D61">"⚠️" &amp; Common_SourceData.Common_SourceData_WetAndDryZones_Variation()</f>
        <v>⚠️VARIATION OF SOURCE DATA:</v>
      </c>
    </row>
    <row r="60" spans="1:8" ht="20.100000000000001" customHeight="1" x14ac:dyDescent="0.25">
      <c r="A60"/>
      <c r="D60" s="52" t="str">
        <v>⚠️Added warm / cool temperate moist / dry - low frost and high temp classes to accommodate climate scenarios excluded by VEERG criteria.</v>
      </c>
    </row>
    <row r="61" spans="1:8" ht="20.100000000000001" customHeight="1" x14ac:dyDescent="0.25">
      <c r="A61"/>
      <c r="D61" s="52" t="str">
        <v>⚠️Fixed typo - Changed 'Fry' to 'Dry'.</v>
      </c>
    </row>
    <row r="62" spans="1:8" ht="20.100000000000001" customHeight="1" x14ac:dyDescent="0.25">
      <c r="A62"/>
    </row>
    <row r="63" spans="1:8" ht="20.100000000000001" customHeight="1" x14ac:dyDescent="0.25">
      <c r="A63"/>
      <c r="D63" s="35" t="s">
        <v>6</v>
      </c>
      <c r="E63" s="35" t="s">
        <v>41</v>
      </c>
    </row>
    <row r="64" spans="1:8" ht="20.100000000000001" customHeight="1" x14ac:dyDescent="0.25">
      <c r="A64"/>
      <c r="D64" s="35" t="str" cm="1">
        <f t="array" ref="D64">Common_InputFunctions.Utility_DisplayArrayInTable(Common_SourceData.Common_SourceData_WetAndDryZones_Data(), Table_SourceData_WetDryZones[[#Headers],[Climate zone]], 0)</f>
        <v>Tropical montane</v>
      </c>
      <c r="E64" s="35"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5" t="str" cm="1">
        <f t="array" ref="D65">Common_InputFunctions.Utility_DisplayArrayInTable(Common_SourceData.Common_SourceData_WetAndDryZones_Data(), Table_SourceData_WetDryZones[[#Headers],[Climate zone]], 0)</f>
        <v>Tropical wet</v>
      </c>
      <c r="E65" s="35"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5" t="str" cm="1">
        <f t="array" ref="D66">Common_InputFunctions.Utility_DisplayArrayInTable(Common_SourceData.Common_SourceData_WetAndDryZones_Data(), Table_SourceData_WetDryZones[[#Headers],[Climate zone]], 0)</f>
        <v>Tropical moist</v>
      </c>
      <c r="E66" s="35"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5" t="str" cm="1">
        <f t="array" ref="D67">Common_InputFunctions.Utility_DisplayArrayInTable(Common_SourceData.Common_SourceData_WetAndDryZones_Data(), Table_SourceData_WetDryZones[[#Headers],[Climate zone]], 0)</f>
        <v>Tropical dry</v>
      </c>
      <c r="E67" s="35"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5" t="str" cm="1">
        <f t="array" ref="D68">Common_InputFunctions.Utility_DisplayArrayInTable(Common_SourceData.Common_SourceData_WetAndDryZones_Data(), Table_SourceData_WetDryZones[[#Headers],[Climate zone]], 0)</f>
        <v>Warm temperate moist</v>
      </c>
      <c r="E68" s="35"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5" t="str" cm="1">
        <f t="array" ref="D69">Common_InputFunctions.Utility_DisplayArrayInTable(Common_SourceData.Common_SourceData_WetAndDryZones_Data(), Table_SourceData_WetDryZones[[#Headers],[Climate zone]], 0)</f>
        <v>Warm temperate dry</v>
      </c>
      <c r="E69" s="35"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5" t="str" cm="1">
        <f t="array" ref="D70">Common_InputFunctions.Utility_DisplayArrayInTable(Common_SourceData.Common_SourceData_WetAndDryZones_Data(), Table_SourceData_WetDryZones[[#Headers],[Climate zone]], 0)</f>
        <v>Cool temperate moist</v>
      </c>
      <c r="E70" s="35"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5" t="str" cm="1">
        <f t="array" ref="D71">Common_InputFunctions.Utility_DisplayArrayInTable(Common_SourceData.Common_SourceData_WetAndDryZones_Data(), Table_SourceData_WetDryZones[[#Headers],[Climate zone]], 0)</f>
        <v>Cool temperate dry</v>
      </c>
      <c r="E71" s="35"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5" t="str" cm="1">
        <f t="array" ref="D72">Common_InputFunctions.Utility_DisplayArrayInTable(Common_SourceData.Common_SourceData_WetAndDryZones_Data(), Table_SourceData_WetDryZones[[#Headers],[Climate zone]], 0)</f>
        <v>Warm temperate moist - low frost</v>
      </c>
      <c r="E72" s="35"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5" t="str" cm="1">
        <f t="array" ref="D73">Common_InputFunctions.Utility_DisplayArrayInTable(Common_SourceData.Common_SourceData_WetAndDryZones_Data(), Table_SourceData_WetDryZones[[#Headers],[Climate zone]], 0)</f>
        <v>Warm temperate dry - low frost</v>
      </c>
      <c r="E73" s="35"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5" t="str" cm="1">
        <f t="array" ref="D74">Common_InputFunctions.Utility_DisplayArrayInTable(Common_SourceData.Common_SourceData_WetAndDryZones_Data(), Table_SourceData_WetDryZones[[#Headers],[Climate zone]], 0)</f>
        <v>Warm temperate moist - high temp</v>
      </c>
      <c r="E74" s="35"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5" t="str" cm="1">
        <f t="array" ref="D75">Common_InputFunctions.Utility_DisplayArrayInTable(Common_SourceData.Common_SourceData_WetAndDryZones_Data(), Table_SourceData_WetDryZones[[#Headers],[Climate zone]], 0)</f>
        <v>Warm temperate dry - high temp</v>
      </c>
      <c r="E75" s="35"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5" t="str" cm="1">
        <f t="array" ref="D76">Common_InputFunctions.Utility_DisplayArrayInTable(Common_SourceData.Common_SourceData_WetAndDryZones_Data(), Table_SourceData_WetDryZones[[#Headers],[Climate zone]], 0)</f>
        <v>Cool temperate moist - low frost</v>
      </c>
      <c r="E76" s="35"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5" t="str" cm="1">
        <f t="array" ref="D77">Common_InputFunctions.Utility_DisplayArrayInTable(Common_SourceData.Common_SourceData_WetAndDryZones_Data(), Table_SourceData_WetDryZones[[#Headers],[Climate zone]], 0)</f>
        <v>Cool temperate dry - low frost</v>
      </c>
      <c r="E77" s="35"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2" t="str" cm="1">
        <f t="array" ref="D83:D87">"⚠️" &amp; Common_SourceData.Common_SourceData_ClimateZones_Variation()</f>
        <v>⚠️VARIATION OF SOURCE DATA:</v>
      </c>
    </row>
    <row r="84" spans="1:20" ht="20.100000000000001" customHeight="1" x14ac:dyDescent="0.25">
      <c r="A84"/>
      <c r="D84" s="52" t="str">
        <v>⚠️Added warm / cool temperate moist / dry - low frost and high temp classes to accommodate climate scenarios excluded by VEERG criteria.</v>
      </c>
    </row>
    <row r="85" spans="1:20" ht="20.100000000000001" customHeight="1" x14ac:dyDescent="0.25">
      <c r="A85"/>
      <c r="D85" s="52" t="str">
        <v>⚠️Fixed typo in MAT value for warm temperate dry - changed 10 to 11.</v>
      </c>
    </row>
    <row r="86" spans="1:20" ht="20.100000000000001" customHeight="1" x14ac:dyDescent="0.25">
      <c r="A86"/>
      <c r="D86" s="52" t="str">
        <v>⚠️Added min and max columns for MAT, MAP, frost days per year, elevation, MAP:PET to calculate zones from real climate data.</v>
      </c>
    </row>
    <row r="87" spans="1:20" ht="20.100000000000001" customHeight="1" x14ac:dyDescent="0.25">
      <c r="A87"/>
      <c r="D87" s="52" t="str">
        <v>⚠️GAF accepts rainfall as a proxy for precipitation.</v>
      </c>
    </row>
    <row r="88" spans="1:20" ht="20.100000000000001" customHeight="1" x14ac:dyDescent="0.25">
      <c r="A88"/>
    </row>
    <row r="89" spans="1:20" ht="20.100000000000001" customHeight="1" x14ac:dyDescent="0.25">
      <c r="A89"/>
      <c r="D89" s="35" t="s">
        <v>6</v>
      </c>
      <c r="E89" s="35" t="s">
        <v>29</v>
      </c>
      <c r="F89" s="35" t="s">
        <v>30</v>
      </c>
      <c r="G89" s="35" t="s">
        <v>31</v>
      </c>
      <c r="H89" s="35" t="s">
        <v>32</v>
      </c>
      <c r="I89" s="35" t="s">
        <v>33</v>
      </c>
      <c r="J89" s="35" t="s">
        <v>34</v>
      </c>
      <c r="K89" s="35" t="s">
        <v>35</v>
      </c>
      <c r="L89" s="35" t="s">
        <v>36</v>
      </c>
      <c r="M89" s="35" t="s">
        <v>37</v>
      </c>
      <c r="N89" s="35" t="s">
        <v>38</v>
      </c>
      <c r="O89" s="35" t="s">
        <v>42</v>
      </c>
      <c r="P89" s="35" t="s">
        <v>39</v>
      </c>
      <c r="Q89" s="35" t="s">
        <v>43</v>
      </c>
      <c r="R89" s="35" t="s">
        <v>40</v>
      </c>
      <c r="S89" s="35" t="s">
        <v>44</v>
      </c>
      <c r="T89" s="35"/>
    </row>
    <row r="90" spans="1:20" ht="20.100000000000001" customHeight="1" x14ac:dyDescent="0.25">
      <c r="A90"/>
      <c r="D90" s="35" t="str" cm="1">
        <f t="array" ref="D90">Common_InputFunctions.Utility_DisplayArrayInTable(Common_SourceData.Common_SourceData_ClimateZones_Data(), Table_SourceData_ClimateZones[[#Headers],[Climate zone]], 0)</f>
        <v>Tropical montane</v>
      </c>
      <c r="E90" s="35" t="str" cm="1">
        <f t="array" ref="E90">Common_InputFunctions.Utility_DisplayArrayInTable(Common_SourceData.Common_SourceData_ClimateZones_Data(), Table_SourceData_ClimateZones[[#Headers],[Climate zone]], 0)</f>
        <v>&gt; 18 C</v>
      </c>
      <c r="F90" s="35" t="str" cm="1">
        <f t="array" ref="F90">Common_InputFunctions.Utility_DisplayArrayInTable(Common_SourceData.Common_SourceData_ClimateZones_Data(), Table_SourceData_ClimateZones[[#Headers],[Climate zone]], 0)</f>
        <v>Any</v>
      </c>
      <c r="G90" s="35" t="str" cm="1">
        <f t="array" ref="G90">Common_InputFunctions.Utility_DisplayArrayInTable(Common_SourceData.Common_SourceData_ClimateZones_Data(), Table_SourceData_ClimateZones[[#Headers],[Climate zone]], 0)</f>
        <v>≤ 7</v>
      </c>
      <c r="H90" s="35" t="str" cm="1">
        <f t="array" ref="H90">Common_InputFunctions.Utility_DisplayArrayInTable(Common_SourceData.Common_SourceData_ClimateZones_Data(), Table_SourceData_ClimateZones[[#Headers],[Climate zone]], 0)</f>
        <v>&gt; 1000 m</v>
      </c>
      <c r="I90" s="35" t="str" cm="1">
        <f t="array" ref="I90">Common_InputFunctions.Utility_DisplayArrayInTable(Common_SourceData.Common_SourceData_ClimateZones_Data(), Table_SourceData_ClimateZones[[#Headers],[Climate zone]], 0)</f>
        <v>Any</v>
      </c>
      <c r="J90" s="35" cm="1">
        <f t="array" ref="J90">Common_InputFunctions.Utility_DisplayArrayInTable(Common_SourceData.Common_SourceData_ClimateZones_Data(), Table_SourceData_ClimateZones[[#Headers],[Climate zone]], 0)</f>
        <v>18.001000000000001</v>
      </c>
      <c r="K90" s="35" cm="1">
        <f t="array" ref="K90">Common_InputFunctions.Utility_DisplayArrayInTable(Common_SourceData.Common_SourceData_ClimateZones_Data(), Table_SourceData_ClimateZones[[#Headers],[Climate zone]], 0)</f>
        <v>999999</v>
      </c>
      <c r="L90" s="35" cm="1">
        <f t="array" ref="L90">Common_InputFunctions.Utility_DisplayArrayInTable(Common_SourceData.Common_SourceData_ClimateZones_Data(), Table_SourceData_ClimateZones[[#Headers],[Climate zone]], 0)</f>
        <v>-999999</v>
      </c>
      <c r="M90" s="35" cm="1">
        <f t="array" ref="M90">Common_InputFunctions.Utility_DisplayArrayInTable(Common_SourceData.Common_SourceData_ClimateZones_Data(), Table_SourceData_ClimateZones[[#Headers],[Climate zone]], 0)</f>
        <v>999999</v>
      </c>
      <c r="N90" s="35" cm="1">
        <f t="array" ref="N90">Common_InputFunctions.Utility_DisplayArrayInTable(Common_SourceData.Common_SourceData_ClimateZones_Data(), Table_SourceData_ClimateZones[[#Headers],[Climate zone]], 0)</f>
        <v>-999999</v>
      </c>
      <c r="O90" s="35" cm="1">
        <f t="array" ref="O90">Common_InputFunctions.Utility_DisplayArrayInTable(Common_SourceData.Common_SourceData_ClimateZones_Data(), Table_SourceData_ClimateZones[[#Headers],[Climate zone]], 0)</f>
        <v>7</v>
      </c>
      <c r="P90" s="35" cm="1">
        <f t="array" ref="P90">Common_InputFunctions.Utility_DisplayArrayInTable(Common_SourceData.Common_SourceData_ClimateZones_Data(), Table_SourceData_ClimateZones[[#Headers],[Climate zone]], 0)</f>
        <v>1000</v>
      </c>
      <c r="Q90" s="35" cm="1">
        <f t="array" ref="Q90">Common_InputFunctions.Utility_DisplayArrayInTable(Common_SourceData.Common_SourceData_ClimateZones_Data(), Table_SourceData_ClimateZones[[#Headers],[Climate zone]], 0)</f>
        <v>999999</v>
      </c>
      <c r="R90" s="35" cm="1">
        <f t="array" ref="R90">Common_InputFunctions.Utility_DisplayArrayInTable(Common_SourceData.Common_SourceData_ClimateZones_Data(), Table_SourceData_ClimateZones[[#Headers],[Climate zone]], 0)</f>
        <v>-999999</v>
      </c>
      <c r="S90" s="35" cm="1">
        <f t="array" ref="S90">Common_InputFunctions.Utility_DisplayArrayInTable(Common_SourceData.Common_SourceData_ClimateZones_Data(), Table_SourceData_ClimateZones[[#Headers],[Climate zone]], 0)</f>
        <v>999999</v>
      </c>
      <c r="T90" s="35"/>
    </row>
    <row r="91" spans="1:20" ht="20.100000000000001" customHeight="1" x14ac:dyDescent="0.25">
      <c r="A91"/>
      <c r="D91" s="35" t="str" cm="1">
        <f t="array" ref="D91">Common_InputFunctions.Utility_DisplayArrayInTable(Common_SourceData.Common_SourceData_ClimateZones_Data(), Table_SourceData_ClimateZones[[#Headers],[Climate zone]], 0)</f>
        <v>Tropical wet</v>
      </c>
      <c r="E91" s="35" t="str" cm="1">
        <f t="array" ref="E91">Common_InputFunctions.Utility_DisplayArrayInTable(Common_SourceData.Common_SourceData_ClimateZones_Data(), Table_SourceData_ClimateZones[[#Headers],[Climate zone]], 0)</f>
        <v>&gt; 18 C</v>
      </c>
      <c r="F91" s="35" t="str" cm="1">
        <f t="array" ref="F91">Common_InputFunctions.Utility_DisplayArrayInTable(Common_SourceData.Common_SourceData_ClimateZones_Data(), Table_SourceData_ClimateZones[[#Headers],[Climate zone]], 0)</f>
        <v>&gt; 2000 mm</v>
      </c>
      <c r="G91" s="35" t="str" cm="1">
        <f t="array" ref="G91">Common_InputFunctions.Utility_DisplayArrayInTable(Common_SourceData.Common_SourceData_ClimateZones_Data(), Table_SourceData_ClimateZones[[#Headers],[Climate zone]], 0)</f>
        <v>≤ 7</v>
      </c>
      <c r="H91" s="35" t="str" cm="1">
        <f t="array" ref="H91">Common_InputFunctions.Utility_DisplayArrayInTable(Common_SourceData.Common_SourceData_ClimateZones_Data(), Table_SourceData_ClimateZones[[#Headers],[Climate zone]], 0)</f>
        <v>≤ 1000 m</v>
      </c>
      <c r="I91" s="35" t="str" cm="1">
        <f t="array" ref="I91">Common_InputFunctions.Utility_DisplayArrayInTable(Common_SourceData.Common_SourceData_ClimateZones_Data(), Table_SourceData_ClimateZones[[#Headers],[Climate zone]], 0)</f>
        <v>Any</v>
      </c>
      <c r="J91" s="35" cm="1">
        <f t="array" ref="J91">Common_InputFunctions.Utility_DisplayArrayInTable(Common_SourceData.Common_SourceData_ClimateZones_Data(), Table_SourceData_ClimateZones[[#Headers],[Climate zone]], 0)</f>
        <v>18.001000000000001</v>
      </c>
      <c r="K91" s="35" cm="1">
        <f t="array" ref="K91">Common_InputFunctions.Utility_DisplayArrayInTable(Common_SourceData.Common_SourceData_ClimateZones_Data(), Table_SourceData_ClimateZones[[#Headers],[Climate zone]], 0)</f>
        <v>999999</v>
      </c>
      <c r="L91" s="35" cm="1">
        <f t="array" ref="L91">Common_InputFunctions.Utility_DisplayArrayInTable(Common_SourceData.Common_SourceData_ClimateZones_Data(), Table_SourceData_ClimateZones[[#Headers],[Climate zone]], 0)</f>
        <v>2000.001</v>
      </c>
      <c r="M91" s="35" cm="1">
        <f t="array" ref="M91">Common_InputFunctions.Utility_DisplayArrayInTable(Common_SourceData.Common_SourceData_ClimateZones_Data(), Table_SourceData_ClimateZones[[#Headers],[Climate zone]], 0)</f>
        <v>999999</v>
      </c>
      <c r="N91" s="35" cm="1">
        <f t="array" ref="N91">Common_InputFunctions.Utility_DisplayArrayInTable(Common_SourceData.Common_SourceData_ClimateZones_Data(), Table_SourceData_ClimateZones[[#Headers],[Climate zone]], 0)</f>
        <v>-999999</v>
      </c>
      <c r="O91" s="35" cm="1">
        <f t="array" ref="O91">Common_InputFunctions.Utility_DisplayArrayInTable(Common_SourceData.Common_SourceData_ClimateZones_Data(), Table_SourceData_ClimateZones[[#Headers],[Climate zone]], 0)</f>
        <v>7</v>
      </c>
      <c r="P91" s="35" cm="1">
        <f t="array" ref="P91">Common_InputFunctions.Utility_DisplayArrayInTable(Common_SourceData.Common_SourceData_ClimateZones_Data(), Table_SourceData_ClimateZones[[#Headers],[Climate zone]], 0)</f>
        <v>-999999</v>
      </c>
      <c r="Q91" s="35" cm="1">
        <f t="array" ref="Q91">Common_InputFunctions.Utility_DisplayArrayInTable(Common_SourceData.Common_SourceData_ClimateZones_Data(), Table_SourceData_ClimateZones[[#Headers],[Climate zone]], 0)</f>
        <v>999.99900000000002</v>
      </c>
      <c r="R91" s="35" cm="1">
        <f t="array" ref="R91">Common_InputFunctions.Utility_DisplayArrayInTable(Common_SourceData.Common_SourceData_ClimateZones_Data(), Table_SourceData_ClimateZones[[#Headers],[Climate zone]], 0)</f>
        <v>-999999</v>
      </c>
      <c r="S91" s="35" cm="1">
        <f t="array" ref="S91">Common_InputFunctions.Utility_DisplayArrayInTable(Common_SourceData.Common_SourceData_ClimateZones_Data(), Table_SourceData_ClimateZones[[#Headers],[Climate zone]], 0)</f>
        <v>999999</v>
      </c>
      <c r="T91" s="35"/>
    </row>
    <row r="92" spans="1:20" ht="20.100000000000001" customHeight="1" x14ac:dyDescent="0.25">
      <c r="A92"/>
      <c r="D92" s="35" t="str" cm="1">
        <f t="array" ref="D92">Common_InputFunctions.Utility_DisplayArrayInTable(Common_SourceData.Common_SourceData_ClimateZones_Data(), Table_SourceData_ClimateZones[[#Headers],[Climate zone]], 0)</f>
        <v>Tropical moist</v>
      </c>
      <c r="E92" s="35" t="str" cm="1">
        <f t="array" ref="E92">Common_InputFunctions.Utility_DisplayArrayInTable(Common_SourceData.Common_SourceData_ClimateZones_Data(), Table_SourceData_ClimateZones[[#Headers],[Climate zone]], 0)</f>
        <v>&gt; 18 C</v>
      </c>
      <c r="F92" s="35" t="str" cm="1">
        <f t="array" ref="F92">Common_InputFunctions.Utility_DisplayArrayInTable(Common_SourceData.Common_SourceData_ClimateZones_Data(), Table_SourceData_ClimateZones[[#Headers],[Climate zone]], 0)</f>
        <v>&gt; 1000 mm - ≤ 2000 mm</v>
      </c>
      <c r="G92" s="35" t="str" cm="1">
        <f t="array" ref="G92">Common_InputFunctions.Utility_DisplayArrayInTable(Common_SourceData.Common_SourceData_ClimateZones_Data(), Table_SourceData_ClimateZones[[#Headers],[Climate zone]], 0)</f>
        <v>≤ 7</v>
      </c>
      <c r="H92" s="35" t="str" cm="1">
        <f t="array" ref="H92">Common_InputFunctions.Utility_DisplayArrayInTable(Common_SourceData.Common_SourceData_ClimateZones_Data(), Table_SourceData_ClimateZones[[#Headers],[Climate zone]], 0)</f>
        <v>≤ 1000 m</v>
      </c>
      <c r="I92" s="35" t="str" cm="1">
        <f t="array" ref="I92">Common_InputFunctions.Utility_DisplayArrayInTable(Common_SourceData.Common_SourceData_ClimateZones_Data(), Table_SourceData_ClimateZones[[#Headers],[Climate zone]], 0)</f>
        <v>Any</v>
      </c>
      <c r="J92" s="35" cm="1">
        <f t="array" ref="J92">Common_InputFunctions.Utility_DisplayArrayInTable(Common_SourceData.Common_SourceData_ClimateZones_Data(), Table_SourceData_ClimateZones[[#Headers],[Climate zone]], 0)</f>
        <v>18.001000000000001</v>
      </c>
      <c r="K92" s="35" cm="1">
        <f t="array" ref="K92">Common_InputFunctions.Utility_DisplayArrayInTable(Common_SourceData.Common_SourceData_ClimateZones_Data(), Table_SourceData_ClimateZones[[#Headers],[Climate zone]], 0)</f>
        <v>999999</v>
      </c>
      <c r="L92" s="35" cm="1">
        <f t="array" ref="L92">Common_InputFunctions.Utility_DisplayArrayInTable(Common_SourceData.Common_SourceData_ClimateZones_Data(), Table_SourceData_ClimateZones[[#Headers],[Climate zone]], 0)</f>
        <v>1000.001</v>
      </c>
      <c r="M92" s="35" cm="1">
        <f t="array" ref="M92">Common_InputFunctions.Utility_DisplayArrayInTable(Common_SourceData.Common_SourceData_ClimateZones_Data(), Table_SourceData_ClimateZones[[#Headers],[Climate zone]], 0)</f>
        <v>2000</v>
      </c>
      <c r="N92" s="35" cm="1">
        <f t="array" ref="N92">Common_InputFunctions.Utility_DisplayArrayInTable(Common_SourceData.Common_SourceData_ClimateZones_Data(), Table_SourceData_ClimateZones[[#Headers],[Climate zone]], 0)</f>
        <v>-999999</v>
      </c>
      <c r="O92" s="35" cm="1">
        <f t="array" ref="O92">Common_InputFunctions.Utility_DisplayArrayInTable(Common_SourceData.Common_SourceData_ClimateZones_Data(), Table_SourceData_ClimateZones[[#Headers],[Climate zone]], 0)</f>
        <v>7</v>
      </c>
      <c r="P92" s="35" cm="1">
        <f t="array" ref="P92">Common_InputFunctions.Utility_DisplayArrayInTable(Common_SourceData.Common_SourceData_ClimateZones_Data(), Table_SourceData_ClimateZones[[#Headers],[Climate zone]], 0)</f>
        <v>-999999</v>
      </c>
      <c r="Q92" s="35" cm="1">
        <f t="array" ref="Q92">Common_InputFunctions.Utility_DisplayArrayInTable(Common_SourceData.Common_SourceData_ClimateZones_Data(), Table_SourceData_ClimateZones[[#Headers],[Climate zone]], 0)</f>
        <v>999.99900000000002</v>
      </c>
      <c r="R92" s="35" cm="1">
        <f t="array" ref="R92">Common_InputFunctions.Utility_DisplayArrayInTable(Common_SourceData.Common_SourceData_ClimateZones_Data(), Table_SourceData_ClimateZones[[#Headers],[Climate zone]], 0)</f>
        <v>-999999</v>
      </c>
      <c r="S92" s="35" cm="1">
        <f t="array" ref="S92">Common_InputFunctions.Utility_DisplayArrayInTable(Common_SourceData.Common_SourceData_ClimateZones_Data(), Table_SourceData_ClimateZones[[#Headers],[Climate zone]], 0)</f>
        <v>999999</v>
      </c>
      <c r="T92" s="35"/>
    </row>
    <row r="93" spans="1:20" ht="20.100000000000001" customHeight="1" x14ac:dyDescent="0.25">
      <c r="A93"/>
      <c r="D93" s="35" t="str" cm="1">
        <f t="array" ref="D93">Common_InputFunctions.Utility_DisplayArrayInTable(Common_SourceData.Common_SourceData_ClimateZones_Data(), Table_SourceData_ClimateZones[[#Headers],[Climate zone]], 0)</f>
        <v>Tropical dry</v>
      </c>
      <c r="E93" s="35" t="str" cm="1">
        <f t="array" ref="E93">Common_InputFunctions.Utility_DisplayArrayInTable(Common_SourceData.Common_SourceData_ClimateZones_Data(), Table_SourceData_ClimateZones[[#Headers],[Climate zone]], 0)</f>
        <v>&gt; 18 C</v>
      </c>
      <c r="F93" s="35" t="str" cm="1">
        <f t="array" ref="F93">Common_InputFunctions.Utility_DisplayArrayInTable(Common_SourceData.Common_SourceData_ClimateZones_Data(), Table_SourceData_ClimateZones[[#Headers],[Climate zone]], 0)</f>
        <v>≤ 1000 mm</v>
      </c>
      <c r="G93" s="35" t="str" cm="1">
        <f t="array" ref="G93">Common_InputFunctions.Utility_DisplayArrayInTable(Common_SourceData.Common_SourceData_ClimateZones_Data(), Table_SourceData_ClimateZones[[#Headers],[Climate zone]], 0)</f>
        <v>≤ 7</v>
      </c>
      <c r="H93" s="35" t="str" cm="1">
        <f t="array" ref="H93">Common_InputFunctions.Utility_DisplayArrayInTable(Common_SourceData.Common_SourceData_ClimateZones_Data(), Table_SourceData_ClimateZones[[#Headers],[Climate zone]], 0)</f>
        <v>≤ 1000 m</v>
      </c>
      <c r="I93" s="35" t="str" cm="1">
        <f t="array" ref="I93">Common_InputFunctions.Utility_DisplayArrayInTable(Common_SourceData.Common_SourceData_ClimateZones_Data(), Table_SourceData_ClimateZones[[#Headers],[Climate zone]], 0)</f>
        <v>Any</v>
      </c>
      <c r="J93" s="35" cm="1">
        <f t="array" ref="J93">Common_InputFunctions.Utility_DisplayArrayInTable(Common_SourceData.Common_SourceData_ClimateZones_Data(), Table_SourceData_ClimateZones[[#Headers],[Climate zone]], 0)</f>
        <v>18.001000000000001</v>
      </c>
      <c r="K93" s="35" cm="1">
        <f t="array" ref="K93">Common_InputFunctions.Utility_DisplayArrayInTable(Common_SourceData.Common_SourceData_ClimateZones_Data(), Table_SourceData_ClimateZones[[#Headers],[Climate zone]], 0)</f>
        <v>999999</v>
      </c>
      <c r="L93" s="35" cm="1">
        <f t="array" ref="L93">Common_InputFunctions.Utility_DisplayArrayInTable(Common_SourceData.Common_SourceData_ClimateZones_Data(), Table_SourceData_ClimateZones[[#Headers],[Climate zone]], 0)</f>
        <v>-999999</v>
      </c>
      <c r="M93" s="35" cm="1">
        <f t="array" ref="M93">Common_InputFunctions.Utility_DisplayArrayInTable(Common_SourceData.Common_SourceData_ClimateZones_Data(), Table_SourceData_ClimateZones[[#Headers],[Climate zone]], 0)</f>
        <v>1000</v>
      </c>
      <c r="N93" s="35" cm="1">
        <f t="array" ref="N93">Common_InputFunctions.Utility_DisplayArrayInTable(Common_SourceData.Common_SourceData_ClimateZones_Data(), Table_SourceData_ClimateZones[[#Headers],[Climate zone]], 0)</f>
        <v>-999999</v>
      </c>
      <c r="O93" s="35" cm="1">
        <f t="array" ref="O93">Common_InputFunctions.Utility_DisplayArrayInTable(Common_SourceData.Common_SourceData_ClimateZones_Data(), Table_SourceData_ClimateZones[[#Headers],[Climate zone]], 0)</f>
        <v>7</v>
      </c>
      <c r="P93" s="35" cm="1">
        <f t="array" ref="P93">Common_InputFunctions.Utility_DisplayArrayInTable(Common_SourceData.Common_SourceData_ClimateZones_Data(), Table_SourceData_ClimateZones[[#Headers],[Climate zone]], 0)</f>
        <v>-999999</v>
      </c>
      <c r="Q93" s="35" cm="1">
        <f t="array" ref="Q93">Common_InputFunctions.Utility_DisplayArrayInTable(Common_SourceData.Common_SourceData_ClimateZones_Data(), Table_SourceData_ClimateZones[[#Headers],[Climate zone]], 0)</f>
        <v>999.99900000000002</v>
      </c>
      <c r="R93" s="35" cm="1">
        <f t="array" ref="R93">Common_InputFunctions.Utility_DisplayArrayInTable(Common_SourceData.Common_SourceData_ClimateZones_Data(), Table_SourceData_ClimateZones[[#Headers],[Climate zone]], 0)</f>
        <v>-999999</v>
      </c>
      <c r="S93" s="35" cm="1">
        <f t="array" ref="S93">Common_InputFunctions.Utility_DisplayArrayInTable(Common_SourceData.Common_SourceData_ClimateZones_Data(), Table_SourceData_ClimateZones[[#Headers],[Climate zone]], 0)</f>
        <v>999999</v>
      </c>
      <c r="T93" s="35"/>
    </row>
    <row r="94" spans="1:20" ht="20.100000000000001" customHeight="1" x14ac:dyDescent="0.25">
      <c r="A94"/>
      <c r="D94" s="35" t="str" cm="1">
        <f t="array" ref="D94">Common_InputFunctions.Utility_DisplayArrayInTable(Common_SourceData.Common_SourceData_ClimateZones_Data(), Table_SourceData_ClimateZones[[#Headers],[Climate zone]], 0)</f>
        <v>Warm temperate moist</v>
      </c>
      <c r="E94" s="35" t="str" cm="1">
        <f t="array" ref="E94">Common_InputFunctions.Utility_DisplayArrayInTable(Common_SourceData.Common_SourceData_ClimateZones_Data(), Table_SourceData_ClimateZones[[#Headers],[Climate zone]], 0)</f>
        <v>&gt; 10 C</v>
      </c>
      <c r="F94" s="35" t="str" cm="1">
        <f t="array" ref="F94">Common_InputFunctions.Utility_DisplayArrayInTable(Common_SourceData.Common_SourceData_ClimateZones_Data(), Table_SourceData_ClimateZones[[#Headers],[Climate zone]], 0)</f>
        <v>Any</v>
      </c>
      <c r="G94" s="35" t="str" cm="1">
        <f t="array" ref="G94">Common_InputFunctions.Utility_DisplayArrayInTable(Common_SourceData.Common_SourceData_ClimateZones_Data(), Table_SourceData_ClimateZones[[#Headers],[Climate zone]], 0)</f>
        <v>Any</v>
      </c>
      <c r="H94" s="35" t="str" cm="1">
        <f t="array" ref="H94">Common_InputFunctions.Utility_DisplayArrayInTable(Common_SourceData.Common_SourceData_ClimateZones_Data(), Table_SourceData_ClimateZones[[#Headers],[Climate zone]], 0)</f>
        <v>Any</v>
      </c>
      <c r="I94" s="35" t="str" cm="1">
        <f t="array" ref="I94">Common_InputFunctions.Utility_DisplayArrayInTable(Common_SourceData.Common_SourceData_ClimateZones_Data(), Table_SourceData_ClimateZones[[#Headers],[Climate zone]], 0)</f>
        <v>&gt; 1</v>
      </c>
      <c r="J94" s="35" cm="1">
        <f t="array" ref="J94">Common_InputFunctions.Utility_DisplayArrayInTable(Common_SourceData.Common_SourceData_ClimateZones_Data(), Table_SourceData_ClimateZones[[#Headers],[Climate zone]], 0)</f>
        <v>10.000999999999999</v>
      </c>
      <c r="K94" s="35" cm="1">
        <f t="array" ref="K94">Common_InputFunctions.Utility_DisplayArrayInTable(Common_SourceData.Common_SourceData_ClimateZones_Data(), Table_SourceData_ClimateZones[[#Headers],[Climate zone]], 0)</f>
        <v>999999</v>
      </c>
      <c r="L94" s="35" cm="1">
        <f t="array" ref="L94">Common_InputFunctions.Utility_DisplayArrayInTable(Common_SourceData.Common_SourceData_ClimateZones_Data(), Table_SourceData_ClimateZones[[#Headers],[Climate zone]], 0)</f>
        <v>-999999</v>
      </c>
      <c r="M94" s="35" cm="1">
        <f t="array" ref="M94">Common_InputFunctions.Utility_DisplayArrayInTable(Common_SourceData.Common_SourceData_ClimateZones_Data(), Table_SourceData_ClimateZones[[#Headers],[Climate zone]], 0)</f>
        <v>999999</v>
      </c>
      <c r="N94" s="35" cm="1">
        <f t="array" ref="N94">Common_InputFunctions.Utility_DisplayArrayInTable(Common_SourceData.Common_SourceData_ClimateZones_Data(), Table_SourceData_ClimateZones[[#Headers],[Climate zone]], 0)</f>
        <v>-999999</v>
      </c>
      <c r="O94" s="35" cm="1">
        <f t="array" ref="O94">Common_InputFunctions.Utility_DisplayArrayInTable(Common_SourceData.Common_SourceData_ClimateZones_Data(), Table_SourceData_ClimateZones[[#Headers],[Climate zone]], 0)</f>
        <v>999999</v>
      </c>
      <c r="P94" s="35" cm="1">
        <f t="array" ref="P94">Common_InputFunctions.Utility_DisplayArrayInTable(Common_SourceData.Common_SourceData_ClimateZones_Data(), Table_SourceData_ClimateZones[[#Headers],[Climate zone]], 0)</f>
        <v>-999999</v>
      </c>
      <c r="Q94" s="35" cm="1">
        <f t="array" ref="Q94">Common_InputFunctions.Utility_DisplayArrayInTable(Common_SourceData.Common_SourceData_ClimateZones_Data(), Table_SourceData_ClimateZones[[#Headers],[Climate zone]], 0)</f>
        <v>999999</v>
      </c>
      <c r="R94" s="35" cm="1">
        <f t="array" ref="R94">Common_InputFunctions.Utility_DisplayArrayInTable(Common_SourceData.Common_SourceData_ClimateZones_Data(), Table_SourceData_ClimateZones[[#Headers],[Climate zone]], 0)</f>
        <v>1.0009999999999999</v>
      </c>
      <c r="S94" s="35" cm="1">
        <f t="array" ref="S94">Common_InputFunctions.Utility_DisplayArrayInTable(Common_SourceData.Common_SourceData_ClimateZones_Data(), Table_SourceData_ClimateZones[[#Headers],[Climate zone]], 0)</f>
        <v>999999</v>
      </c>
      <c r="T94" s="35"/>
    </row>
    <row r="95" spans="1:20" ht="20.100000000000001" customHeight="1" x14ac:dyDescent="0.25">
      <c r="A95"/>
      <c r="D95" s="35" t="str" cm="1">
        <f t="array" ref="D95">Common_InputFunctions.Utility_DisplayArrayInTable(Common_SourceData.Common_SourceData_ClimateZones_Data(), Table_SourceData_ClimateZones[[#Headers],[Climate zone]], 0)</f>
        <v>Warm temperate dry</v>
      </c>
      <c r="E95" s="35" t="str" cm="1">
        <f t="array" ref="E95">Common_InputFunctions.Utility_DisplayArrayInTable(Common_SourceData.Common_SourceData_ClimateZones_Data(), Table_SourceData_ClimateZones[[#Headers],[Climate zone]], 0)</f>
        <v>&gt; 10 C</v>
      </c>
      <c r="F95" s="35" t="str" cm="1">
        <f t="array" ref="F95">Common_InputFunctions.Utility_DisplayArrayInTable(Common_SourceData.Common_SourceData_ClimateZones_Data(), Table_SourceData_ClimateZones[[#Headers],[Climate zone]], 0)</f>
        <v>Any</v>
      </c>
      <c r="G95" s="35" t="str" cm="1">
        <f t="array" ref="G95">Common_InputFunctions.Utility_DisplayArrayInTable(Common_SourceData.Common_SourceData_ClimateZones_Data(), Table_SourceData_ClimateZones[[#Headers],[Climate zone]], 0)</f>
        <v>Any</v>
      </c>
      <c r="H95" s="35" t="str" cm="1">
        <f t="array" ref="H95">Common_InputFunctions.Utility_DisplayArrayInTable(Common_SourceData.Common_SourceData_ClimateZones_Data(), Table_SourceData_ClimateZones[[#Headers],[Climate zone]], 0)</f>
        <v>Any</v>
      </c>
      <c r="I95" s="35" t="str" cm="1">
        <f t="array" ref="I95">Common_InputFunctions.Utility_DisplayArrayInTable(Common_SourceData.Common_SourceData_ClimateZones_Data(), Table_SourceData_ClimateZones[[#Headers],[Climate zone]], 0)</f>
        <v>≤ 1</v>
      </c>
      <c r="J95" s="35" cm="1">
        <f t="array" ref="J95">Common_InputFunctions.Utility_DisplayArrayInTable(Common_SourceData.Common_SourceData_ClimateZones_Data(), Table_SourceData_ClimateZones[[#Headers],[Climate zone]], 0)</f>
        <v>10.000999999999999</v>
      </c>
      <c r="K95" s="35" cm="1">
        <f t="array" ref="K95">Common_InputFunctions.Utility_DisplayArrayInTable(Common_SourceData.Common_SourceData_ClimateZones_Data(), Table_SourceData_ClimateZones[[#Headers],[Climate zone]], 0)</f>
        <v>999999</v>
      </c>
      <c r="L95" s="35" cm="1">
        <f t="array" ref="L95">Common_InputFunctions.Utility_DisplayArrayInTable(Common_SourceData.Common_SourceData_ClimateZones_Data(), Table_SourceData_ClimateZones[[#Headers],[Climate zone]], 0)</f>
        <v>-999999</v>
      </c>
      <c r="M95" s="35" cm="1">
        <f t="array" ref="M95">Common_InputFunctions.Utility_DisplayArrayInTable(Common_SourceData.Common_SourceData_ClimateZones_Data(), Table_SourceData_ClimateZones[[#Headers],[Climate zone]], 0)</f>
        <v>999999</v>
      </c>
      <c r="N95" s="35" cm="1">
        <f t="array" ref="N95">Common_InputFunctions.Utility_DisplayArrayInTable(Common_SourceData.Common_SourceData_ClimateZones_Data(), Table_SourceData_ClimateZones[[#Headers],[Climate zone]], 0)</f>
        <v>-999999</v>
      </c>
      <c r="O95" s="35" cm="1">
        <f t="array" ref="O95">Common_InputFunctions.Utility_DisplayArrayInTable(Common_SourceData.Common_SourceData_ClimateZones_Data(), Table_SourceData_ClimateZones[[#Headers],[Climate zone]], 0)</f>
        <v>999999</v>
      </c>
      <c r="P95" s="35" cm="1">
        <f t="array" ref="P95">Common_InputFunctions.Utility_DisplayArrayInTable(Common_SourceData.Common_SourceData_ClimateZones_Data(), Table_SourceData_ClimateZones[[#Headers],[Climate zone]], 0)</f>
        <v>-999999</v>
      </c>
      <c r="Q95" s="35" cm="1">
        <f t="array" ref="Q95">Common_InputFunctions.Utility_DisplayArrayInTable(Common_SourceData.Common_SourceData_ClimateZones_Data(), Table_SourceData_ClimateZones[[#Headers],[Climate zone]], 0)</f>
        <v>999999</v>
      </c>
      <c r="R95" s="35" cm="1">
        <f t="array" ref="R95">Common_InputFunctions.Utility_DisplayArrayInTable(Common_SourceData.Common_SourceData_ClimateZones_Data(), Table_SourceData_ClimateZones[[#Headers],[Climate zone]], 0)</f>
        <v>-999999</v>
      </c>
      <c r="S95" s="35" cm="1">
        <f t="array" ref="S95">Common_InputFunctions.Utility_DisplayArrayInTable(Common_SourceData.Common_SourceData_ClimateZones_Data(), Table_SourceData_ClimateZones[[#Headers],[Climate zone]], 0)</f>
        <v>1</v>
      </c>
      <c r="T95" s="35"/>
    </row>
    <row r="96" spans="1:20" ht="20.100000000000001" customHeight="1" x14ac:dyDescent="0.25">
      <c r="A96"/>
      <c r="D96" s="35" t="str" cm="1">
        <f t="array" ref="D96">Common_InputFunctions.Utility_DisplayArrayInTable(Common_SourceData.Common_SourceData_ClimateZones_Data(), Table_SourceData_ClimateZones[[#Headers],[Climate zone]], 0)</f>
        <v>Cool temperate moist</v>
      </c>
      <c r="E96" s="35" t="str" cm="1">
        <f t="array" ref="E96">Common_InputFunctions.Utility_DisplayArrayInTable(Common_SourceData.Common_SourceData_ClimateZones_Data(), Table_SourceData_ClimateZones[[#Headers],[Climate zone]], 0)</f>
        <v>&gt; 0 C - ≤ 10 C</v>
      </c>
      <c r="F96" s="35" t="str" cm="1">
        <f t="array" ref="F96">Common_InputFunctions.Utility_DisplayArrayInTable(Common_SourceData.Common_SourceData_ClimateZones_Data(), Table_SourceData_ClimateZones[[#Headers],[Climate zone]], 0)</f>
        <v>Any</v>
      </c>
      <c r="G96" s="35" t="str" cm="1">
        <f t="array" ref="G96">Common_InputFunctions.Utility_DisplayArrayInTable(Common_SourceData.Common_SourceData_ClimateZones_Data(), Table_SourceData_ClimateZones[[#Headers],[Climate zone]], 0)</f>
        <v>Any</v>
      </c>
      <c r="H96" s="35" t="str" cm="1">
        <f t="array" ref="H96">Common_InputFunctions.Utility_DisplayArrayInTable(Common_SourceData.Common_SourceData_ClimateZones_Data(), Table_SourceData_ClimateZones[[#Headers],[Climate zone]], 0)</f>
        <v>Any</v>
      </c>
      <c r="I96" s="35" t="str" cm="1">
        <f t="array" ref="I96">Common_InputFunctions.Utility_DisplayArrayInTable(Common_SourceData.Common_SourceData_ClimateZones_Data(), Table_SourceData_ClimateZones[[#Headers],[Climate zone]], 0)</f>
        <v>&gt; 1</v>
      </c>
      <c r="J96" s="35" cm="1">
        <f t="array" ref="J96">Common_InputFunctions.Utility_DisplayArrayInTable(Common_SourceData.Common_SourceData_ClimateZones_Data(), Table_SourceData_ClimateZones[[#Headers],[Climate zone]], 0)</f>
        <v>-999999</v>
      </c>
      <c r="K96" s="35" cm="1">
        <f t="array" ref="K96">Common_InputFunctions.Utility_DisplayArrayInTable(Common_SourceData.Common_SourceData_ClimateZones_Data(), Table_SourceData_ClimateZones[[#Headers],[Climate zone]], 0)</f>
        <v>10</v>
      </c>
      <c r="L96" s="35" cm="1">
        <f t="array" ref="L96">Common_InputFunctions.Utility_DisplayArrayInTable(Common_SourceData.Common_SourceData_ClimateZones_Data(), Table_SourceData_ClimateZones[[#Headers],[Climate zone]], 0)</f>
        <v>-999999</v>
      </c>
      <c r="M96" s="35" cm="1">
        <f t="array" ref="M96">Common_InputFunctions.Utility_DisplayArrayInTable(Common_SourceData.Common_SourceData_ClimateZones_Data(), Table_SourceData_ClimateZones[[#Headers],[Climate zone]], 0)</f>
        <v>999999</v>
      </c>
      <c r="N96" s="35" cm="1">
        <f t="array" ref="N96">Common_InputFunctions.Utility_DisplayArrayInTable(Common_SourceData.Common_SourceData_ClimateZones_Data(), Table_SourceData_ClimateZones[[#Headers],[Climate zone]], 0)</f>
        <v>-999999</v>
      </c>
      <c r="O96" s="35" cm="1">
        <f t="array" ref="O96">Common_InputFunctions.Utility_DisplayArrayInTable(Common_SourceData.Common_SourceData_ClimateZones_Data(), Table_SourceData_ClimateZones[[#Headers],[Climate zone]], 0)</f>
        <v>999999</v>
      </c>
      <c r="P96" s="35" cm="1">
        <f t="array" ref="P96">Common_InputFunctions.Utility_DisplayArrayInTable(Common_SourceData.Common_SourceData_ClimateZones_Data(), Table_SourceData_ClimateZones[[#Headers],[Climate zone]], 0)</f>
        <v>-999999</v>
      </c>
      <c r="Q96" s="35" cm="1">
        <f t="array" ref="Q96">Common_InputFunctions.Utility_DisplayArrayInTable(Common_SourceData.Common_SourceData_ClimateZones_Data(), Table_SourceData_ClimateZones[[#Headers],[Climate zone]], 0)</f>
        <v>999999</v>
      </c>
      <c r="R96" s="35" cm="1">
        <f t="array" ref="R96">Common_InputFunctions.Utility_DisplayArrayInTable(Common_SourceData.Common_SourceData_ClimateZones_Data(), Table_SourceData_ClimateZones[[#Headers],[Climate zone]], 0)</f>
        <v>1.0009999999999999</v>
      </c>
      <c r="S96" s="35" cm="1">
        <f t="array" ref="S96">Common_InputFunctions.Utility_DisplayArrayInTable(Common_SourceData.Common_SourceData_ClimateZones_Data(), Table_SourceData_ClimateZones[[#Headers],[Climate zone]], 0)</f>
        <v>999999</v>
      </c>
      <c r="T96" s="35"/>
    </row>
    <row r="97" spans="1:20" ht="20.100000000000001" customHeight="1" x14ac:dyDescent="0.25">
      <c r="A97"/>
      <c r="D97" s="35" t="str" cm="1">
        <f t="array" ref="D97">Common_InputFunctions.Utility_DisplayArrayInTable(Common_SourceData.Common_SourceData_ClimateZones_Data(), Table_SourceData_ClimateZones[[#Headers],[Climate zone]], 0)</f>
        <v>Cool temperate dry</v>
      </c>
      <c r="E97" s="35" t="str" cm="1">
        <f t="array" ref="E97">Common_InputFunctions.Utility_DisplayArrayInTable(Common_SourceData.Common_SourceData_ClimateZones_Data(), Table_SourceData_ClimateZones[[#Headers],[Climate zone]], 0)</f>
        <v>&gt; 0 C - ≤ 10 C</v>
      </c>
      <c r="F97" s="35" t="str" cm="1">
        <f t="array" ref="F97">Common_InputFunctions.Utility_DisplayArrayInTable(Common_SourceData.Common_SourceData_ClimateZones_Data(), Table_SourceData_ClimateZones[[#Headers],[Climate zone]], 0)</f>
        <v>Any</v>
      </c>
      <c r="G97" s="35" t="str" cm="1">
        <f t="array" ref="G97">Common_InputFunctions.Utility_DisplayArrayInTable(Common_SourceData.Common_SourceData_ClimateZones_Data(), Table_SourceData_ClimateZones[[#Headers],[Climate zone]], 0)</f>
        <v>Any</v>
      </c>
      <c r="H97" s="35" t="str" cm="1">
        <f t="array" ref="H97">Common_InputFunctions.Utility_DisplayArrayInTable(Common_SourceData.Common_SourceData_ClimateZones_Data(), Table_SourceData_ClimateZones[[#Headers],[Climate zone]], 0)</f>
        <v>Any</v>
      </c>
      <c r="I97" s="35" t="str" cm="1">
        <f t="array" ref="I97">Common_InputFunctions.Utility_DisplayArrayInTable(Common_SourceData.Common_SourceData_ClimateZones_Data(), Table_SourceData_ClimateZones[[#Headers],[Climate zone]], 0)</f>
        <v>≤ 1</v>
      </c>
      <c r="J97" s="35" cm="1">
        <f t="array" ref="J97">Common_InputFunctions.Utility_DisplayArrayInTable(Common_SourceData.Common_SourceData_ClimateZones_Data(), Table_SourceData_ClimateZones[[#Headers],[Climate zone]], 0)</f>
        <v>-999999</v>
      </c>
      <c r="K97" s="35" cm="1">
        <f t="array" ref="K97">Common_InputFunctions.Utility_DisplayArrayInTable(Common_SourceData.Common_SourceData_ClimateZones_Data(), Table_SourceData_ClimateZones[[#Headers],[Climate zone]], 0)</f>
        <v>10</v>
      </c>
      <c r="L97" s="35" cm="1">
        <f t="array" ref="L97">Common_InputFunctions.Utility_DisplayArrayInTable(Common_SourceData.Common_SourceData_ClimateZones_Data(), Table_SourceData_ClimateZones[[#Headers],[Climate zone]], 0)</f>
        <v>-999999</v>
      </c>
      <c r="M97" s="35" cm="1">
        <f t="array" ref="M97">Common_InputFunctions.Utility_DisplayArrayInTable(Common_SourceData.Common_SourceData_ClimateZones_Data(), Table_SourceData_ClimateZones[[#Headers],[Climate zone]], 0)</f>
        <v>999999</v>
      </c>
      <c r="N97" s="35" cm="1">
        <f t="array" ref="N97">Common_InputFunctions.Utility_DisplayArrayInTable(Common_SourceData.Common_SourceData_ClimateZones_Data(), Table_SourceData_ClimateZones[[#Headers],[Climate zone]], 0)</f>
        <v>-999999</v>
      </c>
      <c r="O97" s="35" cm="1">
        <f t="array" ref="O97">Common_InputFunctions.Utility_DisplayArrayInTable(Common_SourceData.Common_SourceData_ClimateZones_Data(), Table_SourceData_ClimateZones[[#Headers],[Climate zone]], 0)</f>
        <v>999999</v>
      </c>
      <c r="P97" s="35" cm="1">
        <f t="array" ref="P97">Common_InputFunctions.Utility_DisplayArrayInTable(Common_SourceData.Common_SourceData_ClimateZones_Data(), Table_SourceData_ClimateZones[[#Headers],[Climate zone]], 0)</f>
        <v>-999999</v>
      </c>
      <c r="Q97" s="35" cm="1">
        <f t="array" ref="Q97">Common_InputFunctions.Utility_DisplayArrayInTable(Common_SourceData.Common_SourceData_ClimateZones_Data(), Table_SourceData_ClimateZones[[#Headers],[Climate zone]], 0)</f>
        <v>999999</v>
      </c>
      <c r="R97" s="35" cm="1">
        <f t="array" ref="R97">Common_InputFunctions.Utility_DisplayArrayInTable(Common_SourceData.Common_SourceData_ClimateZones_Data(), Table_SourceData_ClimateZones[[#Headers],[Climate zone]], 0)</f>
        <v>-999999</v>
      </c>
      <c r="S97" s="35" cm="1">
        <f t="array" ref="S97">Common_InputFunctions.Utility_DisplayArrayInTable(Common_SourceData.Common_SourceData_ClimateZones_Data(), Table_SourceData_ClimateZones[[#Headers],[Climate zone]], 0)</f>
        <v>1</v>
      </c>
      <c r="T97" s="35"/>
    </row>
    <row r="98" spans="1:20" ht="20.100000000000001" customHeight="1" x14ac:dyDescent="0.25">
      <c r="A98"/>
    </row>
    <row r="99" spans="1:20" ht="20.100000000000001" customHeight="1" x14ac:dyDescent="0.25">
      <c r="A99"/>
      <c r="D99" s="51" t="str" cm="1">
        <f t="array" ref="D99:D102">Common_SourceData.Common_SourceData_ClimateZones_Appendices()</f>
        <v>Note:</v>
      </c>
    </row>
    <row r="100" spans="1:20" ht="20.100000000000001" customHeight="1" x14ac:dyDescent="0.25">
      <c r="A100"/>
      <c r="D100" s="51" t="str">
        <v>MAT = mean annual temperature</v>
      </c>
    </row>
    <row r="101" spans="1:20" ht="20.100000000000001" customHeight="1" x14ac:dyDescent="0.25">
      <c r="A101"/>
      <c r="D101" s="51" t="str">
        <v>MAP = mean annual precipitation</v>
      </c>
    </row>
    <row r="102" spans="1:20" ht="20.100000000000001" customHeight="1" x14ac:dyDescent="0.25">
      <c r="A102"/>
      <c r="D102" s="51" t="str">
        <v>PET = potential evapotranspiration</v>
      </c>
    </row>
    <row r="103" spans="1:20" ht="20.100000000000001" customHeight="1" x14ac:dyDescent="0.25">
      <c r="A103"/>
      <c r="D103" s="51"/>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5" t="s">
        <v>47</v>
      </c>
      <c r="E109" s="35" t="s">
        <v>29</v>
      </c>
      <c r="F109" s="35" t="s">
        <v>48</v>
      </c>
      <c r="G109" s="35" t="s">
        <v>49</v>
      </c>
    </row>
    <row r="110" spans="1:20" ht="20.100000000000001" customHeight="1" x14ac:dyDescent="0.25">
      <c r="A110"/>
      <c r="D110" s="35" t="str" cm="1">
        <f t="array" ref="D110">Common_InputFunctions.Utility_DisplayArrayInTable(Common_SourceData.Common_SourceData_TemperatureZones_Data(),Table_SourceData_TemperatureZones[[#Headers],[Temperature Zone]],0)</f>
        <v>Warm</v>
      </c>
      <c r="E110" s="35" t="str" cm="1">
        <f t="array" ref="E110">Common_InputFunctions.Utility_DisplayArrayInTable(Common_SourceData.Common_SourceData_TemperatureZones_Data(),Table_SourceData_TemperatureZones[[#Headers],[Temperature Zone]],0)</f>
        <v>≥ 26 C</v>
      </c>
      <c r="F110" s="35" cm="1">
        <f t="array" ref="F110">Common_InputFunctions.Utility_DisplayArrayInTable(Common_SourceData.Common_SourceData_TemperatureZones_Data(),Table_SourceData_TemperatureZones[[#Headers],[Temperature Zone]],0)</f>
        <v>26</v>
      </c>
      <c r="G110" s="35"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5" t="str" cm="1">
        <f t="array" ref="D111">Common_InputFunctions.Utility_DisplayArrayInTable(Common_SourceData.Common_SourceData_TemperatureZones_Data(),Table_SourceData_TemperatureZones[[#Headers],[Temperature Zone]],0)</f>
        <v>Temperate</v>
      </c>
      <c r="E111" s="35" t="str" cm="1">
        <f t="array" ref="E111">Common_InputFunctions.Utility_DisplayArrayInTable(Common_SourceData.Common_SourceData_TemperatureZones_Data(),Table_SourceData_TemperatureZones[[#Headers],[Temperature Zone]],0)</f>
        <v>15 - 25 C</v>
      </c>
      <c r="F111" s="35" cm="1">
        <f t="array" ref="F111">Common_InputFunctions.Utility_DisplayArrayInTable(Common_SourceData.Common_SourceData_TemperatureZones_Data(),Table_SourceData_TemperatureZones[[#Headers],[Temperature Zone]],0)</f>
        <v>15</v>
      </c>
      <c r="G111" s="35"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5" t="str" cm="1">
        <f t="array" ref="D112">Common_InputFunctions.Utility_DisplayArrayInTable(Common_SourceData.Common_SourceData_TemperatureZones_Data(),Table_SourceData_TemperatureZones[[#Headers],[Temperature Zone]],0)</f>
        <v>Cool</v>
      </c>
      <c r="E112" s="35" t="str" cm="1">
        <f t="array" ref="E112">Common_InputFunctions.Utility_DisplayArrayInTable(Common_SourceData.Common_SourceData_TemperatureZones_Data(),Table_SourceData_TemperatureZones[[#Headers],[Temperature Zone]],0)</f>
        <v>≤ 14 C</v>
      </c>
      <c r="F112" s="35" cm="1">
        <f t="array" ref="F112">Common_InputFunctions.Utility_DisplayArrayInTable(Common_SourceData.Common_SourceData_TemperatureZones_Data(),Table_SourceData_TemperatureZones[[#Headers],[Temperature Zone]],0)</f>
        <v>-999999</v>
      </c>
      <c r="G112" s="35"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2"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5" t="s">
        <v>50</v>
      </c>
      <c r="E119" s="35" t="s">
        <v>51</v>
      </c>
      <c r="F119" s="35" t="s">
        <v>36</v>
      </c>
      <c r="G119" s="35" t="s">
        <v>37</v>
      </c>
      <c r="BN119" s="7"/>
    </row>
    <row r="120" spans="1:66" ht="20.100000000000001" customHeight="1" x14ac:dyDescent="0.25">
      <c r="A120"/>
      <c r="D120" s="35" t="str" cm="1">
        <f t="array" ref="D120">Common_InputFunctions.Utility_DisplayArrayInTable(Common_SourceData.Common_SourceData_RainfallZones_Data(),Table_SourceData_RainfallZones[[#Headers],[Rainfall Zone]],0)</f>
        <v>High rainfall</v>
      </c>
      <c r="E120" s="35" t="str" cm="1">
        <f t="array" ref="E120">Common_InputFunctions.Utility_DisplayArrayInTable(Common_SourceData.Common_SourceData_RainfallZones_Data(),Table_SourceData_RainfallZones[[#Headers],[Rainfall Zone]],0)</f>
        <v>Annual rainfall &gt; 600mm</v>
      </c>
      <c r="F120" s="35" cm="1">
        <f t="array" ref="F120">Common_InputFunctions.Utility_DisplayArrayInTable(Common_SourceData.Common_SourceData_RainfallZones_Data(),Table_SourceData_RainfallZones[[#Headers],[Rainfall Zone]],0)</f>
        <v>600.00099999999998</v>
      </c>
      <c r="G120" s="35"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5" t="str" cm="1">
        <f t="array" ref="D121">Common_InputFunctions.Utility_DisplayArrayInTable(Common_SourceData.Common_SourceData_RainfallZones_Data(),Table_SourceData_RainfallZones[[#Headers],[Rainfall Zone]],0)</f>
        <v>Low rainfall</v>
      </c>
      <c r="E121" s="35" t="str" cm="1">
        <f t="array" ref="E121">Common_InputFunctions.Utility_DisplayArrayInTable(Common_SourceData.Common_SourceData_RainfallZones_Data(),Table_SourceData_RainfallZones[[#Headers],[Rainfall Zone]],0)</f>
        <v>Annual rainfall ≤ 600mm</v>
      </c>
      <c r="F121" s="35" cm="1">
        <f t="array" ref="F121">Common_InputFunctions.Utility_DisplayArrayInTable(Common_SourceData.Common_SourceData_RainfallZones_Data(),Table_SourceData_RainfallZones[[#Headers],[Rainfall Zone]],0)</f>
        <v>-999999</v>
      </c>
      <c r="G121" s="35"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5" t="s">
        <v>52</v>
      </c>
      <c r="E127" s="35" t="s">
        <v>53</v>
      </c>
    </row>
    <row r="128" spans="1:66" ht="20.100000000000001" customHeight="1" x14ac:dyDescent="0.25">
      <c r="A128"/>
      <c r="D128" s="35" t="str" cm="1">
        <f t="array" ref="D128">Common_InputFunctions.Utility_DisplayArrayInTable(Common_SourceData.Common_SourceData_LeachingZones_Data(), Table_SourceData_LeachingZones[[#Headers],[Leaching Zone]], 0)</f>
        <v>Leaching occurs</v>
      </c>
      <c r="E128" s="35"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5" t="str" cm="1">
        <f t="array" ref="D129">Common_InputFunctions.Utility_DisplayArrayInTable(Common_SourceData.Common_SourceData_LeachingZones_Data(), Table_SourceData_LeachingZones[[#Headers],[Leaching Zone]], 0)</f>
        <v>Leaching does not occur</v>
      </c>
      <c r="E129" s="35"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75</v>
      </c>
      <c r="E134" t="s">
        <v>76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5"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5" t="s">
        <v>118</v>
      </c>
      <c r="E142" s="35" t="s">
        <v>76</v>
      </c>
      <c r="BN142" s="7"/>
    </row>
    <row r="143" spans="1:77" ht="20.100000000000001" customHeight="1" x14ac:dyDescent="0.25">
      <c r="A143"/>
      <c r="D143" s="35" t="str" cm="1">
        <f t="array" ref="D143">Common_InputFunctions.Utility_DisplayArrayInTable(Common_SourceData.Common_SourceData_FracWETIrrigation_Data(), Table_SourceData_FracWETIrrigation[[#Headers],[Irrigation type i]], 0)</f>
        <v>Not irrigated</v>
      </c>
      <c r="E143" s="35"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5"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5"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5"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5"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5" t="s">
        <v>54</v>
      </c>
      <c r="E153" s="35" t="s">
        <v>55</v>
      </c>
      <c r="BC153" s="3"/>
      <c r="BD153" s="3"/>
      <c r="BE153" s="3"/>
      <c r="BF153" s="3"/>
      <c r="BG153" s="3"/>
      <c r="BH153" s="3"/>
      <c r="BI153" s="3"/>
      <c r="BJ153" s="3"/>
      <c r="BK153" s="3"/>
      <c r="BL153" s="3"/>
      <c r="BM153" s="3"/>
    </row>
    <row r="154" spans="1:66" ht="20.100000000000001" customHeight="1" x14ac:dyDescent="0.25">
      <c r="A154"/>
      <c r="D154" s="35" t="str" cm="1">
        <f t="array" ref="D154">Common_InputFunctions.Utility_DisplayArrayInTable(Common_SourceData.Common_SourceData_DataScores_Scope3_Data(), Table_SourceData_DataScores_Scope3[[#Headers],[Data source]], 0)</f>
        <v>International scope 3 database</v>
      </c>
      <c r="E154" s="35"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5" t="str" cm="1">
        <f t="array" ref="D155">Common_InputFunctions.Utility_DisplayArrayInTable(Common_SourceData.Common_SourceData_DataScores_Scope3_Data(), Table_SourceData_DataScores_Scope3[[#Headers],[Data source]], 0)</f>
        <v>Australian scope 3 database</v>
      </c>
      <c r="E155" s="35"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5" t="str" cm="1">
        <f t="array" ref="D156">Common_InputFunctions.Utility_DisplayArrayInTable(Common_SourceData.Common_SourceData_DataScores_Scope3_Data(), Table_SourceData_DataScores_Scope3[[#Headers],[Data source]], 0)</f>
        <v>State or regional scope 3 database</v>
      </c>
      <c r="E156" s="35"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5" t="str" cm="1">
        <f t="array" ref="D157">Common_InputFunctions.Utility_DisplayArrayInTable(Common_SourceData.Common_SourceData_DataScores_Scope3_Data(), Table_SourceData_DataScores_Scope3[[#Headers],[Data source]], 0)</f>
        <v>Emissions intensity calculated from approved method</v>
      </c>
      <c r="E157" s="35"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5" t="str" cm="1">
        <f t="array" ref="D158">Common_InputFunctions.Utility_DisplayArrayInTable(Common_SourceData.Common_SourceData_DataScores_Scope3_Data(), Table_SourceData_DataScores_Scope3[[#Headers],[Data source]], 0)</f>
        <v>Verified credential matching ISO14067</v>
      </c>
      <c r="E158" s="35"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1" t="str" cm="1">
        <f t="array" ref="D180">Common_SourceData.Common_SourceData_EFN2O_Unit()</f>
        <v>(kg N2O-N / kg N</v>
      </c>
    </row>
    <row r="181" spans="4:68" ht="20.100000000000001" customHeight="1" x14ac:dyDescent="0.25">
      <c r="D181" s="52" t="str" cm="1">
        <f t="array" ref="D181:D185">Common_SourceData.Common_SourceData_EFN2O_Variation()</f>
        <v>VARIATION OF SOURCE DATA:</v>
      </c>
    </row>
    <row r="182" spans="4:68" ht="20.100000000000001" customHeight="1" x14ac:dyDescent="0.25">
      <c r="D182" s="52" t="str">
        <v>Removed duplicate 'Aquaculture' row.</v>
      </c>
    </row>
    <row r="183" spans="4:68" ht="20.100000000000001" customHeight="1" x14ac:dyDescent="0.25">
      <c r="D183" s="52" t="str">
        <v>Removed asterisks to aid lookup.</v>
      </c>
    </row>
    <row r="184" spans="4:68" ht="20.100000000000001" customHeight="1" x14ac:dyDescent="0.25">
      <c r="D184" s="52" t="str">
        <v>Added 'production system only', 'rainfall zone' and 'irrigation method' columns to aid lookup.</v>
      </c>
    </row>
    <row r="185" spans="4:68" ht="20.100000000000001" customHeight="1" x14ac:dyDescent="0.25">
      <c r="D185" s="52" t="str">
        <v>Duplicated 'non-irrigated pasture' row with same EF for low and high rainfall zones to aid lookup.</v>
      </c>
    </row>
    <row r="186" spans="4:68" ht="20.100000000000001" customHeight="1" x14ac:dyDescent="0.25">
      <c r="D186" s="35" t="s">
        <v>87</v>
      </c>
      <c r="E186" s="35" t="s">
        <v>88</v>
      </c>
      <c r="F186" s="35" t="s">
        <v>89</v>
      </c>
      <c r="G186" s="35" t="s">
        <v>90</v>
      </c>
      <c r="H186" s="35" t="s">
        <v>28</v>
      </c>
    </row>
    <row r="187" spans="4:68" ht="20.100000000000001" customHeight="1" x14ac:dyDescent="0.25">
      <c r="D187" s="35" t="str" cm="1">
        <f t="array" ref="D187">Common_InputFunctions.Utility_DisplayArrayInTable(Common_SourceData.Common_SourceData_EFN2O_Data(), Table_SourceData_Common_EFN2O[[#Headers],[Production system j]], 0)</f>
        <v>Irrigated pasture</v>
      </c>
      <c r="E187" s="35" cm="1">
        <f t="array" ref="E187">Common_InputFunctions.Utility_DisplayArrayInTable(Common_SourceData.Common_SourceData_EFN2O_Data(), Table_SourceData_Common_EFN2O[[#Headers],[Production system j]], 0)</f>
        <v>5.8999999999999999E-3</v>
      </c>
      <c r="F187" s="35" t="str" cm="1">
        <f t="array" ref="F187">Common_InputFunctions.Utility_DisplayArrayInTable(Common_SourceData.Common_SourceData_EFN2O_Data(), Table_SourceData_Common_EFN2O[[#Headers],[Production system j]], 0)</f>
        <v>Pasture</v>
      </c>
      <c r="G187" s="35" t="str" cm="1">
        <f t="array" ref="G187">Common_InputFunctions.Utility_DisplayArrayInTable(Common_SourceData.Common_SourceData_EFN2O_Data(), Table_SourceData_Common_EFN2O[[#Headers],[Production system j]], 0)</f>
        <v>Any</v>
      </c>
      <c r="H187" s="35" t="str" cm="1">
        <f t="array" ref="H187">Common_InputFunctions.Utility_DisplayArrayInTable(Common_SourceData.Common_SourceData_EFN2O_Data(), Table_SourceData_Common_EFN2O[[#Headers],[Production system j]], 0)</f>
        <v>Any</v>
      </c>
    </row>
    <row r="188" spans="4:68" ht="20.100000000000001" customHeight="1" x14ac:dyDescent="0.25">
      <c r="D188" s="35" t="str" cm="1">
        <f t="array" ref="D188">Common_InputFunctions.Utility_DisplayArrayInTable(Common_SourceData.Common_SourceData_EFN2O_Data(), Table_SourceData_Common_EFN2O[[#Headers],[Production system j]], 0)</f>
        <v>Irrigated crop</v>
      </c>
      <c r="E188" s="35" cm="1">
        <f t="array" ref="E188">Common_InputFunctions.Utility_DisplayArrayInTable(Common_SourceData.Common_SourceData_EFN2O_Data(), Table_SourceData_Common_EFN2O[[#Headers],[Production system j]], 0)</f>
        <v>7.0000000000000001E-3</v>
      </c>
      <c r="F188" s="35" t="str" cm="1">
        <f t="array" ref="F188">Common_InputFunctions.Utility_DisplayArrayInTable(Common_SourceData.Common_SourceData_EFN2O_Data(), Table_SourceData_Common_EFN2O[[#Headers],[Production system j]], 0)</f>
        <v>Crop</v>
      </c>
      <c r="G188" s="35" t="str" cm="1">
        <f t="array" ref="G188">Common_InputFunctions.Utility_DisplayArrayInTable(Common_SourceData.Common_SourceData_EFN2O_Data(), Table_SourceData_Common_EFN2O[[#Headers],[Production system j]], 0)</f>
        <v>Any</v>
      </c>
      <c r="H188" s="35" t="str" cm="1">
        <f t="array" ref="H188">Common_InputFunctions.Utility_DisplayArrayInTable(Common_SourceData.Common_SourceData_EFN2O_Data(), Table_SourceData_Common_EFN2O[[#Headers],[Production system j]], 0)</f>
        <v>Any</v>
      </c>
    </row>
    <row r="189" spans="4:68" ht="20.100000000000001" customHeight="1" x14ac:dyDescent="0.25">
      <c r="D189" s="35" t="str" cm="1">
        <f t="array" ref="D189">Common_InputFunctions.Utility_DisplayArrayInTable(Common_SourceData.Common_SourceData_EFN2O_Data(), Table_SourceData_Common_EFN2O[[#Headers],[Production system j]], 0)</f>
        <v>Non-irrigated pasture</v>
      </c>
      <c r="E189" s="35" cm="1">
        <f t="array" ref="E189">Common_InputFunctions.Utility_DisplayArrayInTable(Common_SourceData.Common_SourceData_EFN2O_Data(), Table_SourceData_Common_EFN2O[[#Headers],[Production system j]], 0)</f>
        <v>1.8E-3</v>
      </c>
      <c r="F189" s="35" t="str" cm="1">
        <f t="array" ref="F189">Common_InputFunctions.Utility_DisplayArrayInTable(Common_SourceData.Common_SourceData_EFN2O_Data(), Table_SourceData_Common_EFN2O[[#Headers],[Production system j]], 0)</f>
        <v>Pasture</v>
      </c>
      <c r="G189" s="35" t="str" cm="1">
        <f t="array" ref="G189">Common_InputFunctions.Utility_DisplayArrayInTable(Common_SourceData.Common_SourceData_EFN2O_Data(), Table_SourceData_Common_EFN2O[[#Headers],[Production system j]], 0)</f>
        <v>Not irrigated</v>
      </c>
      <c r="H189" s="35"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5" t="str" cm="1">
        <f t="array" ref="D190">Common_InputFunctions.Utility_DisplayArrayInTable(Common_SourceData.Common_SourceData_EFN2O_Data(), Table_SourceData_Common_EFN2O[[#Headers],[Production system j]], 0)</f>
        <v>Non-irrigated pasture</v>
      </c>
      <c r="E190" s="35" cm="1">
        <f t="array" ref="E190">Common_InputFunctions.Utility_DisplayArrayInTable(Common_SourceData.Common_SourceData_EFN2O_Data(), Table_SourceData_Common_EFN2O[[#Headers],[Production system j]], 0)</f>
        <v>1.8E-3</v>
      </c>
      <c r="F190" s="35" t="str" cm="1">
        <f t="array" ref="F190">Common_InputFunctions.Utility_DisplayArrayInTable(Common_SourceData.Common_SourceData_EFN2O_Data(), Table_SourceData_Common_EFN2O[[#Headers],[Production system j]], 0)</f>
        <v>Pasture</v>
      </c>
      <c r="G190" s="35" t="str" cm="1">
        <f t="array" ref="G190">Common_InputFunctions.Utility_DisplayArrayInTable(Common_SourceData.Common_SourceData_EFN2O_Data(), Table_SourceData_Common_EFN2O[[#Headers],[Production system j]], 0)</f>
        <v>Not irrigated</v>
      </c>
      <c r="H190" s="35"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5" t="str" cm="1">
        <f t="array" ref="D191">Common_InputFunctions.Utility_DisplayArrayInTable(Common_SourceData.Common_SourceData_EFN2O_Data(), Table_SourceData_Common_EFN2O[[#Headers],[Production system j]], 0)</f>
        <v>Non-irrigated crop (low rainfall)</v>
      </c>
      <c r="E191" s="35" cm="1">
        <f t="array" ref="E191">Common_InputFunctions.Utility_DisplayArrayInTable(Common_SourceData.Common_SourceData_EFN2O_Data(), Table_SourceData_Common_EFN2O[[#Headers],[Production system j]], 0)</f>
        <v>2.8999999999999998E-3</v>
      </c>
      <c r="F191" s="35" t="str" cm="1">
        <f t="array" ref="F191">Common_InputFunctions.Utility_DisplayArrayInTable(Common_SourceData.Common_SourceData_EFN2O_Data(), Table_SourceData_Common_EFN2O[[#Headers],[Production system j]], 0)</f>
        <v>Crop</v>
      </c>
      <c r="G191" s="35" t="str" cm="1">
        <f t="array" ref="G191">Common_InputFunctions.Utility_DisplayArrayInTable(Common_SourceData.Common_SourceData_EFN2O_Data(), Table_SourceData_Common_EFN2O[[#Headers],[Production system j]], 0)</f>
        <v>Not irrigated</v>
      </c>
      <c r="H191" s="35"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5" t="str" cm="1">
        <f t="array" ref="D192">Common_InputFunctions.Utility_DisplayArrayInTable(Common_SourceData.Common_SourceData_EFN2O_Data(), Table_SourceData_Common_EFN2O[[#Headers],[Production system j]], 0)</f>
        <v>Non-irrigated crop (high rainfall)</v>
      </c>
      <c r="E192" s="35" cm="1">
        <f t="array" ref="E192">Common_InputFunctions.Utility_DisplayArrayInTable(Common_SourceData.Common_SourceData_EFN2O_Data(), Table_SourceData_Common_EFN2O[[#Headers],[Production system j]], 0)</f>
        <v>8.0000000000000002E-3</v>
      </c>
      <c r="F192" s="35" t="str" cm="1">
        <f t="array" ref="F192">Common_InputFunctions.Utility_DisplayArrayInTable(Common_SourceData.Common_SourceData_EFN2O_Data(), Table_SourceData_Common_EFN2O[[#Headers],[Production system j]], 0)</f>
        <v>Crop</v>
      </c>
      <c r="G192" s="35" t="str" cm="1">
        <f t="array" ref="G192">Common_InputFunctions.Utility_DisplayArrayInTable(Common_SourceData.Common_SourceData_EFN2O_Data(), Table_SourceData_Common_EFN2O[[#Headers],[Production system j]], 0)</f>
        <v>Not irrigated</v>
      </c>
      <c r="H192" s="35"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5" t="str" cm="1">
        <f t="array" ref="D193">Common_InputFunctions.Utility_DisplayArrayInTable(Common_SourceData.Common_SourceData_EFN2O_Data(), Table_SourceData_Common_EFN2O[[#Headers],[Production system j]], 0)</f>
        <v>Sugar</v>
      </c>
      <c r="E193" s="35" cm="1">
        <f t="array" ref="E193">Common_InputFunctions.Utility_DisplayArrayInTable(Common_SourceData.Common_SourceData_EFN2O_Data(), Table_SourceData_Common_EFN2O[[#Headers],[Production system j]], 0)</f>
        <v>1.9900000000000001E-2</v>
      </c>
      <c r="F193" s="35" t="str" cm="1">
        <f t="array" ref="F193">Common_InputFunctions.Utility_DisplayArrayInTable(Common_SourceData.Common_SourceData_EFN2O_Data(), Table_SourceData_Common_EFN2O[[#Headers],[Production system j]], 0)</f>
        <v>Sugar</v>
      </c>
      <c r="G193" s="35" t="str" cm="1">
        <f t="array" ref="G193">Common_InputFunctions.Utility_DisplayArrayInTable(Common_SourceData.Common_SourceData_EFN2O_Data(), Table_SourceData_Common_EFN2O[[#Headers],[Production system j]], 0)</f>
        <v>Any</v>
      </c>
      <c r="H193" s="35" t="str" cm="1">
        <f t="array" ref="H193">Common_InputFunctions.Utility_DisplayArrayInTable(Common_SourceData.Common_SourceData_EFN2O_Data(), Table_SourceData_Common_EFN2O[[#Headers],[Production system j]], 0)</f>
        <v>Any</v>
      </c>
    </row>
    <row r="194" spans="4:8" ht="20.100000000000001" customHeight="1" x14ac:dyDescent="0.25">
      <c r="D194" s="35" t="str" cm="1">
        <f t="array" ref="D194">Common_InputFunctions.Utility_DisplayArrayInTable(Common_SourceData.Common_SourceData_EFN2O_Data(), Table_SourceData_Common_EFN2O[[#Headers],[Production system j]], 0)</f>
        <v>Cotton</v>
      </c>
      <c r="E194" s="35" cm="1">
        <f t="array" ref="E194">Common_InputFunctions.Utility_DisplayArrayInTable(Common_SourceData.Common_SourceData_EFN2O_Data(), Table_SourceData_Common_EFN2O[[#Headers],[Production system j]], 0)</f>
        <v>5.3E-3</v>
      </c>
      <c r="F194" s="35" t="str" cm="1">
        <f t="array" ref="F194">Common_InputFunctions.Utility_DisplayArrayInTable(Common_SourceData.Common_SourceData_EFN2O_Data(), Table_SourceData_Common_EFN2O[[#Headers],[Production system j]], 0)</f>
        <v>Cotton</v>
      </c>
      <c r="G194" s="35" t="str" cm="1">
        <f t="array" ref="G194">Common_InputFunctions.Utility_DisplayArrayInTable(Common_SourceData.Common_SourceData_EFN2O_Data(), Table_SourceData_Common_EFN2O[[#Headers],[Production system j]], 0)</f>
        <v>Any</v>
      </c>
      <c r="H194" s="35" t="str" cm="1">
        <f t="array" ref="H194">Common_InputFunctions.Utility_DisplayArrayInTable(Common_SourceData.Common_SourceData_EFN2O_Data(), Table_SourceData_Common_EFN2O[[#Headers],[Production system j]], 0)</f>
        <v>Any</v>
      </c>
    </row>
    <row r="195" spans="4:8" ht="20.100000000000001" customHeight="1" x14ac:dyDescent="0.25">
      <c r="D195" s="35" t="str" cm="1">
        <f t="array" ref="D195">Common_InputFunctions.Utility_DisplayArrayInTable(Common_SourceData.Common_SourceData_EFN2O_Data(), Table_SourceData_Common_EFN2O[[#Headers],[Production system j]], 0)</f>
        <v>Horticultural crops</v>
      </c>
      <c r="E195" s="35" cm="1">
        <f t="array" ref="E195">Common_InputFunctions.Utility_DisplayArrayInTable(Common_SourceData.Common_SourceData_EFN2O_Data(), Table_SourceData_Common_EFN2O[[#Headers],[Production system j]], 0)</f>
        <v>6.4000000000000003E-3</v>
      </c>
      <c r="F195" s="35" t="str" cm="1">
        <f t="array" ref="F195">Common_InputFunctions.Utility_DisplayArrayInTable(Common_SourceData.Common_SourceData_EFN2O_Data(), Table_SourceData_Common_EFN2O[[#Headers],[Production system j]], 0)</f>
        <v>Horticultural crops</v>
      </c>
      <c r="G195" s="35" t="str" cm="1">
        <f t="array" ref="G195">Common_InputFunctions.Utility_DisplayArrayInTable(Common_SourceData.Common_SourceData_EFN2O_Data(), Table_SourceData_Common_EFN2O[[#Headers],[Production system j]], 0)</f>
        <v>Any</v>
      </c>
      <c r="H195" s="35" t="str" cm="1">
        <f t="array" ref="H195">Common_InputFunctions.Utility_DisplayArrayInTable(Common_SourceData.Common_SourceData_EFN2O_Data(), Table_SourceData_Common_EFN2O[[#Headers],[Production system j]], 0)</f>
        <v>Any</v>
      </c>
    </row>
    <row r="196" spans="4:8" ht="20.100000000000001" customHeight="1" x14ac:dyDescent="0.25">
      <c r="D196" s="35" t="str" cm="1">
        <f t="array" ref="D196">Common_InputFunctions.Utility_DisplayArrayInTable(Common_SourceData.Common_SourceData_EFN2O_Data(), Table_SourceData_Common_EFN2O[[#Headers],[Production system j]], 0)</f>
        <v>Rice (continuous flooding)</v>
      </c>
      <c r="E196" s="35" cm="1">
        <f t="array" ref="E196">Common_InputFunctions.Utility_DisplayArrayInTable(Common_SourceData.Common_SourceData_EFN2O_Data(), Table_SourceData_Common_EFN2O[[#Headers],[Production system j]], 0)</f>
        <v>3.0000000000000001E-3</v>
      </c>
      <c r="F196" s="35" t="str" cm="1">
        <f t="array" ref="F196">Common_InputFunctions.Utility_DisplayArrayInTable(Common_SourceData.Common_SourceData_EFN2O_Data(), Table_SourceData_Common_EFN2O[[#Headers],[Production system j]], 0)</f>
        <v>Rice</v>
      </c>
      <c r="G196" s="35" t="str" cm="1">
        <f t="array" ref="G196">Common_InputFunctions.Utility_DisplayArrayInTable(Common_SourceData.Common_SourceData_EFN2O_Data(), Table_SourceData_Common_EFN2O[[#Headers],[Production system j]], 0)</f>
        <v>Continuous flooding</v>
      </c>
      <c r="H196" s="35" t="str" cm="1">
        <f t="array" ref="H196">Common_InputFunctions.Utility_DisplayArrayInTable(Common_SourceData.Common_SourceData_EFN2O_Data(), Table_SourceData_Common_EFN2O[[#Headers],[Production system j]], 0)</f>
        <v>Any</v>
      </c>
    </row>
    <row r="197" spans="4:8" x14ac:dyDescent="0.25">
      <c r="D197" s="35" t="str" cm="1">
        <f t="array" ref="D197">Common_InputFunctions.Utility_DisplayArrayInTable(Common_SourceData.Common_SourceData_EFN2O_Data(), Table_SourceData_Common_EFN2O[[#Headers],[Production system j]], 0)</f>
        <v>Rice (single and multiple drainage, or alternate wetting and drying)</v>
      </c>
      <c r="E197" s="35" cm="1">
        <f t="array" ref="E197">Common_InputFunctions.Utility_DisplayArrayInTable(Common_SourceData.Common_SourceData_EFN2O_Data(), Table_SourceData_Common_EFN2O[[#Headers],[Production system j]], 0)</f>
        <v>5.0000000000000001E-3</v>
      </c>
      <c r="F197" s="35" t="str" cm="1">
        <f t="array" ref="F197">Common_InputFunctions.Utility_DisplayArrayInTable(Common_SourceData.Common_SourceData_EFN2O_Data(), Table_SourceData_Common_EFN2O[[#Headers],[Production system j]], 0)</f>
        <v>Rice</v>
      </c>
      <c r="G197" s="35" t="str" cm="1">
        <f t="array" ref="G197">Common_InputFunctions.Utility_DisplayArrayInTable(Common_SourceData.Common_SourceData_EFN2O_Data(), Table_SourceData_Common_EFN2O[[#Headers],[Production system j]], 0)</f>
        <v>Single and multiple drainage, or alternate wetting and drying</v>
      </c>
      <c r="H197" s="35" t="str" cm="1">
        <f t="array" ref="H197">Common_InputFunctions.Utility_DisplayArrayInTable(Common_SourceData.Common_SourceData_EFN2O_Data(), Table_SourceData_Common_EFN2O[[#Headers],[Production system j]], 0)</f>
        <v>Any</v>
      </c>
    </row>
    <row r="198" spans="4:8" x14ac:dyDescent="0.25">
      <c r="D198" s="35" t="str" cm="1">
        <f t="array" ref="D198">Common_InputFunctions.Utility_DisplayArrayInTable(Common_SourceData.Common_SourceData_EFN2O_Data(), Table_SourceData_Common_EFN2O[[#Headers],[Production system j]], 0)</f>
        <v>Aquaculture</v>
      </c>
      <c r="E198" s="35" cm="1">
        <f t="array" ref="E198">Common_InputFunctions.Utility_DisplayArrayInTable(Common_SourceData.Common_SourceData_EFN2O_Data(), Table_SourceData_Common_EFN2O[[#Headers],[Production system j]], 0)</f>
        <v>2.5999999999999999E-3</v>
      </c>
      <c r="F198" s="35" t="str" cm="1">
        <f t="array" ref="F198">Common_InputFunctions.Utility_DisplayArrayInTable(Common_SourceData.Common_SourceData_EFN2O_Data(), Table_SourceData_Common_EFN2O[[#Headers],[Production system j]], 0)</f>
        <v>Aquaculture</v>
      </c>
      <c r="G198" s="35" t="str" cm="1">
        <f t="array" ref="G198">Common_InputFunctions.Utility_DisplayArrayInTable(Common_SourceData.Common_SourceData_EFN2O_Data(), Table_SourceData_Common_EFN2O[[#Headers],[Production system j]], 0)</f>
        <v>Any</v>
      </c>
      <c r="H198" s="35" t="str" cm="1">
        <f t="array" ref="H198">Common_InputFunctions.Utility_DisplayArrayInTable(Common_SourceData.Common_SourceData_EFN2O_Data(), Table_SourceData_Common_EFN2O[[#Headers],[Production system j]], 0)</f>
        <v>Any</v>
      </c>
    </row>
    <row r="199" spans="4:8" x14ac:dyDescent="0.25">
      <c r="D199" s="35" t="str" cm="1">
        <f t="array" ref="D199">Common_InputFunctions.Utility_DisplayArrayInTable(Common_SourceData.Common_SourceData_EFN2O_Data(), Table_SourceData_Common_EFN2O[[#Headers],[Production system j]], 0)</f>
        <v>Forestry</v>
      </c>
      <c r="E199" s="35" cm="1">
        <f t="array" ref="E199">Common_InputFunctions.Utility_DisplayArrayInTable(Common_SourceData.Common_SourceData_EFN2O_Data(), Table_SourceData_Common_EFN2O[[#Headers],[Production system j]], 0)</f>
        <v>1.8E-3</v>
      </c>
      <c r="F199" s="35" t="str" cm="1">
        <f t="array" ref="F199">Common_InputFunctions.Utility_DisplayArrayInTable(Common_SourceData.Common_SourceData_EFN2O_Data(), Table_SourceData_Common_EFN2O[[#Headers],[Production system j]], 0)</f>
        <v>Forestry</v>
      </c>
      <c r="G199" s="35" t="str" cm="1">
        <f t="array" ref="G199">Common_InputFunctions.Utility_DisplayArrayInTable(Common_SourceData.Common_SourceData_EFN2O_Data(), Table_SourceData_Common_EFN2O[[#Headers],[Production system j]], 0)</f>
        <v>Any</v>
      </c>
      <c r="H199" s="35"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2" t="str" cm="1">
        <f t="array" ref="D204">Common_SourceData.Common_SourceData_EFPastureRangeAndPaddock_Variation()</f>
        <v>VARIATION FROM SOURCE DATA: Changed 'Dry climate zones' to singular 'Dry climate zone' to aid lookup.</v>
      </c>
    </row>
    <row r="205" spans="4:8" x14ac:dyDescent="0.25">
      <c r="D205" s="51" t="str" cm="1">
        <f t="array" ref="D205">Common_SourceData.Common_SourceData_EFPastureRangeAndPaddock_Unit()</f>
        <v>kg N2O - N / kg N</v>
      </c>
    </row>
    <row r="206" spans="4:8" x14ac:dyDescent="0.25">
      <c r="D206" s="35" t="s">
        <v>6</v>
      </c>
      <c r="E206" s="35" t="s">
        <v>120</v>
      </c>
    </row>
    <row r="207" spans="4:8" x14ac:dyDescent="0.25">
      <c r="D207" s="35" t="str" cm="1">
        <f t="array" ref="D207">Common_InputFunctions.Utility_DisplayArrayInTable(Common_SourceData.Common_SourceData_EFPastureRangeAndPaddock_Data(), Table_SourceData_EFPastureRangeAndPaddock[[#Headers],[Climate zone]], 0)</f>
        <v>Wet climate zone</v>
      </c>
      <c r="E207" s="35"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5"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5" t="s">
        <v>104</v>
      </c>
      <c r="E212" s="35" t="s">
        <v>145</v>
      </c>
    </row>
    <row r="213" spans="4:5" x14ac:dyDescent="0.25">
      <c r="D213" s="35" t="str" cm="1">
        <f t="array" ref="D213">Common_InputFunctions.Utility_DisplayArrayInTable(Common_SourceData.Common_SourceData_MonthsToSeasons_Data(), Table_SourceData_Common_MonthToSeason[[#Headers],[Month]], 0)</f>
        <v>January</v>
      </c>
      <c r="E213" s="35"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5"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5"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5"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5"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5"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5"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5"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5"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5"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5"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5"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5" t="s">
        <v>45</v>
      </c>
      <c r="E231" s="35" t="s">
        <v>235</v>
      </c>
      <c r="F231" s="34" t="s">
        <v>222</v>
      </c>
      <c r="G231" s="35" t="s">
        <v>236</v>
      </c>
      <c r="H231" s="35" t="s">
        <v>237</v>
      </c>
      <c r="I231" s="35" t="s">
        <v>238</v>
      </c>
      <c r="J231" s="35" t="s">
        <v>239</v>
      </c>
      <c r="K231" s="35" t="s">
        <v>240</v>
      </c>
      <c r="L231" s="35" t="s">
        <v>241</v>
      </c>
      <c r="M231" s="35" t="s">
        <v>242</v>
      </c>
      <c r="N231" s="35" t="s">
        <v>243</v>
      </c>
      <c r="O231" s="35" t="s">
        <v>244</v>
      </c>
      <c r="P231" s="35" t="s">
        <v>245</v>
      </c>
      <c r="Q231" s="35" t="s">
        <v>246</v>
      </c>
      <c r="R231" s="35" t="s">
        <v>109</v>
      </c>
      <c r="S231" s="35" t="s">
        <v>247</v>
      </c>
    </row>
    <row r="232" spans="4:19" x14ac:dyDescent="0.25">
      <c r="D232" s="35" t="str" cm="1">
        <f t="array" ref="D232">Common_InputFunctions.Utility_DisplayArrayInTable(Common_SourceData.Common_SourceData_MCFTemperatureZone_Data(),Table_SourceData_Common_MCFTemperatureZone[[#Headers],[Temperature zone]],0)</f>
        <v>Cool</v>
      </c>
      <c r="E232" s="35" t="str" cm="1">
        <f t="array" ref="E232">Common_InputFunctions.Utility_DisplayArrayInTable(Common_SourceData.Common_SourceData_MCFTemperatureZone_Data(),Table_SourceData_Common_MCFTemperatureZone[[#Headers],[Temperature zone]],0)</f>
        <v>≤10</v>
      </c>
      <c r="F232" s="35" cm="1">
        <f t="array" ref="F232">Common_InputFunctions.Utility_DisplayArrayInTable(Common_SourceData.Common_SourceData_MCFTemperatureZone_Data(),Table_SourceData_Common_MCFTemperatureZone[[#Headers],[Temperature zone]],0)</f>
        <v>0.66</v>
      </c>
      <c r="G232" s="35" cm="1">
        <f t="array" ref="G232">Common_InputFunctions.Utility_DisplayArrayInTable(Common_SourceData.Common_SourceData_MCFTemperatureZone_Data(),Table_SourceData_Common_MCFTemperatureZone[[#Headers],[Temperature zone]],0)</f>
        <v>0.1</v>
      </c>
      <c r="H232" s="35" cm="1">
        <f t="array" ref="H232">Common_InputFunctions.Utility_DisplayArrayInTable(Common_SourceData.Common_SourceData_MCFTemperatureZone_Data(),Table_SourceData_Common_MCFTemperatureZone[[#Headers],[Temperature zone]],0)</f>
        <v>0.1</v>
      </c>
      <c r="I232" s="35" cm="1">
        <f t="array" ref="I232">Common_InputFunctions.Utility_DisplayArrayInTable(Common_SourceData.Common_SourceData_MCFTemperatureZone_Data(),Table_SourceData_Common_MCFTemperatureZone[[#Headers],[Temperature zone]],0)</f>
        <v>1E-3</v>
      </c>
      <c r="J232" s="35" cm="1">
        <f t="array" ref="J232">Common_InputFunctions.Utility_DisplayArrayInTable(Common_SourceData.Common_SourceData_MCFTemperatureZone_Data(),Table_SourceData_Common_MCFTemperatureZone[[#Headers],[Temperature zone]],0)</f>
        <v>5.0000000000000001E-3</v>
      </c>
      <c r="K232" s="35" cm="1">
        <f t="array" ref="K232">Common_InputFunctions.Utility_DisplayArrayInTable(Common_SourceData.Common_SourceData_MCFTemperatureZone_Data(),Table_SourceData_Common_MCFTemperatureZone[[#Headers],[Temperature zone]],0)</f>
        <v>0.02</v>
      </c>
      <c r="L232" s="35" cm="1">
        <f t="array" ref="L232">Common_InputFunctions.Utility_DisplayArrayInTable(Common_SourceData.Common_SourceData_MCFTemperatureZone_Data(),Table_SourceData_Common_MCFTemperatureZone[[#Headers],[Temperature zone]],0)</f>
        <v>0.03</v>
      </c>
      <c r="M232" s="35" cm="1">
        <f t="array" ref="M232">Common_InputFunctions.Utility_DisplayArrayInTable(Common_SourceData.Common_SourceData_MCFTemperatureZone_Data(),Table_SourceData_Common_MCFTemperatureZone[[#Headers],[Temperature zone]],0)</f>
        <v>0.04</v>
      </c>
      <c r="N232" s="35" cm="1">
        <f t="array" ref="N232">Common_InputFunctions.Utility_DisplayArrayInTable(Common_SourceData.Common_SourceData_MCFTemperatureZone_Data(),Table_SourceData_Common_MCFTemperatureZone[[#Headers],[Temperature zone]],0)</f>
        <v>1.4999999999999999E-2</v>
      </c>
      <c r="O232" s="35" cm="1">
        <f t="array" ref="O232">Common_InputFunctions.Utility_DisplayArrayInTable(Common_SourceData.Common_SourceData_MCFTemperatureZone_Data(),Table_SourceData_Common_MCFTemperatureZone[[#Headers],[Temperature zone]],0)</f>
        <v>1.4999999999999999E-2</v>
      </c>
      <c r="P232" s="35" cm="1">
        <f t="array" ref="P232">Common_InputFunctions.Utility_DisplayArrayInTable(Common_SourceData.Common_SourceData_MCFTemperatureZone_Data(),Table_SourceData_Common_MCFTemperatureZone[[#Headers],[Temperature zone]],0)</f>
        <v>0</v>
      </c>
      <c r="Q232" s="35" cm="1">
        <f t="array" ref="Q232">Common_InputFunctions.Utility_DisplayArrayInTable(Common_SourceData.Common_SourceData_MCFTemperatureZone_Data(),Table_SourceData_Common_MCFTemperatureZone[[#Headers],[Temperature zone]],0)</f>
        <v>0</v>
      </c>
      <c r="R232" s="35" cm="1">
        <f t="array" ref="R232">Common_InputFunctions.Utility_DisplayArrayInTable(Common_SourceData.Common_SourceData_MCFTemperatureZone_Data(),Table_SourceData_Common_MCFTemperatureZone[[#Headers],[Temperature zone]],0)</f>
        <v>4.7000000000000002E-3</v>
      </c>
      <c r="S232" s="35"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5" cm="1">
        <f t="array" ref="E233">Common_InputFunctions.Utility_DisplayArrayInTable(Common_SourceData.Common_SourceData_MCFTemperatureZone_Data(),Table_SourceData_Common_MCFTemperatureZone[[#Headers],[Temperature zone]],0)</f>
        <v>11</v>
      </c>
      <c r="F233" s="35" cm="1">
        <f t="array" ref="F233">Common_InputFunctions.Utility_DisplayArrayInTable(Common_SourceData.Common_SourceData_MCFTemperatureZone_Data(),Table_SourceData_Common_MCFTemperatureZone[[#Headers],[Temperature zone]],0)</f>
        <v>0.68</v>
      </c>
      <c r="G233" s="35" cm="1">
        <f t="array" ref="G233">Common_InputFunctions.Utility_DisplayArrayInTable(Common_SourceData.Common_SourceData_MCFTemperatureZone_Data(),Table_SourceData_Common_MCFTemperatureZone[[#Headers],[Temperature zone]],0)</f>
        <v>0.1</v>
      </c>
      <c r="H233" s="35" cm="1">
        <f t="array" ref="H233">Common_InputFunctions.Utility_DisplayArrayInTable(Common_SourceData.Common_SourceData_MCFTemperatureZone_Data(),Table_SourceData_Common_MCFTemperatureZone[[#Headers],[Temperature zone]],0)</f>
        <v>0.11</v>
      </c>
      <c r="I233" s="35" cm="1">
        <f t="array" ref="I233">Common_InputFunctions.Utility_DisplayArrayInTable(Common_SourceData.Common_SourceData_MCFTemperatureZone_Data(),Table_SourceData_Common_MCFTemperatureZone[[#Headers],[Temperature zone]],0)</f>
        <v>1E-3</v>
      </c>
      <c r="J233" s="35" cm="1">
        <f t="array" ref="J233">Common_InputFunctions.Utility_DisplayArrayInTable(Common_SourceData.Common_SourceData_MCFTemperatureZone_Data(),Table_SourceData_Common_MCFTemperatureZone[[#Headers],[Temperature zone]],0)</f>
        <v>5.0000000000000001E-3</v>
      </c>
      <c r="K233" s="35" cm="1">
        <f t="array" ref="K233">Common_InputFunctions.Utility_DisplayArrayInTable(Common_SourceData.Common_SourceData_MCFTemperatureZone_Data(),Table_SourceData_Common_MCFTemperatureZone[[#Headers],[Temperature zone]],0)</f>
        <v>0.02</v>
      </c>
      <c r="L233" s="35" cm="1">
        <f t="array" ref="L233">Common_InputFunctions.Utility_DisplayArrayInTable(Common_SourceData.Common_SourceData_MCFTemperatureZone_Data(),Table_SourceData_Common_MCFTemperatureZone[[#Headers],[Temperature zone]],0)</f>
        <v>0.03</v>
      </c>
      <c r="M233" s="35" cm="1">
        <f t="array" ref="M233">Common_InputFunctions.Utility_DisplayArrayInTable(Common_SourceData.Common_SourceData_MCFTemperatureZone_Data(),Table_SourceData_Common_MCFTemperatureZone[[#Headers],[Temperature zone]],0)</f>
        <v>0.04</v>
      </c>
      <c r="N233" s="35" cm="1">
        <f t="array" ref="N233">Common_InputFunctions.Utility_DisplayArrayInTable(Common_SourceData.Common_SourceData_MCFTemperatureZone_Data(),Table_SourceData_Common_MCFTemperatureZone[[#Headers],[Temperature zone]],0)</f>
        <v>1.4999999999999999E-2</v>
      </c>
      <c r="O233" s="35" cm="1">
        <f t="array" ref="O233">Common_InputFunctions.Utility_DisplayArrayInTable(Common_SourceData.Common_SourceData_MCFTemperatureZone_Data(),Table_SourceData_Common_MCFTemperatureZone[[#Headers],[Temperature zone]],0)</f>
        <v>1.4999999999999999E-2</v>
      </c>
      <c r="P233" s="35" cm="1">
        <f t="array" ref="P233">Common_InputFunctions.Utility_DisplayArrayInTable(Common_SourceData.Common_SourceData_MCFTemperatureZone_Data(),Table_SourceData_Common_MCFTemperatureZone[[#Headers],[Temperature zone]],0)</f>
        <v>0</v>
      </c>
      <c r="Q233" s="35" cm="1">
        <f t="array" ref="Q233">Common_InputFunctions.Utility_DisplayArrayInTable(Common_SourceData.Common_SourceData_MCFTemperatureZone_Data(),Table_SourceData_Common_MCFTemperatureZone[[#Headers],[Temperature zone]],0)</f>
        <v>0</v>
      </c>
      <c r="R233" s="35" cm="1">
        <f t="array" ref="R233">Common_InputFunctions.Utility_DisplayArrayInTable(Common_SourceData.Common_SourceData_MCFTemperatureZone_Data(),Table_SourceData_Common_MCFTemperatureZone[[#Headers],[Temperature zone]],0)</f>
        <v>4.7000000000000002E-3</v>
      </c>
      <c r="S233" s="35"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5" cm="1">
        <f t="array" ref="E234">Common_InputFunctions.Utility_DisplayArrayInTable(Common_SourceData.Common_SourceData_MCFTemperatureZone_Data(),Table_SourceData_Common_MCFTemperatureZone[[#Headers],[Temperature zone]],0)</f>
        <v>12</v>
      </c>
      <c r="F234" s="35" cm="1">
        <f t="array" ref="F234">Common_InputFunctions.Utility_DisplayArrayInTable(Common_SourceData.Common_SourceData_MCFTemperatureZone_Data(),Table_SourceData_Common_MCFTemperatureZone[[#Headers],[Temperature zone]],0)</f>
        <v>0.7</v>
      </c>
      <c r="G234" s="35" cm="1">
        <f t="array" ref="G234">Common_InputFunctions.Utility_DisplayArrayInTable(Common_SourceData.Common_SourceData_MCFTemperatureZone_Data(),Table_SourceData_Common_MCFTemperatureZone[[#Headers],[Temperature zone]],0)</f>
        <v>0.1</v>
      </c>
      <c r="H234" s="35" cm="1">
        <f t="array" ref="H234">Common_InputFunctions.Utility_DisplayArrayInTable(Common_SourceData.Common_SourceData_MCFTemperatureZone_Data(),Table_SourceData_Common_MCFTemperatureZone[[#Headers],[Temperature zone]],0)</f>
        <v>0.13</v>
      </c>
      <c r="I234" s="35" cm="1">
        <f t="array" ref="I234">Common_InputFunctions.Utility_DisplayArrayInTable(Common_SourceData.Common_SourceData_MCFTemperatureZone_Data(),Table_SourceData_Common_MCFTemperatureZone[[#Headers],[Temperature zone]],0)</f>
        <v>1E-3</v>
      </c>
      <c r="J234" s="35" cm="1">
        <f t="array" ref="J234">Common_InputFunctions.Utility_DisplayArrayInTable(Common_SourceData.Common_SourceData_MCFTemperatureZone_Data(),Table_SourceData_Common_MCFTemperatureZone[[#Headers],[Temperature zone]],0)</f>
        <v>5.0000000000000001E-3</v>
      </c>
      <c r="K234" s="35" cm="1">
        <f t="array" ref="K234">Common_InputFunctions.Utility_DisplayArrayInTable(Common_SourceData.Common_SourceData_MCFTemperatureZone_Data(),Table_SourceData_Common_MCFTemperatureZone[[#Headers],[Temperature zone]],0)</f>
        <v>0.02</v>
      </c>
      <c r="L234" s="35" cm="1">
        <f t="array" ref="L234">Common_InputFunctions.Utility_DisplayArrayInTable(Common_SourceData.Common_SourceData_MCFTemperatureZone_Data(),Table_SourceData_Common_MCFTemperatureZone[[#Headers],[Temperature zone]],0)</f>
        <v>0.03</v>
      </c>
      <c r="M234" s="35" cm="1">
        <f t="array" ref="M234">Common_InputFunctions.Utility_DisplayArrayInTable(Common_SourceData.Common_SourceData_MCFTemperatureZone_Data(),Table_SourceData_Common_MCFTemperatureZone[[#Headers],[Temperature zone]],0)</f>
        <v>0.04</v>
      </c>
      <c r="N234" s="35" cm="1">
        <f t="array" ref="N234">Common_InputFunctions.Utility_DisplayArrayInTable(Common_SourceData.Common_SourceData_MCFTemperatureZone_Data(),Table_SourceData_Common_MCFTemperatureZone[[#Headers],[Temperature zone]],0)</f>
        <v>1.4999999999999999E-2</v>
      </c>
      <c r="O234" s="35" cm="1">
        <f t="array" ref="O234">Common_InputFunctions.Utility_DisplayArrayInTable(Common_SourceData.Common_SourceData_MCFTemperatureZone_Data(),Table_SourceData_Common_MCFTemperatureZone[[#Headers],[Temperature zone]],0)</f>
        <v>1.4999999999999999E-2</v>
      </c>
      <c r="P234" s="35" cm="1">
        <f t="array" ref="P234">Common_InputFunctions.Utility_DisplayArrayInTable(Common_SourceData.Common_SourceData_MCFTemperatureZone_Data(),Table_SourceData_Common_MCFTemperatureZone[[#Headers],[Temperature zone]],0)</f>
        <v>0</v>
      </c>
      <c r="Q234" s="35" cm="1">
        <f t="array" ref="Q234">Common_InputFunctions.Utility_DisplayArrayInTable(Common_SourceData.Common_SourceData_MCFTemperatureZone_Data(),Table_SourceData_Common_MCFTemperatureZone[[#Headers],[Temperature zone]],0)</f>
        <v>0</v>
      </c>
      <c r="R234" s="35" cm="1">
        <f t="array" ref="R234">Common_InputFunctions.Utility_DisplayArrayInTable(Common_SourceData.Common_SourceData_MCFTemperatureZone_Data(),Table_SourceData_Common_MCFTemperatureZone[[#Headers],[Temperature zone]],0)</f>
        <v>4.7000000000000002E-3</v>
      </c>
      <c r="S234" s="35"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5" cm="1">
        <f t="array" ref="E235">Common_InputFunctions.Utility_DisplayArrayInTable(Common_SourceData.Common_SourceData_MCFTemperatureZone_Data(),Table_SourceData_Common_MCFTemperatureZone[[#Headers],[Temperature zone]],0)</f>
        <v>13</v>
      </c>
      <c r="F235" s="35" cm="1">
        <f t="array" ref="F235">Common_InputFunctions.Utility_DisplayArrayInTable(Common_SourceData.Common_SourceData_MCFTemperatureZone_Data(),Table_SourceData_Common_MCFTemperatureZone[[#Headers],[Temperature zone]],0)</f>
        <v>0.71</v>
      </c>
      <c r="G235" s="35" cm="1">
        <f t="array" ref="G235">Common_InputFunctions.Utility_DisplayArrayInTable(Common_SourceData.Common_SourceData_MCFTemperatureZone_Data(),Table_SourceData_Common_MCFTemperatureZone[[#Headers],[Temperature zone]],0)</f>
        <v>0.1</v>
      </c>
      <c r="H235" s="35" cm="1">
        <f t="array" ref="H235">Common_InputFunctions.Utility_DisplayArrayInTable(Common_SourceData.Common_SourceData_MCFTemperatureZone_Data(),Table_SourceData_Common_MCFTemperatureZone[[#Headers],[Temperature zone]],0)</f>
        <v>0.14000000000000001</v>
      </c>
      <c r="I235" s="35" cm="1">
        <f t="array" ref="I235">Common_InputFunctions.Utility_DisplayArrayInTable(Common_SourceData.Common_SourceData_MCFTemperatureZone_Data(),Table_SourceData_Common_MCFTemperatureZone[[#Headers],[Temperature zone]],0)</f>
        <v>1E-3</v>
      </c>
      <c r="J235" s="35" cm="1">
        <f t="array" ref="J235">Common_InputFunctions.Utility_DisplayArrayInTable(Common_SourceData.Common_SourceData_MCFTemperatureZone_Data(),Table_SourceData_Common_MCFTemperatureZone[[#Headers],[Temperature zone]],0)</f>
        <v>5.0000000000000001E-3</v>
      </c>
      <c r="K235" s="35" cm="1">
        <f t="array" ref="K235">Common_InputFunctions.Utility_DisplayArrayInTable(Common_SourceData.Common_SourceData_MCFTemperatureZone_Data(),Table_SourceData_Common_MCFTemperatureZone[[#Headers],[Temperature zone]],0)</f>
        <v>0.02</v>
      </c>
      <c r="L235" s="35" cm="1">
        <f t="array" ref="L235">Common_InputFunctions.Utility_DisplayArrayInTable(Common_SourceData.Common_SourceData_MCFTemperatureZone_Data(),Table_SourceData_Common_MCFTemperatureZone[[#Headers],[Temperature zone]],0)</f>
        <v>0.03</v>
      </c>
      <c r="M235" s="35" cm="1">
        <f t="array" ref="M235">Common_InputFunctions.Utility_DisplayArrayInTable(Common_SourceData.Common_SourceData_MCFTemperatureZone_Data(),Table_SourceData_Common_MCFTemperatureZone[[#Headers],[Temperature zone]],0)</f>
        <v>0.04</v>
      </c>
      <c r="N235" s="35" cm="1">
        <f t="array" ref="N235">Common_InputFunctions.Utility_DisplayArrayInTable(Common_SourceData.Common_SourceData_MCFTemperatureZone_Data(),Table_SourceData_Common_MCFTemperatureZone[[#Headers],[Temperature zone]],0)</f>
        <v>1.4999999999999999E-2</v>
      </c>
      <c r="O235" s="35" cm="1">
        <f t="array" ref="O235">Common_InputFunctions.Utility_DisplayArrayInTable(Common_SourceData.Common_SourceData_MCFTemperatureZone_Data(),Table_SourceData_Common_MCFTemperatureZone[[#Headers],[Temperature zone]],0)</f>
        <v>1.4999999999999999E-2</v>
      </c>
      <c r="P235" s="35" cm="1">
        <f t="array" ref="P235">Common_InputFunctions.Utility_DisplayArrayInTable(Common_SourceData.Common_SourceData_MCFTemperatureZone_Data(),Table_SourceData_Common_MCFTemperatureZone[[#Headers],[Temperature zone]],0)</f>
        <v>0</v>
      </c>
      <c r="Q235" s="35" cm="1">
        <f t="array" ref="Q235">Common_InputFunctions.Utility_DisplayArrayInTable(Common_SourceData.Common_SourceData_MCFTemperatureZone_Data(),Table_SourceData_Common_MCFTemperatureZone[[#Headers],[Temperature zone]],0)</f>
        <v>0</v>
      </c>
      <c r="R235" s="35" cm="1">
        <f t="array" ref="R235">Common_InputFunctions.Utility_DisplayArrayInTable(Common_SourceData.Common_SourceData_MCFTemperatureZone_Data(),Table_SourceData_Common_MCFTemperatureZone[[#Headers],[Temperature zone]],0)</f>
        <v>4.7000000000000002E-3</v>
      </c>
      <c r="S235" s="35"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5" cm="1">
        <f t="array" ref="E236">Common_InputFunctions.Utility_DisplayArrayInTable(Common_SourceData.Common_SourceData_MCFTemperatureZone_Data(),Table_SourceData_Common_MCFTemperatureZone[[#Headers],[Temperature zone]],0)</f>
        <v>14</v>
      </c>
      <c r="F236" s="35" cm="1">
        <f t="array" ref="F236">Common_InputFunctions.Utility_DisplayArrayInTable(Common_SourceData.Common_SourceData_MCFTemperatureZone_Data(),Table_SourceData_Common_MCFTemperatureZone[[#Headers],[Temperature zone]],0)</f>
        <v>0.73</v>
      </c>
      <c r="G236" s="35" cm="1">
        <f t="array" ref="G236">Common_InputFunctions.Utility_DisplayArrayInTable(Common_SourceData.Common_SourceData_MCFTemperatureZone_Data(),Table_SourceData_Common_MCFTemperatureZone[[#Headers],[Temperature zone]],0)</f>
        <v>0.1</v>
      </c>
      <c r="H236" s="35" cm="1">
        <f t="array" ref="H236">Common_InputFunctions.Utility_DisplayArrayInTable(Common_SourceData.Common_SourceData_MCFTemperatureZone_Data(),Table_SourceData_Common_MCFTemperatureZone[[#Headers],[Temperature zone]],0)</f>
        <v>0.15</v>
      </c>
      <c r="I236" s="35" cm="1">
        <f t="array" ref="I236">Common_InputFunctions.Utility_DisplayArrayInTable(Common_SourceData.Common_SourceData_MCFTemperatureZone_Data(),Table_SourceData_Common_MCFTemperatureZone[[#Headers],[Temperature zone]],0)</f>
        <v>1E-3</v>
      </c>
      <c r="J236" s="35" cm="1">
        <f t="array" ref="J236">Common_InputFunctions.Utility_DisplayArrayInTable(Common_SourceData.Common_SourceData_MCFTemperatureZone_Data(),Table_SourceData_Common_MCFTemperatureZone[[#Headers],[Temperature zone]],0)</f>
        <v>5.0000000000000001E-3</v>
      </c>
      <c r="K236" s="35" cm="1">
        <f t="array" ref="K236">Common_InputFunctions.Utility_DisplayArrayInTable(Common_SourceData.Common_SourceData_MCFTemperatureZone_Data(),Table_SourceData_Common_MCFTemperatureZone[[#Headers],[Temperature zone]],0)</f>
        <v>0.02</v>
      </c>
      <c r="L236" s="35" cm="1">
        <f t="array" ref="L236">Common_InputFunctions.Utility_DisplayArrayInTable(Common_SourceData.Common_SourceData_MCFTemperatureZone_Data(),Table_SourceData_Common_MCFTemperatureZone[[#Headers],[Temperature zone]],0)</f>
        <v>0.03</v>
      </c>
      <c r="M236" s="35" cm="1">
        <f t="array" ref="M236">Common_InputFunctions.Utility_DisplayArrayInTable(Common_SourceData.Common_SourceData_MCFTemperatureZone_Data(),Table_SourceData_Common_MCFTemperatureZone[[#Headers],[Temperature zone]],0)</f>
        <v>0.04</v>
      </c>
      <c r="N236" s="35" cm="1">
        <f t="array" ref="N236">Common_InputFunctions.Utility_DisplayArrayInTable(Common_SourceData.Common_SourceData_MCFTemperatureZone_Data(),Table_SourceData_Common_MCFTemperatureZone[[#Headers],[Temperature zone]],0)</f>
        <v>1.4999999999999999E-2</v>
      </c>
      <c r="O236" s="35" cm="1">
        <f t="array" ref="O236">Common_InputFunctions.Utility_DisplayArrayInTable(Common_SourceData.Common_SourceData_MCFTemperatureZone_Data(),Table_SourceData_Common_MCFTemperatureZone[[#Headers],[Temperature zone]],0)</f>
        <v>1.4999999999999999E-2</v>
      </c>
      <c r="P236" s="35" cm="1">
        <f t="array" ref="P236">Common_InputFunctions.Utility_DisplayArrayInTable(Common_SourceData.Common_SourceData_MCFTemperatureZone_Data(),Table_SourceData_Common_MCFTemperatureZone[[#Headers],[Temperature zone]],0)</f>
        <v>0</v>
      </c>
      <c r="Q236" s="35" cm="1">
        <f t="array" ref="Q236">Common_InputFunctions.Utility_DisplayArrayInTable(Common_SourceData.Common_SourceData_MCFTemperatureZone_Data(),Table_SourceData_Common_MCFTemperatureZone[[#Headers],[Temperature zone]],0)</f>
        <v>0</v>
      </c>
      <c r="R236" s="35" cm="1">
        <f t="array" ref="R236">Common_InputFunctions.Utility_DisplayArrayInTable(Common_SourceData.Common_SourceData_MCFTemperatureZone_Data(),Table_SourceData_Common_MCFTemperatureZone[[#Headers],[Temperature zone]],0)</f>
        <v>4.7000000000000002E-3</v>
      </c>
      <c r="S236" s="35"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5" cm="1">
        <f t="array" ref="E237">Common_InputFunctions.Utility_DisplayArrayInTable(Common_SourceData.Common_SourceData_MCFTemperatureZone_Data(),Table_SourceData_Common_MCFTemperatureZone[[#Headers],[Temperature zone]],0)</f>
        <v>15</v>
      </c>
      <c r="F237" s="35" cm="1">
        <f t="array" ref="F237">Common_InputFunctions.Utility_DisplayArrayInTable(Common_SourceData.Common_SourceData_MCFTemperatureZone_Data(),Table_SourceData_Common_MCFTemperatureZone[[#Headers],[Temperature zone]],0)</f>
        <v>0.74</v>
      </c>
      <c r="G237" s="35" cm="1">
        <f t="array" ref="G237">Common_InputFunctions.Utility_DisplayArrayInTable(Common_SourceData.Common_SourceData_MCFTemperatureZone_Data(),Table_SourceData_Common_MCFTemperatureZone[[#Headers],[Temperature zone]],0)</f>
        <v>0.1</v>
      </c>
      <c r="H237" s="35" cm="1">
        <f t="array" ref="H237">Common_InputFunctions.Utility_DisplayArrayInTable(Common_SourceData.Common_SourceData_MCFTemperatureZone_Data(),Table_SourceData_Common_MCFTemperatureZone[[#Headers],[Temperature zone]],0)</f>
        <v>0.17</v>
      </c>
      <c r="I237" s="35" cm="1">
        <f t="array" ref="I237">Common_InputFunctions.Utility_DisplayArrayInTable(Common_SourceData.Common_SourceData_MCFTemperatureZone_Data(),Table_SourceData_Common_MCFTemperatureZone[[#Headers],[Temperature zone]],0)</f>
        <v>5.0000000000000001E-3</v>
      </c>
      <c r="J237" s="35" cm="1">
        <f t="array" ref="J237">Common_InputFunctions.Utility_DisplayArrayInTable(Common_SourceData.Common_SourceData_MCFTemperatureZone_Data(),Table_SourceData_Common_MCFTemperatureZone[[#Headers],[Temperature zone]],0)</f>
        <v>0.01</v>
      </c>
      <c r="K237" s="35" cm="1">
        <f t="array" ref="K237">Common_InputFunctions.Utility_DisplayArrayInTable(Common_SourceData.Common_SourceData_MCFTemperatureZone_Data(),Table_SourceData_Common_MCFTemperatureZone[[#Headers],[Temperature zone]],0)</f>
        <v>0.02</v>
      </c>
      <c r="L237" s="35" cm="1">
        <f t="array" ref="L237">Common_InputFunctions.Utility_DisplayArrayInTable(Common_SourceData.Common_SourceData_MCFTemperatureZone_Data(),Table_SourceData_Common_MCFTemperatureZone[[#Headers],[Temperature zone]],0)</f>
        <v>0.03</v>
      </c>
      <c r="M237" s="35" cm="1">
        <f t="array" ref="M237">Common_InputFunctions.Utility_DisplayArrayInTable(Common_SourceData.Common_SourceData_MCFTemperatureZone_Data(),Table_SourceData_Common_MCFTemperatureZone[[#Headers],[Temperature zone]],0)</f>
        <v>0.04</v>
      </c>
      <c r="N237" s="35" cm="1">
        <f t="array" ref="N237">Common_InputFunctions.Utility_DisplayArrayInTable(Common_SourceData.Common_SourceData_MCFTemperatureZone_Data(),Table_SourceData_Common_MCFTemperatureZone[[#Headers],[Temperature zone]],0)</f>
        <v>1.4999999999999999E-2</v>
      </c>
      <c r="O237" s="35" cm="1">
        <f t="array" ref="O237">Common_InputFunctions.Utility_DisplayArrayInTable(Common_SourceData.Common_SourceData_MCFTemperatureZone_Data(),Table_SourceData_Common_MCFTemperatureZone[[#Headers],[Temperature zone]],0)</f>
        <v>1.4999999999999999E-2</v>
      </c>
      <c r="P237" s="35" cm="1">
        <f t="array" ref="P237">Common_InputFunctions.Utility_DisplayArrayInTable(Common_SourceData.Common_SourceData_MCFTemperatureZone_Data(),Table_SourceData_Common_MCFTemperatureZone[[#Headers],[Temperature zone]],0)</f>
        <v>0</v>
      </c>
      <c r="Q237" s="35" cm="1">
        <f t="array" ref="Q237">Common_InputFunctions.Utility_DisplayArrayInTable(Common_SourceData.Common_SourceData_MCFTemperatureZone_Data(),Table_SourceData_Common_MCFTemperatureZone[[#Headers],[Temperature zone]],0)</f>
        <v>0</v>
      </c>
      <c r="R237" s="35" cm="1">
        <f t="array" ref="R237">Common_InputFunctions.Utility_DisplayArrayInTable(Common_SourceData.Common_SourceData_MCFTemperatureZone_Data(),Table_SourceData_Common_MCFTemperatureZone[[#Headers],[Temperature zone]],0)</f>
        <v>4.7000000000000002E-3</v>
      </c>
      <c r="S237" s="35"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5" cm="1">
        <f t="array" ref="E238">Common_InputFunctions.Utility_DisplayArrayInTable(Common_SourceData.Common_SourceData_MCFTemperatureZone_Data(),Table_SourceData_Common_MCFTemperatureZone[[#Headers],[Temperature zone]],0)</f>
        <v>16</v>
      </c>
      <c r="F238" s="35" cm="1">
        <f t="array" ref="F238">Common_InputFunctions.Utility_DisplayArrayInTable(Common_SourceData.Common_SourceData_MCFTemperatureZone_Data(),Table_SourceData_Common_MCFTemperatureZone[[#Headers],[Temperature zone]],0)</f>
        <v>0.75</v>
      </c>
      <c r="G238" s="35" cm="1">
        <f t="array" ref="G238">Common_InputFunctions.Utility_DisplayArrayInTable(Common_SourceData.Common_SourceData_MCFTemperatureZone_Data(),Table_SourceData_Common_MCFTemperatureZone[[#Headers],[Temperature zone]],0)</f>
        <v>0.1</v>
      </c>
      <c r="H238" s="35" cm="1">
        <f t="array" ref="H238">Common_InputFunctions.Utility_DisplayArrayInTable(Common_SourceData.Common_SourceData_MCFTemperatureZone_Data(),Table_SourceData_Common_MCFTemperatureZone[[#Headers],[Temperature zone]],0)</f>
        <v>0.18</v>
      </c>
      <c r="I238" s="35" cm="1">
        <f t="array" ref="I238">Common_InputFunctions.Utility_DisplayArrayInTable(Common_SourceData.Common_SourceData_MCFTemperatureZone_Data(),Table_SourceData_Common_MCFTemperatureZone[[#Headers],[Temperature zone]],0)</f>
        <v>5.0000000000000001E-3</v>
      </c>
      <c r="J238" s="35" cm="1">
        <f t="array" ref="J238">Common_InputFunctions.Utility_DisplayArrayInTable(Common_SourceData.Common_SourceData_MCFTemperatureZone_Data(),Table_SourceData_Common_MCFTemperatureZone[[#Headers],[Temperature zone]],0)</f>
        <v>0.01</v>
      </c>
      <c r="K238" s="35" cm="1">
        <f t="array" ref="K238">Common_InputFunctions.Utility_DisplayArrayInTable(Common_SourceData.Common_SourceData_MCFTemperatureZone_Data(),Table_SourceData_Common_MCFTemperatureZone[[#Headers],[Temperature zone]],0)</f>
        <v>0.02</v>
      </c>
      <c r="L238" s="35" cm="1">
        <f t="array" ref="L238">Common_InputFunctions.Utility_DisplayArrayInTable(Common_SourceData.Common_SourceData_MCFTemperatureZone_Data(),Table_SourceData_Common_MCFTemperatureZone[[#Headers],[Temperature zone]],0)</f>
        <v>0.03</v>
      </c>
      <c r="M238" s="35" cm="1">
        <f t="array" ref="M238">Common_InputFunctions.Utility_DisplayArrayInTable(Common_SourceData.Common_SourceData_MCFTemperatureZone_Data(),Table_SourceData_Common_MCFTemperatureZone[[#Headers],[Temperature zone]],0)</f>
        <v>0.04</v>
      </c>
      <c r="N238" s="35" cm="1">
        <f t="array" ref="N238">Common_InputFunctions.Utility_DisplayArrayInTable(Common_SourceData.Common_SourceData_MCFTemperatureZone_Data(),Table_SourceData_Common_MCFTemperatureZone[[#Headers],[Temperature zone]],0)</f>
        <v>1.4999999999999999E-2</v>
      </c>
      <c r="O238" s="35" cm="1">
        <f t="array" ref="O238">Common_InputFunctions.Utility_DisplayArrayInTable(Common_SourceData.Common_SourceData_MCFTemperatureZone_Data(),Table_SourceData_Common_MCFTemperatureZone[[#Headers],[Temperature zone]],0)</f>
        <v>1.4999999999999999E-2</v>
      </c>
      <c r="P238" s="35" cm="1">
        <f t="array" ref="P238">Common_InputFunctions.Utility_DisplayArrayInTable(Common_SourceData.Common_SourceData_MCFTemperatureZone_Data(),Table_SourceData_Common_MCFTemperatureZone[[#Headers],[Temperature zone]],0)</f>
        <v>0</v>
      </c>
      <c r="Q238" s="35" cm="1">
        <f t="array" ref="Q238">Common_InputFunctions.Utility_DisplayArrayInTable(Common_SourceData.Common_SourceData_MCFTemperatureZone_Data(),Table_SourceData_Common_MCFTemperatureZone[[#Headers],[Temperature zone]],0)</f>
        <v>0</v>
      </c>
      <c r="R238" s="35" cm="1">
        <f t="array" ref="R238">Common_InputFunctions.Utility_DisplayArrayInTable(Common_SourceData.Common_SourceData_MCFTemperatureZone_Data(),Table_SourceData_Common_MCFTemperatureZone[[#Headers],[Temperature zone]],0)</f>
        <v>4.7000000000000002E-3</v>
      </c>
      <c r="S238" s="35"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5" cm="1">
        <f t="array" ref="E239">Common_InputFunctions.Utility_DisplayArrayInTable(Common_SourceData.Common_SourceData_MCFTemperatureZone_Data(),Table_SourceData_Common_MCFTemperatureZone[[#Headers],[Temperature zone]],0)</f>
        <v>17</v>
      </c>
      <c r="F239" s="35" cm="1">
        <f t="array" ref="F239">Common_InputFunctions.Utility_DisplayArrayInTable(Common_SourceData.Common_SourceData_MCFTemperatureZone_Data(),Table_SourceData_Common_MCFTemperatureZone[[#Headers],[Temperature zone]],0)</f>
        <v>0.76</v>
      </c>
      <c r="G239" s="35" cm="1">
        <f t="array" ref="G239">Common_InputFunctions.Utility_DisplayArrayInTable(Common_SourceData.Common_SourceData_MCFTemperatureZone_Data(),Table_SourceData_Common_MCFTemperatureZone[[#Headers],[Temperature zone]],0)</f>
        <v>0.1</v>
      </c>
      <c r="H239" s="35" cm="1">
        <f t="array" ref="H239">Common_InputFunctions.Utility_DisplayArrayInTable(Common_SourceData.Common_SourceData_MCFTemperatureZone_Data(),Table_SourceData_Common_MCFTemperatureZone[[#Headers],[Temperature zone]],0)</f>
        <v>0.2</v>
      </c>
      <c r="I239" s="35" cm="1">
        <f t="array" ref="I239">Common_InputFunctions.Utility_DisplayArrayInTable(Common_SourceData.Common_SourceData_MCFTemperatureZone_Data(),Table_SourceData_Common_MCFTemperatureZone[[#Headers],[Temperature zone]],0)</f>
        <v>5.0000000000000001E-3</v>
      </c>
      <c r="J239" s="35" cm="1">
        <f t="array" ref="J239">Common_InputFunctions.Utility_DisplayArrayInTable(Common_SourceData.Common_SourceData_MCFTemperatureZone_Data(),Table_SourceData_Common_MCFTemperatureZone[[#Headers],[Temperature zone]],0)</f>
        <v>0.01</v>
      </c>
      <c r="K239" s="35" cm="1">
        <f t="array" ref="K239">Common_InputFunctions.Utility_DisplayArrayInTable(Common_SourceData.Common_SourceData_MCFTemperatureZone_Data(),Table_SourceData_Common_MCFTemperatureZone[[#Headers],[Temperature zone]],0)</f>
        <v>0.02</v>
      </c>
      <c r="L239" s="35" cm="1">
        <f t="array" ref="L239">Common_InputFunctions.Utility_DisplayArrayInTable(Common_SourceData.Common_SourceData_MCFTemperatureZone_Data(),Table_SourceData_Common_MCFTemperatureZone[[#Headers],[Temperature zone]],0)</f>
        <v>0.03</v>
      </c>
      <c r="M239" s="35" cm="1">
        <f t="array" ref="M239">Common_InputFunctions.Utility_DisplayArrayInTable(Common_SourceData.Common_SourceData_MCFTemperatureZone_Data(),Table_SourceData_Common_MCFTemperatureZone[[#Headers],[Temperature zone]],0)</f>
        <v>0.04</v>
      </c>
      <c r="N239" s="35" cm="1">
        <f t="array" ref="N239">Common_InputFunctions.Utility_DisplayArrayInTable(Common_SourceData.Common_SourceData_MCFTemperatureZone_Data(),Table_SourceData_Common_MCFTemperatureZone[[#Headers],[Temperature zone]],0)</f>
        <v>1.4999999999999999E-2</v>
      </c>
      <c r="O239" s="35" cm="1">
        <f t="array" ref="O239">Common_InputFunctions.Utility_DisplayArrayInTable(Common_SourceData.Common_SourceData_MCFTemperatureZone_Data(),Table_SourceData_Common_MCFTemperatureZone[[#Headers],[Temperature zone]],0)</f>
        <v>1.4999999999999999E-2</v>
      </c>
      <c r="P239" s="35" cm="1">
        <f t="array" ref="P239">Common_InputFunctions.Utility_DisplayArrayInTable(Common_SourceData.Common_SourceData_MCFTemperatureZone_Data(),Table_SourceData_Common_MCFTemperatureZone[[#Headers],[Temperature zone]],0)</f>
        <v>0</v>
      </c>
      <c r="Q239" s="35" cm="1">
        <f t="array" ref="Q239">Common_InputFunctions.Utility_DisplayArrayInTable(Common_SourceData.Common_SourceData_MCFTemperatureZone_Data(),Table_SourceData_Common_MCFTemperatureZone[[#Headers],[Temperature zone]],0)</f>
        <v>0</v>
      </c>
      <c r="R239" s="35" cm="1">
        <f t="array" ref="R239">Common_InputFunctions.Utility_DisplayArrayInTable(Common_SourceData.Common_SourceData_MCFTemperatureZone_Data(),Table_SourceData_Common_MCFTemperatureZone[[#Headers],[Temperature zone]],0)</f>
        <v>4.7000000000000002E-3</v>
      </c>
      <c r="S239" s="35"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5" cm="1">
        <f t="array" ref="E240">Common_InputFunctions.Utility_DisplayArrayInTable(Common_SourceData.Common_SourceData_MCFTemperatureZone_Data(),Table_SourceData_Common_MCFTemperatureZone[[#Headers],[Temperature zone]],0)</f>
        <v>18</v>
      </c>
      <c r="F240" s="35" cm="1">
        <f t="array" ref="F240">Common_InputFunctions.Utility_DisplayArrayInTable(Common_SourceData.Common_SourceData_MCFTemperatureZone_Data(),Table_SourceData_Common_MCFTemperatureZone[[#Headers],[Temperature zone]],0)</f>
        <v>0.77</v>
      </c>
      <c r="G240" s="35" cm="1">
        <f t="array" ref="G240">Common_InputFunctions.Utility_DisplayArrayInTable(Common_SourceData.Common_SourceData_MCFTemperatureZone_Data(),Table_SourceData_Common_MCFTemperatureZone[[#Headers],[Temperature zone]],0)</f>
        <v>0.1</v>
      </c>
      <c r="H240" s="35" cm="1">
        <f t="array" ref="H240">Common_InputFunctions.Utility_DisplayArrayInTable(Common_SourceData.Common_SourceData_MCFTemperatureZone_Data(),Table_SourceData_Common_MCFTemperatureZone[[#Headers],[Temperature zone]],0)</f>
        <v>0.22</v>
      </c>
      <c r="I240" s="35" cm="1">
        <f t="array" ref="I240">Common_InputFunctions.Utility_DisplayArrayInTable(Common_SourceData.Common_SourceData_MCFTemperatureZone_Data(),Table_SourceData_Common_MCFTemperatureZone[[#Headers],[Temperature zone]],0)</f>
        <v>5.0000000000000001E-3</v>
      </c>
      <c r="J240" s="35" cm="1">
        <f t="array" ref="J240">Common_InputFunctions.Utility_DisplayArrayInTable(Common_SourceData.Common_SourceData_MCFTemperatureZone_Data(),Table_SourceData_Common_MCFTemperatureZone[[#Headers],[Temperature zone]],0)</f>
        <v>0.01</v>
      </c>
      <c r="K240" s="35" cm="1">
        <f t="array" ref="K240">Common_InputFunctions.Utility_DisplayArrayInTable(Common_SourceData.Common_SourceData_MCFTemperatureZone_Data(),Table_SourceData_Common_MCFTemperatureZone[[#Headers],[Temperature zone]],0)</f>
        <v>0.02</v>
      </c>
      <c r="L240" s="35" cm="1">
        <f t="array" ref="L240">Common_InputFunctions.Utility_DisplayArrayInTable(Common_SourceData.Common_SourceData_MCFTemperatureZone_Data(),Table_SourceData_Common_MCFTemperatureZone[[#Headers],[Temperature zone]],0)</f>
        <v>0.03</v>
      </c>
      <c r="M240" s="35" cm="1">
        <f t="array" ref="M240">Common_InputFunctions.Utility_DisplayArrayInTable(Common_SourceData.Common_SourceData_MCFTemperatureZone_Data(),Table_SourceData_Common_MCFTemperatureZone[[#Headers],[Temperature zone]],0)</f>
        <v>0.04</v>
      </c>
      <c r="N240" s="35" cm="1">
        <f t="array" ref="N240">Common_InputFunctions.Utility_DisplayArrayInTable(Common_SourceData.Common_SourceData_MCFTemperatureZone_Data(),Table_SourceData_Common_MCFTemperatureZone[[#Headers],[Temperature zone]],0)</f>
        <v>1.4999999999999999E-2</v>
      </c>
      <c r="O240" s="35" cm="1">
        <f t="array" ref="O240">Common_InputFunctions.Utility_DisplayArrayInTable(Common_SourceData.Common_SourceData_MCFTemperatureZone_Data(),Table_SourceData_Common_MCFTemperatureZone[[#Headers],[Temperature zone]],0)</f>
        <v>1.4999999999999999E-2</v>
      </c>
      <c r="P240" s="35" cm="1">
        <f t="array" ref="P240">Common_InputFunctions.Utility_DisplayArrayInTable(Common_SourceData.Common_SourceData_MCFTemperatureZone_Data(),Table_SourceData_Common_MCFTemperatureZone[[#Headers],[Temperature zone]],0)</f>
        <v>0</v>
      </c>
      <c r="Q240" s="35" cm="1">
        <f t="array" ref="Q240">Common_InputFunctions.Utility_DisplayArrayInTable(Common_SourceData.Common_SourceData_MCFTemperatureZone_Data(),Table_SourceData_Common_MCFTemperatureZone[[#Headers],[Temperature zone]],0)</f>
        <v>0</v>
      </c>
      <c r="R240" s="35" cm="1">
        <f t="array" ref="R240">Common_InputFunctions.Utility_DisplayArrayInTable(Common_SourceData.Common_SourceData_MCFTemperatureZone_Data(),Table_SourceData_Common_MCFTemperatureZone[[#Headers],[Temperature zone]],0)</f>
        <v>4.7000000000000002E-3</v>
      </c>
      <c r="S240" s="35"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5" cm="1">
        <f t="array" ref="E241">Common_InputFunctions.Utility_DisplayArrayInTable(Common_SourceData.Common_SourceData_MCFTemperatureZone_Data(),Table_SourceData_Common_MCFTemperatureZone[[#Headers],[Temperature zone]],0)</f>
        <v>19</v>
      </c>
      <c r="F241" s="35" cm="1">
        <f t="array" ref="F241">Common_InputFunctions.Utility_DisplayArrayInTable(Common_SourceData.Common_SourceData_MCFTemperatureZone_Data(),Table_SourceData_Common_MCFTemperatureZone[[#Headers],[Temperature zone]],0)</f>
        <v>0.77</v>
      </c>
      <c r="G241" s="35" cm="1">
        <f t="array" ref="G241">Common_InputFunctions.Utility_DisplayArrayInTable(Common_SourceData.Common_SourceData_MCFTemperatureZone_Data(),Table_SourceData_Common_MCFTemperatureZone[[#Headers],[Temperature zone]],0)</f>
        <v>0.1</v>
      </c>
      <c r="H241" s="35" cm="1">
        <f t="array" ref="H241">Common_InputFunctions.Utility_DisplayArrayInTable(Common_SourceData.Common_SourceData_MCFTemperatureZone_Data(),Table_SourceData_Common_MCFTemperatureZone[[#Headers],[Temperature zone]],0)</f>
        <v>0.24</v>
      </c>
      <c r="I241" s="35" cm="1">
        <f t="array" ref="I241">Common_InputFunctions.Utility_DisplayArrayInTable(Common_SourceData.Common_SourceData_MCFTemperatureZone_Data(),Table_SourceData_Common_MCFTemperatureZone[[#Headers],[Temperature zone]],0)</f>
        <v>5.0000000000000001E-3</v>
      </c>
      <c r="J241" s="35" cm="1">
        <f t="array" ref="J241">Common_InputFunctions.Utility_DisplayArrayInTable(Common_SourceData.Common_SourceData_MCFTemperatureZone_Data(),Table_SourceData_Common_MCFTemperatureZone[[#Headers],[Temperature zone]],0)</f>
        <v>0.01</v>
      </c>
      <c r="K241" s="35" cm="1">
        <f t="array" ref="K241">Common_InputFunctions.Utility_DisplayArrayInTable(Common_SourceData.Common_SourceData_MCFTemperatureZone_Data(),Table_SourceData_Common_MCFTemperatureZone[[#Headers],[Temperature zone]],0)</f>
        <v>0.02</v>
      </c>
      <c r="L241" s="35" cm="1">
        <f t="array" ref="L241">Common_InputFunctions.Utility_DisplayArrayInTable(Common_SourceData.Common_SourceData_MCFTemperatureZone_Data(),Table_SourceData_Common_MCFTemperatureZone[[#Headers],[Temperature zone]],0)</f>
        <v>0.03</v>
      </c>
      <c r="M241" s="35" cm="1">
        <f t="array" ref="M241">Common_InputFunctions.Utility_DisplayArrayInTable(Common_SourceData.Common_SourceData_MCFTemperatureZone_Data(),Table_SourceData_Common_MCFTemperatureZone[[#Headers],[Temperature zone]],0)</f>
        <v>0.04</v>
      </c>
      <c r="N241" s="35" cm="1">
        <f t="array" ref="N241">Common_InputFunctions.Utility_DisplayArrayInTable(Common_SourceData.Common_SourceData_MCFTemperatureZone_Data(),Table_SourceData_Common_MCFTemperatureZone[[#Headers],[Temperature zone]],0)</f>
        <v>1.4999999999999999E-2</v>
      </c>
      <c r="O241" s="35" cm="1">
        <f t="array" ref="O241">Common_InputFunctions.Utility_DisplayArrayInTable(Common_SourceData.Common_SourceData_MCFTemperatureZone_Data(),Table_SourceData_Common_MCFTemperatureZone[[#Headers],[Temperature zone]],0)</f>
        <v>1.4999999999999999E-2</v>
      </c>
      <c r="P241" s="35" cm="1">
        <f t="array" ref="P241">Common_InputFunctions.Utility_DisplayArrayInTable(Common_SourceData.Common_SourceData_MCFTemperatureZone_Data(),Table_SourceData_Common_MCFTemperatureZone[[#Headers],[Temperature zone]],0)</f>
        <v>0</v>
      </c>
      <c r="Q241" s="35" cm="1">
        <f t="array" ref="Q241">Common_InputFunctions.Utility_DisplayArrayInTable(Common_SourceData.Common_SourceData_MCFTemperatureZone_Data(),Table_SourceData_Common_MCFTemperatureZone[[#Headers],[Temperature zone]],0)</f>
        <v>0</v>
      </c>
      <c r="R241" s="35" cm="1">
        <f t="array" ref="R241">Common_InputFunctions.Utility_DisplayArrayInTable(Common_SourceData.Common_SourceData_MCFTemperatureZone_Data(),Table_SourceData_Common_MCFTemperatureZone[[#Headers],[Temperature zone]],0)</f>
        <v>4.7000000000000002E-3</v>
      </c>
      <c r="S241" s="35"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5" cm="1">
        <f t="array" ref="E242">Common_InputFunctions.Utility_DisplayArrayInTable(Common_SourceData.Common_SourceData_MCFTemperatureZone_Data(),Table_SourceData_Common_MCFTemperatureZone[[#Headers],[Temperature zone]],0)</f>
        <v>20</v>
      </c>
      <c r="F242" s="35" cm="1">
        <f t="array" ref="F242">Common_InputFunctions.Utility_DisplayArrayInTable(Common_SourceData.Common_SourceData_MCFTemperatureZone_Data(),Table_SourceData_Common_MCFTemperatureZone[[#Headers],[Temperature zone]],0)</f>
        <v>0.78</v>
      </c>
      <c r="G242" s="35" cm="1">
        <f t="array" ref="G242">Common_InputFunctions.Utility_DisplayArrayInTable(Common_SourceData.Common_SourceData_MCFTemperatureZone_Data(),Table_SourceData_Common_MCFTemperatureZone[[#Headers],[Temperature zone]],0)</f>
        <v>0.1</v>
      </c>
      <c r="H242" s="35" cm="1">
        <f t="array" ref="H242">Common_InputFunctions.Utility_DisplayArrayInTable(Common_SourceData.Common_SourceData_MCFTemperatureZone_Data(),Table_SourceData_Common_MCFTemperatureZone[[#Headers],[Temperature zone]],0)</f>
        <v>0.26</v>
      </c>
      <c r="I242" s="35" cm="1">
        <f t="array" ref="I242">Common_InputFunctions.Utility_DisplayArrayInTable(Common_SourceData.Common_SourceData_MCFTemperatureZone_Data(),Table_SourceData_Common_MCFTemperatureZone[[#Headers],[Temperature zone]],0)</f>
        <v>5.0000000000000001E-3</v>
      </c>
      <c r="J242" s="35" cm="1">
        <f t="array" ref="J242">Common_InputFunctions.Utility_DisplayArrayInTable(Common_SourceData.Common_SourceData_MCFTemperatureZone_Data(),Table_SourceData_Common_MCFTemperatureZone[[#Headers],[Temperature zone]],0)</f>
        <v>0.01</v>
      </c>
      <c r="K242" s="35" cm="1">
        <f t="array" ref="K242">Common_InputFunctions.Utility_DisplayArrayInTable(Common_SourceData.Common_SourceData_MCFTemperatureZone_Data(),Table_SourceData_Common_MCFTemperatureZone[[#Headers],[Temperature zone]],0)</f>
        <v>0.02</v>
      </c>
      <c r="L242" s="35" cm="1">
        <f t="array" ref="L242">Common_InputFunctions.Utility_DisplayArrayInTable(Common_SourceData.Common_SourceData_MCFTemperatureZone_Data(),Table_SourceData_Common_MCFTemperatureZone[[#Headers],[Temperature zone]],0)</f>
        <v>0.03</v>
      </c>
      <c r="M242" s="35" cm="1">
        <f t="array" ref="M242">Common_InputFunctions.Utility_DisplayArrayInTable(Common_SourceData.Common_SourceData_MCFTemperatureZone_Data(),Table_SourceData_Common_MCFTemperatureZone[[#Headers],[Temperature zone]],0)</f>
        <v>0.04</v>
      </c>
      <c r="N242" s="35" cm="1">
        <f t="array" ref="N242">Common_InputFunctions.Utility_DisplayArrayInTable(Common_SourceData.Common_SourceData_MCFTemperatureZone_Data(),Table_SourceData_Common_MCFTemperatureZone[[#Headers],[Temperature zone]],0)</f>
        <v>1.4999999999999999E-2</v>
      </c>
      <c r="O242" s="35" cm="1">
        <f t="array" ref="O242">Common_InputFunctions.Utility_DisplayArrayInTable(Common_SourceData.Common_SourceData_MCFTemperatureZone_Data(),Table_SourceData_Common_MCFTemperatureZone[[#Headers],[Temperature zone]],0)</f>
        <v>1.4999999999999999E-2</v>
      </c>
      <c r="P242" s="35" cm="1">
        <f t="array" ref="P242">Common_InputFunctions.Utility_DisplayArrayInTable(Common_SourceData.Common_SourceData_MCFTemperatureZone_Data(),Table_SourceData_Common_MCFTemperatureZone[[#Headers],[Temperature zone]],0)</f>
        <v>0</v>
      </c>
      <c r="Q242" s="35" cm="1">
        <f t="array" ref="Q242">Common_InputFunctions.Utility_DisplayArrayInTable(Common_SourceData.Common_SourceData_MCFTemperatureZone_Data(),Table_SourceData_Common_MCFTemperatureZone[[#Headers],[Temperature zone]],0)</f>
        <v>0</v>
      </c>
      <c r="R242" s="35" cm="1">
        <f t="array" ref="R242">Common_InputFunctions.Utility_DisplayArrayInTable(Common_SourceData.Common_SourceData_MCFTemperatureZone_Data(),Table_SourceData_Common_MCFTemperatureZone[[#Headers],[Temperature zone]],0)</f>
        <v>4.7000000000000002E-3</v>
      </c>
      <c r="S242" s="35"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5" cm="1">
        <f t="array" ref="E243">Common_InputFunctions.Utility_DisplayArrayInTable(Common_SourceData.Common_SourceData_MCFTemperatureZone_Data(),Table_SourceData_Common_MCFTemperatureZone[[#Headers],[Temperature zone]],0)</f>
        <v>21</v>
      </c>
      <c r="F243" s="35" cm="1">
        <f t="array" ref="F243">Common_InputFunctions.Utility_DisplayArrayInTable(Common_SourceData.Common_SourceData_MCFTemperatureZone_Data(),Table_SourceData_Common_MCFTemperatureZone[[#Headers],[Temperature zone]],0)</f>
        <v>0.78</v>
      </c>
      <c r="G243" s="35" cm="1">
        <f t="array" ref="G243">Common_InputFunctions.Utility_DisplayArrayInTable(Common_SourceData.Common_SourceData_MCFTemperatureZone_Data(),Table_SourceData_Common_MCFTemperatureZone[[#Headers],[Temperature zone]],0)</f>
        <v>0.1</v>
      </c>
      <c r="H243" s="35" cm="1">
        <f t="array" ref="H243">Common_InputFunctions.Utility_DisplayArrayInTable(Common_SourceData.Common_SourceData_MCFTemperatureZone_Data(),Table_SourceData_Common_MCFTemperatureZone[[#Headers],[Temperature zone]],0)</f>
        <v>0.28999999999999998</v>
      </c>
      <c r="I243" s="35" cm="1">
        <f t="array" ref="I243">Common_InputFunctions.Utility_DisplayArrayInTable(Common_SourceData.Common_SourceData_MCFTemperatureZone_Data(),Table_SourceData_Common_MCFTemperatureZone[[#Headers],[Temperature zone]],0)</f>
        <v>5.0000000000000001E-3</v>
      </c>
      <c r="J243" s="35" cm="1">
        <f t="array" ref="J243">Common_InputFunctions.Utility_DisplayArrayInTable(Common_SourceData.Common_SourceData_MCFTemperatureZone_Data(),Table_SourceData_Common_MCFTemperatureZone[[#Headers],[Temperature zone]],0)</f>
        <v>0.01</v>
      </c>
      <c r="K243" s="35" cm="1">
        <f t="array" ref="K243">Common_InputFunctions.Utility_DisplayArrayInTable(Common_SourceData.Common_SourceData_MCFTemperatureZone_Data(),Table_SourceData_Common_MCFTemperatureZone[[#Headers],[Temperature zone]],0)</f>
        <v>0.02</v>
      </c>
      <c r="L243" s="35" cm="1">
        <f t="array" ref="L243">Common_InputFunctions.Utility_DisplayArrayInTable(Common_SourceData.Common_SourceData_MCFTemperatureZone_Data(),Table_SourceData_Common_MCFTemperatureZone[[#Headers],[Temperature zone]],0)</f>
        <v>0.03</v>
      </c>
      <c r="M243" s="35" cm="1">
        <f t="array" ref="M243">Common_InputFunctions.Utility_DisplayArrayInTable(Common_SourceData.Common_SourceData_MCFTemperatureZone_Data(),Table_SourceData_Common_MCFTemperatureZone[[#Headers],[Temperature zone]],0)</f>
        <v>0.04</v>
      </c>
      <c r="N243" s="35" cm="1">
        <f t="array" ref="N243">Common_InputFunctions.Utility_DisplayArrayInTable(Common_SourceData.Common_SourceData_MCFTemperatureZone_Data(),Table_SourceData_Common_MCFTemperatureZone[[#Headers],[Temperature zone]],0)</f>
        <v>1.4999999999999999E-2</v>
      </c>
      <c r="O243" s="35" cm="1">
        <f t="array" ref="O243">Common_InputFunctions.Utility_DisplayArrayInTable(Common_SourceData.Common_SourceData_MCFTemperatureZone_Data(),Table_SourceData_Common_MCFTemperatureZone[[#Headers],[Temperature zone]],0)</f>
        <v>1.4999999999999999E-2</v>
      </c>
      <c r="P243" s="35" cm="1">
        <f t="array" ref="P243">Common_InputFunctions.Utility_DisplayArrayInTable(Common_SourceData.Common_SourceData_MCFTemperatureZone_Data(),Table_SourceData_Common_MCFTemperatureZone[[#Headers],[Temperature zone]],0)</f>
        <v>0</v>
      </c>
      <c r="Q243" s="35" cm="1">
        <f t="array" ref="Q243">Common_InputFunctions.Utility_DisplayArrayInTable(Common_SourceData.Common_SourceData_MCFTemperatureZone_Data(),Table_SourceData_Common_MCFTemperatureZone[[#Headers],[Temperature zone]],0)</f>
        <v>0</v>
      </c>
      <c r="R243" s="35" cm="1">
        <f t="array" ref="R243">Common_InputFunctions.Utility_DisplayArrayInTable(Common_SourceData.Common_SourceData_MCFTemperatureZone_Data(),Table_SourceData_Common_MCFTemperatureZone[[#Headers],[Temperature zone]],0)</f>
        <v>4.7000000000000002E-3</v>
      </c>
      <c r="S243" s="35"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5" cm="1">
        <f t="array" ref="E244">Common_InputFunctions.Utility_DisplayArrayInTable(Common_SourceData.Common_SourceData_MCFTemperatureZone_Data(),Table_SourceData_Common_MCFTemperatureZone[[#Headers],[Temperature zone]],0)</f>
        <v>22</v>
      </c>
      <c r="F244" s="35" cm="1">
        <f t="array" ref="F244">Common_InputFunctions.Utility_DisplayArrayInTable(Common_SourceData.Common_SourceData_MCFTemperatureZone_Data(),Table_SourceData_Common_MCFTemperatureZone[[#Headers],[Temperature zone]],0)</f>
        <v>0.78</v>
      </c>
      <c r="G244" s="35" cm="1">
        <f t="array" ref="G244">Common_InputFunctions.Utility_DisplayArrayInTable(Common_SourceData.Common_SourceData_MCFTemperatureZone_Data(),Table_SourceData_Common_MCFTemperatureZone[[#Headers],[Temperature zone]],0)</f>
        <v>0.1</v>
      </c>
      <c r="H244" s="35" cm="1">
        <f t="array" ref="H244">Common_InputFunctions.Utility_DisplayArrayInTable(Common_SourceData.Common_SourceData_MCFTemperatureZone_Data(),Table_SourceData_Common_MCFTemperatureZone[[#Headers],[Temperature zone]],0)</f>
        <v>0.31</v>
      </c>
      <c r="I244" s="35" cm="1">
        <f t="array" ref="I244">Common_InputFunctions.Utility_DisplayArrayInTable(Common_SourceData.Common_SourceData_MCFTemperatureZone_Data(),Table_SourceData_Common_MCFTemperatureZone[[#Headers],[Temperature zone]],0)</f>
        <v>5.0000000000000001E-3</v>
      </c>
      <c r="J244" s="35" cm="1">
        <f t="array" ref="J244">Common_InputFunctions.Utility_DisplayArrayInTable(Common_SourceData.Common_SourceData_MCFTemperatureZone_Data(),Table_SourceData_Common_MCFTemperatureZone[[#Headers],[Temperature zone]],0)</f>
        <v>0.01</v>
      </c>
      <c r="K244" s="35" cm="1">
        <f t="array" ref="K244">Common_InputFunctions.Utility_DisplayArrayInTable(Common_SourceData.Common_SourceData_MCFTemperatureZone_Data(),Table_SourceData_Common_MCFTemperatureZone[[#Headers],[Temperature zone]],0)</f>
        <v>0.02</v>
      </c>
      <c r="L244" s="35" cm="1">
        <f t="array" ref="L244">Common_InputFunctions.Utility_DisplayArrayInTable(Common_SourceData.Common_SourceData_MCFTemperatureZone_Data(),Table_SourceData_Common_MCFTemperatureZone[[#Headers],[Temperature zone]],0)</f>
        <v>0.03</v>
      </c>
      <c r="M244" s="35" cm="1">
        <f t="array" ref="M244">Common_InputFunctions.Utility_DisplayArrayInTable(Common_SourceData.Common_SourceData_MCFTemperatureZone_Data(),Table_SourceData_Common_MCFTemperatureZone[[#Headers],[Temperature zone]],0)</f>
        <v>0.04</v>
      </c>
      <c r="N244" s="35" cm="1">
        <f t="array" ref="N244">Common_InputFunctions.Utility_DisplayArrayInTable(Common_SourceData.Common_SourceData_MCFTemperatureZone_Data(),Table_SourceData_Common_MCFTemperatureZone[[#Headers],[Temperature zone]],0)</f>
        <v>1.4999999999999999E-2</v>
      </c>
      <c r="O244" s="35" cm="1">
        <f t="array" ref="O244">Common_InputFunctions.Utility_DisplayArrayInTable(Common_SourceData.Common_SourceData_MCFTemperatureZone_Data(),Table_SourceData_Common_MCFTemperatureZone[[#Headers],[Temperature zone]],0)</f>
        <v>1.4999999999999999E-2</v>
      </c>
      <c r="P244" s="35" cm="1">
        <f t="array" ref="P244">Common_InputFunctions.Utility_DisplayArrayInTable(Common_SourceData.Common_SourceData_MCFTemperatureZone_Data(),Table_SourceData_Common_MCFTemperatureZone[[#Headers],[Temperature zone]],0)</f>
        <v>0</v>
      </c>
      <c r="Q244" s="35" cm="1">
        <f t="array" ref="Q244">Common_InputFunctions.Utility_DisplayArrayInTable(Common_SourceData.Common_SourceData_MCFTemperatureZone_Data(),Table_SourceData_Common_MCFTemperatureZone[[#Headers],[Temperature zone]],0)</f>
        <v>0</v>
      </c>
      <c r="R244" s="35" cm="1">
        <f t="array" ref="R244">Common_InputFunctions.Utility_DisplayArrayInTable(Common_SourceData.Common_SourceData_MCFTemperatureZone_Data(),Table_SourceData_Common_MCFTemperatureZone[[#Headers],[Temperature zone]],0)</f>
        <v>4.7000000000000002E-3</v>
      </c>
      <c r="S244" s="35"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5" cm="1">
        <f t="array" ref="E245">Common_InputFunctions.Utility_DisplayArrayInTable(Common_SourceData.Common_SourceData_MCFTemperatureZone_Data(),Table_SourceData_Common_MCFTemperatureZone[[#Headers],[Temperature zone]],0)</f>
        <v>23</v>
      </c>
      <c r="F245" s="35" cm="1">
        <f t="array" ref="F245">Common_InputFunctions.Utility_DisplayArrayInTable(Common_SourceData.Common_SourceData_MCFTemperatureZone_Data(),Table_SourceData_Common_MCFTemperatureZone[[#Headers],[Temperature zone]],0)</f>
        <v>0.79</v>
      </c>
      <c r="G245" s="35" cm="1">
        <f t="array" ref="G245">Common_InputFunctions.Utility_DisplayArrayInTable(Common_SourceData.Common_SourceData_MCFTemperatureZone_Data(),Table_SourceData_Common_MCFTemperatureZone[[#Headers],[Temperature zone]],0)</f>
        <v>0.1</v>
      </c>
      <c r="H245" s="35" cm="1">
        <f t="array" ref="H245">Common_InputFunctions.Utility_DisplayArrayInTable(Common_SourceData.Common_SourceData_MCFTemperatureZone_Data(),Table_SourceData_Common_MCFTemperatureZone[[#Headers],[Temperature zone]],0)</f>
        <v>0.34</v>
      </c>
      <c r="I245" s="35" cm="1">
        <f t="array" ref="I245">Common_InputFunctions.Utility_DisplayArrayInTable(Common_SourceData.Common_SourceData_MCFTemperatureZone_Data(),Table_SourceData_Common_MCFTemperatureZone[[#Headers],[Temperature zone]],0)</f>
        <v>5.0000000000000001E-3</v>
      </c>
      <c r="J245" s="35" cm="1">
        <f t="array" ref="J245">Common_InputFunctions.Utility_DisplayArrayInTable(Common_SourceData.Common_SourceData_MCFTemperatureZone_Data(),Table_SourceData_Common_MCFTemperatureZone[[#Headers],[Temperature zone]],0)</f>
        <v>0.01</v>
      </c>
      <c r="K245" s="35" cm="1">
        <f t="array" ref="K245">Common_InputFunctions.Utility_DisplayArrayInTable(Common_SourceData.Common_SourceData_MCFTemperatureZone_Data(),Table_SourceData_Common_MCFTemperatureZone[[#Headers],[Temperature zone]],0)</f>
        <v>0.02</v>
      </c>
      <c r="L245" s="35" cm="1">
        <f t="array" ref="L245">Common_InputFunctions.Utility_DisplayArrayInTable(Common_SourceData.Common_SourceData_MCFTemperatureZone_Data(),Table_SourceData_Common_MCFTemperatureZone[[#Headers],[Temperature zone]],0)</f>
        <v>0.03</v>
      </c>
      <c r="M245" s="35" cm="1">
        <f t="array" ref="M245">Common_InputFunctions.Utility_DisplayArrayInTable(Common_SourceData.Common_SourceData_MCFTemperatureZone_Data(),Table_SourceData_Common_MCFTemperatureZone[[#Headers],[Temperature zone]],0)</f>
        <v>0.04</v>
      </c>
      <c r="N245" s="35" cm="1">
        <f t="array" ref="N245">Common_InputFunctions.Utility_DisplayArrayInTable(Common_SourceData.Common_SourceData_MCFTemperatureZone_Data(),Table_SourceData_Common_MCFTemperatureZone[[#Headers],[Temperature zone]],0)</f>
        <v>1.4999999999999999E-2</v>
      </c>
      <c r="O245" s="35" cm="1">
        <f t="array" ref="O245">Common_InputFunctions.Utility_DisplayArrayInTable(Common_SourceData.Common_SourceData_MCFTemperatureZone_Data(),Table_SourceData_Common_MCFTemperatureZone[[#Headers],[Temperature zone]],0)</f>
        <v>1.4999999999999999E-2</v>
      </c>
      <c r="P245" s="35" cm="1">
        <f t="array" ref="P245">Common_InputFunctions.Utility_DisplayArrayInTable(Common_SourceData.Common_SourceData_MCFTemperatureZone_Data(),Table_SourceData_Common_MCFTemperatureZone[[#Headers],[Temperature zone]],0)</f>
        <v>0</v>
      </c>
      <c r="Q245" s="35" cm="1">
        <f t="array" ref="Q245">Common_InputFunctions.Utility_DisplayArrayInTable(Common_SourceData.Common_SourceData_MCFTemperatureZone_Data(),Table_SourceData_Common_MCFTemperatureZone[[#Headers],[Temperature zone]],0)</f>
        <v>0</v>
      </c>
      <c r="R245" s="35" cm="1">
        <f t="array" ref="R245">Common_InputFunctions.Utility_DisplayArrayInTable(Common_SourceData.Common_SourceData_MCFTemperatureZone_Data(),Table_SourceData_Common_MCFTemperatureZone[[#Headers],[Temperature zone]],0)</f>
        <v>4.7000000000000002E-3</v>
      </c>
      <c r="S245" s="35"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5" cm="1">
        <f t="array" ref="E246">Common_InputFunctions.Utility_DisplayArrayInTable(Common_SourceData.Common_SourceData_MCFTemperatureZone_Data(),Table_SourceData_Common_MCFTemperatureZone[[#Headers],[Temperature zone]],0)</f>
        <v>24</v>
      </c>
      <c r="F246" s="35" cm="1">
        <f t="array" ref="F246">Common_InputFunctions.Utility_DisplayArrayInTable(Common_SourceData.Common_SourceData_MCFTemperatureZone_Data(),Table_SourceData_Common_MCFTemperatureZone[[#Headers],[Temperature zone]],0)</f>
        <v>0.79</v>
      </c>
      <c r="G246" s="35" cm="1">
        <f t="array" ref="G246">Common_InputFunctions.Utility_DisplayArrayInTable(Common_SourceData.Common_SourceData_MCFTemperatureZone_Data(),Table_SourceData_Common_MCFTemperatureZone[[#Headers],[Temperature zone]],0)</f>
        <v>0.1</v>
      </c>
      <c r="H246" s="35" cm="1">
        <f t="array" ref="H246">Common_InputFunctions.Utility_DisplayArrayInTable(Common_SourceData.Common_SourceData_MCFTemperatureZone_Data(),Table_SourceData_Common_MCFTemperatureZone[[#Headers],[Temperature zone]],0)</f>
        <v>0.37</v>
      </c>
      <c r="I246" s="35" cm="1">
        <f t="array" ref="I246">Common_InputFunctions.Utility_DisplayArrayInTable(Common_SourceData.Common_SourceData_MCFTemperatureZone_Data(),Table_SourceData_Common_MCFTemperatureZone[[#Headers],[Temperature zone]],0)</f>
        <v>5.0000000000000001E-3</v>
      </c>
      <c r="J246" s="35" cm="1">
        <f t="array" ref="J246">Common_InputFunctions.Utility_DisplayArrayInTable(Common_SourceData.Common_SourceData_MCFTemperatureZone_Data(),Table_SourceData_Common_MCFTemperatureZone[[#Headers],[Temperature zone]],0)</f>
        <v>0.01</v>
      </c>
      <c r="K246" s="35" cm="1">
        <f t="array" ref="K246">Common_InputFunctions.Utility_DisplayArrayInTable(Common_SourceData.Common_SourceData_MCFTemperatureZone_Data(),Table_SourceData_Common_MCFTemperatureZone[[#Headers],[Temperature zone]],0)</f>
        <v>0.02</v>
      </c>
      <c r="L246" s="35" cm="1">
        <f t="array" ref="L246">Common_InputFunctions.Utility_DisplayArrayInTable(Common_SourceData.Common_SourceData_MCFTemperatureZone_Data(),Table_SourceData_Common_MCFTemperatureZone[[#Headers],[Temperature zone]],0)</f>
        <v>0.03</v>
      </c>
      <c r="M246" s="35" cm="1">
        <f t="array" ref="M246">Common_InputFunctions.Utility_DisplayArrayInTable(Common_SourceData.Common_SourceData_MCFTemperatureZone_Data(),Table_SourceData_Common_MCFTemperatureZone[[#Headers],[Temperature zone]],0)</f>
        <v>0.04</v>
      </c>
      <c r="N246" s="35" cm="1">
        <f t="array" ref="N246">Common_InputFunctions.Utility_DisplayArrayInTable(Common_SourceData.Common_SourceData_MCFTemperatureZone_Data(),Table_SourceData_Common_MCFTemperatureZone[[#Headers],[Temperature zone]],0)</f>
        <v>1.4999999999999999E-2</v>
      </c>
      <c r="O246" s="35" cm="1">
        <f t="array" ref="O246">Common_InputFunctions.Utility_DisplayArrayInTable(Common_SourceData.Common_SourceData_MCFTemperatureZone_Data(),Table_SourceData_Common_MCFTemperatureZone[[#Headers],[Temperature zone]],0)</f>
        <v>1.4999999999999999E-2</v>
      </c>
      <c r="P246" s="35" cm="1">
        <f t="array" ref="P246">Common_InputFunctions.Utility_DisplayArrayInTable(Common_SourceData.Common_SourceData_MCFTemperatureZone_Data(),Table_SourceData_Common_MCFTemperatureZone[[#Headers],[Temperature zone]],0)</f>
        <v>0</v>
      </c>
      <c r="Q246" s="35" cm="1">
        <f t="array" ref="Q246">Common_InputFunctions.Utility_DisplayArrayInTable(Common_SourceData.Common_SourceData_MCFTemperatureZone_Data(),Table_SourceData_Common_MCFTemperatureZone[[#Headers],[Temperature zone]],0)</f>
        <v>0</v>
      </c>
      <c r="R246" s="35" cm="1">
        <f t="array" ref="R246">Common_InputFunctions.Utility_DisplayArrayInTable(Common_SourceData.Common_SourceData_MCFTemperatureZone_Data(),Table_SourceData_Common_MCFTemperatureZone[[#Headers],[Temperature zone]],0)</f>
        <v>4.7000000000000002E-3</v>
      </c>
      <c r="S246" s="35"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5" cm="1">
        <f t="array" ref="E247">Common_InputFunctions.Utility_DisplayArrayInTable(Common_SourceData.Common_SourceData_MCFTemperatureZone_Data(),Table_SourceData_Common_MCFTemperatureZone[[#Headers],[Temperature zone]],0)</f>
        <v>25</v>
      </c>
      <c r="F247" s="35" cm="1">
        <f t="array" ref="F247">Common_InputFunctions.Utility_DisplayArrayInTable(Common_SourceData.Common_SourceData_MCFTemperatureZone_Data(),Table_SourceData_Common_MCFTemperatureZone[[#Headers],[Temperature zone]],0)</f>
        <v>0.79</v>
      </c>
      <c r="G247" s="35" cm="1">
        <f t="array" ref="G247">Common_InputFunctions.Utility_DisplayArrayInTable(Common_SourceData.Common_SourceData_MCFTemperatureZone_Data(),Table_SourceData_Common_MCFTemperatureZone[[#Headers],[Temperature zone]],0)</f>
        <v>0.1</v>
      </c>
      <c r="H247" s="35" cm="1">
        <f t="array" ref="H247">Common_InputFunctions.Utility_DisplayArrayInTable(Common_SourceData.Common_SourceData_MCFTemperatureZone_Data(),Table_SourceData_Common_MCFTemperatureZone[[#Headers],[Temperature zone]],0)</f>
        <v>0.41</v>
      </c>
      <c r="I247" s="35" cm="1">
        <f t="array" ref="I247">Common_InputFunctions.Utility_DisplayArrayInTable(Common_SourceData.Common_SourceData_MCFTemperatureZone_Data(),Table_SourceData_Common_MCFTemperatureZone[[#Headers],[Temperature zone]],0)</f>
        <v>5.0000000000000001E-3</v>
      </c>
      <c r="J247" s="35" cm="1">
        <f t="array" ref="J247">Common_InputFunctions.Utility_DisplayArrayInTable(Common_SourceData.Common_SourceData_MCFTemperatureZone_Data(),Table_SourceData_Common_MCFTemperatureZone[[#Headers],[Temperature zone]],0)</f>
        <v>0.01</v>
      </c>
      <c r="K247" s="35" cm="1">
        <f t="array" ref="K247">Common_InputFunctions.Utility_DisplayArrayInTable(Common_SourceData.Common_SourceData_MCFTemperatureZone_Data(),Table_SourceData_Common_MCFTemperatureZone[[#Headers],[Temperature zone]],0)</f>
        <v>0.02</v>
      </c>
      <c r="L247" s="35" cm="1">
        <f t="array" ref="L247">Common_InputFunctions.Utility_DisplayArrayInTable(Common_SourceData.Common_SourceData_MCFTemperatureZone_Data(),Table_SourceData_Common_MCFTemperatureZone[[#Headers],[Temperature zone]],0)</f>
        <v>0.03</v>
      </c>
      <c r="M247" s="35" cm="1">
        <f t="array" ref="M247">Common_InputFunctions.Utility_DisplayArrayInTable(Common_SourceData.Common_SourceData_MCFTemperatureZone_Data(),Table_SourceData_Common_MCFTemperatureZone[[#Headers],[Temperature zone]],0)</f>
        <v>0.04</v>
      </c>
      <c r="N247" s="35" cm="1">
        <f t="array" ref="N247">Common_InputFunctions.Utility_DisplayArrayInTable(Common_SourceData.Common_SourceData_MCFTemperatureZone_Data(),Table_SourceData_Common_MCFTemperatureZone[[#Headers],[Temperature zone]],0)</f>
        <v>1.4999999999999999E-2</v>
      </c>
      <c r="O247" s="35" cm="1">
        <f t="array" ref="O247">Common_InputFunctions.Utility_DisplayArrayInTable(Common_SourceData.Common_SourceData_MCFTemperatureZone_Data(),Table_SourceData_Common_MCFTemperatureZone[[#Headers],[Temperature zone]],0)</f>
        <v>1.4999999999999999E-2</v>
      </c>
      <c r="P247" s="35" cm="1">
        <f t="array" ref="P247">Common_InputFunctions.Utility_DisplayArrayInTable(Common_SourceData.Common_SourceData_MCFTemperatureZone_Data(),Table_SourceData_Common_MCFTemperatureZone[[#Headers],[Temperature zone]],0)</f>
        <v>0</v>
      </c>
      <c r="Q247" s="35" cm="1">
        <f t="array" ref="Q247">Common_InputFunctions.Utility_DisplayArrayInTable(Common_SourceData.Common_SourceData_MCFTemperatureZone_Data(),Table_SourceData_Common_MCFTemperatureZone[[#Headers],[Temperature zone]],0)</f>
        <v>0</v>
      </c>
      <c r="R247" s="35" cm="1">
        <f t="array" ref="R247">Common_InputFunctions.Utility_DisplayArrayInTable(Common_SourceData.Common_SourceData_MCFTemperatureZone_Data(),Table_SourceData_Common_MCFTemperatureZone[[#Headers],[Temperature zone]],0)</f>
        <v>4.7000000000000002E-3</v>
      </c>
      <c r="S247" s="35"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5" cm="1">
        <f t="array" ref="E248">Common_InputFunctions.Utility_DisplayArrayInTable(Common_SourceData.Common_SourceData_MCFTemperatureZone_Data(),Table_SourceData_Common_MCFTemperatureZone[[#Headers],[Temperature zone]],0)</f>
        <v>26</v>
      </c>
      <c r="F248" s="35" cm="1">
        <f t="array" ref="F248">Common_InputFunctions.Utility_DisplayArrayInTable(Common_SourceData.Common_SourceData_MCFTemperatureZone_Data(),Table_SourceData_Common_MCFTemperatureZone[[#Headers],[Temperature zone]],0)</f>
        <v>0.79</v>
      </c>
      <c r="G248" s="35" cm="1">
        <f t="array" ref="G248">Common_InputFunctions.Utility_DisplayArrayInTable(Common_SourceData.Common_SourceData_MCFTemperatureZone_Data(),Table_SourceData_Common_MCFTemperatureZone[[#Headers],[Temperature zone]],0)</f>
        <v>0.1</v>
      </c>
      <c r="H248" s="35" cm="1">
        <f t="array" ref="H248">Common_InputFunctions.Utility_DisplayArrayInTable(Common_SourceData.Common_SourceData_MCFTemperatureZone_Data(),Table_SourceData_Common_MCFTemperatureZone[[#Headers],[Temperature zone]],0)</f>
        <v>0.44</v>
      </c>
      <c r="I248" s="35" cm="1">
        <f t="array" ref="I248">Common_InputFunctions.Utility_DisplayArrayInTable(Common_SourceData.Common_SourceData_MCFTemperatureZone_Data(),Table_SourceData_Common_MCFTemperatureZone[[#Headers],[Temperature zone]],0)</f>
        <v>0.01</v>
      </c>
      <c r="J248" s="35" cm="1">
        <f t="array" ref="J248">Common_InputFunctions.Utility_DisplayArrayInTable(Common_SourceData.Common_SourceData_MCFTemperatureZone_Data(),Table_SourceData_Common_MCFTemperatureZone[[#Headers],[Temperature zone]],0)</f>
        <v>1.4999999999999999E-2</v>
      </c>
      <c r="K248" s="35" cm="1">
        <f t="array" ref="K248">Common_InputFunctions.Utility_DisplayArrayInTable(Common_SourceData.Common_SourceData_MCFTemperatureZone_Data(),Table_SourceData_Common_MCFTemperatureZone[[#Headers],[Temperature zone]],0)</f>
        <v>0.02</v>
      </c>
      <c r="L248" s="35" cm="1">
        <f t="array" ref="L248">Common_InputFunctions.Utility_DisplayArrayInTable(Common_SourceData.Common_SourceData_MCFTemperatureZone_Data(),Table_SourceData_Common_MCFTemperatureZone[[#Headers],[Temperature zone]],0)</f>
        <v>0.03</v>
      </c>
      <c r="M248" s="35" cm="1">
        <f t="array" ref="M248">Common_InputFunctions.Utility_DisplayArrayInTable(Common_SourceData.Common_SourceData_MCFTemperatureZone_Data(),Table_SourceData_Common_MCFTemperatureZone[[#Headers],[Temperature zone]],0)</f>
        <v>0.04</v>
      </c>
      <c r="N248" s="35" cm="1">
        <f t="array" ref="N248">Common_InputFunctions.Utility_DisplayArrayInTable(Common_SourceData.Common_SourceData_MCFTemperatureZone_Data(),Table_SourceData_Common_MCFTemperatureZone[[#Headers],[Temperature zone]],0)</f>
        <v>1.4999999999999999E-2</v>
      </c>
      <c r="O248" s="35" cm="1">
        <f t="array" ref="O248">Common_InputFunctions.Utility_DisplayArrayInTable(Common_SourceData.Common_SourceData_MCFTemperatureZone_Data(),Table_SourceData_Common_MCFTemperatureZone[[#Headers],[Temperature zone]],0)</f>
        <v>1.4999999999999999E-2</v>
      </c>
      <c r="P248" s="35" cm="1">
        <f t="array" ref="P248">Common_InputFunctions.Utility_DisplayArrayInTable(Common_SourceData.Common_SourceData_MCFTemperatureZone_Data(),Table_SourceData_Common_MCFTemperatureZone[[#Headers],[Temperature zone]],0)</f>
        <v>0</v>
      </c>
      <c r="Q248" s="35" cm="1">
        <f t="array" ref="Q248">Common_InputFunctions.Utility_DisplayArrayInTable(Common_SourceData.Common_SourceData_MCFTemperatureZone_Data(),Table_SourceData_Common_MCFTemperatureZone[[#Headers],[Temperature zone]],0)</f>
        <v>0</v>
      </c>
      <c r="R248" s="35" cm="1">
        <f t="array" ref="R248">Common_InputFunctions.Utility_DisplayArrayInTable(Common_SourceData.Common_SourceData_MCFTemperatureZone_Data(),Table_SourceData_Common_MCFTemperatureZone[[#Headers],[Temperature zone]],0)</f>
        <v>4.7000000000000002E-3</v>
      </c>
      <c r="S248" s="35"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5" cm="1">
        <f t="array" ref="E249">Common_InputFunctions.Utility_DisplayArrayInTable(Common_SourceData.Common_SourceData_MCFTemperatureZone_Data(),Table_SourceData_Common_MCFTemperatureZone[[#Headers],[Temperature zone]],0)</f>
        <v>27</v>
      </c>
      <c r="F249" s="35" cm="1">
        <f t="array" ref="F249">Common_InputFunctions.Utility_DisplayArrayInTable(Common_SourceData.Common_SourceData_MCFTemperatureZone_Data(),Table_SourceData_Common_MCFTemperatureZone[[#Headers],[Temperature zone]],0)</f>
        <v>0.8</v>
      </c>
      <c r="G249" s="35" cm="1">
        <f t="array" ref="G249">Common_InputFunctions.Utility_DisplayArrayInTable(Common_SourceData.Common_SourceData_MCFTemperatureZone_Data(),Table_SourceData_Common_MCFTemperatureZone[[#Headers],[Temperature zone]],0)</f>
        <v>0.1</v>
      </c>
      <c r="H249" s="35" cm="1">
        <f t="array" ref="H249">Common_InputFunctions.Utility_DisplayArrayInTable(Common_SourceData.Common_SourceData_MCFTemperatureZone_Data(),Table_SourceData_Common_MCFTemperatureZone[[#Headers],[Temperature zone]],0)</f>
        <v>0.48</v>
      </c>
      <c r="I249" s="35" cm="1">
        <f t="array" ref="I249">Common_InputFunctions.Utility_DisplayArrayInTable(Common_SourceData.Common_SourceData_MCFTemperatureZone_Data(),Table_SourceData_Common_MCFTemperatureZone[[#Headers],[Temperature zone]],0)</f>
        <v>0.01</v>
      </c>
      <c r="J249" s="35" cm="1">
        <f t="array" ref="J249">Common_InputFunctions.Utility_DisplayArrayInTable(Common_SourceData.Common_SourceData_MCFTemperatureZone_Data(),Table_SourceData_Common_MCFTemperatureZone[[#Headers],[Temperature zone]],0)</f>
        <v>1.4999999999999999E-2</v>
      </c>
      <c r="K249" s="35" cm="1">
        <f t="array" ref="K249">Common_InputFunctions.Utility_DisplayArrayInTable(Common_SourceData.Common_SourceData_MCFTemperatureZone_Data(),Table_SourceData_Common_MCFTemperatureZone[[#Headers],[Temperature zone]],0)</f>
        <v>0.02</v>
      </c>
      <c r="L249" s="35" cm="1">
        <f t="array" ref="L249">Common_InputFunctions.Utility_DisplayArrayInTable(Common_SourceData.Common_SourceData_MCFTemperatureZone_Data(),Table_SourceData_Common_MCFTemperatureZone[[#Headers],[Temperature zone]],0)</f>
        <v>0.03</v>
      </c>
      <c r="M249" s="35" cm="1">
        <f t="array" ref="M249">Common_InputFunctions.Utility_DisplayArrayInTable(Common_SourceData.Common_SourceData_MCFTemperatureZone_Data(),Table_SourceData_Common_MCFTemperatureZone[[#Headers],[Temperature zone]],0)</f>
        <v>0.04</v>
      </c>
      <c r="N249" s="35" cm="1">
        <f t="array" ref="N249">Common_InputFunctions.Utility_DisplayArrayInTable(Common_SourceData.Common_SourceData_MCFTemperatureZone_Data(),Table_SourceData_Common_MCFTemperatureZone[[#Headers],[Temperature zone]],0)</f>
        <v>1.4999999999999999E-2</v>
      </c>
      <c r="O249" s="35" cm="1">
        <f t="array" ref="O249">Common_InputFunctions.Utility_DisplayArrayInTable(Common_SourceData.Common_SourceData_MCFTemperatureZone_Data(),Table_SourceData_Common_MCFTemperatureZone[[#Headers],[Temperature zone]],0)</f>
        <v>1.4999999999999999E-2</v>
      </c>
      <c r="P249" s="35" cm="1">
        <f t="array" ref="P249">Common_InputFunctions.Utility_DisplayArrayInTable(Common_SourceData.Common_SourceData_MCFTemperatureZone_Data(),Table_SourceData_Common_MCFTemperatureZone[[#Headers],[Temperature zone]],0)</f>
        <v>0</v>
      </c>
      <c r="Q249" s="35" cm="1">
        <f t="array" ref="Q249">Common_InputFunctions.Utility_DisplayArrayInTable(Common_SourceData.Common_SourceData_MCFTemperatureZone_Data(),Table_SourceData_Common_MCFTemperatureZone[[#Headers],[Temperature zone]],0)</f>
        <v>0</v>
      </c>
      <c r="R249" s="35" cm="1">
        <f t="array" ref="R249">Common_InputFunctions.Utility_DisplayArrayInTable(Common_SourceData.Common_SourceData_MCFTemperatureZone_Data(),Table_SourceData_Common_MCFTemperatureZone[[#Headers],[Temperature zone]],0)</f>
        <v>4.7000000000000002E-3</v>
      </c>
      <c r="S249" s="35"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5" t="str" cm="1">
        <f t="array" ref="E250">Common_InputFunctions.Utility_DisplayArrayInTable(Common_SourceData.Common_SourceData_MCFTemperatureZone_Data(),Table_SourceData_Common_MCFTemperatureZone[[#Headers],[Temperature zone]],0)</f>
        <v>≥28</v>
      </c>
      <c r="F250" s="35" cm="1">
        <f t="array" ref="F250">Common_InputFunctions.Utility_DisplayArrayInTable(Common_SourceData.Common_SourceData_MCFTemperatureZone_Data(),Table_SourceData_Common_MCFTemperatureZone[[#Headers],[Temperature zone]],0)</f>
        <v>0.8</v>
      </c>
      <c r="G250" s="35" cm="1">
        <f t="array" ref="G250">Common_InputFunctions.Utility_DisplayArrayInTable(Common_SourceData.Common_SourceData_MCFTemperatureZone_Data(),Table_SourceData_Common_MCFTemperatureZone[[#Headers],[Temperature zone]],0)</f>
        <v>0.1</v>
      </c>
      <c r="H250" s="35" cm="1">
        <f t="array" ref="H250">Common_InputFunctions.Utility_DisplayArrayInTable(Common_SourceData.Common_SourceData_MCFTemperatureZone_Data(),Table_SourceData_Common_MCFTemperatureZone[[#Headers],[Temperature zone]],0)</f>
        <v>0.5</v>
      </c>
      <c r="I250" s="35" cm="1">
        <f t="array" ref="I250">Common_InputFunctions.Utility_DisplayArrayInTable(Common_SourceData.Common_SourceData_MCFTemperatureZone_Data(),Table_SourceData_Common_MCFTemperatureZone[[#Headers],[Temperature zone]],0)</f>
        <v>0.01</v>
      </c>
      <c r="J250" s="35" cm="1">
        <f t="array" ref="J250">Common_InputFunctions.Utility_DisplayArrayInTable(Common_SourceData.Common_SourceData_MCFTemperatureZone_Data(),Table_SourceData_Common_MCFTemperatureZone[[#Headers],[Temperature zone]],0)</f>
        <v>1.4999999999999999E-2</v>
      </c>
      <c r="K250" s="35" cm="1">
        <f t="array" ref="K250">Common_InputFunctions.Utility_DisplayArrayInTable(Common_SourceData.Common_SourceData_MCFTemperatureZone_Data(),Table_SourceData_Common_MCFTemperatureZone[[#Headers],[Temperature zone]],0)</f>
        <v>0.02</v>
      </c>
      <c r="L250" s="35" cm="1">
        <f t="array" ref="L250">Common_InputFunctions.Utility_DisplayArrayInTable(Common_SourceData.Common_SourceData_MCFTemperatureZone_Data(),Table_SourceData_Common_MCFTemperatureZone[[#Headers],[Temperature zone]],0)</f>
        <v>0.03</v>
      </c>
      <c r="M250" s="35" cm="1">
        <f t="array" ref="M250">Common_InputFunctions.Utility_DisplayArrayInTable(Common_SourceData.Common_SourceData_MCFTemperatureZone_Data(),Table_SourceData_Common_MCFTemperatureZone[[#Headers],[Temperature zone]],0)</f>
        <v>0.04</v>
      </c>
      <c r="N250" s="35" cm="1">
        <f t="array" ref="N250">Common_InputFunctions.Utility_DisplayArrayInTable(Common_SourceData.Common_SourceData_MCFTemperatureZone_Data(),Table_SourceData_Common_MCFTemperatureZone[[#Headers],[Temperature zone]],0)</f>
        <v>1.4999999999999999E-2</v>
      </c>
      <c r="O250" s="35" cm="1">
        <f t="array" ref="O250">Common_InputFunctions.Utility_DisplayArrayInTable(Common_SourceData.Common_SourceData_MCFTemperatureZone_Data(),Table_SourceData_Common_MCFTemperatureZone[[#Headers],[Temperature zone]],0)</f>
        <v>1.4999999999999999E-2</v>
      </c>
      <c r="P250" s="35" cm="1">
        <f t="array" ref="P250">Common_InputFunctions.Utility_DisplayArrayInTable(Common_SourceData.Common_SourceData_MCFTemperatureZone_Data(),Table_SourceData_Common_MCFTemperatureZone[[#Headers],[Temperature zone]],0)</f>
        <v>0</v>
      </c>
      <c r="Q250" s="35" cm="1">
        <f t="array" ref="Q250">Common_InputFunctions.Utility_DisplayArrayInTable(Common_SourceData.Common_SourceData_MCFTemperatureZone_Data(),Table_SourceData_Common_MCFTemperatureZone[[#Headers],[Temperature zone]],0)</f>
        <v>0</v>
      </c>
      <c r="R250" s="35" cm="1">
        <f t="array" ref="R250">Common_InputFunctions.Utility_DisplayArrayInTable(Common_SourceData.Common_SourceData_MCFTemperatureZone_Data(),Table_SourceData_Common_MCFTemperatureZone[[#Headers],[Temperature zone]],0)</f>
        <v>4.7000000000000002E-3</v>
      </c>
      <c r="S250" s="35"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1" t="str" cm="1">
        <f t="array" ref="D256">Common_SourceData.Common_SourceData_EFOrganicFertiliserAndCropResidues_Unit()</f>
        <v>kg N2O - N / kg N</v>
      </c>
    </row>
    <row r="257" spans="4:5" x14ac:dyDescent="0.25">
      <c r="D257" s="35" t="s">
        <v>267</v>
      </c>
      <c r="E257" s="35" t="s">
        <v>268</v>
      </c>
    </row>
    <row r="258" spans="4:5" x14ac:dyDescent="0.25">
      <c r="D258" s="35" t="str" cm="1">
        <f t="array" ref="D258">Common_InputFunctions.Utility_DisplayArrayInTable(Common_SourceData.Common_SourceData_EFOrganicFertiliserAndCropResidues_Data(), Table_SourceData_Common_EFOrganicFertCropResidues[[#Headers],[Climate Zone]], 0)</f>
        <v>Wet climate zone</v>
      </c>
      <c r="E258" s="35"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5"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5"/>
  <sheetViews>
    <sheetView showGridLines="0" topLeftCell="A12"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2" t="e" vm="1">
        <v>#VALUE!</v>
      </c>
      <c r="C1" s="8" t="s">
        <v>62</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9" t="s">
        <v>0</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Pasture Beef'!A1", "Pasture Beef")</f>
        <v>Pasture Beef</v>
      </c>
      <c r="D9" s="34" t="s">
        <v>63</v>
      </c>
      <c r="E9" s="35" t="s">
        <v>15</v>
      </c>
      <c r="F9" s="35" t="s">
        <v>64</v>
      </c>
      <c r="G9" s="3"/>
    </row>
    <row r="10" spans="1:13" ht="20.100000000000001" customHeight="1" x14ac:dyDescent="0.25">
      <c r="D10" s="34" t="str" cm="1">
        <f t="array" ref="D10">Common_InputFunctions.Utility_DisplayArrayInTable(CommonLivestock_SourceData.SourceData_Livestock_Common_SymbolsMMS_Data(), Table_Data_MMSSymbols[[#Headers],[Symbol]], 0)</f>
        <v>1</v>
      </c>
      <c r="E10" s="34" t="str" cm="1">
        <f t="array" ref="E10">Common_InputFunctions.Utility_DisplayArrayInTable(CommonLivestock_SourceData.SourceData_Livestock_Common_SymbolsMMS_Data(), Table_Data_MMSSymbols[[#Headers],[Symbol]], 0)</f>
        <v>Anaerobic lagoon</v>
      </c>
      <c r="F10" s="34"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4" t="str" cm="1">
        <f t="array" ref="D11">Common_InputFunctions.Utility_DisplayArrayInTable(CommonLivestock_SourceData.SourceData_Livestock_Common_SymbolsMMS_Data(), Table_Data_MMSSymbols[[#Headers],[Symbol]], 0)</f>
        <v>2</v>
      </c>
      <c r="E11" s="34" t="str" cm="1">
        <f t="array" ref="E11">Common_InputFunctions.Utility_DisplayArrayInTable(CommonLivestock_SourceData.SourceData_Livestock_Common_SymbolsMMS_Data(), Table_Data_MMSSymbols[[#Headers],[Symbol]], 0)</f>
        <v>Liquid systems</v>
      </c>
      <c r="F11" s="34"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8" t="s">
        <v>60</v>
      </c>
      <c r="D12" s="35" t="str" cm="1">
        <f t="array" ref="D12">Common_InputFunctions.Utility_DisplayArrayInTable(CommonLivestock_SourceData.SourceData_Livestock_Common_SymbolsMMS_Data(), Table_Data_MMSSymbols[[#Headers],[Symbol]], 0)</f>
        <v>3</v>
      </c>
      <c r="E12" s="35" t="str" cm="1">
        <f t="array" ref="E12">Common_InputFunctions.Utility_DisplayArrayInTable(CommonLivestock_SourceData.SourceData_Livestock_Common_SymbolsMMS_Data(), Table_Data_MMSSymbols[[#Headers],[Symbol]], 0)</f>
        <v>Daily spread</v>
      </c>
      <c r="F12" s="35"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HYPERLINK("#'3.2.1.1-2 Enteric Methane'!A1", "3.2.1.1-2 Enteric Methane")</f>
        <v>3.2.1.1-2 Enteric Methane</v>
      </c>
      <c r="D13" s="35" t="str" cm="1">
        <f t="array" ref="D13">Common_InputFunctions.Utility_DisplayArrayInTable(CommonLivestock_SourceData.SourceData_Livestock_Common_SymbolsMMS_Data(), Table_Data_MMSSymbols[[#Headers],[Symbol]], 0)</f>
        <v>3a</v>
      </c>
      <c r="E13" s="35" t="str" cm="1">
        <f t="array" ref="E13">Common_InputFunctions.Utility_DisplayArrayInTable(CommonLivestock_SourceData.SourceData_Livestock_Common_SymbolsMMS_Data(), Table_Data_MMSSymbols[[#Headers],[Symbol]], 0)</f>
        <v>Sump and dispersal system</v>
      </c>
      <c r="F13" s="35"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D14" s="35" t="str" cm="1">
        <f t="array" ref="D14">Common_InputFunctions.Utility_DisplayArrayInTable(CommonLivestock_SourceData.SourceData_Livestock_Common_SymbolsMMS_Data(), Table_Data_MMSSymbols[[#Headers],[Symbol]], 0)</f>
        <v>3b</v>
      </c>
      <c r="E14" s="35" t="str" cm="1">
        <f t="array" ref="E14">Common_InputFunctions.Utility_DisplayArrayInTable(CommonLivestock_SourceData.SourceData_Livestock_Common_SymbolsMMS_Data(), Table_Data_MMSSymbols[[#Headers],[Symbol]], 0)</f>
        <v>Drains to paddock</v>
      </c>
      <c r="F14" s="35"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D15" s="35" t="str" cm="1">
        <f t="array" ref="D15">Common_InputFunctions.Utility_DisplayArrayInTable(CommonLivestock_SourceData.SourceData_Livestock_Common_SymbolsMMS_Data(), Table_Data_MMSSymbols[[#Headers],[Symbol]], 0)</f>
        <v>4</v>
      </c>
      <c r="E15" s="35" t="str" cm="1">
        <f t="array" ref="E15">Common_InputFunctions.Utility_DisplayArrayInTable(CommonLivestock_SourceData.SourceData_Livestock_Common_SymbolsMMS_Data(), Table_Data_MMSSymbols[[#Headers],[Symbol]], 0)</f>
        <v>Solid storage</v>
      </c>
      <c r="F15" s="35"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28" t="s">
        <v>1</v>
      </c>
      <c r="D16" s="35" t="str" cm="1">
        <f t="array" ref="D16">Common_InputFunctions.Utility_DisplayArrayInTable(CommonLivestock_SourceData.SourceData_Livestock_Common_SymbolsMMS_Data(), Table_Data_MMSSymbols[[#Headers],[Symbol]], 0)</f>
        <v>5</v>
      </c>
      <c r="E16" s="35" t="str" cm="1">
        <f t="array" ref="E16">Common_InputFunctions.Utility_DisplayArrayInTable(CommonLivestock_SourceData.SourceData_Livestock_Common_SymbolsMMS_Data(), Table_Data_MMSSymbols[[#Headers],[Symbol]], 0)</f>
        <v>Drylot (feed pad)</v>
      </c>
      <c r="F16" s="35"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Pasture Beef'!A1", "Constants - Pasture Beef")</f>
        <v>Constants - Pasture Beef</v>
      </c>
      <c r="D17" s="35" t="str" cm="1">
        <f t="array" ref="D17">Common_InputFunctions.Utility_DisplayArrayInTable(CommonLivestock_SourceData.SourceData_Livestock_Common_SymbolsMMS_Data(), Table_Data_MMSSymbols[[#Headers],[Symbol]], 0)</f>
        <v>6</v>
      </c>
      <c r="E17" s="35" t="str" cm="1">
        <f t="array" ref="E17">Common_InputFunctions.Utility_DisplayArrayInTable(CommonLivestock_SourceData.SourceData_Livestock_Common_SymbolsMMS_Data(), Table_Data_MMSSymbols[[#Headers],[Symbol]], 0)</f>
        <v>Composting (passive windrow)</v>
      </c>
      <c r="F17" s="35"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Common'!A1", "Constants - Common")</f>
        <v>Constants - Common</v>
      </c>
      <c r="D18" s="35" t="str" cm="1">
        <f t="array" ref="D18">Common_InputFunctions.Utility_DisplayArrayInTable(CommonLivestock_SourceData.SourceData_Livestock_Common_SymbolsMMS_Data(), Table_Data_MMSSymbols[[#Headers],[Symbol]], 0)</f>
        <v>7</v>
      </c>
      <c r="E18" s="35" t="str" cm="1">
        <f t="array" ref="E18">Common_InputFunctions.Utility_DisplayArrayInTable(CommonLivestock_SourceData.SourceData_Livestock_Common_SymbolsMMS_Data(), Table_Data_MMSSymbols[[#Headers],[Symbol]], 0)</f>
        <v>Digester / covered lagoons</v>
      </c>
      <c r="F18" s="35"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18" t="str">
        <f>HYPERLINK("#'Constants - Common Livestock'!A1", "Constants - Common Livestock")</f>
        <v>Constants - Common Livestock</v>
      </c>
      <c r="D19" s="35" t="str" cm="1">
        <f t="array" ref="D19">Common_InputFunctions.Utility_DisplayArrayInTable(CommonLivestock_SourceData.SourceData_Livestock_Common_SymbolsMMS_Data(), Table_Data_MMSSymbols[[#Headers],[Symbol]], 0)</f>
        <v>8</v>
      </c>
      <c r="E19" s="35" t="str" cm="1">
        <f t="array" ref="E19">Common_InputFunctions.Utility_DisplayArrayInTable(CommonLivestock_SourceData.SourceData_Livestock_Common_SymbolsMMS_Data(), Table_Data_MMSSymbols[[#Headers],[Symbol]], 0)</f>
        <v>Deep litter</v>
      </c>
      <c r="F19" s="35"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HYPERLINK("#'Acknowledgements'!A1", "Acknowledgements")</f>
        <v>Acknowledgements</v>
      </c>
      <c r="D20" s="35" t="str" cm="1">
        <f t="array" ref="D20">Common_InputFunctions.Utility_DisplayArrayInTable(CommonLivestock_SourceData.SourceData_Livestock_Common_SymbolsMMS_Data(), Table_Data_MMSSymbols[[#Headers],[Symbol]], 0)</f>
        <v>9</v>
      </c>
      <c r="E20" s="35" t="str" cm="1">
        <f t="array" ref="E20">Common_InputFunctions.Utility_DisplayArrayInTable(CommonLivestock_SourceData.SourceData_Livestock_Common_SymbolsMMS_Data(), Table_Data_MMSSymbols[[#Headers],[Symbol]], 0)</f>
        <v>Pit storage</v>
      </c>
      <c r="F20" s="35"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5" t="str" cm="1">
        <f t="array" ref="D21">Common_InputFunctions.Utility_DisplayArrayInTable(CommonLivestock_SourceData.SourceData_Livestock_Common_SymbolsMMS_Data(), Table_Data_MMSSymbols[[#Headers],[Symbol]], 0)</f>
        <v>10</v>
      </c>
      <c r="E21" s="35" t="str" cm="1">
        <f t="array" ref="E21">Common_InputFunctions.Utility_DisplayArrayInTable(CommonLivestock_SourceData.SourceData_Livestock_Common_SymbolsMMS_Data(), Table_Data_MMSSymbols[[#Headers],[Symbol]], 0)</f>
        <v>Poultry manure with bedding</v>
      </c>
      <c r="F21" s="35"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5" t="str" cm="1">
        <f t="array" ref="D22">Common_InputFunctions.Utility_DisplayArrayInTable(CommonLivestock_SourceData.SourceData_Livestock_Common_SymbolsMMS_Data(), Table_Data_MMSSymbols[[#Headers],[Symbol]], 0)</f>
        <v>11</v>
      </c>
      <c r="E22" s="35" t="str" cm="1">
        <f t="array" ref="E22">Common_InputFunctions.Utility_DisplayArrayInTable(CommonLivestock_SourceData.SourceData_Livestock_Common_SymbolsMMS_Data(), Table_Data_MMSSymbols[[#Headers],[Symbol]], 0)</f>
        <v>Poultry manure without bedding</v>
      </c>
      <c r="F22" s="35"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5" t="str" cm="1">
        <f t="array" ref="D23">Common_InputFunctions.Utility_DisplayArrayInTable(CommonLivestock_SourceData.SourceData_Livestock_Common_SymbolsMMS_Data(), Table_Data_MMSSymbols[[#Headers],[Symbol]], 0)</f>
        <v>11a</v>
      </c>
      <c r="E23" s="35" t="str" cm="1">
        <f t="array" ref="E23">Common_InputFunctions.Utility_DisplayArrayInTable(CommonLivestock_SourceData.SourceData_Livestock_Common_SymbolsMMS_Data(), Table_Data_MMSSymbols[[#Headers],[Symbol]], 0)</f>
        <v>Belt manure removal</v>
      </c>
      <c r="F23" s="35"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5" t="str" cm="1">
        <f t="array" ref="D24">Common_InputFunctions.Utility_DisplayArrayInTable(CommonLivestock_SourceData.SourceData_Livestock_Common_SymbolsMMS_Data(), Table_Data_MMSSymbols[[#Headers],[Symbol]], 0)</f>
        <v>11b</v>
      </c>
      <c r="E24" s="35" t="str" cm="1">
        <f t="array" ref="E24">Common_InputFunctions.Utility_DisplayArrayInTable(CommonLivestock_SourceData.SourceData_Livestock_Common_SymbolsMMS_Data(), Table_Data_MMSSymbols[[#Headers],[Symbol]], 0)</f>
        <v>Manure stored in house</v>
      </c>
      <c r="F24" s="35"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5" t="str" cm="1">
        <f t="array" ref="D25">Common_InputFunctions.Utility_DisplayArrayInTable(CommonLivestock_SourceData.SourceData_Livestock_Common_SymbolsMMS_Data(), Table_Data_MMSSymbols[[#Headers],[Symbol]], 0)</f>
        <v>12</v>
      </c>
      <c r="E25" s="35" t="str" cm="1">
        <f t="array" ref="E25">Common_InputFunctions.Utility_DisplayArrayInTable(CommonLivestock_SourceData.SourceData_Livestock_Common_SymbolsMMS_Data(), Table_Data_MMSSymbols[[#Headers],[Symbol]], 0)</f>
        <v>Direct processing</v>
      </c>
      <c r="F25" s="35"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5" t="str" cm="1">
        <f t="array" ref="D26">Common_InputFunctions.Utility_DisplayArrayInTable(CommonLivestock_SourceData.SourceData_Livestock_Common_SymbolsMMS_Data(), Table_Data_MMSSymbols[[#Headers],[Symbol]], 0)</f>
        <v>13</v>
      </c>
      <c r="E26" s="35" t="str" cm="1">
        <f t="array" ref="E26">Common_InputFunctions.Utility_DisplayArrayInTable(CommonLivestock_SourceData.SourceData_Livestock_Common_SymbolsMMS_Data(), Table_Data_MMSSymbols[[#Headers],[Symbol]], 0)</f>
        <v>Direct application</v>
      </c>
      <c r="F26" s="35"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5" t="str" cm="1">
        <f t="array" ref="D27">Common_InputFunctions.Utility_DisplayArrayInTable(CommonLivestock_SourceData.SourceData_Livestock_Common_SymbolsMMS_Data(), Table_Data_MMSSymbols[[#Headers],[Symbol]], 0)</f>
        <v>14</v>
      </c>
      <c r="E27" s="35" t="str" cm="1">
        <f t="array" ref="E27">Common_InputFunctions.Utility_DisplayArrayInTable(CommonLivestock_SourceData.SourceData_Livestock_Common_SymbolsMMS_Data(), Table_Data_MMSSymbols[[#Headers],[Symbol]], 0)</f>
        <v>Pasture range and paddock</v>
      </c>
      <c r="F27" s="35"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c r="D29" s="6" t="str" cm="1">
        <f t="array" ref="D29">CommonLivestock_SourceData.SourceData_Livestock_Product_BeefCattle_Title()</f>
        <v>Beef cattle products for scope 3</v>
      </c>
    </row>
    <row r="30" spans="1:8" ht="20.100000000000001" customHeight="1" x14ac:dyDescent="0.25">
      <c r="D30" s="5"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35" t="s">
        <v>284</v>
      </c>
      <c r="E31" s="35" t="s">
        <v>289</v>
      </c>
      <c r="F31" s="1" t="s">
        <v>290</v>
      </c>
    </row>
    <row r="32" spans="1:8" ht="20.100000000000001" customHeight="1" x14ac:dyDescent="0.25">
      <c r="D32" s="35" t="str" cm="1">
        <f t="array" ref="D32">Common_InputFunctions.Utility_DisplayArrayInTable(CommonLivestock_SourceData.SourceData_Livestock_Product_BeefCattle_Data(),Table_SourceData_LivestockProduct_Beefcattle[[#Headers],[Product]],0)</f>
        <v>Cattle, for manufacturing beef</v>
      </c>
      <c r="E32" s="35"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1" t="str" cm="1">
        <f t="array" ref="D33">Common_InputFunctions.Utility_DisplayArrayInTable(CommonLivestock_SourceData.SourceData_Livestock_Product_BeefCattle_Data(),Table_SourceData_LivestockProduct_Beefcattle[[#Headers],[Product]],0)</f>
        <v>Cattle, for prime beef</v>
      </c>
      <c r="E33" s="35"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1" t="str" cm="1">
        <f t="array" ref="D34">Common_InputFunctions.Utility_DisplayArrayInTable(CommonLivestock_SourceData.SourceData_Livestock_Product_BeefCattle_Data(),Table_SourceData_LivestockProduct_Beefcattle[[#Headers],[Product]],0)</f>
        <v>Cattle, weaners</v>
      </c>
      <c r="E34" s="35"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5"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5"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1" t="str" cm="1">
        <f t="array" ref="D37">Common_InputFunctions.Utility_DisplayArrayInTable(CommonLivestock_SourceData.SourceData_Livestock_Product_BeefCattle_Data(),Table_SourceData_LivestockProduct_Beefcattle[[#Headers],[Product]],0)</f>
        <v/>
      </c>
      <c r="E37" s="35"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1" t="str" cm="1">
        <f t="array" ref="D38">Common_InputFunctions.Utility_DisplayArrayInTable(CommonLivestock_SourceData.SourceData_Livestock_Product_BeefCattle_Data(),Table_SourceData_LivestockProduct_Beefcattle[[#Headers],[Product]],0)</f>
        <v/>
      </c>
      <c r="E38" s="35"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1" t="str" cm="1">
        <f t="array" ref="D39">Common_InputFunctions.Utility_DisplayArrayInTable(CommonLivestock_SourceData.SourceData_Livestock_Product_BeefCattle_Data(),Table_SourceData_LivestockProduct_Beefcattle[[#Headers],[Product]],0)</f>
        <v/>
      </c>
      <c r="E39" s="35"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6" t="str" cm="1">
        <f t="array" ref="D41">CommonLivestock_SourceData.SourceData_Livestock_Product_Sheep_Title()</f>
        <v>Sheep products for scope 3</v>
      </c>
    </row>
    <row r="42" spans="4:6" ht="20.100000000000001" customHeight="1" x14ac:dyDescent="0.25">
      <c r="D42" s="5"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35" t="s">
        <v>284</v>
      </c>
      <c r="E43" s="35" t="s">
        <v>289</v>
      </c>
      <c r="F43" s="1" t="s">
        <v>291</v>
      </c>
    </row>
    <row r="44" spans="4:6" ht="20.100000000000001" customHeight="1" x14ac:dyDescent="0.25">
      <c r="D44" s="35" t="str" cm="1">
        <f t="array" ref="D44">Common_InputFunctions.Utility_DisplayArrayInTable(CommonLivestock_SourceData.SourceData_Livestock_Product_Sheep_Data(),Table_SourceData_LivestockProduct_Sheep[[#Headers],[Product]],0)</f>
        <v>Sheep, for mutton</v>
      </c>
      <c r="E44" s="35"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35" t="str" cm="1">
        <f t="array" ref="D45">Common_InputFunctions.Utility_DisplayArrayInTable(CommonLivestock_SourceData.SourceData_Livestock_Product_Sheep_Data(),Table_SourceData_LivestockProduct_Sheep[[#Headers],[Product]],0)</f>
        <v>Sheep, for prime lamb</v>
      </c>
      <c r="E45" s="35"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35" t="str" cm="1">
        <f t="array" ref="D46">Common_InputFunctions.Utility_DisplayArrayInTable(CommonLivestock_SourceData.SourceData_Livestock_Product_Sheep_Data(),Table_SourceData_LivestockProduct_Sheep[[#Headers],[Product]],0)</f>
        <v/>
      </c>
      <c r="E46" s="35"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35" t="str" cm="1">
        <f t="array" ref="D47">Common_InputFunctions.Utility_DisplayArrayInTable(CommonLivestock_SourceData.SourceData_Livestock_Product_Sheep_Data(),Table_SourceData_LivestockProduct_Sheep[[#Headers],[Product]],0)</f>
        <v/>
      </c>
      <c r="E47" s="35"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35" t="str" cm="1">
        <f t="array" ref="D48">Common_InputFunctions.Utility_DisplayArrayInTable(CommonLivestock_SourceData.SourceData_Livestock_Product_Sheep_Data(),Table_SourceData_LivestockProduct_Sheep[[#Headers],[Product]],0)</f>
        <v/>
      </c>
      <c r="E48" s="35"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5" t="str" cm="1">
        <f t="array" ref="D49">Common_InputFunctions.Utility_DisplayArrayInTable(CommonLivestock_SourceData.SourceData_Livestock_Product_Sheep_Data(),Table_SourceData_LivestockProduct_Sheep[[#Headers],[Product]],0)</f>
        <v/>
      </c>
      <c r="E49" s="35"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5" t="str" cm="1">
        <f t="array" ref="D50">Common_InputFunctions.Utility_DisplayArrayInTable(CommonLivestock_SourceData.SourceData_Livestock_Product_Sheep_Data(),Table_SourceData_LivestockProduct_Sheep[[#Headers],[Product]],0)</f>
        <v/>
      </c>
      <c r="E50" s="35"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6" t="str" cm="1">
        <f t="array" ref="D52">CommonLivestock_SourceData.SourceData_Livestock_Product_Chickens_Title()</f>
        <v>Chickens products for scope 3</v>
      </c>
    </row>
    <row r="53" spans="4:6" ht="20.100000000000001" customHeight="1" x14ac:dyDescent="0.25">
      <c r="D53" s="5"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5" t="s">
        <v>284</v>
      </c>
      <c r="E54" s="35" t="s">
        <v>289</v>
      </c>
      <c r="F54" s="1" t="s">
        <v>292</v>
      </c>
    </row>
    <row r="55" spans="4:6" ht="20.100000000000001" customHeight="1" x14ac:dyDescent="0.25">
      <c r="D55" s="35" t="str" cm="1">
        <f t="array" ref="D55">Common_InputFunctions.Utility_DisplayArrayInTable(CommonLivestock_SourceData.SourceData_Livestock_Product_Chickens_Data(),Table_SourceData_LivestockProduct_Chickens[[#Headers],[Product]],0)</f>
        <v>Chickens</v>
      </c>
      <c r="E55" s="35"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6" t="str" cm="1">
        <f t="array" ref="D57">CommonLivestock_SourceData.SourceData_Livestock_Product_Dairycattle_Title()</f>
        <v>Dairy cattle products for scope 3</v>
      </c>
    </row>
    <row r="58" spans="4:6" ht="20.100000000000001" customHeight="1" x14ac:dyDescent="0.25">
      <c r="D58" s="5"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5" t="s">
        <v>284</v>
      </c>
      <c r="E59" s="35" t="s">
        <v>289</v>
      </c>
      <c r="F59" s="1" t="s">
        <v>293</v>
      </c>
    </row>
    <row r="60" spans="4:6" ht="20.100000000000001" customHeight="1" x14ac:dyDescent="0.25">
      <c r="D60" s="35" t="str" cm="1">
        <f t="array" ref="D60">Common_InputFunctions.Utility_DisplayArrayInTable(CommonLivestock_SourceData.SourceData_Livestock_Product_Dairycattle_Data(),Table_SourceData_LivestockProduct_Dairycattle[[#Headers],[Product]],0)</f>
        <v>Dairy cows</v>
      </c>
      <c r="E60" s="35"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6" t="str" cm="1">
        <f t="array" ref="D62">CommonLivestock_SourceData.SourceData_Livestock_Product_Pigs_Title()</f>
        <v>Pigs products for scope 3</v>
      </c>
    </row>
    <row r="63" spans="4:6" ht="20.100000000000001" customHeight="1" x14ac:dyDescent="0.25">
      <c r="D63" s="5"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5" t="s">
        <v>284</v>
      </c>
      <c r="E64" s="35" t="s">
        <v>289</v>
      </c>
      <c r="F64" s="1" t="s">
        <v>294</v>
      </c>
    </row>
    <row r="65" spans="4:5" x14ac:dyDescent="0.25">
      <c r="D65" s="35" t="str" cm="1">
        <f t="array" ref="D65">Common_InputFunctions.Utility_DisplayArrayInTable(CommonLivestock_SourceData.SourceData_Livestock_Product_Pigs_Data(),Table_SourceData_LivestockProduct_Pigs[[#Headers],[Product]],0)</f>
        <v>Pigs</v>
      </c>
      <c r="E65" s="35"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0"/>
  <sheetViews>
    <sheetView zoomScaleNormal="100" workbookViewId="0">
      <selection activeCell="A20" sqref="A20"/>
    </sheetView>
  </sheetViews>
  <sheetFormatPr defaultRowHeight="15" x14ac:dyDescent="0.25"/>
  <sheetData>
    <row r="1" spans="1:1" ht="25.5" x14ac:dyDescent="0.35">
      <c r="A1" s="62" t="e" vm="1">
        <v>#VALUE!</v>
      </c>
    </row>
    <row r="3" spans="1:1" ht="15.75" x14ac:dyDescent="0.25">
      <c r="A3" s="17" t="str">
        <f>HYPERLINK("#'Home'!A1", "Home")</f>
        <v>Home</v>
      </c>
    </row>
    <row r="4" spans="1:1" ht="15.75" x14ac:dyDescent="0.25">
      <c r="A4" s="17" t="str">
        <f>HYPERLINK("#'Results'!A1", "Results")</f>
        <v>Results</v>
      </c>
    </row>
    <row r="7" spans="1:1" x14ac:dyDescent="0.25">
      <c r="A7" s="19" t="s">
        <v>0</v>
      </c>
    </row>
    <row r="8" spans="1:1" ht="15.75" x14ac:dyDescent="0.25">
      <c r="A8" s="17" t="str">
        <f>HYPERLINK("#'Input - Site'!A1", "Site")</f>
        <v>Site</v>
      </c>
    </row>
    <row r="9" spans="1:1" ht="15.75" x14ac:dyDescent="0.25">
      <c r="A9" s="17" t="str">
        <f>HYPERLINK("#'Input - Pasture Beef'!A1", "Pasture Beef")</f>
        <v>Pasture Beef</v>
      </c>
    </row>
    <row r="12" spans="1:1" x14ac:dyDescent="0.25">
      <c r="A12" s="18" t="s">
        <v>60</v>
      </c>
    </row>
    <row r="13" spans="1:1" ht="15.75" x14ac:dyDescent="0.25">
      <c r="A13" s="17" t="str">
        <f>HYPERLINK("#'3.2.1.1-2 Enteric Methane'!A1", "3.2.1.1-2 Enteric Methane")</f>
        <v>3.2.1.1-2 Enteric Methane</v>
      </c>
    </row>
    <row r="16" spans="1:1" x14ac:dyDescent="0.25">
      <c r="A16" s="128" t="s">
        <v>1</v>
      </c>
    </row>
    <row r="17" spans="1:1" ht="15.75" x14ac:dyDescent="0.25">
      <c r="A17" s="17" t="str">
        <f>HYPERLINK("#'Constants - Pasture Beef'!A1", "Constants - Pasture Beef")</f>
        <v>Constants - Pasture Beef</v>
      </c>
    </row>
    <row r="18" spans="1:1" ht="15.75" x14ac:dyDescent="0.25">
      <c r="A18" s="17" t="str">
        <f>HYPERLINK("#'Constants - Common'!A1", "Constants - Common")</f>
        <v>Constants - Common</v>
      </c>
    </row>
    <row r="19" spans="1:1" ht="15.75" x14ac:dyDescent="0.25">
      <c r="A19" s="17" t="str">
        <f>HYPERLINK("#'Constants - Common Livestock'!A1", "Constants - Common Livestock")</f>
        <v>Constants - Common Livestock</v>
      </c>
    </row>
    <row r="20" spans="1:1" ht="15.75" x14ac:dyDescent="0.25">
      <c r="A20" s="118"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UAbgB0AGUAcgBpAGMATQBlAHQAaABhAG4AZQBfAFAAYQBzAHQAdQByAGUAQgBlAGUAZgBfAEUAcQB1AGEAdABpAG8AbgBzAC4AVgBFAEUAUgBHAF8AMwBfADIAXwAxAF8AMQBfAF8AMQBfAFQAbwB0AGEAbABBAG4AbgB1AGEAbABNAGUAdABoAGEAbgBlAEYAcgBvAG0ARQBuAHQAZQByAGkAYwBGAGUAcgBtAGUAbgB0AGEAdABpAG8AbgAiACwAIgBFAG4AdABlAHIAaQBjAE0AZQB0AGgAYQBuAGUAXwBQAGEAcwB0AHUAcgBlAEIAZQBlAGYAXwBFAHEAdQBhAHQAaQBvAG4AcwAuAFYARQBFAFIARwBfADMAXwAyAF8AMQBfADEAXwBfADEAXwBUAG8AdABhAGwAQQBuAG4AdQBhAGwATQBlAHQAaABhAG4AZQBGAHIAbwBtAEUAbgB0AGUAcgBpAGMARgBlAHIAbQBlAG4AdABhAHQAaQBvAG4AXwBUAGkAdABsAGUAIgAsACIARQBuAHQAZQByAGkAYwBNAGUAdABoAGEAbgBlAF8AUABhAHMAdAB1AHIAZQBCAGUAZQBmAF8ARQBxAHUAYQB0AGkAbwBuAHMALgBWAEUARQBSAEcAXwAzAF8AMgBfADEAXwAxAF8AXwAxAF8AVABvAHQAYQBsAEEAbgBuAHUAYQBsAE0AZQB0AGgAYQBuAGUARgByAG8AbQBFAG4AdABlAHIAaQBjAEYAZQByAG0AZQBuAHQAYQB0AGkAbwBuAF8AVgBhAHIAaQBhAGIAbABlACIALAAiAEUAbgB0AGUAcgBpAGMATQBlAHQAaABhAG4AZQBfAFAAYQBzAHQAdQByAGUAQgBlAGUAZgBfAEUAcQB1AGEAdABpAG8AbgBzAC4AVgBFAEUAUgBHAF8AMwBfADIAXwAxAF8AMQBfAF8AMQBfAFQAbwB0AGEAbABBAG4AbgB1AGEAbABNAGUAdABoAGEAbgBlAEYAcgBvAG0ARQBuAHQAZQByAGkAYwBGAGUAcgBtAGUAbgB0AGEAdABpAG8AbgBfAFUAbgBpAHQAIgAsACIARQBuAHQAZQByAGkAYwBNAGUAdABoAGEAbgBlAF8AUABhAHMAdAB1AHIAZQBCAGUAZQBmAF8ARQBxAHUAYQB0AGkAbwBuAHMALgBWAEUARQBSAEcAXwAzAF8AMgBfADEAXwAxAF8AXwAxAF8AVABvAHQAYQBsAEEAbgBuAHUAYQBsAE0AZQB0AGgAYQBuAGUARgByAG8AbQBFAG4AdABlAHIAaQBjAEYAZQByAG0AZQBuAHQAYQB0AGkAbwBuAF8AUwBvAHUAcgBjAGUAIgAsACIARQBuAHQAZQByAGkAYwBNAGUAdABoAGEAbgBlAF8AUABhAHMAdAB1AHIAZQBCAGUAZQBmAF8ARQBxAHUAYQB0AGkAbwBuAHMALgBWAEUARQBSAEcAXwAzAF8AMgBfADEAXwAxAF8AXwAxAF8AVABvAHQAYQBsAEEAbgBuAHUAYQBsAE0AZQB0AGgAYQBuAGUARgByAG8AbQBFAG4AdABlAHIAaQBjAEYAZQByAG0AZQBuAHQAYQB0AGkAbwBuAF8ATgBJAFIAUgBlAGYAZQByAGUAbgBjAGUAIgAsACIARQBuAHQAZQByAGkAYwBNAGUAdABoAGEAbgBlAF8AUABhAHMAdAB1AHIAZQBCAGUAZQBmAF8ARQBxAHUAYQB0AGkAbwBuAHMALgBWAEUARQBSAEcAXwAzAF8AMgBfADEAXwAxAF8AXwAxAF8AVABvAHQAYQBsAEEAbgBuAHUAYQBsAE0AZQB0AGgAYQBuAGUARgByAG8AbQBFAG4AdABlAHIAaQBjAEYAZQByAG0AZQBuAHQAYQB0AGkAbwBuAF8ATABhAHQAZQB4AEUAcQB1AGEAdABpAG8AbgAiACwAIgBFAG4AdABlAHIAaQBjAE0AZQB0AGgAYQBuAGUAXwBQAGEAcwB0AHUAcgBlAEIAZQBlAGYAXwBFAHEAdQBhAHQAaQBvAG4AcwAuAFYARQBFAFIARwBfADMAXwAyAF8AMQBfADEAXwBfADEAXwBUAG8AdABhAGwAQQBuAG4AdQBhAGwATQBlAHQAaABhAG4AZQBGAHIAbwBtAEUAbgB0AGUAcgBpAGMARgBlAHIAbQBlAG4AdABhAHQAaQBvAG4AXwBBAHIAZwB1AG0AZQBuAHQAcwAiACwAIgBFAG4AdABlAHIAaQBjAE0AZQB0AGgAYQBuAGUAXwBQAGEAcwB0AHUAcgBlAEIAZQBlAGYAXwBFAHEAdQBhAHQAaQBvAG4AcwAuAFYARQBFAFIARwBfADMAXwAyAF8AMQBfADEAXwBfADIAXwBEAGEAaQBsAHkARQBuAHQAZQByAGkAYwBNAGUAdABoAGEAbgBlAFAAcgBvAGQAdQBjAHQAaQBvAG4AIgAsACIARQBuAHQAZQByAGkAYwBNAGUAdABoAGEAbgBlAF8AUABhAHMAdAB1AHIAZQBCAGUAZQBmAF8ARQBxAHUAYQB0AGkAbwBuAHMALgBWAEUARQBSAEcAXwAzAF8AMgBfADEAXwAxAF8AXwAyAF8ARABhAGkAbAB5AEUAbgB0AGUAcgBpAGMATQBlAHQAaABhAG4AZQBQAHIAbwBkAHUAYwB0AGkAbwBuAF8AVABpAHQAbABlACIALAAiAEUAbgB0AGUAcgBpAGMATQBlAHQAaABhAG4AZQBfAFAAYQBzAHQAdQByAGUAQgBlAGUAZgBfAEUAcQB1AGEAdABpAG8AbgBzAC4AVgBFAEUAUgBHAF8AMwBfADIAXwAxAF8AMQBfAF8AMgBfAEQAYQBpAGwAeQBFAG4AdABlAHIAaQBjAE0AZQB0AGgAYQBuAGUAUAByAG8AZAB1AGMAdABpAG8AbgBfAFYAYQByAGkAYQBiAGwAZQAiACwAIgBFAG4AdABlAHIAaQBjAE0AZQB0AGgAYQBuAGUAXwBQAGEAcwB0AHUAcgBlAEIAZQBlAGYAXwBFAHEAdQBhAHQAaQBvAG4AcwAuAFYARQBFAFIARwBfADMAXwAyAF8AMQBfADEAXwBfADIAXwBEAGEAaQBsAHkARQBuAHQAZQByAGkAYwBNAGUAdABoAGEAbgBlAFAAcgBvAGQAdQBjAHQAaQBvAG4AXwBVAG4AaQB0ACIALAAiAEUAbgB0AGUAcgBpAGMATQBlAHQAaABhAG4AZQBfAFAAYQBzAHQAdQByAGUAQgBlAGUAZgBfAEUAcQB1AGEAdABpAG8AbgBzAC4AVgBFAEUAUgBHAF8AMwBfADIAXwAxAF8AMQBfAF8AMgBfAEQAYQBpAGwAeQBFAG4AdABlAHIAaQBjAE0AZQB0AGgAYQBuAGUAUAByAG8AZAB1AGMAdABpAG8AbgBfAFMAbwB1AHIAYwBlACIALAAiAEUAbgB0AGUAcgBpAGMATQBlAHQAaABhAG4AZQBfAFAAYQBzAHQAdQByAGUAQgBlAGUAZgBfAEUAcQB1AGEAdABpAG8AbgBzAC4AVgBFAEUAUgBHAF8AMwBfADIAXwAxAF8AMQBfAF8AMgBfAEQAYQBpAGwAeQBFAG4AdABlAHIAaQBjAE0AZQB0AGgAYQBuAGUAUAByAG8AZAB1AGMAdABpAG8AbgBfAE4ASQBSAFIAZQBmAGUAcgBlAG4AYwBlACIALAAiAEUAbgB0AGUAcgBpAGMATQBlAHQAaABhAG4AZQBfAFAAYQBzAHQAdQByAGUAQgBlAGUAZgBfAEUAcQB1AGEAdABpAG8AbgBzAC4AVgBFAEUAUgBHAF8AMwBfADIAXwAxAF8AMQBfAF8AMgBfAEQAYQBpAGwAeQBFAG4AdABlAHIAaQBjAE0AZQB0AGgAYQBuAGUAUAByAG8AZAB1AGMAdABpAG8AbgBfAEwAYQB0AGUAeABFAHEAdQBhAHQAaQBvAG4AIgAsACIARQBuAHQAZQByAGkAYwBNAGUAdABoAGEAbgBlAF8AUABhAHMAdAB1AHIAZQBCAGUAZQBmAF8ARQBxAHUAYQB0AGkAbwBuAHMALgBWAEUARQBSAEcAXwAzAF8AMgBfADEAXwAxAF8AXwAyAF8ARABhAGkAbAB5AEUAbgB0AGUAcgBpAGMATQBlAHQAaABhAG4AZQBQAHIAbwBkAHUAYwB0AGkAbwBuAF8AQQByAGcAdQBtAGUAbgB0AHMAIgAsACIARQBuAHQAZQByAGkAYwBNAGUAdABoAGEAbgBlAF8AUABhAHMAdAB1AHIAZQBCAGUAZQBmAF8ARQBxAHUAYQB0AGkAbwBuAHMALgBWAEUARQBSAEcAXwAzAF8AMgBfADEAXwAxAF8AXwAzAF8ARgBlAGUAZABJAG4AdABhAGsAZQBGAG8AcgBHAHIAYQB6AGkAbgBnAEIAZQBlAGYAIgAsACIARQBuAHQAZQByAGkAYwBNAGUAdABoAGEAbgBlAF8AUABhAHMAdAB1AHIAZQBCAGUAZQBmAF8ARQBxAHUAYQB0AGkAbwBuAHMALgBWAEUARQBSAEcAXwAzAF8AMgBfADEAXwAxAF8AXwAzAF8ARgBlAGUAZABJAG4AdABhAGsAZQBGAG8AcgBHAHIAYQB6AGkAbgBnAEIAZQBlAGYAXwBUAGkAdABsAGUAIgAsACIARQBuAHQAZQByAGkAYwBNAGUAdABoAGEAbgBlAF8AUABhAHMAdAB1AHIAZQBCAGUAZQBmAF8ARQBxAHUAYQB0AGkAbwBuAHMALgBWAEUARQBSAEcAXwAzAF8AMgBfADEAXwAxAF8AXwAzAF8ARgBlAGUAZABJAG4AdABhAGsAZQBGAG8AcgBHAHIAYQB6AGkAbgBnAEIAZQBlAGYAXwBWAGEAcgBpAGEAYgBsAGUAIgAsACIARQBuAHQAZQByAGkAYwBNAGUAdABoAGEAbgBlAF8AUABhAHMAdAB1AHIAZQBCAGUAZQBmAF8ARQBxAHUAYQB0AGkAbwBuAHMALgBWAEUARQBSAEcAXwAzAF8AMgBfADEAXwAxAF8AXwAzAF8ARgBlAGUAZABJAG4AdABhAGsAZQBGAG8AcgBHAHIAYQB6AGkAbgBnAEIAZQBlAGYAXwBVAG4AaQB0ACIALAAiAEUAbgB0AGUAcgBpAGMATQBlAHQAaABhAG4AZQBfAFAAYQBzAHQAdQByAGUAQgBlAGUAZgBfAEUAcQB1AGEAdABpAG8AbgBzAC4AVgBFAEUAUgBHAF8AMwBfADIAXwAxAF8AMQBfAF8AMwBfAEYAZQBlAGQASQBuAHQAYQBrAGUARgBvAHIARwByAGEAegBpAG4AZwBCAGUAZQBmAF8AUwBvAHUAcgBjAGUAIgAsACIARQBuAHQAZQByAGkAYwBNAGUAdABoAGEAbgBlAF8AUABhAHMAdAB1AHIAZQBCAGUAZQBmAF8ARQBxAHUAYQB0AGkAbwBuAHMALgBWAEUARQBSAEcAXwAzAF8AMgBfADEAXwAxAF8AXwAzAF8ARgBlAGUAZABJAG4AdABhAGsAZQBGAG8AcgBHAHIAYQB6AGkAbgBnAEIAZQBlAGYAXwBOAEkAUgBSAGUAZgBlAHIAZQBuAGMAZQAiACwAIgBFAG4AdABlAHIAaQBjAE0AZQB0AGgAYQBuAGUAXwBQAGEAcwB0AHUAcgBlAEIAZQBlAGYAXwBFAHEAdQBhAHQAaQBvAG4AcwAuAFYARQBFAFIARwBfADMAXwAyAF8AMQBfADEAXwBfADMAXwBGAGUAZQBkAEkAbgB0AGEAawBlAEYAbwByAEcAcgBhAHoAaQBuAGcAQgBlAGUAZgBfAEwAYQB0AGUAeABFAHEAdQBhAHQAaQBvAG4AIgAsACIARQBuAHQAZQByAGkAYwBNAGUAdABoAGEAbgBlAF8AUABhAHMAdAB1AHIAZQBCAGUAZQBmAF8ARQBxAHUAYQB0AGkAbwBuAHMALgBWAEUARQBSAEcAXwAzAF8AMgBfADEAXwAxAF8AXwAzAF8ARgBlAGUAZABJAG4AdABhAGsAZQBGAG8AcgBHAHIAYQB6AGkAbgBnAEIAZQBlAGYAXwBBAHIAZwB1AG0AZQBuAHQAcwAiACwAIgBFAG4AdABlAHIAaQBjAE0AZQB0AGgAYQBuAGUAXwBQAGEAcwB0AHUAcgBlAEIAZQBlAGYAXwBFAHEAdQBhAHQAaQBvAG4AcwAuAFYARQBFAFIARwBfADMAXwAyAF8AMQBfADEAXwBfADQAXwBBAGQAZABpAHQAaQBvAG4AYQBsAEkAbgB0AGEAawBlAEYAbwByAE0AaQBsAGsAUAByAG8AZAB1AGMAdABpAG8AbgAiACwAIgBFAG4AdABlAHIAaQBjAE0AZQB0AGgAYQBuAGUAXwBQAGEAcwB0AHUAcgBlAEIAZQBlAGYAXwBFAHEAdQBhAHQAaQBvAG4AcwAuAFYARQBFAFIARwBfADMAXwAyAF8AMQBfADEAXwBfADQAXwBBAGQAZABpAHQAaQBvAG4AYQBsAEkAbgB0AGEAawBlAEYAbwByAE0AaQBsAGsAUAByAG8AZAB1AGMAdABpAG8AbgBWAGEAcgBpAGEAdABpAG8AbgAiACwAIgBFAG4AdABlAHIAaQBjAE0AZQB0AGgAYQBuAGUAXwBQAGEAcwB0AHUAcgBlAEIAZQBlAGYAXwBFAHEAdQBhAHQAaQBvAG4AcwAuAFYARQBFAFIARwBfADMAXwAyAF8AMQBfADEAXwBfADQAXwBBAGQAZABpAHQAaQBvAG4AYQBsAEkAbgB0AGEAawBlAEYAbwByAE0AaQBsAGsAUAByAG8AZAB1AGMAdABpAG8AbgBfAFQAaQB0AGwAZQAiACwAIgBFAG4AdABlAHIAaQBjAE0AZQB0AGgAYQBuAGUAXwBQAGEAcwB0AHUAcgBlAEIAZQBlAGYAXwBFAHEAdQBhAHQAaQBvAG4AcwAuAFYARQBFAFIARwBfADMAXwAyAF8AMQBfADEAXwBfADQAXwBBAGQAZABpAHQAaQBvAG4AYQBsAEkAbgB0AGEAawBlAEYAbwByAE0AaQBsAGsAUAByAG8AZAB1AGMAdABpAG8AbgBfAFYAYQByAGkAYQBiAGwAZQAiACwAIgBFAG4AdABlAHIAaQBjAE0AZQB0AGgAYQBuAGUAXwBQAGEAcwB0AHUAcgBlAEIAZQBlAGYAXwBFAHEAdQBhAHQAaQBvAG4AcwAuAFYARQBFAFIARwBfADMAXwAyAF8AMQBfADEAXwBfADQAXwBBAGQAZABpAHQAaQBvAG4AYQBsAEkAbgB0AGEAawBlAEYAbwByAE0AaQBsAGsAUAByAG8AZAB1AGMAdABpAG8AbgBfAFUAbgBpAHQAIgAsACIARQBuAHQAZQByAGkAYwBNAGUAdABoAGEAbgBlAF8AUABhAHMAdAB1AHIAZQBCAGUAZQBmAF8ARQBxAHUAYQB0AGkAbwBuAHMALgBWAEUARQBSAEcAXwAzAF8AMgBfADEAXwAxAF8AXwA0AF8AQQBkAGQAaQB0AGkAbwBuAGEAbABJAG4AdABhAGsAZQBGAG8AcgBNAGkAbABrAFAAcgBvAGQAdQBjAHQAaQBvAG4AXwBTAG8AdQByAGMAZQAiACwAIgBFAG4AdABlAHIAaQBjAE0AZQB0AGgAYQBuAGUAXwBQAGEAcwB0AHUAcgBlAEIAZQBlAGYAXwBFAHEAdQBhAHQAaQBvAG4AcwAuAFYARQBFAFIARwBfADMAXwAyAF8AMQBfADEAXwBfADQAXwBBAGQAZABpAHQAaQBvAG4AYQBsAEkAbgB0AGEAawBlAEYAbwByAE0AaQBsAGsAUAByAG8AZAB1AGMAdABpAG8AbgBfAE4ASQBSAFIAZQBmAGUAcgBlAG4AYwBlACIALAAiAEUAbgB0AGUAcgBpAGMATQBlAHQAaABhAG4AZQBfAFAAYQBzAHQAdQByAGUAQgBlAGUAZgBfAEUAcQB1AGEAdABpAG8AbgBzAC4AVgBFAEUAUgBHAF8AMwBfADIAXwAxAF8AMQBfAF8ANABfAEEAZABkAGkAdABpAG8AbgBhAGwASQBuAHQAYQBrAGUARgBvAHIATQBpAGwAawBQAHIAbwBkAHUAYwB0AGkAbwBuAF8ATABhAHQAZQB4AEUAcQB1AGEAdABpAG8AbgAiACwAIgBFAG4AdABlAHIAaQBjAE0AZQB0AGgAYQBuAGUAXwBQAGEAcwB0AHUAcgBlAEIAZQBlAGYAXwBFAHEAdQBhAHQAaQBvAG4AcwAuAFYARQBFAFIARwBfADMAXwAyAF8AMQBfADEAXwBfADQAXwBBAGQAZABpAHQAaQBvAG4AYQBsAEkAbgB0AGEAawBlAEYAbwByAE0AaQBsAGsAUAByAG8AZAB1AGMAdABpAG8AbgBfAEwAYQB0AGUAeABFAHEAdQBhAHQAaQBvAG4AVgBhAHIAaQBhAHQAaQBvAG4AIgAsACIARQBuAHQAZQByAGkAYwBNAGUAdABoAGEAbgBlAF8AUABhAHMAdAB1AHIAZQBCAGUAZQBmAF8ARQBxAHUAYQB0AGkAbwBuAHMALgBWAEUARQBSAEcAXwAzAF8AMgBfADEAXwAxAF8AXwA0AF8AQQBkAGQAaQB0AGkAbwBuAGEAbABJAG4AdABhAGsAZQBGAG8AcgBNAGkAbABrAFAAcgBvAGQAdQBjAHQAaQBvAG4AXwBBAHIAZwB1AG0AZQBuAHQAcwAiACwAIgBFAG4AdABlAHIAaQBjAE0AZQB0AGgAYQBuAGUAXwBQAGEAcwB0AHUAcgBlAEIAZQBlAGYAXwBFAHEAdQBhAHQAaQBvAG4AcwAuAFYARQBFAFIARwBfADMAXwAyAF8AMQBfADEAXwBfADQAXwBBAGQAZABpAHQAaQBvAG4AYQBsAEkAbgB0AGEAawBlAEYAbwByAE0AaQBsAGsAUAByAG8AZAB1AGMAdABpAG8AbgBfAEEAcgBnAHUAbQBlAG4AdABzAFYAYQByAGkAYQB0AGkAbwBuACIALAAiAEUAbgB0AGUAcgBpAGMATQBlAHQAaABhAG4AZQBfAFAAYQBzAHQAdQByAGUAQgBlAGUAZgBfAEUAcQB1AGEAdABpAG8AbgBzAC4AVgBFAEUAUgBHAF8AMwBfADIAXwAxAF8AMQBfAF8ANABfAEEAZABkAGkAdABpAG8AbgBhAGwASQBuAHQAYQBrAGUARgBvAHIATQBpAGwAawBQAHIAbwBkAHUAYwB0AGkAbwBuAF8AVgBhAHIAaQBhAHQAaQBvAG4AIgAsACIAUwBvAHUAcgBjAGUARABhAHQAYQBfAFAAYQBzAHQAdQByAGUAQgBlAGUAZgAuAFMAbwB1AHIAYwBlAEQAYQB0AGEAXwBQAGEAcwB0AHUAcgBlAEIAZQBlAGYAXwBMAGkAdgBlAHcAZQBpAGcAaAB0AF8AVABpAHQAbABlACIALAAiAFMAbwB1AHIAYwBlAEQAYQB0AGEAXwBQAGEAcwB0AHUAcgBlAEIAZQBlAGYALgBTAG8AdQByAGMAZQBEAGEAdABhAF8AUABhAHMAdAB1AHIAZQBCAGUAZQBmAF8ATABpAHYAZQB3AGUAaQBnAGgAdABfAFYAYQByAGkAYQBiAGwAZQAiACwAIgBTAG8AdQByAGMAZQBEAGEAdABhAF8AUABhAHMAdAB1AHIAZQBCAGUAZQBmAC4AUwBvAHUAcgBjAGUARABhAHQAYQBfAFAAYQBzAHQAdQByAGUAQgBlAGUAZgBfAEwAaQB2AGUAdwBlAGkAZwBoAHQAXwBVAG4AaQB0ACIALAAiAFMAbwB1AHIAYwBlAEQAYQB0AGEAXwBQAGEAcwB0AHUAcgBlAEIAZQBlAGYALgBTAG8AdQByAGMAZQBEAGEAdABhAF8AUABhAHMAdAB1AHIAZQBCAGUAZQBmAF8ATABpAHYAZQB3AGUAaQBnAGgAdABfAFMAbwB1AHIAYwBlACIALAAiAFMAbwB1AHIAYwBlAEQAYQB0AGEAXwBQAGEAcwB0AHUAcgBlAEIAZQBlAGYALgBTAG8AdQByAGMAZQBEAGEAdABhAF8AUABhAHMAdAB1AHIAZQBCAGUAZQBmAF8ATABpAHYAZQB3AGUAaQBnAGgAdABfAFYAYQByAGkAYQB0AGkAbwBuACIALAAiAFMAbwB1AHIAYwBlAEQAYQB0AGEAXwBQAGEAcwB0AHUAcgBlAEIAZQBlAGYALgBTAG8AdQByAGMAZQBEAGEAdABhAF8AUABhAHMAdAB1AHIAZQBCAGUAZQBmAF8ATABpAHYAZQB3AGUAaQBnAGgAdABfAEQAYQB0AGEAIgAsACIAUwBvAHUAcgBjAGUARABhAHQAYQBfAFAAYQBzAHQAdQByAGUAQgBlAGUAZgAuAFMAbwB1AHIAYwBlAEQAYQB0AGEAXwBQAGEAcwB0AHUAcgBlAEIAZQBlAGYAXwBMAGkAdgBlAHcAZQBpAGcAaAB0AE4AVABRAEwARABfAFQAaQB0AGwAZQAiACwAIgBTAG8AdQByAGMAZQBEAGEAdABhAF8AUABhAHMAdAB1AHIAZQBCAGUAZQBmAC4AUwBvAHUAcgBjAGUARABhAHQAYQBfAFAAYQBzAHQAdQByAGUAQgBlAGUAZgBfAEwAaQB2AGUAdwBlAGkAZwBoAHQATgBUAFEATABEAF8AVgBhAHIAaQBhAGIAbABlACIALAAiAFMAbwB1AHIAYwBlAEQAYQB0AGEAXwBQAGEAcwB0AHUAcgBlAEIAZQBlAGYALgBTAG8AdQByAGMAZQBEAGEAdABhAF8AUABhAHMAdAB1AHIAZQBCAGUAZQBmAF8ATABpAHYAZQB3AGUAaQBnAGgAdABOAFQAUQBMAEQAXwBVAG4AaQB0ACIALAAiAFMAbwB1AHIAYwBlAEQAYQB0AGEAXwBQAGEAcwB0AHUAcgBlAEIAZQBlAGYALgBTAG8AdQByAGMAZQBEAGEAdABhAF8AUABhAHMAdAB1AHIAZQBCAGUAZQBmAF8ATABpAHYAZQB3AGUAaQBnAGgAdABOAFQAUQBMAEQAXwBTAG8AdQByAGMAZQAiACwAIgBTAG8AdQByAGMAZQBEAGEAdABhAF8AUABhAHMAdAB1AHIAZQBCAGUAZQBmAC4AUwBvAHUAcgBjAGUARABhAHQAYQBfAFAAYQBzAHQAdQByAGUAQgBlAGUAZgBfAEwAaQB2AGUAdwBlAGkAZwBoAHQATgBUAFEATABEAF8AVgBhAHIAaQBhAHQAaQBvAG4AIgAsACIAUwBvAHUAcgBjAGUARABhAHQAYQBfAFAAYQBzAHQAdQByAGUAQgBlAGUAZgAuAFMAbwB1AHIAYwBlAEQAYQB0AGEAXwBQAGEAcwB0AHUAcgBlAEIAZQBlAGYAXwBMAGkAdgBlAHcAZQBpAGcAaAB0AE4AVABRAEwARABfAEQAYQB0AGEAIgAsACIAUwBvAHUAcgBjAGUARABhAHQAYQBfAFAAYQBzAHQAdQByAGUAQgBlAGUAZgAuAFMAbwB1AHIAYwBlAEQAYQB0AGEAXwBQAGEAcwB0AHUAcgBlAEIAZQBlAGYAXwBMAGkAdgBlAHcAZQBpAGcAaAB0AEcAYQBpAG4AXwBUAGkAdABsAGUAIgAsACIAUwBvAHUAcgBjAGUARABhAHQAYQBfAFAAYQBzAHQAdQByAGUAQgBlAGUAZgAuAFMAbwB1AHIAYwBlAEQAYQB0AGEAXwBQAGEAcwB0AHUAcgBlAEIAZQBlAGYAXwBMAGkAdgBlAHcAZQBpAGcAaAB0AEcAYQBpAG4AXwBWAGEAcgBpAGEAYgBsAGUAIgAsACIAUwBvAHUAcgBjAGUARABhAHQAYQBfAFAAYQBzAHQAdQByAGUAQgBlAGUAZgAuAFMAbwB1AHIAYwBlAEQAYQB0AGEAXwBQAGEAcwB0AHUAcgBlAEIAZQBlAGYAXwBMAGkAdgBlAHcAZQBpAGcAaAB0AEcAYQBpAG4AXwBVAG4AaQB0ACIALAAiAFMAbwB1AHIAYwBlAEQAYQB0AGEAXwBQAGEAcwB0AHUAcgBlAEIAZQBlAGYALgBTAG8AdQByAGMAZQBEAGEAdABhAF8AUABhAHMAdAB1AHIAZQBCAGUAZQBmAF8ATABpAHYAZQB3AGUAaQBnAGgAdABHAGEAaQBuAF8AUwBvAHUAcgBjAGUAIgAsACIAUwBvAHUAcgBjAGUARABhAHQAYQBfAFAAYQBzAHQAdQByAGUAQgBlAGUAZgAuAFMAbwB1AHIAYwBlAEQAYQB0AGEAXwBQAGEAcwB0AHUAcgBlAEIAZQBlAGYAXwBMAGkAdgBlAHcAZQBpAGcAaAB0AEcAYQBpAG4AXwBWAGEAcgBpAGEAdABpAG8AbgAiACwAIgBTAG8AdQByAGMAZQBEAGEAdABhAF8AUABhAHMAdAB1AHIAZQBCAGUAZQBmAC4AUwBvAHUAcgBjAGUARABhAHQAYQBfAFAAYQBzAHQAdQByAGUAQgBlAGUAZgBfAEwAaQB2AGUAdwBlAGkAZwBoAHQARwBhAGkAbgBfAEQAYQB0AGEAIgAsACIAUwBvAHUAcgBjAGUARABhAHQAYQBfAFAAYQBzAHQAdQByAGUAQgBlAGUAZgAuAFMAbwB1AHIAYwBlAEQAYQB0AGEAXwBQAGEAcwB0AHUAcgBlAEIAZQBlAGYAXwBMAGkAdgBlAHcAZQBpAGcAaAB0AEcAYQBpAG4ATgBUAFEATABEAF8AVABpAHQAbABlACIALAAiAFMAbwB1AHIAYwBlAEQAYQB0AGEAXwBQAGEAcwB0AHUAcgBlAEIAZQBlAGYALgBTAG8AdQByAGMAZQBEAGEAdABhAF8AUABhAHMAdAB1AHIAZQBCAGUAZQBmAF8ATABpAHYAZQB3AGUAaQBnAGgAdABHAGEAaQBuAE4AVABRAEwARABfAFYAYQByAGkAYQBiAGwAZQAiACwAIgBTAG8AdQByAGMAZQBEAGEAdABhAF8AUABhAHMAdAB1AHIAZQBCAGUAZQBmAC4AUwBvAHUAcgBjAGUARABhAHQAYQBfAFAAYQBzAHQAdQByAGUAQgBlAGUAZgBfAEwAaQB2AGUAdwBlAGkAZwBoAHQARwBhAGkAbgBOAFQAUQBMAEQAXwBVAG4AaQB0ACIALAAiAFMAbwB1AHIAYwBlAEQAYQB0AGEAXwBQAGEAcwB0AHUAcgBlAEIAZQBlAGYALgBTAG8AdQByAGMAZQBEAGEAdABhAF8AUABhAHMAdAB1AHIAZQBCAGUAZQBmAF8ATABpAHYAZQB3AGUAaQBnAGgAdABHAGEAaQBuAE4AVABRAEwARABfAFMAbwB1AHIAYwBlACIALAAiAFMAbwB1AHIAYwBlAEQAYQB0AGEAXwBQAGEAcwB0AHUAcgBlAEIAZQBlAGYALgBTAG8AdQByAGMAZQBEAGEAdABhAF8AUABhAHMAdAB1AHIAZQBCAGUAZQBmAF8ATABpAHYAZQB3AGUAaQBnAGgAdABHAGEAaQBuAE4AVABRAEwARABfAFYAYQByAGkAYQB0AGkAbwBuACIALAAiAFMAbwB1AHIAYwBlAEQAYQB0AGEAXwBQAGEAcwB0AHUAcgBlAEIAZQBlAGYALgBTAG8AdQByAGMAZQBEAGEAdABhAF8AUABhAHMAdAB1AHIAZQBCAGUAZQBmAF8ATABpAHYAZQB3AGUAaQBnAGgAdABHAGEAaQBuAE4AVABRAEwARABfAEQAYQB0AGEAIgAsACIAUwBvAHUAcgBjAGUARABhAHQAYQBfAFAAYQBzAHQAdQByAGUAQgBlAGUAZgAuAFMAbwB1AHIAYwBlAEQAYQB0AGEAXwBQAGEAcwB0AHUAcgBlAEIAZQBlAGYAXwBEAHIAeQBNAGEAdAB0AGUAcgBEAGkAZwBlAHMAdABpAGIAaQBsAGkAdAB5AF8AVABpAHQAbABlACIALAAiAFMAbwB1AHIAYwBlAEQAYQB0AGEAXwBQAGEAcwB0AHUAcgBlAEIAZQBlAGYALgBTAG8AdQByAGMAZQBEAGEAdABhAF8AUABhAHMAdAB1AHIAZQBCAGUAZQBmAF8ARAByAHkATQBhAHQAdABlAHIARABpAGcAZQBzAHQAaQBiAGkAbABpAHQAeQBfAFYAYQByAGkAYQBiAGwAZQAiACwAIgBTAG8AdQByAGMAZQBEAGEAdABhAF8AUABhAHMAdAB1AHIAZQBCAGUAZQBmAC4AUwBvAHUAcgBjAGUARABhAHQAYQBfAFAAYQBzAHQAdQByAGUAQgBlAGUAZgBfAEQAcgB5AE0AYQB0AHQAZQByAEQAaQBnAGUAcwB0AGkAYgBpAGwAaQB0AHkAXwBVAG4AaQB0ACIALAAiAFMAbwB1AHIAYwBlAEQAYQB0AGEAXwBQAGEAcwB0AHUAcgBlAEIAZQBlAGYALgBTAG8AdQByAGMAZQBEAGEAdABhAF8AUABhAHMAdAB1AHIAZQBCAGUAZQBmAF8ARAByAHkATQBhAHQAdABlAHIARABpAGcAZQBzAHQAaQBiAGkAbABpAHQAeQBfAFMAbwB1AHIAYwBlACIALAAiAFMAbwB1AHIAYwBlAEQAYQB0AGEAXwBQAGEAcwB0AHUAcgBlAEIAZQBlAGYALgBTAG8AdQByAGMAZQBEAGEAdABhAF8AUABhAHMAdAB1AHIAZQBCAGUAZQBmAF8ARAByAHkATQBhAHQAdABlAHIARABpAGcAZQBzAHQAaQBiAGkAbABpAHQAeQBfAFYAYQByAGkAYQB0AGkAbwBuACIALAAiAFMAbwB1AHIAYwBlAEQAYQB0AGEAXwBQAGEAcwB0AHUAcgBlAEIAZQBlAGYALgBTAG8AdQByAGMAZQBEAGEAdABhAF8AUABhAHMAdAB1AHIAZQBCAGUAZQBmAF8ARAByAHkATQBhAHQAdABlAHIARABpAGcAZQBzAHQAaQBiAGkAbABpAHQAeQBfAEQAYQB0AGEAIgAsACIAUwBvAHUAcgBjAGUARABhAHQAYQBfAFAAYQBzAHQAdQByAGUAQgBlAGUAZgAuAFMAbwB1AHIAYwBlAEQAYQB0AGEAXwBQAGEAcwB0AHUAcgBlAEIAZQBlAGYAXwBDAHIAdQBkAGUAUAByAG8AdABlAGkAbgBDAG8AbgB0AGUAbgB0AF8AVABpAHQAbABlACIALAAiAFMAbwB1AHIAYwBlAEQAYQB0AGEAXwBQAGEAcwB0AHUAcgBlAEIAZQBlAGYALgBTAG8AdQByAGMAZQBEAGEAdABhAF8AUABhAHMAdAB1AHIAZQBCAGUAZQBmAF8AQwByAHUAZABlAFAAcgBvAHQAZQBpAG4AQwBvAG4AdABlAG4AdABfAFYAYQByAGkAYQBiAGwAZQAiACwAIgBTAG8AdQByAGMAZQBEAGEAdABhAF8AUABhAHMAdAB1AHIAZQBCAGUAZQBmAC4AUwBvAHUAcgBjAGUARABhAHQAYQBfAFAAYQBzAHQAdQByAGUAQgBlAGUAZgBfAEMAcgB1AGQAZQBQAHIAbwB0AGUAaQBuAEMAbwBuAHQAZQBuAHQAXwBVAG4AaQB0ACIALAAiAFMAbwB1AHIAYwBlAEQAYQB0AGEAXwBQAGEAcwB0AHUAcgBlAEIAZQBlAGYALgBTAG8AdQByAGMAZQBEAGEAdABhAF8AUABhAHMAdAB1AHIAZQBCAGUAZQBmAF8AQwByAHUAZABlAFAAcgBvAHQAZQBpAG4AQwBvAG4AdABlAG4AdABfAFMAbwB1AHIAYwBlACIALAAiAFMAbwB1AHIAYwBlAEQAYQB0AGEAXwBQAGEAcwB0AHUAcgBlAEIAZQBlAGYALgBTAG8AdQByAGMAZQBEAGEAdABhAF8AUABhAHMAdAB1AHIAZQBCAGUAZQBmAF8AQwByAHUAZABlAFAAcgBvAHQAZQBpAG4AQwBvAG4AdABlAG4AdABfAFYAYQByAGkAYQB0AGkAbwBuACIALAAiAFMAbwB1AHIAYwBlAEQAYQB0AGEAXwBQAGEAcwB0AHUAcgBlAEIAZQBlAGYALgBTAG8AdQByAGMAZQBEAGEAdABhAF8AUABhAHMAdAB1AHIAZQBCAGUAZQBmAF8AQwByAHUAZABlAFAAcgBvAHQAZQBpAG4AQwBvAG4AdABlAG4AdABfAEQAYQB0AGEAIgAsACIAUwBvAHUAcgBjAGUARABhAHQAYQBfAFAAYQBzAHQAdQByAGUAQgBlAGUAZgAuAFMAbwB1AHIAYwBlAEQAYQB0AGEAXwBQAGEAcwB0AHUAcgBlAEIAZQBlAGYAXwBGAGUAZQBkAEEAZABqAHUAcwB0AG0AZQBuAHQAQQBuAGQATQBpAGwAawBQAHIAbwBkAHUAYwB0AGkAbwBuAF8AVABpAHQAbABlACIALAAiAFMAbwB1AHIAYwBlAEQAYQB0AGEAXwBQAGEAcwB0AHUAcgBlAEIAZQBlAGYALgBTAG8AdQByAGMAZQBEAGEAdABhAF8AUABhAHMAdAB1AHIAZQBCAGUAZQBmAF8ARgBlAGUAZABBAGQAagB1AHMAdABtAGUAbgB0AEEAbgBkAE0AaQBsAGsAUAByAG8AZAB1AGMAdABpAG8AbgBfAFYAYQByAGkAYQBiAGwAZQAiACwAIgBTAG8AdQByAGMAZQBEAGEAdABhAF8AUABhAHMAdAB1AHIAZQBCAGUAZQBmAC4AUwBvAHUAcgBjAGUARABhAHQAYQBfAFAAYQBzAHQAdQByAGUAQgBlAGUAZgBfAEYAZQBlAGQAQQBkAGoAdQBzAHQAbQBlAG4AdABBAG4AZABNAGkAbABrAFAAcgBvAGQAdQBjAHQAaQBvAG4AXwBVAG4AaQB0ACIALAAiAFMAbwB1AHIAYwBlAEQAYQB0AGEAXwBQAGEAcwB0AHUAcgBlAEIAZQBlAGYALgBTAG8AdQByAGMAZQBEAGEAdABhAF8AUABhAHMAdAB1AHIAZQBCAGUAZQBmAF8ARgBlAGUAZABBAGQAagB1AHMAdABtAGUAbgB0AEEAbgBkAE0AaQBsAGsAUAByAG8AZAB1AGMAdABpAG8AbgBfAFMAbwB1AHIAYwBlACIALAAiAFMAbwB1AHIAYwBlAEQAYQB0AGEAXwBQAGEAcwB0AHUAcgBlAEIAZQBlAGYALgBTAG8AdQByAGMAZQBEAGEAdABhAF8AUABhAHMAdAB1AHIAZQBCAGUAZQBmAF8ARgBlAGUAZABBAGQAagB1AHMAdABtAGUAbgB0AEEAbgBkAE0AaQBsAGsAUAByAG8AZAB1AGMAdABpAG8AbgBfAFYAYQByAGkAYQB0AGkAbwBuACIALAAiAFMAbwB1AHIAYwBlAEQAYQB0AGEAXwBQAGEAcwB0AHUAcgBlAEIAZQBlAGYALgBTAG8AdQByAGMAZQBEAGEAdABhAF8AUABhAHMAdAB1AHIAZQBCAGUAZQBmAF8ARgBlAGUAZABBAGQAagB1AHMAdABtAGUAbgB0AEEAbgBkAE0AaQBsAGsAUAByAG8AZAB1AGMAdABpAG8AbgBfAEQAYQB0AGEAIgAsACIAUwBvAHUAcgBjAGUARABhAHQAYQBfAFAAYQBzAHQAdQByAGUAQgBlAGUAZgAuAFMAbwB1AHIAYwBlAEQAYQB0AGEAXwBQAGEAcwB0AHUAcgBlAEIAZQBlAGYAXwBTAHQAYQBuAGQAYQByAGQAUgBlAGYAZQByAGUAbgBjAGUAVwBlAGkAZwBoAHQAcwBfAFQAaQB0AGwAZQAiACwAIgBTAG8AdQByAGMAZQBEAGEAdABhAF8AUABhAHMAdAB1AHIAZQBCAGUAZQBmAC4AUwBvAHUAcgBjAGUARABhAHQAYQBfAFAAYQBzAHQAdQByAGUAQgBlAGUAZgBfAFMAdABhAG4AZABhAHIAZABSAGUAZgBlAHIAZQBuAGMAZQBXAGUAaQBnAGgAdABzAF8AVgBhAHIAaQBhAGIAbABlACIALAAiAFMAbwB1AHIAYwBlAEQAYQB0AGEAXwBQAGEAcwB0AHUAcgBlAEIAZQBlAGYALgBTAG8AdQByAGMAZQBEAGEAdABhAF8AUABhAHMAdAB1AHIAZQBCAGUAZQBmAF8AUwB0AGEAbgBkAGEAcgBkAFIAZQBmAGUAcgBlAG4AYwBlAFcAZQBpAGcAaAB0AHMAXwBVAG4AaQB0ACIALAAiAFMAbwB1AHIAYwBlAEQAYQB0AGEAXwBQAGEAcwB0AHUAcgBlAEIAZQBlAGYALgBTAG8AdQByAGMAZQBEAGEAdABhAF8AUABhAHMAdAB1AHIAZQBCAGUAZQBmAF8AUwB0AGEAbgBkAGEAcgBkAFIAZQBmAGUAcgBlAG4AYwBlAFcAZQBpAGcAaAB0AHMAXwBTAG8AdQByAGMAZQAiACwAIgBTAG8AdQByAGMAZQBEAGEAdABhAF8AUABhAHMAdAB1AHIAZQBCAGUAZQBmAC4AUwBvAHUAcgBjAGUARABhAHQAYQBfAFAAYQBzAHQAdQByAGUAQgBlAGUAZgBfAFMAdABhAG4AZABhAHIAZABSAGUAZgBlAHIAZQBuAGMAZQBXAGUAaQBnAGgAdABzAF8AVgBhAHIAaQBhAHQAaQBvAG4AIgAsACIAUwBvAHUAcgBjAGUARABhAHQAYQBfAFAAYQBzAHQAdQByAGUAQgBlAGUAZgAuAFMAbwB1AHIAYwBlAEQAYQB0AGEAXwBQAGEAcwB0AHUAcgBlAEIAZQBlAGYAXwBTAHQAYQBuAGQAYQByAGQAUgBlAGYAZQByAGUAbgBjAGUAVwBlAGkAZwBoAHQAcwBfAEQAYQB0AGEAIgAsACIAUwBvAHUAcgBjAGUARABhAHQAYQBfAFAAYQBzAHQAdQByAGUAQgBlAGUAZgAuAFMAbwB1AHIAYwBlAEQAYQB0AGEAXwBQAGEAcwB0AHUAcgBlAEIAZQBlAGYAXwBGAHIAYQBjAHQAaQBvAG4ATwBmAE0AYQBuAHUAcgBlAFQAbwBNAE0AUwBfAFQAaQB0AGwAZQAiACwAIgBTAG8AdQByAGMAZQBEAGEAdABhAF8AUABhAHMAdAB1AHIAZQBCAGUAZQBmAC4AUwBvAHUAcgBjAGUARABhAHQAYQBfAFAAYQBzAHQAdQByAGUAQgBlAGUAZgBfAEYAcgBhAGMAdABpAG8AbgBPAGYATQBhAG4AdQByAGUAVABvAE0ATQBTAF8AVgBhAHIAaQBhAGIAbABlACIALAAiAFMAbwB1AHIAYwBlAEQAYQB0AGEAXwBQAGEAcwB0AHUAcgBlAEIAZQBlAGYALgBTAG8AdQByAGMAZQBEAGEAdABhAF8AUABhAHMAdAB1AHIAZQBCAGUAZQBmAF8ARgByAGEAYwB0AGkAbwBuAE8AZgBNAGEAbgB1AHIAZQBUAG8ATQBNAFMAXwBVAG4AaQB0ACIALAAiAFMAbwB1AHIAYwBlAEQAYQB0AGEAXwBQAGEAcwB0AHUAcgBlAEIAZQBlAGYALgBTAG8AdQByAGMAZQBEAGEAdABhAF8AUABhAHMAdAB1AHIAZQBCAGUAZQBmAF8ARgByAGEAYwB0AGkAbwBuAE8AZgBNAGEAbgB1AHIAZQBUAG8ATQBNAFMAXwBTAG8AdQByAGMAZQAiACwAIgBTAG8AdQByAGMAZQBEAGEAdABhAF8AUABhAHMAdAB1AHIAZQBCAGUAZQBmAC4AUwBvAHUAcgBjAGUARABhAHQAYQBfAFAAYQBzAHQAdQByAGUAQgBlAGUAZgBfAEYAcgBhAGMAdABpAG8AbgBPAGYATQBhAG4AdQByAGUAVABvAE0ATQBTAF8AVgBhAHIAaQBhAHQAaQBvAG4AIgAsACIAUwBvAHUAcgBjAGUARABhAHQAYQBfAFAAYQBzAHQAdQByAGUAQgBlAGUAZgAuAFMAbwB1AHIAYwBlAEQAYQB0AGEAXwBQAGEAcwB0AHUAcgBlAEIAZQBlAGYAXwBGAHIAYQBjAHQAaQBvAG4ATwBmAE0AYQBuAHUAcgBlAFQAbwBNAE0AUwBfAEQAYQB0AGEAIgAsACIAUwBvAHUAcgBjAGUARABhAHQAYQBfAFAAYQBzAHQAdQByAGUAQgBlAGUAZgAuAFMAbwB1AHIAYwBlAEQAYQB0AGEAXwBQAGEAcwB0AHUAcgBlAEIAZQBlAGYAXwBNAGUAdABoAGEAbgBlAEMAbwBuAHYAZQByAHMAaQBvAG4ARgBhAGMAdABvAHIAUABlAHIAUgBlAGcAaQBvAG4AXwBUAGkAdABsAGUAIgAsACIAUwBvAHUAcgBjAGUARABhAHQAYQBfAFAAYQBzAHQAdQByAGUAQgBlAGUAZgAuAFMAbwB1AHIAYwBlAEQAYQB0AGEAXwBQAGEAcwB0AHUAcgBlAEIAZQBlAGYAXwBNAGUAdABoAGEAbgBlAEMAbwBuAHYAZQByAHMAaQBvAG4ARgBhAGMAdABvAHIAUABlAHIAUgBlAGcAaQBvAG4AXwBWAGEAcgBpAGEAYgBsAGUAIgAsACIAUwBvAHUAcgBjAGUARABhAHQAYQBfAFAAYQBzAHQAdQByAGUAQgBlAGUAZgAuAFMAbwB1AHIAYwBlAEQAYQB0AGEAXwBQAGEAcwB0AHUAcgBlAEIAZQBlAGYAXwBNAGUAdABoAGEAbgBlAEMAbwBuAHYAZQByAHMAaQBvAG4ARgBhAGMAdABvAHIAUABlAHIAUgBlAGcAaQBvAG4AXwBVAG4AaQB0ACIALAAiAFMAbwB1AHIAYwBlAEQAYQB0AGEAXwBQAGEAcwB0AHUAcgBlAEIAZQBlAGYALgBTAG8AdQByAGMAZQBEAGEAdABhAF8AUABhAHMAdAB1AHIAZQBCAGUAZQBmAF8ATQBlAHQAaABhAG4AZQBDAG8AbgB2AGUAcgBzAGkAbwBuAEYAYQBjAHQAbwByAFAAZQByAFIAZQBnAGkAbwBuAF8AUwBvAHUAcgBjAGUAIgAsACIAUwBvAHUAcgBjAGUARABhAHQAYQBfAFAAYQBzAHQAdQByAGUAQgBlAGUAZgAuAFMAbwB1AHIAYwBlAEQAYQB0AGEAXwBQAGEAcwB0AHUAcgBlAEIAZQBlAGYAXwBNAGUAdABoAGEAbgBlAEMAbwBuAHYAZQByAHMAaQBvAG4ARgBhAGMAdABvAHIAUABlAHIAUgBlAGcAaQBvAG4AXwBWAGEAcgBpAGEAdABpAG8AbgAiACwAIgBTAG8AdQByAGMAZQBEAGEAdABhAF8AUABhAHMAdAB1AHIAZQBCAGUAZQBmAC4AUwBvAHUAcgBjAGUARABhAHQAYQBfAFAAYQBzAHQAdQByAGUAQgBlAGUAZgBfAE0AZQB0AGgAYQBuAGUAQwBvAG4AdgBlAHIAcwBpAG8AbgBGAGEAYwB0AG8AcgBQAGUAcgBSAGUAZwBpAG8AbgBfAEQAYQB0AGEAIgAsACIAUwBvAHUAcgBjAGUARABhAHQAYQBfAFAAYQBzAHQAdQByAGUAQgBlAGUAZgAuAFMAbwB1AHIAYwBlAEQAYQB0AGEAXwBQAGEAcwB0AHUAcgBlAEIAZQBlAGYAXwBBAHMAaABDAG8AbgB0AGUAbgB0AE8AZgBGAGUAZQBkAEkAbgB0AGEAawBlAF8AVABpAHQAbABlACIALAAiAFMAbwB1AHIAYwBlAEQAYQB0AGEAXwBQAGEAcwB0AHUAcgBlAEIAZQBlAGYALgBTAG8AdQByAGMAZQBEAGEAdABhAF8AUABhAHMAdAB1AHIAZQBCAGUAZQBmAF8AQQBzAGgAQwBvAG4AdABlAG4AdABPAGYARgBlAGUAZABJAG4AdABhAGsAZQBfAFYAYQByAGkAYQBiAGwAZQAiACwAIgBTAG8AdQByAGMAZQBEAGEAdABhAF8AUABhAHMAdAB1AHIAZQBCAGUAZQBmAC4AUwBvAHUAcgBjAGUARABhAHQAYQBfAFAAYQBzAHQAdQByAGUAQgBlAGUAZgBfAEEAcwBoAEMAbwBuAHQAZQBuAHQATwBmAEYAZQBlAGQASQBuAHQAYQBrAGUAXwBVAG4AaQB0ACIALAAiAFMAbwB1AHIAYwBlAEQAYQB0AGEAXwBQAGEAcwB0AHUAcgBlAEIAZQBlAGYALgBTAG8AdQByAGMAZQBEAGEAdABhAF8AUABhAHMAdAB1AHIAZQBCAGUAZQBmAF8AQQBzAGgAQwBvAG4AdABlAG4AdABPAGYARgBlAGUAZABJAG4AdABhAGsAZQBfAFMAbwB1AHIAYwBlACIALAAiAFMAbwB1AHIAYwBlAEQAYQB0AGEAXwBQAGEAcwB0AHUAcgBlAEIAZQBlAGYALgBTAG8AdQByAGMAZQBEAGEAdABhAF8AUABhAHMAdAB1AHIAZQBCAGUAZQBmAF8AQQBzAGgAQwBvAG4AdABlAG4AdABPAGYARgBlAGUAZABJAG4AdABhAGsAZQBfAFYAYQByAGkAYQB0AGkAbwBuACIALAAiAFMAbwB1AHIAYwBlAEQAYQB0AGEAXwBQAGEAcwB0AHUAcgBlAEIAZQBlAGYALgBTAG8AdQByAGMAZQBEAGEAdABhAF8AUABhAHMAdAB1AHIAZQBCAGUAZQBmAF8AQQBzAGgAQwBvAG4AdABlAG4AdABPAGYARgBlAGUAZABJAG4AdABhAGsAZQBfAEQAYQB0AGEAIgAsACIAUwBvAHUAcgBjAGUARABhAHQAYQBfAFAAYQBzAHQAdQByAGUAQgBlAGUAZgAuAFMAbwB1AHIAYwBlAEQAYQB0AGEAXwBQAGEAcwB0AHUAcgBlAEIAZQBlAGYAXwBNAGUAdABoAGEAbgBlAEUAbQBpAHMAcwBpAG8AbgBzAFAAbwB0AGUAbgB0AGkAYQBsAF8AVABpAHQAbABlACIALAAiAFMAbwB1AHIAYwBlAEQAYQB0AGEAXwBQAGEAcwB0AHUAcgBlAEIAZQBlAGYALgBTAG8AdQByAGMAZQBEAGEAdABhAF8AUABhAHMAdAB1AHIAZQBCAGUAZQBmAF8ATQBlAHQAaABhAG4AZQBFAG0AaQBzAHMAaQBvAG4AcwBQAG8AdABlAG4AdABpAGEAbABfAFYAYQByAGkAYQBiAGwAZQAiACwAIgBTAG8AdQByAGMAZQBEAGEAdABhAF8AUABhAHMAdAB1AHIAZQBCAGUAZQBmAC4AUwBvAHUAcgBjAGUARABhAHQAYQBfAFAAYQBzAHQAdQByAGUAQgBlAGUAZgBfAE0AZQB0AGgAYQBuAGUARQBtAGkAcwBzAGkAbwBuAHMAUABvAHQAZQBuAHQAaQBhAGwAXwBVAG4AaQB0ACIALAAiAFMAbwB1AHIAYwBlAEQAYQB0AGEAXwBQAGEAcwB0AHUAcgBlAEIAZQBlAGYALgBTAG8AdQByAGMAZQBEAGEAdABhAF8AUABhAHMAdAB1AHIAZQBCAGUAZQBmAF8ATQBlAHQAaABhAG4AZQBFAG0AaQBzAHMAaQBvAG4AcwBQAG8AdABlAG4AdABpAGEAbABfAFMAbwB1AHIAYwBlACIALAAiAFMAbwB1AHIAYwBlAEQAYQB0AGEAXwBQAGEAcwB0AHUAcgBlAEIAZQBlAGYALgBTAG8AdQByAGMAZQBEAGEAdABhAF8AUABhAHMAdAB1AHIAZQBCAGUAZQBmAF8ATQBlAHQAaABhAG4AZQBFAG0AaQBzAHMAaQBvAG4AcwBQAG8AdABlAG4AdABpAGEAbABfAFYAYQByAGkAYQB0AGkAbwBuACIALAAiAFMAbwB1AHIAYwBlAEQAYQB0AGEAXwBQAGEAcwB0AHUAcgBlAEIAZQBlAGYALgBTAG8AdQByAGMAZQBEAGEAdABhAF8AUABhAHMAdAB1AHIAZQBCAGUAZQBmAF8ATQBlAHQAaABhAG4AZQBFAG0AaQBzAHMAaQBvAG4AcwBQAG8AdABlAG4AdABpAGEAbABfAEQAYQB0AGEAIgAsACIAUwBvAHUAcgBjAGUARABhAHQAYQBfAFAAYQBzAHQAdQByAGUAQgBlAGUAZgAuAFMAbwB1AHIAYwBlAEQAYQB0AGEAXwBQAGEAcwB0AHUAcgBlAEIAZQBlAGYAXwBGAHIAYQBjAEcAQQBTAE0AUwBvAGkAbABfAFQAaQB0AGwAZQAiACwAIgBTAG8AdQByAGMAZQBEAGEAdABhAF8AUABhAHMAdAB1AHIAZQBCAGUAZQBmAC4AUwBvAHUAcgBjAGUARABhAHQAYQBfAFAAYQBzAHQAdQByAGUAQgBlAGUAZgBfAEYAcgBhAGMARwBBAFMATQBTAG8AaQBsAF8AVgBhAHIAaQBhAGIAbABlACIALAAiAFMAbwB1AHIAYwBlAEQAYQB0AGEAXwBQAGEAcwB0AHUAcgBlAEIAZQBlAGYALgBTAG8AdQByAGMAZQBEAGEAdABhAF8AUABhAHMAdAB1AHIAZQBCAGUAZQBmAF8ARgByAGEAYwBHAEEAUwBNAFMAbwBpAGwAXwBVAG4AaQB0ACIALAAiAFMAbwB1AHIAYwBlAEQAYQB0AGEAXwBQAGEAcwB0AHUAcgBlAEIAZQBlAGYALgBTAG8AdQByAGMAZQBEAGEAdABhAF8AUABhAHMAdAB1AHIAZQBCAGUAZQBmAF8ARgByAGEAYwBHAEEAUwBNAFMAbwBpAGwAXwBTAG8AdQByAGMAZQAiACwAIgBTAG8AdQByAGMAZQBEAGEAdABhAF8AUABhAHMAdAB1AHIAZQBCAGUAZQBmAC4AUwBvAHUAcgBjAGUARABhAHQAYQBfAFAAYQBzAHQAdQByAGUAQgBlAGUAZgBfAEYAcgBhAGMARwBBAFMATQBTAG8AaQBsAF8AVgBhAHIAaQBhAHQAaQBvAG4AIgAsACIAUwBvAHUAcgBjAGUARABhAHQAYQBfAFAAYQBzAHQAdQByAGUAQgBlAGUAZgAuAFMAbwB1AHIAYwBlAEQAYQB0AGEAXwBQAGEAcwB0AHUAcgBlAEIAZQBlAGYAXwBGAHIAYQBjAEcAQQBTAE0AUwBvAGkAbABfAEQAYQB0AGEAIgAsACIAUwBvAHUAcgBjAGUARABhAHQAYQBfAFAAYQBzAHQAdQByAGUAQgBlAGUAZgAuAFMAbwB1AHIAYwBlAEQAYQB0AGEAXwBQAGEAcwB0AHUAcgBlAEIAZQBlAGYAXwBGAHIAYQBjAEwARQBBAEMASABfAFQAaQB0AGwAZQAiACwAIgBTAG8AdQByAGMAZQBEAGEAdABhAF8AUABhAHMAdAB1AHIAZQBCAGUAZQBmAC4AUwBvAHUAcgBjAGUARABhAHQAYQBfAFAAYQBzAHQAdQByAGUAQgBlAGUAZgBfAEYAcgBhAGMATABFAEEAQwBIAF8AVgBhAHIAaQBhAGIAbABlACIALAAiAFMAbwB1AHIAYwBlAEQAYQB0AGEAXwBQAGEAcwB0AHUAcgBlAEIAZQBlAGYALgBTAG8AdQByAGMAZQBEAGEAdABhAF8AUABhAHMAdAB1AHIAZQBCAGUAZQBmAF8ARgByAGEAYwBMAEUAQQBDAEgAXwBVAG4AaQB0ACIALAAiAFMAbwB1AHIAYwBlAEQAYQB0AGEAXwBQAGEAcwB0AHUAcgBlAEIAZQBlAGYALgBTAG8AdQByAGMAZQBEAGEAdABhAF8AUABhAHMAdAB1AHIAZQBCAGUAZQBmAF8ARgByAGEAYwBMAEUAQQBDAEgAXwBTAG8AdQByAGMAZQAiACwAIgBTAG8AdQByAGMAZQBEAGEAdABhAF8AUABhAHMAdAB1AHIAZQBCAGUAZQBmAC4AUwBvAHUAcgBjAGUARABhAHQAYQBfAFAAYQBzAHQAdQByAGUAQgBlAGUAZgBfAEYAcgBhAGMATABFAEEAQwBIAF8AVgBhAHIAaQBhAHQAaQBvAG4AIgAsACIAUwBvAHUAcgBjAGUARABhAHQAYQBfAFAAYQBzAHQAdQByAGUAQgBlAGUAZgAuAFMAbwB1AHIAYwBlAEQAYQB0AGEAXwBQAGEAcwB0AHUAcgBlAEIAZQBlAGYAXwBGAHIAYQBjAEwARQBBAEMASABfAEQAYQB0AGEAIgAsACIASQBuAHAAdQB0AEYAdQBuAGMAdABpAG8AbgBzAF8AUABhAHMAdAB1AHIAZQBCAGUAZQBmAC4ATABvAG8AawB1AHAATABpAHYAZQB3AGUAaQBnAGgAdABGAHIAbwBtAFMAZQBhAHMAbwBuACIALAAiAEkAbgBwAHUAdABGAHUAbgBjAHQAaQBvAG4AcwBfAFAAYQBzAHQAdQByAGUAQgBlAGUAZgAuAEwAbwBvAGsAdQBwAEwAaQB2AGUAdwBlAGkAZwBoAHQARgByAG8AbQBNAG8AbgB0AGgAIgAsACIASQBuAHAAdQB0AEYAdQBuAGMAdABpAG8AbgBzAF8AUABhAHMAdAB1AHIAZQBCAGUAZQBmAC4AQwBvAG4AdgBlAHIAdABNAG8AbgB0AGgAbAB5AEMAYQBsAHYAaQBuAGcAVABvAFMAZQBhAHMAbwBuACIALAAiAEkAbgBwAHUAdABGAHUAbgBjAHQAaQBvAG4AcwBfAFAAYQBzAHQAdQByAGUAQgBlAGUAZgAuAEwAbwBvAGsAdQBwAFYAYQBsAHUAZQBGAHIAbwBtAFMAdABhAHQAZQBSAGUAZwBpAG8AbgBTAGUAYQBzAG8AbgAiACwAIgBJAG4AcAB1AHQARgB1AG4AYwB0AGkAbwBuAHMAXwBQAGEAcwB0AHUAcgBlAEIAZQBlAGYALgBMAG8AbwBrAHUAcABWAGEAbAB1AGUARgByAG8AbQBTAHQAYQB0AGUAUgBlAGcAaQBvAG4ATQBvAG4AdABo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FMAYwBvAHAAZQAzAF8ASQBuAHAAdQB0AEYAdQBuAGMAdABpAG8AbgBzAC4ARwBlAHQATABpAHYAZQB3AGUAaQBnAGgAdABfAFAAYQBzAHQAdQByAGUAQgBlAGUAZg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46</vt:i4>
      </vt:variant>
    </vt:vector>
  </HeadingPairs>
  <TitlesOfParts>
    <vt:vector size="55" baseType="lpstr">
      <vt:lpstr>Home</vt:lpstr>
      <vt:lpstr>Results</vt:lpstr>
      <vt:lpstr>Input - Site</vt:lpstr>
      <vt:lpstr>Input - Pasture Beef</vt:lpstr>
      <vt:lpstr>3.2.1.1-2 Enteric Methane</vt:lpstr>
      <vt:lpstr>Constants - Pasture Beef</vt:lpstr>
      <vt:lpstr>Constants - Common</vt:lpstr>
      <vt:lpstr>Constants - Common Livestock</vt:lpstr>
      <vt:lpstr>Acknowledgements</vt:lpstr>
      <vt:lpstr>Common_SourceData_DensityOfMethane_Data</vt:lpstr>
      <vt:lpstr>M1_Table_D_j</vt:lpstr>
      <vt:lpstr>M1_Table_E_enteric</vt:lpstr>
      <vt:lpstr>M1_Table_I_j_k_l</vt:lpstr>
      <vt:lpstr>M1_Table_LC_j_k45</vt:lpstr>
      <vt:lpstr>M1_Table_LWG_j_k_l</vt:lpstr>
      <vt:lpstr>M1_Table_M_j_k_l</vt:lpstr>
      <vt:lpstr>M1_Table_MA_j_k45</vt:lpstr>
      <vt:lpstr>M1_Table_N_j_k_l</vt:lpstr>
      <vt:lpstr>M1_Table_W_j_k_l</vt:lpstr>
      <vt:lpstr>M2_Table_D_j</vt:lpstr>
      <vt:lpstr>M2_Table_E_enteric</vt:lpstr>
      <vt:lpstr>M2_Table_I_j_k_l</vt:lpstr>
      <vt:lpstr>M2_Table_LC_j_k45</vt:lpstr>
      <vt:lpstr>M2_Table_LWG_j_k_l</vt:lpstr>
      <vt:lpstr>M2_Table_M_j_k_l</vt:lpstr>
      <vt:lpstr>M2_Table_MA_j_k45</vt:lpstr>
      <vt:lpstr>M2_Table_N_j_k_l</vt:lpstr>
      <vt:lpstr>M2_Table_W_j_k_l</vt:lpstr>
      <vt:lpstr>SourceData_PastureBeef_AshContentOfFeedIntake_Data</vt:lpstr>
      <vt:lpstr>SourceData_PastureBeef_FracGASMSoil_Data</vt:lpstr>
      <vt:lpstr>SourceData_PastureBeef_FracLEACH_Data</vt:lpstr>
      <vt:lpstr>SourceData_PastureBeef_MethaneEmissionsPotential_Data</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2026-07-29T06:04:03Z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