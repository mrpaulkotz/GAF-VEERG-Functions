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E943280-7E80-45B9-91A5-49EDC8BF5F56}" xr6:coauthVersionLast="47" xr6:coauthVersionMax="47" xr10:uidLastSave="{00000000-0000-0000-0000-000000000000}"/>
  <bookViews>
    <workbookView xWindow="1350" yWindow="360" windowWidth="36255" windowHeight="19140"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9"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79" l="1"/>
  <c r="G8" i="79"/>
  <c r="E30" i="15"/>
  <c r="E33" i="15"/>
  <c r="E32" i="15"/>
  <c r="E31" i="15"/>
  <c r="P185" i="69"/>
  <c r="G185" i="69"/>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H54" i="109" s="1"/>
  <c r="E54" i="109" a="1"/>
  <c r="E54" i="109" s="1"/>
  <c r="D54" i="109" a="1"/>
  <c r="D54" i="109" s="1"/>
  <c r="G53" i="109" a="1"/>
  <c r="G53" i="109" s="1"/>
  <c r="F53" i="109" a="1"/>
  <c r="F53" i="109" s="1"/>
  <c r="H53" i="109" s="1"/>
  <c r="E53" i="109" a="1"/>
  <c r="E53" i="109" s="1"/>
  <c r="D53" i="109" a="1"/>
  <c r="D53" i="109" s="1"/>
  <c r="G52" i="109" a="1"/>
  <c r="G52" i="109" s="1"/>
  <c r="F52" i="109" a="1"/>
  <c r="F52" i="109" s="1"/>
  <c r="H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H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a="1"/>
  <c r="D19" i="109" s="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a="1"/>
  <c r="D5" i="109" s="1"/>
  <c r="P37" i="69" a="1"/>
  <c r="P37" i="69" s="1"/>
  <c r="M37" i="69" a="1"/>
  <c r="M37" i="69" s="1"/>
  <c r="I64" i="69"/>
  <c r="I37" i="69"/>
  <c r="H51" i="109" l="1"/>
  <c r="H50" i="109"/>
  <c r="H48" i="109"/>
  <c r="D6" i="69" a="1"/>
  <c r="D6" i="69" s="1"/>
  <c r="D227" i="79" a="1"/>
  <c r="D227" i="79" s="1"/>
  <c r="F56" i="70" s="1"/>
  <c r="R40" i="69" s="1"/>
  <c r="D226" i="79" a="1"/>
  <c r="D226" i="79" s="1"/>
  <c r="D225" i="79" a="1"/>
  <c r="D225" i="79" s="1"/>
  <c r="D224" i="79" a="1"/>
  <c r="D224" i="79" s="1"/>
  <c r="D223" i="79" a="1"/>
  <c r="D223" i="79" s="1"/>
  <c r="D221" i="79" a="1"/>
  <c r="D221" i="79" s="1"/>
  <c r="F55" i="70" s="1"/>
  <c r="R39" i="69" s="1"/>
  <c r="D220" i="79" a="1"/>
  <c r="D220" i="79" s="1"/>
  <c r="D219" i="79" a="1"/>
  <c r="D219" i="79" s="1"/>
  <c r="D218" i="79" a="1"/>
  <c r="D218" i="79" s="1"/>
  <c r="D217" i="79" a="1"/>
  <c r="D217" i="79" s="1"/>
  <c r="E55" i="70" l="1"/>
  <c r="I39" i="69" s="1"/>
  <c r="E56" i="70"/>
  <c r="I40" i="69" s="1"/>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A137" i="79"/>
  <c r="A104" i="79"/>
  <c r="A79" i="79"/>
  <c r="A55" i="79"/>
  <c r="E121" i="69" a="1"/>
  <c r="O182" i="69" l="1"/>
  <c r="F182" i="69"/>
  <c r="G7" i="13" s="1"/>
  <c r="I180" i="69"/>
  <c r="R180" i="69"/>
  <c r="F175" i="69"/>
  <c r="R165" i="69"/>
  <c r="R170" i="69"/>
  <c r="I165" i="69"/>
  <c r="I170" i="69"/>
  <c r="E121"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57" i="69" a="1"/>
  <c r="E86" i="69" a="1"/>
  <c r="E8" i="69" a="1"/>
  <c r="E36" i="70" l="1"/>
  <c r="I40" i="70"/>
  <c r="Q19" i="69" s="1"/>
  <c r="Q24" i="69" s="1" a="1"/>
  <c r="Q24" i="69" s="1"/>
  <c r="F40" i="70"/>
  <c r="N19" i="69" s="1"/>
  <c r="N24" i="69" s="1" a="1"/>
  <c r="N24" i="69" s="1"/>
  <c r="H40" i="70"/>
  <c r="P19" i="69" s="1"/>
  <c r="P24" i="69" s="1" a="1"/>
  <c r="P24" i="69" s="1"/>
  <c r="E40" i="70"/>
  <c r="M19" i="69" s="1"/>
  <c r="M24" i="69" s="1" a="1"/>
  <c r="M24" i="69" s="1"/>
  <c r="G40" i="70"/>
  <c r="O19" i="69" s="1"/>
  <c r="O24" i="69" s="1" a="1"/>
  <c r="O24" i="69" s="1"/>
  <c r="F37" i="70"/>
  <c r="F41" i="70"/>
  <c r="H41" i="70"/>
  <c r="I41" i="70"/>
  <c r="G41" i="70"/>
  <c r="E41" i="70"/>
  <c r="R115" i="69"/>
  <c r="F36" i="70"/>
  <c r="E19" i="69" s="1"/>
  <c r="G36" i="70"/>
  <c r="F19" i="69" s="1"/>
  <c r="H36" i="70"/>
  <c r="G19" i="69" s="1"/>
  <c r="G37" i="70"/>
  <c r="I37" i="70"/>
  <c r="H37" i="70"/>
  <c r="E37" i="70"/>
  <c r="I36" i="70"/>
  <c r="H19" i="69" s="1"/>
  <c r="I24" i="69"/>
  <c r="R24" i="69"/>
  <c r="E86" i="69"/>
  <c r="P80" i="69" a="1"/>
  <c r="P80" i="69" s="1"/>
  <c r="N80" i="69" a="1"/>
  <c r="N80" i="69" s="1"/>
  <c r="Q80" i="69" a="1"/>
  <c r="Q80" i="69" s="1"/>
  <c r="I80" i="69"/>
  <c r="O80" i="69" a="1"/>
  <c r="O80" i="69" s="1"/>
  <c r="E57" i="69"/>
  <c r="E8" i="69"/>
  <c r="D24" i="69" l="1" a="1"/>
  <c r="D24" i="69" s="1"/>
  <c r="D19" i="69"/>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D80" i="69" l="1" a="1"/>
  <c r="D80" i="69" s="1"/>
  <c r="M80" i="69" a="1"/>
  <c r="M80" i="69" s="1"/>
  <c r="E28" i="70" a="1"/>
  <c r="E28" i="70" s="1"/>
  <c r="M165" i="69"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<sst xmlns="http://schemas.openxmlformats.org/spreadsheetml/2006/main" count="522" uniqueCount="253">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</sst>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0"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4FBC06E-6616-4324-89DF-F028C686F55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0817674-2007-4F9E-BC3A-0845F22968B5}" name="State/Territory">
      <calculatedColumnFormula array="1">Common_InputFunctions.Utility_DisplayArrayInTable(Common_SourceData.Common_SourceData_AustralianStatesTerritories_Data(),Table_AustralianStates[[#Headers],[State/Territory]],0)</calculatedColumnFormula>
    </tableColumn>
    <tableColumn id="2" xr3:uid="{681D4613-4582-48DE-B73D-E225D87C21CA}" name="Common Name">
      <calculatedColumnFormula array="1">Common_InputFunctions.Utility_DisplayArrayInTable(Common_SourceData.Common_SourceData_AustralianStatesTerritories_Data(),Table_AustralianStates[[#Headers],[State/Territory]],0)</calculatedColumnFormula>
    </tableColumn>
    <tableColumn id="3" xr3:uid="{49D95DBE-A8EB-4448-918C-9183850F9F8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F3BEC2E-5AE6-46AF-9295-CA71AC8D6981}" name="Table_WASA4Areas" displayName="Table_WASA4Areas" ref="D20:D30" totalsRowShown="0">
  <autoFilter ref="D20:D30" xr:uid="{5FA81339-C6C8-4D36-BEEA-6C4AEDD9E676}">
    <filterColumn colId="0" hiddenButton="1"/>
  </autoFilter>
  <tableColumns count="1">
    <tableColumn id="1" xr3:uid="{35E4C276-54C1-4953-BD12-44941336B49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8969B0D-11EF-4B79-B4CE-D5C1DB362853}" name="Table_GWPData" displayName="Table_GWPData" ref="D36:E43" totalsRowShown="0">
  <autoFilter ref="D36:E43" xr:uid="{B8E87A66-3E41-4AD3-925D-01EE21B43D7A}">
    <filterColumn colId="0" hiddenButton="1"/>
    <filterColumn colId="1" hiddenButton="1"/>
  </autoFilter>
  <tableColumns count="2">
    <tableColumn id="1" xr3:uid="{469C9167-39B2-4964-BBE3-850178E60F15}" name="Gas">
      <calculatedColumnFormula array="1">Common_InputFunctions.Utility_DisplayArrayInTable(Common_SourceData.Common_SourceData_GWP_Data(), Table_GWPData[[#Headers],[Gas]], 0)</calculatedColumnFormula>
    </tableColumn>
    <tableColumn id="2" xr3:uid="{2C2AF300-F1C4-4B41-AC39-39B9A6EB680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DC9AA4C-7A11-4ABD-82EC-0F5DF17F9F3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8264207-D30F-4DC0-A64C-2E4D9CC3C94D}" name="Gas">
      <calculatedColumnFormula array="1">Common_InputFunctions.Utility_DisplayArrayInTable(Common_SourceData.Common_SourceData_ConvertGasElementalToMolecular_Data(),Table_GasToMolecularConversionFactor[[#Headers],[Gas]], 0)</calculatedColumnFormula>
    </tableColumn>
    <tableColumn id="5" xr3:uid="{BE8B2C11-77B9-40CC-9DEA-93E7AF650B86}" name="Conversion factor">
      <calculatedColumnFormula array="1">Common_InputFunctions.Utility_DisplayArrayInTable(Common_SourceData.Common_SourceData_ConvertGasElementalToMolecular_Data(),Table_GasToMolecularConversionFactor[[#Headers],[Gas]], 0)</calculatedColumnFormula>
    </tableColumn>
    <tableColumn id="2" xr3:uid="{D12D33B2-0675-4D98-B000-9CCC3592E54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1CABDC-99F6-4DDC-B7D2-1E09AF21720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2944E5A2-AA37-4919-912F-CB88AD99EE7B}"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F3A7EA8-D1DE-4995-957F-A62F668AE4C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6C8AFF-1527-4D4E-862B-762F1EFFCE1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A414E38-3A3F-4A8A-80DA-A31535DD8D2E}"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1A94B158-2746-47B1-9666-3B7607FE93A3}"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5EECAFEE-3BA5-4DE6-BEFF-F6A8DCEADB1A}"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4B40EEC6-6C28-4FA1-8AD9-42CB3F040AF0}"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D275927B-CB21-4B39-9CBA-DAD8AC1F8CD4}"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C9517343-8183-40F8-B344-6A71A4548DAB}"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120D4943-CF66-4E62-A3BF-CBFCDCB155B7}"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965A780D-01B7-4004-A982-B12A9FEF6096}"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ADCC8D36-6A1A-4845-8CCF-B1F6A550D89C}"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AAF55BCB-1595-465E-B955-472A2D78D385}"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FE35B57A-1E50-4C95-B5A4-4682101A2017}"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64BCA386-0B38-4CDF-AE7E-51DFF7D5EBB0}"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0F1586D2-75DB-4417-9563-BCCCA047BA30}"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07B518F5-BA60-4CAD-B757-ADFE445D0556}"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26430A1E-5080-446C-AEDE-3B5222A8D725}"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8E81ECD-6421-46CD-9C5D-5B13D6A924B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E7BB60E-E05B-42D5-A768-65C0C904494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F5A0839-C41A-4310-A2D3-2892A2242282}"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C1D9540-A017-4505-8F63-DA499266A51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D22E1DF-8274-4BFA-9EC4-D472C0E190CD}" name="Temperature Zone">
      <calculatedColumnFormula array="1">Common_InputFunctions.Utility_DisplayArrayInTable(Common_SourceData.Common_SourceData_TemperatureZones_Data(),Table_SourceData_TemperatureZones[[#Headers],[Temperature Zone]],0)</calculatedColumnFormula>
    </tableColumn>
    <tableColumn id="2" xr3:uid="{583E77C7-7561-4F75-9A49-6D5221BB2575}" name="MAT">
      <calculatedColumnFormula array="1">Common_InputFunctions.Utility_DisplayArrayInTable(Common_SourceData.Common_SourceData_TemperatureZones_Data(),Table_SourceData_TemperatureZones[[#Headers],[Temperature Zone]],0)</calculatedColumnFormula>
    </tableColumn>
    <tableColumn id="3" xr3:uid="{68C98498-91EA-4B9E-A937-76E38B629C3E}" name="Min MAT">
      <calculatedColumnFormula array="1">Common_InputFunctions.Utility_DisplayArrayInTable(Common_SourceData.Common_SourceData_TemperatureZones_Data(),Table_SourceData_TemperatureZones[[#Headers],[Temperature Zone]],0)</calculatedColumnFormula>
    </tableColumn>
    <tableColumn id="4" xr3:uid="{C33C37CF-90D6-4391-A682-A0E8AA1A4A2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D826EEF-344C-4293-8F4E-6EEF0899A3D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1C02851-59F9-40BF-BD34-F70AD66F4302}" name="Rainfall Zone">
      <calculatedColumnFormula array="1">Common_InputFunctions.Utility_DisplayArrayInTable(Common_SourceData.Common_SourceData_RainfallZones_Data(),Table_SourceData_RainfallZones[[#Headers],[Rainfall Zone]],0)</calculatedColumnFormula>
    </tableColumn>
    <tableColumn id="2" xr3:uid="{7D9549C8-2C00-4BBF-9D27-173A50F22208}" name="Annual rainfall">
      <calculatedColumnFormula array="1">Common_InputFunctions.Utility_DisplayArrayInTable(Common_SourceData.Common_SourceData_RainfallZones_Data(),Table_SourceData_RainfallZones[[#Headers],[Rainfall Zone]],0)</calculatedColumnFormula>
    </tableColumn>
    <tableColumn id="3" xr3:uid="{189220B1-8740-4696-AA85-A923A11D4D6F}" name="Min rainfall">
      <calculatedColumnFormula array="1">Common_InputFunctions.Utility_DisplayArrayInTable(Common_SourceData.Common_SourceData_RainfallZones_Data(),Table_SourceData_RainfallZones[[#Headers],[Rainfall Zone]],0)</calculatedColumnFormula>
    </tableColumn>
    <tableColumn id="4" xr3:uid="{A5C032FA-A843-4C47-A3C7-89A82BE331A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CA772BA-6F21-40D7-9539-8C5DEC23051A}"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7A27B71-FB15-420D-8268-C658905751BE}" name="Leaching Zone">
      <calculatedColumnFormula array="1">Common_InputFunctions.Utility_DisplayArrayInTable(Common_SourceData.Common_SourceData_LeachingZones_Data(), Table_SourceData_LeachingZones[[#Headers],[Leaching Zone]], 0)</calculatedColumnFormula>
    </tableColumn>
    <tableColumn id="2" xr3:uid="{9714A8E3-6E32-40C6-8728-EA438117954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506D169-C98F-4264-BD8C-FB44880CBFA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B905FC5-8A57-4A4B-AA71-2CF9FC237773}" name="Data source">
      <calculatedColumnFormula array="1">Common_InputFunctions.Utility_DisplayArrayInTable(Common_SourceData.Common_SourceData_DataScores_Scope3_Data(), Table_SourceData_DataScores_Scope3[[#Headers],[Data source]], 0)</calculatedColumnFormula>
    </tableColumn>
    <tableColumn id="2" xr3:uid="{0E70953F-437D-4664-B7E0-B7297EF87B5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4E70F90-877B-4539-9854-EB7CA862920F}" name="Table_SourceData_FracWET" displayName="Table_SourceData_FracWET" ref="D134:E136" totalsRowShown="0">
  <autoFilter ref="D134:E136" xr:uid="{308E99BE-FE1F-47A4-B2CA-97217277C4E9}">
    <filterColumn colId="0" hiddenButton="1"/>
    <filterColumn colId="1" hiddenButton="1"/>
  </autoFilter>
  <tableColumns count="2">
    <tableColumn id="1" xr3:uid="{E8A1F41A-33CE-4DF7-8B1A-FC76629DD724}" name="Is in leaching zone">
      <calculatedColumnFormula array="1">Common_InputFunctions.Utility_DisplayArrayInTable(Common_SourceData.Common_SourceData_FracWET_Data(),Table_SourceData_FracWET[[#Headers],[Is in leaching zone]],0)</calculatedColumnFormula>
    </tableColumn>
    <tableColumn id="2" xr3:uid="{5DD0E495-8CF2-4021-BA82-80D952171215}"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034DF7B-195E-4092-B8C1-08FDB3553C2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1F617A4-1173-43F5-B00C-E0AF3A6DF420}" name="Production system j">
      <calculatedColumnFormula array="1">Common_InputFunctions.Utility_DisplayArrayInTable(Common_SourceData.Common_SourceData_EFN2O_Data(), Table_SourceData_Common_EFN2O[[#Headers],[Production system j]], 0)</calculatedColumnFormula>
    </tableColumn>
    <tableColumn id="2" xr3:uid="{995697E7-A167-41A9-9251-7799FAA96575}" name="EFN2O">
      <calculatedColumnFormula array="1">Common_InputFunctions.Utility_DisplayArrayInTable(Common_SourceData.Common_SourceData_EFN2O_Data(), Table_SourceData_Common_EFN2O[[#Headers],[Production system j]], 0)</calculatedColumnFormula>
    </tableColumn>
    <tableColumn id="3" xr3:uid="{A85F0861-2DA7-4648-BF96-A86BE4F29A82}" name="Production system only">
      <calculatedColumnFormula array="1">Common_InputFunctions.Utility_DisplayArrayInTable(Common_SourceData.Common_SourceData_EFN2O_Data(), Table_SourceData_Common_EFN2O[[#Headers],[Production system j]], 0)</calculatedColumnFormula>
    </tableColumn>
    <tableColumn id="4" xr3:uid="{F0C288EE-5F0D-4CDF-AB76-EB642DA58275}" name="Irrigation method">
      <calculatedColumnFormula array="1">Common_InputFunctions.Utility_DisplayArrayInTable(Common_SourceData.Common_SourceData_EFN2O_Data(), Table_SourceData_Common_EFN2O[[#Headers],[Production system j]], 0)</calculatedColumnFormula>
    </tableColumn>
    <tableColumn id="5" xr3:uid="{3388F967-1587-480A-9C17-D8E2554B598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80E25DC-0ACA-4DF6-8596-9C66FD28396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35E318E-29B2-4287-9810-650AD9A93EB9}" name="Irrigation type i">
      <calculatedColumnFormula array="1">Common_InputFunctions.Utility_DisplayArrayInTable(Common_SourceData.Common_SourceData_FracWETIrrigation_Data(), Table_SourceData_FracWETIrrigation[[#Headers],[Irrigation type i]], 0)</calculatedColumnFormula>
    </tableColumn>
    <tableColumn id="2" xr3:uid="{828D61AA-6EC1-48C5-A513-18EB70C7E564}"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770625B-3250-4837-80E3-43A6E048E3B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03F890F-AB18-4559-9F6B-5260AE2E6BB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DD1491E-6689-4562-8FA1-E2B1CD7DB8DA}"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12B08DA-6439-4F06-9850-A9AFFAA891C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7E8202B-0E9D-4252-A8CF-5C24729DB5D8}" name="Month">
      <calculatedColumnFormula array="1">Common_InputFunctions.Utility_DisplayArrayInTable(Common_SourceData.Common_SourceData_MonthsToSeasons_Data(), Table_SourceData_Common_MonthToSeason[[#Headers],[Month]], 0)</calculatedColumnFormula>
    </tableColumn>
    <tableColumn id="2" xr3:uid="{407B6CA2-0BDE-418D-BAF7-40E593308FBE}"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868AB5F-874C-44B0-9FD6-C5939D3D23F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B41711A-6C06-4B9C-8AF7-FECD84D2F7D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CCC4CD6-E07A-473E-8BE8-8198D291D723}"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62A3DF8-C546-4785-9EA1-9F1610FE1BDA}"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B8538E7-6F22-4010-B6B6-1B2B5BB3C4F4}"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8B2436E-A703-4307-A76A-A7BBFA35EFF0}"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D9D31AD-60FE-4359-B26D-5305971B810A}"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D6328AD-EF4B-46E7-BF21-C4D3B4D3217E}"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AE8BAB6-C335-4419-901D-9583D514C563}"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C45863B-7470-4113-BA37-8B9C0A412874}"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319D1626-A6E4-4D2D-86D0-578D28B648D3}"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F61B6A0-9609-43A4-BC29-EEE0ECEEE981}"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B83CBA1-5F50-4BAD-9ABA-D4454582392F}"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CA88090-2A11-4834-958D-D1121575A3E7}"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8A6480F-F4B8-4C37-B032-952A9D84A365}"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BCAEFB15-5DE1-4403-8B4C-5848A9E2DBD1}"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66E677E-F70F-480C-B578-600AC86686EA}"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2B935F9-4948-40B7-A0C4-8ED6A52FDFD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450A06E-D16D-4610-B8C4-E40BEDEEE2F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5DC1E4A-787F-4FD7-BF73-312392A2BFBD}"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216</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235</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215</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72</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217</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109</v>
      </c>
      <c r="E6" s="113" t="s">
        <v>193</v>
      </c>
      <c r="F6" s="113" t="s">
        <v>194</v>
      </c>
      <c r="G6" s="113" t="s">
        <v>123</v>
      </c>
      <c r="H6" s="113" t="s">
        <v>195</v>
      </c>
      <c r="I6" s="113" t="s">
        <v>196</v>
      </c>
      <c r="J6" s="113" t="s">
        <v>124</v>
      </c>
      <c r="K6" s="24"/>
    </row>
    <row r="7" spans="1:11" ht="20.100000000000001" customHeight="1" x14ac:dyDescent="0.25">
      <c r="A7" s="20" t="s">
        <v>1</v>
      </c>
      <c r="C7" s="24"/>
      <c r="D7" s="1" t="s">
        <v>234</v>
      </c>
      <c r="E7" s="111">
        <f>'3.3.1.1-2 Enteric Methane'!E182</f>
        <v>32.464682683989999</v>
      </c>
      <c r="F7" s="111">
        <f>'3.3.1.1-2 Enteric Methane'!N182</f>
        <v>32.464682683989999</v>
      </c>
      <c r="G7" s="56" t="str">
        <f>'3.3.1.1-2 Enteric Methane'!$F$182</f>
        <v>t CH4</v>
      </c>
      <c r="H7" s="111">
        <f>'3.3.1.1-2 Enteric Methane'!E187</f>
        <v>909.01111515171999</v>
      </c>
      <c r="I7" s="111">
        <f>'3.3.1.1-2 Enteric Methane'!N187</f>
        <v>909.01111515171999</v>
      </c>
      <c r="J7" s="56" t="s">
        <v>191</v>
      </c>
      <c r="K7" s="24"/>
    </row>
    <row r="8" spans="1:11" ht="20.100000000000001" customHeight="1" x14ac:dyDescent="0.3">
      <c r="A8" s="17" t="str">
        <f>HYPERLINK("#'Input - Site'!A1", "Site")</f>
        <v>Site</v>
      </c>
      <c r="C8" s="24"/>
      <c r="D8" s="31" t="s">
        <v>122</v>
      </c>
      <c r="E8" s="25"/>
      <c r="F8" s="25"/>
      <c r="G8" s="31"/>
      <c r="H8" s="112">
        <f>SUM(H7)</f>
        <v>909.01111515171999</v>
      </c>
      <c r="I8" s="112">
        <f>SUM(I7:I7)</f>
        <v>909.01111515171999</v>
      </c>
      <c r="J8" s="107" t="s">
        <v>191</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72</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70</v>
      </c>
      <c r="E8" s="35" t="s">
        <v>71</v>
      </c>
    </row>
    <row r="9" spans="1:24" ht="20.100000000000001" customHeight="1" x14ac:dyDescent="0.25">
      <c r="A9" s="17" t="str">
        <f>HYPERLINK("#'Input - Dairy'!A1", "Dairy")</f>
        <v>Dairy</v>
      </c>
      <c r="N9" s="45"/>
    </row>
    <row r="10" spans="1:24" ht="20.100000000000001" customHeight="1" x14ac:dyDescent="0.25">
      <c r="A10" s="17"/>
      <c r="D10" s="96" t="s">
        <v>85</v>
      </c>
      <c r="E10" s="94"/>
      <c r="F10" s="97"/>
      <c r="G10" s="91"/>
      <c r="N10" s="45"/>
    </row>
    <row r="11" spans="1:24" ht="20.100000000000001" customHeight="1" x14ac:dyDescent="0.25">
      <c r="A11" s="19" t="s">
        <v>72</v>
      </c>
      <c r="N11" s="46"/>
    </row>
    <row r="12" spans="1:24" ht="20.100000000000001" customHeight="1" x14ac:dyDescent="0.25">
      <c r="A12" s="17" t="str">
        <f>HYPERLINK("#'3.3.1.1-2 Enteric Methane'!A1", "3.3.1.1-2 Enteric Methane")</f>
        <v>3.3.1.1-2 Enteric Methane</v>
      </c>
      <c r="D12" s="10" t="s">
        <v>91</v>
      </c>
      <c r="E12" s="65">
        <v>45292</v>
      </c>
      <c r="F12" s="2" t="s">
        <v>68</v>
      </c>
    </row>
    <row r="13" spans="1:24" ht="20.100000000000001" customHeight="1" x14ac:dyDescent="0.25">
      <c r="A13" s="17"/>
      <c r="D13" s="10" t="s">
        <v>92</v>
      </c>
      <c r="E13" s="72">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14</v>
      </c>
      <c r="E18" s="93"/>
      <c r="F18" s="93"/>
      <c r="G18" s="89"/>
    </row>
    <row r="19" spans="1:25" ht="20.100000000000001" customHeight="1" x14ac:dyDescent="0.25">
      <c r="A19"/>
      <c r="D19" s="95" t="s">
        <v>69</v>
      </c>
      <c r="E19" s="92"/>
      <c r="F19" s="92"/>
      <c r="G19" s="90"/>
      <c r="N19" s="43"/>
    </row>
    <row r="20" spans="1:25" ht="20.100000000000001" customHeight="1" x14ac:dyDescent="0.25">
      <c r="A20"/>
      <c r="D20" s="1"/>
      <c r="E20" s="33"/>
      <c r="F20" s="2"/>
      <c r="N20" s="44"/>
    </row>
    <row r="21" spans="1:25" ht="20.100000000000001" customHeight="1" x14ac:dyDescent="0.25">
      <c r="A21"/>
      <c r="D21" s="1" t="s">
        <v>6</v>
      </c>
      <c r="E21" s="42" t="s">
        <v>95</v>
      </c>
      <c r="F21" s="2" t="s">
        <v>9</v>
      </c>
    </row>
    <row r="22" spans="1:25" ht="20.100000000000001" customHeight="1" x14ac:dyDescent="0.25">
      <c r="A22"/>
      <c r="D22" s="1" t="s">
        <v>23</v>
      </c>
      <c r="E22" s="42" t="s">
        <v>32</v>
      </c>
      <c r="F22" s="2" t="s">
        <v>9</v>
      </c>
      <c r="G22" s="1"/>
    </row>
    <row r="23" spans="1:25" ht="20.100000000000001" customHeight="1" x14ac:dyDescent="0.25">
      <c r="A23"/>
      <c r="D23" s="1" t="s">
        <v>7</v>
      </c>
      <c r="E23" s="42" t="s">
        <v>90</v>
      </c>
      <c r="F23" s="2" t="s">
        <v>9</v>
      </c>
    </row>
    <row r="24" spans="1:25" ht="20.100000000000001" customHeight="1" x14ac:dyDescent="0.25">
      <c r="A24"/>
      <c r="D24" s="1" t="s">
        <v>37</v>
      </c>
      <c r="E24" s="35">
        <v>307.7</v>
      </c>
      <c r="F24" s="2" t="s">
        <v>51</v>
      </c>
    </row>
    <row r="25" spans="1:25" ht="20.100000000000001" customHeight="1" x14ac:dyDescent="0.25">
      <c r="A25"/>
      <c r="D25" s="1" t="s">
        <v>59</v>
      </c>
      <c r="E25" s="35">
        <v>18</v>
      </c>
      <c r="F25" s="2" t="s">
        <v>10</v>
      </c>
      <c r="N25" s="44"/>
    </row>
    <row r="26" spans="1:25" ht="20.100000000000001" customHeight="1" x14ac:dyDescent="0.25">
      <c r="A26"/>
      <c r="D26" s="1" t="s">
        <v>60</v>
      </c>
      <c r="E26" s="35">
        <v>601</v>
      </c>
      <c r="F26" s="2" t="s">
        <v>11</v>
      </c>
    </row>
    <row r="27" spans="1:25" ht="20.100000000000001" customHeight="1" x14ac:dyDescent="0.25">
      <c r="A27"/>
      <c r="D27" s="10" t="s">
        <v>61</v>
      </c>
      <c r="E27" s="35">
        <v>1326</v>
      </c>
      <c r="F27" s="2" t="s">
        <v>11</v>
      </c>
    </row>
    <row r="28" spans="1:25" ht="20.100000000000001" customHeight="1" x14ac:dyDescent="0.25">
      <c r="A28"/>
      <c r="D28" s="1" t="s">
        <v>62</v>
      </c>
      <c r="E28" s="35">
        <v>7</v>
      </c>
      <c r="F28" s="2" t="s">
        <v>52</v>
      </c>
    </row>
    <row r="29" spans="1:25" ht="20.100000000000001" customHeight="1" x14ac:dyDescent="0.25">
      <c r="A29"/>
      <c r="D29" s="10" t="s">
        <v>58</v>
      </c>
      <c r="E29" s="54">
        <f>E26/E27</f>
        <v>0.45324283559577677</v>
      </c>
      <c r="F29" s="2"/>
    </row>
    <row r="30" spans="1:25" ht="20.100000000000001" customHeight="1" x14ac:dyDescent="0.25">
      <c r="A30"/>
      <c r="D30" s="10" t="s">
        <v>33</v>
      </c>
      <c r="E30" s="54" t="str">
        <f>Common_InputFunctions.Utility_LookupItemFromMinMax(E26,Table_SourceData_RainfallZones[Min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8</v>
      </c>
      <c r="E31" s="54"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87</v>
      </c>
      <c r="E32" s="54"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50</v>
      </c>
      <c r="E33" s="54" t="str">
        <f>Common_InputFunctions.Utility_LookupItemFromMinMax(E25,Table_SourceData_TemperatureZones[Min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workbookViewId="0">
      <selection activeCell="E55" sqref="E55"/>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149</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96</v>
      </c>
      <c r="N5" s="3"/>
      <c r="R5" s="7"/>
    </row>
    <row r="6" spans="1:23" ht="20.100000000000001" customHeight="1" x14ac:dyDescent="0.25">
      <c r="A6" s="16"/>
      <c r="N6" s="3"/>
      <c r="R6" s="7"/>
    </row>
    <row r="7" spans="1:23" ht="20.100000000000001" customHeight="1" x14ac:dyDescent="0.25">
      <c r="A7" s="20" t="s">
        <v>1</v>
      </c>
      <c r="D7" s="1" t="s">
        <v>127</v>
      </c>
      <c r="E7" s="42" t="s">
        <v>163</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128</v>
      </c>
      <c r="F9" s="41" t="s">
        <v>145</v>
      </c>
      <c r="G9" s="41" t="s">
        <v>146</v>
      </c>
      <c r="H9" s="41" t="s">
        <v>147</v>
      </c>
      <c r="I9" s="41" t="s">
        <v>148</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2">
        <v>100</v>
      </c>
      <c r="F10" s="102">
        <v>100</v>
      </c>
      <c r="G10" s="102">
        <v>100</v>
      </c>
      <c r="H10" s="102">
        <v>100</v>
      </c>
      <c r="I10" s="102">
        <v>100</v>
      </c>
      <c r="J10" s="2" t="s">
        <v>98</v>
      </c>
      <c r="K10" s="2"/>
      <c r="L10" s="2"/>
      <c r="M10" s="2"/>
      <c r="R10" s="7"/>
    </row>
    <row r="11" spans="1:23" ht="20.100000000000001" customHeight="1" x14ac:dyDescent="0.25">
      <c r="A11" s="19" t="s">
        <v>72</v>
      </c>
      <c r="R11" s="7"/>
    </row>
    <row r="12" spans="1:23" ht="20.100000000000001" customHeight="1" x14ac:dyDescent="0.25">
      <c r="A12" s="17" t="str">
        <f>HYPERLINK("#'3.3.1.1-2 Enteric Methane'!A1", "3.3.1.1-2 Enteric Methane")</f>
        <v>3.3.1.1-2 Enteric Methane</v>
      </c>
      <c r="D12" s="50" t="s">
        <v>160</v>
      </c>
      <c r="R12" s="7"/>
    </row>
    <row r="13" spans="1:23" ht="20.100000000000001" customHeight="1" x14ac:dyDescent="0.25">
      <c r="A13" s="17"/>
      <c r="D13" s="64" t="s">
        <v>158</v>
      </c>
      <c r="E13" s="41" t="s">
        <v>128</v>
      </c>
      <c r="F13" s="41" t="s">
        <v>145</v>
      </c>
      <c r="G13" s="41" t="s">
        <v>146</v>
      </c>
      <c r="H13" s="41" t="s">
        <v>147</v>
      </c>
      <c r="I13" s="41" t="s">
        <v>148</v>
      </c>
      <c r="R13" s="40"/>
    </row>
    <row r="14" spans="1:23" ht="20.100000000000001" customHeight="1" x14ac:dyDescent="0.25">
      <c r="A14" s="18" t="s">
        <v>2</v>
      </c>
      <c r="D14" s="1" t="s">
        <v>161</v>
      </c>
      <c r="E14" s="54" cm="1">
        <f t="array" ref="E14">Common_InputFunctions.Utility_LookupValueInTableNumber($E$7, Table_SourceData_Dairy_WjCowsHeifers[Breed],Table_SourceData_Dairy_WjCowsHeifers[Milking cows])</f>
        <v>550</v>
      </c>
      <c r="F14" s="54" cm="1">
        <f t="array" ref="F14">Common_InputFunctions.Utility_LookupValueInTableNumber($E$7, Table_SourceData_Dairy_WjCowsHeifers[Breed],Table_SourceData_Dairy_WjCowsHeifers[Heifers &gt; 1])</f>
        <v>380</v>
      </c>
      <c r="G14" s="54" cm="1">
        <f t="array" ref="G14">Common_InputFunctions.Utility_LookupValueInTableNumber($E$7, Table_SourceData_Dairy_WjCowsHeifers[Breed],Table_SourceData_Dairy_WjCowsHeifers[Heifers &lt; 1 (weaned)])</f>
        <v>155</v>
      </c>
      <c r="H14" s="54" cm="1">
        <f t="array" ref="H14">Table_SourceData_Dairy_WjBulls[Bulls &gt; 1]</f>
        <v>600</v>
      </c>
      <c r="I14" s="54" cm="1">
        <f t="array" ref="I14">Table_SourceData_Dairy_WjBulls[Bulls &lt; 1 (weaned)]</f>
        <v>225</v>
      </c>
      <c r="J14" s="2" t="s">
        <v>150</v>
      </c>
      <c r="K14" s="2"/>
      <c r="L14" s="2"/>
      <c r="M14" s="2"/>
      <c r="R14" s="40"/>
    </row>
    <row r="15" spans="1:23" ht="20.100000000000001" customHeight="1" x14ac:dyDescent="0.25">
      <c r="A15" s="17" t="str">
        <f>HYPERLINK("#'Constants - Dairy'!A1", "Constants - Dairy")</f>
        <v>Constants - Dairy</v>
      </c>
      <c r="D15" s="1" t="s">
        <v>162</v>
      </c>
      <c r="E15" s="54" cm="1">
        <f t="array" ref="E15">Table_SourceData_Dairy_LWGj[Milking cows]</f>
        <v>1.6E-2</v>
      </c>
      <c r="F15" s="54" cm="1">
        <f t="array" ref="F15">Table_SourceData_Dairy_LWGj[Heifers &gt; 1]</f>
        <v>0.6</v>
      </c>
      <c r="G15" s="54" cm="1">
        <f t="array" ref="G15">Table_SourceData_Dairy_LWGj[Heifers &lt; 1 (weaned)]</f>
        <v>0.56999999999999995</v>
      </c>
      <c r="H15" s="54" cm="1">
        <f t="array" ref="H15">Table_SourceData_Dairy_LWGj[Bulls &gt; 1]</f>
        <v>0.1</v>
      </c>
      <c r="I15" s="54" cm="1">
        <f t="array" ref="I15">Table_SourceData_Dairy_LWGj[Bulls &lt; 1 (weaned)]</f>
        <v>0.8</v>
      </c>
      <c r="J15" s="2" t="s">
        <v>151</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157</v>
      </c>
      <c r="E17" s="41" t="s">
        <v>128</v>
      </c>
      <c r="F17" s="41" t="s">
        <v>145</v>
      </c>
      <c r="G17" s="41" t="s">
        <v>146</v>
      </c>
      <c r="H17" s="41" t="s">
        <v>147</v>
      </c>
      <c r="I17" s="41" t="s">
        <v>148</v>
      </c>
      <c r="R17" s="7"/>
    </row>
    <row r="18" spans="1:18" ht="20.100000000000001" customHeight="1" x14ac:dyDescent="0.25">
      <c r="A18" s="17" t="str">
        <f>HYPERLINK("#'Acknowledgements'!A1", "Acknowledgements")</f>
        <v>Acknowledgements</v>
      </c>
      <c r="D18" s="1" t="s">
        <v>161</v>
      </c>
      <c r="E18" s="67" cm="1">
        <f t="array" ref="E18">Common_InputFunctions.Utility_LookupValueInTableNumber($E$7, Table_SourceData_Dairy_WjCowsHeifers[Breed],Table_SourceData_Dairy_WjCowsHeifers[Milking cows])</f>
        <v>550</v>
      </c>
      <c r="F18" s="67" cm="1">
        <f t="array" ref="F18">Common_InputFunctions.Utility_LookupValueInTableNumber($E$7, Table_SourceData_Dairy_WjCowsHeifers[Breed],Table_SourceData_Dairy_WjCowsHeifers[Heifers &gt; 1])</f>
        <v>380</v>
      </c>
      <c r="G18" s="67" cm="1">
        <f t="array" ref="G18">Common_InputFunctions.Utility_LookupValueInTableNumber($E$7, Table_SourceData_Dairy_WjCowsHeifers[Breed],Table_SourceData_Dairy_WjCowsHeifers[Heifers &lt; 1 (weaned)])</f>
        <v>155</v>
      </c>
      <c r="H18" s="67" cm="1">
        <f t="array" ref="H18">Table_SourceData_Dairy_WjBulls[Bulls &gt; 1]</f>
        <v>600</v>
      </c>
      <c r="I18" s="67" cm="1">
        <f t="array" ref="I18">Table_SourceData_Dairy_WjBulls[Bulls &lt; 1 (weaned)]</f>
        <v>225</v>
      </c>
      <c r="J18" s="2" t="s">
        <v>150</v>
      </c>
      <c r="K18" s="2"/>
      <c r="L18" s="2"/>
      <c r="M18" s="2"/>
      <c r="R18" s="7"/>
    </row>
    <row r="19" spans="1:18" ht="20.100000000000001" customHeight="1" x14ac:dyDescent="0.25">
      <c r="D19" s="1" t="s">
        <v>162</v>
      </c>
      <c r="E19" s="67" cm="1">
        <f t="array" ref="E19">Table_SourceData_Dairy_LWGj[Milking cows]</f>
        <v>1.6E-2</v>
      </c>
      <c r="F19" s="67" cm="1">
        <f t="array" ref="F19">Table_SourceData_Dairy_LWGj[Heifers &gt; 1]</f>
        <v>0.6</v>
      </c>
      <c r="G19" s="67" cm="1">
        <f t="array" ref="G19">Table_SourceData_Dairy_LWGj[Heifers &lt; 1 (weaned)]</f>
        <v>0.56999999999999995</v>
      </c>
      <c r="H19" s="67" cm="1">
        <f t="array" ref="H19">Table_SourceData_Dairy_LWGj[Bulls &gt; 1]</f>
        <v>0.1</v>
      </c>
      <c r="I19" s="67" cm="1">
        <f t="array" ref="I19">Table_SourceData_Dairy_LWGj[Bulls &lt; 1 (weaned)]</f>
        <v>0.8</v>
      </c>
      <c r="J19" s="2" t="s">
        <v>151</v>
      </c>
      <c r="K19" s="2"/>
      <c r="L19" s="2"/>
      <c r="M19" s="2"/>
      <c r="R19" s="7"/>
    </row>
    <row r="20" spans="1:18" ht="20.100000000000001" customHeight="1" x14ac:dyDescent="0.25">
      <c r="R20" s="7"/>
    </row>
    <row r="21" spans="1:18" ht="20.100000000000001" customHeight="1" x14ac:dyDescent="0.25">
      <c r="D21" s="50" t="s">
        <v>97</v>
      </c>
      <c r="R21" s="7"/>
    </row>
    <row r="22" spans="1:18" ht="20.100000000000001" customHeight="1" x14ac:dyDescent="0.25">
      <c r="R22" s="7"/>
    </row>
    <row r="23" spans="1:18" ht="20.100000000000001" customHeight="1" x14ac:dyDescent="0.25">
      <c r="D23" s="64" t="s">
        <v>158</v>
      </c>
      <c r="E23" s="41" t="s">
        <v>128</v>
      </c>
      <c r="F23" s="41" t="s">
        <v>145</v>
      </c>
      <c r="G23" s="41" t="s">
        <v>146</v>
      </c>
      <c r="H23" s="41" t="s">
        <v>147</v>
      </c>
      <c r="I23" s="41" t="s">
        <v>148</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4" cm="1">
        <f t="array" ref="E24">Common_InputFunctions.Utility_LookupValueInTableNumber(E23,Table_SourceData_Dairy_Duration[Animal class j],Table_SourceData_Dairy_Duration[Duration (weaned)])</f>
        <v>365</v>
      </c>
      <c r="F24" s="54" cm="1">
        <f t="array" ref="F24">Common_InputFunctions.Utility_LookupValueInTableNumber(F23,Table_SourceData_Dairy_Duration[Animal class j],Table_SourceData_Dairy_Duration[Duration (weaned)])</f>
        <v>365</v>
      </c>
      <c r="G24" s="54" cm="1">
        <f t="array" ref="G24">Common_InputFunctions.Utility_LookupValueInTableNumber(G23,Table_SourceData_Dairy_Duration[Animal class j],Table_SourceData_Dairy_Duration[Duration (weaned)])</f>
        <v>281</v>
      </c>
      <c r="H24" s="54" cm="1">
        <f t="array" ref="H24">Common_InputFunctions.Utility_LookupValueInTableNumber(H23,Table_SourceData_Dairy_Duration[Animal class j],Table_SourceData_Dairy_Duration[Duration (weaned)])</f>
        <v>365</v>
      </c>
      <c r="I24" s="54" cm="1">
        <f t="array" ref="I24">Common_InputFunctions.Utility_LookupValueInTableNumber(I23,Table_SourceData_Dairy_Duration[Animal class j],Table_SourceData_Dairy_Duration[Duration (weaned)])</f>
        <v>281</v>
      </c>
      <c r="J24" s="2" t="s">
        <v>52</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4" cm="1">
        <f t="array" ref="E25">Common_InputFunctions.Utility_LookupValueInTableNumber(E23,Table_SourceData_Dairy_Duration[Animal class j],Table_SourceData_Dairy_Duration[Duration (pre-weaned)])</f>
        <v>0</v>
      </c>
      <c r="F25" s="54" cm="1">
        <f t="array" ref="F25">Common_InputFunctions.Utility_LookupValueInTableNumber(F23,Table_SourceData_Dairy_Duration[Animal class j],Table_SourceData_Dairy_Duration[Duration (pre-weaned)])</f>
        <v>0</v>
      </c>
      <c r="G25" s="54" cm="1">
        <f t="array" ref="G25">Common_InputFunctions.Utility_LookupValueInTableNumber(G23,Table_SourceData_Dairy_Duration[Animal class j],Table_SourceData_Dairy_Duration[Duration (pre-weaned)])</f>
        <v>84</v>
      </c>
      <c r="H25" s="54" cm="1">
        <f t="array" ref="H25">Common_InputFunctions.Utility_LookupValueInTableNumber(H23,Table_SourceData_Dairy_Duration[Animal class j],Table_SourceData_Dairy_Duration[Duration (pre-weaned)])</f>
        <v>0</v>
      </c>
      <c r="I25" s="54" cm="1">
        <f t="array" ref="I25">Common_InputFunctions.Utility_LookupValueInTableNumber(I23,Table_SourceData_Dairy_Duration[Animal class j],Table_SourceData_Dairy_Duration[Duration (pre-weaned)])</f>
        <v>84</v>
      </c>
      <c r="J25" s="2" t="s">
        <v>52</v>
      </c>
      <c r="K25" s="2"/>
      <c r="L25" s="2"/>
      <c r="M25" s="2"/>
      <c r="R25" s="7"/>
    </row>
    <row r="26" spans="1:18" ht="20.100000000000001" customHeight="1" x14ac:dyDescent="0.25">
      <c r="R26" s="7"/>
    </row>
    <row r="27" spans="1:18" ht="20.100000000000001" customHeight="1" x14ac:dyDescent="0.25">
      <c r="D27" s="64" t="s">
        <v>157</v>
      </c>
      <c r="E27" s="41" t="s">
        <v>128</v>
      </c>
      <c r="F27" s="41" t="s">
        <v>145</v>
      </c>
      <c r="G27" s="41" t="s">
        <v>146</v>
      </c>
      <c r="H27" s="41" t="s">
        <v>147</v>
      </c>
      <c r="I27" s="41" t="s">
        <v>148</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7" cm="1">
        <f t="array" ref="E28">Common_InputFunctions.Utility_LookupValueInTableNumber(E27,Table_SourceData_Dairy_Duration[Animal class j],Table_SourceData_Dairy_Duration[Duration (weaned)])</f>
        <v>365</v>
      </c>
      <c r="F28" s="67" cm="1">
        <f t="array" ref="F28">Common_InputFunctions.Utility_LookupValueInTableNumber(F27,Table_SourceData_Dairy_Duration[Animal class j],Table_SourceData_Dairy_Duration[Duration (weaned)])</f>
        <v>365</v>
      </c>
      <c r="G28" s="67" cm="1">
        <f t="array" ref="G28">Common_InputFunctions.Utility_LookupValueInTableNumber(G27,Table_SourceData_Dairy_Duration[Animal class j],Table_SourceData_Dairy_Duration[Duration (weaned)])</f>
        <v>281</v>
      </c>
      <c r="H28" s="67" cm="1">
        <f t="array" ref="H28">Common_InputFunctions.Utility_LookupValueInTableNumber(H27,Table_SourceData_Dairy_Duration[Animal class j],Table_SourceData_Dairy_Duration[Duration (weaned)])</f>
        <v>365</v>
      </c>
      <c r="I28" s="67" cm="1">
        <f t="array" ref="I28">Common_InputFunctions.Utility_LookupValueInTableNumber(I27,Table_SourceData_Dairy_Duration[Animal class j],Table_SourceData_Dairy_Duration[Duration (weaned)])</f>
        <v>281</v>
      </c>
      <c r="J28" s="2" t="s">
        <v>52</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4">
        <f>365-E28</f>
        <v>0</v>
      </c>
      <c r="F29" s="54">
        <f t="shared" ref="F29:I29" si="0">365-F28</f>
        <v>0</v>
      </c>
      <c r="G29" s="54">
        <f t="shared" si="0"/>
        <v>84</v>
      </c>
      <c r="H29" s="54">
        <f t="shared" si="0"/>
        <v>0</v>
      </c>
      <c r="I29" s="54">
        <f t="shared" si="0"/>
        <v>84</v>
      </c>
      <c r="J29" s="2" t="s">
        <v>52</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159</v>
      </c>
      <c r="R33" s="7"/>
    </row>
    <row r="34" spans="1:18" ht="20.100000000000001" customHeight="1" x14ac:dyDescent="0.25">
      <c r="D34" s="50"/>
      <c r="R34" s="7"/>
    </row>
    <row r="35" spans="1:18" ht="20.100000000000001" customHeight="1" x14ac:dyDescent="0.25">
      <c r="D35" s="64" t="s">
        <v>158</v>
      </c>
      <c r="E35" s="41" t="s">
        <v>128</v>
      </c>
      <c r="F35" s="41" t="s">
        <v>145</v>
      </c>
      <c r="G35" s="41" t="s">
        <v>146</v>
      </c>
      <c r="H35" s="41" t="s">
        <v>147</v>
      </c>
      <c r="I35" s="41" t="s">
        <v>148</v>
      </c>
      <c r="R35" s="7"/>
    </row>
    <row r="36" spans="1:18" ht="20.100000000000001" customHeight="1" x14ac:dyDescent="0.25">
      <c r="D36" s="1" t="s">
        <v>16</v>
      </c>
      <c r="E36" s="54">
        <f>'Constants - Dairy'!$D$160</f>
        <v>0.75</v>
      </c>
      <c r="F36" s="54">
        <f>'Constants - Dairy'!$D$160</f>
        <v>0.75</v>
      </c>
      <c r="G36" s="54">
        <f>'Constants - Dairy'!$D$160</f>
        <v>0.75</v>
      </c>
      <c r="H36" s="54">
        <f>'Constants - Dairy'!$D$160</f>
        <v>0.75</v>
      </c>
      <c r="I36" s="54">
        <f>'Constants - Dairy'!$D$160</f>
        <v>0.75</v>
      </c>
      <c r="J36" s="2" t="s">
        <v>93</v>
      </c>
      <c r="K36" s="2"/>
      <c r="L36" s="2"/>
      <c r="M36" s="2"/>
      <c r="R36" s="7"/>
    </row>
    <row r="37" spans="1:18" ht="20.100000000000001" customHeight="1" x14ac:dyDescent="0.25">
      <c r="D37" s="1" t="s">
        <v>101</v>
      </c>
      <c r="E37" s="54">
        <f>'Constants - Dairy'!$D$153</f>
        <v>0.2</v>
      </c>
      <c r="F37" s="54">
        <f>'Constants - Dairy'!$D$153</f>
        <v>0.2</v>
      </c>
      <c r="G37" s="54">
        <f>'Constants - Dairy'!$D$153</f>
        <v>0.2</v>
      </c>
      <c r="H37" s="54">
        <f>'Constants - Dairy'!$D$153</f>
        <v>0.2</v>
      </c>
      <c r="I37" s="54">
        <f>'Constants - Dairy'!$D$153</f>
        <v>0.2</v>
      </c>
      <c r="J37" s="2" t="s">
        <v>93</v>
      </c>
      <c r="K37" s="2"/>
      <c r="L37" s="2"/>
      <c r="M37" s="2"/>
      <c r="R37" s="7"/>
    </row>
    <row r="38" spans="1:18" ht="20.100000000000001" customHeight="1" x14ac:dyDescent="0.25">
      <c r="K38" s="2"/>
      <c r="L38" s="2"/>
      <c r="M38" s="2"/>
      <c r="R38" s="7"/>
    </row>
    <row r="39" spans="1:18" ht="20.100000000000001" customHeight="1" x14ac:dyDescent="0.25">
      <c r="A39" s="17"/>
      <c r="D39" s="64" t="s">
        <v>157</v>
      </c>
      <c r="E39" s="41" t="s">
        <v>128</v>
      </c>
      <c r="F39" s="41" t="s">
        <v>145</v>
      </c>
      <c r="G39" s="41" t="s">
        <v>146</v>
      </c>
      <c r="H39" s="41" t="s">
        <v>147</v>
      </c>
      <c r="I39" s="41" t="s">
        <v>148</v>
      </c>
      <c r="R39" s="7"/>
    </row>
    <row r="40" spans="1:18" ht="20.100000000000001" customHeight="1" x14ac:dyDescent="0.25">
      <c r="D40" s="1" t="s">
        <v>16</v>
      </c>
      <c r="E40" s="67">
        <f>'Constants - Dairy'!$D$160</f>
        <v>0.75</v>
      </c>
      <c r="F40" s="67">
        <f>'Constants - Dairy'!$D$160</f>
        <v>0.75</v>
      </c>
      <c r="G40" s="67">
        <f>'Constants - Dairy'!$D$160</f>
        <v>0.75</v>
      </c>
      <c r="H40" s="67">
        <f>'Constants - Dairy'!$D$160</f>
        <v>0.75</v>
      </c>
      <c r="I40" s="67">
        <f>'Constants - Dairy'!$D$160</f>
        <v>0.75</v>
      </c>
      <c r="J40" s="2" t="s">
        <v>93</v>
      </c>
      <c r="K40" s="2"/>
      <c r="R40" s="7"/>
    </row>
    <row r="41" spans="1:18" ht="20.100000000000001" customHeight="1" x14ac:dyDescent="0.25">
      <c r="A41" s="47"/>
      <c r="D41" s="1" t="s">
        <v>101</v>
      </c>
      <c r="E41" s="67">
        <f>'Constants - Dairy'!$D$153</f>
        <v>0.2</v>
      </c>
      <c r="F41" s="67">
        <f>'Constants - Dairy'!$D$153</f>
        <v>0.2</v>
      </c>
      <c r="G41" s="67">
        <f>'Constants - Dairy'!$D$153</f>
        <v>0.2</v>
      </c>
      <c r="H41" s="67">
        <f>'Constants - Dairy'!$D$153</f>
        <v>0.2</v>
      </c>
      <c r="I41" s="67">
        <f>'Constants - Dairy'!$D$153</f>
        <v>0.2</v>
      </c>
      <c r="J41" s="2" t="s">
        <v>93</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152</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237</v>
      </c>
      <c r="E49" s="42" t="s">
        <v>250</v>
      </c>
      <c r="F49" s="2" t="s">
        <v>9</v>
      </c>
      <c r="H49" s="3"/>
      <c r="I49" s="3"/>
      <c r="J49" s="3"/>
      <c r="K49" s="3"/>
      <c r="L49" s="3"/>
      <c r="M49" s="3"/>
      <c r="R49" s="7"/>
    </row>
    <row r="50" spans="4:18" ht="20.100000000000001" customHeight="1" x14ac:dyDescent="0.25">
      <c r="R50" s="7"/>
    </row>
    <row r="51" spans="4:18" ht="20.100000000000001" customHeight="1" x14ac:dyDescent="0.25">
      <c r="E51" s="41" t="s">
        <v>128</v>
      </c>
      <c r="R51" s="7"/>
    </row>
    <row r="52" spans="4:18" ht="20.100000000000001" customHeight="1" x14ac:dyDescent="0.25">
      <c r="D52" s="1" t="s">
        <v>153</v>
      </c>
      <c r="E52" s="67">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5" t="s">
        <v>247</v>
      </c>
      <c r="E54" s="41" t="s">
        <v>244</v>
      </c>
      <c r="F54" s="41" t="s">
        <v>245</v>
      </c>
      <c r="R54" s="7"/>
    </row>
    <row r="55" spans="4:18" ht="20.100000000000001" customHeight="1" x14ac:dyDescent="0.25">
      <c r="D55" s="1" t="s">
        <v>242</v>
      </c>
      <c r="E55" s="124">
        <f>'Constants - Dairy'!$D$221/100</f>
        <v>0.04</v>
      </c>
      <c r="F55" s="132">
        <f>'Constants - Dairy'!$D$221/100</f>
        <v>0.04</v>
      </c>
      <c r="G55" s="2" t="s">
        <v>246</v>
      </c>
      <c r="R55" s="7"/>
    </row>
    <row r="56" spans="4:18" ht="20.100000000000001" customHeight="1" x14ac:dyDescent="0.25">
      <c r="D56" s="1" t="s">
        <v>243</v>
      </c>
      <c r="E56" s="124">
        <f>'Constants - Dairy'!$D$227/100</f>
        <v>3.3000000000000002E-2</v>
      </c>
      <c r="F56" s="132">
        <f>'Constants - Dairy'!$D$227/100</f>
        <v>3.3000000000000002E-2</v>
      </c>
      <c r="G56" s="2" t="s">
        <v>246</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24" zoomScaleNormal="100" workbookViewId="0">
      <selection activeCell="R41" sqref="R4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218</v>
      </c>
      <c r="K1"/>
    </row>
    <row r="2" spans="1:19" s="9" customFormat="1" ht="20.100000000000001" customHeight="1" x14ac:dyDescent="0.25">
      <c r="K2"/>
    </row>
    <row r="3" spans="1:19" ht="20.100000000000001" customHeight="1" x14ac:dyDescent="0.25">
      <c r="A3" s="17" t="str">
        <f>HYPERLINK("#'Home'!A1", "Home")</f>
        <v>Home</v>
      </c>
      <c r="C3" s="4"/>
      <c r="D3" s="4" t="s">
        <v>104</v>
      </c>
      <c r="E3" s="4"/>
      <c r="F3" s="4"/>
      <c r="G3" s="4"/>
      <c r="H3" s="4"/>
      <c r="I3" s="4"/>
      <c r="J3" s="4"/>
      <c r="L3" s="4"/>
      <c r="M3" s="4" t="s">
        <v>105</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7"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A7" s="20" t="s">
        <v>1</v>
      </c>
      <c r="D7" s="5" t="str" cm="1">
        <f t="array" ref="D7">EntericMethane_Dairy_Equations.VEERG_3_3_1_1__6_MetabolisabilityOfDiet_Source()</f>
        <v>VEERG 2026: 3.3.1.1, Equation (6)</v>
      </c>
    </row>
    <row r="8" spans="1:19" ht="20.100000000000001" customHeight="1" x14ac:dyDescent="0.25">
      <c r="A8" s="17" t="str">
        <f>HYPERLINK("#'Input - Site'!A1", "Site")</f>
        <v>Site</v>
      </c>
      <c r="D8" s="13" t="s">
        <v>24</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72</v>
      </c>
      <c r="D11" s="55" t="s">
        <v>27</v>
      </c>
      <c r="E11" s="1" t="str" cm="1">
        <f t="array" ref="E11">EntericMethane_Dairy_Equations.VEERG_3_3_1_1__6_MetabolisabilityOfDiet_Variable()</f>
        <v>qm_j</v>
      </c>
    </row>
    <row r="12" spans="1:19" ht="20.100000000000001" customHeight="1" x14ac:dyDescent="0.25">
      <c r="A12" s="22" t="str">
        <f>HYPERLINK("#'3.3.1.1-2 Enteric Methane'!A1", "3.3.1.1-2 Enteric Methane")</f>
        <v>3.3.1.1-2 Enteric Methane</v>
      </c>
      <c r="D12" s="55" t="s">
        <v>17</v>
      </c>
      <c r="E12" s="56" t="str" cm="1">
        <f t="array" ref="E12">EntericMethane_Dairy_Equations.VEERG_3_3_1_1__6_MetabolisabilityOfDiet_Unit()</f>
        <v>fraction</v>
      </c>
    </row>
    <row r="13" spans="1:19" ht="20.100000000000001" customHeight="1" x14ac:dyDescent="0.25">
      <c r="A13" s="17"/>
    </row>
    <row r="14" spans="1:19" ht="20.100000000000001" customHeight="1" x14ac:dyDescent="0.25">
      <c r="A14" s="18" t="s">
        <v>2</v>
      </c>
      <c r="D14" s="122" t="str" cm="1">
        <f t="array" ref="D14:E14">_xlfn.CHOOSECOLS(EntericMethane_Dairy_Equations.VEERG_3_3_1_1__6_MetabolisabilityOfDiet_Arguments(), 1,2)</f>
        <v>DMD_j</v>
      </c>
      <c r="E14" s="122" t="str">
        <v>dry matter digestibility expressed as a fraction</v>
      </c>
      <c r="F14" s="122"/>
      <c r="G14" s="122" t="str" cm="1">
        <f t="array" ref="G14:H14">_xlfn.CHOOSECOLS(EntericMethane_Dairy_Equations.VEERG_3_3_1_1__6_MetabolisabilityOfDiet_Arguments(), 3,4)</f>
        <v>fraction</v>
      </c>
      <c r="H14" s="120" t="str">
        <v>Input</v>
      </c>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106</v>
      </c>
      <c r="M16" s="101" t="s">
        <v>108</v>
      </c>
    </row>
    <row r="17" spans="1:19" ht="20.100000000000001" customHeight="1" x14ac:dyDescent="0.25">
      <c r="A17" s="17" t="str">
        <f>HYPERLINK("#'Constants - Common'!A1", "Constants - Common")</f>
        <v>Constants - Common</v>
      </c>
      <c r="D17" s="100" t="s">
        <v>107</v>
      </c>
      <c r="M17" s="100" t="s">
        <v>185</v>
      </c>
    </row>
    <row r="18" spans="1:19" ht="20.100000000000001" customHeight="1" x14ac:dyDescent="0.25">
      <c r="A18" s="17" t="str">
        <f>HYPERLINK("#'Acknowledgements'!A1", "Acknowledgements")</f>
        <v>Acknowledgements</v>
      </c>
      <c r="D18" s="41" t="s">
        <v>128</v>
      </c>
      <c r="E18" s="41" t="s">
        <v>145</v>
      </c>
      <c r="F18" s="41" t="s">
        <v>146</v>
      </c>
      <c r="G18" s="41" t="s">
        <v>147</v>
      </c>
      <c r="H18" s="41" t="s">
        <v>148</v>
      </c>
      <c r="M18" s="41" t="s">
        <v>128</v>
      </c>
      <c r="N18" s="41" t="s">
        <v>145</v>
      </c>
      <c r="O18" s="41" t="s">
        <v>146</v>
      </c>
      <c r="P18" s="41" t="s">
        <v>147</v>
      </c>
      <c r="Q18" s="41" t="s">
        <v>148</v>
      </c>
    </row>
    <row r="19" spans="1:19" ht="20.100000000000001" customHeight="1" x14ac:dyDescent="0.25">
      <c r="D19" s="54">
        <f>INDEX(X_Table_Dairy_Diet_Method1,2,2)</f>
        <v>0.75</v>
      </c>
      <c r="E19" s="54">
        <f>INDEX(X_Table_Dairy_Diet_Method1,2,3)</f>
        <v>0.75</v>
      </c>
      <c r="F19" s="54">
        <f>INDEX(X_Table_Dairy_Diet_Method1,2,4)</f>
        <v>0.75</v>
      </c>
      <c r="G19" s="54">
        <f>INDEX(X_Table_Dairy_Diet_Method1,2,5)</f>
        <v>0.75</v>
      </c>
      <c r="H19" s="54">
        <f>INDEX(X_Table_Dairy_Diet_Method1,2,6)</f>
        <v>0.75</v>
      </c>
      <c r="I19" s="2" t="s">
        <v>174</v>
      </c>
      <c r="M19" s="54">
        <f>INDEX(X_Table_Dairy_Diet_Method2,2,2)</f>
        <v>0.75</v>
      </c>
      <c r="N19" s="54">
        <f>INDEX(X_Table_Dairy_Diet_Method2,2,3)</f>
        <v>0.75</v>
      </c>
      <c r="O19" s="54">
        <f>INDEX(X_Table_Dairy_Diet_Method2,2,4)</f>
        <v>0.75</v>
      </c>
      <c r="P19" s="54">
        <f>INDEX(X_Table_Dairy_Diet_Method2,2,5)</f>
        <v>0.75</v>
      </c>
      <c r="Q19" s="54">
        <f>INDEX(X_Table_Dairy_Diet_Method2,2,6)</f>
        <v>0.75</v>
      </c>
      <c r="R19" s="2" t="s">
        <v>174</v>
      </c>
    </row>
    <row r="20" spans="1:19" ht="20.100000000000001" customHeight="1" x14ac:dyDescent="0.25"/>
    <row r="21" spans="1:19" ht="20.100000000000001" customHeight="1" x14ac:dyDescent="0.25">
      <c r="D21" s="101" t="s">
        <v>175</v>
      </c>
      <c r="M21" s="101" t="s">
        <v>177</v>
      </c>
    </row>
    <row r="22" spans="1:19" ht="20.100000000000001" customHeight="1" x14ac:dyDescent="0.25">
      <c r="D22" s="100" t="s">
        <v>176</v>
      </c>
      <c r="M22" s="100" t="s">
        <v>178</v>
      </c>
    </row>
    <row r="23" spans="1:19" ht="20.100000000000001" customHeight="1" x14ac:dyDescent="0.25">
      <c r="D23" s="53" t="s">
        <v>128</v>
      </c>
      <c r="E23" s="53" t="s">
        <v>145</v>
      </c>
      <c r="F23" s="53" t="s">
        <v>146</v>
      </c>
      <c r="G23" s="53" t="s">
        <v>147</v>
      </c>
      <c r="H23" s="53" t="s">
        <v>148</v>
      </c>
      <c r="M23" s="53" t="s">
        <v>128</v>
      </c>
      <c r="N23" s="53" t="s">
        <v>145</v>
      </c>
      <c r="O23" s="53" t="s">
        <v>146</v>
      </c>
      <c r="P23" s="53" t="s">
        <v>147</v>
      </c>
      <c r="Q23" s="53" t="s">
        <v>148</v>
      </c>
    </row>
    <row r="24" spans="1:19" ht="20.100000000000001" customHeight="1" x14ac:dyDescent="0.25">
      <c r="D24" s="54" cm="1">
        <f t="array" ref="D24">EntericMethane_Dairy_Equations.VEERG_3_3_1_1__6_MetabolisabilityOfDietVariation(D19)</f>
        <v>0.5948500000000001</v>
      </c>
      <c r="E24" s="54" cm="1">
        <f t="array" ref="E24">EntericMethane_Dairy_Equations.VEERG_3_3_1_1__6_MetabolisabilityOfDietVariation(E19)</f>
        <v>0.5948500000000001</v>
      </c>
      <c r="F24" s="54" cm="1">
        <f t="array" ref="F24">EntericMethane_Dairy_Equations.VEERG_3_3_1_1__6_MetabolisabilityOfDietVariation(F19)</f>
        <v>0.5948500000000001</v>
      </c>
      <c r="G24" s="54" cm="1">
        <f t="array" ref="G24">EntericMethane_Dairy_Equations.VEERG_3_3_1_1__6_MetabolisabilityOfDietVariation(G19)</f>
        <v>0.5948500000000001</v>
      </c>
      <c r="H24" s="54" cm="1">
        <f t="array" ref="H24">EntericMethane_Dairy_Equations.VEERG_3_3_1_1__6_MetabolisabilityOfDietVariation(H19)</f>
        <v>0.5948500000000001</v>
      </c>
      <c r="I24" s="2" t="str">
        <f>$E$12</f>
        <v>fraction</v>
      </c>
      <c r="M24" s="54" cm="1">
        <f t="array" ref="M24">EntericMethane_Dairy_Equations.VEERG_3_3_1_1__6_MetabolisabilityOfDietVariation(M19)</f>
        <v>0.5948500000000001</v>
      </c>
      <c r="N24" s="54" cm="1">
        <f t="array" ref="N24">EntericMethane_Dairy_Equations.VEERG_3_3_1_1__6_MetabolisabilityOfDietVariation(N19)</f>
        <v>0.5948500000000001</v>
      </c>
      <c r="O24" s="54" cm="1">
        <f t="array" ref="O24">EntericMethane_Dairy_Equations.VEERG_3_3_1_1__6_MetabolisabilityOfDietVariation(O19)</f>
        <v>0.5948500000000001</v>
      </c>
      <c r="P24" s="54" cm="1">
        <f t="array" ref="P24">EntericMethane_Dairy_Equations.VEERG_3_3_1_1__6_MetabolisabilityOfDietVariation(P19)</f>
        <v>0.5948500000000001</v>
      </c>
      <c r="Q24" s="54"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7"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24</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5" t="s">
        <v>27</v>
      </c>
      <c r="E34" s="1" t="str" cm="1">
        <f t="array" ref="E34">EntericMethane_Dairy_Equations.VEERG_3_3_1_1__5_MilkProductionFromMilkSolids_Variable()</f>
        <v>MP_j</v>
      </c>
    </row>
    <row r="35" spans="4:18" ht="20.100000000000001" customHeight="1" x14ac:dyDescent="0.25">
      <c r="D35" s="55" t="s">
        <v>17</v>
      </c>
      <c r="E35" s="56" t="str" cm="1">
        <f t="array" ref="E35">EntericMethane_Dairy_Equations.VEERG_3_3_1_1__5_MilkProductionFromMilkSolids_Unit()</f>
        <v>L/head/day</v>
      </c>
    </row>
    <row r="36" spans="4:18" ht="20.100000000000001" customHeight="1" x14ac:dyDescent="0.25"/>
    <row r="37" spans="4:18" ht="20.100000000000001" customHeight="1" x14ac:dyDescent="0.25">
      <c r="D37" s="122" t="str" cm="1">
        <f t="array" ref="D37:E40">_xlfn.CHOOSECOLS(EntericMethane_Dairy_Equations.VEERG_3_3_1_1__5_MilkProductionFromMilkSolids_Arguments(),1,2)</f>
        <v>MPU</v>
      </c>
      <c r="E37" s="121" t="str">
        <v>input milk production unit</v>
      </c>
      <c r="F37" s="123"/>
      <c r="G37" s="122" t="str" cm="1">
        <f t="array" ref="G37:H40">_xlfn.CHOOSECOLS(EntericMethane_Dairy_Equations.VEERG_3_3_1_1__5_MilkProductionFromMilkSolids_Arguments(),3,4)</f>
        <v/>
      </c>
      <c r="H37" s="120" t="str">
        <v>Input</v>
      </c>
      <c r="I37" s="122" t="str">
        <f>X_Cell_Dairy_MilkProductionUnit</f>
        <v>Litres of milk</v>
      </c>
      <c r="M37" s="122" t="str" cm="1">
        <f t="array" ref="M37:N40">_xlfn.CHOOSECOLS(EntericMethane_Dairy_Equations.VEERG_3_3_1_1__5_MilkProductionFromMilkSolids_Arguments_Method2(),1,2)</f>
        <v>MPU</v>
      </c>
      <c r="N37" s="121" t="str">
        <v>milk production unit</v>
      </c>
      <c r="O37" s="123"/>
      <c r="P37" s="122" t="str" cm="1">
        <f t="array" ref="P37:Q40">_xlfn.CHOOSECOLS(EntericMethane_Dairy_Equations.VEERG_3_3_1_1__5_MilkProductionFromMilkSolids_Arguments_Method2(),3,4)</f>
        <v/>
      </c>
      <c r="Q37" s="120" t="str">
        <v>Input</v>
      </c>
      <c r="R37" s="122"/>
    </row>
    <row r="38" spans="4:18" ht="20.100000000000001" customHeight="1" x14ac:dyDescent="0.25">
      <c r="D38" s="122" t="str">
        <v>MS_j</v>
      </c>
      <c r="E38" s="121" t="str">
        <v>daily production of milk solids</v>
      </c>
      <c r="F38" s="123"/>
      <c r="G38" s="122" t="str">
        <v>kg MS/head/day</v>
      </c>
      <c r="H38" s="120" t="str">
        <v>Input</v>
      </c>
      <c r="I38" s="119" t="str" cm="1">
        <f t="array" aca="1" ref="I38" ca="1">HYPERLINK(Common_InputFunctions.Utility_SourceHyperlink($D$42),$D$42)</f>
        <v>M1_Table_MS_j</v>
      </c>
      <c r="M38" s="122" t="str">
        <v>MS_j</v>
      </c>
      <c r="N38" s="121" t="str">
        <v>daily production of milk solids</v>
      </c>
      <c r="O38" s="123"/>
      <c r="P38" s="122" t="str">
        <v>kg MS/head/day</v>
      </c>
      <c r="Q38" s="120" t="str">
        <v>Input</v>
      </c>
      <c r="R38" s="119"/>
    </row>
    <row r="39" spans="4:18" ht="20.100000000000001" customHeight="1" x14ac:dyDescent="0.25">
      <c r="D39" s="122" t="str">
        <v>FC_j</v>
      </c>
      <c r="E39" s="121" t="str">
        <v>fat content in fat and protein corrected milk</v>
      </c>
      <c r="F39" s="123"/>
      <c r="G39" s="122" t="str">
        <v>per cent</v>
      </c>
      <c r="H39" s="120" t="str">
        <v>Input</v>
      </c>
      <c r="I39" s="122">
        <f>INDEX(X_Table_Dairy_MilkSolidAttributes,2,2)*100</f>
        <v>4</v>
      </c>
      <c r="M39" s="122" t="str">
        <v>FC_j</v>
      </c>
      <c r="N39" s="121" t="str">
        <v>fat content in fat and protein corrected milk</v>
      </c>
      <c r="O39" s="123"/>
      <c r="P39" s="122" t="str">
        <v>per cent</v>
      </c>
      <c r="Q39" s="120" t="str">
        <v>Input</v>
      </c>
      <c r="R39" s="122">
        <f>INDEX(X_Table_Dairy_MilkSolidAttributes,2,3)*100</f>
        <v>4</v>
      </c>
    </row>
    <row r="40" spans="4:18" ht="20.100000000000001" customHeight="1" x14ac:dyDescent="0.25">
      <c r="D40" s="122" t="str">
        <v>PC_j</v>
      </c>
      <c r="E40" s="122" t="str">
        <v>protein content in fat and protein corrected milk</v>
      </c>
      <c r="F40" s="122"/>
      <c r="G40" s="122" t="str">
        <v>per cent</v>
      </c>
      <c r="H40" s="120" t="str">
        <v>Input</v>
      </c>
      <c r="I40" s="122">
        <f>INDEX(X_Table_Dairy_MilkSolidAttributes,3,2)*100</f>
        <v>3.3000000000000003</v>
      </c>
      <c r="M40" s="122" t="str">
        <v>PC_j</v>
      </c>
      <c r="N40" s="122" t="str">
        <v>protein content in fat and protein corrected milk</v>
      </c>
      <c r="O40" s="122"/>
      <c r="P40" s="122" t="str">
        <v>per cent</v>
      </c>
      <c r="Q40" s="120" t="str">
        <v>Input</v>
      </c>
      <c r="R40" s="122">
        <f>INDEX(X_Table_Dairy_MilkSolidAttributes,3,3)*100</f>
        <v>3.3000000000000003</v>
      </c>
    </row>
    <row r="41" spans="4:18" ht="20.100000000000001" customHeight="1" x14ac:dyDescent="0.25"/>
    <row r="42" spans="4:18" ht="20.100000000000001" customHeight="1" x14ac:dyDescent="0.25">
      <c r="D42" s="101" t="s">
        <v>238</v>
      </c>
    </row>
    <row r="43" spans="4:18" ht="20.100000000000001" customHeight="1" x14ac:dyDescent="0.25">
      <c r="D43" s="100" t="s">
        <v>239</v>
      </c>
    </row>
    <row r="44" spans="4:18" ht="20.100000000000001" customHeight="1" x14ac:dyDescent="0.25">
      <c r="D44" s="41" t="s">
        <v>128</v>
      </c>
      <c r="E44" s="41" t="s">
        <v>145</v>
      </c>
      <c r="F44" s="41" t="s">
        <v>146</v>
      </c>
      <c r="G44" s="41" t="s">
        <v>147</v>
      </c>
      <c r="H44" s="41" t="s">
        <v>148</v>
      </c>
    </row>
    <row r="45" spans="4:18" ht="20.100000000000001" customHeight="1" x14ac:dyDescent="0.25">
      <c r="D45" s="54">
        <f>IF($I$37="Milk solids", 'Input - Dairy'!$E$52, 0)</f>
        <v>0</v>
      </c>
      <c r="E45" s="54">
        <v>0</v>
      </c>
      <c r="F45" s="54">
        <v>0</v>
      </c>
      <c r="G45" s="54">
        <v>0</v>
      </c>
      <c r="H45" s="54">
        <v>0</v>
      </c>
      <c r="I45" s="2" t="s">
        <v>181</v>
      </c>
    </row>
    <row r="46" spans="4:18" ht="20.100000000000001" customHeight="1" x14ac:dyDescent="0.25"/>
    <row r="47" spans="4:18" ht="20.100000000000001" customHeight="1" x14ac:dyDescent="0.25">
      <c r="D47" s="101" t="s">
        <v>240</v>
      </c>
      <c r="M47" s="101" t="s">
        <v>248</v>
      </c>
    </row>
    <row r="48" spans="4:18" ht="20.100000000000001" customHeight="1" x14ac:dyDescent="0.25">
      <c r="D48" s="100" t="s">
        <v>241</v>
      </c>
      <c r="M48" s="100" t="s">
        <v>249</v>
      </c>
    </row>
    <row r="49" spans="1:19" ht="20.100000000000001" customHeight="1" x14ac:dyDescent="0.25">
      <c r="D49" s="53" t="s">
        <v>128</v>
      </c>
      <c r="E49" s="53" t="s">
        <v>145</v>
      </c>
      <c r="F49" s="53" t="s">
        <v>146</v>
      </c>
      <c r="G49" s="53" t="s">
        <v>147</v>
      </c>
      <c r="H49" s="53" t="s">
        <v>148</v>
      </c>
      <c r="M49" s="53" t="s">
        <v>128</v>
      </c>
      <c r="N49" s="53" t="s">
        <v>145</v>
      </c>
      <c r="O49" s="53" t="s">
        <v>146</v>
      </c>
      <c r="P49" s="53" t="s">
        <v>147</v>
      </c>
      <c r="Q49" s="53" t="s">
        <v>148</v>
      </c>
    </row>
    <row r="50" spans="1:19" ht="20.100000000000001" customHeight="1" x14ac:dyDescent="0.25">
      <c r="D50" s="54" cm="1">
        <f t="array" ref="D50">EntericMethane_Dairy_Equations.VEERG_3_3_1_1__5_MilkProductionFromMilkSolids(D45,I39,I40)</f>
        <v>0</v>
      </c>
      <c r="E50" s="54">
        <v>0</v>
      </c>
      <c r="F50" s="54">
        <v>0</v>
      </c>
      <c r="G50" s="54">
        <v>0</v>
      </c>
      <c r="H50" s="54">
        <v>0</v>
      </c>
      <c r="I50" s="2" t="s">
        <v>181</v>
      </c>
      <c r="M50" s="54" cm="1">
        <f t="array" ref="M50">EntericMethane_Dairy_Equations.VEERG_3_3_1_1__5_MilkProductionFromMilkSolids(D45,R39,R40)</f>
        <v>0</v>
      </c>
      <c r="N50" s="54">
        <v>0</v>
      </c>
      <c r="O50" s="54">
        <v>0</v>
      </c>
      <c r="P50" s="54">
        <v>0</v>
      </c>
      <c r="Q50" s="54">
        <v>0</v>
      </c>
      <c r="R50" s="2" t="s">
        <v>181</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tr" cm="1">
        <f t="array" ref="D54">EntericMethane_Dairy_Equations.VEERG_3_3_1_1__4_AdditionalIntakeForMilkProduction_Title()</f>
        <v>Additional intake required for milk production</v>
      </c>
    </row>
    <row r="55" spans="1:19" ht="20.100000000000001" customHeight="1" x14ac:dyDescent="0.25">
      <c r="D55" s="5" t="str" cm="1">
        <f t="array" ref="D55">EntericMethane_Dairy_Equations.VEERG_3_3_1_1__4_AdditionalIntakeForMilkProduction_Source()</f>
        <v>VEERG 2026: 3.3.1.1, Equation (4)</v>
      </c>
    </row>
    <row r="56" spans="1:19" ht="20.100000000000001" customHeight="1" x14ac:dyDescent="0.25">
      <c r="D56" s="57"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D57" s="13" t="s">
        <v>24</v>
      </c>
      <c r="E57" s="13" t="str" cm="1">
        <f t="array" aca="1" ref="E57" ca="1">Common_InputFunctions.Utility_DisplayFunctionName(D80)</f>
        <v>=EntericMethane_Dairy_Equations.VEERG_3_3_1_1__4_AdditionalIntakeForMilkProduction</v>
      </c>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27</v>
      </c>
      <c r="E61" s="1" t="str" cm="1">
        <f t="array" ref="E61">EntericMethane_Dairy_Equations.VEERG_3_3_1_1__4_AdditionalIntakeForMilkProduction_Variable()</f>
        <v>MI_j</v>
      </c>
    </row>
    <row r="62" spans="1:19" ht="20.100000000000001" customHeight="1" x14ac:dyDescent="0.25">
      <c r="D62" s="55" t="s">
        <v>17</v>
      </c>
      <c r="E62" s="56" t="str" cm="1">
        <f t="array" ref="E62">EntericMethane_Dairy_Equations.VEERG_3_3_1_1__4_AdditionalIntakeForMilkProduction_Unit()</f>
        <v>kg DM/head/day</v>
      </c>
    </row>
    <row r="63" spans="1:19" ht="20.100000000000001" customHeight="1" x14ac:dyDescent="0.25"/>
    <row r="64" spans="1:19" ht="20.100000000000001" customHeight="1" x14ac:dyDescent="0.25">
      <c r="D64" s="122" t="str" cm="1">
        <f t="array" ref="D64:E70">_xlfn.CHOOSECOLS(EntericMethane_Dairy_Equations.VEERG_3_3_1_1__4_AdditionalIntakeForMilkProduction_Arguments(), 1,2)</f>
        <v>MPU</v>
      </c>
      <c r="E64" s="121" t="str">
        <v>input milk production unit</v>
      </c>
      <c r="F64" s="123"/>
      <c r="G64" s="122" t="str" cm="1">
        <f t="array" ref="G64:H70">_xlfn.CHOOSECOLS(EntericMethane_Dairy_Equations.VEERG_3_3_1_1__4_AdditionalIntakeForMilkProduction_Arguments(), 3,4)</f>
        <v/>
      </c>
      <c r="H64" s="120" t="str">
        <v>Input</v>
      </c>
      <c r="I64" s="122" t="str">
        <f>X_Cell_Dairy_MilkProductionUnit</f>
        <v>Litres of milk</v>
      </c>
    </row>
    <row r="65" spans="4:18" ht="20.100000000000001" customHeight="1" x14ac:dyDescent="0.25">
      <c r="D65" s="122" t="str">
        <v>MP_j</v>
      </c>
      <c r="E65" s="121" t="str">
        <v>milk production (if input as litres of milk)</v>
      </c>
      <c r="F65" s="123"/>
      <c r="G65" s="122" t="str">
        <v>L/head/day</v>
      </c>
      <c r="H65" s="120" t="str">
        <v>Input</v>
      </c>
      <c r="I65" s="119" t="str" cm="1">
        <f t="array" aca="1" ref="I65" ca="1">HYPERLINK(Common_InputFunctions.Utility_SourceHyperlink($D$72), $D$72)</f>
        <v>Table_MP_j</v>
      </c>
    </row>
    <row r="66" spans="4:18" ht="20.100000000000001" customHeight="1" x14ac:dyDescent="0.25">
      <c r="D66" s="122" t="str">
        <v>MP_j</v>
      </c>
      <c r="E66" s="121" t="str">
        <v>milk production (if input as milk solids)</v>
      </c>
      <c r="F66" s="123"/>
      <c r="G66" s="122" t="str">
        <v>L/head/day</v>
      </c>
      <c r="H66" s="118" t="str">
        <v>Calculated from 3.3.1.1 (5)</v>
      </c>
      <c r="I66" s="119" t="str" cm="1">
        <f t="array" aca="1" ref="I66" ca="1">HYPERLINK(Common_InputFunctions.Utility_SourceHyperlink($D$47),$D$47)</f>
        <v>M1_Table_MP_j_from_solids</v>
      </c>
    </row>
    <row r="67" spans="4:18" ht="20.100000000000001" customHeight="1" x14ac:dyDescent="0.25">
      <c r="D67" s="122" t="str">
        <v>NE</v>
      </c>
      <c r="E67" s="121" t="str">
        <v>net energy</v>
      </c>
      <c r="F67" s="123"/>
      <c r="G67" s="122" t="str">
        <v>MJ net energy/kg milk</v>
      </c>
      <c r="H67" s="118" t="str">
        <v>Constant</v>
      </c>
      <c r="I67" s="122">
        <f>'Constants - Dairy'!$D$167</f>
        <v>3.0539999999999998</v>
      </c>
    </row>
    <row r="68" spans="4:18" ht="20.100000000000001" customHeight="1" x14ac:dyDescent="0.25">
      <c r="D68" s="122" t="str">
        <v>GEC</v>
      </c>
      <c r="E68" s="121" t="str">
        <v>gross energy content</v>
      </c>
      <c r="F68" s="123"/>
      <c r="G68" s="122" t="str">
        <v>MJ/kgDM</v>
      </c>
      <c r="H68" s="118" t="str">
        <v>Constant</v>
      </c>
      <c r="I68" s="122">
        <f>'Constants - Dairy'!$D$174</f>
        <v>18.399999999999999</v>
      </c>
    </row>
    <row r="69" spans="4:18" ht="20.100000000000001" customHeight="1" x14ac:dyDescent="0.25">
      <c r="D69" s="122" t="str">
        <v>k</v>
      </c>
      <c r="E69" s="121" t="str">
        <v>efficiency of metabolizable energy use for milk production</v>
      </c>
      <c r="F69" s="123"/>
      <c r="G69" s="122" t="str">
        <v>fraction</v>
      </c>
      <c r="H69" s="118" t="str">
        <v>Constant</v>
      </c>
      <c r="I69" s="122">
        <f>'Constants - Dairy'!$D$181</f>
        <v>0.6</v>
      </c>
    </row>
    <row r="70" spans="4:18" ht="20.100000000000001" customHeight="1" x14ac:dyDescent="0.25">
      <c r="D70" s="122" t="str">
        <v>qm_j</v>
      </c>
      <c r="E70" s="121" t="str">
        <v>metabolisability of the diet</v>
      </c>
      <c r="F70" s="123"/>
      <c r="G70" s="122" t="str">
        <v>fraction</v>
      </c>
      <c r="H70" s="118" t="str">
        <v>Calculated from 3.3.1.1 (6)</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184</v>
      </c>
    </row>
    <row r="73" spans="4:18" ht="20.100000000000001" customHeight="1" x14ac:dyDescent="0.25">
      <c r="D73" s="100" t="s">
        <v>152</v>
      </c>
    </row>
    <row r="74" spans="4:18" ht="20.100000000000001" customHeight="1" x14ac:dyDescent="0.25">
      <c r="D74" s="41" t="s">
        <v>128</v>
      </c>
      <c r="E74" s="41" t="s">
        <v>145</v>
      </c>
      <c r="F74" s="41" t="s">
        <v>146</v>
      </c>
      <c r="G74" s="41" t="s">
        <v>147</v>
      </c>
      <c r="H74" s="41" t="s">
        <v>148</v>
      </c>
    </row>
    <row r="75" spans="4:18" ht="20.100000000000001" customHeight="1" x14ac:dyDescent="0.25">
      <c r="D75" s="54">
        <f>IF(I64="Milk solids", 0, 'Input - Dairy'!$E$52)</f>
        <v>20</v>
      </c>
      <c r="E75" s="54">
        <v>0</v>
      </c>
      <c r="F75" s="54">
        <v>0</v>
      </c>
      <c r="G75" s="54">
        <v>0</v>
      </c>
      <c r="H75" s="54">
        <v>0</v>
      </c>
      <c r="I75" s="2" t="s">
        <v>181</v>
      </c>
    </row>
    <row r="76" spans="4:18" ht="20.100000000000001" customHeight="1" x14ac:dyDescent="0.25"/>
    <row r="77" spans="4:18" ht="20.100000000000001" customHeight="1" x14ac:dyDescent="0.25">
      <c r="D77" s="101" t="s">
        <v>179</v>
      </c>
      <c r="M77" s="101" t="s">
        <v>182</v>
      </c>
    </row>
    <row r="78" spans="4:18" ht="20.100000000000001" customHeight="1" x14ac:dyDescent="0.25">
      <c r="D78" s="100" t="s">
        <v>180</v>
      </c>
      <c r="M78" s="100" t="s">
        <v>183</v>
      </c>
    </row>
    <row r="79" spans="4:18" ht="20.100000000000001" customHeight="1" x14ac:dyDescent="0.25">
      <c r="D79" s="53" t="s">
        <v>128</v>
      </c>
      <c r="E79" s="53" t="s">
        <v>145</v>
      </c>
      <c r="F79" s="53" t="s">
        <v>146</v>
      </c>
      <c r="G79" s="53" t="s">
        <v>147</v>
      </c>
      <c r="H79" s="53" t="s">
        <v>148</v>
      </c>
      <c r="M79" s="53" t="s">
        <v>128</v>
      </c>
      <c r="N79" s="53" t="s">
        <v>145</v>
      </c>
      <c r="O79" s="53" t="s">
        <v>146</v>
      </c>
      <c r="P79" s="53" t="s">
        <v>147</v>
      </c>
      <c r="Q79" s="53" t="s">
        <v>148</v>
      </c>
    </row>
    <row r="80" spans="4:18" ht="20.100000000000001" customHeight="1" x14ac:dyDescent="0.25">
      <c r="D80" s="54" cm="1">
        <f t="array" ref="D80">EntericMethane_Dairy_Equations.VEERG_3_3_1_1__4_AdditionalIntakeForMilkProduction(IF(I64="Milk solids", D50, D75),$I$67,$I$68,$I$69,D24)</f>
        <v>9.5798721636071917</v>
      </c>
      <c r="E80" s="54" cm="1">
        <f t="array" ref="E80">EntericMethane_Dairy_Equations.VEERG_3_3_1_1__4_AdditionalIntakeForMilkProduction(E75, $I$67,$I$68,$I$69,E24)</f>
        <v>0</v>
      </c>
      <c r="F80" s="54" cm="1">
        <f t="array" ref="F80">EntericMethane_Dairy_Equations.VEERG_3_3_1_1__4_AdditionalIntakeForMilkProduction(F75, $I$67,$I$68,$I$69,F24)</f>
        <v>0</v>
      </c>
      <c r="G80" s="54" cm="1">
        <f t="array" ref="G80">EntericMethane_Dairy_Equations.VEERG_3_3_1_1__4_AdditionalIntakeForMilkProduction(G75, $I$67,$I$68,$I$69,G24)</f>
        <v>0</v>
      </c>
      <c r="H80" s="54" cm="1">
        <f t="array" ref="H80">EntericMethane_Dairy_Equations.VEERG_3_3_1_1__4_AdditionalIntakeForMilkProduction(H75, $I$67,$I$68,$I$69,H24)</f>
        <v>0</v>
      </c>
      <c r="I80" s="2" t="str">
        <f>$E$62</f>
        <v>kg DM/head/day</v>
      </c>
      <c r="M80" s="54" cm="1">
        <f t="array" ref="M80">EntericMethane_Dairy_Equations.VEERG_3_3_1_1__4_AdditionalIntakeForMilkProduction(IF(I64="Milk solids", M50, D75),$I$67,$I$68,$I$69,D24)</f>
        <v>9.5798721636071917</v>
      </c>
      <c r="N80" s="54" cm="1">
        <f t="array" ref="N80">EntericMethane_Dairy_Equations.VEERG_3_3_1_1__4_AdditionalIntakeForMilkProduction(E75, $I$67,$I$68,$I$69,N24)</f>
        <v>0</v>
      </c>
      <c r="O80" s="54" cm="1">
        <f t="array" ref="O80">EntericMethane_Dairy_Equations.VEERG_3_3_1_1__4_AdditionalIntakeForMilkProduction(F75, $I$67,$I$68,$I$69,O24)</f>
        <v>0</v>
      </c>
      <c r="P80" s="54" cm="1">
        <f t="array" ref="P80">EntericMethane_Dairy_Equations.VEERG_3_3_1_1__4_AdditionalIntakeForMilkProduction(G75, $I$67,$I$68,$I$69,P24)</f>
        <v>0</v>
      </c>
      <c r="Q80" s="54"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24</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5" t="s">
        <v>27</v>
      </c>
      <c r="E89" s="1" t="str" cm="1">
        <f t="array" ref="E89">EntericMethane_Dairy_Equations.VEERG_3_3_1_1__3_DryMatterFeedIntake_Variable()</f>
        <v>I_j</v>
      </c>
    </row>
    <row r="90" spans="3:19" ht="20.100000000000001" customHeight="1" x14ac:dyDescent="0.25">
      <c r="D90" s="55" t="s">
        <v>17</v>
      </c>
      <c r="E90" s="56" t="str" cm="1">
        <f t="array" ref="E90">EntericMethane_Dairy_Equations.VEERG_3_3_1_1__3_DryMatterFeedIntake_Unit()</f>
        <v>kg DM/head/day</v>
      </c>
    </row>
    <row r="91" spans="3:19" ht="20.100000000000001" customHeight="1" x14ac:dyDescent="0.25"/>
    <row r="92" spans="3:19" ht="20.100000000000001" customHeight="1" x14ac:dyDescent="0.25">
      <c r="D92" s="122" t="str" cm="1">
        <f t="array" ref="D92:E95">_xlfn.CHOOSECOLS(EntericMethane_Dairy_Equations.VEERG_3_3_1_1__3_DryMatterFeedIntake_Arguments(),1,2)</f>
        <v>W_j</v>
      </c>
      <c r="E92" s="121" t="str">
        <v>liveweight</v>
      </c>
      <c r="F92" s="123"/>
      <c r="G92" s="122" t="str" cm="1">
        <f t="array" ref="G92:H95">_xlfn.CHOOSECOLS(EntericMethane_Dairy_Equations.VEERG_3_3_1_1__3_DryMatterFeedIntake_Arguments(),3,4)</f>
        <v>kg</v>
      </c>
      <c r="H92" s="120" t="str">
        <v>Input</v>
      </c>
      <c r="I92" s="119" t="str" cm="1">
        <f t="array" aca="1" ref="I92" ca="1">HYPERLINK(Common_InputFunctions.Utility_SourceHyperlink($D$97), $D$97)</f>
        <v>M1_Table_W_j</v>
      </c>
    </row>
    <row r="93" spans="3:19" ht="20.100000000000001" customHeight="1" x14ac:dyDescent="0.25">
      <c r="D93" s="122" t="str">
        <v>LWG_j</v>
      </c>
      <c r="E93" s="121" t="str">
        <v>liveweight gain</v>
      </c>
      <c r="F93" s="123"/>
      <c r="G93" s="122" t="str">
        <v>kg/head/day</v>
      </c>
      <c r="H93" s="120" t="str">
        <v>Input</v>
      </c>
      <c r="I93" s="119" t="str" cm="1">
        <f t="array" aca="1" ref="I93" ca="1">HYPERLINK(Common_InputFunctions.Utility_SourceHyperlink($D$102), $D$102)</f>
        <v>M1_Table_LWG_j</v>
      </c>
    </row>
    <row r="94" spans="3:19" ht="20.100000000000001" customHeight="1" x14ac:dyDescent="0.25">
      <c r="D94" s="122" t="str">
        <v>MR_j</v>
      </c>
      <c r="E94" s="121" t="str">
        <v>increase in metabolic rate when producing milk</v>
      </c>
      <c r="F94" s="123"/>
      <c r="G94" s="122" t="str">
        <v>fraction</v>
      </c>
      <c r="H94" s="118" t="str">
        <v>Constant</v>
      </c>
      <c r="I94" s="119" t="str" cm="1">
        <f t="array" aca="1" ref="I94" ca="1">HYPERLINK(Common_InputFunctions.Utility_SourceHyperlink($D$107), $D$107)</f>
        <v>Table_MR_j</v>
      </c>
    </row>
    <row r="95" spans="3:19" ht="20.100000000000001" customHeight="1" x14ac:dyDescent="0.25">
      <c r="D95" s="122" t="str">
        <v>MI_j</v>
      </c>
      <c r="E95" s="121" t="str">
        <v>additional intake required for milk production</v>
      </c>
      <c r="F95" s="123"/>
      <c r="G95" s="122" t="str">
        <v>kg DM/head/day</v>
      </c>
      <c r="H95" s="118" t="str">
        <v>Calculated from 3.3.1.1 (4)</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164</v>
      </c>
      <c r="M97" s="101" t="s">
        <v>166</v>
      </c>
    </row>
    <row r="98" spans="1:18" ht="20.100000000000001" customHeight="1" x14ac:dyDescent="0.25">
      <c r="D98" s="100" t="s">
        <v>165</v>
      </c>
      <c r="M98" s="100" t="s">
        <v>167</v>
      </c>
    </row>
    <row r="99" spans="1:18" ht="20.100000000000001" customHeight="1" x14ac:dyDescent="0.25">
      <c r="D99" s="41" t="s">
        <v>128</v>
      </c>
      <c r="E99" s="41" t="s">
        <v>145</v>
      </c>
      <c r="F99" s="41" t="s">
        <v>146</v>
      </c>
      <c r="G99" s="41" t="s">
        <v>147</v>
      </c>
      <c r="H99" s="41" t="s">
        <v>148</v>
      </c>
      <c r="M99" s="41" t="s">
        <v>128</v>
      </c>
      <c r="N99" s="41" t="s">
        <v>145</v>
      </c>
      <c r="O99" s="41" t="s">
        <v>146</v>
      </c>
      <c r="P99" s="41" t="s">
        <v>147</v>
      </c>
      <c r="Q99" s="41" t="s">
        <v>148</v>
      </c>
    </row>
    <row r="100" spans="1:18" ht="20.100000000000001" customHeight="1" x14ac:dyDescent="0.25">
      <c r="D100" s="54">
        <f>'Input - Dairy'!$E$14</f>
        <v>550</v>
      </c>
      <c r="E100" s="54">
        <f>'Input - Dairy'!$F$14</f>
        <v>380</v>
      </c>
      <c r="F100" s="54">
        <f>'Input - Dairy'!$G$14</f>
        <v>155</v>
      </c>
      <c r="G100" s="54">
        <f>'Input - Dairy'!$H$14</f>
        <v>600</v>
      </c>
      <c r="H100" s="54">
        <f>'Input - Dairy'!$I$14</f>
        <v>225</v>
      </c>
      <c r="I100" s="2" t="s">
        <v>150</v>
      </c>
      <c r="M100" s="54">
        <f>'Input - Dairy'!$E$18</f>
        <v>550</v>
      </c>
      <c r="N100" s="54">
        <f>'Input - Dairy'!$F$18</f>
        <v>380</v>
      </c>
      <c r="O100" s="54">
        <f>'Input - Dairy'!$G$18</f>
        <v>155</v>
      </c>
      <c r="P100" s="54">
        <f>'Input - Dairy'!$H$18</f>
        <v>600</v>
      </c>
      <c r="Q100" s="54">
        <f>'Input - Dairy'!$I$18</f>
        <v>225</v>
      </c>
      <c r="R100" s="2" t="s">
        <v>150</v>
      </c>
    </row>
    <row r="101" spans="1:18" ht="20.100000000000001" customHeight="1" x14ac:dyDescent="0.25"/>
    <row r="102" spans="1:18" ht="20.100000000000001" customHeight="1" x14ac:dyDescent="0.25">
      <c r="D102" s="101" t="s">
        <v>168</v>
      </c>
      <c r="M102" s="101" t="s">
        <v>170</v>
      </c>
    </row>
    <row r="103" spans="1:18" ht="20.100000000000001" customHeight="1" x14ac:dyDescent="0.25">
      <c r="D103" s="100" t="s">
        <v>169</v>
      </c>
      <c r="M103" s="100" t="s">
        <v>171</v>
      </c>
    </row>
    <row r="104" spans="1:18" ht="20.100000000000001" customHeight="1" x14ac:dyDescent="0.25">
      <c r="D104" s="41" t="s">
        <v>128</v>
      </c>
      <c r="E104" s="41" t="s">
        <v>145</v>
      </c>
      <c r="F104" s="41" t="s">
        <v>146</v>
      </c>
      <c r="G104" s="41" t="s">
        <v>147</v>
      </c>
      <c r="H104" s="41" t="s">
        <v>148</v>
      </c>
      <c r="M104" s="41" t="s">
        <v>128</v>
      </c>
      <c r="N104" s="41" t="s">
        <v>145</v>
      </c>
      <c r="O104" s="41" t="s">
        <v>146</v>
      </c>
      <c r="P104" s="41" t="s">
        <v>147</v>
      </c>
      <c r="Q104" s="41" t="s">
        <v>148</v>
      </c>
    </row>
    <row r="105" spans="1:18" ht="20.100000000000001" customHeight="1" x14ac:dyDescent="0.25">
      <c r="A105" s="125" t="str">
        <f>HYPERLINK("#A1", "▲ Back to top")</f>
        <v>▲ Back to top</v>
      </c>
      <c r="D105" s="54">
        <f>'Input - Dairy'!$E$15</f>
        <v>1.6E-2</v>
      </c>
      <c r="E105" s="54">
        <f>'Input - Dairy'!$F$15</f>
        <v>0.6</v>
      </c>
      <c r="F105" s="54">
        <f>'Input - Dairy'!$G$15</f>
        <v>0.56999999999999995</v>
      </c>
      <c r="G105" s="54">
        <f>'Input - Dairy'!$H$15</f>
        <v>0.1</v>
      </c>
      <c r="H105" s="54">
        <f>'Input - Dairy'!$I$15</f>
        <v>0.8</v>
      </c>
      <c r="I105" s="2" t="s">
        <v>151</v>
      </c>
      <c r="M105" s="54">
        <f>'Input - Dairy'!$E$19</f>
        <v>1.6E-2</v>
      </c>
      <c r="N105" s="54">
        <f>'Input - Dairy'!$F$19</f>
        <v>0.6</v>
      </c>
      <c r="O105" s="54">
        <f>'Input - Dairy'!$G$19</f>
        <v>0.56999999999999995</v>
      </c>
      <c r="P105" s="54">
        <f>'Input - Dairy'!$H$19</f>
        <v>0.1</v>
      </c>
      <c r="Q105" s="54">
        <f>'Input - Dairy'!$I$19</f>
        <v>0.8</v>
      </c>
      <c r="R105" s="2" t="s">
        <v>151</v>
      </c>
    </row>
    <row r="106" spans="1:18" ht="20.100000000000001" customHeight="1" x14ac:dyDescent="0.25"/>
    <row r="107" spans="1:18" ht="20.100000000000001" customHeight="1" x14ac:dyDescent="0.25">
      <c r="D107" s="101" t="s">
        <v>172</v>
      </c>
    </row>
    <row r="108" spans="1:18" ht="20.100000000000001" customHeight="1" x14ac:dyDescent="0.25">
      <c r="D108" s="100" t="s">
        <v>173</v>
      </c>
    </row>
    <row r="109" spans="1:18" ht="20.100000000000001" customHeight="1" x14ac:dyDescent="0.25">
      <c r="D109" s="53" t="s">
        <v>128</v>
      </c>
      <c r="E109" s="53" t="s">
        <v>145</v>
      </c>
      <c r="F109" s="53" t="s">
        <v>146</v>
      </c>
      <c r="G109" s="53" t="s">
        <v>147</v>
      </c>
      <c r="H109" s="53" t="s">
        <v>148</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93</v>
      </c>
    </row>
    <row r="111" spans="1:18" ht="20.100000000000001" customHeight="1" x14ac:dyDescent="0.25"/>
    <row r="112" spans="1:18" ht="20.100000000000001" customHeight="1" x14ac:dyDescent="0.25">
      <c r="D112" s="101" t="s">
        <v>102</v>
      </c>
      <c r="M112" s="101" t="s">
        <v>103</v>
      </c>
    </row>
    <row r="113" spans="3:19" ht="20.100000000000001" customHeight="1" x14ac:dyDescent="0.25">
      <c r="D113" s="100" t="s">
        <v>187</v>
      </c>
      <c r="M113" s="100" t="s">
        <v>186</v>
      </c>
    </row>
    <row r="114" spans="3:19" ht="20.100000000000001" customHeight="1" x14ac:dyDescent="0.25">
      <c r="D114" s="53" t="s">
        <v>128</v>
      </c>
      <c r="E114" s="53" t="s">
        <v>145</v>
      </c>
      <c r="F114" s="53" t="s">
        <v>146</v>
      </c>
      <c r="G114" s="53" t="s">
        <v>147</v>
      </c>
      <c r="H114" s="53" t="s">
        <v>148</v>
      </c>
      <c r="M114" s="53" t="s">
        <v>128</v>
      </c>
      <c r="N114" s="53" t="s">
        <v>145</v>
      </c>
      <c r="O114" s="53" t="s">
        <v>146</v>
      </c>
      <c r="P114" s="53" t="s">
        <v>147</v>
      </c>
      <c r="Q114" s="53" t="s">
        <v>148</v>
      </c>
    </row>
    <row r="115" spans="3:19" ht="20.100000000000001" customHeight="1" x14ac:dyDescent="0.25">
      <c r="D115" s="54" cm="1">
        <f t="array" ref="D115">EntericMethane_Dairy_Equations.VEERG_3_3_1_1__3_DryMatterFeedIntake(D100,D105,D110,D80)</f>
        <v>18.834317684367193</v>
      </c>
      <c r="E115" s="54" cm="1">
        <f t="array" ref="E115">EntericMethane_Dairy_Equations.VEERG_3_3_1_1__3_DryMatterFeedIntake(E100,E105,E110,E80)</f>
        <v>7.4188685375999972</v>
      </c>
      <c r="F115" s="54" cm="1">
        <f t="array" ref="F115">EntericMethane_Dairy_Equations.VEERG_3_3_1_1__3_DryMatterFeedIntake(F100,F105,F110,F80)</f>
        <v>4.0231734662249998</v>
      </c>
      <c r="G115" s="54" cm="1">
        <f t="array" ref="G115">EntericMethane_Dairy_Equations.VEERG_3_3_1_1__3_DryMatterFeedIntake(G100,G105,G110,G80)</f>
        <v>9.0270202499999979</v>
      </c>
      <c r="H115" s="54" cm="1">
        <f t="array" ref="H115">EntericMethane_Dairy_Equations.VEERG_3_3_1_1__3_DryMatterFeedIntake(H100,H105,H110,H80)</f>
        <v>5.4143472656250013</v>
      </c>
      <c r="I115" s="2" t="str">
        <f>$E$90</f>
        <v>kg DM/head/day</v>
      </c>
      <c r="M115" s="54" cm="1">
        <f t="array" ref="M115">EntericMethane_Dairy_Equations.VEERG_3_3_1_1__3_DryMatterFeedIntake(M100,M105,D110,M80)</f>
        <v>18.834317684367193</v>
      </c>
      <c r="N115" s="54" cm="1">
        <f t="array" ref="N115">EntericMethane_Dairy_Equations.VEERG_3_3_1_1__3_DryMatterFeedIntake(N100,N105,E110,N80)</f>
        <v>7.4188685375999972</v>
      </c>
      <c r="O115" s="54" cm="1">
        <f t="array" ref="O115">EntericMethane_Dairy_Equations.VEERG_3_3_1_1__3_DryMatterFeedIntake(O100,O105,F110,O80)</f>
        <v>4.0231734662249998</v>
      </c>
      <c r="P115" s="54" cm="1">
        <f t="array" ref="P115">EntericMethane_Dairy_Equations.VEERG_3_3_1_1__3_DryMatterFeedIntake(P100,P105,G110,P80)</f>
        <v>9.0270202499999979</v>
      </c>
      <c r="Q115" s="54"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24</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5" t="s">
        <v>27</v>
      </c>
      <c r="E124" s="1" t="str" cm="1">
        <f t="array" ref="E124">EntericMethane_Dairy_Equations.VEERG_3_3_1_1__2_DailyEntericMethaneProduction_Variable()</f>
        <v>M_j</v>
      </c>
    </row>
    <row r="125" spans="3:19" ht="20.100000000000001" customHeight="1" x14ac:dyDescent="0.25">
      <c r="D125" s="55" t="s">
        <v>17</v>
      </c>
      <c r="E125" s="56"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2" t="str" cm="1">
        <f t="array" ref="D127:G127">EntericMethane_Dairy_Equations.VEERG_3_3_1_1__2_DailyEntericMethaneProduction_Arguments()</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219</v>
      </c>
      <c r="M129" s="101" t="s">
        <v>221</v>
      </c>
    </row>
    <row r="130" spans="3:19" ht="20.100000000000001" customHeight="1" x14ac:dyDescent="0.25">
      <c r="D130" s="100" t="s">
        <v>220</v>
      </c>
      <c r="M130" s="100" t="s">
        <v>222</v>
      </c>
    </row>
    <row r="131" spans="3:19" ht="20.100000000000001" customHeight="1" x14ac:dyDescent="0.25">
      <c r="D131" s="53" t="s">
        <v>128</v>
      </c>
      <c r="E131" s="53" t="s">
        <v>145</v>
      </c>
      <c r="F131" s="53" t="s">
        <v>146</v>
      </c>
      <c r="G131" s="53" t="s">
        <v>147</v>
      </c>
      <c r="H131" s="53" t="s">
        <v>148</v>
      </c>
      <c r="M131" s="53" t="s">
        <v>128</v>
      </c>
      <c r="N131" s="53" t="s">
        <v>145</v>
      </c>
      <c r="O131" s="53" t="s">
        <v>146</v>
      </c>
      <c r="P131" s="53" t="s">
        <v>147</v>
      </c>
      <c r="Q131" s="53" t="s">
        <v>148</v>
      </c>
    </row>
    <row r="132" spans="3:19" ht="20.100000000000001" customHeight="1" x14ac:dyDescent="0.25">
      <c r="D132" s="54" cm="1">
        <f t="array" ref="D132">EntericMethane_Dairy_Equations.VEERG_3_3_1_1__2_DailyEntericMethaneProduction(D115)</f>
        <v>0.38987037606640085</v>
      </c>
      <c r="E132" s="54" cm="1">
        <f t="array" ref="E132">EntericMethane_Dairy_Equations.VEERG_3_3_1_1__2_DailyEntericMethaneProduction(E115)</f>
        <v>0.15357057872831995</v>
      </c>
      <c r="F132" s="54" cm="1">
        <f t="array" ref="F132">EntericMethane_Dairy_Equations.VEERG_3_3_1_1__2_DailyEntericMethaneProduction(F115)</f>
        <v>8.3279690750857505E-2</v>
      </c>
      <c r="G132" s="54" cm="1">
        <f t="array" ref="G132">EntericMethane_Dairy_Equations.VEERG_3_3_1_1__2_DailyEntericMethaneProduction(G115)</f>
        <v>0.18685931917499995</v>
      </c>
      <c r="H132" s="54" cm="1">
        <f t="array" ref="H132">EntericMethane_Dairy_Equations.VEERG_3_3_1_1__2_DailyEntericMethaneProduction(H115)</f>
        <v>0.11207698839843752</v>
      </c>
      <c r="I132" s="2" t="str">
        <f>$E$125</f>
        <v>kg CH4/head/day</v>
      </c>
      <c r="M132" s="54" cm="1">
        <f t="array" ref="M132">EntericMethane_Dairy_Equations.VEERG_3_3_1_1__2_DailyEntericMethaneProduction(M115)</f>
        <v>0.38987037606640085</v>
      </c>
      <c r="N132" s="54" cm="1">
        <f t="array" ref="N132">EntericMethane_Dairy_Equations.VEERG_3_3_1_1__2_DailyEntericMethaneProduction(N115)</f>
        <v>0.15357057872831995</v>
      </c>
      <c r="O132" s="54" cm="1">
        <f t="array" ref="O132">EntericMethane_Dairy_Equations.VEERG_3_3_1_1__2_DailyEntericMethaneProduction(O115)</f>
        <v>8.3279690750857505E-2</v>
      </c>
      <c r="P132" s="54" cm="1">
        <f t="array" ref="P132">EntericMethane_Dairy_Equations.VEERG_3_3_1_1__2_DailyEntericMethaneProduction(P115)</f>
        <v>0.18685931917499995</v>
      </c>
      <c r="Q132" s="54"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7"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24</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27</v>
      </c>
      <c r="E145" s="1" t="str" cm="1">
        <f t="array" ref="E145">EntericMethane_Dairy_Equations.VEERG_3_3_1_1__1_TotalAnnualMethaneFromEntericFermentation_Variable()</f>
        <v>E_enteric</v>
      </c>
    </row>
    <row r="146" spans="1:9" ht="20.100000000000001" customHeight="1" x14ac:dyDescent="0.25">
      <c r="D146" s="55" t="s">
        <v>17</v>
      </c>
      <c r="E146" s="56" t="str" cm="1">
        <f t="array" ref="E146">EntericMethane_Dairy_Equations.VEERG_3_3_1_1__1_TotalAnnualMethaneFromEntericFermentation_Unit()</f>
        <v>t CH4</v>
      </c>
    </row>
    <row r="147" spans="1:9" ht="20.100000000000001" customHeight="1" x14ac:dyDescent="0.25"/>
    <row r="148" spans="1:9" ht="20.100000000000001" customHeight="1" x14ac:dyDescent="0.25">
      <c r="D148" s="122" t="str" cm="1">
        <f t="array" ref="D148:E155">_xlfn.CHOOSECOLS(EntericMethane_Dairy_Equations.VEERG_3_3_1_1__1_TotalAnnualMethaneFromEntericFermentation_Arguments(),1,2)</f>
        <v>N_j124</v>
      </c>
      <c r="E148" s="121" t="str">
        <v>number of dairy cattle in classes j=1,2,4</v>
      </c>
      <c r="F148" s="123"/>
      <c r="G148" s="122" t="str" cm="1">
        <f t="array" ref="G148:H155">_xlfn.CHOOSECOLS(EntericMethane_Dairy_Equations.VEERG_3_3_1_1__1_TotalAnnualMethaneFromEntericFermentation_Arguments(),3,4)</f>
        <v>head</v>
      </c>
      <c r="H148" s="120" t="str">
        <v>Input</v>
      </c>
      <c r="I148" s="119" t="str" cm="1">
        <f t="array" aca="1" ref="I148" ca="1">HYPERLINK(Common_InputFunctions.Utility_SourceHyperlink($D$157),$D$157)</f>
        <v>Table_N_j</v>
      </c>
    </row>
    <row r="149" spans="1:9" ht="20.100000000000001" customHeight="1" x14ac:dyDescent="0.25">
      <c r="D149" s="122" t="str">
        <v>M_j124</v>
      </c>
      <c r="E149" s="121" t="str">
        <v>daily enteric methane production for classes j=1,2,4</v>
      </c>
      <c r="F149" s="123"/>
      <c r="G149" s="122" t="str">
        <v>kg CH4/head/day</v>
      </c>
      <c r="H149" s="118" t="str">
        <v>Calculated from 3.3.1.1 (2)</v>
      </c>
      <c r="I149" s="119" t="str" cm="1">
        <f t="array" aca="1" ref="I149" ca="1">HYPERLINK(Common_InputFunctions.Utility_SourceHyperlink($D$129),$D$129)</f>
        <v>M1_Table_M_j</v>
      </c>
    </row>
    <row r="150" spans="1:9" ht="20.100000000000001" customHeight="1" x14ac:dyDescent="0.25">
      <c r="D150" s="122" t="str">
        <v>D_j124</v>
      </c>
      <c r="E150" s="121" t="str">
        <v>duration of stay on the farm for classes j=1,2,4</v>
      </c>
      <c r="F150" s="123"/>
      <c r="G150" s="122" t="str">
        <v>days</v>
      </c>
      <c r="H150" s="120" t="str">
        <v>Input</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tr">
        <v>N_j35</v>
      </c>
      <c r="E151" s="121" t="str">
        <v>number of dairy cattle in classes j=3,5</v>
      </c>
      <c r="F151" s="123"/>
      <c r="G151" s="122" t="str">
        <v>head</v>
      </c>
      <c r="H151" s="120" t="str">
        <v>Input</v>
      </c>
      <c r="I151" s="119" t="str" cm="1">
        <f t="array" aca="1" ref="I151" ca="1">HYPERLINK(Common_InputFunctions.Utility_SourceHyperlink($D$157),$D$157)</f>
        <v>Table_N_j</v>
      </c>
    </row>
    <row r="152" spans="1:9" ht="20.100000000000001" customHeight="1" x14ac:dyDescent="0.25">
      <c r="D152" s="122" t="str">
        <v>M_j35</v>
      </c>
      <c r="E152" s="121" t="str">
        <v>daily enteric methane production for weaned classes j=3,5</v>
      </c>
      <c r="F152" s="123"/>
      <c r="G152" s="122" t="str">
        <v>kg CH4/head/day</v>
      </c>
      <c r="H152" s="118" t="str">
        <v>Calculated from 3.3.1.1 (2)</v>
      </c>
      <c r="I152" s="119" t="str" cm="1">
        <f t="array" aca="1" ref="I152" ca="1">HYPERLINK(Common_InputFunctions.Utility_SourceHyperlink($D$129),$D$129)</f>
        <v>M1_Table_M_j</v>
      </c>
    </row>
    <row r="153" spans="1:9" ht="20.100000000000001" customHeight="1" x14ac:dyDescent="0.25">
      <c r="D153" s="122" t="str">
        <v>D_j35</v>
      </c>
      <c r="E153" s="121" t="str">
        <v>duration of stay on the farm for weaned classes j=3,5</v>
      </c>
      <c r="F153" s="123"/>
      <c r="G153" s="122" t="str">
        <v>days</v>
      </c>
      <c r="H153" s="120" t="str">
        <v>Input</v>
      </c>
      <c r="I153" s="119" t="str" cm="1">
        <f t="array" aca="1" ref="I153" ca="1">HYPERLINK(Common_InputFunctions.Utility_SourceHyperlink($D$162),$D$162)</f>
        <v>M1_Table_D_j</v>
      </c>
    </row>
    <row r="154" spans="1:9" ht="20.100000000000001" customHeight="1" x14ac:dyDescent="0.25">
      <c r="D154" s="122" t="str">
        <v>DPW_j35</v>
      </c>
      <c r="E154" s="121" t="str">
        <v>duration of stay on the farm for pre-weaned heifer and bull calves</v>
      </c>
      <c r="F154" s="123"/>
      <c r="G154" s="122" t="str">
        <v>days</v>
      </c>
      <c r="H154" s="120" t="str">
        <v>Input</v>
      </c>
      <c r="I154" s="119" t="str" cm="1">
        <f t="array" aca="1" ref="I154" ca="1">HYPERLINK(Common_InputFunctions.Utility_SourceHyperlink($D$167),$D$167)</f>
        <v>M1_Table_DPW_j-3-5</v>
      </c>
    </row>
    <row r="155" spans="1:9" ht="20.100000000000001" customHeight="1" x14ac:dyDescent="0.25">
      <c r="D155" s="122" t="str">
        <v>MPW_ENTERIC_j35</v>
      </c>
      <c r="E155" s="122" t="str">
        <v>daily methane production for pre-weaned heifer and bull calves</v>
      </c>
      <c r="F155" s="122"/>
      <c r="G155" s="122" t="str">
        <v>kg CH4/head/day</v>
      </c>
      <c r="H155" s="118" t="str">
        <v>Constant</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99</v>
      </c>
    </row>
    <row r="158" spans="1:9" ht="20.100000000000001" customHeight="1" x14ac:dyDescent="0.25">
      <c r="D158" s="100" t="s">
        <v>223</v>
      </c>
    </row>
    <row r="159" spans="1:9" ht="20.100000000000001" customHeight="1" x14ac:dyDescent="0.25">
      <c r="D159" s="41" t="s">
        <v>128</v>
      </c>
      <c r="E159" s="41" t="s">
        <v>145</v>
      </c>
      <c r="F159" s="41" t="s">
        <v>146</v>
      </c>
      <c r="G159" s="41" t="s">
        <v>147</v>
      </c>
      <c r="H159" s="41" t="s">
        <v>148</v>
      </c>
    </row>
    <row r="160" spans="1:9" ht="20.100000000000001" customHeight="1" x14ac:dyDescent="0.25">
      <c r="D160" s="54">
        <f>'Input - Dairy'!E10</f>
        <v>100</v>
      </c>
      <c r="E160" s="54">
        <f>'Input - Dairy'!F10</f>
        <v>100</v>
      </c>
      <c r="F160" s="54">
        <f>'Input - Dairy'!G10</f>
        <v>100</v>
      </c>
      <c r="G160" s="54">
        <f>'Input - Dairy'!H10</f>
        <v>100</v>
      </c>
      <c r="H160" s="54">
        <f>'Input - Dairy'!I10</f>
        <v>100</v>
      </c>
      <c r="I160" s="56" t="str">
        <f>$G$148</f>
        <v>head</v>
      </c>
    </row>
    <row r="161" spans="4:18" ht="20.100000000000001" customHeight="1" x14ac:dyDescent="0.25"/>
    <row r="162" spans="4:18" ht="20.100000000000001" customHeight="1" x14ac:dyDescent="0.25">
      <c r="D162" s="101" t="s">
        <v>188</v>
      </c>
      <c r="M162" s="101" t="s">
        <v>189</v>
      </c>
    </row>
    <row r="163" spans="4:18" ht="20.100000000000001" customHeight="1" x14ac:dyDescent="0.25">
      <c r="D163" s="100" t="s">
        <v>224</v>
      </c>
      <c r="M163" s="100" t="s">
        <v>226</v>
      </c>
    </row>
    <row r="164" spans="4:18" ht="20.100000000000001" customHeight="1" x14ac:dyDescent="0.25">
      <c r="D164" s="41" t="s">
        <v>128</v>
      </c>
      <c r="E164" s="41" t="s">
        <v>145</v>
      </c>
      <c r="F164" s="41" t="s">
        <v>146</v>
      </c>
      <c r="G164" s="41" t="s">
        <v>147</v>
      </c>
      <c r="H164" s="41" t="s">
        <v>148</v>
      </c>
      <c r="M164" s="41" t="s">
        <v>128</v>
      </c>
      <c r="N164" s="41" t="s">
        <v>145</v>
      </c>
      <c r="O164" s="41" t="s">
        <v>146</v>
      </c>
      <c r="P164" s="41" t="s">
        <v>147</v>
      </c>
      <c r="Q164" s="41" t="s">
        <v>148</v>
      </c>
    </row>
    <row r="165" spans="4:18" ht="20.100000000000001" customHeight="1" x14ac:dyDescent="0.25">
      <c r="D165" s="54">
        <f>'Input - Dairy'!E24</f>
        <v>365</v>
      </c>
      <c r="E165" s="54">
        <f>'Input - Dairy'!F24</f>
        <v>365</v>
      </c>
      <c r="F165" s="54">
        <f>'Input - Dairy'!G24</f>
        <v>281</v>
      </c>
      <c r="G165" s="54">
        <f>'Input - Dairy'!H24</f>
        <v>365</v>
      </c>
      <c r="H165" s="54">
        <f>'Input - Dairy'!I24</f>
        <v>281</v>
      </c>
      <c r="I165" s="56" t="str">
        <f>$G$150</f>
        <v>days</v>
      </c>
      <c r="M165" s="54">
        <f>'Input - Dairy'!E28</f>
        <v>365</v>
      </c>
      <c r="N165" s="54">
        <f>'Input - Dairy'!F28</f>
        <v>365</v>
      </c>
      <c r="O165" s="54">
        <f>'Input - Dairy'!G28</f>
        <v>281</v>
      </c>
      <c r="P165" s="54">
        <f>'Input - Dairy'!H28</f>
        <v>365</v>
      </c>
      <c r="Q165" s="54">
        <f>'Input - Dairy'!I28</f>
        <v>281</v>
      </c>
      <c r="R165" s="56" t="str">
        <f>$G$150</f>
        <v>days</v>
      </c>
    </row>
    <row r="166" spans="4:18" ht="20.100000000000001" customHeight="1" x14ac:dyDescent="0.25"/>
    <row r="167" spans="4:18" ht="20.100000000000001" customHeight="1" x14ac:dyDescent="0.25">
      <c r="D167" s="101" t="s">
        <v>229</v>
      </c>
      <c r="M167" s="101" t="s">
        <v>227</v>
      </c>
    </row>
    <row r="168" spans="4:18" ht="20.100000000000001" customHeight="1" x14ac:dyDescent="0.25">
      <c r="D168" s="100" t="s">
        <v>225</v>
      </c>
      <c r="M168" s="100" t="s">
        <v>228</v>
      </c>
    </row>
    <row r="169" spans="4:18" ht="20.100000000000001" customHeight="1" x14ac:dyDescent="0.25">
      <c r="D169" s="41" t="s">
        <v>128</v>
      </c>
      <c r="E169" s="41" t="s">
        <v>145</v>
      </c>
      <c r="F169" s="41" t="s">
        <v>146</v>
      </c>
      <c r="G169" s="41" t="s">
        <v>147</v>
      </c>
      <c r="H169" s="41" t="s">
        <v>148</v>
      </c>
      <c r="M169" s="41" t="s">
        <v>128</v>
      </c>
      <c r="N169" s="41" t="s">
        <v>145</v>
      </c>
      <c r="O169" s="41" t="s">
        <v>146</v>
      </c>
      <c r="P169" s="41" t="s">
        <v>147</v>
      </c>
      <c r="Q169" s="41" t="s">
        <v>148</v>
      </c>
    </row>
    <row r="170" spans="4:18" ht="20.100000000000001" customHeight="1" x14ac:dyDescent="0.25">
      <c r="D170" s="54">
        <f>'Input - Dairy'!E25</f>
        <v>0</v>
      </c>
      <c r="E170" s="54">
        <f>'Input - Dairy'!F29</f>
        <v>0</v>
      </c>
      <c r="F170" s="54">
        <f>'Input - Dairy'!G29</f>
        <v>84</v>
      </c>
      <c r="G170" s="54">
        <f>'Input - Dairy'!H29</f>
        <v>0</v>
      </c>
      <c r="H170" s="54">
        <f>'Input - Dairy'!I29</f>
        <v>84</v>
      </c>
      <c r="I170" s="56" t="str">
        <f>$G$150</f>
        <v>days</v>
      </c>
      <c r="M170" s="54">
        <f>'Input - Dairy'!E29</f>
        <v>0</v>
      </c>
      <c r="N170" s="54">
        <f>'Input - Dairy'!F29</f>
        <v>0</v>
      </c>
      <c r="O170" s="54">
        <f>'Input - Dairy'!G29</f>
        <v>84</v>
      </c>
      <c r="P170" s="54">
        <f>'Input - Dairy'!H29</f>
        <v>0</v>
      </c>
      <c r="Q170" s="54">
        <f>'Input - Dairy'!I29</f>
        <v>84</v>
      </c>
      <c r="R170" s="56" t="str">
        <f>$G$150</f>
        <v>days</v>
      </c>
    </row>
    <row r="171" spans="4:18" ht="20.100000000000001" customHeight="1" x14ac:dyDescent="0.25"/>
    <row r="172" spans="4:18" ht="20.100000000000001" customHeight="1" x14ac:dyDescent="0.25">
      <c r="D172" s="101" t="s">
        <v>230</v>
      </c>
    </row>
    <row r="173" spans="4:18" ht="20.100000000000001" customHeight="1" x14ac:dyDescent="0.25">
      <c r="D173" s="100" t="s">
        <v>225</v>
      </c>
    </row>
    <row r="174" spans="4:18" ht="20.100000000000001" customHeight="1" x14ac:dyDescent="0.25">
      <c r="D174" s="53" t="s">
        <v>146</v>
      </c>
      <c r="E174" s="53" t="s">
        <v>148</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231</v>
      </c>
      <c r="M177" s="101" t="s">
        <v>231</v>
      </c>
    </row>
    <row r="178" spans="1:18" ht="20.100000000000001" customHeight="1" x14ac:dyDescent="0.25">
      <c r="A178" s="125" t="str">
        <f>HYPERLINK("#A1", "▲ Back to top")</f>
        <v>▲ Back to top</v>
      </c>
      <c r="D178" s="100" t="s">
        <v>232</v>
      </c>
      <c r="M178" s="100" t="s">
        <v>232</v>
      </c>
    </row>
    <row r="179" spans="1:18" ht="20.100000000000001" customHeight="1" x14ac:dyDescent="0.25">
      <c r="D179" s="53" t="s">
        <v>128</v>
      </c>
      <c r="E179" s="53" t="s">
        <v>145</v>
      </c>
      <c r="F179" s="53" t="s">
        <v>146</v>
      </c>
      <c r="G179" s="53" t="s">
        <v>147</v>
      </c>
      <c r="H179" s="53" t="s">
        <v>148</v>
      </c>
      <c r="M179" s="53" t="s">
        <v>128</v>
      </c>
      <c r="N179" s="53" t="s">
        <v>145</v>
      </c>
      <c r="O179" s="53" t="s">
        <v>146</v>
      </c>
      <c r="P179" s="53" t="s">
        <v>147</v>
      </c>
      <c r="Q179" s="53" t="s">
        <v>148</v>
      </c>
    </row>
    <row r="180" spans="1:18" ht="20.100000000000001" customHeight="1" x14ac:dyDescent="0.25">
      <c r="D180" s="54" cm="1">
        <f t="array" ref="D180">EntericMethane_Dairy_Equations.VEERG_3_3_1_1__1_TotalAnnualMethaneFromEntericFermentationVariation(D160,D132,D165,0,0,0,0,0)</f>
        <v>14.230268726423633</v>
      </c>
      <c r="E180" s="54" cm="1">
        <f t="array" ref="E180">EntericMethane_Dairy_Equations.VEERG_3_3_1_1__1_TotalAnnualMethaneFromEntericFermentationVariation(E160,E132,E165,0,0,0,0,0)</f>
        <v>5.6053261235836782</v>
      </c>
      <c r="F180" s="54" cm="1">
        <f t="array" ref="F180">EntericMethane_Dairy_Equations.VEERG_3_3_1_1__1_TotalAnnualMethaneFromEntericFermentationVariation(0,0,0,F160,F132,F165,F170,$D$175)</f>
        <v>2.487999310099096</v>
      </c>
      <c r="G180" s="54" cm="1">
        <f t="array" ref="G180">EntericMethane_Dairy_Equations.VEERG_3_3_1_1__1_TotalAnnualMethaneFromEntericFermentationVariation(G160,G132,G165,0,0,0,0,0)</f>
        <v>6.8203651498874986</v>
      </c>
      <c r="H180" s="54" cm="1">
        <f t="array" ref="H180">EntericMethane_Dairy_Equations.VEERG_3_3_1_1__1_TotalAnnualMethaneFromEntericFermentationVariation(0,0,0,H160,H132,H165,H170,$E$175)</f>
        <v>3.3207233739960946</v>
      </c>
      <c r="I180" s="56" t="str">
        <f>$E$146</f>
        <v>t CH4</v>
      </c>
      <c r="M180" s="54" cm="1">
        <f t="array" ref="M180">EntericMethane_Dairy_Equations.VEERG_3_3_1_1__1_TotalAnnualMethaneFromEntericFermentationVariation(D160,M132,M165,0,0,0,0,0)</f>
        <v>14.230268726423633</v>
      </c>
      <c r="N180" s="54" cm="1">
        <f t="array" ref="N180">EntericMethane_Dairy_Equations.VEERG_3_3_1_1__1_TotalAnnualMethaneFromEntericFermentationVariation(E160,N132,N165,0,0,0,0,0)</f>
        <v>5.6053261235836782</v>
      </c>
      <c r="O180" s="54" cm="1">
        <f t="array" ref="O180">EntericMethane_Dairy_Equations.VEERG_3_3_1_1__1_TotalAnnualMethaneFromEntericFermentationVariation(0,0,0,F160,O132,O165,O170,$D$175)</f>
        <v>2.487999310099096</v>
      </c>
      <c r="P180" s="54" cm="1">
        <f t="array" ref="P180">EntericMethane_Dairy_Equations.VEERG_3_3_1_1__1_TotalAnnualMethaneFromEntericFermentationVariation(G160,P132,P165,0,0,0,0,0)</f>
        <v>6.8203651498874986</v>
      </c>
      <c r="Q180" s="54" cm="1">
        <f t="array" ref="Q180">EntericMethane_Dairy_Equations.VEERG_3_3_1_1__1_TotalAnnualMethaneFromEntericFermentationVariation(0,0,0,H160,Q132,Q165,Q170,$E$175)</f>
        <v>3.3207233739960946</v>
      </c>
      <c r="R180" s="56" t="str">
        <f>$E$146</f>
        <v>t CH4</v>
      </c>
    </row>
    <row r="181" spans="1:18" ht="20.100000000000001" customHeight="1" x14ac:dyDescent="0.25"/>
    <row r="182" spans="1:18" ht="20.100000000000001" customHeight="1" x14ac:dyDescent="0.25">
      <c r="D182" s="103" t="s">
        <v>233</v>
      </c>
      <c r="E182" s="104">
        <f>SUM(D180:H180)</f>
        <v>32.464682683989999</v>
      </c>
      <c r="F182" s="105" t="str">
        <f>$E$146</f>
        <v>t CH4</v>
      </c>
      <c r="M182" s="103" t="s">
        <v>233</v>
      </c>
      <c r="N182" s="104">
        <f>SUM(M180:Q180)</f>
        <v>32.464682683989999</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E182</f>
        <v>32.464682683989999</v>
      </c>
      <c r="M184" s="59" t="str" cm="1">
        <f t="array" ref="M184:N185">Common_Equations.Common_ConvertCH4ToCO2e_Arguments()</f>
        <v>ECH4</v>
      </c>
      <c r="N184" s="60" t="str">
        <v>Methane emissions (t CH4)</v>
      </c>
      <c r="O184" s="106"/>
      <c r="P184" s="54">
        <f>N182</f>
        <v>32.464682683989999</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100</v>
      </c>
      <c r="E187" s="48" cm="1">
        <f t="array" ref="E187">Common_Equations.Common_ConvertN2OToCO2e(G184,G185)</f>
        <v>909.01111515171999</v>
      </c>
      <c r="F187" s="107" t="str" cm="1">
        <f t="array" ref="F187">Common_Equations.Common_ConvertN2OToCO2e_Unit()</f>
        <v>t CO2e</v>
      </c>
      <c r="M187" s="48" t="s">
        <v>100</v>
      </c>
      <c r="N187" s="48" cm="1">
        <f t="array" ref="N187">Common_Equations.Common_ConvertN2OToCO2e(P184,P185)</f>
        <v>909.01111515171999</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125</v>
      </c>
      <c r="G5" s="6" t="s">
        <v>126</v>
      </c>
      <c r="J5" s="6" t="s">
        <v>116</v>
      </c>
      <c r="M5" s="1"/>
    </row>
    <row r="6" spans="1:21" ht="20.100000000000001" customHeight="1" x14ac:dyDescent="0.25">
      <c r="A6" s="16"/>
      <c r="M6" s="1"/>
    </row>
    <row r="7" spans="1:21" ht="20.100000000000001" customHeight="1" x14ac:dyDescent="0.25">
      <c r="A7" s="20" t="s">
        <v>1</v>
      </c>
      <c r="D7" s="99" t="s">
        <v>65</v>
      </c>
      <c r="E7" s="39" t="s">
        <v>76</v>
      </c>
      <c r="G7" s="39" t="s">
        <v>115</v>
      </c>
      <c r="J7" s="39" t="s">
        <v>113</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117</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118</v>
      </c>
      <c r="M9" s="1"/>
    </row>
    <row r="10" spans="1:21" ht="20.100000000000001" customHeight="1" x14ac:dyDescent="0.25">
      <c r="A10" s="17"/>
      <c r="D10" s="39" t="str">
        <f>'Constants - Livestock'!$E$13</f>
        <v>Drains to paddock</v>
      </c>
      <c r="E10" s="39" t="str">
        <f>'Constants - Livestock'!$F$13</f>
        <v>Drains to paddock (m=3b)</v>
      </c>
      <c r="J10" s="1" t="s">
        <v>119</v>
      </c>
      <c r="M10" s="1"/>
    </row>
    <row r="11" spans="1:21" ht="20.100000000000001" customHeight="1" x14ac:dyDescent="0.25">
      <c r="A11" s="19" t="s">
        <v>72</v>
      </c>
      <c r="D11" s="39" t="str">
        <f>'Constants - Livestock'!$E$14</f>
        <v>Solid storage</v>
      </c>
      <c r="E11" s="39" t="str">
        <f>'Constants - Livestock'!$F$14</f>
        <v>Solid storage (m=4)</v>
      </c>
      <c r="J11" s="1" t="s">
        <v>120</v>
      </c>
      <c r="M11" s="1"/>
    </row>
    <row r="12" spans="1:21" ht="20.100000000000001" customHeight="1" x14ac:dyDescent="0.25">
      <c r="A12" s="17" t="str">
        <f>HYPERLINK("#'3.3.1.1-2 Enteric Methane'!A1", "3.3.1.1-2 Enteric Methane")</f>
        <v>3.3.1.1-2 Enteric Methane</v>
      </c>
      <c r="J12" s="1" t="s">
        <v>121</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6" t="str" cm="1">
        <f t="array" ref="D19">SourceData_Dairy.SourceData_Dairy_LiveweightCowsAndHeifers_Unit()</f>
        <v>kg</v>
      </c>
      <c r="M19" s="1"/>
    </row>
    <row r="20" spans="1:13" ht="20.100000000000001" customHeight="1" x14ac:dyDescent="0.25">
      <c r="D20" s="57"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127</v>
      </c>
      <c r="E21" s="39" t="s">
        <v>128</v>
      </c>
      <c r="F21" s="39" t="s">
        <v>129</v>
      </c>
      <c r="G21" s="39" t="s">
        <v>130</v>
      </c>
      <c r="M21" s="1"/>
    </row>
    <row r="22" spans="1:13" ht="20.100000000000001" customHeight="1" x14ac:dyDescent="0.25">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6" t="str" cm="1">
        <f t="array" ref="D37">SourceData_Dairy.SourceData_Dairy_LiveweightBulls_Unit()</f>
        <v>kg</v>
      </c>
      <c r="M37" s="1"/>
    </row>
    <row r="38" spans="4:13" ht="20.100000000000001" customHeight="1" x14ac:dyDescent="0.25">
      <c r="D38" s="39" t="s">
        <v>127</v>
      </c>
      <c r="E38" s="39" t="s">
        <v>132</v>
      </c>
      <c r="F38" s="39" t="s">
        <v>131</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6" t="str" cm="1">
        <f t="array" ref="D45">SourceData_Dairy.SourceData_Dairy_LiveweightGain_Unit()</f>
        <v>kg</v>
      </c>
      <c r="M45" s="1"/>
    </row>
    <row r="46" spans="4:13" ht="20.100000000000001" customHeight="1" x14ac:dyDescent="0.25">
      <c r="D46" s="39" t="s">
        <v>128</v>
      </c>
      <c r="E46" s="39" t="s">
        <v>129</v>
      </c>
      <c r="F46" s="39" t="s">
        <v>130</v>
      </c>
      <c r="G46" s="39" t="s">
        <v>132</v>
      </c>
      <c r="H46" s="39" t="s">
        <v>131</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6" t="str" cm="1">
        <f t="array" ref="D53">SourceData_Dairy.SourceData_Dairy_ReferenceWeights_Unit()</f>
        <v>kg</v>
      </c>
      <c r="M53" s="1"/>
    </row>
    <row r="54" spans="1:13" ht="20.100000000000001" customHeight="1" x14ac:dyDescent="0.25">
      <c r="D54" s="116" t="s">
        <v>128</v>
      </c>
      <c r="E54" s="116" t="s">
        <v>129</v>
      </c>
      <c r="F54" s="116" t="s">
        <v>130</v>
      </c>
      <c r="G54" s="116" t="s">
        <v>132</v>
      </c>
      <c r="H54" s="116" t="s">
        <v>131</v>
      </c>
      <c r="M54" s="1"/>
    </row>
    <row r="55" spans="1:13" ht="20.100000000000001" customHeight="1" x14ac:dyDescent="0.25">
      <c r="A55" s="125"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6" t="str" cm="1">
        <f t="array" ref="D61">SourceData_Dairy.SourceData_Dairy_PreWeanedCalves_Unit()</f>
        <v>kg/day</v>
      </c>
      <c r="M61" s="1"/>
    </row>
    <row r="62" spans="1:13" ht="20.100000000000001" customHeight="1" x14ac:dyDescent="0.25">
      <c r="D62" s="39" t="s">
        <v>133</v>
      </c>
      <c r="E62" s="39" t="s">
        <v>134</v>
      </c>
      <c r="F62" s="39" t="s">
        <v>135</v>
      </c>
      <c r="G62" s="39" t="s">
        <v>136</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6" t="str" cm="1">
        <f t="array" ref="D70">SourceData_Dairy.SourceData_Dairy_MCF_Unit()</f>
        <v>fraction</v>
      </c>
      <c r="M70" s="1"/>
    </row>
    <row r="71" spans="1:22" ht="20.100000000000001" customHeight="1" x14ac:dyDescent="0.25">
      <c r="D71" s="57" t="str" cm="1">
        <f t="array" ref="D71">SourceData_Dairy.SourceData_Dairy_MCF_Variation()</f>
        <v>VARIATION OF SOURCE: Added 'NIR reference' column to aid lookup</v>
      </c>
      <c r="M71" s="1"/>
      <c r="V71" s="1"/>
    </row>
    <row r="72" spans="1:22" ht="20.100000000000001" customHeight="1" x14ac:dyDescent="0.25">
      <c r="D72" s="39" t="s">
        <v>94</v>
      </c>
      <c r="E72" s="39" t="s">
        <v>77</v>
      </c>
      <c r="F72" s="39" t="s">
        <v>78</v>
      </c>
      <c r="G72" s="39" t="s">
        <v>79</v>
      </c>
      <c r="H72" s="39" t="s">
        <v>80</v>
      </c>
      <c r="I72" s="39" t="s">
        <v>81</v>
      </c>
      <c r="J72" s="39" t="s">
        <v>82</v>
      </c>
      <c r="K72" s="39" t="s">
        <v>83</v>
      </c>
      <c r="L72" s="39" t="s">
        <v>84</v>
      </c>
      <c r="M72" s="39" t="s">
        <v>144</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6" t="str" cm="1">
        <f t="array" ref="D84">SourceData_Dairy.SourceData_Dairy_NitrousOxideEFsAndFracGASM_Unit()</f>
        <v>kg N2O-N/kg N excreted</v>
      </c>
      <c r="M84" s="1"/>
    </row>
    <row r="85" spans="4:22" ht="20.100000000000001" customHeight="1" x14ac:dyDescent="0.25">
      <c r="D85" s="57" t="str" cm="1">
        <f t="array" ref="D85">SourceData_Dairy.SourceData_Dairy_NitrousOxideEFsAndFracGASM_Variation()</f>
        <v>VARIATION OF SOURCE: Added 'NIR reference' column to aid lookup</v>
      </c>
      <c r="M85" s="1"/>
      <c r="V85" s="1"/>
    </row>
    <row r="86" spans="4:22" ht="20.100000000000001" customHeight="1" x14ac:dyDescent="0.25">
      <c r="D86" s="39" t="s">
        <v>94</v>
      </c>
      <c r="E86" s="39" t="s">
        <v>137</v>
      </c>
      <c r="F86" s="39" t="s">
        <v>138</v>
      </c>
      <c r="G86" s="39" t="s">
        <v>144</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6" t="str" cm="1">
        <f t="array" ref="D97">SourceData_Dairy.SourceData_Dairy_MethaneProductionPreWeanedCalves_Unit()</f>
        <v>kg CH4/head/day</v>
      </c>
      <c r="M97" s="1"/>
    </row>
    <row r="98" spans="1:13" ht="20.100000000000001" customHeight="1" x14ac:dyDescent="0.25">
      <c r="D98" s="39" t="s">
        <v>133</v>
      </c>
      <c r="E98" s="39" t="s">
        <v>139</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25"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6" t="str" cm="1">
        <f t="array" ref="D106">SourceData_Dairy.SourceData_Dairy_IncreasedMetabolicRateMilk_Unit()</f>
        <v/>
      </c>
      <c r="M106" s="1"/>
    </row>
    <row r="107" spans="1:13" ht="20.100000000000001" customHeight="1" x14ac:dyDescent="0.25">
      <c r="D107" s="39" t="s">
        <v>133</v>
      </c>
      <c r="E107" s="39" t="s">
        <v>140</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6" t="str" cm="1">
        <f t="array" ref="D115">SourceData_Dairy.SourceData_Dairy_FractionVolatileSolidsVoidedMMS_Unit()</f>
        <v>fraction</v>
      </c>
      <c r="M115" s="1"/>
      <c r="V115" s="1"/>
    </row>
    <row r="116" spans="4:22" ht="20.100000000000001" customHeight="1" x14ac:dyDescent="0.25">
      <c r="D116" s="39" t="s">
        <v>141</v>
      </c>
      <c r="E116" s="39" t="s">
        <v>114</v>
      </c>
      <c r="F116" s="39" t="s">
        <v>142</v>
      </c>
      <c r="G116" s="39" t="s">
        <v>143</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6" t="str" cm="1">
        <f t="array" ref="D126">SourceData_Dairy.SourceData_Dairy_EFNitrousOxidePerMMS_Unit()</f>
        <v>kg N2O-N/kg N</v>
      </c>
      <c r="M126" s="1"/>
      <c r="V126" s="1"/>
    </row>
    <row r="127" spans="4:22" ht="20.100000000000001" customHeight="1" x14ac:dyDescent="0.25">
      <c r="D127" s="57" t="str" cm="1">
        <f t="array" ref="D127">SourceData_Dairy.SourceData_Dairy_EFNitrousOxidePerMMS_Variation()</f>
        <v>VARIATION OF SOURCE: Added 'NIR reference' column to aid lookup</v>
      </c>
      <c r="M127" s="1"/>
      <c r="V127" s="1"/>
    </row>
    <row r="128" spans="4:22" ht="20.100000000000001" customHeight="1" x14ac:dyDescent="0.25">
      <c r="D128" s="39" t="s">
        <v>94</v>
      </c>
      <c r="E128" s="39" t="s">
        <v>137</v>
      </c>
      <c r="F128" s="39" t="s">
        <v>144</v>
      </c>
      <c r="G128" s="108" t="s">
        <v>156</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25"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6" t="str" cm="1">
        <f t="array" ref="D139">SourceData_Dairy.SourceData_Dairy_DurationOfStay_Unit()</f>
        <v>days</v>
      </c>
      <c r="M139" s="24"/>
    </row>
    <row r="140" spans="1:22" ht="20.100000000000001" customHeight="1" x14ac:dyDescent="0.25">
      <c r="D140" s="57"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133</v>
      </c>
      <c r="E141" s="39" t="s">
        <v>154</v>
      </c>
      <c r="F141" s="39" t="s">
        <v>155</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6" t="str" cm="1">
        <f t="array" ref="D152">SourceData_Dairy.SourceData_Dairy_CrudeProtein_Unit()</f>
        <v>fraction</v>
      </c>
      <c r="M152" s="24"/>
    </row>
    <row r="153" spans="4:13" ht="20.100000000000001" customHeight="1" x14ac:dyDescent="0.25">
      <c r="D153" s="55"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6" t="str" cm="1">
        <f t="array" ref="D159">SourceData_Dairy.SourceData_Dairy_DryMatterDigestibility_Unit()</f>
        <v>fraction</v>
      </c>
      <c r="M159" s="24"/>
    </row>
    <row r="160" spans="4:13" ht="20.100000000000001" customHeight="1" x14ac:dyDescent="0.25">
      <c r="D160" s="55"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6" t="str" cm="1">
        <f t="array" ref="D166">SourceData_Dairy.SourceData_Dairy_NetEnergy_Unit()</f>
        <v>MJ net energy / kg milk</v>
      </c>
      <c r="M166" s="24"/>
    </row>
    <row r="167" spans="1:13" x14ac:dyDescent="0.25">
      <c r="D167" s="55"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6" t="str" cm="1">
        <f t="array" ref="D173">SourceData_Dairy.SourceData_Dairy_GrossEnergyContent_Unit()</f>
        <v>MJ / kgDM</v>
      </c>
      <c r="M173" s="24"/>
    </row>
    <row r="174" spans="1:13" x14ac:dyDescent="0.25">
      <c r="A174" s="125" t="str">
        <f>HYPERLINK("#A1", "▲ Back to top")</f>
        <v>▲ Back to top</v>
      </c>
      <c r="D174" s="55"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6" t="str" cm="1">
        <f t="array" ref="D180">SourceData_Dairy.SourceData_Dairy_EfficiencyOfUseOfMetabolizableEnergy_Unit()</f>
        <v>fraction</v>
      </c>
      <c r="M180" s="24"/>
    </row>
    <row r="181" spans="4:13" x14ac:dyDescent="0.25">
      <c r="D181" s="55"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6" t="str" cm="1">
        <f t="array" ref="D187">SourceData_Dairy.SourceData_Dairy_AshContent_Unit()</f>
        <v>fraction</v>
      </c>
      <c r="M187" s="24"/>
    </row>
    <row r="188" spans="4:13" x14ac:dyDescent="0.25">
      <c r="D188" s="55"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6" t="str" cm="1">
        <f t="array" ref="D194">SourceData_Dairy.SourceData_Dairy_MethaneEmissionsPotential_Unit()</f>
        <v>m3 CH4/kgVS</v>
      </c>
      <c r="M194" s="24"/>
    </row>
    <row r="195" spans="4:13" x14ac:dyDescent="0.25">
      <c r="D195" s="55"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6" t="str" cm="1">
        <f t="array" ref="D201">SourceData_Dairy.SourceData_Dairy_EmissionFactorForLeachingAndRunoff_Unit()</f>
        <v>kg N2O-N/kg N</v>
      </c>
      <c r="M201" s="24"/>
    </row>
    <row r="202" spans="4:13" x14ac:dyDescent="0.25">
      <c r="D202" s="55"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6" t="str" cm="1">
        <f t="array" ref="D208">SourceData_Dairy.SourceData_Dairy_FractionOfNitrogenLostThroughLeachingAndRunoff_Unit()</f>
        <v>Fraction</v>
      </c>
      <c r="M208" s="24"/>
    </row>
    <row r="209" spans="1:13" x14ac:dyDescent="0.25">
      <c r="D209" s="55"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6" t="str" cm="1">
        <f t="array" ref="D214">SourceData_Dairy.SourceData_Dairy_FracGASMSoil_Unit()</f>
        <v>(kg NH3-N + NOx-N)/kg N</v>
      </c>
      <c r="M214" s="24"/>
    </row>
    <row r="215" spans="1:13" x14ac:dyDescent="0.25">
      <c r="A215" s="125" t="str">
        <f>HYPERLINK("#A1", "▲ Back to top")</f>
        <v>▲ Back to top</v>
      </c>
      <c r="D215" s="55"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6" t="str" cm="1">
        <f t="array" ref="D220">SourceData_Dairy.SourceData_Dairy_FatContentInMilk_Unit()</f>
        <v>percent</v>
      </c>
      <c r="M220" s="24"/>
    </row>
    <row r="221" spans="1:13" x14ac:dyDescent="0.25">
      <c r="D221" s="55"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6" t="str" cm="1">
        <f t="array" ref="D226">SourceData_Dairy.SourceData_Dairy_ProteinContentInMilk_Unit()</f>
        <v>percent</v>
      </c>
      <c r="M226" s="24"/>
    </row>
    <row r="227" spans="4:13" x14ac:dyDescent="0.25">
      <c r="D227" s="55"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3BB9-136D-4B47-A1BB-D94777677BDA}">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19</v>
      </c>
      <c r="E6" s="39" t="s">
        <v>20</v>
      </c>
      <c r="F6" s="39" t="s">
        <v>21</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22</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25</v>
      </c>
      <c r="E36" s="39" t="s">
        <v>26</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25</v>
      </c>
      <c r="E47" s="39" t="s">
        <v>28</v>
      </c>
      <c r="F47" s="39" t="s">
        <v>29</v>
      </c>
      <c r="G47" s="39" t="s">
        <v>30</v>
      </c>
      <c r="H47" s="39" t="s">
        <v>31</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8</v>
      </c>
      <c r="E63" s="39" t="s">
        <v>46</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8</v>
      </c>
      <c r="E89" s="39" t="s">
        <v>34</v>
      </c>
      <c r="F89" s="39" t="s">
        <v>35</v>
      </c>
      <c r="G89" s="39" t="s">
        <v>36</v>
      </c>
      <c r="H89" s="39" t="s">
        <v>37</v>
      </c>
      <c r="I89" s="39" t="s">
        <v>38</v>
      </c>
      <c r="J89" s="39" t="s">
        <v>39</v>
      </c>
      <c r="K89" s="39" t="s">
        <v>40</v>
      </c>
      <c r="L89" s="39" t="s">
        <v>41</v>
      </c>
      <c r="M89" s="39" t="s">
        <v>42</v>
      </c>
      <c r="N89" s="39" t="s">
        <v>43</v>
      </c>
      <c r="O89" s="39" t="s">
        <v>47</v>
      </c>
      <c r="P89" s="39" t="s">
        <v>44</v>
      </c>
      <c r="Q89" s="39" t="s">
        <v>48</v>
      </c>
      <c r="R89" s="39" t="s">
        <v>45</v>
      </c>
      <c r="S89" s="39" t="s">
        <v>49</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6" t="str" cm="1">
        <f t="array" ref="D99:D102">Common_SourceData.Common_SourceData_ClimateZones_Appendices()</f>
        <v>Note:</v>
      </c>
    </row>
    <row r="100" spans="4:20" ht="20.100000000000001" customHeight="1" x14ac:dyDescent="0.25">
      <c r="D100" s="56" t="str">
        <v>MAT = mean annual temperature</v>
      </c>
    </row>
    <row r="101" spans="4:20" ht="20.100000000000001" customHeight="1" x14ac:dyDescent="0.25">
      <c r="D101" s="56" t="str">
        <v>MAP = mean annual precipitation</v>
      </c>
    </row>
    <row r="102" spans="4:20" ht="20.100000000000001" customHeight="1" x14ac:dyDescent="0.25">
      <c r="D102" s="56" t="str">
        <v>PET = potential evapotranspiration</v>
      </c>
    </row>
    <row r="103" spans="4:20" ht="20.100000000000001" customHeight="1" x14ac:dyDescent="0.25">
      <c r="D103" s="56"/>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53</v>
      </c>
      <c r="E109" s="39" t="s">
        <v>34</v>
      </c>
      <c r="F109" s="39" t="s">
        <v>54</v>
      </c>
      <c r="G109" s="39" t="s">
        <v>55</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56</v>
      </c>
      <c r="E119" s="39" t="s">
        <v>57</v>
      </c>
      <c r="F119" s="39" t="s">
        <v>41</v>
      </c>
      <c r="G119" s="39" t="s">
        <v>42</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63</v>
      </c>
      <c r="E127" s="39" t="s">
        <v>64</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88</v>
      </c>
      <c r="E134" t="s">
        <v>89</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7"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190</v>
      </c>
      <c r="E142" s="39" t="s">
        <v>89</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66</v>
      </c>
      <c r="E153" s="39" t="s">
        <v>67</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6"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6" t="str" cm="1">
        <f t="array" ref="D180">Common_SourceData.Common_SourceData_EFN2O_Unit()</f>
        <v>(kg N2O-N / kg N</v>
      </c>
    </row>
    <row r="181" spans="4:68" ht="20.100000000000001" customHeight="1" x14ac:dyDescent="0.25">
      <c r="D181" s="57" t="str" cm="1">
        <f t="array" ref="D181:D185">Common_SourceData.Common_SourceData_EFN2O_Variation()</f>
        <v>VARIATION OF SOURCE DATA:</v>
      </c>
    </row>
    <row r="182" spans="4:68" ht="20.100000000000001" customHeight="1" x14ac:dyDescent="0.25">
      <c r="D182" s="57" t="str">
        <v>Removed duplicate 'Aquaculture' row.</v>
      </c>
    </row>
    <row r="183" spans="4:68" ht="20.100000000000001" customHeight="1" x14ac:dyDescent="0.25">
      <c r="D183" s="57" t="str">
        <v>Removed asterisks to aid lookup.</v>
      </c>
    </row>
    <row r="184" spans="4:68" ht="20.100000000000001" customHeight="1" x14ac:dyDescent="0.25">
      <c r="D184" s="57" t="str">
        <v>Added 'production system only', 'rainfall zone' and 'irrigation method' columns to aid lookup.</v>
      </c>
    </row>
    <row r="185" spans="4:68" ht="20.100000000000001" customHeight="1" x14ac:dyDescent="0.25">
      <c r="D185" s="57" t="str">
        <v>Duplicated 'non-irrigated pasture' row with same EF for low and high rainfall zones to aid lookup.</v>
      </c>
    </row>
    <row r="186" spans="4:68" ht="20.100000000000001" customHeight="1" x14ac:dyDescent="0.25">
      <c r="D186" s="39" t="s">
        <v>110</v>
      </c>
      <c r="E186" s="39" t="s">
        <v>111</v>
      </c>
      <c r="F186" s="39" t="s">
        <v>112</v>
      </c>
      <c r="G186" s="39" t="s">
        <v>113</v>
      </c>
      <c r="H186" s="39" t="s">
        <v>33</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7" t="str" cm="1">
        <f t="array" ref="D204">Common_SourceData.Common_SourceData_EFPastureRangeAndPaddock_Variation()</f>
        <v>VARIATION FROM SOURCE DATA: Changed 'Dry climate zones' to singular 'Dry climate zone' to aid lookup.</v>
      </c>
    </row>
    <row r="205" spans="4:8" x14ac:dyDescent="0.25">
      <c r="D205" s="56" t="str" cm="1">
        <f t="array" ref="D205">Common_SourceData.Common_SourceData_EFPastureRangeAndPaddock_Unit()</f>
        <v>kg N2O - N / kg N</v>
      </c>
    </row>
    <row r="206" spans="4:8" x14ac:dyDescent="0.25">
      <c r="D206" s="39" t="s">
        <v>8</v>
      </c>
      <c r="E206" s="39" t="s">
        <v>192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197</v>
      </c>
      <c r="E212" s="39" t="s">
        <v>198</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50</v>
      </c>
      <c r="E231" s="39" t="s">
        <v>200</v>
      </c>
      <c r="F231" s="38" t="s">
        <v>201</v>
      </c>
      <c r="G231" s="39" t="s">
        <v>202</v>
      </c>
      <c r="H231" s="39" t="s">
        <v>203</v>
      </c>
      <c r="I231" s="39" t="s">
        <v>204</v>
      </c>
      <c r="J231" s="39" t="s">
        <v>205</v>
      </c>
      <c r="K231" s="39" t="s">
        <v>206</v>
      </c>
      <c r="L231" s="39" t="s">
        <v>207</v>
      </c>
      <c r="M231" s="39" t="s">
        <v>208</v>
      </c>
      <c r="N231" s="39" t="s">
        <v>209</v>
      </c>
      <c r="O231" s="39" t="s">
        <v>210</v>
      </c>
      <c r="P231" s="39" t="s">
        <v>211</v>
      </c>
      <c r="Q231" s="39" t="s">
        <v>212</v>
      </c>
      <c r="R231" s="39" t="s">
        <v>213</v>
      </c>
      <c r="S231" s="39" t="s">
        <v>214</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6" t="str" cm="1">
        <f t="array" ref="D256">Common_SourceData.Common_SourceData_EFOrganicFertiliserAndCropResidues_Unit()</f>
        <v>kg N2O - N / kg N</v>
      </c>
    </row>
    <row r="257" spans="4:5" x14ac:dyDescent="0.25">
      <c r="D257" s="39" t="s">
        <v>251</v>
      </c>
      <c r="E257" s="39" t="s">
        <v>252</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74</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A6" s="16"/>
      <c r="D6" s="3" t="str" cm="1">
        <f t="array" ref="D6">CommonLivestock_SourceData.SourceData_Livestock_Common_SymbolsMMS_Vairable()</f>
        <v>MMS</v>
      </c>
      <c r="E6" s="3"/>
      <c r="F6" s="3"/>
      <c r="G6" s="3"/>
      <c r="H6" s="3"/>
    </row>
    <row r="7" spans="1:13" ht="20.100000000000001" customHeight="1" x14ac:dyDescent="0.25">
      <c r="A7" s="20" t="s">
        <v>1</v>
      </c>
      <c r="D7" s="5" t="str" cm="1">
        <f t="array" ref="D7">CommonLivestock_SourceData.SourceData_Livestock_Common_SymbolsMMS_Source()</f>
        <v>National Inventory Report 2023 Volume 1: Table 5.12</v>
      </c>
      <c r="E7" s="3"/>
      <c r="F7" s="3"/>
      <c r="G7" s="3"/>
      <c r="H7" s="3"/>
    </row>
    <row r="8" spans="1:13" ht="20.100000000000001" customHeight="1" x14ac:dyDescent="0.25">
      <c r="A8" s="17" t="str">
        <f>HYPERLINK("#'Input - Site'!A1", "Site")</f>
        <v>Site</v>
      </c>
      <c r="D8" s="38" t="s">
        <v>75</v>
      </c>
      <c r="E8" s="39" t="s">
        <v>18</v>
      </c>
      <c r="F8" s="39" t="s">
        <v>76</v>
      </c>
      <c r="G8" s="3"/>
      <c r="H8" s="3"/>
    </row>
    <row r="9" spans="1:13" ht="20.100000000000001" customHeight="1" x14ac:dyDescent="0.25">
      <c r="A9" s="17" t="str">
        <f>HYPERLINK("#'Input - Dairy'!A1", "Dairy")</f>
        <v>Dairy</v>
      </c>
      <c r="D9" s="38" t="str" cm="1">
        <f t="array" ref="D9">Common_InputFunctions.Utility_DisplayArrayInTable(CommonLivestock_SourceData.SourceData_Livestock_Common_SymbolsMMS_Data(), Table_Data_MMSSymbols[[#Headers],[Symbol]], 0)</f>
        <v>1</v>
      </c>
      <c r="E9" s="38" t="str" cm="1">
        <f t="array" ref="E9">Common_InputFunctions.Utility_DisplayArrayInTable(CommonLivestock_SourceData.SourceData_Livestock_Common_SymbolsMMS_Data(), Table_Data_MMSSymbols[[#Headers],[Symbol]], 0)</f>
        <v>Anaerobic lagoon</v>
      </c>
      <c r="F9" s="38"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2</v>
      </c>
      <c r="E10" s="38" t="str" cm="1">
        <f t="array" ref="E10">Common_InputFunctions.Utility_DisplayArrayInTable(CommonLivestock_SourceData.SourceData_Livestock_Common_SymbolsMMS_Data(), Table_Data_MMSSymbols[[#Headers],[Symbol]], 0)</f>
        <v>Liquid systems</v>
      </c>
      <c r="F10" s="38"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A11" s="19" t="s">
        <v>72</v>
      </c>
      <c r="D11" s="39" t="str" cm="1">
        <f t="array" ref="D11">Common_InputFunctions.Utility_DisplayArrayInTable(CommonLivestock_SourceData.SourceData_Livestock_Common_SymbolsMMS_Data(), Table_Data_MMSSymbols[[#Headers],[Symbol]], 0)</f>
        <v>3</v>
      </c>
      <c r="E11" s="39" t="str" cm="1">
        <f t="array" ref="E11">Common_InputFunctions.Utility_DisplayArrayInTable(CommonLivestock_SourceData.SourceData_Livestock_Common_SymbolsMMS_Data(), Table_Data_MMSSymbols[[#Headers],[Symbol]], 0)</f>
        <v>Daily spread</v>
      </c>
      <c r="F11" s="39"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3a</v>
      </c>
      <c r="E12" s="39" t="str" cm="1">
        <f t="array" ref="E12">Common_InputFunctions.Utility_DisplayArrayInTable(CommonLivestock_SourceData.SourceData_Livestock_Common_SymbolsMMS_Data(), Table_Data_MMSSymbols[[#Headers],[Symbol]], 0)</f>
        <v>Sump and dispersal system</v>
      </c>
      <c r="F12" s="39"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3b</v>
      </c>
      <c r="E13" s="39" t="str" cm="1">
        <f t="array" ref="E13">Common_InputFunctions.Utility_DisplayArrayInTable(CommonLivestock_SourceData.SourceData_Livestock_Common_SymbolsMMS_Data(), Table_Data_MMSSymbols[[#Headers],[Symbol]], 0)</f>
        <v>Drains to paddock</v>
      </c>
      <c r="F13" s="39"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4</v>
      </c>
      <c r="E14" s="39" t="str" cm="1">
        <f t="array" ref="E14">Common_InputFunctions.Utility_DisplayArrayInTable(CommonLivestock_SourceData.SourceData_Livestock_Common_SymbolsMMS_Data(), Table_Data_MMSSymbols[[#Headers],[Symbol]], 0)</f>
        <v>Solid storage</v>
      </c>
      <c r="F14" s="39"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5</v>
      </c>
      <c r="E15" s="39" t="str" cm="1">
        <f t="array" ref="E15">Common_InputFunctions.Utility_DisplayArrayInTable(CommonLivestock_SourceData.SourceData_Livestock_Common_SymbolsMMS_Data(), Table_Data_MMSSymbols[[#Headers],[Symbol]], 0)</f>
        <v>Drylot (feed pad)</v>
      </c>
      <c r="F15" s="39"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A16" s="70" t="str">
        <f>HYPERLINK("#'Constants - Livestock'!A1", "Constants - Livestock")</f>
        <v>Constants - Livestock</v>
      </c>
      <c r="D16" s="39" t="str" cm="1">
        <f t="array" ref="D16">Common_InputFunctions.Utility_DisplayArrayInTable(CommonLivestock_SourceData.SourceData_Livestock_Common_SymbolsMMS_Data(), Table_Data_MMSSymbols[[#Headers],[Symbol]], 0)</f>
        <v>6</v>
      </c>
      <c r="E16" s="39" t="str" cm="1">
        <f t="array" ref="E16">Common_InputFunctions.Utility_DisplayArrayInTable(CommonLivestock_SourceData.SourceData_Livestock_Common_SymbolsMMS_Data(), Table_Data_MMSSymbols[[#Headers],[Symbol]], 0)</f>
        <v>Composting (passive windrow)</v>
      </c>
      <c r="F16" s="39"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7</v>
      </c>
      <c r="E17" s="39" t="str" cm="1">
        <f t="array" ref="E17">Common_InputFunctions.Utility_DisplayArrayInTable(CommonLivestock_SourceData.SourceData_Livestock_Common_SymbolsMMS_Data(), Table_Data_MMSSymbols[[#Headers],[Symbol]], 0)</f>
        <v>Digester / covered lagoons</v>
      </c>
      <c r="F17" s="39"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8</v>
      </c>
      <c r="E18" s="39" t="str" cm="1">
        <f t="array" ref="E18">Common_InputFunctions.Utility_DisplayArrayInTable(CommonLivestock_SourceData.SourceData_Livestock_Common_SymbolsMMS_Data(), Table_Data_MMSSymbols[[#Headers],[Symbol]], 0)</f>
        <v>Deep litter</v>
      </c>
      <c r="F18" s="39"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D19" s="39" t="str" cm="1">
        <f t="array" ref="D19">Common_InputFunctions.Utility_DisplayArrayInTable(CommonLivestock_SourceData.SourceData_Livestock_Common_SymbolsMMS_Data(), Table_Data_MMSSymbols[[#Headers],[Symbol]], 0)</f>
        <v>9</v>
      </c>
      <c r="E19" s="39" t="str" cm="1">
        <f t="array" ref="E19">Common_InputFunctions.Utility_DisplayArrayInTable(CommonLivestock_SourceData.SourceData_Livestock_Common_SymbolsMMS_Data(), Table_Data_MMSSymbols[[#Headers],[Symbol]], 0)</f>
        <v>Pit storage</v>
      </c>
      <c r="F19" s="39"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D20" s="39" t="str" cm="1">
        <f t="array" ref="D20">Common_InputFunctions.Utility_DisplayArrayInTable(CommonLivestock_SourceData.SourceData_Livestock_Common_SymbolsMMS_Data(), Table_Data_MMSSymbols[[#Headers],[Symbol]], 0)</f>
        <v>10</v>
      </c>
      <c r="E20" s="39" t="str" cm="1">
        <f t="array" ref="E20">Common_InputFunctions.Utility_DisplayArrayInTable(CommonLivestock_SourceData.SourceData_Livestock_Common_SymbolsMMS_Data(), Table_Data_MMSSymbols[[#Headers],[Symbol]], 0)</f>
        <v>Poultry manure with bedding</v>
      </c>
      <c r="F20" s="39"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D21" s="39" t="str" cm="1">
        <f t="array" ref="D21">Common_InputFunctions.Utility_DisplayArrayInTable(CommonLivestock_SourceData.SourceData_Livestock_Common_SymbolsMMS_Data(), Table_Data_MMSSymbols[[#Headers],[Symbol]], 0)</f>
        <v>11</v>
      </c>
      <c r="E21" s="39" t="str" cm="1">
        <f t="array" ref="E21">Common_InputFunctions.Utility_DisplayArrayInTable(CommonLivestock_SourceData.SourceData_Livestock_Common_SymbolsMMS_Data(), Table_Data_MMSSymbols[[#Headers],[Symbol]], 0)</f>
        <v>Poultry manure without bedding</v>
      </c>
      <c r="F21" s="39"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11a</v>
      </c>
      <c r="E22" s="39" t="str" cm="1">
        <f t="array" ref="E22">Common_InputFunctions.Utility_DisplayArrayInTable(CommonLivestock_SourceData.SourceData_Livestock_Common_SymbolsMMS_Data(), Table_Data_MMSSymbols[[#Headers],[Symbol]], 0)</f>
        <v>Belt manure removal</v>
      </c>
      <c r="F22" s="39"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11b</v>
      </c>
      <c r="E23" s="39" t="str" cm="1">
        <f t="array" ref="E23">Common_InputFunctions.Utility_DisplayArrayInTable(CommonLivestock_SourceData.SourceData_Livestock_Common_SymbolsMMS_Data(), Table_Data_MMSSymbols[[#Headers],[Symbol]], 0)</f>
        <v>Manure stored in house</v>
      </c>
      <c r="F23" s="39"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9" t="str" cm="1">
        <f t="array" ref="D24">Common_InputFunctions.Utility_DisplayArrayInTable(CommonLivestock_SourceData.SourceData_Livestock_Common_SymbolsMMS_Data(), Table_Data_MMSSymbols[[#Headers],[Symbol]], 0)</f>
        <v>12</v>
      </c>
      <c r="E24" s="39" t="str" cm="1">
        <f t="array" ref="E24">Common_InputFunctions.Utility_DisplayArrayInTable(CommonLivestock_SourceData.SourceData_Livestock_Common_SymbolsMMS_Data(), Table_Data_MMSSymbols[[#Headers],[Symbol]], 0)</f>
        <v>Direct processing</v>
      </c>
      <c r="F24" s="39"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9" t="str" cm="1">
        <f t="array" ref="D25">Common_InputFunctions.Utility_DisplayArrayInTable(CommonLivestock_SourceData.SourceData_Livestock_Common_SymbolsMMS_Data(), Table_Data_MMSSymbols[[#Headers],[Symbol]], 0)</f>
        <v>13</v>
      </c>
      <c r="E25" s="39" t="str" cm="1">
        <f t="array" ref="E25">Common_InputFunctions.Utility_DisplayArrayInTable(CommonLivestock_SourceData.SourceData_Livestock_Common_SymbolsMMS_Data(), Table_Data_MMSSymbols[[#Headers],[Symbol]], 0)</f>
        <v>Direct application</v>
      </c>
      <c r="F25" s="39"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9" t="str" cm="1">
        <f t="array" ref="D26">Common_InputFunctions.Utility_DisplayArrayInTable(CommonLivestock_SourceData.SourceData_Livestock_Common_SymbolsMMS_Data(), Table_Data_MMSSymbols[[#Headers],[Symbol]], 0)</f>
        <v>14</v>
      </c>
      <c r="E26" s="39" t="str" cm="1">
        <f t="array" ref="E26">Common_InputFunctions.Utility_DisplayArrayInTable(CommonLivestock_SourceData.SourceData_Livestock_Common_SymbolsMMS_Data(), Table_Data_MMSSymbols[[#Headers],[Symbol]], 0)</f>
        <v>Pasture range and paddock</v>
      </c>
      <c r="F26" s="39"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58</vt:i4>
      </vt:variant>
    </vt:vector>
  </HeadingPairs>
  <TitlesOfParts>
    <vt:vector size="68"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