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FDF0943-8D47-40C7-84A5-45F0A0EA0790}" xr6:coauthVersionLast="47" xr6:coauthVersionMax="47" xr10:uidLastSave="{00000000-0000-0000-0000-000000000000}"/>
  <bookViews>
    <workbookView xWindow="2340" yWindow="2340" windowWidth="28800" windowHeight="15345" firstSheet="5" activeTab="5" xr2:uid="{992023F3-CAB7-4E5B-A348-08D563A0EF40}"/>
  </bookViews>
  <sheets>
    <sheet name="Home" sheetId="71" r:id="rId1"/>
    <sheet name="Overview" sheetId="118" r:id="rId2"/>
    <sheet name="Results" sheetId="13" r:id="rId3"/>
    <sheet name="Input - CO2 Use" sheetId="70" r:id="rId4"/>
    <sheet name="12.1.1-2 Supplementary CO2" sheetId="69" r:id="rId5"/>
    <sheet name="Constants - Common" sheetId="124" r:id="rId6"/>
  </sheets>
  <externalReferences>
    <externalReference r:id="rId7"/>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SupplementaryCO2_Equations.VEERG_12_1_1_1__1_EmissionsFromSupplementaryCO2">_xlfn.LAMBDA(_xlpm.Q, _xlpm.Q * 10 ^ -3)</definedName>
    <definedName name="SupplementaryCO2_Equations.VEERG_12_1_1_1__1_EmissionsFromSupplementaryCO2_Arguments">_xlfn.LAMBDA(_xlfn.MAKEARRAY(1, 4, _xlfn.LAMBDA(_xlpm.r,_xlpm.c, INDEX({"Q","quantity of supplementary CO2 used within the operations","kg CO2","Input"}, _xlpm.r, _xlpm.c))))</definedName>
    <definedName name="SupplementaryCO2_Equations.VEERG_12_1_1_1__1_EmissionsFromSupplementaryCO2_LatexEquation">_xlfn.LAMBDA("E=Q\times 10^{-3}")</definedName>
    <definedName name="SupplementaryCO2_Equations.VEERG_12_1_1_1__1_EmissionsFromSupplementaryCO2_NIRReference">_xlfn.LAMBDA("")</definedName>
    <definedName name="SupplementaryCO2_Equations.VEERG_12_1_1_1__1_EmissionsFromSupplementaryCO2_Source">_xlfn.LAMBDA("VEERG 2026: 12.1.1.1, Equation (1)")</definedName>
    <definedName name="SupplementaryCO2_Equations.VEERG_12_1_1_1__1_EmissionsFromSupplementaryCO2_Title">_xlfn.LAMBDA("Emissions from the use of supplementary CO2")</definedName>
    <definedName name="SupplementaryCO2_Equations.VEERG_12_1_1_1__1_EmissionsFromSupplementaryCO2_Unit">_xlfn.LAMBDA("t CO2e")</definedName>
    <definedName name="SupplementaryCO2_Equations.VEERG_12_1_1_1__1_EmissionsFromSupplementaryCO2_Variable">_xlfn.LAMBDA("E")</definedName>
    <definedName name="VEERG_12_1_1_1__1_EmissionsFromSupplementaryCO2_Result_Method1">'12.1.1-2 Supplementary CO2'!$E$15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4" l="1" a="1"/>
  <c r="E259" i="124" s="1"/>
  <c r="D259" i="124" a="1"/>
  <c r="D259" i="124" s="1"/>
  <c r="E258" i="124" a="1"/>
  <c r="E258" i="124" s="1"/>
  <c r="D258" i="124" a="1"/>
  <c r="D258" i="124" s="1"/>
  <c r="D256" i="124" a="1"/>
  <c r="D256" i="124" s="1"/>
  <c r="D255" i="124" a="1"/>
  <c r="D255" i="124" s="1"/>
  <c r="D254" i="124" a="1"/>
  <c r="D254" i="124" s="1"/>
  <c r="D253" i="124" a="1"/>
  <c r="D253" i="124" s="1"/>
  <c r="S250" i="124" a="1"/>
  <c r="S250" i="124" s="1"/>
  <c r="R250" i="124" a="1"/>
  <c r="R250" i="124" s="1"/>
  <c r="Q250" i="124" a="1"/>
  <c r="Q250" i="124" s="1"/>
  <c r="P250" i="124" a="1"/>
  <c r="P250" i="124" s="1"/>
  <c r="O250" i="124" a="1"/>
  <c r="O250" i="124" s="1"/>
  <c r="N250" i="124" a="1"/>
  <c r="N250" i="124" s="1"/>
  <c r="M250" i="124" a="1"/>
  <c r="M250" i="124" s="1"/>
  <c r="L250" i="124" a="1"/>
  <c r="L250" i="124" s="1"/>
  <c r="K250" i="124" a="1"/>
  <c r="K250" i="124" s="1"/>
  <c r="J250" i="124" a="1"/>
  <c r="J250" i="124" s="1"/>
  <c r="I250" i="124" a="1"/>
  <c r="I250" i="124" s="1"/>
  <c r="H250" i="124" a="1"/>
  <c r="H250" i="124" s="1"/>
  <c r="G250" i="124" a="1"/>
  <c r="G250" i="124" s="1"/>
  <c r="F250" i="124" a="1"/>
  <c r="F250" i="124" s="1"/>
  <c r="E250" i="124" a="1"/>
  <c r="E250" i="124" s="1"/>
  <c r="D250" i="124" a="1"/>
  <c r="D250" i="124" s="1"/>
  <c r="S249" i="124" a="1"/>
  <c r="S249" i="124" s="1"/>
  <c r="R249" i="124" a="1"/>
  <c r="R249" i="124" s="1"/>
  <c r="Q249" i="124" a="1"/>
  <c r="Q249" i="124" s="1"/>
  <c r="P249" i="124" a="1"/>
  <c r="P249" i="124" s="1"/>
  <c r="O249" i="124" a="1"/>
  <c r="O249" i="124" s="1"/>
  <c r="N249" i="124" a="1"/>
  <c r="N249" i="124" s="1"/>
  <c r="M249" i="124" a="1"/>
  <c r="M249" i="124" s="1"/>
  <c r="L249" i="124" a="1"/>
  <c r="L249" i="124" s="1"/>
  <c r="K249" i="124" a="1"/>
  <c r="K249" i="124" s="1"/>
  <c r="J249" i="124" a="1"/>
  <c r="J249" i="124" s="1"/>
  <c r="I249" i="124" a="1"/>
  <c r="I249" i="124" s="1"/>
  <c r="H249" i="124" a="1"/>
  <c r="H249" i="124" s="1"/>
  <c r="G249" i="124" a="1"/>
  <c r="G249" i="124" s="1"/>
  <c r="F249" i="124" a="1"/>
  <c r="F249" i="124" s="1"/>
  <c r="E249" i="124" a="1"/>
  <c r="E249" i="124" s="1"/>
  <c r="D249" i="124" a="1"/>
  <c r="D249" i="124" s="1"/>
  <c r="S248" i="124" a="1"/>
  <c r="S248" i="124" s="1"/>
  <c r="R248" i="124" a="1"/>
  <c r="R248" i="124" s="1"/>
  <c r="Q248" i="124" a="1"/>
  <c r="Q248" i="124" s="1"/>
  <c r="P248" i="124" a="1"/>
  <c r="P248" i="124" s="1"/>
  <c r="O248" i="124" a="1"/>
  <c r="O248" i="124" s="1"/>
  <c r="N248" i="124" a="1"/>
  <c r="N248" i="124" s="1"/>
  <c r="M248" i="124" a="1"/>
  <c r="M248" i="124" s="1"/>
  <c r="L248" i="124" a="1"/>
  <c r="L248" i="124" s="1"/>
  <c r="K248" i="124" a="1"/>
  <c r="K248" i="124" s="1"/>
  <c r="J248" i="124" a="1"/>
  <c r="J248" i="124" s="1"/>
  <c r="I248" i="124" a="1"/>
  <c r="I248" i="124" s="1"/>
  <c r="H248" i="124" a="1"/>
  <c r="H248" i="124" s="1"/>
  <c r="G248" i="124" a="1"/>
  <c r="G248" i="124" s="1"/>
  <c r="F248" i="124" a="1"/>
  <c r="F248" i="124" s="1"/>
  <c r="E248" i="124" a="1"/>
  <c r="E248" i="124" s="1"/>
  <c r="D248" i="124" a="1"/>
  <c r="D248" i="124" s="1"/>
  <c r="S247" i="124" a="1"/>
  <c r="S247" i="124" s="1"/>
  <c r="R247" i="124" a="1"/>
  <c r="R247" i="124" s="1"/>
  <c r="Q247" i="124" a="1"/>
  <c r="Q247" i="124" s="1"/>
  <c r="P247" i="124" a="1"/>
  <c r="P247" i="124" s="1"/>
  <c r="O247" i="124" a="1"/>
  <c r="O247" i="124" s="1"/>
  <c r="N247" i="124" a="1"/>
  <c r="N247" i="124" s="1"/>
  <c r="M247" i="124" a="1"/>
  <c r="M247" i="124" s="1"/>
  <c r="L247" i="124" a="1"/>
  <c r="L247" i="124" s="1"/>
  <c r="K247" i="124" a="1"/>
  <c r="K247" i="124" s="1"/>
  <c r="J247" i="124" a="1"/>
  <c r="J247" i="124" s="1"/>
  <c r="I247" i="124" a="1"/>
  <c r="I247" i="124" s="1"/>
  <c r="H247" i="124" a="1"/>
  <c r="H247" i="124" s="1"/>
  <c r="G247" i="124" a="1"/>
  <c r="G247" i="124" s="1"/>
  <c r="F247" i="124" a="1"/>
  <c r="F247" i="124" s="1"/>
  <c r="E247" i="124" a="1"/>
  <c r="E247" i="124" s="1"/>
  <c r="D247" i="124" a="1"/>
  <c r="D247" i="124" s="1"/>
  <c r="S246" i="124" a="1"/>
  <c r="S246" i="124" s="1"/>
  <c r="R246" i="124" a="1"/>
  <c r="R246" i="124" s="1"/>
  <c r="Q246" i="124" a="1"/>
  <c r="Q246" i="124" s="1"/>
  <c r="P246" i="124" a="1"/>
  <c r="P246" i="124" s="1"/>
  <c r="O246" i="124" a="1"/>
  <c r="O246" i="124" s="1"/>
  <c r="N246" i="124" a="1"/>
  <c r="N246" i="124" s="1"/>
  <c r="M246" i="124" a="1"/>
  <c r="M246" i="124" s="1"/>
  <c r="L246" i="124" a="1"/>
  <c r="L246" i="124" s="1"/>
  <c r="K246" i="124" a="1"/>
  <c r="K246" i="124" s="1"/>
  <c r="J246" i="124" a="1"/>
  <c r="J246" i="124" s="1"/>
  <c r="I246" i="124" a="1"/>
  <c r="I246" i="124" s="1"/>
  <c r="H246" i="124" a="1"/>
  <c r="H246" i="124" s="1"/>
  <c r="G246" i="124" a="1"/>
  <c r="G246" i="124" s="1"/>
  <c r="F246" i="124" a="1"/>
  <c r="F246" i="124" s="1"/>
  <c r="E246" i="124" a="1"/>
  <c r="E246" i="124" s="1"/>
  <c r="D246" i="124" a="1"/>
  <c r="D246" i="124" s="1"/>
  <c r="S245" i="124" a="1"/>
  <c r="S245" i="124" s="1"/>
  <c r="R245" i="124" a="1"/>
  <c r="R245" i="124" s="1"/>
  <c r="Q245" i="124" a="1"/>
  <c r="Q245" i="124" s="1"/>
  <c r="P245" i="124" a="1"/>
  <c r="P245" i="124" s="1"/>
  <c r="O245" i="124" a="1"/>
  <c r="O245" i="124" s="1"/>
  <c r="N245" i="124" a="1"/>
  <c r="N245" i="124" s="1"/>
  <c r="M245" i="124" a="1"/>
  <c r="M245" i="124" s="1"/>
  <c r="L245" i="124" a="1"/>
  <c r="L245" i="124" s="1"/>
  <c r="K245" i="124" a="1"/>
  <c r="K245" i="124" s="1"/>
  <c r="J245" i="124" a="1"/>
  <c r="J245" i="124" s="1"/>
  <c r="I245" i="124" a="1"/>
  <c r="I245" i="124" s="1"/>
  <c r="H245" i="124" a="1"/>
  <c r="H245" i="124" s="1"/>
  <c r="G245" i="124" a="1"/>
  <c r="G245" i="124" s="1"/>
  <c r="F245" i="124" a="1"/>
  <c r="F245" i="124" s="1"/>
  <c r="E245" i="124" a="1"/>
  <c r="E245" i="124" s="1"/>
  <c r="D245" i="124" a="1"/>
  <c r="D245" i="124" s="1"/>
  <c r="S244" i="124" a="1"/>
  <c r="S244" i="124" s="1"/>
  <c r="R244" i="124" a="1"/>
  <c r="R244" i="124" s="1"/>
  <c r="Q244" i="124" a="1"/>
  <c r="Q244" i="124" s="1"/>
  <c r="P244" i="124" a="1"/>
  <c r="P244" i="124" s="1"/>
  <c r="O244" i="124" a="1"/>
  <c r="O244" i="124" s="1"/>
  <c r="N244" i="124" a="1"/>
  <c r="N244" i="124" s="1"/>
  <c r="M244" i="124" a="1"/>
  <c r="M244" i="124" s="1"/>
  <c r="L244" i="124" a="1"/>
  <c r="L244" i="124" s="1"/>
  <c r="K244" i="124" a="1"/>
  <c r="K244" i="124" s="1"/>
  <c r="J244" i="124" a="1"/>
  <c r="J244" i="124" s="1"/>
  <c r="I244" i="124" a="1"/>
  <c r="I244" i="124" s="1"/>
  <c r="H244" i="124" a="1"/>
  <c r="H244" i="124" s="1"/>
  <c r="G244" i="124" a="1"/>
  <c r="G244" i="124" s="1"/>
  <c r="F244" i="124" a="1"/>
  <c r="F244" i="124" s="1"/>
  <c r="E244" i="124" a="1"/>
  <c r="E244" i="124" s="1"/>
  <c r="D244" i="124" a="1"/>
  <c r="D244" i="124" s="1"/>
  <c r="S243" i="124" a="1"/>
  <c r="S243" i="124" s="1"/>
  <c r="R243" i="124" a="1"/>
  <c r="R243" i="124" s="1"/>
  <c r="Q243" i="124" a="1"/>
  <c r="Q243" i="124" s="1"/>
  <c r="P243" i="124" a="1"/>
  <c r="P243" i="124" s="1"/>
  <c r="O243" i="124" a="1"/>
  <c r="O243" i="124" s="1"/>
  <c r="N243" i="124" a="1"/>
  <c r="N243" i="124" s="1"/>
  <c r="M243" i="124" a="1"/>
  <c r="M243" i="124" s="1"/>
  <c r="L243" i="124" a="1"/>
  <c r="L243" i="124" s="1"/>
  <c r="K243" i="124" a="1"/>
  <c r="K243" i="124" s="1"/>
  <c r="J243" i="124" a="1"/>
  <c r="J243" i="124" s="1"/>
  <c r="I243" i="124" a="1"/>
  <c r="I243" i="124" s="1"/>
  <c r="H243" i="124" a="1"/>
  <c r="H243" i="124" s="1"/>
  <c r="G243" i="124" a="1"/>
  <c r="G243" i="124" s="1"/>
  <c r="F243" i="124" a="1"/>
  <c r="F243" i="124" s="1"/>
  <c r="E243" i="124" a="1"/>
  <c r="E243" i="124" s="1"/>
  <c r="D243" i="124" a="1"/>
  <c r="D243" i="124" s="1"/>
  <c r="S242" i="124" a="1"/>
  <c r="S242" i="124" s="1"/>
  <c r="R242" i="124" a="1"/>
  <c r="R242" i="124" s="1"/>
  <c r="Q242" i="124" a="1"/>
  <c r="Q242" i="124" s="1"/>
  <c r="P242" i="124" a="1"/>
  <c r="P242" i="124" s="1"/>
  <c r="O242" i="124" a="1"/>
  <c r="O242" i="124" s="1"/>
  <c r="N242" i="124" a="1"/>
  <c r="N242" i="124" s="1"/>
  <c r="M242" i="124" a="1"/>
  <c r="M242" i="124" s="1"/>
  <c r="L242" i="124" a="1"/>
  <c r="L242" i="124" s="1"/>
  <c r="K242" i="124" a="1"/>
  <c r="K242" i="124" s="1"/>
  <c r="J242" i="124" a="1"/>
  <c r="J242" i="124" s="1"/>
  <c r="I242" i="124" a="1"/>
  <c r="I242" i="124" s="1"/>
  <c r="H242" i="124" a="1"/>
  <c r="H242" i="124" s="1"/>
  <c r="G242" i="124" a="1"/>
  <c r="G242" i="124" s="1"/>
  <c r="F242" i="124" a="1"/>
  <c r="F242" i="124" s="1"/>
  <c r="E242" i="124" a="1"/>
  <c r="E242" i="124" s="1"/>
  <c r="D242" i="124" a="1"/>
  <c r="D242" i="124" s="1"/>
  <c r="S241" i="124" a="1"/>
  <c r="S241" i="124" s="1"/>
  <c r="R241" i="124" a="1"/>
  <c r="R241" i="124" s="1"/>
  <c r="Q241" i="124" a="1"/>
  <c r="Q241" i="124" s="1"/>
  <c r="P241" i="124" a="1"/>
  <c r="P241" i="124" s="1"/>
  <c r="O241" i="124" a="1"/>
  <c r="O241" i="124" s="1"/>
  <c r="N241" i="124" a="1"/>
  <c r="N241" i="124" s="1"/>
  <c r="M241" i="124" a="1"/>
  <c r="M241" i="124" s="1"/>
  <c r="L241" i="124" a="1"/>
  <c r="L241" i="124" s="1"/>
  <c r="K241" i="124" a="1"/>
  <c r="K241" i="124" s="1"/>
  <c r="J241" i="124" a="1"/>
  <c r="J241" i="124" s="1"/>
  <c r="I241" i="124" a="1"/>
  <c r="I241" i="124" s="1"/>
  <c r="H241" i="124" a="1"/>
  <c r="H241" i="124" s="1"/>
  <c r="G241" i="124" a="1"/>
  <c r="G241" i="124" s="1"/>
  <c r="F241" i="124" a="1"/>
  <c r="F241" i="124" s="1"/>
  <c r="E241" i="124" a="1"/>
  <c r="E241" i="124" s="1"/>
  <c r="D241" i="124" a="1"/>
  <c r="D241" i="124" s="1"/>
  <c r="S240" i="124" a="1"/>
  <c r="S240" i="124" s="1"/>
  <c r="R240" i="124" a="1"/>
  <c r="R240" i="124" s="1"/>
  <c r="Q240" i="124" a="1"/>
  <c r="Q240" i="124" s="1"/>
  <c r="P240" i="124" a="1"/>
  <c r="P240" i="124" s="1"/>
  <c r="O240" i="124" a="1"/>
  <c r="O240" i="124" s="1"/>
  <c r="N240" i="124" a="1"/>
  <c r="N240" i="124" s="1"/>
  <c r="M240" i="124" a="1"/>
  <c r="M240" i="124" s="1"/>
  <c r="L240" i="124" a="1"/>
  <c r="L240" i="124" s="1"/>
  <c r="K240" i="124" a="1"/>
  <c r="K240" i="124" s="1"/>
  <c r="J240" i="124" a="1"/>
  <c r="J240" i="124" s="1"/>
  <c r="I240" i="124" a="1"/>
  <c r="I240" i="124" s="1"/>
  <c r="H240" i="124" a="1"/>
  <c r="H240" i="124" s="1"/>
  <c r="G240" i="124" a="1"/>
  <c r="G240" i="124" s="1"/>
  <c r="F240" i="124" a="1"/>
  <c r="F240" i="124" s="1"/>
  <c r="E240" i="124" a="1"/>
  <c r="E240" i="124" s="1"/>
  <c r="D240" i="124" a="1"/>
  <c r="D240" i="124" s="1"/>
  <c r="S239" i="124" a="1"/>
  <c r="S239" i="124" s="1"/>
  <c r="R239" i="124" a="1"/>
  <c r="R239" i="124" s="1"/>
  <c r="Q239" i="124" a="1"/>
  <c r="Q239" i="124" s="1"/>
  <c r="P239" i="124" a="1"/>
  <c r="P239" i="124" s="1"/>
  <c r="O239" i="124" a="1"/>
  <c r="O239" i="124" s="1"/>
  <c r="N239" i="124" a="1"/>
  <c r="N239" i="124" s="1"/>
  <c r="M239" i="124" a="1"/>
  <c r="M239" i="124" s="1"/>
  <c r="L239" i="124" a="1"/>
  <c r="L239" i="124" s="1"/>
  <c r="K239" i="124" a="1"/>
  <c r="K239" i="124" s="1"/>
  <c r="J239" i="124" a="1"/>
  <c r="J239" i="124" s="1"/>
  <c r="I239" i="124" a="1"/>
  <c r="I239" i="124" s="1"/>
  <c r="H239" i="124" a="1"/>
  <c r="H239" i="124" s="1"/>
  <c r="G239" i="124" a="1"/>
  <c r="G239" i="124" s="1"/>
  <c r="F239" i="124" a="1"/>
  <c r="F239" i="124" s="1"/>
  <c r="E239" i="124" a="1"/>
  <c r="E239" i="124" s="1"/>
  <c r="D239" i="124" a="1"/>
  <c r="D239" i="124" s="1"/>
  <c r="S238" i="124" a="1"/>
  <c r="S238" i="124" s="1"/>
  <c r="R238" i="124" a="1"/>
  <c r="R238" i="124" s="1"/>
  <c r="Q238" i="124" a="1"/>
  <c r="Q238" i="124" s="1"/>
  <c r="P238" i="124" a="1"/>
  <c r="P238" i="124" s="1"/>
  <c r="O238" i="124" a="1"/>
  <c r="O238" i="124" s="1"/>
  <c r="N238" i="124" a="1"/>
  <c r="N238" i="124" s="1"/>
  <c r="M238" i="124" a="1"/>
  <c r="M238" i="124" s="1"/>
  <c r="L238" i="124" a="1"/>
  <c r="L238" i="124" s="1"/>
  <c r="K238" i="124" a="1"/>
  <c r="K238" i="124" s="1"/>
  <c r="J238" i="124" a="1"/>
  <c r="J238" i="124" s="1"/>
  <c r="I238" i="124" a="1"/>
  <c r="I238" i="124" s="1"/>
  <c r="H238" i="124" a="1"/>
  <c r="H238" i="124" s="1"/>
  <c r="G238" i="124" a="1"/>
  <c r="G238" i="124" s="1"/>
  <c r="F238" i="124" a="1"/>
  <c r="F238" i="124" s="1"/>
  <c r="E238" i="124" a="1"/>
  <c r="E238" i="124" s="1"/>
  <c r="D238" i="124" a="1"/>
  <c r="D238" i="124" s="1"/>
  <c r="S237" i="124" a="1"/>
  <c r="S237" i="124" s="1"/>
  <c r="R237" i="124" a="1"/>
  <c r="R237" i="124" s="1"/>
  <c r="Q237" i="124" a="1"/>
  <c r="Q237" i="124" s="1"/>
  <c r="P237" i="124" a="1"/>
  <c r="P237" i="124" s="1"/>
  <c r="O237" i="124" a="1"/>
  <c r="O237" i="124" s="1"/>
  <c r="N237" i="124" a="1"/>
  <c r="N237" i="124" s="1"/>
  <c r="M237" i="124" a="1"/>
  <c r="M237" i="124" s="1"/>
  <c r="L237" i="124" a="1"/>
  <c r="L237" i="124" s="1"/>
  <c r="K237" i="124" a="1"/>
  <c r="K237" i="124" s="1"/>
  <c r="J237" i="124" a="1"/>
  <c r="J237" i="124" s="1"/>
  <c r="I237" i="124" a="1"/>
  <c r="I237" i="124" s="1"/>
  <c r="H237" i="124" a="1"/>
  <c r="H237" i="124" s="1"/>
  <c r="G237" i="124" a="1"/>
  <c r="G237" i="124" s="1"/>
  <c r="F237" i="124" a="1"/>
  <c r="F237" i="124" s="1"/>
  <c r="E237" i="124" a="1"/>
  <c r="E237" i="124" s="1"/>
  <c r="D237" i="124" a="1"/>
  <c r="D237" i="124" s="1"/>
  <c r="S236" i="124" a="1"/>
  <c r="S236" i="124" s="1"/>
  <c r="R236" i="124" a="1"/>
  <c r="R236" i="124" s="1"/>
  <c r="Q236" i="124" a="1"/>
  <c r="Q236" i="124" s="1"/>
  <c r="P236" i="124" a="1"/>
  <c r="P236" i="124" s="1"/>
  <c r="O236" i="124" a="1"/>
  <c r="O236" i="124" s="1"/>
  <c r="N236" i="124" a="1"/>
  <c r="N236" i="124" s="1"/>
  <c r="M236" i="124" a="1"/>
  <c r="M236" i="124" s="1"/>
  <c r="L236" i="124" a="1"/>
  <c r="L236" i="124" s="1"/>
  <c r="K236" i="124" a="1"/>
  <c r="K236" i="124" s="1"/>
  <c r="J236" i="124" a="1"/>
  <c r="J236" i="124" s="1"/>
  <c r="I236" i="124" a="1"/>
  <c r="I236" i="124" s="1"/>
  <c r="H236" i="124" a="1"/>
  <c r="H236" i="124" s="1"/>
  <c r="G236" i="124" a="1"/>
  <c r="G236" i="124" s="1"/>
  <c r="F236" i="124" a="1"/>
  <c r="F236" i="124" s="1"/>
  <c r="E236" i="124" a="1"/>
  <c r="E236" i="124" s="1"/>
  <c r="D236" i="124" a="1"/>
  <c r="D236" i="124" s="1"/>
  <c r="S235" i="124" a="1"/>
  <c r="S235" i="124" s="1"/>
  <c r="R235" i="124" a="1"/>
  <c r="R235" i="124" s="1"/>
  <c r="Q235" i="124" a="1"/>
  <c r="Q235" i="124" s="1"/>
  <c r="P235" i="124" a="1"/>
  <c r="P235" i="124" s="1"/>
  <c r="O235" i="124" a="1"/>
  <c r="O235" i="124" s="1"/>
  <c r="N235" i="124" a="1"/>
  <c r="N235" i="124" s="1"/>
  <c r="M235" i="124" a="1"/>
  <c r="M235" i="124" s="1"/>
  <c r="L235" i="124" a="1"/>
  <c r="L235" i="124" s="1"/>
  <c r="K235" i="124" a="1"/>
  <c r="K235" i="124" s="1"/>
  <c r="J235" i="124" a="1"/>
  <c r="J235" i="124" s="1"/>
  <c r="I235" i="124" a="1"/>
  <c r="I235" i="124" s="1"/>
  <c r="H235" i="124" a="1"/>
  <c r="H235" i="124" s="1"/>
  <c r="G235" i="124" a="1"/>
  <c r="G235" i="124" s="1"/>
  <c r="F235" i="124" a="1"/>
  <c r="F235" i="124" s="1"/>
  <c r="E235" i="124" a="1"/>
  <c r="E235" i="124" s="1"/>
  <c r="D235" i="124" a="1"/>
  <c r="D235" i="124" s="1"/>
  <c r="S234" i="124" a="1"/>
  <c r="S234" i="124" s="1"/>
  <c r="R234" i="124" a="1"/>
  <c r="R234" i="124" s="1"/>
  <c r="Q234" i="124" a="1"/>
  <c r="Q234" i="124" s="1"/>
  <c r="P234" i="124" a="1"/>
  <c r="P234" i="124" s="1"/>
  <c r="O234" i="124" a="1"/>
  <c r="O234" i="124" s="1"/>
  <c r="N234" i="124" a="1"/>
  <c r="N234" i="124" s="1"/>
  <c r="M234" i="124" a="1"/>
  <c r="M234" i="124" s="1"/>
  <c r="L234" i="124" a="1"/>
  <c r="L234" i="124" s="1"/>
  <c r="K234" i="124" a="1"/>
  <c r="K234" i="124" s="1"/>
  <c r="J234" i="124" a="1"/>
  <c r="J234" i="124" s="1"/>
  <c r="I234" i="124" a="1"/>
  <c r="I234" i="124" s="1"/>
  <c r="H234" i="124" a="1"/>
  <c r="H234" i="124" s="1"/>
  <c r="G234" i="124" a="1"/>
  <c r="G234" i="124" s="1"/>
  <c r="F234" i="124" a="1"/>
  <c r="F234" i="124" s="1"/>
  <c r="E234" i="124" a="1"/>
  <c r="E234" i="124" s="1"/>
  <c r="D234" i="124" a="1"/>
  <c r="D234" i="124" s="1"/>
  <c r="S233" i="124" a="1"/>
  <c r="S233" i="124" s="1"/>
  <c r="R233" i="124" a="1"/>
  <c r="R233" i="124" s="1"/>
  <c r="Q233" i="124" a="1"/>
  <c r="Q233" i="124" s="1"/>
  <c r="P233" i="124" a="1"/>
  <c r="P233" i="124" s="1"/>
  <c r="O233" i="124" a="1"/>
  <c r="O233" i="124" s="1"/>
  <c r="N233" i="124" a="1"/>
  <c r="N233" i="124" s="1"/>
  <c r="M233" i="124" a="1"/>
  <c r="M233" i="124" s="1"/>
  <c r="L233" i="124" a="1"/>
  <c r="L233" i="124" s="1"/>
  <c r="K233" i="124" a="1"/>
  <c r="K233" i="124" s="1"/>
  <c r="J233" i="124" a="1"/>
  <c r="J233" i="124" s="1"/>
  <c r="I233" i="124" a="1"/>
  <c r="I233" i="124" s="1"/>
  <c r="H233" i="124" a="1"/>
  <c r="H233" i="124" s="1"/>
  <c r="G233" i="124" a="1"/>
  <c r="G233" i="124" s="1"/>
  <c r="F233" i="124" a="1"/>
  <c r="F233" i="124" s="1"/>
  <c r="E233" i="124" a="1"/>
  <c r="E233" i="124" s="1"/>
  <c r="D233" i="124" a="1"/>
  <c r="D233" i="124" s="1"/>
  <c r="S232" i="124" a="1"/>
  <c r="S232" i="124" s="1"/>
  <c r="R232" i="124" a="1"/>
  <c r="R232" i="124" s="1"/>
  <c r="Q232" i="124" a="1"/>
  <c r="Q232" i="124" s="1"/>
  <c r="P232" i="124" a="1"/>
  <c r="P232" i="124" s="1"/>
  <c r="O232" i="124" a="1"/>
  <c r="O232" i="124" s="1"/>
  <c r="N232" i="124" a="1"/>
  <c r="N232" i="124" s="1"/>
  <c r="M232" i="124" a="1"/>
  <c r="M232" i="124" s="1"/>
  <c r="L232" i="124" a="1"/>
  <c r="L232" i="124" s="1"/>
  <c r="K232" i="124" a="1"/>
  <c r="K232" i="124" s="1"/>
  <c r="J232" i="124" a="1"/>
  <c r="J232" i="124" s="1"/>
  <c r="I232" i="124" a="1"/>
  <c r="I232" i="124" s="1"/>
  <c r="H232" i="124" a="1"/>
  <c r="H232" i="124" s="1"/>
  <c r="G232" i="124" a="1"/>
  <c r="G232" i="124" s="1"/>
  <c r="F232" i="124" a="1"/>
  <c r="F232" i="124" s="1"/>
  <c r="E232" i="124" a="1"/>
  <c r="E232" i="124" s="1"/>
  <c r="D232" i="124" a="1"/>
  <c r="D232" i="124" s="1"/>
  <c r="D229" i="124" a="1"/>
  <c r="D229" i="124" s="1"/>
  <c r="D228" i="124" a="1"/>
  <c r="D228" i="124" s="1"/>
  <c r="D227" i="124" a="1"/>
  <c r="D227" i="124" s="1"/>
  <c r="E224" i="124" a="1"/>
  <c r="E224" i="124" s="1"/>
  <c r="D224" i="124" a="1"/>
  <c r="D224" i="124" s="1"/>
  <c r="E223" i="124" a="1"/>
  <c r="E223" i="124" s="1"/>
  <c r="D223" i="124" a="1"/>
  <c r="D223" i="124" s="1"/>
  <c r="E222" i="124" a="1"/>
  <c r="E222" i="124" s="1"/>
  <c r="D222" i="124" a="1"/>
  <c r="D222" i="124" s="1"/>
  <c r="E221" i="124" a="1"/>
  <c r="E221" i="124" s="1"/>
  <c r="D221" i="124" a="1"/>
  <c r="D221" i="124" s="1"/>
  <c r="E220" i="124" a="1"/>
  <c r="E220" i="124" s="1"/>
  <c r="D220" i="124" a="1"/>
  <c r="D220" i="124" s="1"/>
  <c r="E219" i="124" a="1"/>
  <c r="E219" i="124" s="1"/>
  <c r="D219" i="124" a="1"/>
  <c r="D219" i="124" s="1"/>
  <c r="E218" i="124" a="1"/>
  <c r="E218" i="124" s="1"/>
  <c r="D218" i="124" a="1"/>
  <c r="D218" i="124" s="1"/>
  <c r="E217" i="124" a="1"/>
  <c r="E217" i="124" s="1"/>
  <c r="D217" i="124" a="1"/>
  <c r="D217" i="124" s="1"/>
  <c r="E216" i="124" a="1"/>
  <c r="E216" i="124" s="1"/>
  <c r="D216" i="124" a="1"/>
  <c r="D216" i="124" s="1"/>
  <c r="E215" i="124" a="1"/>
  <c r="E215" i="124" s="1"/>
  <c r="D215" i="124" a="1"/>
  <c r="D215" i="124" s="1"/>
  <c r="E214" i="124" a="1"/>
  <c r="E214" i="124" s="1"/>
  <c r="D214" i="124" a="1"/>
  <c r="D214" i="124" s="1"/>
  <c r="E213" i="124" a="1"/>
  <c r="E213" i="124" s="1"/>
  <c r="D213" i="124" a="1"/>
  <c r="D213" i="124" s="1"/>
  <c r="D211" i="124" a="1"/>
  <c r="D211" i="124" s="1"/>
  <c r="E208" i="124" a="1"/>
  <c r="E208" i="124" s="1"/>
  <c r="D208" i="124" a="1"/>
  <c r="D208" i="124" s="1"/>
  <c r="E207" i="124" a="1"/>
  <c r="E207" i="124" s="1"/>
  <c r="D207" i="124" a="1"/>
  <c r="D207" i="124" s="1"/>
  <c r="D205" i="124" a="1"/>
  <c r="D205" i="124" s="1"/>
  <c r="D204" i="124" a="1"/>
  <c r="D204" i="124" s="1"/>
  <c r="D203" i="124" a="1"/>
  <c r="D203" i="124" s="1"/>
  <c r="D202" i="124" a="1"/>
  <c r="D202" i="124" s="1"/>
  <c r="H199" i="124" a="1"/>
  <c r="H199" i="124" s="1"/>
  <c r="G199" i="124" a="1"/>
  <c r="G199" i="124" s="1"/>
  <c r="F199" i="124" a="1"/>
  <c r="F199" i="124" s="1"/>
  <c r="E199" i="124" a="1"/>
  <c r="E199" i="124" s="1"/>
  <c r="D199" i="124" a="1"/>
  <c r="D199" i="124" s="1"/>
  <c r="H198" i="124" a="1"/>
  <c r="H198" i="124" s="1"/>
  <c r="G198" i="124" a="1"/>
  <c r="G198" i="124" s="1"/>
  <c r="F198" i="124" a="1"/>
  <c r="F198" i="124" s="1"/>
  <c r="E198" i="124" a="1"/>
  <c r="E198" i="124" s="1"/>
  <c r="D198" i="124" a="1"/>
  <c r="D198" i="124" s="1"/>
  <c r="H197" i="124" a="1"/>
  <c r="H197" i="124" s="1"/>
  <c r="G197" i="124" a="1"/>
  <c r="G197" i="124" s="1"/>
  <c r="F197" i="124" a="1"/>
  <c r="F197" i="124" s="1"/>
  <c r="E197" i="124" a="1"/>
  <c r="E197" i="124" s="1"/>
  <c r="D197" i="124" a="1"/>
  <c r="D197" i="124" s="1"/>
  <c r="H196" i="124" a="1"/>
  <c r="H196" i="124" s="1"/>
  <c r="G196" i="124" a="1"/>
  <c r="G196" i="124" s="1"/>
  <c r="F196" i="124" a="1"/>
  <c r="F196" i="124" s="1"/>
  <c r="E196" i="124" a="1"/>
  <c r="E196" i="124" s="1"/>
  <c r="D196" i="124" a="1"/>
  <c r="D196" i="124" s="1"/>
  <c r="H195" i="124" a="1"/>
  <c r="H195" i="124" s="1"/>
  <c r="G195" i="124" a="1"/>
  <c r="G195" i="124" s="1"/>
  <c r="F195" i="124" a="1"/>
  <c r="F195" i="124" s="1"/>
  <c r="E195" i="124" a="1"/>
  <c r="E195" i="124" s="1"/>
  <c r="D195" i="124" a="1"/>
  <c r="D195" i="124" s="1"/>
  <c r="H194" i="124" a="1"/>
  <c r="H194" i="124" s="1"/>
  <c r="G194" i="124" a="1"/>
  <c r="G194" i="124" s="1"/>
  <c r="F194" i="124" a="1"/>
  <c r="F194" i="124" s="1"/>
  <c r="E194" i="124" a="1"/>
  <c r="E194" i="124" s="1"/>
  <c r="D194" i="124" a="1"/>
  <c r="D194" i="124" s="1"/>
  <c r="H193" i="124" a="1"/>
  <c r="H193" i="124" s="1"/>
  <c r="G193" i="124" a="1"/>
  <c r="G193" i="124" s="1"/>
  <c r="F193" i="124" a="1"/>
  <c r="F193" i="124" s="1"/>
  <c r="E193" i="124" a="1"/>
  <c r="E193" i="124" s="1"/>
  <c r="D193" i="124" a="1"/>
  <c r="D193" i="124" s="1"/>
  <c r="H192" i="124" a="1"/>
  <c r="H192" i="124" s="1"/>
  <c r="G192" i="124" a="1"/>
  <c r="G192" i="124" s="1"/>
  <c r="F192" i="124" a="1"/>
  <c r="F192" i="124" s="1"/>
  <c r="E192" i="124" a="1"/>
  <c r="E192" i="124" s="1"/>
  <c r="D192" i="124" a="1"/>
  <c r="D192" i="124" s="1"/>
  <c r="H191" i="124" a="1"/>
  <c r="H191" i="124" s="1"/>
  <c r="G191" i="124" a="1"/>
  <c r="G191" i="124" s="1"/>
  <c r="F191" i="124" a="1"/>
  <c r="F191" i="124" s="1"/>
  <c r="E191" i="124" a="1"/>
  <c r="E191" i="124" s="1"/>
  <c r="D191" i="124" a="1"/>
  <c r="D191" i="124" s="1"/>
  <c r="H190" i="124" a="1"/>
  <c r="H190" i="124" s="1"/>
  <c r="G190" i="124" a="1"/>
  <c r="G190" i="124" s="1"/>
  <c r="F190" i="124" a="1"/>
  <c r="F190" i="124" s="1"/>
  <c r="E190" i="124" a="1"/>
  <c r="E190" i="124" s="1"/>
  <c r="D190" i="124" a="1"/>
  <c r="D190" i="124" s="1"/>
  <c r="H189" i="124" a="1"/>
  <c r="H189" i="124" s="1"/>
  <c r="G189" i="124" a="1"/>
  <c r="G189" i="124" s="1"/>
  <c r="F189" i="124" a="1"/>
  <c r="F189" i="124" s="1"/>
  <c r="E189" i="124" a="1"/>
  <c r="E189" i="124" s="1"/>
  <c r="D189" i="124" a="1"/>
  <c r="D189" i="124" s="1"/>
  <c r="H188" i="124" a="1"/>
  <c r="H188" i="124" s="1"/>
  <c r="G188" i="124" a="1"/>
  <c r="G188" i="124" s="1"/>
  <c r="F188" i="124" a="1"/>
  <c r="F188" i="124" s="1"/>
  <c r="E188" i="124" a="1"/>
  <c r="E188" i="124" s="1"/>
  <c r="D188" i="124" a="1"/>
  <c r="D188" i="124" s="1"/>
  <c r="H187" i="124" a="1"/>
  <c r="H187" i="124" s="1"/>
  <c r="G187" i="124" a="1"/>
  <c r="G187" i="124" s="1"/>
  <c r="F187" i="124" a="1"/>
  <c r="F187" i="124" s="1"/>
  <c r="E187" i="124" a="1"/>
  <c r="E187" i="124" s="1"/>
  <c r="D187" i="124" a="1"/>
  <c r="D187" i="124" s="1"/>
  <c r="D181" i="124" a="1"/>
  <c r="D181" i="124" s="1"/>
  <c r="D180" i="124" a="1"/>
  <c r="D180" i="124" s="1"/>
  <c r="D179" i="124" a="1"/>
  <c r="D179" i="124" s="1"/>
  <c r="D178" i="124" a="1"/>
  <c r="D178" i="124" s="1"/>
  <c r="E175" i="124"/>
  <c r="E175" i="124" a="1"/>
  <c r="D175" i="124" a="1"/>
  <c r="D175" i="124" s="1"/>
  <c r="D174" i="124" a="1"/>
  <c r="D174" i="124" s="1"/>
  <c r="D173" i="124" a="1"/>
  <c r="D173" i="124" s="1"/>
  <c r="D170" i="124" a="1"/>
  <c r="D170" i="124" s="1"/>
  <c r="D169" i="124" a="1"/>
  <c r="D169" i="124" s="1"/>
  <c r="D168" i="124" a="1"/>
  <c r="D168" i="124" s="1"/>
  <c r="D167" i="124" a="1"/>
  <c r="D167" i="124" s="1"/>
  <c r="D164" i="124" a="1"/>
  <c r="D164" i="124" s="1"/>
  <c r="D163" i="124" a="1"/>
  <c r="D163" i="124" s="1"/>
  <c r="D162" i="124" a="1"/>
  <c r="D162" i="124" s="1"/>
  <c r="D161" i="124" a="1"/>
  <c r="D161" i="124" s="1"/>
  <c r="E158" i="124" a="1"/>
  <c r="E158" i="124" s="1"/>
  <c r="D158" i="124" a="1"/>
  <c r="D158" i="124" s="1"/>
  <c r="E157" i="124" a="1"/>
  <c r="E157" i="124" s="1"/>
  <c r="D157" i="124" a="1"/>
  <c r="D157" i="124" s="1"/>
  <c r="E156" i="124" a="1"/>
  <c r="E156" i="124" s="1"/>
  <c r="D156" i="124" a="1"/>
  <c r="D156" i="124" s="1"/>
  <c r="E155" i="124" a="1"/>
  <c r="E155" i="124" s="1"/>
  <c r="D155" i="124" a="1"/>
  <c r="D155" i="124" s="1"/>
  <c r="E154" i="124" a="1"/>
  <c r="E154" i="124" s="1"/>
  <c r="D154" i="124" a="1"/>
  <c r="D154" i="124" s="1"/>
  <c r="D151" i="124" a="1"/>
  <c r="D151" i="124" s="1"/>
  <c r="D150" i="124" a="1"/>
  <c r="D150" i="124" s="1"/>
  <c r="E147" i="124" a="1"/>
  <c r="E147" i="124" s="1"/>
  <c r="D147" i="124" a="1"/>
  <c r="D147" i="124" s="1"/>
  <c r="E146" i="124" a="1"/>
  <c r="E146" i="124" s="1"/>
  <c r="D146" i="124" a="1"/>
  <c r="D146" i="124" s="1"/>
  <c r="E145" i="124" a="1"/>
  <c r="E145" i="124" s="1"/>
  <c r="D145" i="124" a="1"/>
  <c r="D145" i="124" s="1"/>
  <c r="E144" i="124" a="1"/>
  <c r="E144" i="124" s="1"/>
  <c r="D144" i="124" a="1"/>
  <c r="D144" i="124" s="1"/>
  <c r="E143" i="124" a="1"/>
  <c r="E143" i="124" s="1"/>
  <c r="D143" i="124" a="1"/>
  <c r="D143" i="124" s="1"/>
  <c r="D141" i="124" a="1"/>
  <c r="D141" i="124" s="1"/>
  <c r="D140" i="124" a="1"/>
  <c r="D140" i="124" s="1"/>
  <c r="D139" i="124" a="1"/>
  <c r="D139" i="124" s="1"/>
  <c r="E136" i="124" a="1"/>
  <c r="E136" i="124" s="1"/>
  <c r="D136" i="124" a="1"/>
  <c r="D136" i="124" s="1"/>
  <c r="E135" i="124" a="1"/>
  <c r="E135" i="124" s="1"/>
  <c r="D135" i="124" a="1"/>
  <c r="D135" i="124" s="1"/>
  <c r="D133" i="124" a="1"/>
  <c r="D133" i="124" s="1"/>
  <c r="D132" i="124" a="1"/>
  <c r="D132" i="124" s="1"/>
  <c r="E129" i="124" a="1"/>
  <c r="E129" i="124" s="1"/>
  <c r="D129" i="124" a="1"/>
  <c r="D129" i="124" s="1"/>
  <c r="E128" i="124" a="1"/>
  <c r="E128" i="124" s="1"/>
  <c r="D128" i="124" a="1"/>
  <c r="D128" i="124" s="1"/>
  <c r="D125" i="124" a="1"/>
  <c r="D125" i="124" s="1"/>
  <c r="D124" i="124" a="1"/>
  <c r="D124" i="124" s="1"/>
  <c r="G121" i="124" a="1"/>
  <c r="G121" i="124" s="1"/>
  <c r="F121" i="124" a="1"/>
  <c r="F121" i="124" s="1"/>
  <c r="E121" i="124" a="1"/>
  <c r="E121" i="124" s="1"/>
  <c r="D121" i="124" a="1"/>
  <c r="D121" i="124" s="1"/>
  <c r="G120" i="124" a="1"/>
  <c r="G120" i="124" s="1"/>
  <c r="F120" i="124" a="1"/>
  <c r="F120" i="124" s="1"/>
  <c r="E120" i="124" a="1"/>
  <c r="E120" i="124" s="1"/>
  <c r="D120" i="124" a="1"/>
  <c r="D120" i="124" s="1"/>
  <c r="D117" i="124" a="1"/>
  <c r="D117" i="124" s="1"/>
  <c r="D116" i="124" a="1"/>
  <c r="D116" i="124" s="1"/>
  <c r="D115" i="124" a="1"/>
  <c r="D115" i="124" s="1"/>
  <c r="G112" i="124" a="1"/>
  <c r="G112" i="124" s="1"/>
  <c r="F112" i="124" a="1"/>
  <c r="F112" i="124" s="1"/>
  <c r="E112" i="124" a="1"/>
  <c r="E112" i="124" s="1"/>
  <c r="D112" i="124" a="1"/>
  <c r="D112" i="124" s="1"/>
  <c r="G111" i="124" a="1"/>
  <c r="G111" i="124" s="1"/>
  <c r="F111" i="124" a="1"/>
  <c r="F111" i="124" s="1"/>
  <c r="E111" i="124" a="1"/>
  <c r="E111" i="124" s="1"/>
  <c r="D111" i="124" a="1"/>
  <c r="D111" i="124" s="1"/>
  <c r="G110" i="124" a="1"/>
  <c r="G110" i="124" s="1"/>
  <c r="F110" i="124" a="1"/>
  <c r="F110" i="124" s="1"/>
  <c r="E110" i="124" a="1"/>
  <c r="E110" i="124" s="1"/>
  <c r="D110" i="124" a="1"/>
  <c r="D110" i="124" s="1"/>
  <c r="D107" i="124" a="1"/>
  <c r="D107" i="124" s="1"/>
  <c r="D106" i="124" a="1"/>
  <c r="D106" i="124" s="1"/>
  <c r="D105" i="124" a="1"/>
  <c r="D105" i="124" s="1"/>
  <c r="D99" i="124" a="1"/>
  <c r="D99" i="124" s="1"/>
  <c r="S97" i="124" a="1"/>
  <c r="S97" i="124" s="1"/>
  <c r="R97" i="124" a="1"/>
  <c r="R97" i="124" s="1"/>
  <c r="Q97" i="124" a="1"/>
  <c r="Q97" i="124" s="1"/>
  <c r="P97" i="124" a="1"/>
  <c r="P97" i="124" s="1"/>
  <c r="O97" i="124" a="1"/>
  <c r="O97" i="124" s="1"/>
  <c r="N97" i="124" a="1"/>
  <c r="N97" i="124" s="1"/>
  <c r="M97" i="124" a="1"/>
  <c r="M97" i="124" s="1"/>
  <c r="L97" i="124" a="1"/>
  <c r="L97" i="124" s="1"/>
  <c r="K97" i="124" a="1"/>
  <c r="K97" i="124" s="1"/>
  <c r="J97" i="124" a="1"/>
  <c r="J97" i="124" s="1"/>
  <c r="I97" i="124" a="1"/>
  <c r="I97" i="124" s="1"/>
  <c r="H97" i="124" a="1"/>
  <c r="H97" i="124" s="1"/>
  <c r="G97" i="124" a="1"/>
  <c r="G97" i="124" s="1"/>
  <c r="F97" i="124" a="1"/>
  <c r="F97" i="124" s="1"/>
  <c r="E97" i="124" a="1"/>
  <c r="E97" i="124" s="1"/>
  <c r="D97" i="124" a="1"/>
  <c r="D97" i="124" s="1"/>
  <c r="S96" i="124" a="1"/>
  <c r="S96" i="124" s="1"/>
  <c r="R96" i="124" a="1"/>
  <c r="R96" i="124" s="1"/>
  <c r="Q96" i="124" a="1"/>
  <c r="Q96" i="124" s="1"/>
  <c r="P96" i="124" a="1"/>
  <c r="P96" i="124" s="1"/>
  <c r="O96" i="124" a="1"/>
  <c r="O96" i="124" s="1"/>
  <c r="N96" i="124" a="1"/>
  <c r="N96" i="124" s="1"/>
  <c r="M96" i="124" a="1"/>
  <c r="M96" i="124" s="1"/>
  <c r="L96" i="124" a="1"/>
  <c r="L96" i="124" s="1"/>
  <c r="K96" i="124" a="1"/>
  <c r="K96" i="124" s="1"/>
  <c r="J96" i="124" a="1"/>
  <c r="J96" i="124" s="1"/>
  <c r="I96" i="124" a="1"/>
  <c r="I96" i="124" s="1"/>
  <c r="H96" i="124" a="1"/>
  <c r="H96" i="124" s="1"/>
  <c r="G96" i="124" a="1"/>
  <c r="G96" i="124" s="1"/>
  <c r="F96" i="124" a="1"/>
  <c r="F96" i="124" s="1"/>
  <c r="E96" i="124" a="1"/>
  <c r="E96" i="124" s="1"/>
  <c r="D96" i="124" a="1"/>
  <c r="D96" i="124" s="1"/>
  <c r="S95" i="124" a="1"/>
  <c r="S95" i="124" s="1"/>
  <c r="R95" i="124" a="1"/>
  <c r="R95" i="124" s="1"/>
  <c r="Q95" i="124" a="1"/>
  <c r="Q95" i="124" s="1"/>
  <c r="P95" i="124" a="1"/>
  <c r="P95" i="124" s="1"/>
  <c r="O95" i="124" a="1"/>
  <c r="O95" i="124" s="1"/>
  <c r="N95" i="124" a="1"/>
  <c r="N95" i="124" s="1"/>
  <c r="M95" i="124" a="1"/>
  <c r="M95" i="124" s="1"/>
  <c r="L95" i="124" a="1"/>
  <c r="L95" i="124" s="1"/>
  <c r="K95" i="124" a="1"/>
  <c r="K95" i="124" s="1"/>
  <c r="J95" i="124" a="1"/>
  <c r="J95" i="124" s="1"/>
  <c r="I95" i="124" a="1"/>
  <c r="I95" i="124" s="1"/>
  <c r="H95" i="124" a="1"/>
  <c r="H95" i="124" s="1"/>
  <c r="G95" i="124" a="1"/>
  <c r="G95" i="124" s="1"/>
  <c r="F95" i="124" a="1"/>
  <c r="F95" i="124" s="1"/>
  <c r="E95" i="124" a="1"/>
  <c r="E95" i="124" s="1"/>
  <c r="D95" i="124" a="1"/>
  <c r="D95" i="124" s="1"/>
  <c r="S94" i="124" a="1"/>
  <c r="S94" i="124" s="1"/>
  <c r="R94" i="124" a="1"/>
  <c r="R94" i="124" s="1"/>
  <c r="Q94" i="124" a="1"/>
  <c r="Q94" i="124" s="1"/>
  <c r="P94" i="124" a="1"/>
  <c r="P94" i="124" s="1"/>
  <c r="O94" i="124" a="1"/>
  <c r="O94" i="124" s="1"/>
  <c r="N94" i="124" a="1"/>
  <c r="N94" i="124" s="1"/>
  <c r="M94" i="124" a="1"/>
  <c r="M94" i="124" s="1"/>
  <c r="L94" i="124" a="1"/>
  <c r="L94" i="124" s="1"/>
  <c r="K94" i="124" a="1"/>
  <c r="K94" i="124" s="1"/>
  <c r="J94" i="124" a="1"/>
  <c r="J94" i="124" s="1"/>
  <c r="I94" i="124" a="1"/>
  <c r="I94" i="124" s="1"/>
  <c r="H94" i="124" a="1"/>
  <c r="H94" i="124" s="1"/>
  <c r="G94" i="124" a="1"/>
  <c r="G94" i="124" s="1"/>
  <c r="F94" i="124" a="1"/>
  <c r="F94" i="124" s="1"/>
  <c r="E94" i="124" a="1"/>
  <c r="E94" i="124" s="1"/>
  <c r="D94" i="124" a="1"/>
  <c r="D94" i="124" s="1"/>
  <c r="S93" i="124" a="1"/>
  <c r="S93" i="124" s="1"/>
  <c r="R93" i="124" a="1"/>
  <c r="R93" i="124" s="1"/>
  <c r="Q93" i="124" a="1"/>
  <c r="Q93" i="124" s="1"/>
  <c r="P93" i="124" a="1"/>
  <c r="P93" i="124" s="1"/>
  <c r="O93" i="124" a="1"/>
  <c r="O93" i="124" s="1"/>
  <c r="N93" i="124" a="1"/>
  <c r="N93" i="124" s="1"/>
  <c r="M93" i="124" a="1"/>
  <c r="M93" i="124" s="1"/>
  <c r="L93" i="124" a="1"/>
  <c r="L93" i="124" s="1"/>
  <c r="K93" i="124" a="1"/>
  <c r="K93" i="124" s="1"/>
  <c r="J93" i="124" a="1"/>
  <c r="J93" i="124" s="1"/>
  <c r="I93" i="124" a="1"/>
  <c r="I93" i="124" s="1"/>
  <c r="H93" i="124" a="1"/>
  <c r="H93" i="124" s="1"/>
  <c r="G93" i="124" a="1"/>
  <c r="G93" i="124" s="1"/>
  <c r="F93" i="124" a="1"/>
  <c r="F93" i="124" s="1"/>
  <c r="E93" i="124" a="1"/>
  <c r="E93" i="124" s="1"/>
  <c r="D93" i="124" a="1"/>
  <c r="D93" i="124" s="1"/>
  <c r="S92" i="124" a="1"/>
  <c r="S92" i="124" s="1"/>
  <c r="R92" i="124" a="1"/>
  <c r="R92" i="124" s="1"/>
  <c r="Q92" i="124" a="1"/>
  <c r="Q92" i="124" s="1"/>
  <c r="P92" i="124" a="1"/>
  <c r="P92" i="124" s="1"/>
  <c r="O92" i="124" a="1"/>
  <c r="O92" i="124" s="1"/>
  <c r="N92" i="124" a="1"/>
  <c r="N92" i="124" s="1"/>
  <c r="M92" i="124" a="1"/>
  <c r="M92" i="124" s="1"/>
  <c r="L92" i="124" a="1"/>
  <c r="L92" i="124" s="1"/>
  <c r="K92" i="124" a="1"/>
  <c r="K92" i="124" s="1"/>
  <c r="J92" i="124" a="1"/>
  <c r="J92" i="124" s="1"/>
  <c r="I92" i="124" a="1"/>
  <c r="I92" i="124" s="1"/>
  <c r="H92" i="124" a="1"/>
  <c r="H92" i="124" s="1"/>
  <c r="G92" i="124" a="1"/>
  <c r="G92" i="124" s="1"/>
  <c r="F92" i="124" a="1"/>
  <c r="F92" i="124" s="1"/>
  <c r="E92" i="124" a="1"/>
  <c r="E92" i="124" s="1"/>
  <c r="D92" i="124" a="1"/>
  <c r="D92" i="124" s="1"/>
  <c r="S91" i="124" a="1"/>
  <c r="S91" i="124" s="1"/>
  <c r="R91" i="124" a="1"/>
  <c r="R91" i="124" s="1"/>
  <c r="Q91" i="124" a="1"/>
  <c r="Q91" i="124" s="1"/>
  <c r="P91" i="124" a="1"/>
  <c r="P91" i="124" s="1"/>
  <c r="O91" i="124" a="1"/>
  <c r="O91" i="124" s="1"/>
  <c r="N91" i="124" a="1"/>
  <c r="N91" i="124" s="1"/>
  <c r="M91" i="124" a="1"/>
  <c r="M91" i="124" s="1"/>
  <c r="L91" i="124" a="1"/>
  <c r="L91" i="124" s="1"/>
  <c r="K91" i="124" a="1"/>
  <c r="K91" i="124" s="1"/>
  <c r="J91" i="124" a="1"/>
  <c r="J91" i="124" s="1"/>
  <c r="I91" i="124" a="1"/>
  <c r="I91" i="124" s="1"/>
  <c r="H91" i="124" a="1"/>
  <c r="H91" i="124" s="1"/>
  <c r="G91" i="124" a="1"/>
  <c r="G91" i="124" s="1"/>
  <c r="F91" i="124" a="1"/>
  <c r="F91" i="124" s="1"/>
  <c r="E91" i="124" a="1"/>
  <c r="E91" i="124" s="1"/>
  <c r="D91" i="124" a="1"/>
  <c r="D91" i="124" s="1"/>
  <c r="S90" i="124" a="1"/>
  <c r="S90" i="124" s="1"/>
  <c r="R90" i="124" a="1"/>
  <c r="R90" i="124" s="1"/>
  <c r="Q90" i="124" a="1"/>
  <c r="Q90" i="124" s="1"/>
  <c r="P90" i="124" a="1"/>
  <c r="P90" i="124" s="1"/>
  <c r="O90" i="124" a="1"/>
  <c r="O90" i="124" s="1"/>
  <c r="N90" i="124" a="1"/>
  <c r="N90" i="124" s="1"/>
  <c r="M90" i="124" a="1"/>
  <c r="M90" i="124" s="1"/>
  <c r="L90" i="124" a="1"/>
  <c r="L90" i="124" s="1"/>
  <c r="K90" i="124" a="1"/>
  <c r="K90" i="124" s="1"/>
  <c r="J90" i="124" a="1"/>
  <c r="J90" i="124" s="1"/>
  <c r="I90" i="124" a="1"/>
  <c r="I90" i="124" s="1"/>
  <c r="H90" i="124" a="1"/>
  <c r="H90" i="124" s="1"/>
  <c r="G90" i="124" a="1"/>
  <c r="G90" i="124" s="1"/>
  <c r="F90" i="124" a="1"/>
  <c r="F90" i="124" s="1"/>
  <c r="E90" i="124" a="1"/>
  <c r="E90" i="124" s="1"/>
  <c r="D90" i="124" a="1"/>
  <c r="D90" i="124" s="1"/>
  <c r="D83" i="124" a="1"/>
  <c r="D83" i="124" s="1"/>
  <c r="D82" i="124" a="1"/>
  <c r="D82" i="124" s="1"/>
  <c r="D81" i="124" a="1"/>
  <c r="D81" i="124" s="1"/>
  <c r="E77" i="124" a="1"/>
  <c r="E77" i="124" s="1"/>
  <c r="D77" i="124" a="1"/>
  <c r="D77" i="124" s="1"/>
  <c r="E76" i="124" a="1"/>
  <c r="E76" i="124" s="1"/>
  <c r="D76" i="124" a="1"/>
  <c r="D76" i="124" s="1"/>
  <c r="E75" i="124" a="1"/>
  <c r="E75" i="124" s="1"/>
  <c r="D75" i="124" a="1"/>
  <c r="D75" i="124" s="1"/>
  <c r="E74" i="124" a="1"/>
  <c r="E74" i="124" s="1"/>
  <c r="D74" i="124" a="1"/>
  <c r="D74" i="124" s="1"/>
  <c r="E73" i="124" a="1"/>
  <c r="E73" i="124" s="1"/>
  <c r="D73" i="124" a="1"/>
  <c r="D73" i="124" s="1"/>
  <c r="E72" i="124" a="1"/>
  <c r="E72" i="124" s="1"/>
  <c r="D72" i="124" a="1"/>
  <c r="D72" i="124" s="1"/>
  <c r="E71" i="124" a="1"/>
  <c r="E71" i="124" s="1"/>
  <c r="D71" i="124" a="1"/>
  <c r="D71" i="124" s="1"/>
  <c r="E70" i="124" a="1"/>
  <c r="E70" i="124" s="1"/>
  <c r="D70" i="124" a="1"/>
  <c r="D70" i="124" s="1"/>
  <c r="E69" i="124" a="1"/>
  <c r="E69" i="124" s="1"/>
  <c r="D69" i="124" a="1"/>
  <c r="D69" i="124" s="1"/>
  <c r="E68" i="124" a="1"/>
  <c r="E68" i="124" s="1"/>
  <c r="D68" i="124" a="1"/>
  <c r="D68" i="124" s="1"/>
  <c r="E67" i="124" a="1"/>
  <c r="E67" i="124" s="1"/>
  <c r="D67" i="124" a="1"/>
  <c r="D67" i="124" s="1"/>
  <c r="E66" i="124" a="1"/>
  <c r="E66" i="124" s="1"/>
  <c r="D66" i="124" a="1"/>
  <c r="D66" i="124" s="1"/>
  <c r="E65" i="124" a="1"/>
  <c r="E65" i="124" s="1"/>
  <c r="D65" i="124" a="1"/>
  <c r="D65" i="124" s="1"/>
  <c r="E64" i="124" a="1"/>
  <c r="E64" i="124" s="1"/>
  <c r="D64" i="124" a="1"/>
  <c r="D64" i="124" s="1"/>
  <c r="D59" i="124" a="1"/>
  <c r="D59" i="124" s="1"/>
  <c r="D58" i="124" a="1"/>
  <c r="D58" i="124" s="1"/>
  <c r="D57" i="124" a="1"/>
  <c r="D57" i="124" s="1"/>
  <c r="G54" i="124" a="1"/>
  <c r="G54" i="124" s="1"/>
  <c r="F54" i="124" a="1"/>
  <c r="F54" i="124" s="1"/>
  <c r="E54" i="124" a="1"/>
  <c r="E54" i="124" s="1"/>
  <c r="D54" i="124" a="1"/>
  <c r="D54" i="124" s="1"/>
  <c r="G53" i="124" a="1"/>
  <c r="G53" i="124" s="1"/>
  <c r="F53" i="124" a="1"/>
  <c r="F53" i="124" s="1"/>
  <c r="E53" i="124" a="1"/>
  <c r="E53" i="124" s="1"/>
  <c r="D53" i="124" a="1"/>
  <c r="D53" i="124" s="1"/>
  <c r="G52" i="124" a="1"/>
  <c r="G52" i="124" s="1"/>
  <c r="F52" i="124" a="1"/>
  <c r="F52" i="124" s="1"/>
  <c r="E52" i="124" a="1"/>
  <c r="E52" i="124" s="1"/>
  <c r="D52" i="124" a="1"/>
  <c r="D52" i="124" s="1"/>
  <c r="G51" i="124" a="1"/>
  <c r="G51" i="124" s="1"/>
  <c r="F51" i="124" a="1"/>
  <c r="F51" i="124" s="1"/>
  <c r="E51" i="124" a="1"/>
  <c r="E51" i="124" s="1"/>
  <c r="D51" i="124" a="1"/>
  <c r="D51" i="124" s="1"/>
  <c r="G50" i="124" a="1"/>
  <c r="G50" i="124" s="1"/>
  <c r="F50" i="124" a="1"/>
  <c r="F50" i="124" s="1"/>
  <c r="E50" i="124" a="1"/>
  <c r="E50" i="124" s="1"/>
  <c r="D50" i="124" a="1"/>
  <c r="D50" i="124" s="1"/>
  <c r="G49" i="124" a="1"/>
  <c r="G49" i="124" s="1"/>
  <c r="F49" i="124" a="1"/>
  <c r="F49" i="124" s="1"/>
  <c r="E49" i="124" a="1"/>
  <c r="E49" i="124" s="1"/>
  <c r="D49" i="124" a="1"/>
  <c r="D49" i="124" s="1"/>
  <c r="G48" i="124" a="1"/>
  <c r="G48" i="124" s="1"/>
  <c r="F48" i="124" a="1"/>
  <c r="F48" i="124" s="1"/>
  <c r="E48" i="124" a="1"/>
  <c r="E48" i="124" s="1"/>
  <c r="D48" i="124" a="1"/>
  <c r="D48" i="124" s="1"/>
  <c r="D46" i="124" a="1"/>
  <c r="D46" i="124" s="1"/>
  <c r="D45" i="124" a="1"/>
  <c r="D45" i="124" s="1"/>
  <c r="E43" i="124" a="1"/>
  <c r="E43" i="124" s="1"/>
  <c r="D43" i="124" a="1"/>
  <c r="D43" i="124" s="1"/>
  <c r="E42" i="124" a="1"/>
  <c r="E42" i="124" s="1"/>
  <c r="D42" i="124" a="1"/>
  <c r="D42" i="124" s="1"/>
  <c r="E41" i="124" a="1"/>
  <c r="E41" i="124" s="1"/>
  <c r="D41" i="124" a="1"/>
  <c r="D41" i="124" s="1"/>
  <c r="E40" i="124" a="1"/>
  <c r="E40" i="124" s="1"/>
  <c r="D40" i="124" a="1"/>
  <c r="D40" i="124" s="1"/>
  <c r="E39" i="124" a="1"/>
  <c r="E39" i="124" s="1"/>
  <c r="D39" i="124" a="1"/>
  <c r="D39" i="124" s="1"/>
  <c r="E38" i="124" a="1"/>
  <c r="E38" i="124" s="1"/>
  <c r="D38" i="124" a="1"/>
  <c r="D38" i="124" s="1"/>
  <c r="E37" i="124" a="1"/>
  <c r="E37" i="124" s="1"/>
  <c r="D37" i="124" a="1"/>
  <c r="D37" i="124" s="1"/>
  <c r="D35" i="124" a="1"/>
  <c r="D35" i="124" s="1"/>
  <c r="D34" i="124" a="1"/>
  <c r="D34" i="124" s="1"/>
  <c r="D30" i="124" a="1"/>
  <c r="D30" i="124" s="1"/>
  <c r="D29" i="124" a="1"/>
  <c r="D29" i="124" s="1"/>
  <c r="D28" i="124" a="1"/>
  <c r="D28" i="124" s="1"/>
  <c r="D27" i="124" a="1"/>
  <c r="D27" i="124" s="1"/>
  <c r="D26" i="124" a="1"/>
  <c r="D26" i="124" s="1"/>
  <c r="D25" i="124" a="1"/>
  <c r="D25" i="124" s="1"/>
  <c r="D24" i="124" a="1"/>
  <c r="D24" i="124" s="1"/>
  <c r="D23" i="124" a="1"/>
  <c r="D23" i="124" s="1"/>
  <c r="D22" i="124" a="1"/>
  <c r="D22" i="124" s="1"/>
  <c r="D21" i="124" a="1"/>
  <c r="D21" i="124" s="1"/>
  <c r="D19" i="124" a="1"/>
  <c r="D19" i="124" s="1"/>
  <c r="D18" i="124" a="1"/>
  <c r="D18" i="124" s="1"/>
  <c r="F14" i="124" a="1"/>
  <c r="F14" i="124" s="1"/>
  <c r="E14" i="124" a="1"/>
  <c r="E14" i="124" s="1"/>
  <c r="D14" i="124" a="1"/>
  <c r="D14" i="124" s="1"/>
  <c r="F13" i="124" a="1"/>
  <c r="F13" i="124" s="1"/>
  <c r="E13" i="124" a="1"/>
  <c r="E13" i="124" s="1"/>
  <c r="D13" i="124" a="1"/>
  <c r="D13" i="124" s="1"/>
  <c r="F12" i="124" a="1"/>
  <c r="F12" i="124" s="1"/>
  <c r="E12" i="124" a="1"/>
  <c r="E12" i="124" s="1"/>
  <c r="D12" i="124" a="1"/>
  <c r="D12" i="124" s="1"/>
  <c r="F11" i="124" a="1"/>
  <c r="F11" i="124" s="1"/>
  <c r="E11" i="124" a="1"/>
  <c r="E11" i="124" s="1"/>
  <c r="D11" i="124" a="1"/>
  <c r="D11" i="124" s="1"/>
  <c r="F10" i="124" a="1"/>
  <c r="F10" i="124" s="1"/>
  <c r="E10" i="124" a="1"/>
  <c r="E10" i="124" s="1"/>
  <c r="D10" i="124" a="1"/>
  <c r="D10" i="124" s="1"/>
  <c r="F9" i="124" a="1"/>
  <c r="F9" i="124" s="1"/>
  <c r="E9" i="124" a="1"/>
  <c r="E9" i="124" s="1"/>
  <c r="D9" i="124" a="1"/>
  <c r="D9" i="124" s="1"/>
  <c r="F8" i="124" a="1"/>
  <c r="F8" i="124" s="1"/>
  <c r="E8" i="124" a="1"/>
  <c r="E8" i="124" s="1"/>
  <c r="D8" i="124" a="1"/>
  <c r="D8" i="124" s="1"/>
  <c r="F7" i="124" a="1"/>
  <c r="F7" i="124" s="1"/>
  <c r="E7" i="124" a="1"/>
  <c r="E7" i="124" s="1"/>
  <c r="D7" i="124" a="1"/>
  <c r="D7" i="124" s="1"/>
  <c r="D5" i="124" a="1"/>
  <c r="D5" i="124" s="1"/>
  <c r="A14" i="69"/>
  <c r="A11" i="69"/>
  <c r="A8" i="69"/>
  <c r="A5" i="69"/>
  <c r="A4" i="69"/>
  <c r="A3" i="69"/>
  <c r="A14" i="70"/>
  <c r="A11" i="70"/>
  <c r="A8" i="70"/>
  <c r="A5" i="70"/>
  <c r="A4" i="70"/>
  <c r="A3" i="70"/>
  <c r="A14" i="13"/>
  <c r="A11" i="13"/>
  <c r="A8" i="13"/>
  <c r="A5" i="13"/>
  <c r="A4" i="13"/>
  <c r="A3" i="13"/>
  <c r="A8" i="118"/>
  <c r="A11" i="118"/>
  <c r="E15" i="69" a="1"/>
  <c r="E15" i="69" s="1"/>
  <c r="E9" i="13" s="1"/>
  <c r="E10" i="13" s="1"/>
  <c r="I13" i="69"/>
  <c r="G13" i="69" a="1"/>
  <c r="G13" i="69" s="1"/>
  <c r="D13" i="69" a="1"/>
  <c r="D13" i="69" s="1"/>
  <c r="E11" i="69" a="1"/>
  <c r="E11" i="69" s="1"/>
  <c r="F15" i="69" s="1"/>
  <c r="E10" i="69" a="1"/>
  <c r="E10" i="69" s="1"/>
  <c r="D6" i="69" a="1"/>
  <c r="D6" i="69" s="1"/>
  <c r="D5" i="69" a="1"/>
  <c r="D5" i="69" s="1"/>
  <c r="E7" i="69" a="1"/>
  <c r="H51" i="124" l="1"/>
  <c r="H54" i="124"/>
  <c r="H48" i="124"/>
  <c r="H49" i="124"/>
  <c r="H52" i="124"/>
  <c r="H50" i="124"/>
  <c r="H53" i="124"/>
  <c r="E7" i="69"/>
  <c r="F9" i="13" l="1"/>
  <c r="F10" i="13" s="1"/>
  <c r="A14" i="118" l="1"/>
  <c r="A5" i="118"/>
  <c r="A4" i="118"/>
  <c r="A3" i="1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<sst xmlns="http://schemas.openxmlformats.org/spreadsheetml/2006/main" count="116" uniqueCount="98">
  <si>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</si>
  <si>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</si>
  <si>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</si>
  <si>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</si>
  <si>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</si>
  <si>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</si>
  <si>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</si>
  <si>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</si>
  <si>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</si>
  <si>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</si>
  <si>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</si>
  <si>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</si>
  <si>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</si>
  <si>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</si>
  <si>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</si>
  <si>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</si>
  <si>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</si>
  <si>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</si>
  <si>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</si>
  <si>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</si>
  <si>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</si>
  <si>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</si>
  <si>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</si>
  <si>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</si>
  <si>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</si>
  <si>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</si>
  <si>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</si>
  <si>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</si>
  <si>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</si>
  <si>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</si>
  <si>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</si>
  <si>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</si>
  <si>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</si>
  <si>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</si>
  <si>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</si>
  <si>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</si>
  <si>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</si>
  <si>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</si>
  <si>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</si>
  <si>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</si>
  <si>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</si>
  <si>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</si>
  <si>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</si>
  <si>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</si>
  <si>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</si>
  <si>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</si>
  <si>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</si>
  <si>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</si>
  <si>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</si>
  <si>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</si>
  <si>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</si>
  <si>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</si>
  <si>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</si>
  <si>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</si>
  <si>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</si>
  <si>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</si>
  <si>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</si>
  <si>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</si>
  <si>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</si>
  <si>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</si>
  <si>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</si>
  <si>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</si>
  <si>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</si>
  <si>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</si>
  <si>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</si>
  <si>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</si>
  <si>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</si>
  <si>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</si>
  <si>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</si>
  <si>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</si>
  <si>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</si>
  <si>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</si>
  <si>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</si>
  <si>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</si>
  <si>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</si>
  <si>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</si>
  <si>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</si>
  <si>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</si>
  <si>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</si>
  <si>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</si>
  <si>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</si>
  <si>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</si>
  <si>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</si>
  <si>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</si>
  <si>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</si>
  <si>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</si>
  <si>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</si>
  <si>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Input - Supplementary CO2</t>
  </si>
  <si>
    <t>12.1.1-2 Supplementary CO2</t>
  </si>
  <si>
    <t>Amount used (kg)</t>
  </si>
  <si>
    <t>Usage description</t>
  </si>
  <si>
    <t>Carbonating</t>
  </si>
  <si>
    <t>Dry ice usage</t>
  </si>
  <si>
    <t>Supplementary CO2 used in operations orprocessing</t>
  </si>
  <si>
    <t>E</t>
  </si>
  <si>
    <t>t CO2</t>
  </si>
  <si>
    <t>12: Supplementary CO2 Use: Results</t>
  </si>
  <si>
    <t>12: Supplementary CO2 Use: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</si>
</sst>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i/>
      <sz val="16"/>
      <color theme="1" tint="0.34998626667073579"/>
      <name val="Times New Roman"/>
      <family val="1"/>
    </font>
    <font>
      <b/>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0">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0" fillId="0" borderId="0" xfId="7" applyFont="1" applyFill="1" applyAlignment="1">
      <alignment horizontal="center" vertical="center"/>
    </xf>
    <xf numFmtId="0" fontId="36" fillId="13" borderId="15" xfId="39" applyBorder="1">
      <alignment horizontal="left" vertical="center"/>
    </xf>
    <xf numFmtId="0" fontId="36" fillId="13" borderId="14" xfId="39" applyBorder="1">
      <alignment horizontal="left" vertical="center"/>
    </xf>
    <xf numFmtId="0" fontId="36" fillId="13" borderId="16" xfId="39" applyBorder="1">
      <alignment horizontal="left" vertical="center"/>
    </xf>
    <xf numFmtId="0" fontId="2" fillId="0" borderId="2" xfId="14">
      <alignment horizontal="center" vertical="center"/>
    </xf>
    <xf numFmtId="0" fontId="50" fillId="4" borderId="1" xfId="8" applyFont="1" applyBorder="1">
      <alignment horizontal="left" vertical="center"/>
    </xf>
    <xf numFmtId="0" fontId="48" fillId="4" borderId="1" xfId="8" applyFont="1" applyBorder="1">
      <alignment horizontal="left" vertical="center"/>
    </xf>
    <xf numFmtId="0" fontId="49" fillId="4" borderId="1" xfId="53" applyFont="1" applyBorder="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2">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Equation table" pivot="0" count="6" xr9:uid="{B247698E-E41D-4CCD-AA0A-C14817E9DE65}">
      <tableStyleElement type="wholeTable" dxfId="55"/>
      <tableStyleElement type="headerRow" dxfId="54"/>
      <tableStyleElement type="totalRow" dxfId="53"/>
      <tableStyleElement type="firstColumn" dxfId="52"/>
      <tableStyleElement type="firstRowStripe" dxfId="51"/>
      <tableStyleElement type="secondRowStripe" dxfId="50"/>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hyperlink" Target="#'12.1.1-2 Supplementary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12.1.1-2 Supplementary CO2'!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56D3250-5DC9-4557-91D1-8936CA4BCBE6}" type="TxLink">
            <a:rPr lang="en-US" sz="1400" b="0" i="0" u="none" strike="noStrike">
              <a:solidFill>
                <a:srgbClr val="0C769E"/>
              </a:solidFill>
              <a:latin typeface="Times New Roman"/>
              <a:cs typeface="Times New Roman"/>
            </a:rPr>
            <a:pPr algn="ctr"/>
            <a:t>12.1.1-2 Supplementary CO2</a:t>
          </a:fld>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12.1.1-2 Supplementary CO2'!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BD2FB-7C1B-45AA-B92C-732AA970345B}" type="TxLink">
            <a:rPr lang="en-US" sz="1000" b="1" i="0" u="none" strike="noStrike">
              <a:solidFill>
                <a:srgbClr val="0C769E"/>
              </a:solidFill>
              <a:latin typeface="Times New Roman"/>
              <a:cs typeface="Times New Roman"/>
            </a:rPr>
            <a:pPr algn="ctr"/>
            <a:t>Emissions from the use of supplementary CO2</a:t>
          </a:fld>
          <a:endParaRPr lang="en-AU" sz="1000" b="1">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32961</xdr:colOff>
      <xdr:row>7</xdr:row>
      <xdr:rowOff>136127</xdr:rowOff>
    </xdr:from>
    <xdr:ext cx="872162" cy="16882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𝐸</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𝑄</m:t>
                    </m:r>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𝐸=𝑄×10^(−3)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SupplementaryCO2" displayName="Table_Input_SupplementaryCO2" ref="D9:E11" totalsRowDxfId="49" headerRowCellStyle="Input table column header">
  <autoFilter ref="D9:E11" xr:uid="{6E44059A-C219-4316-A7A0-AD77B0121F06}">
    <filterColumn colId="0" hiddenButton="1"/>
    <filterColumn colId="1" hiddenButton="1"/>
  </autoFilter>
  <tableColumns count="2">
    <tableColumn id="2" xr3:uid="{9540E705-999C-466B-A6B4-24C60E9153AE}" name="Usage description" totalsRowFunction="average" totalsRowDxfId="48" dataCellStyle="Input text" totalsRowCellStyle="Input select"/>
    <tableColumn id="4" xr3:uid="{9DFFE0DC-C289-47FB-8F0C-2D2F480EEE4C}" name="Amount used (kg)" totalsRowDxfId="47" totalsRowCellStyle="Content bol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B87109-C748-4433-8E6B-150AACBD95A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38F7A74-BF74-4D74-82CC-35F768F2F093}" name="State/Territory">
      <calculatedColumnFormula array="1">Common_InputFunctions.Utility_DisplayArrayInTable(Common_SourceData.Common_SourceData_AustralianStatesTerritories_Data(),Table_AustralianStates[[#Headers],[State/Territory]],0)</calculatedColumnFormula>
    </tableColumn>
    <tableColumn id="2" xr3:uid="{00705D98-E706-4742-BD1F-753673D3F8AA}" name="Common Name">
      <calculatedColumnFormula array="1">Common_InputFunctions.Utility_DisplayArrayInTable(Common_SourceData.Common_SourceData_AustralianStatesTerritories_Data(),Table_AustralianStates[[#Headers],[State/Territory]],0)</calculatedColumnFormula>
    </tableColumn>
    <tableColumn id="3" xr3:uid="{A4EC0458-E116-430D-9B0E-9EB2CF9A1CE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184834-8BFC-4957-A6FD-0C2F268108E3}" name="Table_WASA4Areas" displayName="Table_WASA4Areas" ref="D20:D30" totalsRowShown="0">
  <autoFilter ref="D20:D30" xr:uid="{5FA81339-C6C8-4D36-BEEA-6C4AEDD9E676}">
    <filterColumn colId="0" hiddenButton="1"/>
  </autoFilter>
  <tableColumns count="1">
    <tableColumn id="1" xr3:uid="{B5424F4F-5770-4242-AC1A-D079085B52A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42504E2-9A68-4869-8034-7AD810F23E06}" name="Table_GWPData" displayName="Table_GWPData" ref="D36:E43" totalsRowShown="0">
  <autoFilter ref="D36:E43" xr:uid="{B8E87A66-3E41-4AD3-925D-01EE21B43D7A}">
    <filterColumn colId="0" hiddenButton="1"/>
    <filterColumn colId="1" hiddenButton="1"/>
  </autoFilter>
  <tableColumns count="2">
    <tableColumn id="1" xr3:uid="{AA835B6E-52DB-4301-B6A4-65BD375FF6EA}" name="Gas">
      <calculatedColumnFormula array="1">Common_InputFunctions.Utility_DisplayArrayInTable(Common_SourceData.Common_SourceData_GWP_Data(), Table_GWPData[[#Headers],[Gas]], 0)</calculatedColumnFormula>
    </tableColumn>
    <tableColumn id="2" xr3:uid="{ECDBE1A2-F3E2-436F-8F5B-D081C71CACC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60E1594-AD68-42BC-9D58-2F910411ECE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8C6E91C-2867-472F-82D3-ED62BB5F274F}" name="Gas">
      <calculatedColumnFormula array="1">Common_InputFunctions.Utility_DisplayArrayInTable(Common_SourceData.Common_SourceData_ConvertGasElementalToMolecular_Data(),Table_GasToMolecularConversionFactor[[#Headers],[Gas]], 0)</calculatedColumnFormula>
    </tableColumn>
    <tableColumn id="5" xr3:uid="{BCC633BD-A394-4B1E-B739-509F6F18BAAB}" name="Conversion factor">
      <calculatedColumnFormula array="1">Common_InputFunctions.Utility_DisplayArrayInTable(Common_SourceData.Common_SourceData_ConvertGasElementalToMolecular_Data(),Table_GasToMolecularConversionFactor[[#Headers],[Gas]], 0)</calculatedColumnFormula>
    </tableColumn>
    <tableColumn id="2" xr3:uid="{BD43293F-3FCC-4273-83B8-51F9CBB5FE3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00FD7-22AC-489E-8F9D-22FCDE475ED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2FEC2588-E4D2-4BF3-A15C-664F97D98112}"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175515F-FA22-4209-8ACB-E08DCC681D6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50201D1-0C40-4559-9C6A-CE6ABAB0E1C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8C3259C-8259-44AA-8F7D-60BD3BA31CFB}"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D937B589-0413-4817-8E6F-FB4F0093B712}"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15517AC5-09C7-4317-9BFA-3EF34E65F6F8}"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C2A39B92-0D2C-47FE-BB93-BA4E95CEB839}"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685978F7-F458-4A32-A566-1BCB374A0116}"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F78C08A7-755F-4398-BA75-45258C33CAF9}"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CF3A75D9-2A19-4503-942A-A1E0A6581549}"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FFC784E5-E1F1-4E57-8211-CAB88317F6A9}"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E155625-963F-4EC9-B7F6-867A2991838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B80F5E14-C6DA-4F8C-AB70-46C6E4CC2AAB}"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9F5C3AA6-7016-4A59-8AA1-562A1CA9F792}"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C280D45A-401E-4E85-BC00-EF52B6D3715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00CBF46E-B3D2-43B0-B68D-820CCB35C667}"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E87174CE-6F99-49AD-8DD2-4B07838D93A4}"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751773D-2096-4AC6-B881-8B6A6F9668F1}"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F4E6C8A-FB7E-4D62-9AEF-AC775E1600D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B0599FB-6465-4F23-ADB6-CC07426C582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61DAD2E-0426-460F-9676-B14B545ACB5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47A4E54-7567-4B71-B8D9-24D5CC56BE9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A007C11-A800-4071-8AFB-955E2EE22006}" name="Temperature Zone">
      <calculatedColumnFormula array="1">Common_InputFunctions.Utility_DisplayArrayInTable(Common_SourceData.Common_SourceData_TemperatureZones_Data(),Table_SourceData_TemperatureZones[[#Headers],[Temperature Zone]],0)</calculatedColumnFormula>
    </tableColumn>
    <tableColumn id="2" xr3:uid="{6A2F6ED6-06A5-4EBD-BEBD-03E744FF35D8}" name="MAT">
      <calculatedColumnFormula array="1">Common_InputFunctions.Utility_DisplayArrayInTable(Common_SourceData.Common_SourceData_TemperatureZones_Data(),Table_SourceData_TemperatureZones[[#Headers],[Temperature Zone]],0)</calculatedColumnFormula>
    </tableColumn>
    <tableColumn id="3" xr3:uid="{D6067325-BA7C-4E56-9443-7E5413F4CA36}" name="Min MAT">
      <calculatedColumnFormula array="1">Common_InputFunctions.Utility_DisplayArrayInTable(Common_SourceData.Common_SourceData_TemperatureZones_Data(),Table_SourceData_TemperatureZones[[#Headers],[Temperature Zone]],0)</calculatedColumnFormula>
    </tableColumn>
    <tableColumn id="4" xr3:uid="{F30E353F-0351-4B0D-BAD5-309FCB0D3A1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9BB04FC-37AA-4F6B-BD47-89B8576C912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217A6B7-106A-417E-B60B-E90F0FB0873B}" name="Rainfall Zone">
      <calculatedColumnFormula array="1">Common_InputFunctions.Utility_DisplayArrayInTable(Common_SourceData.Common_SourceData_RainfallZones_Data(),Table_SourceData_RainfallZones[[#Headers],[Rainfall Zone]],0)</calculatedColumnFormula>
    </tableColumn>
    <tableColumn id="2" xr3:uid="{5631EC92-48F0-4C46-830B-1CEEBF561144}" name="Annual rainfall">
      <calculatedColumnFormula array="1">Common_InputFunctions.Utility_DisplayArrayInTable(Common_SourceData.Common_SourceData_RainfallZones_Data(),Table_SourceData_RainfallZones[[#Headers],[Rainfall Zone]],0)</calculatedColumnFormula>
    </tableColumn>
    <tableColumn id="3" xr3:uid="{5D0E8120-8D2F-40DF-8056-3A0D7F76103F}" name="Min rainfall">
      <calculatedColumnFormula array="1">Common_InputFunctions.Utility_DisplayArrayInTable(Common_SourceData.Common_SourceData_RainfallZones_Data(),Table_SourceData_RainfallZones[[#Headers],[Rainfall Zone]],0)</calculatedColumnFormula>
    </tableColumn>
    <tableColumn id="4" xr3:uid="{A98E480B-626D-4439-9897-2EF6A669DFB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4B33235-C1AD-4A32-A81A-A9863F23D80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AA52A1F-70D6-4171-A77E-955CDC2AAF44}" name="Leaching Zone">
      <calculatedColumnFormula array="1">Common_InputFunctions.Utility_DisplayArrayInTable(Common_SourceData.Common_SourceData_LeachingZones_Data(), Table_SourceData_LeachingZones[[#Headers],[Leaching Zone]], 0)</calculatedColumnFormula>
    </tableColumn>
    <tableColumn id="2" xr3:uid="{84D2C837-6A19-4918-A9E4-B27F208D21AE}"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21E877A-FD87-4E93-9BBF-B6E4BE9A327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591A62B-F42B-47A3-94D3-A550761E6E4E}" name="Data source">
      <calculatedColumnFormula array="1">Common_InputFunctions.Utility_DisplayArrayInTable(Common_SourceData.Common_SourceData_DataScores_Scope3_Data(), Table_SourceData_DataScores_Scope3[[#Headers],[Data source]], 0)</calculatedColumnFormula>
    </tableColumn>
    <tableColumn id="2" xr3:uid="{FFEF2FD6-C2F4-43F6-9983-4E88555032F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054B9FA-2E64-458C-BBB7-127F8F5CF09D}" name="Table_SourceData_FracWET" displayName="Table_SourceData_FracWET" ref="D134:E136" totalsRowShown="0">
  <autoFilter ref="D134:E136" xr:uid="{308E99BE-FE1F-47A4-B2CA-97217277C4E9}">
    <filterColumn colId="0" hiddenButton="1"/>
    <filterColumn colId="1" hiddenButton="1"/>
  </autoFilter>
  <tableColumns count="2">
    <tableColumn id="1" xr3:uid="{21D27BB0-97FE-4314-A606-2631BFF08EDF}" name="Is in leaching zone">
      <calculatedColumnFormula array="1">Common_InputFunctions.Utility_DisplayArrayInTable(Common_SourceData.Common_SourceData_FracWET_Data(),Table_SourceData_FracWET[[#Headers],[Is in leaching zone]],0)</calculatedColumnFormula>
    </tableColumn>
    <tableColumn id="2" xr3:uid="{84F263C8-B14B-4647-80BD-D0C4BF09AFFE}"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9C3416F-C1C0-4BD0-8423-7BB19735139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1E1F936-9300-4941-BAB7-495795E69DF4}" name="Production system j">
      <calculatedColumnFormula array="1">Common_InputFunctions.Utility_DisplayArrayInTable(Common_SourceData.Common_SourceData_EFN2O_Data(), Table_SourceData_Common_EFN2O[[#Headers],[Production system j]], 0)</calculatedColumnFormula>
    </tableColumn>
    <tableColumn id="2" xr3:uid="{8ADC40CE-6F4B-4863-9F9F-F408F66F8BBB}" name="EFN2O">
      <calculatedColumnFormula array="1">Common_InputFunctions.Utility_DisplayArrayInTable(Common_SourceData.Common_SourceData_EFN2O_Data(), Table_SourceData_Common_EFN2O[[#Headers],[Production system j]], 0)</calculatedColumnFormula>
    </tableColumn>
    <tableColumn id="3" xr3:uid="{95A0C90C-F9BE-4948-A561-19F6BE3FE2AD}" name="Production system only">
      <calculatedColumnFormula array="1">Common_InputFunctions.Utility_DisplayArrayInTable(Common_SourceData.Common_SourceData_EFN2O_Data(), Table_SourceData_Common_EFN2O[[#Headers],[Production system j]], 0)</calculatedColumnFormula>
    </tableColumn>
    <tableColumn id="4" xr3:uid="{D7EB0160-CF6F-4466-B61A-BEC17026B874}" name="Irrigation method">
      <calculatedColumnFormula array="1">Common_InputFunctions.Utility_DisplayArrayInTable(Common_SourceData.Common_SourceData_EFN2O_Data(), Table_SourceData_Common_EFN2O[[#Headers],[Production system j]], 0)</calculatedColumnFormula>
    </tableColumn>
    <tableColumn id="5" xr3:uid="{9667CE50-6947-4D70-8CDC-D887AF66EF74}"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947605A-0ABC-43BE-8C7D-491BDF7C27EA}"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253E0BD-4B9C-4082-8CD0-533878135E2D}" name="Irrigation type i">
      <calculatedColumnFormula array="1">Common_InputFunctions.Utility_DisplayArrayInTable(Common_SourceData.Common_SourceData_FracWETIrrigation_Data(), Table_SourceData_FracWETIrrigation[[#Headers],[Irrigation type i]], 0)</calculatedColumnFormula>
    </tableColumn>
    <tableColumn id="2" xr3:uid="{8A49E796-F440-4486-9D31-310C48C19AA8}"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3032657-036B-4399-B537-A715FE6CF5A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F50D9CD9-8150-4FF7-8496-B2A382583C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96B48CC-445F-4DBE-BC28-1C50B65CECDF}"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584E57E-AF85-49E8-8F48-B69DA2E00DF7}"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CEE1CD7-E0B9-48F8-8C52-24A697C0AC64}" name="Month">
      <calculatedColumnFormula array="1">Common_InputFunctions.Utility_DisplayArrayInTable(Common_SourceData.Common_SourceData_MonthsToSeasons_Data(), Table_SourceData_Common_MonthToSeason[[#Headers],[Month]], 0)</calculatedColumnFormula>
    </tableColumn>
    <tableColumn id="2" xr3:uid="{E2095DD8-B7A1-458B-8C5A-1243300AF666}"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F93DA02-717C-477A-9FEC-C34313715E7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2389D9-E360-4D90-9166-8E5404B3D89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9F4008C0-51F5-474E-BF7F-EE05F1CB3E81}"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F83C2CB-5BE9-4DAC-878C-AB21F8F31EC9}"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B71FBEC-0D74-48B7-90C0-E62287A3D839}"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9EBED53-2DCB-455B-95B0-2E559EA3ED6F}"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94A6971-80BE-4D20-B977-15A555D7797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22D4850-E150-472C-953C-18D2332647BD}"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ED0AABC6-0226-470B-B1F9-9983E0408E60}"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31E963A-A3FD-4960-8C62-073BE18644AF}"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FC0062A-7B0A-4514-9890-3F311036B76D}"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AA75820-4A89-4FB8-B12C-7EEFFA929FD2}"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A763C1C4-C78D-4637-A6B9-FADEA4295287}"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D52D216-7E68-4A77-8F2C-E22F833B3C40}"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9DE22B7-9262-45F8-81C1-978ABD8273BE}"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161A62C-6149-46FE-A048-32EB9A77334C}"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7DF95CD-B80F-48C3-9D47-3C7716BAED56}"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D4E2A9-7FAA-4EED-9B12-7A1ABBC7E12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AD14D9B-5D6C-4C82-B0FC-265FB1FDE94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72114D3-F127-48F6-88EA-5F002105484D}"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2" t="e" vm="1">
        <v>#VALUE!</v>
      </c>
      <c r="C1" s="56" t="s">
        <v>97</v>
      </c>
      <c r="D1" s="57"/>
      <c r="E1" s="57"/>
      <c r="F1" s="57"/>
      <c r="G1" s="57"/>
      <c r="H1" s="57"/>
      <c r="I1" s="57"/>
      <c r="J1" s="57"/>
      <c r="K1" s="57"/>
      <c r="L1" s="57"/>
      <c r="M1" s="57"/>
      <c r="N1" s="57"/>
      <c r="O1" s="57"/>
      <c r="P1" s="57"/>
    </row>
    <row r="2" spans="1:17" ht="20.100000000000001" customHeight="1" x14ac:dyDescent="0.25">
      <c r="A2" s="8"/>
      <c r="C2" s="57"/>
      <c r="D2" s="57"/>
      <c r="E2" s="57"/>
      <c r="F2" s="57"/>
      <c r="G2" s="57"/>
      <c r="H2" s="57"/>
      <c r="I2" s="57"/>
      <c r="J2" s="57"/>
      <c r="K2" s="57"/>
      <c r="L2" s="57"/>
      <c r="M2" s="57"/>
      <c r="N2" s="57"/>
      <c r="O2" s="57"/>
      <c r="P2" s="57"/>
      <c r="Q2" s="58"/>
    </row>
    <row r="3" spans="1:17" ht="20.100000000000001" customHeight="1" x14ac:dyDescent="0.25">
      <c r="A3" s="13" t="str">
        <f>HYPERLINK("#'Home'!A1", "Home")</f>
        <v>Home</v>
      </c>
      <c r="C3" s="59"/>
      <c r="D3" s="59"/>
      <c r="E3" s="59"/>
      <c r="F3" s="59"/>
      <c r="G3" s="59"/>
      <c r="H3" s="59"/>
      <c r="I3" s="59"/>
      <c r="J3" s="59"/>
      <c r="K3" s="59"/>
      <c r="L3" s="59"/>
      <c r="M3" s="59"/>
      <c r="N3" s="59"/>
      <c r="O3" s="59"/>
      <c r="P3" s="59"/>
    </row>
    <row r="4" spans="1:17" ht="20.100000000000001" customHeight="1" x14ac:dyDescent="0.25">
      <c r="A4" s="44" t="str">
        <f>HYPERLINK("#'Overview'!A1", "Overview")</f>
        <v>Overview</v>
      </c>
    </row>
    <row r="5" spans="1:17" ht="20.100000000000001" customHeight="1" x14ac:dyDescent="0.25">
      <c r="A5" s="13" t="str">
        <f>HYPERLINK("#'Results'!A1", "Results")</f>
        <v>Results</v>
      </c>
      <c r="D5" s="42" t="s">
        <v>83</v>
      </c>
      <c r="E5" s="36"/>
      <c r="F5" s="36"/>
      <c r="G5" s="36"/>
      <c r="H5" s="36"/>
      <c r="I5" s="36"/>
      <c r="J5" s="36"/>
      <c r="K5" s="36"/>
      <c r="L5" s="36"/>
      <c r="M5" s="36"/>
      <c r="N5" s="36"/>
      <c r="O5" s="33"/>
    </row>
    <row r="6" spans="1:17" ht="20.100000000000001" customHeight="1" x14ac:dyDescent="0.25">
      <c r="A6" s="12"/>
      <c r="D6" s="60" t="s">
        <v>84</v>
      </c>
      <c r="E6" s="35"/>
      <c r="F6" s="35"/>
      <c r="G6" s="35"/>
      <c r="H6" s="35"/>
      <c r="I6" s="35"/>
      <c r="J6" s="35"/>
      <c r="K6" s="35"/>
      <c r="L6" s="35"/>
      <c r="M6" s="35"/>
      <c r="N6" s="35"/>
      <c r="O6" s="34"/>
    </row>
    <row r="7" spans="1:17" ht="20.100000000000001" customHeight="1" x14ac:dyDescent="0.25">
      <c r="A7" s="16" t="s">
        <v>1</v>
      </c>
    </row>
    <row r="8" spans="1:17" ht="20.100000000000001" customHeight="1" x14ac:dyDescent="0.25">
      <c r="A8" s="13" t="str">
        <f>HYPERLINK("#'Input - CO2 Use'!A1", "CO2 Use")</f>
        <v>CO2 Use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HYPERLINK("#'12.1.1-2 Supplementary CO2'!A1", "12.1.1-2 Supplementary CO2")</f>
        <v>12.1.1-2 Supplementary CO2</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Common'!A1", "Constants - Common")</f>
        <v>Constants - Common</v>
      </c>
      <c r="O14" s="1" t="s">
        <v>86</v>
      </c>
    </row>
    <row r="15" spans="1:17" ht="20.100000000000001" customHeight="1" x14ac:dyDescent="0.25"/>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c r="A22" s="13"/>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10" sqref="F10"/>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2" t="e" vm="1">
        <v>#VALUE!</v>
      </c>
      <c r="C1" s="56" t="s">
        <v>96</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4"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CO2 Use'!A1", "CO2 Use")</f>
        <v>CO2 Use</v>
      </c>
      <c r="C8" s="18"/>
      <c r="D8" s="40" t="s">
        <v>50</v>
      </c>
      <c r="E8" s="40" t="s">
        <v>60</v>
      </c>
      <c r="F8" s="40" t="s">
        <v>61</v>
      </c>
      <c r="G8" s="40" t="s">
        <v>56</v>
      </c>
      <c r="H8" s="18"/>
    </row>
    <row r="9" spans="1:8" ht="20.100000000000001" customHeight="1" x14ac:dyDescent="0.25">
      <c r="A9" s="13"/>
      <c r="C9" s="18"/>
      <c r="D9" s="1" t="s">
        <v>88</v>
      </c>
      <c r="E9" s="55">
        <f>VEERG_12_1_1_1__1_EmissionsFromSupplementaryCO2_Result_Method1</f>
        <v>0.2</v>
      </c>
      <c r="F9" s="55">
        <f>E9</f>
        <v>0.2</v>
      </c>
      <c r="G9" s="29" t="s">
        <v>95</v>
      </c>
      <c r="H9" s="18"/>
    </row>
    <row r="10" spans="1:8" ht="20.100000000000001" customHeight="1" x14ac:dyDescent="0.3">
      <c r="A10" s="15" t="s">
        <v>45</v>
      </c>
      <c r="C10" s="18"/>
      <c r="D10" s="24" t="s">
        <v>55</v>
      </c>
      <c r="E10" s="39">
        <f>SUM(E9:E9)</f>
        <v>0.2</v>
      </c>
      <c r="F10" s="39">
        <f>SUM(F9:F9)</f>
        <v>0.2</v>
      </c>
      <c r="G10" s="37" t="s">
        <v>95</v>
      </c>
      <c r="H10" s="18"/>
    </row>
    <row r="11" spans="1:8" ht="20.100000000000001" customHeight="1" x14ac:dyDescent="0.25">
      <c r="A11" s="13" t="str">
        <f>HYPERLINK("#'12.1.1-2 Supplementary CO2'!A1", "12.1.1-2 Supplementary CO2")</f>
        <v>12.1.1-2 Supplementary CO2</v>
      </c>
      <c r="C11" s="18"/>
      <c r="D11" s="1"/>
      <c r="E11" s="1"/>
      <c r="F11" s="1"/>
      <c r="G11" s="1"/>
      <c r="H11" s="18"/>
    </row>
    <row r="12" spans="1:8" ht="20.100000000000001" customHeight="1" x14ac:dyDescent="0.25">
      <c r="A12" s="13"/>
      <c r="C12" s="18"/>
      <c r="D12" s="1"/>
      <c r="E12" s="1"/>
      <c r="F12" s="1"/>
      <c r="G12" s="1"/>
      <c r="H12" s="18"/>
    </row>
    <row r="13" spans="1:8" ht="20.100000000000001" customHeight="1" x14ac:dyDescent="0.25">
      <c r="A13" s="14" t="s">
        <v>2</v>
      </c>
      <c r="C13" s="18"/>
      <c r="D13" s="1"/>
      <c r="E13" s="41"/>
      <c r="F13" s="29"/>
      <c r="G13" s="1"/>
      <c r="H13" s="18"/>
    </row>
    <row r="14" spans="1:8" ht="20.100000000000001" customHeight="1" x14ac:dyDescent="0.25">
      <c r="A14" s="13" t="str">
        <f>HYPERLINK("#'Constants - Common'!A1", "Constants - Common")</f>
        <v>Constants - Common</v>
      </c>
      <c r="C14" s="18"/>
      <c r="D14" s="1"/>
      <c r="E14" s="41"/>
      <c r="F14" s="29"/>
      <c r="G14" s="1"/>
      <c r="H14" s="18"/>
    </row>
    <row r="15" spans="1:8" ht="20.100000000000001" customHeight="1" x14ac:dyDescent="0.25">
      <c r="C15" s="18"/>
      <c r="D15" s="1"/>
      <c r="E15" s="1"/>
      <c r="F15" s="1"/>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41"/>
      <c r="F21" s="29"/>
      <c r="G21" s="1"/>
      <c r="H21" s="18"/>
    </row>
    <row r="22" spans="1:8" ht="20.100000000000001" customHeight="1" x14ac:dyDescent="0.25">
      <c r="C22" s="18"/>
      <c r="D22" s="1"/>
      <c r="E22" s="41"/>
      <c r="F22" s="29"/>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5"/>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G351"/>
  <sheetViews>
    <sheetView showGridLines="0" zoomScaleNormal="100" workbookViewId="0">
      <selection activeCell="D11" sqref="D11"/>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6" width="24.85546875" style="1" customWidth="1"/>
    <col min="7" max="7" width="4.7109375" style="1" customWidth="1"/>
    <col min="8" max="8" width="4.7109375" customWidth="1"/>
  </cols>
  <sheetData>
    <row r="1" spans="1:7" s="32" customFormat="1" ht="30" customHeight="1" x14ac:dyDescent="0.35">
      <c r="A1" s="32" t="e" vm="1">
        <v>#VALUE!</v>
      </c>
      <c r="C1" s="32" t="s">
        <v>87</v>
      </c>
    </row>
    <row r="2" spans="1:7" s="8" customFormat="1" ht="20.100000000000001" customHeight="1" x14ac:dyDescent="0.25"/>
    <row r="3" spans="1:7" ht="20.100000000000001" customHeight="1" x14ac:dyDescent="0.25">
      <c r="A3" s="13" t="str">
        <f>HYPERLINK("#'Home'!A1", "Home")</f>
        <v>Home</v>
      </c>
      <c r="C3" s="11"/>
      <c r="D3" s="11"/>
      <c r="E3" s="11"/>
      <c r="F3" s="11"/>
      <c r="G3" s="11"/>
    </row>
    <row r="4" spans="1:7" ht="20.100000000000001" customHeight="1" x14ac:dyDescent="0.25">
      <c r="A4" s="13" t="str">
        <f>HYPERLINK("#'Overview'!A1", "Overview")</f>
        <v>Overview</v>
      </c>
    </row>
    <row r="5" spans="1:7" ht="20.100000000000001" customHeight="1" x14ac:dyDescent="0.25">
      <c r="A5" s="13" t="str">
        <f>HYPERLINK("#'Results'!A1", "Results")</f>
        <v>Results</v>
      </c>
      <c r="D5" s="5" t="s">
        <v>93</v>
      </c>
      <c r="E5" s="2"/>
      <c r="F5" s="2"/>
    </row>
    <row r="6" spans="1:7" ht="20.100000000000001" customHeight="1" x14ac:dyDescent="0.25">
      <c r="A6" s="12"/>
      <c r="D6" s="18"/>
      <c r="E6" s="18"/>
      <c r="F6" s="18"/>
    </row>
    <row r="7" spans="1:7" ht="20.100000000000001" customHeight="1" x14ac:dyDescent="0.25">
      <c r="A7" s="16" t="s">
        <v>1</v>
      </c>
      <c r="D7" s="64" t="s">
        <v>85</v>
      </c>
      <c r="E7" s="65"/>
      <c r="F7" s="63"/>
    </row>
    <row r="8" spans="1:7" ht="20.100000000000001" customHeight="1" x14ac:dyDescent="0.25">
      <c r="A8" s="43" t="str">
        <f>HYPERLINK("#'Input - CO2 Use'!A1", "CO2 Use")</f>
        <v>CO2 Use</v>
      </c>
      <c r="D8" s="18"/>
      <c r="E8" s="18"/>
      <c r="F8" s="18"/>
    </row>
    <row r="9" spans="1:7" ht="20.100000000000001" customHeight="1" x14ac:dyDescent="0.25">
      <c r="A9" s="13"/>
      <c r="D9" s="46" t="s">
        <v>90</v>
      </c>
      <c r="E9" s="46" t="s">
        <v>89</v>
      </c>
      <c r="F9" s="18"/>
    </row>
    <row r="10" spans="1:7" ht="20.100000000000001" customHeight="1" x14ac:dyDescent="0.25">
      <c r="A10" s="15" t="s">
        <v>45</v>
      </c>
      <c r="D10" s="66" t="s">
        <v>91</v>
      </c>
      <c r="E10" s="62">
        <v>100</v>
      </c>
    </row>
    <row r="11" spans="1:7" ht="20.100000000000001" customHeight="1" x14ac:dyDescent="0.25">
      <c r="A11" s="13" t="str">
        <f>HYPERLINK("#'12.1.1-2 Supplementary CO2'!A1", "12.1.1-2 Supplementary CO2")</f>
        <v>12.1.1-2 Supplementary CO2</v>
      </c>
      <c r="D11" s="66" t="s">
        <v>92</v>
      </c>
      <c r="E11" s="62">
        <v>100</v>
      </c>
    </row>
    <row r="12" spans="1:7" ht="20.100000000000001" customHeight="1" x14ac:dyDescent="0.25">
      <c r="A12" s="13"/>
    </row>
    <row r="13" spans="1:7" ht="20.100000000000001" customHeight="1" x14ac:dyDescent="0.25">
      <c r="A13" s="14" t="s">
        <v>2</v>
      </c>
    </row>
    <row r="14" spans="1:7" ht="20.100000000000001" customHeight="1" x14ac:dyDescent="0.25">
      <c r="A14" s="13" t="str">
        <f>HYPERLINK("#'Constants - Common'!A1", "Constants - Common")</f>
        <v>Constants - Common</v>
      </c>
    </row>
    <row r="15" spans="1:7" ht="20.100000000000001" customHeight="1" x14ac:dyDescent="0.25"/>
    <row r="16" spans="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3"/>
    </row>
    <row r="30" spans="1:1" ht="20.100000000000001" customHeight="1" x14ac:dyDescent="0.25">
      <c r="A30" s="13"/>
    </row>
    <row r="31" spans="1:1" ht="20.100000000000001" customHeight="1" x14ac:dyDescent="0.25">
      <c r="A31" s="31"/>
    </row>
    <row r="32" spans="1:1" ht="20.100000000000001" customHeight="1" x14ac:dyDescent="0.25">
      <c r="A32" s="31"/>
    </row>
    <row r="33" spans="1:7" ht="20.100000000000001" customHeight="1" x14ac:dyDescent="0.25">
      <c r="A33" s="13"/>
    </row>
    <row r="34" spans="1:7" ht="20.100000000000001" customHeight="1" x14ac:dyDescent="0.25"/>
    <row r="35" spans="1:7" ht="20.100000000000001" customHeight="1" x14ac:dyDescent="0.25"/>
    <row r="36" spans="1:7" ht="20.100000000000001" customHeight="1" x14ac:dyDescent="0.25"/>
    <row r="37" spans="1:7" ht="20.100000000000001" customHeight="1" x14ac:dyDescent="0.25"/>
    <row r="38" spans="1:7" ht="20.100000000000001" customHeight="1" x14ac:dyDescent="0.25">
      <c r="C38" s="48"/>
      <c r="G38" s="48"/>
    </row>
    <row r="39" spans="1:7" ht="20.100000000000001" customHeight="1" x14ac:dyDescent="0.25">
      <c r="A39" s="13"/>
      <c r="C39" s="48"/>
      <c r="G39" s="48"/>
    </row>
    <row r="40" spans="1:7" s="49" customFormat="1" ht="20.100000000000001" customHeight="1" x14ac:dyDescent="0.25">
      <c r="C40" s="1"/>
      <c r="D40" s="1"/>
      <c r="E40" s="1"/>
      <c r="F40" s="1"/>
      <c r="G40" s="1"/>
    </row>
    <row r="41" spans="1:7" s="49" customFormat="1" ht="20.100000000000001" customHeight="1" x14ac:dyDescent="0.25">
      <c r="A41" s="50"/>
      <c r="C41" s="1"/>
      <c r="D41" s="1"/>
      <c r="E41" s="1"/>
      <c r="F41" s="1"/>
      <c r="G41" s="1"/>
    </row>
    <row r="42" spans="1:7" ht="20.100000000000001" customHeight="1" x14ac:dyDescent="0.25"/>
    <row r="43" spans="1:7" ht="20.100000000000001" customHeight="1" x14ac:dyDescent="0.25"/>
    <row r="44" spans="1:7" ht="20.100000000000001" customHeight="1" x14ac:dyDescent="0.25">
      <c r="A44" s="54"/>
    </row>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1" spans="4:4" x14ac:dyDescent="0.25">
      <c r="D351" s="38"/>
    </row>
  </sheetData>
  <phoneticPr fontId="21" type="noConversion"/>
  <conditionalFormatting sqref="F47 E200 F210">
    <cfRule type="cellIs" dxfId="46" priority="62" operator="lessThan">
      <formula>0</formula>
    </cfRule>
  </conditionalFormatting>
  <conditionalFormatting sqref="F126:F127">
    <cfRule type="cellIs" dxfId="45" priority="21" operator="lessThan">
      <formula>0</formula>
    </cfRule>
  </conditionalFormatting>
  <conditionalFormatting sqref="F138:F139">
    <cfRule type="cellIs" dxfId="44" priority="20" operator="lessThan">
      <formula>0</formula>
    </cfRule>
  </conditionalFormatting>
  <conditionalFormatting sqref="F150:F151">
    <cfRule type="cellIs" dxfId="43" priority="19" operator="lessThan">
      <formula>0</formula>
    </cfRule>
  </conditionalFormatting>
  <conditionalFormatting sqref="F162:F163">
    <cfRule type="cellIs" dxfId="42" priority="18" operator="lessThan">
      <formula>0</formula>
    </cfRule>
  </conditionalFormatting>
  <conditionalFormatting sqref="F250:F251">
    <cfRule type="cellIs" dxfId="41" priority="93" operator="lessThan">
      <formula>0</formula>
    </cfRule>
  </conditionalFormatting>
  <conditionalFormatting sqref="F255:F256">
    <cfRule type="cellIs" dxfId="40" priority="92" operator="lessThan">
      <formula>0</formula>
    </cfRule>
  </conditionalFormatting>
  <conditionalFormatting sqref="F260:F261">
    <cfRule type="cellIs" dxfId="39" priority="91" operator="lessThan">
      <formula>0</formula>
    </cfRule>
  </conditionalFormatting>
  <conditionalFormatting sqref="F284:F285">
    <cfRule type="cellIs" dxfId="38" priority="85" operator="lessThan">
      <formula>0</formula>
    </cfRule>
  </conditionalFormatting>
  <conditionalFormatting sqref="F289:F290">
    <cfRule type="cellIs" dxfId="37" priority="84" operator="lessThan">
      <formula>0</formula>
    </cfRule>
  </conditionalFormatting>
  <conditionalFormatting sqref="F294:F295">
    <cfRule type="cellIs" dxfId="36" priority="83" operator="lessThan">
      <formula>0</formula>
    </cfRule>
  </conditionalFormatting>
  <dataValidations count="6">
    <dataValidation type="list" allowBlank="1" showInputMessage="1" showErrorMessage="1" sqref="D267" xr:uid="{4E913AB3-F90B-4C35-BCE1-5DBB8FC05107}">
      <formula1>INDIRECT("Table_SourceData_PoultryMMSStage1[MMS]")</formula1>
    </dataValidation>
    <dataValidation type="list" allowBlank="1" showInputMessage="1" showErrorMessage="1" sqref="E215" xr:uid="{9FB53635-991F-44AA-A123-E8ABEF9EE0A6}">
      <formula1>INDIRECT("Table_SourceData_Dairy_ProductionSystemTemplates[Area]")</formula1>
    </dataValidation>
    <dataValidation type="list" allowBlank="1" showInputMessage="1" showErrorMessage="1" sqref="E239 E244 E249 E283 E278 E273 E151 E139 E115 E127" xr:uid="{00A4EA4C-90D3-4150-979D-4D71C7F37A31}">
      <formula1>"Yes, No"</formula1>
    </dataValidation>
    <dataValidation type="list" allowBlank="1" showInputMessage="1" showErrorMessage="1" sqref="E55" xr:uid="{DBA884B0-B52E-420E-8FD2-21B082EB75E2}">
      <formula1>INDIRECT("Table_SourceData_Swine_IrrigationMethods[Irrigation method]")</formula1>
    </dataValidation>
    <dataValidation type="list" allowBlank="1" showInputMessage="1" showErrorMessage="1" sqref="E54" xr:uid="{B95E29DC-96D0-4475-A29E-3F3A3B60CEA1}">
      <formula1>INDIRECT("Table_SourceData_Swine_CropProdSystems[Production system]")</formula1>
    </dataValidation>
    <dataValidation type="list" allowBlank="1" showInputMessage="1" showErrorMessage="1" sqref="D34:D35" xr:uid="{23F8C720-A764-46DD-9B01-B7EA3D86E5AB}">
      <formula1>INDIRECT("Table_SourceData_OrganicFertiliserTypes[Organic fertiliser type]")</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zoomScaleNormal="100" workbookViewId="0">
      <selection activeCell="E15" sqref="E15"/>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7" customFormat="1" ht="30" customHeight="1" x14ac:dyDescent="0.35">
      <c r="A1" s="32" t="e" vm="1">
        <v>#VALUE!</v>
      </c>
      <c r="C1" s="7" t="s">
        <v>88</v>
      </c>
    </row>
    <row r="2" spans="1:16" s="8" customFormat="1" ht="20.100000000000001" customHeight="1" x14ac:dyDescent="0.25"/>
    <row r="3" spans="1:16" ht="20.100000000000001" customHeight="1" x14ac:dyDescent="0.25">
      <c r="A3" s="13" t="str">
        <f>HYPERLINK("#'Home'!A1", "Home")</f>
        <v>Home</v>
      </c>
      <c r="C3" s="3"/>
      <c r="D3" s="3" t="s">
        <v>49</v>
      </c>
      <c r="E3" s="3"/>
      <c r="F3" s="3"/>
      <c r="G3" s="3"/>
      <c r="H3" s="3"/>
      <c r="I3" s="3"/>
      <c r="J3" s="3"/>
      <c r="K3" s="3"/>
      <c r="L3" s="3"/>
      <c r="M3" s="3"/>
      <c r="N3" s="3"/>
      <c r="O3" s="3"/>
      <c r="P3" s="3"/>
    </row>
    <row r="4" spans="1:16" ht="20.100000000000001" customHeight="1" x14ac:dyDescent="0.25">
      <c r="A4" s="13" t="str">
        <f>HYPERLINK("#'Overview'!A1", "Overview")</f>
        <v>Overview</v>
      </c>
    </row>
    <row r="5" spans="1:16" ht="20.100000000000001" customHeight="1" x14ac:dyDescent="0.25">
      <c r="A5" s="13" t="str">
        <f>HYPERLINK("#'Results'!A1", "Results")</f>
        <v>Results</v>
      </c>
      <c r="D5" s="5" t="str" cm="1">
        <f t="array" ref="D5">SupplementaryCO2_Equations.VEERG_12_1_1_1__1_EmissionsFromSupplementaryCO2_Title()</f>
        <v>Emissions from the use of supplementary CO2</v>
      </c>
      <c r="O5" s="45"/>
    </row>
    <row r="6" spans="1:16" ht="20.100000000000001" customHeight="1" x14ac:dyDescent="0.25">
      <c r="A6" s="12"/>
      <c r="D6" s="4" t="str" cm="1">
        <f t="array" ref="D6">SupplementaryCO2_Equations.VEERG_12_1_1_1__1_EmissionsFromSupplementaryCO2_Source()</f>
        <v>VEERG 2026: 12.1.1.1, Equation (1)</v>
      </c>
      <c r="O6" s="45"/>
    </row>
    <row r="7" spans="1:16" ht="20.100000000000001" customHeight="1" x14ac:dyDescent="0.25">
      <c r="A7" s="16" t="s">
        <v>1</v>
      </c>
      <c r="D7" s="10" t="s">
        <v>10</v>
      </c>
      <c r="E7" s="10" t="str" cm="1">
        <f t="array" aca="1" ref="E7" ca="1">Common_InputFunctions.Utility_DisplayFunctionName(E15)</f>
        <v>=SupplementaryCO2_Equations.VEERG_12_1_1_1__1_EmissionsFromSupplementaryCO2</v>
      </c>
      <c r="O7" s="45"/>
    </row>
    <row r="8" spans="1:16" ht="20.100000000000001" customHeight="1" x14ac:dyDescent="0.25">
      <c r="A8" s="13" t="str">
        <f>HYPERLINK("#'Input - CO2 Use'!A1", "CO2 Use")</f>
        <v>CO2 Use</v>
      </c>
      <c r="O8" s="45"/>
    </row>
    <row r="9" spans="1:16" ht="20.100000000000001" customHeight="1" x14ac:dyDescent="0.25">
      <c r="A9" s="13"/>
      <c r="G9" s="4"/>
      <c r="O9" s="45"/>
    </row>
    <row r="10" spans="1:16" ht="20.100000000000001" customHeight="1" x14ac:dyDescent="0.25">
      <c r="A10" s="15" t="s">
        <v>45</v>
      </c>
      <c r="D10" s="28" t="s">
        <v>13</v>
      </c>
      <c r="E10" s="1" t="str" cm="1">
        <f t="array" ref="E10">SupplementaryCO2_Equations.VEERG_12_1_1_1__1_EmissionsFromSupplementaryCO2_Variable()</f>
        <v>E</v>
      </c>
      <c r="O10" s="45"/>
    </row>
    <row r="11" spans="1:16" ht="20.100000000000001" customHeight="1" x14ac:dyDescent="0.25">
      <c r="A11" s="61" t="str">
        <f>HYPERLINK("#'12.1.1-2 Supplementary CO2'!A1", "12.1.1-2 Supplementary CO2")</f>
        <v>12.1.1-2 Supplementary CO2</v>
      </c>
      <c r="D11" s="28" t="s">
        <v>5</v>
      </c>
      <c r="E11" s="29" t="str" cm="1">
        <f t="array" ref="E11">SupplementaryCO2_Equations.VEERG_12_1_1_1__1_EmissionsFromSupplementaryCO2_Unit()</f>
        <v>t CO2e</v>
      </c>
      <c r="O11" s="45"/>
    </row>
    <row r="12" spans="1:16" ht="20.100000000000001" customHeight="1" x14ac:dyDescent="0.25">
      <c r="A12" s="13"/>
    </row>
    <row r="13" spans="1:16" ht="20.100000000000001" customHeight="1" x14ac:dyDescent="0.25">
      <c r="A13" s="14" t="s">
        <v>2</v>
      </c>
      <c r="D13" s="51" t="str" cm="1">
        <f t="array" ref="D13:E13">_xlfn.CHOOSECOLS(SupplementaryCO2_Equations.VEERG_12_1_1_1__1_EmissionsFromSupplementaryCO2_Arguments(), 1,2)</f>
        <v>Q</v>
      </c>
      <c r="E13" s="53" t="str">
        <v>quantity of supplementary CO2 used within the operations</v>
      </c>
      <c r="F13" s="52"/>
      <c r="G13" s="51" t="str" cm="1">
        <f t="array" ref="G13:H13">_xlfn.CHOOSECOLS(SupplementaryCO2_Equations.VEERG_12_1_1_1__1_EmissionsFromSupplementaryCO2_Arguments(), 3,4)</f>
        <v>kg CO2</v>
      </c>
      <c r="H13" s="47" t="str">
        <v>Input</v>
      </c>
      <c r="I13" s="51">
        <f>SUM(Table_Input_SupplementaryCO2[Amount used (kg)])</f>
        <v>200</v>
      </c>
    </row>
    <row r="14" spans="1:16" ht="20.100000000000001" customHeight="1" x14ac:dyDescent="0.25">
      <c r="A14" s="13" t="str">
        <f>HYPERLINK("#'Constants - Common'!A1", "Constants - Common")</f>
        <v>Constants - Common</v>
      </c>
      <c r="O14" s="45"/>
    </row>
    <row r="15" spans="1:16" ht="20.100000000000001" customHeight="1" x14ac:dyDescent="0.25">
      <c r="D15" s="67" t="s">
        <v>94</v>
      </c>
      <c r="E15" s="68" cm="1">
        <f t="array" ref="E15">SupplementaryCO2_Equations.VEERG_12_1_1_1__1_EmissionsFromSupplementaryCO2(I13)</f>
        <v>0.2</v>
      </c>
      <c r="F15" s="69" t="str">
        <f>E11</f>
        <v>t CO2e</v>
      </c>
      <c r="O15" s="45"/>
    </row>
    <row r="16" spans="1:16" ht="20.100000000000001" customHeight="1" x14ac:dyDescent="0.25">
      <c r="O16" s="45"/>
    </row>
    <row r="17" spans="1:15" ht="20.100000000000001" customHeight="1" x14ac:dyDescent="0.25">
      <c r="L17" s="45"/>
      <c r="M17" s="45"/>
      <c r="N17" s="45"/>
      <c r="O17" s="45"/>
    </row>
    <row r="18" spans="1:15" ht="20.100000000000001" customHeight="1" x14ac:dyDescent="0.25">
      <c r="L18" s="45"/>
      <c r="M18" s="45"/>
      <c r="N18" s="45"/>
      <c r="O18" s="45"/>
    </row>
    <row r="19" spans="1:15" ht="20.100000000000001" customHeight="1" x14ac:dyDescent="0.25">
      <c r="L19" s="45"/>
      <c r="M19" s="45"/>
      <c r="N19" s="45"/>
      <c r="O19" s="45"/>
    </row>
    <row r="20" spans="1:15" ht="20.100000000000001" customHeight="1" x14ac:dyDescent="0.25">
      <c r="A20" s="13"/>
      <c r="L20" s="45"/>
      <c r="M20" s="45"/>
      <c r="N20" s="45"/>
      <c r="O20" s="45"/>
    </row>
    <row r="21" spans="1:15" ht="20.100000000000001" customHeight="1" x14ac:dyDescent="0.25">
      <c r="A21" s="13"/>
      <c r="O21" s="45"/>
    </row>
    <row r="22" spans="1:15" ht="20.100000000000001" customHeight="1" x14ac:dyDescent="0.25"/>
    <row r="23" spans="1:15" ht="20.100000000000001" customHeight="1" x14ac:dyDescent="0.25">
      <c r="A23" s="13"/>
    </row>
    <row r="24" spans="1:15" ht="20.100000000000001" customHeight="1" x14ac:dyDescent="0.25"/>
    <row r="25" spans="1:15" ht="20.100000000000001" customHeight="1" x14ac:dyDescent="0.25"/>
    <row r="26" spans="1:15" ht="20.100000000000001" customHeight="1" x14ac:dyDescent="0.25"/>
    <row r="27" spans="1:15" ht="20.100000000000001" customHeight="1" x14ac:dyDescent="0.25"/>
    <row r="28" spans="1:15" ht="20.100000000000001" customHeight="1" x14ac:dyDescent="0.25"/>
    <row r="29" spans="1:15" ht="20.100000000000001" customHeight="1" x14ac:dyDescent="0.25"/>
    <row r="30" spans="1:15" ht="20.100000000000001" customHeight="1" x14ac:dyDescent="0.25"/>
    <row r="31" spans="1:15" ht="20.100000000000001" customHeight="1" x14ac:dyDescent="0.25"/>
    <row r="32" spans="1:15" ht="20.100000000000001" customHeight="1" x14ac:dyDescent="0.25"/>
    <row r="33" spans="1:1" ht="20.100000000000001" customHeight="1" x14ac:dyDescent="0.25"/>
    <row r="34" spans="1:1" ht="20.100000000000001" customHeight="1" x14ac:dyDescent="0.25"/>
    <row r="35" spans="1:1" ht="20.100000000000001" customHeight="1" x14ac:dyDescent="0.25"/>
    <row r="36" spans="1:1" ht="20.100000000000001" customHeight="1" x14ac:dyDescent="0.25"/>
    <row r="37" spans="1:1" ht="20.100000000000001" customHeight="1" x14ac:dyDescent="0.25">
      <c r="A37" s="54"/>
    </row>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c r="A69" s="54"/>
    </row>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spans="1:1" ht="20.100000000000001" customHeight="1" x14ac:dyDescent="0.25"/>
    <row r="82" spans="1:1" ht="20.100000000000001" customHeight="1" x14ac:dyDescent="0.25"/>
    <row r="83" spans="1:1" ht="20.100000000000001" customHeight="1" x14ac:dyDescent="0.25">
      <c r="A83" s="54"/>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789C-70AA-4551-B1E7-DAA15A2C37E8}">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0" t="str" cm="1">
        <f t="array" ref="D59:D61">"⚠️" &amp; Common_SourceData.Common_SourceData_WetAndDryZones_Variation()</f>
        <v>⚠️VARIATION OF SOURCE DATA:</v>
      </c>
    </row>
    <row r="60" spans="4:8" ht="20.100000000000001" customHeight="1" x14ac:dyDescent="0.25">
      <c r="D60" s="30" t="str">
        <v>⚠️Added warm / cool temperate moist / dry - low frost and high temp classes to accommodate climate scenarios excluded by VEERG criteria.</v>
      </c>
    </row>
    <row r="61" spans="4:8" ht="20.100000000000001" customHeight="1" x14ac:dyDescent="0.25">
      <c r="D61" s="30"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0" t="str" cm="1">
        <f t="array" ref="D83:D87">"⚠️" &amp; Common_SourceData.Common_SourceData_ClimateZones_Variation()</f>
        <v>⚠️VARIATION OF SOURCE DATA:</v>
      </c>
    </row>
    <row r="84" spans="4:20" ht="20.100000000000001" customHeight="1" x14ac:dyDescent="0.25">
      <c r="D84" s="30" t="str">
        <v>⚠️Added warm / cool temperate moist / dry - low frost and high temp classes to accommodate climate scenarios excluded by VEERG criteria.</v>
      </c>
    </row>
    <row r="85" spans="4:20" ht="20.100000000000001" customHeight="1" x14ac:dyDescent="0.25">
      <c r="D85" s="30" t="str">
        <v>⚠️Fixed typo in MAT value for warm temperate dry - changed 10 to 11.</v>
      </c>
    </row>
    <row r="86" spans="4:20" ht="20.100000000000001" customHeight="1" x14ac:dyDescent="0.25">
      <c r="D86" s="30" t="str">
        <v>⚠️Added min and max columns for MAT, MAP, frost days per year, elevation, MAP:PET to calculate zones from real climate data.</v>
      </c>
    </row>
    <row r="87" spans="4:20" ht="20.100000000000001" customHeight="1" x14ac:dyDescent="0.25">
      <c r="D87" s="30"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29" t="str" cm="1">
        <f t="array" ref="D99:D102">Common_SourceData.Common_SourceData_ClimateZones_Appendices()</f>
        <v>Note:</v>
      </c>
    </row>
    <row r="100" spans="4:20" ht="20.100000000000001" customHeight="1" x14ac:dyDescent="0.25">
      <c r="D100" s="29" t="str">
        <v>MAT = mean annual temperature</v>
      </c>
    </row>
    <row r="101" spans="4:20" ht="20.100000000000001" customHeight="1" x14ac:dyDescent="0.25">
      <c r="D101" s="29" t="str">
        <v>MAP = mean annual precipitation</v>
      </c>
    </row>
    <row r="102" spans="4:20" ht="20.100000000000001" customHeight="1" x14ac:dyDescent="0.25">
      <c r="D102" s="29" t="str">
        <v>PET = potential evapotranspiration</v>
      </c>
    </row>
    <row r="103" spans="4:20" ht="20.100000000000001" customHeight="1" x14ac:dyDescent="0.25">
      <c r="D103" s="29"/>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0"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7" t="s">
        <v>39</v>
      </c>
      <c r="E119" s="27" t="s">
        <v>40</v>
      </c>
      <c r="F119" s="27" t="s">
        <v>26</v>
      </c>
      <c r="G119" s="27" t="s">
        <v>27</v>
      </c>
      <c r="BN119" s="6"/>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0"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7" t="s">
        <v>58</v>
      </c>
      <c r="E142" s="27" t="s">
        <v>48</v>
      </c>
      <c r="BN142" s="6"/>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7" t="s">
        <v>43</v>
      </c>
      <c r="E153" s="27" t="s">
        <v>44</v>
      </c>
      <c r="BC153" s="2"/>
      <c r="BD153" s="2"/>
      <c r="BE153" s="2"/>
      <c r="BF153" s="2"/>
      <c r="BG153" s="2"/>
      <c r="BH153" s="2"/>
      <c r="BI153" s="2"/>
      <c r="BJ153" s="2"/>
      <c r="BK153" s="2"/>
      <c r="BL153" s="2"/>
      <c r="BM153" s="2"/>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9"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9" t="str" cm="1">
        <f t="array" ref="D180">Common_SourceData.Common_SourceData_EFN2O_Unit()</f>
        <v>(kg N2O-N / kg N</v>
      </c>
    </row>
    <row r="181" spans="4:68" ht="20.100000000000001" customHeight="1" x14ac:dyDescent="0.25">
      <c r="D181" s="30" t="str" cm="1">
        <f t="array" ref="D181:D185">Common_SourceData.Common_SourceData_EFN2O_Variation()</f>
        <v>VARIATION OF SOURCE DATA:</v>
      </c>
    </row>
    <row r="182" spans="4:68" ht="20.100000000000001" customHeight="1" x14ac:dyDescent="0.25">
      <c r="D182" s="30" t="str">
        <v>Removed duplicate 'Aquaculture' row.</v>
      </c>
    </row>
    <row r="183" spans="4:68" ht="20.100000000000001" customHeight="1" x14ac:dyDescent="0.25">
      <c r="D183" s="30" t="str">
        <v>Removed asterisks to aid lookup.</v>
      </c>
    </row>
    <row r="184" spans="4:68" ht="20.100000000000001" customHeight="1" x14ac:dyDescent="0.25">
      <c r="D184" s="30" t="str">
        <v>Added 'production system only', 'rainfall zone' and 'irrigation method' columns to aid lookup.</v>
      </c>
    </row>
    <row r="185" spans="4:68" ht="20.100000000000001" customHeight="1" x14ac:dyDescent="0.25">
      <c r="D185" s="30"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0" t="str" cm="1">
        <f t="array" ref="D204">Common_SourceData.Common_SourceData_EFPastureRangeAndPaddock_Variation()</f>
        <v>VARIATION FROM SOURCE DATA: Changed 'Dry climate zones' to singular 'Dry climate zone' to aid lookup.</v>
      </c>
    </row>
    <row r="205" spans="4:8" x14ac:dyDescent="0.25">
      <c r="D205" s="29"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57</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9"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HUAcABwAGwAZQBtAGUAbgB0AGEAcgB5AEMATwAyAF8ARQBxAHUAYQB0AGkAbwBuAHMAIgAsACIAdABlAHgAdAAiADoAIgAvACoAXABuAD0APQA9AD0APQA9AD0APQA9AD0APQA9AD0APQA9AD0APQA9AD0APQA9AD0APQA9AD0APQA9AD0APQA9AD0APQA9AD0APQA9AD0APQA9AD0APQA9AD0APQA9AD0APQA9AD0APQA9AD0APQA9AD0APQA9AD0APQA9AD0APQA9AD0APQA9AD0APQA9AD0APQA9AD0APQA9AD0AXABuADEAMgAuADEAOgAgAFMAdQBwAHAAbABlAG0AZQBuAHQAYQByAHkAIABDAE8AMgBcAG4APQA9AD0APQA9AD0APQA9AD0APQA9AD0APQA9AD0APQA9AD0APQA9AD0APQA9AD0APQA9AD0APQA9AD0APQA9AD0APQA9AD0APQA9AD0APQA9AD0APQA9AD0APQA9AD0APQA9AD0APQA9AD0APQA9AD0APQA9AD0APQA9AD0APQA9AD0APQA9AD0APQA9AD0APQA9AD0APQBcAG4AMQAyAC4AMQAuADEALgAxACAATQBlAHQAaABvAGQAIAAxACAALQAgAFMAdQBwAHAAbABlAG0AZQBuAHQAYQByAHkAIABDAE8AMg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gBfADEAXwAxAF8AMQBfAF8AMQBfAEUAbQBpAHMAcwBpAG8AbgBzAEYAcgBvAG0AUwB1AHAAcABsAGUAbQBlAG4AdABhAHIAeQBDAE8AMgBcAG4ARQBtAGkAcwBzAGkAbwBuAHMAIABmAHIAbwBtACAAdABoAGUAIAB1AHMAZQAgAG8AZgAgAHMAdQBwAHAAbABlAG0AZQBuAHQAYQByAHkAIABDAE8AMgBcAG4ARQBcAG4AdAAgAEMATwAyAGUAXABuAEUAPQBRAFwAXAB0AGkAbQBlAHMAIAAxADAAXgB7AC0AMwB9AFwAbgBRACAAPQAgAHEAdQBhAG4AdABpAHQAeQAgAG8AZgAgAHMAdQBwAHAAbABlAG0AZQBuAHQAYQByAHkAIABDAE8AMgAgAHUAcwBlAGQAIAB3AGkAdABoAGkAbgAgAHQAaABlACAAbwBwAGUAcgBhAHQAaQBvAG4AcwAgACgAawBnACAAQwBPADIAKQBcAG4ALQAtAC0ALQAtAC0ALQAtAC0ALQAtAC0ALQAtAC0ALQAtAC0ALQAtAC0ALQAtAC0ALQAtAC0ALQAtAC0ALQAtAC0ALQAtAC0ALQAtAFwAbgAqAC8AXABuAFwAbgBWAEUARQBSAEcAXwAxADIAXwAxAF8AMQBfADEAXwBfADEAXwBFAG0AaQBzAHMAaQBvAG4AcwBGAHIAbwBtAFMAdQBwAHAAbABlAG0AZQBuAHQAYQByAHkAQwBPADIAXABuACAAIAA9AEwAQQBNAEIARABBACgAXABuACAAIAAgACAAUQAsAFwAbgAgACAAIAAgAFEAIAAqACAAMQAwACAAXgAgAC0AMwBcAG4AIAAgACkAOwBcAG4AXABuAFYARQBFAFIARwBfADEAMgBfADEAXwAxAF8AMQBfAF8AMQBfAEUAbQBpAHMAcwBpAG8AbgBzAEYAcgBvAG0AUwB1AHAAcABsAGUAbQBlAG4AdABhAHIAeQBDAE8AMgBfAFQAaQB0AGwAZQBcAG4AIAAgAD0ATABBAE0AQgBEAEEAKABcACIARQBtAGkAcwBzAGkAbwBuAHMAIABmAHIAbwBtACAAdABoAGUAIAB1AHMAZQAgAG8AZgAgAHMAdQBwAHAAbABlAG0AZQBuAHQAYQByAHkAIABDAE8AMgBcACIAKQA7AFwAbgBcAG4AVgBFAEUAUgBHAF8AMQAyAF8AMQBfADEAXwAxAF8AXwAxAF8ARQBtAGkAcwBzAGkAbwBuAHMARgByAG8AbQBTAHUAcABwAGwAZQBtAGUAbgB0AGEAcgB5AEMATwAyAF8AVgBhAHIAaQBhAGIAbABlAFwAbgAgACAAPQBMAEEATQBCAEQAQQAoAFwAIgBFAFwAIgApADsAXABuAFwAbgBWAEUARQBSAEcAXwAxADIAXwAxAF8AMQBfADEAXwBfADEAXwBFAG0AaQBzAHMAaQBvAG4AcwBGAHIAbwBtAFMAdQBwAHAAbABlAG0AZQBuAHQAYQByAHkAQwBPADIAXwBVAG4AaQB0AFwAbgAgACAAPQBMAEEATQBCAEQAQQAoAFwAIgB0ACAAQwBPADIAZQBcACIAKQA7AFwAbgBcAG4AVgBFAEUAUgBHAF8AMQAyAF8AMQBfADEAXwAxAF8AXwAxAF8ARQBtAGkAcwBzAGkAbwBuAHMARgByAG8AbQBTAHUAcABwAGwAZQBtAGUAbgB0AGEAcgB5AEMATwAyAF8AUwBvAHUAcgBjAGUAXABuACAAIAA9AEwAQQBNAEIARABBACgAXAAiAFYARQBFAFIARwAgADIAMAAyADYAOgAgADEAMgAuADEALgAxAC4AMQAsACAARQBxAHUAYQB0AGkAbwBuACAAKAAxACkAXAAiACkAOwBcAG4AXABuAFYARQBFAFIARwBfADEAMgBfADEAXwAxAF8AMQBfAF8AMQBfAEUAbQBpAHMAcwBpAG8AbgBzAEYAcgBvAG0AUwB1AHAAcABsAGUAbQBlAG4AdABhAHIAeQBDAE8AMgBfAE4ASQBSAFIAZQBmAGUAcgBlAG4AYwBlAFwAbgAgACAAPQBMAEEATQBCAEQAQQAoAFwAIgBcACIAKQA7AFwAbgBcAG4AVgBFAEUAUgBHAF8AMQAyAF8AMQBfADEAXwAxAF8AXwAxAF8ARQBtAGkAcwBzAGkAbwBuAHMARgByAG8AbQBTAHUAcABwAGwAZQBtAGUAbgB0AGEAcgB5AEMATwAyAF8ATABhAHQAZQB4AEUAcQB1AGEAdABpAG8AbgBcAG4AIAAgAD0ATABBAE0AQgBEAEEAKABcACIARQA9AFEAXABcAHQAaQBtAGUAcwAgADEAMABeAHsALQAzAH0AXAAiACkAOwBcAG4AXABuAFYARQBFAFIARwBfADEAMgBfADEAXwAxAF8AMQBfAF8AMQBfAEUAbQBpAHMAcwBpAG8AbgBzAEYAcgBvAG0AUwB1AHAAcABsAGUAbQBlAG4AdABhAHIAeQBDAE8AMgBfAEEAcgBnAHUAbQBlAG4AdABzAFwAbgAgACAAPQBMAEEATQBCAEQAQQAoAFwAbgAgACAAIAAgAE0AQQBLAEUAQQBSAFIAQQBZACgAMQAsACAANAAsAFwAbgAgACAAIAAgACAAIABMAEEATQBCAEQAQQAoAHIALABjACwAXABuACAAIAAgACAAIAAgACAAIABJAE4ARABFAFgAKAB7AFwAbgAgACAAIAAgACAAIAAgACAAIAAgAFwAIgBRAFwAIgAsACAAXAAiAHEAdQBhAG4AdABpAHQAeQAgAG8AZgAgAHMAdQBwAHAAbABlAG0AZQBuAHQAYQByAHkAIABDAE8AMgAgAHUAcwBlAGQAIAB3AGkAdABoAGkAbgAgAHQAaABlACAAbwBwAGUAcgBhAHQAaQBvAG4AcwBcACIALAAgAFwAIgBrAGcAIABDAE8AMgBcACIALAAgAFwAIgBJAG4AcAB1AHQAXAAiAFwAbgAgACAAIAAgACAAIAAgACAAfQAsACAAcgAsACAAYwApAFwAbgAgACAAIAAgACAAIAApAFwAbgAgACAAIAAgACkAXABuACAAIAApADs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MAdQBwAHAAbABlAG0AZQBuAHQAYQByAHkAQwBPADIAXwBFAHEAdQBhAHQAaQBvAG4AcwAuAFYARQBFAFIARwBfADEAMgBfADEAXwAxAF8AMQBfAF8AMQBfAEUAbQBpAHMAcwBpAG8AbgBzAEYAcgBvAG0AUwB1AHAAcABsAGUAbQBlAG4AdABhAHIAeQBDAE8AMgAiACwAIgBTAHUAcABwAGwAZQBtAGUAbgB0AGEAcgB5AEMATwAyAF8ARQBxAHUAYQB0AGkAbwBuAHMALgBWAEUARQBSAEcAXwAxADIAXwAxAF8AMQBfADEAXwBfADEAXwBFAG0AaQBzAHMAaQBvAG4AcwBGAHIAbwBtAFMAdQBwAHAAbABlAG0AZQBuAHQAYQByAHkAQwBPADIAXwBUAGkAdABsAGUAIgAsACIAUwB1AHAAcABsAGUAbQBlAG4AdABhAHIAeQBDAE8AMgBfAEUAcQB1AGEAdABpAG8AbgBzAC4AVgBFAEUAUgBHAF8AMQAyAF8AMQBfADEAXwAxAF8AXwAxAF8ARQBtAGkAcwBzAGkAbwBuAHMARgByAG8AbQBTAHUAcABwAGwAZQBtAGUAbgB0AGEAcgB5AEMATwAyAF8AVgBhAHIAaQBhAGIAbABlACIALAAiAFMAdQBwAHAAbABlAG0AZQBuAHQAYQByAHkAQwBPADIAXwBFAHEAdQBhAHQAaQBvAG4AcwAuAFYARQBFAFIARwBfADEAMgBfADEAXwAxAF8AMQBfAF8AMQBfAEUAbQBpAHMAcwBpAG8AbgBzAEYAcgBvAG0AUwB1AHAAcABsAGUAbQBlAG4AdABhAHIAeQBDAE8AMgBfAFUAbgBpAHQAIgAsACIAUwB1AHAAcABsAGUAbQBlAG4AdABhAHIAeQBDAE8AMgBfAEUAcQB1AGEAdABpAG8AbgBzAC4AVgBFAEUAUgBHAF8AMQAyAF8AMQBfADEAXwAxAF8AXwAxAF8ARQBtAGkAcwBzAGkAbwBuAHMARgByAG8AbQBTAHUAcABwAGwAZQBtAGUAbgB0AGEAcgB5AEMATwAyAF8AUwBvAHUAcgBjAGUAIgAsACIAUwB1AHAAcABsAGUAbQBlAG4AdABhAHIAeQBDAE8AMgBfAEUAcQB1AGEAdABpAG8AbgBzAC4AVgBFAEUAUgBHAF8AMQAyAF8AMQBfADEAXwAxAF8AXwAxAF8ARQBtAGkAcwBzAGkAbwBuAHMARgByAG8AbQBTAHUAcABwAGwAZQBtAGUAbgB0AGEAcgB5AEMATwAyAF8ATgBJAFIAUgBlAGYAZQByAGUAbgBjAGUAIgAsACIAUwB1AHAAcABsAGUAbQBlAG4AdABhAHIAeQBDAE8AMgBfAEUAcQB1AGEAdABpAG8AbgBzAC4AVgBFAEUAUgBHAF8AMQAyAF8AMQBfADEAXwAxAF8AXwAxAF8ARQBtAGkAcwBzAGkAbwBuAHMARgByAG8AbQBTAHUAcABwAGwAZQBtAGUAbgB0AGEAcgB5AEMATwAyAF8ATABhAHQAZQB4AEUAcQB1AGEAdABpAG8AbgAiACwAIgBTAHUAcABwAGwAZQBtAGUAbgB0AGEAcgB5AEMATwAyAF8ARQBxAHUAYQB0AGkAbwBuAHMALgBWAEUARQBSAEcAXwAxADIAXwAxAF8AMQBfADEAXwBfADEAXwBFAG0AaQBzAHMAaQBvAG4AcwBGAHIAbwBtAFMAdQBwAHAAbABlAG0AZQBuAHQAYQByAHkAQwBPAD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Home</vt:lpstr>
      <vt:lpstr>Overview</vt:lpstr>
      <vt:lpstr>Results</vt:lpstr>
      <vt:lpstr>Input - CO2 Use</vt:lpstr>
      <vt:lpstr>12.1.1-2 Supplementary CO2</vt:lpstr>
      <vt:lpstr>Constants - Common</vt:lpstr>
      <vt:lpstr>Common_SourceData_DensityOfMethane_Data</vt:lpstr>
      <vt:lpstr>VEERG_12_1_1_1__1_EmissionsFromSupplementaryCO2_Result_Method1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