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8DBE646-1C81-472E-968E-A00257244765}" xr6:coauthVersionLast="47" xr6:coauthVersionMax="47" xr10:uidLastSave="{00000000-0000-0000-0000-000000000000}"/>
  <bookViews>
    <workbookView xWindow="210" yWindow="120" windowWidth="37995" windowHeight="20115" firstSheet="1" activeTab="8" xr2:uid="{D37248E2-1193-4B5E-BE4F-D7532AB14CA0}"/>
  </bookViews>
  <sheets>
    <sheet name="Input - Site" sheetId="10" r:id="rId1"/>
    <sheet name="Input - Fertiliser" sheetId="7" r:id="rId2"/>
    <sheet name="Input - Feed" sheetId="15" r:id="rId3"/>
    <sheet name="Input - Farm Inputs" sheetId="13" r:id="rId4"/>
    <sheet name="Input - Fuel" sheetId="5" r:id="rId5"/>
    <sheet name="Input - Electricity" sheetId="9" r:id="rId6"/>
    <sheet name="Input - Livestock" sheetId="17" r:id="rId7"/>
    <sheet name="Constants - Scope 3" sheetId="20" r:id="rId8"/>
    <sheet name="Calcs scope 3" sheetId="19" r:id="rId9"/>
    <sheet name="Constants - Common Livestock" sheetId="18" r:id="rId10"/>
    <sheet name="Sheet1" sheetId="1" r:id="rId11"/>
    <sheet name="Constants - Fertiliser" sheetId="6" r:id="rId12"/>
    <sheet name="Constants - Fuel" sheetId="4" r:id="rId13"/>
    <sheet name="Constants - Electricity" sheetId="8" r:id="rId14"/>
    <sheet name="Constants - Common" sheetId="3" r:id="rId15"/>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 name="ValidLivestockClass">_xlfn.UNIQUE(_xlfn._xlws.FILTER(#REF!, #REF! = Table_Input_LivestockPurchases[[#This Row],[Livestock type (select)]]))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34" i="13" l="1"/>
  <c r="J35" i="13"/>
  <c r="J36" i="13"/>
  <c r="J37" i="13"/>
  <c r="J38" i="13"/>
  <c r="J39" i="13"/>
  <c r="Q24" i="13" a="1"/>
  <c r="Q24" i="13" s="1"/>
  <c r="K24" i="13" a="1"/>
  <c r="K24" i="13" s="1"/>
  <c r="N24" i="13" a="1"/>
  <c r="N24" i="13" s="1"/>
  <c r="H28" i="13" l="1"/>
  <c r="L28" i="13" s="1"/>
  <c r="H27" i="13"/>
  <c r="L27" i="13" s="1"/>
  <c r="H26" i="13"/>
  <c r="R26" i="13" s="1"/>
  <c r="P178" i="19" a="1"/>
  <c r="P178" i="19" s="1"/>
  <c r="R178" i="19" s="1" a="1"/>
  <c r="R178" i="19" s="1"/>
  <c r="M178" i="19" a="1"/>
  <c r="M178" i="19" s="1"/>
  <c r="O178" i="19" s="1" a="1"/>
  <c r="O178" i="19" s="1"/>
  <c r="J178" i="19" a="1"/>
  <c r="J178" i="19" s="1"/>
  <c r="L178" i="19" s="1" a="1"/>
  <c r="L178" i="19" s="1"/>
  <c r="D178" i="19" a="1"/>
  <c r="D178" i="19" s="1"/>
  <c r="J173" i="19"/>
  <c r="J172" i="19"/>
  <c r="J171" i="19"/>
  <c r="J170" i="19"/>
  <c r="J169" i="19"/>
  <c r="J168" i="19"/>
  <c r="J167" i="19"/>
  <c r="J166" i="19"/>
  <c r="J165" i="19"/>
  <c r="J164" i="19"/>
  <c r="I173" i="19"/>
  <c r="I172" i="19"/>
  <c r="I171" i="19"/>
  <c r="I170" i="19"/>
  <c r="I169" i="19"/>
  <c r="I168" i="19"/>
  <c r="I167" i="19"/>
  <c r="I166" i="19"/>
  <c r="I165" i="19"/>
  <c r="I164" i="19"/>
  <c r="E161" i="19" a="1"/>
  <c r="E161" i="19" s="1"/>
  <c r="E160" i="19" a="1"/>
  <c r="E160" i="19" s="1"/>
  <c r="E159" i="19" a="1"/>
  <c r="E159" i="19" s="1"/>
  <c r="H164" i="19" a="1"/>
  <c r="H164" i="19" s="1"/>
  <c r="G164" i="19" a="1"/>
  <c r="G164" i="19" s="1"/>
  <c r="F164" i="19" a="1"/>
  <c r="F164" i="19" s="1"/>
  <c r="E164" i="19" a="1"/>
  <c r="E164" i="19" s="1"/>
  <c r="D164" i="19" a="1"/>
  <c r="D164" i="19" s="1"/>
  <c r="F35" i="7"/>
  <c r="G35" i="7"/>
  <c r="K35" i="7"/>
  <c r="K34" i="7"/>
  <c r="G34" i="7"/>
  <c r="F34" i="7"/>
  <c r="E145" i="19" a="1"/>
  <c r="E145" i="19" s="1"/>
  <c r="G145" i="19" s="1" a="1"/>
  <c r="G145" i="19" s="1"/>
  <c r="D145" i="19" a="1"/>
  <c r="D145" i="19" s="1"/>
  <c r="H50" i="13"/>
  <c r="H49" i="13"/>
  <c r="H48" i="13"/>
  <c r="H47" i="13"/>
  <c r="D16" i="13"/>
  <c r="D15" i="13"/>
  <c r="D14" i="13"/>
  <c r="D13" i="13"/>
  <c r="D12" i="13"/>
  <c r="D8" i="13"/>
  <c r="D7" i="13"/>
  <c r="D6" i="13"/>
  <c r="I139" i="19"/>
  <c r="F139" i="19" a="1"/>
  <c r="F139" i="19" s="1"/>
  <c r="G139" i="19" s="1"/>
  <c r="F137" i="19" a="1"/>
  <c r="F137" i="19" s="1"/>
  <c r="F136" i="19" a="1"/>
  <c r="F136" i="19" s="1"/>
  <c r="E139" i="19"/>
  <c r="D139" i="19"/>
  <c r="E138" i="19"/>
  <c r="I138" i="19" s="1"/>
  <c r="D138" i="19"/>
  <c r="F138" i="19" s="1" a="1"/>
  <c r="F138" i="19" s="1"/>
  <c r="E137" i="19"/>
  <c r="I137" i="19" s="1"/>
  <c r="D137" i="19"/>
  <c r="E136" i="19"/>
  <c r="D136" i="19"/>
  <c r="I136" i="19"/>
  <c r="I131" i="19"/>
  <c r="F131" i="19" a="1"/>
  <c r="F131" i="19" s="1"/>
  <c r="E131" i="19"/>
  <c r="D131" i="19"/>
  <c r="E130" i="19"/>
  <c r="I130" i="19" s="1"/>
  <c r="D130" i="19"/>
  <c r="F130" i="19" s="1" a="1"/>
  <c r="F130" i="19" s="1"/>
  <c r="E129" i="19"/>
  <c r="D129" i="19"/>
  <c r="F129" i="19" s="1" a="1"/>
  <c r="F129" i="19" s="1"/>
  <c r="X115" i="19" a="1"/>
  <c r="X115" i="19" s="1"/>
  <c r="W115" i="19" a="1"/>
  <c r="W115" i="19" s="1"/>
  <c r="V115" i="19" a="1"/>
  <c r="V115" i="19" s="1"/>
  <c r="T115" i="19" a="1"/>
  <c r="T115" i="19" s="1"/>
  <c r="S115" i="19" a="1"/>
  <c r="S115" i="19" s="1"/>
  <c r="R115" i="19" a="1"/>
  <c r="R115" i="19" s="1"/>
  <c r="P115" i="19" a="1"/>
  <c r="P115" i="19" s="1"/>
  <c r="O115" i="19" a="1"/>
  <c r="O115" i="19" s="1"/>
  <c r="N115" i="19" a="1"/>
  <c r="N115" i="19" s="1"/>
  <c r="L115" i="19" a="1"/>
  <c r="L115" i="19" s="1"/>
  <c r="K115" i="19" a="1"/>
  <c r="K115" i="19" s="1"/>
  <c r="J115" i="19" a="1"/>
  <c r="J115" i="19" s="1"/>
  <c r="E115" i="19" a="1"/>
  <c r="E115" i="19" s="1"/>
  <c r="D115" i="19" a="1"/>
  <c r="D115" i="19" s="1"/>
  <c r="M89" i="20"/>
  <c r="D168" i="20" a="1"/>
  <c r="D168" i="20" s="1"/>
  <c r="E168" i="20" a="1"/>
  <c r="E168" i="20" s="1"/>
  <c r="D8" i="15" s="1" a="1"/>
  <c r="D8" i="15"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24" i="15" s="1" a="1"/>
  <c r="D24" i="15" s="1"/>
  <c r="R28" i="13" l="1"/>
  <c r="O28" i="13"/>
  <c r="R27" i="13"/>
  <c r="L26" i="13"/>
  <c r="O26" i="13"/>
  <c r="O27" i="13"/>
  <c r="R179" i="19" a="1"/>
  <c r="R179" i="19" s="1"/>
  <c r="R183" i="19" a="1"/>
  <c r="R183" i="19" s="1"/>
  <c r="R180" i="19" a="1"/>
  <c r="R180" i="19" s="1"/>
  <c r="O185" i="19" a="1"/>
  <c r="O185" i="19" s="1"/>
  <c r="O186" i="19" a="1"/>
  <c r="O186" i="19" s="1"/>
  <c r="O184" i="19" a="1"/>
  <c r="O184" i="19" s="1"/>
  <c r="O187" i="19" a="1"/>
  <c r="O187" i="19" s="1"/>
  <c r="R181" i="19" a="1"/>
  <c r="R181" i="19" s="1"/>
  <c r="R182" i="19" a="1"/>
  <c r="R182" i="19" s="1"/>
  <c r="O180" i="19" a="1"/>
  <c r="O180" i="19" s="1"/>
  <c r="R184" i="19" a="1"/>
  <c r="R184" i="19" s="1"/>
  <c r="O181" i="19" a="1"/>
  <c r="O181" i="19" s="1"/>
  <c r="R185" i="19" a="1"/>
  <c r="R185" i="19" s="1"/>
  <c r="O179" i="19" a="1"/>
  <c r="O179" i="19" s="1"/>
  <c r="O182" i="19" a="1"/>
  <c r="O182" i="19" s="1"/>
  <c r="R186" i="19" a="1"/>
  <c r="R186" i="19" s="1"/>
  <c r="O183" i="19" a="1"/>
  <c r="O183" i="19" s="1"/>
  <c r="R187" i="19" a="1"/>
  <c r="R187" i="19" s="1"/>
  <c r="L186" i="19" a="1"/>
  <c r="L186" i="19" s="1"/>
  <c r="L187" i="19" a="1"/>
  <c r="L187" i="19" s="1"/>
  <c r="L179" i="19" a="1"/>
  <c r="L179" i="19" s="1"/>
  <c r="L181" i="19" a="1"/>
  <c r="L181" i="19" s="1"/>
  <c r="L185" i="19" a="1"/>
  <c r="L185" i="19" s="1"/>
  <c r="L182" i="19" a="1"/>
  <c r="L182" i="19" s="1"/>
  <c r="L183" i="19" a="1"/>
  <c r="L183" i="19" s="1"/>
  <c r="L180" i="19" a="1"/>
  <c r="L180" i="19" s="1"/>
  <c r="L184" i="19" a="1"/>
  <c r="L184" i="19" s="1"/>
  <c r="F145" i="19" a="1"/>
  <c r="F145" i="19" s="1"/>
  <c r="J145" i="19" s="1"/>
  <c r="G152" i="19" a="1"/>
  <c r="G152" i="19" s="1"/>
  <c r="G153" i="19" a="1"/>
  <c r="G153" i="19" s="1"/>
  <c r="G154" i="19" a="1"/>
  <c r="G154" i="19" s="1"/>
  <c r="G146" i="19" a="1"/>
  <c r="G146" i="19" s="1"/>
  <c r="G148" i="19" a="1"/>
  <c r="G148" i="19" s="1"/>
  <c r="G147" i="19" a="1"/>
  <c r="G147" i="19" s="1"/>
  <c r="G149" i="19" a="1"/>
  <c r="G149" i="19" s="1"/>
  <c r="G150" i="19" a="1"/>
  <c r="G150" i="19" s="1"/>
  <c r="G151" i="19" a="1"/>
  <c r="G151" i="19" s="1"/>
  <c r="G129" i="19"/>
  <c r="G130" i="19"/>
  <c r="G131" i="19"/>
  <c r="I129" i="19"/>
  <c r="G138" i="19"/>
  <c r="G137" i="19"/>
  <c r="G136" i="19"/>
  <c r="M120" i="19" a="1"/>
  <c r="M120" i="19" s="1"/>
  <c r="M121" i="19" a="1"/>
  <c r="M121" i="19" s="1"/>
  <c r="M117" i="19" a="1"/>
  <c r="M117" i="19" s="1"/>
  <c r="M119" i="19" a="1"/>
  <c r="M119" i="19" s="1"/>
  <c r="M122" i="19" a="1"/>
  <c r="M122" i="19" s="1"/>
  <c r="M116" i="19" a="1"/>
  <c r="M116" i="19" s="1"/>
  <c r="M123" i="19" a="1"/>
  <c r="M123" i="19" s="1"/>
  <c r="M118" i="19" a="1"/>
  <c r="M118" i="19" s="1"/>
  <c r="M124" i="19" a="1"/>
  <c r="M124" i="19" s="1"/>
  <c r="M115" i="19" a="1"/>
  <c r="M115" i="19" s="1"/>
  <c r="U115" i="19" a="1"/>
  <c r="U115" i="19" s="1"/>
  <c r="Q116" i="19" a="1"/>
  <c r="Q116" i="19" s="1"/>
  <c r="Q117" i="19" a="1"/>
  <c r="Q117" i="19" s="1"/>
  <c r="U116" i="19" a="1"/>
  <c r="U116" i="19" s="1"/>
  <c r="Q118" i="19" a="1"/>
  <c r="Q118" i="19" s="1"/>
  <c r="U117" i="19" a="1"/>
  <c r="U117" i="19" s="1"/>
  <c r="Q119" i="19" a="1"/>
  <c r="Q119" i="19" s="1"/>
  <c r="Y116" i="19" a="1"/>
  <c r="Y116" i="19" s="1"/>
  <c r="U118" i="19" a="1"/>
  <c r="U118" i="19" s="1"/>
  <c r="Q120" i="19" a="1"/>
  <c r="Q120" i="19" s="1"/>
  <c r="Y117" i="19" a="1"/>
  <c r="Y117" i="19" s="1"/>
  <c r="U119" i="19" a="1"/>
  <c r="U119" i="19" s="1"/>
  <c r="Q121" i="19" a="1"/>
  <c r="Q121" i="19" s="1"/>
  <c r="Y115" i="19" a="1"/>
  <c r="Y115" i="19" s="1"/>
  <c r="Y118" i="19" a="1"/>
  <c r="Y118" i="19" s="1"/>
  <c r="U120" i="19" a="1"/>
  <c r="U120" i="19" s="1"/>
  <c r="Q122" i="19" a="1"/>
  <c r="Q122" i="19" s="1"/>
  <c r="I115" i="19"/>
  <c r="Y119" i="19" a="1"/>
  <c r="Y119" i="19" s="1"/>
  <c r="U121" i="19" a="1"/>
  <c r="U121" i="19" s="1"/>
  <c r="Q123" i="19" a="1"/>
  <c r="Q123" i="19" s="1"/>
  <c r="Q115" i="19" a="1"/>
  <c r="Q115" i="19" s="1"/>
  <c r="Y120" i="19" a="1"/>
  <c r="Y120" i="19" s="1"/>
  <c r="U122" i="19" a="1"/>
  <c r="U122" i="19" s="1"/>
  <c r="Q124" i="19" a="1"/>
  <c r="Q124" i="19" s="1"/>
  <c r="Y121" i="19" a="1"/>
  <c r="Y121" i="19" s="1"/>
  <c r="U123" i="19" a="1"/>
  <c r="U123" i="19" s="1"/>
  <c r="Y122" i="19" a="1"/>
  <c r="Y122" i="19" s="1"/>
  <c r="U124" i="19" a="1"/>
  <c r="U124" i="19" s="1"/>
  <c r="I116" i="19"/>
  <c r="Y123" i="19" a="1"/>
  <c r="Y123" i="19" s="1"/>
  <c r="I117" i="19"/>
  <c r="Y124" i="19" a="1"/>
  <c r="Y124" i="19" s="1"/>
  <c r="H154" i="19" l="1"/>
  <c r="H150" i="19"/>
  <c r="H153" i="19"/>
  <c r="J149" i="19"/>
  <c r="H152" i="19"/>
  <c r="H147" i="19"/>
  <c r="H151" i="19"/>
  <c r="H146" i="19"/>
  <c r="J147" i="19"/>
  <c r="J146" i="19"/>
  <c r="J148" i="19"/>
  <c r="H148" i="19"/>
  <c r="H149" i="19"/>
  <c r="J150" i="19"/>
  <c r="F121" i="19"/>
  <c r="G121" i="19" s="1"/>
  <c r="J152" i="19"/>
  <c r="J153" i="19"/>
  <c r="J151" i="19"/>
  <c r="J154" i="19"/>
  <c r="H145" i="19"/>
  <c r="F124" i="19"/>
  <c r="G124" i="19" s="1"/>
  <c r="F119" i="19"/>
  <c r="G119" i="19" s="1"/>
  <c r="F122" i="19"/>
  <c r="G122" i="19" s="1"/>
  <c r="F123" i="19"/>
  <c r="G123" i="19" s="1"/>
  <c r="F117" i="19"/>
  <c r="G117" i="19" s="1"/>
  <c r="F116" i="19"/>
  <c r="G116" i="19" s="1"/>
  <c r="F118" i="19"/>
  <c r="G118" i="19" s="1"/>
  <c r="F120" i="19"/>
  <c r="G120" i="19" s="1"/>
  <c r="F115" i="19"/>
  <c r="G115" i="19" s="1"/>
  <c r="I120" i="19" l="1"/>
  <c r="I121" i="19"/>
  <c r="I123" i="19"/>
  <c r="I124" i="19"/>
  <c r="I122" i="19"/>
  <c r="I119" i="19"/>
  <c r="I118" i="19"/>
  <c r="E100" i="19" l="1" a="1"/>
  <c r="E100" i="19" s="1"/>
  <c r="D100" i="19" a="1"/>
  <c r="D100" i="19" s="1"/>
  <c r="F100" i="19" a="1"/>
  <c r="J103" i="19" s="1"/>
  <c r="F85" i="19" a="1"/>
  <c r="F85" i="19" s="1"/>
  <c r="E85" i="19" a="1"/>
  <c r="E85" i="19" s="1"/>
  <c r="D85" i="19" a="1"/>
  <c r="D85" i="19" s="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G174" i="20"/>
  <c r="I174" i="20"/>
  <c r="K174" i="20" a="1"/>
  <c r="K174" i="20" s="1"/>
  <c r="L174" i="20" a="1"/>
  <c r="L174" i="20" s="1"/>
  <c r="M174" i="20" a="1"/>
  <c r="M174" i="20" s="1"/>
  <c r="D175" i="20" a="1"/>
  <c r="D175" i="20" s="1"/>
  <c r="E175" i="20" a="1"/>
  <c r="E175" i="20" s="1"/>
  <c r="F175" i="20" a="1"/>
  <c r="F175" i="20" s="1"/>
  <c r="G175" i="20"/>
  <c r="I175" i="20"/>
  <c r="K175" i="20" a="1"/>
  <c r="K175" i="20" s="1"/>
  <c r="L175" i="20" a="1"/>
  <c r="L175" i="20" s="1"/>
  <c r="M175" i="20" a="1"/>
  <c r="M175" i="20" s="1"/>
  <c r="D176" i="20" a="1"/>
  <c r="D176" i="20" s="1"/>
  <c r="E176" i="20" a="1"/>
  <c r="E176" i="20" s="1"/>
  <c r="F176" i="20" a="1"/>
  <c r="F176" i="20" s="1"/>
  <c r="G176" i="20"/>
  <c r="I176" i="20"/>
  <c r="K176" i="20" a="1"/>
  <c r="K176" i="20" s="1"/>
  <c r="L176" i="20" a="1"/>
  <c r="L176" i="20" s="1"/>
  <c r="M176" i="20" a="1"/>
  <c r="M176" i="20" s="1"/>
  <c r="D177" i="20" a="1"/>
  <c r="D177" i="20" s="1"/>
  <c r="E177" i="20" a="1"/>
  <c r="E177" i="20" s="1"/>
  <c r="F177" i="20" a="1"/>
  <c r="F177" i="20" s="1"/>
  <c r="G177" i="20"/>
  <c r="I177" i="20"/>
  <c r="K177" i="20" a="1"/>
  <c r="K177" i="20" s="1"/>
  <c r="L177" i="20" a="1"/>
  <c r="L177" i="20" s="1"/>
  <c r="M177" i="20" a="1"/>
  <c r="M177" i="20" s="1"/>
  <c r="D178" i="20" a="1"/>
  <c r="D178" i="20" s="1"/>
  <c r="E178" i="20" a="1"/>
  <c r="E178" i="20" s="1"/>
  <c r="F178" i="20" a="1"/>
  <c r="F178" i="20" s="1"/>
  <c r="G178" i="20"/>
  <c r="K178" i="20" a="1"/>
  <c r="K178" i="20" s="1"/>
  <c r="L178" i="20" a="1"/>
  <c r="L178" i="20" s="1"/>
  <c r="M178" i="20" a="1"/>
  <c r="M178" i="20" s="1"/>
  <c r="D179" i="20" a="1"/>
  <c r="D179" i="20" s="1"/>
  <c r="E179" i="20" a="1"/>
  <c r="E179" i="20" s="1"/>
  <c r="F179" i="20" a="1"/>
  <c r="F179" i="20" s="1"/>
  <c r="G179" i="20"/>
  <c r="K179" i="20" a="1"/>
  <c r="K179" i="20" s="1"/>
  <c r="L179" i="20" a="1"/>
  <c r="L179" i="20" s="1"/>
  <c r="M179" i="20" a="1"/>
  <c r="M179" i="20" s="1"/>
  <c r="D180" i="20" a="1"/>
  <c r="D180" i="20" s="1"/>
  <c r="E180" i="20" a="1"/>
  <c r="E180" i="20" s="1"/>
  <c r="F180" i="20" a="1"/>
  <c r="F180" i="20" s="1"/>
  <c r="G180" i="20"/>
  <c r="K180" i="20" a="1"/>
  <c r="K180" i="20" s="1"/>
  <c r="L180" i="20" a="1"/>
  <c r="L180" i="20" s="1"/>
  <c r="M180" i="20" a="1"/>
  <c r="M180" i="20" s="1"/>
  <c r="D181" i="20" a="1"/>
  <c r="D181" i="20" s="1"/>
  <c r="E181" i="20" a="1"/>
  <c r="E181" i="20" s="1"/>
  <c r="F181" i="20" a="1"/>
  <c r="F181" i="20" s="1"/>
  <c r="G181" i="20"/>
  <c r="K181" i="20" a="1"/>
  <c r="K181" i="20" s="1"/>
  <c r="L181" i="20" a="1"/>
  <c r="L181" i="20" s="1"/>
  <c r="M181" i="20" a="1"/>
  <c r="M181" i="20" s="1"/>
  <c r="D182" i="20" a="1"/>
  <c r="D182" i="20" s="1"/>
  <c r="E182" i="20" a="1"/>
  <c r="E182" i="20" s="1"/>
  <c r="F182" i="20" a="1"/>
  <c r="F182" i="20" s="1"/>
  <c r="G182" i="20"/>
  <c r="K182" i="20" a="1"/>
  <c r="K182" i="20" s="1"/>
  <c r="L182" i="20" a="1"/>
  <c r="L182" i="20" s="1"/>
  <c r="M182" i="20" a="1"/>
  <c r="M182" i="20" s="1"/>
  <c r="D183" i="20" a="1"/>
  <c r="D183" i="20" s="1"/>
  <c r="E183" i="20" a="1"/>
  <c r="E183" i="20" s="1"/>
  <c r="F183" i="20" a="1"/>
  <c r="F183" i="20" s="1"/>
  <c r="G183" i="20"/>
  <c r="K183" i="20" a="1"/>
  <c r="K183" i="20" s="1"/>
  <c r="L183" i="20" a="1"/>
  <c r="L183" i="20" s="1"/>
  <c r="M183" i="20" a="1"/>
  <c r="M183" i="20" s="1"/>
  <c r="D184" i="20" a="1"/>
  <c r="D184" i="20" s="1"/>
  <c r="E184" i="20" a="1"/>
  <c r="E184" i="20" s="1"/>
  <c r="F184" i="20" a="1"/>
  <c r="F184" i="20" s="1"/>
  <c r="G184" i="20"/>
  <c r="K184" i="20" a="1"/>
  <c r="K184" i="20" s="1"/>
  <c r="L184" i="20" a="1"/>
  <c r="L184" i="20" s="1"/>
  <c r="M184" i="20" a="1"/>
  <c r="M184" i="20" s="1"/>
  <c r="D185" i="20" a="1"/>
  <c r="D185" i="20" s="1"/>
  <c r="E185" i="20" a="1"/>
  <c r="E185" i="20" s="1"/>
  <c r="F185" i="20" a="1"/>
  <c r="F185" i="20" s="1"/>
  <c r="G185" i="20"/>
  <c r="K185" i="20" a="1"/>
  <c r="K185" i="20" s="1"/>
  <c r="L185" i="20" a="1"/>
  <c r="L185" i="20" s="1"/>
  <c r="M185" i="20" a="1"/>
  <c r="M185" i="20" s="1"/>
  <c r="D186" i="20" a="1"/>
  <c r="D186" i="20" s="1"/>
  <c r="E186" i="20" a="1"/>
  <c r="E186" i="20" s="1"/>
  <c r="F186" i="20" a="1"/>
  <c r="F186" i="20" s="1"/>
  <c r="G186" i="20"/>
  <c r="K186" i="20" a="1"/>
  <c r="K186" i="20" s="1"/>
  <c r="L186" i="20" a="1"/>
  <c r="L186" i="20" s="1"/>
  <c r="M186" i="20" a="1"/>
  <c r="M186" i="20" s="1"/>
  <c r="D187" i="20" a="1"/>
  <c r="D187" i="20" s="1"/>
  <c r="E187" i="20" a="1"/>
  <c r="E187" i="20" s="1"/>
  <c r="F187" i="20" a="1"/>
  <c r="F187" i="20" s="1"/>
  <c r="G187" i="20"/>
  <c r="K187" i="20" a="1"/>
  <c r="K187" i="20" s="1"/>
  <c r="L187" i="20" a="1"/>
  <c r="L187" i="20" s="1"/>
  <c r="M187" i="20" a="1"/>
  <c r="M187" i="20" s="1"/>
  <c r="D188" i="20" a="1"/>
  <c r="D188" i="20" s="1"/>
  <c r="E188" i="20" a="1"/>
  <c r="E188" i="20" s="1"/>
  <c r="F188" i="20" a="1"/>
  <c r="F188" i="20" s="1"/>
  <c r="G188" i="20"/>
  <c r="K188" i="20" a="1"/>
  <c r="K188" i="20" s="1"/>
  <c r="L188" i="20" a="1"/>
  <c r="L188" i="20" s="1"/>
  <c r="M188" i="20" a="1"/>
  <c r="M188" i="20" s="1"/>
  <c r="D189" i="20" a="1"/>
  <c r="D189" i="20" s="1"/>
  <c r="E189" i="20" a="1"/>
  <c r="E189" i="20" s="1"/>
  <c r="F189" i="20" a="1"/>
  <c r="F189" i="20" s="1"/>
  <c r="G189" i="20"/>
  <c r="K189" i="20" a="1"/>
  <c r="K189" i="20" s="1"/>
  <c r="L189" i="20" a="1"/>
  <c r="L189" i="20" s="1"/>
  <c r="M189" i="20" a="1"/>
  <c r="M189" i="20" s="1"/>
  <c r="D190" i="20" a="1"/>
  <c r="D190" i="20" s="1"/>
  <c r="E190" i="20" a="1"/>
  <c r="E190" i="20" s="1"/>
  <c r="F190" i="20" a="1"/>
  <c r="F190" i="20" s="1"/>
  <c r="G190" i="20"/>
  <c r="K190" i="20" a="1"/>
  <c r="K190" i="20" s="1"/>
  <c r="L190" i="20" a="1"/>
  <c r="L190" i="20" s="1"/>
  <c r="M190" i="20" a="1"/>
  <c r="M190" i="20" s="1"/>
  <c r="D191" i="20" a="1"/>
  <c r="D191" i="20" s="1"/>
  <c r="E191" i="20" a="1"/>
  <c r="E191" i="20" s="1"/>
  <c r="F191" i="20" a="1"/>
  <c r="F191" i="20" s="1"/>
  <c r="G191" i="20"/>
  <c r="K191" i="20" a="1"/>
  <c r="K191" i="20" s="1"/>
  <c r="L191" i="20" a="1"/>
  <c r="L191" i="20" s="1"/>
  <c r="M191" i="20" a="1"/>
  <c r="M191" i="20" s="1"/>
  <c r="D192" i="20" a="1"/>
  <c r="D192" i="20" s="1"/>
  <c r="E192" i="20" a="1"/>
  <c r="E192" i="20" s="1"/>
  <c r="F192" i="20" a="1"/>
  <c r="F192" i="20" s="1"/>
  <c r="G192" i="20"/>
  <c r="K192" i="20" a="1"/>
  <c r="K192" i="20" s="1"/>
  <c r="L192" i="20" a="1"/>
  <c r="L192" i="20" s="1"/>
  <c r="M192" i="20" a="1"/>
  <c r="M192" i="20" s="1"/>
  <c r="D193" i="20" a="1"/>
  <c r="D193" i="20" s="1"/>
  <c r="E193" i="20" a="1"/>
  <c r="E193" i="20" s="1"/>
  <c r="F193" i="20" a="1"/>
  <c r="F193" i="20" s="1"/>
  <c r="G193" i="20"/>
  <c r="K193" i="20" a="1"/>
  <c r="K193" i="20" s="1"/>
  <c r="L193" i="20" a="1"/>
  <c r="L193" i="20" s="1"/>
  <c r="M193" i="20" a="1"/>
  <c r="M193" i="20" s="1"/>
  <c r="D194" i="20" a="1"/>
  <c r="D194" i="20" s="1"/>
  <c r="E194" i="20" a="1"/>
  <c r="E194" i="20" s="1"/>
  <c r="F194" i="20" a="1"/>
  <c r="F194" i="20" s="1"/>
  <c r="G194" i="20"/>
  <c r="H194" i="20"/>
  <c r="K194" i="20" a="1"/>
  <c r="K194" i="20" s="1"/>
  <c r="L194" i="20" a="1"/>
  <c r="L194" i="20" s="1"/>
  <c r="M194" i="20" a="1"/>
  <c r="M194" i="20" s="1"/>
  <c r="D195" i="20" a="1"/>
  <c r="D195" i="20" s="1"/>
  <c r="E195" i="20" a="1"/>
  <c r="E195" i="20" s="1"/>
  <c r="F195" i="20" a="1"/>
  <c r="F195" i="20" s="1"/>
  <c r="G195" i="20"/>
  <c r="H195" i="20"/>
  <c r="K195" i="20" a="1"/>
  <c r="K195" i="20" s="1"/>
  <c r="L195" i="20" a="1"/>
  <c r="L195" i="20" s="1"/>
  <c r="M195" i="20" a="1"/>
  <c r="M195" i="20" s="1"/>
  <c r="D196" i="20" a="1"/>
  <c r="D196" i="20" s="1"/>
  <c r="E196" i="20" a="1"/>
  <c r="E196" i="20" s="1"/>
  <c r="F196" i="20" a="1"/>
  <c r="F196" i="20" s="1"/>
  <c r="G196" i="20"/>
  <c r="H196" i="20"/>
  <c r="K196" i="20" a="1"/>
  <c r="K196" i="20" s="1"/>
  <c r="L196" i="20" a="1"/>
  <c r="L196" i="20" s="1"/>
  <c r="M196" i="20" a="1"/>
  <c r="M196" i="20" s="1"/>
  <c r="D197" i="20" a="1"/>
  <c r="D197" i="20" s="1"/>
  <c r="E197" i="20" a="1"/>
  <c r="E197" i="20" s="1"/>
  <c r="F197" i="20" a="1"/>
  <c r="F197" i="20" s="1"/>
  <c r="G197" i="20"/>
  <c r="H197" i="20"/>
  <c r="K197" i="20" a="1"/>
  <c r="K197" i="20" s="1"/>
  <c r="L197" i="20" a="1"/>
  <c r="L197" i="20" s="1"/>
  <c r="M197" i="20" a="1"/>
  <c r="M197" i="20" s="1"/>
  <c r="D198" i="20" a="1"/>
  <c r="D198" i="20" s="1"/>
  <c r="E198" i="20" a="1"/>
  <c r="E198" i="20" s="1"/>
  <c r="F198" i="20" a="1"/>
  <c r="F198" i="20" s="1"/>
  <c r="G198" i="20"/>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K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K65" i="19"/>
  <c r="K63" i="19"/>
  <c r="K62" i="19"/>
  <c r="G60" i="19" a="1"/>
  <c r="G60" i="19" s="1"/>
  <c r="K60" i="19" s="1"/>
  <c r="F60" i="19" a="1"/>
  <c r="F60" i="19" s="1"/>
  <c r="E60" i="19" a="1"/>
  <c r="E60" i="19" s="1"/>
  <c r="D60" i="19" a="1"/>
  <c r="D60" i="19"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D34" i="19"/>
  <c r="D54" i="19"/>
  <c r="E53" i="19"/>
  <c r="D53" i="19"/>
  <c r="E52" i="19"/>
  <c r="D52" i="19"/>
  <c r="E51" i="19"/>
  <c r="D51" i="19"/>
  <c r="E50" i="19"/>
  <c r="D50" i="19"/>
  <c r="D49" i="19"/>
  <c r="D48" i="19"/>
  <c r="D47" i="19"/>
  <c r="D46" i="19"/>
  <c r="D45" i="19"/>
  <c r="D44" i="19"/>
  <c r="D43" i="19"/>
  <c r="D42" i="19"/>
  <c r="D41" i="19"/>
  <c r="D40" i="19"/>
  <c r="D39" i="19"/>
  <c r="D38" i="19"/>
  <c r="D37" i="19"/>
  <c r="D36" i="19"/>
  <c r="D35" i="19"/>
  <c r="F33" i="19"/>
  <c r="D33" i="19"/>
  <c r="F32" i="19"/>
  <c r="D32" i="19"/>
  <c r="F31" i="19"/>
  <c r="D31" i="19"/>
  <c r="F30" i="19"/>
  <c r="D30" i="19"/>
  <c r="F20" i="7"/>
  <c r="G20" i="7"/>
  <c r="H20" i="7"/>
  <c r="J20" i="7" a="1"/>
  <c r="J20" i="7" s="1"/>
  <c r="K20" i="7" a="1"/>
  <c r="K20" i="7" s="1"/>
  <c r="L20" i="7" a="1"/>
  <c r="L20" i="7" s="1"/>
  <c r="M20" i="7" a="1"/>
  <c r="M20" i="7" s="1"/>
  <c r="N20" i="7" a="1"/>
  <c r="N20" i="7" s="1"/>
  <c r="O20" i="7" a="1"/>
  <c r="O20" i="7" s="1"/>
  <c r="P20" i="7" a="1"/>
  <c r="P20" i="7" s="1"/>
  <c r="Q20" i="7" a="1"/>
  <c r="Q20" i="7" s="1"/>
  <c r="R20" i="7" a="1"/>
  <c r="R20" i="7" s="1"/>
  <c r="S20" i="7" a="1"/>
  <c r="S20" i="7" s="1"/>
  <c r="T20" i="7" a="1"/>
  <c r="T20" i="7" s="1"/>
  <c r="U20" i="7" a="1"/>
  <c r="U20" i="7" s="1"/>
  <c r="W20" i="7"/>
  <c r="X20" i="7"/>
  <c r="D6" i="19" a="1"/>
  <c r="D6" i="19"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1" i="18" a="1"/>
  <c r="E11" i="18" s="1"/>
  <c r="D11" i="18" a="1"/>
  <c r="D11" i="18" s="1"/>
  <c r="F10" i="18" a="1"/>
  <c r="F10" i="18" s="1"/>
  <c r="E10" i="18" a="1"/>
  <c r="E10" i="18"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K64" i="19" l="1"/>
  <c r="J87" i="19"/>
  <c r="J89" i="19"/>
  <c r="K61" i="19"/>
  <c r="G101" i="19" a="1"/>
  <c r="G101" i="19" s="1"/>
  <c r="H101" i="19" s="1"/>
  <c r="G88" i="19" a="1"/>
  <c r="G88" i="19" s="1"/>
  <c r="H88" i="19" s="1"/>
  <c r="G89" i="19" a="1"/>
  <c r="G89" i="19" s="1"/>
  <c r="H89" i="19" s="1"/>
  <c r="G102" i="19" a="1"/>
  <c r="G102" i="19" s="1"/>
  <c r="H102" i="19" s="1"/>
  <c r="G90" i="19" a="1"/>
  <c r="G90" i="19" s="1"/>
  <c r="H90" i="19" s="1"/>
  <c r="G103" i="19" a="1"/>
  <c r="G103" i="19" s="1"/>
  <c r="H103" i="19" s="1"/>
  <c r="G91" i="19" a="1"/>
  <c r="G91" i="19" s="1"/>
  <c r="H91" i="19" s="1"/>
  <c r="G104" i="19" a="1"/>
  <c r="G104" i="19" s="1"/>
  <c r="H104" i="19" s="1"/>
  <c r="G92" i="19" a="1"/>
  <c r="G92" i="19" s="1"/>
  <c r="H92" i="19" s="1"/>
  <c r="G105" i="19" a="1"/>
  <c r="G105" i="19" s="1"/>
  <c r="H105" i="19" s="1"/>
  <c r="G106" i="19" a="1"/>
  <c r="G106" i="19" s="1"/>
  <c r="H106" i="19" s="1"/>
  <c r="G93" i="19" a="1"/>
  <c r="G93" i="19" s="1"/>
  <c r="H93" i="19" s="1"/>
  <c r="G107" i="19" a="1"/>
  <c r="G107" i="19" s="1"/>
  <c r="H107" i="19" s="1"/>
  <c r="G108" i="19" a="1"/>
  <c r="G108" i="19" s="1"/>
  <c r="H108" i="19" s="1"/>
  <c r="G94" i="19" a="1"/>
  <c r="G94" i="19" s="1"/>
  <c r="G109" i="19" a="1"/>
  <c r="G109" i="19" s="1"/>
  <c r="H109" i="19" s="1"/>
  <c r="G85" i="19" a="1"/>
  <c r="G85" i="19" s="1"/>
  <c r="G86" i="19" a="1"/>
  <c r="G86" i="19" s="1"/>
  <c r="H86" i="19" s="1"/>
  <c r="G87" i="19" a="1"/>
  <c r="G87" i="19" s="1"/>
  <c r="H87" i="19" s="1"/>
  <c r="G100" i="19" a="1"/>
  <c r="G100" i="19" s="1"/>
  <c r="F100" i="19"/>
  <c r="J100" i="19" s="1"/>
  <c r="J104" i="19"/>
  <c r="J105" i="19"/>
  <c r="J101" i="19"/>
  <c r="J102" i="19"/>
  <c r="J85" i="19"/>
  <c r="J88" i="19"/>
  <c r="J86" i="19"/>
  <c r="J90" i="19"/>
  <c r="H67" i="19" a="1"/>
  <c r="H67" i="19" s="1"/>
  <c r="I67" i="19" s="1"/>
  <c r="H78" i="19" a="1"/>
  <c r="H78" i="19" s="1"/>
  <c r="H68" i="19" a="1"/>
  <c r="H68" i="19" s="1"/>
  <c r="H79" i="19" a="1"/>
  <c r="H79" i="19" s="1"/>
  <c r="H69" i="19" a="1"/>
  <c r="H69" i="19" s="1"/>
  <c r="H70" i="19" a="1"/>
  <c r="H70" i="19" s="1"/>
  <c r="H60" i="19" a="1"/>
  <c r="H60" i="19" s="1"/>
  <c r="I60" i="19" s="1"/>
  <c r="H71" i="19" a="1"/>
  <c r="H71" i="19" s="1"/>
  <c r="H61" i="19" a="1"/>
  <c r="H61" i="19" s="1"/>
  <c r="I61" i="19" s="1"/>
  <c r="H72" i="19" a="1"/>
  <c r="H72" i="19" s="1"/>
  <c r="H62" i="19" a="1"/>
  <c r="H62" i="19" s="1"/>
  <c r="I62" i="19" s="1"/>
  <c r="H73" i="19" a="1"/>
  <c r="H73" i="19" s="1"/>
  <c r="H63" i="19" a="1"/>
  <c r="H63" i="19" s="1"/>
  <c r="I63" i="19" s="1"/>
  <c r="H74" i="19" a="1"/>
  <c r="H74" i="19" s="1"/>
  <c r="H64" i="19" a="1"/>
  <c r="H64" i="19" s="1"/>
  <c r="I64" i="19" s="1"/>
  <c r="H75" i="19" a="1"/>
  <c r="H75" i="19" s="1"/>
  <c r="H65" i="19" a="1"/>
  <c r="H65" i="19" s="1"/>
  <c r="I65" i="19" s="1"/>
  <c r="H76" i="19" a="1"/>
  <c r="H76" i="19" s="1"/>
  <c r="H66" i="19" a="1"/>
  <c r="H66" i="19" s="1"/>
  <c r="H77" i="19" a="1"/>
  <c r="H77" i="19" s="1"/>
  <c r="H30" i="19" a="1"/>
  <c r="H30" i="19" s="1"/>
  <c r="H31" i="19" a="1"/>
  <c r="H31" i="19" s="1"/>
  <c r="H46" i="19" a="1"/>
  <c r="H46" i="19" s="1"/>
  <c r="H44" i="19" a="1"/>
  <c r="H44" i="19" s="1"/>
  <c r="H35" i="19" a="1"/>
  <c r="H35" i="19" s="1"/>
  <c r="H54" i="19" a="1"/>
  <c r="H54" i="19" s="1"/>
  <c r="H49" i="19" a="1"/>
  <c r="H49" i="19" s="1"/>
  <c r="H53" i="19" a="1"/>
  <c r="H53" i="19" s="1"/>
  <c r="H34" i="19" a="1"/>
  <c r="H34" i="19" s="1"/>
  <c r="H45" i="19" a="1"/>
  <c r="H45" i="19" s="1"/>
  <c r="H36" i="19" a="1"/>
  <c r="H36" i="19" s="1"/>
  <c r="H37" i="19" a="1"/>
  <c r="H37" i="19" s="1"/>
  <c r="H47" i="19" a="1"/>
  <c r="H47" i="19" s="1"/>
  <c r="H48" i="19" a="1"/>
  <c r="H48" i="19" s="1"/>
  <c r="H39" i="19" a="1"/>
  <c r="H39" i="19" s="1"/>
  <c r="H32" i="19" a="1"/>
  <c r="H32" i="19" s="1"/>
  <c r="H40" i="19" a="1"/>
  <c r="H40" i="19" s="1"/>
  <c r="H38" i="19" a="1"/>
  <c r="H38" i="19" s="1"/>
  <c r="H33" i="19" a="1"/>
  <c r="H33" i="19" s="1"/>
  <c r="H41" i="19" a="1"/>
  <c r="H41" i="19" s="1"/>
  <c r="H50" i="19" a="1"/>
  <c r="H50" i="19" s="1"/>
  <c r="H42" i="19" a="1"/>
  <c r="H42" i="19" s="1"/>
  <c r="H51" i="19" a="1"/>
  <c r="H51" i="19" s="1"/>
  <c r="H43" i="19" a="1"/>
  <c r="H43" i="19" s="1"/>
  <c r="H52" i="19" a="1"/>
  <c r="H52" i="19" s="1"/>
  <c r="I20" i="7"/>
  <c r="V20" i="7"/>
  <c r="H100" i="19" l="1"/>
  <c r="J108" i="19"/>
  <c r="J107" i="19"/>
  <c r="J106" i="19"/>
  <c r="J109" i="19"/>
  <c r="J92" i="19"/>
  <c r="J93" i="19"/>
  <c r="J91" i="19"/>
  <c r="H94" i="19"/>
  <c r="J94" i="19"/>
  <c r="H85" i="19"/>
  <c r="K67" i="19"/>
  <c r="K73" i="19"/>
  <c r="I73" i="19"/>
  <c r="K72" i="19"/>
  <c r="I72" i="19"/>
  <c r="I71" i="19"/>
  <c r="K71" i="19"/>
  <c r="K77" i="19"/>
  <c r="I77" i="19"/>
  <c r="I66" i="19"/>
  <c r="K66" i="19"/>
  <c r="I70" i="19"/>
  <c r="K70" i="19"/>
  <c r="I69" i="19"/>
  <c r="K69" i="19"/>
  <c r="K76" i="19"/>
  <c r="I76" i="19"/>
  <c r="K79" i="19"/>
  <c r="I79" i="19"/>
  <c r="I68" i="19"/>
  <c r="K68" i="19"/>
  <c r="K75" i="19"/>
  <c r="I75" i="19"/>
  <c r="K78" i="19"/>
  <c r="I78" i="19"/>
  <c r="K74" i="19"/>
  <c r="I74" i="19"/>
  <c r="W19" i="7" l="1"/>
  <c r="F19" i="7"/>
  <c r="G19" i="7"/>
  <c r="I19" i="7" s="1"/>
  <c r="J19" i="7" a="1"/>
  <c r="J19" i="7" s="1"/>
  <c r="K19" i="7" a="1"/>
  <c r="K19" i="7" s="1"/>
  <c r="L19" i="7" a="1"/>
  <c r="L19" i="7" s="1"/>
  <c r="M19" i="7" a="1"/>
  <c r="M19" i="7" s="1"/>
  <c r="N19" i="7" a="1"/>
  <c r="N19" i="7" s="1"/>
  <c r="O19" i="7" a="1"/>
  <c r="O19" i="7" s="1"/>
  <c r="P19" i="7" a="1"/>
  <c r="P19" i="7" s="1"/>
  <c r="Q19" i="7" a="1"/>
  <c r="Q19" i="7" s="1"/>
  <c r="R19" i="7" a="1"/>
  <c r="R19" i="7" s="1"/>
  <c r="S19" i="7" a="1"/>
  <c r="S19" i="7" s="1"/>
  <c r="T19" i="7" a="1"/>
  <c r="T19" i="7" s="1"/>
  <c r="U19" i="7" a="1"/>
  <c r="U19" i="7" s="1"/>
  <c r="X19" i="7"/>
  <c r="D38" i="6" a="1"/>
  <c r="D38" i="6" s="1"/>
  <c r="E38" i="6" a="1"/>
  <c r="E38" i="6" s="1"/>
  <c r="F38" i="6" a="1"/>
  <c r="F38" i="6" s="1"/>
  <c r="G38" i="6" a="1"/>
  <c r="G38" i="6" s="1"/>
  <c r="H38" i="6" a="1"/>
  <c r="H38" i="6" s="1"/>
  <c r="I38" i="6" a="1"/>
  <c r="I38" i="6" s="1"/>
  <c r="F25" i="7"/>
  <c r="G25" i="7" s="1"/>
  <c r="V19" i="7" l="1"/>
  <c r="V23" i="6" l="1" a="1"/>
  <c r="V23" i="6" s="1"/>
  <c r="V22" i="6" a="1"/>
  <c r="V22" i="6" s="1"/>
  <c r="V21" i="6" a="1"/>
  <c r="V21" i="6" s="1"/>
  <c r="V20" i="6" a="1"/>
  <c r="V20" i="6" s="1"/>
  <c r="V18" i="6" a="1"/>
  <c r="V18" i="6" s="1"/>
  <c r="V17" i="6" a="1"/>
  <c r="V17" i="6" s="1"/>
  <c r="H18" i="7"/>
  <c r="E178" i="19" l="1" a="1"/>
  <c r="K178" i="19" a="1"/>
  <c r="N178" i="19" a="1"/>
  <c r="N178" i="19" s="1"/>
  <c r="Q178" i="19" a="1"/>
  <c r="Q178" i="19" s="1"/>
  <c r="K178" i="19" l="1"/>
  <c r="F184" i="19"/>
  <c r="G184" i="19" s="1"/>
  <c r="F183" i="19"/>
  <c r="G183" i="19" s="1"/>
  <c r="F182" i="19"/>
  <c r="G182" i="19" s="1"/>
  <c r="F181" i="19"/>
  <c r="G181" i="19" s="1"/>
  <c r="F180" i="19"/>
  <c r="G180" i="19" s="1"/>
  <c r="F179" i="19"/>
  <c r="G179" i="19" s="1"/>
  <c r="F187" i="19"/>
  <c r="G187" i="19" s="1"/>
  <c r="F185" i="19"/>
  <c r="G185" i="19" s="1"/>
  <c r="F186" i="19"/>
  <c r="G186" i="19" s="1"/>
  <c r="E178" i="19"/>
  <c r="I187" i="19"/>
  <c r="I186" i="19"/>
  <c r="I180" i="19"/>
  <c r="I185" i="19"/>
  <c r="I184" i="19"/>
  <c r="I183" i="19"/>
  <c r="I182" i="19"/>
  <c r="I181" i="19"/>
  <c r="I179" i="19"/>
  <c r="I178" i="19" l="1"/>
  <c r="F178" i="19"/>
  <c r="G178" i="19" s="1"/>
  <c r="A39" i="15"/>
  <c r="A38" i="15"/>
  <c r="A37" i="15"/>
  <c r="A36" i="15"/>
  <c r="A33" i="15"/>
  <c r="A30" i="15"/>
  <c r="A29" i="15"/>
  <c r="A28" i="15"/>
  <c r="A27" i="15"/>
  <c r="A26" i="15"/>
  <c r="A25" i="15"/>
  <c r="A24" i="15"/>
  <c r="A19" i="15"/>
  <c r="A18" i="15"/>
  <c r="A15" i="15"/>
  <c r="A14" i="15"/>
  <c r="A13" i="15"/>
  <c r="A12" i="15"/>
  <c r="A11" i="15"/>
  <c r="A10" i="15"/>
  <c r="A9" i="15"/>
  <c r="A8" i="15"/>
  <c r="A7" i="15"/>
  <c r="A4" i="15"/>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G53" i="19" l="1" a="1"/>
  <c r="G53" i="19" s="1"/>
  <c r="G52" i="19" a="1"/>
  <c r="G52" i="19" s="1"/>
  <c r="G51" i="19" a="1"/>
  <c r="G51" i="19" s="1"/>
  <c r="G50" i="19" a="1"/>
  <c r="G50" i="19" s="1"/>
  <c r="G33" i="19" a="1"/>
  <c r="G33" i="19" s="1"/>
  <c r="G32" i="19" a="1"/>
  <c r="G32" i="19" s="1"/>
  <c r="G31" i="19" a="1"/>
  <c r="G31" i="19" s="1"/>
  <c r="G30" i="19" a="1"/>
  <c r="G30" i="19" s="1"/>
  <c r="G54" i="19" a="1"/>
  <c r="G54" i="19" s="1"/>
  <c r="G36" i="19" a="1"/>
  <c r="G36" i="19" s="1"/>
  <c r="G49" i="19" a="1"/>
  <c r="G49" i="19" s="1"/>
  <c r="G35" i="19" a="1"/>
  <c r="G35" i="19" s="1"/>
  <c r="G48" i="19" a="1"/>
  <c r="G48" i="19" s="1"/>
  <c r="G34" i="19" a="1"/>
  <c r="G34" i="19" s="1"/>
  <c r="G47" i="19" a="1"/>
  <c r="G47" i="19" s="1"/>
  <c r="G46" i="19" a="1"/>
  <c r="G46" i="19" s="1"/>
  <c r="G42" i="19" a="1"/>
  <c r="G42" i="19" s="1"/>
  <c r="G39" i="19" a="1"/>
  <c r="G39" i="19" s="1"/>
  <c r="G45" i="19" a="1"/>
  <c r="G45" i="19" s="1"/>
  <c r="G43" i="19" a="1"/>
  <c r="G43" i="19" s="1"/>
  <c r="G41" i="19" a="1"/>
  <c r="G41" i="19" s="1"/>
  <c r="G44" i="19" a="1"/>
  <c r="G44" i="19" s="1"/>
  <c r="G40" i="19" a="1"/>
  <c r="G40" i="19" s="1"/>
  <c r="G38" i="19" a="1"/>
  <c r="G38" i="19" s="1"/>
  <c r="G37" i="19" a="1"/>
  <c r="G37" i="19" s="1"/>
  <c r="P25" i="7"/>
  <c r="S18" i="7" a="1"/>
  <c r="S18" i="7" s="1"/>
  <c r="Y6" i="19" s="1" a="1"/>
  <c r="Y6" i="19" s="1"/>
  <c r="F18" i="7"/>
  <c r="J18" i="7" a="1"/>
  <c r="J18" i="7" s="1"/>
  <c r="T18" i="7" a="1"/>
  <c r="T18" i="7" s="1"/>
  <c r="R18" i="7" a="1"/>
  <c r="R18" i="7" s="1"/>
  <c r="X6" i="19" s="1" a="1"/>
  <c r="K18" i="7" a="1"/>
  <c r="K18" i="7" s="1"/>
  <c r="M6" i="19" s="1" a="1"/>
  <c r="G18" i="7"/>
  <c r="M18" i="7" a="1"/>
  <c r="M18" i="7" s="1"/>
  <c r="P6" i="19" s="1" a="1"/>
  <c r="P6" i="19" s="1"/>
  <c r="Q18" i="7" a="1"/>
  <c r="Q18" i="7" s="1"/>
  <c r="V6" i="19" s="1" a="1"/>
  <c r="V6" i="19" s="1"/>
  <c r="P18" i="7" a="1"/>
  <c r="P18" i="7" s="1"/>
  <c r="O18" i="7" a="1"/>
  <c r="O18" i="7" s="1"/>
  <c r="S6" i="19" s="1" a="1"/>
  <c r="S6" i="19" s="1"/>
  <c r="N18" i="7" a="1"/>
  <c r="N18" i="7" s="1"/>
  <c r="R6" i="19" s="1" a="1"/>
  <c r="L18" i="7" a="1"/>
  <c r="L18" i="7" s="1"/>
  <c r="O6" i="19" s="1" a="1"/>
  <c r="X18" i="7"/>
  <c r="K6" i="19" s="1" a="1"/>
  <c r="K6" i="19" s="1"/>
  <c r="W18" i="7"/>
  <c r="J6" i="19" s="1" a="1"/>
  <c r="J6" i="19" s="1"/>
  <c r="U18" i="7" a="1"/>
  <c r="U18" i="7" s="1"/>
  <c r="AB6" i="19" s="1" a="1"/>
  <c r="AB6" i="19" s="1"/>
  <c r="J45" i="7"/>
  <c r="D32" i="7"/>
  <c r="J44" i="7"/>
  <c r="D25" i="1" a="1"/>
  <c r="D25" i="1" s="1"/>
  <c r="P24" i="7"/>
  <c r="K47" i="19" l="1"/>
  <c r="I47" i="19"/>
  <c r="I34" i="19"/>
  <c r="K34" i="19"/>
  <c r="K48" i="19"/>
  <c r="I48" i="19"/>
  <c r="K35" i="19"/>
  <c r="I35" i="19"/>
  <c r="I37" i="19"/>
  <c r="K37" i="19"/>
  <c r="I49" i="19"/>
  <c r="K49" i="19"/>
  <c r="K44" i="19"/>
  <c r="I44" i="19"/>
  <c r="I41" i="19"/>
  <c r="K41" i="19"/>
  <c r="I43" i="19"/>
  <c r="K43" i="19"/>
  <c r="K45" i="19"/>
  <c r="I45" i="19"/>
  <c r="K39" i="19"/>
  <c r="I39" i="19"/>
  <c r="I42" i="19"/>
  <c r="K42" i="19"/>
  <c r="I46" i="19"/>
  <c r="K46" i="19"/>
  <c r="I38" i="19"/>
  <c r="K38" i="19"/>
  <c r="K36" i="19"/>
  <c r="I36" i="19"/>
  <c r="K40" i="19"/>
  <c r="I40" i="19"/>
  <c r="I54" i="19"/>
  <c r="K54" i="19"/>
  <c r="K30" i="19"/>
  <c r="I30" i="19"/>
  <c r="I31" i="19"/>
  <c r="K31" i="19"/>
  <c r="K32" i="19"/>
  <c r="I32" i="19"/>
  <c r="K33" i="19"/>
  <c r="I33" i="19"/>
  <c r="K50" i="19"/>
  <c r="I50" i="19"/>
  <c r="I51" i="19"/>
  <c r="K51" i="19"/>
  <c r="I52" i="19"/>
  <c r="K52" i="19"/>
  <c r="I53" i="19"/>
  <c r="K53" i="19"/>
  <c r="X6" i="19"/>
  <c r="Z6" i="19" s="1" a="1"/>
  <c r="Z6" i="19" s="1"/>
  <c r="Z15" i="19" a="1"/>
  <c r="Z15" i="19" s="1"/>
  <c r="Z14" i="19" a="1"/>
  <c r="Z14" i="19" s="1"/>
  <c r="Z13" i="19" a="1"/>
  <c r="Z13" i="19" s="1"/>
  <c r="Z20" i="19" a="1"/>
  <c r="Z20" i="19" s="1"/>
  <c r="Z25" i="19" a="1"/>
  <c r="Z25" i="19" s="1"/>
  <c r="Z12" i="19" a="1"/>
  <c r="Z12" i="19" s="1"/>
  <c r="Z24" i="19" a="1"/>
  <c r="Z24" i="19" s="1"/>
  <c r="Z11" i="19" a="1"/>
  <c r="Z11" i="19" s="1"/>
  <c r="Z23" i="19" a="1"/>
  <c r="Z23" i="19" s="1"/>
  <c r="Z10" i="19" a="1"/>
  <c r="Z10" i="19" s="1"/>
  <c r="Z9" i="19" a="1"/>
  <c r="Z9" i="19" s="1"/>
  <c r="Z22" i="19" a="1"/>
  <c r="Z22" i="19" s="1"/>
  <c r="Z8" i="19" a="1"/>
  <c r="Z8" i="19" s="1"/>
  <c r="Z21" i="19" a="1"/>
  <c r="Z21" i="19" s="1"/>
  <c r="Z19" i="19" a="1"/>
  <c r="Z19" i="19" s="1"/>
  <c r="Z16" i="19" a="1"/>
  <c r="Z16" i="19" s="1"/>
  <c r="Z18" i="19" a="1"/>
  <c r="Z18" i="19" s="1"/>
  <c r="Z17" i="19" a="1"/>
  <c r="Z17" i="19" s="1"/>
  <c r="M6" i="19"/>
  <c r="O6" i="19"/>
  <c r="Q20" i="19" a="1"/>
  <c r="Q20" i="19" s="1"/>
  <c r="Q9" i="19" a="1"/>
  <c r="Q9" i="19" s="1"/>
  <c r="Q19" i="19" a="1"/>
  <c r="Q19" i="19" s="1"/>
  <c r="Q8" i="19" a="1"/>
  <c r="Q8" i="19" s="1"/>
  <c r="Q18" i="19" a="1"/>
  <c r="Q18" i="19" s="1"/>
  <c r="Q17" i="19" a="1"/>
  <c r="Q17" i="19" s="1"/>
  <c r="Q16" i="19" a="1"/>
  <c r="Q16" i="19" s="1"/>
  <c r="Q10" i="19" a="1"/>
  <c r="Q10" i="19" s="1"/>
  <c r="Q15" i="19" a="1"/>
  <c r="Q15" i="19" s="1"/>
  <c r="Q13" i="19" a="1"/>
  <c r="Q13" i="19" s="1"/>
  <c r="Q25" i="19" a="1"/>
  <c r="Q25" i="19" s="1"/>
  <c r="Q14" i="19" a="1"/>
  <c r="Q14" i="19" s="1"/>
  <c r="Q24" i="19" a="1"/>
  <c r="Q24" i="19" s="1"/>
  <c r="Q23" i="19" a="1"/>
  <c r="Q23" i="19" s="1"/>
  <c r="Q12" i="19" a="1"/>
  <c r="Q12" i="19" s="1"/>
  <c r="Q21" i="19" a="1"/>
  <c r="Q21" i="19" s="1"/>
  <c r="Q22" i="19" a="1"/>
  <c r="Q22" i="19" s="1"/>
  <c r="Q11" i="19" a="1"/>
  <c r="Q11" i="19" s="1"/>
  <c r="R6" i="19"/>
  <c r="T6" i="19" s="1" a="1"/>
  <c r="T6" i="19" s="1"/>
  <c r="T14" i="19" a="1"/>
  <c r="T14" i="19" s="1"/>
  <c r="T13" i="19" a="1"/>
  <c r="T13" i="19" s="1"/>
  <c r="T12" i="19" a="1"/>
  <c r="T12" i="19" s="1"/>
  <c r="T25" i="19" a="1"/>
  <c r="T25" i="19" s="1"/>
  <c r="T11" i="19" a="1"/>
  <c r="T11" i="19" s="1"/>
  <c r="T24" i="19" a="1"/>
  <c r="T24" i="19" s="1"/>
  <c r="T10" i="19" a="1"/>
  <c r="T10" i="19" s="1"/>
  <c r="T23" i="19" a="1"/>
  <c r="T23" i="19" s="1"/>
  <c r="T9" i="19" a="1"/>
  <c r="T9" i="19" s="1"/>
  <c r="T19" i="19" a="1"/>
  <c r="T19" i="19" s="1"/>
  <c r="T22" i="19" a="1"/>
  <c r="T22" i="19" s="1"/>
  <c r="T8" i="19" a="1"/>
  <c r="T8" i="19" s="1"/>
  <c r="T15" i="19" a="1"/>
  <c r="T15" i="19" s="1"/>
  <c r="T21" i="19" a="1"/>
  <c r="T21" i="19" s="1"/>
  <c r="T20" i="19" a="1"/>
  <c r="T20" i="19" s="1"/>
  <c r="T18" i="19" a="1"/>
  <c r="T18" i="19" s="1"/>
  <c r="T17" i="19" a="1"/>
  <c r="T17" i="19" s="1"/>
  <c r="T16" i="19" a="1"/>
  <c r="T16" i="19" s="1"/>
  <c r="U6" i="19" a="1"/>
  <c r="AA6" i="19" a="1"/>
  <c r="L6" i="19" a="1"/>
  <c r="Q7" i="19" a="1"/>
  <c r="Q7" i="19" s="1"/>
  <c r="T7" i="19" a="1"/>
  <c r="T7" i="19" s="1"/>
  <c r="Z7" i="19" a="1"/>
  <c r="Z7" i="19" s="1"/>
  <c r="Q6" i="19" a="1"/>
  <c r="Q6" i="19" s="1"/>
  <c r="I18" i="7"/>
  <c r="V18" i="7"/>
  <c r="E28" i="1" a="1"/>
  <c r="E28" i="1" s="1"/>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E25" i="1" l="1" a="1"/>
  <c r="E25" i="1" s="1"/>
  <c r="E41" i="1" a="1"/>
  <c r="E41" i="1" s="1"/>
  <c r="E40" i="1" a="1"/>
  <c r="E40" i="1" s="1"/>
  <c r="E36" i="1" a="1"/>
  <c r="E36" i="1" s="1"/>
  <c r="E38" i="1" a="1"/>
  <c r="E38" i="1" s="1"/>
  <c r="E29" i="1" a="1"/>
  <c r="E29" i="1" s="1"/>
  <c r="E34" i="1" a="1"/>
  <c r="E34" i="1" s="1"/>
  <c r="E39" i="1" a="1"/>
  <c r="E39" i="1" s="1"/>
  <c r="AA6" i="19"/>
  <c r="AC6" i="19" s="1" a="1"/>
  <c r="AC6" i="19" s="1"/>
  <c r="AC22" i="19" a="1"/>
  <c r="AC22" i="19" s="1"/>
  <c r="AC10" i="19" a="1"/>
  <c r="AC10" i="19" s="1"/>
  <c r="AC23" i="19" a="1"/>
  <c r="AC23" i="19" s="1"/>
  <c r="AC21" i="19" a="1"/>
  <c r="AC21" i="19" s="1"/>
  <c r="AC9" i="19" a="1"/>
  <c r="AC9" i="19" s="1"/>
  <c r="AC14" i="19" a="1"/>
  <c r="AC14" i="19" s="1"/>
  <c r="AC11" i="19" a="1"/>
  <c r="AC11" i="19" s="1"/>
  <c r="AC8" i="19" a="1"/>
  <c r="AC8" i="19" s="1"/>
  <c r="AC20" i="19" a="1"/>
  <c r="AC20" i="19" s="1"/>
  <c r="AC19" i="19" a="1"/>
  <c r="AC19" i="19" s="1"/>
  <c r="AC18" i="19" a="1"/>
  <c r="AC18" i="19" s="1"/>
  <c r="AC17" i="19" a="1"/>
  <c r="AC17" i="19" s="1"/>
  <c r="AC16" i="19" a="1"/>
  <c r="AC16" i="19" s="1"/>
  <c r="AC15" i="19" a="1"/>
  <c r="AC15" i="19" s="1"/>
  <c r="AC12" i="19" a="1"/>
  <c r="AC12" i="19" s="1"/>
  <c r="AC25" i="19" a="1"/>
  <c r="AC25" i="19" s="1"/>
  <c r="AC13" i="19" a="1"/>
  <c r="AC13" i="19" s="1"/>
  <c r="AC24" i="19" a="1"/>
  <c r="AC24" i="19" s="1"/>
  <c r="L6" i="19"/>
  <c r="N6" i="19" s="1" a="1"/>
  <c r="N6" i="19" s="1"/>
  <c r="N13" i="19" a="1"/>
  <c r="N13" i="19" s="1"/>
  <c r="N12" i="19" a="1"/>
  <c r="N12" i="19" s="1"/>
  <c r="N25" i="19" a="1"/>
  <c r="N25" i="19" s="1"/>
  <c r="N11" i="19" a="1"/>
  <c r="N11" i="19" s="1"/>
  <c r="N24" i="19" a="1"/>
  <c r="N24" i="19" s="1"/>
  <c r="N10" i="19" a="1"/>
  <c r="N10" i="19" s="1"/>
  <c r="N23" i="19" a="1"/>
  <c r="N23" i="19" s="1"/>
  <c r="N9" i="19" a="1"/>
  <c r="N9" i="19" s="1"/>
  <c r="N22" i="19" a="1"/>
  <c r="N22" i="19" s="1"/>
  <c r="N8" i="19" a="1"/>
  <c r="N8" i="19" s="1"/>
  <c r="N18" i="19" a="1"/>
  <c r="N18" i="19" s="1"/>
  <c r="N21" i="19" a="1"/>
  <c r="N21" i="19" s="1"/>
  <c r="N20" i="19" a="1"/>
  <c r="N20" i="19" s="1"/>
  <c r="N19" i="19" a="1"/>
  <c r="N19" i="19" s="1"/>
  <c r="N14" i="19" a="1"/>
  <c r="N14" i="19" s="1"/>
  <c r="N17" i="19" a="1"/>
  <c r="N17" i="19" s="1"/>
  <c r="N15" i="19" a="1"/>
  <c r="N15" i="19" s="1"/>
  <c r="N16" i="19" a="1"/>
  <c r="N16" i="19" s="1"/>
  <c r="U6" i="19"/>
  <c r="W6" i="19" s="1" a="1"/>
  <c r="W6" i="19" s="1"/>
  <c r="W24" i="19" a="1"/>
  <c r="W24" i="19" s="1"/>
  <c r="W20" i="19" a="1"/>
  <c r="W20" i="19" s="1"/>
  <c r="W9" i="19" a="1"/>
  <c r="W9" i="19" s="1"/>
  <c r="W19" i="19" a="1"/>
  <c r="W19" i="19" s="1"/>
  <c r="W8" i="19" a="1"/>
  <c r="W8" i="19" s="1"/>
  <c r="W18" i="19" a="1"/>
  <c r="W18" i="19" s="1"/>
  <c r="W17" i="19" a="1"/>
  <c r="W17" i="19" s="1"/>
  <c r="W11" i="19" a="1"/>
  <c r="W11" i="19" s="1"/>
  <c r="W16" i="19" a="1"/>
  <c r="W16" i="19" s="1"/>
  <c r="W10" i="19" a="1"/>
  <c r="W10" i="19" s="1"/>
  <c r="W15" i="19" a="1"/>
  <c r="W15" i="19" s="1"/>
  <c r="W25" i="19" a="1"/>
  <c r="W25" i="19" s="1"/>
  <c r="W14" i="19" a="1"/>
  <c r="W14" i="19" s="1"/>
  <c r="W21" i="19" a="1"/>
  <c r="W21" i="19" s="1"/>
  <c r="W13" i="19" a="1"/>
  <c r="W13" i="19" s="1"/>
  <c r="W22" i="19" a="1"/>
  <c r="W22" i="19" s="1"/>
  <c r="W23" i="19" a="1"/>
  <c r="W23" i="19" s="1"/>
  <c r="W12" i="19" a="1"/>
  <c r="W12" i="19" s="1"/>
  <c r="N7" i="19" a="1"/>
  <c r="N7" i="19" s="1"/>
  <c r="E6" i="19" a="1"/>
  <c r="AC7" i="19" a="1"/>
  <c r="AC7" i="19" s="1"/>
  <c r="W7" i="19" a="1"/>
  <c r="W7" i="19" s="1"/>
  <c r="E26" i="1" a="1"/>
  <c r="E26" i="1" s="1"/>
  <c r="E33" i="1" a="1"/>
  <c r="E33" i="1" s="1"/>
  <c r="E30" i="1" a="1"/>
  <c r="E30" i="1" s="1"/>
  <c r="E31" i="1" a="1"/>
  <c r="E31" i="1" s="1"/>
  <c r="E32" i="1" a="1"/>
  <c r="E32" i="1" s="1"/>
  <c r="E35" i="1" a="1"/>
  <c r="E35" i="1" s="1"/>
  <c r="E37" i="1" a="1"/>
  <c r="E37" i="1" s="1"/>
  <c r="E27" i="1" a="1"/>
  <c r="E27" i="1" s="1"/>
  <c r="E42" i="1" a="1"/>
  <c r="E42" i="1" s="1"/>
  <c r="F20" i="1"/>
  <c r="F19" i="1"/>
  <c r="F18" i="1"/>
  <c r="F17" i="1"/>
  <c r="F16" i="1"/>
  <c r="F15" i="1"/>
  <c r="D20" i="1"/>
  <c r="D19" i="1"/>
  <c r="D18" i="1"/>
  <c r="D17" i="1"/>
  <c r="D16" i="1"/>
  <c r="D15" i="1"/>
  <c r="D14" i="1"/>
  <c r="D13" i="1"/>
  <c r="D12" i="1"/>
  <c r="D11" i="1"/>
  <c r="D10" i="1"/>
  <c r="D9" i="1"/>
  <c r="D8" i="1"/>
  <c r="D7" i="1"/>
  <c r="D6" i="1"/>
  <c r="F6" i="19" l="1"/>
  <c r="F9" i="19"/>
  <c r="I9" i="19" s="1"/>
  <c r="F10" i="19"/>
  <c r="I10" i="19" s="1"/>
  <c r="F19" i="19"/>
  <c r="I19" i="19" s="1"/>
  <c r="F7" i="19"/>
  <c r="G7" i="19" s="1"/>
  <c r="F24" i="19"/>
  <c r="F16" i="19"/>
  <c r="F11" i="19"/>
  <c r="I11" i="19" s="1"/>
  <c r="F15" i="19"/>
  <c r="F25" i="19"/>
  <c r="F17" i="19"/>
  <c r="F12" i="19"/>
  <c r="F14" i="19"/>
  <c r="F13" i="19"/>
  <c r="F20" i="19"/>
  <c r="F21" i="19"/>
  <c r="F18" i="19"/>
  <c r="F8" i="19"/>
  <c r="G8" i="19" s="1"/>
  <c r="F23" i="19"/>
  <c r="F22" i="19"/>
  <c r="E6" i="19"/>
  <c r="I7" i="19"/>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G10" i="19" l="1"/>
  <c r="G19" i="19"/>
  <c r="G9" i="19"/>
  <c r="G11" i="19"/>
  <c r="G13" i="19"/>
  <c r="I13" i="19"/>
  <c r="G14" i="19"/>
  <c r="I14" i="19"/>
  <c r="G12" i="19"/>
  <c r="I12" i="19"/>
  <c r="G25" i="19"/>
  <c r="I25" i="19"/>
  <c r="G15" i="19"/>
  <c r="I15" i="19"/>
  <c r="G17" i="19"/>
  <c r="I17" i="19"/>
  <c r="G16" i="19"/>
  <c r="I16" i="19"/>
  <c r="G22" i="19"/>
  <c r="I22" i="19"/>
  <c r="G24" i="19"/>
  <c r="I24" i="19"/>
  <c r="G23" i="19"/>
  <c r="I23" i="19"/>
  <c r="G18" i="19"/>
  <c r="I18" i="19"/>
  <c r="G21" i="19"/>
  <c r="I21" i="19"/>
  <c r="G20" i="19"/>
  <c r="I20" i="19"/>
  <c r="I8" i="19"/>
  <c r="I6" i="19"/>
  <c r="G6" i="19"/>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<sst xmlns="http://schemas.openxmlformats.org/spreadsheetml/2006/main" count="898" uniqueCount="501">
  <si>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</si>
  <si>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</si>
  <si>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</si>
  <si>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</si>
  <si>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</si>
  <si>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</si>
  <si>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</si>
  <si>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</si>
  <si>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</si>
  <si>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</si>
  <si>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</si>
  <si>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</si>
  <si>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</si>
  <si>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</si>
  <si>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</si>
  <si>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</si>
  <si>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</si>
  <si>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</si>
  <si>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</si>
  <si>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</si>
  <si>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</si>
  <si>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</si>
  <si>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</si>
  <si>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</si>
  <si>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</si>
  <si>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</si>
  <si>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</si>
  <si>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</si>
  <si>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</si>
  <si>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</si>
  <si>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</si>
  <si>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</si>
  <si>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</si>
  <si>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</si>
  <si>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</si>
  <si>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</si>
  <si>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</si>
  <si>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</si>
  <si>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</si>
  <si>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</si>
  <si>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</si>
  <si>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</si>
  <si>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</si>
  <si>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</si>
  <si>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</si>
  <si>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</si>
  <si>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</si>
  <si>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</si>
  <si>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</si>
  <si>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</si>
  <si>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</si>
  <si>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</si>
  <si>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</si>
  <si>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</si>
  <si>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</si>
  <si>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</si>
  <si>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</si>
  <si>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</si>
  <si>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</si>
  <si>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</si>
  <si>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</si>
  <si>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</si>
  <si>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</si>
  <si>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</si>
  <si>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</si>
  <si>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</si>
  <si>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</si>
  <si>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</si>
  <si>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</si>
  <si>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</si>
  <si>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</si>
  <si>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</si>
  <si>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</si>
  <si>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</si>
  <si>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</si>
  <si>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</si>
  <si>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</si>
  <si>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</si>
  <si>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</si>
  <si>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</si>
  <si>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</si>
  <si>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</si>
  <si>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</si>
  <si>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</si>
  <si>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</si>
  <si>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</si>
  <si>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</si>
  <si>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</si>
  <si>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</si>
  <si>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</si>
  <si>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</si>
  <si>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</si>
  <si>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</si>
  <si>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</si>
  <si>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</si>
  <si>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</si>
  <si>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</si>
  <si>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</si>
  <si>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</si>
  <si>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</si>
  <si>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</si>
  <si>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</si>
  <si>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</si>
  <si>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</si>
  <si>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</si>
  <si>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</si>
  <si>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</si>
  <si>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</si>
  <si>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</si>
  <si>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</si>
  <si>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</si>
  <si>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</si>
  <si>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</si>
  <si>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</si>
  <si>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</si>
  <si>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</si>
  <si>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</si>
  <si>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</si>
  <si>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</si>
  <si>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</si>
  <si>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</si>
  <si>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</si>
  <si>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</si>
  <si>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</si>
  <si>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</si>
  <si>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</si>
  <si>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</si>
  <si>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</si>
  <si>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</si>
  <si>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</si>
  <si>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</si>
  <si>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</si>
  <si>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</si>
  <si>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</si>
  <si>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</si>
  <si>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</si>
  <si>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</si>
  <si>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</si>
  <si>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</si>
  <si>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</si>
  <si>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</si>
  <si>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</si>
  <si>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</si>
  <si>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</si>
  <si>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</si>
  <si>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</si>
  <si>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</si>
  <si>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</si>
  <si>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</si>
  <si>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</si>
  <si>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</si>
  <si>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</si>
  <si>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</si>
  <si>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</si>
  <si>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</si>
  <si>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</si>
  <si>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</si>
  <si>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</si>
  <si>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</si>
  <si>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</si>
  <si>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</si>
  <si>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</si>
  <si>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</si>
  <si>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</si>
  <si>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</si>
  <si>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</si>
  <si>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</si>
  <si>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</si>
  <si>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</si>
  <si>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</si>
  <si>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</si>
  <si>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</si>
  <si>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</si>
  <si>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</si>
  <si>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</si>
  <si>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</si>
  <si>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</si>
  <si>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</si>
  <si>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</si>
  <si>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</si>
  <si>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</si>
  <si>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</si>
  <si>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</si>
  <si>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</si>
  <si>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</si>
  <si>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</si>
  <si>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</si>
  <si>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</si>
  <si>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</si>
  <si>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</si>
  <si>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</si>
  <si>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</si>
  <si>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</si>
  <si>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</si>
  <si>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</si>
  <si>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</si>
  <si>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</si>
  <si>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</si>
  <si>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</si>
  <si>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</si>
  <si>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</si>
  <si>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</si>
  <si>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</si>
  <si>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</si>
  <si>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</si>
  <si>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</si>
  <si>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</si>
  <si>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</si>
  <si>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</si>
  <si>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</si>
  <si>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</si>
  <si>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</si>
  <si>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</si>
  <si>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</si>
  <si>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</si>
  <si>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</si>
  <si>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</si>
  <si>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</si>
  <si>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</si>
  <si>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</si>
  <si>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</si>
  <si>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</si>
  <si>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</si>
  <si>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</si>
  <si>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</si>
  <si>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</si>
  <si>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</si>
  <si>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</si>
  <si>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</si>
  <si>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</si>
  <si>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</si>
  <si>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</si>
  <si>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</si>
  <si>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</si>
  <si>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</si>
  <si>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</si>
  <si>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</si>
  <si>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</si>
  <si>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</si>
  <si>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</si>
  <si>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</si>
  <si>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</si>
  <si>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</si>
  <si>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</si>
  <si>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</si>
  <si>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</si>
  <si>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</si>
  <si>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</si>
  <si>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</si>
  <si>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</si>
  <si>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</si>
  <si>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</si>
  <si>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</si>
  <si>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</si>
  <si>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</si>
  <si>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</si>
  <si>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</si>
  <si>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</si>
  <si>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</si>
  <si>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</si>
  <si>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</si>
  <si>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</si>
  <si>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</si>
  <si>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</si>
  <si>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</si>
  <si>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</si>
  <si>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</si>
  <si>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</si>
  <si>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</si>
  <si>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</si>
  <si>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</si>
  <si>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</si>
  <si>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</si>
  <si>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</si>
  <si>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</si>
  <si>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</si>
  <si>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</si>
  <si>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</si>
  <si>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</si>
  <si>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</si>
  <si>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</si>
  <si>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</si>
  <si>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</si>
  <si>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</si>
  <si>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</si>
  <si>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</si>
  <si>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</si>
  <si>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</si>
  <si>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</si>
  <si>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</si>
  <si>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</si>
  <si>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</si>
  <si>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</si>
  <si>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</si>
  <si>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</si>
  <si>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</si>
  <si>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</si>
  <si>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</si>
  <si>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</si>
  <si>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Home</t>
  </si>
  <si>
    <t>Chemical compound</t>
  </si>
  <si>
    <t>Quantity</t>
  </si>
  <si>
    <t>Quantity Unit</t>
  </si>
  <si>
    <t>AusLCI Emissions intensity</t>
  </si>
  <si>
    <t>Waste</t>
  </si>
  <si>
    <t>Freight and transport</t>
  </si>
  <si>
    <t>N2O MMS</t>
  </si>
  <si>
    <t>Enteric methane</t>
  </si>
  <si>
    <t>Sources &amp; acknowledgements</t>
  </si>
  <si>
    <t>Type</t>
  </si>
  <si>
    <t>Input - Other farm inputs</t>
  </si>
  <si>
    <t>Tip: You can add more rows to the table by right-clicking on the table and selecting "Insert &gt; Table rows above/below".</t>
  </si>
  <si>
    <t>Packaging name</t>
  </si>
  <si>
    <t>Quantity purchased</t>
  </si>
  <si>
    <t>Cleaning chemicals</t>
  </si>
  <si>
    <t>White king</t>
  </si>
  <si>
    <t>Bleach</t>
  </si>
  <si>
    <t>Input - Purchased feed - Livestock</t>
  </si>
  <si>
    <t>Supplemental feed</t>
  </si>
  <si>
    <t>Lick blocks</t>
  </si>
  <si>
    <t>Feed blends</t>
  </si>
  <si>
    <t>Feed blend name</t>
  </si>
  <si>
    <t>Amount fed (kg)</t>
  </si>
  <si>
    <t>Ingredient 2 (select)</t>
  </si>
  <si>
    <t>Ingredient 3 (select)</t>
  </si>
  <si>
    <t>Ingredient 4 (select)</t>
  </si>
  <si>
    <t>Canola oil</t>
  </si>
  <si>
    <t>Hay bales in paddock</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</si>
  <si>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</si>
  <si>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</si>
  <si>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</si>
  <si>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</si>
  <si>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</si>
  <si>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</si>
  <si>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</si>
  <si>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</si>
  <si>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</si>
  <si>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</si>
  <si>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</si>
  <si>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</si>
  <si>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</si>
  <si>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</si>
  <si>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</si>
  <si>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</si>
  <si>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</si>
  <si>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</si>
  <si>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</si>
  <si>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</si>
  <si>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</si>
  <si>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</si>
  <si>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</si>
  <si>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</si>
  <si>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Average liveweight (kg/head)</t>
  </si>
  <si>
    <t>Livestock type (select)</t>
  </si>
  <si>
    <t>Class (select)</t>
  </si>
  <si>
    <t>Quantity (head)</t>
  </si>
  <si>
    <t>Total liveweight (kg)</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</si>
  <si>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</si>
  <si>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</si>
  <si>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</si>
  <si>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</si>
  <si>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</si>
  <si>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</si>
  <si>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</si>
  <si>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</si>
  <si>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</si>
  <si>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Australia</t>
  </si>
  <si>
    <t>NSW</t>
  </si>
  <si>
    <t>QLD</t>
  </si>
  <si>
    <t>Table_SourceData_LivestockProduct_Chickens</t>
  </si>
  <si>
    <t>Table_SourceData_LivestockProduct_Dairycattle</t>
  </si>
  <si>
    <t>Table_SourceData_LivestockProduct_Pigs</t>
  </si>
  <si>
    <t>Dairy cattle</t>
  </si>
  <si>
    <t>Chickens</t>
  </si>
  <si>
    <t>Pigs</t>
  </si>
  <si>
    <t>Sheep</t>
  </si>
  <si>
    <t>Sheep, for mutton</t>
  </si>
  <si>
    <t>VIC</t>
  </si>
  <si>
    <t>Sheep, for prime lamb</t>
  </si>
  <si>
    <t>WA</t>
  </si>
  <si>
    <t>Dairy cows</t>
  </si>
  <si>
    <t>Type (select)</t>
  </si>
  <si>
    <t>Alkaline cleaner</t>
  </si>
  <si>
    <t>Phosphoric acid</t>
  </si>
  <si>
    <t>Quantity purchased (kg)</t>
  </si>
  <si>
    <t>Ingredient 1 EF</t>
  </si>
  <si>
    <t>Inorganic fertilisers</t>
  </si>
  <si>
    <t>Global</t>
  </si>
  <si>
    <t>kg</t>
  </si>
  <si>
    <t>Ingredient 2 EF</t>
  </si>
  <si>
    <t>Ingredient 3 EF</t>
  </si>
  <si>
    <t>Ingredient 4 EF</t>
  </si>
  <si>
    <t>Ingredient 5 EF</t>
  </si>
  <si>
    <t>Ingredient 6 EF</t>
  </si>
  <si>
    <t>Scope 3 (Method 1)</t>
  </si>
  <si>
    <t>Scope 3 (Method 2)</t>
  </si>
  <si>
    <t>Boost-It</t>
  </si>
  <si>
    <t>Emissions intensity (Method 1)</t>
  </si>
  <si>
    <t>Total amount (kg)</t>
  </si>
  <si>
    <t>Transaction name</t>
  </si>
  <si>
    <t>Chooks from Barry</t>
  </si>
  <si>
    <t>Emissions intensity (Method 2)</t>
  </si>
  <si>
    <t>Fertiliser custom blends - chemical compounds</t>
  </si>
  <si>
    <t>Method 2 EF</t>
  </si>
  <si>
    <t>Animals</t>
  </si>
  <si>
    <t>System boundary</t>
  </si>
  <si>
    <t>Transaction description</t>
  </si>
  <si>
    <t>Chemicals</t>
  </si>
  <si>
    <t>Feed</t>
  </si>
  <si>
    <t>Other agricultural inputs</t>
  </si>
  <si>
    <t>Packaging</t>
  </si>
  <si>
    <t>Pesticides</t>
  </si>
  <si>
    <t>Soil ameliorants</t>
  </si>
  <si>
    <t>Scope 3 emissions are calculated on a maximum of 20 livestock purchases</t>
  </si>
  <si>
    <t>Scope 3 emissions are calculated on a maximum of 20 branded fertiliser product purchases</t>
  </si>
  <si>
    <t>Branded fertiliser product purchases</t>
  </si>
  <si>
    <t>Animal purchases</t>
  </si>
  <si>
    <t>Scope 3 emissions are calculated on a maximum of 10 chemical purchases</t>
  </si>
  <si>
    <t>Pharmacy chemicals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</si>
  <si>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</si>
  <si>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</si>
  <si>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</si>
  <si>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</si>
  <si>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</si>
  <si>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</si>
  <si>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</si>
  <si>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</si>
  <si>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</si>
  <si>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</si>
  <si>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</si>
  <si>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</si>
  <si>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</si>
  <si>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</si>
  <si>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</si>
  <si>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</si>
  <si>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</si>
  <si>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</si>
  <si>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</si>
  <si>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</si>
  <si>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</si>
  <si>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</si>
  <si>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</si>
  <si>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</si>
  <si>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</si>
  <si>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</si>
  <si>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</si>
  <si>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</si>
  <si>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</si>
  <si>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</si>
  <si>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</si>
  <si>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</si>
  <si>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</si>
  <si>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</si>
  <si>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</si>
  <si>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</si>
  <si>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</si>
  <si>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</si>
  <si>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</si>
  <si>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Total weight purchased</t>
  </si>
  <si>
    <t>Weight per unit (kg)</t>
  </si>
  <si>
    <t>250g punnet</t>
  </si>
  <si>
    <t>Plastic sheet HDPE</t>
  </si>
  <si>
    <t>Plastic crate polypropylene</t>
  </si>
  <si>
    <t>500g punnet</t>
  </si>
  <si>
    <t>Corrugated board</t>
  </si>
  <si>
    <t>Cardboard box 50 litre</t>
  </si>
  <si>
    <t>Packaging materials</t>
  </si>
  <si>
    <t>Scope 3 emissions are calculated on a maximum of 10 packaging purchases</t>
  </si>
  <si>
    <t>Scope 3 emissions are calculated on a maximum of 10 soil ameliorant purchases</t>
  </si>
  <si>
    <t>Percent lime</t>
  </si>
  <si>
    <t>Percent dolomite</t>
  </si>
  <si>
    <t>Percent gypsum</t>
  </si>
  <si>
    <t>Gypsum emissions intensity</t>
  </si>
  <si>
    <t>Dolomite emissions intensity</t>
  </si>
  <si>
    <t>Lime emissions intensity</t>
  </si>
  <si>
    <t>Method 1</t>
  </si>
  <si>
    <t>Method 2</t>
  </si>
  <si>
    <t>Seed</t>
  </si>
  <si>
    <t>Pesticides (generic)</t>
  </si>
  <si>
    <t>grams/litre or grams/kg</t>
  </si>
  <si>
    <t>kg / hectare</t>
  </si>
  <si>
    <t>Ingredient 1 EF (Method 1)</t>
  </si>
  <si>
    <t>Product EF (Method 1)</t>
  </si>
  <si>
    <t>Product EF (Method 2)</t>
  </si>
  <si>
    <t>Ingredient 1 amount (kg)</t>
  </si>
  <si>
    <t>The method 1 product EF is calculated by multiplying the EF of each ingredient by the fraction of that ingredient in the product, then adding them all together. This is to allow for comparison with a method 2 product EF that might be provided by the supplier.</t>
  </si>
  <si>
    <t>Ingredient 2 EF (Method 1)</t>
  </si>
  <si>
    <t>Ingredient 3 EF (Method 1)</t>
  </si>
  <si>
    <t>Scope 3 emissions are calculated on a maximum of 10 pesticide purchases</t>
  </si>
  <si>
    <t>Ingredient 2 amount (kg)</t>
  </si>
  <si>
    <t>Ingredient 3 amount (kg)</t>
  </si>
  <si>
    <t>The method 1 product EF is calculated by multiplying the EF of each ingredient by the amount of  ingredient applied, adding all ingredients together then dividing the result by the total amount of product applied. This is to allow for comparison with a method 2 product EF that might be provided by the supplier.</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</si>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</sst>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57"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s>
  <fills count="13">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s>
  <cellStyleXfs count="4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3" fillId="2" borderId="0">
      <alignment horizontal="left" vertical="center"/>
    </xf>
  </cellStyleXfs>
  <cellXfs count="180">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12" fillId="0" borderId="0" xfId="3" applyFont="1"/>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3" fillId="2" borderId="0" xfId="46">
      <alignment horizontal="left" vertical="center"/>
    </xf>
    <xf numFmtId="0" fontId="34" fillId="2" borderId="0" xfId="3" applyFont="1" applyFill="1" applyAlignment="1" applyProtection="1">
      <alignment horizontal="center"/>
      <protection locked="0"/>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34" fillId="2" borderId="0" xfId="0" applyFont="1" applyFill="1" applyAlignment="1">
      <alignment horizontal="center" vertical="center"/>
    </xf>
    <xf numFmtId="0" fontId="34" fillId="2" borderId="0" xfId="0" applyFont="1" applyFill="1"/>
    <xf numFmtId="4" fontId="39" fillId="0" borderId="1" xfId="32" applyFont="1" applyAlignment="1">
      <alignment horizontal="center" vertical="center" wrapText="1"/>
    </xf>
    <xf numFmtId="0" fontId="52" fillId="4" borderId="0" xfId="44" applyNumberFormat="1" applyFont="1" applyFill="1" applyBorder="1" applyAlignment="1" applyProtection="1">
      <alignment horizontal="left" vertical="center" indent="1"/>
    </xf>
    <xf numFmtId="0" fontId="0" fillId="0" borderId="0" xfId="6" applyFont="1" applyFill="1" applyBorder="1">
      <alignment horizontal="left" vertical="center"/>
    </xf>
    <xf numFmtId="0" fontId="11" fillId="0" borderId="1" xfId="30" applyFill="1">
      <alignment horizontal="center" vertical="center"/>
    </xf>
    <xf numFmtId="0" fontId="4" fillId="11" borderId="21" xfId="19" applyBorder="1">
      <alignment horizontal="center" vertical="center"/>
    </xf>
    <xf numFmtId="0" fontId="11" fillId="0" borderId="21" xfId="30" applyFill="1" applyBorder="1">
      <alignment horizontal="center" vertical="center"/>
    </xf>
    <xf numFmtId="0" fontId="24" fillId="2" borderId="21" xfId="20" applyBorder="1">
      <alignment horizontal="center" vertical="center"/>
    </xf>
    <xf numFmtId="0" fontId="6" fillId="2" borderId="0" xfId="6" applyNumberFormat="1" applyFont="1" applyFill="1" applyBorder="1" applyAlignment="1">
      <alignment horizontal="left" vertical="center"/>
    </xf>
    <xf numFmtId="0" fontId="3" fillId="0" borderId="21" xfId="19" applyFont="1" applyFill="1" applyBorder="1">
      <alignment horizontal="center" vertical="center"/>
    </xf>
    <xf numFmtId="0" fontId="56" fillId="2" borderId="1" xfId="20" applyFont="1">
      <alignment horizontal="center" vertical="center"/>
    </xf>
    <xf numFmtId="0" fontId="24" fillId="2" borderId="0" xfId="20" applyBorder="1">
      <alignment horizontal="center" vertical="center"/>
    </xf>
    <xf numFmtId="0" fontId="54" fillId="10" borderId="0" xfId="6" applyNumberFormat="1" applyFont="1" applyFill="1" applyBorder="1" applyAlignment="1">
      <alignment horizontal="left" vertical="center"/>
    </xf>
    <xf numFmtId="0" fontId="54" fillId="4" borderId="0" xfId="6" applyNumberFormat="1" applyFont="1" applyFill="1" applyBorder="1" applyAlignment="1">
      <alignment horizontal="left" vertical="center"/>
    </xf>
    <xf numFmtId="0" fontId="0" fillId="0" borderId="0" xfId="6" applyNumberFormat="1" applyFont="1" applyFill="1" applyBorder="1" applyAlignment="1">
      <alignment horizontal="left" vertical="center"/>
    </xf>
    <xf numFmtId="0" fontId="0" fillId="0" borderId="0" xfId="0" applyFont="1" applyFill="1" applyBorder="1" applyAlignment="1">
      <alignment horizontal="center" vertical="center" wrapText="1"/>
    </xf>
    <xf numFmtId="0" fontId="0" fillId="0" borderId="0" xfId="35" applyFont="1" applyFill="1" applyBorder="1">
      <alignment horizontal="center" vertical="center"/>
    </xf>
    <xf numFmtId="4" fontId="0" fillId="0" borderId="0" xfId="32" applyFont="1" applyFill="1" applyBorder="1">
      <alignment horizontal="center" vertical="center"/>
    </xf>
  </cellXfs>
  <cellStyles count="47">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35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353"/>
      <tableStyleElement type="headerRow" dxfId="352"/>
      <tableStyleElement type="totalRow" dxfId="351"/>
      <tableStyleElement type="firstColumn" dxfId="350"/>
      <tableStyleElement type="firstRowStripe" dxfId="349"/>
      <tableStyleElement type="secondRowStripe" dxfId="348"/>
    </tableStyle>
    <tableStyle name="Equation table" pivot="0" count="6" xr9:uid="{0B4491E8-4F2C-4EE8-9336-DC99561B4B77}">
      <tableStyleElement type="wholeTable" dxfId="347"/>
      <tableStyleElement type="headerRow" dxfId="346"/>
      <tableStyleElement type="totalRow" dxfId="345"/>
      <tableStyleElement type="firstColumn" dxfId="344"/>
      <tableStyleElement type="firstRowStripe" dxfId="343"/>
      <tableStyleElement type="secondRowStripe" dxfId="3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341" dataDxfId="340" totalsRowDxfId="339">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338" totalsRowDxfId="337" dataCellStyle="Input select"/>
    <tableColumn id="23" xr3:uid="{F727E370-72E8-46CC-9F10-18494CAC017E}" name="Amount applied per hectare" totalsRowFunction="custom" dataDxfId="336" totalsRowDxfId="335">
      <totalsRowFormula>SUM(Table_Input_InorganicFertiliser_Brands[[#Headers],[#Data],[Amount applied per hectare]])</totalsRowFormula>
    </tableColumn>
    <tableColumn id="18" xr3:uid="{2253738D-C34B-45FC-A347-3594DD12A0FD}" name="Application unit" totalsRowDxfId="334"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333"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332" totalsRowDxfId="331">
      <calculatedColumnFormula>$E$9</calculatedColumnFormula>
    </tableColumn>
    <tableColumn id="1" xr3:uid="{DE25213C-DDD2-412A-85A4-29987D633B72}" name="Total applied (kg)" dataDxfId="330" totalsRowDxfId="32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328" totalsRowDxfId="327"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326" totalsRowDxfId="325"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324"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323" totalsRowDxfId="322"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321" totalsRowDxfId="320"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319" totalsRowDxfId="318"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317" totalsRowDxfId="316"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315"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314"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313"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12"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11"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10" totalsRowDxfId="309"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308" totalsRowDxfId="307"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306" totalsRowDxfId="305"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304" dataDxfId="303">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02"/>
    <tableColumn id="3" xr3:uid="{9EAF254B-17DE-4675-8AF9-F68B80BF582C}" name="Application area (ha)" dataDxfId="301" dataCellStyle="Input number 2 decimal places">
      <calculatedColumnFormula>$E$9</calculatedColumnFormula>
    </tableColumn>
    <tableColumn id="4" xr3:uid="{CFA5CCED-3BC5-4DD2-AC3F-E4DC58D9B605}" name="Total applied (kg)" dataDxfId="300"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299" dataCellStyle="Input select"/>
    <tableColumn id="6" xr3:uid="{3F30B499-2152-42DE-8F13-8F97800C0F82}" name="Ingredient 1 percent" dataDxfId="298"/>
    <tableColumn id="8" xr3:uid="{81DBD2AF-CE79-4DFA-ABE1-18247069D1B2}" name="Ingredient 2" dataDxfId="297" dataCellStyle="Input select"/>
    <tableColumn id="9" xr3:uid="{1CF7EE6F-57DF-414D-AEE5-FBCA6348094D}" name="Ingredient 2 percent" dataDxfId="296"/>
    <tableColumn id="11" xr3:uid="{A18D28AA-C181-4552-8786-2ECF509C16C8}" name="Ingredient 3" dataDxfId="295" dataCellStyle="Input select"/>
    <tableColumn id="12" xr3:uid="{B6A6831A-C9EE-4F80-B87F-A0C4C20DFCFD}" name="Ingredient 3 percent" dataDxfId="294"/>
    <tableColumn id="14" xr3:uid="{4467B432-BBEC-488F-912D-5D7123AE260A}" name="Ingredient 4" dataDxfId="293" dataCellStyle="Input select"/>
    <tableColumn id="15" xr3:uid="{0FA01265-32D2-4FC6-BCD7-17164873ADC9}" name="Ingredient 4 percent" dataCellStyle="Input percent"/>
    <tableColumn id="7" xr3:uid="{BF8B607F-8C2E-4E2B-B89D-E699723F771C}" name="N application rate (kg/ha)" dataDxfId="292"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291"/>
    <tableColumn id="13" xr3:uid="{CA785B69-1D00-4D4E-954C-77FAF8F67EDB}" name="Ammonia source" dataDxfId="290"/>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289" dataDxfId="288"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287"/>
    <tableColumn id="2" xr3:uid="{BBD9A28E-9144-4A75-B4E2-101A86320BD7}" name="Amount applied (t/hectare)" dataDxfId="286"/>
    <tableColumn id="4" xr3:uid="{28D6DB55-F183-4018-A8CF-F5EECD3B6F14}" name="Application area (ha)" dataDxfId="285">
      <calculatedColumnFormula>$E$9</calculatedColumnFormula>
    </tableColumn>
    <tableColumn id="3" xr3:uid="{A873C277-F431-4770-984D-50E37F5B322A}" name="Total amount applied (t)" dataDxfId="284"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283">
      <calculatedColumnFormula>SUM(Table_Input_SoilAmeliorants[[#This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282" dataDxfId="281"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280" dataCellStyle="Input select"/>
    <tableColumn id="5" xr3:uid="{90211506-45BB-448E-9141-3C3CE3626033}" name="Percentage of N in fertiliser" dataDxfId="279"/>
    <tableColumn id="2" xr3:uid="{FBF064EA-8FB5-43A6-A6A6-369C36395228}" name="Amount applied (kg/hectare)" dataDxfId="278"/>
    <tableColumn id="11" xr3:uid="{C66580F9-10D5-43D2-89CD-7DC865B9F8D9}" name="Amount N applied (kg/hectare)" dataDxfId="277"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276">
      <calculatedColumnFormula>$E$9</calculatedColumnFormula>
    </tableColumn>
    <tableColumn id="7" xr3:uid="{C9641984-3538-4424-A9FC-1F56669263A3}" name="Total organic fertliser applied" dataDxfId="275"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27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Q20" totalsRowShown="0">
  <autoFilter ref="D16:Q20"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57:F63" totalsRowShown="0" headerRowCellStyle="Input table column header">
  <autoFilter ref="D57:F6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46:H50" totalsRowShown="0" headerRowCellStyle="Input table column header">
  <autoFilter ref="D46:H50"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2" xr3:uid="{360D1B02-386E-49B9-8B92-E9676AD4A378}" name="Primary material" dataCellStyle="Input select"/>
    <tableColumn id="3" xr3:uid="{14ED4487-F547-485F-9AFB-212F5584207F}" name="Quantity purchased" dataCellStyle="Input number general"/>
    <tableColumn id="4" xr3:uid="{BBF04413-741D-4D84-88D9-1F89896D7D6F}" name="Weight per unit (kg)" dataCellStyle="Input number general"/>
    <tableColumn id="6" xr3:uid="{AC9E24A5-6B19-4DB6-9EB4-4D59E5AF1CC1}" name="Total weight purchased"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25:R28" totalsRowShown="0">
  <autoFilter ref="D25:R28"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69:F75" totalsRowShown="0" headerRowCellStyle="Input table column header">
  <autoFilter ref="D69:F75" xr:uid="{F7DA8543-C7DE-49A8-A739-D82C85B7B828}">
    <filterColumn colId="0" hiddenButton="1"/>
    <filterColumn colId="1" hiddenButton="1"/>
    <filterColumn colId="2" hiddenButton="1"/>
  </autoFilter>
  <tableColumns count="3">
    <tableColumn id="3" xr3:uid="{69ECF868-4B84-4E9A-96F5-1BDF565F3FD3}" name="Product name" dataDxfId="87" dataCellStyle="Input select"/>
    <tableColumn id="1" xr3:uid="{34C48247-DCDF-4B93-B49D-A318288E0686}" name="Type (select)" dataCellStyle="Input select"/>
    <tableColumn id="2" xr3:uid="{5B0AEBA4-AB33-4382-8634-3F4C8D3B2A9B}" name="Number of head treated"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 displayName="Table_Input_LivestockPurchases" ref="D33:J39" totalsRowShown="0">
  <autoFilter ref="D33:J39" xr:uid="{A524718C-D2DE-4743-911C-43AE3F1EAEE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9" xr3:uid="{F430BBF1-FC37-41CB-95CB-3C2A47D98412}" name="Transaction name" dataCellStyle="Input text"/>
    <tableColumn id="1" xr3:uid="{ACF6D17C-6D3B-4B7A-BB32-3FC6652840C2}" name="Livestock type (select)" dataCellStyle="Input select"/>
    <tableColumn id="2" xr3:uid="{FA43F52A-7609-4014-A6D3-CAC2C970F57C}" name="Class (select)" dataCellStyle="Input select"/>
    <tableColumn id="6" xr3:uid="{41EDEC1E-1793-4BBD-B0C8-66DE9A0925D5}" name="Source region (Select)" dataCellStyle="Input select"/>
    <tableColumn id="3" xr3:uid="{34B46AEC-F18A-4C32-831B-7206C405BBE6}" name="Quantity (head)" dataCellStyle="Input number general"/>
    <tableColumn id="4" xr3:uid="{FCB04E36-ABA4-4D11-99EF-B10E5BE997E4}" name="Average liveweight (kg/head)" dataCellStyle="Input number general"/>
    <tableColumn id="5" xr3:uid="{0AF052DA-C2BE-4680-AC4D-78306992A2EF}" name="Total liveweight (kg)" dataCellStyle="Input number general calculated">
      <calculatedColumnFormula>Table_Input_LivestockPurchases[[#This Row],[Quantity (head)]]*Table_Input_LivestockPurchases[[#This Row],[Average liveweight (kg/head)]]</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273"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272" dataCellStyle="Input select" totalsRowCellStyle="Input select"/>
    <tableColumn id="3" xr3:uid="{2F4926CE-6EFC-4996-91EA-985E04C68CA4}" name="Fuel type (select)" totalsRowDxfId="271" dataCellStyle="Input select" totalsRowCellStyle="Input select"/>
    <tableColumn id="4" xr3:uid="{1FFC5489-922D-4440-BFF8-1C82F89D7C13}" name="Amount purchased" totalsRowDxfId="270" totalsRowCellStyle="Content bold"/>
    <tableColumn id="6" xr3:uid="{8FECDE7F-72E1-4F9F-9717-51DFCFC8B7FA}" name="Amount unit" totalsRowDxfId="269"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268" totalsRowCellStyle="Input percent">
      <calculatedColumnFormula>1</calculatedColumnFormula>
    </tableColumn>
    <tableColumn id="1" xr3:uid="{0B1E778F-5088-434C-9ED2-6721724D18B8}" name="Amount consumed" totalsRowFunction="custom" totalsRowDxfId="267"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266"/>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265"/>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134"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133"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132"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128"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127"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1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131"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130"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129"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125"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124"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123"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72"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71"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70"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69"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68"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67"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66"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135"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122"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121"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120"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119"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118"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117"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116"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10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115"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114"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113"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112"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111"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110"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108"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10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10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10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10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10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102"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9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101"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100"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99"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98"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97"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96"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8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94"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93"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92"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91"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90"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89"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73"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7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7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7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7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7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7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80"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8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86"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84"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83"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82"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81"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62"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63"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6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65"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7" dataCellStyle="Content normal">
  <autoFilter ref="D40:E47" xr:uid="{879A0650-599F-46E3-BDCA-CF804D191F3B}">
    <filterColumn colId="0" hiddenButton="1"/>
    <filterColumn colId="1" hiddenButton="1"/>
  </autoFilter>
  <tableColumns count="2">
    <tableColumn id="1" xr3:uid="{F237F8B2-5CE9-4094-A201-E708B82BA8BF}" name="Product" dataDxfId="14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4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44" dataCellStyle="Content normal">
  <autoFilter ref="D51:E52" xr:uid="{5D161BB1-95E1-405D-861A-B4883D49A51C}">
    <filterColumn colId="0" hiddenButton="1"/>
    <filterColumn colId="1" hiddenButton="1"/>
  </autoFilter>
  <tableColumns count="2">
    <tableColumn id="1" xr3:uid="{44557688-3D5A-45A6-818D-F1328BB9ECC9}" name="Product" dataDxfId="143"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42"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41" dataCellStyle="Content normal">
  <autoFilter ref="D56:E57" xr:uid="{91542D18-4304-4E66-85EA-4F5A2B9391FE}">
    <filterColumn colId="0" hiddenButton="1"/>
    <filterColumn colId="1" hiddenButton="1"/>
  </autoFilter>
  <tableColumns count="2">
    <tableColumn id="1" xr3:uid="{B414FDE1-8B5E-4532-8C69-A9C006972E91}" name="Product" dataDxfId="14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8" dataCellStyle="Content normal">
  <autoFilter ref="D61:E62" xr:uid="{4B96D517-47DA-49C8-8030-0D501D458198}">
    <filterColumn colId="0" hiddenButton="1"/>
    <filterColumn colId="1" hiddenButton="1"/>
  </autoFilter>
  <tableColumns count="2">
    <tableColumn id="1" xr3:uid="{20B25AB9-804F-4D21-9C93-F44C0DAF008F}" name="Product" dataDxfId="13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3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264"/>
    <tableColumn id="2" xr3:uid="{B4717C55-1B95-4E74-B4A0-5CE7A609A36B}" name="Notes" totalsRowDxfId="263"/>
    <tableColumn id="3" xr3:uid="{D976AB1A-52FF-4FBD-9860-B9717ABA5514}" name="Company" totalsRowDxfId="262"/>
    <tableColumn id="4" xr3:uid="{D8F5EA32-4865-44AD-B9C7-F91CA2638E8B}" name="Product name" totalsRowDxfId="261"/>
    <tableColumn id="5" xr3:uid="{D241BEEC-C636-4A92-9BDB-FA8FAA1CAFB2}" name="Unit" totalsRowDxfId="260"/>
    <tableColumn id="6" xr3:uid="{78DBDBE9-27C7-4A0D-B9DA-9F57440C9DE9}" name="Density / gravity" totalsRowDxfId="259"/>
    <tableColumn id="7" xr3:uid="{A50CBE27-EC38-4A34-A2CE-1002E6BA3DD3}" name="Urea source" totalsRowDxfId="258"/>
    <tableColumn id="8" xr3:uid="{16B5D74A-9810-4E92-A540-3E051DC2151D}" name="Ammonia source" totalsRowDxfId="257"/>
    <tableColumn id="9" xr3:uid="{DA7A3BF5-8B40-4495-AD97-6B95B429B465}" name="Ingredient 1" totalsRowDxfId="256"/>
    <tableColumn id="10" xr3:uid="{2A0B8472-D8FF-4086-BE70-2E8BCA80080B}" name="Ingredient 1 percent" totalsRowDxfId="255"/>
    <tableColumn id="11" xr3:uid="{F12415FE-ED65-47A4-AFBE-CEA738CED011}" name="Ingredient 2" totalsRowDxfId="254"/>
    <tableColumn id="12" xr3:uid="{26500CB3-2A36-4020-8DCD-96905995028A}" name="Ingredient 2 percent" totalsRowDxfId="253"/>
    <tableColumn id="13" xr3:uid="{8F8E6FFC-24C1-4EC1-A491-92E852D1C21B}" name="Ingredient 3" totalsRowDxfId="252"/>
    <tableColumn id="14" xr3:uid="{0D08C50E-A1D4-4D59-8D20-E9C72FE59C88}" name="Ingredient 3 percent" totalsRowDxfId="251"/>
    <tableColumn id="15" xr3:uid="{E71FD370-71A1-4861-8573-8E095564A6C6}" name="Ingredient 4" totalsRowDxfId="250"/>
    <tableColumn id="16" xr3:uid="{05524065-59E0-4732-9D5C-80182402ACED}" name="Ingredient 4 percent" totalsRowDxfId="249"/>
    <tableColumn id="17" xr3:uid="{E73E9DAE-88FE-451C-83BB-46CE2CD11EAC}" name="Ingredient 5" totalsRowDxfId="248"/>
    <tableColumn id="18" xr3:uid="{E43B92CC-872A-4D81-AE03-F2A3A1AA9B65}" name="Ingredient 5 percent" totalsRowDxfId="247"/>
    <tableColumn id="19" xr3:uid="{877362A6-7696-4C2B-9AC9-A50CEF0951B6}" name="Ingredient 6" totalsRowDxfId="246"/>
    <tableColumn id="37" xr3:uid="{22756E59-4033-405C-B6C2-0A2E122D072F}" name="Ingredient 6 percent" totalsRowDxfId="245"/>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24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24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24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241" dataCellStyle="Content normal">
  <autoFilter ref="K19:L28" xr:uid="{27B93029-EB1F-4C4A-A946-CD673A8A6C46}">
    <filterColumn colId="0" hiddenButton="1"/>
    <filterColumn colId="1" hiddenButton="1"/>
  </autoFilter>
  <tableColumns count="2">
    <tableColumn id="1" xr3:uid="{D0F0FE53-48EF-4C1D-923D-46B182A1D219}" name="Fertiliser type f" dataDxfId="240"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23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238" dataCellStyle="Content normal">
  <autoFilter ref="Q19:R28" xr:uid="{791CEA59-796C-47AB-86BC-41E8F699030C}">
    <filterColumn colId="0" hiddenButton="1"/>
    <filterColumn colId="1" hiddenButton="1"/>
  </autoFilter>
  <tableColumns count="2">
    <tableColumn id="1" xr3:uid="{8D461AD8-9C85-4218-9322-36C1AD6A4022}" name="Fertiliser type f" dataDxfId="237"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23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235" dataDxfId="234">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233">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232">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231">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230">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229">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228">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227">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226">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225" dataDxfId="224">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223">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222">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221">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220">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219">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218">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217">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216">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215">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214" dataDxfId="213">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212"/>
    <tableColumn id="2" xr3:uid="{13C467F2-26C0-4F6F-B92F-24A4B990E442}" name="Power standalone machinery or heating" dataDxfId="211"/>
    <tableColumn id="3" xr3:uid="{15E7EDC3-8A83-409D-86B7-926996BE8FBC}" name="Aviation" dataDxfId="210"/>
    <tableColumn id="5" xr3:uid="{F31E6FAB-A518-436D-BFB8-D7426676641C}" name="Cars and light commercial vehicles" dataDxfId="209"/>
    <tableColumn id="7" xr3:uid="{6CC11CFE-89B6-44EE-8AED-42AC5C27DB07}" name="Off-road Agriculture and forestry equipment" dataDxfId="208" dataCellStyle="Content bold"/>
    <tableColumn id="8" xr3:uid="{30476670-3728-4B3D-9436-B58D01B767DE}" name="Vessels" dataDxfId="207" dataCellStyle="Content bold"/>
    <tableColumn id="6" xr3:uid="{701F62A8-8600-449C-8513-D7CA0BE9C5D9}" name="General use" dataDxfId="206"/>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205" dataDxfId="20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203">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202">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201">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200">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99">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98">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9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96" totalsRowDxfId="195">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94">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93">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9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9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9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8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8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8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85">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84"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83"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82"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81"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80"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79"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78"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77"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76"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75"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74"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73"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72"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71"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7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6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6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6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6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6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1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1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1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1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1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14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2.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26" Type="http://schemas.openxmlformats.org/officeDocument/2006/relationships/table" Target="../tables/table39.xml"/><Relationship Id="rId3" Type="http://schemas.openxmlformats.org/officeDocument/2006/relationships/table" Target="../tables/table16.xml"/><Relationship Id="rId21" Type="http://schemas.openxmlformats.org/officeDocument/2006/relationships/table" Target="../tables/table34.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5" Type="http://schemas.openxmlformats.org/officeDocument/2006/relationships/table" Target="../tables/table38.xml"/><Relationship Id="rId2" Type="http://schemas.openxmlformats.org/officeDocument/2006/relationships/table" Target="../tables/table15.xml"/><Relationship Id="rId16" Type="http://schemas.openxmlformats.org/officeDocument/2006/relationships/table" Target="../tables/table29.xml"/><Relationship Id="rId20" Type="http://schemas.openxmlformats.org/officeDocument/2006/relationships/table" Target="../tables/table33.xml"/><Relationship Id="rId29" Type="http://schemas.openxmlformats.org/officeDocument/2006/relationships/table" Target="../tables/table42.xml"/><Relationship Id="rId1" Type="http://schemas.openxmlformats.org/officeDocument/2006/relationships/table" Target="../tables/table14.xml"/><Relationship Id="rId6" Type="http://schemas.openxmlformats.org/officeDocument/2006/relationships/table" Target="../tables/table19.xml"/><Relationship Id="rId11" Type="http://schemas.openxmlformats.org/officeDocument/2006/relationships/table" Target="../tables/table24.xml"/><Relationship Id="rId24" Type="http://schemas.openxmlformats.org/officeDocument/2006/relationships/table" Target="../tables/table37.xml"/><Relationship Id="rId5" Type="http://schemas.openxmlformats.org/officeDocument/2006/relationships/table" Target="../tables/table18.xml"/><Relationship Id="rId15" Type="http://schemas.openxmlformats.org/officeDocument/2006/relationships/table" Target="../tables/table28.xml"/><Relationship Id="rId23" Type="http://schemas.openxmlformats.org/officeDocument/2006/relationships/table" Target="../tables/table36.xml"/><Relationship Id="rId28" Type="http://schemas.openxmlformats.org/officeDocument/2006/relationships/table" Target="../tables/table41.xml"/><Relationship Id="rId10" Type="http://schemas.openxmlformats.org/officeDocument/2006/relationships/table" Target="../tables/table23.xml"/><Relationship Id="rId19" Type="http://schemas.openxmlformats.org/officeDocument/2006/relationships/table" Target="../tables/table32.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 Id="rId22" Type="http://schemas.openxmlformats.org/officeDocument/2006/relationships/table" Target="../tables/table35.xml"/><Relationship Id="rId27" Type="http://schemas.openxmlformats.org/officeDocument/2006/relationships/table" Target="../tables/table4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table" Target="../tables/table43.xml"/><Relationship Id="rId6" Type="http://schemas.openxmlformats.org/officeDocument/2006/relationships/table" Target="../tables/table48.xml"/><Relationship Id="rId5" Type="http://schemas.openxmlformats.org/officeDocument/2006/relationships/table" Target="../tables/table47.xml"/><Relationship Id="rId4" Type="http://schemas.openxmlformats.org/officeDocument/2006/relationships/table" Target="../tables/table4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56.xml"/><Relationship Id="rId3" Type="http://schemas.openxmlformats.org/officeDocument/2006/relationships/table" Target="../tables/table51.xml"/><Relationship Id="rId7" Type="http://schemas.openxmlformats.org/officeDocument/2006/relationships/table" Target="../tables/table55.xml"/><Relationship Id="rId2" Type="http://schemas.openxmlformats.org/officeDocument/2006/relationships/table" Target="../tables/table50.xml"/><Relationship Id="rId1" Type="http://schemas.openxmlformats.org/officeDocument/2006/relationships/table" Target="../tables/table49.xml"/><Relationship Id="rId6" Type="http://schemas.openxmlformats.org/officeDocument/2006/relationships/table" Target="../tables/table54.xml"/><Relationship Id="rId11" Type="http://schemas.openxmlformats.org/officeDocument/2006/relationships/table" Target="../tables/table59.xml"/><Relationship Id="rId5" Type="http://schemas.openxmlformats.org/officeDocument/2006/relationships/table" Target="../tables/table53.xml"/><Relationship Id="rId10" Type="http://schemas.openxmlformats.org/officeDocument/2006/relationships/table" Target="../tables/table58.xml"/><Relationship Id="rId4" Type="http://schemas.openxmlformats.org/officeDocument/2006/relationships/table" Target="../tables/table52.xml"/><Relationship Id="rId9" Type="http://schemas.openxmlformats.org/officeDocument/2006/relationships/table" Target="../tables/table5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5" Type="http://schemas.openxmlformats.org/officeDocument/2006/relationships/table" Target="../tables/table64.xml"/><Relationship Id="rId4" Type="http://schemas.openxmlformats.org/officeDocument/2006/relationships/table" Target="../tables/table6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75.xml"/><Relationship Id="rId13" Type="http://schemas.openxmlformats.org/officeDocument/2006/relationships/table" Target="../tables/table80.xml"/><Relationship Id="rId18" Type="http://schemas.openxmlformats.org/officeDocument/2006/relationships/table" Target="../tables/table85.xml"/><Relationship Id="rId3" Type="http://schemas.openxmlformats.org/officeDocument/2006/relationships/table" Target="../tables/table70.xml"/><Relationship Id="rId7" Type="http://schemas.openxmlformats.org/officeDocument/2006/relationships/table" Target="../tables/table74.xml"/><Relationship Id="rId12" Type="http://schemas.openxmlformats.org/officeDocument/2006/relationships/table" Target="../tables/table79.xml"/><Relationship Id="rId17" Type="http://schemas.openxmlformats.org/officeDocument/2006/relationships/table" Target="../tables/table84.xml"/><Relationship Id="rId2" Type="http://schemas.openxmlformats.org/officeDocument/2006/relationships/table" Target="../tables/table69.xml"/><Relationship Id="rId16" Type="http://schemas.openxmlformats.org/officeDocument/2006/relationships/table" Target="../tables/table83.xml"/><Relationship Id="rId1" Type="http://schemas.openxmlformats.org/officeDocument/2006/relationships/printerSettings" Target="../printerSettings/printerSettings5.bin"/><Relationship Id="rId6" Type="http://schemas.openxmlformats.org/officeDocument/2006/relationships/table" Target="../tables/table73.xml"/><Relationship Id="rId11" Type="http://schemas.openxmlformats.org/officeDocument/2006/relationships/table" Target="../tables/table78.xml"/><Relationship Id="rId5" Type="http://schemas.openxmlformats.org/officeDocument/2006/relationships/table" Target="../tables/table72.xml"/><Relationship Id="rId15" Type="http://schemas.openxmlformats.org/officeDocument/2006/relationships/table" Target="../tables/table82.xml"/><Relationship Id="rId10" Type="http://schemas.openxmlformats.org/officeDocument/2006/relationships/table" Target="../tables/table77.xml"/><Relationship Id="rId4" Type="http://schemas.openxmlformats.org/officeDocument/2006/relationships/table" Target="../tables/table71.xml"/><Relationship Id="rId9" Type="http://schemas.openxmlformats.org/officeDocument/2006/relationships/table" Target="../tables/table76.xml"/><Relationship Id="rId14" Type="http://schemas.openxmlformats.org/officeDocument/2006/relationships/table" Target="../tables/table8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277</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278</v>
      </c>
      <c r="N5" s="110"/>
    </row>
    <row r="6" spans="1:24" ht="20.100000000000001" customHeight="1" x14ac:dyDescent="0.25">
      <c r="D6" s="111"/>
      <c r="N6" s="112"/>
    </row>
    <row r="7" spans="1:24" ht="20.100000000000001" customHeight="1" x14ac:dyDescent="0.25">
      <c r="A7" s="19" t="s">
        <v>67</v>
      </c>
      <c r="D7" s="8" t="s">
        <v>279</v>
      </c>
      <c r="E7" s="86" t="s">
        <v>280</v>
      </c>
      <c r="F7" s="68"/>
    </row>
    <row r="8" spans="1:24" ht="20.100000000000001" customHeight="1" x14ac:dyDescent="0.25">
      <c r="A8" s="16" t="str">
        <f>HYPERLINK("#'Input - Electricity'!A1", "Electricity")</f>
        <v>Electricity</v>
      </c>
      <c r="D8" s="113" t="s">
        <v>281</v>
      </c>
      <c r="E8" s="86" t="s">
        <v>282</v>
      </c>
    </row>
    <row r="9" spans="1:24" ht="20.100000000000001" customHeight="1" x14ac:dyDescent="0.25">
      <c r="A9" s="16"/>
      <c r="N9" s="114"/>
    </row>
    <row r="10" spans="1:24" ht="20.100000000000001" customHeight="1" x14ac:dyDescent="0.25">
      <c r="A10" s="21" t="s">
        <v>77</v>
      </c>
      <c r="D10" s="100" t="s">
        <v>283</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284</v>
      </c>
      <c r="E12" s="118">
        <v>45292</v>
      </c>
      <c r="F12" s="68" t="s">
        <v>285</v>
      </c>
    </row>
    <row r="13" spans="1:24" ht="20.100000000000001" customHeight="1" x14ac:dyDescent="0.25">
      <c r="A13" s="23" t="s">
        <v>78</v>
      </c>
      <c r="D13" s="113" t="s">
        <v>286</v>
      </c>
      <c r="E13" s="119">
        <f>DATE(YEAR(E12)+1,MONTH(E12),DAY(E12))-1</f>
        <v>45657</v>
      </c>
      <c r="F13" s="68" t="s">
        <v>287</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288</v>
      </c>
      <c r="N16" s="120"/>
      <c r="O16" s="120"/>
    </row>
    <row r="17" spans="1:25" ht="20.100000000000001" customHeight="1" x14ac:dyDescent="0.25">
      <c r="A17" s="3"/>
    </row>
    <row r="18" spans="1:25" ht="20.100000000000001" customHeight="1" x14ac:dyDescent="0.25">
      <c r="A18" s="3"/>
      <c r="D18" s="121" t="s">
        <v>289</v>
      </c>
      <c r="E18" s="41"/>
      <c r="F18" s="41"/>
      <c r="G18" s="42"/>
    </row>
    <row r="19" spans="1:25" ht="20.100000000000001" customHeight="1" x14ac:dyDescent="0.25">
      <c r="A19" s="3"/>
      <c r="D19" s="44" t="s">
        <v>290</v>
      </c>
      <c r="E19" s="45"/>
      <c r="F19" s="45"/>
      <c r="G19" s="46"/>
      <c r="N19" s="110"/>
    </row>
    <row r="20" spans="1:25" ht="20.100000000000001" customHeight="1" x14ac:dyDescent="0.25">
      <c r="A20" s="3"/>
      <c r="D20" s="8"/>
      <c r="E20" s="122"/>
      <c r="F20" s="68"/>
      <c r="N20" s="112"/>
    </row>
    <row r="21" spans="1:25" ht="20.100000000000001" customHeight="1" x14ac:dyDescent="0.25">
      <c r="A21" s="3"/>
      <c r="D21" s="8" t="s">
        <v>291</v>
      </c>
      <c r="E21" s="48" t="s">
        <v>341</v>
      </c>
      <c r="F21" s="68" t="s">
        <v>198</v>
      </c>
    </row>
    <row r="22" spans="1:25" ht="20.100000000000001" customHeight="1" x14ac:dyDescent="0.25">
      <c r="A22" s="3"/>
      <c r="D22" s="8" t="s">
        <v>292</v>
      </c>
      <c r="E22" s="48" t="s">
        <v>293</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1"/>
  <sheetViews>
    <sheetView showGridLines="0" topLeftCell="A18" zoomScale="85" zoomScaleNormal="85" workbookViewId="0">
      <selection activeCell="H35" sqref="H34:J35"/>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350</v>
      </c>
      <c r="F17" s="67" t="s">
        <v>343</v>
      </c>
      <c r="G17" s="67" t="s">
        <v>344</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396</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8"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8"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6" t="s">
        <v>211</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78"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8"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8"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8"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8"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8"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8"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8"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8"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8"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8"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8"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8" t="str">
        <f>_xlfn.XLOOKUP(Table_Input_InorganicFertiliser_Brands[[#This Row],[Product (select)]],FertiliserProducts[Product name],FertiliserProducts[Urea source])</f>
        <v/>
      </c>
      <c r="X20" s="78"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4" ht="36" customHeight="1" x14ac:dyDescent="0.25">
      <c r="D22" s="84" t="s">
        <v>212</v>
      </c>
      <c r="E22" s="85"/>
      <c r="F22" s="85"/>
      <c r="G22" s="85"/>
      <c r="H22" s="85"/>
      <c r="I22" s="85"/>
      <c r="J22" s="85"/>
      <c r="K22" s="85"/>
      <c r="L22" s="85"/>
      <c r="M22" s="85"/>
      <c r="N22" s="53"/>
      <c r="O22" s="53"/>
      <c r="P22" s="53"/>
      <c r="Q22" s="53"/>
      <c r="R22" s="53"/>
      <c r="S22" s="53"/>
      <c r="T22" s="53"/>
      <c r="U22" s="53"/>
      <c r="V22" s="53"/>
      <c r="W22" s="53"/>
      <c r="X22" s="53"/>
    </row>
    <row r="23" spans="1:24" ht="36" customHeight="1" x14ac:dyDescent="0.25">
      <c r="A23" s="16"/>
      <c r="D23" s="67" t="s">
        <v>213</v>
      </c>
      <c r="E23" s="67" t="s">
        <v>207</v>
      </c>
      <c r="F23" s="67" t="s">
        <v>208</v>
      </c>
      <c r="G23" s="67" t="s">
        <v>209</v>
      </c>
      <c r="H23" s="67" t="s">
        <v>214</v>
      </c>
      <c r="I23" s="67" t="s">
        <v>178</v>
      </c>
      <c r="J23" s="67" t="s">
        <v>179</v>
      </c>
      <c r="K23" s="67" t="s">
        <v>180</v>
      </c>
      <c r="L23" s="67" t="s">
        <v>181</v>
      </c>
      <c r="M23" s="67" t="s">
        <v>182</v>
      </c>
      <c r="N23" s="67" t="s">
        <v>183</v>
      </c>
      <c r="O23" s="67" t="s">
        <v>184</v>
      </c>
      <c r="P23" s="67" t="s">
        <v>210</v>
      </c>
      <c r="Q23" s="75" t="s">
        <v>175</v>
      </c>
      <c r="R23" s="75" t="s">
        <v>176</v>
      </c>
      <c r="S23" s="53"/>
      <c r="T23" s="53"/>
      <c r="U23" s="53"/>
      <c r="V23" s="53"/>
      <c r="W23" s="53"/>
      <c r="X23" s="53"/>
    </row>
    <row r="24" spans="1:24" ht="36" customHeight="1" x14ac:dyDescent="0.25">
      <c r="D24" s="86" t="s">
        <v>215</v>
      </c>
      <c r="E24" s="67">
        <v>100</v>
      </c>
      <c r="F24" s="77">
        <f>$E$9</f>
        <v>100</v>
      </c>
      <c r="G24" s="78">
        <f>Table_Input_InorganicFertiliser_Custom[[#This Row],[Amount applied (kg / ha)]]*Table_Input_InorganicFertiliser_Custom[[#This Row],[Application area (ha)]]</f>
        <v>10000</v>
      </c>
      <c r="H24" s="87" t="s">
        <v>349</v>
      </c>
      <c r="I24" s="88">
        <v>0.45</v>
      </c>
      <c r="J24" s="87" t="s">
        <v>348</v>
      </c>
      <c r="K24" s="88">
        <v>0.3</v>
      </c>
      <c r="L24" s="87" t="s">
        <v>217</v>
      </c>
      <c r="M24" s="88">
        <v>0.1</v>
      </c>
      <c r="N24" s="89" t="s">
        <v>218</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345</v>
      </c>
      <c r="R24" s="48" t="s">
        <v>387</v>
      </c>
    </row>
    <row r="25" spans="1:24" ht="36" customHeight="1" x14ac:dyDescent="0.25">
      <c r="D25" s="86"/>
      <c r="E25" s="67">
        <v>100</v>
      </c>
      <c r="F25" s="163">
        <f>$E$9</f>
        <v>100</v>
      </c>
      <c r="G25" s="78">
        <f>Table_Input_InorganicFertiliser_Custom[[#This Row],[Amount applied (kg / ha)]]*Table_Input_InorganicFertiliser_Custom[[#This Row],[Application area (ha)]]</f>
        <v>10000</v>
      </c>
      <c r="H25" s="87" t="s">
        <v>216</v>
      </c>
      <c r="I25" s="91">
        <v>0.9</v>
      </c>
      <c r="J25" s="87" t="s">
        <v>349</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345</v>
      </c>
      <c r="R25" s="76" t="s">
        <v>345</v>
      </c>
    </row>
    <row r="26" spans="1:24" ht="36" customHeight="1" x14ac:dyDescent="0.25"/>
    <row r="27" spans="1:24" ht="20.100000000000001" customHeight="1" x14ac:dyDescent="0.25">
      <c r="D27" s="9" t="s">
        <v>412</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219</v>
      </c>
      <c r="E29" s="41"/>
      <c r="F29" s="42"/>
      <c r="G29" s="40"/>
      <c r="H29" s="42"/>
      <c r="I29" s="7"/>
      <c r="J29" s="7"/>
      <c r="K29" s="14"/>
      <c r="L29" s="14"/>
      <c r="M29" s="14"/>
    </row>
    <row r="30" spans="1:24" ht="20.100000000000001" customHeight="1" x14ac:dyDescent="0.25">
      <c r="A30" s="16"/>
      <c r="D30" s="92" t="s">
        <v>220</v>
      </c>
      <c r="E30" s="93"/>
      <c r="F30" s="94"/>
      <c r="G30" s="92"/>
      <c r="H30" s="94"/>
      <c r="I30" s="14"/>
      <c r="J30" s="14"/>
      <c r="K30" s="14"/>
      <c r="L30" s="14"/>
      <c r="M30" s="7"/>
    </row>
    <row r="31" spans="1:24" ht="20.100000000000001" customHeight="1" x14ac:dyDescent="0.25">
      <c r="A31" s="52"/>
      <c r="D31" s="44" t="s">
        <v>204</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5" t="s">
        <v>221</v>
      </c>
      <c r="E33" s="95" t="s">
        <v>222</v>
      </c>
      <c r="F33" s="95" t="s">
        <v>208</v>
      </c>
      <c r="G33" s="95" t="s">
        <v>223</v>
      </c>
      <c r="H33" s="95" t="s">
        <v>224</v>
      </c>
      <c r="I33" s="95" t="s">
        <v>225</v>
      </c>
      <c r="J33" s="95" t="s">
        <v>226</v>
      </c>
      <c r="K33" s="95" t="s">
        <v>227</v>
      </c>
      <c r="Y33" s="3"/>
    </row>
    <row r="34" spans="1:25" ht="36" customHeight="1" x14ac:dyDescent="0.25">
      <c r="D34" s="96" t="s">
        <v>228</v>
      </c>
      <c r="E34" s="77">
        <v>100</v>
      </c>
      <c r="F34" s="77">
        <f>$E$9</f>
        <v>100</v>
      </c>
      <c r="G34" s="78">
        <f>IFERROR(Table_Input_SoilAmeliorants[[#This Row],[Amount applied (t/hectare)]]*Table_Input_SoilAmeliorants[[#This Row],[Application area (ha)]], 0)</f>
        <v>10000</v>
      </c>
      <c r="H34" s="90">
        <v>0.4</v>
      </c>
      <c r="I34" s="90">
        <v>0.3</v>
      </c>
      <c r="J34" s="90">
        <v>0.25</v>
      </c>
      <c r="K34" s="98">
        <f>SUM(Table_Input_SoilAmeliorants[[#This Row],[Percent Lime CaCO3]:[Percent Gypsum]])</f>
        <v>0.95</v>
      </c>
      <c r="Y34" s="3"/>
    </row>
    <row r="35" spans="1:25" ht="36" customHeight="1" x14ac:dyDescent="0.25">
      <c r="D35" s="96" t="s">
        <v>229</v>
      </c>
      <c r="E35" s="77">
        <v>100</v>
      </c>
      <c r="F35" s="77">
        <f>$E$9</f>
        <v>100</v>
      </c>
      <c r="G35" s="78">
        <f>IFERROR(Table_Input_SoilAmeliorants[[#This Row],[Amount applied (t/hectare)]]*Table_Input_SoilAmeliorants[[#This Row],[Application area (ha)]], 0)</f>
        <v>10000</v>
      </c>
      <c r="H35" s="90">
        <v>1</v>
      </c>
      <c r="I35" s="90"/>
      <c r="J35" s="90"/>
      <c r="K35" s="98">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9"/>
      <c r="K37" s="7"/>
      <c r="L37" s="7"/>
      <c r="M37" s="7"/>
    </row>
    <row r="38" spans="1:25" ht="20.100000000000001" customHeight="1" x14ac:dyDescent="0.25">
      <c r="C38" s="53"/>
      <c r="D38" s="9" t="s">
        <v>230</v>
      </c>
      <c r="E38" s="7"/>
      <c r="F38" s="7"/>
      <c r="G38" s="7"/>
      <c r="H38" s="14"/>
      <c r="I38" s="14"/>
      <c r="J38" s="14"/>
      <c r="K38" s="14"/>
      <c r="L38" s="14"/>
      <c r="M38" s="14"/>
    </row>
    <row r="39" spans="1:25" ht="20.100000000000001" customHeight="1" x14ac:dyDescent="0.25">
      <c r="A39" s="16"/>
      <c r="C39" s="53"/>
      <c r="D39" s="14"/>
      <c r="E39" s="14"/>
      <c r="F39" s="14"/>
      <c r="G39" s="14"/>
      <c r="H39" s="14"/>
      <c r="I39" s="14"/>
      <c r="J39" s="14"/>
      <c r="K39" s="14"/>
      <c r="L39" s="14"/>
      <c r="M39" s="14"/>
    </row>
    <row r="40" spans="1:25" s="54" customFormat="1" ht="20.100000000000001" customHeight="1" x14ac:dyDescent="0.25">
      <c r="C40" s="8"/>
      <c r="D40" s="40" t="s">
        <v>219</v>
      </c>
      <c r="E40" s="41"/>
      <c r="F40" s="41"/>
      <c r="G40" s="41"/>
      <c r="H40" s="42"/>
      <c r="I40" s="14"/>
      <c r="J40" s="14"/>
      <c r="K40" s="14"/>
      <c r="L40" s="14"/>
      <c r="M40" s="14"/>
      <c r="N40" s="8"/>
      <c r="O40" s="8"/>
      <c r="P40" s="8"/>
      <c r="Q40" s="53"/>
      <c r="R40" s="53"/>
      <c r="S40" s="53"/>
      <c r="T40" s="8"/>
      <c r="U40" s="8"/>
      <c r="V40" s="8"/>
      <c r="W40" s="8"/>
      <c r="X40" s="8"/>
      <c r="Y40" s="8"/>
    </row>
    <row r="41" spans="1:25" s="54" customFormat="1" ht="20.100000000000001" customHeight="1" x14ac:dyDescent="0.25">
      <c r="A41" s="55"/>
      <c r="C41" s="8"/>
      <c r="D41" s="44" t="s">
        <v>204</v>
      </c>
      <c r="E41" s="45"/>
      <c r="F41" s="45"/>
      <c r="G41" s="45"/>
      <c r="H41" s="46"/>
      <c r="I41" s="14"/>
      <c r="J41" s="14"/>
      <c r="K41" s="14"/>
      <c r="L41" s="14"/>
      <c r="M41" s="14"/>
      <c r="N41" s="8"/>
      <c r="O41" s="53"/>
      <c r="P41" s="53"/>
      <c r="Q41" s="53"/>
      <c r="R41" s="53"/>
      <c r="S41" s="53"/>
      <c r="T41" s="8"/>
      <c r="U41" s="8"/>
      <c r="V41" s="8"/>
      <c r="W41" s="8"/>
      <c r="X41" s="8"/>
      <c r="Y41" s="8"/>
    </row>
    <row r="42" spans="1:25" ht="20.100000000000001" customHeight="1" x14ac:dyDescent="0.25">
      <c r="D42" s="14"/>
      <c r="E42" s="14"/>
      <c r="F42" s="14"/>
      <c r="G42" s="14"/>
      <c r="H42" s="14"/>
      <c r="I42" s="14"/>
      <c r="J42" s="14"/>
      <c r="K42" s="14"/>
      <c r="L42" s="14"/>
      <c r="M42" s="53"/>
      <c r="N42" s="53"/>
      <c r="O42" s="53"/>
      <c r="P42" s="53"/>
    </row>
    <row r="43" spans="1:25" ht="36" customHeight="1" x14ac:dyDescent="0.25">
      <c r="D43" s="95" t="s">
        <v>231</v>
      </c>
      <c r="E43" s="95" t="s">
        <v>232</v>
      </c>
      <c r="F43" s="95" t="s">
        <v>233</v>
      </c>
      <c r="G43" s="95" t="s">
        <v>234</v>
      </c>
      <c r="H43" s="95" t="s">
        <v>208</v>
      </c>
      <c r="I43" s="95" t="s">
        <v>235</v>
      </c>
      <c r="J43" s="95" t="s">
        <v>236</v>
      </c>
      <c r="K43" s="85"/>
      <c r="L43" s="85"/>
      <c r="M43" s="53"/>
      <c r="N43" s="53"/>
    </row>
    <row r="44" spans="1:25" ht="36" customHeight="1" x14ac:dyDescent="0.25">
      <c r="A44" s="56" t="str">
        <f>HYPERLINK("#A1", "▲ Back to top")</f>
        <v>▲ Back to top</v>
      </c>
      <c r="D44" s="76" t="s">
        <v>162</v>
      </c>
      <c r="E44" s="97">
        <v>0.3</v>
      </c>
      <c r="F44" s="77">
        <v>10</v>
      </c>
      <c r="G44" s="78">
        <f>Table_Input_OrganicFertiliser[[#This Row],[Amount applied (kg/hectare)]]*Table_Input_OrganicFertiliser[[#This Row],[Percentage of N in fertiliser]]</f>
        <v>3</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300</v>
      </c>
      <c r="K44" s="85"/>
      <c r="L44" s="85"/>
    </row>
    <row r="45" spans="1:25" ht="36" customHeight="1" x14ac:dyDescent="0.25">
      <c r="D45" s="76" t="s">
        <v>156</v>
      </c>
      <c r="E45" s="97">
        <v>0.25</v>
      </c>
      <c r="F45" s="77">
        <v>10</v>
      </c>
      <c r="G45" s="78">
        <f>Table_Input_OrganicFertiliser[[#This Row],[Amount applied (kg/hectare)]]*Table_Input_OrganicFertiliser[[#This Row],[Percentage of N in fertiliser]]</f>
        <v>2.5</v>
      </c>
      <c r="H45" s="77">
        <f>$E$9</f>
        <v>100</v>
      </c>
      <c r="I45" s="78">
        <f>Table_Input_OrganicFertiliser[[#This Row],[Amount applied (kg/hectare)]]*Table_Input_OrganicFertiliser[[#This Row],[Application area (ha)]]</f>
        <v>1000</v>
      </c>
      <c r="J45" s="78">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5" type="noConversion"/>
  <conditionalFormatting sqref="F47 K209:L209 K184:L184 K188:L189 K192:L193 K198:L199 K202:L203 I33:I37">
    <cfRule type="cellIs" dxfId="61" priority="19" operator="lessThan">
      <formula>0</formula>
    </cfRule>
  </conditionalFormatting>
  <conditionalFormatting sqref="F126:F127">
    <cfRule type="cellIs" dxfId="60" priority="17" operator="lessThan">
      <formula>0</formula>
    </cfRule>
  </conditionalFormatting>
  <conditionalFormatting sqref="F138:F139">
    <cfRule type="cellIs" dxfId="59" priority="16" operator="lessThan">
      <formula>0</formula>
    </cfRule>
  </conditionalFormatting>
  <conditionalFormatting sqref="F150:F151">
    <cfRule type="cellIs" dxfId="58" priority="15" operator="lessThan">
      <formula>0</formula>
    </cfRule>
  </conditionalFormatting>
  <conditionalFormatting sqref="F162:F163">
    <cfRule type="cellIs" dxfId="57" priority="14" operator="lessThan">
      <formula>0</formula>
    </cfRule>
  </conditionalFormatting>
  <conditionalFormatting sqref="F250:F251">
    <cfRule type="cellIs" dxfId="56" priority="27" operator="lessThan">
      <formula>0</formula>
    </cfRule>
  </conditionalFormatting>
  <conditionalFormatting sqref="F255:F256">
    <cfRule type="cellIs" dxfId="55" priority="26" operator="lessThan">
      <formula>0</formula>
    </cfRule>
  </conditionalFormatting>
  <conditionalFormatting sqref="F260:F261">
    <cfRule type="cellIs" dxfId="54" priority="25" operator="lessThan">
      <formula>0</formula>
    </cfRule>
  </conditionalFormatting>
  <conditionalFormatting sqref="F284:F285">
    <cfRule type="cellIs" dxfId="53" priority="24" operator="lessThan">
      <formula>0</formula>
    </cfRule>
  </conditionalFormatting>
  <conditionalFormatting sqref="F289:F290">
    <cfRule type="cellIs" dxfId="52" priority="23" operator="lessThan">
      <formula>0</formula>
    </cfRule>
  </conditionalFormatting>
  <conditionalFormatting sqref="F294:F295">
    <cfRule type="cellIs" dxfId="51"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50" priority="21" operator="lessThan">
      <formula>0</formula>
    </cfRule>
  </conditionalFormatting>
  <conditionalFormatting sqref="I57:I61">
    <cfRule type="cellIs" dxfId="49" priority="4" operator="lessThan">
      <formula>0</formula>
    </cfRule>
  </conditionalFormatting>
  <conditionalFormatting sqref="I65 M104 I124:J124">
    <cfRule type="cellIs" dxfId="48" priority="20" operator="lessThan">
      <formula>0</formula>
    </cfRule>
  </conditionalFormatting>
  <conditionalFormatting sqref="I76:I78">
    <cfRule type="cellIs" dxfId="47" priority="3" operator="lessThan">
      <formula>0</formula>
    </cfRule>
  </conditionalFormatting>
  <conditionalFormatting sqref="I82:I85">
    <cfRule type="cellIs" dxfId="46" priority="2" operator="lessThan">
      <formula>0</formula>
    </cfRule>
  </conditionalFormatting>
  <conditionalFormatting sqref="I89:I93">
    <cfRule type="cellIs" dxfId="45" priority="1" operator="lessThan">
      <formula>0</formula>
    </cfRule>
  </conditionalFormatting>
  <conditionalFormatting sqref="J152">
    <cfRule type="cellIs" dxfId="44" priority="18" operator="lessThan">
      <formula>0</formula>
    </cfRule>
  </conditionalFormatting>
  <conditionalFormatting sqref="L117:L120">
    <cfRule type="cellIs" dxfId="43" priority="8" operator="lessThan">
      <formula>0</formula>
    </cfRule>
  </conditionalFormatting>
  <conditionalFormatting sqref="L123">
    <cfRule type="cellIs" dxfId="42" priority="13" operator="lessThan">
      <formula>0</formula>
    </cfRule>
  </conditionalFormatting>
  <conditionalFormatting sqref="L129:L132">
    <cfRule type="cellIs" dxfId="41" priority="7" operator="lessThan">
      <formula>0</formula>
    </cfRule>
  </conditionalFormatting>
  <conditionalFormatting sqref="L135">
    <cfRule type="cellIs" dxfId="40" priority="12" operator="lessThan">
      <formula>0</formula>
    </cfRule>
  </conditionalFormatting>
  <conditionalFormatting sqref="L141:L144">
    <cfRule type="cellIs" dxfId="39" priority="6" operator="lessThan">
      <formula>0</formula>
    </cfRule>
  </conditionalFormatting>
  <conditionalFormatting sqref="L147">
    <cfRule type="cellIs" dxfId="38" priority="11" operator="lessThan">
      <formula>0</formula>
    </cfRule>
  </conditionalFormatting>
  <conditionalFormatting sqref="L153:L156">
    <cfRule type="cellIs" dxfId="37" priority="5" operator="lessThan">
      <formula>0</formula>
    </cfRule>
  </conditionalFormatting>
  <conditionalFormatting sqref="L159">
    <cfRule type="cellIs" dxfId="36" priority="10" operator="lessThan">
      <formula>0</formula>
    </cfRule>
  </conditionalFormatting>
  <conditionalFormatting sqref="L163:L164">
    <cfRule type="cellIs" dxfId="35" priority="9" operator="lessThan">
      <formula>0</formula>
    </cfRule>
  </conditionalFormatting>
  <conditionalFormatting sqref="L210:L214 L216 L218:L221 L223 J228:J230 J233:J235">
    <cfRule type="cellIs" dxfId="3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topLeftCell="A2" zoomScaleNormal="10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30.625" style="7" customWidth="1"/>
    <col min="17" max="24" width="26.875" style="4" customWidth="1"/>
    <col min="25" max="25" width="25.125" style="4" customWidth="1"/>
    <col min="26" max="27" width="8" style="4"/>
    <col min="28" max="16384" width="8" style="7"/>
  </cols>
  <sheetData>
    <row r="1" spans="1:151" s="4" customFormat="1" ht="30" customHeight="1" x14ac:dyDescent="0.35">
      <c r="A1" s="150" t="e" vm="1">
        <v>#VALUE!</v>
      </c>
      <c r="C1" s="108" t="s">
        <v>317</v>
      </c>
    </row>
    <row r="2" spans="1:151" s="4" customFormat="1" ht="20.100000000000001" customHeight="1" x14ac:dyDescent="0.25">
      <c r="C2" s="2"/>
      <c r="D2" s="2"/>
      <c r="E2" s="2"/>
      <c r="F2" s="2"/>
      <c r="G2" s="2"/>
      <c r="H2" s="2"/>
      <c r="I2" s="2"/>
      <c r="J2" s="2"/>
    </row>
    <row r="3" spans="1:151" ht="20.100000000000001" customHeight="1" x14ac:dyDescent="0.25">
      <c r="A3" s="16" t="s">
        <v>299</v>
      </c>
      <c r="C3" s="39"/>
      <c r="D3" s="39"/>
      <c r="E3" s="39"/>
      <c r="F3" s="39"/>
      <c r="G3" s="39"/>
      <c r="H3" s="39"/>
      <c r="I3" s="39"/>
      <c r="J3" s="39"/>
      <c r="K3" s="39"/>
      <c r="L3" s="39"/>
      <c r="M3" s="39"/>
      <c r="N3" s="39"/>
      <c r="O3" s="39"/>
      <c r="P3" s="39"/>
      <c r="Q3" s="39"/>
      <c r="R3" s="39"/>
      <c r="S3" s="154"/>
      <c r="T3" s="154"/>
      <c r="U3" s="154"/>
      <c r="V3" s="154"/>
      <c r="W3" s="154"/>
      <c r="X3" s="154"/>
      <c r="Y3" s="154"/>
      <c r="Z3" s="15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51" ht="20.100000000000001" customHeight="1" x14ac:dyDescent="0.25">
      <c r="A4" s="16" t="str">
        <f>HYPERLINK("#'Results'!A1", "Results")</f>
        <v>Results</v>
      </c>
      <c r="Q4" s="7"/>
      <c r="R4" s="7"/>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51" ht="20.100000000000001" customHeight="1" x14ac:dyDescent="0.25">
      <c r="D5" s="9" t="s">
        <v>318</v>
      </c>
      <c r="Q5" s="7"/>
      <c r="R5" s="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51" ht="20.100000000000001" customHeight="1" x14ac:dyDescent="0.25">
      <c r="A6" s="19" t="s">
        <v>67</v>
      </c>
      <c r="Q6" s="7"/>
      <c r="R6" s="7"/>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51" ht="20.100000000000001" customHeight="1" x14ac:dyDescent="0.25">
      <c r="A7" s="16" t="str">
        <f>HYPERLINK("#'Input - Site'!A1", "Site")</f>
        <v>Site</v>
      </c>
      <c r="D7" s="155" t="s">
        <v>319</v>
      </c>
      <c r="E7" s="156"/>
      <c r="F7" s="70"/>
      <c r="G7" s="70"/>
      <c r="H7" s="70"/>
      <c r="Q7" s="7"/>
      <c r="R7" s="7"/>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51" ht="20.100000000000001" customHeight="1" x14ac:dyDescent="0.25">
      <c r="A8" s="16" t="str">
        <f>HYPERLINK("#'Input - Production'!A1", "Production and outputs")</f>
        <v>Production and outputs</v>
      </c>
      <c r="D8" s="8" t="str" cm="1">
        <f t="array" ref="D8:D10">Table_SourceData_Scope3_LickBlocks[Product]</f>
        <v>Lick block, dry season mix</v>
      </c>
      <c r="E8" s="69">
        <v>100</v>
      </c>
      <c r="F8" s="68" t="s">
        <v>388</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row>
    <row r="9" spans="1:151" ht="20.100000000000001" customHeight="1" x14ac:dyDescent="0.25">
      <c r="A9" s="16" t="str">
        <f>HYPERLINK("#'Input - Herd - Dairy'!A1", "Herd - Dairy")</f>
        <v>Herd - Dairy</v>
      </c>
      <c r="D9" s="8" t="str">
        <v>Lick block, mineral</v>
      </c>
      <c r="E9" s="69">
        <v>100</v>
      </c>
      <c r="F9" s="68" t="s">
        <v>388</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row>
    <row r="10" spans="1:151" ht="20.100000000000001" customHeight="1" x14ac:dyDescent="0.25">
      <c r="A10" s="43" t="str">
        <f>HYPERLINK("#'Input - Feed - Dairy'!A1", "Purchased feed - Livestock")</f>
        <v>Purchased feed - Livestock</v>
      </c>
      <c r="D10" s="8" t="str">
        <v>Lick block, weaner</v>
      </c>
      <c r="E10" s="69">
        <v>100</v>
      </c>
      <c r="F10" s="68" t="s">
        <v>388</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row>
    <row r="11" spans="1:151" ht="20.100000000000001" customHeight="1" x14ac:dyDescent="0.25">
      <c r="A11" s="16" t="str">
        <f>HYPERLINK("#'Input - Herd - Feedlot'!A1", "Herd - Feedlot")</f>
        <v>Herd - Feedlot</v>
      </c>
      <c r="C11" s="157"/>
      <c r="D11" s="8"/>
      <c r="E11" s="8"/>
      <c r="F11" s="8"/>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row>
    <row r="12" spans="1:151" ht="20.100000000000001" customHeight="1" x14ac:dyDescent="0.25">
      <c r="A12" s="16" t="str">
        <f>HYPERLINK("#'Input - Pasture'!A1", "Pasture")</f>
        <v>Pasture</v>
      </c>
      <c r="Q12" s="7"/>
      <c r="R12" s="7"/>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51" ht="20.100000000000001" customHeight="1" x14ac:dyDescent="0.25">
      <c r="A13" s="16" t="str">
        <f>HYPERLINK("#'Input - Grains'!A1", "Crop - Grains")</f>
        <v>Crop - Grains</v>
      </c>
      <c r="D13" s="155" t="s">
        <v>320</v>
      </c>
      <c r="Q13" s="7"/>
      <c r="R13" s="7"/>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51" ht="20.100000000000001" customHeight="1" x14ac:dyDescent="0.25">
      <c r="A14" s="16" t="str">
        <f>HYPERLINK("#'Input - Fert Lime Chem'!A1", "Fertiliser, Lime &amp; Chemicals")</f>
        <v>Fertiliser, Lime &amp; Chemicals</v>
      </c>
      <c r="D14" s="100" t="s">
        <v>311</v>
      </c>
      <c r="E14" s="116"/>
      <c r="F14" s="116"/>
      <c r="G14" s="101"/>
      <c r="Q14" s="7"/>
      <c r="R14" s="7"/>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51" ht="20.100000000000001" customHeight="1" x14ac:dyDescent="0.25">
      <c r="A15" s="16" t="str">
        <f>HYPERLINK("#'Input - Fuel &amp; Energy'!A1", "Electricity and fuel")</f>
        <v>Electricity and fuel</v>
      </c>
      <c r="Q15" s="7"/>
      <c r="R15" s="7"/>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51" ht="20.100000000000001" customHeight="1" x14ac:dyDescent="0.25">
      <c r="A16" s="52" t="s">
        <v>304</v>
      </c>
      <c r="D16" s="49" t="s">
        <v>321</v>
      </c>
      <c r="E16" s="49" t="s">
        <v>322</v>
      </c>
      <c r="F16" s="49" t="s">
        <v>214</v>
      </c>
      <c r="G16" s="49" t="s">
        <v>440</v>
      </c>
      <c r="H16" s="49" t="s">
        <v>178</v>
      </c>
      <c r="I16" s="49" t="s">
        <v>323</v>
      </c>
      <c r="J16" s="49" t="s">
        <v>445</v>
      </c>
      <c r="K16" s="49" t="s">
        <v>180</v>
      </c>
      <c r="L16" s="49" t="s">
        <v>324</v>
      </c>
      <c r="M16" s="49" t="s">
        <v>446</v>
      </c>
      <c r="N16" s="49" t="s">
        <v>182</v>
      </c>
      <c r="O16" s="49" t="s">
        <v>325</v>
      </c>
      <c r="P16" s="49" t="s">
        <v>447</v>
      </c>
      <c r="Q16" s="49" t="s">
        <v>184</v>
      </c>
      <c r="R16" s="7"/>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row>
    <row r="17" spans="1:152" ht="20.100000000000001" customHeight="1" x14ac:dyDescent="0.25">
      <c r="A17" s="52" t="s">
        <v>305</v>
      </c>
      <c r="D17" s="15"/>
      <c r="E17" s="158">
        <v>1200</v>
      </c>
      <c r="F17" s="48" t="s">
        <v>439</v>
      </c>
      <c r="G17" s="48" t="s">
        <v>379</v>
      </c>
      <c r="H17" s="51">
        <v>0.35</v>
      </c>
      <c r="I17" s="48" t="s">
        <v>441</v>
      </c>
      <c r="J17" s="48" t="s">
        <v>442</v>
      </c>
      <c r="K17" s="51">
        <v>0.22</v>
      </c>
      <c r="L17" s="48" t="s">
        <v>326</v>
      </c>
      <c r="M17" s="48" t="s">
        <v>366</v>
      </c>
      <c r="N17" s="51">
        <v>0.12</v>
      </c>
      <c r="O17" s="48" t="s">
        <v>448</v>
      </c>
      <c r="P17" s="48" t="s">
        <v>368</v>
      </c>
      <c r="Q17" s="51">
        <v>0.05</v>
      </c>
      <c r="R17" s="7"/>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row>
    <row r="18" spans="1:152" ht="20.100000000000001" customHeight="1" x14ac:dyDescent="0.25">
      <c r="A18" s="16" t="str">
        <f>HYPERLINK("#'Input - Other Farm Inputs'!A1", "Other farm inputs")</f>
        <v>Other farm inputs</v>
      </c>
      <c r="D18" s="15"/>
      <c r="E18" s="158">
        <v>3456</v>
      </c>
      <c r="F18" s="48" t="s">
        <v>435</v>
      </c>
      <c r="G18" s="48" t="s">
        <v>438</v>
      </c>
      <c r="H18" s="51">
        <v>0.2</v>
      </c>
      <c r="I18" s="48" t="s">
        <v>443</v>
      </c>
      <c r="J18" s="48" t="s">
        <v>367</v>
      </c>
      <c r="K18" s="51">
        <v>0.2</v>
      </c>
      <c r="L18" s="48"/>
      <c r="M18" s="48"/>
      <c r="N18" s="51"/>
      <c r="O18" s="48"/>
      <c r="P18" s="48"/>
      <c r="Q18" s="51"/>
      <c r="R18" s="7"/>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row>
    <row r="19" spans="1:152" ht="20.100000000000001" customHeight="1" x14ac:dyDescent="0.25">
      <c r="A19" s="16" t="str">
        <f>HYPERLINK("#'Input - Data quality'!A1", "Data quality")</f>
        <v>Data quality</v>
      </c>
      <c r="D19" s="15" t="s">
        <v>327</v>
      </c>
      <c r="E19" s="158">
        <v>300</v>
      </c>
      <c r="F19" s="48" t="s">
        <v>437</v>
      </c>
      <c r="G19" s="48" t="s">
        <v>368</v>
      </c>
      <c r="H19" s="51">
        <v>0.8</v>
      </c>
      <c r="I19" s="48" t="s">
        <v>436</v>
      </c>
      <c r="J19" s="48" t="s">
        <v>444</v>
      </c>
      <c r="K19" s="51">
        <v>0.2</v>
      </c>
      <c r="L19" s="48"/>
      <c r="M19" s="48"/>
      <c r="N19" s="51"/>
      <c r="O19" s="48"/>
      <c r="P19" s="48"/>
      <c r="Q19" s="51"/>
      <c r="R19" s="7"/>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row>
    <row r="20" spans="1:152" ht="20.100000000000001" customHeight="1" x14ac:dyDescent="0.25">
      <c r="A20" s="3"/>
      <c r="D20" s="15"/>
      <c r="E20" s="158">
        <v>500</v>
      </c>
      <c r="F20" s="48" t="s">
        <v>450</v>
      </c>
      <c r="G20" s="48" t="s">
        <v>367</v>
      </c>
      <c r="H20" s="51">
        <v>1</v>
      </c>
      <c r="I20" s="48"/>
      <c r="J20" s="48"/>
      <c r="K20" s="51"/>
      <c r="L20" s="48"/>
      <c r="M20" s="48"/>
      <c r="N20" s="51"/>
      <c r="O20" s="48"/>
      <c r="P20" s="48"/>
      <c r="Q20" s="51"/>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2" ht="20.100000000000001" customHeight="1" x14ac:dyDescent="0.25">
      <c r="A21" s="21" t="s">
        <v>77</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2" ht="20.100000000000001" customHeight="1" x14ac:dyDescent="0.25">
      <c r="A22" s="52" t="s">
        <v>306</v>
      </c>
      <c r="P22" s="157"/>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2" ht="20.100000000000001" customHeight="1" x14ac:dyDescent="0.25">
      <c r="A23" s="52" t="s">
        <v>307</v>
      </c>
      <c r="D23" s="155" t="s">
        <v>449</v>
      </c>
      <c r="J23" s="9"/>
      <c r="K23" s="9"/>
      <c r="L23" s="9"/>
      <c r="M23" s="9"/>
      <c r="N23" s="9"/>
      <c r="O23" s="9"/>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2" ht="20.100000000000001" customHeight="1" x14ac:dyDescent="0.25">
      <c r="A24" s="16" t="str">
        <f>HYPERLINK("#'Calcs - Fert Lime'!A1", "Fertiliser &amp; soil amendments")</f>
        <v>Fertiliser &amp; soil amendments</v>
      </c>
      <c r="D24" s="8" t="str" cm="1">
        <f t="array" ref="D24:D27">Table_SourceData_Scope3_MixedRations[Product]</f>
        <v>Feed for chickens</v>
      </c>
      <c r="E24" s="69">
        <v>100</v>
      </c>
      <c r="F24" s="68" t="s">
        <v>388</v>
      </c>
      <c r="G24" s="8"/>
      <c r="H24" s="8"/>
      <c r="I24" s="8"/>
      <c r="J24" s="8"/>
      <c r="K24" s="8"/>
      <c r="L24" s="8"/>
      <c r="M24" s="8"/>
      <c r="N24" s="8"/>
      <c r="O24" s="8"/>
      <c r="P24" s="160"/>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2" ht="20.100000000000001" customHeight="1" x14ac:dyDescent="0.25">
      <c r="A25" s="16" t="str">
        <f>HYPERLINK("#'Calcs - Residue mgmt - Crop'!A1", "Residue management - Crop")</f>
        <v>Residue management - Crop</v>
      </c>
      <c r="D25" s="8" t="str">
        <v>Feed for dairy calves</v>
      </c>
      <c r="E25" s="69">
        <v>100</v>
      </c>
      <c r="F25" s="68" t="s">
        <v>388</v>
      </c>
      <c r="G25" s="8"/>
      <c r="H25" s="8"/>
      <c r="I25" s="8"/>
      <c r="J25" s="8"/>
      <c r="K25" s="8"/>
      <c r="L25" s="8"/>
      <c r="M25" s="8"/>
      <c r="N25" s="8"/>
      <c r="O25" s="8"/>
      <c r="P25" s="160"/>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2" ht="20.100000000000001" customHeight="1" x14ac:dyDescent="0.25">
      <c r="A26" s="16" t="str">
        <f>HYPERLINK("#'Calcs - Residue mgmt - Pasture'!A1", "Residue management - Pasture")</f>
        <v>Residue management - Pasture</v>
      </c>
      <c r="D26" s="8" t="str">
        <v>Feed for dairy cows</v>
      </c>
      <c r="E26" s="69">
        <v>100</v>
      </c>
      <c r="F26" s="68" t="s">
        <v>388</v>
      </c>
      <c r="G26" s="8"/>
      <c r="H26" s="8"/>
      <c r="I26" s="8"/>
      <c r="J26" s="8"/>
      <c r="K26" s="8"/>
      <c r="L26" s="8"/>
      <c r="M26" s="8"/>
      <c r="N26" s="8"/>
      <c r="O26" s="8"/>
      <c r="P26" s="160"/>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2" ht="20.100000000000001" customHeight="1" x14ac:dyDescent="0.25">
      <c r="A27" s="16" t="str">
        <f>HYPERLINK("#'Calcs - Field burning'!A1", "Field burning - Crop")</f>
        <v>Field burning - Crop</v>
      </c>
      <c r="D27" s="8" t="str">
        <v>Feed for pigs</v>
      </c>
      <c r="E27" s="69">
        <v>100</v>
      </c>
      <c r="F27" s="68" t="s">
        <v>388</v>
      </c>
      <c r="G27" s="8"/>
      <c r="H27" s="8"/>
      <c r="I27" s="8"/>
      <c r="J27" s="8"/>
      <c r="K27" s="8"/>
      <c r="L27" s="8"/>
      <c r="M27" s="8"/>
      <c r="N27" s="8"/>
      <c r="O27" s="8"/>
      <c r="P27" s="160"/>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2" ht="20.100000000000001" customHeight="1" x14ac:dyDescent="0.25">
      <c r="A28" s="16" t="str">
        <f>HYPERLINK("#'Calcs - Fuel'!A1", "Fuel")</f>
        <v>Fuel</v>
      </c>
      <c r="G28" s="8"/>
      <c r="H28" s="8"/>
      <c r="I28" s="8"/>
      <c r="J28" s="8"/>
      <c r="K28" s="8"/>
      <c r="L28" s="8"/>
      <c r="M28" s="8"/>
      <c r="N28" s="8"/>
      <c r="O28" s="8"/>
      <c r="P28" s="160"/>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2" ht="20.100000000000001" customHeight="1" x14ac:dyDescent="0.25">
      <c r="A29" s="16" t="str">
        <f>HYPERLINK("#'Calcs - Electricity'!A1", "Electricity")</f>
        <v>Electricity</v>
      </c>
      <c r="D29" s="8"/>
      <c r="E29" s="8"/>
      <c r="F29" s="8"/>
      <c r="G29" s="8"/>
      <c r="H29" s="8"/>
      <c r="I29" s="8"/>
      <c r="J29" s="8"/>
      <c r="K29" s="8"/>
      <c r="L29" s="8"/>
      <c r="M29" s="8"/>
      <c r="N29" s="8"/>
      <c r="O29" s="8"/>
      <c r="P29" s="160"/>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2" ht="20.100000000000001" customHeight="1" x14ac:dyDescent="0.25">
      <c r="A30" s="16" t="str">
        <f>HYPERLINK("#'Calcs - Refrigerants'!A1", "Refrigerants")</f>
        <v>Refrigerants</v>
      </c>
      <c r="D30" s="8"/>
      <c r="E30" s="8"/>
      <c r="F30" s="8"/>
      <c r="G30" s="8"/>
      <c r="H30" s="8"/>
      <c r="I30" s="8"/>
      <c r="J30" s="8"/>
      <c r="K30" s="8"/>
      <c r="L30" s="8"/>
      <c r="M30" s="8"/>
      <c r="N30" s="8"/>
      <c r="O30" s="8"/>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2" ht="20.100000000000001" customHeight="1" x14ac:dyDescent="0.25">
      <c r="A31" s="52" t="s">
        <v>304</v>
      </c>
      <c r="D31" s="8"/>
      <c r="E31" s="8"/>
      <c r="F31" s="8"/>
      <c r="G31" s="8"/>
      <c r="H31" s="8"/>
      <c r="I31" s="8"/>
      <c r="J31" s="8"/>
      <c r="K31" s="8"/>
      <c r="L31" s="8"/>
      <c r="M31" s="8"/>
      <c r="N31" s="8"/>
      <c r="O31" s="8"/>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2" ht="20.100000000000001" customHeight="1" x14ac:dyDescent="0.25">
      <c r="A32" s="52" t="s">
        <v>305</v>
      </c>
      <c r="D32" s="8"/>
      <c r="E32" s="8"/>
      <c r="F32" s="8"/>
      <c r="G32" s="8"/>
      <c r="H32" s="8"/>
      <c r="I32" s="8"/>
      <c r="J32" s="8"/>
      <c r="K32" s="8"/>
      <c r="L32" s="8"/>
      <c r="M32" s="8"/>
      <c r="N32" s="8"/>
      <c r="O32" s="8"/>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57"/>
      <c r="D33" s="8"/>
      <c r="E33" s="8"/>
      <c r="F33" s="8"/>
      <c r="G33" s="8"/>
      <c r="H33" s="8"/>
      <c r="I33" s="8"/>
      <c r="J33" s="8"/>
      <c r="K33" s="8"/>
      <c r="L33" s="8"/>
      <c r="M33" s="8"/>
      <c r="N33" s="8"/>
      <c r="O33" s="8"/>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R38" s="154"/>
      <c r="S38" s="154"/>
      <c r="T38" s="154"/>
      <c r="U38" s="154"/>
      <c r="V38" s="154"/>
      <c r="W38" s="154"/>
      <c r="X38" s="154"/>
      <c r="Y38" s="154"/>
      <c r="Z38" s="15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Q39" s="15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308</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51"/>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M58" s="159"/>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5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54"/>
      <c r="S75" s="154"/>
      <c r="T75" s="154"/>
      <c r="U75" s="154"/>
      <c r="V75" s="154"/>
      <c r="W75" s="154"/>
      <c r="X75" s="154"/>
      <c r="Y75" s="15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3">
    <dataValidation type="list" allowBlank="1" showInputMessage="1" showErrorMessage="1" sqref="N27:N28 H27:H28 J27:J28 L27:L28" xr:uid="{0AD8851A-09E8-483B-9827-926349C05F01}">
      <formula1>INDIRECT("Table_Scope3_AquacultureFeedBait[Feed / Bait ingredient]")</formula1>
    </dataValidation>
    <dataValidation type="list" allowBlank="1" showInputMessage="1" showErrorMessage="1" sqref="F17:F20 I17:I20 L17:L20 O17:O20" xr:uid="{1054A587-AE3C-4093-8FA5-82F7F165672F}">
      <formula1>INDIRECT(_xlfn.UNIQUE("Table_SourceData_Scope3_Feed[Product]"))</formula1>
    </dataValidation>
    <dataValidation type="list" allowBlank="1" showInputMessage="1" showErrorMessage="1" sqref="G17:G20 J17:J20 M17:M20 P17:P20" xr:uid="{299DE751-C45B-453E-A22E-D9874EC037B6}">
      <formula1>INDIRECT("Table_ProductRegions_" &amp; SUBSTITUTE(SUBSTITUTE(SUBSTITUTE(SUBSTITUTE(F17, " ", ""), ",", ""), "(", ""), ")", "") &amp; "[Region]")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S75"/>
  <sheetViews>
    <sheetView showGridLines="0" zoomScale="85" zoomScaleNormal="85" workbookViewId="0">
      <selection activeCell="H59" sqref="H59"/>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50" t="e" vm="1">
        <v>#VALUE!</v>
      </c>
      <c r="C1" s="108" t="s">
        <v>310</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492</v>
      </c>
      <c r="G5" s="8"/>
      <c r="H5" s="8"/>
      <c r="I5" s="8"/>
      <c r="J5" s="8"/>
    </row>
    <row r="6" spans="1:19" ht="20.100000000000001" customHeight="1" x14ac:dyDescent="0.25">
      <c r="C6" s="8"/>
      <c r="D6" s="8" t="str">
        <f>'Constants - Scope 3'!E202</f>
        <v>Animal ear tags (large)</v>
      </c>
      <c r="E6" s="69">
        <v>100</v>
      </c>
      <c r="F6" s="68" t="s">
        <v>456</v>
      </c>
      <c r="G6" s="8"/>
      <c r="H6" s="8"/>
      <c r="I6" s="8"/>
      <c r="J6" s="8"/>
    </row>
    <row r="7" spans="1:19" ht="20.100000000000001" customHeight="1" x14ac:dyDescent="0.25">
      <c r="C7" s="8"/>
      <c r="D7" s="8" t="str">
        <f>'Constants - Scope 3'!E203</f>
        <v>Animal ear tags (small)</v>
      </c>
      <c r="E7" s="69">
        <v>200</v>
      </c>
      <c r="F7" s="68" t="s">
        <v>456</v>
      </c>
      <c r="G7" s="8"/>
      <c r="H7" s="8"/>
      <c r="I7" s="8"/>
      <c r="J7" s="8"/>
    </row>
    <row r="8" spans="1:19" ht="20.100000000000001" customHeight="1" x14ac:dyDescent="0.25">
      <c r="C8" s="8"/>
      <c r="D8" s="8" t="str">
        <f>'Constants - Scope 3'!E206</f>
        <v>Nylon netting</v>
      </c>
      <c r="E8" s="69">
        <v>300</v>
      </c>
      <c r="F8" s="68" t="s">
        <v>388</v>
      </c>
      <c r="G8" s="8"/>
      <c r="H8" s="8"/>
      <c r="I8" s="8"/>
      <c r="J8" s="8"/>
    </row>
    <row r="9" spans="1:19" ht="20.100000000000001" customHeight="1" x14ac:dyDescent="0.25">
      <c r="C9" s="8"/>
      <c r="D9" s="8"/>
      <c r="E9" s="8"/>
      <c r="F9" s="68"/>
      <c r="G9" s="8"/>
      <c r="H9" s="8"/>
      <c r="I9" s="8"/>
      <c r="J9" s="8"/>
    </row>
    <row r="10" spans="1:19" ht="20.100000000000001" customHeight="1" x14ac:dyDescent="0.25"/>
    <row r="11" spans="1:19" ht="20.100000000000001" customHeight="1" x14ac:dyDescent="0.25">
      <c r="D11" s="9" t="s">
        <v>477</v>
      </c>
    </row>
    <row r="12" spans="1:19" ht="20.100000000000001" customHeight="1" x14ac:dyDescent="0.25">
      <c r="C12" s="8"/>
      <c r="D12" s="8" t="str">
        <f>'Constants - Scope 3'!E204</f>
        <v>Barley grain (for seed)</v>
      </c>
      <c r="E12" s="69">
        <v>500</v>
      </c>
      <c r="F12" s="68" t="s">
        <v>388</v>
      </c>
      <c r="G12" s="8"/>
      <c r="H12" s="8"/>
      <c r="I12" s="8"/>
      <c r="J12" s="8"/>
    </row>
    <row r="13" spans="1:19" ht="20.100000000000001" customHeight="1" x14ac:dyDescent="0.25">
      <c r="C13" s="8"/>
      <c r="D13" s="8" t="str">
        <f>'Constants - Scope 3'!E205</f>
        <v>Maize grain (for seed)</v>
      </c>
      <c r="E13" s="69">
        <v>600</v>
      </c>
      <c r="F13" s="68" t="s">
        <v>388</v>
      </c>
      <c r="G13" s="8"/>
      <c r="H13" s="8"/>
      <c r="I13" s="8"/>
      <c r="J13" s="8"/>
    </row>
    <row r="14" spans="1:19" ht="20.100000000000001" customHeight="1" x14ac:dyDescent="0.25">
      <c r="D14" s="8" t="str">
        <f>'Constants - Scope 3'!E207</f>
        <v>Oat grain (for seed)</v>
      </c>
      <c r="E14" s="69">
        <v>700</v>
      </c>
      <c r="F14" s="68" t="s">
        <v>388</v>
      </c>
    </row>
    <row r="15" spans="1:19" ht="20.100000000000001" customHeight="1" x14ac:dyDescent="0.25">
      <c r="D15" s="8" t="str">
        <f>'Constants - Scope 3'!E208</f>
        <v>Sorghum grain (for seed)</v>
      </c>
      <c r="E15" s="69">
        <v>800</v>
      </c>
      <c r="F15" s="68" t="s">
        <v>388</v>
      </c>
      <c r="G15" s="8"/>
      <c r="H15" s="8"/>
      <c r="I15" s="8"/>
    </row>
    <row r="16" spans="1:19" ht="20.100000000000001" customHeight="1" x14ac:dyDescent="0.25">
      <c r="D16" s="8" t="str">
        <f>'Constants - Scope 3'!E209</f>
        <v>Wheat grain (for seed)</v>
      </c>
      <c r="E16" s="69">
        <v>900</v>
      </c>
      <c r="F16" s="68" t="s">
        <v>388</v>
      </c>
      <c r="G16" s="8"/>
      <c r="H16" s="8"/>
      <c r="I16" s="8"/>
    </row>
    <row r="17" spans="3:18" ht="20.100000000000001" customHeight="1" x14ac:dyDescent="0.25">
      <c r="C17" s="8"/>
      <c r="D17" s="8"/>
      <c r="E17" s="8"/>
      <c r="F17" s="8"/>
      <c r="G17" s="8"/>
      <c r="H17" s="8"/>
      <c r="I17" s="8"/>
      <c r="J17" s="8"/>
    </row>
    <row r="18" spans="3:18" ht="20.100000000000001" customHeight="1" x14ac:dyDescent="0.25">
      <c r="C18" s="8"/>
      <c r="D18" s="8"/>
      <c r="E18" s="8"/>
      <c r="F18" s="8"/>
      <c r="G18" s="8"/>
      <c r="H18" s="8"/>
      <c r="I18" s="8"/>
      <c r="J18" s="8"/>
    </row>
    <row r="19" spans="3:18" ht="20.100000000000001" customHeight="1" x14ac:dyDescent="0.25">
      <c r="D19" s="9" t="s">
        <v>411</v>
      </c>
      <c r="E19" s="7"/>
      <c r="F19" s="7"/>
      <c r="G19" s="7"/>
      <c r="H19" s="7"/>
      <c r="I19" s="7"/>
      <c r="J19" s="7"/>
    </row>
    <row r="20" spans="3:18" ht="20.100000000000001" customHeight="1" x14ac:dyDescent="0.25">
      <c r="D20" s="160"/>
      <c r="E20" s="160"/>
      <c r="F20" s="160"/>
      <c r="G20" s="160"/>
      <c r="H20" s="160"/>
      <c r="I20" s="160"/>
      <c r="J20" s="160"/>
    </row>
    <row r="21" spans="3:18" ht="20.100000000000001" customHeight="1" x14ac:dyDescent="0.25">
      <c r="D21" s="40" t="s">
        <v>328</v>
      </c>
      <c r="E21" s="41"/>
      <c r="F21" s="41"/>
      <c r="G21" s="42"/>
      <c r="H21" s="161"/>
      <c r="I21" s="161"/>
      <c r="J21" s="162"/>
    </row>
    <row r="22" spans="3:18" ht="20.100000000000001" customHeight="1" x14ac:dyDescent="0.25">
      <c r="D22" s="92" t="s">
        <v>329</v>
      </c>
      <c r="E22" s="93"/>
      <c r="F22" s="93"/>
      <c r="G22" s="94"/>
      <c r="H22" s="7"/>
      <c r="I22" s="7"/>
      <c r="J22" s="7"/>
    </row>
    <row r="23" spans="3:18" ht="20.100000000000001" customHeight="1" x14ac:dyDescent="0.25">
      <c r="D23" s="44" t="s">
        <v>330</v>
      </c>
      <c r="E23" s="45"/>
      <c r="F23" s="45"/>
      <c r="G23" s="46"/>
      <c r="H23" s="7"/>
      <c r="I23" s="7"/>
      <c r="J23" s="7"/>
    </row>
    <row r="24" spans="3:18" ht="20.100000000000001" customHeight="1" x14ac:dyDescent="0.25">
      <c r="D24" s="160"/>
      <c r="E24" s="160"/>
      <c r="F24" s="160"/>
      <c r="G24" s="160"/>
      <c r="H24" s="160"/>
      <c r="I24" s="160"/>
      <c r="J24" s="160"/>
      <c r="K24" s="57" t="str" cm="1">
        <f t="array" ref="K24">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24" s="57" t="str" cm="1">
        <f t="array" ref="N24">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24" s="57" t="str" cm="1">
        <f t="array" ref="Q24">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25" spans="3:18" ht="20.100000000000001" customHeight="1" x14ac:dyDescent="0.25">
      <c r="C25" s="8"/>
      <c r="D25" s="177" t="s">
        <v>173</v>
      </c>
      <c r="E25" s="177" t="s">
        <v>331</v>
      </c>
      <c r="F25" s="177" t="s">
        <v>332</v>
      </c>
      <c r="G25" s="177" t="s">
        <v>208</v>
      </c>
      <c r="H25" s="177" t="s">
        <v>333</v>
      </c>
      <c r="I25" s="177" t="s">
        <v>497</v>
      </c>
      <c r="J25" s="177" t="s">
        <v>334</v>
      </c>
      <c r="K25" s="165" t="s">
        <v>335</v>
      </c>
      <c r="L25" s="165" t="s">
        <v>493</v>
      </c>
      <c r="M25" s="165" t="s">
        <v>336</v>
      </c>
      <c r="N25" s="165" t="s">
        <v>337</v>
      </c>
      <c r="O25" s="165" t="s">
        <v>494</v>
      </c>
      <c r="P25" s="165" t="s">
        <v>338</v>
      </c>
      <c r="Q25" s="165" t="s">
        <v>339</v>
      </c>
      <c r="R25" s="165" t="s">
        <v>495</v>
      </c>
    </row>
    <row r="26" spans="3:18" ht="20.100000000000001" customHeight="1" x14ac:dyDescent="0.25">
      <c r="C26" s="8"/>
      <c r="D26" s="178" t="s">
        <v>499</v>
      </c>
      <c r="E26" s="179">
        <v>10</v>
      </c>
      <c r="F26" s="48" t="s">
        <v>480</v>
      </c>
      <c r="G26" s="69">
        <v>100</v>
      </c>
      <c r="H26" s="50">
        <f>Table_Input_Pesticides[[#This Row],[Amount applied per ha]]*Table_Input_Pesticides[[#This Row],[Application area (ha)]]</f>
        <v>1000</v>
      </c>
      <c r="I26" s="48" t="s">
        <v>479</v>
      </c>
      <c r="J26" s="48" t="s">
        <v>478</v>
      </c>
      <c r="K26" s="69">
        <v>26</v>
      </c>
      <c r="L26" s="50">
        <f>Table_Input_Pesticides[[#This Row],[Total applied]]*Table_Input_Pesticides[[#This Row],[Active ingredient 1 amount]]*IF(Table_Input_Pesticides[[#This Row],[Constituent unit (select)]]="fraction of product", 1, 10^-3)</f>
        <v>26</v>
      </c>
      <c r="M26" s="48" t="s">
        <v>478</v>
      </c>
      <c r="N26" s="69">
        <v>420</v>
      </c>
      <c r="O26" s="50">
        <f>Table_Input_Pesticides[[#This Row],[Total applied]]*Table_Input_Pesticides[[#This Row],[Active ingredient 2 amount]]*IF(Table_Input_Pesticides[[#This Row],[Constituent unit (select)]]="fraction of product", 1, 10^-3)</f>
        <v>420</v>
      </c>
      <c r="P26" s="48"/>
      <c r="Q26" s="69"/>
      <c r="R26" s="50">
        <f>Table_Input_Pesticides[[#This Row],[Total applied]]*Table_Input_Pesticides[[#This Row],[Active ingredient 3 amount]]*IF(Table_Input_Pesticides[[#This Row],[Constituent unit (select)]]="fraction of product", 1, 10^-3)</f>
        <v>0</v>
      </c>
    </row>
    <row r="27" spans="3:18" ht="20.100000000000001" customHeight="1" x14ac:dyDescent="0.25">
      <c r="C27" s="8"/>
      <c r="D27" s="178" t="s">
        <v>498</v>
      </c>
      <c r="E27" s="179">
        <v>10</v>
      </c>
      <c r="F27" s="48" t="s">
        <v>340</v>
      </c>
      <c r="G27" s="166">
        <v>100</v>
      </c>
      <c r="H27" s="50">
        <f>Table_Input_Pesticides[[#This Row],[Amount applied per ha]]*Table_Input_Pesticides[[#This Row],[Application area (ha)]]</f>
        <v>1000</v>
      </c>
      <c r="I27" s="48" t="s">
        <v>479</v>
      </c>
      <c r="J27" s="48" t="s">
        <v>478</v>
      </c>
      <c r="K27" s="166">
        <v>550</v>
      </c>
      <c r="L27" s="50">
        <f>Table_Input_Pesticides[[#This Row],[Total applied]]*Table_Input_Pesticides[[#This Row],[Active ingredient 1 amount]]*IF(Table_Input_Pesticides[[#This Row],[Constituent unit (select)]]="fraction of product", 1, 10^-3)</f>
        <v>550</v>
      </c>
      <c r="M27" s="48"/>
      <c r="N27" s="166"/>
      <c r="O27" s="50">
        <f>Table_Input_Pesticides[[#This Row],[Total applied]]*Table_Input_Pesticides[[#This Row],[Active ingredient 2 amount]]*IF(Table_Input_Pesticides[[#This Row],[Constituent unit (select)]]="fraction of product", 1, 10^-3)</f>
        <v>0</v>
      </c>
      <c r="P27" s="48"/>
      <c r="Q27" s="166"/>
      <c r="R27" s="50">
        <f>Table_Input_Pesticides[[#This Row],[Total applied]]*Table_Input_Pesticides[[#This Row],[Active ingredient 3 amount]]*IF(Table_Input_Pesticides[[#This Row],[Constituent unit (select)]]="fraction of product", 1, 10^-3)</f>
        <v>0</v>
      </c>
    </row>
    <row r="28" spans="3:18" ht="20.100000000000001" customHeight="1" x14ac:dyDescent="0.25">
      <c r="D28" s="178" t="s">
        <v>496</v>
      </c>
      <c r="E28" s="179">
        <v>10</v>
      </c>
      <c r="F28" s="48" t="s">
        <v>480</v>
      </c>
      <c r="G28" s="166">
        <v>100</v>
      </c>
      <c r="H28" s="50">
        <f>Table_Input_Pesticides[[#This Row],[Amount applied per ha]]*Table_Input_Pesticides[[#This Row],[Application area (ha)]]</f>
        <v>1000</v>
      </c>
      <c r="I28" s="48" t="s">
        <v>479</v>
      </c>
      <c r="J28" s="48" t="s">
        <v>478</v>
      </c>
      <c r="K28" s="166">
        <v>500</v>
      </c>
      <c r="L28" s="50">
        <f>Table_Input_Pesticides[[#This Row],[Total applied]]*Table_Input_Pesticides[[#This Row],[Active ingredient 1 amount]]*IF(Table_Input_Pesticides[[#This Row],[Constituent unit (select)]]="fraction of product", 1, 10^-3)</f>
        <v>500</v>
      </c>
      <c r="M28" s="48"/>
      <c r="N28" s="166"/>
      <c r="O28" s="50">
        <f>Table_Input_Pesticides[[#This Row],[Total applied]]*Table_Input_Pesticides[[#This Row],[Active ingredient 2 amount]]*IF(Table_Input_Pesticides[[#This Row],[Constituent unit (select)]]="fraction of product", 1, 10^-3)</f>
        <v>0</v>
      </c>
      <c r="P28" s="48"/>
      <c r="Q28" s="166"/>
      <c r="R28" s="50">
        <f>Table_Input_Pesticides[[#This Row],[Total applied]]*Table_Input_Pesticides[[#This Row],[Active ingredient 3 amount]]*IF(Table_Input_Pesticides[[#This Row],[Constituent unit (select)]]="fraction of product", 1, 10^-3)</f>
        <v>0</v>
      </c>
    </row>
    <row r="29" spans="3:18" ht="20.100000000000001" customHeight="1" x14ac:dyDescent="0.25">
      <c r="D29" s="7"/>
      <c r="E29" s="7"/>
      <c r="F29" s="7"/>
      <c r="G29" s="7"/>
      <c r="H29" s="7"/>
      <c r="I29" s="7"/>
      <c r="J29" s="7"/>
    </row>
    <row r="30" spans="3:18" ht="20.100000000000001" customHeight="1" x14ac:dyDescent="0.25"/>
    <row r="31" spans="3:18" ht="20.100000000000001" customHeight="1" x14ac:dyDescent="0.25">
      <c r="D31" s="9" t="s">
        <v>500</v>
      </c>
    </row>
    <row r="32" spans="3:18" ht="20.100000000000001" customHeight="1" x14ac:dyDescent="0.25"/>
    <row r="33" spans="3:11" ht="20.100000000000001" customHeight="1" x14ac:dyDescent="0.25">
      <c r="D33" s="165" t="s">
        <v>399</v>
      </c>
      <c r="E33" s="165" t="s">
        <v>353</v>
      </c>
      <c r="F33" s="165" t="s">
        <v>354</v>
      </c>
      <c r="G33" s="165" t="s">
        <v>358</v>
      </c>
      <c r="H33" s="165" t="s">
        <v>355</v>
      </c>
      <c r="I33" s="165" t="s">
        <v>352</v>
      </c>
      <c r="J33" s="165" t="s">
        <v>356</v>
      </c>
    </row>
    <row r="34" spans="3:11" ht="20.100000000000001" customHeight="1" x14ac:dyDescent="0.25">
      <c r="D34" s="86" t="s">
        <v>400</v>
      </c>
      <c r="E34" s="48" t="s">
        <v>373</v>
      </c>
      <c r="F34" s="48" t="s">
        <v>373</v>
      </c>
      <c r="G34" s="48" t="s">
        <v>366</v>
      </c>
      <c r="H34" s="69">
        <v>100</v>
      </c>
      <c r="I34" s="69">
        <v>250</v>
      </c>
      <c r="J34" s="50">
        <f>Table_Input_LivestockPurchases[[#This Row],[Quantity (head)]]*Table_Input_LivestockPurchases[[#This Row],[Average liveweight (kg/head)]]</f>
        <v>25000</v>
      </c>
    </row>
    <row r="35" spans="3:11" ht="20.100000000000001" customHeight="1" x14ac:dyDescent="0.25">
      <c r="D35" s="86"/>
      <c r="E35" s="167" t="s">
        <v>357</v>
      </c>
      <c r="F35" s="167" t="s">
        <v>365</v>
      </c>
      <c r="G35" s="167" t="s">
        <v>367</v>
      </c>
      <c r="H35" s="69">
        <v>100</v>
      </c>
      <c r="I35" s="69">
        <v>250</v>
      </c>
      <c r="J35" s="169">
        <f>Table_Input_LivestockPurchases[[#This Row],[Quantity (head)]]*Table_Input_LivestockPurchases[[#This Row],[Average liveweight (kg/head)]]</f>
        <v>25000</v>
      </c>
    </row>
    <row r="36" spans="3:11" ht="20.100000000000001" customHeight="1" x14ac:dyDescent="0.25">
      <c r="D36" s="86"/>
      <c r="E36" s="167" t="s">
        <v>372</v>
      </c>
      <c r="F36" s="167" t="s">
        <v>380</v>
      </c>
      <c r="G36" s="167" t="s">
        <v>377</v>
      </c>
      <c r="H36" s="69">
        <v>100</v>
      </c>
      <c r="I36" s="69">
        <v>250</v>
      </c>
      <c r="J36" s="169">
        <f>Table_Input_LivestockPurchases[[#This Row],[Quantity (head)]]*Table_Input_LivestockPurchases[[#This Row],[Average liveweight (kg/head)]]</f>
        <v>25000</v>
      </c>
    </row>
    <row r="37" spans="3:11" ht="20.100000000000001" customHeight="1" x14ac:dyDescent="0.25">
      <c r="D37" s="86"/>
      <c r="E37" s="167" t="s">
        <v>374</v>
      </c>
      <c r="F37" s="167" t="s">
        <v>374</v>
      </c>
      <c r="G37" s="167" t="s">
        <v>366</v>
      </c>
      <c r="H37" s="69">
        <v>100</v>
      </c>
      <c r="I37" s="69">
        <v>250</v>
      </c>
      <c r="J37" s="169">
        <f>Table_Input_LivestockPurchases[[#This Row],[Quantity (head)]]*Table_Input_LivestockPurchases[[#This Row],[Average liveweight (kg/head)]]</f>
        <v>25000</v>
      </c>
    </row>
    <row r="38" spans="3:11" ht="20.100000000000001" customHeight="1" x14ac:dyDescent="0.25">
      <c r="D38" s="86"/>
      <c r="E38" s="167" t="s">
        <v>375</v>
      </c>
      <c r="F38" s="167" t="s">
        <v>376</v>
      </c>
      <c r="G38" s="167" t="s">
        <v>366</v>
      </c>
      <c r="H38" s="69">
        <v>100</v>
      </c>
      <c r="I38" s="69">
        <v>250</v>
      </c>
      <c r="J38" s="169">
        <f>Table_Input_LivestockPurchases[[#This Row],[Quantity (head)]]*Table_Input_LivestockPurchases[[#This Row],[Average liveweight (kg/head)]]</f>
        <v>25000</v>
      </c>
    </row>
    <row r="39" spans="3:11" ht="20.100000000000001" customHeight="1" x14ac:dyDescent="0.25">
      <c r="D39" s="86"/>
      <c r="E39" s="167" t="s">
        <v>375</v>
      </c>
      <c r="F39" s="167" t="s">
        <v>378</v>
      </c>
      <c r="G39" s="167" t="s">
        <v>379</v>
      </c>
      <c r="H39" s="69">
        <v>100</v>
      </c>
      <c r="I39" s="69">
        <v>250</v>
      </c>
      <c r="J39" s="169">
        <f>Table_Input_LivestockPurchases[[#This Row],[Quantity (head)]]*Table_Input_LivestockPurchases[[#This Row],[Average liveweight (kg/head)]]</f>
        <v>25000</v>
      </c>
    </row>
    <row r="40" spans="3:11" ht="20.100000000000001" customHeight="1" x14ac:dyDescent="0.25"/>
    <row r="41" spans="3:11" ht="20.100000000000001" customHeight="1" x14ac:dyDescent="0.25"/>
    <row r="42" spans="3:11" ht="20.100000000000001" customHeight="1" x14ac:dyDescent="0.25">
      <c r="D42" s="9" t="s">
        <v>410</v>
      </c>
    </row>
    <row r="43" spans="3:11" ht="20.100000000000001" customHeight="1" x14ac:dyDescent="0.25"/>
    <row r="44" spans="3:11" ht="20.100000000000001" customHeight="1" x14ac:dyDescent="0.25">
      <c r="C44" s="8"/>
      <c r="D44" s="100" t="s">
        <v>311</v>
      </c>
      <c r="E44" s="116"/>
      <c r="F44" s="116"/>
      <c r="G44" s="101"/>
      <c r="H44" s="8"/>
      <c r="I44" s="8"/>
      <c r="J44" s="8"/>
    </row>
    <row r="45" spans="3:11" ht="20.100000000000001" customHeight="1" x14ac:dyDescent="0.25">
      <c r="C45" s="8"/>
      <c r="H45" s="8"/>
      <c r="I45" s="8"/>
      <c r="J45" s="8"/>
    </row>
    <row r="46" spans="3:11" ht="20.100000000000001" customHeight="1" x14ac:dyDescent="0.25">
      <c r="C46" s="8"/>
      <c r="D46" s="47" t="s">
        <v>312</v>
      </c>
      <c r="E46" s="47" t="s">
        <v>457</v>
      </c>
      <c r="F46" s="47" t="s">
        <v>313</v>
      </c>
      <c r="G46" s="47" t="s">
        <v>459</v>
      </c>
      <c r="H46" s="47" t="s">
        <v>458</v>
      </c>
      <c r="I46" s="8"/>
    </row>
    <row r="47" spans="3:11" ht="20.100000000000001" customHeight="1" x14ac:dyDescent="0.25">
      <c r="C47" s="8"/>
      <c r="D47" s="152" t="s">
        <v>460</v>
      </c>
      <c r="E47" s="48" t="s">
        <v>461</v>
      </c>
      <c r="F47" s="69">
        <v>100</v>
      </c>
      <c r="G47" s="69">
        <v>0.02</v>
      </c>
      <c r="H47" s="50">
        <f>Table_Input_Packaging[[#This Row],[Quantity purchased]]*Table_Input_Packaging[[#This Row],[Weight per unit (kg)]]</f>
        <v>2</v>
      </c>
      <c r="I47" s="8"/>
    </row>
    <row r="48" spans="3:11" ht="20.100000000000001" customHeight="1" x14ac:dyDescent="0.25">
      <c r="C48" s="8"/>
      <c r="D48" s="152" t="s">
        <v>463</v>
      </c>
      <c r="E48" s="48" t="s">
        <v>462</v>
      </c>
      <c r="F48" s="69">
        <v>1000</v>
      </c>
      <c r="G48" s="69">
        <v>100</v>
      </c>
      <c r="H48" s="50">
        <f>Table_Input_Packaging[[#This Row],[Quantity purchased]]*Table_Input_Packaging[[#This Row],[Weight per unit (kg)]]</f>
        <v>100000</v>
      </c>
      <c r="I48" s="8"/>
      <c r="K48" s="57"/>
    </row>
    <row r="49" spans="3:9" ht="20.100000000000001" customHeight="1" x14ac:dyDescent="0.25">
      <c r="C49" s="8"/>
      <c r="D49" s="152"/>
      <c r="E49" s="48" t="s">
        <v>461</v>
      </c>
      <c r="F49" s="69">
        <v>456</v>
      </c>
      <c r="G49" s="69">
        <v>100</v>
      </c>
      <c r="H49" s="50">
        <f>Table_Input_Packaging[[#This Row],[Quantity purchased]]*Table_Input_Packaging[[#This Row],[Weight per unit (kg)]]</f>
        <v>45600</v>
      </c>
      <c r="I49" s="8"/>
    </row>
    <row r="50" spans="3:9" ht="20.100000000000001" customHeight="1" x14ac:dyDescent="0.25">
      <c r="D50" s="152" t="s">
        <v>465</v>
      </c>
      <c r="E50" s="48" t="s">
        <v>464</v>
      </c>
      <c r="F50" s="69">
        <v>1234</v>
      </c>
      <c r="G50" s="69">
        <v>100</v>
      </c>
      <c r="H50" s="50">
        <f>Table_Input_Packaging[[#This Row],[Quantity purchased]]*Table_Input_Packaging[[#This Row],[Weight per unit (kg)]]</f>
        <v>123400</v>
      </c>
    </row>
    <row r="51" spans="3:9" ht="20.100000000000001" customHeight="1" x14ac:dyDescent="0.25">
      <c r="D51" s="8"/>
      <c r="E51" s="8"/>
      <c r="F51" s="8"/>
      <c r="G51" s="8"/>
    </row>
    <row r="52" spans="3:9" ht="20.100000000000001" customHeight="1" x14ac:dyDescent="0.25">
      <c r="D52" s="8"/>
      <c r="E52" s="8"/>
      <c r="F52" s="8"/>
      <c r="G52" s="8"/>
    </row>
    <row r="53" spans="3:9" ht="20.100000000000001" customHeight="1" x14ac:dyDescent="0.25">
      <c r="D53" s="9" t="s">
        <v>314</v>
      </c>
      <c r="E53" s="8"/>
      <c r="F53" s="8"/>
      <c r="G53" s="8"/>
      <c r="H53" s="8"/>
    </row>
    <row r="54" spans="3:9" ht="20.100000000000001" customHeight="1" x14ac:dyDescent="0.25">
      <c r="H54" s="8"/>
    </row>
    <row r="55" spans="3:9" ht="20.100000000000001" customHeight="1" x14ac:dyDescent="0.25">
      <c r="D55" s="100" t="s">
        <v>311</v>
      </c>
      <c r="E55" s="116"/>
      <c r="F55" s="116"/>
      <c r="G55" s="101"/>
    </row>
    <row r="56" spans="3:9" ht="20.100000000000001" customHeight="1" x14ac:dyDescent="0.25">
      <c r="G56" s="8"/>
    </row>
    <row r="57" spans="3:9" ht="20.100000000000001" customHeight="1" x14ac:dyDescent="0.25">
      <c r="D57" s="47" t="s">
        <v>173</v>
      </c>
      <c r="E57" s="47" t="s">
        <v>381</v>
      </c>
      <c r="F57" s="47" t="s">
        <v>384</v>
      </c>
    </row>
    <row r="58" spans="3:9" ht="20.100000000000001" customHeight="1" x14ac:dyDescent="0.25">
      <c r="D58" s="86" t="s">
        <v>432</v>
      </c>
      <c r="E58" s="48" t="s">
        <v>383</v>
      </c>
      <c r="F58" s="69">
        <v>100</v>
      </c>
    </row>
    <row r="59" spans="3:9" ht="20.100000000000001" customHeight="1" x14ac:dyDescent="0.25">
      <c r="D59" s="86" t="s">
        <v>431</v>
      </c>
      <c r="E59" s="167" t="s">
        <v>382</v>
      </c>
      <c r="F59" s="168">
        <v>100</v>
      </c>
    </row>
    <row r="60" spans="3:9" ht="20.100000000000001" customHeight="1" x14ac:dyDescent="0.25">
      <c r="D60" s="86" t="s">
        <v>315</v>
      </c>
      <c r="E60" s="167" t="s">
        <v>316</v>
      </c>
      <c r="F60" s="168">
        <v>100</v>
      </c>
    </row>
    <row r="61" spans="3:9" ht="20.100000000000001" customHeight="1" x14ac:dyDescent="0.25">
      <c r="D61" s="86" t="s">
        <v>315</v>
      </c>
      <c r="E61" s="167" t="s">
        <v>316</v>
      </c>
      <c r="F61" s="168">
        <v>100</v>
      </c>
    </row>
    <row r="62" spans="3:9" ht="20.100000000000001" customHeight="1" x14ac:dyDescent="0.25">
      <c r="D62" s="86" t="s">
        <v>432</v>
      </c>
      <c r="E62" s="167" t="s">
        <v>383</v>
      </c>
      <c r="F62" s="168">
        <v>100</v>
      </c>
    </row>
    <row r="63" spans="3:9" ht="20.100000000000001" customHeight="1" x14ac:dyDescent="0.25">
      <c r="D63" s="86" t="s">
        <v>432</v>
      </c>
      <c r="E63" s="167" t="s">
        <v>383</v>
      </c>
      <c r="F63" s="168">
        <v>100</v>
      </c>
    </row>
    <row r="64" spans="3:9" ht="20.100000000000001" customHeight="1" x14ac:dyDescent="0.25"/>
    <row r="65" spans="4:7" ht="20.100000000000001" customHeight="1" x14ac:dyDescent="0.25">
      <c r="D65" s="9" t="s">
        <v>418</v>
      </c>
      <c r="E65" s="8"/>
      <c r="F65" s="8"/>
      <c r="G65" s="8"/>
    </row>
    <row r="66" spans="4:7" ht="20.100000000000001" customHeight="1" x14ac:dyDescent="0.25"/>
    <row r="67" spans="4:7" ht="20.100000000000001" customHeight="1" x14ac:dyDescent="0.25">
      <c r="D67" s="100" t="s">
        <v>311</v>
      </c>
      <c r="E67" s="116"/>
      <c r="F67" s="116"/>
      <c r="G67" s="101"/>
    </row>
    <row r="68" spans="4:7" ht="20.100000000000001" customHeight="1" x14ac:dyDescent="0.25">
      <c r="G68" s="8"/>
    </row>
    <row r="69" spans="4:7" ht="20.100000000000001" customHeight="1" x14ac:dyDescent="0.25">
      <c r="D69" s="47" t="s">
        <v>173</v>
      </c>
      <c r="E69" s="47" t="s">
        <v>381</v>
      </c>
      <c r="F69" s="47" t="s">
        <v>423</v>
      </c>
    </row>
    <row r="70" spans="4:7" ht="20.100000000000001" customHeight="1" x14ac:dyDescent="0.25">
      <c r="D70" s="153" t="s">
        <v>427</v>
      </c>
      <c r="E70" s="48" t="s">
        <v>419</v>
      </c>
      <c r="F70" s="69">
        <v>100</v>
      </c>
    </row>
    <row r="71" spans="4:7" ht="20.100000000000001" customHeight="1" x14ac:dyDescent="0.25">
      <c r="D71" s="171" t="s">
        <v>428</v>
      </c>
      <c r="E71" s="167" t="s">
        <v>420</v>
      </c>
      <c r="F71" s="168">
        <v>100</v>
      </c>
    </row>
    <row r="72" spans="4:7" ht="20.100000000000001" customHeight="1" x14ac:dyDescent="0.25">
      <c r="D72" s="171" t="s">
        <v>429</v>
      </c>
      <c r="E72" s="167" t="s">
        <v>421</v>
      </c>
      <c r="F72" s="168">
        <v>100</v>
      </c>
    </row>
    <row r="73" spans="4:7" ht="20.100000000000001" customHeight="1" x14ac:dyDescent="0.25">
      <c r="D73" s="171" t="s">
        <v>430</v>
      </c>
      <c r="E73" s="167" t="s">
        <v>422</v>
      </c>
      <c r="F73" s="168">
        <v>100</v>
      </c>
    </row>
    <row r="74" spans="4:7" x14ac:dyDescent="0.25">
      <c r="D74" s="153" t="s">
        <v>427</v>
      </c>
      <c r="E74" s="167" t="s">
        <v>419</v>
      </c>
      <c r="F74" s="168">
        <v>100</v>
      </c>
    </row>
    <row r="75" spans="4:7" x14ac:dyDescent="0.25">
      <c r="D75" s="171" t="s">
        <v>428</v>
      </c>
      <c r="E75" s="167" t="s">
        <v>420</v>
      </c>
      <c r="F75" s="168">
        <v>100</v>
      </c>
    </row>
  </sheetData>
  <dataValidations count="9">
    <dataValidation type="list" allowBlank="1" showInputMessage="1" showErrorMessage="1" sqref="E58:E63" xr:uid="{C432D3D7-90B5-49EB-9686-44E33AA46DF7}">
      <formula1>INDIRECT("Table_SourceData_Scope3_ChemicalsCleaning[Product]")</formula1>
    </dataValidation>
    <dataValidation type="list" allowBlank="1" showInputMessage="1" showErrorMessage="1" sqref="E47:E50" xr:uid="{C1194F4C-B4BA-4C6C-9335-96226E3C874D}">
      <formula1>INDIRECT("Table_SourceData_Scope3_Packaging[Product]")</formula1>
    </dataValidation>
    <dataValidation type="list" allowBlank="1" showInputMessage="1" showErrorMessage="1" sqref="J26:J28 M26:M28 P26:P28" xr:uid="{4EB7609B-9081-416E-B296-83CB5579804F}">
      <formula1>INDIRECT("Table_SourceData_Scope3_Pesticides[Product]")</formula1>
    </dataValidation>
    <dataValidation type="list" allowBlank="1" showInputMessage="1" showErrorMessage="1" sqref="I26:I28" xr:uid="{8108ECDB-1F4C-43F2-85A5-19117852A987}">
      <formula1>"grams/litre or grams/kg, fraction of product"</formula1>
    </dataValidation>
    <dataValidation type="list" allowBlank="1" showInputMessage="1" showErrorMessage="1" sqref="F26:F28" xr:uid="{3E384BB8-0CCC-45EA-83A2-5F436B025D10}">
      <formula1>"kg / hectare, litre / hectare"</formula1>
    </dataValidation>
    <dataValidation type="list" allowBlank="1" showInputMessage="1" showErrorMessage="1" sqref="E70:E75" xr:uid="{F14848CE-F457-49B7-A95E-514E2B530B92}">
      <formula1>INDIRECT("Table_SourceData_Scope3_ChemicalsPharmacy[Product]")</formula1>
    </dataValidation>
    <dataValidation type="list" allowBlank="1" showInputMessage="1" showErrorMessage="1" sqref="F34:F39" xr:uid="{D038D161-4CB4-4F66-9EA9-1B3DFD795E64}">
      <formula1>INDIRECT(TRIM("Table_SourceData_LivestockProduct_" &amp; SUBSTITUTE(E34, " ", "") &amp; "[Product]"))</formula1>
    </dataValidation>
    <dataValidation type="list" allowBlank="1" showInputMessage="1" showErrorMessage="1" sqref="G34:G39" xr:uid="{B7FC47C0-9DBB-402B-AB78-565B6B988EE8}">
      <formula1>INDIRECT(TRIM("Table_SourceData_LivestockProduct_" &amp; SUBSTITUTE(E34, " ", "") &amp; "[Source region]"))</formula1>
    </dataValidation>
    <dataValidation type="list" allowBlank="1" showInputMessage="1" showErrorMessage="1" sqref="E34:E39" xr:uid="{6CCA3DD5-7553-433B-A61D-B1416ABD99D7}">
      <formula1>INDIRECT(_xlfn.UNIQUE("Table_SourceData_Scope3_Animals[Category]"))</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9"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246</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247</v>
      </c>
    </row>
    <row r="6" spans="1:10" ht="20.100000000000001" customHeight="1" x14ac:dyDescent="0.25">
      <c r="A6" s="18"/>
    </row>
    <row r="7" spans="1:10" ht="20.100000000000001" customHeight="1" x14ac:dyDescent="0.25">
      <c r="A7" s="19" t="s">
        <v>67</v>
      </c>
      <c r="D7" s="74" t="s">
        <v>248</v>
      </c>
    </row>
    <row r="8" spans="1:10" ht="20.100000000000001" customHeight="1" x14ac:dyDescent="0.25">
      <c r="A8" s="43" t="str">
        <f>HYPERLINK("#'Input - Electricity'!A1", "Electricity")</f>
        <v>Electricity</v>
      </c>
    </row>
    <row r="9" spans="1:10" ht="20.100000000000001" customHeight="1" x14ac:dyDescent="0.25">
      <c r="A9" s="16"/>
      <c r="D9" s="100" t="s">
        <v>249</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250</v>
      </c>
      <c r="E11" s="102">
        <v>500</v>
      </c>
      <c r="F11" s="68" t="s">
        <v>251</v>
      </c>
    </row>
    <row r="12" spans="1:10" ht="20.100000000000001" customHeight="1" x14ac:dyDescent="0.25">
      <c r="A12" s="16"/>
      <c r="D12" s="8" t="s">
        <v>252</v>
      </c>
      <c r="E12" s="50" t="str">
        <f>IF('Input - Site'!E21="Western Australia", 'Input - Site'!E22, 'Input - Site'!E21)</f>
        <v>ACT</v>
      </c>
      <c r="F12" s="14"/>
    </row>
    <row r="13" spans="1:10" ht="20.100000000000001" customHeight="1" x14ac:dyDescent="0.25">
      <c r="A13" s="23" t="s">
        <v>78</v>
      </c>
      <c r="D13" s="8" t="s">
        <v>253</v>
      </c>
      <c r="E13" s="48" t="s">
        <v>342</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254</v>
      </c>
    </row>
    <row r="18" spans="1:11" ht="20.100000000000001" customHeight="1" x14ac:dyDescent="0.25">
      <c r="E18" s="57" t="str">
        <f>IF(E12="ACT", "", "ALERT: Your farm is not in the ACT, so the JRPP is not applicable")</f>
        <v/>
      </c>
    </row>
    <row r="19" spans="1:11" ht="20.100000000000001" customHeight="1" x14ac:dyDescent="0.25">
      <c r="D19" s="8" t="s">
        <v>255</v>
      </c>
      <c r="E19" s="102">
        <v>30000</v>
      </c>
      <c r="F19" s="68" t="s">
        <v>251</v>
      </c>
    </row>
    <row r="20" spans="1:11" ht="20.100000000000001" customHeight="1" x14ac:dyDescent="0.25">
      <c r="A20" s="16"/>
      <c r="D20" s="8" t="s">
        <v>256</v>
      </c>
      <c r="E20" s="90">
        <v>0.1</v>
      </c>
      <c r="F20" s="68" t="s">
        <v>257</v>
      </c>
    </row>
    <row r="21" spans="1:11" ht="20.100000000000001" customHeight="1" x14ac:dyDescent="0.25">
      <c r="A21" s="16"/>
      <c r="D21" s="8" t="s">
        <v>258</v>
      </c>
      <c r="E21" s="90">
        <v>0.1</v>
      </c>
      <c r="F21" s="68" t="s">
        <v>257</v>
      </c>
    </row>
    <row r="22" spans="1:11" ht="20.100000000000001" customHeight="1" x14ac:dyDescent="0.25"/>
    <row r="23" spans="1:11" ht="20.100000000000001" customHeight="1" x14ac:dyDescent="0.25">
      <c r="A23" s="16"/>
      <c r="D23" s="8" t="s">
        <v>259</v>
      </c>
      <c r="E23" s="102">
        <v>10000</v>
      </c>
      <c r="F23" s="68" t="s">
        <v>251</v>
      </c>
    </row>
    <row r="24" spans="1:11" ht="20.100000000000001" customHeight="1" x14ac:dyDescent="0.25"/>
    <row r="25" spans="1:11" ht="20.100000000000001" customHeight="1" x14ac:dyDescent="0.25">
      <c r="D25" s="8" t="s">
        <v>260</v>
      </c>
      <c r="E25" s="104" t="str">
        <f>TEXT('Input - Site'!$E$12, "dd mmm yyyy")</f>
        <v>01 Jan 2024</v>
      </c>
    </row>
    <row r="26" spans="1:11" ht="20.100000000000001" customHeight="1" x14ac:dyDescent="0.25">
      <c r="D26" s="8" t="s">
        <v>261</v>
      </c>
      <c r="E26" s="104" t="str">
        <f>TEXT('Input - Site'!$E$13, "dd mmm yyyy")</f>
        <v>31 Dec 2024</v>
      </c>
    </row>
    <row r="27" spans="1:11" ht="20.100000000000001" customHeight="1" x14ac:dyDescent="0.25"/>
    <row r="28" spans="1:11" ht="20.100000000000001" customHeight="1" x14ac:dyDescent="0.25">
      <c r="D28" s="74" t="s">
        <v>262</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263</v>
      </c>
      <c r="E32" s="47" t="s">
        <v>264</v>
      </c>
      <c r="F32" s="47" t="s">
        <v>265</v>
      </c>
      <c r="G32" s="47" t="s">
        <v>266</v>
      </c>
      <c r="H32" s="47" t="s">
        <v>267</v>
      </c>
      <c r="I32" s="47" t="s">
        <v>268</v>
      </c>
      <c r="K32" s="54"/>
    </row>
    <row r="33" spans="1:12" ht="20.100000000000001" customHeight="1" x14ac:dyDescent="0.25">
      <c r="A33" s="16"/>
      <c r="D33" s="10" t="s">
        <v>269</v>
      </c>
      <c r="E33" s="48" t="s">
        <v>270</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271</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270</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272</v>
      </c>
      <c r="E37" s="50">
        <f>SUMIF(Table_Input_RECSurrendered[Elegibility], "Elegible", Table_Input_RECSurrendered[MWh])</f>
        <v>10</v>
      </c>
      <c r="F37" s="68" t="s">
        <v>267</v>
      </c>
      <c r="L37" s="54"/>
    </row>
    <row r="38" spans="1:12" ht="20.100000000000001" customHeight="1" x14ac:dyDescent="0.25">
      <c r="C38" s="53"/>
    </row>
    <row r="39" spans="1:12" ht="20.100000000000001" customHeight="1" x14ac:dyDescent="0.25">
      <c r="A39" s="16"/>
      <c r="C39" s="53"/>
      <c r="D39" s="74" t="s">
        <v>273</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263</v>
      </c>
      <c r="E41" s="47" t="s">
        <v>143</v>
      </c>
      <c r="F41" s="47" t="s">
        <v>265</v>
      </c>
      <c r="G41" s="47" t="s">
        <v>266</v>
      </c>
      <c r="H41" s="47" t="s">
        <v>267</v>
      </c>
      <c r="I41" s="47" t="s">
        <v>268</v>
      </c>
      <c r="J41" s="8"/>
      <c r="L41" s="54" t="s">
        <v>274</v>
      </c>
    </row>
    <row r="42" spans="1:12" ht="20.100000000000001" customHeight="1" x14ac:dyDescent="0.25">
      <c r="D42" s="10" t="s">
        <v>275</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276</v>
      </c>
      <c r="E46" s="50">
        <f>SUMIF(Table_Input_RECConsumedByEntity[Elegibility], "Elegible", Table_Input_RECConsumedByEntity[Number of certificates])</f>
        <v>11</v>
      </c>
      <c r="F46" s="68" t="s">
        <v>267</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871B-344C-4776-8BEE-F3723A4575A9}">
  <dimension ref="C1:L60"/>
  <sheetViews>
    <sheetView showGridLines="0" workbookViewId="0">
      <selection activeCell="D7" sqref="D7:J13"/>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4" width="30.625" customWidth="1"/>
  </cols>
  <sheetData>
    <row r="1" spans="3:12" ht="30" customHeight="1" x14ac:dyDescent="0.35">
      <c r="C1" s="38"/>
      <c r="D1" s="38"/>
      <c r="E1" s="38"/>
      <c r="F1" s="38"/>
      <c r="G1" s="38"/>
      <c r="H1" s="38"/>
      <c r="I1" s="38"/>
      <c r="J1" s="38"/>
      <c r="K1" s="38"/>
      <c r="L1" s="38"/>
    </row>
    <row r="2" spans="3:12" ht="20.100000000000001" customHeight="1" x14ac:dyDescent="0.25">
      <c r="C2" s="39"/>
      <c r="D2" s="39"/>
      <c r="E2" s="39"/>
      <c r="F2" s="39"/>
      <c r="G2" s="39"/>
      <c r="H2" s="39"/>
      <c r="I2" s="39"/>
      <c r="J2" s="39"/>
      <c r="K2" s="39"/>
      <c r="L2" s="39"/>
    </row>
    <row r="3" spans="3:12" ht="20.100000000000001" customHeight="1" x14ac:dyDescent="0.25"/>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c r="K11" s="173"/>
    </row>
    <row r="12" spans="3:12" ht="20.100000000000001" customHeight="1" x14ac:dyDescent="0.25">
      <c r="K12" s="173"/>
    </row>
    <row r="13" spans="3:12" ht="20.100000000000001" customHeight="1" x14ac:dyDescent="0.25">
      <c r="K13" s="173"/>
    </row>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C1:Q238"/>
  <sheetViews>
    <sheetView showGridLines="0" topLeftCell="A44" zoomScale="85" zoomScaleNormal="85" workbookViewId="0">
      <selection activeCell="F42" sqref="F42"/>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4" ht="20.100000000000001" customHeight="1" x14ac:dyDescent="0.25"/>
    <row r="18" spans="4:4" ht="20.100000000000001" customHeight="1" x14ac:dyDescent="0.25"/>
    <row r="19" spans="4:4" ht="20.100000000000001" customHeight="1" x14ac:dyDescent="0.25"/>
    <row r="20" spans="4:4" ht="20.100000000000001" customHeight="1" x14ac:dyDescent="0.25"/>
    <row r="21" spans="4:4" ht="20.100000000000001" customHeight="1" x14ac:dyDescent="0.25"/>
    <row r="22" spans="4:4" ht="20.100000000000001" customHeight="1" x14ac:dyDescent="0.25"/>
    <row r="23" spans="4:4" ht="20.100000000000001" customHeight="1" x14ac:dyDescent="0.25"/>
    <row r="24" spans="4:4" ht="20.100000000000001" customHeight="1" x14ac:dyDescent="0.25"/>
    <row r="25" spans="4:4" ht="20.100000000000001" customHeight="1" x14ac:dyDescent="0.25"/>
    <row r="26" spans="4:4" ht="20.100000000000001" customHeight="1" x14ac:dyDescent="0.25"/>
    <row r="27" spans="4:4" ht="20.100000000000001" customHeight="1" x14ac:dyDescent="0.25"/>
    <row r="28" spans="4:4" ht="20.100000000000001" customHeight="1" x14ac:dyDescent="0.25"/>
    <row r="29" spans="4:4" ht="20.100000000000001" customHeight="1" x14ac:dyDescent="0.25"/>
    <row r="30" spans="4:4" ht="20.100000000000001" customHeight="1" x14ac:dyDescent="0.25"/>
    <row r="31" spans="4:4" ht="20.100000000000001" customHeight="1" x14ac:dyDescent="0.25"/>
    <row r="32" spans="4:4" ht="20.100000000000001" customHeight="1" x14ac:dyDescent="0.25">
      <c r="D32" s="9" t="s">
        <v>404</v>
      </c>
    </row>
    <row r="33" spans="4:9" ht="20.100000000000001" customHeight="1" x14ac:dyDescent="0.25">
      <c r="D33" s="165" t="s">
        <v>346</v>
      </c>
      <c r="E33" s="165" t="s">
        <v>221</v>
      </c>
      <c r="F33" s="165" t="s">
        <v>347</v>
      </c>
      <c r="G33" s="165" t="s">
        <v>302</v>
      </c>
      <c r="H33" s="165" t="s">
        <v>303</v>
      </c>
      <c r="I33" s="165" t="s">
        <v>405</v>
      </c>
    </row>
    <row r="34" spans="4:9" ht="20.100000000000001" customHeight="1" x14ac:dyDescent="0.25">
      <c r="D34" s="165" t="str" cm="1">
        <f t="array" ref="D34">Common_InputFunctions.Utility_DisplayArrayInTable(Scope3_SourceData.Scope3_Livestock_Data(), Table_SourceData_Scope3_Animals[[#Headers],[Category]], 0, 2)</f>
        <v>Beef cattle</v>
      </c>
      <c r="E34" s="165" t="str" cm="1">
        <f t="array" ref="E34">Common_InputFunctions.Utility_DisplayArrayInTable(Scope3_SourceData.Scope3_Livestock_Data(), Table_SourceData_Scope3_Animals[[#Headers],[Category]], 0, 2)</f>
        <v>Cattle, for manufacturing beef</v>
      </c>
      <c r="F34" s="165" t="str" cm="1">
        <f t="array" ref="F34">Common_InputFunctions.Utility_DisplayArrayInTable(Scope3_SourceData.Scope3_Livestock_Data(), Table_SourceData_Scope3_Animals[[#Headers],[Category]], 0, 2)</f>
        <v>Australia</v>
      </c>
      <c r="G34" s="165" t="str" cm="1">
        <f t="array" ref="G34">Common_InputFunctions.Utility_DisplayArrayInTable(Scope3_SourceData.Scope3_Livestock_Data(), Table_SourceData_Scope3_Animals[[#Headers],[Category]], 0, 2)</f>
        <v>kg liveweight</v>
      </c>
      <c r="H34" s="165" cm="1">
        <f t="array" ref="H34">Common_InputFunctions.Utility_DisplayArrayInTable(Scope3_SourceData.Scope3_Livestock_Data(), Table_SourceData_Scope3_Animals[[#Headers],[Category]], 0, 2)</f>
        <v>11</v>
      </c>
      <c r="I34" s="165" t="str" cm="1">
        <f t="array" ref="I34">Common_InputFunctions.Utility_DisplayArrayInTable(Scope3_SourceData.Scope3_Livestock_Data(), Table_SourceData_Scope3_Animals[[#Headers],[Category]], 0, 2)</f>
        <v>at market</v>
      </c>
    </row>
    <row r="35" spans="4:9" ht="20.100000000000001" customHeight="1" x14ac:dyDescent="0.25">
      <c r="D35" s="165" t="str" cm="1">
        <f t="array" ref="D35">Common_InputFunctions.Utility_DisplayArrayInTable(Scope3_SourceData.Scope3_Livestock_Data(), Table_SourceData_Scope3_Animals[[#Headers],[Category]], 0, 2)</f>
        <v>Beef cattle</v>
      </c>
      <c r="E35" s="165" t="str" cm="1">
        <f t="array" ref="E35">Common_InputFunctions.Utility_DisplayArrayInTable(Scope3_SourceData.Scope3_Livestock_Data(), Table_SourceData_Scope3_Animals[[#Headers],[Category]], 0, 2)</f>
        <v>Cattle, for manufacturing beef</v>
      </c>
      <c r="F35" s="165" t="str" cm="1">
        <f t="array" ref="F35">Common_InputFunctions.Utility_DisplayArrayInTable(Scope3_SourceData.Scope3_Livestock_Data(), Table_SourceData_Scope3_Animals[[#Headers],[Category]], 0, 2)</f>
        <v>NSW</v>
      </c>
      <c r="G35" s="165" t="str" cm="1">
        <f t="array" ref="G35">Common_InputFunctions.Utility_DisplayArrayInTable(Scope3_SourceData.Scope3_Livestock_Data(), Table_SourceData_Scope3_Animals[[#Headers],[Category]], 0, 2)</f>
        <v>kg liveweight</v>
      </c>
      <c r="H35" s="165" cm="1">
        <f t="array" ref="H35">Common_InputFunctions.Utility_DisplayArrayInTable(Scope3_SourceData.Scope3_Livestock_Data(), Table_SourceData_Scope3_Animals[[#Headers],[Category]], 0, 2)</f>
        <v>8.2100000000000009</v>
      </c>
      <c r="I35" s="165" t="str" cm="1">
        <f t="array" ref="I35">Common_InputFunctions.Utility_DisplayArrayInTable(Scope3_SourceData.Scope3_Livestock_Data(), Table_SourceData_Scope3_Animals[[#Headers],[Category]], 0, 2)</f>
        <v>at market</v>
      </c>
    </row>
    <row r="36" spans="4:9" ht="20.100000000000001" customHeight="1" x14ac:dyDescent="0.25">
      <c r="D36" s="165" t="str" cm="1">
        <f t="array" ref="D36">Common_InputFunctions.Utility_DisplayArrayInTable(Scope3_SourceData.Scope3_Livestock_Data(), Table_SourceData_Scope3_Animals[[#Headers],[Category]], 0, 2)</f>
        <v>Beef cattle</v>
      </c>
      <c r="E36" s="165" t="str" cm="1">
        <f t="array" ref="E36">Common_InputFunctions.Utility_DisplayArrayInTable(Scope3_SourceData.Scope3_Livestock_Data(), Table_SourceData_Scope3_Animals[[#Headers],[Category]], 0, 2)</f>
        <v>Cattle, for manufacturing beef</v>
      </c>
      <c r="F36" s="165" t="str" cm="1">
        <f t="array" ref="F36">Common_InputFunctions.Utility_DisplayArrayInTable(Scope3_SourceData.Scope3_Livestock_Data(), Table_SourceData_Scope3_Animals[[#Headers],[Category]], 0, 2)</f>
        <v>NT</v>
      </c>
      <c r="G36" s="165" t="str" cm="1">
        <f t="array" ref="G36">Common_InputFunctions.Utility_DisplayArrayInTable(Scope3_SourceData.Scope3_Livestock_Data(), Table_SourceData_Scope3_Animals[[#Headers],[Category]], 0, 2)</f>
        <v>kg liveweight</v>
      </c>
      <c r="H36" s="165" cm="1">
        <f t="array" ref="H36">Common_InputFunctions.Utility_DisplayArrayInTable(Scope3_SourceData.Scope3_Livestock_Data(), Table_SourceData_Scope3_Animals[[#Headers],[Category]], 0, 2)</f>
        <v>12.2</v>
      </c>
      <c r="I36" s="165" t="str" cm="1">
        <f t="array" ref="I36">Common_InputFunctions.Utility_DisplayArrayInTable(Scope3_SourceData.Scope3_Livestock_Data(), Table_SourceData_Scope3_Animals[[#Headers],[Category]], 0, 2)</f>
        <v>at market</v>
      </c>
    </row>
    <row r="37" spans="4:9" ht="20.100000000000001" customHeight="1" x14ac:dyDescent="0.25">
      <c r="D37" s="165" t="str" cm="1">
        <f t="array" ref="D37">Common_InputFunctions.Utility_DisplayArrayInTable(Scope3_SourceData.Scope3_Livestock_Data(), Table_SourceData_Scope3_Animals[[#Headers],[Category]], 0, 2)</f>
        <v>Beef cattle</v>
      </c>
      <c r="E37" s="165" t="str" cm="1">
        <f t="array" ref="E37">Common_InputFunctions.Utility_DisplayArrayInTable(Scope3_SourceData.Scope3_Livestock_Data(), Table_SourceData_Scope3_Animals[[#Headers],[Category]], 0, 2)</f>
        <v>Cattle, for manufacturing beef</v>
      </c>
      <c r="F37" s="165" t="str" cm="1">
        <f t="array" ref="F37">Common_InputFunctions.Utility_DisplayArrayInTable(Scope3_SourceData.Scope3_Livestock_Data(), Table_SourceData_Scope3_Animals[[#Headers],[Category]], 0, 2)</f>
        <v>QLD</v>
      </c>
      <c r="G37" s="165" t="str" cm="1">
        <f t="array" ref="G37">Common_InputFunctions.Utility_DisplayArrayInTable(Scope3_SourceData.Scope3_Livestock_Data(), Table_SourceData_Scope3_Animals[[#Headers],[Category]], 0, 2)</f>
        <v>kg liveweight</v>
      </c>
      <c r="H37" s="165" cm="1">
        <f t="array" ref="H37">Common_InputFunctions.Utility_DisplayArrayInTable(Scope3_SourceData.Scope3_Livestock_Data(), Table_SourceData_Scope3_Animals[[#Headers],[Category]], 0, 2)</f>
        <v>10.9</v>
      </c>
      <c r="I37" s="165" t="str" cm="1">
        <f t="array" ref="I37">Common_InputFunctions.Utility_DisplayArrayInTable(Scope3_SourceData.Scope3_Livestock_Data(), Table_SourceData_Scope3_Animals[[#Headers],[Category]], 0, 2)</f>
        <v>at market</v>
      </c>
    </row>
    <row r="38" spans="4:9" ht="20.100000000000001" customHeight="1" x14ac:dyDescent="0.25">
      <c r="D38" s="165" t="str" cm="1">
        <f t="array" ref="D38">Common_InputFunctions.Utility_DisplayArrayInTable(Scope3_SourceData.Scope3_Livestock_Data(), Table_SourceData_Scope3_Animals[[#Headers],[Category]], 0, 2)</f>
        <v>Beef cattle</v>
      </c>
      <c r="E38" s="165" t="str" cm="1">
        <f t="array" ref="E38">Common_InputFunctions.Utility_DisplayArrayInTable(Scope3_SourceData.Scope3_Livestock_Data(), Table_SourceData_Scope3_Animals[[#Headers],[Category]], 0, 2)</f>
        <v>Cattle, for manufacturing beef</v>
      </c>
      <c r="F38" s="165" t="str" cm="1">
        <f t="array" ref="F38">Common_InputFunctions.Utility_DisplayArrayInTable(Scope3_SourceData.Scope3_Livestock_Data(), Table_SourceData_Scope3_Animals[[#Headers],[Category]], 0, 2)</f>
        <v>SA</v>
      </c>
      <c r="G38" s="165" t="str" cm="1">
        <f t="array" ref="G38">Common_InputFunctions.Utility_DisplayArrayInTable(Scope3_SourceData.Scope3_Livestock_Data(), Table_SourceData_Scope3_Animals[[#Headers],[Category]], 0, 2)</f>
        <v>kg liveweight</v>
      </c>
      <c r="H38" s="165" cm="1">
        <f t="array" ref="H38">Common_InputFunctions.Utility_DisplayArrayInTable(Scope3_SourceData.Scope3_Livestock_Data(), Table_SourceData_Scope3_Animals[[#Headers],[Category]], 0, 2)</f>
        <v>7.63</v>
      </c>
      <c r="I38" s="165" t="str" cm="1">
        <f t="array" ref="I38">Common_InputFunctions.Utility_DisplayArrayInTable(Scope3_SourceData.Scope3_Livestock_Data(), Table_SourceData_Scope3_Animals[[#Headers],[Category]], 0, 2)</f>
        <v>at market</v>
      </c>
    </row>
    <row r="39" spans="4:9" ht="20.100000000000001" customHeight="1" x14ac:dyDescent="0.25">
      <c r="D39" s="165" t="str" cm="1">
        <f t="array" ref="D39">Common_InputFunctions.Utility_DisplayArrayInTable(Scope3_SourceData.Scope3_Livestock_Data(), Table_SourceData_Scope3_Animals[[#Headers],[Category]], 0, 2)</f>
        <v>Beef cattle</v>
      </c>
      <c r="E39" s="165" t="str" cm="1">
        <f t="array" ref="E39">Common_InputFunctions.Utility_DisplayArrayInTable(Scope3_SourceData.Scope3_Livestock_Data(), Table_SourceData_Scope3_Animals[[#Headers],[Category]], 0, 2)</f>
        <v>Cattle, for manufacturing beef</v>
      </c>
      <c r="F39" s="165" t="str" cm="1">
        <f t="array" ref="F39">Common_InputFunctions.Utility_DisplayArrayInTable(Scope3_SourceData.Scope3_Livestock_Data(), Table_SourceData_Scope3_Animals[[#Headers],[Category]], 0, 2)</f>
        <v>TAS</v>
      </c>
      <c r="G39" s="165" t="str" cm="1">
        <f t="array" ref="G39">Common_InputFunctions.Utility_DisplayArrayInTable(Scope3_SourceData.Scope3_Livestock_Data(), Table_SourceData_Scope3_Animals[[#Headers],[Category]], 0, 2)</f>
        <v>kg liveweight</v>
      </c>
      <c r="H39" s="165" cm="1">
        <f t="array" ref="H39">Common_InputFunctions.Utility_DisplayArrayInTable(Scope3_SourceData.Scope3_Livestock_Data(), Table_SourceData_Scope3_Animals[[#Headers],[Category]], 0, 2)</f>
        <v>8.75</v>
      </c>
      <c r="I39" s="165" t="str" cm="1">
        <f t="array" ref="I39">Common_InputFunctions.Utility_DisplayArrayInTable(Scope3_SourceData.Scope3_Livestock_Data(), Table_SourceData_Scope3_Animals[[#Headers],[Category]], 0, 2)</f>
        <v>at market</v>
      </c>
    </row>
    <row r="40" spans="4:9" ht="20.100000000000001" customHeight="1" x14ac:dyDescent="0.25">
      <c r="D40" s="165" t="str" cm="1">
        <f t="array" ref="D40">Common_InputFunctions.Utility_DisplayArrayInTable(Scope3_SourceData.Scope3_Livestock_Data(), Table_SourceData_Scope3_Animals[[#Headers],[Category]], 0, 2)</f>
        <v>Beef cattle</v>
      </c>
      <c r="E40" s="165" t="str" cm="1">
        <f t="array" ref="E40">Common_InputFunctions.Utility_DisplayArrayInTable(Scope3_SourceData.Scope3_Livestock_Data(), Table_SourceData_Scope3_Animals[[#Headers],[Category]], 0, 2)</f>
        <v>Cattle, for manufacturing beef</v>
      </c>
      <c r="F40" s="165" t="str" cm="1">
        <f t="array" ref="F40">Common_InputFunctions.Utility_DisplayArrayInTable(Scope3_SourceData.Scope3_Livestock_Data(), Table_SourceData_Scope3_Animals[[#Headers],[Category]], 0, 2)</f>
        <v>VIC</v>
      </c>
      <c r="G40" s="165" t="str" cm="1">
        <f t="array" ref="G40">Common_InputFunctions.Utility_DisplayArrayInTable(Scope3_SourceData.Scope3_Livestock_Data(), Table_SourceData_Scope3_Animals[[#Headers],[Category]], 0, 2)</f>
        <v>kg liveweight</v>
      </c>
      <c r="H40" s="165" cm="1">
        <f t="array" ref="H40">Common_InputFunctions.Utility_DisplayArrayInTable(Scope3_SourceData.Scope3_Livestock_Data(), Table_SourceData_Scope3_Animals[[#Headers],[Category]], 0, 2)</f>
        <v>8.17</v>
      </c>
      <c r="I40" s="165" t="str" cm="1">
        <f t="array" ref="I40">Common_InputFunctions.Utility_DisplayArrayInTable(Scope3_SourceData.Scope3_Livestock_Data(), Table_SourceData_Scope3_Animals[[#Headers],[Category]], 0, 2)</f>
        <v>at market</v>
      </c>
    </row>
    <row r="41" spans="4:9" ht="20.100000000000001" customHeight="1" x14ac:dyDescent="0.25">
      <c r="D41" s="165" t="str" cm="1">
        <f t="array" ref="D41">Common_InputFunctions.Utility_DisplayArrayInTable(Scope3_SourceData.Scope3_Livestock_Data(), Table_SourceData_Scope3_Animals[[#Headers],[Category]], 0, 2)</f>
        <v>Beef cattle</v>
      </c>
      <c r="E41" s="165" t="str" cm="1">
        <f t="array" ref="E41">Common_InputFunctions.Utility_DisplayArrayInTable(Scope3_SourceData.Scope3_Livestock_Data(), Table_SourceData_Scope3_Animals[[#Headers],[Category]], 0, 2)</f>
        <v>Cattle, for manufacturing beef</v>
      </c>
      <c r="F41" s="165" t="str" cm="1">
        <f t="array" ref="F41">Common_InputFunctions.Utility_DisplayArrayInTable(Scope3_SourceData.Scope3_Livestock_Data(), Table_SourceData_Scope3_Animals[[#Headers],[Category]], 0, 2)</f>
        <v>WA</v>
      </c>
      <c r="G41" s="165" t="str" cm="1">
        <f t="array" ref="G41">Common_InputFunctions.Utility_DisplayArrayInTable(Scope3_SourceData.Scope3_Livestock_Data(), Table_SourceData_Scope3_Animals[[#Headers],[Category]], 0, 2)</f>
        <v>kg liveweight</v>
      </c>
      <c r="H41" s="165" cm="1">
        <f t="array" ref="H41">Common_InputFunctions.Utility_DisplayArrayInTable(Scope3_SourceData.Scope3_Livestock_Data(), Table_SourceData_Scope3_Animals[[#Headers],[Category]], 0, 2)</f>
        <v>13.1</v>
      </c>
      <c r="I41" s="165" t="str" cm="1">
        <f t="array" ref="I41">Common_InputFunctions.Utility_DisplayArrayInTable(Scope3_SourceData.Scope3_Livestock_Data(), Table_SourceData_Scope3_Animals[[#Headers],[Category]], 0, 2)</f>
        <v>at market</v>
      </c>
    </row>
    <row r="42" spans="4:9" ht="20.100000000000001" customHeight="1" x14ac:dyDescent="0.25">
      <c r="D42" s="165" t="str" cm="1">
        <f t="array" ref="D42">Common_InputFunctions.Utility_DisplayArrayInTable(Scope3_SourceData.Scope3_Livestock_Data(), Table_SourceData_Scope3_Animals[[#Headers],[Category]], 0, 2)</f>
        <v>Beef cattle</v>
      </c>
      <c r="E42" s="165" t="str" cm="1">
        <f t="array" ref="E42">Common_InputFunctions.Utility_DisplayArrayInTable(Scope3_SourceData.Scope3_Livestock_Data(), Table_SourceData_Scope3_Animals[[#Headers],[Category]], 0, 2)</f>
        <v>Cattle, for prime beef</v>
      </c>
      <c r="F42" s="165" t="str" cm="1">
        <f t="array" ref="F42">Common_InputFunctions.Utility_DisplayArrayInTable(Scope3_SourceData.Scope3_Livestock_Data(), Table_SourceData_Scope3_Animals[[#Headers],[Category]], 0, 2)</f>
        <v>Australia</v>
      </c>
      <c r="G42" s="165" t="str" cm="1">
        <f t="array" ref="G42">Common_InputFunctions.Utility_DisplayArrayInTable(Scope3_SourceData.Scope3_Livestock_Data(), Table_SourceData_Scope3_Animals[[#Headers],[Category]], 0, 2)</f>
        <v>kg liveweight</v>
      </c>
      <c r="H42" s="165" cm="1">
        <f t="array" ref="H42">Common_InputFunctions.Utility_DisplayArrayInTable(Scope3_SourceData.Scope3_Livestock_Data(), Table_SourceData_Scope3_Animals[[#Headers],[Category]], 0, 2)</f>
        <v>14.5</v>
      </c>
      <c r="I42" s="165" t="str" cm="1">
        <f t="array" ref="I42">Common_InputFunctions.Utility_DisplayArrayInTable(Scope3_SourceData.Scope3_Livestock_Data(), Table_SourceData_Scope3_Animals[[#Headers],[Category]], 0, 2)</f>
        <v>at market</v>
      </c>
    </row>
    <row r="43" spans="4:9" ht="20.100000000000001" customHeight="1" x14ac:dyDescent="0.25">
      <c r="D43" s="165" t="str" cm="1">
        <f t="array" ref="D43">Common_InputFunctions.Utility_DisplayArrayInTable(Scope3_SourceData.Scope3_Livestock_Data(), Table_SourceData_Scope3_Animals[[#Headers],[Category]], 0, 2)</f>
        <v>Beef cattle</v>
      </c>
      <c r="E43" s="165" t="str" cm="1">
        <f t="array" ref="E43">Common_InputFunctions.Utility_DisplayArrayInTable(Scope3_SourceData.Scope3_Livestock_Data(), Table_SourceData_Scope3_Animals[[#Headers],[Category]], 0, 2)</f>
        <v>Cattle, for prime beef</v>
      </c>
      <c r="F43" s="165" t="str" cm="1">
        <f t="array" ref="F43">Common_InputFunctions.Utility_DisplayArrayInTable(Scope3_SourceData.Scope3_Livestock_Data(), Table_SourceData_Scope3_Animals[[#Headers],[Category]], 0, 2)</f>
        <v>NSW</v>
      </c>
      <c r="G43" s="165" t="str" cm="1">
        <f t="array" ref="G43">Common_InputFunctions.Utility_DisplayArrayInTable(Scope3_SourceData.Scope3_Livestock_Data(), Table_SourceData_Scope3_Animals[[#Headers],[Category]], 0, 2)</f>
        <v>kg liveweight</v>
      </c>
      <c r="H43" s="165" cm="1">
        <f t="array" ref="H43">Common_InputFunctions.Utility_DisplayArrayInTable(Scope3_SourceData.Scope3_Livestock_Data(), Table_SourceData_Scope3_Animals[[#Headers],[Category]], 0, 2)</f>
        <v>11.3</v>
      </c>
      <c r="I43" s="165" t="str" cm="1">
        <f t="array" ref="I43">Common_InputFunctions.Utility_DisplayArrayInTable(Scope3_SourceData.Scope3_Livestock_Data(), Table_SourceData_Scope3_Animals[[#Headers],[Category]], 0, 2)</f>
        <v>at market</v>
      </c>
    </row>
    <row r="44" spans="4:9" ht="20.100000000000001" customHeight="1" x14ac:dyDescent="0.25">
      <c r="D44" s="165" t="str" cm="1">
        <f t="array" ref="D44">Common_InputFunctions.Utility_DisplayArrayInTable(Scope3_SourceData.Scope3_Livestock_Data(), Table_SourceData_Scope3_Animals[[#Headers],[Category]], 0, 2)</f>
        <v>Beef cattle</v>
      </c>
      <c r="E44" s="165" t="str" cm="1">
        <f t="array" ref="E44">Common_InputFunctions.Utility_DisplayArrayInTable(Scope3_SourceData.Scope3_Livestock_Data(), Table_SourceData_Scope3_Animals[[#Headers],[Category]], 0, 2)</f>
        <v>Cattle, for prime beef</v>
      </c>
      <c r="F44" s="165" t="str" cm="1">
        <f t="array" ref="F44">Common_InputFunctions.Utility_DisplayArrayInTable(Scope3_SourceData.Scope3_Livestock_Data(), Table_SourceData_Scope3_Animals[[#Headers],[Category]], 0, 2)</f>
        <v>NT</v>
      </c>
      <c r="G44" s="165" t="str" cm="1">
        <f t="array" ref="G44">Common_InputFunctions.Utility_DisplayArrayInTable(Scope3_SourceData.Scope3_Livestock_Data(), Table_SourceData_Scope3_Animals[[#Headers],[Category]], 0, 2)</f>
        <v>kg liveweight</v>
      </c>
      <c r="H44" s="165" cm="1">
        <f t="array" ref="H44">Common_InputFunctions.Utility_DisplayArrayInTable(Scope3_SourceData.Scope3_Livestock_Data(), Table_SourceData_Scope3_Animals[[#Headers],[Category]], 0, 2)</f>
        <v>18.899999999999999</v>
      </c>
      <c r="I44" s="165" t="str" cm="1">
        <f t="array" ref="I44">Common_InputFunctions.Utility_DisplayArrayInTable(Scope3_SourceData.Scope3_Livestock_Data(), Table_SourceData_Scope3_Animals[[#Headers],[Category]], 0, 2)</f>
        <v>at market</v>
      </c>
    </row>
    <row r="45" spans="4:9" ht="20.100000000000001" customHeight="1" x14ac:dyDescent="0.25">
      <c r="D45" s="165" t="str" cm="1">
        <f t="array" ref="D45">Common_InputFunctions.Utility_DisplayArrayInTable(Scope3_SourceData.Scope3_Livestock_Data(), Table_SourceData_Scope3_Animals[[#Headers],[Category]], 0, 2)</f>
        <v>Beef cattle</v>
      </c>
      <c r="E45" s="165" t="str" cm="1">
        <f t="array" ref="E45">Common_InputFunctions.Utility_DisplayArrayInTable(Scope3_SourceData.Scope3_Livestock_Data(), Table_SourceData_Scope3_Animals[[#Headers],[Category]], 0, 2)</f>
        <v>Cattle, for prime beef</v>
      </c>
      <c r="F45" s="165" t="str" cm="1">
        <f t="array" ref="F45">Common_InputFunctions.Utility_DisplayArrayInTable(Scope3_SourceData.Scope3_Livestock_Data(), Table_SourceData_Scope3_Animals[[#Headers],[Category]], 0, 2)</f>
        <v>QLD</v>
      </c>
      <c r="G45" s="165" t="str" cm="1">
        <f t="array" ref="G45">Common_InputFunctions.Utility_DisplayArrayInTable(Scope3_SourceData.Scope3_Livestock_Data(), Table_SourceData_Scope3_Animals[[#Headers],[Category]], 0, 2)</f>
        <v>kg liveweight</v>
      </c>
      <c r="H45" s="165" cm="1">
        <f t="array" ref="H45">Common_InputFunctions.Utility_DisplayArrayInTable(Scope3_SourceData.Scope3_Livestock_Data(), Table_SourceData_Scope3_Animals[[#Headers],[Category]], 0, 2)</f>
        <v>13.9</v>
      </c>
      <c r="I45" s="165" t="str" cm="1">
        <f t="array" ref="I45">Common_InputFunctions.Utility_DisplayArrayInTable(Scope3_SourceData.Scope3_Livestock_Data(), Table_SourceData_Scope3_Animals[[#Headers],[Category]], 0, 2)</f>
        <v>at market</v>
      </c>
    </row>
    <row r="46" spans="4:9" ht="20.100000000000001" customHeight="1" x14ac:dyDescent="0.25">
      <c r="D46" s="165" t="str" cm="1">
        <f t="array" ref="D46">Common_InputFunctions.Utility_DisplayArrayInTable(Scope3_SourceData.Scope3_Livestock_Data(), Table_SourceData_Scope3_Animals[[#Headers],[Category]], 0, 2)</f>
        <v>Beef cattle</v>
      </c>
      <c r="E46" s="165" t="str" cm="1">
        <f t="array" ref="E46">Common_InputFunctions.Utility_DisplayArrayInTable(Scope3_SourceData.Scope3_Livestock_Data(), Table_SourceData_Scope3_Animals[[#Headers],[Category]], 0, 2)</f>
        <v>Cattle, for prime beef</v>
      </c>
      <c r="F46" s="165" t="str" cm="1">
        <f t="array" ref="F46">Common_InputFunctions.Utility_DisplayArrayInTable(Scope3_SourceData.Scope3_Livestock_Data(), Table_SourceData_Scope3_Animals[[#Headers],[Category]], 0, 2)</f>
        <v>SA</v>
      </c>
      <c r="G46" s="165" t="str" cm="1">
        <f t="array" ref="G46">Common_InputFunctions.Utility_DisplayArrayInTable(Scope3_SourceData.Scope3_Livestock_Data(), Table_SourceData_Scope3_Animals[[#Headers],[Category]], 0, 2)</f>
        <v>kg liveweight</v>
      </c>
      <c r="H46" s="165" cm="1">
        <f t="array" ref="H46">Common_InputFunctions.Utility_DisplayArrayInTable(Scope3_SourceData.Scope3_Livestock_Data(), Table_SourceData_Scope3_Animals[[#Headers],[Category]], 0, 2)</f>
        <v>12.3</v>
      </c>
      <c r="I46" s="165" t="str" cm="1">
        <f t="array" ref="I46">Common_InputFunctions.Utility_DisplayArrayInTable(Scope3_SourceData.Scope3_Livestock_Data(), Table_SourceData_Scope3_Animals[[#Headers],[Category]], 0, 2)</f>
        <v>at market</v>
      </c>
    </row>
    <row r="47" spans="4:9" ht="20.100000000000001" customHeight="1" x14ac:dyDescent="0.25">
      <c r="D47" s="165" t="str" cm="1">
        <f t="array" ref="D47">Common_InputFunctions.Utility_DisplayArrayInTable(Scope3_SourceData.Scope3_Livestock_Data(), Table_SourceData_Scope3_Animals[[#Headers],[Category]], 0, 2)</f>
        <v>Beef cattle</v>
      </c>
      <c r="E47" s="165" t="str" cm="1">
        <f t="array" ref="E47">Common_InputFunctions.Utility_DisplayArrayInTable(Scope3_SourceData.Scope3_Livestock_Data(), Table_SourceData_Scope3_Animals[[#Headers],[Category]], 0, 2)</f>
        <v>Cattle, for prime beef</v>
      </c>
      <c r="F47" s="165" t="str" cm="1">
        <f t="array" ref="F47">Common_InputFunctions.Utility_DisplayArrayInTable(Scope3_SourceData.Scope3_Livestock_Data(), Table_SourceData_Scope3_Animals[[#Headers],[Category]], 0, 2)</f>
        <v>TAS</v>
      </c>
      <c r="G47" s="165" t="str" cm="1">
        <f t="array" ref="G47">Common_InputFunctions.Utility_DisplayArrayInTable(Scope3_SourceData.Scope3_Livestock_Data(), Table_SourceData_Scope3_Animals[[#Headers],[Category]], 0, 2)</f>
        <v>kg liveweight</v>
      </c>
      <c r="H47" s="165" cm="1">
        <f t="array" ref="H47">Common_InputFunctions.Utility_DisplayArrayInTable(Scope3_SourceData.Scope3_Livestock_Data(), Table_SourceData_Scope3_Animals[[#Headers],[Category]], 0, 2)</f>
        <v>11.5</v>
      </c>
      <c r="I47" s="165" t="str" cm="1">
        <f t="array" ref="I47">Common_InputFunctions.Utility_DisplayArrayInTable(Scope3_SourceData.Scope3_Livestock_Data(), Table_SourceData_Scope3_Animals[[#Headers],[Category]], 0, 2)</f>
        <v>at market</v>
      </c>
    </row>
    <row r="48" spans="4:9" ht="20.100000000000001" customHeight="1" x14ac:dyDescent="0.25">
      <c r="D48" s="165" t="str" cm="1">
        <f t="array" ref="D48">Common_InputFunctions.Utility_DisplayArrayInTable(Scope3_SourceData.Scope3_Livestock_Data(), Table_SourceData_Scope3_Animals[[#Headers],[Category]], 0, 2)</f>
        <v>Beef cattle</v>
      </c>
      <c r="E48" s="165" t="str" cm="1">
        <f t="array" ref="E48">Common_InputFunctions.Utility_DisplayArrayInTable(Scope3_SourceData.Scope3_Livestock_Data(), Table_SourceData_Scope3_Animals[[#Headers],[Category]], 0, 2)</f>
        <v>Cattle, for prime beef</v>
      </c>
      <c r="F48" s="165" t="str" cm="1">
        <f t="array" ref="F48">Common_InputFunctions.Utility_DisplayArrayInTable(Scope3_SourceData.Scope3_Livestock_Data(), Table_SourceData_Scope3_Animals[[#Headers],[Category]], 0, 2)</f>
        <v>VIC</v>
      </c>
      <c r="G48" s="165" t="str" cm="1">
        <f t="array" ref="G48">Common_InputFunctions.Utility_DisplayArrayInTable(Scope3_SourceData.Scope3_Livestock_Data(), Table_SourceData_Scope3_Animals[[#Headers],[Category]], 0, 2)</f>
        <v>kg liveweight</v>
      </c>
      <c r="H48" s="165" cm="1">
        <f t="array" ref="H48">Common_InputFunctions.Utility_DisplayArrayInTable(Scope3_SourceData.Scope3_Livestock_Data(), Table_SourceData_Scope3_Animals[[#Headers],[Category]], 0, 2)</f>
        <v>11.5</v>
      </c>
      <c r="I48" s="165" t="str" cm="1">
        <f t="array" ref="I48">Common_InputFunctions.Utility_DisplayArrayInTable(Scope3_SourceData.Scope3_Livestock_Data(), Table_SourceData_Scope3_Animals[[#Headers],[Category]], 0, 2)</f>
        <v>at market</v>
      </c>
    </row>
    <row r="49" spans="4:9" ht="20.100000000000001" customHeight="1" x14ac:dyDescent="0.25">
      <c r="D49" s="165" t="str" cm="1">
        <f t="array" ref="D49">Common_InputFunctions.Utility_DisplayArrayInTable(Scope3_SourceData.Scope3_Livestock_Data(), Table_SourceData_Scope3_Animals[[#Headers],[Category]], 0, 2)</f>
        <v>Beef cattle</v>
      </c>
      <c r="E49" s="165" t="str" cm="1">
        <f t="array" ref="E49">Common_InputFunctions.Utility_DisplayArrayInTable(Scope3_SourceData.Scope3_Livestock_Data(), Table_SourceData_Scope3_Animals[[#Headers],[Category]], 0, 2)</f>
        <v>Cattle, for prime beef</v>
      </c>
      <c r="F49" s="165" t="str" cm="1">
        <f t="array" ref="F49">Common_InputFunctions.Utility_DisplayArrayInTable(Scope3_SourceData.Scope3_Livestock_Data(), Table_SourceData_Scope3_Animals[[#Headers],[Category]], 0, 2)</f>
        <v>WA</v>
      </c>
      <c r="G49" s="165" t="str" cm="1">
        <f t="array" ref="G49">Common_InputFunctions.Utility_DisplayArrayInTable(Scope3_SourceData.Scope3_Livestock_Data(), Table_SourceData_Scope3_Animals[[#Headers],[Category]], 0, 2)</f>
        <v>kg liveweight</v>
      </c>
      <c r="H49" s="165" cm="1">
        <f t="array" ref="H49">Common_InputFunctions.Utility_DisplayArrayInTable(Scope3_SourceData.Scope3_Livestock_Data(), Table_SourceData_Scope3_Animals[[#Headers],[Category]], 0, 2)</f>
        <v>20.8</v>
      </c>
      <c r="I49" s="165" t="str" cm="1">
        <f t="array" ref="I49">Common_InputFunctions.Utility_DisplayArrayInTable(Scope3_SourceData.Scope3_Livestock_Data(), Table_SourceData_Scope3_Animals[[#Headers],[Category]], 0, 2)</f>
        <v>at market</v>
      </c>
    </row>
    <row r="50" spans="4:9" ht="20.100000000000001" customHeight="1" x14ac:dyDescent="0.25">
      <c r="D50" s="165" t="str" cm="1">
        <f t="array" ref="D50">Common_InputFunctions.Utility_DisplayArrayInTable(Scope3_SourceData.Scope3_Livestock_Data(), Table_SourceData_Scope3_Animals[[#Headers],[Category]], 0, 2)</f>
        <v>Beef cattle</v>
      </c>
      <c r="E50" s="165" t="str" cm="1">
        <f t="array" ref="E50">Common_InputFunctions.Utility_DisplayArrayInTable(Scope3_SourceData.Scope3_Livestock_Data(), Table_SourceData_Scope3_Animals[[#Headers],[Category]], 0, 2)</f>
        <v>Cattle, weaners</v>
      </c>
      <c r="F50" s="165" t="str" cm="1">
        <f t="array" ref="F50">Common_InputFunctions.Utility_DisplayArrayInTable(Scope3_SourceData.Scope3_Livestock_Data(), Table_SourceData_Scope3_Animals[[#Headers],[Category]], 0, 2)</f>
        <v>Australia</v>
      </c>
      <c r="G50" s="165" t="str" cm="1">
        <f t="array" ref="G50">Common_InputFunctions.Utility_DisplayArrayInTable(Scope3_SourceData.Scope3_Livestock_Data(), Table_SourceData_Scope3_Animals[[#Headers],[Category]], 0, 2)</f>
        <v>kg liveweight</v>
      </c>
      <c r="H50" s="165" cm="1">
        <f t="array" ref="H50">Common_InputFunctions.Utility_DisplayArrayInTable(Scope3_SourceData.Scope3_Livestock_Data(), Table_SourceData_Scope3_Animals[[#Headers],[Category]], 0, 2)</f>
        <v>15.5</v>
      </c>
      <c r="I50" s="165" t="str" cm="1">
        <f t="array" ref="I50">Common_InputFunctions.Utility_DisplayArrayInTable(Scope3_SourceData.Scope3_Livestock_Data(), Table_SourceData_Scope3_Animals[[#Headers],[Category]], 0, 2)</f>
        <v>at market</v>
      </c>
    </row>
    <row r="51" spans="4:9" ht="20.100000000000001" customHeight="1" x14ac:dyDescent="0.25">
      <c r="D51" s="165" t="str" cm="1">
        <f t="array" ref="D51">Common_InputFunctions.Utility_DisplayArrayInTable(Scope3_SourceData.Scope3_Livestock_Data(), Table_SourceData_Scope3_Animals[[#Headers],[Category]], 0, 2)</f>
        <v>Beef cattle</v>
      </c>
      <c r="E51" s="165" t="str" cm="1">
        <f t="array" ref="E51">Common_InputFunctions.Utility_DisplayArrayInTable(Scope3_SourceData.Scope3_Livestock_Data(), Table_SourceData_Scope3_Animals[[#Headers],[Category]], 0, 2)</f>
        <v>Cattle, weaners</v>
      </c>
      <c r="F51" s="165" t="str" cm="1">
        <f t="array" ref="F51">Common_InputFunctions.Utility_DisplayArrayInTable(Scope3_SourceData.Scope3_Livestock_Data(), Table_SourceData_Scope3_Animals[[#Headers],[Category]], 0, 2)</f>
        <v>NSW</v>
      </c>
      <c r="G51" s="165" t="str" cm="1">
        <f t="array" ref="G51">Common_InputFunctions.Utility_DisplayArrayInTable(Scope3_SourceData.Scope3_Livestock_Data(), Table_SourceData_Scope3_Animals[[#Headers],[Category]], 0, 2)</f>
        <v>kg liveweight</v>
      </c>
      <c r="H51" s="165" cm="1">
        <f t="array" ref="H51">Common_InputFunctions.Utility_DisplayArrayInTable(Scope3_SourceData.Scope3_Livestock_Data(), Table_SourceData_Scope3_Animals[[#Headers],[Category]], 0, 2)</f>
        <v>12.7</v>
      </c>
      <c r="I51" s="165" t="str" cm="1">
        <f t="array" ref="I51">Common_InputFunctions.Utility_DisplayArrayInTable(Scope3_SourceData.Scope3_Livestock_Data(), Table_SourceData_Scope3_Animals[[#Headers],[Category]], 0, 2)</f>
        <v>at market</v>
      </c>
    </row>
    <row r="52" spans="4:9" ht="20.100000000000001" customHeight="1" x14ac:dyDescent="0.25">
      <c r="D52" s="165" t="str" cm="1">
        <f t="array" ref="D52">Common_InputFunctions.Utility_DisplayArrayInTable(Scope3_SourceData.Scope3_Livestock_Data(), Table_SourceData_Scope3_Animals[[#Headers],[Category]], 0, 2)</f>
        <v>Beef cattle</v>
      </c>
      <c r="E52" s="165" t="str" cm="1">
        <f t="array" ref="E52">Common_InputFunctions.Utility_DisplayArrayInTable(Scope3_SourceData.Scope3_Livestock_Data(), Table_SourceData_Scope3_Animals[[#Headers],[Category]], 0, 2)</f>
        <v>Cattle, weaners</v>
      </c>
      <c r="F52" s="165" t="str" cm="1">
        <f t="array" ref="F52">Common_InputFunctions.Utility_DisplayArrayInTable(Scope3_SourceData.Scope3_Livestock_Data(), Table_SourceData_Scope3_Animals[[#Headers],[Category]], 0, 2)</f>
        <v>NT</v>
      </c>
      <c r="G52" s="165" t="str" cm="1">
        <f t="array" ref="G52">Common_InputFunctions.Utility_DisplayArrayInTable(Scope3_SourceData.Scope3_Livestock_Data(), Table_SourceData_Scope3_Animals[[#Headers],[Category]], 0, 2)</f>
        <v>kg liveweight</v>
      </c>
      <c r="H52" s="165" cm="1">
        <f t="array" ref="H52">Common_InputFunctions.Utility_DisplayArrayInTable(Scope3_SourceData.Scope3_Livestock_Data(), Table_SourceData_Scope3_Animals[[#Headers],[Category]], 0, 2)</f>
        <v>19.100000000000001</v>
      </c>
      <c r="I52" s="165" t="str" cm="1">
        <f t="array" ref="I52">Common_InputFunctions.Utility_DisplayArrayInTable(Scope3_SourceData.Scope3_Livestock_Data(), Table_SourceData_Scope3_Animals[[#Headers],[Category]], 0, 2)</f>
        <v>at market</v>
      </c>
    </row>
    <row r="53" spans="4:9" ht="20.100000000000001" customHeight="1" x14ac:dyDescent="0.25">
      <c r="D53" s="165" t="str" cm="1">
        <f t="array" ref="D53">Common_InputFunctions.Utility_DisplayArrayInTable(Scope3_SourceData.Scope3_Livestock_Data(), Table_SourceData_Scope3_Animals[[#Headers],[Category]], 0, 2)</f>
        <v>Beef cattle</v>
      </c>
      <c r="E53" s="165" t="str" cm="1">
        <f t="array" ref="E53">Common_InputFunctions.Utility_DisplayArrayInTable(Scope3_SourceData.Scope3_Livestock_Data(), Table_SourceData_Scope3_Animals[[#Headers],[Category]], 0, 2)</f>
        <v>Cattle, weaners</v>
      </c>
      <c r="F53" s="165" t="str" cm="1">
        <f t="array" ref="F53">Common_InputFunctions.Utility_DisplayArrayInTable(Scope3_SourceData.Scope3_Livestock_Data(), Table_SourceData_Scope3_Animals[[#Headers],[Category]], 0, 2)</f>
        <v>QLD</v>
      </c>
      <c r="G53" s="165" t="str" cm="1">
        <f t="array" ref="G53">Common_InputFunctions.Utility_DisplayArrayInTable(Scope3_SourceData.Scope3_Livestock_Data(), Table_SourceData_Scope3_Animals[[#Headers],[Category]], 0, 2)</f>
        <v>kg liveweight</v>
      </c>
      <c r="H53" s="165" cm="1">
        <f t="array" ref="H53">Common_InputFunctions.Utility_DisplayArrayInTable(Scope3_SourceData.Scope3_Livestock_Data(), Table_SourceData_Scope3_Animals[[#Headers],[Category]], 0, 2)</f>
        <v>20.5</v>
      </c>
      <c r="I53" s="165" t="str" cm="1">
        <f t="array" ref="I53">Common_InputFunctions.Utility_DisplayArrayInTable(Scope3_SourceData.Scope3_Livestock_Data(), Table_SourceData_Scope3_Animals[[#Headers],[Category]], 0, 2)</f>
        <v>at market</v>
      </c>
    </row>
    <row r="54" spans="4:9" ht="20.100000000000001" customHeight="1" x14ac:dyDescent="0.25">
      <c r="D54" s="165" t="str" cm="1">
        <f t="array" ref="D54">Common_InputFunctions.Utility_DisplayArrayInTable(Scope3_SourceData.Scope3_Livestock_Data(), Table_SourceData_Scope3_Animals[[#Headers],[Category]], 0, 2)</f>
        <v>Beef cattle</v>
      </c>
      <c r="E54" s="165" t="str" cm="1">
        <f t="array" ref="E54">Common_InputFunctions.Utility_DisplayArrayInTable(Scope3_SourceData.Scope3_Livestock_Data(), Table_SourceData_Scope3_Animals[[#Headers],[Category]], 0, 2)</f>
        <v>Cattle, weaners</v>
      </c>
      <c r="F54" s="165" t="str" cm="1">
        <f t="array" ref="F54">Common_InputFunctions.Utility_DisplayArrayInTable(Scope3_SourceData.Scope3_Livestock_Data(), Table_SourceData_Scope3_Animals[[#Headers],[Category]], 0, 2)</f>
        <v>SA</v>
      </c>
      <c r="G54" s="165" t="str" cm="1">
        <f t="array" ref="G54">Common_InputFunctions.Utility_DisplayArrayInTable(Scope3_SourceData.Scope3_Livestock_Data(), Table_SourceData_Scope3_Animals[[#Headers],[Category]], 0, 2)</f>
        <v>kg liveweight</v>
      </c>
      <c r="H54" s="165" cm="1">
        <f t="array" ref="H54">Common_InputFunctions.Utility_DisplayArrayInTable(Scope3_SourceData.Scope3_Livestock_Data(), Table_SourceData_Scope3_Animals[[#Headers],[Category]], 0, 2)</f>
        <v>10.8</v>
      </c>
      <c r="I54" s="165" t="str" cm="1">
        <f t="array" ref="I54">Common_InputFunctions.Utility_DisplayArrayInTable(Scope3_SourceData.Scope3_Livestock_Data(), Table_SourceData_Scope3_Animals[[#Headers],[Category]], 0, 2)</f>
        <v>at market</v>
      </c>
    </row>
    <row r="55" spans="4:9" ht="20.100000000000001" customHeight="1" x14ac:dyDescent="0.25">
      <c r="D55" s="165" t="str" cm="1">
        <f t="array" ref="D55">Common_InputFunctions.Utility_DisplayArrayInTable(Scope3_SourceData.Scope3_Livestock_Data(), Table_SourceData_Scope3_Animals[[#Headers],[Category]], 0, 2)</f>
        <v>Beef cattle</v>
      </c>
      <c r="E55" s="165" t="str" cm="1">
        <f t="array" ref="E55">Common_InputFunctions.Utility_DisplayArrayInTable(Scope3_SourceData.Scope3_Livestock_Data(), Table_SourceData_Scope3_Animals[[#Headers],[Category]], 0, 2)</f>
        <v>Cattle, weaners</v>
      </c>
      <c r="F55" s="165" t="str" cm="1">
        <f t="array" ref="F55">Common_InputFunctions.Utility_DisplayArrayInTable(Scope3_SourceData.Scope3_Livestock_Data(), Table_SourceData_Scope3_Animals[[#Headers],[Category]], 0, 2)</f>
        <v>TAS</v>
      </c>
      <c r="G55" s="165" t="str" cm="1">
        <f t="array" ref="G55">Common_InputFunctions.Utility_DisplayArrayInTable(Scope3_SourceData.Scope3_Livestock_Data(), Table_SourceData_Scope3_Animals[[#Headers],[Category]], 0, 2)</f>
        <v>kg liveweight</v>
      </c>
      <c r="H55" s="165" cm="1">
        <f t="array" ref="H55">Common_InputFunctions.Utility_DisplayArrayInTable(Scope3_SourceData.Scope3_Livestock_Data(), Table_SourceData_Scope3_Animals[[#Headers],[Category]], 0, 2)</f>
        <v>13.4</v>
      </c>
      <c r="I55" s="165" t="str" cm="1">
        <f t="array" ref="I55">Common_InputFunctions.Utility_DisplayArrayInTable(Scope3_SourceData.Scope3_Livestock_Data(), Table_SourceData_Scope3_Animals[[#Headers],[Category]], 0, 2)</f>
        <v>at market</v>
      </c>
    </row>
    <row r="56" spans="4:9" ht="20.100000000000001" customHeight="1" x14ac:dyDescent="0.25">
      <c r="D56" s="165" t="str" cm="1">
        <f t="array" ref="D56">Common_InputFunctions.Utility_DisplayArrayInTable(Scope3_SourceData.Scope3_Livestock_Data(), Table_SourceData_Scope3_Animals[[#Headers],[Category]], 0, 2)</f>
        <v>Beef cattle</v>
      </c>
      <c r="E56" s="165" t="str" cm="1">
        <f t="array" ref="E56">Common_InputFunctions.Utility_DisplayArrayInTable(Scope3_SourceData.Scope3_Livestock_Data(), Table_SourceData_Scope3_Animals[[#Headers],[Category]], 0, 2)</f>
        <v>Cattle, weaners</v>
      </c>
      <c r="F56" s="165" t="str" cm="1">
        <f t="array" ref="F56">Common_InputFunctions.Utility_DisplayArrayInTable(Scope3_SourceData.Scope3_Livestock_Data(), Table_SourceData_Scope3_Animals[[#Headers],[Category]], 0, 2)</f>
        <v>VIC</v>
      </c>
      <c r="G56" s="165" t="str" cm="1">
        <f t="array" ref="G56">Common_InputFunctions.Utility_DisplayArrayInTable(Scope3_SourceData.Scope3_Livestock_Data(), Table_SourceData_Scope3_Animals[[#Headers],[Category]], 0, 2)</f>
        <v>kg liveweight</v>
      </c>
      <c r="H56" s="165" cm="1">
        <f t="array" ref="H56">Common_InputFunctions.Utility_DisplayArrayInTable(Scope3_SourceData.Scope3_Livestock_Data(), Table_SourceData_Scope3_Animals[[#Headers],[Category]], 0, 2)</f>
        <v>12</v>
      </c>
      <c r="I56" s="165" t="str" cm="1">
        <f t="array" ref="I56">Common_InputFunctions.Utility_DisplayArrayInTable(Scope3_SourceData.Scope3_Livestock_Data(), Table_SourceData_Scope3_Animals[[#Headers],[Category]], 0, 2)</f>
        <v>at market</v>
      </c>
    </row>
    <row r="57" spans="4:9" ht="20.100000000000001" customHeight="1" x14ac:dyDescent="0.25">
      <c r="D57" s="165" t="str" cm="1">
        <f t="array" ref="D57">Common_InputFunctions.Utility_DisplayArrayInTable(Scope3_SourceData.Scope3_Livestock_Data(), Table_SourceData_Scope3_Animals[[#Headers],[Category]], 0, 2)</f>
        <v>Beef cattle</v>
      </c>
      <c r="E57" s="165" t="str" cm="1">
        <f t="array" ref="E57">Common_InputFunctions.Utility_DisplayArrayInTable(Scope3_SourceData.Scope3_Livestock_Data(), Table_SourceData_Scope3_Animals[[#Headers],[Category]], 0, 2)</f>
        <v>Cattle, weaners</v>
      </c>
      <c r="F57" s="165" t="str" cm="1">
        <f t="array" ref="F57">Common_InputFunctions.Utility_DisplayArrayInTable(Scope3_SourceData.Scope3_Livestock_Data(), Table_SourceData_Scope3_Animals[[#Headers],[Category]], 0, 2)</f>
        <v>WA</v>
      </c>
      <c r="G57" s="165" t="str" cm="1">
        <f t="array" ref="G57">Common_InputFunctions.Utility_DisplayArrayInTable(Scope3_SourceData.Scope3_Livestock_Data(), Table_SourceData_Scope3_Animals[[#Headers],[Category]], 0, 2)</f>
        <v>kg liveweight</v>
      </c>
      <c r="H57" s="165" cm="1">
        <f t="array" ref="H57">Common_InputFunctions.Utility_DisplayArrayInTable(Scope3_SourceData.Scope3_Livestock_Data(), Table_SourceData_Scope3_Animals[[#Headers],[Category]], 0, 2)</f>
        <v>12.4</v>
      </c>
      <c r="I57" s="165" t="str" cm="1">
        <f t="array" ref="I57">Common_InputFunctions.Utility_DisplayArrayInTable(Scope3_SourceData.Scope3_Livestock_Data(), Table_SourceData_Scope3_Animals[[#Headers],[Category]], 0, 2)</f>
        <v>at market</v>
      </c>
    </row>
    <row r="58" spans="4:9" ht="20.100000000000001" customHeight="1" x14ac:dyDescent="0.25">
      <c r="D58" s="165" t="str" cm="1">
        <f t="array" ref="D58">Common_InputFunctions.Utility_DisplayArrayInTable(Scope3_SourceData.Scope3_Livestock_Data(), Table_SourceData_Scope3_Animals[[#Headers],[Category]], 0, 2)</f>
        <v>Chickens</v>
      </c>
      <c r="E58" s="165" t="str" cm="1">
        <f t="array" ref="E58">Common_InputFunctions.Utility_DisplayArrayInTable(Scope3_SourceData.Scope3_Livestock_Data(), Table_SourceData_Scope3_Animals[[#Headers],[Category]], 0, 2)</f>
        <v>Chickens</v>
      </c>
      <c r="F58" s="165" t="str" cm="1">
        <f t="array" ref="F58">Common_InputFunctions.Utility_DisplayArrayInTable(Scope3_SourceData.Scope3_Livestock_Data(), Table_SourceData_Scope3_Animals[[#Headers],[Category]], 0, 2)</f>
        <v>Australia</v>
      </c>
      <c r="G58" s="165" t="str" cm="1">
        <f t="array" ref="G58">Common_InputFunctions.Utility_DisplayArrayInTable(Scope3_SourceData.Scope3_Livestock_Data(), Table_SourceData_Scope3_Animals[[#Headers],[Category]], 0, 2)</f>
        <v>kg liveweight</v>
      </c>
      <c r="H58" s="165" cm="1">
        <f t="array" ref="H58">Common_InputFunctions.Utility_DisplayArrayInTable(Scope3_SourceData.Scope3_Livestock_Data(), Table_SourceData_Scope3_Animals[[#Headers],[Category]], 0, 2)</f>
        <v>1.36</v>
      </c>
      <c r="I58" s="165" t="str" cm="1">
        <f t="array" ref="I58">Common_InputFunctions.Utility_DisplayArrayInTable(Scope3_SourceData.Scope3_Livestock_Data(), Table_SourceData_Scope3_Animals[[#Headers],[Category]], 0, 2)</f>
        <v>at market</v>
      </c>
    </row>
    <row r="59" spans="4:9"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65" t="str" cm="1">
        <f t="array" ref="G59">Common_InputFunctions.Utility_DisplayArrayInTable(Scope3_SourceData.Scope3_Livestock_Data(), Table_SourceData_Scope3_Animals[[#Headers],[Category]], 0, 2)</f>
        <v>kg liveweight</v>
      </c>
      <c r="H59" s="165" cm="1">
        <f t="array" ref="H59">Common_InputFunctions.Utility_DisplayArrayInTable(Scope3_SourceData.Scope3_Livestock_Data(), Table_SourceData_Scope3_Animals[[#Headers],[Category]], 0, 2)</f>
        <v>4.41</v>
      </c>
      <c r="I59" s="165" t="str" cm="1">
        <f t="array" ref="I59">Common_InputFunctions.Utility_DisplayArrayInTable(Scope3_SourceData.Scope3_Livestock_Data(), Table_SourceData_Scope3_Animals[[#Headers],[Category]], 0, 2)</f>
        <v>at market</v>
      </c>
    </row>
    <row r="60" spans="4:9"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65" t="str" cm="1">
        <f t="array" ref="G60">Common_InputFunctions.Utility_DisplayArrayInTable(Scope3_SourceData.Scope3_Livestock_Data(), Table_SourceData_Scope3_Animals[[#Headers],[Category]], 0, 2)</f>
        <v>kg liveweight</v>
      </c>
      <c r="H60" s="165" cm="1">
        <f t="array" ref="H60">Common_InputFunctions.Utility_DisplayArrayInTable(Scope3_SourceData.Scope3_Livestock_Data(), Table_SourceData_Scope3_Animals[[#Headers],[Category]], 0, 2)</f>
        <v>3.38</v>
      </c>
      <c r="I60" s="165" t="str" cm="1">
        <f t="array" ref="I60">Common_InputFunctions.Utility_DisplayArrayInTable(Scope3_SourceData.Scope3_Livestock_Data(), Table_SourceData_Scope3_Animals[[#Headers],[Category]], 0, 2)</f>
        <v>at market</v>
      </c>
    </row>
    <row r="61" spans="4:9"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65" t="str" cm="1">
        <f t="array" ref="G61">Common_InputFunctions.Utility_DisplayArrayInTable(Scope3_SourceData.Scope3_Livestock_Data(), Table_SourceData_Scope3_Animals[[#Headers],[Category]], 0, 2)</f>
        <v>kg liveweight</v>
      </c>
      <c r="H61" s="165" cm="1">
        <f t="array" ref="H61">Common_InputFunctions.Utility_DisplayArrayInTable(Scope3_SourceData.Scope3_Livestock_Data(), Table_SourceData_Scope3_Animals[[#Headers],[Category]], 0, 2)</f>
        <v>6.81</v>
      </c>
      <c r="I61" s="165" t="str" cm="1">
        <f t="array" ref="I61">Common_InputFunctions.Utility_DisplayArrayInTable(Scope3_SourceData.Scope3_Livestock_Data(), Table_SourceData_Scope3_Animals[[#Headers],[Category]], 0, 2)</f>
        <v>at market</v>
      </c>
    </row>
    <row r="62" spans="4:9"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65" t="str" cm="1">
        <f t="array" ref="G62">Common_InputFunctions.Utility_DisplayArrayInTable(Scope3_SourceData.Scope3_Livestock_Data(), Table_SourceData_Scope3_Animals[[#Headers],[Category]], 0, 2)</f>
        <v>kg liveweight</v>
      </c>
      <c r="H62" s="165" cm="1">
        <f t="array" ref="H62">Common_InputFunctions.Utility_DisplayArrayInTable(Scope3_SourceData.Scope3_Livestock_Data(), Table_SourceData_Scope3_Animals[[#Headers],[Category]], 0, 2)</f>
        <v>2.2599999999999998</v>
      </c>
      <c r="I62" s="165" t="str" cm="1">
        <f t="array" ref="I62">Common_InputFunctions.Utility_DisplayArrayInTable(Scope3_SourceData.Scope3_Livestock_Data(), Table_SourceData_Scope3_Animals[[#Headers],[Category]], 0, 2)</f>
        <v>at market</v>
      </c>
    </row>
    <row r="63" spans="4:9"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65" t="str" cm="1">
        <f t="array" ref="G63">Common_InputFunctions.Utility_DisplayArrayInTable(Scope3_SourceData.Scope3_Livestock_Data(), Table_SourceData_Scope3_Animals[[#Headers],[Category]], 0, 2)</f>
        <v>kg liveweight</v>
      </c>
      <c r="H63" s="165" cm="1">
        <f t="array" ref="H63">Common_InputFunctions.Utility_DisplayArrayInTable(Scope3_SourceData.Scope3_Livestock_Data(), Table_SourceData_Scope3_Animals[[#Headers],[Category]], 0, 2)</f>
        <v>6.33</v>
      </c>
      <c r="I63" s="165" t="str" cm="1">
        <f t="array" ref="I63">Common_InputFunctions.Utility_DisplayArrayInTable(Scope3_SourceData.Scope3_Livestock_Data(), Table_SourceData_Scope3_Animals[[#Headers],[Category]], 0, 2)</f>
        <v>at market</v>
      </c>
    </row>
    <row r="64" spans="4:9"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65" t="str" cm="1">
        <f t="array" ref="G64">Common_InputFunctions.Utility_DisplayArrayInTable(Scope3_SourceData.Scope3_Livestock_Data(), Table_SourceData_Scope3_Animals[[#Headers],[Category]], 0, 2)</f>
        <v>kg liveweight</v>
      </c>
      <c r="H64" s="165" cm="1">
        <f t="array" ref="H64">Common_InputFunctions.Utility_DisplayArrayInTable(Scope3_SourceData.Scope3_Livestock_Data(), Table_SourceData_Scope3_Animals[[#Headers],[Category]], 0, 2)</f>
        <v>6.18</v>
      </c>
      <c r="I64" s="165"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65" t="str" cm="1">
        <f t="array" ref="G65">Common_InputFunctions.Utility_DisplayArrayInTable(Scope3_SourceData.Scope3_Livestock_Data(), Table_SourceData_Scope3_Animals[[#Headers],[Category]], 0, 2)</f>
        <v>kg liveweight</v>
      </c>
      <c r="H65" s="165" cm="1">
        <f t="array" ref="H65">Common_InputFunctions.Utility_DisplayArrayInTable(Scope3_SourceData.Scope3_Livestock_Data(), Table_SourceData_Scope3_Animals[[#Headers],[Category]], 0, 2)</f>
        <v>7.5</v>
      </c>
      <c r="I65" s="165"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65" t="str" cm="1">
        <f t="array" ref="G66">Common_InputFunctions.Utility_DisplayArrayInTable(Scope3_SourceData.Scope3_Livestock_Data(), Table_SourceData_Scope3_Animals[[#Headers],[Category]], 0, 2)</f>
        <v>kg liveweight</v>
      </c>
      <c r="H66" s="165" cm="1">
        <f t="array" ref="H66">Common_InputFunctions.Utility_DisplayArrayInTable(Scope3_SourceData.Scope3_Livestock_Data(), Table_SourceData_Scope3_Animals[[#Headers],[Category]], 0, 2)</f>
        <v>8.08</v>
      </c>
      <c r="I66" s="165"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65" t="str" cm="1">
        <f t="array" ref="G67">Common_InputFunctions.Utility_DisplayArrayInTable(Scope3_SourceData.Scope3_Livestock_Data(), Table_SourceData_Scope3_Animals[[#Headers],[Category]], 0, 2)</f>
        <v>kg liveweight</v>
      </c>
      <c r="H67" s="165" cm="1">
        <f t="array" ref="H67">Common_InputFunctions.Utility_DisplayArrayInTable(Scope3_SourceData.Scope3_Livestock_Data(), Table_SourceData_Scope3_Animals[[#Headers],[Category]], 0, 2)</f>
        <v>5.45</v>
      </c>
      <c r="I67" s="165"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65" t="str" cm="1">
        <f t="array" ref="G68">Common_InputFunctions.Utility_DisplayArrayInTable(Scope3_SourceData.Scope3_Livestock_Data(), Table_SourceData_Scope3_Animals[[#Headers],[Category]], 0, 2)</f>
        <v>kg liveweight</v>
      </c>
      <c r="H68" s="165" cm="1">
        <f t="array" ref="H68">Common_InputFunctions.Utility_DisplayArrayInTable(Scope3_SourceData.Scope3_Livestock_Data(), Table_SourceData_Scope3_Animals[[#Headers],[Category]], 0, 2)</f>
        <v>7.15</v>
      </c>
      <c r="I68" s="165"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65" t="str" cm="1">
        <f t="array" ref="G69">Common_InputFunctions.Utility_DisplayArrayInTable(Scope3_SourceData.Scope3_Livestock_Data(), Table_SourceData_Scope3_Animals[[#Headers],[Category]], 0, 2)</f>
        <v>kg liveweight</v>
      </c>
      <c r="H69" s="165" cm="1">
        <f t="array" ref="H69">Common_InputFunctions.Utility_DisplayArrayInTable(Scope3_SourceData.Scope3_Livestock_Data(), Table_SourceData_Scope3_Animals[[#Headers],[Category]], 0, 2)</f>
        <v>8.2899999999999991</v>
      </c>
      <c r="I69" s="165"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65" t="str" cm="1">
        <f t="array" ref="G70">Common_InputFunctions.Utility_DisplayArrayInTable(Scope3_SourceData.Scope3_Livestock_Data(), Table_SourceData_Scope3_Animals[[#Headers],[Category]], 0, 2)</f>
        <v>kg liveweight</v>
      </c>
      <c r="H70" s="165" cm="1">
        <f t="array" ref="H70">Common_InputFunctions.Utility_DisplayArrayInTable(Scope3_SourceData.Scope3_Livestock_Data(), Table_SourceData_Scope3_Animals[[#Headers],[Category]], 0, 2)</f>
        <v>6.39</v>
      </c>
      <c r="I70" s="165"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65" t="str" cm="1">
        <f t="array" ref="G71">Common_InputFunctions.Utility_DisplayArrayInTable(Scope3_SourceData.Scope3_Livestock_Data(), Table_SourceData_Scope3_Animals[[#Headers],[Category]], 0, 2)</f>
        <v>kg liveweight</v>
      </c>
      <c r="H71" s="165" cm="1">
        <f t="array" ref="H71">Common_InputFunctions.Utility_DisplayArrayInTable(Scope3_SourceData.Scope3_Livestock_Data(), Table_SourceData_Scope3_Animals[[#Headers],[Category]], 0, 2)</f>
        <v>6.87</v>
      </c>
      <c r="I71" s="165"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65" t="str" cm="1">
        <f t="array" ref="G72">Common_InputFunctions.Utility_DisplayArrayInTable(Scope3_SourceData.Scope3_Livestock_Data(), Table_SourceData_Scope3_Animals[[#Headers],[Category]], 0, 2)</f>
        <v>kg liveweight</v>
      </c>
      <c r="H72" s="165" cm="1">
        <f t="array" ref="H72">Common_InputFunctions.Utility_DisplayArrayInTable(Scope3_SourceData.Scope3_Livestock_Data(), Table_SourceData_Scope3_Animals[[#Headers],[Category]], 0, 2)</f>
        <v>8.66</v>
      </c>
      <c r="I72" s="165"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65" t="str" cm="1">
        <f t="array" ref="G73">Common_InputFunctions.Utility_DisplayArrayInTable(Scope3_SourceData.Scope3_Livestock_Data(), Table_SourceData_Scope3_Animals[[#Headers],[Category]], 0, 2)</f>
        <v>kg liveweight</v>
      </c>
      <c r="H73" s="165" cm="1">
        <f t="array" ref="H73">Common_InputFunctions.Utility_DisplayArrayInTable(Scope3_SourceData.Scope3_Livestock_Data(), Table_SourceData_Scope3_Animals[[#Headers],[Category]], 0, 2)</f>
        <v>10</v>
      </c>
      <c r="I73" s="165"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65" t="str" cm="1">
        <f t="array" ref="G74">Common_InputFunctions.Utility_DisplayArrayInTable(Scope3_SourceData.Scope3_Livestock_Data(), Table_SourceData_Scope3_Animals[[#Headers],[Category]], 0, 2)</f>
        <v>kg liveweight</v>
      </c>
      <c r="H74" s="165" cm="1">
        <f t="array" ref="H74">Common_InputFunctions.Utility_DisplayArrayInTable(Scope3_SourceData.Scope3_Livestock_Data(), Table_SourceData_Scope3_Animals[[#Headers],[Category]], 0, 2)</f>
        <v>5.67</v>
      </c>
      <c r="I74" s="165"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407</v>
      </c>
    </row>
    <row r="77" spans="4:9" ht="20.100000000000001" customHeight="1" x14ac:dyDescent="0.25">
      <c r="D77" s="165" t="s">
        <v>346</v>
      </c>
      <c r="E77" s="165" t="s">
        <v>221</v>
      </c>
      <c r="F77" s="165" t="s">
        <v>347</v>
      </c>
      <c r="G77" s="165" t="s">
        <v>302</v>
      </c>
      <c r="H77" s="165" t="s">
        <v>303</v>
      </c>
      <c r="I77" s="165" t="s">
        <v>405</v>
      </c>
    </row>
    <row r="78" spans="4:9" ht="20.100000000000001" customHeight="1" x14ac:dyDescent="0.25">
      <c r="D78" s="165" t="str" cm="1">
        <f t="array" ref="D78">Common_InputFunctions.Utility_DisplayArrayInTable(Scope3_SourceData.Scope3_Chemicals_Data(), Table_SourceData_Scope3_ChemicalsCleaning[[#Headers],[Category]], 0, 2)</f>
        <v>Cleaning chemicals</v>
      </c>
      <c r="E78" s="165" t="str" cm="1">
        <f t="array" ref="E78">Common_InputFunctions.Utility_DisplayArrayInTable(Scope3_SourceData.Scope3_Chemicals_Data(), Table_SourceData_Scope3_ChemicalsCleaning[[#Headers],[Category]], 0, 2)</f>
        <v>Alkaline cleaner</v>
      </c>
      <c r="F78" s="165" t="str" cm="1">
        <f t="array" ref="F78">Common_InputFunctions.Utility_DisplayArrayInTable(Scope3_SourceData.Scope3_Chemicals_Data(), Table_SourceData_Scope3_ChemicalsCleaning[[#Headers],[Category]], 0, 2)</f>
        <v>Global</v>
      </c>
      <c r="G78" s="165" t="str" cm="1">
        <f t="array" ref="G78">Common_InputFunctions.Utility_DisplayArrayInTable(Scope3_SourceData.Scope3_Chemicals_Data(), Table_SourceData_Scope3_ChemicalsCleaning[[#Headers],[Category]], 0, 2)</f>
        <v>kg</v>
      </c>
      <c r="H78" s="165" cm="1">
        <f t="array" ref="H78">Common_InputFunctions.Utility_DisplayArrayInTable(Scope3_SourceData.Scope3_Chemicals_Data(), Table_SourceData_Scope3_ChemicalsCleaning[[#Headers],[Category]], 0, 2)</f>
        <v>0.72199999999999998</v>
      </c>
      <c r="I78" s="165" t="str" cm="1">
        <f t="array" ref="I78">Common_InputFunctions.Utility_DisplayArrayInTable(Scope3_SourceData.Scope3_Chemicals_Data(), Table_SourceData_Scope3_ChemicalsCleaning[[#Headers],[Category]], 0, 2)</f>
        <v>at manufacturer</v>
      </c>
    </row>
    <row r="79" spans="4:9" ht="20.100000000000001" customHeight="1" x14ac:dyDescent="0.25">
      <c r="D79" s="165" t="str" cm="1">
        <f t="array" ref="D79">Common_InputFunctions.Utility_DisplayArrayInTable(Scope3_SourceData.Scope3_Chemicals_Data(), Table_SourceData_Scope3_ChemicalsCleaning[[#Headers],[Category]], 0, 2)</f>
        <v>Cleaning chemicals</v>
      </c>
      <c r="E79" s="165" t="str" cm="1">
        <f t="array" ref="E79">Common_InputFunctions.Utility_DisplayArrayInTable(Scope3_SourceData.Scope3_Chemicals_Data(), Table_SourceData_Scope3_ChemicalsCleaning[[#Headers],[Category]], 0, 2)</f>
        <v>Bleach</v>
      </c>
      <c r="F79" s="165" t="str" cm="1">
        <f t="array" ref="F79">Common_InputFunctions.Utility_DisplayArrayInTable(Scope3_SourceData.Scope3_Chemicals_Data(), Table_SourceData_Scope3_ChemicalsCleaning[[#Headers],[Category]], 0, 2)</f>
        <v>Global</v>
      </c>
      <c r="G79" s="165" t="str" cm="1">
        <f t="array" ref="G79">Common_InputFunctions.Utility_DisplayArrayInTable(Scope3_SourceData.Scope3_Chemicals_Data(), Table_SourceData_Scope3_ChemicalsCleaning[[#Headers],[Category]], 0, 2)</f>
        <v>kg</v>
      </c>
      <c r="H79" s="165" cm="1">
        <f t="array" ref="H79">Common_InputFunctions.Utility_DisplayArrayInTable(Scope3_SourceData.Scope3_Chemicals_Data(), Table_SourceData_Scope3_ChemicalsCleaning[[#Headers],[Category]], 0, 2)</f>
        <v>0.80400000000000005</v>
      </c>
      <c r="I79" s="165" t="str" cm="1">
        <f t="array" ref="I79">Common_InputFunctions.Utility_DisplayArrayInTable(Scope3_SourceData.Scope3_Chemicals_Data(), Table_SourceData_Scope3_ChemicalsCleaning[[#Headers],[Category]], 0, 2)</f>
        <v>at manufacturer</v>
      </c>
    </row>
    <row r="80" spans="4:9" ht="20.100000000000001" customHeight="1" x14ac:dyDescent="0.25">
      <c r="D80" s="165" t="str" cm="1">
        <f t="array" ref="D80">Common_InputFunctions.Utility_DisplayArrayInTable(Scope3_SourceData.Scope3_Chemicals_Data(), Table_SourceData_Scope3_ChemicalsCleaning[[#Headers],[Category]], 0, 2)</f>
        <v>Cleaning chemicals</v>
      </c>
      <c r="E80" s="165" t="str" cm="1">
        <f t="array" ref="E80">Common_InputFunctions.Utility_DisplayArrayInTable(Scope3_SourceData.Scope3_Chemicals_Data(), Table_SourceData_Scope3_ChemicalsCleaning[[#Headers],[Category]], 0, 2)</f>
        <v>Phosphoric acid</v>
      </c>
      <c r="F80" s="165" t="str" cm="1">
        <f t="array" ref="F80">Common_InputFunctions.Utility_DisplayArrayInTable(Scope3_SourceData.Scope3_Chemicals_Data(), Table_SourceData_Scope3_ChemicalsCleaning[[#Headers],[Category]], 0, 2)</f>
        <v>Global</v>
      </c>
      <c r="G80" s="165" t="str" cm="1">
        <f t="array" ref="G80">Common_InputFunctions.Utility_DisplayArrayInTable(Scope3_SourceData.Scope3_Chemicals_Data(), Table_SourceData_Scope3_ChemicalsCleaning[[#Headers],[Category]], 0, 2)</f>
        <v>kg</v>
      </c>
      <c r="H80" s="165" cm="1">
        <f t="array" ref="H80">Common_InputFunctions.Utility_DisplayArrayInTable(Scope3_SourceData.Scope3_Chemicals_Data(), Table_SourceData_Scope3_ChemicalsCleaning[[#Headers],[Category]], 0, 2)</f>
        <v>0.90700000000000003</v>
      </c>
      <c r="I80" s="165"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65" t="s">
        <v>346</v>
      </c>
      <c r="E82" s="165" t="s">
        <v>221</v>
      </c>
      <c r="F82" s="165" t="s">
        <v>347</v>
      </c>
      <c r="G82" s="165" t="s">
        <v>302</v>
      </c>
      <c r="H82" s="165" t="s">
        <v>303</v>
      </c>
      <c r="I82" s="165" t="s">
        <v>405</v>
      </c>
    </row>
    <row r="83" spans="4:16" ht="20.100000000000001" customHeight="1" x14ac:dyDescent="0.25">
      <c r="D83" s="165" t="str" cm="1">
        <f t="array" ref="D83">Common_InputFunctions.Utility_DisplayArrayInTable(Scope3_SourceData.Scope3_Chemicals_Data(), Table_SourceData_Scope3_ChemicalsPharmacy[[#Headers],[Category]], -3, 2)</f>
        <v>Pharmacy chemicals</v>
      </c>
      <c r="E83" s="165" t="str" cm="1">
        <f t="array" ref="E83">Common_InputFunctions.Utility_DisplayArrayInTable(Scope3_SourceData.Scope3_Chemicals_Data(), Table_SourceData_Scope3_ChemicalsPharmacy[[#Headers],[Category]], -3, 2)</f>
        <v>Parasite control for cattle (external), dipping</v>
      </c>
      <c r="F83" s="165" t="str" cm="1">
        <f t="array" ref="F83">Common_InputFunctions.Utility_DisplayArrayInTable(Scope3_SourceData.Scope3_Chemicals_Data(), Table_SourceData_Scope3_ChemicalsPharmacy[[#Headers],[Category]], -3, 2)</f>
        <v>Global</v>
      </c>
      <c r="G83" s="165" t="str" cm="1">
        <f t="array" ref="G83">Common_InputFunctions.Utility_DisplayArrayInTable(Scope3_SourceData.Scope3_Chemicals_Data(), Table_SourceData_Scope3_ChemicalsPharmacy[[#Headers],[Category]], -3, 2)</f>
        <v>p (head)</v>
      </c>
      <c r="H83" s="165" cm="1">
        <f t="array" ref="H83">Common_InputFunctions.Utility_DisplayArrayInTable(Scope3_SourceData.Scope3_Chemicals_Data(), Table_SourceData_Scope3_ChemicalsPharmacy[[#Headers],[Category]], -3, 2)</f>
        <v>5.4699999999999999E-2</v>
      </c>
      <c r="I83" s="165" t="str" cm="1">
        <f t="array" ref="I83">Common_InputFunctions.Utility_DisplayArrayInTable(Scope3_SourceData.Scope3_Chemicals_Data(), Table_SourceData_Scope3_ChemicalsPharmacy[[#Headers],[Category]], -3, 2)</f>
        <v>at manufacturer</v>
      </c>
    </row>
    <row r="84" spans="4:16" ht="20.100000000000001" customHeight="1" x14ac:dyDescent="0.25">
      <c r="D84" s="165" t="str" cm="1">
        <f t="array" ref="D84">Common_InputFunctions.Utility_DisplayArrayInTable(Scope3_SourceData.Scope3_Chemicals_Data(), Table_SourceData_Scope3_ChemicalsPharmacy[[#Headers],[Category]], -3, 2)</f>
        <v>Pharmacy chemicals</v>
      </c>
      <c r="E84" s="165" t="str" cm="1">
        <f t="array" ref="E84">Common_InputFunctions.Utility_DisplayArrayInTable(Scope3_SourceData.Scope3_Chemicals_Data(), Table_SourceData_Scope3_ChemicalsPharmacy[[#Headers],[Category]], -3, 2)</f>
        <v>Parasite control for cattle (internal)</v>
      </c>
      <c r="F84" s="165" t="str" cm="1">
        <f t="array" ref="F84">Common_InputFunctions.Utility_DisplayArrayInTable(Scope3_SourceData.Scope3_Chemicals_Data(), Table_SourceData_Scope3_ChemicalsPharmacy[[#Headers],[Category]], -3, 2)</f>
        <v>Global</v>
      </c>
      <c r="G84" s="165" t="str" cm="1">
        <f t="array" ref="G84">Common_InputFunctions.Utility_DisplayArrayInTable(Scope3_SourceData.Scope3_Chemicals_Data(), Table_SourceData_Scope3_ChemicalsPharmacy[[#Headers],[Category]], -3, 2)</f>
        <v>p (head)</v>
      </c>
      <c r="H84" s="165" cm="1">
        <f t="array" ref="H84">Common_InputFunctions.Utility_DisplayArrayInTable(Scope3_SourceData.Scope3_Chemicals_Data(), Table_SourceData_Scope3_ChemicalsPharmacy[[#Headers],[Category]], -3, 2)</f>
        <v>1.4200000000000001E-2</v>
      </c>
      <c r="I84" s="165" t="str" cm="1">
        <f t="array" ref="I84">Common_InputFunctions.Utility_DisplayArrayInTable(Scope3_SourceData.Scope3_Chemicals_Data(), Table_SourceData_Scope3_ChemicalsPharmacy[[#Headers],[Category]], -3, 2)</f>
        <v>at manufacturer</v>
      </c>
    </row>
    <row r="85" spans="4:16" ht="20.100000000000001" customHeight="1" x14ac:dyDescent="0.25">
      <c r="D85" s="165" t="str" cm="1">
        <f t="array" ref="D85">Common_InputFunctions.Utility_DisplayArrayInTable(Scope3_SourceData.Scope3_Chemicals_Data(), Table_SourceData_Scope3_ChemicalsPharmacy[[#Headers],[Category]], -3, 2)</f>
        <v>Pharmacy chemicals</v>
      </c>
      <c r="E85" s="165" t="str" cm="1">
        <f t="array" ref="E85">Common_InputFunctions.Utility_DisplayArrayInTable(Scope3_SourceData.Scope3_Chemicals_Data(), Table_SourceData_Scope3_ChemicalsPharmacy[[#Headers],[Category]], -3, 2)</f>
        <v>Parasite control for sheep (external)</v>
      </c>
      <c r="F85" s="165" t="str" cm="1">
        <f t="array" ref="F85">Common_InputFunctions.Utility_DisplayArrayInTable(Scope3_SourceData.Scope3_Chemicals_Data(), Table_SourceData_Scope3_ChemicalsPharmacy[[#Headers],[Category]], -3, 2)</f>
        <v>Global</v>
      </c>
      <c r="G85" s="165" t="str" cm="1">
        <f t="array" ref="G85">Common_InputFunctions.Utility_DisplayArrayInTable(Scope3_SourceData.Scope3_Chemicals_Data(), Table_SourceData_Scope3_ChemicalsPharmacy[[#Headers],[Category]], -3, 2)</f>
        <v>p (head)</v>
      </c>
      <c r="H85" s="165" cm="1">
        <f t="array" ref="H85">Common_InputFunctions.Utility_DisplayArrayInTable(Scope3_SourceData.Scope3_Chemicals_Data(), Table_SourceData_Scope3_ChemicalsPharmacy[[#Headers],[Category]], -3, 2)</f>
        <v>1.43E-2</v>
      </c>
      <c r="I85" s="165" t="str" cm="1">
        <f t="array" ref="I85">Common_InputFunctions.Utility_DisplayArrayInTable(Scope3_SourceData.Scope3_Chemicals_Data(), Table_SourceData_Scope3_ChemicalsPharmacy[[#Headers],[Category]], -3, 2)</f>
        <v>at manufacturer</v>
      </c>
    </row>
    <row r="86" spans="4:16" ht="20.100000000000001" customHeight="1" x14ac:dyDescent="0.25">
      <c r="D86" s="165" t="str" cm="1">
        <f t="array" ref="D86">Common_InputFunctions.Utility_DisplayArrayInTable(Scope3_SourceData.Scope3_Chemicals_Data(), Table_SourceData_Scope3_ChemicalsPharmacy[[#Headers],[Category]], -3, 2)</f>
        <v>Pharmacy chemicals</v>
      </c>
      <c r="E86" s="165" t="str" cm="1">
        <f t="array" ref="E86">Common_InputFunctions.Utility_DisplayArrayInTable(Scope3_SourceData.Scope3_Chemicals_Data(), Table_SourceData_Scope3_ChemicalsPharmacy[[#Headers],[Category]], -3, 2)</f>
        <v>Parasite control for sheep (internal)</v>
      </c>
      <c r="F86" s="165" t="str" cm="1">
        <f t="array" ref="F86">Common_InputFunctions.Utility_DisplayArrayInTable(Scope3_SourceData.Scope3_Chemicals_Data(), Table_SourceData_Scope3_ChemicalsPharmacy[[#Headers],[Category]], -3, 2)</f>
        <v>Global</v>
      </c>
      <c r="G86" s="165" t="str" cm="1">
        <f t="array" ref="G86">Common_InputFunctions.Utility_DisplayArrayInTable(Scope3_SourceData.Scope3_Chemicals_Data(), Table_SourceData_Scope3_ChemicalsPharmacy[[#Headers],[Category]], -3, 2)</f>
        <v>p (head)</v>
      </c>
      <c r="H86" s="165" cm="1">
        <f t="array" ref="H86">Common_InputFunctions.Utility_DisplayArrayInTable(Scope3_SourceData.Scope3_Chemicals_Data(), Table_SourceData_Scope3_ChemicalsPharmacy[[#Headers],[Category]], -3, 2)</f>
        <v>4.2599999999999999E-3</v>
      </c>
      <c r="I86" s="165"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408</v>
      </c>
    </row>
    <row r="89" spans="4:16" ht="20.100000000000001" customHeight="1" x14ac:dyDescent="0.25">
      <c r="D89" s="165" t="s">
        <v>346</v>
      </c>
      <c r="E89" s="165" t="s">
        <v>221</v>
      </c>
      <c r="F89" s="165" t="s">
        <v>347</v>
      </c>
      <c r="G89" s="165" t="s">
        <v>302</v>
      </c>
      <c r="H89" s="165" t="s">
        <v>303</v>
      </c>
      <c r="I89" s="165" t="s">
        <v>405</v>
      </c>
      <c r="K89" s="165" t="s">
        <v>221</v>
      </c>
      <c r="L89" s="165" t="s">
        <v>433</v>
      </c>
      <c r="M89" s="8" t="str">
        <f>"Table_ProductRegions_" &amp; SUBSTITUTE(SUBSTITUTE(SUBSTITUTE(SUBSTITUTE(K90, " ", ""), ",", ""), "(", ""), ")", "")</f>
        <v>Table_ProductRegions_Sardineswhole</v>
      </c>
    </row>
    <row r="90" spans="4:16" ht="20.100000000000001" customHeight="1" x14ac:dyDescent="0.25">
      <c r="D90" s="165" t="str" cm="1">
        <f t="array" ref="D90">Common_InputFunctions.Utility_DisplayArrayInTable(Scope3_SourceData.Scope3_Feed_Data(), Table_SourceData_Scope3_Feed[[#Headers],[Category]], 0, 2)</f>
        <v>Aquaculture feed</v>
      </c>
      <c r="E90" s="165" t="str" cm="1">
        <f t="array" ref="E90">Common_InputFunctions.Utility_DisplayArrayInTable(Scope3_SourceData.Scope3_Feed_Data(), Table_SourceData_Scope3_Feed[[#Headers],[Category]], 0, 2)</f>
        <v>Sardines (whole)</v>
      </c>
      <c r="F90" s="165" t="str" cm="1">
        <f t="array" ref="F90">Common_InputFunctions.Utility_DisplayArrayInTable(Scope3_SourceData.Scope3_Feed_Data(), Table_SourceData_Scope3_Feed[[#Headers],[Category]], 0, 2)</f>
        <v>SA</v>
      </c>
      <c r="G90" s="165" t="str" cm="1">
        <f t="array" ref="G90">Common_InputFunctions.Utility_DisplayArrayInTable(Scope3_SourceData.Scope3_Feed_Data(), Table_SourceData_Scope3_Feed[[#Headers],[Category]], 0, 2)</f>
        <v>kg</v>
      </c>
      <c r="H90" s="165" cm="1">
        <f t="array" ref="H90">Common_InputFunctions.Utility_DisplayArrayInTable(Scope3_SourceData.Scope3_Feed_Data(), Table_SourceData_Scope3_Feed[[#Headers],[Category]], 0, 2)</f>
        <v>0.376</v>
      </c>
      <c r="I90" s="165" t="str" cm="1">
        <f t="array" ref="I90">Common_InputFunctions.Utility_DisplayArrayInTable(Scope3_SourceData.Scope3_Feed_Data(), Table_SourceData_Scope3_Feed[[#Headers],[Category]], 0, 2)</f>
        <v>at market</v>
      </c>
      <c r="K90" s="165" t="str">
        <f>Table_SourceData_Scope3_Feed[[#This Row],[Product]]</f>
        <v>Sardines (whole)</v>
      </c>
      <c r="L90" s="165" t="str">
        <f>Table_SourceData_Scope3_Feed[[#This Row],[Region of origin]]</f>
        <v>SA</v>
      </c>
      <c r="N90" s="165" t="s">
        <v>221</v>
      </c>
      <c r="O90" s="165" t="s">
        <v>433</v>
      </c>
      <c r="P90" s="8" t="str">
        <f>"Table_ProductRegions_" &amp; SUBSTITUTE(SUBSTITUTE(SUBSTITUTE(SUBSTITUTE(N91, " ", ""), ",", ""), "(", ""), ")", "")</f>
        <v>Table_ProductRegions_Barleygrain</v>
      </c>
    </row>
    <row r="91" spans="4:16" ht="20.100000000000001" customHeight="1" x14ac:dyDescent="0.25">
      <c r="D91" s="165" t="str" cm="1">
        <f t="array" ref="D91">Common_InputFunctions.Utility_DisplayArrayInTable(Scope3_SourceData.Scope3_Feed_Data(), Table_SourceData_Scope3_Feed[[#Headers],[Category]], 0, 2)</f>
        <v>Grain</v>
      </c>
      <c r="E91" s="165" t="str" cm="1">
        <f t="array" ref="E91">Common_InputFunctions.Utility_DisplayArrayInTable(Scope3_SourceData.Scope3_Feed_Data(), Table_SourceData_Scope3_Feed[[#Headers],[Category]], 0, 2)</f>
        <v>Barley grain</v>
      </c>
      <c r="F91" s="165" t="str" cm="1">
        <f t="array" ref="F91">Common_InputFunctions.Utility_DisplayArrayInTable(Scope3_SourceData.Scope3_Feed_Data(), Table_SourceData_Scope3_Feed[[#Headers],[Category]], 0, 2)</f>
        <v>Australia</v>
      </c>
      <c r="G91" s="165" t="str" cm="1">
        <f t="array" ref="G91">Common_InputFunctions.Utility_DisplayArrayInTable(Scope3_SourceData.Scope3_Feed_Data(), Table_SourceData_Scope3_Feed[[#Headers],[Category]], 0, 2)</f>
        <v>kg</v>
      </c>
      <c r="H91" s="165" cm="1">
        <f t="array" ref="H91">Common_InputFunctions.Utility_DisplayArrayInTable(Scope3_SourceData.Scope3_Feed_Data(), Table_SourceData_Scope3_Feed[[#Headers],[Category]], 0, 2)</f>
        <v>0.23899999999999999</v>
      </c>
      <c r="I91" s="165" t="str" cm="1">
        <f t="array" ref="I91">Common_InputFunctions.Utility_DisplayArrayInTable(Scope3_SourceData.Scope3_Feed_Data(), Table_SourceData_Scope3_Feed[[#Headers],[Category]], 0, 2)</f>
        <v>at market</v>
      </c>
      <c r="N91" s="165" t="str">
        <f>Table_SourceData_Scope3_Feed[[#This Row],[Product]]</f>
        <v>Barley grain</v>
      </c>
      <c r="O91" s="165" t="str">
        <f>Table_SourceData_Scope3_Feed[[#This Row],[Region of origin]]</f>
        <v>Australia</v>
      </c>
    </row>
    <row r="92" spans="4:16" ht="20.100000000000001" customHeight="1" x14ac:dyDescent="0.25">
      <c r="D92" s="165" t="str" cm="1">
        <f t="array" ref="D92">Common_InputFunctions.Utility_DisplayArrayInTable(Scope3_SourceData.Scope3_Feed_Data(), Table_SourceData_Scope3_Feed[[#Headers],[Category]], 0, 2)</f>
        <v>Grain</v>
      </c>
      <c r="E92" s="165" t="str" cm="1">
        <f t="array" ref="E92">Common_InputFunctions.Utility_DisplayArrayInTable(Scope3_SourceData.Scope3_Feed_Data(), Table_SourceData_Scope3_Feed[[#Headers],[Category]], 0, 2)</f>
        <v>Barley grain</v>
      </c>
      <c r="F92" s="165" t="str" cm="1">
        <f t="array" ref="F92">Common_InputFunctions.Utility_DisplayArrayInTable(Scope3_SourceData.Scope3_Feed_Data(), Table_SourceData_Scope3_Feed[[#Headers],[Category]], 0, 2)</f>
        <v>NSW</v>
      </c>
      <c r="G92" s="165" t="str" cm="1">
        <f t="array" ref="G92">Common_InputFunctions.Utility_DisplayArrayInTable(Scope3_SourceData.Scope3_Feed_Data(), Table_SourceData_Scope3_Feed[[#Headers],[Category]], 0, 2)</f>
        <v>kg</v>
      </c>
      <c r="H92" s="165" cm="1">
        <f t="array" ref="H92">Common_InputFunctions.Utility_DisplayArrayInTable(Scope3_SourceData.Scope3_Feed_Data(), Table_SourceData_Scope3_Feed[[#Headers],[Category]], 0, 2)</f>
        <v>0.25600000000000001</v>
      </c>
      <c r="I92" s="165" t="str" cm="1">
        <f t="array" ref="I92">Common_InputFunctions.Utility_DisplayArrayInTable(Scope3_SourceData.Scope3_Feed_Data(), Table_SourceData_Scope3_Feed[[#Headers],[Category]], 0, 2)</f>
        <v>at market</v>
      </c>
      <c r="N92" s="165" t="str">
        <f>Table_SourceData_Scope3_Feed[[#This Row],[Product]]</f>
        <v>Barley grain</v>
      </c>
      <c r="O92" s="165" t="str">
        <f>Table_SourceData_Scope3_Feed[[#This Row],[Region of origin]]</f>
        <v>NSW</v>
      </c>
    </row>
    <row r="93" spans="4:16" ht="20.100000000000001" customHeight="1" x14ac:dyDescent="0.25">
      <c r="D93" s="165" t="str" cm="1">
        <f t="array" ref="D93">Common_InputFunctions.Utility_DisplayArrayInTable(Scope3_SourceData.Scope3_Feed_Data(), Table_SourceData_Scope3_Feed[[#Headers],[Category]], 0, 2)</f>
        <v>Grain</v>
      </c>
      <c r="E93" s="165" t="str" cm="1">
        <f t="array" ref="E93">Common_InputFunctions.Utility_DisplayArrayInTable(Scope3_SourceData.Scope3_Feed_Data(), Table_SourceData_Scope3_Feed[[#Headers],[Category]], 0, 2)</f>
        <v>Barley grain</v>
      </c>
      <c r="F93" s="165" t="str" cm="1">
        <f t="array" ref="F93">Common_InputFunctions.Utility_DisplayArrayInTable(Scope3_SourceData.Scope3_Feed_Data(), Table_SourceData_Scope3_Feed[[#Headers],[Category]], 0, 2)</f>
        <v>NT</v>
      </c>
      <c r="G93" s="165" t="str" cm="1">
        <f t="array" ref="G93">Common_InputFunctions.Utility_DisplayArrayInTable(Scope3_SourceData.Scope3_Feed_Data(), Table_SourceData_Scope3_Feed[[#Headers],[Category]], 0, 2)</f>
        <v>kg</v>
      </c>
      <c r="H93" s="165" cm="1">
        <f t="array" ref="H93">Common_InputFunctions.Utility_DisplayArrayInTable(Scope3_SourceData.Scope3_Feed_Data(), Table_SourceData_Scope3_Feed[[#Headers],[Category]], 0, 2)</f>
        <v>0.33200000000000002</v>
      </c>
      <c r="I93" s="165" t="str" cm="1">
        <f t="array" ref="I93">Common_InputFunctions.Utility_DisplayArrayInTable(Scope3_SourceData.Scope3_Feed_Data(), Table_SourceData_Scope3_Feed[[#Headers],[Category]], 0, 2)</f>
        <v>at market</v>
      </c>
      <c r="N93" s="165" t="str">
        <f>Table_SourceData_Scope3_Feed[[#This Row],[Product]]</f>
        <v>Barley grain</v>
      </c>
      <c r="O93" s="165" t="str">
        <f>Table_SourceData_Scope3_Feed[[#This Row],[Region of origin]]</f>
        <v>NT</v>
      </c>
    </row>
    <row r="94" spans="4:16" ht="20.100000000000001" customHeight="1" x14ac:dyDescent="0.25">
      <c r="D94" s="165" t="str" cm="1">
        <f t="array" ref="D94">Common_InputFunctions.Utility_DisplayArrayInTable(Scope3_SourceData.Scope3_Feed_Data(), Table_SourceData_Scope3_Feed[[#Headers],[Category]], 0, 2)</f>
        <v>Grain</v>
      </c>
      <c r="E94" s="165" t="str" cm="1">
        <f t="array" ref="E94">Common_InputFunctions.Utility_DisplayArrayInTable(Scope3_SourceData.Scope3_Feed_Data(), Table_SourceData_Scope3_Feed[[#Headers],[Category]], 0, 2)</f>
        <v>Barley grain</v>
      </c>
      <c r="F94" s="165" t="str" cm="1">
        <f t="array" ref="F94">Common_InputFunctions.Utility_DisplayArrayInTable(Scope3_SourceData.Scope3_Feed_Data(), Table_SourceData_Scope3_Feed[[#Headers],[Category]], 0, 2)</f>
        <v>QLD</v>
      </c>
      <c r="G94" s="165" t="str" cm="1">
        <f t="array" ref="G94">Common_InputFunctions.Utility_DisplayArrayInTable(Scope3_SourceData.Scope3_Feed_Data(), Table_SourceData_Scope3_Feed[[#Headers],[Category]], 0, 2)</f>
        <v>kg</v>
      </c>
      <c r="H94" s="165" cm="1">
        <f t="array" ref="H94">Common_InputFunctions.Utility_DisplayArrayInTable(Scope3_SourceData.Scope3_Feed_Data(), Table_SourceData_Scope3_Feed[[#Headers],[Category]], 0, 2)</f>
        <v>0.26900000000000002</v>
      </c>
      <c r="I94" s="165" t="str" cm="1">
        <f t="array" ref="I94">Common_InputFunctions.Utility_DisplayArrayInTable(Scope3_SourceData.Scope3_Feed_Data(), Table_SourceData_Scope3_Feed[[#Headers],[Category]], 0, 2)</f>
        <v>at market</v>
      </c>
      <c r="N94" s="165" t="str">
        <f>Table_SourceData_Scope3_Feed[[#This Row],[Product]]</f>
        <v>Barley grain</v>
      </c>
      <c r="O94" s="165" t="str">
        <f>Table_SourceData_Scope3_Feed[[#This Row],[Region of origin]]</f>
        <v>QLD</v>
      </c>
    </row>
    <row r="95" spans="4:16" ht="20.100000000000001" customHeight="1" x14ac:dyDescent="0.25">
      <c r="D95" s="165" t="str" cm="1">
        <f t="array" ref="D95">Common_InputFunctions.Utility_DisplayArrayInTable(Scope3_SourceData.Scope3_Feed_Data(), Table_SourceData_Scope3_Feed[[#Headers],[Category]], 0, 2)</f>
        <v>Grain</v>
      </c>
      <c r="E95" s="165" t="str" cm="1">
        <f t="array" ref="E95">Common_InputFunctions.Utility_DisplayArrayInTable(Scope3_SourceData.Scope3_Feed_Data(), Table_SourceData_Scope3_Feed[[#Headers],[Category]], 0, 2)</f>
        <v>Barley grain</v>
      </c>
      <c r="F95" s="165" t="str" cm="1">
        <f t="array" ref="F95">Common_InputFunctions.Utility_DisplayArrayInTable(Scope3_SourceData.Scope3_Feed_Data(), Table_SourceData_Scope3_Feed[[#Headers],[Category]], 0, 2)</f>
        <v>SA</v>
      </c>
      <c r="G95" s="165" t="str" cm="1">
        <f t="array" ref="G95">Common_InputFunctions.Utility_DisplayArrayInTable(Scope3_SourceData.Scope3_Feed_Data(), Table_SourceData_Scope3_Feed[[#Headers],[Category]], 0, 2)</f>
        <v>kg</v>
      </c>
      <c r="H95" s="165" cm="1">
        <f t="array" ref="H95">Common_InputFunctions.Utility_DisplayArrayInTable(Scope3_SourceData.Scope3_Feed_Data(), Table_SourceData_Scope3_Feed[[#Headers],[Category]], 0, 2)</f>
        <v>0.223</v>
      </c>
      <c r="I95" s="165" t="str" cm="1">
        <f t="array" ref="I95">Common_InputFunctions.Utility_DisplayArrayInTable(Scope3_SourceData.Scope3_Feed_Data(), Table_SourceData_Scope3_Feed[[#Headers],[Category]], 0, 2)</f>
        <v>at market</v>
      </c>
      <c r="N95" s="165" t="str">
        <f>Table_SourceData_Scope3_Feed[[#This Row],[Product]]</f>
        <v>Barley grain</v>
      </c>
      <c r="O95" s="165" t="str">
        <f>Table_SourceData_Scope3_Feed[[#This Row],[Region of origin]]</f>
        <v>SA</v>
      </c>
    </row>
    <row r="96" spans="4:16" ht="20.100000000000001" customHeight="1" x14ac:dyDescent="0.25">
      <c r="D96" s="165" t="str" cm="1">
        <f t="array" ref="D96">Common_InputFunctions.Utility_DisplayArrayInTable(Scope3_SourceData.Scope3_Feed_Data(), Table_SourceData_Scope3_Feed[[#Headers],[Category]], 0, 2)</f>
        <v>Grain</v>
      </c>
      <c r="E96" s="165" t="str" cm="1">
        <f t="array" ref="E96">Common_InputFunctions.Utility_DisplayArrayInTable(Scope3_SourceData.Scope3_Feed_Data(), Table_SourceData_Scope3_Feed[[#Headers],[Category]], 0, 2)</f>
        <v>Barley grain</v>
      </c>
      <c r="F96" s="165" t="str" cm="1">
        <f t="array" ref="F96">Common_InputFunctions.Utility_DisplayArrayInTable(Scope3_SourceData.Scope3_Feed_Data(), Table_SourceData_Scope3_Feed[[#Headers],[Category]], 0, 2)</f>
        <v>TAS</v>
      </c>
      <c r="G96" s="165" t="str" cm="1">
        <f t="array" ref="G96">Common_InputFunctions.Utility_DisplayArrayInTable(Scope3_SourceData.Scope3_Feed_Data(), Table_SourceData_Scope3_Feed[[#Headers],[Category]], 0, 2)</f>
        <v>kg</v>
      </c>
      <c r="H96" s="165" cm="1">
        <f t="array" ref="H96">Common_InputFunctions.Utility_DisplayArrayInTable(Scope3_SourceData.Scope3_Feed_Data(), Table_SourceData_Scope3_Feed[[#Headers],[Category]], 0, 2)</f>
        <v>0.307</v>
      </c>
      <c r="I96" s="165" t="str" cm="1">
        <f t="array" ref="I96">Common_InputFunctions.Utility_DisplayArrayInTable(Scope3_SourceData.Scope3_Feed_Data(), Table_SourceData_Scope3_Feed[[#Headers],[Category]], 0, 2)</f>
        <v>at market</v>
      </c>
      <c r="N96" s="165" t="str">
        <f>Table_SourceData_Scope3_Feed[[#This Row],[Product]]</f>
        <v>Barley grain</v>
      </c>
      <c r="O96" s="165"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65" t="str">
        <f>Table_SourceData_Scope3_Feed[[#This Row],[Product]]</f>
        <v>Barley grain</v>
      </c>
      <c r="O97" s="165"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65" t="s">
        <v>221</v>
      </c>
      <c r="L98" s="165" t="s">
        <v>433</v>
      </c>
      <c r="M98" s="8" t="str">
        <f>"Table_ProductRegions_" &amp; SUBSTITUTE(SUBSTITUTE(SUBSTITUTE(SUBSTITUTE(K99, " ", ""), ",", ""), "(", ""), ")", "")</f>
        <v>Table_ProductRegions_Maizegrain</v>
      </c>
      <c r="N98" s="165" t="str">
        <f>Table_SourceData_Scope3_Feed[[#This Row],[Product]]</f>
        <v>Barley grain</v>
      </c>
      <c r="O98" s="165"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65" t="str">
        <f>Table_SourceData_Scope3_Feed[[#This Row],[Product]]</f>
        <v>Maize grain</v>
      </c>
      <c r="L99" s="165"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65" t="str">
        <f>Table_SourceData_Scope3_Feed[[#This Row],[Product]]</f>
        <v>Maize grain</v>
      </c>
      <c r="L100" s="165"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65" t="str">
        <f>Table_SourceData_Scope3_Feed[[#This Row],[Product]]</f>
        <v>Maize grain</v>
      </c>
      <c r="L101" s="165"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65" t="str">
        <f>Table_SourceData_Scope3_Feed[[#This Row],[Product]]</f>
        <v>Maize grain</v>
      </c>
      <c r="L102" s="165"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65" t="str">
        <f>Table_SourceData_Scope3_Feed[[#This Row],[Product]]</f>
        <v>Maize grain</v>
      </c>
      <c r="L103" s="165"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65" t="str">
        <f>Table_SourceData_Scope3_Feed[[#This Row],[Product]]</f>
        <v>Maize grain</v>
      </c>
      <c r="L104" s="165"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65" t="str">
        <f>Table_SourceData_Scope3_Feed[[#This Row],[Product]]</f>
        <v>Maize grain</v>
      </c>
      <c r="L105" s="165" t="str">
        <f>Table_SourceData_Scope3_Feed[[#This Row],[Region of origin]]</f>
        <v>WA</v>
      </c>
      <c r="N105" s="165" t="s">
        <v>221</v>
      </c>
      <c r="O105" s="165" t="s">
        <v>433</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65" t="str">
        <f>Table_SourceData_Scope3_Feed[[#This Row],[Product]]</f>
        <v>Sorghum grain</v>
      </c>
      <c r="O106" s="165"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65" t="str">
        <f>Table_SourceData_Scope3_Feed[[#This Row],[Product]]</f>
        <v>Sorghum grain</v>
      </c>
      <c r="O107" s="165"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65" t="str">
        <f>Table_SourceData_Scope3_Feed[[#This Row],[Product]]</f>
        <v>Sorghum grain</v>
      </c>
      <c r="O108" s="165"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65" t="str">
        <f>Table_SourceData_Scope3_Feed[[#This Row],[Product]]</f>
        <v>Sorghum grain</v>
      </c>
      <c r="O109" s="165"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65" t="s">
        <v>221</v>
      </c>
      <c r="L110" s="165" t="s">
        <v>433</v>
      </c>
      <c r="M110" s="8" t="str">
        <f>"Table_ProductRegions_" &amp; SUBSTITUTE(SUBSTITUTE(SUBSTITUTE(SUBSTITUTE(K111, " ", ""), ",", ""), "(", ""), ")", "")</f>
        <v>Table_ProductRegions_Wheatgrain</v>
      </c>
      <c r="N110" s="165" t="str">
        <f>Table_SourceData_Scope3_Feed[[#This Row],[Product]]</f>
        <v>Sorghum grain</v>
      </c>
      <c r="O110" s="165"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65" t="str">
        <f>Table_SourceData_Scope3_Feed[[#This Row],[Product]]</f>
        <v>Wheat grain</v>
      </c>
      <c r="L111" s="165"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65" t="str">
        <f>Table_SourceData_Scope3_Feed[[#This Row],[Product]]</f>
        <v>Wheat grain</v>
      </c>
      <c r="L112" s="165"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65" t="str">
        <f>Table_SourceData_Scope3_Feed[[#This Row],[Product]]</f>
        <v>Wheat grain</v>
      </c>
      <c r="L113" s="165"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65" t="str">
        <f>Table_SourceData_Scope3_Feed[[#This Row],[Product]]</f>
        <v>Wheat grain</v>
      </c>
      <c r="L114" s="165"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65" t="str">
        <f>Table_SourceData_Scope3_Feed[[#This Row],[Product]]</f>
        <v>Wheat grain</v>
      </c>
      <c r="L115" s="165"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65" t="str">
        <f>Table_SourceData_Scope3_Feed[[#This Row],[Product]]</f>
        <v>Wheat grain</v>
      </c>
      <c r="L116" s="165"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65" t="str">
        <f>Table_SourceData_Scope3_Feed[[#This Row],[Product]]</f>
        <v>Wheat grain</v>
      </c>
      <c r="L117" s="165"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65" t="str">
        <f>Table_SourceData_Scope3_Feed[[#This Row],[Product]]</f>
        <v>Wheat grain</v>
      </c>
      <c r="L118" s="165" t="str">
        <f>Table_SourceData_Scope3_Feed[[#This Row],[Region of origin]]</f>
        <v>WA</v>
      </c>
      <c r="N118" s="176" t="s">
        <v>221</v>
      </c>
      <c r="O118" s="176" t="s">
        <v>433</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65" t="str">
        <f>Table_SourceData_Scope3_Feed[[#This Row],[Product]]</f>
        <v>Cereal hay</v>
      </c>
      <c r="O119" s="165"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65" t="str">
        <f>Table_SourceData_Scope3_Feed[[#This Row],[Product]]</f>
        <v>Cereal hay</v>
      </c>
      <c r="O120" s="165"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65" t="str">
        <f>Table_SourceData_Scope3_Feed[[#This Row],[Product]]</f>
        <v>Cereal hay</v>
      </c>
      <c r="O121" s="165"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65" t="str">
        <f>Table_SourceData_Scope3_Feed[[#This Row],[Product]]</f>
        <v>Cereal hay</v>
      </c>
      <c r="O122" s="165"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65" t="str">
        <f>Table_SourceData_Scope3_Feed[[#This Row],[Product]]</f>
        <v>Cereal hay</v>
      </c>
      <c r="O123" s="165"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65" t="str">
        <f>Table_SourceData_Scope3_Feed[[#This Row],[Product]]</f>
        <v>Cereal hay</v>
      </c>
      <c r="O124" s="165"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76" t="s">
        <v>221</v>
      </c>
      <c r="L125" s="176" t="s">
        <v>433</v>
      </c>
      <c r="M125" s="8" t="str">
        <f>"Table_ProductRegions_" &amp; SUBSTITUTE(SUBSTITUTE(SUBSTITUTE(SUBSTITUTE(K126, " ", ""), ",", ""), "(", ""), ")", "")</f>
        <v>Table_ProductRegions_Cerealsilage</v>
      </c>
      <c r="N125" s="165" t="str">
        <f>Table_SourceData_Scope3_Feed[[#This Row],[Product]]</f>
        <v>Cereal hay</v>
      </c>
      <c r="O125" s="165"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65" t="str">
        <f>Table_SourceData_Scope3_Feed[[#This Row],[Product]]</f>
        <v>Cereal silage</v>
      </c>
      <c r="L126" s="165"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65" t="str">
        <f>Table_SourceData_Scope3_Feed[[#This Row],[Product]]</f>
        <v>Cereal silage</v>
      </c>
      <c r="L127" s="165"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65" t="str">
        <f>Table_SourceData_Scope3_Feed[[#This Row],[Product]]</f>
        <v>Cereal silage</v>
      </c>
      <c r="L128" s="165"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65" t="str">
        <f>Table_SourceData_Scope3_Feed[[#This Row],[Product]]</f>
        <v>Cereal silage</v>
      </c>
      <c r="L129" s="165"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65" t="str">
        <f>Table_SourceData_Scope3_Feed[[#This Row],[Product]]</f>
        <v>Cereal silage</v>
      </c>
      <c r="L130" s="165"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65" t="str">
        <f>Table_SourceData_Scope3_Feed[[#This Row],[Product]]</f>
        <v>Cereal silage</v>
      </c>
      <c r="L131" s="165" t="str">
        <f>Table_SourceData_Scope3_Feed[[#This Row],[Region of origin]]</f>
        <v>VIC</v>
      </c>
      <c r="N131" s="176" t="s">
        <v>221</v>
      </c>
      <c r="O131" s="176" t="s">
        <v>433</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65" t="str">
        <f>Table_SourceData_Scope3_Feed[[#This Row],[Product]]</f>
        <v>Lucerne hay</v>
      </c>
      <c r="O132" s="165"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65" t="str">
        <f>Table_SourceData_Scope3_Feed[[#This Row],[Product]]</f>
        <v>Lucerne hay</v>
      </c>
      <c r="O133" s="165"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65" t="str">
        <f>Table_SourceData_Scope3_Feed[[#This Row],[Product]]</f>
        <v>Lucerne hay</v>
      </c>
      <c r="O134" s="165"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65" t="str">
        <f>Table_SourceData_Scope3_Feed[[#This Row],[Product]]</f>
        <v>Lucerne hay</v>
      </c>
      <c r="O135" s="165"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65" t="str">
        <f>Table_SourceData_Scope3_Feed[[#This Row],[Product]]</f>
        <v>Lucerne hay</v>
      </c>
      <c r="O136" s="165"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65" t="str">
        <f>Table_SourceData_Scope3_Feed[[#This Row],[Product]]</f>
        <v>Lucerne hay</v>
      </c>
      <c r="O137" s="165"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76" t="s">
        <v>221</v>
      </c>
      <c r="L138" s="176" t="s">
        <v>433</v>
      </c>
      <c r="M138" s="8" t="str">
        <f>"Table_ProductRegions_" &amp; SUBSTITUTE(SUBSTITUTE(SUBSTITUTE(SUBSTITUTE(K139, " ", ""), ",", ""), "(", ""), ")", "")</f>
        <v>Table_ProductRegions_Oatenhay</v>
      </c>
      <c r="N138" s="165" t="str">
        <f>Table_SourceData_Scope3_Feed[[#This Row],[Product]]</f>
        <v>Maize silage</v>
      </c>
      <c r="O138" s="165"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65" t="str">
        <f>Table_SourceData_Scope3_Feed[[#This Row],[Product]]</f>
        <v>Oaten hay</v>
      </c>
      <c r="L139" s="165"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65" t="str">
        <f>Table_SourceData_Scope3_Feed[[#This Row],[Product]]</f>
        <v>Oaten hay</v>
      </c>
      <c r="L140" s="165"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65" t="str">
        <f>Table_SourceData_Scope3_Feed[[#This Row],[Product]]</f>
        <v>Oaten hay</v>
      </c>
      <c r="L141" s="165"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65" t="str">
        <f>Table_SourceData_Scope3_Feed[[#This Row],[Product]]</f>
        <v>Oaten hay</v>
      </c>
      <c r="L142" s="165"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65" t="str">
        <f>Table_SourceData_Scope3_Feed[[#This Row],[Product]]</f>
        <v>Oaten hay</v>
      </c>
      <c r="L143" s="165"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65" t="str">
        <f>Table_SourceData_Scope3_Feed[[#This Row],[Product]]</f>
        <v>Oaten hay</v>
      </c>
      <c r="L144" s="165" t="str">
        <f>Table_SourceData_Scope3_Feed[[#This Row],[Region of origin]]</f>
        <v>WA</v>
      </c>
      <c r="N144" s="176" t="s">
        <v>221</v>
      </c>
      <c r="O144" s="176" t="s">
        <v>433</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65" t="str">
        <f>Table_SourceData_Scope3_Feed[[#This Row],[Product]]</f>
        <v>Pasture hay</v>
      </c>
      <c r="O145" s="165"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65" t="str">
        <f>Table_SourceData_Scope3_Feed[[#This Row],[Product]]</f>
        <v>Pasture hay</v>
      </c>
      <c r="O146" s="165"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65" t="str">
        <f>Table_SourceData_Scope3_Feed[[#This Row],[Product]]</f>
        <v>Pasture hay</v>
      </c>
      <c r="O147" s="165"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65" t="str">
        <f>Table_SourceData_Scope3_Feed[[#This Row],[Product]]</f>
        <v>Pasture hay</v>
      </c>
      <c r="O148" s="165"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65" t="str">
        <f>Table_SourceData_Scope3_Feed[[#This Row],[Product]]</f>
        <v>Pasture hay</v>
      </c>
      <c r="O149" s="165"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65" t="str">
        <f>Table_SourceData_Scope3_Feed[[#This Row],[Product]]</f>
        <v>Pasture hay</v>
      </c>
      <c r="O150" s="165"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75" t="s">
        <v>221</v>
      </c>
      <c r="L151" s="175" t="s">
        <v>433</v>
      </c>
      <c r="M151" s="8" t="str">
        <f>"Table_ProductRegions_" &amp; SUBSTITUTE(SUBSTITUTE(SUBSTITUTE(SUBSTITUTE(K152, " ", ""), ",", ""), "(", ""), ")", "")</f>
        <v>Table_ProductRegions_Canolameal</v>
      </c>
      <c r="N151" s="165" t="str">
        <f>Table_SourceData_Scope3_Feed[[#This Row],[Product]]</f>
        <v>Pasture hay</v>
      </c>
      <c r="O151" s="165"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76" t="s">
        <v>221</v>
      </c>
      <c r="O152" s="176" t="s">
        <v>433</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76" t="s">
        <v>221</v>
      </c>
      <c r="L153" s="176" t="s">
        <v>433</v>
      </c>
      <c r="M153" s="8" t="str">
        <f>"Table_ProductRegions_" &amp; SUBSTITUTE(SUBSTITUTE(SUBSTITUTE(SUBSTITUTE(K154, " ", ""), ",", ""), "(", ""), ")", "")</f>
        <v>Table_ProductRegions_Soybeanmeal</v>
      </c>
      <c r="N153" s="165" t="str">
        <f>Table_SourceData_Scope3_Feed[[#This Row],[Product]]</f>
        <v>Meat meal</v>
      </c>
      <c r="O153" s="165"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65" t="str">
        <f>Table_SourceData_Scope3_Feed[[#This Row],[Product]]</f>
        <v>Soybean meal</v>
      </c>
      <c r="L154" s="165" t="str">
        <f>Table_SourceData_Scope3_Feed[[#This Row],[Region of origin]]</f>
        <v>Brazil</v>
      </c>
      <c r="N154" s="176" t="s">
        <v>221</v>
      </c>
      <c r="O154" s="176" t="s">
        <v>433</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76" t="s">
        <v>221</v>
      </c>
      <c r="L155" s="176" t="s">
        <v>433</v>
      </c>
      <c r="M155" s="8" t="str">
        <f>"Table_ProductRegions_" &amp; SUBSTITUTE(SUBSTITUTE(SUBSTITUTE(SUBSTITUTE(K156, " ", ""), ",", ""), "(", ""), ")", "")</f>
        <v>Table_ProductRegions_Bentonite</v>
      </c>
      <c r="N155" s="165" t="str">
        <f>Table_SourceData_Scope3_Feed[[#This Row],[Product]]</f>
        <v>Wheat bran</v>
      </c>
      <c r="O155" s="165"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65" t="str">
        <f>Table_SourceData_Scope3_Feed[[#This Row],[Product]]</f>
        <v>Bentonite</v>
      </c>
      <c r="L156" s="165" t="str">
        <f>Table_SourceData_Scope3_Feed[[#This Row],[Region of origin]]</f>
        <v>Australia</v>
      </c>
      <c r="N156" s="176" t="s">
        <v>221</v>
      </c>
      <c r="O156" s="176" t="s">
        <v>433</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76" t="s">
        <v>221</v>
      </c>
      <c r="L157" s="176" t="s">
        <v>433</v>
      </c>
      <c r="M157" s="8" t="str">
        <f>"Table_ProductRegions_" &amp; SUBSTITUTE(SUBSTITUTE(SUBSTITUTE(SUBSTITUTE(K158, " ", ""), ",", ""), "(", ""), ")", "")</f>
        <v>Table_ProductRegions_Cottonseed</v>
      </c>
      <c r="N157" s="165" t="str">
        <f>Table_SourceData_Scope3_Feed[[#This Row],[Product]]</f>
        <v>Canola oil</v>
      </c>
      <c r="O157" s="165"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65" t="str">
        <f>Table_SourceData_Scope3_Feed[[#This Row],[Product]]</f>
        <v>Cotton seed</v>
      </c>
      <c r="L158" s="165" t="str">
        <f>Table_SourceData_Scope3_Feed[[#This Row],[Region of origin]]</f>
        <v>Australia</v>
      </c>
      <c r="N158" s="176" t="s">
        <v>221</v>
      </c>
      <c r="O158" s="176" t="s">
        <v>433</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65" t="str">
        <f>Table_SourceData_Scope3_Feed[[#This Row],[Product]]</f>
        <v>Molasses</v>
      </c>
      <c r="O159" s="165" t="str">
        <f>Table_SourceData_Scope3_Feed[[#This Row],[Region of origin]]</f>
        <v>QLD</v>
      </c>
    </row>
    <row r="160" spans="4:16" ht="20.100000000000001" customHeight="1" x14ac:dyDescent="0.25"/>
    <row r="161" spans="4:13" ht="20.100000000000001" customHeight="1" x14ac:dyDescent="0.25">
      <c r="D161" s="165" t="s">
        <v>346</v>
      </c>
      <c r="E161" s="165" t="s">
        <v>221</v>
      </c>
      <c r="F161" s="165" t="s">
        <v>347</v>
      </c>
      <c r="G161" s="165" t="s">
        <v>302</v>
      </c>
      <c r="H161" s="165" t="s">
        <v>303</v>
      </c>
      <c r="I161" s="165" t="s">
        <v>405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65" t="s">
        <v>346</v>
      </c>
      <c r="E167" s="165" t="s">
        <v>221</v>
      </c>
      <c r="F167" s="165" t="s">
        <v>347</v>
      </c>
      <c r="G167" s="165" t="s">
        <v>302</v>
      </c>
      <c r="H167" s="165" t="s">
        <v>303</v>
      </c>
      <c r="I167" s="165" t="s">
        <v>405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386</v>
      </c>
    </row>
    <row r="173" spans="4:13" ht="20.100000000000001" customHeight="1" x14ac:dyDescent="0.25">
      <c r="D173" s="165" t="s">
        <v>346</v>
      </c>
      <c r="E173" s="165" t="s">
        <v>221</v>
      </c>
      <c r="F173" s="165" t="s">
        <v>347</v>
      </c>
      <c r="G173" s="165" t="s">
        <v>300</v>
      </c>
      <c r="H173" s="165" t="s">
        <v>175</v>
      </c>
      <c r="I173" s="165" t="s">
        <v>176</v>
      </c>
      <c r="J173" s="165" t="s">
        <v>301</v>
      </c>
      <c r="K173" s="165" t="s">
        <v>302</v>
      </c>
      <c r="L173" s="165" t="s">
        <v>303</v>
      </c>
      <c r="M173" s="165" t="s">
        <v>405</v>
      </c>
    </row>
    <row r="174" spans="4:13" ht="20.100000000000001" customHeight="1" x14ac:dyDescent="0.25">
      <c r="D174" s="165" t="str" cm="1">
        <f t="array" ref="D174">Common_InputFunctions.Utility_DisplayArrayInTable(Scope3_SourceData.Scope3_InorganicFertilisers_Data(), Table_SourceData_Scope3_InorganicFertiliser[[#Headers],[Category]], 0, 2)</f>
        <v>Inorganic fertilisers</v>
      </c>
      <c r="E174" s="165" t="str" cm="1">
        <f t="array" ref="E174">Common_InputFunctions.Utility_DisplayArrayInTable(Scope3_SourceData.Scope3_InorganicFertilisers_Data(), Table_SourceData_Scope3_InorganicFertiliser[[#Headers],[Category]], 0, 2)</f>
        <v>Ammonia, AU market mix</v>
      </c>
      <c r="F174" s="165" t="str" cm="1">
        <f t="array" ref="F174">Common_InputFunctions.Utility_DisplayArrayInTable(Scope3_SourceData.Scope3_InorganicFertilisers_Data(), Table_SourceData_Scope3_InorganicFertiliser[[#Headers],[Category]], 0, 2)</f>
        <v>Global</v>
      </c>
      <c r="G174" s="165" t="str">
        <f>'Constants - Fertiliser'!$D$37</f>
        <v>Ammonia</v>
      </c>
      <c r="H174" s="165"/>
      <c r="I174" s="165" t="str">
        <f>'Constants - Fertiliser'!$V$20</f>
        <v>Global</v>
      </c>
      <c r="J174" s="165"/>
      <c r="K174" s="165" t="str" cm="1">
        <f t="array" ref="K174">Common_InputFunctions.Utility_DisplayArrayInTable(Scope3_SourceData.Scope3_InorganicFertilisers_Data(), Table_SourceData_Scope3_InorganicFertiliser[[#Headers],[Category]], 0, -2)</f>
        <v>kg</v>
      </c>
      <c r="L174" s="165" cm="1">
        <f t="array" ref="L174">Common_InputFunctions.Utility_DisplayArrayInTable(Scope3_SourceData.Scope3_InorganicFertilisers_Data(), Table_SourceData_Scope3_InorganicFertiliser[[#Headers],[Category]], 0, -2)</f>
        <v>2.3199999999999998</v>
      </c>
      <c r="M174" s="165"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65" t="str" cm="1">
        <f t="array" ref="D175">Common_InputFunctions.Utility_DisplayArrayInTable(Scope3_SourceData.Scope3_InorganicFertilisers_Data(), Table_SourceData_Scope3_InorganicFertiliser[[#Headers],[Category]], 0, 2)</f>
        <v>Inorganic fertilisers</v>
      </c>
      <c r="E175" s="165" t="str" cm="1">
        <f t="array" ref="E175">Common_InputFunctions.Utility_DisplayArrayInTable(Scope3_SourceData.Scope3_InorganicFertilisers_Data(), Table_SourceData_Scope3_InorganicFertiliser[[#Headers],[Category]], 0, 2)</f>
        <v>Ammonia, Canada</v>
      </c>
      <c r="F175" s="165" t="str" cm="1">
        <f t="array" ref="F175">Common_InputFunctions.Utility_DisplayArrayInTable(Scope3_SourceData.Scope3_InorganicFertilisers_Data(), Table_SourceData_Scope3_InorganicFertiliser[[#Headers],[Category]], 0, 2)</f>
        <v>Canada</v>
      </c>
      <c r="G175" s="165" t="str">
        <f>'Constants - Fertiliser'!$D$37</f>
        <v>Ammonia</v>
      </c>
      <c r="H175" s="165"/>
      <c r="I175" s="165" t="str">
        <f>'Constants - Fertiliser'!$V$21</f>
        <v>Canada</v>
      </c>
      <c r="J175" s="165"/>
      <c r="K175" s="165" t="str" cm="1">
        <f t="array" ref="K175">Common_InputFunctions.Utility_DisplayArrayInTable(Scope3_SourceData.Scope3_InorganicFertilisers_Data(), Table_SourceData_Scope3_InorganicFertiliser[[#Headers],[Category]], 0, -2)</f>
        <v>kg</v>
      </c>
      <c r="L175" s="165" cm="1">
        <f t="array" ref="L175">Common_InputFunctions.Utility_DisplayArrayInTable(Scope3_SourceData.Scope3_InorganicFertilisers_Data(), Table_SourceData_Scope3_InorganicFertiliser[[#Headers],[Category]], 0, -2)</f>
        <v>2.12</v>
      </c>
      <c r="M175" s="165"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65" t="str" cm="1">
        <f t="array" ref="D176">Common_InputFunctions.Utility_DisplayArrayInTable(Scope3_SourceData.Scope3_InorganicFertilisers_Data(), Table_SourceData_Scope3_InorganicFertiliser[[#Headers],[Category]], 0, 2)</f>
        <v>Inorganic fertilisers</v>
      </c>
      <c r="E176" s="165" t="str" cm="1">
        <f t="array" ref="E176">Common_InputFunctions.Utility_DisplayArrayInTable(Scope3_SourceData.Scope3_InorganicFertilisers_Data(), Table_SourceData_Scope3_InorganicFertiliser[[#Headers],[Category]], 0, 2)</f>
        <v>Ammonia, China</v>
      </c>
      <c r="F176" s="165" t="str" cm="1">
        <f t="array" ref="F176">Common_InputFunctions.Utility_DisplayArrayInTable(Scope3_SourceData.Scope3_InorganicFertilisers_Data(), Table_SourceData_Scope3_InorganicFertiliser[[#Headers],[Category]], 0, 2)</f>
        <v>China</v>
      </c>
      <c r="G176" s="165" t="str">
        <f>'Constants - Fertiliser'!$D$37</f>
        <v>Ammonia</v>
      </c>
      <c r="H176" s="165"/>
      <c r="I176" s="165" t="str">
        <f>'Constants - Fertiliser'!$V$22</f>
        <v>China</v>
      </c>
      <c r="J176" s="165"/>
      <c r="K176" s="165" t="str" cm="1">
        <f t="array" ref="K176">Common_InputFunctions.Utility_DisplayArrayInTable(Scope3_SourceData.Scope3_InorganicFertilisers_Data(), Table_SourceData_Scope3_InorganicFertiliser[[#Headers],[Category]], 0, -2)</f>
        <v>kg</v>
      </c>
      <c r="L176" s="165" cm="1">
        <f t="array" ref="L176">Common_InputFunctions.Utility_DisplayArrayInTable(Scope3_SourceData.Scope3_InorganicFertilisers_Data(), Table_SourceData_Scope3_InorganicFertiliser[[#Headers],[Category]], 0, -2)</f>
        <v>4.17</v>
      </c>
      <c r="M176" s="165"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65" t="str" cm="1">
        <f t="array" ref="D177">Common_InputFunctions.Utility_DisplayArrayInTable(Scope3_SourceData.Scope3_InorganicFertilisers_Data(), Table_SourceData_Scope3_InorganicFertiliser[[#Headers],[Category]], 0, 2)</f>
        <v>Inorganic fertilisers</v>
      </c>
      <c r="E177" s="165" t="str" cm="1">
        <f t="array" ref="E177">Common_InputFunctions.Utility_DisplayArrayInTable(Scope3_SourceData.Scope3_InorganicFertilisers_Data(), Table_SourceData_Scope3_InorganicFertiliser[[#Headers],[Category]], 0, 2)</f>
        <v>Ammonia, Yemen</v>
      </c>
      <c r="F177" s="165" t="str" cm="1">
        <f t="array" ref="F177">Common_InputFunctions.Utility_DisplayArrayInTable(Scope3_SourceData.Scope3_InorganicFertilisers_Data(), Table_SourceData_Scope3_InorganicFertiliser[[#Headers],[Category]], 0, 2)</f>
        <v>Yemen</v>
      </c>
      <c r="G177" s="165" t="str">
        <f>'Constants - Fertiliser'!$D$37</f>
        <v>Ammonia</v>
      </c>
      <c r="H177" s="165"/>
      <c r="I177" s="165" t="str">
        <f>'Constants - Fertiliser'!$V$23</f>
        <v>Yemen</v>
      </c>
      <c r="J177" s="165"/>
      <c r="K177" s="165" t="str" cm="1">
        <f t="array" ref="K177">Common_InputFunctions.Utility_DisplayArrayInTable(Scope3_SourceData.Scope3_InorganicFertilisers_Data(), Table_SourceData_Scope3_InorganicFertiliser[[#Headers],[Category]], 0, -2)</f>
        <v>kg</v>
      </c>
      <c r="L177" s="165" cm="1">
        <f t="array" ref="L177">Common_InputFunctions.Utility_DisplayArrayInTable(Scope3_SourceData.Scope3_InorganicFertilisers_Data(), Table_SourceData_Scope3_InorganicFertiliser[[#Headers],[Category]], 0, -2)</f>
        <v>2.2599999999999998</v>
      </c>
      <c r="M177" s="165"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65" t="str" cm="1">
        <f t="array" ref="D178">Common_InputFunctions.Utility_DisplayArrayInTable(Scope3_SourceData.Scope3_InorganicFertilisers_Data(), Table_SourceData_Scope3_InorganicFertiliser[[#Headers],[Category]], 0, 2)</f>
        <v>Inorganic fertilisers</v>
      </c>
      <c r="E178" s="165" t="str" cm="1">
        <f t="array" ref="E178">Common_InputFunctions.Utility_DisplayArrayInTable(Scope3_SourceData.Scope3_InorganicFertilisers_Data(), Table_SourceData_Scope3_InorganicFertiliser[[#Headers],[Category]], 0, 2)</f>
        <v>Ammonium nitrate, AU market mix</v>
      </c>
      <c r="F178" s="165" t="str" cm="1">
        <f t="array" ref="F178">Common_InputFunctions.Utility_DisplayArrayInTable(Scope3_SourceData.Scope3_InorganicFertilisers_Data(), Table_SourceData_Scope3_InorganicFertiliser[[#Headers],[Category]], 0, 2)</f>
        <v>Global</v>
      </c>
      <c r="G178" s="165" t="str">
        <f>'Constants - Fertiliser'!$D$25</f>
        <v>Ammonium nitrate (AN)</v>
      </c>
      <c r="H178" s="165"/>
      <c r="I178" s="165"/>
      <c r="J178" s="165"/>
      <c r="K178" s="165" t="str" cm="1">
        <f t="array" ref="K178">Common_InputFunctions.Utility_DisplayArrayInTable(Scope3_SourceData.Scope3_InorganicFertilisers_Data(), Table_SourceData_Scope3_InorganicFertiliser[[#Headers],[Category]], 0, -2)</f>
        <v>kg</v>
      </c>
      <c r="L178" s="165" cm="1">
        <f t="array" ref="L178">Common_InputFunctions.Utility_DisplayArrayInTable(Scope3_SourceData.Scope3_InorganicFertilisers_Data(), Table_SourceData_Scope3_InorganicFertiliser[[#Headers],[Category]], 0, -2)</f>
        <v>2.21</v>
      </c>
      <c r="M178" s="165"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65" t="str" cm="1">
        <f t="array" ref="D179">Common_InputFunctions.Utility_DisplayArrayInTable(Scope3_SourceData.Scope3_InorganicFertilisers_Data(), Table_SourceData_Scope3_InorganicFertiliser[[#Headers],[Category]], 0, 2)</f>
        <v>Inorganic fertilisers</v>
      </c>
      <c r="E179" s="165" t="str" cm="1">
        <f t="array" ref="E179">Common_InputFunctions.Utility_DisplayArrayInTable(Scope3_SourceData.Scope3_InorganicFertilisers_Data(), Table_SourceData_Scope3_InorganicFertiliser[[#Headers],[Category]], 0, 2)</f>
        <v>Calcium ammonium nitrate, AU market mix</v>
      </c>
      <c r="F179" s="165" t="str" cm="1">
        <f t="array" ref="F179">Common_InputFunctions.Utility_DisplayArrayInTable(Scope3_SourceData.Scope3_InorganicFertilisers_Data(), Table_SourceData_Scope3_InorganicFertiliser[[#Headers],[Category]], 0, 2)</f>
        <v>Global</v>
      </c>
      <c r="G179" s="165" t="str">
        <f>'Constants - Fertiliser'!$D$26</f>
        <v>Calcium ammonium nitrate (CAN)</v>
      </c>
      <c r="H179" s="165"/>
      <c r="I179" s="165"/>
      <c r="J179" s="165"/>
      <c r="K179" s="165" t="str" cm="1">
        <f t="array" ref="K179">Common_InputFunctions.Utility_DisplayArrayInTable(Scope3_SourceData.Scope3_InorganicFertilisers_Data(), Table_SourceData_Scope3_InorganicFertiliser[[#Headers],[Category]], 0, -2)</f>
        <v>kg</v>
      </c>
      <c r="L179" s="165" cm="1">
        <f t="array" ref="L179">Common_InputFunctions.Utility_DisplayArrayInTable(Scope3_SourceData.Scope3_InorganicFertilisers_Data(), Table_SourceData_Scope3_InorganicFertiliser[[#Headers],[Category]], 0, -2)</f>
        <v>1.1499999999999999</v>
      </c>
      <c r="M179" s="165"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65" t="str" cm="1">
        <f t="array" ref="D180">Common_InputFunctions.Utility_DisplayArrayInTable(Scope3_SourceData.Scope3_InorganicFertilisers_Data(), Table_SourceData_Scope3_InorganicFertiliser[[#Headers],[Category]], 0, 2)</f>
        <v>Inorganic fertilisers</v>
      </c>
      <c r="E180" s="165" t="str" cm="1">
        <f t="array" ref="E180">Common_InputFunctions.Utility_DisplayArrayInTable(Scope3_SourceData.Scope3_InorganicFertilisers_Data(), Table_SourceData_Scope3_InorganicFertiliser[[#Headers],[Category]], 0, 2)</f>
        <v>Calcium nitrate</v>
      </c>
      <c r="F180" s="165" t="str" cm="1">
        <f t="array" ref="F180">Common_InputFunctions.Utility_DisplayArrayInTable(Scope3_SourceData.Scope3_InorganicFertilisers_Data(), Table_SourceData_Scope3_InorganicFertiliser[[#Headers],[Category]], 0, 2)</f>
        <v>Global</v>
      </c>
      <c r="G180" s="165" t="str">
        <f>'Constants - Fertiliser'!$D$38</f>
        <v>Calcium nitrate</v>
      </c>
      <c r="H180" s="165"/>
      <c r="I180" s="165"/>
      <c r="J180" s="165"/>
      <c r="K180" s="165" t="str" cm="1">
        <f t="array" ref="K180">Common_InputFunctions.Utility_DisplayArrayInTable(Scope3_SourceData.Scope3_InorganicFertilisers_Data(), Table_SourceData_Scope3_InorganicFertiliser[[#Headers],[Category]], 0, -2)</f>
        <v>kg</v>
      </c>
      <c r="L180" s="165" cm="1">
        <f t="array" ref="L180">Common_InputFunctions.Utility_DisplayArrayInTable(Scope3_SourceData.Scope3_InorganicFertilisers_Data(), Table_SourceData_Scope3_InorganicFertiliser[[#Headers],[Category]], 0, -2)</f>
        <v>0.75</v>
      </c>
      <c r="M180" s="165"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65" t="str" cm="1">
        <f t="array" ref="D181">Common_InputFunctions.Utility_DisplayArrayInTable(Scope3_SourceData.Scope3_InorganicFertilisers_Data(), Table_SourceData_Scope3_InorganicFertiliser[[#Headers],[Category]], 0, 2)</f>
        <v>Inorganic fertilisers</v>
      </c>
      <c r="E181" s="165" t="str" cm="1">
        <f t="array" ref="E181">Common_InputFunctions.Utility_DisplayArrayInTable(Scope3_SourceData.Scope3_InorganicFertilisers_Data(), Table_SourceData_Scope3_InorganicFertiliser[[#Headers],[Category]], 0, 2)</f>
        <v>Diammonium phosphate, AU market mix</v>
      </c>
      <c r="F181" s="165" t="str" cm="1">
        <f t="array" ref="F181">Common_InputFunctions.Utility_DisplayArrayInTable(Scope3_SourceData.Scope3_InorganicFertilisers_Data(), Table_SourceData_Scope3_InorganicFertiliser[[#Headers],[Category]], 0, 2)</f>
        <v>Global</v>
      </c>
      <c r="G181" s="165" t="str">
        <f>'Constants - Fertiliser'!$D$21</f>
        <v>Diammonium phosphate (DAP)</v>
      </c>
      <c r="H181" s="165"/>
      <c r="I181" s="165"/>
      <c r="J181" s="165"/>
      <c r="K181" s="165" t="str" cm="1">
        <f t="array" ref="K181">Common_InputFunctions.Utility_DisplayArrayInTable(Scope3_SourceData.Scope3_InorganicFertilisers_Data(), Table_SourceData_Scope3_InorganicFertiliser[[#Headers],[Category]], 0, -2)</f>
        <v>kg</v>
      </c>
      <c r="L181" s="165" cm="1">
        <f t="array" ref="L181">Common_InputFunctions.Utility_DisplayArrayInTable(Scope3_SourceData.Scope3_InorganicFertilisers_Data(), Table_SourceData_Scope3_InorganicFertiliser[[#Headers],[Category]], 0, -2)</f>
        <v>1.34</v>
      </c>
      <c r="M181" s="165"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65" t="str" cm="1">
        <f t="array" ref="D182">Common_InputFunctions.Utility_DisplayArrayInTable(Scope3_SourceData.Scope3_InorganicFertilisers_Data(), Table_SourceData_Scope3_InorganicFertiliser[[#Headers],[Category]], 0, 2)</f>
        <v>Inorganic fertilisers</v>
      </c>
      <c r="E182" s="165" t="str" cm="1">
        <f t="array" ref="E182">Common_InputFunctions.Utility_DisplayArrayInTable(Scope3_SourceData.Scope3_InorganicFertilisers_Data(), Table_SourceData_Scope3_InorganicFertiliser[[#Headers],[Category]], 0, 2)</f>
        <v>Double superphosphate, AU market mix</v>
      </c>
      <c r="F182" s="165" t="str" cm="1">
        <f t="array" ref="F182">Common_InputFunctions.Utility_DisplayArrayInTable(Scope3_SourceData.Scope3_InorganicFertilisers_Data(), Table_SourceData_Scope3_InorganicFertiliser[[#Headers],[Category]], 0, 2)</f>
        <v>Global</v>
      </c>
      <c r="G182" s="165" t="str">
        <f>'Constants - Fertiliser'!$D$35</f>
        <v>Double superphosphate</v>
      </c>
      <c r="H182" s="165"/>
      <c r="I182" s="165"/>
      <c r="J182" s="165"/>
      <c r="K182" s="165" t="str" cm="1">
        <f t="array" ref="K182">Common_InputFunctions.Utility_DisplayArrayInTable(Scope3_SourceData.Scope3_InorganicFertilisers_Data(), Table_SourceData_Scope3_InorganicFertiliser[[#Headers],[Category]], 0, -2)</f>
        <v>kg</v>
      </c>
      <c r="L182" s="165" cm="1">
        <f t="array" ref="L182">Common_InputFunctions.Utility_DisplayArrayInTable(Scope3_SourceData.Scope3_InorganicFertilisers_Data(), Table_SourceData_Scope3_InorganicFertiliser[[#Headers],[Category]], 0, -2)</f>
        <v>0.39200000000000002</v>
      </c>
      <c r="M182" s="165"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65" t="str" cm="1">
        <f t="array" ref="D183">Common_InputFunctions.Utility_DisplayArrayInTable(Scope3_SourceData.Scope3_InorganicFertilisers_Data(), Table_SourceData_Scope3_InorganicFertiliser[[#Headers],[Category]], 0, 2)</f>
        <v>Inorganic fertilisers</v>
      </c>
      <c r="E183" s="165" t="str" cm="1">
        <f t="array" ref="E183">Common_InputFunctions.Utility_DisplayArrayInTable(Scope3_SourceData.Scope3_InorganicFertilisers_Data(), Table_SourceData_Scope3_InorganicFertiliser[[#Headers],[Category]], 0, 2)</f>
        <v>Monoammonium phosphate, AU market mix</v>
      </c>
      <c r="F183" s="165" t="str" cm="1">
        <f t="array" ref="F183">Common_InputFunctions.Utility_DisplayArrayInTable(Scope3_SourceData.Scope3_InorganicFertilisers_Data(), Table_SourceData_Scope3_InorganicFertiliser[[#Headers],[Category]], 0, 2)</f>
        <v>Global</v>
      </c>
      <c r="G183" s="165" t="str">
        <f>'Constants - Fertiliser'!$D$20</f>
        <v>Monoammonium phosphate (MAP)</v>
      </c>
      <c r="H183" s="165"/>
      <c r="I183" s="165"/>
      <c r="J183" s="165"/>
      <c r="K183" s="165" t="str" cm="1">
        <f t="array" ref="K183">Common_InputFunctions.Utility_DisplayArrayInTable(Scope3_SourceData.Scope3_InorganicFertilisers_Data(), Table_SourceData_Scope3_InorganicFertiliser[[#Headers],[Category]], 0, -2)</f>
        <v>kg</v>
      </c>
      <c r="L183" s="165" cm="1">
        <f t="array" ref="L183">Common_InputFunctions.Utility_DisplayArrayInTable(Scope3_SourceData.Scope3_InorganicFertilisers_Data(), Table_SourceData_Scope3_InorganicFertiliser[[#Headers],[Category]], 0, -2)</f>
        <v>0.82699999999999996</v>
      </c>
      <c r="M183" s="165"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65" t="str" cm="1">
        <f t="array" ref="D184">Common_InputFunctions.Utility_DisplayArrayInTable(Scope3_SourceData.Scope3_InorganicFertilisers_Data(), Table_SourceData_Scope3_InorganicFertiliser[[#Headers],[Category]], 0, 2)</f>
        <v>Inorganic fertilisers</v>
      </c>
      <c r="E184" s="165" t="str" cm="1">
        <f t="array" ref="E184">Common_InputFunctions.Utility_DisplayArrayInTable(Scope3_SourceData.Scope3_InorganicFertilisers_Data(), Table_SourceData_Scope3_InorganicFertiliser[[#Headers],[Category]], 0, 2)</f>
        <v>Muriate of potash, AU market mix</v>
      </c>
      <c r="F184" s="165" t="str" cm="1">
        <f t="array" ref="F184">Common_InputFunctions.Utility_DisplayArrayInTable(Scope3_SourceData.Scope3_InorganicFertilisers_Data(), Table_SourceData_Scope3_InorganicFertiliser[[#Headers],[Category]], 0, 2)</f>
        <v>Global</v>
      </c>
      <c r="G184" s="165" t="str">
        <f>'Constants - Fertiliser'!$D$34</f>
        <v>Muriate of potash (MOP)</v>
      </c>
      <c r="H184" s="165"/>
      <c r="I184" s="165"/>
      <c r="J184" s="165"/>
      <c r="K184" s="165" t="str" cm="1">
        <f t="array" ref="K184">Common_InputFunctions.Utility_DisplayArrayInTable(Scope3_SourceData.Scope3_InorganicFertilisers_Data(), Table_SourceData_Scope3_InorganicFertiliser[[#Headers],[Category]], 0, -2)</f>
        <v>kg</v>
      </c>
      <c r="L184" s="165" cm="1">
        <f t="array" ref="L184">Common_InputFunctions.Utility_DisplayArrayInTable(Scope3_SourceData.Scope3_InorganicFertilisers_Data(), Table_SourceData_Scope3_InorganicFertiliser[[#Headers],[Category]], 0, -2)</f>
        <v>0.54900000000000004</v>
      </c>
      <c r="M184" s="165"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65" t="str" cm="1">
        <f t="array" ref="D185">Common_InputFunctions.Utility_DisplayArrayInTable(Scope3_SourceData.Scope3_InorganicFertilisers_Data(), Table_SourceData_Scope3_InorganicFertiliser[[#Headers],[Category]], 0, 2)</f>
        <v>Inorganic fertilisers</v>
      </c>
      <c r="E185" s="165" t="str" cm="1">
        <f t="array" ref="E185">Common_InputFunctions.Utility_DisplayArrayInTable(Scope3_SourceData.Scope3_InorganicFertilisers_Data(), Table_SourceData_Scope3_InorganicFertiliser[[#Headers],[Category]], 0, 2)</f>
        <v>Nitrogen from ammonia, AU market mix</v>
      </c>
      <c r="F185" s="165" t="str" cm="1">
        <f t="array" ref="F185">Common_InputFunctions.Utility_DisplayArrayInTable(Scope3_SourceData.Scope3_InorganicFertilisers_Data(), Table_SourceData_Scope3_InorganicFertiliser[[#Headers],[Category]], 0, 2)</f>
        <v>Global</v>
      </c>
      <c r="G185" s="165" t="str">
        <f>'Constants - Fertiliser'!$D$27</f>
        <v>Nitrogen - Ammoniacal</v>
      </c>
      <c r="H185" s="165"/>
      <c r="I185" s="165"/>
      <c r="J185" s="165"/>
      <c r="K185" s="165" t="str" cm="1">
        <f t="array" ref="K185">Common_InputFunctions.Utility_DisplayArrayInTable(Scope3_SourceData.Scope3_InorganicFertilisers_Data(), Table_SourceData_Scope3_InorganicFertiliser[[#Headers],[Category]], 0, -2)</f>
        <v>kg N</v>
      </c>
      <c r="L185" s="165" cm="1">
        <f t="array" ref="L185">Common_InputFunctions.Utility_DisplayArrayInTable(Scope3_SourceData.Scope3_InorganicFertilisers_Data(), Table_SourceData_Scope3_InorganicFertiliser[[#Headers],[Category]], 0, -2)</f>
        <v>2.83</v>
      </c>
      <c r="M185" s="165" t="str" cm="1">
        <f t="array" ref="M185">Common_InputFunctions.Utility_DisplayArrayInTable(Scope3_SourceData.Scope3_InorganicFertilisers_Data(), Table_SourceData_Scope3_InorganicFertiliser[[#Headers],[Category]], 0, -2)</f>
        <v>at market</v>
      </c>
      <c r="N185" s="165"/>
      <c r="O185" s="165"/>
      <c r="P185" s="165"/>
    </row>
    <row r="186" spans="4:16" ht="20.100000000000001" customHeight="1" x14ac:dyDescent="0.25">
      <c r="D186" s="165" t="str" cm="1">
        <f t="array" ref="D186">Common_InputFunctions.Utility_DisplayArrayInTable(Scope3_SourceData.Scope3_InorganicFertilisers_Data(), Table_SourceData_Scope3_InorganicFertiliser[[#Headers],[Category]], 0, 2)</f>
        <v>Inorganic fertilisers</v>
      </c>
      <c r="E186" s="165" t="str" cm="1">
        <f t="array" ref="E186">Common_InputFunctions.Utility_DisplayArrayInTable(Scope3_SourceData.Scope3_InorganicFertilisers_Data(), Table_SourceData_Scope3_InorganicFertiliser[[#Headers],[Category]], 0, 2)</f>
        <v>Nitrogen from fertilizer, AU market mix</v>
      </c>
      <c r="F186" s="165" t="str" cm="1">
        <f t="array" ref="F186">Common_InputFunctions.Utility_DisplayArrayInTable(Scope3_SourceData.Scope3_InorganicFertilisers_Data(), Table_SourceData_Scope3_InorganicFertiliser[[#Headers],[Category]], 0, 2)</f>
        <v>Global</v>
      </c>
      <c r="G186" s="165" t="str">
        <f>'Constants - Fertiliser'!$D$29</f>
        <v>Nitrogen - Generic</v>
      </c>
      <c r="H186" s="165"/>
      <c r="I186" s="165"/>
      <c r="J186" s="165"/>
      <c r="K186" s="165" t="str" cm="1">
        <f t="array" ref="K186">Common_InputFunctions.Utility_DisplayArrayInTable(Scope3_SourceData.Scope3_InorganicFertilisers_Data(), Table_SourceData_Scope3_InorganicFertiliser[[#Headers],[Category]], 0, -2)</f>
        <v>kg N</v>
      </c>
      <c r="L186" s="165" cm="1">
        <f t="array" ref="L186">Common_InputFunctions.Utility_DisplayArrayInTable(Scope3_SourceData.Scope3_InorganicFertilisers_Data(), Table_SourceData_Scope3_InorganicFertiliser[[#Headers],[Category]], 0, -2)</f>
        <v>4.2</v>
      </c>
      <c r="M186" s="165" t="str" cm="1">
        <f t="array" ref="M186">Common_InputFunctions.Utility_DisplayArrayInTable(Scope3_SourceData.Scope3_InorganicFertilisers_Data(), Table_SourceData_Scope3_InorganicFertiliser[[#Headers],[Category]], 0, -2)</f>
        <v>at market</v>
      </c>
      <c r="N186" s="165"/>
      <c r="O186" s="165"/>
      <c r="P186" s="165"/>
    </row>
    <row r="187" spans="4:16" ht="20.100000000000001" customHeight="1" x14ac:dyDescent="0.25">
      <c r="D187" s="165" t="str" cm="1">
        <f t="array" ref="D187">Common_InputFunctions.Utility_DisplayArrayInTable(Scope3_SourceData.Scope3_InorganicFertilisers_Data(), Table_SourceData_Scope3_InorganicFertiliser[[#Headers],[Category]], 0, 2)</f>
        <v>Inorganic fertilisers</v>
      </c>
      <c r="E187" s="165" t="str" cm="1">
        <f t="array" ref="E187">Common_InputFunctions.Utility_DisplayArrayInTable(Scope3_SourceData.Scope3_InorganicFertilisers_Data(), Table_SourceData_Scope3_InorganicFertiliser[[#Headers],[Category]], 0, 2)</f>
        <v>Nitrogen from nitrate fertilizer, AU market mix</v>
      </c>
      <c r="F187" s="165" t="str" cm="1">
        <f t="array" ref="F187">Common_InputFunctions.Utility_DisplayArrayInTable(Scope3_SourceData.Scope3_InorganicFertilisers_Data(), Table_SourceData_Scope3_InorganicFertiliser[[#Headers],[Category]], 0, 2)</f>
        <v>Global</v>
      </c>
      <c r="G187" s="165" t="str">
        <f>'Constants - Fertiliser'!$D$28</f>
        <v>Nitrogen - Nitrate</v>
      </c>
      <c r="H187" s="165"/>
      <c r="I187" s="165"/>
      <c r="J187" s="165"/>
      <c r="K187" s="165" t="str" cm="1">
        <f t="array" ref="K187">Common_InputFunctions.Utility_DisplayArrayInTable(Scope3_SourceData.Scope3_InorganicFertilisers_Data(), Table_SourceData_Scope3_InorganicFertiliser[[#Headers],[Category]], 0, -2)</f>
        <v>kg N</v>
      </c>
      <c r="L187" s="165" cm="1">
        <f t="array" ref="L187">Common_InputFunctions.Utility_DisplayArrayInTable(Scope3_SourceData.Scope3_InorganicFertilisers_Data(), Table_SourceData_Scope3_InorganicFertiliser[[#Headers],[Category]], 0, -2)</f>
        <v>5.47</v>
      </c>
      <c r="M187" s="165" t="str" cm="1">
        <f t="array" ref="M187">Common_InputFunctions.Utility_DisplayArrayInTable(Scope3_SourceData.Scope3_InorganicFertilisers_Data(), Table_SourceData_Scope3_InorganicFertiliser[[#Headers],[Category]], 0, -2)</f>
        <v>at market</v>
      </c>
      <c r="N187" s="165"/>
      <c r="O187" s="165"/>
      <c r="P187" s="165"/>
    </row>
    <row r="188" spans="4:16" ht="20.100000000000001" customHeight="1" x14ac:dyDescent="0.25">
      <c r="D188" s="165" t="str" cm="1">
        <f t="array" ref="D188">Common_InputFunctions.Utility_DisplayArrayInTable(Scope3_SourceData.Scope3_InorganicFertilisers_Data(), Table_SourceData_Scope3_InorganicFertiliser[[#Headers],[Category]], 0, 2)</f>
        <v>Inorganic fertilisers</v>
      </c>
      <c r="E188" s="165" t="str" cm="1">
        <f t="array" ref="E188">Common_InputFunctions.Utility_DisplayArrayInTable(Scope3_SourceData.Scope3_InorganicFertilisers_Data(), Table_SourceData_Scope3_InorganicFertiliser[[#Headers],[Category]], 0, 2)</f>
        <v>Phosphorus from fertilizer, AU market mix</v>
      </c>
      <c r="F188" s="165" t="str" cm="1">
        <f t="array" ref="F188">Common_InputFunctions.Utility_DisplayArrayInTable(Scope3_SourceData.Scope3_InorganicFertilisers_Data(), Table_SourceData_Scope3_InorganicFertiliser[[#Headers],[Category]], 0, 2)</f>
        <v>Global</v>
      </c>
      <c r="G188" s="165" t="str">
        <f>'Constants - Fertiliser'!$D$30</f>
        <v>Phosphorus - Generic</v>
      </c>
      <c r="H188" s="165"/>
      <c r="I188" s="165"/>
      <c r="J188" s="165"/>
      <c r="K188" s="165" t="str" cm="1">
        <f t="array" ref="K188">Common_InputFunctions.Utility_DisplayArrayInTable(Scope3_SourceData.Scope3_InorganicFertilisers_Data(), Table_SourceData_Scope3_InorganicFertiliser[[#Headers],[Category]], 0, -2)</f>
        <v>kg P</v>
      </c>
      <c r="L188" s="165" cm="1">
        <f t="array" ref="L188">Common_InputFunctions.Utility_DisplayArrayInTable(Scope3_SourceData.Scope3_InorganicFertilisers_Data(), Table_SourceData_Scope3_InorganicFertiliser[[#Headers],[Category]], 0, -2)</f>
        <v>3.96</v>
      </c>
      <c r="M188" s="165" t="str" cm="1">
        <f t="array" ref="M188">Common_InputFunctions.Utility_DisplayArrayInTable(Scope3_SourceData.Scope3_InorganicFertilisers_Data(), Table_SourceData_Scope3_InorganicFertiliser[[#Headers],[Category]], 0, -2)</f>
        <v>at market</v>
      </c>
      <c r="N188" s="165"/>
      <c r="O188" s="165"/>
      <c r="P188" s="165"/>
    </row>
    <row r="189" spans="4:16" ht="20.100000000000001" customHeight="1" x14ac:dyDescent="0.25">
      <c r="D189" s="165" t="str" cm="1">
        <f t="array" ref="D189">Common_InputFunctions.Utility_DisplayArrayInTable(Scope3_SourceData.Scope3_InorganicFertilisers_Data(), Table_SourceData_Scope3_InorganicFertiliser[[#Headers],[Category]], 0, 2)</f>
        <v>Inorganic fertilisers</v>
      </c>
      <c r="E189" s="165" t="str" cm="1">
        <f t="array" ref="E189">Common_InputFunctions.Utility_DisplayArrayInTable(Scope3_SourceData.Scope3_InorganicFertilisers_Data(), Table_SourceData_Scope3_InorganicFertiliser[[#Headers],[Category]], 0, 2)</f>
        <v>Potassium from fertilizer, AU market mix</v>
      </c>
      <c r="F189" s="165" t="str" cm="1">
        <f t="array" ref="F189">Common_InputFunctions.Utility_DisplayArrayInTable(Scope3_SourceData.Scope3_InorganicFertilisers_Data(), Table_SourceData_Scope3_InorganicFertiliser[[#Headers],[Category]], 0, 2)</f>
        <v>Global</v>
      </c>
      <c r="G189" s="165" t="str">
        <f>'Constants - Fertiliser'!$D$31</f>
        <v>Potassium - Generic</v>
      </c>
      <c r="H189" s="165"/>
      <c r="I189" s="165"/>
      <c r="J189" s="165"/>
      <c r="K189" s="165" t="str" cm="1">
        <f t="array" ref="K189">Common_InputFunctions.Utility_DisplayArrayInTable(Scope3_SourceData.Scope3_InorganicFertilisers_Data(), Table_SourceData_Scope3_InorganicFertiliser[[#Headers],[Category]], 0, -2)</f>
        <v>kg K</v>
      </c>
      <c r="L189" s="165" cm="1">
        <f t="array" ref="L189">Common_InputFunctions.Utility_DisplayArrayInTable(Scope3_SourceData.Scope3_InorganicFertilisers_Data(), Table_SourceData_Scope3_InorganicFertiliser[[#Headers],[Category]], 0, -2)</f>
        <v>0.90900000000000003</v>
      </c>
      <c r="M189" s="165" t="str" cm="1">
        <f t="array" ref="M189">Common_InputFunctions.Utility_DisplayArrayInTable(Scope3_SourceData.Scope3_InorganicFertilisers_Data(), Table_SourceData_Scope3_InorganicFertiliser[[#Headers],[Category]], 0, -2)</f>
        <v>at market</v>
      </c>
      <c r="N189" s="165"/>
      <c r="O189" s="165"/>
      <c r="P189" s="165"/>
    </row>
    <row r="190" spans="4:16" ht="20.100000000000001" customHeight="1" x14ac:dyDescent="0.25">
      <c r="D190" s="165" t="str" cm="1">
        <f t="array" ref="D190">Common_InputFunctions.Utility_DisplayArrayInTable(Scope3_SourceData.Scope3_InorganicFertilisers_Data(), Table_SourceData_Scope3_InorganicFertiliser[[#Headers],[Category]], 0, 2)</f>
        <v>Inorganic fertilisers</v>
      </c>
      <c r="E190" s="165" t="str" cm="1">
        <f t="array" ref="E190">Common_InputFunctions.Utility_DisplayArrayInTable(Scope3_SourceData.Scope3_InorganicFertilisers_Data(), Table_SourceData_Scope3_InorganicFertiliser[[#Headers],[Category]], 0, 2)</f>
        <v>Single superphosphate, AU market mix</v>
      </c>
      <c r="F190" s="165" t="str" cm="1">
        <f t="array" ref="F190">Common_InputFunctions.Utility_DisplayArrayInTable(Scope3_SourceData.Scope3_InorganicFertilisers_Data(), Table_SourceData_Scope3_InorganicFertiliser[[#Headers],[Category]], 0, 2)</f>
        <v>Global</v>
      </c>
      <c r="G190" s="165" t="str">
        <f>'Constants - Fertiliser'!$D$36</f>
        <v>Single superphosphate (SSP)</v>
      </c>
      <c r="H190" s="165"/>
      <c r="I190" s="165"/>
      <c r="J190" s="165"/>
      <c r="K190" s="165" t="str" cm="1">
        <f t="array" ref="K190">Common_InputFunctions.Utility_DisplayArrayInTable(Scope3_SourceData.Scope3_InorganicFertilisers_Data(), Table_SourceData_Scope3_InorganicFertiliser[[#Headers],[Category]], 0, -2)</f>
        <v>kg</v>
      </c>
      <c r="L190" s="165" cm="1">
        <f t="array" ref="L190">Common_InputFunctions.Utility_DisplayArrayInTable(Scope3_SourceData.Scope3_InorganicFertilisers_Data(), Table_SourceData_Scope3_InorganicFertiliser[[#Headers],[Category]], 0, -2)</f>
        <v>0.22700000000000001</v>
      </c>
      <c r="M190" s="165" t="str" cm="1">
        <f t="array" ref="M190">Common_InputFunctions.Utility_DisplayArrayInTable(Scope3_SourceData.Scope3_InorganicFertilisers_Data(), Table_SourceData_Scope3_InorganicFertiliser[[#Headers],[Category]], 0, -2)</f>
        <v>at market</v>
      </c>
      <c r="N190" s="165"/>
      <c r="O190" s="165"/>
      <c r="P190" s="165"/>
    </row>
    <row r="191" spans="4:16" ht="20.100000000000001" customHeight="1" x14ac:dyDescent="0.25">
      <c r="D191" s="165" t="str" cm="1">
        <f t="array" ref="D191">Common_InputFunctions.Utility_DisplayArrayInTable(Scope3_SourceData.Scope3_InorganicFertilisers_Data(), Table_SourceData_Scope3_InorganicFertiliser[[#Headers],[Category]], 0, 2)</f>
        <v>Inorganic fertilisers</v>
      </c>
      <c r="E191" s="165" t="str" cm="1">
        <f t="array" ref="E191">Common_InputFunctions.Utility_DisplayArrayInTable(Scope3_SourceData.Scope3_InorganicFertilisers_Data(), Table_SourceData_Scope3_InorganicFertiliser[[#Headers],[Category]], 0, 2)</f>
        <v>Sulfur from fertilizer, AU market mix</v>
      </c>
      <c r="F191" s="165" t="str" cm="1">
        <f t="array" ref="F191">Common_InputFunctions.Utility_DisplayArrayInTable(Scope3_SourceData.Scope3_InorganicFertilisers_Data(), Table_SourceData_Scope3_InorganicFertiliser[[#Headers],[Category]], 0, 2)</f>
        <v>Global</v>
      </c>
      <c r="G191" s="165" t="str">
        <f>'Constants - Fertiliser'!$D$32</f>
        <v>Sulfur - Generic</v>
      </c>
      <c r="H191" s="165"/>
      <c r="I191" s="165"/>
      <c r="J191" s="165"/>
      <c r="K191" s="165" t="str" cm="1">
        <f t="array" ref="K191">Common_InputFunctions.Utility_DisplayArrayInTable(Scope3_SourceData.Scope3_InorganicFertilisers_Data(), Table_SourceData_Scope3_InorganicFertiliser[[#Headers],[Category]], 0, -2)</f>
        <v>kg S</v>
      </c>
      <c r="L191" s="165" cm="1">
        <f t="array" ref="L191">Common_InputFunctions.Utility_DisplayArrayInTable(Scope3_SourceData.Scope3_InorganicFertilisers_Data(), Table_SourceData_Scope3_InorganicFertiliser[[#Headers],[Category]], 0, -2)</f>
        <v>2.5</v>
      </c>
      <c r="M191" s="165" t="str" cm="1">
        <f t="array" ref="M191">Common_InputFunctions.Utility_DisplayArrayInTable(Scope3_SourceData.Scope3_InorganicFertilisers_Data(), Table_SourceData_Scope3_InorganicFertiliser[[#Headers],[Category]], 0, -2)</f>
        <v>at market</v>
      </c>
      <c r="N191" s="165"/>
      <c r="O191" s="165"/>
      <c r="P191" s="165"/>
    </row>
    <row r="192" spans="4:16" ht="20.100000000000001" customHeight="1" x14ac:dyDescent="0.25">
      <c r="D192" s="165" t="str" cm="1">
        <f t="array" ref="D192">Common_InputFunctions.Utility_DisplayArrayInTable(Scope3_SourceData.Scope3_InorganicFertilisers_Data(), Table_SourceData_Scope3_InorganicFertiliser[[#Headers],[Category]], 0, 2)</f>
        <v>Inorganic fertilisers</v>
      </c>
      <c r="E192" s="165" t="str" cm="1">
        <f t="array" ref="E192">Common_InputFunctions.Utility_DisplayArrayInTable(Scope3_SourceData.Scope3_InorganicFertilisers_Data(), Table_SourceData_Scope3_InorganicFertiliser[[#Headers],[Category]], 0, 2)</f>
        <v>Ammonium sulphate, AU market mix</v>
      </c>
      <c r="F192" s="165" t="str" cm="1">
        <f t="array" ref="F192">Common_InputFunctions.Utility_DisplayArrayInTable(Scope3_SourceData.Scope3_InorganicFertilisers_Data(), Table_SourceData_Scope3_InorganicFertiliser[[#Headers],[Category]], 0, 2)</f>
        <v>Global</v>
      </c>
      <c r="G192" s="165" t="str">
        <f>'Constants - Fertiliser'!$D$23</f>
        <v>Sulphate of ammonia (SOA)</v>
      </c>
      <c r="H192" s="165"/>
      <c r="I192" s="165"/>
      <c r="J192" s="165"/>
      <c r="K192" s="165" t="str" cm="1">
        <f t="array" ref="K192">Common_InputFunctions.Utility_DisplayArrayInTable(Scope3_SourceData.Scope3_InorganicFertilisers_Data(), Table_SourceData_Scope3_InorganicFertiliser[[#Headers],[Category]], 0, -2)</f>
        <v>kg</v>
      </c>
      <c r="L192" s="165" cm="1">
        <f t="array" ref="L192">Common_InputFunctions.Utility_DisplayArrayInTable(Scope3_SourceData.Scope3_InorganicFertilisers_Data(), Table_SourceData_Scope3_InorganicFertiliser[[#Headers],[Category]], 0, -2)</f>
        <v>0.86499999999999999</v>
      </c>
      <c r="M192" s="165" t="str" cm="1">
        <f t="array" ref="M192">Common_InputFunctions.Utility_DisplayArrayInTable(Scope3_SourceData.Scope3_InorganicFertilisers_Data(), Table_SourceData_Scope3_InorganicFertiliser[[#Headers],[Category]], 0, -2)</f>
        <v>at market</v>
      </c>
      <c r="N192" s="165"/>
      <c r="O192" s="165"/>
      <c r="P192" s="165"/>
    </row>
    <row r="193" spans="4:16" ht="20.100000000000001" customHeight="1" x14ac:dyDescent="0.25">
      <c r="D193" s="165" t="str" cm="1">
        <f t="array" ref="D193">Common_InputFunctions.Utility_DisplayArrayInTable(Scope3_SourceData.Scope3_InorganicFertilisers_Data(), Table_SourceData_Scope3_InorganicFertiliser[[#Headers],[Category]], 0, 2)</f>
        <v>Inorganic fertilisers</v>
      </c>
      <c r="E193" s="165" t="str" cm="1">
        <f t="array" ref="E193">Common_InputFunctions.Utility_DisplayArrayInTable(Scope3_SourceData.Scope3_InorganicFertilisers_Data(), Table_SourceData_Scope3_InorganicFertiliser[[#Headers],[Category]], 0, 2)</f>
        <v>Urea ammonium nitrate, AU market mix</v>
      </c>
      <c r="F193" s="165" t="str" cm="1">
        <f t="array" ref="F193">Common_InputFunctions.Utility_DisplayArrayInTable(Scope3_SourceData.Scope3_InorganicFertilisers_Data(), Table_SourceData_Scope3_InorganicFertiliser[[#Headers],[Category]], 0, 2)</f>
        <v>Global</v>
      </c>
      <c r="G193" s="165" t="str">
        <f>'Constants - Fertiliser'!$D$24</f>
        <v>Urea-ammonium nitrate (UAN)</v>
      </c>
      <c r="H193" s="165"/>
      <c r="I193" s="165"/>
      <c r="J193" s="165"/>
      <c r="K193" s="165" t="str" cm="1">
        <f t="array" ref="K193">Common_InputFunctions.Utility_DisplayArrayInTable(Scope3_SourceData.Scope3_InorganicFertilisers_Data(), Table_SourceData_Scope3_InorganicFertiliser[[#Headers],[Category]], 0, -2)</f>
        <v>kg</v>
      </c>
      <c r="L193" s="165" cm="1">
        <f t="array" ref="L193">Common_InputFunctions.Utility_DisplayArrayInTable(Scope3_SourceData.Scope3_InorganicFertilisers_Data(), Table_SourceData_Scope3_InorganicFertiliser[[#Headers],[Category]], 0, -2)</f>
        <v>1.75</v>
      </c>
      <c r="M193" s="165" t="str" cm="1">
        <f t="array" ref="M193">Common_InputFunctions.Utility_DisplayArrayInTable(Scope3_SourceData.Scope3_InorganicFertilisers_Data(), Table_SourceData_Scope3_InorganicFertiliser[[#Headers],[Category]], 0, -2)</f>
        <v>at market</v>
      </c>
      <c r="N193" s="165"/>
      <c r="O193" s="165"/>
      <c r="P193" s="165"/>
    </row>
    <row r="194" spans="4:16" ht="20.100000000000001" customHeight="1" x14ac:dyDescent="0.25">
      <c r="D194" s="165" t="str" cm="1">
        <f t="array" ref="D194">Common_InputFunctions.Utility_DisplayArrayInTable(Scope3_SourceData.Scope3_InorganicFertilisers_Data(), Table_SourceData_Scope3_InorganicFertiliser[[#Headers],[Category]], 0, 2)</f>
        <v>Inorganic fertilisers</v>
      </c>
      <c r="E194" s="165" t="str" cm="1">
        <f t="array" ref="E194">Common_InputFunctions.Utility_DisplayArrayInTable(Scope3_SourceData.Scope3_InorganicFertilisers_Data(), Table_SourceData_Scope3_InorganicFertiliser[[#Headers],[Category]], 0, 2)</f>
        <v>Urea, AU market mix</v>
      </c>
      <c r="F194" s="165" t="str" cm="1">
        <f t="array" ref="F194">Common_InputFunctions.Utility_DisplayArrayInTable(Scope3_SourceData.Scope3_InorganicFertilisers_Data(), Table_SourceData_Scope3_InorganicFertiliser[[#Headers],[Category]], 0, 2)</f>
        <v>Global</v>
      </c>
      <c r="G194" s="165" t="str">
        <f>'Constants - Fertiliser'!$D$22</f>
        <v>Urea</v>
      </c>
      <c r="H194" s="165" t="str">
        <f>'Constants - Fertiliser'!$V$20</f>
        <v>Global</v>
      </c>
      <c r="I194" s="165"/>
      <c r="J194" s="165"/>
      <c r="K194" s="165" t="str" cm="1">
        <f t="array" ref="K194">Common_InputFunctions.Utility_DisplayArrayInTable(Scope3_SourceData.Scope3_InorganicFertilisers_Data(), Table_SourceData_Scope3_InorganicFertiliser[[#Headers],[Category]], 0, -2)</f>
        <v>kg</v>
      </c>
      <c r="L194" s="165" cm="1">
        <f t="array" ref="L194">Common_InputFunctions.Utility_DisplayArrayInTable(Scope3_SourceData.Scope3_InorganicFertilisers_Data(), Table_SourceData_Scope3_InorganicFertiliser[[#Headers],[Category]], 0, -2)</f>
        <v>0.96799999999999997</v>
      </c>
      <c r="M194" s="165" t="str" cm="1">
        <f t="array" ref="M194">Common_InputFunctions.Utility_DisplayArrayInTable(Scope3_SourceData.Scope3_InorganicFertilisers_Data(), Table_SourceData_Scope3_InorganicFertiliser[[#Headers],[Category]], 0, -2)</f>
        <v>at market</v>
      </c>
      <c r="N194" s="165"/>
      <c r="O194" s="165"/>
      <c r="P194" s="165"/>
    </row>
    <row r="195" spans="4:16" ht="20.100000000000001" customHeight="1" x14ac:dyDescent="0.25">
      <c r="D195" s="165" t="str" cm="1">
        <f t="array" ref="D195">Common_InputFunctions.Utility_DisplayArrayInTable(Scope3_SourceData.Scope3_InorganicFertilisers_Data(), Table_SourceData_Scope3_InorganicFertiliser[[#Headers],[Category]], 0, 2)</f>
        <v>Inorganic fertilisers</v>
      </c>
      <c r="E195" s="165" t="str" cm="1">
        <f t="array" ref="E195">Common_InputFunctions.Utility_DisplayArrayInTable(Scope3_SourceData.Scope3_InorganicFertilisers_Data(), Table_SourceData_Scope3_InorganicFertiliser[[#Headers],[Category]], 0, 2)</f>
        <v>Urea, Canada</v>
      </c>
      <c r="F195" s="165" t="str" cm="1">
        <f t="array" ref="F195">Common_InputFunctions.Utility_DisplayArrayInTable(Scope3_SourceData.Scope3_InorganicFertilisers_Data(), Table_SourceData_Scope3_InorganicFertiliser[[#Headers],[Category]], 0, 2)</f>
        <v>Canada</v>
      </c>
      <c r="G195" s="165" t="str">
        <f>'Constants - Fertiliser'!$D$22</f>
        <v>Urea</v>
      </c>
      <c r="H195" s="165" t="str">
        <f>'Constants - Fertiliser'!$V$21</f>
        <v>Canada</v>
      </c>
      <c r="I195" s="165"/>
      <c r="J195" s="165"/>
      <c r="K195" s="165" t="str" cm="1">
        <f t="array" ref="K195">Common_InputFunctions.Utility_DisplayArrayInTable(Scope3_SourceData.Scope3_InorganicFertilisers_Data(), Table_SourceData_Scope3_InorganicFertiliser[[#Headers],[Category]], 0, -2)</f>
        <v>kg</v>
      </c>
      <c r="L195" s="165" cm="1">
        <f t="array" ref="L195">Common_InputFunctions.Utility_DisplayArrayInTable(Scope3_SourceData.Scope3_InorganicFertilisers_Data(), Table_SourceData_Scope3_InorganicFertiliser[[#Headers],[Category]], 0, -2)</f>
        <v>0.82299999999999995</v>
      </c>
      <c r="M195" s="165" t="str" cm="1">
        <f t="array" ref="M195">Common_InputFunctions.Utility_DisplayArrayInTable(Scope3_SourceData.Scope3_InorganicFertilisers_Data(), Table_SourceData_Scope3_InorganicFertiliser[[#Headers],[Category]], 0, -2)</f>
        <v>at market</v>
      </c>
      <c r="N195" s="165"/>
      <c r="O195" s="165"/>
      <c r="P195" s="165"/>
    </row>
    <row r="196" spans="4:16" ht="20.100000000000001" customHeight="1" x14ac:dyDescent="0.25">
      <c r="D196" s="165" t="str" cm="1">
        <f t="array" ref="D196">Common_InputFunctions.Utility_DisplayArrayInTable(Scope3_SourceData.Scope3_InorganicFertilisers_Data(), Table_SourceData_Scope3_InorganicFertiliser[[#Headers],[Category]], 0, 2)</f>
        <v>Inorganic fertilisers</v>
      </c>
      <c r="E196" s="165" t="str" cm="1">
        <f t="array" ref="E196">Common_InputFunctions.Utility_DisplayArrayInTable(Scope3_SourceData.Scope3_InorganicFertilisers_Data(), Table_SourceData_Scope3_InorganicFertiliser[[#Headers],[Category]], 0, 2)</f>
        <v>Urea, China</v>
      </c>
      <c r="F196" s="165" t="str" cm="1">
        <f t="array" ref="F196">Common_InputFunctions.Utility_DisplayArrayInTable(Scope3_SourceData.Scope3_InorganicFertilisers_Data(), Table_SourceData_Scope3_InorganicFertiliser[[#Headers],[Category]], 0, 2)</f>
        <v>China</v>
      </c>
      <c r="G196" s="165" t="str">
        <f>'Constants - Fertiliser'!$D$22</f>
        <v>Urea</v>
      </c>
      <c r="H196" s="165" t="str">
        <f>'Constants - Fertiliser'!$V$22</f>
        <v>China</v>
      </c>
      <c r="I196" s="165"/>
      <c r="J196" s="165"/>
      <c r="K196" s="165" t="str" cm="1">
        <f t="array" ref="K196">Common_InputFunctions.Utility_DisplayArrayInTable(Scope3_SourceData.Scope3_InorganicFertilisers_Data(), Table_SourceData_Scope3_InorganicFertiliser[[#Headers],[Category]], 0, -2)</f>
        <v>kg</v>
      </c>
      <c r="L196" s="165" cm="1">
        <f t="array" ref="L196">Common_InputFunctions.Utility_DisplayArrayInTable(Scope3_SourceData.Scope3_InorganicFertilisers_Data(), Table_SourceData_Scope3_InorganicFertiliser[[#Headers],[Category]], 0, -2)</f>
        <v>2.09</v>
      </c>
      <c r="M196" s="165" t="str" cm="1">
        <f t="array" ref="M196">Common_InputFunctions.Utility_DisplayArrayInTable(Scope3_SourceData.Scope3_InorganicFertilisers_Data(), Table_SourceData_Scope3_InorganicFertiliser[[#Headers],[Category]], 0, -2)</f>
        <v>at market</v>
      </c>
      <c r="N196" s="165"/>
      <c r="O196" s="165"/>
      <c r="P196" s="165"/>
    </row>
    <row r="197" spans="4:16" ht="20.100000000000001" customHeight="1" x14ac:dyDescent="0.25">
      <c r="D197" s="165" t="str" cm="1">
        <f t="array" ref="D197">Common_InputFunctions.Utility_DisplayArrayInTable(Scope3_SourceData.Scope3_InorganicFertilisers_Data(), Table_SourceData_Scope3_InorganicFertiliser[[#Headers],[Category]], 0, 2)</f>
        <v>Inorganic fertilisers</v>
      </c>
      <c r="E197" s="165" t="str" cm="1">
        <f t="array" ref="E197">Common_InputFunctions.Utility_DisplayArrayInTable(Scope3_SourceData.Scope3_InorganicFertilisers_Data(), Table_SourceData_Scope3_InorganicFertiliser[[#Headers],[Category]], 0, 2)</f>
        <v>Urea, Yemen</v>
      </c>
      <c r="F197" s="165" t="str" cm="1">
        <f t="array" ref="F197">Common_InputFunctions.Utility_DisplayArrayInTable(Scope3_SourceData.Scope3_InorganicFertilisers_Data(), Table_SourceData_Scope3_InorganicFertiliser[[#Headers],[Category]], 0, 2)</f>
        <v>Yemen</v>
      </c>
      <c r="G197" s="165" t="str">
        <f>'Constants - Fertiliser'!$D$22</f>
        <v>Urea</v>
      </c>
      <c r="H197" s="165" t="str">
        <f>'Constants - Fertiliser'!$V$23</f>
        <v>Yemen</v>
      </c>
      <c r="I197" s="165"/>
      <c r="J197" s="165"/>
      <c r="K197" s="165" t="str" cm="1">
        <f t="array" ref="K197">Common_InputFunctions.Utility_DisplayArrayInTable(Scope3_SourceData.Scope3_InorganicFertilisers_Data(), Table_SourceData_Scope3_InorganicFertiliser[[#Headers],[Category]], 0, -2)</f>
        <v>kg</v>
      </c>
      <c r="L197" s="165" cm="1">
        <f t="array" ref="L197">Common_InputFunctions.Utility_DisplayArrayInTable(Scope3_SourceData.Scope3_InorganicFertilisers_Data(), Table_SourceData_Scope3_InorganicFertiliser[[#Headers],[Category]], 0, -2)</f>
        <v>0.96299999999999997</v>
      </c>
      <c r="M197" s="165" t="str" cm="1">
        <f t="array" ref="M197">Common_InputFunctions.Utility_DisplayArrayInTable(Scope3_SourceData.Scope3_InorganicFertilisers_Data(), Table_SourceData_Scope3_InorganicFertiliser[[#Headers],[Category]], 0, -2)</f>
        <v>at market</v>
      </c>
      <c r="N197" s="165"/>
      <c r="O197" s="165"/>
      <c r="P197" s="165"/>
    </row>
    <row r="198" spans="4:16" ht="20.100000000000001" customHeight="1" x14ac:dyDescent="0.25">
      <c r="D198" s="165" t="str" cm="1">
        <f t="array" ref="D198">Common_InputFunctions.Utility_DisplayArrayInTable(Scope3_SourceData.Scope3_InorganicFertilisers_Data(), Table_SourceData_Scope3_InorganicFertiliser[[#Headers],[Category]], 0, 2)</f>
        <v>Inorganic fertilisers</v>
      </c>
      <c r="E198" s="165" t="str" cm="1">
        <f t="array" ref="E198">Common_InputFunctions.Utility_DisplayArrayInTable(Scope3_SourceData.Scope3_InorganicFertilisers_Data(), Table_SourceData_Scope3_InorganicFertiliser[[#Headers],[Category]], 0, 2)</f>
        <v>Zinc from fertilizer</v>
      </c>
      <c r="F198" s="165" t="str" cm="1">
        <f t="array" ref="F198">Common_InputFunctions.Utility_DisplayArrayInTable(Scope3_SourceData.Scope3_InorganicFertilisers_Data(), Table_SourceData_Scope3_InorganicFertiliser[[#Headers],[Category]], 0, 2)</f>
        <v>Global</v>
      </c>
      <c r="G198" s="165" t="str">
        <f>'Constants - Fertiliser'!$D$33</f>
        <v>Zinc - Generic</v>
      </c>
      <c r="H198" s="165"/>
      <c r="I198" s="165"/>
      <c r="J198" s="165"/>
      <c r="K198" s="165" t="str" cm="1">
        <f t="array" ref="K198">Common_InputFunctions.Utility_DisplayArrayInTable(Scope3_SourceData.Scope3_InorganicFertilisers_Data(), Table_SourceData_Scope3_InorganicFertiliser[[#Headers],[Category]], 0, -2)</f>
        <v>kg Zn</v>
      </c>
      <c r="L198" s="165" cm="1">
        <f t="array" ref="L198">Common_InputFunctions.Utility_DisplayArrayInTable(Scope3_SourceData.Scope3_InorganicFertilisers_Data(), Table_SourceData_Scope3_InorganicFertiliser[[#Headers],[Category]], 0, -2)</f>
        <v>4.82</v>
      </c>
      <c r="M198" s="165" t="str" cm="1">
        <f t="array" ref="M198">Common_InputFunctions.Utility_DisplayArrayInTable(Scope3_SourceData.Scope3_InorganicFertilisers_Data(), Table_SourceData_Scope3_InorganicFertiliser[[#Headers],[Category]], 0, -2)</f>
        <v>at market</v>
      </c>
      <c r="N198" s="165"/>
      <c r="O198" s="165"/>
      <c r="P198" s="165"/>
    </row>
    <row r="199" spans="4:16" ht="20.100000000000001" customHeight="1" x14ac:dyDescent="0.25">
      <c r="N199" s="165"/>
      <c r="O199" s="165"/>
      <c r="P199" s="165"/>
    </row>
    <row r="200" spans="4:16" ht="20.100000000000001" customHeight="1" x14ac:dyDescent="0.25">
      <c r="D200" s="9" t="s">
        <v>409</v>
      </c>
      <c r="N200" s="165"/>
      <c r="O200" s="165"/>
      <c r="P200" s="165"/>
    </row>
    <row r="201" spans="4:16" ht="20.100000000000001" customHeight="1" x14ac:dyDescent="0.25">
      <c r="D201" s="165" t="s">
        <v>346</v>
      </c>
      <c r="E201" s="165" t="s">
        <v>221</v>
      </c>
      <c r="F201" s="165" t="s">
        <v>347</v>
      </c>
      <c r="G201" s="165" t="s">
        <v>302</v>
      </c>
      <c r="H201" s="165" t="s">
        <v>303</v>
      </c>
      <c r="I201" s="165" t="s">
        <v>405</v>
      </c>
      <c r="N201" s="165"/>
      <c r="O201" s="165"/>
      <c r="P201" s="165"/>
    </row>
    <row r="202" spans="4:16" ht="20.100000000000001" customHeight="1" x14ac:dyDescent="0.25">
      <c r="D202" s="165" t="str" cm="1">
        <f t="array" ref="D202">Common_InputFunctions.Utility_DisplayArrayInTable(Scope3_SourceData.Scope3_Other_Data(), Table_SourceData_Scope3_Other[[#Headers],[Category]], 0, 2)</f>
        <v>Other</v>
      </c>
      <c r="E202" s="165" t="str" cm="1">
        <f t="array" ref="E202">Common_InputFunctions.Utility_DisplayArrayInTable(Scope3_SourceData.Scope3_Other_Data(), Table_SourceData_Scope3_Other[[#Headers],[Category]], 0, 2)</f>
        <v>Animal ear tags (large)</v>
      </c>
      <c r="F202" s="165" t="str" cm="1">
        <f t="array" ref="F202">Common_InputFunctions.Utility_DisplayArrayInTable(Scope3_SourceData.Scope3_Other_Data(), Table_SourceData_Scope3_Other[[#Headers],[Category]], 0, 2)</f>
        <v>Australia</v>
      </c>
      <c r="G202" s="165" t="str" cm="1">
        <f t="array" ref="G202">Common_InputFunctions.Utility_DisplayArrayInTable(Scope3_SourceData.Scope3_Other_Data(), Table_SourceData_Scope3_Other[[#Headers],[Category]], 0, 2)</f>
        <v>p</v>
      </c>
      <c r="H202" s="165" cm="1">
        <f t="array" ref="H202">Common_InputFunctions.Utility_DisplayArrayInTable(Scope3_SourceData.Scope3_Other_Data(), Table_SourceData_Scope3_Other[[#Headers],[Category]], 0, 2)</f>
        <v>4.24E-2</v>
      </c>
      <c r="I202" s="165" t="str" cm="1">
        <f t="array" ref="I202">Common_InputFunctions.Utility_DisplayArrayInTable(Scope3_SourceData.Scope3_Other_Data(), Table_SourceData_Scope3_Other[[#Headers],[Category]], 0, 2)</f>
        <v>at market</v>
      </c>
      <c r="N202" s="165"/>
      <c r="O202" s="165"/>
      <c r="P202" s="165"/>
    </row>
    <row r="203" spans="4:16" ht="20.100000000000001" customHeight="1" x14ac:dyDescent="0.25">
      <c r="D203" s="165" t="str" cm="1">
        <f t="array" ref="D203">Common_InputFunctions.Utility_DisplayArrayInTable(Scope3_SourceData.Scope3_Other_Data(), Table_SourceData_Scope3_Other[[#Headers],[Category]], 0, 2)</f>
        <v>Other</v>
      </c>
      <c r="E203" s="165" t="str" cm="1">
        <f t="array" ref="E203">Common_InputFunctions.Utility_DisplayArrayInTable(Scope3_SourceData.Scope3_Other_Data(), Table_SourceData_Scope3_Other[[#Headers],[Category]], 0, 2)</f>
        <v>Animal ear tags (small)</v>
      </c>
      <c r="F203" s="165" t="str" cm="1">
        <f t="array" ref="F203">Common_InputFunctions.Utility_DisplayArrayInTable(Scope3_SourceData.Scope3_Other_Data(), Table_SourceData_Scope3_Other[[#Headers],[Category]], 0, 2)</f>
        <v>Australia</v>
      </c>
      <c r="G203" s="165" t="str" cm="1">
        <f t="array" ref="G203">Common_InputFunctions.Utility_DisplayArrayInTable(Scope3_SourceData.Scope3_Other_Data(), Table_SourceData_Scope3_Other[[#Headers],[Category]], 0, 2)</f>
        <v>p</v>
      </c>
      <c r="H203" s="165" cm="1">
        <f t="array" ref="H203">Common_InputFunctions.Utility_DisplayArrayInTable(Scope3_SourceData.Scope3_Other_Data(), Table_SourceData_Scope3_Other[[#Headers],[Category]], 0, 2)</f>
        <v>2.93E-2</v>
      </c>
      <c r="I203" s="165" t="str" cm="1">
        <f t="array" ref="I203">Common_InputFunctions.Utility_DisplayArrayInTable(Scope3_SourceData.Scope3_Other_Data(), Table_SourceData_Scope3_Other[[#Headers],[Category]], 0, 2)</f>
        <v>at market</v>
      </c>
      <c r="N203" s="165"/>
      <c r="O203" s="165"/>
      <c r="P203" s="165"/>
    </row>
    <row r="204" spans="4:16" ht="20.100000000000001" customHeight="1" x14ac:dyDescent="0.25">
      <c r="D204" s="165" t="str" cm="1">
        <f t="array" ref="D204">Common_InputFunctions.Utility_DisplayArrayInTable(Scope3_SourceData.Scope3_Other_Data(), Table_SourceData_Scope3_Other[[#Headers],[Category]], 0, 2)</f>
        <v>Other</v>
      </c>
      <c r="E204" s="165" t="str" cm="1">
        <f t="array" ref="E204">Common_InputFunctions.Utility_DisplayArrayInTable(Scope3_SourceData.Scope3_Other_Data(), Table_SourceData_Scope3_Other[[#Headers],[Category]], 0, 2)</f>
        <v>Barley grain (for seed)</v>
      </c>
      <c r="F204" s="165" t="str" cm="1">
        <f t="array" ref="F204">Common_InputFunctions.Utility_DisplayArrayInTable(Scope3_SourceData.Scope3_Other_Data(), Table_SourceData_Scope3_Other[[#Headers],[Category]], 0, 2)</f>
        <v>Australia</v>
      </c>
      <c r="G204" s="165" t="str" cm="1">
        <f t="array" ref="G204">Common_InputFunctions.Utility_DisplayArrayInTable(Scope3_SourceData.Scope3_Other_Data(), Table_SourceData_Scope3_Other[[#Headers],[Category]], 0, 2)</f>
        <v>kg</v>
      </c>
      <c r="H204" s="165" cm="1">
        <f t="array" ref="H204">Common_InputFunctions.Utility_DisplayArrayInTable(Scope3_SourceData.Scope3_Other_Data(), Table_SourceData_Scope3_Other[[#Headers],[Category]], 0, 2)</f>
        <v>0.23899999999999999</v>
      </c>
      <c r="I204" s="165" t="str" cm="1">
        <f t="array" ref="I204">Common_InputFunctions.Utility_DisplayArrayInTable(Scope3_SourceData.Scope3_Other_Data(), Table_SourceData_Scope3_Other[[#Headers],[Category]], 0, 2)</f>
        <v>at market</v>
      </c>
      <c r="N204" s="165"/>
      <c r="O204" s="165"/>
      <c r="P204" s="165"/>
    </row>
    <row r="205" spans="4:16" ht="20.100000000000001" customHeight="1" x14ac:dyDescent="0.25">
      <c r="D205" s="165" t="str" cm="1">
        <f t="array" ref="D205">Common_InputFunctions.Utility_DisplayArrayInTable(Scope3_SourceData.Scope3_Other_Data(), Table_SourceData_Scope3_Other[[#Headers],[Category]], 0, 2)</f>
        <v>Other</v>
      </c>
      <c r="E205" s="165" t="str" cm="1">
        <f t="array" ref="E205">Common_InputFunctions.Utility_DisplayArrayInTable(Scope3_SourceData.Scope3_Other_Data(), Table_SourceData_Scope3_Other[[#Headers],[Category]], 0, 2)</f>
        <v>Maize grain (for seed)</v>
      </c>
      <c r="F205" s="165" t="str" cm="1">
        <f t="array" ref="F205">Common_InputFunctions.Utility_DisplayArrayInTable(Scope3_SourceData.Scope3_Other_Data(), Table_SourceData_Scope3_Other[[#Headers],[Category]], 0, 2)</f>
        <v>Australia</v>
      </c>
      <c r="G205" s="165" t="str" cm="1">
        <f t="array" ref="G205">Common_InputFunctions.Utility_DisplayArrayInTable(Scope3_SourceData.Scope3_Other_Data(), Table_SourceData_Scope3_Other[[#Headers],[Category]], 0, 2)</f>
        <v>kg</v>
      </c>
      <c r="H205" s="165" cm="1">
        <f t="array" ref="H205">Common_InputFunctions.Utility_DisplayArrayInTable(Scope3_SourceData.Scope3_Other_Data(), Table_SourceData_Scope3_Other[[#Headers],[Category]], 0, 2)</f>
        <v>0.18099999999999999</v>
      </c>
      <c r="I205" s="165" t="str" cm="1">
        <f t="array" ref="I205">Common_InputFunctions.Utility_DisplayArrayInTable(Scope3_SourceData.Scope3_Other_Data(), Table_SourceData_Scope3_Other[[#Headers],[Category]], 0, 2)</f>
        <v>at market</v>
      </c>
      <c r="N205" s="165"/>
      <c r="O205" s="165"/>
      <c r="P205" s="165"/>
    </row>
    <row r="206" spans="4:16" ht="20.100000000000001" customHeight="1" x14ac:dyDescent="0.25">
      <c r="D206" s="165" t="str" cm="1">
        <f t="array" ref="D206">Common_InputFunctions.Utility_DisplayArrayInTable(Scope3_SourceData.Scope3_Other_Data(), Table_SourceData_Scope3_Other[[#Headers],[Category]], 0, 2)</f>
        <v>Other</v>
      </c>
      <c r="E206" s="165" t="str" cm="1">
        <f t="array" ref="E206">Common_InputFunctions.Utility_DisplayArrayInTable(Scope3_SourceData.Scope3_Other_Data(), Table_SourceData_Scope3_Other[[#Headers],[Category]], 0, 2)</f>
        <v>Nylon netting</v>
      </c>
      <c r="F206" s="165" t="str" cm="1">
        <f t="array" ref="F206">Common_InputFunctions.Utility_DisplayArrayInTable(Scope3_SourceData.Scope3_Other_Data(), Table_SourceData_Scope3_Other[[#Headers],[Category]], 0, 2)</f>
        <v>Global</v>
      </c>
      <c r="G206" s="165" t="str" cm="1">
        <f t="array" ref="G206">Common_InputFunctions.Utility_DisplayArrayInTable(Scope3_SourceData.Scope3_Other_Data(), Table_SourceData_Scope3_Other[[#Headers],[Category]], 0, 2)</f>
        <v>kg</v>
      </c>
      <c r="H206" s="165" cm="1">
        <f t="array" ref="H206">Common_InputFunctions.Utility_DisplayArrayInTable(Scope3_SourceData.Scope3_Other_Data(), Table_SourceData_Scope3_Other[[#Headers],[Category]], 0, 2)</f>
        <v>9.81</v>
      </c>
      <c r="I206" s="165" t="str" cm="1">
        <f t="array" ref="I206">Common_InputFunctions.Utility_DisplayArrayInTable(Scope3_SourceData.Scope3_Other_Data(), Table_SourceData_Scope3_Other[[#Headers],[Category]], 0, 2)</f>
        <v>at market</v>
      </c>
      <c r="N206" s="165"/>
      <c r="O206" s="165"/>
      <c r="P206" s="165"/>
    </row>
    <row r="207" spans="4:16" ht="20.100000000000001" customHeight="1" x14ac:dyDescent="0.25">
      <c r="D207" s="165" t="str" cm="1">
        <f t="array" ref="D207">Common_InputFunctions.Utility_DisplayArrayInTable(Scope3_SourceData.Scope3_Other_Data(), Table_SourceData_Scope3_Other[[#Headers],[Category]], 0, 2)</f>
        <v>Other</v>
      </c>
      <c r="E207" s="165" t="str" cm="1">
        <f t="array" ref="E207">Common_InputFunctions.Utility_DisplayArrayInTable(Scope3_SourceData.Scope3_Other_Data(), Table_SourceData_Scope3_Other[[#Headers],[Category]], 0, 2)</f>
        <v>Oat grain (for seed)</v>
      </c>
      <c r="F207" s="165" t="str" cm="1">
        <f t="array" ref="F207">Common_InputFunctions.Utility_DisplayArrayInTable(Scope3_SourceData.Scope3_Other_Data(), Table_SourceData_Scope3_Other[[#Headers],[Category]], 0, 2)</f>
        <v>Australia</v>
      </c>
      <c r="G207" s="165" t="str" cm="1">
        <f t="array" ref="G207">Common_InputFunctions.Utility_DisplayArrayInTable(Scope3_SourceData.Scope3_Other_Data(), Table_SourceData_Scope3_Other[[#Headers],[Category]], 0, 2)</f>
        <v>kg</v>
      </c>
      <c r="H207" s="165" cm="1">
        <f t="array" ref="H207">Common_InputFunctions.Utility_DisplayArrayInTable(Scope3_SourceData.Scope3_Other_Data(), Table_SourceData_Scope3_Other[[#Headers],[Category]], 0, 2)</f>
        <v>0.27</v>
      </c>
      <c r="I207" s="165" t="str" cm="1">
        <f t="array" ref="I207">Common_InputFunctions.Utility_DisplayArrayInTable(Scope3_SourceData.Scope3_Other_Data(), Table_SourceData_Scope3_Other[[#Headers],[Category]], 0, 2)</f>
        <v>at market</v>
      </c>
      <c r="N207" s="165"/>
      <c r="O207" s="165"/>
      <c r="P207" s="165"/>
    </row>
    <row r="208" spans="4:16" ht="20.100000000000001" customHeight="1" x14ac:dyDescent="0.25">
      <c r="D208" s="165" t="str" cm="1">
        <f t="array" ref="D208">Common_InputFunctions.Utility_DisplayArrayInTable(Scope3_SourceData.Scope3_Other_Data(), Table_SourceData_Scope3_Other[[#Headers],[Category]], 0, 2)</f>
        <v>Other</v>
      </c>
      <c r="E208" s="165" t="str" cm="1">
        <f t="array" ref="E208">Common_InputFunctions.Utility_DisplayArrayInTable(Scope3_SourceData.Scope3_Other_Data(), Table_SourceData_Scope3_Other[[#Headers],[Category]], 0, 2)</f>
        <v>Sorghum grain (for seed)</v>
      </c>
      <c r="F208" s="165" t="str" cm="1">
        <f t="array" ref="F208">Common_InputFunctions.Utility_DisplayArrayInTable(Scope3_SourceData.Scope3_Other_Data(), Table_SourceData_Scope3_Other[[#Headers],[Category]], 0, 2)</f>
        <v>Australia</v>
      </c>
      <c r="G208" s="165" t="str" cm="1">
        <f t="array" ref="G208">Common_InputFunctions.Utility_DisplayArrayInTable(Scope3_SourceData.Scope3_Other_Data(), Table_SourceData_Scope3_Other[[#Headers],[Category]], 0, 2)</f>
        <v>kg</v>
      </c>
      <c r="H208" s="165" cm="1">
        <f t="array" ref="H208">Common_InputFunctions.Utility_DisplayArrayInTable(Scope3_SourceData.Scope3_Other_Data(), Table_SourceData_Scope3_Other[[#Headers],[Category]], 0, 2)</f>
        <v>0.23200000000000001</v>
      </c>
      <c r="I208" s="165" t="str" cm="1">
        <f t="array" ref="I208">Common_InputFunctions.Utility_DisplayArrayInTable(Scope3_SourceData.Scope3_Other_Data(), Table_SourceData_Scope3_Other[[#Headers],[Category]], 0, 2)</f>
        <v>at market</v>
      </c>
      <c r="N208" s="165"/>
      <c r="O208" s="165"/>
      <c r="P208" s="165"/>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65"/>
      <c r="O209" s="165"/>
      <c r="P209" s="165"/>
    </row>
    <row r="210" spans="4:16" ht="20.100000000000001" customHeight="1" x14ac:dyDescent="0.25">
      <c r="N210" s="165"/>
      <c r="O210" s="165"/>
      <c r="P210" s="165"/>
    </row>
    <row r="211" spans="4:16" ht="20.100000000000001" customHeight="1" x14ac:dyDescent="0.25">
      <c r="D211" s="9" t="s">
        <v>410</v>
      </c>
    </row>
    <row r="212" spans="4:16" ht="20.100000000000001" customHeight="1" x14ac:dyDescent="0.25">
      <c r="D212" s="165" t="s">
        <v>346</v>
      </c>
      <c r="E212" s="165" t="s">
        <v>221</v>
      </c>
      <c r="F212" s="165" t="s">
        <v>347</v>
      </c>
      <c r="G212" s="165" t="s">
        <v>302</v>
      </c>
      <c r="H212" s="165" t="s">
        <v>303</v>
      </c>
      <c r="I212" s="165" t="s">
        <v>405</v>
      </c>
    </row>
    <row r="213" spans="4:16" ht="20.100000000000001" customHeight="1" x14ac:dyDescent="0.25">
      <c r="D213" s="165" t="str" cm="1">
        <f t="array" ref="D213">Common_InputFunctions.Utility_DisplayArrayInTable(Scope3_SourceData.Scope3_Packaging_Data(), Table_SourceData_Scope3_Packaging[[#Headers],[Category]], 0, 2)</f>
        <v>Packaging</v>
      </c>
      <c r="E213" s="165" t="str" cm="1">
        <f t="array" ref="E213">Common_InputFunctions.Utility_DisplayArrayInTable(Scope3_SourceData.Scope3_Packaging_Data(), Table_SourceData_Scope3_Packaging[[#Headers],[Category]], 0, 2)</f>
        <v>Corrugated board</v>
      </c>
      <c r="F213" s="165" t="str" cm="1">
        <f t="array" ref="F213">Common_InputFunctions.Utility_DisplayArrayInTable(Scope3_SourceData.Scope3_Packaging_Data(), Table_SourceData_Scope3_Packaging[[#Headers],[Category]], 0, 2)</f>
        <v>Global</v>
      </c>
      <c r="G213" s="165" t="str" cm="1">
        <f t="array" ref="G213">Common_InputFunctions.Utility_DisplayArrayInTable(Scope3_SourceData.Scope3_Packaging_Data(), Table_SourceData_Scope3_Packaging[[#Headers],[Category]], 0, 2)</f>
        <v>kg</v>
      </c>
      <c r="H213" s="165" cm="1">
        <f t="array" ref="H213">Common_InputFunctions.Utility_DisplayArrayInTable(Scope3_SourceData.Scope3_Packaging_Data(), Table_SourceData_Scope3_Packaging[[#Headers],[Category]], 0, 2)</f>
        <v>1.05</v>
      </c>
      <c r="I213" s="165" t="str" cm="1">
        <f t="array" ref="I213">Common_InputFunctions.Utility_DisplayArrayInTable(Scope3_SourceData.Scope3_Packaging_Data(), Table_SourceData_Scope3_Packaging[[#Headers],[Category]], 0, 2)</f>
        <v>at manufacturer</v>
      </c>
    </row>
    <row r="214" spans="4:16" ht="20.100000000000001" customHeight="1" x14ac:dyDescent="0.25">
      <c r="D214" s="165" t="str" cm="1">
        <f t="array" ref="D214">Common_InputFunctions.Utility_DisplayArrayInTable(Scope3_SourceData.Scope3_Packaging_Data(), Table_SourceData_Scope3_Packaging[[#Headers],[Category]], 0, 2)</f>
        <v>Packaging</v>
      </c>
      <c r="E214" s="165" t="str" cm="1">
        <f t="array" ref="E214">Common_InputFunctions.Utility_DisplayArrayInTable(Scope3_SourceData.Scope3_Packaging_Data(), Table_SourceData_Scope3_Packaging[[#Headers],[Category]], 0, 2)</f>
        <v>Plastic crate polypropylene</v>
      </c>
      <c r="F214" s="165" t="str" cm="1">
        <f t="array" ref="F214">Common_InputFunctions.Utility_DisplayArrayInTable(Scope3_SourceData.Scope3_Packaging_Data(), Table_SourceData_Scope3_Packaging[[#Headers],[Category]], 0, 2)</f>
        <v>Global</v>
      </c>
      <c r="G214" s="165" t="str" cm="1">
        <f t="array" ref="G214">Common_InputFunctions.Utility_DisplayArrayInTable(Scope3_SourceData.Scope3_Packaging_Data(), Table_SourceData_Scope3_Packaging[[#Headers],[Category]], 0, 2)</f>
        <v>p</v>
      </c>
      <c r="H214" s="165" cm="1">
        <f t="array" ref="H214">Common_InputFunctions.Utility_DisplayArrayInTable(Scope3_SourceData.Scope3_Packaging_Data(), Table_SourceData_Scope3_Packaging[[#Headers],[Category]], 0, 2)</f>
        <v>3.99</v>
      </c>
      <c r="I214" s="165" t="str" cm="1">
        <f t="array" ref="I214">Common_InputFunctions.Utility_DisplayArrayInTable(Scope3_SourceData.Scope3_Packaging_Data(), Table_SourceData_Scope3_Packaging[[#Headers],[Category]], 0, 2)</f>
        <v>at manufacturer</v>
      </c>
    </row>
    <row r="215" spans="4:16" ht="20.100000000000001" customHeight="1" x14ac:dyDescent="0.25">
      <c r="D215" s="165" t="str" cm="1">
        <f t="array" ref="D215">Common_InputFunctions.Utility_DisplayArrayInTable(Scope3_SourceData.Scope3_Packaging_Data(), Table_SourceData_Scope3_Packaging[[#Headers],[Category]], 0, 2)</f>
        <v>Packaging</v>
      </c>
      <c r="E215" s="165" t="str" cm="1">
        <f t="array" ref="E215">Common_InputFunctions.Utility_DisplayArrayInTable(Scope3_SourceData.Scope3_Packaging_Data(), Table_SourceData_Scope3_Packaging[[#Headers],[Category]], 0, 2)</f>
        <v>Plastic film LDPE</v>
      </c>
      <c r="F215" s="165" t="str" cm="1">
        <f t="array" ref="F215">Common_InputFunctions.Utility_DisplayArrayInTable(Scope3_SourceData.Scope3_Packaging_Data(), Table_SourceData_Scope3_Packaging[[#Headers],[Category]], 0, 2)</f>
        <v>Global</v>
      </c>
      <c r="G215" s="165" t="str" cm="1">
        <f t="array" ref="G215">Common_InputFunctions.Utility_DisplayArrayInTable(Scope3_SourceData.Scope3_Packaging_Data(), Table_SourceData_Scope3_Packaging[[#Headers],[Category]], 0, 2)</f>
        <v>kg</v>
      </c>
      <c r="H215" s="165" cm="1">
        <f t="array" ref="H215">Common_InputFunctions.Utility_DisplayArrayInTable(Scope3_SourceData.Scope3_Packaging_Data(), Table_SourceData_Scope3_Packaging[[#Headers],[Category]], 0, 2)</f>
        <v>3.44</v>
      </c>
      <c r="I215" s="165" t="str" cm="1">
        <f t="array" ref="I215">Common_InputFunctions.Utility_DisplayArrayInTable(Scope3_SourceData.Scope3_Packaging_Data(), Table_SourceData_Scope3_Packaging[[#Headers],[Category]], 0, 2)</f>
        <v>at manufacturer</v>
      </c>
    </row>
    <row r="216" spans="4:16" ht="20.100000000000001" customHeight="1" x14ac:dyDescent="0.25">
      <c r="D216" s="165" t="str" cm="1">
        <f t="array" ref="D216">Common_InputFunctions.Utility_DisplayArrayInTable(Scope3_SourceData.Scope3_Packaging_Data(), Table_SourceData_Scope3_Packaging[[#Headers],[Category]], 0, 2)</f>
        <v>Packaging</v>
      </c>
      <c r="E216" s="165" t="str" cm="1">
        <f t="array" ref="E216">Common_InputFunctions.Utility_DisplayArrayInTable(Scope3_SourceData.Scope3_Packaging_Data(), Table_SourceData_Scope3_Packaging[[#Headers],[Category]], 0, 2)</f>
        <v>Plastic sheet HDPE</v>
      </c>
      <c r="F216" s="165" t="str" cm="1">
        <f t="array" ref="F216">Common_InputFunctions.Utility_DisplayArrayInTable(Scope3_SourceData.Scope3_Packaging_Data(), Table_SourceData_Scope3_Packaging[[#Headers],[Category]], 0, 2)</f>
        <v>Global</v>
      </c>
      <c r="G216" s="165" t="str" cm="1">
        <f t="array" ref="G216">Common_InputFunctions.Utility_DisplayArrayInTable(Scope3_SourceData.Scope3_Packaging_Data(), Table_SourceData_Scope3_Packaging[[#Headers],[Category]], 0, 2)</f>
        <v>kg</v>
      </c>
      <c r="H216" s="165" cm="1">
        <f t="array" ref="H216">Common_InputFunctions.Utility_DisplayArrayInTable(Scope3_SourceData.Scope3_Packaging_Data(), Table_SourceData_Scope3_Packaging[[#Headers],[Category]], 0, 2)</f>
        <v>3.72</v>
      </c>
      <c r="I216" s="165"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411</v>
      </c>
    </row>
    <row r="219" spans="4:16" ht="20.100000000000001" customHeight="1" x14ac:dyDescent="0.25">
      <c r="D219" s="165" t="s">
        <v>346</v>
      </c>
      <c r="E219" s="165" t="s">
        <v>221</v>
      </c>
      <c r="F219" s="165" t="s">
        <v>347</v>
      </c>
      <c r="G219" s="165" t="s">
        <v>302</v>
      </c>
      <c r="H219" s="165" t="s">
        <v>303</v>
      </c>
      <c r="I219" s="165" t="s">
        <v>405</v>
      </c>
    </row>
    <row r="220" spans="4:16" ht="20.100000000000001" customHeight="1" x14ac:dyDescent="0.25">
      <c r="D220" s="165" t="str" cm="1">
        <f t="array" ref="D220">Common_InputFunctions.Utility_DisplayArrayInTable(Scope3_SourceData.Scope3_Pesticides_Data(), Table_SourceData_Scope3_Pesticides[[#Headers],[Category]], 0, 2)</f>
        <v>Pesticides</v>
      </c>
      <c r="E220" s="165" t="str" cm="1">
        <f t="array" ref="E220">Common_InputFunctions.Utility_DisplayArrayInTable(Scope3_SourceData.Scope3_Pesticides_Data(), Table_SourceData_Scope3_Pesticides[[#Headers],[Category]], 0, 2)</f>
        <v>2,4-D</v>
      </c>
      <c r="F220" s="165" t="str" cm="1">
        <f t="array" ref="F220">Common_InputFunctions.Utility_DisplayArrayInTable(Scope3_SourceData.Scope3_Pesticides_Data(), Table_SourceData_Scope3_Pesticides[[#Headers],[Category]], 0, 2)</f>
        <v>Global</v>
      </c>
      <c r="G220" s="165" t="str" cm="1">
        <f t="array" ref="G220">Common_InputFunctions.Utility_DisplayArrayInTable(Scope3_SourceData.Scope3_Pesticides_Data(), Table_SourceData_Scope3_Pesticides[[#Headers],[Category]], 0, 2)</f>
        <v>kg AI</v>
      </c>
      <c r="H220" s="165" cm="1">
        <f t="array" ref="H220">Common_InputFunctions.Utility_DisplayArrayInTable(Scope3_SourceData.Scope3_Pesticides_Data(), Table_SourceData_Scope3_Pesticides[[#Headers],[Category]], 0, 2)</f>
        <v>5.2</v>
      </c>
      <c r="I220" s="165" t="str" cm="1">
        <f t="array" ref="I220">Common_InputFunctions.Utility_DisplayArrayInTable(Scope3_SourceData.Scope3_Pesticides_Data(), Table_SourceData_Scope3_Pesticides[[#Headers],[Category]], 0, 2)</f>
        <v>at market</v>
      </c>
    </row>
    <row r="221" spans="4:16" ht="20.100000000000001" customHeight="1" x14ac:dyDescent="0.25">
      <c r="D221" s="165" t="str" cm="1">
        <f t="array" ref="D221">Common_InputFunctions.Utility_DisplayArrayInTable(Scope3_SourceData.Scope3_Pesticides_Data(), Table_SourceData_Scope3_Pesticides[[#Headers],[Category]], 0, 2)</f>
        <v>Pesticides</v>
      </c>
      <c r="E221" s="165" t="str" cm="1">
        <f t="array" ref="E221">Common_InputFunctions.Utility_DisplayArrayInTable(Scope3_SourceData.Scope3_Pesticides_Data(), Table_SourceData_Scope3_Pesticides[[#Headers],[Category]], 0, 2)</f>
        <v>Atrazine</v>
      </c>
      <c r="F221" s="165" t="str" cm="1">
        <f t="array" ref="F221">Common_InputFunctions.Utility_DisplayArrayInTable(Scope3_SourceData.Scope3_Pesticides_Data(), Table_SourceData_Scope3_Pesticides[[#Headers],[Category]], 0, 2)</f>
        <v>Global</v>
      </c>
      <c r="G221" s="165" t="str" cm="1">
        <f t="array" ref="G221">Common_InputFunctions.Utility_DisplayArrayInTable(Scope3_SourceData.Scope3_Pesticides_Data(), Table_SourceData_Scope3_Pesticides[[#Headers],[Category]], 0, 2)</f>
        <v>kg AI</v>
      </c>
      <c r="H221" s="165" cm="1">
        <f t="array" ref="H221">Common_InputFunctions.Utility_DisplayArrayInTable(Scope3_SourceData.Scope3_Pesticides_Data(), Table_SourceData_Scope3_Pesticides[[#Headers],[Category]], 0, 2)</f>
        <v>8.3800000000000008</v>
      </c>
      <c r="I221" s="165" t="str" cm="1">
        <f t="array" ref="I221">Common_InputFunctions.Utility_DisplayArrayInTable(Scope3_SourceData.Scope3_Pesticides_Data(), Table_SourceData_Scope3_Pesticides[[#Headers],[Category]], 0, 2)</f>
        <v>at market</v>
      </c>
    </row>
    <row r="222" spans="4:16" ht="20.100000000000001" customHeight="1" x14ac:dyDescent="0.25">
      <c r="D222" s="165" t="str" cm="1">
        <f t="array" ref="D222">Common_InputFunctions.Utility_DisplayArrayInTable(Scope3_SourceData.Scope3_Pesticides_Data(), Table_SourceData_Scope3_Pesticides[[#Headers],[Category]], 0, 2)</f>
        <v>Pesticides</v>
      </c>
      <c r="E222" s="165" t="str" cm="1">
        <f t="array" ref="E222">Common_InputFunctions.Utility_DisplayArrayInTable(Scope3_SourceData.Scope3_Pesticides_Data(), Table_SourceData_Scope3_Pesticides[[#Headers],[Category]], 0, 2)</f>
        <v>Diuron</v>
      </c>
      <c r="F222" s="165" t="str" cm="1">
        <f t="array" ref="F222">Common_InputFunctions.Utility_DisplayArrayInTable(Scope3_SourceData.Scope3_Pesticides_Data(), Table_SourceData_Scope3_Pesticides[[#Headers],[Category]], 0, 2)</f>
        <v>Global</v>
      </c>
      <c r="G222" s="165" t="str" cm="1">
        <f t="array" ref="G222">Common_InputFunctions.Utility_DisplayArrayInTable(Scope3_SourceData.Scope3_Pesticides_Data(), Table_SourceData_Scope3_Pesticides[[#Headers],[Category]], 0, 2)</f>
        <v>kg AI</v>
      </c>
      <c r="H222" s="165" cm="1">
        <f t="array" ref="H222">Common_InputFunctions.Utility_DisplayArrayInTable(Scope3_SourceData.Scope3_Pesticides_Data(), Table_SourceData_Scope3_Pesticides[[#Headers],[Category]], 0, 2)</f>
        <v>8.8000000000000007</v>
      </c>
      <c r="I222" s="165" t="str" cm="1">
        <f t="array" ref="I222">Common_InputFunctions.Utility_DisplayArrayInTable(Scope3_SourceData.Scope3_Pesticides_Data(), Table_SourceData_Scope3_Pesticides[[#Headers],[Category]], 0, 2)</f>
        <v>at market</v>
      </c>
    </row>
    <row r="223" spans="4:16" ht="20.100000000000001" customHeight="1" x14ac:dyDescent="0.25">
      <c r="D223" s="165" t="str" cm="1">
        <f t="array" ref="D223">Common_InputFunctions.Utility_DisplayArrayInTable(Scope3_SourceData.Scope3_Pesticides_Data(), Table_SourceData_Scope3_Pesticides[[#Headers],[Category]], 0, 2)</f>
        <v>Pesticides</v>
      </c>
      <c r="E223" s="165" t="str" cm="1">
        <f t="array" ref="E223">Common_InputFunctions.Utility_DisplayArrayInTable(Scope3_SourceData.Scope3_Pesticides_Data(), Table_SourceData_Scope3_Pesticides[[#Headers],[Category]], 0, 2)</f>
        <v>Glyphosate</v>
      </c>
      <c r="F223" s="165" t="str" cm="1">
        <f t="array" ref="F223">Common_InputFunctions.Utility_DisplayArrayInTable(Scope3_SourceData.Scope3_Pesticides_Data(), Table_SourceData_Scope3_Pesticides[[#Headers],[Category]], 0, 2)</f>
        <v>Global</v>
      </c>
      <c r="G223" s="165" t="str" cm="1">
        <f t="array" ref="G223">Common_InputFunctions.Utility_DisplayArrayInTable(Scope3_SourceData.Scope3_Pesticides_Data(), Table_SourceData_Scope3_Pesticides[[#Headers],[Category]], 0, 2)</f>
        <v>kg AI</v>
      </c>
      <c r="H223" s="165" cm="1">
        <f t="array" ref="H223">Common_InputFunctions.Utility_DisplayArrayInTable(Scope3_SourceData.Scope3_Pesticides_Data(), Table_SourceData_Scope3_Pesticides[[#Headers],[Category]], 0, 2)</f>
        <v>10.3</v>
      </c>
      <c r="I223" s="165" t="str" cm="1">
        <f t="array" ref="I223">Common_InputFunctions.Utility_DisplayArrayInTable(Scope3_SourceData.Scope3_Pesticides_Data(), Table_SourceData_Scope3_Pesticides[[#Headers],[Category]], 0, 2)</f>
        <v>at market</v>
      </c>
    </row>
    <row r="224" spans="4:16" ht="20.100000000000001" customHeight="1" x14ac:dyDescent="0.25">
      <c r="D224" s="165" t="str" cm="1">
        <f t="array" ref="D224">Common_InputFunctions.Utility_DisplayArrayInTable(Scope3_SourceData.Scope3_Pesticides_Data(), Table_SourceData_Scope3_Pesticides[[#Headers],[Category]], 0, 2)</f>
        <v>Pesticides</v>
      </c>
      <c r="E224" s="165" t="str" cm="1">
        <f t="array" ref="E224">Common_InputFunctions.Utility_DisplayArrayInTable(Scope3_SourceData.Scope3_Pesticides_Data(), Table_SourceData_Scope3_Pesticides[[#Headers],[Category]], 0, 2)</f>
        <v>Mancozeb</v>
      </c>
      <c r="F224" s="165" t="str" cm="1">
        <f t="array" ref="F224">Common_InputFunctions.Utility_DisplayArrayInTable(Scope3_SourceData.Scope3_Pesticides_Data(), Table_SourceData_Scope3_Pesticides[[#Headers],[Category]], 0, 2)</f>
        <v>Global</v>
      </c>
      <c r="G224" s="165" t="str" cm="1">
        <f t="array" ref="G224">Common_InputFunctions.Utility_DisplayArrayInTable(Scope3_SourceData.Scope3_Pesticides_Data(), Table_SourceData_Scope3_Pesticides[[#Headers],[Category]], 0, 2)</f>
        <v>kg AI</v>
      </c>
      <c r="H224" s="165" cm="1">
        <f t="array" ref="H224">Common_InputFunctions.Utility_DisplayArrayInTable(Scope3_SourceData.Scope3_Pesticides_Data(), Table_SourceData_Scope3_Pesticides[[#Headers],[Category]], 0, 2)</f>
        <v>4.55</v>
      </c>
      <c r="I224" s="165" t="str" cm="1">
        <f t="array" ref="I224">Common_InputFunctions.Utility_DisplayArrayInTable(Scope3_SourceData.Scope3_Pesticides_Data(), Table_SourceData_Scope3_Pesticides[[#Headers],[Category]], 0, 2)</f>
        <v>at market</v>
      </c>
    </row>
    <row r="225" spans="4:9" ht="20.100000000000001" customHeight="1" x14ac:dyDescent="0.25">
      <c r="D225" s="165" t="str" cm="1">
        <f t="array" ref="D225">Common_InputFunctions.Utility_DisplayArrayInTable(Scope3_SourceData.Scope3_Pesticides_Data(), Table_SourceData_Scope3_Pesticides[[#Headers],[Category]], 0, 2)</f>
        <v>Pesticides</v>
      </c>
      <c r="E225" s="165" t="str" cm="1">
        <f t="array" ref="E225">Common_InputFunctions.Utility_DisplayArrayInTable(Scope3_SourceData.Scope3_Pesticides_Data(), Table_SourceData_Scope3_Pesticides[[#Headers],[Category]], 0, 2)</f>
        <v>MCPA</v>
      </c>
      <c r="F225" s="165" t="str" cm="1">
        <f t="array" ref="F225">Common_InputFunctions.Utility_DisplayArrayInTable(Scope3_SourceData.Scope3_Pesticides_Data(), Table_SourceData_Scope3_Pesticides[[#Headers],[Category]], 0, 2)</f>
        <v>Global</v>
      </c>
      <c r="G225" s="165" t="str" cm="1">
        <f t="array" ref="G225">Common_InputFunctions.Utility_DisplayArrayInTable(Scope3_SourceData.Scope3_Pesticides_Data(), Table_SourceData_Scope3_Pesticides[[#Headers],[Category]], 0, 2)</f>
        <v>kg AI</v>
      </c>
      <c r="H225" s="165" cm="1">
        <f t="array" ref="H225">Common_InputFunctions.Utility_DisplayArrayInTable(Scope3_SourceData.Scope3_Pesticides_Data(), Table_SourceData_Scope3_Pesticides[[#Headers],[Category]], 0, 2)</f>
        <v>5.6</v>
      </c>
      <c r="I225" s="165" t="str" cm="1">
        <f t="array" ref="I225">Common_InputFunctions.Utility_DisplayArrayInTable(Scope3_SourceData.Scope3_Pesticides_Data(), Table_SourceData_Scope3_Pesticides[[#Headers],[Category]], 0, 2)</f>
        <v>at market</v>
      </c>
    </row>
    <row r="226" spans="4:9" ht="20.100000000000001" customHeight="1" x14ac:dyDescent="0.25">
      <c r="D226" s="165" t="str" cm="1">
        <f t="array" ref="D226">Common_InputFunctions.Utility_DisplayArrayInTable(Scope3_SourceData.Scope3_Pesticides_Data(), Table_SourceData_Scope3_Pesticides[[#Headers],[Category]], 0, 2)</f>
        <v>Pesticides</v>
      </c>
      <c r="E226" s="165" t="str" cm="1">
        <f t="array" ref="E226">Common_InputFunctions.Utility_DisplayArrayInTable(Scope3_SourceData.Scope3_Pesticides_Data(), Table_SourceData_Scope3_Pesticides[[#Headers],[Category]], 0, 2)</f>
        <v>Metolachlor</v>
      </c>
      <c r="F226" s="165" t="str" cm="1">
        <f t="array" ref="F226">Common_InputFunctions.Utility_DisplayArrayInTable(Scope3_SourceData.Scope3_Pesticides_Data(), Table_SourceData_Scope3_Pesticides[[#Headers],[Category]], 0, 2)</f>
        <v>Global</v>
      </c>
      <c r="G226" s="165" t="str" cm="1">
        <f t="array" ref="G226">Common_InputFunctions.Utility_DisplayArrayInTable(Scope3_SourceData.Scope3_Pesticides_Data(), Table_SourceData_Scope3_Pesticides[[#Headers],[Category]], 0, 2)</f>
        <v>kg AI</v>
      </c>
      <c r="H226" s="165" cm="1">
        <f t="array" ref="H226">Common_InputFunctions.Utility_DisplayArrayInTable(Scope3_SourceData.Scope3_Pesticides_Data(), Table_SourceData_Scope3_Pesticides[[#Headers],[Category]], 0, 2)</f>
        <v>8.06</v>
      </c>
      <c r="I226" s="165" t="str" cm="1">
        <f t="array" ref="I226">Common_InputFunctions.Utility_DisplayArrayInTable(Scope3_SourceData.Scope3_Pesticides_Data(), Table_SourceData_Scope3_Pesticides[[#Headers],[Category]], 0, 2)</f>
        <v>at market</v>
      </c>
    </row>
    <row r="227" spans="4:9" ht="20.100000000000001" customHeight="1" x14ac:dyDescent="0.25">
      <c r="D227" s="165" t="str" cm="1">
        <f t="array" ref="D227">Common_InputFunctions.Utility_DisplayArrayInTable(Scope3_SourceData.Scope3_Pesticides_Data(), Table_SourceData_Scope3_Pesticides[[#Headers],[Category]], 0, 2)</f>
        <v>Pesticides</v>
      </c>
      <c r="E227" s="165" t="str" cm="1">
        <f t="array" ref="E227">Common_InputFunctions.Utility_DisplayArrayInTable(Scope3_SourceData.Scope3_Pesticides_Data(), Table_SourceData_Scope3_Pesticides[[#Headers],[Category]], 0, 2)</f>
        <v>Metsulfuron-methyl</v>
      </c>
      <c r="F227" s="165" t="str" cm="1">
        <f t="array" ref="F227">Common_InputFunctions.Utility_DisplayArrayInTable(Scope3_SourceData.Scope3_Pesticides_Data(), Table_SourceData_Scope3_Pesticides[[#Headers],[Category]], 0, 2)</f>
        <v>Global</v>
      </c>
      <c r="G227" s="165" t="str" cm="1">
        <f t="array" ref="G227">Common_InputFunctions.Utility_DisplayArrayInTable(Scope3_SourceData.Scope3_Pesticides_Data(), Table_SourceData_Scope3_Pesticides[[#Headers],[Category]], 0, 2)</f>
        <v>kg AI</v>
      </c>
      <c r="H227" s="165" cm="1">
        <f t="array" ref="H227">Common_InputFunctions.Utility_DisplayArrayInTable(Scope3_SourceData.Scope3_Pesticides_Data(), Table_SourceData_Scope3_Pesticides[[#Headers],[Category]], 0, 2)</f>
        <v>8.8000000000000007</v>
      </c>
      <c r="I227" s="165"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412</v>
      </c>
    </row>
    <row r="234" spans="4:9" ht="20.100000000000001" customHeight="1" x14ac:dyDescent="0.25">
      <c r="D234" s="165" t="s">
        <v>346</v>
      </c>
      <c r="E234" s="165" t="s">
        <v>221</v>
      </c>
      <c r="F234" s="165" t="s">
        <v>347</v>
      </c>
      <c r="G234" s="165" t="s">
        <v>302</v>
      </c>
      <c r="H234" s="165" t="s">
        <v>303</v>
      </c>
      <c r="I234" s="165" t="s">
        <v>405</v>
      </c>
    </row>
    <row r="235" spans="4:9" ht="20.100000000000001" customHeight="1" x14ac:dyDescent="0.25">
      <c r="D235" s="165" t="str" cm="1">
        <f t="array" ref="D235">Common_InputFunctions.Utility_DisplayArrayInTable(Scope3_SourceData.Scope3_SoilAmendments_Data(), Table_SourceData_Scope3_SoilAmeliorants[[#Headers],[Category]], 0, 2)</f>
        <v>Soil ameliorants</v>
      </c>
      <c r="E235" s="165" t="str" cm="1">
        <f t="array" ref="E235">Common_InputFunctions.Utility_DisplayArrayInTable(Scope3_SourceData.Scope3_SoilAmendments_Data(), Table_SourceData_Scope3_SoilAmeliorants[[#Headers],[Category]], 0, 2)</f>
        <v>Dolomite</v>
      </c>
      <c r="F235" s="165" t="str" cm="1">
        <f t="array" ref="F235">Common_InputFunctions.Utility_DisplayArrayInTable(Scope3_SourceData.Scope3_SoilAmendments_Data(), Table_SourceData_Scope3_SoilAmeliorants[[#Headers],[Category]], 0, 2)</f>
        <v>Australia</v>
      </c>
      <c r="G235" s="165" t="str" cm="1">
        <f t="array" ref="G235">Common_InputFunctions.Utility_DisplayArrayInTable(Scope3_SourceData.Scope3_SoilAmendments_Data(), Table_SourceData_Scope3_SoilAmeliorants[[#Headers],[Category]], 0, 2)</f>
        <v>kg</v>
      </c>
      <c r="H235" s="165" cm="1">
        <f t="array" ref="H235">Common_InputFunctions.Utility_DisplayArrayInTable(Scope3_SourceData.Scope3_SoilAmendments_Data(), Table_SourceData_Scope3_SoilAmeliorants[[#Headers],[Category]], 0, 2)</f>
        <v>6.5199999999999994E-2</v>
      </c>
      <c r="I235" s="165" t="str" cm="1">
        <f t="array" ref="I235">Common_InputFunctions.Utility_DisplayArrayInTable(Scope3_SourceData.Scope3_SoilAmendments_Data(), Table_SourceData_Scope3_SoilAmeliorants[[#Headers],[Category]], 0, 2)</f>
        <v>at market</v>
      </c>
    </row>
    <row r="236" spans="4:9" ht="20.100000000000001" customHeight="1" x14ac:dyDescent="0.25">
      <c r="D236" s="165" t="str" cm="1">
        <f t="array" ref="D236">Common_InputFunctions.Utility_DisplayArrayInTable(Scope3_SourceData.Scope3_SoilAmendments_Data(), Table_SourceData_Scope3_SoilAmeliorants[[#Headers],[Category]], 0, 2)</f>
        <v>Soil ameliorants</v>
      </c>
      <c r="E236" s="165" t="str" cm="1">
        <f t="array" ref="E236">Common_InputFunctions.Utility_DisplayArrayInTable(Scope3_SourceData.Scope3_SoilAmendments_Data(), Table_SourceData_Scope3_SoilAmeliorants[[#Headers],[Category]], 0, 2)</f>
        <v>Gypsum</v>
      </c>
      <c r="F236" s="165" t="str" cm="1">
        <f t="array" ref="F236">Common_InputFunctions.Utility_DisplayArrayInTable(Scope3_SourceData.Scope3_SoilAmendments_Data(), Table_SourceData_Scope3_SoilAmeliorants[[#Headers],[Category]], 0, 2)</f>
        <v>Australia</v>
      </c>
      <c r="G236" s="165" t="str" cm="1">
        <f t="array" ref="G236">Common_InputFunctions.Utility_DisplayArrayInTable(Scope3_SourceData.Scope3_SoilAmendments_Data(), Table_SourceData_Scope3_SoilAmeliorants[[#Headers],[Category]], 0, 2)</f>
        <v>kg</v>
      </c>
      <c r="H236" s="165" cm="1">
        <f t="array" ref="H236">Common_InputFunctions.Utility_DisplayArrayInTable(Scope3_SourceData.Scope3_SoilAmendments_Data(), Table_SourceData_Scope3_SoilAmeliorants[[#Headers],[Category]], 0, 2)</f>
        <v>6.5199999999999994E-2</v>
      </c>
      <c r="I236" s="165" t="str" cm="1">
        <f t="array" ref="I236">Common_InputFunctions.Utility_DisplayArrayInTable(Scope3_SourceData.Scope3_SoilAmendments_Data(), Table_SourceData_Scope3_SoilAmeliorants[[#Headers],[Category]], 0, 2)</f>
        <v>at market</v>
      </c>
    </row>
    <row r="237" spans="4:9" ht="20.100000000000001" customHeight="1" x14ac:dyDescent="0.25">
      <c r="D237" s="165" t="str" cm="1">
        <f t="array" ref="D237">Common_InputFunctions.Utility_DisplayArrayInTable(Scope3_SourceData.Scope3_SoilAmendments_Data(), Table_SourceData_Scope3_SoilAmeliorants[[#Headers],[Category]], 0, 2)</f>
        <v>Soil ameliorants</v>
      </c>
      <c r="E237" s="165" t="str" cm="1">
        <f t="array" ref="E237">Common_InputFunctions.Utility_DisplayArrayInTable(Scope3_SourceData.Scope3_SoilAmendments_Data(), Table_SourceData_Scope3_SoilAmeliorants[[#Headers],[Category]], 0, 2)</f>
        <v>Limestone (crushed)</v>
      </c>
      <c r="F237" s="165" t="str" cm="1">
        <f t="array" ref="F237">Common_InputFunctions.Utility_DisplayArrayInTable(Scope3_SourceData.Scope3_SoilAmendments_Data(), Table_SourceData_Scope3_SoilAmeliorants[[#Headers],[Category]], 0, 2)</f>
        <v>Australia</v>
      </c>
      <c r="G237" s="165" t="str" cm="1">
        <f t="array" ref="G237">Common_InputFunctions.Utility_DisplayArrayInTable(Scope3_SourceData.Scope3_SoilAmendments_Data(), Table_SourceData_Scope3_SoilAmeliorants[[#Headers],[Category]], 0, 2)</f>
        <v>kg</v>
      </c>
      <c r="H237" s="165" cm="1">
        <f t="array" ref="H237">Common_InputFunctions.Utility_DisplayArrayInTable(Scope3_SourceData.Scope3_SoilAmendments_Data(), Table_SourceData_Scope3_SoilAmeliorants[[#Headers],[Category]], 0, 2)</f>
        <v>4.8500000000000001E-2</v>
      </c>
      <c r="I237" s="165"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C1:AJ188"/>
  <sheetViews>
    <sheetView showGridLines="0" tabSelected="1" topLeftCell="A17" zoomScaleNormal="100" workbookViewId="0">
      <selection activeCell="I193" sqref="I193"/>
    </sheetView>
  </sheetViews>
  <sheetFormatPr defaultRowHeight="15.75" x14ac:dyDescent="0.25"/>
  <cols>
    <col min="1" max="1" width="30.625" customWidth="1"/>
    <col min="2" max="2" width="4.625" customWidth="1"/>
    <col min="3" max="3" width="4.625" style="8" customWidth="1"/>
    <col min="4" max="35" width="30.625" style="8" customWidth="1"/>
    <col min="36" max="36" width="9" style="8"/>
  </cols>
  <sheetData>
    <row r="1" spans="4:29" ht="30" customHeight="1" x14ac:dyDescent="0.25"/>
    <row r="2" spans="4:29" ht="20.100000000000001" customHeight="1" x14ac:dyDescent="0.25">
      <c r="F2" s="8" t="s">
        <v>485</v>
      </c>
    </row>
    <row r="3" spans="4:29" ht="20.100000000000001" customHeight="1" x14ac:dyDescent="0.25">
      <c r="D3" s="9" t="s">
        <v>415</v>
      </c>
      <c r="F3" s="100" t="s">
        <v>414</v>
      </c>
      <c r="G3" s="116"/>
      <c r="H3" s="101"/>
    </row>
    <row r="4" spans="4:29" ht="20.100000000000001" customHeight="1" x14ac:dyDescent="0.25"/>
    <row r="5" spans="4:29" ht="20.100000000000001" customHeight="1" x14ac:dyDescent="0.25">
      <c r="D5" s="47" t="s">
        <v>221</v>
      </c>
      <c r="E5" s="47" t="s">
        <v>398</v>
      </c>
      <c r="F5" s="60" t="s">
        <v>397</v>
      </c>
      <c r="G5" s="60" t="s">
        <v>394</v>
      </c>
      <c r="H5" s="47" t="s">
        <v>401</v>
      </c>
      <c r="I5" s="60" t="s">
        <v>395</v>
      </c>
      <c r="J5" s="60" t="s">
        <v>175</v>
      </c>
      <c r="K5" s="60" t="s">
        <v>176</v>
      </c>
      <c r="L5" s="60" t="s">
        <v>177</v>
      </c>
      <c r="M5" s="60" t="s">
        <v>178</v>
      </c>
      <c r="N5" s="60" t="s">
        <v>385</v>
      </c>
      <c r="O5" s="60" t="s">
        <v>179</v>
      </c>
      <c r="P5" s="60" t="s">
        <v>180</v>
      </c>
      <c r="Q5" s="60" t="s">
        <v>389</v>
      </c>
      <c r="R5" s="60" t="s">
        <v>181</v>
      </c>
      <c r="S5" s="60" t="s">
        <v>182</v>
      </c>
      <c r="T5" s="60" t="s">
        <v>390</v>
      </c>
      <c r="U5" s="60" t="s">
        <v>183</v>
      </c>
      <c r="V5" s="60" t="s">
        <v>184</v>
      </c>
      <c r="W5" s="60" t="s">
        <v>391</v>
      </c>
      <c r="X5" s="60" t="s">
        <v>185</v>
      </c>
      <c r="Y5" s="60" t="s">
        <v>186</v>
      </c>
      <c r="Z5" s="60" t="s">
        <v>392</v>
      </c>
      <c r="AA5" s="60" t="s">
        <v>187</v>
      </c>
      <c r="AB5" s="60" t="s">
        <v>188</v>
      </c>
      <c r="AC5" s="60" t="s">
        <v>393</v>
      </c>
    </row>
    <row r="6" spans="4:29" ht="20.100000000000001" customHeight="1" x14ac:dyDescent="0.25">
      <c r="D6" s="50" t="str" cm="1">
        <f t="array" ref="D6:D25">IFERROR(INDEX(Table_Input_InorganicFertiliser_Brands[Product (select)], _xlfn.SEQUENCE(20)), "")</f>
        <v>CoRoN 12-0-10</v>
      </c>
      <c r="E6" s="50" cm="1">
        <f t="array" ref="E6:E25">IFERROR(INDEX(Table_Input_InorganicFertiliser_Brands[Total applied (kg)], _xlfn.SEQUENCE(20)), "")</f>
        <v>12150.000000000002</v>
      </c>
      <c r="F6" s="50">
        <f>IFERROR((M6*N6)+(P6*Q6)+(S6*T6)+(V6*W6)+(Y6*Z6)+(AB6*AC6), 0)</f>
        <v>0.40629130443200001</v>
      </c>
      <c r="G6" s="172">
        <f>IFERROR(F6*E6, 0)</f>
        <v>4936.4393488488013</v>
      </c>
      <c r="H6" s="69">
        <v>0.4</v>
      </c>
      <c r="I6" s="172">
        <f>IFERROR(IF(H6, E6*H6, E6*F6),0)</f>
        <v>4860.0000000000009</v>
      </c>
      <c r="J6" s="50" t="str" cm="1">
        <f t="array" ref="J6:J25">IFERROR(INDEX(Table_Input_InorganicFertiliser_Brands[Urea source], _xlfn.SEQUENCE(20)), "")</f>
        <v/>
      </c>
      <c r="K6" s="50" t="str" cm="1">
        <f t="array" ref="K6:K25">IFERROR(INDEX(Table_Input_InorganicFertiliser_Brands[Ammonia source], _xlfn.SEQUENCE(20)), "")</f>
        <v/>
      </c>
      <c r="L6" s="50" t="str" cm="1">
        <f t="array" ref="L6:L25">IFERROR(INDEX(Table_Input_InorganicFertiliser_Brands[Ingredient 1], _xlfn.SEQUENCE(20)), "")</f>
        <v>Urea</v>
      </c>
      <c r="M6" s="50" cm="1">
        <f t="array" ref="M6:M25">IFERROR(INDEX(_xlfn.LET(_xlpm.result, Table_Input_InorganicFertiliser_Brands[Ingredient 1 percent], IF(_xlpm.result="", 0, _xlpm.result)), _xlfn.SEQUENCE(20)), "")</f>
        <v>0.19565217400000001</v>
      </c>
      <c r="N6" s="50" cm="1">
        <f t="array" ref="N6">_xlfn.LET(_xlpm.result, Common_InputFunctions.Utility_LookupValueInTableTwoColumns(L6, _xlfn.IFS(L6="Urea",IF($J6="", "Global", $J6), L6="Ammonia", IF($K6="", "Global", $K6), TRUE, "Global"), Table_SourceData_Scope3_InorganicFertiliser[Chemical compound],Table_SourceData_Scope3_InorganicFertiliser[Region of origin],Table_SourceData_Scope3_InorganicFertiliser[AusLCI Emissions intensity]), IF(_xlpm.result="", 0, _xlpm.result))</f>
        <v>0.96799999999999997</v>
      </c>
      <c r="O6" s="50" t="str" cm="1">
        <f t="array" ref="O6:O25">IFERROR(INDEX(Table_Input_InorganicFertiliser_Brands[Ingredient 2], _xlfn.SEQUENCE(20)), "")</f>
        <v>Potassium - Generic</v>
      </c>
      <c r="P6" s="50" cm="1">
        <f t="array" ref="P6:P25">IFERROR(INDEX(_xlfn.LET(_xlpm.result, Table_Input_InorganicFertiliser_Brands[Ingredient 2 percent], IF(_xlpm.result="", 0, _xlpm.result)), _xlfn.SEQUENCE(20)), "")</f>
        <v>0.1</v>
      </c>
      <c r="Q6" s="50" cm="1">
        <f t="array" ref="Q6">_xlfn.LET(_xlpm.result, Common_InputFunctions.Utility_LookupValueInTableTwoColumns(O6, _xlfn.IFS(O6="Urea",IF($J6="", "Global", $J6), O6="Ammonia", IF($K6="", "Global", $K6), TRUE, "Global"), Table_SourceData_Scope3_InorganicFertiliser[Chemical compound],Table_SourceData_Scope3_InorganicFertiliser[Region of origin],Table_SourceData_Scope3_InorganicFertiliser[AusLCI Emissions intensity]), IF(_xlpm.result="", 0, _xlpm.result))</f>
        <v>0.90900000000000003</v>
      </c>
      <c r="R6" s="50" t="str" cm="1">
        <f t="array" ref="R6:R25">IFERROR(INDEX(Table_Input_InorganicFertiliser_Brands[Ingredient 3], _xlfn.SEQUENCE(20)), "")</f>
        <v>Nitrogen - Generic</v>
      </c>
      <c r="S6" s="50" cm="1">
        <f t="array" ref="S6:S25">IFERROR(INDEX(_xlfn.LET(_xlpm.result, Table_Input_InorganicFertiliser_Brands[Ingredient 3 percent], IF(_xlpm.result="", 0, _xlpm.result)), _xlfn.SEQUENCE(20)), "")</f>
        <v>0.03</v>
      </c>
      <c r="T6" s="50" cm="1">
        <f t="array" ref="T6">_xlfn.LET(_xlpm.result, Common_InputFunctions.Utility_LookupValueInTableTwoColumns(R6, _xlfn.IFS(R6="Urea",IF($J6="", "Global", $J6), R6="Ammonia", IF($K6="", "Global", $K6), TRUE, "Global"), Table_SourceData_Scope3_InorganicFertiliser[Chemical compound],Table_SourceData_Scope3_InorganicFertiliser[Region of origin],Table_SourceData_Scope3_InorganicFertiliser[AusLCI Emissions intensity]), IF(_xlpm.result="", 0, _xlpm.result))</f>
        <v>4.2</v>
      </c>
      <c r="U6" s="50" t="str" cm="1">
        <f t="array" ref="U6:U25">IFERROR(INDEX(Table_Input_InorganicFertiliser_Brands[Ingredient 4], _xlfn.SEQUENCE(20)), "")</f>
        <v>Boron</v>
      </c>
      <c r="V6" s="50" cm="1">
        <f t="array" ref="V6:V25">IFERROR(INDEX(_xlfn.LET(_xlpm.result, Table_Input_InorganicFertiliser_Brands[Ingredient 4 percent], IF(_xlpm.result="", 0, _xlpm.result)), _xlfn.SEQUENCE(20)), "")</f>
        <v>5.0000000000000001E-3</v>
      </c>
      <c r="W6" s="50" cm="1">
        <f t="array" ref="W6">_xlfn.LET(_xlpm.result, Common_InputFunctions.Utility_LookupValueInTableTwoColumns(U6, _xlfn.IFS(U6="Urea",IF($J6="", "Global", $J6), U6="Ammonia", IF($K6="", "Global", $K6), TRUE, "Global"), Table_SourceData_Scope3_InorganicFertiliser[Chemical compound],Table_SourceData_Scope3_InorganicFertiliser[Region of origin],Table_SourceData_Scope3_InorganicFertiliser[AusLCI Emissions intensity]), IF(_xlpm.result="", 0, _xlpm.result))</f>
        <v>0</v>
      </c>
      <c r="X6" s="50" t="str" cm="1">
        <f t="array" ref="X6:X25">IFERROR(INDEX(Table_Input_InorganicFertiliser_Brands[Ingredient 5], _xlfn.SEQUENCE(20)), "")</f>
        <v/>
      </c>
      <c r="Y6" s="50" cm="1">
        <f t="array" ref="Y6:Y25">IFERROR(INDEX(_xlfn.LET(_xlpm.result, Table_Input_InorganicFertiliser_Brands[Ingredient 5 percent], IF(_xlpm.result="", 0, _xlpm.result)), _xlfn.SEQUENCE(20)), "")</f>
        <v>0</v>
      </c>
      <c r="Z6" s="50" cm="1">
        <f t="array" ref="Z6">_xlfn.LET(_xlpm.result, Common_InputFunctions.Utility_LookupValueInTableTwoColumns(X6, _xlfn.IFS(X6="Urea",IF($J6="", "Global", $J6), X6="Ammonia", IF($K6="", "Global", $K6), TRUE, "Global"), Table_SourceData_Scope3_InorganicFertiliser[Chemical compound],Table_SourceData_Scope3_InorganicFertiliser[Region of origin],Table_SourceData_Scope3_InorganicFertiliser[AusLCI Emissions intensity]), IF(_xlpm.result="", 0, _xlpm.result))</f>
        <v>0</v>
      </c>
      <c r="AA6" s="50" t="str" cm="1">
        <f t="array" ref="AA6:AA25">IFERROR(INDEX(Table_Input_InorganicFertiliser_Brands[Ingredient 6], _xlfn.SEQUENCE(20)), "")</f>
        <v/>
      </c>
      <c r="AB6" s="50" cm="1">
        <f t="array" ref="AB6:AB25">IFERROR(INDEX(_xlfn.LET(_xlpm.result, Table_Input_InorganicFertiliser_Brands[Ingredient 6 percent], IF(_xlpm.result="", 0, _xlpm.result)), _xlfn.SEQUENCE(20)), "")</f>
        <v>0</v>
      </c>
      <c r="AC6" s="50" cm="1">
        <f t="array" ref="AC6">_xlfn.LET(_xlpm.result, Common_InputFunctions.Utility_LookupValueInTableTwoColumns(AA6, _xlfn.IFS(AA6="Urea",IF($J6="", "Global", $J6), AA6="Ammonia", IF($K6="", "Global", $K6), TRUE, "Global"), Table_SourceData_Scope3_InorganicFertiliser[Chemical compound],Table_SourceData_Scope3_InorganicFertiliser[Region of origin],Table_SourceData_Scope3_InorganicFertiliser[AusLCI Emissions intensity]), IF(_xlpm.result="", 0, _xlpm.result))</f>
        <v>0</v>
      </c>
    </row>
    <row r="7" spans="4:29" ht="20.100000000000001" customHeight="1" x14ac:dyDescent="0.25">
      <c r="D7" s="50" t="str">
        <v>Boost-It</v>
      </c>
      <c r="E7" s="50">
        <v>20000</v>
      </c>
      <c r="F7" s="50">
        <f t="shared" ref="F7:F25" si="0">IFERROR((M7*N7)+(P7*Q7)+(S7*T7)+(V7*W7)+(Y7*Z7)+(AB7*AC7), 0)</f>
        <v>0.91618347784000009</v>
      </c>
      <c r="G7" s="172">
        <f t="shared" ref="G7:G25" si="1">IFERROR(F7*E7, 0)</f>
        <v>18323.669556800003</v>
      </c>
      <c r="H7" s="69">
        <v>0.9</v>
      </c>
      <c r="I7" s="172">
        <f t="shared" ref="I7:I25" si="2">IFERROR(IF(H7, E7*H7, E7*F7),0)</f>
        <v>18000</v>
      </c>
      <c r="J7" s="50" t="str">
        <v/>
      </c>
      <c r="K7" s="50" t="str">
        <v/>
      </c>
      <c r="L7" s="50" t="str">
        <v>Urea</v>
      </c>
      <c r="M7" s="50">
        <v>0.52173913000000005</v>
      </c>
      <c r="N7" s="50" cm="1">
        <f t="array" ref="N7">_xlfn.LET(_xlpm.result, Common_InputFunctions.Utility_LookupValueInTableTwoColumns(L7, _xlfn.IFS(L7="Urea",IF($J7="", "Global", $J7), L7="Ammonia", IF($K7="", "Global", $K7), TRUE, "Global"), Table_SourceData_Scope3_InorganicFertiliser[Chemical compound],Table_SourceData_Scope3_InorganicFertiliser[Region of origin],Table_SourceData_Scope3_InorganicFertiliser[AusLCI Emissions intensity]), IF(_xlpm.result="", 0, _xlpm.result))</f>
        <v>0.96799999999999997</v>
      </c>
      <c r="O7" s="50" t="str">
        <v>Potassium - Generic</v>
      </c>
      <c r="P7" s="50">
        <v>0.08</v>
      </c>
      <c r="Q7" s="50" cm="1">
        <f t="array" ref="Q7">_xlfn.LET(_xlpm.result, Common_InputFunctions.Utility_LookupValueInTableTwoColumns(O7, _xlfn.IFS(O7="Urea",IF($J7="", "Global", $J7), O7="Ammonia", IF($K7="", "Global", $K7), TRUE, "Global"), Table_SourceData_Scope3_InorganicFertiliser[Chemical compound],Table_SourceData_Scope3_InorganicFertiliser[Region of origin],Table_SourceData_Scope3_InorganicFertiliser[AusLCI Emissions intensity]), IF(_xlpm.result="", 0, _xlpm.result))</f>
        <v>0.90900000000000003</v>
      </c>
      <c r="R7" s="50" t="str">
        <v>Sulfur - Generic</v>
      </c>
      <c r="S7" s="50">
        <v>5.2999999999999999E-2</v>
      </c>
      <c r="T7" s="50" cm="1">
        <f t="array" ref="T7">_xlfn.LET(_xlpm.result, Common_InputFunctions.Utility_LookupValueInTableTwoColumns(R7, _xlfn.IFS(R7="Urea",IF($J7="", "Global", $J7), R7="Ammonia", IF($K7="", "Global", $K7), TRUE, "Global"), Table_SourceData_Scope3_InorganicFertiliser[Chemical compound],Table_SourceData_Scope3_InorganicFertiliser[Region of origin],Table_SourceData_Scope3_InorganicFertiliser[AusLCI Emissions intensity]), IF(_xlpm.result="", 0, _xlpm.result))</f>
        <v>2.5</v>
      </c>
      <c r="U7" s="50" t="str">
        <v>Phosphorus - Generic</v>
      </c>
      <c r="V7" s="50">
        <v>5.1999999999999998E-2</v>
      </c>
      <c r="W7" s="50" cm="1">
        <f t="array" ref="W7">_xlfn.LET(_xlpm.result, Common_InputFunctions.Utility_LookupValueInTableTwoColumns(U7, _xlfn.IFS(U7="Urea",IF($J7="", "Global", $J7), U7="Ammonia", IF($K7="", "Global", $K7), TRUE, "Global"), Table_SourceData_Scope3_InorganicFertiliser[Chemical compound],Table_SourceData_Scope3_InorganicFertiliser[Region of origin],Table_SourceData_Scope3_InorganicFertiliser[AusLCI Emissions intensity]), IF(_xlpm.result="", 0, _xlpm.result))</f>
        <v>3.96</v>
      </c>
      <c r="X7" s="50" t="str">
        <v>Magnesium</v>
      </c>
      <c r="Y7" s="50">
        <v>1.2999999999999999E-2</v>
      </c>
      <c r="Z7" s="50" cm="1">
        <f t="array" ref="Z7">_xlfn.LET(_xlpm.result, Common_InputFunctions.Utility_LookupValueInTableTwoColumns(X7, _xlfn.IFS(X7="Urea",IF($J7="", "Global", $J7), X7="Ammonia", IF($K7="", "Global", $K7), TRUE, "Global"), Table_SourceData_Scope3_InorganicFertiliser[Chemical compound],Table_SourceData_Scope3_InorganicFertiliser[Region of origin],Table_SourceData_Scope3_InorganicFertiliser[AusLCI Emissions intensity]), IF(_xlpm.result="", 0, _xlpm.result))</f>
        <v>0</v>
      </c>
      <c r="AA7" s="50" t="str">
        <v>Zinc</v>
      </c>
      <c r="AB7" s="50">
        <v>2E-3</v>
      </c>
      <c r="AC7" s="50" cm="1">
        <f t="array" ref="AC7">_xlfn.LET(_xlpm.result, Common_InputFunctions.Utility_LookupValueInTableTwoColumns(AA7, _xlfn.IFS(AA7="Urea",IF($J7="", "Global", $J7), AA7="Ammonia", IF($K7="", "Global", $K7), TRUE, "Global"), Table_SourceData_Scope3_InorganicFertiliser[Chemical compound],Table_SourceData_Scope3_InorganicFertiliser[Region of origin],Table_SourceData_Scope3_InorganicFertiliser[AusLCI Emissions intensity]), IF(_xlpm.result="", 0, _xlpm.result))</f>
        <v>0</v>
      </c>
    </row>
    <row r="8" spans="4:29" ht="20.100000000000001" customHeight="1" x14ac:dyDescent="0.25">
      <c r="D8" s="50" t="str">
        <v>CoRoN 12-0-10</v>
      </c>
      <c r="E8" s="50">
        <v>12150.000000000002</v>
      </c>
      <c r="F8" s="50">
        <f t="shared" si="0"/>
        <v>0.40629130443200001</v>
      </c>
      <c r="G8" s="172">
        <f t="shared" si="1"/>
        <v>4936.4393488488013</v>
      </c>
      <c r="H8" s="69">
        <v>0.4</v>
      </c>
      <c r="I8" s="172">
        <f t="shared" si="2"/>
        <v>4860.0000000000009</v>
      </c>
      <c r="J8" s="50" t="str">
        <v/>
      </c>
      <c r="K8" s="50" t="str">
        <v/>
      </c>
      <c r="L8" s="50" t="str">
        <v>Urea</v>
      </c>
      <c r="M8" s="50">
        <v>0.19565217400000001</v>
      </c>
      <c r="N8" s="50" cm="1">
        <f t="array" ref="N8">_xlfn.LET(_xlpm.result, Common_InputFunctions.Utility_LookupValueInTableTwoColumns(L8, _xlfn.IFS(L8="Urea",IF($J8="", "Global", $J8), L8="Ammonia", IF($K8="", "Global", $K8), TRUE, "Global"), Table_SourceData_Scope3_InorganicFertiliser[Chemical compound],Table_SourceData_Scope3_InorganicFertiliser[Region of origin],Table_SourceData_Scope3_InorganicFertiliser[AusLCI Emissions intensity]), IF(_xlpm.result="", 0, _xlpm.result))</f>
        <v>0.96799999999999997</v>
      </c>
      <c r="O8" s="50" t="str">
        <v>Potassium - Generic</v>
      </c>
      <c r="P8" s="50">
        <v>0.1</v>
      </c>
      <c r="Q8" s="50" cm="1">
        <f t="array" ref="Q8">_xlfn.LET(_xlpm.result, Common_InputFunctions.Utility_LookupValueInTableTwoColumns(O8, _xlfn.IFS(O8="Urea",IF($J8="", "Global", $J8), O8="Ammonia", IF($K8="", "Global", $K8), TRUE, "Global"), Table_SourceData_Scope3_InorganicFertiliser[Chemical compound],Table_SourceData_Scope3_InorganicFertiliser[Region of origin],Table_SourceData_Scope3_InorganicFertiliser[AusLCI Emissions intensity]), IF(_xlpm.result="", 0, _xlpm.result))</f>
        <v>0.90900000000000003</v>
      </c>
      <c r="R8" s="50" t="str">
        <v>Nitrogen - Generic</v>
      </c>
      <c r="S8" s="50">
        <v>0.03</v>
      </c>
      <c r="T8" s="50" cm="1">
        <f t="array" ref="T8">_xlfn.LET(_xlpm.result, Common_InputFunctions.Utility_LookupValueInTableTwoColumns(R8, _xlfn.IFS(R8="Urea",IF($J8="", "Global", $J8), R8="Ammonia", IF($K8="", "Global", $K8), TRUE, "Global"), Table_SourceData_Scope3_InorganicFertiliser[Chemical compound],Table_SourceData_Scope3_InorganicFertiliser[Region of origin],Table_SourceData_Scope3_InorganicFertiliser[AusLCI Emissions intensity]), IF(_xlpm.result="", 0, _xlpm.result))</f>
        <v>4.2</v>
      </c>
      <c r="U8" s="50" t="str">
        <v>Boron</v>
      </c>
      <c r="V8" s="50">
        <v>5.0000000000000001E-3</v>
      </c>
      <c r="W8" s="50" cm="1">
        <f t="array" ref="W8">_xlfn.LET(_xlpm.result, Common_InputFunctions.Utility_LookupValueInTableTwoColumns(U8, _xlfn.IFS(U8="Urea",IF($J8="", "Global", $J8), U8="Ammonia", IF($K8="", "Global", $K8), TRUE, "Global"), Table_SourceData_Scope3_InorganicFertiliser[Chemical compound],Table_SourceData_Scope3_InorganicFertiliser[Region of origin],Table_SourceData_Scope3_InorganicFertiliser[AusLCI Emissions intensity]), IF(_xlpm.result="", 0, _xlpm.result))</f>
        <v>0</v>
      </c>
      <c r="X8" s="50" t="str">
        <v/>
      </c>
      <c r="Y8" s="50">
        <v>0</v>
      </c>
      <c r="Z8" s="50" cm="1">
        <f t="array" ref="Z8">_xlfn.LET(_xlpm.result, Common_InputFunctions.Utility_LookupValueInTableTwoColumns(X8, _xlfn.IFS(X8="Urea",IF($J8="", "Global", $J8), X8="Ammonia", IF($K8="", "Global", $K8), TRUE, "Global"), Table_SourceData_Scope3_InorganicFertiliser[Chemical compound],Table_SourceData_Scope3_InorganicFertiliser[Region of origin],Table_SourceData_Scope3_InorganicFertiliser[AusLCI Emissions intensity]), IF(_xlpm.result="", 0, _xlpm.result))</f>
        <v>0</v>
      </c>
      <c r="AA8" s="50" t="str">
        <v/>
      </c>
      <c r="AB8" s="50">
        <v>0</v>
      </c>
      <c r="AC8" s="50" cm="1">
        <f t="array" ref="AC8">_xlfn.LET(_xlpm.result, Common_InputFunctions.Utility_LookupValueInTableTwoColumns(AA8, _xlfn.IFS(AA8="Urea",IF($J8="", "Global", $J8), AA8="Ammonia", IF($K8="", "Global", $K8), TRUE, "Global"), Table_SourceData_Scope3_InorganicFertiliser[Chemical compound],Table_SourceData_Scope3_InorganicFertiliser[Region of origin],Table_SourceData_Scope3_InorganicFertiliser[AusLCI Emissions intensity]), IF(_xlpm.result="", 0, _xlpm.result))</f>
        <v>0</v>
      </c>
    </row>
    <row r="9" spans="4:29" ht="20.100000000000001" customHeight="1" x14ac:dyDescent="0.25">
      <c r="D9" s="50" t="str">
        <v/>
      </c>
      <c r="E9" s="50" t="str">
        <v/>
      </c>
      <c r="F9" s="50">
        <f t="shared" si="0"/>
        <v>0</v>
      </c>
      <c r="G9" s="172">
        <f t="shared" si="1"/>
        <v>0</v>
      </c>
      <c r="H9" s="69"/>
      <c r="I9" s="172">
        <f t="shared" si="2"/>
        <v>0</v>
      </c>
      <c r="J9" s="50" t="str">
        <v/>
      </c>
      <c r="K9" s="50" t="str">
        <v/>
      </c>
      <c r="L9" s="50" t="str">
        <v/>
      </c>
      <c r="M9" s="50" t="str">
        <v/>
      </c>
      <c r="N9" s="50" cm="1">
        <f t="array" ref="N9">_xlfn.LET(_xlpm.result, Common_InputFunctions.Utility_LookupValueInTableTwoColumns(L9, _xlfn.IFS(L9="Urea",IF($J9="", "Global", $J9), L9="Ammonia", IF($K9="", "Global", $K9), TRUE, "Global"), Table_SourceData_Scope3_InorganicFertiliser[Chemical compound],Table_SourceData_Scope3_InorganicFertiliser[Region of origin],Table_SourceData_Scope3_InorganicFertiliser[AusLCI Emissions intensity]), IF(_xlpm.result="", 0, _xlpm.result))</f>
        <v>0</v>
      </c>
      <c r="O9" s="50" t="str">
        <v/>
      </c>
      <c r="P9" s="50" t="str">
        <v/>
      </c>
      <c r="Q9" s="50" cm="1">
        <f t="array" ref="Q9">_xlfn.LET(_xlpm.result, Common_InputFunctions.Utility_LookupValueInTableTwoColumns(O9, _xlfn.IFS(O9="Urea",IF($J9="", "Global", $J9), O9="Ammonia", IF($K9="", "Global", $K9), TRUE, "Global"), Table_SourceData_Scope3_InorganicFertiliser[Chemical compound],Table_SourceData_Scope3_InorganicFertiliser[Region of origin],Table_SourceData_Scope3_InorganicFertiliser[AusLCI Emissions intensity]), IF(_xlpm.result="", 0, _xlpm.result))</f>
        <v>0</v>
      </c>
      <c r="R9" s="50" t="str">
        <v/>
      </c>
      <c r="S9" s="50" t="str">
        <v/>
      </c>
      <c r="T9" s="50" cm="1">
        <f t="array" ref="T9">_xlfn.LET(_xlpm.result, Common_InputFunctions.Utility_LookupValueInTableTwoColumns(R9, _xlfn.IFS(R9="Urea",IF($J9="", "Global", $J9), R9="Ammonia", IF($K9="", "Global", $K9), TRUE, "Global"), Table_SourceData_Scope3_InorganicFertiliser[Chemical compound],Table_SourceData_Scope3_InorganicFertiliser[Region of origin],Table_SourceData_Scope3_InorganicFertiliser[AusLCI Emissions intensity]), IF(_xlpm.result="", 0, _xlpm.result))</f>
        <v>0</v>
      </c>
      <c r="U9" s="50" t="str">
        <v/>
      </c>
      <c r="V9" s="50" t="str">
        <v/>
      </c>
      <c r="W9" s="50" cm="1">
        <f t="array" ref="W9">_xlfn.LET(_xlpm.result, Common_InputFunctions.Utility_LookupValueInTableTwoColumns(U9, _xlfn.IFS(U9="Urea",IF($J9="", "Global", $J9), U9="Ammonia", IF($K9="", "Global", $K9), TRUE, "Global"), Table_SourceData_Scope3_InorganicFertiliser[Chemical compound],Table_SourceData_Scope3_InorganicFertiliser[Region of origin],Table_SourceData_Scope3_InorganicFertiliser[AusLCI Emissions intensity]), IF(_xlpm.result="", 0, _xlpm.result))</f>
        <v>0</v>
      </c>
      <c r="X9" s="50" t="str">
        <v/>
      </c>
      <c r="Y9" s="50" t="str">
        <v/>
      </c>
      <c r="Z9" s="50" cm="1">
        <f t="array" ref="Z9">_xlfn.LET(_xlpm.result, Common_InputFunctions.Utility_LookupValueInTableTwoColumns(X9, _xlfn.IFS(X9="Urea",IF($J9="", "Global", $J9), X9="Ammonia", IF($K9="", "Global", $K9), TRUE, "Global"), Table_SourceData_Scope3_InorganicFertiliser[Chemical compound],Table_SourceData_Scope3_InorganicFertiliser[Region of origin],Table_SourceData_Scope3_InorganicFertiliser[AusLCI Emissions intensity]), IF(_xlpm.result="", 0, _xlpm.result))</f>
        <v>0</v>
      </c>
      <c r="AA9" s="50" t="str">
        <v/>
      </c>
      <c r="AB9" s="50" t="str">
        <v/>
      </c>
      <c r="AC9" s="50" cm="1">
        <f t="array" ref="AC9">_xlfn.LET(_xlpm.result, Common_InputFunctions.Utility_LookupValueInTableTwoColumns(AA9, _xlfn.IFS(AA9="Urea",IF($J9="", "Global", $J9), AA9="Ammonia", IF($K9="", "Global", $K9), TRUE, "Global"), Table_SourceData_Scope3_InorganicFertiliser[Chemical compound],Table_SourceData_Scope3_InorganicFertiliser[Region of origin],Table_SourceData_Scope3_InorganicFertiliser[AusLCI Emissions intensity]), IF(_xlpm.result="", 0, _xlpm.result))</f>
        <v>0</v>
      </c>
    </row>
    <row r="10" spans="4:29" ht="20.100000000000001" customHeight="1" x14ac:dyDescent="0.25">
      <c r="D10" s="50" t="str">
        <v/>
      </c>
      <c r="E10" s="50" t="str">
        <v/>
      </c>
      <c r="F10" s="50">
        <f t="shared" si="0"/>
        <v>0</v>
      </c>
      <c r="G10" s="172">
        <f t="shared" si="1"/>
        <v>0</v>
      </c>
      <c r="H10" s="69"/>
      <c r="I10" s="172">
        <f t="shared" si="2"/>
        <v>0</v>
      </c>
      <c r="J10" s="50" t="str">
        <v/>
      </c>
      <c r="K10" s="50" t="str">
        <v/>
      </c>
      <c r="L10" s="50" t="str">
        <v/>
      </c>
      <c r="M10" s="50" t="str">
        <v/>
      </c>
      <c r="N10" s="50" cm="1">
        <f t="array" ref="N10">_xlfn.LET(_xlpm.result, Common_InputFunctions.Utility_LookupValueInTableTwoColumns(L10, _xlfn.IFS(L10="Urea",IF($J10="", "Global", $J10), L10="Ammonia", IF($K10="", "Global", $K10), TRUE, "Global"), Table_SourceData_Scope3_InorganicFertiliser[Chemical compound],Table_SourceData_Scope3_InorganicFertiliser[Region of origin],Table_SourceData_Scope3_InorganicFertiliser[AusLCI Emissions intensity]), IF(_xlpm.result="", 0, _xlpm.result))</f>
        <v>0</v>
      </c>
      <c r="O10" s="50" t="str">
        <v/>
      </c>
      <c r="P10" s="50" t="str">
        <v/>
      </c>
      <c r="Q10" s="50" cm="1">
        <f t="array" ref="Q10">_xlfn.LET(_xlpm.result, Common_InputFunctions.Utility_LookupValueInTableTwoColumns(O10, _xlfn.IFS(O10="Urea",IF($J10="", "Global", $J10), O10="Ammonia", IF($K10="", "Global", $K10), TRUE, "Global"), Table_SourceData_Scope3_InorganicFertiliser[Chemical compound],Table_SourceData_Scope3_InorganicFertiliser[Region of origin],Table_SourceData_Scope3_InorganicFertiliser[AusLCI Emissions intensity]), IF(_xlpm.result="", 0, _xlpm.result))</f>
        <v>0</v>
      </c>
      <c r="R10" s="50" t="str">
        <v/>
      </c>
      <c r="S10" s="50" t="str">
        <v/>
      </c>
      <c r="T10" s="50" cm="1">
        <f t="array" ref="T10">_xlfn.LET(_xlpm.result, Common_InputFunctions.Utility_LookupValueInTableTwoColumns(R10, _xlfn.IFS(R10="Urea",IF($J10="", "Global", $J10), R10="Ammonia", IF($K10="", "Global", $K10), TRUE, "Global"), Table_SourceData_Scope3_InorganicFertiliser[Chemical compound],Table_SourceData_Scope3_InorganicFertiliser[Region of origin],Table_SourceData_Scope3_InorganicFertiliser[AusLCI Emissions intensity]), IF(_xlpm.result="", 0, _xlpm.result))</f>
        <v>0</v>
      </c>
      <c r="U10" s="50" t="str">
        <v/>
      </c>
      <c r="V10" s="50" t="str">
        <v/>
      </c>
      <c r="W10" s="50" cm="1">
        <f t="array" ref="W10">_xlfn.LET(_xlpm.result, Common_InputFunctions.Utility_LookupValueInTableTwoColumns(U10, _xlfn.IFS(U10="Urea",IF($J10="", "Global", $J10), U10="Ammonia", IF($K10="", "Global", $K10), TRUE, "Global"), Table_SourceData_Scope3_InorganicFertiliser[Chemical compound],Table_SourceData_Scope3_InorganicFertiliser[Region of origin],Table_SourceData_Scope3_InorganicFertiliser[AusLCI Emissions intensity]), IF(_xlpm.result="", 0, _xlpm.result))</f>
        <v>0</v>
      </c>
      <c r="X10" s="50" t="str">
        <v/>
      </c>
      <c r="Y10" s="50" t="str">
        <v/>
      </c>
      <c r="Z10" s="50" cm="1">
        <f t="array" ref="Z10">_xlfn.LET(_xlpm.result, Common_InputFunctions.Utility_LookupValueInTableTwoColumns(X10, _xlfn.IFS(X10="Urea",IF($J10="", "Global", $J10), X10="Ammonia", IF($K10="", "Global", $K10), TRUE, "Global"), Table_SourceData_Scope3_InorganicFertiliser[Chemical compound],Table_SourceData_Scope3_InorganicFertiliser[Region of origin],Table_SourceData_Scope3_InorganicFertiliser[AusLCI Emissions intensity]), IF(_xlpm.result="", 0, _xlpm.result))</f>
        <v>0</v>
      </c>
      <c r="AA10" s="50" t="str">
        <v/>
      </c>
      <c r="AB10" s="50" t="str">
        <v/>
      </c>
      <c r="AC10" s="50" cm="1">
        <f t="array" ref="AC10">_xlfn.LET(_xlpm.result, Common_InputFunctions.Utility_LookupValueInTableTwoColumns(AA10, _xlfn.IFS(AA10="Urea",IF($J10="", "Global", $J10), AA10="Ammonia", IF($K10="", "Global", $K10), TRUE, "Global"), Table_SourceData_Scope3_InorganicFertiliser[Chemical compound],Table_SourceData_Scope3_InorganicFertiliser[Region of origin],Table_SourceData_Scope3_InorganicFertiliser[AusLCI Emissions intensity]), IF(_xlpm.result="", 0, _xlpm.result))</f>
        <v>0</v>
      </c>
    </row>
    <row r="11" spans="4:29" ht="20.100000000000001" customHeight="1" x14ac:dyDescent="0.25">
      <c r="D11" s="50" t="str">
        <v/>
      </c>
      <c r="E11" s="50" t="str">
        <v/>
      </c>
      <c r="F11" s="50">
        <f t="shared" si="0"/>
        <v>0</v>
      </c>
      <c r="G11" s="172">
        <f t="shared" si="1"/>
        <v>0</v>
      </c>
      <c r="H11" s="69"/>
      <c r="I11" s="172">
        <f t="shared" si="2"/>
        <v>0</v>
      </c>
      <c r="J11" s="50" t="str">
        <v/>
      </c>
      <c r="K11" s="50" t="str">
        <v/>
      </c>
      <c r="L11" s="50" t="str">
        <v/>
      </c>
      <c r="M11" s="50" t="str">
        <v/>
      </c>
      <c r="N11" s="50" cm="1">
        <f t="array" ref="N11">_xlfn.LET(_xlpm.result, Common_InputFunctions.Utility_LookupValueInTableTwoColumns(L11, _xlfn.IFS(L11="Urea",IF($J11="", "Global", $J11), L11="Ammonia", IF($K11="", "Global", $K11), TRUE, "Global"), Table_SourceData_Scope3_InorganicFertiliser[Chemical compound],Table_SourceData_Scope3_InorganicFertiliser[Region of origin],Table_SourceData_Scope3_InorganicFertiliser[AusLCI Emissions intensity]), IF(_xlpm.result="", 0, _xlpm.result))</f>
        <v>0</v>
      </c>
      <c r="O11" s="50" t="str">
        <v/>
      </c>
      <c r="P11" s="50" t="str">
        <v/>
      </c>
      <c r="Q11" s="50" cm="1">
        <f t="array" ref="Q11">_xlfn.LET(_xlpm.result, Common_InputFunctions.Utility_LookupValueInTableTwoColumns(O11, _xlfn.IFS(O11="Urea",IF($J11="", "Global", $J11), O11="Ammonia", IF($K11="", "Global", $K11), TRUE, "Global"), Table_SourceData_Scope3_InorganicFertiliser[Chemical compound],Table_SourceData_Scope3_InorganicFertiliser[Region of origin],Table_SourceData_Scope3_InorganicFertiliser[AusLCI Emissions intensity]), IF(_xlpm.result="", 0, _xlpm.result))</f>
        <v>0</v>
      </c>
      <c r="R11" s="50" t="str">
        <v/>
      </c>
      <c r="S11" s="50" t="str">
        <v/>
      </c>
      <c r="T11" s="50" cm="1">
        <f t="array" ref="T11">_xlfn.LET(_xlpm.result, Common_InputFunctions.Utility_LookupValueInTableTwoColumns(R11, _xlfn.IFS(R11="Urea",IF($J11="", "Global", $J11), R11="Ammonia", IF($K11="", "Global", $K11), TRUE, "Global"), Table_SourceData_Scope3_InorganicFertiliser[Chemical compound],Table_SourceData_Scope3_InorganicFertiliser[Region of origin],Table_SourceData_Scope3_InorganicFertiliser[AusLCI Emissions intensity]), IF(_xlpm.result="", 0, _xlpm.result))</f>
        <v>0</v>
      </c>
      <c r="U11" s="50" t="str">
        <v/>
      </c>
      <c r="V11" s="50" t="str">
        <v/>
      </c>
      <c r="W11" s="50" cm="1">
        <f t="array" ref="W11">_xlfn.LET(_xlpm.result, Common_InputFunctions.Utility_LookupValueInTableTwoColumns(U11, _xlfn.IFS(U11="Urea",IF($J11="", "Global", $J11), U11="Ammonia", IF($K11="", "Global", $K11), TRUE, "Global"), Table_SourceData_Scope3_InorganicFertiliser[Chemical compound],Table_SourceData_Scope3_InorganicFertiliser[Region of origin],Table_SourceData_Scope3_InorganicFertiliser[AusLCI Emissions intensity]), IF(_xlpm.result="", 0, _xlpm.result))</f>
        <v>0</v>
      </c>
      <c r="X11" s="50" t="str">
        <v/>
      </c>
      <c r="Y11" s="50" t="str">
        <v/>
      </c>
      <c r="Z11" s="50" cm="1">
        <f t="array" ref="Z11">_xlfn.LET(_xlpm.result, Common_InputFunctions.Utility_LookupValueInTableTwoColumns(X11, _xlfn.IFS(X11="Urea",IF($J11="", "Global", $J11), X11="Ammonia", IF($K11="", "Global", $K11), TRUE, "Global"), Table_SourceData_Scope3_InorganicFertiliser[Chemical compound],Table_SourceData_Scope3_InorganicFertiliser[Region of origin],Table_SourceData_Scope3_InorganicFertiliser[AusLCI Emissions intensity]), IF(_xlpm.result="", 0, _xlpm.result))</f>
        <v>0</v>
      </c>
      <c r="AA11" s="50" t="str">
        <v/>
      </c>
      <c r="AB11" s="50" t="str">
        <v/>
      </c>
      <c r="AC11" s="50" cm="1">
        <f t="array" ref="AC11">_xlfn.LET(_xlpm.result, Common_InputFunctions.Utility_LookupValueInTableTwoColumns(AA11, _xlfn.IFS(AA11="Urea",IF($J11="", "Global", $J11), AA11="Ammonia", IF($K11="", "Global", $K11), TRUE, "Global"), Table_SourceData_Scope3_InorganicFertiliser[Chemical compound],Table_SourceData_Scope3_InorganicFertiliser[Region of origin],Table_SourceData_Scope3_InorganicFertiliser[AusLCI Emissions intensity]), IF(_xlpm.result="", 0, _xlpm.result))</f>
        <v>0</v>
      </c>
    </row>
    <row r="12" spans="4:29" ht="20.100000000000001" customHeight="1" x14ac:dyDescent="0.25">
      <c r="D12" s="50" t="str">
        <v/>
      </c>
      <c r="E12" s="50" t="str">
        <v/>
      </c>
      <c r="F12" s="50">
        <f t="shared" si="0"/>
        <v>0</v>
      </c>
      <c r="G12" s="172">
        <f t="shared" si="1"/>
        <v>0</v>
      </c>
      <c r="H12" s="69"/>
      <c r="I12" s="172">
        <f t="shared" si="2"/>
        <v>0</v>
      </c>
      <c r="J12" s="50" t="str">
        <v/>
      </c>
      <c r="K12" s="50" t="str">
        <v/>
      </c>
      <c r="L12" s="50" t="str">
        <v/>
      </c>
      <c r="M12" s="50" t="str">
        <v/>
      </c>
      <c r="N12" s="50" cm="1">
        <f t="array" ref="N12">_xlfn.LET(_xlpm.result, Common_InputFunctions.Utility_LookupValueInTableTwoColumns(L12, _xlfn.IFS(L12="Urea",IF($J12="", "Global", $J12), L12="Ammonia", IF($K12="", "Global", $K12), TRUE, "Global"), Table_SourceData_Scope3_InorganicFertiliser[Chemical compound],Table_SourceData_Scope3_InorganicFertiliser[Region of origin],Table_SourceData_Scope3_InorganicFertiliser[AusLCI Emissions intensity]), IF(_xlpm.result="", 0, _xlpm.result))</f>
        <v>0</v>
      </c>
      <c r="O12" s="50" t="str">
        <v/>
      </c>
      <c r="P12" s="50" t="str">
        <v/>
      </c>
      <c r="Q12" s="50" cm="1">
        <f t="array" ref="Q12">_xlfn.LET(_xlpm.result, Common_InputFunctions.Utility_LookupValueInTableTwoColumns(O12, _xlfn.IFS(O12="Urea",IF($J12="", "Global", $J12), O12="Ammonia", IF($K12="", "Global", $K12), TRUE, "Global"), Table_SourceData_Scope3_InorganicFertiliser[Chemical compound],Table_SourceData_Scope3_InorganicFertiliser[Region of origin],Table_SourceData_Scope3_InorganicFertiliser[AusLCI Emissions intensity]), IF(_xlpm.result="", 0, _xlpm.result))</f>
        <v>0</v>
      </c>
      <c r="R12" s="50" t="str">
        <v/>
      </c>
      <c r="S12" s="50" t="str">
        <v/>
      </c>
      <c r="T12" s="50" cm="1">
        <f t="array" ref="T12">_xlfn.LET(_xlpm.result, Common_InputFunctions.Utility_LookupValueInTableTwoColumns(R12, _xlfn.IFS(R12="Urea",IF($J12="", "Global", $J12), R12="Ammonia", IF($K12="", "Global", $K12), TRUE, "Global"), Table_SourceData_Scope3_InorganicFertiliser[Chemical compound],Table_SourceData_Scope3_InorganicFertiliser[Region of origin],Table_SourceData_Scope3_InorganicFertiliser[AusLCI Emissions intensity]), IF(_xlpm.result="", 0, _xlpm.result))</f>
        <v>0</v>
      </c>
      <c r="U12" s="50" t="str">
        <v/>
      </c>
      <c r="V12" s="50" t="str">
        <v/>
      </c>
      <c r="W12" s="50" cm="1">
        <f t="array" ref="W12">_xlfn.LET(_xlpm.result, Common_InputFunctions.Utility_LookupValueInTableTwoColumns(U12, _xlfn.IFS(U12="Urea",IF($J12="", "Global", $J12), U12="Ammonia", IF($K12="", "Global", $K12), TRUE, "Global"), Table_SourceData_Scope3_InorganicFertiliser[Chemical compound],Table_SourceData_Scope3_InorganicFertiliser[Region of origin],Table_SourceData_Scope3_InorganicFertiliser[AusLCI Emissions intensity]), IF(_xlpm.result="", 0, _xlpm.result))</f>
        <v>0</v>
      </c>
      <c r="X12" s="50" t="str">
        <v/>
      </c>
      <c r="Y12" s="50" t="str">
        <v/>
      </c>
      <c r="Z12" s="50" cm="1">
        <f t="array" ref="Z12">_xlfn.LET(_xlpm.result, Common_InputFunctions.Utility_LookupValueInTableTwoColumns(X12, _xlfn.IFS(X12="Urea",IF($J12="", "Global", $J12), X12="Ammonia", IF($K12="", "Global", $K12), TRUE, "Global"), Table_SourceData_Scope3_InorganicFertiliser[Chemical compound],Table_SourceData_Scope3_InorganicFertiliser[Region of origin],Table_SourceData_Scope3_InorganicFertiliser[AusLCI Emissions intensity]), IF(_xlpm.result="", 0, _xlpm.result))</f>
        <v>0</v>
      </c>
      <c r="AA12" s="50" t="str">
        <v/>
      </c>
      <c r="AB12" s="50" t="str">
        <v/>
      </c>
      <c r="AC12" s="50" cm="1">
        <f t="array" ref="AC12">_xlfn.LET(_xlpm.result, Common_InputFunctions.Utility_LookupValueInTableTwoColumns(AA12, _xlfn.IFS(AA12="Urea",IF($J12="", "Global", $J12), AA12="Ammonia", IF($K12="", "Global", $K12), TRUE, "Global"), Table_SourceData_Scope3_InorganicFertiliser[Chemical compound],Table_SourceData_Scope3_InorganicFertiliser[Region of origin],Table_SourceData_Scope3_InorganicFertiliser[AusLCI Emissions intensity]), IF(_xlpm.result="", 0, _xlpm.result))</f>
        <v>0</v>
      </c>
    </row>
    <row r="13" spans="4:29" ht="20.100000000000001" customHeight="1" x14ac:dyDescent="0.25">
      <c r="D13" s="50" t="str">
        <v/>
      </c>
      <c r="E13" s="50" t="str">
        <v/>
      </c>
      <c r="F13" s="50">
        <f t="shared" si="0"/>
        <v>0</v>
      </c>
      <c r="G13" s="172">
        <f t="shared" si="1"/>
        <v>0</v>
      </c>
      <c r="H13" s="69"/>
      <c r="I13" s="172">
        <f t="shared" si="2"/>
        <v>0</v>
      </c>
      <c r="J13" s="50" t="str">
        <v/>
      </c>
      <c r="K13" s="50" t="str">
        <v/>
      </c>
      <c r="L13" s="50" t="str">
        <v/>
      </c>
      <c r="M13" s="50" t="str">
        <v/>
      </c>
      <c r="N13" s="50" cm="1">
        <f t="array" ref="N13">_xlfn.LET(_xlpm.result, Common_InputFunctions.Utility_LookupValueInTableTwoColumns(L13, _xlfn.IFS(L13="Urea",IF($J13="", "Global", $J13), L13="Ammonia", IF($K13="", "Global", $K13), TRUE, "Global"), Table_SourceData_Scope3_InorganicFertiliser[Chemical compound],Table_SourceData_Scope3_InorganicFertiliser[Region of origin],Table_SourceData_Scope3_InorganicFertiliser[AusLCI Emissions intensity]), IF(_xlpm.result="", 0, _xlpm.result))</f>
        <v>0</v>
      </c>
      <c r="O13" s="50" t="str">
        <v/>
      </c>
      <c r="P13" s="50" t="str">
        <v/>
      </c>
      <c r="Q13" s="50" cm="1">
        <f t="array" ref="Q13">_xlfn.LET(_xlpm.result, Common_InputFunctions.Utility_LookupValueInTableTwoColumns(O13, _xlfn.IFS(O13="Urea",IF($J13="", "Global", $J13), O13="Ammonia", IF($K13="", "Global", $K13), TRUE, "Global"), Table_SourceData_Scope3_InorganicFertiliser[Chemical compound],Table_SourceData_Scope3_InorganicFertiliser[Region of origin],Table_SourceData_Scope3_InorganicFertiliser[AusLCI Emissions intensity]), IF(_xlpm.result="", 0, _xlpm.result))</f>
        <v>0</v>
      </c>
      <c r="R13" s="50" t="str">
        <v/>
      </c>
      <c r="S13" s="50" t="str">
        <v/>
      </c>
      <c r="T13" s="50" cm="1">
        <f t="array" ref="T13">_xlfn.LET(_xlpm.result, Common_InputFunctions.Utility_LookupValueInTableTwoColumns(R13, _xlfn.IFS(R13="Urea",IF($J13="", "Global", $J13), R13="Ammonia", IF($K13="", "Global", $K13), TRUE, "Global"), Table_SourceData_Scope3_InorganicFertiliser[Chemical compound],Table_SourceData_Scope3_InorganicFertiliser[Region of origin],Table_SourceData_Scope3_InorganicFertiliser[AusLCI Emissions intensity]), IF(_xlpm.result="", 0, _xlpm.result))</f>
        <v>0</v>
      </c>
      <c r="U13" s="50" t="str">
        <v/>
      </c>
      <c r="V13" s="50" t="str">
        <v/>
      </c>
      <c r="W13" s="50" cm="1">
        <f t="array" ref="W13">_xlfn.LET(_xlpm.result, Common_InputFunctions.Utility_LookupValueInTableTwoColumns(U13, _xlfn.IFS(U13="Urea",IF($J13="", "Global", $J13), U13="Ammonia", IF($K13="", "Global", $K13), TRUE, "Global"), Table_SourceData_Scope3_InorganicFertiliser[Chemical compound],Table_SourceData_Scope3_InorganicFertiliser[Region of origin],Table_SourceData_Scope3_InorganicFertiliser[AusLCI Emissions intensity]), IF(_xlpm.result="", 0, _xlpm.result))</f>
        <v>0</v>
      </c>
      <c r="X13" s="50" t="str">
        <v/>
      </c>
      <c r="Y13" s="50" t="str">
        <v/>
      </c>
      <c r="Z13" s="50" cm="1">
        <f t="array" ref="Z13">_xlfn.LET(_xlpm.result, Common_InputFunctions.Utility_LookupValueInTableTwoColumns(X13, _xlfn.IFS(X13="Urea",IF($J13="", "Global", $J13), X13="Ammonia", IF($K13="", "Global", $K13), TRUE, "Global"), Table_SourceData_Scope3_InorganicFertiliser[Chemical compound],Table_SourceData_Scope3_InorganicFertiliser[Region of origin],Table_SourceData_Scope3_InorganicFertiliser[AusLCI Emissions intensity]), IF(_xlpm.result="", 0, _xlpm.result))</f>
        <v>0</v>
      </c>
      <c r="AA13" s="50" t="str">
        <v/>
      </c>
      <c r="AB13" s="50" t="str">
        <v/>
      </c>
      <c r="AC13" s="50" cm="1">
        <f t="array" ref="AC13">_xlfn.LET(_xlpm.result, Common_InputFunctions.Utility_LookupValueInTableTwoColumns(AA13, _xlfn.IFS(AA13="Urea",IF($J13="", "Global", $J13), AA13="Ammonia", IF($K13="", "Global", $K13), TRUE, "Global"), Table_SourceData_Scope3_InorganicFertiliser[Chemical compound],Table_SourceData_Scope3_InorganicFertiliser[Region of origin],Table_SourceData_Scope3_InorganicFertiliser[AusLCI Emissions intensity]), IF(_xlpm.result="", 0, _xlpm.result))</f>
        <v>0</v>
      </c>
    </row>
    <row r="14" spans="4:29" ht="20.100000000000001" customHeight="1" x14ac:dyDescent="0.25">
      <c r="D14" s="50" t="str">
        <v/>
      </c>
      <c r="E14" s="50" t="str">
        <v/>
      </c>
      <c r="F14" s="50">
        <f t="shared" si="0"/>
        <v>0</v>
      </c>
      <c r="G14" s="172">
        <f t="shared" si="1"/>
        <v>0</v>
      </c>
      <c r="H14" s="69"/>
      <c r="I14" s="172">
        <f t="shared" si="2"/>
        <v>0</v>
      </c>
      <c r="J14" s="50" t="str">
        <v/>
      </c>
      <c r="K14" s="50" t="str">
        <v/>
      </c>
      <c r="L14" s="50" t="str">
        <v/>
      </c>
      <c r="M14" s="50" t="str">
        <v/>
      </c>
      <c r="N14" s="50" cm="1">
        <f t="array" ref="N14">_xlfn.LET(_xlpm.result, Common_InputFunctions.Utility_LookupValueInTableTwoColumns(L14, _xlfn.IFS(L14="Urea",IF($J14="", "Global", $J14), L14="Ammonia", IF($K14="", "Global", $K14), TRUE, "Global"), Table_SourceData_Scope3_InorganicFertiliser[Chemical compound],Table_SourceData_Scope3_InorganicFertiliser[Region of origin],Table_SourceData_Scope3_InorganicFertiliser[AusLCI Emissions intensity]), IF(_xlpm.result="", 0, _xlpm.result))</f>
        <v>0</v>
      </c>
      <c r="O14" s="50" t="str">
        <v/>
      </c>
      <c r="P14" s="50" t="str">
        <v/>
      </c>
      <c r="Q14" s="50" cm="1">
        <f t="array" ref="Q14">_xlfn.LET(_xlpm.result, Common_InputFunctions.Utility_LookupValueInTableTwoColumns(O14, _xlfn.IFS(O14="Urea",IF($J14="", "Global", $J14), O14="Ammonia", IF($K14="", "Global", $K14), TRUE, "Global"), Table_SourceData_Scope3_InorganicFertiliser[Chemical compound],Table_SourceData_Scope3_InorganicFertiliser[Region of origin],Table_SourceData_Scope3_InorganicFertiliser[AusLCI Emissions intensity]), IF(_xlpm.result="", 0, _xlpm.result))</f>
        <v>0</v>
      </c>
      <c r="R14" s="50" t="str">
        <v/>
      </c>
      <c r="S14" s="50" t="str">
        <v/>
      </c>
      <c r="T14" s="50" cm="1">
        <f t="array" ref="T14">_xlfn.LET(_xlpm.result, Common_InputFunctions.Utility_LookupValueInTableTwoColumns(R14, _xlfn.IFS(R14="Urea",IF($J14="", "Global", $J14), R14="Ammonia", IF($K14="", "Global", $K14), TRUE, "Global"), Table_SourceData_Scope3_InorganicFertiliser[Chemical compound],Table_SourceData_Scope3_InorganicFertiliser[Region of origin],Table_SourceData_Scope3_InorganicFertiliser[AusLCI Emissions intensity]), IF(_xlpm.result="", 0, _xlpm.result))</f>
        <v>0</v>
      </c>
      <c r="U14" s="50" t="str">
        <v/>
      </c>
      <c r="V14" s="50" t="str">
        <v/>
      </c>
      <c r="W14" s="50" cm="1">
        <f t="array" ref="W14">_xlfn.LET(_xlpm.result, Common_InputFunctions.Utility_LookupValueInTableTwoColumns(U14, _xlfn.IFS(U14="Urea",IF($J14="", "Global", $J14), U14="Ammonia", IF($K14="", "Global", $K14), TRUE, "Global"), Table_SourceData_Scope3_InorganicFertiliser[Chemical compound],Table_SourceData_Scope3_InorganicFertiliser[Region of origin],Table_SourceData_Scope3_InorganicFertiliser[AusLCI Emissions intensity]), IF(_xlpm.result="", 0, _xlpm.result))</f>
        <v>0</v>
      </c>
      <c r="X14" s="50" t="str">
        <v/>
      </c>
      <c r="Y14" s="50" t="str">
        <v/>
      </c>
      <c r="Z14" s="50" cm="1">
        <f t="array" ref="Z14">_xlfn.LET(_xlpm.result, Common_InputFunctions.Utility_LookupValueInTableTwoColumns(X14, _xlfn.IFS(X14="Urea",IF($J14="", "Global", $J14), X14="Ammonia", IF($K14="", "Global", $K14), TRUE, "Global"), Table_SourceData_Scope3_InorganicFertiliser[Chemical compound],Table_SourceData_Scope3_InorganicFertiliser[Region of origin],Table_SourceData_Scope3_InorganicFertiliser[AusLCI Emissions intensity]), IF(_xlpm.result="", 0, _xlpm.result))</f>
        <v>0</v>
      </c>
      <c r="AA14" s="50" t="str">
        <v/>
      </c>
      <c r="AB14" s="50" t="str">
        <v/>
      </c>
      <c r="AC14" s="50" cm="1">
        <f t="array" ref="AC14">_xlfn.LET(_xlpm.result, Common_InputFunctions.Utility_LookupValueInTableTwoColumns(AA14, _xlfn.IFS(AA14="Urea",IF($J14="", "Global", $J14), AA14="Ammonia", IF($K14="", "Global", $K14), TRUE, "Global"), Table_SourceData_Scope3_InorganicFertiliser[Chemical compound],Table_SourceData_Scope3_InorganicFertiliser[Region of origin],Table_SourceData_Scope3_InorganicFertiliser[AusLCI Emissions intensity]), IF(_xlpm.result="", 0, _xlpm.result))</f>
        <v>0</v>
      </c>
    </row>
    <row r="15" spans="4:29" ht="20.100000000000001" customHeight="1" x14ac:dyDescent="0.25">
      <c r="D15" s="50" t="str">
        <v/>
      </c>
      <c r="E15" s="50" t="str">
        <v/>
      </c>
      <c r="F15" s="50">
        <f t="shared" si="0"/>
        <v>0</v>
      </c>
      <c r="G15" s="172">
        <f t="shared" si="1"/>
        <v>0</v>
      </c>
      <c r="H15" s="69"/>
      <c r="I15" s="172">
        <f t="shared" si="2"/>
        <v>0</v>
      </c>
      <c r="J15" s="50" t="str">
        <v/>
      </c>
      <c r="K15" s="50" t="str">
        <v/>
      </c>
      <c r="L15" s="50" t="str">
        <v/>
      </c>
      <c r="M15" s="50" t="str">
        <v/>
      </c>
      <c r="N15" s="50" cm="1">
        <f t="array" ref="N15">_xlfn.LET(_xlpm.result, Common_InputFunctions.Utility_LookupValueInTableTwoColumns(L15, _xlfn.IFS(L15="Urea",IF($J15="", "Global", $J15), L15="Ammonia", IF($K15="", "Global", $K15), TRUE, "Global"), Table_SourceData_Scope3_InorganicFertiliser[Chemical compound],Table_SourceData_Scope3_InorganicFertiliser[Region of origin],Table_SourceData_Scope3_InorganicFertiliser[AusLCI Emissions intensity]), IF(_xlpm.result="", 0, _xlpm.result))</f>
        <v>0</v>
      </c>
      <c r="O15" s="50" t="str">
        <v/>
      </c>
      <c r="P15" s="50" t="str">
        <v/>
      </c>
      <c r="Q15" s="50" cm="1">
        <f t="array" ref="Q15">_xlfn.LET(_xlpm.result, Common_InputFunctions.Utility_LookupValueInTableTwoColumns(O15, _xlfn.IFS(O15="Urea",IF($J15="", "Global", $J15), O15="Ammonia", IF($K15="", "Global", $K15), TRUE, "Global"), Table_SourceData_Scope3_InorganicFertiliser[Chemical compound],Table_SourceData_Scope3_InorganicFertiliser[Region of origin],Table_SourceData_Scope3_InorganicFertiliser[AusLCI Emissions intensity]), IF(_xlpm.result="", 0, _xlpm.result))</f>
        <v>0</v>
      </c>
      <c r="R15" s="50" t="str">
        <v/>
      </c>
      <c r="S15" s="50" t="str">
        <v/>
      </c>
      <c r="T15" s="50" cm="1">
        <f t="array" ref="T15">_xlfn.LET(_xlpm.result, Common_InputFunctions.Utility_LookupValueInTableTwoColumns(R15, _xlfn.IFS(R15="Urea",IF($J15="", "Global", $J15), R15="Ammonia", IF($K15="", "Global", $K15), TRUE, "Global"), Table_SourceData_Scope3_InorganicFertiliser[Chemical compound],Table_SourceData_Scope3_InorganicFertiliser[Region of origin],Table_SourceData_Scope3_InorganicFertiliser[AusLCI Emissions intensity]), IF(_xlpm.result="", 0, _xlpm.result))</f>
        <v>0</v>
      </c>
      <c r="U15" s="50" t="str">
        <v/>
      </c>
      <c r="V15" s="50" t="str">
        <v/>
      </c>
      <c r="W15" s="50" cm="1">
        <f t="array" ref="W15">_xlfn.LET(_xlpm.result, Common_InputFunctions.Utility_LookupValueInTableTwoColumns(U15, _xlfn.IFS(U15="Urea",IF($J15="", "Global", $J15), U15="Ammonia", IF($K15="", "Global", $K15), TRUE, "Global"), Table_SourceData_Scope3_InorganicFertiliser[Chemical compound],Table_SourceData_Scope3_InorganicFertiliser[Region of origin],Table_SourceData_Scope3_InorganicFertiliser[AusLCI Emissions intensity]), IF(_xlpm.result="", 0, _xlpm.result))</f>
        <v>0</v>
      </c>
      <c r="X15" s="50" t="str">
        <v/>
      </c>
      <c r="Y15" s="50" t="str">
        <v/>
      </c>
      <c r="Z15" s="50" cm="1">
        <f t="array" ref="Z15">_xlfn.LET(_xlpm.result, Common_InputFunctions.Utility_LookupValueInTableTwoColumns(X15, _xlfn.IFS(X15="Urea",IF($J15="", "Global", $J15), X15="Ammonia", IF($K15="", "Global", $K15), TRUE, "Global"), Table_SourceData_Scope3_InorganicFertiliser[Chemical compound],Table_SourceData_Scope3_InorganicFertiliser[Region of origin],Table_SourceData_Scope3_InorganicFertiliser[AusLCI Emissions intensity]), IF(_xlpm.result="", 0, _xlpm.result))</f>
        <v>0</v>
      </c>
      <c r="AA15" s="50" t="str">
        <v/>
      </c>
      <c r="AB15" s="50" t="str">
        <v/>
      </c>
      <c r="AC15" s="50" cm="1">
        <f t="array" ref="AC15">_xlfn.LET(_xlpm.result, Common_InputFunctions.Utility_LookupValueInTableTwoColumns(AA15, _xlfn.IFS(AA15="Urea",IF($J15="", "Global", $J15), AA15="Ammonia", IF($K15="", "Global", $K15), TRUE, "Global"), Table_SourceData_Scope3_InorganicFertiliser[Chemical compound],Table_SourceData_Scope3_InorganicFertiliser[Region of origin],Table_SourceData_Scope3_InorganicFertiliser[AusLCI Emissions intensity]), IF(_xlpm.result="", 0, _xlpm.result))</f>
        <v>0</v>
      </c>
    </row>
    <row r="16" spans="4:29" ht="20.100000000000001" customHeight="1" x14ac:dyDescent="0.25">
      <c r="D16" s="50" t="str">
        <v/>
      </c>
      <c r="E16" s="50" t="str">
        <v/>
      </c>
      <c r="F16" s="50">
        <f t="shared" si="0"/>
        <v>0</v>
      </c>
      <c r="G16" s="172">
        <f t="shared" si="1"/>
        <v>0</v>
      </c>
      <c r="H16" s="69"/>
      <c r="I16" s="172">
        <f t="shared" si="2"/>
        <v>0</v>
      </c>
      <c r="J16" s="50" t="str">
        <v/>
      </c>
      <c r="K16" s="50" t="str">
        <v/>
      </c>
      <c r="L16" s="50" t="str">
        <v/>
      </c>
      <c r="M16" s="50" t="str">
        <v/>
      </c>
      <c r="N16" s="50" cm="1">
        <f t="array" ref="N16">_xlfn.LET(_xlpm.result, Common_InputFunctions.Utility_LookupValueInTableTwoColumns(L16, _xlfn.IFS(L16="Urea",IF($J16="", "Global", $J16), L16="Ammonia", IF($K16="", "Global", $K16), TRUE, "Global"), Table_SourceData_Scope3_InorganicFertiliser[Chemical compound],Table_SourceData_Scope3_InorganicFertiliser[Region of origin],Table_SourceData_Scope3_InorganicFertiliser[AusLCI Emissions intensity]), IF(_xlpm.result="", 0, _xlpm.result))</f>
        <v>0</v>
      </c>
      <c r="O16" s="50" t="str">
        <v/>
      </c>
      <c r="P16" s="50" t="str">
        <v/>
      </c>
      <c r="Q16" s="50" cm="1">
        <f t="array" ref="Q16">_xlfn.LET(_xlpm.result, Common_InputFunctions.Utility_LookupValueInTableTwoColumns(O16, _xlfn.IFS(O16="Urea",IF($J16="", "Global", $J16), O16="Ammonia", IF($K16="", "Global", $K16), TRUE, "Global"), Table_SourceData_Scope3_InorganicFertiliser[Chemical compound],Table_SourceData_Scope3_InorganicFertiliser[Region of origin],Table_SourceData_Scope3_InorganicFertiliser[AusLCI Emissions intensity]), IF(_xlpm.result="", 0, _xlpm.result))</f>
        <v>0</v>
      </c>
      <c r="R16" s="50" t="str">
        <v/>
      </c>
      <c r="S16" s="50" t="str">
        <v/>
      </c>
      <c r="T16" s="50" cm="1">
        <f t="array" ref="T16">_xlfn.LET(_xlpm.result, Common_InputFunctions.Utility_LookupValueInTableTwoColumns(R16, _xlfn.IFS(R16="Urea",IF($J16="", "Global", $J16), R16="Ammonia", IF($K16="", "Global", $K16), TRUE, "Global"), Table_SourceData_Scope3_InorganicFertiliser[Chemical compound],Table_SourceData_Scope3_InorganicFertiliser[Region of origin],Table_SourceData_Scope3_InorganicFertiliser[AusLCI Emissions intensity]), IF(_xlpm.result="", 0, _xlpm.result))</f>
        <v>0</v>
      </c>
      <c r="U16" s="50" t="str">
        <v/>
      </c>
      <c r="V16" s="50" t="str">
        <v/>
      </c>
      <c r="W16" s="50" cm="1">
        <f t="array" ref="W16">_xlfn.LET(_xlpm.result, Common_InputFunctions.Utility_LookupValueInTableTwoColumns(U16, _xlfn.IFS(U16="Urea",IF($J16="", "Global", $J16), U16="Ammonia", IF($K16="", "Global", $K16), TRUE, "Global"), Table_SourceData_Scope3_InorganicFertiliser[Chemical compound],Table_SourceData_Scope3_InorganicFertiliser[Region of origin],Table_SourceData_Scope3_InorganicFertiliser[AusLCI Emissions intensity]), IF(_xlpm.result="", 0, _xlpm.result))</f>
        <v>0</v>
      </c>
      <c r="X16" s="50" t="str">
        <v/>
      </c>
      <c r="Y16" s="50" t="str">
        <v/>
      </c>
      <c r="Z16" s="50" cm="1">
        <f t="array" ref="Z16">_xlfn.LET(_xlpm.result, Common_InputFunctions.Utility_LookupValueInTableTwoColumns(X16, _xlfn.IFS(X16="Urea",IF($J16="", "Global", $J16), X16="Ammonia", IF($K16="", "Global", $K16), TRUE, "Global"), Table_SourceData_Scope3_InorganicFertiliser[Chemical compound],Table_SourceData_Scope3_InorganicFertiliser[Region of origin],Table_SourceData_Scope3_InorganicFertiliser[AusLCI Emissions intensity]), IF(_xlpm.result="", 0, _xlpm.result))</f>
        <v>0</v>
      </c>
      <c r="AA16" s="50" t="str">
        <v/>
      </c>
      <c r="AB16" s="50" t="str">
        <v/>
      </c>
      <c r="AC16" s="50" cm="1">
        <f t="array" ref="AC16">_xlfn.LET(_xlpm.result, Common_InputFunctions.Utility_LookupValueInTableTwoColumns(AA16, _xlfn.IFS(AA16="Urea",IF($J16="", "Global", $J16), AA16="Ammonia", IF($K16="", "Global", $K16), TRUE, "Global"), Table_SourceData_Scope3_InorganicFertiliser[Chemical compound],Table_SourceData_Scope3_InorganicFertiliser[Region of origin],Table_SourceData_Scope3_InorganicFertiliser[AusLCI Emissions intensity]), IF(_xlpm.result="", 0, _xlpm.result))</f>
        <v>0</v>
      </c>
    </row>
    <row r="17" spans="4:29" ht="20.100000000000001" customHeight="1" x14ac:dyDescent="0.25">
      <c r="D17" s="50" t="str">
        <v/>
      </c>
      <c r="E17" s="50" t="str">
        <v/>
      </c>
      <c r="F17" s="50">
        <f t="shared" si="0"/>
        <v>0</v>
      </c>
      <c r="G17" s="172">
        <f t="shared" si="1"/>
        <v>0</v>
      </c>
      <c r="H17" s="69"/>
      <c r="I17" s="172">
        <f t="shared" si="2"/>
        <v>0</v>
      </c>
      <c r="J17" s="50" t="str">
        <v/>
      </c>
      <c r="K17" s="50" t="str">
        <v/>
      </c>
      <c r="L17" s="50" t="str">
        <v/>
      </c>
      <c r="M17" s="50" t="str">
        <v/>
      </c>
      <c r="N17" s="50" cm="1">
        <f t="array" ref="N17">_xlfn.LET(_xlpm.result, Common_InputFunctions.Utility_LookupValueInTableTwoColumns(L17, _xlfn.IFS(L17="Urea",IF($J17="", "Global", $J17), L17="Ammonia", IF($K17="", "Global", $K17), TRUE, "Global"), Table_SourceData_Scope3_InorganicFertiliser[Chemical compound],Table_SourceData_Scope3_InorganicFertiliser[Region of origin],Table_SourceData_Scope3_InorganicFertiliser[AusLCI Emissions intensity]), IF(_xlpm.result="", 0, _xlpm.result))</f>
        <v>0</v>
      </c>
      <c r="O17" s="50" t="str">
        <v/>
      </c>
      <c r="P17" s="50" t="str">
        <v/>
      </c>
      <c r="Q17" s="50" cm="1">
        <f t="array" ref="Q17">_xlfn.LET(_xlpm.result, Common_InputFunctions.Utility_LookupValueInTableTwoColumns(O17, _xlfn.IFS(O17="Urea",IF($J17="", "Global", $J17), O17="Ammonia", IF($K17="", "Global", $K17), TRUE, "Global"), Table_SourceData_Scope3_InorganicFertiliser[Chemical compound],Table_SourceData_Scope3_InorganicFertiliser[Region of origin],Table_SourceData_Scope3_InorganicFertiliser[AusLCI Emissions intensity]), IF(_xlpm.result="", 0, _xlpm.result))</f>
        <v>0</v>
      </c>
      <c r="R17" s="50" t="str">
        <v/>
      </c>
      <c r="S17" s="50" t="str">
        <v/>
      </c>
      <c r="T17" s="50" cm="1">
        <f t="array" ref="T17">_xlfn.LET(_xlpm.result, Common_InputFunctions.Utility_LookupValueInTableTwoColumns(R17, _xlfn.IFS(R17="Urea",IF($J17="", "Global", $J17), R17="Ammonia", IF($K17="", "Global", $K17), TRUE, "Global"), Table_SourceData_Scope3_InorganicFertiliser[Chemical compound],Table_SourceData_Scope3_InorganicFertiliser[Region of origin],Table_SourceData_Scope3_InorganicFertiliser[AusLCI Emissions intensity]), IF(_xlpm.result="", 0, _xlpm.result))</f>
        <v>0</v>
      </c>
      <c r="U17" s="50" t="str">
        <v/>
      </c>
      <c r="V17" s="50" t="str">
        <v/>
      </c>
      <c r="W17" s="50" cm="1">
        <f t="array" ref="W17">_xlfn.LET(_xlpm.result, Common_InputFunctions.Utility_LookupValueInTableTwoColumns(U17, _xlfn.IFS(U17="Urea",IF($J17="", "Global", $J17), U17="Ammonia", IF($K17="", "Global", $K17), TRUE, "Global"), Table_SourceData_Scope3_InorganicFertiliser[Chemical compound],Table_SourceData_Scope3_InorganicFertiliser[Region of origin],Table_SourceData_Scope3_InorganicFertiliser[AusLCI Emissions intensity]), IF(_xlpm.result="", 0, _xlpm.result))</f>
        <v>0</v>
      </c>
      <c r="X17" s="50" t="str">
        <v/>
      </c>
      <c r="Y17" s="50" t="str">
        <v/>
      </c>
      <c r="Z17" s="50" cm="1">
        <f t="array" ref="Z17">_xlfn.LET(_xlpm.result, Common_InputFunctions.Utility_LookupValueInTableTwoColumns(X17, _xlfn.IFS(X17="Urea",IF($J17="", "Global", $J17), X17="Ammonia", IF($K17="", "Global", $K17), TRUE, "Global"), Table_SourceData_Scope3_InorganicFertiliser[Chemical compound],Table_SourceData_Scope3_InorganicFertiliser[Region of origin],Table_SourceData_Scope3_InorganicFertiliser[AusLCI Emissions intensity]), IF(_xlpm.result="", 0, _xlpm.result))</f>
        <v>0</v>
      </c>
      <c r="AA17" s="50" t="str">
        <v/>
      </c>
      <c r="AB17" s="50" t="str">
        <v/>
      </c>
      <c r="AC17" s="50" cm="1">
        <f t="array" ref="AC17">_xlfn.LET(_xlpm.result, Common_InputFunctions.Utility_LookupValueInTableTwoColumns(AA17, _xlfn.IFS(AA17="Urea",IF($J17="", "Global", $J17), AA17="Ammonia", IF($K17="", "Global", $K17), TRUE, "Global"), Table_SourceData_Scope3_InorganicFertiliser[Chemical compound],Table_SourceData_Scope3_InorganicFertiliser[Region of origin],Table_SourceData_Scope3_InorganicFertiliser[AusLCI Emissions intensity]), IF(_xlpm.result="", 0, _xlpm.result))</f>
        <v>0</v>
      </c>
    </row>
    <row r="18" spans="4:29" ht="20.100000000000001" customHeight="1" x14ac:dyDescent="0.25">
      <c r="D18" s="50" t="str">
        <v/>
      </c>
      <c r="E18" s="50" t="str">
        <v/>
      </c>
      <c r="F18" s="50">
        <f t="shared" si="0"/>
        <v>0</v>
      </c>
      <c r="G18" s="172">
        <f t="shared" si="1"/>
        <v>0</v>
      </c>
      <c r="H18" s="69"/>
      <c r="I18" s="172">
        <f t="shared" si="2"/>
        <v>0</v>
      </c>
      <c r="J18" s="50" t="str">
        <v/>
      </c>
      <c r="K18" s="50" t="str">
        <v/>
      </c>
      <c r="L18" s="50" t="str">
        <v/>
      </c>
      <c r="M18" s="50" t="str">
        <v/>
      </c>
      <c r="N18" s="50" cm="1">
        <f t="array" ref="N18">_xlfn.LET(_xlpm.result, Common_InputFunctions.Utility_LookupValueInTableTwoColumns(L18, _xlfn.IFS(L18="Urea",IF($J18="", "Global", $J18), L18="Ammonia", IF($K18="", "Global", $K18), TRUE, "Global"), Table_SourceData_Scope3_InorganicFertiliser[Chemical compound],Table_SourceData_Scope3_InorganicFertiliser[Region of origin],Table_SourceData_Scope3_InorganicFertiliser[AusLCI Emissions intensity]), IF(_xlpm.result="", 0, _xlpm.result))</f>
        <v>0</v>
      </c>
      <c r="O18" s="50" t="str">
        <v/>
      </c>
      <c r="P18" s="50" t="str">
        <v/>
      </c>
      <c r="Q18" s="50" cm="1">
        <f t="array" ref="Q18">_xlfn.LET(_xlpm.result, Common_InputFunctions.Utility_LookupValueInTableTwoColumns(O18, _xlfn.IFS(O18="Urea",IF($J18="", "Global", $J18), O18="Ammonia", IF($K18="", "Global", $K18), TRUE, "Global"), Table_SourceData_Scope3_InorganicFertiliser[Chemical compound],Table_SourceData_Scope3_InorganicFertiliser[Region of origin],Table_SourceData_Scope3_InorganicFertiliser[AusLCI Emissions intensity]), IF(_xlpm.result="", 0, _xlpm.result))</f>
        <v>0</v>
      </c>
      <c r="R18" s="50" t="str">
        <v/>
      </c>
      <c r="S18" s="50" t="str">
        <v/>
      </c>
      <c r="T18" s="50" cm="1">
        <f t="array" ref="T18">_xlfn.LET(_xlpm.result, Common_InputFunctions.Utility_LookupValueInTableTwoColumns(R18, _xlfn.IFS(R18="Urea",IF($J18="", "Global", $J18), R18="Ammonia", IF($K18="", "Global", $K18), TRUE, "Global"), Table_SourceData_Scope3_InorganicFertiliser[Chemical compound],Table_SourceData_Scope3_InorganicFertiliser[Region of origin],Table_SourceData_Scope3_InorganicFertiliser[AusLCI Emissions intensity]), IF(_xlpm.result="", 0, _xlpm.result))</f>
        <v>0</v>
      </c>
      <c r="U18" s="50" t="str">
        <v/>
      </c>
      <c r="V18" s="50" t="str">
        <v/>
      </c>
      <c r="W18" s="50" cm="1">
        <f t="array" ref="W18">_xlfn.LET(_xlpm.result, Common_InputFunctions.Utility_LookupValueInTableTwoColumns(U18, _xlfn.IFS(U18="Urea",IF($J18="", "Global", $J18), U18="Ammonia", IF($K18="", "Global", $K18), TRUE, "Global"), Table_SourceData_Scope3_InorganicFertiliser[Chemical compound],Table_SourceData_Scope3_InorganicFertiliser[Region of origin],Table_SourceData_Scope3_InorganicFertiliser[AusLCI Emissions intensity]), IF(_xlpm.result="", 0, _xlpm.result))</f>
        <v>0</v>
      </c>
      <c r="X18" s="50" t="str">
        <v/>
      </c>
      <c r="Y18" s="50" t="str">
        <v/>
      </c>
      <c r="Z18" s="50" cm="1">
        <f t="array" ref="Z18">_xlfn.LET(_xlpm.result, Common_InputFunctions.Utility_LookupValueInTableTwoColumns(X18, _xlfn.IFS(X18="Urea",IF($J18="", "Global", $J18), X18="Ammonia", IF($K18="", "Global", $K18), TRUE, "Global"), Table_SourceData_Scope3_InorganicFertiliser[Chemical compound],Table_SourceData_Scope3_InorganicFertiliser[Region of origin],Table_SourceData_Scope3_InorganicFertiliser[AusLCI Emissions intensity]), IF(_xlpm.result="", 0, _xlpm.result))</f>
        <v>0</v>
      </c>
      <c r="AA18" s="50" t="str">
        <v/>
      </c>
      <c r="AB18" s="50" t="str">
        <v/>
      </c>
      <c r="AC18" s="50" cm="1">
        <f t="array" ref="AC18">_xlfn.LET(_xlpm.result, Common_InputFunctions.Utility_LookupValueInTableTwoColumns(AA18, _xlfn.IFS(AA18="Urea",IF($J18="", "Global", $J18), AA18="Ammonia", IF($K18="", "Global", $K18), TRUE, "Global"), Table_SourceData_Scope3_InorganicFertiliser[Chemical compound],Table_SourceData_Scope3_InorganicFertiliser[Region of origin],Table_SourceData_Scope3_InorganicFertiliser[AusLCI Emissions intensity]), IF(_xlpm.result="", 0, _xlpm.result))</f>
        <v>0</v>
      </c>
    </row>
    <row r="19" spans="4:29" ht="20.100000000000001" customHeight="1" x14ac:dyDescent="0.25">
      <c r="D19" s="50" t="str">
        <v/>
      </c>
      <c r="E19" s="50" t="str">
        <v/>
      </c>
      <c r="F19" s="50">
        <f t="shared" si="0"/>
        <v>0</v>
      </c>
      <c r="G19" s="172">
        <f t="shared" si="1"/>
        <v>0</v>
      </c>
      <c r="H19" s="69"/>
      <c r="I19" s="172">
        <f t="shared" si="2"/>
        <v>0</v>
      </c>
      <c r="J19" s="50" t="str">
        <v/>
      </c>
      <c r="K19" s="50" t="str">
        <v/>
      </c>
      <c r="L19" s="50" t="str">
        <v/>
      </c>
      <c r="M19" s="50" t="str">
        <v/>
      </c>
      <c r="N19" s="50" cm="1">
        <f t="array" ref="N19">_xlfn.LET(_xlpm.result, Common_InputFunctions.Utility_LookupValueInTableTwoColumns(L19, _xlfn.IFS(L19="Urea",IF($J19="", "Global", $J19), L19="Ammonia", IF($K19="", "Global", $K19), TRUE, "Global"), Table_SourceData_Scope3_InorganicFertiliser[Chemical compound],Table_SourceData_Scope3_InorganicFertiliser[Region of origin],Table_SourceData_Scope3_InorganicFertiliser[AusLCI Emissions intensity]), IF(_xlpm.result="", 0, _xlpm.result))</f>
        <v>0</v>
      </c>
      <c r="O19" s="50" t="str">
        <v/>
      </c>
      <c r="P19" s="50" t="str">
        <v/>
      </c>
      <c r="Q19" s="50" cm="1">
        <f t="array" ref="Q19">_xlfn.LET(_xlpm.result, Common_InputFunctions.Utility_LookupValueInTableTwoColumns(O19, _xlfn.IFS(O19="Urea",IF($J19="", "Global", $J19), O19="Ammonia", IF($K19="", "Global", $K19), TRUE, "Global"), Table_SourceData_Scope3_InorganicFertiliser[Chemical compound],Table_SourceData_Scope3_InorganicFertiliser[Region of origin],Table_SourceData_Scope3_InorganicFertiliser[AusLCI Emissions intensity]), IF(_xlpm.result="", 0, _xlpm.result))</f>
        <v>0</v>
      </c>
      <c r="R19" s="50" t="str">
        <v/>
      </c>
      <c r="S19" s="50" t="str">
        <v/>
      </c>
      <c r="T19" s="50" cm="1">
        <f t="array" ref="T19">_xlfn.LET(_xlpm.result, Common_InputFunctions.Utility_LookupValueInTableTwoColumns(R19, _xlfn.IFS(R19="Urea",IF($J19="", "Global", $J19), R19="Ammonia", IF($K19="", "Global", $K19), TRUE, "Global"), Table_SourceData_Scope3_InorganicFertiliser[Chemical compound],Table_SourceData_Scope3_InorganicFertiliser[Region of origin],Table_SourceData_Scope3_InorganicFertiliser[AusLCI Emissions intensity]), IF(_xlpm.result="", 0, _xlpm.result))</f>
        <v>0</v>
      </c>
      <c r="U19" s="50" t="str">
        <v/>
      </c>
      <c r="V19" s="50" t="str">
        <v/>
      </c>
      <c r="W19" s="50" cm="1">
        <f t="array" ref="W19">_xlfn.LET(_xlpm.result, Common_InputFunctions.Utility_LookupValueInTableTwoColumns(U19, _xlfn.IFS(U19="Urea",IF($J19="", "Global", $J19), U19="Ammonia", IF($K19="", "Global", $K19), TRUE, "Global"), Table_SourceData_Scope3_InorganicFertiliser[Chemical compound],Table_SourceData_Scope3_InorganicFertiliser[Region of origin],Table_SourceData_Scope3_InorganicFertiliser[AusLCI Emissions intensity]), IF(_xlpm.result="", 0, _xlpm.result))</f>
        <v>0</v>
      </c>
      <c r="X19" s="50" t="str">
        <v/>
      </c>
      <c r="Y19" s="50" t="str">
        <v/>
      </c>
      <c r="Z19" s="50" cm="1">
        <f t="array" ref="Z19">_xlfn.LET(_xlpm.result, Common_InputFunctions.Utility_LookupValueInTableTwoColumns(X19, _xlfn.IFS(X19="Urea",IF($J19="", "Global", $J19), X19="Ammonia", IF($K19="", "Global", $K19), TRUE, "Global"), Table_SourceData_Scope3_InorganicFertiliser[Chemical compound],Table_SourceData_Scope3_InorganicFertiliser[Region of origin],Table_SourceData_Scope3_InorganicFertiliser[AusLCI Emissions intensity]), IF(_xlpm.result="", 0, _xlpm.result))</f>
        <v>0</v>
      </c>
      <c r="AA19" s="50" t="str">
        <v/>
      </c>
      <c r="AB19" s="50" t="str">
        <v/>
      </c>
      <c r="AC19" s="50" cm="1">
        <f t="array" ref="AC19">_xlfn.LET(_xlpm.result, Common_InputFunctions.Utility_LookupValueInTableTwoColumns(AA19, _xlfn.IFS(AA19="Urea",IF($J19="", "Global", $J19), AA19="Ammonia", IF($K19="", "Global", $K19), TRUE, "Global"), Table_SourceData_Scope3_InorganicFertiliser[Chemical compound],Table_SourceData_Scope3_InorganicFertiliser[Region of origin],Table_SourceData_Scope3_InorganicFertiliser[AusLCI Emissions intensity]), IF(_xlpm.result="", 0, _xlpm.result))</f>
        <v>0</v>
      </c>
    </row>
    <row r="20" spans="4:29" ht="20.100000000000001" customHeight="1" x14ac:dyDescent="0.25">
      <c r="D20" s="50" t="str">
        <v/>
      </c>
      <c r="E20" s="50" t="str">
        <v/>
      </c>
      <c r="F20" s="50">
        <f t="shared" si="0"/>
        <v>0</v>
      </c>
      <c r="G20" s="172">
        <f t="shared" si="1"/>
        <v>0</v>
      </c>
      <c r="H20" s="69"/>
      <c r="I20" s="172">
        <f t="shared" si="2"/>
        <v>0</v>
      </c>
      <c r="J20" s="50" t="str">
        <v/>
      </c>
      <c r="K20" s="50" t="str">
        <v/>
      </c>
      <c r="L20" s="50" t="str">
        <v/>
      </c>
      <c r="M20" s="50" t="str">
        <v/>
      </c>
      <c r="N20" s="50" cm="1">
        <f t="array" ref="N20">_xlfn.LET(_xlpm.result, Common_InputFunctions.Utility_LookupValueInTableTwoColumns(L20, _xlfn.IFS(L20="Urea",IF($J20="", "Global", $J20), L20="Ammonia", IF($K20="", "Global", $K20), TRUE, "Global"), Table_SourceData_Scope3_InorganicFertiliser[Chemical compound],Table_SourceData_Scope3_InorganicFertiliser[Region of origin],Table_SourceData_Scope3_InorganicFertiliser[AusLCI Emissions intensity]), IF(_xlpm.result="", 0, _xlpm.result))</f>
        <v>0</v>
      </c>
      <c r="O20" s="50" t="str">
        <v/>
      </c>
      <c r="P20" s="50" t="str">
        <v/>
      </c>
      <c r="Q20" s="50" cm="1">
        <f t="array" ref="Q20">_xlfn.LET(_xlpm.result, Common_InputFunctions.Utility_LookupValueInTableTwoColumns(O20, _xlfn.IFS(O20="Urea",IF($J20="", "Global", $J20), O20="Ammonia", IF($K20="", "Global", $K20), TRUE, "Global"), Table_SourceData_Scope3_InorganicFertiliser[Chemical compound],Table_SourceData_Scope3_InorganicFertiliser[Region of origin],Table_SourceData_Scope3_InorganicFertiliser[AusLCI Emissions intensity]), IF(_xlpm.result="", 0, _xlpm.result))</f>
        <v>0</v>
      </c>
      <c r="R20" s="50" t="str">
        <v/>
      </c>
      <c r="S20" s="50" t="str">
        <v/>
      </c>
      <c r="T20" s="50" cm="1">
        <f t="array" ref="T20">_xlfn.LET(_xlpm.result, Common_InputFunctions.Utility_LookupValueInTableTwoColumns(R20, _xlfn.IFS(R20="Urea",IF($J20="", "Global", $J20), R20="Ammonia", IF($K20="", "Global", $K20), TRUE, "Global"), Table_SourceData_Scope3_InorganicFertiliser[Chemical compound],Table_SourceData_Scope3_InorganicFertiliser[Region of origin],Table_SourceData_Scope3_InorganicFertiliser[AusLCI Emissions intensity]), IF(_xlpm.result="", 0, _xlpm.result))</f>
        <v>0</v>
      </c>
      <c r="U20" s="50" t="str">
        <v/>
      </c>
      <c r="V20" s="50" t="str">
        <v/>
      </c>
      <c r="W20" s="50" cm="1">
        <f t="array" ref="W20">_xlfn.LET(_xlpm.result, Common_InputFunctions.Utility_LookupValueInTableTwoColumns(U20, _xlfn.IFS(U20="Urea",IF($J20="", "Global", $J20), U20="Ammonia", IF($K20="", "Global", $K20), TRUE, "Global"), Table_SourceData_Scope3_InorganicFertiliser[Chemical compound],Table_SourceData_Scope3_InorganicFertiliser[Region of origin],Table_SourceData_Scope3_InorganicFertiliser[AusLCI Emissions intensity]), IF(_xlpm.result="", 0, _xlpm.result))</f>
        <v>0</v>
      </c>
      <c r="X20" s="50" t="str">
        <v/>
      </c>
      <c r="Y20" s="50" t="str">
        <v/>
      </c>
      <c r="Z20" s="50" cm="1">
        <f t="array" ref="Z20">_xlfn.LET(_xlpm.result, Common_InputFunctions.Utility_LookupValueInTableTwoColumns(X20, _xlfn.IFS(X20="Urea",IF($J20="", "Global", $J20), X20="Ammonia", IF($K20="", "Global", $K20), TRUE, "Global"), Table_SourceData_Scope3_InorganicFertiliser[Chemical compound],Table_SourceData_Scope3_InorganicFertiliser[Region of origin],Table_SourceData_Scope3_InorganicFertiliser[AusLCI Emissions intensity]), IF(_xlpm.result="", 0, _xlpm.result))</f>
        <v>0</v>
      </c>
      <c r="AA20" s="50" t="str">
        <v/>
      </c>
      <c r="AB20" s="50" t="str">
        <v/>
      </c>
      <c r="AC20" s="50" cm="1">
        <f t="array" ref="AC20">_xlfn.LET(_xlpm.result, Common_InputFunctions.Utility_LookupValueInTableTwoColumns(AA20, _xlfn.IFS(AA20="Urea",IF($J20="", "Global", $J20), AA20="Ammonia", IF($K20="", "Global", $K20), TRUE, "Global"), Table_SourceData_Scope3_InorganicFertiliser[Chemical compound],Table_SourceData_Scope3_InorganicFertiliser[Region of origin],Table_SourceData_Scope3_InorganicFertiliser[AusLCI Emissions intensity]), IF(_xlpm.result="", 0, _xlpm.result))</f>
        <v>0</v>
      </c>
    </row>
    <row r="21" spans="4:29" ht="20.100000000000001" customHeight="1" x14ac:dyDescent="0.25">
      <c r="D21" s="50" t="str">
        <v/>
      </c>
      <c r="E21" s="50" t="str">
        <v/>
      </c>
      <c r="F21" s="50">
        <f t="shared" si="0"/>
        <v>0</v>
      </c>
      <c r="G21" s="172">
        <f t="shared" si="1"/>
        <v>0</v>
      </c>
      <c r="H21" s="69"/>
      <c r="I21" s="172">
        <f t="shared" si="2"/>
        <v>0</v>
      </c>
      <c r="J21" s="50" t="str">
        <v/>
      </c>
      <c r="K21" s="50" t="str">
        <v/>
      </c>
      <c r="L21" s="50" t="str">
        <v/>
      </c>
      <c r="M21" s="50" t="str">
        <v/>
      </c>
      <c r="N21" s="50" cm="1">
        <f t="array" ref="N21">_xlfn.LET(_xlpm.result, Common_InputFunctions.Utility_LookupValueInTableTwoColumns(L21, _xlfn.IFS(L21="Urea",IF($J21="", "Global", $J21), L21="Ammonia", IF($K21="", "Global", $K21), TRUE, "Global"), Table_SourceData_Scope3_InorganicFertiliser[Chemical compound],Table_SourceData_Scope3_InorganicFertiliser[Region of origin],Table_SourceData_Scope3_InorganicFertiliser[AusLCI Emissions intensity]), IF(_xlpm.result="", 0, _xlpm.result))</f>
        <v>0</v>
      </c>
      <c r="O21" s="50" t="str">
        <v/>
      </c>
      <c r="P21" s="50" t="str">
        <v/>
      </c>
      <c r="Q21" s="50" cm="1">
        <f t="array" ref="Q21">_xlfn.LET(_xlpm.result, Common_InputFunctions.Utility_LookupValueInTableTwoColumns(O21, _xlfn.IFS(O21="Urea",IF($J21="", "Global", $J21), O21="Ammonia", IF($K21="", "Global", $K21), TRUE, "Global"), Table_SourceData_Scope3_InorganicFertiliser[Chemical compound],Table_SourceData_Scope3_InorganicFertiliser[Region of origin],Table_SourceData_Scope3_InorganicFertiliser[AusLCI Emissions intensity]), IF(_xlpm.result="", 0, _xlpm.result))</f>
        <v>0</v>
      </c>
      <c r="R21" s="50" t="str">
        <v/>
      </c>
      <c r="S21" s="50" t="str">
        <v/>
      </c>
      <c r="T21" s="50" cm="1">
        <f t="array" ref="T21">_xlfn.LET(_xlpm.result, Common_InputFunctions.Utility_LookupValueInTableTwoColumns(R21, _xlfn.IFS(R21="Urea",IF($J21="", "Global", $J21), R21="Ammonia", IF($K21="", "Global", $K21), TRUE, "Global"), Table_SourceData_Scope3_InorganicFertiliser[Chemical compound],Table_SourceData_Scope3_InorganicFertiliser[Region of origin],Table_SourceData_Scope3_InorganicFertiliser[AusLCI Emissions intensity]), IF(_xlpm.result="", 0, _xlpm.result))</f>
        <v>0</v>
      </c>
      <c r="U21" s="50" t="str">
        <v/>
      </c>
      <c r="V21" s="50" t="str">
        <v/>
      </c>
      <c r="W21" s="50" cm="1">
        <f t="array" ref="W21">_xlfn.LET(_xlpm.result, Common_InputFunctions.Utility_LookupValueInTableTwoColumns(U21, _xlfn.IFS(U21="Urea",IF($J21="", "Global", $J21), U21="Ammonia", IF($K21="", "Global", $K21), TRUE, "Global"), Table_SourceData_Scope3_InorganicFertiliser[Chemical compound],Table_SourceData_Scope3_InorganicFertiliser[Region of origin],Table_SourceData_Scope3_InorganicFertiliser[AusLCI Emissions intensity]), IF(_xlpm.result="", 0, _xlpm.result))</f>
        <v>0</v>
      </c>
      <c r="X21" s="50" t="str">
        <v/>
      </c>
      <c r="Y21" s="50" t="str">
        <v/>
      </c>
      <c r="Z21" s="50" cm="1">
        <f t="array" ref="Z21">_xlfn.LET(_xlpm.result, Common_InputFunctions.Utility_LookupValueInTableTwoColumns(X21, _xlfn.IFS(X21="Urea",IF($J21="", "Global", $J21), X21="Ammonia", IF($K21="", "Global", $K21), TRUE, "Global"), Table_SourceData_Scope3_InorganicFertiliser[Chemical compound],Table_SourceData_Scope3_InorganicFertiliser[Region of origin],Table_SourceData_Scope3_InorganicFertiliser[AusLCI Emissions intensity]), IF(_xlpm.result="", 0, _xlpm.result))</f>
        <v>0</v>
      </c>
      <c r="AA21" s="50" t="str">
        <v/>
      </c>
      <c r="AB21" s="50" t="str">
        <v/>
      </c>
      <c r="AC21" s="50" cm="1">
        <f t="array" ref="AC21">_xlfn.LET(_xlpm.result, Common_InputFunctions.Utility_LookupValueInTableTwoColumns(AA21, _xlfn.IFS(AA21="Urea",IF($J21="", "Global", $J21), AA21="Ammonia", IF($K21="", "Global", $K21), TRUE, "Global"), Table_SourceData_Scope3_InorganicFertiliser[Chemical compound],Table_SourceData_Scope3_InorganicFertiliser[Region of origin],Table_SourceData_Scope3_InorganicFertiliser[AusLCI Emissions intensity]), IF(_xlpm.result="", 0, _xlpm.result))</f>
        <v>0</v>
      </c>
    </row>
    <row r="22" spans="4:29" ht="20.100000000000001" customHeight="1" x14ac:dyDescent="0.25">
      <c r="D22" s="50" t="str">
        <v/>
      </c>
      <c r="E22" s="50" t="str">
        <v/>
      </c>
      <c r="F22" s="50">
        <f t="shared" si="0"/>
        <v>0</v>
      </c>
      <c r="G22" s="172">
        <f t="shared" si="1"/>
        <v>0</v>
      </c>
      <c r="H22" s="69"/>
      <c r="I22" s="172">
        <f t="shared" si="2"/>
        <v>0</v>
      </c>
      <c r="J22" s="50" t="str">
        <v/>
      </c>
      <c r="K22" s="50" t="str">
        <v/>
      </c>
      <c r="L22" s="50" t="str">
        <v/>
      </c>
      <c r="M22" s="50" t="str">
        <v/>
      </c>
      <c r="N22" s="50" cm="1">
        <f t="array" ref="N22">_xlfn.LET(_xlpm.result, Common_InputFunctions.Utility_LookupValueInTableTwoColumns(L22, _xlfn.IFS(L22="Urea",IF($J22="", "Global", $J22), L22="Ammonia", IF($K22="", "Global", $K22), TRUE, "Global"), Table_SourceData_Scope3_InorganicFertiliser[Chemical compound],Table_SourceData_Scope3_InorganicFertiliser[Region of origin],Table_SourceData_Scope3_InorganicFertiliser[AusLCI Emissions intensity]), IF(_xlpm.result="", 0, _xlpm.result))</f>
        <v>0</v>
      </c>
      <c r="O22" s="50" t="str">
        <v/>
      </c>
      <c r="P22" s="50" t="str">
        <v/>
      </c>
      <c r="Q22" s="50" cm="1">
        <f t="array" ref="Q22">_xlfn.LET(_xlpm.result, Common_InputFunctions.Utility_LookupValueInTableTwoColumns(O22, _xlfn.IFS(O22="Urea",IF($J22="", "Global", $J22), O22="Ammonia", IF($K22="", "Global", $K22), TRUE, "Global"), Table_SourceData_Scope3_InorganicFertiliser[Chemical compound],Table_SourceData_Scope3_InorganicFertiliser[Region of origin],Table_SourceData_Scope3_InorganicFertiliser[AusLCI Emissions intensity]), IF(_xlpm.result="", 0, _xlpm.result))</f>
        <v>0</v>
      </c>
      <c r="R22" s="50" t="str">
        <v/>
      </c>
      <c r="S22" s="50" t="str">
        <v/>
      </c>
      <c r="T22" s="50" cm="1">
        <f t="array" ref="T22">_xlfn.LET(_xlpm.result, Common_InputFunctions.Utility_LookupValueInTableTwoColumns(R22, _xlfn.IFS(R22="Urea",IF($J22="", "Global", $J22), R22="Ammonia", IF($K22="", "Global", $K22), TRUE, "Global"), Table_SourceData_Scope3_InorganicFertiliser[Chemical compound],Table_SourceData_Scope3_InorganicFertiliser[Region of origin],Table_SourceData_Scope3_InorganicFertiliser[AusLCI Emissions intensity]), IF(_xlpm.result="", 0, _xlpm.result))</f>
        <v>0</v>
      </c>
      <c r="U22" s="50" t="str">
        <v/>
      </c>
      <c r="V22" s="50" t="str">
        <v/>
      </c>
      <c r="W22" s="50" cm="1">
        <f t="array" ref="W22">_xlfn.LET(_xlpm.result, Common_InputFunctions.Utility_LookupValueInTableTwoColumns(U22, _xlfn.IFS(U22="Urea",IF($J22="", "Global", $J22), U22="Ammonia", IF($K22="", "Global", $K22), TRUE, "Global"), Table_SourceData_Scope3_InorganicFertiliser[Chemical compound],Table_SourceData_Scope3_InorganicFertiliser[Region of origin],Table_SourceData_Scope3_InorganicFertiliser[AusLCI Emissions intensity]), IF(_xlpm.result="", 0, _xlpm.result))</f>
        <v>0</v>
      </c>
      <c r="X22" s="50" t="str">
        <v/>
      </c>
      <c r="Y22" s="50" t="str">
        <v/>
      </c>
      <c r="Z22" s="50" cm="1">
        <f t="array" ref="Z22">_xlfn.LET(_xlpm.result, Common_InputFunctions.Utility_LookupValueInTableTwoColumns(X22, _xlfn.IFS(X22="Urea",IF($J22="", "Global", $J22), X22="Ammonia", IF($K22="", "Global", $K22), TRUE, "Global"), Table_SourceData_Scope3_InorganicFertiliser[Chemical compound],Table_SourceData_Scope3_InorganicFertiliser[Region of origin],Table_SourceData_Scope3_InorganicFertiliser[AusLCI Emissions intensity]), IF(_xlpm.result="", 0, _xlpm.result))</f>
        <v>0</v>
      </c>
      <c r="AA22" s="50" t="str">
        <v/>
      </c>
      <c r="AB22" s="50" t="str">
        <v/>
      </c>
      <c r="AC22" s="50" cm="1">
        <f t="array" ref="AC22">_xlfn.LET(_xlpm.result, Common_InputFunctions.Utility_LookupValueInTableTwoColumns(AA22, _xlfn.IFS(AA22="Urea",IF($J22="", "Global", $J22), AA22="Ammonia", IF($K22="", "Global", $K22), TRUE, "Global"), Table_SourceData_Scope3_InorganicFertiliser[Chemical compound],Table_SourceData_Scope3_InorganicFertiliser[Region of origin],Table_SourceData_Scope3_InorganicFertiliser[AusLCI Emissions intensity]), IF(_xlpm.result="", 0, _xlpm.result))</f>
        <v>0</v>
      </c>
    </row>
    <row r="23" spans="4:29" ht="20.100000000000001" customHeight="1" x14ac:dyDescent="0.25">
      <c r="D23" s="50" t="str">
        <v/>
      </c>
      <c r="E23" s="50" t="str">
        <v/>
      </c>
      <c r="F23" s="50">
        <f t="shared" si="0"/>
        <v>0</v>
      </c>
      <c r="G23" s="172">
        <f t="shared" si="1"/>
        <v>0</v>
      </c>
      <c r="H23" s="69"/>
      <c r="I23" s="172">
        <f t="shared" si="2"/>
        <v>0</v>
      </c>
      <c r="J23" s="50" t="str">
        <v/>
      </c>
      <c r="K23" s="50" t="str">
        <v/>
      </c>
      <c r="L23" s="50" t="str">
        <v/>
      </c>
      <c r="M23" s="50" t="str">
        <v/>
      </c>
      <c r="N23" s="50" cm="1">
        <f t="array" ref="N23">_xlfn.LET(_xlpm.result, Common_InputFunctions.Utility_LookupValueInTableTwoColumns(L23, _xlfn.IFS(L23="Urea",IF($J23="", "Global", $J23), L23="Ammonia", IF($K23="", "Global", $K23), TRUE, "Global"), Table_SourceData_Scope3_InorganicFertiliser[Chemical compound],Table_SourceData_Scope3_InorganicFertiliser[Region of origin],Table_SourceData_Scope3_InorganicFertiliser[AusLCI Emissions intensity]), IF(_xlpm.result="", 0, _xlpm.result))</f>
        <v>0</v>
      </c>
      <c r="O23" s="50" t="str">
        <v/>
      </c>
      <c r="P23" s="50" t="str">
        <v/>
      </c>
      <c r="Q23" s="50" cm="1">
        <f t="array" ref="Q23">_xlfn.LET(_xlpm.result, Common_InputFunctions.Utility_LookupValueInTableTwoColumns(O23, _xlfn.IFS(O23="Urea",IF($J23="", "Global", $J23), O23="Ammonia", IF($K23="", "Global", $K23), TRUE, "Global"), Table_SourceData_Scope3_InorganicFertiliser[Chemical compound],Table_SourceData_Scope3_InorganicFertiliser[Region of origin],Table_SourceData_Scope3_InorganicFertiliser[AusLCI Emissions intensity]), IF(_xlpm.result="", 0, _xlpm.result))</f>
        <v>0</v>
      </c>
      <c r="R23" s="50" t="str">
        <v/>
      </c>
      <c r="S23" s="50" t="str">
        <v/>
      </c>
      <c r="T23" s="50" cm="1">
        <f t="array" ref="T23">_xlfn.LET(_xlpm.result, Common_InputFunctions.Utility_LookupValueInTableTwoColumns(R23, _xlfn.IFS(R23="Urea",IF($J23="", "Global", $J23), R23="Ammonia", IF($K23="", "Global", $K23), TRUE, "Global"), Table_SourceData_Scope3_InorganicFertiliser[Chemical compound],Table_SourceData_Scope3_InorganicFertiliser[Region of origin],Table_SourceData_Scope3_InorganicFertiliser[AusLCI Emissions intensity]), IF(_xlpm.result="", 0, _xlpm.result))</f>
        <v>0</v>
      </c>
      <c r="U23" s="50" t="str">
        <v/>
      </c>
      <c r="V23" s="50" t="str">
        <v/>
      </c>
      <c r="W23" s="50" cm="1">
        <f t="array" ref="W23">_xlfn.LET(_xlpm.result, Common_InputFunctions.Utility_LookupValueInTableTwoColumns(U23, _xlfn.IFS(U23="Urea",IF($J23="", "Global", $J23), U23="Ammonia", IF($K23="", "Global", $K23), TRUE, "Global"), Table_SourceData_Scope3_InorganicFertiliser[Chemical compound],Table_SourceData_Scope3_InorganicFertiliser[Region of origin],Table_SourceData_Scope3_InorganicFertiliser[AusLCI Emissions intensity]), IF(_xlpm.result="", 0, _xlpm.result))</f>
        <v>0</v>
      </c>
      <c r="X23" s="50" t="str">
        <v/>
      </c>
      <c r="Y23" s="50" t="str">
        <v/>
      </c>
      <c r="Z23" s="50" cm="1">
        <f t="array" ref="Z23">_xlfn.LET(_xlpm.result, Common_InputFunctions.Utility_LookupValueInTableTwoColumns(X23, _xlfn.IFS(X23="Urea",IF($J23="", "Global", $J23), X23="Ammonia", IF($K23="", "Global", $K23), TRUE, "Global"), Table_SourceData_Scope3_InorganicFertiliser[Chemical compound],Table_SourceData_Scope3_InorganicFertiliser[Region of origin],Table_SourceData_Scope3_InorganicFertiliser[AusLCI Emissions intensity]), IF(_xlpm.result="", 0, _xlpm.result))</f>
        <v>0</v>
      </c>
      <c r="AA23" s="50" t="str">
        <v/>
      </c>
      <c r="AB23" s="50" t="str">
        <v/>
      </c>
      <c r="AC23" s="50" cm="1">
        <f t="array" ref="AC23">_xlfn.LET(_xlpm.result, Common_InputFunctions.Utility_LookupValueInTableTwoColumns(AA23, _xlfn.IFS(AA23="Urea",IF($J23="", "Global", $J23), AA23="Ammonia", IF($K23="", "Global", $K23), TRUE, "Global"), Table_SourceData_Scope3_InorganicFertiliser[Chemical compound],Table_SourceData_Scope3_InorganicFertiliser[Region of origin],Table_SourceData_Scope3_InorganicFertiliser[AusLCI Emissions intensity]), IF(_xlpm.result="", 0, _xlpm.result))</f>
        <v>0</v>
      </c>
    </row>
    <row r="24" spans="4:29" ht="20.100000000000001" customHeight="1" x14ac:dyDescent="0.25">
      <c r="D24" s="50" t="str">
        <v/>
      </c>
      <c r="E24" s="50" t="str">
        <v/>
      </c>
      <c r="F24" s="50">
        <f t="shared" si="0"/>
        <v>0</v>
      </c>
      <c r="G24" s="172">
        <f t="shared" si="1"/>
        <v>0</v>
      </c>
      <c r="H24" s="69"/>
      <c r="I24" s="172">
        <f t="shared" si="2"/>
        <v>0</v>
      </c>
      <c r="J24" s="50" t="str">
        <v/>
      </c>
      <c r="K24" s="50" t="str">
        <v/>
      </c>
      <c r="L24" s="50" t="str">
        <v/>
      </c>
      <c r="M24" s="50" t="str">
        <v/>
      </c>
      <c r="N24" s="50" cm="1">
        <f t="array" ref="N24">_xlfn.LET(_xlpm.result, Common_InputFunctions.Utility_LookupValueInTableTwoColumns(L24, _xlfn.IFS(L24="Urea",IF($J24="", "Global", $J24), L24="Ammonia", IF($K24="", "Global", $K24), TRUE, "Global"), Table_SourceData_Scope3_InorganicFertiliser[Chemical compound],Table_SourceData_Scope3_InorganicFertiliser[Region of origin],Table_SourceData_Scope3_InorganicFertiliser[AusLCI Emissions intensity]), IF(_xlpm.result="", 0, _xlpm.result))</f>
        <v>0</v>
      </c>
      <c r="O24" s="50" t="str">
        <v/>
      </c>
      <c r="P24" s="50" t="str">
        <v/>
      </c>
      <c r="Q24" s="50" cm="1">
        <f t="array" ref="Q24">_xlfn.LET(_xlpm.result, Common_InputFunctions.Utility_LookupValueInTableTwoColumns(O24, _xlfn.IFS(O24="Urea",IF($J24="", "Global", $J24), O24="Ammonia", IF($K24="", "Global", $K24), TRUE, "Global"), Table_SourceData_Scope3_InorganicFertiliser[Chemical compound],Table_SourceData_Scope3_InorganicFertiliser[Region of origin],Table_SourceData_Scope3_InorganicFertiliser[AusLCI Emissions intensity]), IF(_xlpm.result="", 0, _xlpm.result))</f>
        <v>0</v>
      </c>
      <c r="R24" s="50" t="str">
        <v/>
      </c>
      <c r="S24" s="50" t="str">
        <v/>
      </c>
      <c r="T24" s="50" cm="1">
        <f t="array" ref="T24">_xlfn.LET(_xlpm.result, Common_InputFunctions.Utility_LookupValueInTableTwoColumns(R24, _xlfn.IFS(R24="Urea",IF($J24="", "Global", $J24), R24="Ammonia", IF($K24="", "Global", $K24), TRUE, "Global"), Table_SourceData_Scope3_InorganicFertiliser[Chemical compound],Table_SourceData_Scope3_InorganicFertiliser[Region of origin],Table_SourceData_Scope3_InorganicFertiliser[AusLCI Emissions intensity]), IF(_xlpm.result="", 0, _xlpm.result))</f>
        <v>0</v>
      </c>
      <c r="U24" s="50" t="str">
        <v/>
      </c>
      <c r="V24" s="50" t="str">
        <v/>
      </c>
      <c r="W24" s="50" cm="1">
        <f t="array" ref="W24">_xlfn.LET(_xlpm.result, Common_InputFunctions.Utility_LookupValueInTableTwoColumns(U24, _xlfn.IFS(U24="Urea",IF($J24="", "Global", $J24), U24="Ammonia", IF($K24="", "Global", $K24), TRUE, "Global"), Table_SourceData_Scope3_InorganicFertiliser[Chemical compound],Table_SourceData_Scope3_InorganicFertiliser[Region of origin],Table_SourceData_Scope3_InorganicFertiliser[AusLCI Emissions intensity]), IF(_xlpm.result="", 0, _xlpm.result))</f>
        <v>0</v>
      </c>
      <c r="X24" s="50" t="str">
        <v/>
      </c>
      <c r="Y24" s="50" t="str">
        <v/>
      </c>
      <c r="Z24" s="50" cm="1">
        <f t="array" ref="Z24">_xlfn.LET(_xlpm.result, Common_InputFunctions.Utility_LookupValueInTableTwoColumns(X24, _xlfn.IFS(X24="Urea",IF($J24="", "Global", $J24), X24="Ammonia", IF($K24="", "Global", $K24), TRUE, "Global"), Table_SourceData_Scope3_InorganicFertiliser[Chemical compound],Table_SourceData_Scope3_InorganicFertiliser[Region of origin],Table_SourceData_Scope3_InorganicFertiliser[AusLCI Emissions intensity]), IF(_xlpm.result="", 0, _xlpm.result))</f>
        <v>0</v>
      </c>
      <c r="AA24" s="50" t="str">
        <v/>
      </c>
      <c r="AB24" s="50" t="str">
        <v/>
      </c>
      <c r="AC24" s="50" cm="1">
        <f t="array" ref="AC24">_xlfn.LET(_xlpm.result, Common_InputFunctions.Utility_LookupValueInTableTwoColumns(AA24, _xlfn.IFS(AA24="Urea",IF($J24="", "Global", $J24), AA24="Ammonia", IF($K24="", "Global", $K24), TRUE, "Global"), Table_SourceData_Scope3_InorganicFertiliser[Chemical compound],Table_SourceData_Scope3_InorganicFertiliser[Region of origin],Table_SourceData_Scope3_InorganicFertiliser[AusLCI Emissions intensity]), IF(_xlpm.result="", 0, _xlpm.result))</f>
        <v>0</v>
      </c>
    </row>
    <row r="25" spans="4:29" ht="20.100000000000001" customHeight="1" x14ac:dyDescent="0.25">
      <c r="D25" s="50" t="str">
        <v/>
      </c>
      <c r="E25" s="50" t="str">
        <v/>
      </c>
      <c r="F25" s="50">
        <f t="shared" si="0"/>
        <v>0</v>
      </c>
      <c r="G25" s="172">
        <f t="shared" si="1"/>
        <v>0</v>
      </c>
      <c r="H25" s="69"/>
      <c r="I25" s="172">
        <f t="shared" si="2"/>
        <v>0</v>
      </c>
      <c r="J25" s="50" t="str">
        <v/>
      </c>
      <c r="K25" s="50" t="str">
        <v/>
      </c>
      <c r="L25" s="50" t="str">
        <v/>
      </c>
      <c r="M25" s="50" t="str">
        <v/>
      </c>
      <c r="N25" s="50" cm="1">
        <f t="array" ref="N25">_xlfn.LET(_xlpm.result, Common_InputFunctions.Utility_LookupValueInTableTwoColumns(L25, _xlfn.IFS(L25="Urea",IF($J25="", "Global", $J25), L25="Ammonia", IF($K25="", "Global", $K25), TRUE, "Global"), Table_SourceData_Scope3_InorganicFertiliser[Chemical compound],Table_SourceData_Scope3_InorganicFertiliser[Region of origin],Table_SourceData_Scope3_InorganicFertiliser[AusLCI Emissions intensity]), IF(_xlpm.result="", 0, _xlpm.result))</f>
        <v>0</v>
      </c>
      <c r="O25" s="50" t="str">
        <v/>
      </c>
      <c r="P25" s="50" t="str">
        <v/>
      </c>
      <c r="Q25" s="50" cm="1">
        <f t="array" ref="Q25">_xlfn.LET(_xlpm.result, Common_InputFunctions.Utility_LookupValueInTableTwoColumns(O25, _xlfn.IFS(O25="Urea",IF($J25="", "Global", $J25), O25="Ammonia", IF($K25="", "Global", $K25), TRUE, "Global"), Table_SourceData_Scope3_InorganicFertiliser[Chemical compound],Table_SourceData_Scope3_InorganicFertiliser[Region of origin],Table_SourceData_Scope3_InorganicFertiliser[AusLCI Emissions intensity]), IF(_xlpm.result="", 0, _xlpm.result))</f>
        <v>0</v>
      </c>
      <c r="R25" s="50" t="str">
        <v/>
      </c>
      <c r="S25" s="50" t="str">
        <v/>
      </c>
      <c r="T25" s="50" cm="1">
        <f t="array" ref="T25">_xlfn.LET(_xlpm.result, Common_InputFunctions.Utility_LookupValueInTableTwoColumns(R25, _xlfn.IFS(R25="Urea",IF($J25="", "Global", $J25), R25="Ammonia", IF($K25="", "Global", $K25), TRUE, "Global"), Table_SourceData_Scope3_InorganicFertiliser[Chemical compound],Table_SourceData_Scope3_InorganicFertiliser[Region of origin],Table_SourceData_Scope3_InorganicFertiliser[AusLCI Emissions intensity]), IF(_xlpm.result="", 0, _xlpm.result))</f>
        <v>0</v>
      </c>
      <c r="U25" s="50" t="str">
        <v/>
      </c>
      <c r="V25" s="50" t="str">
        <v/>
      </c>
      <c r="W25" s="50" cm="1">
        <f t="array" ref="W25">_xlfn.LET(_xlpm.result, Common_InputFunctions.Utility_LookupValueInTableTwoColumns(U25, _xlfn.IFS(U25="Urea",IF($J25="", "Global", $J25), U25="Ammonia", IF($K25="", "Global", $K25), TRUE, "Global"), Table_SourceData_Scope3_InorganicFertiliser[Chemical compound],Table_SourceData_Scope3_InorganicFertiliser[Region of origin],Table_SourceData_Scope3_InorganicFertiliser[AusLCI Emissions intensity]), IF(_xlpm.result="", 0, _xlpm.result))</f>
        <v>0</v>
      </c>
      <c r="X25" s="50" t="str">
        <v/>
      </c>
      <c r="Y25" s="50" t="str">
        <v/>
      </c>
      <c r="Z25" s="50" cm="1">
        <f t="array" ref="Z25">_xlfn.LET(_xlpm.result, Common_InputFunctions.Utility_LookupValueInTableTwoColumns(X25, _xlfn.IFS(X25="Urea",IF($J25="", "Global", $J25), X25="Ammonia", IF($K25="", "Global", $K25), TRUE, "Global"), Table_SourceData_Scope3_InorganicFertiliser[Chemical compound],Table_SourceData_Scope3_InorganicFertiliser[Region of origin],Table_SourceData_Scope3_InorganicFertiliser[AusLCI Emissions intensity]), IF(_xlpm.result="", 0, _xlpm.result))</f>
        <v>0</v>
      </c>
      <c r="AA25" s="50" t="str">
        <v/>
      </c>
      <c r="AB25" s="50" t="str">
        <v/>
      </c>
      <c r="AC25" s="50" cm="1">
        <f t="array" ref="AC25">_xlfn.LET(_xlpm.result, Common_InputFunctions.Utility_LookupValueInTableTwoColumns(AA25, _xlfn.IFS(AA25="Urea",IF($J25="", "Global", $J25), AA25="Ammonia", IF($K25="", "Global", $K25), TRUE, "Global"), Table_SourceData_Scope3_InorganicFertiliser[Chemical compound],Table_SourceData_Scope3_InorganicFertiliser[Region of origin],Table_SourceData_Scope3_InorganicFertiliser[AusLCI Emissions intensity]), IF(_xlpm.result="", 0, _xlpm.result))</f>
        <v>0</v>
      </c>
    </row>
    <row r="26" spans="4:29" ht="20.100000000000001" customHeight="1" x14ac:dyDescent="0.25"/>
    <row r="27" spans="4:29" ht="20.100000000000001" customHeight="1" x14ac:dyDescent="0.25"/>
    <row r="28" spans="4:29" ht="20.100000000000001" customHeight="1" x14ac:dyDescent="0.25">
      <c r="D28" s="9" t="s">
        <v>402</v>
      </c>
    </row>
    <row r="29" spans="4:29" ht="20.100000000000001" customHeight="1" x14ac:dyDescent="0.25">
      <c r="D29" s="164" t="s">
        <v>300</v>
      </c>
      <c r="E29" s="164" t="s">
        <v>175</v>
      </c>
      <c r="F29" s="164" t="s">
        <v>176</v>
      </c>
      <c r="G29" s="164" t="s">
        <v>301</v>
      </c>
      <c r="H29" s="60" t="s">
        <v>397</v>
      </c>
      <c r="I29" s="60" t="s">
        <v>394</v>
      </c>
      <c r="J29" s="47" t="s">
        <v>403</v>
      </c>
      <c r="K29" s="60" t="s">
        <v>395</v>
      </c>
    </row>
    <row r="30" spans="4:29" ht="20.100000000000001" customHeight="1" x14ac:dyDescent="0.25">
      <c r="D30" s="50" t="str">
        <f>'Constants - Fertiliser'!$D$37</f>
        <v>Ammonia</v>
      </c>
      <c r="E30" s="50"/>
      <c r="F30" s="50" t="str">
        <f>'Constants - Fertiliser'!$V$20</f>
        <v>Global</v>
      </c>
      <c r="G30" s="50" cm="1">
        <f t="array" ref="G30">Fertiliser_InputFunctions.Fertiliser_TotalChemicalCompoundtAppliedBySourceAllIngredients(D30,F30,Table_Input_InorganicFertiliser_Custom[Total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4500</v>
      </c>
      <c r="H30" s="50" cm="1">
        <f t="array" ref="H30">Common_InputFunctions.Utility_LookupValueInTableTwoColumns(D30,F30,Table_SourceData_Scope3_InorganicFertiliser[Chemical compound],Table_SourceData_Scope3_InorganicFertiliser[Ammonia source],Table_SourceData_Scope3_InorganicFertiliser[AusLCI Emissions intensity])</f>
        <v>2.3199999999999998</v>
      </c>
      <c r="I30" s="50">
        <f>G30*H30</f>
        <v>10440</v>
      </c>
      <c r="J30" s="69">
        <v>2</v>
      </c>
      <c r="K30" s="172">
        <f>IFERROR(IF(J30, G30*J30, G30*H30),0)</f>
        <v>9000</v>
      </c>
    </row>
    <row r="31" spans="4:29" ht="20.100000000000001" customHeight="1" x14ac:dyDescent="0.25">
      <c r="D31" s="50" t="str">
        <f>'Constants - Fertiliser'!$D$37</f>
        <v>Ammonia</v>
      </c>
      <c r="E31" s="50"/>
      <c r="F31" s="50" t="str">
        <f>'Constants - Fertiliser'!$V$21</f>
        <v>Canada</v>
      </c>
      <c r="G31" s="50" cm="1">
        <f t="array" ref="G31">Fertiliser_InputFunctions.Fertiliser_TotalChemicalCompoundtAppliedBySourceAllIngredients(D31,F31,Table_Input_InorganicFertiliser_Custom[Total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1" s="50" cm="1">
        <f t="array" ref="H31">Common_InputFunctions.Utility_LookupValueInTableTwoColumns(D31,F31,Table_SourceData_Scope3_InorganicFertiliser[Chemical compound],Table_SourceData_Scope3_InorganicFertiliser[Ammonia source],Table_SourceData_Scope3_InorganicFertiliser[AusLCI Emissions intensity])</f>
        <v>2.12</v>
      </c>
      <c r="I31" s="50">
        <f t="shared" ref="I31:I54" si="3">G31*H31</f>
        <v>2120</v>
      </c>
      <c r="J31" s="69"/>
      <c r="K31" s="172">
        <f t="shared" ref="K31:K54" si="4">IFERROR(IF(J31, G31*J31, G31*H31),0)</f>
        <v>2120</v>
      </c>
    </row>
    <row r="32" spans="4:29" ht="20.100000000000001" customHeight="1" x14ac:dyDescent="0.25">
      <c r="D32" s="50" t="str">
        <f>'Constants - Fertiliser'!$D$37</f>
        <v>Ammonia</v>
      </c>
      <c r="E32" s="50"/>
      <c r="F32" s="50" t="str">
        <f>'Constants - Fertiliser'!$V$22</f>
        <v>China</v>
      </c>
      <c r="G32" s="50" cm="1">
        <f t="array" ref="G32">Fertiliser_InputFunctions.Fertiliser_TotalChemicalCompoundtAppliedBySourceAllIngredients(D32,F32,Table_Input_InorganicFertiliser_Custom[Total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 s="50" cm="1">
        <f t="array" ref="H32">Common_InputFunctions.Utility_LookupValueInTableTwoColumns(D32,F32,Table_SourceData_Scope3_InorganicFertiliser[Chemical compound],Table_SourceData_Scope3_InorganicFertiliser[Ammonia source],Table_SourceData_Scope3_InorganicFertiliser[AusLCI Emissions intensity])</f>
        <v>4.17</v>
      </c>
      <c r="I32" s="50">
        <f t="shared" si="3"/>
        <v>0</v>
      </c>
      <c r="J32" s="69"/>
      <c r="K32" s="172">
        <f t="shared" si="4"/>
        <v>0</v>
      </c>
    </row>
    <row r="33" spans="4:11" ht="20.100000000000001" customHeight="1" x14ac:dyDescent="0.25">
      <c r="D33" s="50" t="str">
        <f>'Constants - Fertiliser'!$D$37</f>
        <v>Ammonia</v>
      </c>
      <c r="E33" s="50"/>
      <c r="F33" s="50" t="str">
        <f>'Constants - Fertiliser'!$V$23</f>
        <v>Yemen</v>
      </c>
      <c r="G33" s="50" cm="1">
        <f t="array" ref="G33">Fertiliser_InputFunctions.Fertiliser_TotalChemicalCompoundtAppliedBySourceAllIngredients(D33,F33,Table_Input_InorganicFertiliser_Custom[Total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3" s="50" cm="1">
        <f t="array" ref="H33">Common_InputFunctions.Utility_LookupValueInTableTwoColumns(D33,F33,Table_SourceData_Scope3_InorganicFertiliser[Chemical compound],Table_SourceData_Scope3_InorganicFertiliser[Ammonia source],Table_SourceData_Scope3_InorganicFertiliser[AusLCI Emissions intensity])</f>
        <v>2.2599999999999998</v>
      </c>
      <c r="I33" s="50">
        <f t="shared" si="3"/>
        <v>0</v>
      </c>
      <c r="J33" s="69"/>
      <c r="K33" s="172">
        <f t="shared" si="4"/>
        <v>0</v>
      </c>
    </row>
    <row r="34" spans="4:11" ht="20.100000000000001" customHeight="1" x14ac:dyDescent="0.25">
      <c r="D34" s="50" t="str">
        <f>'Constants - Fertiliser'!$D$25</f>
        <v>Ammonium nitrate (AN)</v>
      </c>
      <c r="E34" s="50"/>
      <c r="F34" s="50"/>
      <c r="G34" s="50" cm="1">
        <f t="array" ref="G34">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4" s="50" cm="1">
        <f t="array" ref="H34">Common_InputFunctions.Utility_LookupValueInTableNumber(D34,Table_SourceData_Scope3_InorganicFertiliser[Chemical compound],Table_SourceData_Scope3_InorganicFertiliser[AusLCI Emissions intensity])</f>
        <v>2.21</v>
      </c>
      <c r="I34" s="50">
        <f t="shared" si="3"/>
        <v>0</v>
      </c>
      <c r="J34" s="69"/>
      <c r="K34" s="172">
        <f t="shared" si="4"/>
        <v>0</v>
      </c>
    </row>
    <row r="35" spans="4:11" ht="20.100000000000001" customHeight="1" x14ac:dyDescent="0.25">
      <c r="D35" s="50" t="str">
        <f>'Constants - Fertiliser'!$D$26</f>
        <v>Calcium ammonium nitrate (CAN)</v>
      </c>
      <c r="E35" s="50"/>
      <c r="F35" s="50"/>
      <c r="G35" s="50" cm="1">
        <f t="array" ref="G35">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5" s="50" cm="1">
        <f t="array" ref="H35">Common_InputFunctions.Utility_LookupValueInTableNumber(D35,Table_SourceData_Scope3_InorganicFertiliser[Chemical compound],Table_SourceData_Scope3_InorganicFertiliser[AusLCI Emissions intensity])</f>
        <v>1.1499999999999999</v>
      </c>
      <c r="I35" s="50">
        <f t="shared" si="3"/>
        <v>0</v>
      </c>
      <c r="J35" s="69"/>
      <c r="K35" s="172">
        <f t="shared" si="4"/>
        <v>0</v>
      </c>
    </row>
    <row r="36" spans="4:11" ht="20.100000000000001" customHeight="1" x14ac:dyDescent="0.25">
      <c r="D36" s="50" t="str">
        <f>'Constants - Fertiliser'!$D$38</f>
        <v>Calcium nitrate</v>
      </c>
      <c r="E36" s="50"/>
      <c r="F36" s="50"/>
      <c r="G36" s="50" cm="1">
        <f t="array" ref="G36">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c r="H36" s="50" cm="1">
        <f t="array" ref="H36">Common_InputFunctions.Utility_LookupValueInTableNumber(D36,Table_SourceData_Scope3_InorganicFertiliser[Chemical compound],Table_SourceData_Scope3_InorganicFertiliser[AusLCI Emissions intensity])</f>
        <v>0.75</v>
      </c>
      <c r="I36" s="50">
        <f t="shared" si="3"/>
        <v>2250</v>
      </c>
      <c r="J36" s="69">
        <v>0.7</v>
      </c>
      <c r="K36" s="172">
        <f t="shared" si="4"/>
        <v>2100</v>
      </c>
    </row>
    <row r="37" spans="4:11" ht="20.100000000000001" customHeight="1" x14ac:dyDescent="0.25">
      <c r="D37" s="50" t="str">
        <f>'Constants - Fertiliser'!$D$21</f>
        <v>Diammonium phosphate (DAP)</v>
      </c>
      <c r="E37" s="50"/>
      <c r="F37" s="50"/>
      <c r="G37" s="50" cm="1">
        <f t="array" ref="G37">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7" s="50" cm="1">
        <f t="array" ref="H37">Common_InputFunctions.Utility_LookupValueInTableNumber(D37,Table_SourceData_Scope3_InorganicFertiliser[Chemical compound],Table_SourceData_Scope3_InorganicFertiliser[AusLCI Emissions intensity])</f>
        <v>1.34</v>
      </c>
      <c r="I37" s="50">
        <f t="shared" si="3"/>
        <v>0</v>
      </c>
      <c r="J37" s="69"/>
      <c r="K37" s="172">
        <f t="shared" si="4"/>
        <v>0</v>
      </c>
    </row>
    <row r="38" spans="4:11" ht="20.100000000000001" customHeight="1" x14ac:dyDescent="0.25">
      <c r="D38" s="50" t="str">
        <f>'Constants - Fertiliser'!$D$35</f>
        <v>Double superphosphate</v>
      </c>
      <c r="E38" s="50"/>
      <c r="F38" s="50"/>
      <c r="G38" s="50" cm="1">
        <f t="array" ref="G38">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8" s="50" cm="1">
        <f t="array" ref="H38">Common_InputFunctions.Utility_LookupValueInTableNumber(D38,Table_SourceData_Scope3_InorganicFertiliser[Chemical compound],Table_SourceData_Scope3_InorganicFertiliser[AusLCI Emissions intensity])</f>
        <v>0.39200000000000002</v>
      </c>
      <c r="I38" s="50">
        <f t="shared" si="3"/>
        <v>0</v>
      </c>
      <c r="J38" s="69"/>
      <c r="K38" s="172">
        <f t="shared" si="4"/>
        <v>0</v>
      </c>
    </row>
    <row r="39" spans="4:11" ht="20.100000000000001" customHeight="1" x14ac:dyDescent="0.25">
      <c r="D39" s="50" t="str">
        <f>'Constants - Fertiliser'!$D$20</f>
        <v>Monoammonium phosphate (MAP)</v>
      </c>
      <c r="E39" s="50"/>
      <c r="F39" s="50"/>
      <c r="G39" s="50" cm="1">
        <f t="array" ref="G39">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9" s="50" cm="1">
        <f t="array" ref="H39">Common_InputFunctions.Utility_LookupValueInTableNumber(D39,Table_SourceData_Scope3_InorganicFertiliser[Chemical compound],Table_SourceData_Scope3_InorganicFertiliser[AusLCI Emissions intensity])</f>
        <v>0.82699999999999996</v>
      </c>
      <c r="I39" s="50">
        <f t="shared" si="3"/>
        <v>0</v>
      </c>
      <c r="J39" s="69"/>
      <c r="K39" s="172">
        <f t="shared" si="4"/>
        <v>0</v>
      </c>
    </row>
    <row r="40" spans="4:11" ht="20.100000000000001" customHeight="1" x14ac:dyDescent="0.25">
      <c r="D40" s="50" t="str">
        <f>'Constants - Fertiliser'!$D$34</f>
        <v>Muriate of potash (MOP)</v>
      </c>
      <c r="E40" s="50"/>
      <c r="F40" s="50"/>
      <c r="G40" s="50" cm="1">
        <f t="array" ref="G40">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0" s="50" cm="1">
        <f t="array" ref="H40">Common_InputFunctions.Utility_LookupValueInTableNumber(D40,Table_SourceData_Scope3_InorganicFertiliser[Chemical compound],Table_SourceData_Scope3_InorganicFertiliser[AusLCI Emissions intensity])</f>
        <v>0.54900000000000004</v>
      </c>
      <c r="I40" s="50">
        <f t="shared" si="3"/>
        <v>0</v>
      </c>
      <c r="J40" s="69"/>
      <c r="K40" s="172">
        <f t="shared" si="4"/>
        <v>0</v>
      </c>
    </row>
    <row r="41" spans="4:11" ht="20.100000000000001" customHeight="1" x14ac:dyDescent="0.25">
      <c r="D41" s="50" t="str">
        <f>'Constants - Fertiliser'!$D$27</f>
        <v>Nitrogen - Ammoniacal</v>
      </c>
      <c r="E41" s="50"/>
      <c r="F41" s="50"/>
      <c r="G41" s="50" cm="1">
        <f t="array" ref="G41">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1" s="50" cm="1">
        <f t="array" ref="H41">Common_InputFunctions.Utility_LookupValueInTableNumber(D41,Table_SourceData_Scope3_InorganicFertiliser[Chemical compound],Table_SourceData_Scope3_InorganicFertiliser[AusLCI Emissions intensity])</f>
        <v>2.83</v>
      </c>
      <c r="I41" s="50">
        <f t="shared" si="3"/>
        <v>0</v>
      </c>
      <c r="J41" s="69"/>
      <c r="K41" s="172">
        <f t="shared" si="4"/>
        <v>0</v>
      </c>
    </row>
    <row r="42" spans="4:11" ht="20.100000000000001" customHeight="1" x14ac:dyDescent="0.25">
      <c r="D42" s="50" t="str">
        <f>'Constants - Fertiliser'!$D$29</f>
        <v>Nitrogen - Generic</v>
      </c>
      <c r="E42" s="50"/>
      <c r="F42" s="50"/>
      <c r="G42" s="50" cm="1">
        <f t="array" ref="G42">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2" s="50" cm="1">
        <f t="array" ref="H42">Common_InputFunctions.Utility_LookupValueInTableNumber(D42,Table_SourceData_Scope3_InorganicFertiliser[Chemical compound],Table_SourceData_Scope3_InorganicFertiliser[AusLCI Emissions intensity])</f>
        <v>4.2</v>
      </c>
      <c r="I42" s="50">
        <f t="shared" si="3"/>
        <v>0</v>
      </c>
      <c r="J42" s="69"/>
      <c r="K42" s="172">
        <f t="shared" si="4"/>
        <v>0</v>
      </c>
    </row>
    <row r="43" spans="4:11" ht="20.100000000000001" customHeight="1" x14ac:dyDescent="0.25">
      <c r="D43" s="50" t="str">
        <f>'Constants - Fertiliser'!$D$28</f>
        <v>Nitrogen - Nitrate</v>
      </c>
      <c r="E43" s="50"/>
      <c r="F43" s="50"/>
      <c r="G43" s="50" cm="1">
        <f t="array" ref="G43">Fertiliser_InputFunctions.Fertiliser_TotalChemicalCompoundAppliedAllIngredients(D43,Table_Input_InorganicFertiliser_Custom[Total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3" s="50" cm="1">
        <f t="array" ref="H43">Common_InputFunctions.Utility_LookupValueInTableNumber(D43,Table_SourceData_Scope3_InorganicFertiliser[Chemical compound],Table_SourceData_Scope3_InorganicFertiliser[AusLCI Emissions intensity])</f>
        <v>5.47</v>
      </c>
      <c r="I43" s="50">
        <f t="shared" si="3"/>
        <v>0</v>
      </c>
      <c r="J43" s="69"/>
      <c r="K43" s="172">
        <f t="shared" si="4"/>
        <v>0</v>
      </c>
    </row>
    <row r="44" spans="4:11" ht="20.100000000000001" customHeight="1" x14ac:dyDescent="0.25">
      <c r="D44" s="50" t="str">
        <f>'Constants - Fertiliser'!$D$30</f>
        <v>Phosphorus - Generic</v>
      </c>
      <c r="E44" s="50"/>
      <c r="F44" s="50"/>
      <c r="G44" s="50" cm="1">
        <f t="array" ref="G44">Fertiliser_InputFunctions.Fertiliser_TotalChemicalCompoundAppliedAllIngredients(D44,Table_Input_InorganicFertiliser_Custom[Total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4" s="50" cm="1">
        <f t="array" ref="H44">Common_InputFunctions.Utility_LookupValueInTableNumber(D44,Table_SourceData_Scope3_InorganicFertiliser[Chemical compound],Table_SourceData_Scope3_InorganicFertiliser[AusLCI Emissions intensity])</f>
        <v>3.96</v>
      </c>
      <c r="I44" s="50">
        <f t="shared" si="3"/>
        <v>0</v>
      </c>
      <c r="J44" s="69"/>
      <c r="K44" s="172">
        <f t="shared" si="4"/>
        <v>0</v>
      </c>
    </row>
    <row r="45" spans="4:11" ht="20.100000000000001" customHeight="1" x14ac:dyDescent="0.25">
      <c r="D45" s="50" t="str">
        <f>'Constants - Fertiliser'!$D$31</f>
        <v>Potassium - Generic</v>
      </c>
      <c r="E45" s="50"/>
      <c r="F45" s="50"/>
      <c r="G45" s="50" cm="1">
        <f t="array" ref="G45">Fertiliser_InputFunctions.Fertiliser_TotalChemicalCompoundAppliedAllIngredients(D45,Table_Input_InorganicFertiliser_Custom[Total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5" s="50" cm="1">
        <f t="array" ref="H45">Common_InputFunctions.Utility_LookupValueInTableNumber(D45,Table_SourceData_Scope3_InorganicFertiliser[Chemical compound],Table_SourceData_Scope3_InorganicFertiliser[AusLCI Emissions intensity])</f>
        <v>0.90900000000000003</v>
      </c>
      <c r="I45" s="50">
        <f t="shared" si="3"/>
        <v>909</v>
      </c>
      <c r="J45" s="69"/>
      <c r="K45" s="172">
        <f t="shared" si="4"/>
        <v>909</v>
      </c>
    </row>
    <row r="46" spans="4:11" ht="20.100000000000001" customHeight="1" x14ac:dyDescent="0.25">
      <c r="D46" s="50" t="str">
        <f>'Constants - Fertiliser'!$D$36</f>
        <v>Single superphosphate (SSP)</v>
      </c>
      <c r="E46" s="50"/>
      <c r="F46" s="50"/>
      <c r="G46" s="50" cm="1">
        <f t="array" ref="G46">Fertiliser_InputFunctions.Fertiliser_TotalChemicalCompoundAppliedAllIngredients(D46,Table_Input_InorganicFertiliser_Custom[Total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6" s="50" cm="1">
        <f t="array" ref="H46">Common_InputFunctions.Utility_LookupValueInTableNumber(D46,Table_SourceData_Scope3_InorganicFertiliser[Chemical compound],Table_SourceData_Scope3_InorganicFertiliser[AusLCI Emissions intensity])</f>
        <v>0.22700000000000001</v>
      </c>
      <c r="I46" s="50">
        <f t="shared" si="3"/>
        <v>0</v>
      </c>
      <c r="J46" s="69"/>
      <c r="K46" s="172">
        <f t="shared" si="4"/>
        <v>0</v>
      </c>
    </row>
    <row r="47" spans="4:11" ht="20.100000000000001" customHeight="1" x14ac:dyDescent="0.25">
      <c r="D47" s="50" t="str">
        <f>'Constants - Fertiliser'!$D$32</f>
        <v>Sulfur - Generic</v>
      </c>
      <c r="E47" s="50"/>
      <c r="F47" s="50"/>
      <c r="G47" s="50" cm="1">
        <f t="array" ref="G47">Fertiliser_InputFunctions.Fertiliser_TotalChemicalCompoundAppliedAllIngredients(D47,Table_Input_InorganicFertiliser_Custom[Total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7" s="50" cm="1">
        <f t="array" ref="H47">Common_InputFunctions.Utility_LookupValueInTableNumber(D47,Table_SourceData_Scope3_InorganicFertiliser[Chemical compound],Table_SourceData_Scope3_InorganicFertiliser[AusLCI Emissions intensity])</f>
        <v>2.5</v>
      </c>
      <c r="I47" s="50">
        <f t="shared" si="3"/>
        <v>2500</v>
      </c>
      <c r="J47" s="69"/>
      <c r="K47" s="172">
        <f t="shared" si="4"/>
        <v>2500</v>
      </c>
    </row>
    <row r="48" spans="4:11" ht="20.100000000000001" customHeight="1" x14ac:dyDescent="0.25">
      <c r="D48" s="50" t="str">
        <f>'Constants - Fertiliser'!$D$23</f>
        <v>Sulphate of ammonia (SOA)</v>
      </c>
      <c r="E48" s="50"/>
      <c r="F48" s="50"/>
      <c r="G48" s="50" cm="1">
        <f t="array" ref="G48">Fertiliser_InputFunctions.Fertiliser_TotalChemicalCompoundAppliedAllIngredients(D48,Table_Input_InorganicFertiliser_Custom[Total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8" s="50" cm="1">
        <f t="array" ref="H48">Common_InputFunctions.Utility_LookupValueInTableNumber(D48,Table_SourceData_Scope3_InorganicFertiliser[Chemical compound],Table_SourceData_Scope3_InorganicFertiliser[AusLCI Emissions intensity])</f>
        <v>0.86499999999999999</v>
      </c>
      <c r="I48" s="50">
        <f t="shared" si="3"/>
        <v>0</v>
      </c>
      <c r="J48" s="69"/>
      <c r="K48" s="172">
        <f t="shared" si="4"/>
        <v>0</v>
      </c>
    </row>
    <row r="49" spans="4:11" ht="20.100000000000001" customHeight="1" x14ac:dyDescent="0.25">
      <c r="D49" s="50" t="str">
        <f>'Constants - Fertiliser'!$D$24</f>
        <v>Urea-ammonium nitrate (UAN)</v>
      </c>
      <c r="E49" s="50"/>
      <c r="F49" s="50"/>
      <c r="G49" s="50" cm="1">
        <f t="array" ref="G49">Fertiliser_InputFunctions.Fertiliser_TotalChemicalCompoundAppliedAllIngredients(D49,Table_Input_InorganicFertiliser_Custom[Total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9" s="50" cm="1">
        <f t="array" ref="H49">Common_InputFunctions.Utility_LookupValueInTableNumber(D49,Table_SourceData_Scope3_InorganicFertiliser[Chemical compound],Table_SourceData_Scope3_InorganicFertiliser[AusLCI Emissions intensity])</f>
        <v>1.75</v>
      </c>
      <c r="I49" s="50">
        <f t="shared" si="3"/>
        <v>0</v>
      </c>
      <c r="J49" s="69"/>
      <c r="K49" s="172">
        <f t="shared" si="4"/>
        <v>0</v>
      </c>
    </row>
    <row r="50" spans="4:11" ht="20.100000000000001" customHeight="1" x14ac:dyDescent="0.25">
      <c r="D50" s="50" t="str">
        <f>'Constants - Fertiliser'!$D$22</f>
        <v>Urea</v>
      </c>
      <c r="E50" s="50" t="str">
        <f>'Constants - Fertiliser'!$V$20</f>
        <v>Global</v>
      </c>
      <c r="F50" s="50"/>
      <c r="G50" s="50" cm="1">
        <f t="array" ref="G50">Fertiliser_InputFunctions.Fertiliser_TotalChemicalCompoundtAppliedBySourceAllIngredients(D50,E50,Table_Input_InorganicFertiliser_Custom[Total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0" s="50" cm="1">
        <f t="array" ref="H50">Common_InputFunctions.Utility_LookupValueInTableTwoColumns(D50,E50,Table_SourceData_Scope3_InorganicFertiliser[Chemical compound],Table_SourceData_Scope3_InorganicFertiliser[Urea source],Table_SourceData_Scope3_InorganicFertiliser[AusLCI Emissions intensity])</f>
        <v>0.96799999999999997</v>
      </c>
      <c r="I50" s="50">
        <f t="shared" si="3"/>
        <v>0</v>
      </c>
      <c r="J50" s="69"/>
      <c r="K50" s="172">
        <f t="shared" si="4"/>
        <v>0</v>
      </c>
    </row>
    <row r="51" spans="4:11" ht="20.100000000000001" customHeight="1" x14ac:dyDescent="0.25">
      <c r="D51" s="50" t="str">
        <f>'Constants - Fertiliser'!$D$22</f>
        <v>Urea</v>
      </c>
      <c r="E51" s="50" t="str">
        <f>'Constants - Fertiliser'!$V$21</f>
        <v>Canada</v>
      </c>
      <c r="F51" s="50"/>
      <c r="G51" s="50" cm="1">
        <f t="array" ref="G51">Fertiliser_InputFunctions.Fertiliser_TotalChemicalCompoundtAppliedBySourceAllIngredients(D51,E51,Table_Input_InorganicFertiliser_Custom[Total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H51" s="50" cm="1">
        <f t="array" ref="H51">Common_InputFunctions.Utility_LookupValueInTableTwoColumns(D51,E51,Table_SourceData_Scope3_InorganicFertiliser[Chemical compound],Table_SourceData_Scope3_InorganicFertiliser[Urea source],Table_SourceData_Scope3_InorganicFertiliser[AusLCI Emissions intensity])</f>
        <v>0.82299999999999995</v>
      </c>
      <c r="I51" s="50">
        <f t="shared" si="3"/>
        <v>7407</v>
      </c>
      <c r="J51" s="69"/>
      <c r="K51" s="172">
        <f t="shared" si="4"/>
        <v>7407</v>
      </c>
    </row>
    <row r="52" spans="4:11" ht="20.100000000000001" customHeight="1" x14ac:dyDescent="0.25">
      <c r="D52" s="50" t="str">
        <f>'Constants - Fertiliser'!$D$22</f>
        <v>Urea</v>
      </c>
      <c r="E52" s="50" t="str">
        <f>'Constants - Fertiliser'!$V$22</f>
        <v>China</v>
      </c>
      <c r="F52" s="50"/>
      <c r="G52" s="50" cm="1">
        <f t="array" ref="G52">Fertiliser_InputFunctions.Fertiliser_TotalChemicalCompoundtAppliedBySourceAllIngredients(D52,E52,Table_Input_InorganicFertiliser_Custom[Total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2" s="50" cm="1">
        <f t="array" ref="H52">Common_InputFunctions.Utility_LookupValueInTableTwoColumns(D52,E52,Table_SourceData_Scope3_InorganicFertiliser[Chemical compound],Table_SourceData_Scope3_InorganicFertiliser[Urea source],Table_SourceData_Scope3_InorganicFertiliser[AusLCI Emissions intensity])</f>
        <v>2.09</v>
      </c>
      <c r="I52" s="50">
        <f t="shared" si="3"/>
        <v>0</v>
      </c>
      <c r="J52" s="69"/>
      <c r="K52" s="172">
        <f t="shared" si="4"/>
        <v>0</v>
      </c>
    </row>
    <row r="53" spans="4:11" ht="20.100000000000001" customHeight="1" x14ac:dyDescent="0.25">
      <c r="D53" s="50" t="str">
        <f>'Constants - Fertiliser'!$D$22</f>
        <v>Urea</v>
      </c>
      <c r="E53" s="50" t="str">
        <f>'Constants - Fertiliser'!$V$23</f>
        <v>Yemen</v>
      </c>
      <c r="F53" s="50"/>
      <c r="G53" s="50" cm="1">
        <f t="array" ref="G53">Fertiliser_InputFunctions.Fertiliser_TotalChemicalCompoundtAppliedBySourceAllIngredients(D53,E53,Table_Input_InorganicFertiliser_Custom[Total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3" s="50" cm="1">
        <f t="array" ref="H53">Common_InputFunctions.Utility_LookupValueInTableTwoColumns(D53,E53,Table_SourceData_Scope3_InorganicFertiliser[Chemical compound],Table_SourceData_Scope3_InorganicFertiliser[Urea source],Table_SourceData_Scope3_InorganicFertiliser[AusLCI Emissions intensity])</f>
        <v>0.96299999999999997</v>
      </c>
      <c r="I53" s="50">
        <f t="shared" si="3"/>
        <v>0</v>
      </c>
      <c r="J53" s="69"/>
      <c r="K53" s="172">
        <f t="shared" si="4"/>
        <v>0</v>
      </c>
    </row>
    <row r="54" spans="4:11" ht="20.100000000000001" customHeight="1" x14ac:dyDescent="0.25">
      <c r="D54" s="50" t="str">
        <f>'Constants - Fertiliser'!$D$33</f>
        <v>Zinc - Generic</v>
      </c>
      <c r="E54" s="50"/>
      <c r="F54" s="50"/>
      <c r="G54" s="50" cm="1">
        <f t="array" ref="G54">Fertiliser_InputFunctions.Fertiliser_TotalChemicalCompoundAppliedAllIngredients(D54,Table_Input_InorganicFertiliser_Custom[Total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4" s="50" cm="1">
        <f t="array" ref="H54">Common_InputFunctions.Utility_LookupValueInTableNumber(D54,Table_SourceData_Scope3_InorganicFertiliser[Chemical compound],Table_SourceData_Scope3_InorganicFertiliser[AusLCI Emissions intensity])</f>
        <v>4.82</v>
      </c>
      <c r="I54" s="50">
        <f t="shared" si="3"/>
        <v>0</v>
      </c>
      <c r="J54" s="69"/>
      <c r="K54" s="172">
        <f t="shared" si="4"/>
        <v>0</v>
      </c>
    </row>
    <row r="55" spans="4:11" ht="20.100000000000001" customHeight="1" x14ac:dyDescent="0.25"/>
    <row r="56" spans="4:11" ht="20.100000000000001" customHeight="1" x14ac:dyDescent="0.25"/>
    <row r="57" spans="4:11" ht="20.100000000000001" customHeight="1" x14ac:dyDescent="0.25">
      <c r="D57" s="9" t="s">
        <v>416</v>
      </c>
      <c r="F57" s="100" t="s">
        <v>413</v>
      </c>
      <c r="G57" s="116"/>
      <c r="H57" s="101"/>
    </row>
    <row r="58" spans="4:11" ht="20.100000000000001" customHeight="1" x14ac:dyDescent="0.25"/>
    <row r="59" spans="4:11" ht="20.100000000000001" customHeight="1" x14ac:dyDescent="0.25">
      <c r="D59" s="47" t="s">
        <v>406</v>
      </c>
      <c r="E59" s="174" t="s">
        <v>351</v>
      </c>
      <c r="F59" s="174" t="s">
        <v>362</v>
      </c>
      <c r="G59" s="174" t="s">
        <v>356</v>
      </c>
      <c r="H59" s="60" t="s">
        <v>397</v>
      </c>
      <c r="I59" s="60" t="s">
        <v>394</v>
      </c>
      <c r="J59" s="47" t="s">
        <v>401</v>
      </c>
      <c r="K59" s="60" t="s">
        <v>395</v>
      </c>
    </row>
    <row r="60" spans="4:11" ht="20.100000000000001" customHeight="1" x14ac:dyDescent="0.25">
      <c r="D60" s="50" t="str" cm="1">
        <f t="array" ref="D60:D79">IFERROR(INDEX(Table_Input_LivestockPurchases[Transaction name], _xlfn.SEQUENCE(20)), "")</f>
        <v>Chooks from Barry</v>
      </c>
      <c r="E60" s="50" t="str" cm="1">
        <f t="array" ref="E60:E79">IFERROR(INDEX(Table_Input_LivestockPurchases[Class (select)], _xlfn.SEQUENCE(20)), "")</f>
        <v>Chickens</v>
      </c>
      <c r="F60" s="50" t="str" cm="1">
        <f t="array" ref="F60:F79">IFERROR(INDEX(Table_Input_LivestockPurchases[Source region (Select)], _xlfn.SEQUENCE(20)), "")</f>
        <v>Australia</v>
      </c>
      <c r="G60" s="50" cm="1">
        <f t="array" ref="G60:G79">IFERROR(INDEX(Table_Input_LivestockPurchases[Total liveweight (kg)], _xlfn.SEQUENCE(20)), "")</f>
        <v>25000</v>
      </c>
      <c r="H60" s="50" cm="1">
        <f t="array" ref="H60">Common_InputFunctions.Utility_LookupValueInTableTwoColumns(E60,F60,Table_SourceData_Scope3_Animals[Product],Table_SourceData_Scope3_Animals[Region of origin],Table_SourceData_Scope3_Animals[AusLCI Emissions intensity])</f>
        <v>1.36</v>
      </c>
      <c r="I60" s="172">
        <f t="shared" ref="I60:I79" si="5">IFERROR(H60*G60, 0)</f>
        <v>34000</v>
      </c>
      <c r="J60" s="69">
        <v>1.3</v>
      </c>
      <c r="K60" s="172">
        <f t="shared" ref="K60:K79" si="6">IFERROR(IF(J60, G60*J60, G60*H60),0)</f>
        <v>32500</v>
      </c>
    </row>
    <row r="61" spans="4:11" ht="20.100000000000001" customHeight="1" x14ac:dyDescent="0.25">
      <c r="D61" s="50">
        <v>0</v>
      </c>
      <c r="E61" s="50" t="str">
        <v>Cattle, for manufacturing beef</v>
      </c>
      <c r="F61" s="50" t="str">
        <v>NSW</v>
      </c>
      <c r="G61" s="50">
        <v>25000</v>
      </c>
      <c r="H61" s="50" cm="1">
        <f t="array" ref="H61">Common_InputFunctions.Utility_LookupValueInTableTwoColumns(E61,F61,Table_SourceData_Scope3_Animals[Product],Table_SourceData_Scope3_Animals[Region of origin],Table_SourceData_Scope3_Animals[AusLCI Emissions intensity])</f>
        <v>8.2100000000000009</v>
      </c>
      <c r="I61" s="172">
        <f t="shared" si="5"/>
        <v>205250.00000000003</v>
      </c>
      <c r="J61" s="69">
        <v>8</v>
      </c>
      <c r="K61" s="172">
        <f t="shared" si="6"/>
        <v>200000</v>
      </c>
    </row>
    <row r="62" spans="4:11" ht="20.100000000000001" customHeight="1" x14ac:dyDescent="0.25">
      <c r="D62" s="50">
        <v>0</v>
      </c>
      <c r="E62" s="50" t="str">
        <v>Dairy cows</v>
      </c>
      <c r="F62" s="50" t="str">
        <v>VIC</v>
      </c>
      <c r="G62" s="50">
        <v>25000</v>
      </c>
      <c r="H62" s="50" cm="1">
        <f t="array" ref="H62">Common_InputFunctions.Utility_LookupValueInTableTwoColumns(E62,F62,Table_SourceData_Scope3_Animals[Product],Table_SourceData_Scope3_Animals[Region of origin],Table_SourceData_Scope3_Animals[AusLCI Emissions intensity])</f>
        <v>4.41</v>
      </c>
      <c r="I62" s="172">
        <f t="shared" si="5"/>
        <v>110250</v>
      </c>
      <c r="J62" s="69">
        <v>4</v>
      </c>
      <c r="K62" s="172">
        <f t="shared" si="6"/>
        <v>100000</v>
      </c>
    </row>
    <row r="63" spans="4:11" ht="20.100000000000001" customHeight="1" x14ac:dyDescent="0.25">
      <c r="D63" s="50">
        <v>0</v>
      </c>
      <c r="E63" s="50" t="str">
        <v>Pigs</v>
      </c>
      <c r="F63" s="50" t="str">
        <v>Australia</v>
      </c>
      <c r="G63" s="50">
        <v>25000</v>
      </c>
      <c r="H63" s="50" cm="1">
        <f t="array" ref="H63">Common_InputFunctions.Utility_LookupValueInTableTwoColumns(E63,F63,Table_SourceData_Scope3_Animals[Product],Table_SourceData_Scope3_Animals[Region of origin],Table_SourceData_Scope3_Animals[AusLCI Emissions intensity])</f>
        <v>3.38</v>
      </c>
      <c r="I63" s="172">
        <f t="shared" si="5"/>
        <v>84500</v>
      </c>
      <c r="J63" s="69">
        <v>3</v>
      </c>
      <c r="K63" s="172">
        <f t="shared" si="6"/>
        <v>75000</v>
      </c>
    </row>
    <row r="64" spans="4:11" ht="20.100000000000001" customHeight="1" x14ac:dyDescent="0.25">
      <c r="D64" s="50">
        <v>0</v>
      </c>
      <c r="E64" s="50" t="str">
        <v>Sheep, for mutton</v>
      </c>
      <c r="F64" s="50" t="str">
        <v>Australia</v>
      </c>
      <c r="G64" s="50">
        <v>25000</v>
      </c>
      <c r="H64" s="50" cm="1">
        <f t="array" ref="H64">Common_InputFunctions.Utility_LookupValueInTableTwoColumns(E64,F64,Table_SourceData_Scope3_Animals[Product],Table_SourceData_Scope3_Animals[Region of origin],Table_SourceData_Scope3_Animals[AusLCI Emissions intensity])</f>
        <v>6.81</v>
      </c>
      <c r="I64" s="172">
        <f t="shared" si="5"/>
        <v>170250</v>
      </c>
      <c r="J64" s="69">
        <v>6</v>
      </c>
      <c r="K64" s="172">
        <f t="shared" si="6"/>
        <v>150000</v>
      </c>
    </row>
    <row r="65" spans="4:11" ht="20.100000000000001" customHeight="1" x14ac:dyDescent="0.25">
      <c r="D65" s="50">
        <v>0</v>
      </c>
      <c r="E65" s="50" t="str">
        <v>Sheep, for prime lamb</v>
      </c>
      <c r="F65" s="50" t="str">
        <v>WA</v>
      </c>
      <c r="G65" s="50">
        <v>25000</v>
      </c>
      <c r="H65" s="50" cm="1">
        <f t="array" ref="H65">Common_InputFunctions.Utility_LookupValueInTableTwoColumns(E65,F65,Table_SourceData_Scope3_Animals[Product],Table_SourceData_Scope3_Animals[Region of origin],Table_SourceData_Scope3_Animals[AusLCI Emissions intensity])</f>
        <v>5.67</v>
      </c>
      <c r="I65" s="172">
        <f t="shared" si="5"/>
        <v>141750</v>
      </c>
      <c r="J65" s="69">
        <v>5</v>
      </c>
      <c r="K65" s="172">
        <f t="shared" si="6"/>
        <v>125000</v>
      </c>
    </row>
    <row r="66" spans="4:11" ht="20.100000000000001" customHeight="1" x14ac:dyDescent="0.25">
      <c r="D66" s="50" t="str">
        <v/>
      </c>
      <c r="E66" s="50" t="str">
        <v/>
      </c>
      <c r="F66" s="50" t="str">
        <v/>
      </c>
      <c r="G66" s="50" t="str">
        <v/>
      </c>
      <c r="H66" s="50" t="str" cm="1">
        <f t="array" ref="H66">Common_InputFunctions.Utility_LookupValueInTableTwoColumns(E66,F66,Table_SourceData_Scope3_Animals[Product],Table_SourceData_Scope3_Animals[Region of origin],Table_SourceData_Scope3_Animals[AusLCI Emissions intensity])</f>
        <v/>
      </c>
      <c r="I66" s="172">
        <f t="shared" si="5"/>
        <v>0</v>
      </c>
      <c r="J66" s="69"/>
      <c r="K66" s="172">
        <f t="shared" si="6"/>
        <v>0</v>
      </c>
    </row>
    <row r="67" spans="4:11" ht="20.100000000000001" customHeight="1" x14ac:dyDescent="0.25">
      <c r="D67" s="50" t="str">
        <v/>
      </c>
      <c r="E67" s="50" t="str">
        <v/>
      </c>
      <c r="F67" s="50" t="str">
        <v/>
      </c>
      <c r="G67" s="50" t="str">
        <v/>
      </c>
      <c r="H67" s="50" t="str" cm="1">
        <f t="array" ref="H67">Common_InputFunctions.Utility_LookupValueInTableTwoColumns(E67,F67,Table_SourceData_Scope3_Animals[Product],Table_SourceData_Scope3_Animals[Region of origin],Table_SourceData_Scope3_Animals[AusLCI Emissions intensity])</f>
        <v/>
      </c>
      <c r="I67" s="172">
        <f t="shared" si="5"/>
        <v>0</v>
      </c>
      <c r="J67" s="69"/>
      <c r="K67" s="172">
        <f t="shared" si="6"/>
        <v>0</v>
      </c>
    </row>
    <row r="68" spans="4:11" ht="20.100000000000001" customHeight="1" x14ac:dyDescent="0.25">
      <c r="D68" s="50" t="str">
        <v/>
      </c>
      <c r="E68" s="50" t="str">
        <v/>
      </c>
      <c r="F68" s="50" t="str">
        <v/>
      </c>
      <c r="G68" s="50" t="str">
        <v/>
      </c>
      <c r="H68" s="50" t="str" cm="1">
        <f t="array" ref="H68">Common_InputFunctions.Utility_LookupValueInTableTwoColumns(E68,F68,Table_SourceData_Scope3_Animals[Product],Table_SourceData_Scope3_Animals[Region of origin],Table_SourceData_Scope3_Animals[AusLCI Emissions intensity])</f>
        <v/>
      </c>
      <c r="I68" s="172">
        <f t="shared" si="5"/>
        <v>0</v>
      </c>
      <c r="J68" s="69"/>
      <c r="K68" s="172">
        <f t="shared" si="6"/>
        <v>0</v>
      </c>
    </row>
    <row r="69" spans="4:11" ht="20.100000000000001" customHeight="1" x14ac:dyDescent="0.25">
      <c r="D69" s="50" t="str">
        <v/>
      </c>
      <c r="E69" s="50" t="str">
        <v/>
      </c>
      <c r="F69" s="50" t="str">
        <v/>
      </c>
      <c r="G69" s="50" t="str">
        <v/>
      </c>
      <c r="H69" s="50" t="str" cm="1">
        <f t="array" ref="H69">Common_InputFunctions.Utility_LookupValueInTableTwoColumns(E69,F69,Table_SourceData_Scope3_Animals[Product],Table_SourceData_Scope3_Animals[Region of origin],Table_SourceData_Scope3_Animals[AusLCI Emissions intensity])</f>
        <v/>
      </c>
      <c r="I69" s="172">
        <f t="shared" si="5"/>
        <v>0</v>
      </c>
      <c r="J69" s="69"/>
      <c r="K69" s="172">
        <f t="shared" si="6"/>
        <v>0</v>
      </c>
    </row>
    <row r="70" spans="4:11" ht="20.100000000000001" customHeight="1" x14ac:dyDescent="0.25">
      <c r="D70" s="50" t="str">
        <v/>
      </c>
      <c r="E70" s="50" t="str">
        <v/>
      </c>
      <c r="F70" s="50" t="str">
        <v/>
      </c>
      <c r="G70" s="50" t="str">
        <v/>
      </c>
      <c r="H70" s="50" t="str" cm="1">
        <f t="array" ref="H70">Common_InputFunctions.Utility_LookupValueInTableTwoColumns(E70,F70,Table_SourceData_Scope3_Animals[Product],Table_SourceData_Scope3_Animals[Region of origin],Table_SourceData_Scope3_Animals[AusLCI Emissions intensity])</f>
        <v/>
      </c>
      <c r="I70" s="172">
        <f t="shared" si="5"/>
        <v>0</v>
      </c>
      <c r="J70" s="69"/>
      <c r="K70" s="172">
        <f t="shared" si="6"/>
        <v>0</v>
      </c>
    </row>
    <row r="71" spans="4:11" ht="20.100000000000001" customHeight="1" x14ac:dyDescent="0.25">
      <c r="D71" s="50" t="str">
        <v/>
      </c>
      <c r="E71" s="50" t="str">
        <v/>
      </c>
      <c r="F71" s="50" t="str">
        <v/>
      </c>
      <c r="G71" s="50" t="str">
        <v/>
      </c>
      <c r="H71" s="50" t="str" cm="1">
        <f t="array" ref="H71">Common_InputFunctions.Utility_LookupValueInTableTwoColumns(E71,F71,Table_SourceData_Scope3_Animals[Product],Table_SourceData_Scope3_Animals[Region of origin],Table_SourceData_Scope3_Animals[AusLCI Emissions intensity])</f>
        <v/>
      </c>
      <c r="I71" s="172">
        <f t="shared" si="5"/>
        <v>0</v>
      </c>
      <c r="J71" s="69"/>
      <c r="K71" s="172">
        <f t="shared" si="6"/>
        <v>0</v>
      </c>
    </row>
    <row r="72" spans="4:11" ht="20.100000000000001" customHeight="1" x14ac:dyDescent="0.25">
      <c r="D72" s="50" t="str">
        <v/>
      </c>
      <c r="E72" s="50" t="str">
        <v/>
      </c>
      <c r="F72" s="50" t="str">
        <v/>
      </c>
      <c r="G72" s="50" t="str">
        <v/>
      </c>
      <c r="H72" s="50" t="str" cm="1">
        <f t="array" ref="H72">Common_InputFunctions.Utility_LookupValueInTableTwoColumns(E72,F72,Table_SourceData_Scope3_Animals[Product],Table_SourceData_Scope3_Animals[Region of origin],Table_SourceData_Scope3_Animals[AusLCI Emissions intensity])</f>
        <v/>
      </c>
      <c r="I72" s="172">
        <f t="shared" si="5"/>
        <v>0</v>
      </c>
      <c r="J72" s="69"/>
      <c r="K72" s="172">
        <f t="shared" si="6"/>
        <v>0</v>
      </c>
    </row>
    <row r="73" spans="4:11" ht="20.100000000000001" customHeight="1" x14ac:dyDescent="0.25">
      <c r="D73" s="50" t="str">
        <v/>
      </c>
      <c r="E73" s="50" t="str">
        <v/>
      </c>
      <c r="F73" s="50" t="str">
        <v/>
      </c>
      <c r="G73" s="50" t="str">
        <v/>
      </c>
      <c r="H73" s="50" t="str" cm="1">
        <f t="array" ref="H73">Common_InputFunctions.Utility_LookupValueInTableTwoColumns(E73,F73,Table_SourceData_Scope3_Animals[Product],Table_SourceData_Scope3_Animals[Region of origin],Table_SourceData_Scope3_Animals[AusLCI Emissions intensity])</f>
        <v/>
      </c>
      <c r="I73" s="172">
        <f t="shared" si="5"/>
        <v>0</v>
      </c>
      <c r="J73" s="69"/>
      <c r="K73" s="172">
        <f t="shared" si="6"/>
        <v>0</v>
      </c>
    </row>
    <row r="74" spans="4:11" ht="20.100000000000001" customHeight="1" x14ac:dyDescent="0.25">
      <c r="D74" s="50" t="str">
        <v/>
      </c>
      <c r="E74" s="50" t="str">
        <v/>
      </c>
      <c r="F74" s="50" t="str">
        <v/>
      </c>
      <c r="G74" s="50" t="str">
        <v/>
      </c>
      <c r="H74" s="50" t="str" cm="1">
        <f t="array" ref="H74">Common_InputFunctions.Utility_LookupValueInTableTwoColumns(E74,F74,Table_SourceData_Scope3_Animals[Product],Table_SourceData_Scope3_Animals[Region of origin],Table_SourceData_Scope3_Animals[AusLCI Emissions intensity])</f>
        <v/>
      </c>
      <c r="I74" s="172">
        <f t="shared" si="5"/>
        <v>0</v>
      </c>
      <c r="J74" s="69"/>
      <c r="K74" s="172">
        <f t="shared" si="6"/>
        <v>0</v>
      </c>
    </row>
    <row r="75" spans="4:11" ht="20.100000000000001" customHeight="1" x14ac:dyDescent="0.25">
      <c r="D75" s="50" t="str">
        <v/>
      </c>
      <c r="E75" s="50" t="str">
        <v/>
      </c>
      <c r="F75" s="50" t="str">
        <v/>
      </c>
      <c r="G75" s="50" t="str">
        <v/>
      </c>
      <c r="H75" s="50" t="str" cm="1">
        <f t="array" ref="H75">Common_InputFunctions.Utility_LookupValueInTableTwoColumns(E75,F75,Table_SourceData_Scope3_Animals[Product],Table_SourceData_Scope3_Animals[Region of origin],Table_SourceData_Scope3_Animals[AusLCI Emissions intensity])</f>
        <v/>
      </c>
      <c r="I75" s="172">
        <f t="shared" si="5"/>
        <v>0</v>
      </c>
      <c r="J75" s="69"/>
      <c r="K75" s="172">
        <f t="shared" si="6"/>
        <v>0</v>
      </c>
    </row>
    <row r="76" spans="4:11" ht="20.100000000000001" customHeight="1" x14ac:dyDescent="0.25">
      <c r="D76" s="50" t="str">
        <v/>
      </c>
      <c r="E76" s="50" t="str">
        <v/>
      </c>
      <c r="F76" s="50" t="str">
        <v/>
      </c>
      <c r="G76" s="50" t="str">
        <v/>
      </c>
      <c r="H76" s="50" t="str" cm="1">
        <f t="array" ref="H76">Common_InputFunctions.Utility_LookupValueInTableTwoColumns(E76,F76,Table_SourceData_Scope3_Animals[Product],Table_SourceData_Scope3_Animals[Region of origin],Table_SourceData_Scope3_Animals[AusLCI Emissions intensity])</f>
        <v/>
      </c>
      <c r="I76" s="172">
        <f t="shared" si="5"/>
        <v>0</v>
      </c>
      <c r="J76" s="69"/>
      <c r="K76" s="172">
        <f t="shared" si="6"/>
        <v>0</v>
      </c>
    </row>
    <row r="77" spans="4:11" ht="20.100000000000001" customHeight="1" x14ac:dyDescent="0.25">
      <c r="D77" s="50" t="str">
        <v/>
      </c>
      <c r="E77" s="50" t="str">
        <v/>
      </c>
      <c r="F77" s="50" t="str">
        <v/>
      </c>
      <c r="G77" s="50" t="str">
        <v/>
      </c>
      <c r="H77" s="50" t="str" cm="1">
        <f t="array" ref="H77">Common_InputFunctions.Utility_LookupValueInTableTwoColumns(E77,F77,Table_SourceData_Scope3_Animals[Product],Table_SourceData_Scope3_Animals[Region of origin],Table_SourceData_Scope3_Animals[AusLCI Emissions intensity])</f>
        <v/>
      </c>
      <c r="I77" s="172">
        <f t="shared" si="5"/>
        <v>0</v>
      </c>
      <c r="J77" s="69"/>
      <c r="K77" s="172">
        <f t="shared" si="6"/>
        <v>0</v>
      </c>
    </row>
    <row r="78" spans="4:11" ht="20.100000000000001" customHeight="1" x14ac:dyDescent="0.25">
      <c r="D78" s="50" t="str">
        <v/>
      </c>
      <c r="E78" s="50" t="str">
        <v/>
      </c>
      <c r="F78" s="50" t="str">
        <v/>
      </c>
      <c r="G78" s="50" t="str">
        <v/>
      </c>
      <c r="H78" s="50" t="str" cm="1">
        <f t="array" ref="H78">Common_InputFunctions.Utility_LookupValueInTableTwoColumns(E78,F78,Table_SourceData_Scope3_Animals[Product],Table_SourceData_Scope3_Animals[Region of origin],Table_SourceData_Scope3_Animals[AusLCI Emissions intensity])</f>
        <v/>
      </c>
      <c r="I78" s="172">
        <f t="shared" si="5"/>
        <v>0</v>
      </c>
      <c r="J78" s="69"/>
      <c r="K78" s="172">
        <f t="shared" si="6"/>
        <v>0</v>
      </c>
    </row>
    <row r="79" spans="4:11" ht="20.100000000000001" customHeight="1" x14ac:dyDescent="0.25">
      <c r="D79" s="50" t="str">
        <v/>
      </c>
      <c r="E79" s="50" t="str">
        <v/>
      </c>
      <c r="F79" s="50" t="str">
        <v/>
      </c>
      <c r="G79" s="50" t="str">
        <v/>
      </c>
      <c r="H79" s="50" t="str" cm="1">
        <f t="array" ref="H79">Common_InputFunctions.Utility_LookupValueInTableTwoColumns(E79,F79,Table_SourceData_Scope3_Animals[Product],Table_SourceData_Scope3_Animals[Region of origin],Table_SourceData_Scope3_Animals[AusLCI Emissions intensity])</f>
        <v/>
      </c>
      <c r="I79" s="172">
        <f t="shared" si="5"/>
        <v>0</v>
      </c>
      <c r="J79" s="69"/>
      <c r="K79" s="172">
        <f t="shared" si="6"/>
        <v>0</v>
      </c>
    </row>
    <row r="80" spans="4:11" ht="20.100000000000001" customHeight="1" x14ac:dyDescent="0.25"/>
    <row r="81" spans="4:10" ht="20.100000000000001" customHeight="1" x14ac:dyDescent="0.25"/>
    <row r="82" spans="4:10" ht="20.100000000000001" customHeight="1" x14ac:dyDescent="0.25">
      <c r="D82" s="9" t="s">
        <v>424</v>
      </c>
      <c r="F82" s="100" t="s">
        <v>417</v>
      </c>
      <c r="G82" s="116"/>
      <c r="H82" s="101"/>
    </row>
    <row r="83" spans="4:10" ht="20.100000000000001" customHeight="1" x14ac:dyDescent="0.25"/>
    <row r="84" spans="4:10" ht="20.100000000000001" customHeight="1" x14ac:dyDescent="0.25">
      <c r="D84" s="47" t="s">
        <v>406</v>
      </c>
      <c r="E84" s="174" t="s">
        <v>309</v>
      </c>
      <c r="F84" s="174" t="s">
        <v>426</v>
      </c>
      <c r="G84" s="60" t="s">
        <v>397</v>
      </c>
      <c r="H84" s="60" t="s">
        <v>394</v>
      </c>
      <c r="I84" s="47" t="s">
        <v>401</v>
      </c>
      <c r="J84" s="60" t="s">
        <v>395</v>
      </c>
    </row>
    <row r="85" spans="4:10" ht="20.100000000000001" customHeight="1" x14ac:dyDescent="0.25">
      <c r="D85" s="50" t="str" cm="1">
        <f t="array" ref="D85:D94">IFERROR(INDEX(Table_Input_ChemicalsCleaning[Product name], _xlfn.SEQUENCE(10)), "")</f>
        <v>Acid kleen</v>
      </c>
      <c r="E85" s="50" t="str" cm="1">
        <f t="array" ref="E85:E94">IFERROR(INDEX(Table_Input_ChemicalsCleaning[Type (select)], _xlfn.SEQUENCE(10)), "")</f>
        <v>Phosphoric acid</v>
      </c>
      <c r="F85" s="50" cm="1">
        <f t="array" ref="F85:F94">IFERROR(INDEX(Table_Input_ChemicalsCleaning[Quantity purchased (kg)], _xlfn.SEQUENCE(10)), "")</f>
        <v>100</v>
      </c>
      <c r="G85" s="50" cm="1">
        <f t="array" ref="G85">Common_InputFunctions.Utility_LookupValueInTableNumber(E85,Table_SourceData_Scope3_ChemicalsCleaning[Product],Table_SourceData_Scope3_ChemicalsCleaning[AusLCI Emissions intensity])</f>
        <v>0.90700000000000003</v>
      </c>
      <c r="H85" s="172">
        <f t="shared" ref="H85:H104" si="7">IFERROR(G85*F85, 0)</f>
        <v>90.7</v>
      </c>
      <c r="I85" s="69">
        <v>1.3</v>
      </c>
      <c r="J85" s="172">
        <f t="shared" ref="J85:J104" si="8">IFERROR(IF(I85, F85*I85, F85*G85),0)</f>
        <v>130</v>
      </c>
    </row>
    <row r="86" spans="4:10" ht="20.100000000000001" customHeight="1" x14ac:dyDescent="0.25">
      <c r="D86" s="50" t="str">
        <v>Kleen alk</v>
      </c>
      <c r="E86" s="50" t="str">
        <v>Alkaline cleaner</v>
      </c>
      <c r="F86" s="50">
        <v>100</v>
      </c>
      <c r="G86" s="50" cm="1">
        <f t="array" ref="G86">Common_InputFunctions.Utility_LookupValueInTableNumber(E86,Table_SourceData_Scope3_ChemicalsCleaning[Product],Table_SourceData_Scope3_ChemicalsCleaning[AusLCI Emissions intensity])</f>
        <v>0.72199999999999998</v>
      </c>
      <c r="H86" s="172">
        <f t="shared" si="7"/>
        <v>72.2</v>
      </c>
      <c r="I86" s="69">
        <v>8</v>
      </c>
      <c r="J86" s="172">
        <f t="shared" si="8"/>
        <v>800</v>
      </c>
    </row>
    <row r="87" spans="4:10" ht="20.100000000000001" customHeight="1" x14ac:dyDescent="0.25">
      <c r="D87" s="50" t="str">
        <v>White king</v>
      </c>
      <c r="E87" s="50" t="str">
        <v>Bleach</v>
      </c>
      <c r="F87" s="50">
        <v>100</v>
      </c>
      <c r="G87" s="50" cm="1">
        <f t="array" ref="G87">Common_InputFunctions.Utility_LookupValueInTableNumber(E87,Table_SourceData_Scope3_ChemicalsCleaning[Product],Table_SourceData_Scope3_ChemicalsCleaning[AusLCI Emissions intensity])</f>
        <v>0.80400000000000005</v>
      </c>
      <c r="H87" s="172">
        <f t="shared" si="7"/>
        <v>80.400000000000006</v>
      </c>
      <c r="I87" s="69">
        <v>4</v>
      </c>
      <c r="J87" s="172">
        <f t="shared" si="8"/>
        <v>400</v>
      </c>
    </row>
    <row r="88" spans="4:10" ht="20.100000000000001" customHeight="1" x14ac:dyDescent="0.25">
      <c r="D88" s="50" t="str">
        <v>White king</v>
      </c>
      <c r="E88" s="50" t="str">
        <v>Bleach</v>
      </c>
      <c r="F88" s="50">
        <v>100</v>
      </c>
      <c r="G88" s="50" cm="1">
        <f t="array" ref="G88">Common_InputFunctions.Utility_LookupValueInTableNumber(E88,Table_SourceData_Scope3_ChemicalsCleaning[Product],Table_SourceData_Scope3_ChemicalsCleaning[AusLCI Emissions intensity])</f>
        <v>0.80400000000000005</v>
      </c>
      <c r="H88" s="172">
        <f t="shared" si="7"/>
        <v>80.400000000000006</v>
      </c>
      <c r="I88" s="69">
        <v>3</v>
      </c>
      <c r="J88" s="172">
        <f t="shared" si="8"/>
        <v>300</v>
      </c>
    </row>
    <row r="89" spans="4:10" ht="20.100000000000001" customHeight="1" x14ac:dyDescent="0.25">
      <c r="D89" s="50" t="str">
        <v>Acid kleen</v>
      </c>
      <c r="E89" s="50" t="str">
        <v>Phosphoric acid</v>
      </c>
      <c r="F89" s="50">
        <v>100</v>
      </c>
      <c r="G89" s="50" cm="1">
        <f t="array" ref="G89">Common_InputFunctions.Utility_LookupValueInTableNumber(E89,Table_SourceData_Scope3_ChemicalsCleaning[Product],Table_SourceData_Scope3_ChemicalsCleaning[AusLCI Emissions intensity])</f>
        <v>0.90700000000000003</v>
      </c>
      <c r="H89" s="172">
        <f t="shared" si="7"/>
        <v>90.7</v>
      </c>
      <c r="I89" s="69">
        <v>6</v>
      </c>
      <c r="J89" s="172">
        <f t="shared" si="8"/>
        <v>600</v>
      </c>
    </row>
    <row r="90" spans="4:10" ht="20.100000000000001" customHeight="1" x14ac:dyDescent="0.25">
      <c r="D90" s="50" t="str">
        <v>Acid kleen</v>
      </c>
      <c r="E90" s="50" t="str">
        <v>Phosphoric acid</v>
      </c>
      <c r="F90" s="50">
        <v>100</v>
      </c>
      <c r="G90" s="50" cm="1">
        <f t="array" ref="G90">Common_InputFunctions.Utility_LookupValueInTableNumber(E90,Table_SourceData_Scope3_ChemicalsCleaning[Product],Table_SourceData_Scope3_ChemicalsCleaning[AusLCI Emissions intensity])</f>
        <v>0.90700000000000003</v>
      </c>
      <c r="H90" s="172">
        <f t="shared" si="7"/>
        <v>90.7</v>
      </c>
      <c r="I90" s="69">
        <v>5</v>
      </c>
      <c r="J90" s="172">
        <f t="shared" si="8"/>
        <v>500</v>
      </c>
    </row>
    <row r="91" spans="4:10" ht="20.100000000000001" customHeight="1" x14ac:dyDescent="0.25">
      <c r="D91" s="50" t="str">
        <v/>
      </c>
      <c r="E91" s="50" t="str">
        <v/>
      </c>
      <c r="F91" s="50" t="str">
        <v/>
      </c>
      <c r="G91" s="50" cm="1">
        <f t="array" ref="G91">Common_InputFunctions.Utility_LookupValueInTableNumber(E91,Table_SourceData_Scope3_ChemicalsCleaning[Product],Table_SourceData_Scope3_ChemicalsCleaning[AusLCI Emissions intensity])</f>
        <v>0</v>
      </c>
      <c r="H91" s="172">
        <f t="shared" si="7"/>
        <v>0</v>
      </c>
      <c r="I91" s="69"/>
      <c r="J91" s="172">
        <f t="shared" si="8"/>
        <v>0</v>
      </c>
    </row>
    <row r="92" spans="4:10" ht="20.100000000000001" customHeight="1" x14ac:dyDescent="0.25">
      <c r="D92" s="50" t="str">
        <v/>
      </c>
      <c r="E92" s="50" t="str">
        <v/>
      </c>
      <c r="F92" s="50" t="str">
        <v/>
      </c>
      <c r="G92" s="50" cm="1">
        <f t="array" ref="G92">Common_InputFunctions.Utility_LookupValueInTableNumber(E92,Table_SourceData_Scope3_ChemicalsCleaning[Product],Table_SourceData_Scope3_ChemicalsCleaning[AusLCI Emissions intensity])</f>
        <v>0</v>
      </c>
      <c r="H92" s="172">
        <f t="shared" si="7"/>
        <v>0</v>
      </c>
      <c r="I92" s="69"/>
      <c r="J92" s="172">
        <f t="shared" si="8"/>
        <v>0</v>
      </c>
    </row>
    <row r="93" spans="4:10" ht="20.100000000000001" customHeight="1" x14ac:dyDescent="0.25">
      <c r="D93" s="50" t="str">
        <v/>
      </c>
      <c r="E93" s="50" t="str">
        <v/>
      </c>
      <c r="F93" s="50" t="str">
        <v/>
      </c>
      <c r="G93" s="50" cm="1">
        <f t="array" ref="G93">Common_InputFunctions.Utility_LookupValueInTableNumber(E93,Table_SourceData_Scope3_ChemicalsCleaning[Product],Table_SourceData_Scope3_ChemicalsCleaning[AusLCI Emissions intensity])</f>
        <v>0</v>
      </c>
      <c r="H93" s="172">
        <f t="shared" si="7"/>
        <v>0</v>
      </c>
      <c r="I93" s="69"/>
      <c r="J93" s="172">
        <f t="shared" si="8"/>
        <v>0</v>
      </c>
    </row>
    <row r="94" spans="4:10" ht="20.100000000000001" customHeight="1" x14ac:dyDescent="0.25">
      <c r="D94" s="50" t="str">
        <v/>
      </c>
      <c r="E94" s="50" t="str">
        <v/>
      </c>
      <c r="F94" s="50" t="str">
        <v/>
      </c>
      <c r="G94" s="50" cm="1">
        <f t="array" ref="G94">Common_InputFunctions.Utility_LookupValueInTableNumber(E94,Table_SourceData_Scope3_ChemicalsCleaning[Product],Table_SourceData_Scope3_ChemicalsCleaning[AusLCI Emissions intensity])</f>
        <v>0</v>
      </c>
      <c r="H94" s="172">
        <f t="shared" si="7"/>
        <v>0</v>
      </c>
      <c r="I94" s="69"/>
      <c r="J94" s="172">
        <f t="shared" si="8"/>
        <v>0</v>
      </c>
    </row>
    <row r="95" spans="4:10" ht="20.100000000000001" customHeight="1" x14ac:dyDescent="0.25"/>
    <row r="96" spans="4:10" ht="20.100000000000001" customHeight="1" x14ac:dyDescent="0.25"/>
    <row r="97" spans="4:10" ht="20.100000000000001" customHeight="1" x14ac:dyDescent="0.25">
      <c r="D97" s="9" t="s">
        <v>425</v>
      </c>
      <c r="F97" s="100" t="s">
        <v>417</v>
      </c>
      <c r="G97" s="116"/>
      <c r="H97" s="101"/>
    </row>
    <row r="98" spans="4:10" ht="20.100000000000001" customHeight="1" x14ac:dyDescent="0.25"/>
    <row r="99" spans="4:10" ht="20.100000000000001" customHeight="1" x14ac:dyDescent="0.25">
      <c r="D99" s="47" t="s">
        <v>406</v>
      </c>
      <c r="E99" s="174" t="s">
        <v>309</v>
      </c>
      <c r="F99" s="174" t="s">
        <v>423</v>
      </c>
      <c r="G99" s="60" t="s">
        <v>397</v>
      </c>
      <c r="H99" s="60" t="s">
        <v>394</v>
      </c>
      <c r="I99" s="47" t="s">
        <v>401</v>
      </c>
      <c r="J99" s="60" t="s">
        <v>395</v>
      </c>
    </row>
    <row r="100" spans="4:10" ht="20.100000000000001" customHeight="1" x14ac:dyDescent="0.25">
      <c r="D100" s="50" t="str" cm="1">
        <f t="array" ref="D100:D109">IFERROR(INDEX(Table_Input_ChemicalsPharmacy[Product name], _xlfn.SEQUENCE(10)), "")</f>
        <v>Cow bug off</v>
      </c>
      <c r="E100" s="50" t="str" cm="1">
        <f t="array" ref="E100:E109">IFERROR(INDEX(Table_Input_ChemicalsPharmacy[Type (select)], _xlfn.SEQUENCE(10)), "")</f>
        <v>Parasite control for cattle (external), dipping</v>
      </c>
      <c r="F100" s="50" cm="1">
        <f t="array" ref="F100:F109">IFERROR(INDEX(Table_Input_ChemicalsCleaning[Quantity purchased (kg)], _xlfn.SEQUENCE(10)), "")</f>
        <v>100</v>
      </c>
      <c r="G100" s="50" cm="1">
        <f t="array" ref="G100">Common_InputFunctions.Utility_LookupValueInTableNumber(E100,Table_SourceData_Scope3_ChemicalsPharmacy[Product],Table_SourceData_Scope3_ChemicalsPharmacy[AusLCI Emissions intensity])</f>
        <v>5.4699999999999999E-2</v>
      </c>
      <c r="H100" s="172">
        <f t="shared" ref="H100:H109" si="9">IFERROR(G100*F100, 0)</f>
        <v>5.47</v>
      </c>
      <c r="I100" s="69">
        <v>0.05</v>
      </c>
      <c r="J100" s="172">
        <f t="shared" ref="J100:J109" si="10">IFERROR(IF(I100, F100*I100, F100*G100),0)</f>
        <v>5</v>
      </c>
    </row>
    <row r="101" spans="4:10" ht="20.100000000000001" customHeight="1" x14ac:dyDescent="0.25">
      <c r="D101" s="50" t="str">
        <v>Cow worm-away</v>
      </c>
      <c r="E101" s="50" t="str">
        <v>Parasite control for cattle (internal)</v>
      </c>
      <c r="F101" s="50">
        <v>100</v>
      </c>
      <c r="G101" s="50" cm="1">
        <f t="array" ref="G101">Common_InputFunctions.Utility_LookupValueInTableNumber(E101,Table_SourceData_Scope3_ChemicalsPharmacy[Product],Table_SourceData_Scope3_ChemicalsPharmacy[AusLCI Emissions intensity])</f>
        <v>1.4200000000000001E-2</v>
      </c>
      <c r="H101" s="172">
        <f t="shared" si="9"/>
        <v>1.4200000000000002</v>
      </c>
      <c r="I101" s="69">
        <v>0.01</v>
      </c>
      <c r="J101" s="172">
        <f t="shared" si="10"/>
        <v>1</v>
      </c>
    </row>
    <row r="102" spans="4:10" ht="20.100000000000001" customHeight="1" x14ac:dyDescent="0.25">
      <c r="D102" s="50" t="str">
        <v>Sheep bug off</v>
      </c>
      <c r="E102" s="50" t="str">
        <v>Parasite control for sheep (external)</v>
      </c>
      <c r="F102" s="50">
        <v>100</v>
      </c>
      <c r="G102" s="50" cm="1">
        <f t="array" ref="G102">Common_InputFunctions.Utility_LookupValueInTableNumber(E102,Table_SourceData_Scope3_ChemicalsPharmacy[Product],Table_SourceData_Scope3_ChemicalsPharmacy[AusLCI Emissions intensity])</f>
        <v>1.43E-2</v>
      </c>
      <c r="H102" s="172">
        <f t="shared" si="9"/>
        <v>1.43</v>
      </c>
      <c r="I102" s="69">
        <v>0.01</v>
      </c>
      <c r="J102" s="172">
        <f t="shared" si="10"/>
        <v>1</v>
      </c>
    </row>
    <row r="103" spans="4:10" ht="20.100000000000001" customHeight="1" x14ac:dyDescent="0.25">
      <c r="D103" s="50" t="str">
        <v>Sheep worm-away</v>
      </c>
      <c r="E103" s="50" t="str">
        <v>Parasite control for sheep (internal)</v>
      </c>
      <c r="F103" s="50">
        <v>100</v>
      </c>
      <c r="G103" s="50" cm="1">
        <f t="array" ref="G103">Common_InputFunctions.Utility_LookupValueInTableNumber(E103,Table_SourceData_Scope3_ChemicalsPharmacy[Product],Table_SourceData_Scope3_ChemicalsPharmacy[AusLCI Emissions intensity])</f>
        <v>4.2599999999999999E-3</v>
      </c>
      <c r="H103" s="172">
        <f t="shared" si="9"/>
        <v>0.42599999999999999</v>
      </c>
      <c r="I103" s="69">
        <v>4.0000000000000001E-3</v>
      </c>
      <c r="J103" s="172">
        <f t="shared" si="10"/>
        <v>0.4</v>
      </c>
    </row>
    <row r="104" spans="4:10" ht="20.100000000000001" customHeight="1" x14ac:dyDescent="0.25">
      <c r="D104" s="50" t="str">
        <v>Cow bug off</v>
      </c>
      <c r="E104" s="50" t="str">
        <v>Parasite control for cattle (external), dipping</v>
      </c>
      <c r="F104" s="50">
        <v>100</v>
      </c>
      <c r="G104" s="50" cm="1">
        <f t="array" ref="G104">Common_InputFunctions.Utility_LookupValueInTableNumber(E104,Table_SourceData_Scope3_ChemicalsPharmacy[Product],Table_SourceData_Scope3_ChemicalsPharmacy[AusLCI Emissions intensity])</f>
        <v>5.4699999999999999E-2</v>
      </c>
      <c r="H104" s="172">
        <f t="shared" si="9"/>
        <v>5.47</v>
      </c>
      <c r="I104" s="69">
        <v>0.05</v>
      </c>
      <c r="J104" s="172">
        <f t="shared" si="10"/>
        <v>5</v>
      </c>
    </row>
    <row r="105" spans="4:10" ht="20.100000000000001" customHeight="1" x14ac:dyDescent="0.25">
      <c r="D105" s="50" t="str">
        <v>Cow worm-away</v>
      </c>
      <c r="E105" s="50" t="str">
        <v>Parasite control for cattle (internal)</v>
      </c>
      <c r="F105" s="50">
        <v>100</v>
      </c>
      <c r="G105" s="50" cm="1">
        <f t="array" ref="G105">Common_InputFunctions.Utility_LookupValueInTableNumber(E105,Table_SourceData_Scope3_ChemicalsPharmacy[Product],Table_SourceData_Scope3_ChemicalsPharmacy[AusLCI Emissions intensity])</f>
        <v>1.4200000000000001E-2</v>
      </c>
      <c r="H105" s="172">
        <f t="shared" si="9"/>
        <v>1.4200000000000002</v>
      </c>
      <c r="I105" s="69">
        <v>0.01</v>
      </c>
      <c r="J105" s="172">
        <f t="shared" si="10"/>
        <v>1</v>
      </c>
    </row>
    <row r="106" spans="4:10" ht="20.100000000000001" customHeight="1" x14ac:dyDescent="0.25">
      <c r="D106" s="50" t="str">
        <v/>
      </c>
      <c r="E106" s="50" t="str">
        <v/>
      </c>
      <c r="F106" s="50" t="str">
        <v/>
      </c>
      <c r="G106" s="50" cm="1">
        <f t="array" ref="G106">Common_InputFunctions.Utility_LookupValueInTableNumber(E106,Table_SourceData_Scope3_ChemicalsPharmacy[Product],Table_SourceData_Scope3_ChemicalsPharmacy[AusLCI Emissions intensity])</f>
        <v>0</v>
      </c>
      <c r="H106" s="172">
        <f t="shared" si="9"/>
        <v>0</v>
      </c>
      <c r="I106" s="69"/>
      <c r="J106" s="172">
        <f t="shared" si="10"/>
        <v>0</v>
      </c>
    </row>
    <row r="107" spans="4:10" ht="20.100000000000001" customHeight="1" x14ac:dyDescent="0.25">
      <c r="D107" s="50" t="str">
        <v/>
      </c>
      <c r="E107" s="50" t="str">
        <v/>
      </c>
      <c r="F107" s="50" t="str">
        <v/>
      </c>
      <c r="G107" s="50" cm="1">
        <f t="array" ref="G107">Common_InputFunctions.Utility_LookupValueInTableNumber(E107,Table_SourceData_Scope3_ChemicalsPharmacy[Product],Table_SourceData_Scope3_ChemicalsPharmacy[AusLCI Emissions intensity])</f>
        <v>0</v>
      </c>
      <c r="H107" s="172">
        <f t="shared" si="9"/>
        <v>0</v>
      </c>
      <c r="I107" s="69"/>
      <c r="J107" s="172">
        <f t="shared" si="10"/>
        <v>0</v>
      </c>
    </row>
    <row r="108" spans="4:10" ht="20.100000000000001" customHeight="1" x14ac:dyDescent="0.25">
      <c r="D108" s="50" t="str">
        <v/>
      </c>
      <c r="E108" s="50" t="str">
        <v/>
      </c>
      <c r="F108" s="50" t="str">
        <v/>
      </c>
      <c r="G108" s="50" cm="1">
        <f t="array" ref="G108">Common_InputFunctions.Utility_LookupValueInTableNumber(E108,Table_SourceData_Scope3_ChemicalsPharmacy[Product],Table_SourceData_Scope3_ChemicalsPharmacy[AusLCI Emissions intensity])</f>
        <v>0</v>
      </c>
      <c r="H108" s="172">
        <f t="shared" si="9"/>
        <v>0</v>
      </c>
      <c r="I108" s="69"/>
      <c r="J108" s="172">
        <f t="shared" si="10"/>
        <v>0</v>
      </c>
    </row>
    <row r="109" spans="4:10" ht="20.100000000000001" customHeight="1" x14ac:dyDescent="0.25">
      <c r="D109" s="50" t="str">
        <v/>
      </c>
      <c r="E109" s="50" t="str">
        <v/>
      </c>
      <c r="F109" s="50" t="str">
        <v/>
      </c>
      <c r="G109" s="50" cm="1">
        <f t="array" ref="G109">Common_InputFunctions.Utility_LookupValueInTableNumber(E109,Table_SourceData_Scope3_ChemicalsPharmacy[Product],Table_SourceData_Scope3_ChemicalsPharmacy[AusLCI Emissions intensity])</f>
        <v>0</v>
      </c>
      <c r="H109" s="172">
        <f t="shared" si="9"/>
        <v>0</v>
      </c>
      <c r="I109" s="69"/>
      <c r="J109" s="172">
        <f t="shared" si="10"/>
        <v>0</v>
      </c>
    </row>
    <row r="110" spans="4:10" ht="20.100000000000001" customHeight="1" x14ac:dyDescent="0.25"/>
    <row r="111" spans="4:10" ht="20.100000000000001" customHeight="1" x14ac:dyDescent="0.25">
      <c r="F111" s="8" t="s">
        <v>485</v>
      </c>
    </row>
    <row r="112" spans="4:10" ht="20.100000000000001" customHeight="1" x14ac:dyDescent="0.25">
      <c r="D112" s="9" t="s">
        <v>320</v>
      </c>
      <c r="F112" s="100" t="s">
        <v>451</v>
      </c>
      <c r="G112" s="116"/>
      <c r="H112" s="101"/>
    </row>
    <row r="113" spans="4:25" ht="20.100000000000001" customHeight="1" x14ac:dyDescent="0.25"/>
    <row r="114" spans="4:25" ht="20.100000000000001" customHeight="1" x14ac:dyDescent="0.25">
      <c r="D114" s="47" t="s">
        <v>455</v>
      </c>
      <c r="E114" s="47" t="s">
        <v>398</v>
      </c>
      <c r="F114" s="60" t="s">
        <v>397</v>
      </c>
      <c r="G114" s="60" t="s">
        <v>394</v>
      </c>
      <c r="H114" s="47" t="s">
        <v>401</v>
      </c>
      <c r="I114" s="60" t="s">
        <v>395</v>
      </c>
      <c r="J114" s="60" t="s">
        <v>177</v>
      </c>
      <c r="K114" s="60" t="s">
        <v>434</v>
      </c>
      <c r="L114" s="60" t="s">
        <v>178</v>
      </c>
      <c r="M114" s="60" t="s">
        <v>385</v>
      </c>
      <c r="N114" s="60" t="s">
        <v>179</v>
      </c>
      <c r="O114" s="60" t="s">
        <v>452</v>
      </c>
      <c r="P114" s="60" t="s">
        <v>180</v>
      </c>
      <c r="Q114" s="60" t="s">
        <v>389</v>
      </c>
      <c r="R114" s="60" t="s">
        <v>181</v>
      </c>
      <c r="S114" s="60" t="s">
        <v>453</v>
      </c>
      <c r="T114" s="60" t="s">
        <v>182</v>
      </c>
      <c r="U114" s="60" t="s">
        <v>390</v>
      </c>
      <c r="V114" s="60" t="s">
        <v>183</v>
      </c>
      <c r="W114" s="60" t="s">
        <v>454</v>
      </c>
      <c r="X114" s="60" t="s">
        <v>184</v>
      </c>
      <c r="Y114" s="60" t="s">
        <v>391</v>
      </c>
    </row>
    <row r="115" spans="4:25" ht="20.100000000000001" customHeight="1" x14ac:dyDescent="0.25">
      <c r="D115" s="50" cm="1">
        <f t="array" ref="D115:D124">IFERROR(INDEX(Table_Input_FeedBlends[Feed blend name], _xlfn.SEQUENCE(10)), "")</f>
        <v>0</v>
      </c>
      <c r="E115" s="50" cm="1">
        <f t="array" ref="E115:E124">IFERROR(INDEX(Table_Input_FeedBlends[Amount fed (kg)], _xlfn.SEQUENCE(10)), "")</f>
        <v>1200</v>
      </c>
      <c r="F115" s="50">
        <f>IFERROR((L115*M115)+(P115*Q115)+(T115*U115)+(X115*Y115), 0)</f>
        <v>4.3399999999999994E-2</v>
      </c>
      <c r="G115" s="172">
        <f>IFERROR(F115*E115, 0)</f>
        <v>52.079999999999991</v>
      </c>
      <c r="H115" s="69">
        <v>0.4</v>
      </c>
      <c r="I115" s="172">
        <f>IFERROR(IF(H115, E115*H115, E115*F115),0)</f>
        <v>480</v>
      </c>
      <c r="J115" s="50" t="str" cm="1">
        <f t="array" ref="J115:J124">IFERROR(INDEX(Table_Input_FeedBlends[Ingredient 1 (select)], _xlfn.SEQUENCE(10)), "")</f>
        <v>Oaten hay</v>
      </c>
      <c r="K115" s="50" t="str" cm="1">
        <f t="array" ref="K115:K124">IFERROR(INDEX(Table_Input_FeedBlends[Ingredient 1 source region], _xlfn.SEQUENCE(10)), "")</f>
        <v>WA</v>
      </c>
      <c r="L115" s="50" cm="1">
        <f t="array" ref="L115:L124">IFERROR(INDEX(Table_Input_FeedBlends[Ingredient 1 percent], _xlfn.SEQUENCE(10)), "")</f>
        <v>0.35</v>
      </c>
      <c r="M115" s="50" cm="1">
        <f t="array" ref="M115">_xlfn.LET(_xlpm.result, Common_InputFunctions.Utility_LookupValueInTableTwoColumns(J115, K115, Table_SourceData_Scope3_Feed[Product], Table_SourceData_Scope3_Feed[Region of origin], Table_SourceData_Scope3_Feed[AusLCI Emissions intensity]), IF(_xlpm.result="", 0, _xlpm.result))</f>
        <v>0.124</v>
      </c>
      <c r="N115" s="50" t="str" cm="1">
        <f t="array" ref="N115:N124">IFERROR(INDEX(Table_Input_FeedBlends[Ingredient 2 (select)], _xlfn.SEQUENCE(10)), "")</f>
        <v>Sardines (whole)</v>
      </c>
      <c r="O115" s="50" t="str" cm="1">
        <f t="array" ref="O115:O124">IFERROR(INDEX(Table_Input_FeedBlends[Ingredient 2 source region], _xlfn.SEQUENCE(10)), "")</f>
        <v>SA</v>
      </c>
      <c r="P115" s="50" cm="1">
        <f t="array" ref="P115:P124">IFERROR(INDEX(Table_Input_FeedBlends[Ingredient 2 percent], _xlfn.SEQUENCE(10)), "")</f>
        <v>0.22</v>
      </c>
      <c r="Q115" s="50" cm="1">
        <f t="array" ref="Q115">_xlfn.LET(_xlpm.result, Common_InputFunctions.Utility_LookupValueInTableTwoColumns(N115, _xlfn.IFS(N115="Urea", IF(#REF!="", "Global",#REF!), N115="Ammonia", IF(#REF!="", "Global",#REF!), TRUE, "Global"), Table_SourceData_Scope3_InorganicFertiliser[Chemical compound],Table_SourceData_Scope3_InorganicFertiliser[Region of origin],Table_SourceData_Scope3_InorganicFertiliser[AusLCI Emissions intensity]), IF(_xlpm.result="", 0, _xlpm.result))</f>
        <v>0</v>
      </c>
      <c r="R115" s="50" t="str" cm="1">
        <f t="array" ref="R115:R124">IFERROR(INDEX(Table_Input_FeedBlends[Ingredient 3 (select)], _xlfn.SEQUENCE(10)), "")</f>
        <v>Canola oil</v>
      </c>
      <c r="S115" s="50" t="str" cm="1">
        <f t="array" ref="S115:S124">IFERROR(INDEX(Table_Input_FeedBlends[Ingredient 3 source region], _xlfn.SEQUENCE(10)), "")</f>
        <v>Australia</v>
      </c>
      <c r="T115" s="50" cm="1">
        <f t="array" ref="T115:T124">IFERROR(INDEX(Table_Input_FeedBlends[Ingredient 3 percent], _xlfn.SEQUENCE(10)), "")</f>
        <v>0.12</v>
      </c>
      <c r="U115" s="50" cm="1">
        <f t="array" ref="U115">_xlfn.LET(_xlpm.result, Common_InputFunctions.Utility_LookupValueInTableTwoColumns(R115, _xlfn.IFS(R115="Urea", IF(#REF!="", "Global",#REF!), R115="Ammonia", IF(#REF!="", "Global",#REF!), TRUE, "Global"), Table_SourceData_Scope3_InorganicFertiliser[Chemical compound],Table_SourceData_Scope3_InorganicFertiliser[Region of origin],Table_SourceData_Scope3_InorganicFertiliser[AusLCI Emissions intensity]), IF(_xlpm.result="", 0, _xlpm.result))</f>
        <v>0</v>
      </c>
      <c r="V115" s="50" t="str" cm="1">
        <f t="array" ref="V115:V124">IFERROR(INDEX(Table_Input_FeedBlends[Ingredient 4 (select)], _xlfn.SEQUENCE(10)), "")</f>
        <v>Molasses</v>
      </c>
      <c r="W115" s="50" t="str" cm="1">
        <f t="array" ref="W115:W124">IFERROR(INDEX(Table_Input_FeedBlends[Ingredient 4 source region], _xlfn.SEQUENCE(10)), "")</f>
        <v>QLD</v>
      </c>
      <c r="X115" s="50" cm="1">
        <f t="array" ref="X115:X124">IFERROR(INDEX(Table_Input_FeedBlends[Ingredient 4 percent], _xlfn.SEQUENCE(10)), "")</f>
        <v>0.05</v>
      </c>
      <c r="Y115" s="50" cm="1">
        <f t="array" ref="Y115">_xlfn.LET(_xlpm.result, Common_InputFunctions.Utility_LookupValueInTableTwoColumns(V115, _xlfn.IFS(V115="Urea", IF(#REF!="", "Global",#REF!), V115="Ammonia", IF(#REF!="", "Global",#REF!), TRUE, "Global"), Table_SourceData_Scope3_InorganicFertiliser[Chemical compound],Table_SourceData_Scope3_InorganicFertiliser[Region of origin],Table_SourceData_Scope3_InorganicFertiliser[AusLCI Emissions intensity]), IF(_xlpm.result="", 0, _xlpm.result))</f>
        <v>0</v>
      </c>
    </row>
    <row r="116" spans="4:25" ht="20.100000000000001" customHeight="1" x14ac:dyDescent="0.25">
      <c r="D116" s="50">
        <v>0</v>
      </c>
      <c r="E116" s="50">
        <v>3456</v>
      </c>
      <c r="F116" s="50">
        <f t="shared" ref="F116:F134" si="11">IFERROR((L116*M116)+(P116*Q116)+(T116*U116)+(X116*Y116), 0)</f>
        <v>2.7800000000000005E-2</v>
      </c>
      <c r="G116" s="172">
        <f t="shared" ref="G116:G134" si="12">IFERROR(F116*E116, 0)</f>
        <v>96.07680000000002</v>
      </c>
      <c r="H116" s="69">
        <v>0.9</v>
      </c>
      <c r="I116" s="172">
        <f t="shared" ref="I116:I134" si="13">IFERROR(IF(H116, E116*H116, E116*F116),0)</f>
        <v>3110.4</v>
      </c>
      <c r="J116" s="50" t="str">
        <v>Cereal hay</v>
      </c>
      <c r="K116" s="50" t="str">
        <v>TAS</v>
      </c>
      <c r="L116" s="50">
        <v>0.2</v>
      </c>
      <c r="M116" s="50" cm="1">
        <f t="array" ref="M116">_xlfn.LET(_xlpm.result, Common_InputFunctions.Utility_LookupValueInTableTwoColumns(J116, K116, Table_SourceData_Scope3_Feed[Product], Table_SourceData_Scope3_Feed[Region of origin], Table_SourceData_Scope3_Feed[AusLCI Emissions intensity]), IF(_xlpm.result="", 0, _xlpm.result))</f>
        <v>0.13900000000000001</v>
      </c>
      <c r="N116" s="50" t="str">
        <v>Lucerne hay</v>
      </c>
      <c r="O116" s="50" t="str">
        <v>NSW</v>
      </c>
      <c r="P116" s="50">
        <v>0.2</v>
      </c>
      <c r="Q116" s="50" cm="1">
        <f t="array" ref="Q116">_xlfn.LET(_xlpm.result, Common_InputFunctions.Utility_LookupValueInTableTwoColumns(N116, _xlfn.IFS(N116="Urea", IF(#REF!="", "Global",#REF!), N116="Ammonia", IF(#REF!="", "Global",#REF!), TRUE, "Global"), Table_SourceData_Scope3_InorganicFertiliser[Chemical compound],Table_SourceData_Scope3_InorganicFertiliser[Region of origin],Table_SourceData_Scope3_InorganicFertiliser[AusLCI Emissions intensity]), IF(_xlpm.result="", 0, _xlpm.result))</f>
        <v>0</v>
      </c>
      <c r="R116" s="50">
        <v>0</v>
      </c>
      <c r="S116" s="50">
        <v>0</v>
      </c>
      <c r="T116" s="50">
        <v>0</v>
      </c>
      <c r="U116" s="50" cm="1">
        <f t="array" ref="U116">_xlfn.LET(_xlpm.result, Common_InputFunctions.Utility_LookupValueInTableTwoColumns(R116, _xlfn.IFS(R116="Urea", IF(#REF!="", "Global",#REF!), R116="Ammonia", IF(#REF!="", "Global",#REF!), TRUE, "Global"), Table_SourceData_Scope3_InorganicFertiliser[Chemical compound],Table_SourceData_Scope3_InorganicFertiliser[Region of origin],Table_SourceData_Scope3_InorganicFertiliser[AusLCI Emissions intensity]), IF(_xlpm.result="", 0, _xlpm.result))</f>
        <v>0</v>
      </c>
      <c r="V116" s="50">
        <v>0</v>
      </c>
      <c r="W116" s="50">
        <v>0</v>
      </c>
      <c r="X116" s="50">
        <v>0</v>
      </c>
      <c r="Y116" s="50" cm="1">
        <f t="array" ref="Y116">_xlfn.LET(_xlpm.result, Common_InputFunctions.Utility_LookupValueInTableTwoColumns(V116, _xlfn.IFS(V116="Urea", IF(#REF!="", "Global",#REF!), V116="Ammonia", IF(#REF!="", "Global",#REF!), TRUE, "Global"), Table_SourceData_Scope3_InorganicFertiliser[Chemical compound],Table_SourceData_Scope3_InorganicFertiliser[Region of origin],Table_SourceData_Scope3_InorganicFertiliser[AusLCI Emissions intensity]), IF(_xlpm.result="", 0, _xlpm.result))</f>
        <v>0</v>
      </c>
    </row>
    <row r="117" spans="4:25" ht="20.100000000000001" customHeight="1" x14ac:dyDescent="0.25">
      <c r="D117" s="50" t="str">
        <v>Hay bales in paddock</v>
      </c>
      <c r="E117" s="50">
        <v>300</v>
      </c>
      <c r="F117" s="50">
        <f t="shared" si="11"/>
        <v>0.14880000000000002</v>
      </c>
      <c r="G117" s="172">
        <f t="shared" si="12"/>
        <v>44.640000000000008</v>
      </c>
      <c r="H117" s="69">
        <v>0.4</v>
      </c>
      <c r="I117" s="172">
        <f t="shared" si="13"/>
        <v>120</v>
      </c>
      <c r="J117" s="50" t="str">
        <v>Maize grain</v>
      </c>
      <c r="K117" s="50" t="str">
        <v>QLD</v>
      </c>
      <c r="L117" s="50">
        <v>0.8</v>
      </c>
      <c r="M117" s="50" cm="1">
        <f t="array" ref="M117">_xlfn.LET(_xlpm.result, Common_InputFunctions.Utility_LookupValueInTableTwoColumns(J117, K117, Table_SourceData_Scope3_Feed[Product], Table_SourceData_Scope3_Feed[Region of origin], Table_SourceData_Scope3_Feed[AusLCI Emissions intensity]), IF(_xlpm.result="", 0, _xlpm.result))</f>
        <v>0.186</v>
      </c>
      <c r="N117" s="50" t="str">
        <v>Soybean meal</v>
      </c>
      <c r="O117" s="50" t="str">
        <v>Brazil</v>
      </c>
      <c r="P117" s="50">
        <v>0.2</v>
      </c>
      <c r="Q117" s="50" cm="1">
        <f t="array" ref="Q117">_xlfn.LET(_xlpm.result, Common_InputFunctions.Utility_LookupValueInTableTwoColumns(N117, _xlfn.IFS(N117="Urea", IF(#REF!="", "Global",#REF!), N117="Ammonia", IF(#REF!="", "Global",#REF!), TRUE, "Global"), Table_SourceData_Scope3_InorganicFertiliser[Chemical compound],Table_SourceData_Scope3_InorganicFertiliser[Region of origin],Table_SourceData_Scope3_InorganicFertiliser[AusLCI Emissions intensity]), IF(_xlpm.result="", 0, _xlpm.result))</f>
        <v>0</v>
      </c>
      <c r="R117" s="50">
        <v>0</v>
      </c>
      <c r="S117" s="50">
        <v>0</v>
      </c>
      <c r="T117" s="50">
        <v>0</v>
      </c>
      <c r="U117" s="50" cm="1">
        <f t="array" ref="U117">_xlfn.LET(_xlpm.result, Common_InputFunctions.Utility_LookupValueInTableTwoColumns(R117, _xlfn.IFS(R117="Urea", IF(#REF!="", "Global",#REF!), R117="Ammonia", IF(#REF!="", "Global",#REF!), TRUE, "Global"), Table_SourceData_Scope3_InorganicFertiliser[Chemical compound],Table_SourceData_Scope3_InorganicFertiliser[Region of origin],Table_SourceData_Scope3_InorganicFertiliser[AusLCI Emissions intensity]), IF(_xlpm.result="", 0, _xlpm.result))</f>
        <v>0</v>
      </c>
      <c r="V117" s="50">
        <v>0</v>
      </c>
      <c r="W117" s="50">
        <v>0</v>
      </c>
      <c r="X117" s="50">
        <v>0</v>
      </c>
      <c r="Y117" s="50" cm="1">
        <f t="array" ref="Y117">_xlfn.LET(_xlpm.result, Common_InputFunctions.Utility_LookupValueInTableTwoColumns(V117, _xlfn.IFS(V117="Urea", IF(#REF!="", "Global",#REF!), V117="Ammonia", IF(#REF!="", "Global",#REF!), TRUE, "Global"), Table_SourceData_Scope3_InorganicFertiliser[Chemical compound],Table_SourceData_Scope3_InorganicFertiliser[Region of origin],Table_SourceData_Scope3_InorganicFertiliser[AusLCI Emissions intensity]), IF(_xlpm.result="", 0, _xlpm.result))</f>
        <v>0</v>
      </c>
    </row>
    <row r="118" spans="4:25" ht="20.100000000000001" customHeight="1" x14ac:dyDescent="0.25">
      <c r="D118" s="50">
        <v>0</v>
      </c>
      <c r="E118" s="50">
        <v>500</v>
      </c>
      <c r="F118" s="50">
        <f>IFERROR((L118*M118)+(P118*Q118)+(T118*U118)+(X118*Y118), 0)</f>
        <v>0.311</v>
      </c>
      <c r="G118" s="172">
        <f t="shared" si="12"/>
        <v>155.5</v>
      </c>
      <c r="H118" s="69"/>
      <c r="I118" s="172">
        <f t="shared" si="13"/>
        <v>155.5</v>
      </c>
      <c r="J118" s="50" t="str">
        <v>Pasture hay</v>
      </c>
      <c r="K118" s="50" t="str">
        <v>NSW</v>
      </c>
      <c r="L118" s="50">
        <v>1</v>
      </c>
      <c r="M118" s="50" cm="1">
        <f t="array" ref="M118">_xlfn.LET(_xlpm.result, Common_InputFunctions.Utility_LookupValueInTableTwoColumns(J118, K118, Table_SourceData_Scope3_Feed[Product], Table_SourceData_Scope3_Feed[Region of origin], Table_SourceData_Scope3_Feed[AusLCI Emissions intensity]), IF(_xlpm.result="", 0, _xlpm.result))</f>
        <v>0.311</v>
      </c>
      <c r="N118" s="50">
        <v>0</v>
      </c>
      <c r="O118" s="50">
        <v>0</v>
      </c>
      <c r="P118" s="50">
        <v>0</v>
      </c>
      <c r="Q118" s="50" cm="1">
        <f t="array" ref="Q118">_xlfn.LET(_xlpm.result, Common_InputFunctions.Utility_LookupValueInTableTwoColumns(N118, _xlfn.IFS(N118="Urea", IF(#REF!="", "Global",#REF!), N118="Ammonia", IF(#REF!="", "Global",#REF!), TRUE, "Global"), Table_SourceData_Scope3_InorganicFertiliser[Chemical compound],Table_SourceData_Scope3_InorganicFertiliser[Region of origin],Table_SourceData_Scope3_InorganicFertiliser[AusLCI Emissions intensity]), IF(_xlpm.result="", 0, _xlpm.result))</f>
        <v>0</v>
      </c>
      <c r="R118" s="50">
        <v>0</v>
      </c>
      <c r="S118" s="50">
        <v>0</v>
      </c>
      <c r="T118" s="50">
        <v>0</v>
      </c>
      <c r="U118" s="50" cm="1">
        <f t="array" ref="U118">_xlfn.LET(_xlpm.result, Common_InputFunctions.Utility_LookupValueInTableTwoColumns(R118, _xlfn.IFS(R118="Urea", IF(#REF!="", "Global",#REF!), R118="Ammonia", IF(#REF!="", "Global",#REF!), TRUE, "Global"), Table_SourceData_Scope3_InorganicFertiliser[Chemical compound],Table_SourceData_Scope3_InorganicFertiliser[Region of origin],Table_SourceData_Scope3_InorganicFertiliser[AusLCI Emissions intensity]), IF(_xlpm.result="", 0, _xlpm.result))</f>
        <v>0</v>
      </c>
      <c r="V118" s="50">
        <v>0</v>
      </c>
      <c r="W118" s="50">
        <v>0</v>
      </c>
      <c r="X118" s="50">
        <v>0</v>
      </c>
      <c r="Y118" s="50" cm="1">
        <f t="array" ref="Y118">_xlfn.LET(_xlpm.result, Common_InputFunctions.Utility_LookupValueInTableTwoColumns(V118, _xlfn.IFS(V118="Urea", IF(#REF!="", "Global",#REF!), V118="Ammonia", IF(#REF!="", "Global",#REF!), TRUE, "Global"), Table_SourceData_Scope3_InorganicFertiliser[Chemical compound],Table_SourceData_Scope3_InorganicFertiliser[Region of origin],Table_SourceData_Scope3_InorganicFertiliser[AusLCI Emissions intensity]), IF(_xlpm.result="", 0, _xlpm.result))</f>
        <v>0</v>
      </c>
    </row>
    <row r="119" spans="4:25" ht="20.100000000000001" customHeight="1" x14ac:dyDescent="0.25">
      <c r="D119" s="50" t="str">
        <v/>
      </c>
      <c r="E119" s="50" t="str">
        <v/>
      </c>
      <c r="F119" s="50">
        <f t="shared" si="11"/>
        <v>0</v>
      </c>
      <c r="G119" s="172">
        <f t="shared" si="12"/>
        <v>0</v>
      </c>
      <c r="H119" s="69"/>
      <c r="I119" s="172">
        <f t="shared" si="13"/>
        <v>0</v>
      </c>
      <c r="J119" s="50" t="str">
        <v/>
      </c>
      <c r="K119" s="50" t="str">
        <v/>
      </c>
      <c r="L119" s="50" t="str">
        <v/>
      </c>
      <c r="M119" s="50" cm="1">
        <f t="array" ref="M119">_xlfn.LET(_xlpm.result, Common_InputFunctions.Utility_LookupValueInTableTwoColumns(J119, K119, Table_SourceData_Scope3_Feed[Product], Table_SourceData_Scope3_Feed[Region of origin], Table_SourceData_Scope3_Feed[AusLCI Emissions intensity]), IF(_xlpm.result="", 0, _xlpm.result))</f>
        <v>0</v>
      </c>
      <c r="N119" s="50" t="str">
        <v/>
      </c>
      <c r="O119" s="50" t="str">
        <v/>
      </c>
      <c r="P119" s="50" t="str">
        <v/>
      </c>
      <c r="Q119" s="50" cm="1">
        <f t="array" ref="Q119">_xlfn.LET(_xlpm.result, Common_InputFunctions.Utility_LookupValueInTableTwoColumns(N119, _xlfn.IFS(N119="Urea", IF(#REF!="", "Global",#REF!), N119="Ammonia", IF(#REF!="", "Global",#REF!), TRUE, "Global"), Table_SourceData_Scope3_InorganicFertiliser[Chemical compound],Table_SourceData_Scope3_InorganicFertiliser[Region of origin],Table_SourceData_Scope3_InorganicFertiliser[AusLCI Emissions intensity]), IF(_xlpm.result="", 0, _xlpm.result))</f>
        <v>0</v>
      </c>
      <c r="R119" s="50" t="str">
        <v/>
      </c>
      <c r="S119" s="50" t="str">
        <v/>
      </c>
      <c r="T119" s="50" t="str">
        <v/>
      </c>
      <c r="U119" s="50" cm="1">
        <f t="array" ref="U119">_xlfn.LET(_xlpm.result, Common_InputFunctions.Utility_LookupValueInTableTwoColumns(R119, _xlfn.IFS(R119="Urea", IF(#REF!="", "Global",#REF!), R119="Ammonia", IF(#REF!="", "Global",#REF!), TRUE, "Global"), Table_SourceData_Scope3_InorganicFertiliser[Chemical compound],Table_SourceData_Scope3_InorganicFertiliser[Region of origin],Table_SourceData_Scope3_InorganicFertiliser[AusLCI Emissions intensity]), IF(_xlpm.result="", 0, _xlpm.result))</f>
        <v>0</v>
      </c>
      <c r="V119" s="50" t="str">
        <v/>
      </c>
      <c r="W119" s="50" t="str">
        <v/>
      </c>
      <c r="X119" s="50" t="str">
        <v/>
      </c>
      <c r="Y119" s="50" cm="1">
        <f t="array" ref="Y119">_xlfn.LET(_xlpm.result, Common_InputFunctions.Utility_LookupValueInTableTwoColumns(V119, _xlfn.IFS(V119="Urea", IF(#REF!="", "Global",#REF!), V119="Ammonia",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5" ht="20.100000000000001" customHeight="1" x14ac:dyDescent="0.25">
      <c r="D120" s="50" t="str">
        <v/>
      </c>
      <c r="E120" s="50" t="str">
        <v/>
      </c>
      <c r="F120" s="50">
        <f t="shared" si="11"/>
        <v>0</v>
      </c>
      <c r="G120" s="172">
        <f t="shared" si="12"/>
        <v>0</v>
      </c>
      <c r="H120" s="69"/>
      <c r="I120" s="172">
        <f t="shared" si="13"/>
        <v>0</v>
      </c>
      <c r="J120" s="50" t="str">
        <v/>
      </c>
      <c r="K120" s="50" t="str">
        <v/>
      </c>
      <c r="L120" s="50" t="str">
        <v/>
      </c>
      <c r="M120" s="50" cm="1">
        <f t="array" ref="M120">_xlfn.LET(_xlpm.result, Common_InputFunctions.Utility_LookupValueInTableTwoColumns(J120, K120, Table_SourceData_Scope3_Feed[Product], Table_SourceData_Scope3_Feed[Region of origin], Table_SourceData_Scope3_Feed[AusLCI Emissions intensity]), IF(_xlpm.result="", 0, _xlpm.result))</f>
        <v>0</v>
      </c>
      <c r="N120" s="50" t="str">
        <v/>
      </c>
      <c r="O120" s="50" t="str">
        <v/>
      </c>
      <c r="P120" s="50" t="str">
        <v/>
      </c>
      <c r="Q120" s="50" cm="1">
        <f t="array" ref="Q120">_xlfn.LET(_xlpm.result, Common_InputFunctions.Utility_LookupValueInTableTwoColumns(N120, _xlfn.IFS(N120="Urea", IF(#REF!="", "Global",#REF!), N120="Ammonia", IF(#REF!="", "Global",#REF!), TRUE, "Global"), Table_SourceData_Scope3_InorganicFertiliser[Chemical compound],Table_SourceData_Scope3_InorganicFertiliser[Region of origin],Table_SourceData_Scope3_InorganicFertiliser[AusLCI Emissions intensity]), IF(_xlpm.result="", 0, _xlpm.result))</f>
        <v>0</v>
      </c>
      <c r="R120" s="50" t="str">
        <v/>
      </c>
      <c r="S120" s="50" t="str">
        <v/>
      </c>
      <c r="T120" s="50" t="str">
        <v/>
      </c>
      <c r="U120" s="50" cm="1">
        <f t="array" ref="U120">_xlfn.LET(_xlpm.result, Common_InputFunctions.Utility_LookupValueInTableTwoColumns(R120, _xlfn.IFS(R120="Urea", IF(#REF!="", "Global",#REF!), R120="Ammonia", IF(#REF!="", "Global",#REF!), TRUE, "Global"), Table_SourceData_Scope3_InorganicFertiliser[Chemical compound],Table_SourceData_Scope3_InorganicFertiliser[Region of origin],Table_SourceData_Scope3_InorganicFertiliser[AusLCI Emissions intensity]), IF(_xlpm.result="", 0, _xlpm.result))</f>
        <v>0</v>
      </c>
      <c r="V120" s="50" t="str">
        <v/>
      </c>
      <c r="W120" s="50" t="str">
        <v/>
      </c>
      <c r="X120" s="50" t="str">
        <v/>
      </c>
      <c r="Y120" s="50" cm="1">
        <f t="array" ref="Y120">_xlfn.LET(_xlpm.result, Common_InputFunctions.Utility_LookupValueInTableTwoColumns(V120, _xlfn.IFS(V120="Urea", IF(#REF!="", "Global",#REF!), V120="Ammonia",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5" ht="20.100000000000001" customHeight="1" x14ac:dyDescent="0.25">
      <c r="D121" s="50" t="str">
        <v/>
      </c>
      <c r="E121" s="50" t="str">
        <v/>
      </c>
      <c r="F121" s="50">
        <f t="shared" si="11"/>
        <v>0</v>
      </c>
      <c r="G121" s="172">
        <f t="shared" si="12"/>
        <v>0</v>
      </c>
      <c r="H121" s="69"/>
      <c r="I121" s="172">
        <f t="shared" si="13"/>
        <v>0</v>
      </c>
      <c r="J121" s="50" t="str">
        <v/>
      </c>
      <c r="K121" s="50" t="str">
        <v/>
      </c>
      <c r="L121" s="50" t="str">
        <v/>
      </c>
      <c r="M121" s="50" cm="1">
        <f t="array" ref="M121">_xlfn.LET(_xlpm.result, Common_InputFunctions.Utility_LookupValueInTableTwoColumns(J121, K121, Table_SourceData_Scope3_Feed[Product], Table_SourceData_Scope3_Feed[Region of origin], Table_SourceData_Scope3_Feed[AusLCI Emissions intensity]), IF(_xlpm.result="", 0, _xlpm.result))</f>
        <v>0</v>
      </c>
      <c r="N121" s="50" t="str">
        <v/>
      </c>
      <c r="O121" s="50" t="str">
        <v/>
      </c>
      <c r="P121" s="50" t="str">
        <v/>
      </c>
      <c r="Q121" s="50" cm="1">
        <f t="array" ref="Q121">_xlfn.LET(_xlpm.result, Common_InputFunctions.Utility_LookupValueInTableTwoColumns(N121, _xlfn.IFS(N121="Urea", IF(#REF!="", "Global",#REF!), N121="Ammonia", IF(#REF!="", "Global",#REF!), TRUE, "Global"), Table_SourceData_Scope3_InorganicFertiliser[Chemical compound],Table_SourceData_Scope3_InorganicFertiliser[Region of origin],Table_SourceData_Scope3_InorganicFertiliser[AusLCI Emissions intensity]), IF(_xlpm.result="", 0, _xlpm.result))</f>
        <v>0</v>
      </c>
      <c r="R121" s="50" t="str">
        <v/>
      </c>
      <c r="S121" s="50" t="str">
        <v/>
      </c>
      <c r="T121" s="50" t="str">
        <v/>
      </c>
      <c r="U121" s="50" cm="1">
        <f t="array" ref="U121">_xlfn.LET(_xlpm.result, Common_InputFunctions.Utility_LookupValueInTableTwoColumns(R121, _xlfn.IFS(R121="Urea", IF(#REF!="", "Global",#REF!), R121="Ammonia", IF(#REF!="", "Global",#REF!), TRUE, "Global"), Table_SourceData_Scope3_InorganicFertiliser[Chemical compound],Table_SourceData_Scope3_InorganicFertiliser[Region of origin],Table_SourceData_Scope3_InorganicFertiliser[AusLCI Emissions intensity]), IF(_xlpm.result="", 0, _xlpm.result))</f>
        <v>0</v>
      </c>
      <c r="V121" s="50" t="str">
        <v/>
      </c>
      <c r="W121" s="50" t="str">
        <v/>
      </c>
      <c r="X121" s="50" t="str">
        <v/>
      </c>
      <c r="Y121" s="50" cm="1">
        <f t="array" ref="Y121">_xlfn.LET(_xlpm.result, Common_InputFunctions.Utility_LookupValueInTableTwoColumns(V121, _xlfn.IFS(V121="Urea", IF(#REF!="", "Global",#REF!), V121="Ammonia",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5" ht="20.100000000000001" customHeight="1" x14ac:dyDescent="0.25">
      <c r="D122" s="50" t="str">
        <v/>
      </c>
      <c r="E122" s="50" t="str">
        <v/>
      </c>
      <c r="F122" s="50">
        <f t="shared" si="11"/>
        <v>0</v>
      </c>
      <c r="G122" s="172">
        <f t="shared" si="12"/>
        <v>0</v>
      </c>
      <c r="H122" s="69"/>
      <c r="I122" s="172">
        <f t="shared" si="13"/>
        <v>0</v>
      </c>
      <c r="J122" s="50" t="str">
        <v/>
      </c>
      <c r="K122" s="50" t="str">
        <v/>
      </c>
      <c r="L122" s="50" t="str">
        <v/>
      </c>
      <c r="M122" s="50" cm="1">
        <f t="array" ref="M122">_xlfn.LET(_xlpm.result, Common_InputFunctions.Utility_LookupValueInTableTwoColumns(J122, K122, Table_SourceData_Scope3_Feed[Product], Table_SourceData_Scope3_Feed[Region of origin], Table_SourceData_Scope3_Feed[AusLCI Emissions intensity]), IF(_xlpm.result="", 0, _xlpm.result))</f>
        <v>0</v>
      </c>
      <c r="N122" s="50" t="str">
        <v/>
      </c>
      <c r="O122" s="50" t="str">
        <v/>
      </c>
      <c r="P122" s="50" t="str">
        <v/>
      </c>
      <c r="Q122" s="50" cm="1">
        <f t="array" ref="Q122">_xlfn.LET(_xlpm.result, Common_InputFunctions.Utility_LookupValueInTableTwoColumns(N122, _xlfn.IFS(N122="Urea", IF(#REF!="", "Global",#REF!), N122="Ammonia", IF(#REF!="", "Global",#REF!), TRUE, "Global"), Table_SourceData_Scope3_InorganicFertiliser[Chemical compound],Table_SourceData_Scope3_InorganicFertiliser[Region of origin],Table_SourceData_Scope3_InorganicFertiliser[AusLCI Emissions intensity]), IF(_xlpm.result="", 0, _xlpm.result))</f>
        <v>0</v>
      </c>
      <c r="R122" s="50" t="str">
        <v/>
      </c>
      <c r="S122" s="50" t="str">
        <v/>
      </c>
      <c r="T122" s="50" t="str">
        <v/>
      </c>
      <c r="U122" s="50" cm="1">
        <f t="array" ref="U122">_xlfn.LET(_xlpm.result, Common_InputFunctions.Utility_LookupValueInTableTwoColumns(R122, _xlfn.IFS(R122="Urea", IF(#REF!="", "Global",#REF!), R122="Ammonia", IF(#REF!="", "Global",#REF!), TRUE, "Global"), Table_SourceData_Scope3_InorganicFertiliser[Chemical compound],Table_SourceData_Scope3_InorganicFertiliser[Region of origin],Table_SourceData_Scope3_InorganicFertiliser[AusLCI Emissions intensity]), IF(_xlpm.result="", 0, _xlpm.result))</f>
        <v>0</v>
      </c>
      <c r="V122" s="50" t="str">
        <v/>
      </c>
      <c r="W122" s="50" t="str">
        <v/>
      </c>
      <c r="X122" s="50" t="str">
        <v/>
      </c>
      <c r="Y122" s="50" cm="1">
        <f t="array" ref="Y122">_xlfn.LET(_xlpm.result, Common_InputFunctions.Utility_LookupValueInTableTwoColumns(V122, _xlfn.IFS(V122="Urea", IF(#REF!="", "Global",#REF!), V122="Ammonia",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5" ht="20.100000000000001" customHeight="1" x14ac:dyDescent="0.25">
      <c r="D123" s="50" t="str">
        <v/>
      </c>
      <c r="E123" s="50" t="str">
        <v/>
      </c>
      <c r="F123" s="50">
        <f t="shared" si="11"/>
        <v>0</v>
      </c>
      <c r="G123" s="172">
        <f t="shared" si="12"/>
        <v>0</v>
      </c>
      <c r="H123" s="69"/>
      <c r="I123" s="172">
        <f t="shared" si="13"/>
        <v>0</v>
      </c>
      <c r="J123" s="50" t="str">
        <v/>
      </c>
      <c r="K123" s="50" t="str">
        <v/>
      </c>
      <c r="L123" s="50" t="str">
        <v/>
      </c>
      <c r="M123" s="50" cm="1">
        <f t="array" ref="M123">_xlfn.LET(_xlpm.result, Common_InputFunctions.Utility_LookupValueInTableTwoColumns(J123, K123, Table_SourceData_Scope3_Feed[Product], Table_SourceData_Scope3_Feed[Region of origin], Table_SourceData_Scope3_Feed[AusLCI Emissions intensity]), IF(_xlpm.result="", 0, _xlpm.result))</f>
        <v>0</v>
      </c>
      <c r="N123" s="50" t="str">
        <v/>
      </c>
      <c r="O123" s="50" t="str">
        <v/>
      </c>
      <c r="P123" s="50" t="str">
        <v/>
      </c>
      <c r="Q123" s="50" cm="1">
        <f t="array" ref="Q123">_xlfn.LET(_xlpm.result, Common_InputFunctions.Utility_LookupValueInTableTwoColumns(N123, _xlfn.IFS(N123="Urea", IF(#REF!="", "Global",#REF!), N123="Ammonia", IF(#REF!="", "Global",#REF!), TRUE, "Global"), Table_SourceData_Scope3_InorganicFertiliser[Chemical compound],Table_SourceData_Scope3_InorganicFertiliser[Region of origin],Table_SourceData_Scope3_InorganicFertiliser[AusLCI Emissions intensity]), IF(_xlpm.result="", 0, _xlpm.result))</f>
        <v>0</v>
      </c>
      <c r="R123" s="50" t="str">
        <v/>
      </c>
      <c r="S123" s="50" t="str">
        <v/>
      </c>
      <c r="T123" s="50" t="str">
        <v/>
      </c>
      <c r="U123" s="50" cm="1">
        <f t="array" ref="U123">_xlfn.LET(_xlpm.result, Common_InputFunctions.Utility_LookupValueInTableTwoColumns(R123, _xlfn.IFS(R123="Urea", IF(#REF!="", "Global",#REF!), R123="Ammonia", IF(#REF!="", "Global",#REF!), TRUE, "Global"), Table_SourceData_Scope3_InorganicFertiliser[Chemical compound],Table_SourceData_Scope3_InorganicFertiliser[Region of origin],Table_SourceData_Scope3_InorganicFertiliser[AusLCI Emissions intensity]), IF(_xlpm.result="", 0, _xlpm.result))</f>
        <v>0</v>
      </c>
      <c r="V123" s="50" t="str">
        <v/>
      </c>
      <c r="W123" s="50" t="str">
        <v/>
      </c>
      <c r="X123" s="50" t="str">
        <v/>
      </c>
      <c r="Y123" s="50" cm="1">
        <f t="array" ref="Y123">_xlfn.LET(_xlpm.result, Common_InputFunctions.Utility_LookupValueInTableTwoColumns(V123, _xlfn.IFS(V123="Urea", IF(#REF!="", "Global",#REF!), V123="Ammonia",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5" ht="20.100000000000001" customHeight="1" x14ac:dyDescent="0.25">
      <c r="D124" s="50" t="str">
        <v/>
      </c>
      <c r="E124" s="50" t="str">
        <v/>
      </c>
      <c r="F124" s="50">
        <f t="shared" si="11"/>
        <v>0</v>
      </c>
      <c r="G124" s="172">
        <f t="shared" si="12"/>
        <v>0</v>
      </c>
      <c r="H124" s="69"/>
      <c r="I124" s="172">
        <f t="shared" si="13"/>
        <v>0</v>
      </c>
      <c r="J124" s="50" t="str">
        <v/>
      </c>
      <c r="K124" s="50" t="str">
        <v/>
      </c>
      <c r="L124" s="50" t="str">
        <v/>
      </c>
      <c r="M124" s="50" cm="1">
        <f t="array" ref="M124">_xlfn.LET(_xlpm.result, Common_InputFunctions.Utility_LookupValueInTableTwoColumns(J124, K124, Table_SourceData_Scope3_Feed[Product], Table_SourceData_Scope3_Feed[Region of origin], Table_SourceData_Scope3_Feed[AusLCI Emissions intensity]), IF(_xlpm.result="", 0, _xlpm.result))</f>
        <v>0</v>
      </c>
      <c r="N124" s="50" t="str">
        <v/>
      </c>
      <c r="O124" s="50" t="str">
        <v/>
      </c>
      <c r="P124" s="50" t="str">
        <v/>
      </c>
      <c r="Q124" s="50" cm="1">
        <f t="array" ref="Q124">_xlfn.LET(_xlpm.result, Common_InputFunctions.Utility_LookupValueInTableTwoColumns(N124, _xlfn.IFS(N124="Urea", IF(#REF!="", "Global",#REF!), N124="Ammonia", IF(#REF!="", "Global",#REF!), TRUE, "Global"), Table_SourceData_Scope3_InorganicFertiliser[Chemical compound],Table_SourceData_Scope3_InorganicFertiliser[Region of origin],Table_SourceData_Scope3_InorganicFertiliser[AusLCI Emissions intensity]), IF(_xlpm.result="", 0, _xlpm.result))</f>
        <v>0</v>
      </c>
      <c r="R124" s="50" t="str">
        <v/>
      </c>
      <c r="S124" s="50" t="str">
        <v/>
      </c>
      <c r="T124" s="50" t="str">
        <v/>
      </c>
      <c r="U124" s="50" cm="1">
        <f t="array" ref="U124">_xlfn.LET(_xlpm.result, Common_InputFunctions.Utility_LookupValueInTableTwoColumns(R124, _xlfn.IFS(R124="Urea", IF(#REF!="", "Global",#REF!), R124="Ammonia", IF(#REF!="", "Global",#REF!), TRUE, "Global"), Table_SourceData_Scope3_InorganicFertiliser[Chemical compound],Table_SourceData_Scope3_InorganicFertiliser[Region of origin],Table_SourceData_Scope3_InorganicFertiliser[AusLCI Emissions intensity]), IF(_xlpm.result="", 0, _xlpm.result))</f>
        <v>0</v>
      </c>
      <c r="V124" s="50" t="str">
        <v/>
      </c>
      <c r="W124" s="50" t="str">
        <v/>
      </c>
      <c r="X124" s="50" t="str">
        <v/>
      </c>
      <c r="Y124" s="50" cm="1">
        <f t="array" ref="Y124">_xlfn.LET(_xlpm.result, Common_InputFunctions.Utility_LookupValueInTableTwoColumns(V124, _xlfn.IFS(V124="Urea", IF(#REF!="", "Global",#REF!), V124="Ammonia",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5" ht="20.100000000000001" customHeight="1" x14ac:dyDescent="0.25"/>
    <row r="126" spans="4:25" ht="20.100000000000001" customHeight="1" x14ac:dyDescent="0.25"/>
    <row r="127" spans="4:25" ht="20.100000000000001" customHeight="1" x14ac:dyDescent="0.25">
      <c r="D127" s="9" t="s">
        <v>319</v>
      </c>
    </row>
    <row r="128" spans="4:25" ht="20.100000000000001" customHeight="1" x14ac:dyDescent="0.25">
      <c r="D128" s="47" t="s">
        <v>221</v>
      </c>
      <c r="E128" s="47" t="s">
        <v>398</v>
      </c>
      <c r="F128" s="60" t="s">
        <v>397</v>
      </c>
      <c r="G128" s="60" t="s">
        <v>394</v>
      </c>
      <c r="H128" s="47" t="s">
        <v>401</v>
      </c>
      <c r="I128" s="60" t="s">
        <v>395</v>
      </c>
    </row>
    <row r="129" spans="4:10" ht="20.100000000000001" customHeight="1" x14ac:dyDescent="0.25">
      <c r="D129" s="50" t="str">
        <f>'Input - Feed'!D8</f>
        <v>Lick block, dry season mix</v>
      </c>
      <c r="E129" s="50">
        <f>'Input - Feed'!E8</f>
        <v>100</v>
      </c>
      <c r="F129" s="50" cm="1">
        <f t="array" ref="F129">Common_InputFunctions.Utility_LookupValueInTableNumber(D129,Table_SourceData_Scope3_LickBlocks[Product],Table_SourceData_Scope3_LickBlocks[AusLCI Emissions intensity])</f>
        <v>0.88100000000000001</v>
      </c>
      <c r="G129" s="172">
        <f t="shared" ref="G129:G131" si="14">IFERROR(F129*E129, 0)</f>
        <v>88.1</v>
      </c>
      <c r="H129" s="69">
        <v>0.8</v>
      </c>
      <c r="I129" s="172">
        <f>IFERROR(IF(H129, E129*H129, E129*F129),0)</f>
        <v>80</v>
      </c>
    </row>
    <row r="130" spans="4:10" ht="20.100000000000001" customHeight="1" x14ac:dyDescent="0.25">
      <c r="D130" s="50" t="str">
        <f>'Input - Feed'!D9</f>
        <v>Lick block, mineral</v>
      </c>
      <c r="E130" s="50">
        <f>'Input - Feed'!E9</f>
        <v>100</v>
      </c>
      <c r="F130" s="50" cm="1">
        <f t="array" ref="F130">Common_InputFunctions.Utility_LookupValueInTableNumber(D130,Table_SourceData_Scope3_LickBlocks[Product],Table_SourceData_Scope3_LickBlocks[AusLCI Emissions intensity])</f>
        <v>0.67700000000000005</v>
      </c>
      <c r="G130" s="172">
        <f t="shared" si="14"/>
        <v>67.7</v>
      </c>
      <c r="H130" s="69">
        <v>0.6</v>
      </c>
      <c r="I130" s="172">
        <f t="shared" ref="I130:I131" si="15">IFERROR(IF(H130, E130*H130, E130*F130),0)</f>
        <v>60</v>
      </c>
    </row>
    <row r="131" spans="4:10" ht="20.100000000000001" customHeight="1" x14ac:dyDescent="0.25">
      <c r="D131" s="50" t="str">
        <f>'Input - Feed'!D10</f>
        <v>Lick block, weaner</v>
      </c>
      <c r="E131" s="50">
        <f>'Input - Feed'!E10</f>
        <v>100</v>
      </c>
      <c r="F131" s="50" cm="1">
        <f t="array" ref="F131">Common_InputFunctions.Utility_LookupValueInTableNumber(D131,Table_SourceData_Scope3_LickBlocks[Product],Table_SourceData_Scope3_LickBlocks[AusLCI Emissions intensity])</f>
        <v>0.23100000000000001</v>
      </c>
      <c r="G131" s="172">
        <f t="shared" si="14"/>
        <v>23.1</v>
      </c>
      <c r="H131" s="69">
        <v>0.2</v>
      </c>
      <c r="I131" s="172">
        <f t="shared" si="15"/>
        <v>20</v>
      </c>
    </row>
    <row r="132" spans="4:10" ht="20.100000000000001" customHeight="1" x14ac:dyDescent="0.25"/>
    <row r="133" spans="4:10" ht="20.100000000000001" customHeight="1" x14ac:dyDescent="0.25"/>
    <row r="134" spans="4:10" ht="20.100000000000001" customHeight="1" x14ac:dyDescent="0.25">
      <c r="D134" s="9" t="s">
        <v>449</v>
      </c>
    </row>
    <row r="135" spans="4:10" ht="20.100000000000001" customHeight="1" x14ac:dyDescent="0.25">
      <c r="D135" s="47" t="s">
        <v>221</v>
      </c>
      <c r="E135" s="47" t="s">
        <v>398</v>
      </c>
      <c r="F135" s="60" t="s">
        <v>397</v>
      </c>
      <c r="G135" s="60" t="s">
        <v>394</v>
      </c>
      <c r="H135" s="47" t="s">
        <v>401</v>
      </c>
      <c r="I135" s="60" t="s">
        <v>395</v>
      </c>
    </row>
    <row r="136" spans="4:10" ht="20.100000000000001" customHeight="1" x14ac:dyDescent="0.25">
      <c r="D136" s="50" t="str">
        <f>'Input - Feed'!D24</f>
        <v>Feed for chickens</v>
      </c>
      <c r="E136" s="50">
        <f>'Input - Feed'!E24</f>
        <v>100</v>
      </c>
      <c r="F136" s="50" cm="1">
        <f t="array" ref="F136">Common_InputFunctions.Utility_LookupValueInTableNumber(D136,Table_SourceData_Scope3_MixedRations[Product],Table_SourceData_Scope3_MixedRations[AusLCI Emissions intensity])</f>
        <v>0.59399999999999997</v>
      </c>
      <c r="G136" s="172">
        <f t="shared" ref="G136:G139" si="16">IFERROR(F136*E136, 0)</f>
        <v>59.4</v>
      </c>
      <c r="H136" s="69">
        <v>0.5</v>
      </c>
      <c r="I136" s="172">
        <f>IFERROR(IF(H136, E136*H136, E136*F136),0)</f>
        <v>50</v>
      </c>
    </row>
    <row r="137" spans="4:10" ht="20.100000000000001" customHeight="1" x14ac:dyDescent="0.25">
      <c r="D137" s="50" t="str">
        <f>'Input - Feed'!D25</f>
        <v>Feed for dairy calves</v>
      </c>
      <c r="E137" s="50">
        <f>'Input - Feed'!E25</f>
        <v>100</v>
      </c>
      <c r="F137" s="50" cm="1">
        <f t="array" ref="F137">Common_InputFunctions.Utility_LookupValueInTableNumber(D137,Table_SourceData_Scope3_MixedRations[Product],Table_SourceData_Scope3_MixedRations[AusLCI Emissions intensity])</f>
        <v>0.41899999999999998</v>
      </c>
      <c r="G137" s="172">
        <f t="shared" si="16"/>
        <v>41.9</v>
      </c>
      <c r="H137" s="69">
        <v>0.4</v>
      </c>
      <c r="I137" s="172">
        <f t="shared" ref="I137:I139" si="17">IFERROR(IF(H137, E137*H137, E137*F137),0)</f>
        <v>40</v>
      </c>
    </row>
    <row r="138" spans="4:10" ht="20.100000000000001" customHeight="1" x14ac:dyDescent="0.25">
      <c r="D138" s="50" t="str">
        <f>'Input - Feed'!D26</f>
        <v>Feed for dairy cows</v>
      </c>
      <c r="E138" s="50">
        <f>'Input - Feed'!E26</f>
        <v>100</v>
      </c>
      <c r="F138" s="50" cm="1">
        <f t="array" ref="F138">Common_InputFunctions.Utility_LookupValueInTableNumber(D138,Table_SourceData_Scope3_MixedRations[Product],Table_SourceData_Scope3_MixedRations[AusLCI Emissions intensity])</f>
        <v>0.33300000000000002</v>
      </c>
      <c r="G138" s="172">
        <f t="shared" si="16"/>
        <v>33.300000000000004</v>
      </c>
      <c r="H138" s="69">
        <v>0.3</v>
      </c>
      <c r="I138" s="172">
        <f t="shared" si="17"/>
        <v>30</v>
      </c>
    </row>
    <row r="139" spans="4:10" ht="20.100000000000001" customHeight="1" x14ac:dyDescent="0.25">
      <c r="D139" s="50" t="str">
        <f>'Input - Feed'!D27</f>
        <v>Feed for pigs</v>
      </c>
      <c r="E139" s="50">
        <f>'Input - Feed'!E27</f>
        <v>100</v>
      </c>
      <c r="F139" s="50" cm="1">
        <f t="array" ref="F139">Common_InputFunctions.Utility_LookupValueInTableNumber(D139,Table_SourceData_Scope3_MixedRations[Product],Table_SourceData_Scope3_MixedRations[AusLCI Emissions intensity])</f>
        <v>0.40300000000000002</v>
      </c>
      <c r="G139" s="172">
        <f t="shared" si="16"/>
        <v>40.300000000000004</v>
      </c>
      <c r="H139" s="69">
        <v>0.4</v>
      </c>
      <c r="I139" s="172">
        <f t="shared" si="17"/>
        <v>40</v>
      </c>
    </row>
    <row r="140" spans="4:10" ht="20.100000000000001" customHeight="1" x14ac:dyDescent="0.25"/>
    <row r="141" spans="4:10" ht="20.100000000000001" customHeight="1" x14ac:dyDescent="0.25"/>
    <row r="142" spans="4:10" ht="20.100000000000001" customHeight="1" x14ac:dyDescent="0.25">
      <c r="D142" s="9" t="s">
        <v>466</v>
      </c>
      <c r="F142" s="100" t="s">
        <v>467</v>
      </c>
      <c r="G142" s="116"/>
      <c r="H142" s="101"/>
    </row>
    <row r="143" spans="4:10" ht="20.100000000000001" customHeight="1" x14ac:dyDescent="0.25"/>
    <row r="144" spans="4:10" ht="20.100000000000001" customHeight="1" x14ac:dyDescent="0.25">
      <c r="D144" s="47" t="s">
        <v>406</v>
      </c>
      <c r="E144" s="174" t="s">
        <v>457</v>
      </c>
      <c r="F144" s="174" t="s">
        <v>398</v>
      </c>
      <c r="G144" s="60" t="s">
        <v>397</v>
      </c>
      <c r="H144" s="60" t="s">
        <v>394</v>
      </c>
      <c r="I144" s="47" t="s">
        <v>401</v>
      </c>
      <c r="J144" s="60" t="s">
        <v>395</v>
      </c>
    </row>
    <row r="145" spans="4:10" ht="20.100000000000001" customHeight="1" x14ac:dyDescent="0.25">
      <c r="D145" s="50" t="str" cm="1">
        <f t="array" ref="D145:D154">IFERROR(INDEX(Table_Input_Packaging[Packaging name], _xlfn.SEQUENCE(10)), "")</f>
        <v>250g punnet</v>
      </c>
      <c r="E145" s="50" t="str" cm="1">
        <f t="array" ref="E145:E154">IFERROR(INDEX(Table_Input_Packaging[Primary material], _xlfn.SEQUENCE(10)), "")</f>
        <v>Plastic sheet HDPE</v>
      </c>
      <c r="F145" s="50" cm="1">
        <f t="array" ref="F145:F154">IFERROR(INDEX(Table_Input_Packaging[Total weight purchased], _xlfn.SEQUENCE(10)), "")</f>
        <v>2</v>
      </c>
      <c r="G145" s="50" cm="1">
        <f t="array" ref="G145">Common_InputFunctions.Utility_LookupValueInTableNumber(E145,Table_SourceData_Scope3_Packaging[Product],Table_SourceData_Scope3_Packaging[AusLCI Emissions intensity])</f>
        <v>3.72</v>
      </c>
      <c r="H145" s="172">
        <f t="shared" ref="H145:H154" si="18">IFERROR(G145*F145, 0)</f>
        <v>7.44</v>
      </c>
      <c r="I145" s="69">
        <v>3</v>
      </c>
      <c r="J145" s="172">
        <f t="shared" ref="J145:J154" si="19">IFERROR(IF(I145, F145*I145, F145*G145),0)</f>
        <v>6</v>
      </c>
    </row>
    <row r="146" spans="4:10" ht="20.100000000000001" customHeight="1" x14ac:dyDescent="0.25">
      <c r="D146" s="50" t="str">
        <v>500g punnet</v>
      </c>
      <c r="E146" s="50" t="str">
        <v>Plastic crate polypropylene</v>
      </c>
      <c r="F146" s="50">
        <v>100000</v>
      </c>
      <c r="G146" s="50" cm="1">
        <f t="array" ref="G146">Common_InputFunctions.Utility_LookupValueInTableNumber(E146,Table_SourceData_Scope3_Packaging[Product],Table_SourceData_Scope3_Packaging[AusLCI Emissions intensity])</f>
        <v>3.99</v>
      </c>
      <c r="H146" s="172">
        <f t="shared" si="18"/>
        <v>399000</v>
      </c>
      <c r="I146" s="69">
        <v>3</v>
      </c>
      <c r="J146" s="172">
        <f t="shared" si="19"/>
        <v>300000</v>
      </c>
    </row>
    <row r="147" spans="4:10" ht="20.100000000000001" customHeight="1" x14ac:dyDescent="0.25">
      <c r="D147" s="50">
        <v>0</v>
      </c>
      <c r="E147" s="50" t="str">
        <v>Plastic sheet HDPE</v>
      </c>
      <c r="F147" s="50">
        <v>45600</v>
      </c>
      <c r="G147" s="50" cm="1">
        <f t="array" ref="G147">Common_InputFunctions.Utility_LookupValueInTableNumber(E147,Table_SourceData_Scope3_Packaging[Product],Table_SourceData_Scope3_Packaging[AusLCI Emissions intensity])</f>
        <v>3.72</v>
      </c>
      <c r="H147" s="172">
        <f t="shared" si="18"/>
        <v>169632</v>
      </c>
      <c r="I147" s="69">
        <v>3</v>
      </c>
      <c r="J147" s="172">
        <f t="shared" si="19"/>
        <v>136800</v>
      </c>
    </row>
    <row r="148" spans="4:10" ht="20.100000000000001" customHeight="1" x14ac:dyDescent="0.25">
      <c r="D148" s="50" t="str">
        <v>Cardboard box 50 litre</v>
      </c>
      <c r="E148" s="50" t="str">
        <v>Corrugated board</v>
      </c>
      <c r="F148" s="50">
        <v>123400</v>
      </c>
      <c r="G148" s="50" cm="1">
        <f t="array" ref="G148">Common_InputFunctions.Utility_LookupValueInTableNumber(E148,Table_SourceData_Scope3_Packaging[Product],Table_SourceData_Scope3_Packaging[AusLCI Emissions intensity])</f>
        <v>1.05</v>
      </c>
      <c r="H148" s="172">
        <f t="shared" si="18"/>
        <v>129570</v>
      </c>
      <c r="I148" s="69">
        <v>1</v>
      </c>
      <c r="J148" s="172">
        <f t="shared" si="19"/>
        <v>123400</v>
      </c>
    </row>
    <row r="149" spans="4:10" ht="20.100000000000001" customHeight="1" x14ac:dyDescent="0.25">
      <c r="D149" s="50" t="str">
        <v/>
      </c>
      <c r="E149" s="50" t="str">
        <v/>
      </c>
      <c r="F149" s="50" t="str">
        <v/>
      </c>
      <c r="G149" s="50" cm="1">
        <f t="array" ref="G149">Common_InputFunctions.Utility_LookupValueInTableNumber(E149,Table_SourceData_Scope3_Packaging[Product],Table_SourceData_Scope3_Packaging[AusLCI Emissions intensity])</f>
        <v>0</v>
      </c>
      <c r="H149" s="172">
        <f t="shared" si="18"/>
        <v>0</v>
      </c>
      <c r="I149" s="69"/>
      <c r="J149" s="172">
        <f t="shared" si="19"/>
        <v>0</v>
      </c>
    </row>
    <row r="150" spans="4:10" ht="20.100000000000001" customHeight="1" x14ac:dyDescent="0.25">
      <c r="D150" s="50" t="str">
        <v/>
      </c>
      <c r="E150" s="50" t="str">
        <v/>
      </c>
      <c r="F150" s="50" t="str">
        <v/>
      </c>
      <c r="G150" s="50" cm="1">
        <f t="array" ref="G150">Common_InputFunctions.Utility_LookupValueInTableNumber(E150,Table_SourceData_Scope3_Packaging[Product],Table_SourceData_Scope3_Packaging[AusLCI Emissions intensity])</f>
        <v>0</v>
      </c>
      <c r="H150" s="172">
        <f t="shared" si="18"/>
        <v>0</v>
      </c>
      <c r="I150" s="69"/>
      <c r="J150" s="172">
        <f t="shared" si="19"/>
        <v>0</v>
      </c>
    </row>
    <row r="151" spans="4:10" ht="20.100000000000001" customHeight="1" x14ac:dyDescent="0.25">
      <c r="D151" s="50" t="str">
        <v/>
      </c>
      <c r="E151" s="50" t="str">
        <v/>
      </c>
      <c r="F151" s="50" t="str">
        <v/>
      </c>
      <c r="G151" s="50" cm="1">
        <f t="array" ref="G151">Common_InputFunctions.Utility_LookupValueInTableNumber(E151,Table_SourceData_Scope3_Packaging[Product],Table_SourceData_Scope3_Packaging[AusLCI Emissions intensity])</f>
        <v>0</v>
      </c>
      <c r="H151" s="172">
        <f t="shared" si="18"/>
        <v>0</v>
      </c>
      <c r="I151" s="69"/>
      <c r="J151" s="172">
        <f t="shared" si="19"/>
        <v>0</v>
      </c>
    </row>
    <row r="152" spans="4:10" ht="20.100000000000001" customHeight="1" x14ac:dyDescent="0.25">
      <c r="D152" s="50" t="str">
        <v/>
      </c>
      <c r="E152" s="50" t="str">
        <v/>
      </c>
      <c r="F152" s="50" t="str">
        <v/>
      </c>
      <c r="G152" s="50" cm="1">
        <f t="array" ref="G152">Common_InputFunctions.Utility_LookupValueInTableNumber(E152,Table_SourceData_Scope3_Packaging[Product],Table_SourceData_Scope3_Packaging[AusLCI Emissions intensity])</f>
        <v>0</v>
      </c>
      <c r="H152" s="172">
        <f t="shared" si="18"/>
        <v>0</v>
      </c>
      <c r="I152" s="69"/>
      <c r="J152" s="172">
        <f t="shared" si="19"/>
        <v>0</v>
      </c>
    </row>
    <row r="153" spans="4:10" ht="20.100000000000001" customHeight="1" x14ac:dyDescent="0.25">
      <c r="D153" s="50" t="str">
        <v/>
      </c>
      <c r="E153" s="50" t="str">
        <v/>
      </c>
      <c r="F153" s="50" t="str">
        <v/>
      </c>
      <c r="G153" s="50" cm="1">
        <f t="array" ref="G153">Common_InputFunctions.Utility_LookupValueInTableNumber(E153,Table_SourceData_Scope3_Packaging[Product],Table_SourceData_Scope3_Packaging[AusLCI Emissions intensity])</f>
        <v>0</v>
      </c>
      <c r="H153" s="172">
        <f t="shared" si="18"/>
        <v>0</v>
      </c>
      <c r="I153" s="69"/>
      <c r="J153" s="172">
        <f t="shared" si="19"/>
        <v>0</v>
      </c>
    </row>
    <row r="154" spans="4:10" ht="20.100000000000001" customHeight="1" x14ac:dyDescent="0.25">
      <c r="D154" s="50" t="str">
        <v/>
      </c>
      <c r="E154" s="50" t="str">
        <v/>
      </c>
      <c r="F154" s="50" t="str">
        <v/>
      </c>
      <c r="G154" s="50" cm="1">
        <f t="array" ref="G154">Common_InputFunctions.Utility_LookupValueInTableNumber(E154,Table_SourceData_Scope3_Packaging[Product],Table_SourceData_Scope3_Packaging[AusLCI Emissions intensity])</f>
        <v>0</v>
      </c>
      <c r="H154" s="172">
        <f t="shared" si="18"/>
        <v>0</v>
      </c>
      <c r="I154" s="69"/>
      <c r="J154" s="172">
        <f t="shared" si="19"/>
        <v>0</v>
      </c>
    </row>
    <row r="155" spans="4:10" ht="20.100000000000001" customHeight="1" x14ac:dyDescent="0.25"/>
    <row r="156" spans="4:10" ht="20.100000000000001" customHeight="1" x14ac:dyDescent="0.25"/>
    <row r="157" spans="4:10" ht="20.100000000000001" customHeight="1" x14ac:dyDescent="0.25">
      <c r="D157" s="9" t="s">
        <v>412</v>
      </c>
      <c r="F157" s="100" t="s">
        <v>468</v>
      </c>
      <c r="G157" s="116"/>
      <c r="H157" s="101"/>
    </row>
    <row r="158" spans="4:10" ht="20.100000000000001" customHeight="1" x14ac:dyDescent="0.25">
      <c r="E158" s="60" t="s">
        <v>475</v>
      </c>
      <c r="F158" s="47" t="s">
        <v>476</v>
      </c>
    </row>
    <row r="159" spans="4:10" ht="20.100000000000001" customHeight="1" x14ac:dyDescent="0.25">
      <c r="D159" s="8" t="s">
        <v>474</v>
      </c>
      <c r="E159" s="50" cm="1">
        <f t="array" ref="E159">Common_InputFunctions.Utility_LookupValueInTableNumber("Limestone (crushed)", Table_SourceData_Scope3_SoilAmeliorants[Product],Table_SourceData_Scope3_SoilAmeliorants[AusLCI Emissions intensity])</f>
        <v>4.8500000000000001E-2</v>
      </c>
      <c r="F159" s="69">
        <v>0.04</v>
      </c>
    </row>
    <row r="160" spans="4:10" ht="20.100000000000001" customHeight="1" x14ac:dyDescent="0.25">
      <c r="D160" s="8" t="s">
        <v>473</v>
      </c>
      <c r="E160" s="50" cm="1">
        <f t="array" ref="E160">Common_InputFunctions.Utility_LookupValueInTableNumber("Dolomite", Table_SourceData_Scope3_SoilAmeliorants[Product],Table_SourceData_Scope3_SoilAmeliorants[AusLCI Emissions intensity])</f>
        <v>6.5199999999999994E-2</v>
      </c>
      <c r="F160" s="69">
        <v>6.5000000000000002E-2</v>
      </c>
    </row>
    <row r="161" spans="4:10" ht="20.100000000000001" customHeight="1" x14ac:dyDescent="0.25">
      <c r="D161" s="8" t="s">
        <v>472</v>
      </c>
      <c r="E161" s="50" cm="1">
        <f t="array" ref="E161">Common_InputFunctions.Utility_LookupValueInTableNumber("Gypsum", Table_SourceData_Scope3_SoilAmeliorants[Product],Table_SourceData_Scope3_SoilAmeliorants[AusLCI Emissions intensity])</f>
        <v>6.5199999999999994E-2</v>
      </c>
      <c r="F161" s="69">
        <v>6.5000000000000002E-2</v>
      </c>
    </row>
    <row r="162" spans="4:10" ht="20.100000000000001" customHeight="1" x14ac:dyDescent="0.25"/>
    <row r="163" spans="4:10" ht="20.100000000000001" customHeight="1" x14ac:dyDescent="0.25">
      <c r="D163" s="47" t="s">
        <v>173</v>
      </c>
      <c r="E163" s="174" t="s">
        <v>398</v>
      </c>
      <c r="F163" s="47" t="s">
        <v>469</v>
      </c>
      <c r="G163" s="47" t="s">
        <v>470</v>
      </c>
      <c r="H163" s="47" t="s">
        <v>471</v>
      </c>
      <c r="I163" s="60" t="s">
        <v>394</v>
      </c>
      <c r="J163" s="60" t="s">
        <v>395</v>
      </c>
    </row>
    <row r="164" spans="4:10" ht="20.100000000000001" customHeight="1" x14ac:dyDescent="0.25">
      <c r="D164" s="50" t="str" cm="1">
        <f t="array" ref="D164:D173">IFERROR(INDEX(Table_Input_SoilAmeliorants[Product], _xlfn.SEQUENCE(10)), "")</f>
        <v>Lime product 1</v>
      </c>
      <c r="E164" s="50" cm="1">
        <f t="array" ref="E164:E173">IFERROR(INDEX(Table_Input_SoilAmeliorants[Total amount applied (t)]*10^3, _xlfn.SEQUENCE(10)), "")</f>
        <v>10000000</v>
      </c>
      <c r="F164" s="50" cm="1">
        <f t="array" ref="F164:F173">IFERROR(INDEX(Table_Input_SoilAmeliorants[Percent Lime CaCO3], _xlfn.SEQUENCE(10)), "")</f>
        <v>0.4</v>
      </c>
      <c r="G164" s="50" cm="1">
        <f t="array" ref="G164:G173">IFERROR(INDEX(Table_Input_SoilAmeliorants[Percent Dolomite CaMg(CO3)2], _xlfn.SEQUENCE(10)), "")</f>
        <v>0.3</v>
      </c>
      <c r="H164" s="50" cm="1">
        <f t="array" ref="H164:H173">IFERROR(INDEX(Table_Input_SoilAmeliorants[Percent Gypsum], _xlfn.SEQUENCE(10)), "")</f>
        <v>0.25</v>
      </c>
      <c r="I164" s="172">
        <f>IFERROR((E164*F164*$E$159)+(E164*G164*$E$160)+(E164*H164*E161), 0)</f>
        <v>552600</v>
      </c>
      <c r="J164" s="172">
        <f>IFERROR((E164*F164*IF($F$159, $F$159, $E$159))+(E164*G164*IF($F$160,$F$160,$E$160))+(E164*H164*IF($F$161,$F$161,$E$161)), 0)</f>
        <v>517500</v>
      </c>
    </row>
    <row r="165" spans="4:10" ht="20.100000000000001" customHeight="1" x14ac:dyDescent="0.25">
      <c r="D165" s="50" t="str">
        <v>Lime product 2</v>
      </c>
      <c r="E165" s="50">
        <v>10000000</v>
      </c>
      <c r="F165" s="50">
        <v>1</v>
      </c>
      <c r="G165" s="50">
        <v>0</v>
      </c>
      <c r="H165" s="50">
        <v>0</v>
      </c>
      <c r="I165" s="172">
        <f>IFERROR((E165*F165*$E$159)+(E165*G165*$E$160)+(E165*H165*E162), 0)</f>
        <v>485000</v>
      </c>
      <c r="J165" s="172">
        <f>IFERROR((E165*F165*IF($F$159, $F$159, $E$159))+(E165*G165*IF($F$160,$F$160,$E$160))+(E165*H165*IF($F$161,$F$161,$E$161)), 0)</f>
        <v>400000</v>
      </c>
    </row>
    <row r="166" spans="4:10" ht="20.100000000000001" customHeight="1" x14ac:dyDescent="0.25">
      <c r="D166" s="50" t="str">
        <v/>
      </c>
      <c r="E166" s="50" t="str">
        <v/>
      </c>
      <c r="F166" s="50" t="str">
        <v/>
      </c>
      <c r="G166" s="50" t="str">
        <v/>
      </c>
      <c r="H166" s="50" t="str">
        <v/>
      </c>
      <c r="I166" s="172">
        <f>IFERROR((E166*F166*$E$159)+(E166*G166*$E$160)+(E166*H166*#REF!), 0)</f>
        <v>0</v>
      </c>
      <c r="J166" s="172">
        <f>IFERROR((E166*F166*IF($F$159, $F$159, $E$159))+(E166*G166*IF($F$160,$F$160,$E$160))+(E166*H166*IF($F$161,$F$161,$E$161)), 0)</f>
        <v>0</v>
      </c>
    </row>
    <row r="167" spans="4:10" ht="20.100000000000001" customHeight="1" x14ac:dyDescent="0.25">
      <c r="D167" s="50" t="str">
        <v/>
      </c>
      <c r="E167" s="50" t="str">
        <v/>
      </c>
      <c r="F167" s="50" t="str">
        <v/>
      </c>
      <c r="G167" s="50" t="str">
        <v/>
      </c>
      <c r="H167" s="50" t="str">
        <v/>
      </c>
      <c r="I167" s="172">
        <f>IFERROR((E167*F167*$E$159)+(E167*G167*$E$160)+(E167*H167*#REF!), 0)</f>
        <v>0</v>
      </c>
      <c r="J167" s="172">
        <f>IFERROR((E167*F167*IF($F$159, $F$159, $E$159))+(E167*G167*IF($F$160,$F$160,$E$160))+(E167*H167*IF($F$161,$F$161,$E$161)), 0)</f>
        <v>0</v>
      </c>
    </row>
    <row r="168" spans="4:10" ht="20.100000000000001" customHeight="1" x14ac:dyDescent="0.25">
      <c r="D168" s="50" t="str">
        <v/>
      </c>
      <c r="E168" s="50" t="str">
        <v/>
      </c>
      <c r="F168" s="50" t="str">
        <v/>
      </c>
      <c r="G168" s="50" t="str">
        <v/>
      </c>
      <c r="H168" s="50" t="str">
        <v/>
      </c>
      <c r="I168" s="172">
        <f>IFERROR((E168*F168*$E$159)+(E168*G168*$E$160)+(E168*H168*#REF!), 0)</f>
        <v>0</v>
      </c>
      <c r="J168" s="172">
        <f>IFERROR((E168*F168*IF($F$159, $F$159, $E$159))+(E168*G168*IF($F$160,$F$160,$E$160))+(E168*H168*IF($F$161,$F$161,$E$161)), 0)</f>
        <v>0</v>
      </c>
    </row>
    <row r="169" spans="4:10" ht="20.100000000000001" customHeight="1" x14ac:dyDescent="0.25">
      <c r="D169" s="50" t="str">
        <v/>
      </c>
      <c r="E169" s="50" t="str">
        <v/>
      </c>
      <c r="F169" s="50" t="str">
        <v/>
      </c>
      <c r="G169" s="50" t="str">
        <v/>
      </c>
      <c r="H169" s="50" t="str">
        <v/>
      </c>
      <c r="I169" s="172">
        <f>IFERROR((E169*F169*$E$159)+(E169*G169*$E$160)+(E169*H169*#REF!), 0)</f>
        <v>0</v>
      </c>
      <c r="J169" s="172">
        <f>IFERROR((E169*F169*IF($F$159, $F$159, $E$159))+(E169*G169*IF($F$160,$F$160,$E$160))+(E169*H169*IF($F$161,$F$161,$E$161)), 0)</f>
        <v>0</v>
      </c>
    </row>
    <row r="170" spans="4:10" ht="20.100000000000001" customHeight="1" x14ac:dyDescent="0.25">
      <c r="D170" s="50" t="str">
        <v/>
      </c>
      <c r="E170" s="50" t="str">
        <v/>
      </c>
      <c r="F170" s="50" t="str">
        <v/>
      </c>
      <c r="G170" s="50" t="str">
        <v/>
      </c>
      <c r="H170" s="50" t="str">
        <v/>
      </c>
      <c r="I170" s="172">
        <f>IFERROR((E170*F170*$E$159)+(E170*G170*$E$160)+(E170*H170*#REF!), 0)</f>
        <v>0</v>
      </c>
      <c r="J170" s="172">
        <f>IFERROR((E170*F170*IF($F$159, $F$159, $E$159))+(E170*G170*IF($F$160,$F$160,$E$160))+(E170*H170*IF($F$161,$F$161,$E$161)), 0)</f>
        <v>0</v>
      </c>
    </row>
    <row r="171" spans="4:10" ht="20.100000000000001" customHeight="1" x14ac:dyDescent="0.25">
      <c r="D171" s="50" t="str">
        <v/>
      </c>
      <c r="E171" s="50" t="str">
        <v/>
      </c>
      <c r="F171" s="50" t="str">
        <v/>
      </c>
      <c r="G171" s="50" t="str">
        <v/>
      </c>
      <c r="H171" s="50" t="str">
        <v/>
      </c>
      <c r="I171" s="172">
        <f>IFERROR((E171*F171*$E$159)+(E171*G171*$E$160)+(E171*H171*#REF!), 0)</f>
        <v>0</v>
      </c>
      <c r="J171" s="172">
        <f>IFERROR((E171*F171*IF($F$159, $F$159, $E$159))+(E171*G171*IF($F$160,$F$160,$E$160))+(E171*H171*IF($F$161,$F$161,$E$161)), 0)</f>
        <v>0</v>
      </c>
    </row>
    <row r="172" spans="4:10" ht="20.100000000000001" customHeight="1" x14ac:dyDescent="0.25">
      <c r="D172" s="50" t="str">
        <v/>
      </c>
      <c r="E172" s="50" t="str">
        <v/>
      </c>
      <c r="F172" s="50" t="str">
        <v/>
      </c>
      <c r="G172" s="50" t="str">
        <v/>
      </c>
      <c r="H172" s="50" t="str">
        <v/>
      </c>
      <c r="I172" s="172">
        <f>IFERROR((E172*F172*$E$159)+(E172*G172*$E$160)+(E172*H172*#REF!), 0)</f>
        <v>0</v>
      </c>
      <c r="J172" s="172">
        <f>IFERROR((E172*F172*IF($F$159, $F$159, $E$159))+(E172*G172*IF($F$160,$F$160,$E$160))+(E172*H172*IF($F$161,$F$161,$E$161)), 0)</f>
        <v>0</v>
      </c>
    </row>
    <row r="173" spans="4:10" ht="20.100000000000001" customHeight="1" x14ac:dyDescent="0.25">
      <c r="D173" s="50" t="str">
        <v/>
      </c>
      <c r="E173" s="50" t="str">
        <v/>
      </c>
      <c r="F173" s="50" t="str">
        <v/>
      </c>
      <c r="G173" s="50" t="str">
        <v/>
      </c>
      <c r="H173" s="50" t="str">
        <v/>
      </c>
      <c r="I173" s="172">
        <f>IFERROR((E173*F173*$E$159)+(E173*G173*$E$160)+(E173*H173*#REF!), 0)</f>
        <v>0</v>
      </c>
      <c r="J173" s="172">
        <f>IFERROR((E173*F173*IF($F$159, $F$159, $E$159))+(E173*G173*IF($F$160,$F$160,$E$160))+(E173*H173*IF($F$161,$F$161,$E$161)), 0)</f>
        <v>0</v>
      </c>
    </row>
    <row r="174" spans="4:10" ht="20.100000000000001" customHeight="1" x14ac:dyDescent="0.25"/>
    <row r="175" spans="4:10" ht="20.100000000000001" customHeight="1" x14ac:dyDescent="0.25">
      <c r="E175" s="8" t="s">
        <v>491</v>
      </c>
    </row>
    <row r="176" spans="4:10" ht="20.100000000000001" customHeight="1" x14ac:dyDescent="0.25">
      <c r="D176" s="9" t="s">
        <v>411</v>
      </c>
      <c r="E176" s="100" t="s">
        <v>488</v>
      </c>
      <c r="F176" s="116"/>
      <c r="G176" s="101"/>
    </row>
    <row r="177" spans="4:18" ht="20.100000000000001" customHeight="1" x14ac:dyDescent="0.25">
      <c r="D177" s="60" t="s">
        <v>173</v>
      </c>
      <c r="E177" s="60" t="s">
        <v>209</v>
      </c>
      <c r="F177" s="60" t="s">
        <v>482</v>
      </c>
      <c r="G177" s="60" t="s">
        <v>394</v>
      </c>
      <c r="H177" s="47" t="s">
        <v>483</v>
      </c>
      <c r="I177" s="60" t="s">
        <v>395</v>
      </c>
      <c r="J177" s="60" t="s">
        <v>177</v>
      </c>
      <c r="K177" s="60" t="s">
        <v>484</v>
      </c>
      <c r="L177" s="60" t="s">
        <v>481</v>
      </c>
      <c r="M177" s="60" t="s">
        <v>179</v>
      </c>
      <c r="N177" s="60" t="s">
        <v>489</v>
      </c>
      <c r="O177" s="60" t="s">
        <v>486</v>
      </c>
      <c r="P177" s="60" t="s">
        <v>181</v>
      </c>
      <c r="Q177" s="60" t="s">
        <v>490</v>
      </c>
      <c r="R177" s="60" t="s">
        <v>487</v>
      </c>
    </row>
    <row r="178" spans="4:18" ht="20.100000000000001" customHeight="1" x14ac:dyDescent="0.25">
      <c r="D178" s="50" t="str" cm="1">
        <f t="array" ref="D178:D187">IFERROR(INDEX(Table_Input_Pesticides[Product name], _xlfn.SEQUENCE(10)), "")</f>
        <v>QA MCPA + Picloram SL Herbicide</v>
      </c>
      <c r="E178" s="50" cm="1">
        <f t="array" ref="E178:E187">IFERROR(INDEX(Table_Input_Pesticides[Total applied], _xlfn.SEQUENCE(10)), "")</f>
        <v>1000</v>
      </c>
      <c r="F178" s="50">
        <f>IFERROR(((K178*L178)+(N178*O178)+(Q178*R178))/E178,0)</f>
        <v>4.0853600000000005</v>
      </c>
      <c r="G178" s="172">
        <f>IFERROR(E178*F178,0)</f>
        <v>4085.3600000000006</v>
      </c>
      <c r="H178" s="69">
        <v>4</v>
      </c>
      <c r="I178" s="172">
        <f>IFERROR(E178*H178,0)</f>
        <v>4000</v>
      </c>
      <c r="J178" s="50" t="str" cm="1">
        <f t="array" ref="J178:J187">IFERROR(INDEX(Table_Input_Pesticides[Active ingredient 1 (select)], _xlfn.SEQUENCE(10)), "")</f>
        <v>Pesticides (generic)</v>
      </c>
      <c r="K178" s="50" cm="1">
        <f t="array" ref="K178:K187">IFERROR(INDEX(Table_Input_Pesticides[Total active ingredient 1 (kg)], _xlfn.SEQUENCE(10)), "")</f>
        <v>26</v>
      </c>
      <c r="L178" s="50" cm="1">
        <f t="array" ref="L178">Common_InputFunctions.Utility_LookupValueInTableNumber(J178,Table_SourceData_Scope3_Pesticides[Product],Table_SourceData_Scope3_Pesticides[AusLCI Emissions intensity])</f>
        <v>9.16</v>
      </c>
      <c r="M178" s="50" t="str" cm="1">
        <f t="array" ref="M178:M187">IFERROR(INDEX(Table_Input_Pesticides[Active ingredient 2 (select)], _xlfn.SEQUENCE(10)), "")</f>
        <v>Pesticides (generic)</v>
      </c>
      <c r="N178" s="50" cm="1">
        <f t="array" ref="N178:N187">IFERROR(INDEX(Table_Input_Pesticides[Total active ingredient 2 (kg)], _xlfn.SEQUENCE(10)), "")</f>
        <v>420</v>
      </c>
      <c r="O178" s="50" cm="1">
        <f t="array" ref="O178">Common_InputFunctions.Utility_LookupValueInTableNumber(M178,Table_SourceData_Scope3_Pesticides[Product],Table_SourceData_Scope3_Pesticides[AusLCI Emissions intensity])</f>
        <v>9.16</v>
      </c>
      <c r="P178" s="50" cm="1">
        <f t="array" ref="P178:P187">IFERROR(INDEX(Table_Input_Pesticides[Active ingredient 3 (select)], _xlfn.SEQUENCE(10)), "")</f>
        <v>0</v>
      </c>
      <c r="Q178" s="50" cm="1">
        <f t="array" ref="Q178:Q187">IFERROR(INDEX(Table_Input_Pesticides[Total active ingredient 3 (kg)], _xlfn.SEQUENCE(10)), "")</f>
        <v>0</v>
      </c>
      <c r="R178" s="50" cm="1">
        <f t="array" ref="R178">Common_InputFunctions.Utility_LookupValueInTableNumber(P178,Table_SourceData_Scope3_Pesticides[Product],Table_SourceData_Scope3_Pesticides[AusLCI Emissions intensity])</f>
        <v>0</v>
      </c>
    </row>
    <row r="179" spans="4:18" ht="20.100000000000001" customHeight="1" x14ac:dyDescent="0.25">
      <c r="D179" s="50" t="str">
        <v>Heben Propiconazole 550EC Fungicide</v>
      </c>
      <c r="E179" s="50">
        <v>1000</v>
      </c>
      <c r="F179" s="50">
        <f t="shared" ref="F179:F187" si="20">IFERROR(((K179*L179)+(N179*O179)+(Q179*R179))/E179,0)</f>
        <v>5.0380000000000003</v>
      </c>
      <c r="G179" s="172">
        <f t="shared" ref="G179:G187" si="21">IFERROR(E179*F179,0)</f>
        <v>5038</v>
      </c>
      <c r="H179" s="69">
        <v>2</v>
      </c>
      <c r="I179" s="172">
        <f t="shared" ref="I179:I187" si="22">IFERROR(E179*H179,0)</f>
        <v>2000</v>
      </c>
      <c r="J179" s="50" t="str">
        <v>Pesticides (generic)</v>
      </c>
      <c r="K179" s="50">
        <v>550</v>
      </c>
      <c r="L179" s="50" cm="1">
        <f t="array" ref="L179">Common_InputFunctions.Utility_LookupValueInTableNumber(J179,Table_SourceData_Scope3_Pesticides[Product],Table_SourceData_Scope3_Pesticides[AusLCI Emissions intensity])</f>
        <v>9.16</v>
      </c>
      <c r="M179" s="50">
        <v>0</v>
      </c>
      <c r="N179" s="50">
        <v>0</v>
      </c>
      <c r="O179" s="50" cm="1">
        <f t="array" ref="O179">Common_InputFunctions.Utility_LookupValueInTableNumber(M179,Table_SourceData_Scope3_Pesticides[Product],Table_SourceData_Scope3_Pesticides[AusLCI Emissions intensity])</f>
        <v>0</v>
      </c>
      <c r="P179" s="50">
        <v>0</v>
      </c>
      <c r="Q179" s="50">
        <v>0</v>
      </c>
      <c r="R179" s="50" cm="1">
        <f t="array" ref="R179">Common_InputFunctions.Utility_LookupValueInTableNumber(P179,Table_SourceData_Scope3_Pesticides[Product],Table_SourceData_Scope3_Pesticides[AusLCI Emissions intensity])</f>
        <v>0</v>
      </c>
    </row>
    <row r="180" spans="4:18" ht="20.100000000000001" customHeight="1" x14ac:dyDescent="0.25">
      <c r="D180" s="50" t="str">
        <v>NovaGuard Boscalid 500 WG Fungicide</v>
      </c>
      <c r="E180" s="50">
        <v>1000</v>
      </c>
      <c r="F180" s="50">
        <f t="shared" si="20"/>
        <v>4.58</v>
      </c>
      <c r="G180" s="172">
        <f t="shared" si="21"/>
        <v>4580</v>
      </c>
      <c r="H180" s="69"/>
      <c r="I180" s="172">
        <f t="shared" si="22"/>
        <v>0</v>
      </c>
      <c r="J180" s="50" t="str">
        <v>Pesticides (generic)</v>
      </c>
      <c r="K180" s="50">
        <v>500</v>
      </c>
      <c r="L180" s="50" cm="1">
        <f t="array" ref="L180">Common_InputFunctions.Utility_LookupValueInTableNumber(J180,Table_SourceData_Scope3_Pesticides[Product],Table_SourceData_Scope3_Pesticides[AusLCI Emissions intensity])</f>
        <v>9.16</v>
      </c>
      <c r="M180" s="50">
        <v>0</v>
      </c>
      <c r="N180" s="50">
        <v>0</v>
      </c>
      <c r="O180" s="50" cm="1">
        <f t="array" ref="O180">Common_InputFunctions.Utility_LookupValueInTableNumber(M180,Table_SourceData_Scope3_Pesticides[Product],Table_SourceData_Scope3_Pesticides[AusLCI Emissions intensity])</f>
        <v>0</v>
      </c>
      <c r="P180" s="50">
        <v>0</v>
      </c>
      <c r="Q180" s="50">
        <v>0</v>
      </c>
      <c r="R180" s="50" cm="1">
        <f t="array" ref="R180">Common_InputFunctions.Utility_LookupValueInTableNumber(P180,Table_SourceData_Scope3_Pesticides[Product],Table_SourceData_Scope3_Pesticides[AusLCI Emissions intensity])</f>
        <v>0</v>
      </c>
    </row>
    <row r="181" spans="4:18" ht="20.100000000000001" customHeight="1" x14ac:dyDescent="0.25">
      <c r="D181" s="50" t="str">
        <v/>
      </c>
      <c r="E181" s="50" t="str">
        <v/>
      </c>
      <c r="F181" s="50">
        <f t="shared" si="20"/>
        <v>0</v>
      </c>
      <c r="G181" s="172">
        <f t="shared" si="21"/>
        <v>0</v>
      </c>
      <c r="H181" s="69"/>
      <c r="I181" s="172">
        <f t="shared" si="22"/>
        <v>0</v>
      </c>
      <c r="J181" s="50" t="str">
        <v/>
      </c>
      <c r="K181" s="50" t="str">
        <v/>
      </c>
      <c r="L181" s="50" cm="1">
        <f t="array" ref="L181">Common_InputFunctions.Utility_LookupValueInTableNumber(J181,Table_SourceData_Scope3_Pesticides[Product],Table_SourceData_Scope3_Pesticides[AusLCI Emissions intensity])</f>
        <v>0</v>
      </c>
      <c r="M181" s="50" t="str">
        <v/>
      </c>
      <c r="N181" s="50" t="str">
        <v/>
      </c>
      <c r="O181" s="50" cm="1">
        <f t="array" ref="O181">Common_InputFunctions.Utility_LookupValueInTableNumber(M181,Table_SourceData_Scope3_Pesticides[Product],Table_SourceData_Scope3_Pesticides[AusLCI Emissions intensity])</f>
        <v>0</v>
      </c>
      <c r="P181" s="50" t="str">
        <v/>
      </c>
      <c r="Q181" s="50" t="str">
        <v/>
      </c>
      <c r="R181" s="50" cm="1">
        <f t="array" ref="R181">Common_InputFunctions.Utility_LookupValueInTableNumber(P181,Table_SourceData_Scope3_Pesticides[Product],Table_SourceData_Scope3_Pesticides[AusLCI Emissions intensity])</f>
        <v>0</v>
      </c>
    </row>
    <row r="182" spans="4:18" ht="20.100000000000001" customHeight="1" x14ac:dyDescent="0.25">
      <c r="D182" s="50" t="str">
        <v/>
      </c>
      <c r="E182" s="50" t="str">
        <v/>
      </c>
      <c r="F182" s="50">
        <f t="shared" si="20"/>
        <v>0</v>
      </c>
      <c r="G182" s="172">
        <f t="shared" si="21"/>
        <v>0</v>
      </c>
      <c r="H182" s="69"/>
      <c r="I182" s="172">
        <f t="shared" si="22"/>
        <v>0</v>
      </c>
      <c r="J182" s="50" t="str">
        <v/>
      </c>
      <c r="K182" s="50" t="str">
        <v/>
      </c>
      <c r="L182" s="50" cm="1">
        <f t="array" ref="L182">Common_InputFunctions.Utility_LookupValueInTableNumber(J182,Table_SourceData_Scope3_Pesticides[Product],Table_SourceData_Scope3_Pesticides[AusLCI Emissions intensity])</f>
        <v>0</v>
      </c>
      <c r="M182" s="50" t="str">
        <v/>
      </c>
      <c r="N182" s="50" t="str">
        <v/>
      </c>
      <c r="O182" s="50" cm="1">
        <f t="array" ref="O182">Common_InputFunctions.Utility_LookupValueInTableNumber(M182,Table_SourceData_Scope3_Pesticides[Product],Table_SourceData_Scope3_Pesticides[AusLCI Emissions intensity])</f>
        <v>0</v>
      </c>
      <c r="P182" s="50" t="str">
        <v/>
      </c>
      <c r="Q182" s="50" t="str">
        <v/>
      </c>
      <c r="R182" s="50" cm="1">
        <f t="array" ref="R182">Common_InputFunctions.Utility_LookupValueInTableNumber(P182,Table_SourceData_Scope3_Pesticides[Product],Table_SourceData_Scope3_Pesticides[AusLCI Emissions intensity])</f>
        <v>0</v>
      </c>
    </row>
    <row r="183" spans="4:18" ht="20.100000000000001" customHeight="1" x14ac:dyDescent="0.25">
      <c r="D183" s="50" t="str">
        <v/>
      </c>
      <c r="E183" s="50" t="str">
        <v/>
      </c>
      <c r="F183" s="50">
        <f t="shared" si="20"/>
        <v>0</v>
      </c>
      <c r="G183" s="172">
        <f t="shared" si="21"/>
        <v>0</v>
      </c>
      <c r="H183" s="69"/>
      <c r="I183" s="172">
        <f t="shared" si="22"/>
        <v>0</v>
      </c>
      <c r="J183" s="50" t="str">
        <v/>
      </c>
      <c r="K183" s="50" t="str">
        <v/>
      </c>
      <c r="L183" s="50" cm="1">
        <f t="array" ref="L183">Common_InputFunctions.Utility_LookupValueInTableNumber(J183,Table_SourceData_Scope3_Pesticides[Product],Table_SourceData_Scope3_Pesticides[AusLCI Emissions intensity])</f>
        <v>0</v>
      </c>
      <c r="M183" s="50" t="str">
        <v/>
      </c>
      <c r="N183" s="50" t="str">
        <v/>
      </c>
      <c r="O183" s="50" cm="1">
        <f t="array" ref="O183">Common_InputFunctions.Utility_LookupValueInTableNumber(M183,Table_SourceData_Scope3_Pesticides[Product],Table_SourceData_Scope3_Pesticides[AusLCI Emissions intensity])</f>
        <v>0</v>
      </c>
      <c r="P183" s="50" t="str">
        <v/>
      </c>
      <c r="Q183" s="50" t="str">
        <v/>
      </c>
      <c r="R183" s="50" cm="1">
        <f t="array" ref="R183">Common_InputFunctions.Utility_LookupValueInTableNumber(P183,Table_SourceData_Scope3_Pesticides[Product],Table_SourceData_Scope3_Pesticides[AusLCI Emissions intensity])</f>
        <v>0</v>
      </c>
    </row>
    <row r="184" spans="4:18" ht="20.100000000000001" customHeight="1" x14ac:dyDescent="0.25">
      <c r="D184" s="50" t="str">
        <v/>
      </c>
      <c r="E184" s="50" t="str">
        <v/>
      </c>
      <c r="F184" s="50">
        <f t="shared" si="20"/>
        <v>0</v>
      </c>
      <c r="G184" s="172">
        <f t="shared" si="21"/>
        <v>0</v>
      </c>
      <c r="H184" s="69"/>
      <c r="I184" s="172">
        <f t="shared" si="22"/>
        <v>0</v>
      </c>
      <c r="J184" s="50" t="str">
        <v/>
      </c>
      <c r="K184" s="50" t="str">
        <v/>
      </c>
      <c r="L184" s="50" cm="1">
        <f t="array" ref="L184">Common_InputFunctions.Utility_LookupValueInTableNumber(J184,Table_SourceData_Scope3_Pesticides[Product],Table_SourceData_Scope3_Pesticides[AusLCI Emissions intensity])</f>
        <v>0</v>
      </c>
      <c r="M184" s="50" t="str">
        <v/>
      </c>
      <c r="N184" s="50" t="str">
        <v/>
      </c>
      <c r="O184" s="50" cm="1">
        <f t="array" ref="O184">Common_InputFunctions.Utility_LookupValueInTableNumber(M184,Table_SourceData_Scope3_Pesticides[Product],Table_SourceData_Scope3_Pesticides[AusLCI Emissions intensity])</f>
        <v>0</v>
      </c>
      <c r="P184" s="50" t="str">
        <v/>
      </c>
      <c r="Q184" s="50" t="str">
        <v/>
      </c>
      <c r="R184" s="50" cm="1">
        <f t="array" ref="R184">Common_InputFunctions.Utility_LookupValueInTableNumber(P184,Table_SourceData_Scope3_Pesticides[Product],Table_SourceData_Scope3_Pesticides[AusLCI Emissions intensity])</f>
        <v>0</v>
      </c>
    </row>
    <row r="185" spans="4:18" ht="20.100000000000001" customHeight="1" x14ac:dyDescent="0.25">
      <c r="D185" s="50" t="str">
        <v/>
      </c>
      <c r="E185" s="50" t="str">
        <v/>
      </c>
      <c r="F185" s="50">
        <f t="shared" si="20"/>
        <v>0</v>
      </c>
      <c r="G185" s="172">
        <f t="shared" si="21"/>
        <v>0</v>
      </c>
      <c r="H185" s="69"/>
      <c r="I185" s="172">
        <f t="shared" si="22"/>
        <v>0</v>
      </c>
      <c r="J185" s="50" t="str">
        <v/>
      </c>
      <c r="K185" s="50" t="str">
        <v/>
      </c>
      <c r="L185" s="50" cm="1">
        <f t="array" ref="L185">Common_InputFunctions.Utility_LookupValueInTableNumber(J185,Table_SourceData_Scope3_Pesticides[Product],Table_SourceData_Scope3_Pesticides[AusLCI Emissions intensity])</f>
        <v>0</v>
      </c>
      <c r="M185" s="50" t="str">
        <v/>
      </c>
      <c r="N185" s="50" t="str">
        <v/>
      </c>
      <c r="O185" s="50" cm="1">
        <f t="array" ref="O185">Common_InputFunctions.Utility_LookupValueInTableNumber(M185,Table_SourceData_Scope3_Pesticides[Product],Table_SourceData_Scope3_Pesticides[AusLCI Emissions intensity])</f>
        <v>0</v>
      </c>
      <c r="P185" s="50" t="str">
        <v/>
      </c>
      <c r="Q185" s="50" t="str">
        <v/>
      </c>
      <c r="R185" s="50" cm="1">
        <f t="array" ref="R185">Common_InputFunctions.Utility_LookupValueInTableNumber(P185,Table_SourceData_Scope3_Pesticides[Product],Table_SourceData_Scope3_Pesticides[AusLCI Emissions intensity])</f>
        <v>0</v>
      </c>
    </row>
    <row r="186" spans="4:18" ht="20.100000000000001" customHeight="1" x14ac:dyDescent="0.25">
      <c r="D186" s="50" t="str">
        <v/>
      </c>
      <c r="E186" s="50" t="str">
        <v/>
      </c>
      <c r="F186" s="50">
        <f t="shared" si="20"/>
        <v>0</v>
      </c>
      <c r="G186" s="172">
        <f t="shared" si="21"/>
        <v>0</v>
      </c>
      <c r="H186" s="69"/>
      <c r="I186" s="172">
        <f t="shared" si="22"/>
        <v>0</v>
      </c>
      <c r="J186" s="50" t="str">
        <v/>
      </c>
      <c r="K186" s="50" t="str">
        <v/>
      </c>
      <c r="L186" s="50" cm="1">
        <f t="array" ref="L186">Common_InputFunctions.Utility_LookupValueInTableNumber(J186,Table_SourceData_Scope3_Pesticides[Product],Table_SourceData_Scope3_Pesticides[AusLCI Emissions intensity])</f>
        <v>0</v>
      </c>
      <c r="M186" s="50" t="str">
        <v/>
      </c>
      <c r="N186" s="50" t="str">
        <v/>
      </c>
      <c r="O186" s="50" cm="1">
        <f t="array" ref="O186">Common_InputFunctions.Utility_LookupValueInTableNumber(M186,Table_SourceData_Scope3_Pesticides[Product],Table_SourceData_Scope3_Pesticides[AusLCI Emissions intensity])</f>
        <v>0</v>
      </c>
      <c r="P186" s="50" t="str">
        <v/>
      </c>
      <c r="Q186" s="50" t="str">
        <v/>
      </c>
      <c r="R186" s="50" cm="1">
        <f t="array" ref="R186">Common_InputFunctions.Utility_LookupValueInTableNumber(P186,Table_SourceData_Scope3_Pesticides[Product],Table_SourceData_Scope3_Pesticides[AusLCI Emissions intensity])</f>
        <v>0</v>
      </c>
    </row>
    <row r="187" spans="4:18" ht="20.100000000000001" customHeight="1" x14ac:dyDescent="0.25">
      <c r="D187" s="50" t="str">
        <v/>
      </c>
      <c r="E187" s="50" t="str">
        <v/>
      </c>
      <c r="F187" s="50">
        <f t="shared" si="20"/>
        <v>0</v>
      </c>
      <c r="G187" s="172">
        <f t="shared" si="21"/>
        <v>0</v>
      </c>
      <c r="H187" s="69"/>
      <c r="I187" s="172">
        <f t="shared" si="22"/>
        <v>0</v>
      </c>
      <c r="J187" s="50" t="str">
        <v/>
      </c>
      <c r="K187" s="50" t="str">
        <v/>
      </c>
      <c r="L187" s="50" cm="1">
        <f t="array" ref="L187">Common_InputFunctions.Utility_LookupValueInTableNumber(J187,Table_SourceData_Scope3_Pesticides[Product],Table_SourceData_Scope3_Pesticides[AusLCI Emissions intensity])</f>
        <v>0</v>
      </c>
      <c r="M187" s="50" t="str">
        <v/>
      </c>
      <c r="N187" s="50" t="str">
        <v/>
      </c>
      <c r="O187" s="50" cm="1">
        <f t="array" ref="O187">Common_InputFunctions.Utility_LookupValueInTableNumber(M187,Table_SourceData_Scope3_Pesticides[Product],Table_SourceData_Scope3_Pesticides[AusLCI Emissions intensity])</f>
        <v>0</v>
      </c>
      <c r="P187" s="50" t="str">
        <v/>
      </c>
      <c r="Q187" s="50" t="str">
        <v/>
      </c>
      <c r="R187" s="50" cm="1">
        <f t="array" ref="R187">Common_InputFunctions.Utility_LookupValueInTableNumber(P187,Table_SourceData_Scope3_Pesticides[Product],Table_SourceData_Scope3_Pesticides[AusLCI Emissions intensity])</f>
        <v>0</v>
      </c>
    </row>
    <row r="188" spans="4:18" ht="20.100000000000001"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K74"/>
  <sheetViews>
    <sheetView showGridLines="0" topLeftCell="A29" workbookViewId="0">
      <selection activeCell="E62" sqref="E62"/>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65" t="s">
        <v>359</v>
      </c>
      <c r="E6" s="165" t="s">
        <v>360</v>
      </c>
      <c r="F6" s="165" t="s">
        <v>361</v>
      </c>
    </row>
    <row r="7" spans="3:11" ht="20.100000000000001" customHeight="1" x14ac:dyDescent="0.25">
      <c r="D7" s="165" t="str" cm="1">
        <f t="array" ref="D7">Common_InputFunctions.Utility_DisplayArrayInTable(CommonLivestock_SourceData.SourceData_Livestock_Common_SymbolsMMS_Data(), Table_Data_MMSSymbols[[#Headers],[Symbol]], 0)</f>
        <v>1</v>
      </c>
      <c r="E7" s="165" t="str" cm="1">
        <f t="array" ref="E7">Common_InputFunctions.Utility_DisplayArrayInTable(CommonLivestock_SourceData.SourceData_Livestock_Common_SymbolsMMS_Data(), Table_Data_MMSSymbols[[#Headers],[Symbol]], 0)</f>
        <v>Anaerobic lagoon</v>
      </c>
      <c r="F7" s="165"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65" t="str" cm="1">
        <f t="array" ref="D8">Common_InputFunctions.Utility_DisplayArrayInTable(CommonLivestock_SourceData.SourceData_Livestock_Common_SymbolsMMS_Data(), Table_Data_MMSSymbols[[#Headers],[Symbol]], 0)</f>
        <v>2</v>
      </c>
      <c r="E8" s="165" t="str" cm="1">
        <f t="array" ref="E8">Common_InputFunctions.Utility_DisplayArrayInTable(CommonLivestock_SourceData.SourceData_Livestock_Common_SymbolsMMS_Data(), Table_Data_MMSSymbols[[#Headers],[Symbol]], 0)</f>
        <v>Liquid systems</v>
      </c>
      <c r="F8" s="165"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65" t="str" cm="1">
        <f t="array" ref="D9">Common_InputFunctions.Utility_DisplayArrayInTable(CommonLivestock_SourceData.SourceData_Livestock_Common_SymbolsMMS_Data(), Table_Data_MMSSymbols[[#Headers],[Symbol]], 0)</f>
        <v>3</v>
      </c>
      <c r="E9" s="165" t="str" cm="1">
        <f t="array" ref="E9">Common_InputFunctions.Utility_DisplayArrayInTable(CommonLivestock_SourceData.SourceData_Livestock_Common_SymbolsMMS_Data(), Table_Data_MMSSymbols[[#Headers],[Symbol]], 0)</f>
        <v>Daily spread</v>
      </c>
      <c r="F9" s="165"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65" t="str" cm="1">
        <f t="array" ref="D10">Common_InputFunctions.Utility_DisplayArrayInTable(CommonLivestock_SourceData.SourceData_Livestock_Common_SymbolsMMS_Data(), Table_Data_MMSSymbols[[#Headers],[Symbol]], 0)</f>
        <v>3a</v>
      </c>
      <c r="E10" s="165" t="str" cm="1">
        <f t="array" ref="E10">Common_InputFunctions.Utility_DisplayArrayInTable(CommonLivestock_SourceData.SourceData_Livestock_Common_SymbolsMMS_Data(), Table_Data_MMSSymbols[[#Headers],[Symbol]], 0)</f>
        <v>Sump and dispersal system</v>
      </c>
      <c r="F10" s="165"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65" t="str" cm="1">
        <f t="array" ref="D11">Common_InputFunctions.Utility_DisplayArrayInTable(CommonLivestock_SourceData.SourceData_Livestock_Common_SymbolsMMS_Data(), Table_Data_MMSSymbols[[#Headers],[Symbol]], 0)</f>
        <v>3b</v>
      </c>
      <c r="E11" s="165" t="str" cm="1">
        <f t="array" ref="E11">Common_InputFunctions.Utility_DisplayArrayInTable(CommonLivestock_SourceData.SourceData_Livestock_Common_SymbolsMMS_Data(), Table_Data_MMSSymbols[[#Headers],[Symbol]], 0)</f>
        <v>Drains to paddock</v>
      </c>
      <c r="F11" s="165"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65" t="str" cm="1">
        <f t="array" ref="D12">Common_InputFunctions.Utility_DisplayArrayInTable(CommonLivestock_SourceData.SourceData_Livestock_Common_SymbolsMMS_Data(), Table_Data_MMSSymbols[[#Headers],[Symbol]], 0)</f>
        <v>4</v>
      </c>
      <c r="E12" s="165" t="str" cm="1">
        <f t="array" ref="E12">Common_InputFunctions.Utility_DisplayArrayInTable(CommonLivestock_SourceData.SourceData_Livestock_Common_SymbolsMMS_Data(), Table_Data_MMSSymbols[[#Headers],[Symbol]], 0)</f>
        <v>Solid storage</v>
      </c>
      <c r="F12" s="165"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65" t="str" cm="1">
        <f t="array" ref="D13">Common_InputFunctions.Utility_DisplayArrayInTable(CommonLivestock_SourceData.SourceData_Livestock_Common_SymbolsMMS_Data(), Table_Data_MMSSymbols[[#Headers],[Symbol]], 0)</f>
        <v>5</v>
      </c>
      <c r="E13" s="165" t="str" cm="1">
        <f t="array" ref="E13">Common_InputFunctions.Utility_DisplayArrayInTable(CommonLivestock_SourceData.SourceData_Livestock_Common_SymbolsMMS_Data(), Table_Data_MMSSymbols[[#Headers],[Symbol]], 0)</f>
        <v>Drylot (feed pad)</v>
      </c>
      <c r="F13" s="165"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65" t="str" cm="1">
        <f t="array" ref="D14">Common_InputFunctions.Utility_DisplayArrayInTable(CommonLivestock_SourceData.SourceData_Livestock_Common_SymbolsMMS_Data(), Table_Data_MMSSymbols[[#Headers],[Symbol]], 0)</f>
        <v>6</v>
      </c>
      <c r="E14" s="165" t="str" cm="1">
        <f t="array" ref="E14">Common_InputFunctions.Utility_DisplayArrayInTable(CommonLivestock_SourceData.SourceData_Livestock_Common_SymbolsMMS_Data(), Table_Data_MMSSymbols[[#Headers],[Symbol]], 0)</f>
        <v>Composting (passive windrow)</v>
      </c>
      <c r="F14" s="165"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65" t="str" cm="1">
        <f t="array" ref="D15">Common_InputFunctions.Utility_DisplayArrayInTable(CommonLivestock_SourceData.SourceData_Livestock_Common_SymbolsMMS_Data(), Table_Data_MMSSymbols[[#Headers],[Symbol]], 0)</f>
        <v>7</v>
      </c>
      <c r="E15" s="165" t="str" cm="1">
        <f t="array" ref="E15">Common_InputFunctions.Utility_DisplayArrayInTable(CommonLivestock_SourceData.SourceData_Livestock_Common_SymbolsMMS_Data(), Table_Data_MMSSymbols[[#Headers],[Symbol]], 0)</f>
        <v>Digester / covered lagoons</v>
      </c>
      <c r="F15" s="165"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65" t="str" cm="1">
        <f t="array" ref="D16">Common_InputFunctions.Utility_DisplayArrayInTable(CommonLivestock_SourceData.SourceData_Livestock_Common_SymbolsMMS_Data(), Table_Data_MMSSymbols[[#Headers],[Symbol]], 0)</f>
        <v>8</v>
      </c>
      <c r="E16" s="165" t="str" cm="1">
        <f t="array" ref="E16">Common_InputFunctions.Utility_DisplayArrayInTable(CommonLivestock_SourceData.SourceData_Livestock_Common_SymbolsMMS_Data(), Table_Data_MMSSymbols[[#Headers],[Symbol]], 0)</f>
        <v>Deep litter</v>
      </c>
      <c r="F16" s="165"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65" t="str" cm="1">
        <f t="array" ref="D17">Common_InputFunctions.Utility_DisplayArrayInTable(CommonLivestock_SourceData.SourceData_Livestock_Common_SymbolsMMS_Data(), Table_Data_MMSSymbols[[#Headers],[Symbol]], 0)</f>
        <v>9</v>
      </c>
      <c r="E17" s="165" t="str" cm="1">
        <f t="array" ref="E17">Common_InputFunctions.Utility_DisplayArrayInTable(CommonLivestock_SourceData.SourceData_Livestock_Common_SymbolsMMS_Data(), Table_Data_MMSSymbols[[#Headers],[Symbol]], 0)</f>
        <v>Pit storage</v>
      </c>
      <c r="F17" s="165"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65" t="str" cm="1">
        <f t="array" ref="D18">Common_InputFunctions.Utility_DisplayArrayInTable(CommonLivestock_SourceData.SourceData_Livestock_Common_SymbolsMMS_Data(), Table_Data_MMSSymbols[[#Headers],[Symbol]], 0)</f>
        <v>10</v>
      </c>
      <c r="E18" s="165" t="str" cm="1">
        <f t="array" ref="E18">Common_InputFunctions.Utility_DisplayArrayInTable(CommonLivestock_SourceData.SourceData_Livestock_Common_SymbolsMMS_Data(), Table_Data_MMSSymbols[[#Headers],[Symbol]], 0)</f>
        <v>Poultry manure with bedding</v>
      </c>
      <c r="F18" s="165"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65" t="str" cm="1">
        <f t="array" ref="D19">Common_InputFunctions.Utility_DisplayArrayInTable(CommonLivestock_SourceData.SourceData_Livestock_Common_SymbolsMMS_Data(), Table_Data_MMSSymbols[[#Headers],[Symbol]], 0)</f>
        <v>11</v>
      </c>
      <c r="E19" s="165" t="str" cm="1">
        <f t="array" ref="E19">Common_InputFunctions.Utility_DisplayArrayInTable(CommonLivestock_SourceData.SourceData_Livestock_Common_SymbolsMMS_Data(), Table_Data_MMSSymbols[[#Headers],[Symbol]], 0)</f>
        <v>Poultry manure without bedding</v>
      </c>
      <c r="F19" s="165"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65" t="str" cm="1">
        <f t="array" ref="D20">Common_InputFunctions.Utility_DisplayArrayInTable(CommonLivestock_SourceData.SourceData_Livestock_Common_SymbolsMMS_Data(), Table_Data_MMSSymbols[[#Headers],[Symbol]], 0)</f>
        <v>11a</v>
      </c>
      <c r="E20" s="165" t="str" cm="1">
        <f t="array" ref="E20">Common_InputFunctions.Utility_DisplayArrayInTable(CommonLivestock_SourceData.SourceData_Livestock_Common_SymbolsMMS_Data(), Table_Data_MMSSymbols[[#Headers],[Symbol]], 0)</f>
        <v>Belt manure removal</v>
      </c>
      <c r="F20" s="165"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65" t="str" cm="1">
        <f t="array" ref="D21">Common_InputFunctions.Utility_DisplayArrayInTable(CommonLivestock_SourceData.SourceData_Livestock_Common_SymbolsMMS_Data(), Table_Data_MMSSymbols[[#Headers],[Symbol]], 0)</f>
        <v>11b</v>
      </c>
      <c r="E21" s="165" t="str" cm="1">
        <f t="array" ref="E21">Common_InputFunctions.Utility_DisplayArrayInTable(CommonLivestock_SourceData.SourceData_Livestock_Common_SymbolsMMS_Data(), Table_Data_MMSSymbols[[#Headers],[Symbol]], 0)</f>
        <v>Manure stored in house</v>
      </c>
      <c r="F21" s="165"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65" t="str" cm="1">
        <f t="array" ref="D22">Common_InputFunctions.Utility_DisplayArrayInTable(CommonLivestock_SourceData.SourceData_Livestock_Common_SymbolsMMS_Data(), Table_Data_MMSSymbols[[#Headers],[Symbol]], 0)</f>
        <v>12</v>
      </c>
      <c r="E22" s="165" t="str" cm="1">
        <f t="array" ref="E22">Common_InputFunctions.Utility_DisplayArrayInTable(CommonLivestock_SourceData.SourceData_Livestock_Common_SymbolsMMS_Data(), Table_Data_MMSSymbols[[#Headers],[Symbol]], 0)</f>
        <v>Direct processing</v>
      </c>
      <c r="F22" s="165"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65" t="str" cm="1">
        <f t="array" ref="D23">Common_InputFunctions.Utility_DisplayArrayInTable(CommonLivestock_SourceData.SourceData_Livestock_Common_SymbolsMMS_Data(), Table_Data_MMSSymbols[[#Headers],[Symbol]], 0)</f>
        <v>13</v>
      </c>
      <c r="E23" s="165" t="str" cm="1">
        <f t="array" ref="E23">Common_InputFunctions.Utility_DisplayArrayInTable(CommonLivestock_SourceData.SourceData_Livestock_Common_SymbolsMMS_Data(), Table_Data_MMSSymbols[[#Headers],[Symbol]], 0)</f>
        <v>Direct application</v>
      </c>
      <c r="F23" s="165"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65" t="str" cm="1">
        <f t="array" ref="D24">Common_InputFunctions.Utility_DisplayArrayInTable(CommonLivestock_SourceData.SourceData_Livestock_Common_SymbolsMMS_Data(), Table_Data_MMSSymbols[[#Headers],[Symbol]], 0)</f>
        <v>14</v>
      </c>
      <c r="E24" s="165" t="str" cm="1">
        <f t="array" ref="E24">Common_InputFunctions.Utility_DisplayArrayInTable(CommonLivestock_SourceData.SourceData_Livestock_Common_SymbolsMMS_Data(), Table_Data_MMSSymbols[[#Headers],[Symbol]], 0)</f>
        <v>Pasture range and paddock</v>
      </c>
      <c r="F24" s="165"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65" t="s">
        <v>221</v>
      </c>
      <c r="E28" s="165" t="s">
        <v>362</v>
      </c>
      <c r="F28" s="8" t="s">
        <v>363</v>
      </c>
    </row>
    <row r="29" spans="4:6" ht="20.100000000000001" customHeight="1" x14ac:dyDescent="0.25">
      <c r="D29" s="165" t="str" cm="1">
        <f t="array" ref="D29">Common_InputFunctions.Utility_DisplayArrayInTable(CommonLivestock_SourceData.SourceData_Livestock_Product_BeefCattle_Data(),Table_SourceData_LivestockProduct_Beefcattle[[#Headers],[Product]],0)</f>
        <v>Cattle, for manufacturing beef</v>
      </c>
      <c r="E29" s="165"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65" t="s">
        <v>221</v>
      </c>
      <c r="E40" s="165" t="s">
        <v>362</v>
      </c>
      <c r="F40" s="8" t="s">
        <v>364</v>
      </c>
    </row>
    <row r="41" spans="4:6" ht="20.100000000000001" customHeight="1" x14ac:dyDescent="0.25">
      <c r="D41" s="165" t="str" cm="1">
        <f t="array" ref="D41">Common_InputFunctions.Utility_DisplayArrayInTable(CommonLivestock_SourceData.SourceData_Livestock_Product_Sheep_Data(),Table_SourceData_LivestockProduct_Sheep[[#Headers],[Product]],0)</f>
        <v>Sheep, for mutton</v>
      </c>
      <c r="E41" s="165"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65" t="str" cm="1">
        <f t="array" ref="D42">Common_InputFunctions.Utility_DisplayArrayInTable(CommonLivestock_SourceData.SourceData_Livestock_Product_Sheep_Data(),Table_SourceData_LivestockProduct_Sheep[[#Headers],[Product]],0)</f>
        <v>Sheep, for prime lamb</v>
      </c>
      <c r="E42" s="165"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65" t="str" cm="1">
        <f t="array" ref="D43">Common_InputFunctions.Utility_DisplayArrayInTable(CommonLivestock_SourceData.SourceData_Livestock_Product_Sheep_Data(),Table_SourceData_LivestockProduct_Sheep[[#Headers],[Product]],0)</f>
        <v/>
      </c>
      <c r="E43" s="165"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65" t="str" cm="1">
        <f t="array" ref="D44">Common_InputFunctions.Utility_DisplayArrayInTable(CommonLivestock_SourceData.SourceData_Livestock_Product_Sheep_Data(),Table_SourceData_LivestockProduct_Sheep[[#Headers],[Product]],0)</f>
        <v/>
      </c>
      <c r="E44" s="165"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65" t="str" cm="1">
        <f t="array" ref="D45">Common_InputFunctions.Utility_DisplayArrayInTable(CommonLivestock_SourceData.SourceData_Livestock_Product_Sheep_Data(),Table_SourceData_LivestockProduct_Sheep[[#Headers],[Product]],0)</f>
        <v/>
      </c>
      <c r="E45" s="165"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65" t="str" cm="1">
        <f t="array" ref="D46">Common_InputFunctions.Utility_DisplayArrayInTable(CommonLivestock_SourceData.SourceData_Livestock_Product_Sheep_Data(),Table_SourceData_LivestockProduct_Sheep[[#Headers],[Product]],0)</f>
        <v/>
      </c>
      <c r="E46" s="165"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65" t="str" cm="1">
        <f t="array" ref="D47">Common_InputFunctions.Utility_DisplayArrayInTable(CommonLivestock_SourceData.SourceData_Livestock_Product_Sheep_Data(),Table_SourceData_LivestockProduct_Sheep[[#Headers],[Product]],0)</f>
        <v/>
      </c>
      <c r="E47" s="165"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65" t="s">
        <v>221</v>
      </c>
      <c r="E51" s="165" t="s">
        <v>362</v>
      </c>
      <c r="F51" s="170" t="s">
        <v>369</v>
      </c>
    </row>
    <row r="52" spans="4:6" ht="20.100000000000001" customHeight="1" x14ac:dyDescent="0.25">
      <c r="D52" s="165" t="str" cm="1">
        <f t="array" ref="D52">Common_InputFunctions.Utility_DisplayArrayInTable(CommonLivestock_SourceData.SourceData_Livestock_Product_Chickens_Data(),Table_SourceData_LivestockProduct_Chickens[[#Headers],[Product]],0)</f>
        <v>Chickens</v>
      </c>
      <c r="E52" s="165"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65" t="s">
        <v>221</v>
      </c>
      <c r="E56" s="165" t="s">
        <v>362</v>
      </c>
      <c r="F56" s="8" t="s">
        <v>370</v>
      </c>
    </row>
    <row r="57" spans="4:6" ht="20.100000000000001" customHeight="1" x14ac:dyDescent="0.25">
      <c r="D57" s="165" t="str" cm="1">
        <f t="array" ref="D57">Common_InputFunctions.Utility_DisplayArrayInTable(CommonLivestock_SourceData.SourceData_Livestock_Product_Dairycattle_Data(),Table_SourceData_LivestockProduct_Dairycattle[[#Headers],[Product]],0)</f>
        <v>Dairy cows</v>
      </c>
      <c r="E57" s="165"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65" t="s">
        <v>221</v>
      </c>
      <c r="E61" s="165" t="s">
        <v>362</v>
      </c>
      <c r="F61" s="8" t="s">
        <v>371</v>
      </c>
    </row>
    <row r="62" spans="4:6" ht="20.100000000000001" customHeight="1" x14ac:dyDescent="0.25">
      <c r="D62" s="165" t="str" cm="1">
        <f t="array" ref="D62">Common_InputFunctions.Utility_DisplayArrayInTable(CommonLivestock_SourceData.SourceData_Livestock_Product_Pigs_Data(),Table_SourceData_LivestockProduct_Pigs[[#Headers],[Product]],0)</f>
        <v>Pigs</v>
      </c>
      <c r="E62" s="165"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phoneticPr fontId="55" type="noConversion"/>
  <pageMargins left="0.7" right="0.7" top="0.75" bottom="0.75" header="0.3" footer="0.3"/>
  <tableParts count="6">
    <tablePart r:id="rId1"/>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workbookViewId="0">
      <selection activeCell="E25" sqref="E25"/>
    </sheetView>
  </sheetViews>
  <sheetFormatPr defaultRowHeight="15.75" x14ac:dyDescent="0.25"/>
  <cols>
    <col min="4" max="4" width="39" customWidth="1"/>
    <col min="5" max="5" width="33.75" customWidth="1"/>
    <col min="6" max="6" width="37.375" customWidth="1"/>
  </cols>
  <sheetData>
    <row r="2" spans="4:8" x14ac:dyDescent="0.25">
      <c r="D2" t="s">
        <v>294</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295</v>
      </c>
    </row>
    <row r="24" spans="4:8" ht="17.25" x14ac:dyDescent="0.25">
      <c r="D24" s="60" t="s">
        <v>138</v>
      </c>
      <c r="E24" s="47" t="s">
        <v>237</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296</v>
      </c>
    </row>
    <row r="45" spans="4:5" x14ac:dyDescent="0.25">
      <c r="D45" t="s">
        <v>297</v>
      </c>
      <c r="E45" s="149">
        <f>'Input - Electricity'!E11</f>
        <v>500</v>
      </c>
    </row>
    <row r="46" spans="4:5" x14ac:dyDescent="0.25">
      <c r="D46" t="s">
        <v>298</v>
      </c>
      <c r="E46" t="str">
        <f>'Input - Electricity'!E13</f>
        <v>Western Australia - South West Interconnected System (SWIS)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F18" sqref="F1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238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239</v>
      </c>
      <c r="E9" s="26" t="s">
        <v>240</v>
      </c>
      <c r="F9" s="26" t="s">
        <v>241</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239</v>
      </c>
      <c r="E24" s="65" t="s">
        <v>242</v>
      </c>
      <c r="F24" s="65" t="s">
        <v>243</v>
      </c>
      <c r="G24" s="65" t="s">
        <v>244</v>
      </c>
      <c r="H24" s="65" t="s">
        <v>245</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BcAG4AIAAgACAAIABYAEwATwBPAEsAVQBQACgAMQAsACAAKABMAG8AbwBrAHUAcABBAHIAcgBhAHkAMQA9AEwAbwBvAGsAdQBwAFYAYQBsAHUAZQAxACkAKgAoAEwAbwBvAGsAdQBwAEEAcgByAGEAeQAyAD0ATABvAG8AawB1AHAAVgBhAGwAdQBlADIAKQAsACAAUgBlAHQAdQByAG4AQQByAHIAYQB5ACwAIABcACIAXAAi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BcAG4AIAAgACAAIABYAEwATwBPAEsAVQBQACgATABvAG8AawB1AHAAVgBhAGwAdQBlADEALAAgAEwAbwBvAGsAdQBwAEEAcgByAGEAeQAxACwAXABuACAAIAAgACAAIAAgACAAIABYAEwATwBPAEsAVQBQACgATABvAG8AawB1AHAAVgBhAGwAdQBlADIALAAgAEwAbwBvAGsAdQBwAEEAcgByAGEAeQAyACwAIABSAGUAdAB1AHIAbgBBAHIAcgBhAHk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DwAPQBhAHYAZwBUAGUAbQBwACkAKgBcAG4AIAAgACAAIAAgACAAIAAgACgAVgBBAEwAVQBFACgAbQBhAHgAVABlAG0AcABBAHIAcgBhAHkAKQA+AD0AYQB2AGcAVABlAG0AcAApACoAXABuACAAIAAgACAAIAAgACAAIAAoAFYAQQBMAFUARQAoAG0AaQBuAFIAYQBpAG4AZgBhAGwAbABBAHIAcgBhAHkAKQA8AD0AYQB2AGcAUgBhAGkAbgApACoAXABuACAAIAAgACAAIAAgACAAIAAoAFYAQQBMAFUARQAoAG0AYQB4AFIAYQBpAG4AZgBhAGwAbABBAHIAcgBhAHkAKQA+AD0AYQB2AGcAUgBhAGkAbgApACoAXABuACAAIAAgACAAIAAgACAAIAAoAFYAQQBMAFUARQAoAG0AaQBuAEYAcgBvAHMAdABBAHIAcgBhAHkAKQA8AD0AZgByAG8AcwB0AEQAYQB5AHMAKQAqAFwAbgAgACAAIAAgACAAIAAgACAAKABWAEEATABVAEUAKABtAGEAeABGAHIAbwBzAHQAQQByAHIAYQB5ACkAPgA9AGYAcgBvAHMAdABEAGEAeQBzACkAKgBcAG4AIAAgACAAIAAgACAAIAAgACgAVgBBAEwAVQBFACgAbQBpAG4ARQBsAGUAdgBhAHQAaQBvAG4AQQByAHIAYQB5ACkAPAA9AGUAbABlAHYAKQAqAFwAbgAgACAAIAAgACAAIAAgACAAKABWAEEATABVAEUAKABtAGEAeABFAGwAZQB2AGEAdABpAG8AbgBBAHIAcgBhAHkAKQA+AD0AZQBsAGUAdgApACoAXABuACAAIAAgACAAIAAgACAAIAAoAFYAQQBMAFUARQAoAG0AaQBuAFAARQBUAEEAcgByAGEAeQApADwAPQBtAGEAcABfAHAAZQB0ACkAKgBcAG4AIAAgACAAIAAgACAAIAAgACgAVgBBAEwAVQBFACgAbQBhAHgAUABFAFQAQQByAHIAYQB5ACkAPg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FwAbgAgACAAIAAgAFAAcgBvAGQAdQBjAHQASQBuAGcAcgBlAGQAaQBlAG4AdABTAG8AdQByAGMAZQAsACAASQBGACgAUAByAG8AZAB1AGMAdABJAG4AZwByAGUAZABpAGUAbgB0AFMAbwB1AHIAYwBlAD0AXAAiAFwAIgAsACAAXAAiAEcAbABvAGIAYQBsAFwAIgAsACAAUAByAG8AZAB1AGMAdABJAG4AZwByAGUAZABpAGUAbgB0AFMAbwB1AHIAYwBlACkAL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Input - Site</vt:lpstr>
      <vt:lpstr>Input - Fertiliser</vt:lpstr>
      <vt:lpstr>Input - Feed</vt:lpstr>
      <vt:lpstr>Input - Farm Inputs</vt:lpstr>
      <vt:lpstr>Input - Fuel</vt:lpstr>
      <vt:lpstr>Input - Electricity</vt:lpstr>
      <vt:lpstr>Input - Livestock</vt:lpstr>
      <vt:lpstr>Constants - Scope 3</vt:lpstr>
      <vt:lpstr>Calcs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2026-05-28T02:10:56Z</dcterms:modified>
</cp:coreProperties>
</file>